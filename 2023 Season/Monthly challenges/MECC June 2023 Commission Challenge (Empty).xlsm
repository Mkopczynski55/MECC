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7" rupBuild="26327" codeName="{37A63EE7-654F-3FA9-A528-636911D70600}"/>
  <x:workbookPr codeName="ThisWorkbook" defaultThemeVersion="166925"/>
  <mc:AlternateContent xmlns:mc="http://schemas.openxmlformats.org/markup-compatibility/2006">
    <mc:Choice Requires="x15">
      <x15ac:absPath xmlns:x15ac="http://schemas.microsoft.com/office/spreadsheetml/2010/11/ac" url="C:\Users\dcbrown\Box\MECC\MECC 2023\Case Development &amp; Related Files\June 2023\May Sales &amp; Marketing\"/>
    </mc:Choice>
  </mc:AlternateContent>
  <xr:revisionPtr revIDLastSave="0" documentId="13_ncr:1_{25490423-9AFB-452E-AAD7-885264A1DF89}" xr6:coauthVersionLast="47" xr6:coauthVersionMax="47" xr10:uidLastSave="{00000000-0000-0000-0000-000000000000}"/>
  <x:bookViews>
    <x:workbookView xWindow="-28920" yWindow="-120" windowWidth="29040" windowHeight="15840" tabRatio="753" xr2:uid="{44726D66-EC9A-40E9-A5CD-560EDBDBA120}"/>
  </x:bookViews>
  <x:sheets>
    <x:sheet name="Instructions" sheetId="9" r:id="rId1"/>
    <x:sheet name="Case Details" sheetId="34" r:id="rId2"/>
    <x:sheet name="Sales Data" sheetId="33" r:id="rId3"/>
    <x:sheet name="Commission Calculator 1" sheetId="29" r:id="rId4"/>
    <x:sheet name="Commission Calculator 2" sheetId="30" r:id="rId5"/>
    <x:sheet name="Team Commissions" sheetId="31" r:id="rId6"/>
    <x:sheet name="Timed Results" sheetId="11" r:id="rId7"/>
    <x:sheet name="Question Results" sheetId="23" r:id="rId8"/>
    <x:sheet name="BackgroundCalcs" sheetId="20" state="veryHidden" r:id="rId9"/>
    <x:sheet name="Output" sheetId="12" state="veryHidden" r:id="rId10"/>
    <x:sheet name="Grading Formulas" sheetId="24" state="veryHidden" r:id="rId11"/>
    <x:sheet name="Grading" sheetId="25" state="veryHidden" r:id="rId12"/>
  </x:sheets>
  <x:functionGroups builtInGroupCount="19"/>
  <x:externalReferences>
    <x:externalReference r:id="rId13"/>
    <x:externalReference r:id="rId14"/>
    <x:externalReference r:id="rId15"/>
    <x:externalReference r:id="rId16"/>
    <x:externalReference r:id="rId17"/>
    <x:externalReference r:id="rId18"/>
    <x:externalReference r:id="rId19"/>
    <x:externalReference r:id="rId20"/>
    <x:externalReference r:id="rId21"/>
    <x:externalReference r:id="rId22"/>
  </x:externalReferences>
  <x:definedNames>
    <x:definedName name="activateCount" localSheetId="1">[1]BackgroundCalcs!$D$26</x:definedName>
    <x:definedName name="activateCount">BackgroundCalcs!$D$26</x:definedName>
    <x:definedName name="AllCorrect">BackgroundCalcs!$D$14</x:definedName>
    <x:definedName name="AllowedCellsTab1">'[2]Keyboard Warm Up 1'!$D$7,'[2]Keyboard Warm Up 1'!$D$53,'[2]Keyboard Warm Up 1'!$AC$53,'[2]Keyboard Warm Up 1'!$AC$7,'[2]Keyboard Warm Up 1'!$AX$53,'[2]Keyboard Warm Up 1'!$AY$53,'[2]Keyboard Warm Up 1'!$AY$30,'[2]Keyboard Warm Up 1'!$AH$30,'[2]Keyboard Warm Up 1'!$AH$53,'[2]Keyboard Warm Up 1'!$BD$53,'[2]Keyboard Warm Up 1'!$BE$30,'[2]Keyboard Warm Up 1'!$BK$30,'[2]Keyboard Warm Up 1'!$BN$18,'[2]Keyboard Warm Up 1'!$BN$12,'[2]Keyboard Warm Up 1'!$BD$12,'[2]Keyboard Warm Up 1'!$BR$7,'[2]Keyboard Warm Up 1'!$BR$31,'[2]Keyboard Warm Up 1'!$BS$31,'[2]Keyboard Warm Up 1'!$BR$53,'[2]Keyboard Warm Up 1'!$BS$53,'[2]Keyboard Warm Up 1'!$CP$53,'[2]Keyboard Warm Up 1'!$CQ$53,'[2]Keyboard Warm Up 1'!$CP$31,'[2]Keyboard Warm Up 1'!$CQ$7,'[2]Keyboard Warm Up 1'!$A$1</x:definedName>
    <x:definedName name="Answer1">BackgroundCalcs!$K$2</x:definedName>
    <x:definedName name="Answer2">BackgroundCalcs!$K$3</x:definedName>
    <x:definedName name="Answer3">BackgroundCalcs!$K$4</x:definedName>
    <x:definedName name="Answer4">BackgroundCalcs!$K$5</x:definedName>
    <x:definedName name="Answer5">BackgroundCalcs!$K$6</x:definedName>
    <x:definedName name="Answer6">BackgroundCalcs!$K$7</x:definedName>
    <x:definedName name="cellsInFirst" localSheetId="11">[3]First!$B$3:$J$3,[3]First!$J$3:$J$8,[3]First!$D$8:$J$8,[3]First!$D$8:$D$19,[3]First!$D$8,[3]First!$D$19:$T$19,[3]First!$T$19:$T$29,[3]First!$P$29:$T$29,[3]First!$P$23:$P$29,[3]First!$E$23:$P$23,[3]First!$E$23:$E$26,[3]First!$E$26:$K$26,[3]First!$K$26:$K$32,[3]First!$C$32:$K$32</x:definedName>
    <x:definedName name="cellsInFirst" localSheetId="10">[3]First!$B$3:$J$3,[3]First!$J$3:$J$8,[3]First!$D$8:$J$8,[3]First!$D$8:$D$19,[3]First!$D$8,[3]First!$D$19:$T$19,[3]First!$T$19:$T$29,[3]First!$P$29:$T$29,[3]First!$P$23:$P$29,[3]First!$E$23:$P$23,[3]First!$E$23:$E$26,[3]First!$E$26:$K$26,[3]First!$K$26:$K$32,[3]First!$C$32:$K$32</x:definedName>
    <x:definedName name="cellsInFirst">#REF!,#REF!,#REF!,#REF!,#REF!,#REF!,#REF!,#REF!,#REF!,#REF!,#REF!,#REF!</x:definedName>
    <x:definedName name="cellsInSecond" localSheetId="11">[3]Second!$A$1:$H$1,[3]Second!$H$1:$H$26,[3]Second!$H$26:$M$26,[3]Second!$M$26:$M$33,[3]Second!$C$33:$M$33,[3]Second!$C$24:$C$33</x:definedName>
    <x:definedName name="cellsInSecond" localSheetId="10">[3]Second!$A$1:$H$1,[3]Second!$H$1:$H$26,[3]Second!$H$26:$M$26,[3]Second!$M$26:$M$33,[3]Second!$C$33:$M$33,[3]Second!$C$24:$C$33</x:definedName>
    <x:definedName name="cellsInSecond">'[2]Keyboard Warm Up 1'!$D$7,'[2]Keyboard Warm Up 1'!$D$23,'[2]Keyboard Warm Up 1'!$M$23,'[2]Keyboard Warm Up 1'!$M$16,'[2]Keyboard Warm Up 1'!$G$16,'[2]Keyboard Warm Up 1'!$G$7,'[2]Keyboard Warm Up 1'!$T$11,'[2]Keyboard Warm Up 1'!$AB$11,'[2]Keyboard Warm Up 1'!$AB$38,'[2]Keyboard Warm Up 1'!$S$38,'[2]Keyboard Warm Up 1'!$S$29,'[2]Keyboard Warm Up 1'!#REF!,'[2]Keyboard Warm Up 1'!#REF!,'[2]Keyboard Warm Up 1'!$AE$25,'[2]Keyboard Warm Up 1'!$AE$21,'[2]Keyboard Warm Up 1'!#REF!,'[2]Keyboard Warm Up 1'!#REF!,'[2]Keyboard Warm Up 1'!$AE$17,'[2]Keyboard Warm Up 1'!$AE$11,'[2]Keyboard Warm Up 1'!$AN$11</x:definedName>
    <x:definedName name="CheckRange1">[4]BackgroundCalcs!#REF!</x:definedName>
    <x:definedName name="CheckRange2">[4]BackgroundCalcs!#REF!</x:definedName>
    <x:definedName name="CheckRange3">[4]BackgroundCalcs!#REF!</x:definedName>
    <x:definedName name="CheckRange4">[4]BackgroundCalcs!#REF!</x:definedName>
    <x:definedName name="CheckRange5">[4]BackgroundCalcs!#REF!</x:definedName>
    <x:definedName name="CheckRange6">[4]BackgroundCalcs!#REF!</x:definedName>
    <x:definedName name="CheckRange7">[4]BackgroundCalcs!#REF!</x:definedName>
    <x:definedName name="CurrentScore" localSheetId="1">'[1]Question Results'!$C$6</x:definedName>
    <x:definedName name="CurrentScore">'Question Results'!$C$6</x:definedName>
    <x:definedName name="CurrentSum" localSheetId="11">[5]BackgroundCalcs!$F$20</x:definedName>
    <x:definedName name="CurrentSum" localSheetId="10">[5]BackgroundCalcs!$F$20</x:definedName>
    <x:definedName name="CurrentSum">[6]BackgroundCalcs!$F$20</x:definedName>
    <x:definedName name="CurrentTarget" localSheetId="11">[5]BackgroundCalcs!$F$17</x:definedName>
    <x:definedName name="CurrentTarget" localSheetId="10">[5]BackgroundCalcs!$F$17</x:definedName>
    <x:definedName name="CurrentTarget">[6]BackgroundCalcs!$F$17</x:definedName>
    <x:definedName name="CurrentTargetSum" localSheetId="11">[5]BackgroundCalcs!$G$17</x:definedName>
    <x:definedName name="CurrentTargetSum" localSheetId="10">[5]BackgroundCalcs!$G$17</x:definedName>
    <x:definedName name="CurrentTargetSum">[6]BackgroundCalcs!$G$17</x:definedName>
    <x:definedName name="elapsedTime">BackgroundCalcs!$D$11</x:definedName>
    <x:definedName name="endTime" localSheetId="1">[1]BackgroundCalcs!$D$5</x:definedName>
    <x:definedName name="endTime" localSheetId="11">[3]calc!$H$3</x:definedName>
    <x:definedName name="endTime" localSheetId="10">[3]calc!$H$3</x:definedName>
    <x:definedName name="endTime">BackgroundCalcs!$D$5</x:definedName>
    <x:definedName name="FileName" localSheetId="1">[1]BackgroundCalcs!$B$2</x:definedName>
    <x:definedName name="FileName" localSheetId="11">[7]BackgroundCalcs!$B$2</x:definedName>
    <x:definedName name="FileName" localSheetId="10">[7]BackgroundCalcs!$B$2</x:definedName>
    <x:definedName name="FileName">BackgroundCalcs!$B$2</x:definedName>
    <x:definedName name="Invalid1">[4]BackgroundCalcs!#REF!</x:definedName>
    <x:definedName name="Invalid2">[4]BackgroundCalcs!#REF!</x:definedName>
    <x:definedName name="Invalid3">[4]BackgroundCalcs!#REF!</x:definedName>
    <x:definedName name="Invalid4">[4]BackgroundCalcs!#REF!</x:definedName>
    <x:definedName name="Invalid5">[4]BackgroundCalcs!#REF!</x:definedName>
    <x:definedName name="Invalid6">[4]BackgroundCalcs!#REF!</x:definedName>
    <x:definedName name="Invalid7">[4]BackgroundCalcs!#REF!</x:definedName>
    <x:definedName name="isGameOn">BackgroundCalcs!$D$8</x:definedName>
    <x:definedName name="lastTime">BackgroundCalcs!$D$29</x:definedName>
    <x:definedName name="liveVersion">BackgroundCalcs!$B$29</x:definedName>
    <x:definedName name="lstVisited" localSheetId="11">[3]calc!$D$4:$D$21</x:definedName>
    <x:definedName name="lstVisited" localSheetId="10">[3]calc!$D$4:$D$21</x:definedName>
    <x:definedName name="lstVisited">[8]calc!$D$4:$D$21</x:definedName>
    <x:definedName name="mouseMovements">BackgroundCalcs!$D$23</x:definedName>
    <x:definedName name="n">'[9]Dynamic Ranges and Charts'!$D$30</x:definedName>
    <x:definedName name="name">#REF!</x:definedName>
    <x:definedName name="NumAnswers" localSheetId="1">[1]BackgroundCalcs!$B$26</x:definedName>
    <x:definedName name="NumAnswers">BackgroundCalcs!$B$26</x:definedName>
    <x:definedName name="NumberExercises" localSheetId="1">[1]BackgroundCalcs!$B$17</x:definedName>
    <x:definedName name="NumberExercises" localSheetId="11">[7]BackgroundCalcs!$B$17</x:definedName>
    <x:definedName name="NumberExercises" localSheetId="10">[7]BackgroundCalcs!$B$17</x:definedName>
    <x:definedName name="NumberExercises">BackgroundCalcs!$B$17</x:definedName>
    <x:definedName name="NumExercises" localSheetId="11">[5]BackgroundCalcs!$D$14</x:definedName>
    <x:definedName name="NumExercises" localSheetId="10">[5]BackgroundCalcs!$D$14</x:definedName>
    <x:definedName name="NumExercises">[6]BackgroundCalcs!$D$14</x:definedName>
    <x:definedName name="numRandomValues">BackgroundCalcs!$B$23</x:definedName>
    <x:definedName name="NumScenarios">BackgroundCalcs!$B$11</x:definedName>
    <x:definedName name="numToProtect">BackgroundCalcs!$B$20</x:definedName>
    <x:definedName name="oldEndTime">[8]calc!$H$3</x:definedName>
    <x:definedName name="oldStartTime">[8]calc!$G$3</x:definedName>
    <x:definedName name="OverrideSave">[4]BackgroundCalcs!#REF!</x:definedName>
    <x:definedName name="passwordOn">[4]BackgroundCalcs!#REF!</x:definedName>
    <x:definedName name="pCount">[3]calc!$F$3</x:definedName>
    <x:definedName name="pCountNew">[2]BackgroundCalcs!$S$2</x:definedName>
    <x:definedName name="RandomMethod" localSheetId="1">[1]BackgroundCalcs!$B$5</x:definedName>
    <x:definedName name="RandomMethod" localSheetId="11">[7]BackgroundCalcs!$B$5</x:definedName>
    <x:definedName name="RandomMethod" localSheetId="10">[7]BackgroundCalcs!$B$5</x:definedName>
    <x:definedName name="RandomMethod">BackgroundCalcs!$B$5</x:definedName>
    <x:definedName name="RandomScenarioNumber" localSheetId="1">[1]BackgroundCalcs!$B$8</x:definedName>
    <x:definedName name="RandomScenarioNumber" localSheetId="11">[7]BackgroundCalcs!$B$8</x:definedName>
    <x:definedName name="RandomScenarioNumber" localSheetId="10">[7]BackgroundCalcs!$B$8</x:definedName>
    <x:definedName name="RandomScenarioNumber">BackgroundCalcs!$B$8</x:definedName>
    <x:definedName name="ScenarioUpdate">BackgroundCalcs!$B$14</x:definedName>
    <x:definedName name="six">'[2]Keyboard Warm Up 1'!#REF!</x:definedName>
    <x:definedName name="SpreadsheetName" localSheetId="11">[5]BackgroundCalcs!$D$5</x:definedName>
    <x:definedName name="SpreadsheetName" localSheetId="10">[5]BackgroundCalcs!$D$5</x:definedName>
    <x:definedName name="SpreadsheetName">[6]BackgroundCalcs!$D$5</x:definedName>
    <x:definedName name="startTime" localSheetId="1">[1]BackgroundCalcs!$D$2</x:definedName>
    <x:definedName name="startTime" localSheetId="11">[3]calc!$G$3</x:definedName>
    <x:definedName name="startTime" localSheetId="10">[3]calc!$G$3</x:definedName>
    <x:definedName name="startTime">BackgroundCalcs!$D$2</x:definedName>
    <x:definedName name="StudentIDCell" localSheetId="11">[5]BackgroundCalcs!$D$8</x:definedName>
    <x:definedName name="StudentIDCell" localSheetId="10">[5]BackgroundCalcs!$D$8</x:definedName>
    <x:definedName name="StudentIDCell">[6]BackgroundCalcs!$D$8</x:definedName>
    <x:definedName name="StudentNameCell" localSheetId="11">[5]BackgroundCalcs!$D$11</x:definedName>
    <x:definedName name="StudentNameCell" localSheetId="10">[5]BackgroundCalcs!$D$11</x:definedName>
    <x:definedName name="StudentNameCell">[6]BackgroundCalcs!$D$11</x:definedName>
    <x:definedName name="ten">'[2]Keyboard Warm Up 1'!#REF!</x:definedName>
    <x:definedName name="timeElapsed" localSheetId="11">[3]calc!$G$6</x:definedName>
    <x:definedName name="timeElapsed" localSheetId="10">[3]calc!$G$6</x:definedName>
    <x:definedName name="timeElapsed">[8]calc!$G$6</x:definedName>
    <x:definedName name="totalTime" localSheetId="1">[1]BackgroundCalcs!$B$32</x:definedName>
    <x:definedName name="totalTime">BackgroundCalcs!$B$32</x:definedName>
    <x:definedName name="valDuration">[3]calc!$G$7</x:definedName>
    <x:definedName name="Valid1" localSheetId="11">[5]BackgroundCalcs!#REF!</x:definedName>
    <x:definedName name="Valid1" localSheetId="10">[5]BackgroundCalcs!#REF!</x:definedName>
    <x:definedName name="Valid1">[6]BackgroundCalcs!#REF!</x:definedName>
    <x:definedName name="ValidationCode">[10]calc!$B$11</x:definedName>
    <x:definedName name="xPosition">BackgroundCalcs!$D$17</x:definedName>
    <x:definedName name="yPosition">BackgroundCalcs!$D$20</x:definedName>
  </x:definedNames>
  <x:calcPr calcId="191029" calcMode="autoNoTable"/>
  <x:extLst>
    <x:ext xmlns:x15="http://schemas.microsoft.com/office/spreadsheetml/2010/11/main" uri="{140A7094-0E35-4892-8432-C4D2E57EDEB5}">
      <x15:workbookPr chartTrackingRefBase="1"/>
    </x:ext>
    <x: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x:ext>
  </x:extLst>
</x:workbook>
</file>

<file path=xl/calcChain.xml><?xml version="1.0" encoding="utf-8"?>
<calcChain xmlns="http://schemas.openxmlformats.org/spreadsheetml/2006/main">
  <c r="X21" i="20" l="1" a="1"/>
  <c r="X21" i="20" s="1"/>
  <c r="B4" i="11"/>
  <c r="B4" i="23"/>
  <c r="D3" i="24" l="1" a="1"/>
  <c r="D3" i="24" s="1"/>
  <c r="D2" i="24" a="1"/>
  <c r="D2" i="24" s="1"/>
  <c r="B9" i="9" l="1"/>
  <c r="X22" i="20" l="1"/>
  <c r="C3" i="24" l="1" a="1"/>
  <c r="C3" i="24" s="1"/>
  <c r="C2" i="24" a="1"/>
  <c r="C2" i="24" s="1"/>
  <c r="E3" i="24" a="1"/>
  <c r="E3" i="24" s="1"/>
  <c r="E2" i="24" a="1"/>
  <c r="E2" i="24" s="1"/>
  <c r="Q12" i="20" a="1"/>
  <c r="Q12" i="20" s="1"/>
  <c r="C19" i="31" s="1"/>
  <c r="Q13" i="20" a="1"/>
  <c r="Q13" i="20" s="1"/>
  <c r="C20" i="31" s="1"/>
  <c r="Q14" i="20" a="1"/>
  <c r="Q14" i="20" s="1"/>
  <c r="C21" i="30" s="1"/>
  <c r="Q15" i="20" a="1"/>
  <c r="Q15" i="20" s="1"/>
  <c r="F19" i="31" s="1"/>
  <c r="Q16" i="20" a="1"/>
  <c r="Q16" i="20" s="1"/>
  <c r="F20" i="31" s="1"/>
  <c r="Q17" i="20" a="1"/>
  <c r="Q17" i="20" s="1"/>
  <c r="F21" i="31" s="1"/>
  <c r="Q18" i="20" a="1"/>
  <c r="Q18" i="20" s="1"/>
  <c r="C25" i="31" s="1"/>
  <c r="Q19" i="20" a="1"/>
  <c r="Q19" i="20" s="1"/>
  <c r="E25" i="29" s="1"/>
  <c r="Q20" i="20" a="1"/>
  <c r="Q20" i="20" s="1"/>
  <c r="E25" i="31" s="1"/>
  <c r="Q21" i="20" a="1"/>
  <c r="Q21" i="20" s="1"/>
  <c r="F25" i="31" s="1"/>
  <c r="Q22" i="20" a="1"/>
  <c r="Q22" i="20" s="1"/>
  <c r="B29" i="31" s="1"/>
  <c r="X20" i="20"/>
  <c r="X19" i="20"/>
  <c r="X18" i="20"/>
  <c r="X17" i="20"/>
  <c r="X16" i="20"/>
  <c r="X15" i="20"/>
  <c r="X12" i="20"/>
  <c r="X13" i="20"/>
  <c r="X14" i="20"/>
  <c r="X10" i="20"/>
  <c r="X9" i="20"/>
  <c r="X8" i="20"/>
  <c r="X7" i="20"/>
  <c r="X6" i="20"/>
  <c r="X11" i="20"/>
  <c r="Q11" i="20" a="1"/>
  <c r="Q11" i="20" s="1"/>
  <c r="C18" i="31" s="1"/>
  <c r="X5" i="20"/>
  <c r="X4" i="20"/>
  <c r="X3" i="20"/>
  <c r="B29" i="30" l="1"/>
  <c r="C29" i="30" s="1"/>
  <c r="C29" i="31"/>
  <c r="F21" i="29"/>
  <c r="F21" i="30"/>
  <c r="F25" i="29"/>
  <c r="F25" i="30"/>
  <c r="C25" i="29"/>
  <c r="C25" i="30"/>
  <c r="C21" i="31"/>
  <c r="E25" i="30"/>
  <c r="C18" i="29"/>
  <c r="C18" i="30"/>
  <c r="C19" i="29"/>
  <c r="C19" i="30"/>
  <c r="F19" i="29"/>
  <c r="F19" i="30"/>
  <c r="C20" i="29"/>
  <c r="C20" i="30"/>
  <c r="F20" i="29"/>
  <c r="F20" i="30"/>
  <c r="C21" i="29"/>
  <c r="B44" i="29" l="1"/>
  <c r="B40" i="30"/>
  <c r="B37" i="29"/>
  <c r="B41" i="29"/>
  <c r="B43" i="29"/>
  <c r="B35" i="29"/>
  <c r="B36" i="29"/>
  <c r="B39" i="30"/>
  <c r="B46" i="30"/>
  <c r="B40" i="29"/>
  <c r="B38" i="30"/>
  <c r="B45" i="30"/>
  <c r="B37" i="30"/>
  <c r="B44" i="30"/>
  <c r="B43" i="30"/>
  <c r="B36" i="30"/>
  <c r="B42" i="30"/>
  <c r="B35" i="30"/>
  <c r="B41" i="30"/>
  <c r="B46" i="29"/>
  <c r="B39" i="29"/>
  <c r="B45" i="29"/>
  <c r="B38" i="29"/>
  <c r="B42" i="29"/>
  <c r="Q10" i="20" l="1" a="1"/>
  <c r="Q10" i="20" s="1"/>
  <c r="Q9" i="20" a="1"/>
  <c r="Q9" i="20" s="1"/>
  <c r="Q6" i="20" a="1"/>
  <c r="Q6" i="20" s="1"/>
  <c r="D11" i="11"/>
  <c r="E20" i="11"/>
  <c r="C2" i="12" s="1"/>
  <c r="D20" i="11"/>
  <c r="B2" i="12" s="1"/>
  <c r="C20" i="11"/>
  <c r="A2" i="12" s="1"/>
  <c r="B20" i="11"/>
  <c r="D71" i="20" l="1"/>
  <c r="C11" i="11" s="1"/>
  <c r="D62" i="20"/>
  <c r="B9" i="11" s="1"/>
  <c r="F15" i="31"/>
  <c r="F15" i="30"/>
  <c r="F15" i="29"/>
  <c r="F11" i="31"/>
  <c r="F11" i="30"/>
  <c r="F11" i="29"/>
  <c r="F14" i="31"/>
  <c r="F14" i="30"/>
  <c r="F14" i="29"/>
  <c r="H3" i="24"/>
  <c r="G3" i="24"/>
  <c r="F3" i="24"/>
  <c r="B3" i="24"/>
  <c r="H2" i="24"/>
  <c r="G2" i="24"/>
  <c r="F2" i="24"/>
  <c r="B2" i="24"/>
  <c r="BA14" i="20" a="1"/>
  <c r="BA14" i="20" l="1"/>
  <c r="AY14" i="20" l="1" a="1"/>
  <c r="AY14" i="20" s="1"/>
  <c r="Q7" i="20" a="1"/>
  <c r="Q7" i="20" s="1"/>
  <c r="Q8" i="20" a="1"/>
  <c r="Q8" i="20" s="1"/>
  <c r="X2" i="20"/>
  <c r="BA3" i="20" a="1"/>
  <c r="BA2" i="20" a="1"/>
  <c r="G35" i="30" l="1"/>
  <c r="F12" i="31"/>
  <c r="F12" i="30"/>
  <c r="F12" i="29"/>
  <c r="F13" i="31"/>
  <c r="F13" i="30"/>
  <c r="F13" i="29"/>
  <c r="BA3" i="20"/>
  <c r="BA2" i="20"/>
  <c r="BA15" i="20" a="1"/>
  <c r="BA16" i="20" a="1"/>
  <c r="AY3" i="20" l="1" a="1"/>
  <c r="AY3" i="20" s="1"/>
  <c r="AY2" i="20" a="1"/>
  <c r="AY2" i="20" s="1"/>
  <c r="BA15" i="20"/>
  <c r="BA16" i="20"/>
  <c r="D11" i="20"/>
  <c r="D32" i="20"/>
  <c r="D2" i="12" s="1"/>
  <c r="BA27" i="20" a="1"/>
  <c r="G35" i="29" l="1"/>
  <c r="G36" i="29"/>
  <c r="AY16" i="20" a="1"/>
  <c r="AY16" i="20" s="1"/>
  <c r="AY15" i="20" a="1"/>
  <c r="AY15" i="20" s="1"/>
  <c r="BA27" i="20"/>
  <c r="Q2" i="20" a="1"/>
  <c r="Q2" i="20" s="1"/>
  <c r="Q5" i="20" a="1"/>
  <c r="Q5" i="20" s="1"/>
  <c r="Q4" i="20" a="1"/>
  <c r="Q4" i="20" s="1"/>
  <c r="BA28" i="20" a="1"/>
  <c r="G36" i="30" l="1"/>
  <c r="G37" i="30"/>
  <c r="C14" i="31"/>
  <c r="C14" i="30"/>
  <c r="C14" i="29"/>
  <c r="C13" i="31"/>
  <c r="C13" i="30"/>
  <c r="C13" i="29"/>
  <c r="C11" i="31"/>
  <c r="C11" i="30"/>
  <c r="C11" i="29"/>
  <c r="AY27" i="20" a="1"/>
  <c r="AY27" i="20" s="1"/>
  <c r="BA28" i="20"/>
  <c r="BA9" i="20" a="1"/>
  <c r="BA4" i="20" a="1"/>
  <c r="BA18" i="20" a="1"/>
  <c r="BA17" i="20" a="1"/>
  <c r="BA5" i="20" a="1"/>
  <c r="BA21" i="20" a="1"/>
  <c r="BA20" i="20" a="1"/>
  <c r="BA23" i="20" a="1"/>
  <c r="BA22" i="20" a="1"/>
  <c r="BA9" i="20" l="1"/>
  <c r="G36" i="31"/>
  <c r="AY28" i="20" a="1"/>
  <c r="AY28" i="20" s="1"/>
  <c r="BA23" i="20"/>
  <c r="BA22" i="20"/>
  <c r="BA21" i="20"/>
  <c r="BA20" i="20"/>
  <c r="BA4" i="20"/>
  <c r="BA5" i="20"/>
  <c r="BA17" i="20"/>
  <c r="BA18" i="20"/>
  <c r="AY9" i="20" l="1" a="1"/>
  <c r="AY9" i="20" s="1"/>
  <c r="G37" i="31"/>
  <c r="AY20" i="20" a="1"/>
  <c r="AY20" i="20" s="1"/>
  <c r="AY22" i="20" a="1"/>
  <c r="AY22" i="20" s="1"/>
  <c r="AY23" i="20" a="1"/>
  <c r="AY23" i="20" s="1"/>
  <c r="AY21" i="20" a="1"/>
  <c r="AY21" i="20" s="1"/>
  <c r="AY18" i="20" a="1"/>
  <c r="AY18" i="20" s="1"/>
  <c r="AY17" i="20" a="1"/>
  <c r="AY17" i="20" s="1"/>
  <c r="AY5" i="20" a="1"/>
  <c r="AY5" i="20" s="1"/>
  <c r="AY4" i="20" a="1"/>
  <c r="AY4" i="20" s="1"/>
  <c r="G42" i="29" l="1"/>
  <c r="G39" i="30"/>
  <c r="G42" i="30"/>
  <c r="G38" i="29"/>
  <c r="G38" i="30"/>
  <c r="G44" i="30"/>
  <c r="G43" i="30"/>
  <c r="G41" i="30"/>
  <c r="G37" i="29"/>
  <c r="B20" i="20"/>
  <c r="B17" i="20"/>
  <c r="B23" i="9" s="1"/>
  <c r="Q3" i="20" a="1"/>
  <c r="Q3" i="20" s="1"/>
  <c r="BA26" i="20" a="1"/>
  <c r="C12" i="31" l="1"/>
  <c r="C12" i="30"/>
  <c r="C12" i="29"/>
  <c r="BA26" i="20"/>
  <c r="B23" i="20"/>
  <c r="BA6" i="20" a="1"/>
  <c r="BA11" i="20" a="1"/>
  <c r="BA19" i="20" a="1"/>
  <c r="BA8" i="20" a="1"/>
  <c r="BA10" i="20" a="1"/>
  <c r="BA11" i="20" l="1"/>
  <c r="AY11" i="20" s="1" a="1"/>
  <c r="AY11" i="20" s="1"/>
  <c r="G44" i="29" s="1"/>
  <c r="BA10" i="20"/>
  <c r="AY10" i="20" s="1" a="1"/>
  <c r="AY10" i="20" s="1"/>
  <c r="G43" i="29" s="1"/>
  <c r="AY26" i="20" a="1"/>
  <c r="AY26" i="20" s="1"/>
  <c r="BA19" i="20"/>
  <c r="BA6" i="20"/>
  <c r="BA8" i="20"/>
  <c r="BA7" i="20" a="1"/>
  <c r="BA24" i="20" a="1"/>
  <c r="G35" i="31" l="1"/>
  <c r="AY8" i="20" a="1"/>
  <c r="AY8" i="20" s="1"/>
  <c r="AY6" i="20" a="1"/>
  <c r="AY6" i="20" s="1"/>
  <c r="AY19" i="20" a="1"/>
  <c r="AY19" i="20" s="1"/>
  <c r="BA24" i="20"/>
  <c r="BA7" i="20"/>
  <c r="BA12" i="20" a="1"/>
  <c r="BA25" i="20" a="1"/>
  <c r="G39" i="29" l="1"/>
  <c r="G40" i="30"/>
  <c r="G41" i="29"/>
  <c r="AY24" i="20" a="1"/>
  <c r="AY24" i="20" s="1"/>
  <c r="AY7" i="20" a="1"/>
  <c r="AY7" i="20" s="1"/>
  <c r="BA25" i="20"/>
  <c r="BA12" i="20"/>
  <c r="BA13" i="20" a="1"/>
  <c r="G45" i="30" l="1"/>
  <c r="G40" i="29"/>
  <c r="AY12" i="20" a="1"/>
  <c r="AY12" i="20" s="1"/>
  <c r="AY25" i="20" a="1"/>
  <c r="AY25" i="20" s="1"/>
  <c r="BA13" i="20"/>
  <c r="B26" i="20"/>
  <c r="G46" i="30" l="1"/>
  <c r="G45" i="29"/>
  <c r="AY13" i="20" a="1"/>
  <c r="AY13" i="20" s="1"/>
  <c r="A5" i="24"/>
  <c r="D5" i="24" s="1" a="1"/>
  <c r="D5" i="24" s="1"/>
  <c r="A4" i="24"/>
  <c r="D4" i="24" s="1" a="1"/>
  <c r="D4" i="24" s="1"/>
  <c r="C5" i="24" l="1" a="1"/>
  <c r="C5" i="24" s="1"/>
  <c r="E5" i="24" a="1"/>
  <c r="E5" i="24" s="1"/>
  <c r="C4" i="24" a="1"/>
  <c r="C4" i="24" s="1"/>
  <c r="E4" i="24" a="1"/>
  <c r="E4" i="24" s="1"/>
  <c r="G46" i="29"/>
  <c r="G4" i="24"/>
  <c r="B4" i="24"/>
  <c r="F4" i="24"/>
  <c r="A6" i="24"/>
  <c r="D6" i="24" s="1" a="1"/>
  <c r="D6" i="24" s="1"/>
  <c r="H4" i="24"/>
  <c r="A7" i="24"/>
  <c r="D7" i="24" s="1" a="1"/>
  <c r="D7" i="24" s="1"/>
  <c r="F5" i="24"/>
  <c r="B5" i="24"/>
  <c r="G5" i="24"/>
  <c r="H5" i="24"/>
  <c r="C7" i="24" l="1" a="1"/>
  <c r="C7" i="24" s="1"/>
  <c r="E7" i="24" a="1"/>
  <c r="E7" i="24" s="1"/>
  <c r="C6" i="24" a="1"/>
  <c r="C6" i="24" s="1"/>
  <c r="E6" i="24" a="1"/>
  <c r="E6" i="24" s="1"/>
  <c r="G6" i="24"/>
  <c r="A8" i="24"/>
  <c r="D8" i="24" s="1" a="1"/>
  <c r="D8" i="24" s="1"/>
  <c r="B6" i="24"/>
  <c r="F6" i="24"/>
  <c r="H6" i="24"/>
  <c r="F7" i="24"/>
  <c r="H7" i="24"/>
  <c r="A9" i="24"/>
  <c r="G7" i="24"/>
  <c r="B7" i="24"/>
  <c r="D9" i="24" l="1" a="1"/>
  <c r="D9" i="24" s="1"/>
  <c r="C9" i="24" a="1"/>
  <c r="C9" i="24" s="1"/>
  <c r="E9" i="24" a="1"/>
  <c r="E9" i="24" s="1"/>
  <c r="C8" i="24" a="1"/>
  <c r="C8" i="24" s="1"/>
  <c r="E8" i="24" a="1"/>
  <c r="E8" i="24" s="1"/>
  <c r="H9" i="24"/>
  <c r="G9" i="24"/>
  <c r="B9" i="24"/>
  <c r="F9" i="24"/>
  <c r="A11" i="24"/>
  <c r="D11" i="24" s="1" a="1"/>
  <c r="D11" i="24" s="1"/>
  <c r="H8" i="24"/>
  <c r="F8" i="24"/>
  <c r="A10" i="24"/>
  <c r="D10" i="24" s="1" a="1"/>
  <c r="D10" i="24" s="1"/>
  <c r="G8" i="24"/>
  <c r="B8" i="24"/>
  <c r="C11" i="24" l="1" a="1"/>
  <c r="C11" i="24" s="1"/>
  <c r="E11" i="24" a="1"/>
  <c r="E11" i="24" s="1"/>
  <c r="C10" i="24" a="1"/>
  <c r="C10" i="24" s="1"/>
  <c r="E10" i="24" a="1"/>
  <c r="E10" i="24" s="1"/>
  <c r="F11" i="24"/>
  <c r="A13" i="24"/>
  <c r="D13" i="24" s="1" a="1"/>
  <c r="D13" i="24" s="1"/>
  <c r="H11" i="24"/>
  <c r="G11" i="24"/>
  <c r="B11" i="24"/>
  <c r="H10" i="24"/>
  <c r="G10" i="24"/>
  <c r="B10" i="24"/>
  <c r="F10" i="24"/>
  <c r="A12" i="24"/>
  <c r="D12" i="24" s="1" a="1"/>
  <c r="D12" i="24" s="1"/>
  <c r="C13" i="24" l="1" a="1"/>
  <c r="C13" i="24" s="1"/>
  <c r="E13" i="24" a="1"/>
  <c r="E13" i="24" s="1"/>
  <c r="C12" i="24" a="1"/>
  <c r="C12" i="24" s="1"/>
  <c r="E12" i="24" a="1"/>
  <c r="E12" i="24" s="1"/>
  <c r="H13" i="24"/>
  <c r="G13" i="24"/>
  <c r="B13" i="24"/>
  <c r="F13" i="24"/>
  <c r="A15" i="24"/>
  <c r="B12" i="24"/>
  <c r="F12" i="24"/>
  <c r="A14" i="24"/>
  <c r="D14" i="24" s="1" a="1"/>
  <c r="D14" i="24" s="1"/>
  <c r="H12" i="24"/>
  <c r="G12" i="24"/>
  <c r="D15" i="24" l="1" a="1"/>
  <c r="D15" i="24" s="1"/>
  <c r="C15" i="24" a="1"/>
  <c r="C15" i="24" s="1"/>
  <c r="E15" i="24" a="1"/>
  <c r="E15" i="24" s="1"/>
  <c r="C14" i="24" a="1"/>
  <c r="C14" i="24" s="1"/>
  <c r="E14" i="24" a="1"/>
  <c r="E14" i="24" s="1"/>
  <c r="A17" i="24"/>
  <c r="D17" i="24" s="1" a="1"/>
  <c r="D17" i="24" s="1"/>
  <c r="H15" i="24"/>
  <c r="B15" i="24"/>
  <c r="G15" i="24"/>
  <c r="F15" i="24"/>
  <c r="A16" i="24"/>
  <c r="D16" i="24" s="1" a="1"/>
  <c r="D16" i="24" s="1"/>
  <c r="H14" i="24"/>
  <c r="G14" i="24"/>
  <c r="B14" i="24"/>
  <c r="F14" i="24"/>
  <c r="C17" i="24" l="1" a="1"/>
  <c r="C17" i="24" s="1"/>
  <c r="E17" i="24" a="1"/>
  <c r="E17" i="24" s="1"/>
  <c r="C16" i="24" a="1"/>
  <c r="C16" i="24" s="1"/>
  <c r="E16" i="24" a="1"/>
  <c r="E16" i="24" s="1"/>
  <c r="H16" i="24"/>
  <c r="B16" i="24"/>
  <c r="A18" i="24"/>
  <c r="D18" i="24" s="1" a="1"/>
  <c r="D18" i="24" s="1"/>
  <c r="G16" i="24"/>
  <c r="F16" i="24"/>
  <c r="G17" i="24"/>
  <c r="B17" i="24"/>
  <c r="H17" i="24"/>
  <c r="A19" i="24"/>
  <c r="D19" i="24" s="1" a="1"/>
  <c r="D19" i="24" s="1"/>
  <c r="F17" i="24"/>
  <c r="C19" i="24" l="1" a="1"/>
  <c r="C19" i="24" s="1"/>
  <c r="E19" i="24" a="1"/>
  <c r="E19" i="24" s="1"/>
  <c r="C18" i="24" a="1"/>
  <c r="C18" i="24" s="1"/>
  <c r="E18" i="24" a="1"/>
  <c r="E18" i="24" s="1"/>
  <c r="H18" i="24"/>
  <c r="A20" i="24"/>
  <c r="D20" i="24" s="1" a="1"/>
  <c r="D20" i="24" s="1"/>
  <c r="G18" i="24"/>
  <c r="B18" i="24"/>
  <c r="F18" i="24"/>
  <c r="F19" i="24"/>
  <c r="A21" i="24"/>
  <c r="D21" i="24" s="1" a="1"/>
  <c r="D21" i="24" s="1"/>
  <c r="G19" i="24"/>
  <c r="B19" i="24"/>
  <c r="H19" i="24"/>
  <c r="C20" i="24" l="1" a="1"/>
  <c r="C20" i="24" s="1"/>
  <c r="E20" i="24" a="1"/>
  <c r="E20" i="24" s="1"/>
  <c r="C21" i="24" a="1"/>
  <c r="C21" i="24" s="1"/>
  <c r="E21" i="24" a="1"/>
  <c r="E21" i="24" s="1"/>
  <c r="F21" i="24"/>
  <c r="A23" i="24"/>
  <c r="D23" i="24" s="1" a="1"/>
  <c r="D23" i="24" s="1"/>
  <c r="H21" i="24"/>
  <c r="B21" i="24"/>
  <c r="G21" i="24"/>
  <c r="A22" i="24"/>
  <c r="D22" i="24" s="1" a="1"/>
  <c r="D22" i="24" s="1"/>
  <c r="B20" i="24"/>
  <c r="H20" i="24"/>
  <c r="F20" i="24"/>
  <c r="G20" i="24"/>
  <c r="C23" i="24" l="1" a="1"/>
  <c r="C23" i="24" s="1"/>
  <c r="E23" i="24" a="1"/>
  <c r="E23" i="24" s="1"/>
  <c r="C22" i="24" a="1"/>
  <c r="C22" i="24" s="1"/>
  <c r="E22" i="24" a="1"/>
  <c r="E22" i="24" s="1"/>
  <c r="A25" i="24"/>
  <c r="D25" i="24" s="1" a="1"/>
  <c r="D25" i="24" s="1"/>
  <c r="H23" i="24"/>
  <c r="G23" i="24"/>
  <c r="F23" i="24"/>
  <c r="B23" i="24"/>
  <c r="A24" i="24"/>
  <c r="D24" i="24" s="1" a="1"/>
  <c r="D24" i="24" s="1"/>
  <c r="H22" i="24"/>
  <c r="G22" i="24"/>
  <c r="B22" i="24"/>
  <c r="F22" i="24"/>
  <c r="C25" i="24" l="1" a="1"/>
  <c r="C25" i="24" s="1"/>
  <c r="E25" i="24" a="1"/>
  <c r="E25" i="24" s="1"/>
  <c r="C24" i="24" a="1"/>
  <c r="C24" i="24" s="1"/>
  <c r="E24" i="24" a="1"/>
  <c r="E24" i="24" s="1"/>
  <c r="H24" i="24"/>
  <c r="B24" i="24"/>
  <c r="F24" i="24"/>
  <c r="G24" i="24"/>
  <c r="A26" i="24"/>
  <c r="D26" i="24" s="1" a="1"/>
  <c r="D26" i="24" s="1"/>
  <c r="B25" i="24"/>
  <c r="G25" i="24"/>
  <c r="F25" i="24"/>
  <c r="H25" i="24"/>
  <c r="A27" i="24"/>
  <c r="D27" i="24" s="1" a="1"/>
  <c r="D27" i="24" s="1"/>
  <c r="C27" i="24" l="1" a="1"/>
  <c r="C27" i="24" s="1"/>
  <c r="E27" i="24" a="1"/>
  <c r="E27" i="24" s="1"/>
  <c r="C26" i="24" a="1"/>
  <c r="C26" i="24" s="1"/>
  <c r="E26" i="24" a="1"/>
  <c r="E26" i="24" s="1"/>
  <c r="F27" i="24"/>
  <c r="A29" i="24"/>
  <c r="H27" i="24"/>
  <c r="B27" i="24"/>
  <c r="G27" i="24"/>
  <c r="H26" i="24"/>
  <c r="F26" i="24"/>
  <c r="G26" i="24"/>
  <c r="B26" i="24"/>
  <c r="A28" i="24"/>
  <c r="D28" i="24" s="1" a="1"/>
  <c r="D28" i="24" s="1"/>
  <c r="D29" i="24" l="1" a="1"/>
  <c r="D29" i="24" s="1"/>
  <c r="C28" i="24" a="1"/>
  <c r="C28" i="24" s="1"/>
  <c r="E28" i="24" a="1"/>
  <c r="E28" i="24" s="1"/>
  <c r="C29" i="24" a="1"/>
  <c r="C29" i="24" s="1"/>
  <c r="E29" i="24" a="1"/>
  <c r="E29" i="24" s="1"/>
  <c r="B28" i="24"/>
  <c r="F28" i="24"/>
  <c r="H28" i="24"/>
  <c r="A30" i="24"/>
  <c r="D30" i="24" s="1" a="1"/>
  <c r="D30" i="24" s="1"/>
  <c r="G28" i="24"/>
  <c r="H29" i="24"/>
  <c r="G29" i="24"/>
  <c r="B29" i="24"/>
  <c r="A31" i="24"/>
  <c r="D31" i="24" s="1" a="1"/>
  <c r="D31" i="24" s="1"/>
  <c r="F29" i="24"/>
  <c r="C31" i="24" l="1" a="1"/>
  <c r="C31" i="24" s="1"/>
  <c r="E31" i="24" a="1"/>
  <c r="E31" i="24" s="1"/>
  <c r="C30" i="24" a="1"/>
  <c r="C30" i="24" s="1"/>
  <c r="E30" i="24" a="1"/>
  <c r="E30" i="24" s="1"/>
  <c r="A32" i="24"/>
  <c r="D32" i="24" s="1" a="1"/>
  <c r="D32" i="24" s="1"/>
  <c r="H30" i="24"/>
  <c r="B30" i="24"/>
  <c r="G30" i="24"/>
  <c r="F30" i="24"/>
  <c r="A33" i="24"/>
  <c r="D33" i="24" s="1" a="1"/>
  <c r="D33" i="24" s="1"/>
  <c r="H31" i="24"/>
  <c r="G31" i="24"/>
  <c r="F31" i="24"/>
  <c r="B31" i="24"/>
  <c r="C32" i="24" l="1" a="1"/>
  <c r="C32" i="24" s="1"/>
  <c r="E32" i="24" a="1"/>
  <c r="E32" i="24" s="1"/>
  <c r="C33" i="24" a="1"/>
  <c r="C33" i="24" s="1"/>
  <c r="E33" i="24" a="1"/>
  <c r="E33" i="24" s="1"/>
  <c r="G33" i="24"/>
  <c r="B33" i="24"/>
  <c r="A35" i="24"/>
  <c r="D35" i="24" s="1" a="1"/>
  <c r="D35" i="24" s="1"/>
  <c r="H33" i="24"/>
  <c r="F33" i="24"/>
  <c r="H32" i="24"/>
  <c r="G32" i="24"/>
  <c r="B32" i="24"/>
  <c r="A34" i="24"/>
  <c r="D34" i="24" s="1" a="1"/>
  <c r="D34" i="24" s="1"/>
  <c r="F32" i="24"/>
  <c r="C34" i="24" l="1" a="1"/>
  <c r="C34" i="24" s="1"/>
  <c r="E34" i="24" a="1"/>
  <c r="E34" i="24" s="1"/>
  <c r="C35" i="24" a="1"/>
  <c r="C35" i="24" s="1"/>
  <c r="E35" i="24" a="1"/>
  <c r="E35" i="24" s="1"/>
  <c r="H34" i="24"/>
  <c r="G34" i="24"/>
  <c r="B34" i="24"/>
  <c r="F34" i="24"/>
  <c r="A36" i="24"/>
  <c r="D36" i="24" s="1" a="1"/>
  <c r="D36" i="24" s="1"/>
  <c r="F35" i="24"/>
  <c r="A37" i="24"/>
  <c r="D37" i="24" s="1" a="1"/>
  <c r="D37" i="24" s="1"/>
  <c r="G35" i="24"/>
  <c r="H35" i="24"/>
  <c r="B35" i="24"/>
  <c r="C36" i="24" l="1" a="1"/>
  <c r="C36" i="24" s="1"/>
  <c r="E36" i="24" a="1"/>
  <c r="E36" i="24" s="1"/>
  <c r="C37" i="24" a="1"/>
  <c r="C37" i="24" s="1"/>
  <c r="E37" i="24" a="1"/>
  <c r="E37" i="24" s="1"/>
  <c r="A38" i="24"/>
  <c r="D38" i="24" s="1" a="1"/>
  <c r="D38" i="24" s="1"/>
  <c r="H36" i="24"/>
  <c r="G36" i="24"/>
  <c r="F36" i="24"/>
  <c r="B36" i="24"/>
  <c r="F37" i="24"/>
  <c r="A39" i="24"/>
  <c r="D39" i="24" s="1" a="1"/>
  <c r="D39" i="24" s="1"/>
  <c r="H37" i="24"/>
  <c r="G37" i="24"/>
  <c r="B37" i="24"/>
  <c r="C38" i="24" l="1" a="1"/>
  <c r="C38" i="24" s="1"/>
  <c r="E38" i="24" a="1"/>
  <c r="E38" i="24" s="1"/>
  <c r="C39" i="24" a="1"/>
  <c r="C39" i="24" s="1"/>
  <c r="E39" i="24" a="1"/>
  <c r="E39" i="24" s="1"/>
  <c r="A41" i="24"/>
  <c r="D41" i="24" s="1" a="1"/>
  <c r="D41" i="24" s="1"/>
  <c r="H39" i="24"/>
  <c r="F39" i="24"/>
  <c r="G39" i="24"/>
  <c r="B39" i="24"/>
  <c r="A40" i="24"/>
  <c r="D40" i="24" s="1" a="1"/>
  <c r="D40" i="24" s="1"/>
  <c r="H38" i="24"/>
  <c r="G38" i="24"/>
  <c r="F38" i="24"/>
  <c r="B38" i="24"/>
  <c r="C41" i="24" l="1" a="1"/>
  <c r="C41" i="24" s="1"/>
  <c r="E41" i="24" a="1"/>
  <c r="E41" i="24" s="1"/>
  <c r="C40" i="24" a="1"/>
  <c r="C40" i="24" s="1"/>
  <c r="E40" i="24" a="1"/>
  <c r="E40" i="24" s="1"/>
  <c r="H40" i="24"/>
  <c r="A42" i="24"/>
  <c r="D42" i="24" s="1" a="1"/>
  <c r="D42" i="24" s="1"/>
  <c r="G40" i="24"/>
  <c r="F40" i="24"/>
  <c r="B40" i="24"/>
  <c r="G41" i="24"/>
  <c r="A43" i="24"/>
  <c r="D43" i="24" s="1" a="1"/>
  <c r="D43" i="24" s="1"/>
  <c r="B41" i="24"/>
  <c r="F41" i="24"/>
  <c r="H41" i="24"/>
  <c r="C42" i="24" l="1" a="1"/>
  <c r="C42" i="24" s="1"/>
  <c r="E42" i="24" a="1"/>
  <c r="E42" i="24" s="1"/>
  <c r="C43" i="24" a="1"/>
  <c r="C43" i="24" s="1"/>
  <c r="E43" i="24" a="1"/>
  <c r="E43" i="24" s="1"/>
  <c r="F43" i="24"/>
  <c r="A45" i="24"/>
  <c r="H43" i="24"/>
  <c r="G43" i="24"/>
  <c r="B43" i="24"/>
  <c r="H42" i="24"/>
  <c r="G42" i="24"/>
  <c r="B42" i="24"/>
  <c r="F42" i="24"/>
  <c r="A44" i="24"/>
  <c r="D44" i="24" s="1" a="1"/>
  <c r="D44" i="24" s="1"/>
  <c r="D45" i="24" l="1" a="1"/>
  <c r="D45" i="24" s="1"/>
  <c r="E44" i="24" a="1"/>
  <c r="E44" i="24" s="1"/>
  <c r="C44" i="24" a="1"/>
  <c r="C44" i="24" s="1"/>
  <c r="C45" i="24" a="1"/>
  <c r="C45" i="24" s="1"/>
  <c r="E45" i="24" a="1"/>
  <c r="E45" i="24" s="1"/>
  <c r="H45" i="24"/>
  <c r="G45" i="24"/>
  <c r="B45" i="24"/>
  <c r="A47" i="24"/>
  <c r="F45" i="24"/>
  <c r="B44" i="24"/>
  <c r="F44" i="24"/>
  <c r="H44" i="24"/>
  <c r="A46" i="24"/>
  <c r="D46" i="24" s="1" a="1"/>
  <c r="D46" i="24" s="1"/>
  <c r="G44" i="24"/>
  <c r="D47" i="24" l="1" a="1"/>
  <c r="D47" i="24" s="1"/>
  <c r="C46" i="24" a="1"/>
  <c r="C46" i="24" s="1"/>
  <c r="E46" i="24" a="1"/>
  <c r="E46" i="24" s="1"/>
  <c r="C47" i="24" a="1"/>
  <c r="C47" i="24" s="1"/>
  <c r="E47" i="24" a="1"/>
  <c r="E47" i="24" s="1"/>
  <c r="A49" i="24"/>
  <c r="D49" i="24" s="1" a="1"/>
  <c r="D49" i="24" s="1"/>
  <c r="H47" i="24"/>
  <c r="G47" i="24"/>
  <c r="F47" i="24"/>
  <c r="B47" i="24"/>
  <c r="A48" i="24"/>
  <c r="D48" i="24" s="1" a="1"/>
  <c r="D48" i="24" s="1"/>
  <c r="H46" i="24"/>
  <c r="G46" i="24"/>
  <c r="F46" i="24"/>
  <c r="B46" i="24"/>
  <c r="C49" i="24" l="1" a="1"/>
  <c r="C49" i="24" s="1"/>
  <c r="E49" i="24" a="1"/>
  <c r="E49" i="24" s="1"/>
  <c r="C48" i="24" a="1"/>
  <c r="C48" i="24" s="1"/>
  <c r="E48" i="24" a="1"/>
  <c r="E48" i="24" s="1"/>
  <c r="H48" i="24"/>
  <c r="G48" i="24"/>
  <c r="B48" i="24"/>
  <c r="F48" i="24"/>
  <c r="A50" i="24"/>
  <c r="D50" i="24" s="1" a="1"/>
  <c r="D50" i="24" s="1"/>
  <c r="G49" i="24"/>
  <c r="B49" i="24"/>
  <c r="A51" i="24"/>
  <c r="D51" i="24" s="1" a="1"/>
  <c r="D51" i="24" s="1"/>
  <c r="H49" i="24"/>
  <c r="F49" i="24"/>
  <c r="C50" i="24" l="1" a="1"/>
  <c r="C50" i="24" s="1"/>
  <c r="E50" i="24" a="1"/>
  <c r="E50" i="24" s="1"/>
  <c r="C51" i="24" a="1"/>
  <c r="C51" i="24" s="1"/>
  <c r="E51" i="24" a="1"/>
  <c r="E51" i="24" s="1"/>
  <c r="H50" i="24"/>
  <c r="G50" i="24"/>
  <c r="B50" i="24"/>
  <c r="F50" i="24"/>
  <c r="A52" i="24"/>
  <c r="D52" i="24" s="1" a="1"/>
  <c r="D52" i="24" s="1"/>
  <c r="F51" i="24"/>
  <c r="A53" i="24"/>
  <c r="D53" i="24" s="1" a="1"/>
  <c r="D53" i="24" s="1"/>
  <c r="H51" i="24"/>
  <c r="G51" i="24"/>
  <c r="B51" i="24"/>
  <c r="C53" i="24" l="1" a="1"/>
  <c r="C53" i="24" s="1"/>
  <c r="E53" i="24" a="1"/>
  <c r="E53" i="24" s="1"/>
  <c r="C52" i="24" a="1"/>
  <c r="C52" i="24" s="1"/>
  <c r="E52" i="24" a="1"/>
  <c r="E52" i="24" s="1"/>
  <c r="B52" i="24"/>
  <c r="F52" i="24"/>
  <c r="A54" i="24"/>
  <c r="D54" i="24" s="1" a="1"/>
  <c r="D54" i="24" s="1"/>
  <c r="G52" i="24"/>
  <c r="H52" i="24"/>
  <c r="H53" i="24"/>
  <c r="G53" i="24"/>
  <c r="B53" i="24"/>
  <c r="F53" i="24"/>
  <c r="A55" i="24"/>
  <c r="D55" i="24" s="1" a="1"/>
  <c r="D55" i="24" s="1"/>
  <c r="C55" i="24" l="1" a="1"/>
  <c r="C55" i="24" s="1"/>
  <c r="E55" i="24" a="1"/>
  <c r="E55" i="24" s="1"/>
  <c r="C54" i="24" a="1"/>
  <c r="C54" i="24" s="1"/>
  <c r="E54" i="24" a="1"/>
  <c r="E54" i="24" s="1"/>
  <c r="A57" i="24"/>
  <c r="D57" i="24" s="1" a="1"/>
  <c r="D57" i="24" s="1"/>
  <c r="H55" i="24"/>
  <c r="B55" i="24"/>
  <c r="F55" i="24"/>
  <c r="G55" i="24"/>
  <c r="A56" i="24"/>
  <c r="D56" i="24" s="1" a="1"/>
  <c r="D56" i="24" s="1"/>
  <c r="H54" i="24"/>
  <c r="B54" i="24"/>
  <c r="G54" i="24"/>
  <c r="F54" i="24"/>
  <c r="C57" i="24" l="1" a="1"/>
  <c r="C57" i="24" s="1"/>
  <c r="E57" i="24" a="1"/>
  <c r="E57" i="24" s="1"/>
  <c r="C56" i="24" a="1"/>
  <c r="C56" i="24" s="1"/>
  <c r="E56" i="24" a="1"/>
  <c r="E56" i="24" s="1"/>
  <c r="H56" i="24"/>
  <c r="G56" i="24"/>
  <c r="F56" i="24"/>
  <c r="B56" i="24"/>
  <c r="A58" i="24"/>
  <c r="D58" i="24" s="1" a="1"/>
  <c r="D58" i="24" s="1"/>
  <c r="G57" i="24"/>
  <c r="B57" i="24"/>
  <c r="F57" i="24"/>
  <c r="H57" i="24"/>
  <c r="A59" i="24"/>
  <c r="D59" i="24" s="1" a="1"/>
  <c r="D59" i="24" s="1"/>
  <c r="C59" i="24" l="1" a="1"/>
  <c r="C59" i="24" s="1"/>
  <c r="E59" i="24" a="1"/>
  <c r="E59" i="24" s="1"/>
  <c r="C58" i="24" a="1"/>
  <c r="C58" i="24" s="1"/>
  <c r="E58" i="24" a="1"/>
  <c r="E58" i="24" s="1"/>
  <c r="F59" i="24"/>
  <c r="A61" i="24"/>
  <c r="D61" i="24" s="1" a="1"/>
  <c r="D61" i="24" s="1"/>
  <c r="G59" i="24"/>
  <c r="B59" i="24"/>
  <c r="H59" i="24"/>
  <c r="H58" i="24"/>
  <c r="G58" i="24"/>
  <c r="B58" i="24"/>
  <c r="F58" i="24"/>
  <c r="A60" i="24"/>
  <c r="D60" i="24" s="1" a="1"/>
  <c r="D60" i="24" s="1"/>
  <c r="C60" i="24" l="1" a="1"/>
  <c r="C60" i="24" s="1"/>
  <c r="E60" i="24" a="1"/>
  <c r="E60" i="24" s="1"/>
  <c r="C61" i="24" a="1"/>
  <c r="C61" i="24" s="1"/>
  <c r="E61" i="24" a="1"/>
  <c r="E61" i="24" s="1"/>
  <c r="A62" i="24"/>
  <c r="D62" i="24" s="1" a="1"/>
  <c r="D62" i="24" s="1"/>
  <c r="H60" i="24"/>
  <c r="B60" i="24"/>
  <c r="F60" i="24"/>
  <c r="G60" i="24"/>
  <c r="F61" i="24"/>
  <c r="A63" i="24"/>
  <c r="D63" i="24" s="1" a="1"/>
  <c r="D63" i="24" s="1"/>
  <c r="G61" i="24"/>
  <c r="H61" i="24"/>
  <c r="B61" i="24"/>
  <c r="C62" i="24" l="1" a="1"/>
  <c r="C62" i="24" s="1"/>
  <c r="E62" i="24" a="1"/>
  <c r="E62" i="24" s="1"/>
  <c r="C63" i="24" a="1"/>
  <c r="C63" i="24" s="1"/>
  <c r="E63" i="24" a="1"/>
  <c r="E63" i="24" s="1"/>
  <c r="A65" i="24"/>
  <c r="D65" i="24" s="1" a="1"/>
  <c r="D65" i="24" s="1"/>
  <c r="H63" i="24"/>
  <c r="G63" i="24"/>
  <c r="B63" i="24"/>
  <c r="F63" i="24"/>
  <c r="A64" i="24"/>
  <c r="D64" i="24" s="1" a="1"/>
  <c r="D64" i="24" s="1"/>
  <c r="H62" i="24"/>
  <c r="B62" i="24"/>
  <c r="G62" i="24"/>
  <c r="F62" i="24"/>
  <c r="C65" i="24" l="1" a="1"/>
  <c r="C65" i="24" s="1"/>
  <c r="E65" i="24" a="1"/>
  <c r="E65" i="24" s="1"/>
  <c r="C64" i="24" a="1"/>
  <c r="C64" i="24" s="1"/>
  <c r="E64" i="24" a="1"/>
  <c r="E64" i="24" s="1"/>
  <c r="H64" i="24"/>
  <c r="G64" i="24"/>
  <c r="B64" i="24"/>
  <c r="A66" i="24"/>
  <c r="D66" i="24" s="1" a="1"/>
  <c r="D66" i="24" s="1"/>
  <c r="F64" i="24"/>
  <c r="B65" i="24"/>
  <c r="G65" i="24"/>
  <c r="H65" i="24"/>
  <c r="F65" i="24"/>
  <c r="A67" i="24"/>
  <c r="D67" i="24" s="1" a="1"/>
  <c r="D67" i="24" s="1"/>
  <c r="C67" i="24" l="1" a="1"/>
  <c r="C67" i="24" s="1"/>
  <c r="E67" i="24" a="1"/>
  <c r="E67" i="24" s="1"/>
  <c r="C66" i="24" a="1"/>
  <c r="C66" i="24" s="1"/>
  <c r="E66" i="24" a="1"/>
  <c r="E66" i="24" s="1"/>
  <c r="H67" i="24"/>
  <c r="F67" i="24"/>
  <c r="G67" i="24"/>
  <c r="B67" i="24"/>
  <c r="A69" i="24"/>
  <c r="D69" i="24" s="1" a="1"/>
  <c r="D69" i="24" s="1"/>
  <c r="F66" i="24"/>
  <c r="A68" i="24"/>
  <c r="D68" i="24" s="1" a="1"/>
  <c r="D68" i="24" s="1"/>
  <c r="B66" i="24"/>
  <c r="G66" i="24"/>
  <c r="H66" i="24"/>
  <c r="C69" i="24" l="1" a="1"/>
  <c r="C69" i="24" s="1"/>
  <c r="E69" i="24" a="1"/>
  <c r="E69" i="24" s="1"/>
  <c r="C68" i="24" a="1"/>
  <c r="C68" i="24" s="1"/>
  <c r="E68" i="24" a="1"/>
  <c r="E68" i="24" s="1"/>
  <c r="F69" i="24"/>
  <c r="A71" i="24"/>
  <c r="D71" i="24" s="1" a="1"/>
  <c r="D71" i="24" s="1"/>
  <c r="H69" i="24"/>
  <c r="G69" i="24"/>
  <c r="B69" i="24"/>
  <c r="A70" i="24"/>
  <c r="D70" i="24" s="1" a="1"/>
  <c r="D70" i="24" s="1"/>
  <c r="H68" i="24"/>
  <c r="G68" i="24"/>
  <c r="B68" i="24"/>
  <c r="F68" i="24"/>
  <c r="C70" i="24" l="1" a="1"/>
  <c r="C70" i="24" s="1"/>
  <c r="E70" i="24" a="1"/>
  <c r="E70" i="24" s="1"/>
  <c r="C71" i="24" a="1"/>
  <c r="C71" i="24" s="1"/>
  <c r="E71" i="24" a="1"/>
  <c r="E71" i="24" s="1"/>
  <c r="A73" i="24"/>
  <c r="D73" i="24" s="1" a="1"/>
  <c r="D73" i="24" s="1"/>
  <c r="H71" i="24"/>
  <c r="G71" i="24"/>
  <c r="B71" i="24"/>
  <c r="F71" i="24"/>
  <c r="A72" i="24"/>
  <c r="D72" i="24" s="1" a="1"/>
  <c r="D72" i="24" s="1"/>
  <c r="H70" i="24"/>
  <c r="G70" i="24"/>
  <c r="F70" i="24"/>
  <c r="B70" i="24"/>
  <c r="C73" i="24" l="1" a="1"/>
  <c r="C73" i="24" s="1"/>
  <c r="E73" i="24" a="1"/>
  <c r="E73" i="24" s="1"/>
  <c r="C72" i="24" a="1"/>
  <c r="C72" i="24" s="1"/>
  <c r="E72" i="24" a="1"/>
  <c r="E72" i="24" s="1"/>
  <c r="H72" i="24"/>
  <c r="B72" i="24"/>
  <c r="F72" i="24"/>
  <c r="G72" i="24"/>
  <c r="A74" i="24"/>
  <c r="D74" i="24" s="1" a="1"/>
  <c r="D74" i="24" s="1"/>
  <c r="B73" i="24"/>
  <c r="G73" i="24"/>
  <c r="F73" i="24"/>
  <c r="H73" i="24"/>
  <c r="A75" i="24"/>
  <c r="D75" i="24" s="1" a="1"/>
  <c r="D75" i="24" s="1"/>
  <c r="C75" i="24" l="1" a="1"/>
  <c r="C75" i="24" s="1"/>
  <c r="E75" i="24" a="1"/>
  <c r="E75" i="24" s="1"/>
  <c r="C74" i="24" a="1"/>
  <c r="C74" i="24" s="1"/>
  <c r="E74" i="24" a="1"/>
  <c r="E74" i="24" s="1"/>
  <c r="H75" i="24"/>
  <c r="G75" i="24"/>
  <c r="B75" i="24"/>
  <c r="A77" i="24"/>
  <c r="D77" i="24" s="1" a="1"/>
  <c r="D77" i="24" s="1"/>
  <c r="F75" i="24"/>
  <c r="B74" i="24"/>
  <c r="G74" i="24"/>
  <c r="F74" i="24"/>
  <c r="H74" i="24"/>
  <c r="A76" i="24"/>
  <c r="D76" i="24" s="1" a="1"/>
  <c r="D76" i="24" s="1"/>
  <c r="C76" i="24" l="1" a="1"/>
  <c r="C76" i="24" s="1"/>
  <c r="E76" i="24" a="1"/>
  <c r="E76" i="24" s="1"/>
  <c r="C77" i="24" a="1"/>
  <c r="C77" i="24" s="1"/>
  <c r="E77" i="24" a="1"/>
  <c r="E77" i="24" s="1"/>
  <c r="A79" i="24"/>
  <c r="D79" i="24" s="1" a="1"/>
  <c r="D79" i="24" s="1"/>
  <c r="H77" i="24"/>
  <c r="B77" i="24"/>
  <c r="F77" i="24"/>
  <c r="G77" i="24"/>
  <c r="F76" i="24"/>
  <c r="A78" i="24"/>
  <c r="D78" i="24" s="1" a="1"/>
  <c r="D78" i="24" s="1"/>
  <c r="G76" i="24"/>
  <c r="H76" i="24"/>
  <c r="B76" i="24"/>
  <c r="C78" i="24" l="1" a="1"/>
  <c r="C78" i="24" s="1"/>
  <c r="E78" i="24" a="1"/>
  <c r="E78" i="24" s="1"/>
  <c r="C79" i="24" a="1"/>
  <c r="C79" i="24" s="1"/>
  <c r="E79" i="24" a="1"/>
  <c r="E79" i="24" s="1"/>
  <c r="H78" i="24"/>
  <c r="G78" i="24"/>
  <c r="B78" i="24"/>
  <c r="F78" i="24"/>
  <c r="A80" i="24"/>
  <c r="D80" i="24" s="1" a="1"/>
  <c r="D80" i="24" s="1"/>
  <c r="A81" i="24"/>
  <c r="D81" i="24" s="1" a="1"/>
  <c r="D81" i="24" s="1"/>
  <c r="H79" i="24"/>
  <c r="B79" i="24"/>
  <c r="G79" i="24"/>
  <c r="F79" i="24"/>
  <c r="C80" i="24" l="1" a="1"/>
  <c r="C80" i="24" s="1"/>
  <c r="E80" i="24" a="1"/>
  <c r="E80" i="24" s="1"/>
  <c r="C81" i="24" a="1"/>
  <c r="C81" i="24" s="1"/>
  <c r="E81" i="24" a="1"/>
  <c r="E81" i="24" s="1"/>
  <c r="B80" i="24"/>
  <c r="F80" i="24"/>
  <c r="H80" i="24"/>
  <c r="G80" i="24"/>
  <c r="A82" i="24"/>
  <c r="D82" i="24" s="1" a="1"/>
  <c r="D82" i="24" s="1"/>
  <c r="H81" i="24"/>
  <c r="F81" i="24"/>
  <c r="G81" i="24"/>
  <c r="B81" i="24"/>
  <c r="A83" i="24"/>
  <c r="D83" i="24" s="1" a="1"/>
  <c r="D83" i="24" s="1"/>
  <c r="C82" i="24" l="1" a="1"/>
  <c r="C82" i="24" s="1"/>
  <c r="E82" i="24" a="1"/>
  <c r="E82" i="24" s="1"/>
  <c r="C83" i="24" a="1"/>
  <c r="C83" i="24" s="1"/>
  <c r="E83" i="24" a="1"/>
  <c r="E83" i="24" s="1"/>
  <c r="G82" i="24"/>
  <c r="B82" i="24"/>
  <c r="A84" i="24"/>
  <c r="D84" i="24" s="1" a="1"/>
  <c r="D84" i="24" s="1"/>
  <c r="H82" i="24"/>
  <c r="F82" i="24"/>
  <c r="H83" i="24"/>
  <c r="G83" i="24"/>
  <c r="B83" i="24"/>
  <c r="F83" i="24"/>
  <c r="A85" i="24"/>
  <c r="D85" i="24" s="1" a="1"/>
  <c r="D85" i="24" s="1"/>
  <c r="C85" i="24" l="1" a="1"/>
  <c r="C85" i="24" s="1"/>
  <c r="E85" i="24" a="1"/>
  <c r="E85" i="24" s="1"/>
  <c r="C84" i="24" a="1"/>
  <c r="C84" i="24" s="1"/>
  <c r="E84" i="24" a="1"/>
  <c r="E84" i="24" s="1"/>
  <c r="F84" i="24"/>
  <c r="A86" i="24"/>
  <c r="D86" i="24" s="1" a="1"/>
  <c r="D86" i="24" s="1"/>
  <c r="G84" i="24"/>
  <c r="B84" i="24"/>
  <c r="H84" i="24"/>
  <c r="A87" i="24"/>
  <c r="D87" i="24" s="1" a="1"/>
  <c r="D87" i="24" s="1"/>
  <c r="H85" i="24"/>
  <c r="G85" i="24"/>
  <c r="B85" i="24"/>
  <c r="F85" i="24"/>
  <c r="C86" i="24" l="1" a="1"/>
  <c r="C86" i="24" s="1"/>
  <c r="E86" i="24" a="1"/>
  <c r="E86" i="24" s="1"/>
  <c r="C87" i="24" a="1"/>
  <c r="C87" i="24" s="1"/>
  <c r="E87" i="24" a="1"/>
  <c r="E87" i="24" s="1"/>
  <c r="H86" i="24"/>
  <c r="B86" i="24"/>
  <c r="A88" i="24"/>
  <c r="D88" i="24" s="1" a="1"/>
  <c r="D88" i="24" s="1"/>
  <c r="G86" i="24"/>
  <c r="F86" i="24"/>
  <c r="A89" i="24"/>
  <c r="D89" i="24" s="1" a="1"/>
  <c r="D89" i="24" s="1"/>
  <c r="H87" i="24"/>
  <c r="B87" i="24"/>
  <c r="G87" i="24"/>
  <c r="F87" i="24"/>
  <c r="C89" i="24" l="1" a="1"/>
  <c r="C89" i="24" s="1"/>
  <c r="E89" i="24" a="1"/>
  <c r="E89" i="24" s="1"/>
  <c r="C88" i="24" a="1"/>
  <c r="C88" i="24" s="1"/>
  <c r="E88" i="24" a="1"/>
  <c r="E88" i="24" s="1"/>
  <c r="A90" i="24"/>
  <c r="D90" i="24" s="1" a="1"/>
  <c r="D90" i="24" s="1"/>
  <c r="B88" i="24"/>
  <c r="H88" i="24"/>
  <c r="G88" i="24"/>
  <c r="F88" i="24"/>
  <c r="F89" i="24"/>
  <c r="A91" i="24"/>
  <c r="D91" i="24" s="1" a="1"/>
  <c r="D91" i="24" s="1"/>
  <c r="H89" i="24"/>
  <c r="G89" i="24"/>
  <c r="B89" i="24"/>
  <c r="C90" i="24" l="1" a="1"/>
  <c r="C90" i="24" s="1"/>
  <c r="E90" i="24" a="1"/>
  <c r="E90" i="24" s="1"/>
  <c r="C91" i="24" a="1"/>
  <c r="C91" i="24" s="1"/>
  <c r="E91" i="24" a="1"/>
  <c r="E91" i="24" s="1"/>
  <c r="H91" i="24"/>
  <c r="G91" i="24"/>
  <c r="B91" i="24"/>
  <c r="F91" i="24"/>
  <c r="A93" i="24"/>
  <c r="D93" i="24" s="1" a="1"/>
  <c r="D93" i="24" s="1"/>
  <c r="G90" i="24"/>
  <c r="B90" i="24"/>
  <c r="A92" i="24"/>
  <c r="D92" i="24" s="1" a="1"/>
  <c r="D92" i="24" s="1"/>
  <c r="H90" i="24"/>
  <c r="F90" i="24"/>
  <c r="C93" i="24" l="1" a="1"/>
  <c r="C93" i="24" s="1"/>
  <c r="E93" i="24" a="1"/>
  <c r="E93" i="24" s="1"/>
  <c r="C92" i="24" a="1"/>
  <c r="C92" i="24" s="1"/>
  <c r="E92" i="24" a="1"/>
  <c r="E92" i="24" s="1"/>
  <c r="A95" i="24"/>
  <c r="D95" i="24" s="1" a="1"/>
  <c r="D95" i="24" s="1"/>
  <c r="H93" i="24"/>
  <c r="G93" i="24"/>
  <c r="B93" i="24"/>
  <c r="F93" i="24"/>
  <c r="F92" i="24"/>
  <c r="A94" i="24"/>
  <c r="D94" i="24" s="1" a="1"/>
  <c r="D94" i="24" s="1"/>
  <c r="H92" i="24"/>
  <c r="G92" i="24"/>
  <c r="B92" i="24"/>
  <c r="C94" i="24" l="1" a="1"/>
  <c r="C94" i="24" s="1"/>
  <c r="E94" i="24" a="1"/>
  <c r="E94" i="24" s="1"/>
  <c r="C95" i="24" a="1"/>
  <c r="C95" i="24" s="1"/>
  <c r="E95" i="24" a="1"/>
  <c r="E95" i="24" s="1"/>
  <c r="H94" i="24"/>
  <c r="G94" i="24"/>
  <c r="B94" i="24"/>
  <c r="F94" i="24"/>
  <c r="A96" i="24"/>
  <c r="D96" i="24" s="1" a="1"/>
  <c r="D96" i="24" s="1"/>
  <c r="A97" i="24"/>
  <c r="D97" i="24" s="1" a="1"/>
  <c r="D97" i="24" s="1"/>
  <c r="G95" i="24"/>
  <c r="F95" i="24"/>
  <c r="H95" i="24"/>
  <c r="B95" i="24"/>
  <c r="C97" i="24" l="1" a="1"/>
  <c r="C97" i="24" s="1"/>
  <c r="E97" i="24" a="1"/>
  <c r="E97" i="24" s="1"/>
  <c r="C96" i="24" a="1"/>
  <c r="C96" i="24" s="1"/>
  <c r="E96" i="24" a="1"/>
  <c r="E96" i="24" s="1"/>
  <c r="A98" i="24"/>
  <c r="D98" i="24" s="1" a="1"/>
  <c r="D98" i="24" s="1"/>
  <c r="H96" i="24"/>
  <c r="G96" i="24"/>
  <c r="B96" i="24"/>
  <c r="F96" i="24"/>
  <c r="F97" i="24"/>
  <c r="A99" i="24"/>
  <c r="D99" i="24" s="1" a="1"/>
  <c r="D99" i="24" s="1"/>
  <c r="H97" i="24"/>
  <c r="G97" i="24"/>
  <c r="B97" i="24"/>
  <c r="C98" i="24" l="1" a="1"/>
  <c r="C98" i="24" s="1"/>
  <c r="E98" i="24" a="1"/>
  <c r="E98" i="24" s="1"/>
  <c r="C99" i="24" a="1"/>
  <c r="C99" i="24" s="1"/>
  <c r="E99" i="24" a="1"/>
  <c r="E99" i="24" s="1"/>
  <c r="H99" i="24"/>
  <c r="G99" i="24"/>
  <c r="B99" i="24"/>
  <c r="F99" i="24"/>
  <c r="A101" i="24"/>
  <c r="D101" i="24" s="1" a="1"/>
  <c r="D101" i="24" s="1"/>
  <c r="G98" i="24"/>
  <c r="B98" i="24"/>
  <c r="F98" i="24"/>
  <c r="A100" i="24"/>
  <c r="D100" i="24" s="1" a="1"/>
  <c r="D100" i="24" s="1"/>
  <c r="H98" i="24"/>
  <c r="C100" i="24" l="1" a="1"/>
  <c r="C100" i="24" s="1"/>
  <c r="E100" i="24" a="1"/>
  <c r="E100" i="24" s="1"/>
  <c r="C101" i="24" a="1"/>
  <c r="C101" i="24" s="1"/>
  <c r="E101" i="24" a="1"/>
  <c r="E101" i="24" s="1"/>
  <c r="A103" i="24"/>
  <c r="D103" i="24" s="1" a="1"/>
  <c r="D103" i="24" s="1"/>
  <c r="H101" i="24"/>
  <c r="G101" i="24"/>
  <c r="B101" i="24"/>
  <c r="F101" i="24"/>
  <c r="F100" i="24"/>
  <c r="A102" i="24"/>
  <c r="D102" i="24" s="1" a="1"/>
  <c r="D102" i="24" s="1"/>
  <c r="H100" i="24"/>
  <c r="G100" i="24"/>
  <c r="B100" i="24"/>
  <c r="C103" i="24" l="1" a="1"/>
  <c r="C103" i="24" s="1"/>
  <c r="E103" i="24" a="1"/>
  <c r="E103" i="24" s="1"/>
  <c r="C102" i="24" a="1"/>
  <c r="C102" i="24" s="1"/>
  <c r="E102" i="24" a="1"/>
  <c r="E102" i="24" s="1"/>
  <c r="H102" i="24"/>
  <c r="F102" i="24"/>
  <c r="A104" i="24"/>
  <c r="D104" i="24" s="1" a="1"/>
  <c r="D104" i="24" s="1"/>
  <c r="G102" i="24"/>
  <c r="B102" i="24"/>
  <c r="A105" i="24"/>
  <c r="D105" i="24" s="1" a="1"/>
  <c r="D105" i="24" s="1"/>
  <c r="F103" i="24"/>
  <c r="H103" i="24"/>
  <c r="G103" i="24"/>
  <c r="B103" i="24"/>
  <c r="C105" i="24" l="1" a="1"/>
  <c r="C105" i="24" s="1"/>
  <c r="E105" i="24" a="1"/>
  <c r="E105" i="24" s="1"/>
  <c r="C104" i="24" a="1"/>
  <c r="C104" i="24" s="1"/>
  <c r="E104" i="24" a="1"/>
  <c r="E104" i="24" s="1"/>
  <c r="B104" i="24"/>
  <c r="H104" i="24"/>
  <c r="F104" i="24"/>
  <c r="A106" i="24"/>
  <c r="D106" i="24" s="1" a="1"/>
  <c r="D106" i="24" s="1"/>
  <c r="G104" i="24"/>
  <c r="H105" i="24"/>
  <c r="B105" i="24"/>
  <c r="A107" i="24"/>
  <c r="D107" i="24" s="1" a="1"/>
  <c r="D107" i="24" s="1"/>
  <c r="G105" i="24"/>
  <c r="F105" i="24"/>
  <c r="C107" i="24" l="1" a="1"/>
  <c r="C107" i="24" s="1"/>
  <c r="E107" i="24" a="1"/>
  <c r="E107" i="24" s="1"/>
  <c r="C106" i="24" a="1"/>
  <c r="C106" i="24" s="1"/>
  <c r="E106" i="24" a="1"/>
  <c r="E106" i="24" s="1"/>
  <c r="H107" i="24"/>
  <c r="F107" i="24"/>
  <c r="A109" i="24"/>
  <c r="D109" i="24" s="1" a="1"/>
  <c r="D109" i="24" s="1"/>
  <c r="G107" i="24"/>
  <c r="B107" i="24"/>
  <c r="G106" i="24"/>
  <c r="B106" i="24"/>
  <c r="A108" i="24"/>
  <c r="D108" i="24" s="1" a="1"/>
  <c r="D108" i="24" s="1"/>
  <c r="F106" i="24"/>
  <c r="H106" i="24"/>
  <c r="C108" i="24" l="1" a="1"/>
  <c r="C108" i="24" s="1"/>
  <c r="E108" i="24" a="1"/>
  <c r="E108" i="24" s="1"/>
  <c r="C109" i="24" a="1"/>
  <c r="C109" i="24" s="1"/>
  <c r="E109" i="24" a="1"/>
  <c r="E109" i="24" s="1"/>
  <c r="F108" i="24"/>
  <c r="G108" i="24"/>
  <c r="A110" i="24"/>
  <c r="D110" i="24" s="1" a="1"/>
  <c r="D110" i="24" s="1"/>
  <c r="H108" i="24"/>
  <c r="B108" i="24"/>
  <c r="A111" i="24"/>
  <c r="D111" i="24" s="1" a="1"/>
  <c r="D111" i="24" s="1"/>
  <c r="H109" i="24"/>
  <c r="G109" i="24"/>
  <c r="B109" i="24"/>
  <c r="F109" i="24"/>
  <c r="C111" i="24" l="1" a="1"/>
  <c r="C111" i="24" s="1"/>
  <c r="E111" i="24" a="1"/>
  <c r="E111" i="24" s="1"/>
  <c r="C110" i="24" a="1"/>
  <c r="C110" i="24" s="1"/>
  <c r="E110" i="24" a="1"/>
  <c r="E110" i="24" s="1"/>
  <c r="H110" i="24"/>
  <c r="B110" i="24"/>
  <c r="A112" i="24"/>
  <c r="D112" i="24" s="1" a="1"/>
  <c r="D112" i="24" s="1"/>
  <c r="G110" i="24"/>
  <c r="F110" i="24"/>
  <c r="A113" i="24"/>
  <c r="D113" i="24" s="1" a="1"/>
  <c r="D113" i="24" s="1"/>
  <c r="B111" i="24"/>
  <c r="H111" i="24"/>
  <c r="G111" i="24"/>
  <c r="F111" i="24"/>
  <c r="C113" i="24" l="1" a="1"/>
  <c r="C113" i="24" s="1"/>
  <c r="E113" i="24" a="1"/>
  <c r="E113" i="24" s="1"/>
  <c r="C112" i="24" a="1"/>
  <c r="C112" i="24" s="1"/>
  <c r="E112" i="24" a="1"/>
  <c r="E112" i="24" s="1"/>
  <c r="A114" i="24"/>
  <c r="D114" i="24" s="1" a="1"/>
  <c r="D114" i="24" s="1"/>
  <c r="B112" i="24"/>
  <c r="H112" i="24"/>
  <c r="G112" i="24"/>
  <c r="F112" i="24"/>
  <c r="F113" i="24"/>
  <c r="A115" i="24"/>
  <c r="D115" i="24" s="1" a="1"/>
  <c r="D115" i="24" s="1"/>
  <c r="G113" i="24"/>
  <c r="B113" i="24"/>
  <c r="H113" i="24"/>
  <c r="C115" i="24" l="1" a="1"/>
  <c r="C115" i="24" s="1"/>
  <c r="E115" i="24" a="1"/>
  <c r="E115" i="24" s="1"/>
  <c r="C114" i="24" a="1"/>
  <c r="C114" i="24" s="1"/>
  <c r="E114" i="24" a="1"/>
  <c r="E114" i="24" s="1"/>
  <c r="H115" i="24"/>
  <c r="G115" i="24"/>
  <c r="B115" i="24"/>
  <c r="F115" i="24"/>
  <c r="A117" i="24"/>
  <c r="D117" i="24" s="1" a="1"/>
  <c r="D117" i="24" s="1"/>
  <c r="G114" i="24"/>
  <c r="A116" i="24"/>
  <c r="D116" i="24" s="1" a="1"/>
  <c r="D116" i="24" s="1"/>
  <c r="B114" i="24"/>
  <c r="F114" i="24"/>
  <c r="H114" i="24"/>
  <c r="C116" i="24" l="1" a="1"/>
  <c r="C116" i="24" s="1"/>
  <c r="E116" i="24" a="1"/>
  <c r="E116" i="24" s="1"/>
  <c r="C117" i="24" a="1"/>
  <c r="C117" i="24" s="1"/>
  <c r="E117" i="24" a="1"/>
  <c r="E117" i="24" s="1"/>
  <c r="A119" i="24"/>
  <c r="D119" i="24" s="1" a="1"/>
  <c r="D119" i="24" s="1"/>
  <c r="G117" i="24"/>
  <c r="H117" i="24"/>
  <c r="B117" i="24"/>
  <c r="F117" i="24"/>
  <c r="F116" i="24"/>
  <c r="G116" i="24"/>
  <c r="A118" i="24"/>
  <c r="D118" i="24" s="1" a="1"/>
  <c r="D118" i="24" s="1"/>
  <c r="H116" i="24"/>
  <c r="B116" i="24"/>
  <c r="C119" i="24" l="1" a="1"/>
  <c r="C119" i="24" s="1"/>
  <c r="E119" i="24" a="1"/>
  <c r="E119" i="24" s="1"/>
  <c r="C118" i="24" a="1"/>
  <c r="C118" i="24" s="1"/>
  <c r="E118" i="24" a="1"/>
  <c r="E118" i="24" s="1"/>
  <c r="H118" i="24"/>
  <c r="B118" i="24"/>
  <c r="G118" i="24"/>
  <c r="F118" i="24"/>
  <c r="A120" i="24"/>
  <c r="D120" i="24" s="1" a="1"/>
  <c r="D120" i="24" s="1"/>
  <c r="A121" i="24"/>
  <c r="D121" i="24" s="1" a="1"/>
  <c r="D121" i="24" s="1"/>
  <c r="H119" i="24"/>
  <c r="G119" i="24"/>
  <c r="F119" i="24"/>
  <c r="B119" i="24"/>
  <c r="C120" i="24" l="1" a="1"/>
  <c r="C120" i="24" s="1"/>
  <c r="E120" i="24" a="1"/>
  <c r="E120" i="24" s="1"/>
  <c r="C121" i="24" a="1"/>
  <c r="C121" i="24" s="1"/>
  <c r="E121" i="24" a="1"/>
  <c r="E121" i="24" s="1"/>
  <c r="A122" i="24"/>
  <c r="D122" i="24" s="1" a="1"/>
  <c r="D122" i="24" s="1"/>
  <c r="H120" i="24"/>
  <c r="G120" i="24"/>
  <c r="F120" i="24"/>
  <c r="B120" i="24"/>
  <c r="F121" i="24"/>
  <c r="H121" i="24"/>
  <c r="B121" i="24"/>
  <c r="A123" i="24"/>
  <c r="D123" i="24" s="1" a="1"/>
  <c r="D123" i="24" s="1"/>
  <c r="G121" i="24"/>
  <c r="C123" i="24" l="1" a="1"/>
  <c r="C123" i="24" s="1"/>
  <c r="E123" i="24" a="1"/>
  <c r="E123" i="24" s="1"/>
  <c r="C122" i="24" a="1"/>
  <c r="C122" i="24" s="1"/>
  <c r="E122" i="24" a="1"/>
  <c r="E122" i="24" s="1"/>
  <c r="H123" i="24"/>
  <c r="G123" i="24"/>
  <c r="B123" i="24"/>
  <c r="F123" i="24"/>
  <c r="A125" i="24"/>
  <c r="D125" i="24" s="1" a="1"/>
  <c r="D125" i="24" s="1"/>
  <c r="G122" i="24"/>
  <c r="A124" i="24"/>
  <c r="D124" i="24" s="1" a="1"/>
  <c r="D124" i="24" s="1"/>
  <c r="B122" i="24"/>
  <c r="F122" i="24"/>
  <c r="H122" i="24"/>
  <c r="C124" i="24" l="1" a="1"/>
  <c r="C124" i="24" s="1"/>
  <c r="E124" i="24" a="1"/>
  <c r="E124" i="24" s="1"/>
  <c r="C125" i="24" a="1"/>
  <c r="C125" i="24" s="1"/>
  <c r="E125" i="24" a="1"/>
  <c r="E125" i="24" s="1"/>
  <c r="F124" i="24"/>
  <c r="A126" i="24"/>
  <c r="D126" i="24" s="1" a="1"/>
  <c r="D126" i="24" s="1"/>
  <c r="H124" i="24"/>
  <c r="B124" i="24"/>
  <c r="G124" i="24"/>
  <c r="A127" i="24"/>
  <c r="D127" i="24" s="1" a="1"/>
  <c r="D127" i="24" s="1"/>
  <c r="G125" i="24"/>
  <c r="H125" i="24"/>
  <c r="B125" i="24"/>
  <c r="F125" i="24"/>
  <c r="C126" i="24" l="1" a="1"/>
  <c r="C126" i="24" s="1"/>
  <c r="E126" i="24" a="1"/>
  <c r="E126" i="24" s="1"/>
  <c r="C127" i="24" a="1"/>
  <c r="C127" i="24" s="1"/>
  <c r="E127" i="24" a="1"/>
  <c r="E127" i="24" s="1"/>
  <c r="H126" i="24"/>
  <c r="F126" i="24"/>
  <c r="G126" i="24"/>
  <c r="B126" i="24"/>
  <c r="A128" i="24"/>
  <c r="D128" i="24" s="1" a="1"/>
  <c r="D128" i="24" s="1"/>
  <c r="A129" i="24"/>
  <c r="D129" i="24" s="1" a="1"/>
  <c r="D129" i="24" s="1"/>
  <c r="H127" i="24"/>
  <c r="B127" i="24"/>
  <c r="G127" i="24"/>
  <c r="F127" i="24"/>
  <c r="C129" i="24" l="1" a="1"/>
  <c r="C129" i="24" s="1"/>
  <c r="E129" i="24" a="1"/>
  <c r="E129" i="24" s="1"/>
  <c r="C128" i="24" a="1"/>
  <c r="C128" i="24" s="1"/>
  <c r="E128" i="24" a="1"/>
  <c r="E128" i="24" s="1"/>
  <c r="B128" i="24"/>
  <c r="F128" i="24"/>
  <c r="A130" i="24"/>
  <c r="D130" i="24" s="1" a="1"/>
  <c r="D130" i="24" s="1"/>
  <c r="H128" i="24"/>
  <c r="G128" i="24"/>
  <c r="H129" i="24"/>
  <c r="G129" i="24"/>
  <c r="B129" i="24"/>
  <c r="F129" i="24"/>
  <c r="A131" i="24"/>
  <c r="D131" i="24" s="1" a="1"/>
  <c r="D131" i="24" s="1"/>
  <c r="C131" i="24" l="1" a="1"/>
  <c r="C131" i="24" s="1"/>
  <c r="E131" i="24" a="1"/>
  <c r="E131" i="24" s="1"/>
  <c r="C130" i="24" a="1"/>
  <c r="C130" i="24" s="1"/>
  <c r="E130" i="24" a="1"/>
  <c r="E130" i="24" s="1"/>
  <c r="H131" i="24"/>
  <c r="B131" i="24"/>
  <c r="A133" i="24"/>
  <c r="D133" i="24" s="1" a="1"/>
  <c r="D133" i="24" s="1"/>
  <c r="G131" i="24"/>
  <c r="F131" i="24"/>
  <c r="G130" i="24"/>
  <c r="A132" i="24"/>
  <c r="D132" i="24" s="1" a="1"/>
  <c r="D132" i="24" s="1"/>
  <c r="B130" i="24"/>
  <c r="F130" i="24"/>
  <c r="H130" i="24"/>
  <c r="C132" i="24" l="1" a="1"/>
  <c r="C132" i="24" s="1"/>
  <c r="E132" i="24" a="1"/>
  <c r="E132" i="24" s="1"/>
  <c r="C133" i="24" a="1"/>
  <c r="C133" i="24" s="1"/>
  <c r="E133" i="24" a="1"/>
  <c r="E133" i="24" s="1"/>
  <c r="A135" i="24"/>
  <c r="D135" i="24" s="1" a="1"/>
  <c r="D135" i="24" s="1"/>
  <c r="G133" i="24"/>
  <c r="F133" i="24"/>
  <c r="H133" i="24"/>
  <c r="B133" i="24"/>
  <c r="F132" i="24"/>
  <c r="G132" i="24"/>
  <c r="A134" i="24"/>
  <c r="D134" i="24" s="1" a="1"/>
  <c r="D134" i="24" s="1"/>
  <c r="H132" i="24"/>
  <c r="B132" i="24"/>
  <c r="C135" i="24" l="1" a="1"/>
  <c r="C135" i="24" s="1"/>
  <c r="E135" i="24" a="1"/>
  <c r="E135" i="24" s="1"/>
  <c r="C134" i="24" a="1"/>
  <c r="C134" i="24" s="1"/>
  <c r="E134" i="24" a="1"/>
  <c r="E134" i="24" s="1"/>
  <c r="H134" i="24"/>
  <c r="B134" i="24"/>
  <c r="A136" i="24"/>
  <c r="D136" i="24" s="1" a="1"/>
  <c r="D136" i="24" s="1"/>
  <c r="G134" i="24"/>
  <c r="F134" i="24"/>
  <c r="A137" i="24"/>
  <c r="D137" i="24" s="1" a="1"/>
  <c r="D137" i="24" s="1"/>
  <c r="H135" i="24"/>
  <c r="F135" i="24"/>
  <c r="G135" i="24"/>
  <c r="B135" i="24"/>
  <c r="C137" i="24" l="1" a="1"/>
  <c r="C137" i="24" s="1"/>
  <c r="E137" i="24" a="1"/>
  <c r="E137" i="24" s="1"/>
  <c r="C136" i="24" a="1"/>
  <c r="C136" i="24" s="1"/>
  <c r="E136" i="24" a="1"/>
  <c r="E136" i="24" s="1"/>
  <c r="A138" i="24"/>
  <c r="D138" i="24" s="1" a="1"/>
  <c r="D138" i="24" s="1"/>
  <c r="G136" i="24"/>
  <c r="B136" i="24"/>
  <c r="H136" i="24"/>
  <c r="F136" i="24"/>
  <c r="F137" i="24"/>
  <c r="H137" i="24"/>
  <c r="B137" i="24"/>
  <c r="A139" i="24"/>
  <c r="D139" i="24" s="1" a="1"/>
  <c r="D139" i="24" s="1"/>
  <c r="G137" i="24"/>
  <c r="C139" i="24" l="1" a="1"/>
  <c r="C139" i="24" s="1"/>
  <c r="E139" i="24" a="1"/>
  <c r="E139" i="24" s="1"/>
  <c r="C138" i="24" a="1"/>
  <c r="C138" i="24" s="1"/>
  <c r="E138" i="24" a="1"/>
  <c r="E138" i="24" s="1"/>
  <c r="H139" i="24"/>
  <c r="G139" i="24"/>
  <c r="B139" i="24"/>
  <c r="F139" i="24"/>
  <c r="A141" i="24"/>
  <c r="D141" i="24" s="1" a="1"/>
  <c r="D141" i="24" s="1"/>
  <c r="B138" i="24"/>
  <c r="G138" i="24"/>
  <c r="F138" i="24"/>
  <c r="A140" i="24"/>
  <c r="D140" i="24" s="1" a="1"/>
  <c r="D140" i="24" s="1"/>
  <c r="H138" i="24"/>
  <c r="C140" i="24" l="1" a="1"/>
  <c r="C140" i="24" s="1"/>
  <c r="E140" i="24" a="1"/>
  <c r="E140" i="24" s="1"/>
  <c r="C141" i="24" a="1"/>
  <c r="C141" i="24" s="1"/>
  <c r="E141" i="24" a="1"/>
  <c r="E141" i="24" s="1"/>
  <c r="A143" i="24"/>
  <c r="D143" i="24" s="1" a="1"/>
  <c r="D143" i="24" s="1"/>
  <c r="G141" i="24"/>
  <c r="F141" i="24"/>
  <c r="H141" i="24"/>
  <c r="B141" i="24"/>
  <c r="F140" i="24"/>
  <c r="H140" i="24"/>
  <c r="B140" i="24"/>
  <c r="A142" i="24"/>
  <c r="D142" i="24" s="1" a="1"/>
  <c r="D142" i="24" s="1"/>
  <c r="G140" i="24"/>
  <c r="C142" i="24" l="1" a="1"/>
  <c r="C142" i="24" s="1"/>
  <c r="E142" i="24" a="1"/>
  <c r="E142" i="24" s="1"/>
  <c r="C143" i="24" a="1"/>
  <c r="C143" i="24" s="1"/>
  <c r="E143" i="24" a="1"/>
  <c r="E143" i="24" s="1"/>
  <c r="A145" i="24"/>
  <c r="D145" i="24" s="1" a="1"/>
  <c r="D145" i="24" s="1"/>
  <c r="H143" i="24"/>
  <c r="G143" i="24"/>
  <c r="B143" i="24"/>
  <c r="F143" i="24"/>
  <c r="H142" i="24"/>
  <c r="F142" i="24"/>
  <c r="G142" i="24"/>
  <c r="B142" i="24"/>
  <c r="A144" i="24"/>
  <c r="D144" i="24" s="1" a="1"/>
  <c r="D144" i="24" s="1"/>
  <c r="C144" i="24" l="1" a="1"/>
  <c r="C144" i="24" s="1"/>
  <c r="E144" i="24" a="1"/>
  <c r="E144" i="24" s="1"/>
  <c r="C145" i="24" a="1"/>
  <c r="C145" i="24" s="1"/>
  <c r="E145" i="24" a="1"/>
  <c r="E145" i="24" s="1"/>
  <c r="F145" i="24"/>
  <c r="H145" i="24"/>
  <c r="B145" i="24"/>
  <c r="A147" i="24"/>
  <c r="D147" i="24" s="1" a="1"/>
  <c r="D147" i="24" s="1"/>
  <c r="G145" i="24"/>
  <c r="A146" i="24"/>
  <c r="D146" i="24" s="1" a="1"/>
  <c r="D146" i="24" s="1"/>
  <c r="B144" i="24"/>
  <c r="H144" i="24"/>
  <c r="G144" i="24"/>
  <c r="F144" i="24"/>
  <c r="C147" i="24" l="1" a="1"/>
  <c r="C147" i="24" s="1"/>
  <c r="E147" i="24" a="1"/>
  <c r="E147" i="24" s="1"/>
  <c r="C146" i="24" a="1"/>
  <c r="C146" i="24" s="1"/>
  <c r="E146" i="24" a="1"/>
  <c r="E146" i="24" s="1"/>
  <c r="G146" i="24"/>
  <c r="B146" i="24"/>
  <c r="A148" i="24"/>
  <c r="D148" i="24" s="1" a="1"/>
  <c r="D148" i="24" s="1"/>
  <c r="F146" i="24"/>
  <c r="H146" i="24"/>
  <c r="H147" i="24"/>
  <c r="F147" i="24"/>
  <c r="G147" i="24"/>
  <c r="B147" i="24"/>
  <c r="A149" i="24"/>
  <c r="D149" i="24" s="1" a="1"/>
  <c r="D149" i="24" s="1"/>
  <c r="C149" i="24" l="1" a="1"/>
  <c r="C149" i="24" s="1"/>
  <c r="E149" i="24" a="1"/>
  <c r="E149" i="24" s="1"/>
  <c r="C148" i="24" a="1"/>
  <c r="C148" i="24" s="1"/>
  <c r="E148" i="24" a="1"/>
  <c r="E148" i="24" s="1"/>
  <c r="F148" i="24"/>
  <c r="H148" i="24"/>
  <c r="A150" i="24"/>
  <c r="D150" i="24" s="1" a="1"/>
  <c r="D150" i="24" s="1"/>
  <c r="B148" i="24"/>
  <c r="G148" i="24"/>
  <c r="A151" i="24"/>
  <c r="D151" i="24" s="1" a="1"/>
  <c r="D151" i="24" s="1"/>
  <c r="B149" i="24"/>
  <c r="H149" i="24"/>
  <c r="G149" i="24"/>
  <c r="F149" i="24"/>
  <c r="C151" i="24" l="1" a="1"/>
  <c r="C151" i="24" s="1"/>
  <c r="E151" i="24" a="1"/>
  <c r="E151" i="24" s="1"/>
  <c r="C150" i="24" a="1"/>
  <c r="C150" i="24" s="1"/>
  <c r="E150" i="24" a="1"/>
  <c r="E150" i="24" s="1"/>
  <c r="H150" i="24"/>
  <c r="B150" i="24"/>
  <c r="F150" i="24"/>
  <c r="G150" i="24"/>
  <c r="A152" i="24"/>
  <c r="D152" i="24" s="1" a="1"/>
  <c r="D152" i="24" s="1"/>
  <c r="A153" i="24"/>
  <c r="D153" i="24" s="1" a="1"/>
  <c r="D153" i="24" s="1"/>
  <c r="H151" i="24"/>
  <c r="G151" i="24"/>
  <c r="F151" i="24"/>
  <c r="B151" i="24"/>
  <c r="C153" i="24" l="1" a="1"/>
  <c r="C153" i="24" s="1"/>
  <c r="E153" i="24" a="1"/>
  <c r="E153" i="24" s="1"/>
  <c r="C152" i="24" a="1"/>
  <c r="C152" i="24" s="1"/>
  <c r="E152" i="24" a="1"/>
  <c r="E152" i="24" s="1"/>
  <c r="A154" i="24"/>
  <c r="D154" i="24" s="1" a="1"/>
  <c r="D154" i="24" s="1"/>
  <c r="G152" i="24"/>
  <c r="F152" i="24"/>
  <c r="H152" i="24"/>
  <c r="B152" i="24"/>
  <c r="F153" i="24"/>
  <c r="A155" i="24"/>
  <c r="D155" i="24" s="1" a="1"/>
  <c r="D155" i="24" s="1"/>
  <c r="G153" i="24"/>
  <c r="H153" i="24"/>
  <c r="B153" i="24"/>
  <c r="C154" i="24" l="1" a="1"/>
  <c r="C154" i="24" s="1"/>
  <c r="E154" i="24" a="1"/>
  <c r="E154" i="24" s="1"/>
  <c r="C155" i="24" a="1"/>
  <c r="C155" i="24" s="1"/>
  <c r="E155" i="24" a="1"/>
  <c r="E155" i="24" s="1"/>
  <c r="G154" i="24"/>
  <c r="B154" i="24"/>
  <c r="F154" i="24"/>
  <c r="H154" i="24"/>
  <c r="A156" i="24"/>
  <c r="D156" i="24" s="1" a="1"/>
  <c r="D156" i="24" s="1"/>
  <c r="H155" i="24"/>
  <c r="B155" i="24"/>
  <c r="F155" i="24"/>
  <c r="G155" i="24"/>
  <c r="A157" i="24"/>
  <c r="D157" i="24" s="1" a="1"/>
  <c r="D157" i="24" s="1"/>
  <c r="C156" i="24" l="1" a="1"/>
  <c r="C156" i="24" s="1"/>
  <c r="E156" i="24" a="1"/>
  <c r="E156" i="24" s="1"/>
  <c r="C157" i="24" a="1"/>
  <c r="C157" i="24" s="1"/>
  <c r="E157" i="24" a="1"/>
  <c r="E157" i="24" s="1"/>
  <c r="F156" i="24"/>
  <c r="G156" i="24"/>
  <c r="B156" i="24"/>
  <c r="A158" i="24"/>
  <c r="D158" i="24" s="1" a="1"/>
  <c r="D158" i="24" s="1"/>
  <c r="H156" i="24"/>
  <c r="A159" i="24"/>
  <c r="D159" i="24" s="1" a="1"/>
  <c r="D159" i="24" s="1"/>
  <c r="B157" i="24"/>
  <c r="H157" i="24"/>
  <c r="G157" i="24"/>
  <c r="F157" i="24"/>
  <c r="C159" i="24" l="1" a="1"/>
  <c r="C159" i="24" s="1"/>
  <c r="E159" i="24" a="1"/>
  <c r="E159" i="24" s="1"/>
  <c r="C158" i="24" a="1"/>
  <c r="C158" i="24" s="1"/>
  <c r="E158" i="24" a="1"/>
  <c r="E158" i="24" s="1"/>
  <c r="H158" i="24"/>
  <c r="G158" i="24"/>
  <c r="B158" i="24"/>
  <c r="A160" i="24"/>
  <c r="D160" i="24" s="1" a="1"/>
  <c r="D160" i="24" s="1"/>
  <c r="F158" i="24"/>
  <c r="A161" i="24"/>
  <c r="D161" i="24" s="1" a="1"/>
  <c r="D161" i="24" s="1"/>
  <c r="H159" i="24"/>
  <c r="G159" i="24"/>
  <c r="B159" i="24"/>
  <c r="F159" i="24"/>
  <c r="C161" i="24" l="1" a="1"/>
  <c r="C161" i="24" s="1"/>
  <c r="E161" i="24" a="1"/>
  <c r="E161" i="24" s="1"/>
  <c r="C160" i="24" a="1"/>
  <c r="C160" i="24" s="1"/>
  <c r="E160" i="24" a="1"/>
  <c r="E160" i="24" s="1"/>
  <c r="A162" i="24"/>
  <c r="D162" i="24" s="1" a="1"/>
  <c r="D162" i="24" s="1"/>
  <c r="H160" i="24"/>
  <c r="G160" i="24"/>
  <c r="B160" i="24"/>
  <c r="F160" i="24"/>
  <c r="F161" i="24"/>
  <c r="A163" i="24"/>
  <c r="D163" i="24" s="1" a="1"/>
  <c r="D163" i="24" s="1"/>
  <c r="H161" i="24"/>
  <c r="G161" i="24"/>
  <c r="B161" i="24"/>
  <c r="C163" i="24" l="1" a="1"/>
  <c r="C163" i="24" s="1"/>
  <c r="E163" i="24" a="1"/>
  <c r="E163" i="24" s="1"/>
  <c r="C162" i="24" a="1"/>
  <c r="C162" i="24" s="1"/>
  <c r="E162" i="24" a="1"/>
  <c r="E162" i="24" s="1"/>
  <c r="H163" i="24"/>
  <c r="G163" i="24"/>
  <c r="B163" i="24"/>
  <c r="F163" i="24"/>
  <c r="A165" i="24"/>
  <c r="D165" i="24" s="1" a="1"/>
  <c r="D165" i="24" s="1"/>
  <c r="G162" i="24"/>
  <c r="B162" i="24"/>
  <c r="F162" i="24"/>
  <c r="A164" i="24"/>
  <c r="D164" i="24" s="1" a="1"/>
  <c r="D164" i="24" s="1"/>
  <c r="H162" i="24"/>
  <c r="C164" i="24" l="1" a="1"/>
  <c r="C164" i="24" s="1"/>
  <c r="E164" i="24" a="1"/>
  <c r="E164" i="24" s="1"/>
  <c r="C165" i="24" a="1"/>
  <c r="C165" i="24" s="1"/>
  <c r="E165" i="24" a="1"/>
  <c r="E165" i="24" s="1"/>
  <c r="A167" i="24"/>
  <c r="D167" i="24" s="1" a="1"/>
  <c r="D167" i="24" s="1"/>
  <c r="F165" i="24"/>
  <c r="H165" i="24"/>
  <c r="G165" i="24"/>
  <c r="B165" i="24"/>
  <c r="F164" i="24"/>
  <c r="G164" i="24"/>
  <c r="A166" i="24"/>
  <c r="D166" i="24" s="1" a="1"/>
  <c r="D166" i="24" s="1"/>
  <c r="H164" i="24"/>
  <c r="B164" i="24"/>
  <c r="C167" i="24" l="1" a="1"/>
  <c r="C167" i="24" s="1"/>
  <c r="E167" i="24" a="1"/>
  <c r="E167" i="24" s="1"/>
  <c r="C166" i="24" a="1"/>
  <c r="C166" i="24" s="1"/>
  <c r="E166" i="24" a="1"/>
  <c r="E166" i="24" s="1"/>
  <c r="H166" i="24"/>
  <c r="G166" i="24"/>
  <c r="B166" i="24"/>
  <c r="F166" i="24"/>
  <c r="A168" i="24"/>
  <c r="D168" i="24" s="1" a="1"/>
  <c r="D168" i="24" s="1"/>
  <c r="A169" i="24"/>
  <c r="D169" i="24" s="1" a="1"/>
  <c r="D169" i="24" s="1"/>
  <c r="H167" i="24"/>
  <c r="G167" i="24"/>
  <c r="F167" i="24"/>
  <c r="B167" i="24"/>
  <c r="C168" i="24" l="1" a="1"/>
  <c r="C168" i="24" s="1"/>
  <c r="E168" i="24" a="1"/>
  <c r="E168" i="24" s="1"/>
  <c r="C169" i="24" a="1"/>
  <c r="C169" i="24" s="1"/>
  <c r="E169" i="24" a="1"/>
  <c r="E169" i="24" s="1"/>
  <c r="A170" i="24"/>
  <c r="D170" i="24" s="1" a="1"/>
  <c r="D170" i="24" s="1"/>
  <c r="H168" i="24"/>
  <c r="G168" i="24"/>
  <c r="B168" i="24"/>
  <c r="F168" i="24"/>
  <c r="F169" i="24"/>
  <c r="A171" i="24"/>
  <c r="D171" i="24" s="1" a="1"/>
  <c r="D171" i="24" s="1"/>
  <c r="H169" i="24"/>
  <c r="G169" i="24"/>
  <c r="B169" i="24"/>
  <c r="C170" i="24" l="1" a="1"/>
  <c r="C170" i="24" s="1"/>
  <c r="E170" i="24" a="1"/>
  <c r="E170" i="24" s="1"/>
  <c r="C171" i="24" a="1"/>
  <c r="C171" i="24" s="1"/>
  <c r="E171" i="24" a="1"/>
  <c r="E171" i="24" s="1"/>
  <c r="H171" i="24"/>
  <c r="G171" i="24"/>
  <c r="B171" i="24"/>
  <c r="F171" i="24"/>
  <c r="A173" i="24"/>
  <c r="D173" i="24" s="1" a="1"/>
  <c r="D173" i="24" s="1"/>
  <c r="G170" i="24"/>
  <c r="F170" i="24"/>
  <c r="A172" i="24"/>
  <c r="D172" i="24" s="1" a="1"/>
  <c r="D172" i="24" s="1"/>
  <c r="B170" i="24"/>
  <c r="H170" i="24"/>
  <c r="C172" i="24" l="1" a="1"/>
  <c r="C172" i="24" s="1"/>
  <c r="E172" i="24" a="1"/>
  <c r="E172" i="24" s="1"/>
  <c r="C173" i="24" a="1"/>
  <c r="C173" i="24" s="1"/>
  <c r="E173" i="24" a="1"/>
  <c r="E173" i="24" s="1"/>
  <c r="A175" i="24"/>
  <c r="D175" i="24" s="1" a="1"/>
  <c r="D175" i="24" s="1"/>
  <c r="H173" i="24"/>
  <c r="G173" i="24"/>
  <c r="B173" i="24"/>
  <c r="F173" i="24"/>
  <c r="F172" i="24"/>
  <c r="A174" i="24"/>
  <c r="D174" i="24" s="1" a="1"/>
  <c r="D174" i="24" s="1"/>
  <c r="H172" i="24"/>
  <c r="G172" i="24"/>
  <c r="B172" i="24"/>
  <c r="C175" i="24" l="1" a="1"/>
  <c r="C175" i="24" s="1"/>
  <c r="E175" i="24" a="1"/>
  <c r="E175" i="24" s="1"/>
  <c r="C174" i="24" a="1"/>
  <c r="C174" i="24" s="1"/>
  <c r="E174" i="24" a="1"/>
  <c r="E174" i="24" s="1"/>
  <c r="H174" i="24"/>
  <c r="G174" i="24"/>
  <c r="B174" i="24"/>
  <c r="F174" i="24"/>
  <c r="A176" i="24"/>
  <c r="D176" i="24" s="1" a="1"/>
  <c r="D176" i="24" s="1"/>
  <c r="A177" i="24"/>
  <c r="D177" i="24" s="1" a="1"/>
  <c r="D177" i="24" s="1"/>
  <c r="H175" i="24"/>
  <c r="G175" i="24"/>
  <c r="B175" i="24"/>
  <c r="F175" i="24"/>
  <c r="C176" i="24" l="1" a="1"/>
  <c r="C176" i="24" s="1"/>
  <c r="E176" i="24" a="1"/>
  <c r="E176" i="24" s="1"/>
  <c r="C177" i="24" a="1"/>
  <c r="C177" i="24" s="1"/>
  <c r="E177" i="24" a="1"/>
  <c r="E177" i="24" s="1"/>
  <c r="B176" i="24"/>
  <c r="F176" i="24"/>
  <c r="A178" i="24"/>
  <c r="D178" i="24" s="1" a="1"/>
  <c r="D178" i="24" s="1"/>
  <c r="H176" i="24"/>
  <c r="G176" i="24"/>
  <c r="H177" i="24"/>
  <c r="G177" i="24"/>
  <c r="B177" i="24"/>
  <c r="F177" i="24"/>
  <c r="A179" i="24"/>
  <c r="D179" i="24" s="1" a="1"/>
  <c r="D179" i="24" s="1"/>
  <c r="C179" i="24" l="1" a="1"/>
  <c r="C179" i="24" s="1"/>
  <c r="E179" i="24" a="1"/>
  <c r="E179" i="24" s="1"/>
  <c r="C178" i="24" a="1"/>
  <c r="C178" i="24" s="1"/>
  <c r="E178" i="24" a="1"/>
  <c r="E178" i="24" s="1"/>
  <c r="H179" i="24"/>
  <c r="G179" i="24"/>
  <c r="B179" i="24"/>
  <c r="F179" i="24"/>
  <c r="A181" i="24"/>
  <c r="D181" i="24" s="1" a="1"/>
  <c r="D181" i="24" s="1"/>
  <c r="G178" i="24"/>
  <c r="B178" i="24"/>
  <c r="F178" i="24"/>
  <c r="A180" i="24"/>
  <c r="D180" i="24" s="1" a="1"/>
  <c r="D180" i="24" s="1"/>
  <c r="H178" i="24"/>
  <c r="C180" i="24" l="1" a="1"/>
  <c r="C180" i="24" s="1"/>
  <c r="E180" i="24" a="1"/>
  <c r="E180" i="24" s="1"/>
  <c r="C181" i="24" a="1"/>
  <c r="C181" i="24" s="1"/>
  <c r="E181" i="24" a="1"/>
  <c r="E181" i="24" s="1"/>
  <c r="A183" i="24"/>
  <c r="D183" i="24" s="1" a="1"/>
  <c r="D183" i="24" s="1"/>
  <c r="H181" i="24"/>
  <c r="G181" i="24"/>
  <c r="B181" i="24"/>
  <c r="F181" i="24"/>
  <c r="F180" i="24"/>
  <c r="A182" i="24"/>
  <c r="D182" i="24" s="1" a="1"/>
  <c r="D182" i="24" s="1"/>
  <c r="H180" i="24"/>
  <c r="G180" i="24"/>
  <c r="B180" i="24"/>
  <c r="C183" i="24" l="1" a="1"/>
  <c r="C183" i="24" s="1"/>
  <c r="E183" i="24" a="1"/>
  <c r="E183" i="24" s="1"/>
  <c r="C182" i="24" a="1"/>
  <c r="C182" i="24" s="1"/>
  <c r="E182" i="24" a="1"/>
  <c r="E182" i="24" s="1"/>
  <c r="H182" i="24"/>
  <c r="G182" i="24"/>
  <c r="B182" i="24"/>
  <c r="F182" i="24"/>
  <c r="A184" i="24"/>
  <c r="D184" i="24" s="1" a="1"/>
  <c r="D184" i="24" s="1"/>
  <c r="A185" i="24"/>
  <c r="D185" i="24" s="1" a="1"/>
  <c r="D185" i="24" s="1"/>
  <c r="H183" i="24"/>
  <c r="G183" i="24"/>
  <c r="B183" i="24"/>
  <c r="F183" i="24"/>
  <c r="C185" i="24" l="1" a="1"/>
  <c r="C185" i="24" s="1"/>
  <c r="E185" i="24" a="1"/>
  <c r="E185" i="24" s="1"/>
  <c r="C184" i="24" a="1"/>
  <c r="C184" i="24" s="1"/>
  <c r="E184" i="24" a="1"/>
  <c r="E184" i="24" s="1"/>
  <c r="B184" i="24"/>
  <c r="G184" i="24"/>
  <c r="H184" i="24"/>
  <c r="F184" i="24"/>
  <c r="A186" i="24"/>
  <c r="D186" i="24" s="1" a="1"/>
  <c r="D186" i="24" s="1"/>
  <c r="A187" i="24"/>
  <c r="D187" i="24" s="1" a="1"/>
  <c r="D187" i="24" s="1"/>
  <c r="H185" i="24"/>
  <c r="G185" i="24"/>
  <c r="F185" i="24"/>
  <c r="B185" i="24"/>
  <c r="C187" i="24" l="1" a="1"/>
  <c r="C187" i="24" s="1"/>
  <c r="E187" i="24" a="1"/>
  <c r="E187" i="24" s="1"/>
  <c r="C186" i="24" a="1"/>
  <c r="C186" i="24" s="1"/>
  <c r="E186" i="24" a="1"/>
  <c r="E186" i="24" s="1"/>
  <c r="H186" i="24"/>
  <c r="G186" i="24"/>
  <c r="B186" i="24"/>
  <c r="F186" i="24"/>
  <c r="A188" i="24"/>
  <c r="D188" i="24" s="1" a="1"/>
  <c r="D188" i="24" s="1"/>
  <c r="A189" i="24"/>
  <c r="D189" i="24" s="1" a="1"/>
  <c r="D189" i="24" s="1"/>
  <c r="H187" i="24"/>
  <c r="G187" i="24"/>
  <c r="B187" i="24"/>
  <c r="F187" i="24"/>
  <c r="C188" i="24" l="1" a="1"/>
  <c r="C188" i="24" s="1"/>
  <c r="E188" i="24" a="1"/>
  <c r="E188" i="24" s="1"/>
  <c r="C189" i="24" a="1"/>
  <c r="C189" i="24" s="1"/>
  <c r="E189" i="24" a="1"/>
  <c r="E189" i="24" s="1"/>
  <c r="A190" i="24"/>
  <c r="D190" i="24" s="1" a="1"/>
  <c r="D190" i="24" s="1"/>
  <c r="H188" i="24"/>
  <c r="G188" i="24"/>
  <c r="B188" i="24"/>
  <c r="F188" i="24"/>
  <c r="F189" i="24"/>
  <c r="A191" i="24"/>
  <c r="D191" i="24" s="1" a="1"/>
  <c r="D191" i="24" s="1"/>
  <c r="H189" i="24"/>
  <c r="G189" i="24"/>
  <c r="B189" i="24"/>
  <c r="C190" i="24" l="1" a="1"/>
  <c r="C190" i="24" s="1"/>
  <c r="E190" i="24" a="1"/>
  <c r="E190" i="24" s="1"/>
  <c r="C191" i="24" a="1"/>
  <c r="C191" i="24" s="1"/>
  <c r="E191" i="24" a="1"/>
  <c r="E191" i="24" s="1"/>
  <c r="H191" i="24"/>
  <c r="G191" i="24"/>
  <c r="B191" i="24"/>
  <c r="F191" i="24"/>
  <c r="A193" i="24"/>
  <c r="D193" i="24" s="1" a="1"/>
  <c r="D193" i="24" s="1"/>
  <c r="G190" i="24"/>
  <c r="B190" i="24"/>
  <c r="F190" i="24"/>
  <c r="A192" i="24"/>
  <c r="D192" i="24" s="1" a="1"/>
  <c r="D192" i="24" s="1"/>
  <c r="H190" i="24"/>
  <c r="C193" i="24" l="1" a="1"/>
  <c r="C193" i="24" s="1"/>
  <c r="E193" i="24" a="1"/>
  <c r="E193" i="24" s="1"/>
  <c r="C192" i="24" a="1"/>
  <c r="C192" i="24" s="1"/>
  <c r="E192" i="24" a="1"/>
  <c r="E192" i="24" s="1"/>
  <c r="F193" i="24"/>
  <c r="B193" i="24"/>
  <c r="A195" i="24"/>
  <c r="D195" i="24" s="1" a="1"/>
  <c r="D195" i="24" s="1"/>
  <c r="H193" i="24"/>
  <c r="G193" i="24"/>
  <c r="H192" i="24"/>
  <c r="G192" i="24"/>
  <c r="B192" i="24"/>
  <c r="F192" i="24"/>
  <c r="A194" i="24"/>
  <c r="D194" i="24" s="1" a="1"/>
  <c r="D194" i="24" s="1"/>
  <c r="C194" i="24" l="1" a="1"/>
  <c r="C194" i="24" s="1"/>
  <c r="E194" i="24" a="1"/>
  <c r="E194" i="24" s="1"/>
  <c r="C195" i="24" a="1"/>
  <c r="C195" i="24" s="1"/>
  <c r="E195" i="24" a="1"/>
  <c r="E195" i="24" s="1"/>
  <c r="H194" i="24"/>
  <c r="B194" i="24"/>
  <c r="F194" i="24"/>
  <c r="G194" i="24"/>
  <c r="A196" i="24"/>
  <c r="D196" i="24" s="1" a="1"/>
  <c r="D196" i="24" s="1"/>
  <c r="A197" i="24"/>
  <c r="D197" i="24" s="1" a="1"/>
  <c r="D197" i="24" s="1"/>
  <c r="H195" i="24"/>
  <c r="G195" i="24"/>
  <c r="F195" i="24"/>
  <c r="B195" i="24"/>
  <c r="C197" i="24" l="1" a="1"/>
  <c r="C197" i="24" s="1"/>
  <c r="E197" i="24" a="1"/>
  <c r="E197" i="24" s="1"/>
  <c r="C196" i="24" a="1"/>
  <c r="C196" i="24" s="1"/>
  <c r="E196" i="24" a="1"/>
  <c r="E196" i="24" s="1"/>
  <c r="A198" i="24"/>
  <c r="D198" i="24" s="1" a="1"/>
  <c r="D198" i="24" s="1"/>
  <c r="H196" i="24"/>
  <c r="B196" i="24"/>
  <c r="G196" i="24"/>
  <c r="F196" i="24"/>
  <c r="F197" i="24"/>
  <c r="A199" i="24"/>
  <c r="D199" i="24" s="1" a="1"/>
  <c r="D199" i="24" s="1"/>
  <c r="H197" i="24"/>
  <c r="G197" i="24"/>
  <c r="B197" i="24"/>
  <c r="C199" i="24" l="1" a="1"/>
  <c r="C199" i="24" s="1"/>
  <c r="E199" i="24" a="1"/>
  <c r="E199" i="24" s="1"/>
  <c r="C198" i="24" a="1"/>
  <c r="C198" i="24" s="1"/>
  <c r="E198" i="24" a="1"/>
  <c r="E198" i="24" s="1"/>
  <c r="H199" i="24"/>
  <c r="G199" i="24"/>
  <c r="B199" i="24"/>
  <c r="F199" i="24"/>
  <c r="A201" i="24"/>
  <c r="D201" i="24" s="1" a="1"/>
  <c r="D201" i="24" s="1"/>
  <c r="H198" i="24"/>
  <c r="G198" i="24"/>
  <c r="F198" i="24"/>
  <c r="A200" i="24"/>
  <c r="D200" i="24" s="1" a="1"/>
  <c r="D200" i="24" s="1"/>
  <c r="B198" i="24"/>
  <c r="C201" i="24" l="1" a="1"/>
  <c r="C201" i="24" s="1"/>
  <c r="E201" i="24" a="1"/>
  <c r="E201" i="24" s="1"/>
  <c r="C200" i="24" a="1"/>
  <c r="C200" i="24" s="1"/>
  <c r="E200" i="24" a="1"/>
  <c r="E200" i="24" s="1"/>
  <c r="A203" i="24"/>
  <c r="D203" i="24" s="1" a="1"/>
  <c r="D203" i="24" s="1"/>
  <c r="G201" i="24"/>
  <c r="F201" i="24"/>
  <c r="B201" i="24"/>
  <c r="H201" i="24"/>
  <c r="F200" i="24"/>
  <c r="A202" i="24"/>
  <c r="D202" i="24" s="1" a="1"/>
  <c r="D202" i="24" s="1"/>
  <c r="G200" i="24"/>
  <c r="H200" i="24"/>
  <c r="B200" i="24"/>
  <c r="C202" i="24" l="1" a="1"/>
  <c r="C202" i="24" s="1"/>
  <c r="E202" i="24" a="1"/>
  <c r="E202" i="24" s="1"/>
  <c r="C203" i="24" a="1"/>
  <c r="C203" i="24" s="1"/>
  <c r="E203" i="24" a="1"/>
  <c r="E203" i="24" s="1"/>
  <c r="H202" i="24"/>
  <c r="G202" i="24"/>
  <c r="B202" i="24"/>
  <c r="F202" i="24"/>
  <c r="A204" i="24"/>
  <c r="D204" i="24" s="1" a="1"/>
  <c r="D204" i="24" s="1"/>
  <c r="A205" i="24"/>
  <c r="D205" i="24" s="1" a="1"/>
  <c r="D205" i="24" s="1"/>
  <c r="H203" i="24"/>
  <c r="B203" i="24"/>
  <c r="F203" i="24"/>
  <c r="G203" i="24"/>
  <c r="C204" i="24" l="1" a="1"/>
  <c r="C204" i="24" s="1"/>
  <c r="E204" i="24" a="1"/>
  <c r="E204" i="24" s="1"/>
  <c r="C205" i="24" a="1"/>
  <c r="C205" i="24" s="1"/>
  <c r="E205" i="24" a="1"/>
  <c r="E205" i="24" s="1"/>
  <c r="A206" i="24"/>
  <c r="D206" i="24" s="1" a="1"/>
  <c r="D206" i="24" s="1"/>
  <c r="H204" i="24"/>
  <c r="G204" i="24"/>
  <c r="B204" i="24"/>
  <c r="F204" i="24"/>
  <c r="F205" i="24"/>
  <c r="A207" i="24"/>
  <c r="D207" i="24" s="1" a="1"/>
  <c r="D207" i="24" s="1"/>
  <c r="H205" i="24"/>
  <c r="G205" i="24"/>
  <c r="B205" i="24"/>
  <c r="C206" i="24" l="1" a="1"/>
  <c r="C206" i="24" s="1"/>
  <c r="E206" i="24" a="1"/>
  <c r="E206" i="24" s="1"/>
  <c r="C207" i="24" a="1"/>
  <c r="C207" i="24" s="1"/>
  <c r="E207" i="24" a="1"/>
  <c r="E207" i="24" s="1"/>
  <c r="H207" i="24"/>
  <c r="G207" i="24"/>
  <c r="B207" i="24"/>
  <c r="F207" i="24"/>
  <c r="A209" i="24"/>
  <c r="D209" i="24" s="1" a="1"/>
  <c r="D209" i="24" s="1"/>
  <c r="B206" i="24"/>
  <c r="H206" i="24"/>
  <c r="F206" i="24"/>
  <c r="A208" i="24"/>
  <c r="D208" i="24" s="1" a="1"/>
  <c r="D208" i="24" s="1"/>
  <c r="G206" i="24"/>
  <c r="C208" i="24" l="1" a="1"/>
  <c r="C208" i="24" s="1"/>
  <c r="E208" i="24" a="1"/>
  <c r="E208" i="24" s="1"/>
  <c r="C209" i="24" a="1"/>
  <c r="C209" i="24" s="1"/>
  <c r="E209" i="24" a="1"/>
  <c r="E209" i="24" s="1"/>
  <c r="A211" i="24"/>
  <c r="D211" i="24" s="1" a="1"/>
  <c r="D211" i="24" s="1"/>
  <c r="H209" i="24"/>
  <c r="F209" i="24"/>
  <c r="B209" i="24"/>
  <c r="G209" i="24"/>
  <c r="F208" i="24"/>
  <c r="A210" i="24"/>
  <c r="D210" i="24" s="1" a="1"/>
  <c r="D210" i="24" s="1"/>
  <c r="H208" i="24"/>
  <c r="G208" i="24"/>
  <c r="B208" i="24"/>
  <c r="C211" i="24" l="1" a="1"/>
  <c r="C211" i="24" s="1"/>
  <c r="E211" i="24" a="1"/>
  <c r="E211" i="24" s="1"/>
  <c r="C210" i="24" a="1"/>
  <c r="C210" i="24" s="1"/>
  <c r="E210" i="24" a="1"/>
  <c r="E210" i="24" s="1"/>
  <c r="H210" i="24"/>
  <c r="G210" i="24"/>
  <c r="B210" i="24"/>
  <c r="F210" i="24"/>
  <c r="A212" i="24"/>
  <c r="D212" i="24" s="1" a="1"/>
  <c r="D212" i="24" s="1"/>
  <c r="A213" i="24"/>
  <c r="D213" i="24" s="1" a="1"/>
  <c r="D213" i="24" s="1"/>
  <c r="H211" i="24"/>
  <c r="G211" i="24"/>
  <c r="B211" i="24"/>
  <c r="F211" i="24"/>
  <c r="C213" i="24" l="1" a="1"/>
  <c r="C213" i="24" s="1"/>
  <c r="E213" i="24" a="1"/>
  <c r="E213" i="24" s="1"/>
  <c r="C212" i="24" a="1"/>
  <c r="C212" i="24" s="1"/>
  <c r="E212" i="24" a="1"/>
  <c r="E212" i="24" s="1"/>
  <c r="A214" i="24"/>
  <c r="D214" i="24" s="1" a="1"/>
  <c r="D214" i="24" s="1"/>
  <c r="H212" i="24"/>
  <c r="G212" i="24"/>
  <c r="B212" i="24"/>
  <c r="F212" i="24"/>
  <c r="F213" i="24"/>
  <c r="A215" i="24"/>
  <c r="D215" i="24" s="1" a="1"/>
  <c r="D215" i="24" s="1"/>
  <c r="H213" i="24"/>
  <c r="G213" i="24"/>
  <c r="B213" i="24"/>
  <c r="C214" i="24" l="1" a="1"/>
  <c r="C214" i="24" s="1"/>
  <c r="E214" i="24" a="1"/>
  <c r="E214" i="24" s="1"/>
  <c r="C215" i="24" a="1"/>
  <c r="C215" i="24" s="1"/>
  <c r="E215" i="24" a="1"/>
  <c r="E215" i="24" s="1"/>
  <c r="H215" i="24"/>
  <c r="F215" i="24"/>
  <c r="G215" i="24"/>
  <c r="A217" i="24"/>
  <c r="D217" i="24" s="1" a="1"/>
  <c r="D217" i="24" s="1"/>
  <c r="B215" i="24"/>
  <c r="G214" i="24"/>
  <c r="B214" i="24"/>
  <c r="H214" i="24"/>
  <c r="F214" i="24"/>
  <c r="A216" i="24"/>
  <c r="D216" i="24" s="1" a="1"/>
  <c r="D216" i="24" s="1"/>
  <c r="C216" i="24" l="1" a="1"/>
  <c r="C216" i="24" s="1"/>
  <c r="E216" i="24" a="1"/>
  <c r="E216" i="24" s="1"/>
  <c r="C217" i="24" a="1"/>
  <c r="C217" i="24" s="1"/>
  <c r="E217" i="24" a="1"/>
  <c r="E217" i="24" s="1"/>
  <c r="F216" i="24"/>
  <c r="A218" i="24"/>
  <c r="D218" i="24" s="1" a="1"/>
  <c r="D218" i="24" s="1"/>
  <c r="H216" i="24"/>
  <c r="B216" i="24"/>
  <c r="G216" i="24"/>
  <c r="A219" i="24"/>
  <c r="D219" i="24" s="1" a="1"/>
  <c r="D219" i="24" s="1"/>
  <c r="H217" i="24"/>
  <c r="G217" i="24"/>
  <c r="F217" i="24"/>
  <c r="B217" i="24"/>
  <c r="C218" i="24" l="1" a="1"/>
  <c r="C218" i="24" s="1"/>
  <c r="E218" i="24" a="1"/>
  <c r="E218" i="24" s="1"/>
  <c r="C219" i="24" a="1"/>
  <c r="C219" i="24" s="1"/>
  <c r="E219" i="24" a="1"/>
  <c r="E219" i="24" s="1"/>
  <c r="H218" i="24"/>
  <c r="G218" i="24"/>
  <c r="B218" i="24"/>
  <c r="F218" i="24"/>
  <c r="A220" i="24"/>
  <c r="D220" i="24" s="1" a="1"/>
  <c r="D220" i="24" s="1"/>
  <c r="F219" i="24"/>
  <c r="A221" i="24"/>
  <c r="D221" i="24" s="1" a="1"/>
  <c r="D221" i="24" s="1"/>
  <c r="H219" i="24"/>
  <c r="G219" i="24"/>
  <c r="B219" i="24"/>
  <c r="C220" i="24" l="1" a="1"/>
  <c r="C220" i="24" s="1"/>
  <c r="E220" i="24" a="1"/>
  <c r="E220" i="24" s="1"/>
  <c r="C221" i="24" a="1"/>
  <c r="C221" i="24" s="1"/>
  <c r="E221" i="24" a="1"/>
  <c r="E221" i="24" s="1"/>
  <c r="B220" i="24"/>
  <c r="G220" i="24"/>
  <c r="F220" i="24"/>
  <c r="H220" i="24"/>
  <c r="A222" i="24"/>
  <c r="D222" i="24" s="1" a="1"/>
  <c r="D222" i="24" s="1"/>
  <c r="H221" i="24"/>
  <c r="B221" i="24"/>
  <c r="F221" i="24"/>
  <c r="G221" i="24"/>
  <c r="A223" i="24"/>
  <c r="D223" i="24" s="1" a="1"/>
  <c r="D223" i="24" s="1"/>
  <c r="C223" i="24" l="1" a="1"/>
  <c r="C223" i="24" s="1"/>
  <c r="E223" i="24" a="1"/>
  <c r="E223" i="24" s="1"/>
  <c r="C222" i="24" a="1"/>
  <c r="C222" i="24" s="1"/>
  <c r="E222" i="24" a="1"/>
  <c r="E222" i="24" s="1"/>
  <c r="A224" i="24"/>
  <c r="D224" i="24" s="1" a="1"/>
  <c r="D224" i="24" s="1"/>
  <c r="H222" i="24"/>
  <c r="G222" i="24"/>
  <c r="B222" i="24"/>
  <c r="F222" i="24"/>
  <c r="A225" i="24"/>
  <c r="D225" i="24" s="1" a="1"/>
  <c r="D225" i="24" s="1"/>
  <c r="H223" i="24"/>
  <c r="G223" i="24"/>
  <c r="B223" i="24"/>
  <c r="F223" i="24"/>
  <c r="C224" i="24" l="1" a="1"/>
  <c r="C224" i="24" s="1"/>
  <c r="E224" i="24" a="1"/>
  <c r="E224" i="24" s="1"/>
  <c r="C225" i="24" a="1"/>
  <c r="C225" i="24" s="1"/>
  <c r="E225" i="24" a="1"/>
  <c r="E225" i="24" s="1"/>
  <c r="G225" i="24"/>
  <c r="B225" i="24"/>
  <c r="F225" i="24"/>
  <c r="A227" i="24"/>
  <c r="D227" i="24" s="1" a="1"/>
  <c r="D227" i="24" s="1"/>
  <c r="H225" i="24"/>
  <c r="H224" i="24"/>
  <c r="G224" i="24"/>
  <c r="B224" i="24"/>
  <c r="F224" i="24"/>
  <c r="A226" i="24"/>
  <c r="D226" i="24" s="1" a="1"/>
  <c r="D226" i="24" s="1"/>
  <c r="C227" i="24" l="1" a="1"/>
  <c r="C227" i="24" s="1"/>
  <c r="E227" i="24" a="1"/>
  <c r="E227" i="24" s="1"/>
  <c r="C226" i="24" a="1"/>
  <c r="C226" i="24" s="1"/>
  <c r="E226" i="24" a="1"/>
  <c r="E226" i="24" s="1"/>
  <c r="H226" i="24"/>
  <c r="G226" i="24"/>
  <c r="B226" i="24"/>
  <c r="F226" i="24"/>
  <c r="A228" i="24"/>
  <c r="D228" i="24" s="1" a="1"/>
  <c r="D228" i="24" s="1"/>
  <c r="F227" i="24"/>
  <c r="A229" i="24"/>
  <c r="D229" i="24" s="1" a="1"/>
  <c r="D229" i="24" s="1"/>
  <c r="H227" i="24"/>
  <c r="G227" i="24"/>
  <c r="B227" i="24"/>
  <c r="C229" i="24" l="1" a="1"/>
  <c r="C229" i="24" s="1"/>
  <c r="E229" i="24" a="1"/>
  <c r="E229" i="24" s="1"/>
  <c r="C228" i="24" a="1"/>
  <c r="C228" i="24" s="1"/>
  <c r="E228" i="24" a="1"/>
  <c r="E228" i="24" s="1"/>
  <c r="B228" i="24"/>
  <c r="A230" i="24"/>
  <c r="D230" i="24" s="1" a="1"/>
  <c r="D230" i="24" s="1"/>
  <c r="F228" i="24"/>
  <c r="H228" i="24"/>
  <c r="G228" i="24"/>
  <c r="H229" i="24"/>
  <c r="F229" i="24"/>
  <c r="G229" i="24"/>
  <c r="B229" i="24"/>
  <c r="A231" i="24"/>
  <c r="D231" i="24" s="1" a="1"/>
  <c r="D231" i="24" s="1"/>
  <c r="C230" i="24" l="1" a="1"/>
  <c r="C230" i="24" s="1"/>
  <c r="E230" i="24" a="1"/>
  <c r="E230" i="24" s="1"/>
  <c r="C231" i="24" a="1"/>
  <c r="C231" i="24" s="1"/>
  <c r="E231" i="24" a="1"/>
  <c r="E231" i="24" s="1"/>
  <c r="G231" i="24"/>
  <c r="F231" i="24"/>
  <c r="A233" i="24"/>
  <c r="D233" i="24" s="1" a="1"/>
  <c r="D233" i="24" s="1"/>
  <c r="B231" i="24"/>
  <c r="H231" i="24"/>
  <c r="A232" i="24"/>
  <c r="D232" i="24" s="1" a="1"/>
  <c r="D232" i="24" s="1"/>
  <c r="H230" i="24"/>
  <c r="G230" i="24"/>
  <c r="F230" i="24"/>
  <c r="B230" i="24"/>
  <c r="C232" i="24" l="1" a="1"/>
  <c r="C232" i="24" s="1"/>
  <c r="E232" i="24" a="1"/>
  <c r="E232" i="24" s="1"/>
  <c r="C233" i="24" a="1"/>
  <c r="C233" i="24" s="1"/>
  <c r="E233" i="24" a="1"/>
  <c r="E233" i="24" s="1"/>
  <c r="F233" i="24"/>
  <c r="H233" i="24"/>
  <c r="G233" i="24"/>
  <c r="B233" i="24"/>
  <c r="A235" i="24"/>
  <c r="D235" i="24" s="1" a="1"/>
  <c r="D235" i="24" s="1"/>
  <c r="A234" i="24"/>
  <c r="D234" i="24" s="1" a="1"/>
  <c r="D234" i="24" s="1"/>
  <c r="B232" i="24"/>
  <c r="H232" i="24"/>
  <c r="G232" i="24"/>
  <c r="F232" i="24"/>
  <c r="C234" i="24" l="1" a="1"/>
  <c r="C234" i="24" s="1"/>
  <c r="E234" i="24" a="1"/>
  <c r="E234" i="24" s="1"/>
  <c r="C235" i="24" a="1"/>
  <c r="C235" i="24" s="1"/>
  <c r="E235" i="24" a="1"/>
  <c r="E235" i="24" s="1"/>
  <c r="A237" i="24"/>
  <c r="D237" i="24" s="1" a="1"/>
  <c r="D237" i="24" s="1"/>
  <c r="G235" i="24"/>
  <c r="B235" i="24"/>
  <c r="F235" i="24"/>
  <c r="H235" i="24"/>
  <c r="F234" i="24"/>
  <c r="H234" i="24"/>
  <c r="A236" i="24"/>
  <c r="D236" i="24" s="1" a="1"/>
  <c r="D236" i="24" s="1"/>
  <c r="G234" i="24"/>
  <c r="B234" i="24"/>
  <c r="C236" i="24" l="1" a="1"/>
  <c r="C236" i="24" s="1"/>
  <c r="E236" i="24" a="1"/>
  <c r="E236" i="24" s="1"/>
  <c r="C237" i="24" a="1"/>
  <c r="C237" i="24" s="1"/>
  <c r="E237" i="24" a="1"/>
  <c r="E237" i="24" s="1"/>
  <c r="H236" i="24"/>
  <c r="A238" i="24"/>
  <c r="D238" i="24" s="1" a="1"/>
  <c r="D238" i="24" s="1"/>
  <c r="G236" i="24"/>
  <c r="B236" i="24"/>
  <c r="F236" i="24"/>
  <c r="A239" i="24"/>
  <c r="D239" i="24" s="1" a="1"/>
  <c r="D239" i="24" s="1"/>
  <c r="G237" i="24"/>
  <c r="F237" i="24"/>
  <c r="H237" i="24"/>
  <c r="B237" i="24"/>
  <c r="C238" i="24" l="1" a="1"/>
  <c r="C238" i="24" s="1"/>
  <c r="E238" i="24" a="1"/>
  <c r="E238" i="24" s="1"/>
  <c r="C239" i="24" a="1"/>
  <c r="C239" i="24" s="1"/>
  <c r="E239" i="24" a="1"/>
  <c r="E239" i="24" s="1"/>
  <c r="A240" i="24"/>
  <c r="D240" i="24" s="1" a="1"/>
  <c r="D240" i="24" s="1"/>
  <c r="H238" i="24"/>
  <c r="F238" i="24"/>
  <c r="B238" i="24"/>
  <c r="G238" i="24"/>
  <c r="F239" i="24"/>
  <c r="G239" i="24"/>
  <c r="A241" i="24"/>
  <c r="D241" i="24" s="1" a="1"/>
  <c r="D241" i="24" s="1"/>
  <c r="H239" i="24"/>
  <c r="B239" i="24"/>
  <c r="C241" i="24" l="1" a="1"/>
  <c r="C241" i="24" s="1"/>
  <c r="E241" i="24" a="1"/>
  <c r="E241" i="24" s="1"/>
  <c r="C240" i="24" a="1"/>
  <c r="C240" i="24" s="1"/>
  <c r="E240" i="24" a="1"/>
  <c r="E240" i="24" s="1"/>
  <c r="H241" i="24"/>
  <c r="A243" i="24"/>
  <c r="D243" i="24" s="1" a="1"/>
  <c r="D243" i="24" s="1"/>
  <c r="B241" i="24"/>
  <c r="F241" i="24"/>
  <c r="G241" i="24"/>
  <c r="G240" i="24"/>
  <c r="B240" i="24"/>
  <c r="A242" i="24"/>
  <c r="D242" i="24" s="1" a="1"/>
  <c r="D242" i="24" s="1"/>
  <c r="H240" i="24"/>
  <c r="F240" i="24"/>
  <c r="C242" i="24" l="1" a="1"/>
  <c r="C242" i="24" s="1"/>
  <c r="E242" i="24" a="1"/>
  <c r="E242" i="24" s="1"/>
  <c r="C243" i="24" a="1"/>
  <c r="C243" i="24" s="1"/>
  <c r="E243" i="24" a="1"/>
  <c r="E243" i="24" s="1"/>
  <c r="F242" i="24"/>
  <c r="A244" i="24"/>
  <c r="D244" i="24" s="1" a="1"/>
  <c r="D244" i="24" s="1"/>
  <c r="H242" i="24"/>
  <c r="B242" i="24"/>
  <c r="G242" i="24"/>
  <c r="A245" i="24"/>
  <c r="D245" i="24" s="1" a="1"/>
  <c r="D245" i="24" s="1"/>
  <c r="B243" i="24"/>
  <c r="F243" i="24"/>
  <c r="G243" i="24"/>
  <c r="H243" i="24"/>
  <c r="C244" i="24" l="1" a="1"/>
  <c r="C244" i="24" s="1"/>
  <c r="E244" i="24" a="1"/>
  <c r="E244" i="24" s="1"/>
  <c r="C245" i="24" a="1"/>
  <c r="C245" i="24" s="1"/>
  <c r="E245" i="24" a="1"/>
  <c r="E245" i="24" s="1"/>
  <c r="H244" i="24"/>
  <c r="B244" i="24"/>
  <c r="A246" i="24"/>
  <c r="D246" i="24" s="1" a="1"/>
  <c r="D246" i="24" s="1"/>
  <c r="G244" i="24"/>
  <c r="F244" i="24"/>
  <c r="A247" i="24"/>
  <c r="D247" i="24" s="1" a="1"/>
  <c r="D247" i="24" s="1"/>
  <c r="H245" i="24"/>
  <c r="G245" i="24"/>
  <c r="B245" i="24"/>
  <c r="F245" i="24"/>
  <c r="C247" i="24" l="1" a="1"/>
  <c r="C247" i="24" s="1"/>
  <c r="E247" i="24" a="1"/>
  <c r="E247" i="24" s="1"/>
  <c r="C246" i="24" a="1"/>
  <c r="C246" i="24" s="1"/>
  <c r="E246" i="24" a="1"/>
  <c r="E246" i="24" s="1"/>
  <c r="A248" i="24"/>
  <c r="D248" i="24" s="1" a="1"/>
  <c r="D248" i="24" s="1"/>
  <c r="H246" i="24"/>
  <c r="B246" i="24"/>
  <c r="F246" i="24"/>
  <c r="G246" i="24"/>
  <c r="F247" i="24"/>
  <c r="A249" i="24"/>
  <c r="D249" i="24" s="1" a="1"/>
  <c r="D249" i="24" s="1"/>
  <c r="G247" i="24"/>
  <c r="B247" i="24"/>
  <c r="H247" i="24"/>
  <c r="C248" i="24" l="1" a="1"/>
  <c r="C248" i="24" s="1"/>
  <c r="E248" i="24" a="1"/>
  <c r="E248" i="24" s="1"/>
  <c r="C249" i="24" a="1"/>
  <c r="C249" i="24" s="1"/>
  <c r="E249" i="24" a="1"/>
  <c r="E249" i="24" s="1"/>
  <c r="H249" i="24"/>
  <c r="G249" i="24"/>
  <c r="B249" i="24"/>
  <c r="A251" i="24"/>
  <c r="D251" i="24" s="1" a="1"/>
  <c r="D251" i="24" s="1"/>
  <c r="F249" i="24"/>
  <c r="G248" i="24"/>
  <c r="A250" i="24"/>
  <c r="D250" i="24" s="1" a="1"/>
  <c r="D250" i="24" s="1"/>
  <c r="B248" i="24"/>
  <c r="F248" i="24"/>
  <c r="H248" i="24"/>
  <c r="C250" i="24" l="1" a="1"/>
  <c r="C250" i="24" s="1"/>
  <c r="E250" i="24" a="1"/>
  <c r="E250" i="24" s="1"/>
  <c r="C251" i="24" a="1"/>
  <c r="C251" i="24" s="1"/>
  <c r="E251" i="24" a="1"/>
  <c r="E251" i="24" s="1"/>
  <c r="F250" i="24"/>
  <c r="G250" i="24"/>
  <c r="A252" i="24"/>
  <c r="D252" i="24" s="1" a="1"/>
  <c r="D252" i="24" s="1"/>
  <c r="H250" i="24"/>
  <c r="B250" i="24"/>
  <c r="A253" i="24"/>
  <c r="D253" i="24" s="1" a="1"/>
  <c r="D253" i="24" s="1"/>
  <c r="B251" i="24"/>
  <c r="H251" i="24"/>
  <c r="G251" i="24"/>
  <c r="F251" i="24"/>
  <c r="C253" i="24" l="1" a="1"/>
  <c r="C253" i="24" s="1"/>
  <c r="E253" i="24" a="1"/>
  <c r="E253" i="24" s="1"/>
  <c r="C252" i="24" a="1"/>
  <c r="C252" i="24" s="1"/>
  <c r="E252" i="24" a="1"/>
  <c r="E252" i="24" s="1"/>
  <c r="H252" i="24"/>
  <c r="A254" i="24"/>
  <c r="D254" i="24" s="1" a="1"/>
  <c r="D254" i="24" s="1"/>
  <c r="G252" i="24"/>
  <c r="B252" i="24"/>
  <c r="F252" i="24"/>
  <c r="A255" i="24"/>
  <c r="D255" i="24" s="1" a="1"/>
  <c r="D255" i="24" s="1"/>
  <c r="G253" i="24"/>
  <c r="B253" i="24"/>
  <c r="H253" i="24"/>
  <c r="F253" i="24"/>
  <c r="C255" i="24" l="1" a="1"/>
  <c r="C255" i="24" s="1"/>
  <c r="E255" i="24" a="1"/>
  <c r="E255" i="24" s="1"/>
  <c r="C254" i="24" a="1"/>
  <c r="C254" i="24" s="1"/>
  <c r="E254" i="24" a="1"/>
  <c r="E254" i="24" s="1"/>
  <c r="G254" i="24"/>
  <c r="H254" i="24"/>
  <c r="B254" i="24"/>
  <c r="A256" i="24"/>
  <c r="D256" i="24" s="1" a="1"/>
  <c r="D256" i="24" s="1"/>
  <c r="F254" i="24"/>
  <c r="H255" i="24"/>
  <c r="F255" i="24"/>
  <c r="G255" i="24"/>
  <c r="B255" i="24"/>
  <c r="A257" i="24"/>
  <c r="D257" i="24" s="1" a="1"/>
  <c r="D257" i="24" s="1"/>
  <c r="C257" i="24" l="1" a="1"/>
  <c r="C257" i="24" s="1"/>
  <c r="E257" i="24" a="1"/>
  <c r="E257" i="24" s="1"/>
  <c r="C256" i="24" a="1"/>
  <c r="C256" i="24" s="1"/>
  <c r="E256" i="24" a="1"/>
  <c r="E256" i="24" s="1"/>
  <c r="H257" i="24"/>
  <c r="F257" i="24"/>
  <c r="A259" i="24"/>
  <c r="D259" i="24" s="1" a="1"/>
  <c r="D259" i="24" s="1"/>
  <c r="G257" i="24"/>
  <c r="B257" i="24"/>
  <c r="G256" i="24"/>
  <c r="F256" i="24"/>
  <c r="H256" i="24"/>
  <c r="B256" i="24"/>
  <c r="A258" i="24"/>
  <c r="D258" i="24" s="1" a="1"/>
  <c r="D258" i="24" s="1"/>
  <c r="C258" i="24" l="1" a="1"/>
  <c r="C258" i="24" s="1"/>
  <c r="E258" i="24" a="1"/>
  <c r="E258" i="24" s="1"/>
  <c r="C259" i="24" a="1"/>
  <c r="C259" i="24" s="1"/>
  <c r="E259" i="24" a="1"/>
  <c r="E259" i="24" s="1"/>
  <c r="A261" i="24"/>
  <c r="D261" i="24" s="1" a="1"/>
  <c r="D261" i="24" s="1"/>
  <c r="F259" i="24"/>
  <c r="G259" i="24"/>
  <c r="B259" i="24"/>
  <c r="H259" i="24"/>
  <c r="F258" i="24"/>
  <c r="B258" i="24"/>
  <c r="A260" i="24"/>
  <c r="D260" i="24" s="1" a="1"/>
  <c r="D260" i="24" s="1"/>
  <c r="H258" i="24"/>
  <c r="G258" i="24"/>
  <c r="C260" i="24" l="1" a="1"/>
  <c r="C260" i="24" s="1"/>
  <c r="E260" i="24" a="1"/>
  <c r="E260" i="24" s="1"/>
  <c r="C261" i="24" a="1"/>
  <c r="C261" i="24" s="1"/>
  <c r="E261" i="24" a="1"/>
  <c r="E261" i="24" s="1"/>
  <c r="H260" i="24"/>
  <c r="B260" i="24"/>
  <c r="A262" i="24"/>
  <c r="D262" i="24" s="1" a="1"/>
  <c r="D262" i="24" s="1"/>
  <c r="G260" i="24"/>
  <c r="F260" i="24"/>
  <c r="A263" i="24"/>
  <c r="D263" i="24" s="1" a="1"/>
  <c r="D263" i="24" s="1"/>
  <c r="H261" i="24"/>
  <c r="B261" i="24"/>
  <c r="F261" i="24"/>
  <c r="G261" i="24"/>
  <c r="C263" i="24" l="1" a="1"/>
  <c r="C263" i="24" s="1"/>
  <c r="E263" i="24" a="1"/>
  <c r="E263" i="24" s="1"/>
  <c r="C262" i="24" a="1"/>
  <c r="C262" i="24" s="1"/>
  <c r="E262" i="24" a="1"/>
  <c r="E262" i="24" s="1"/>
  <c r="A264" i="24"/>
  <c r="D264" i="24" s="1" a="1"/>
  <c r="D264" i="24" s="1"/>
  <c r="G262" i="24"/>
  <c r="F262" i="24"/>
  <c r="H262" i="24"/>
  <c r="B262" i="24"/>
  <c r="F263" i="24"/>
  <c r="A265" i="24"/>
  <c r="D265" i="24" s="1" a="1"/>
  <c r="D265" i="24" s="1"/>
  <c r="H263" i="24"/>
  <c r="B263" i="24"/>
  <c r="G263" i="24"/>
  <c r="C264" i="24" l="1" a="1"/>
  <c r="C264" i="24" s="1"/>
  <c r="E264" i="24" a="1"/>
  <c r="E264" i="24" s="1"/>
  <c r="C265" i="24" a="1"/>
  <c r="C265" i="24" s="1"/>
  <c r="E265" i="24" a="1"/>
  <c r="E265" i="24" s="1"/>
  <c r="H265" i="24"/>
  <c r="G265" i="24"/>
  <c r="F265" i="24"/>
  <c r="A267" i="24"/>
  <c r="D267" i="24" s="1" a="1"/>
  <c r="D267" i="24" s="1"/>
  <c r="B265" i="24"/>
  <c r="G264" i="24"/>
  <c r="F264" i="24"/>
  <c r="H264" i="24"/>
  <c r="B264" i="24"/>
  <c r="A266" i="24"/>
  <c r="D266" i="24" s="1" a="1"/>
  <c r="D266" i="24" s="1"/>
  <c r="C266" i="24" l="1" a="1"/>
  <c r="C266" i="24" s="1"/>
  <c r="E266" i="24" a="1"/>
  <c r="E266" i="24" s="1"/>
  <c r="C267" i="24" a="1"/>
  <c r="C267" i="24" s="1"/>
  <c r="E267" i="24" a="1"/>
  <c r="E267" i="24" s="1"/>
  <c r="F266" i="24"/>
  <c r="A268" i="24"/>
  <c r="D268" i="24" s="1" a="1"/>
  <c r="D268" i="24" s="1"/>
  <c r="H266" i="24"/>
  <c r="G266" i="24"/>
  <c r="B266" i="24"/>
  <c r="A269" i="24"/>
  <c r="D269" i="24" s="1" a="1"/>
  <c r="D269" i="24" s="1"/>
  <c r="G267" i="24"/>
  <c r="B267" i="24"/>
  <c r="F267" i="24"/>
  <c r="H267" i="24"/>
  <c r="C268" i="24" l="1" a="1"/>
  <c r="C268" i="24" s="1"/>
  <c r="E268" i="24" a="1"/>
  <c r="E268" i="24" s="1"/>
  <c r="C269" i="24" a="1"/>
  <c r="C269" i="24" s="1"/>
  <c r="E269" i="24" a="1"/>
  <c r="E269" i="24" s="1"/>
  <c r="H268" i="24"/>
  <c r="A270" i="24"/>
  <c r="D270" i="24" s="1" a="1"/>
  <c r="D270" i="24" s="1"/>
  <c r="G268" i="24"/>
  <c r="B268" i="24"/>
  <c r="F268" i="24"/>
  <c r="A271" i="24"/>
  <c r="D271" i="24" s="1" a="1"/>
  <c r="D271" i="24" s="1"/>
  <c r="H269" i="24"/>
  <c r="G269" i="24"/>
  <c r="B269" i="24"/>
  <c r="F269" i="24"/>
  <c r="C270" i="24" l="1" a="1"/>
  <c r="C270" i="24" s="1"/>
  <c r="E270" i="24" a="1"/>
  <c r="E270" i="24" s="1"/>
  <c r="C271" i="24" a="1"/>
  <c r="C271" i="24" s="1"/>
  <c r="E271" i="24" a="1"/>
  <c r="E271" i="24" s="1"/>
  <c r="A272" i="24"/>
  <c r="D272" i="24" s="1" a="1"/>
  <c r="D272" i="24" s="1"/>
  <c r="F270" i="24"/>
  <c r="B270" i="24"/>
  <c r="H270" i="24"/>
  <c r="G270" i="24"/>
  <c r="F271" i="24"/>
  <c r="A273" i="24"/>
  <c r="D273" i="24" s="1" a="1"/>
  <c r="D273" i="24" s="1"/>
  <c r="H271" i="24"/>
  <c r="G271" i="24"/>
  <c r="B271" i="24"/>
  <c r="C272" i="24" l="1" a="1"/>
  <c r="C272" i="24" s="1"/>
  <c r="E272" i="24" a="1"/>
  <c r="E272" i="24" s="1"/>
  <c r="C273" i="24" a="1"/>
  <c r="C273" i="24" s="1"/>
  <c r="E273" i="24" a="1"/>
  <c r="E273" i="24" s="1"/>
  <c r="H273" i="24"/>
  <c r="B273" i="24"/>
  <c r="G273" i="24"/>
  <c r="F273" i="24"/>
  <c r="A275" i="24"/>
  <c r="D275" i="24" s="1" a="1"/>
  <c r="D275" i="24" s="1"/>
  <c r="G272" i="24"/>
  <c r="B272" i="24"/>
  <c r="F272" i="24"/>
  <c r="A274" i="24"/>
  <c r="D274" i="24" s="1" a="1"/>
  <c r="D274" i="24" s="1"/>
  <c r="H272" i="24"/>
  <c r="C275" i="24" l="1" a="1"/>
  <c r="C275" i="24" s="1"/>
  <c r="E275" i="24" a="1"/>
  <c r="E275" i="24" s="1"/>
  <c r="C274" i="24" a="1"/>
  <c r="C274" i="24" s="1"/>
  <c r="E274" i="24" a="1"/>
  <c r="E274" i="24" s="1"/>
  <c r="A277" i="24"/>
  <c r="D277" i="24" s="1" a="1"/>
  <c r="D277" i="24" s="1"/>
  <c r="H275" i="24"/>
  <c r="G275" i="24"/>
  <c r="B275" i="24"/>
  <c r="F275" i="24"/>
  <c r="F274" i="24"/>
  <c r="B274" i="24"/>
  <c r="A276" i="24"/>
  <c r="D276" i="24" s="1" a="1"/>
  <c r="D276" i="24" s="1"/>
  <c r="H274" i="24"/>
  <c r="G274" i="24"/>
  <c r="C277" i="24" l="1" a="1"/>
  <c r="C277" i="24" s="1"/>
  <c r="E277" i="24" a="1"/>
  <c r="E277" i="24" s="1"/>
  <c r="C276" i="24" a="1"/>
  <c r="C276" i="24" s="1"/>
  <c r="E276" i="24" a="1"/>
  <c r="E276" i="24" s="1"/>
  <c r="H276" i="24"/>
  <c r="B276" i="24"/>
  <c r="F276" i="24"/>
  <c r="G276" i="24"/>
  <c r="A278" i="24"/>
  <c r="D278" i="24" s="1" a="1"/>
  <c r="D278" i="24" s="1"/>
  <c r="A279" i="24"/>
  <c r="D279" i="24" s="1" a="1"/>
  <c r="D279" i="24" s="1"/>
  <c r="B277" i="24"/>
  <c r="H277" i="24"/>
  <c r="G277" i="24"/>
  <c r="F277" i="24"/>
  <c r="C278" i="24" l="1" a="1"/>
  <c r="C278" i="24" s="1"/>
  <c r="E278" i="24" a="1"/>
  <c r="E278" i="24" s="1"/>
  <c r="C279" i="24" a="1"/>
  <c r="C279" i="24" s="1"/>
  <c r="E279" i="24" a="1"/>
  <c r="E279" i="24" s="1"/>
  <c r="A280" i="24"/>
  <c r="D280" i="24" s="1" a="1"/>
  <c r="D280" i="24" s="1"/>
  <c r="G278" i="24"/>
  <c r="F278" i="24"/>
  <c r="H278" i="24"/>
  <c r="B278" i="24"/>
  <c r="F279" i="24"/>
  <c r="H279" i="24"/>
  <c r="B279" i="24"/>
  <c r="A281" i="24"/>
  <c r="D281" i="24" s="1" a="1"/>
  <c r="D281" i="24" s="1"/>
  <c r="G279" i="24"/>
  <c r="C280" i="24" l="1" a="1"/>
  <c r="C280" i="24" s="1"/>
  <c r="E280" i="24" a="1"/>
  <c r="E280" i="24" s="1"/>
  <c r="C281" i="24" a="1"/>
  <c r="C281" i="24" s="1"/>
  <c r="E281" i="24" a="1"/>
  <c r="E281" i="24" s="1"/>
  <c r="H281" i="24"/>
  <c r="G281" i="24"/>
  <c r="A283" i="24"/>
  <c r="D283" i="24" s="1" a="1"/>
  <c r="D283" i="24" s="1"/>
  <c r="F281" i="24"/>
  <c r="B281" i="24"/>
  <c r="G280" i="24"/>
  <c r="F280" i="24"/>
  <c r="H280" i="24"/>
  <c r="B280" i="24"/>
  <c r="A282" i="24"/>
  <c r="D282" i="24" s="1" a="1"/>
  <c r="D282" i="24" s="1"/>
  <c r="C282" i="24" l="1" a="1"/>
  <c r="C282" i="24" s="1"/>
  <c r="E282" i="24" a="1"/>
  <c r="E282" i="24" s="1"/>
  <c r="C283" i="24" a="1"/>
  <c r="C283" i="24" s="1"/>
  <c r="E283" i="24" a="1"/>
  <c r="E283" i="24" s="1"/>
  <c r="F282" i="24"/>
  <c r="A284" i="24"/>
  <c r="D284" i="24" s="1" a="1"/>
  <c r="D284" i="24" s="1"/>
  <c r="B282" i="24"/>
  <c r="G282" i="24"/>
  <c r="H282" i="24"/>
  <c r="A285" i="24"/>
  <c r="D285" i="24" s="1" a="1"/>
  <c r="D285" i="24" s="1"/>
  <c r="B283" i="24"/>
  <c r="G283" i="24"/>
  <c r="F283" i="24"/>
  <c r="H283" i="24"/>
  <c r="C284" i="24" l="1" a="1"/>
  <c r="C284" i="24" s="1"/>
  <c r="E284" i="24" a="1"/>
  <c r="E284" i="24" s="1"/>
  <c r="C285" i="24" a="1"/>
  <c r="C285" i="24" s="1"/>
  <c r="E285" i="24" a="1"/>
  <c r="E285" i="24" s="1"/>
  <c r="H284" i="24"/>
  <c r="G284" i="24"/>
  <c r="B284" i="24"/>
  <c r="A286" i="24"/>
  <c r="D286" i="24" s="1" a="1"/>
  <c r="D286" i="24" s="1"/>
  <c r="F284" i="24"/>
  <c r="B285" i="24"/>
  <c r="G285" i="24"/>
  <c r="F285" i="24"/>
  <c r="A287" i="24"/>
  <c r="D287" i="24" s="1" a="1"/>
  <c r="D287" i="24" s="1"/>
  <c r="H285" i="24"/>
  <c r="C286" i="24" l="1" a="1"/>
  <c r="C286" i="24" s="1"/>
  <c r="E286" i="24" a="1"/>
  <c r="E286" i="24" s="1"/>
  <c r="C287" i="24" a="1"/>
  <c r="C287" i="24" s="1"/>
  <c r="E287" i="24" a="1"/>
  <c r="E287" i="24" s="1"/>
  <c r="F287" i="24"/>
  <c r="H287" i="24"/>
  <c r="A289" i="24"/>
  <c r="D289" i="24" s="1" a="1"/>
  <c r="D289" i="24" s="1"/>
  <c r="G287" i="24"/>
  <c r="B287" i="24"/>
  <c r="H286" i="24"/>
  <c r="B286" i="24"/>
  <c r="G286" i="24"/>
  <c r="A288" i="24"/>
  <c r="D288" i="24" s="1" a="1"/>
  <c r="D288" i="24" s="1"/>
  <c r="F286" i="24"/>
  <c r="C288" i="24" l="1" a="1"/>
  <c r="C288" i="24" s="1"/>
  <c r="E288" i="24" a="1"/>
  <c r="E288" i="24" s="1"/>
  <c r="C289" i="24" a="1"/>
  <c r="C289" i="24" s="1"/>
  <c r="E289" i="24" a="1"/>
  <c r="E289" i="24" s="1"/>
  <c r="F288" i="24"/>
  <c r="H288" i="24"/>
  <c r="G288" i="24"/>
  <c r="A290" i="24"/>
  <c r="D290" i="24" s="1" a="1"/>
  <c r="D290" i="24" s="1"/>
  <c r="B288" i="24"/>
  <c r="H289" i="24"/>
  <c r="B289" i="24"/>
  <c r="F289" i="24"/>
  <c r="A291" i="24"/>
  <c r="D291" i="24" s="1" a="1"/>
  <c r="D291" i="24" s="1"/>
  <c r="G289" i="24"/>
  <c r="C291" i="24" l="1" a="1"/>
  <c r="C291" i="24" s="1"/>
  <c r="E291" i="24" a="1"/>
  <c r="E291" i="24" s="1"/>
  <c r="C290" i="24" a="1"/>
  <c r="C290" i="24" s="1"/>
  <c r="E290" i="24" a="1"/>
  <c r="E290" i="24" s="1"/>
  <c r="A293" i="24"/>
  <c r="D293" i="24" s="1" a="1"/>
  <c r="D293" i="24" s="1"/>
  <c r="G291" i="24"/>
  <c r="H291" i="24"/>
  <c r="F291" i="24"/>
  <c r="B291" i="24"/>
  <c r="A292" i="24"/>
  <c r="D292" i="24" s="1" a="1"/>
  <c r="D292" i="24" s="1"/>
  <c r="H290" i="24"/>
  <c r="G290" i="24"/>
  <c r="B290" i="24"/>
  <c r="F290" i="24"/>
  <c r="C293" i="24" l="1" a="1"/>
  <c r="C293" i="24" s="1"/>
  <c r="E293" i="24" a="1"/>
  <c r="E293" i="24" s="1"/>
  <c r="C292" i="24" a="1"/>
  <c r="C292" i="24" s="1"/>
  <c r="E292" i="24" a="1"/>
  <c r="E292" i="24" s="1"/>
  <c r="H292" i="24"/>
  <c r="B292" i="24"/>
  <c r="F292" i="24"/>
  <c r="G292" i="24"/>
  <c r="A294" i="24"/>
  <c r="D294" i="24" s="1" a="1"/>
  <c r="D294" i="24" s="1"/>
  <c r="G293" i="24"/>
  <c r="A295" i="24"/>
  <c r="D295" i="24" s="1" a="1"/>
  <c r="D295" i="24" s="1"/>
  <c r="B293" i="24"/>
  <c r="F293" i="24"/>
  <c r="H293" i="24"/>
  <c r="C295" i="24" l="1" a="1"/>
  <c r="C295" i="24" s="1"/>
  <c r="E295" i="24" a="1"/>
  <c r="E295" i="24" s="1"/>
  <c r="C294" i="24" a="1"/>
  <c r="C294" i="24" s="1"/>
  <c r="E294" i="24" a="1"/>
  <c r="E294" i="24" s="1"/>
  <c r="A296" i="24"/>
  <c r="D296" i="24" s="1" a="1"/>
  <c r="D296" i="24" s="1"/>
  <c r="H294" i="24"/>
  <c r="B294" i="24"/>
  <c r="F294" i="24"/>
  <c r="G294" i="24"/>
  <c r="H295" i="24"/>
  <c r="B295" i="24"/>
  <c r="A297" i="24"/>
  <c r="D297" i="24" s="1" a="1"/>
  <c r="D297" i="24" s="1"/>
  <c r="G295" i="24"/>
  <c r="F295" i="24"/>
  <c r="C296" i="24" l="1" a="1"/>
  <c r="C296" i="24" s="1"/>
  <c r="E296" i="24" a="1"/>
  <c r="E296" i="24" s="1"/>
  <c r="C297" i="24" a="1"/>
  <c r="C297" i="24" s="1"/>
  <c r="E297" i="24" a="1"/>
  <c r="E297" i="24" s="1"/>
  <c r="F297" i="24"/>
  <c r="A299" i="24"/>
  <c r="D299" i="24" s="1" a="1"/>
  <c r="D299" i="24" s="1"/>
  <c r="H297" i="24"/>
  <c r="G297" i="24"/>
  <c r="B297" i="24"/>
  <c r="A298" i="24"/>
  <c r="D298" i="24" s="1" a="1"/>
  <c r="D298" i="24" s="1"/>
  <c r="G296" i="24"/>
  <c r="F296" i="24"/>
  <c r="H296" i="24"/>
  <c r="B296" i="24"/>
  <c r="C299" i="24" l="1" a="1"/>
  <c r="C299" i="24" s="1"/>
  <c r="E299" i="24" a="1"/>
  <c r="E299" i="24" s="1"/>
  <c r="C298" i="24" a="1"/>
  <c r="C298" i="24" s="1"/>
  <c r="E298" i="24" a="1"/>
  <c r="E298" i="24" s="1"/>
  <c r="A301" i="24"/>
  <c r="D301" i="24" s="1" a="1"/>
  <c r="D301" i="24" s="1"/>
  <c r="F299" i="24"/>
  <c r="B299" i="24"/>
  <c r="H299" i="24"/>
  <c r="G299" i="24"/>
  <c r="A300" i="24"/>
  <c r="D300" i="24" s="1" a="1"/>
  <c r="D300" i="24" s="1"/>
  <c r="G298" i="24"/>
  <c r="H298" i="24"/>
  <c r="B298" i="24"/>
  <c r="F298" i="24"/>
  <c r="C301" i="24" l="1" a="1"/>
  <c r="C301" i="24" s="1"/>
  <c r="E301" i="24" a="1"/>
  <c r="E301" i="24" s="1"/>
  <c r="C300" i="24" a="1"/>
  <c r="C300" i="24" s="1"/>
  <c r="E300" i="24" a="1"/>
  <c r="E300" i="24" s="1"/>
  <c r="H300" i="24"/>
  <c r="A302" i="24"/>
  <c r="D302" i="24" s="1" a="1"/>
  <c r="D302" i="24" s="1"/>
  <c r="G300" i="24"/>
  <c r="B300" i="24"/>
  <c r="F300" i="24"/>
  <c r="G301" i="24"/>
  <c r="H301" i="24"/>
  <c r="B301" i="24"/>
  <c r="F301" i="24"/>
  <c r="A303" i="24"/>
  <c r="D303" i="24" s="1" a="1"/>
  <c r="D303" i="24" s="1"/>
  <c r="C303" i="24" l="1" a="1"/>
  <c r="C303" i="24" s="1"/>
  <c r="E303" i="24" a="1"/>
  <c r="E303" i="24" s="1"/>
  <c r="C302" i="24" a="1"/>
  <c r="C302" i="24" s="1"/>
  <c r="E302" i="24" a="1"/>
  <c r="E302" i="24" s="1"/>
  <c r="F303" i="24"/>
  <c r="A305" i="24"/>
  <c r="D305" i="24" s="1" a="1"/>
  <c r="D305" i="24" s="1"/>
  <c r="H303" i="24"/>
  <c r="B303" i="24"/>
  <c r="G303" i="24"/>
  <c r="H302" i="24"/>
  <c r="B302" i="24"/>
  <c r="G302" i="24"/>
  <c r="A304" i="24"/>
  <c r="D304" i="24" s="1" a="1"/>
  <c r="D304" i="24" s="1"/>
  <c r="F302" i="24"/>
  <c r="C305" i="24" l="1" a="1"/>
  <c r="C305" i="24" s="1"/>
  <c r="E305" i="24" a="1"/>
  <c r="E305" i="24" s="1"/>
  <c r="C304" i="24" a="1"/>
  <c r="C304" i="24" s="1"/>
  <c r="E304" i="24" a="1"/>
  <c r="E304" i="24" s="1"/>
  <c r="F304" i="24"/>
  <c r="H304" i="24"/>
  <c r="A306" i="24"/>
  <c r="D306" i="24" s="1" a="1"/>
  <c r="D306" i="24" s="1"/>
  <c r="G304" i="24"/>
  <c r="B304" i="24"/>
  <c r="H305" i="24"/>
  <c r="G305" i="24"/>
  <c r="B305" i="24"/>
  <c r="F305" i="24"/>
  <c r="A307" i="24"/>
  <c r="D307" i="24" s="1" a="1"/>
  <c r="D307" i="24" s="1"/>
  <c r="C307" i="24" l="1" a="1"/>
  <c r="C307" i="24" s="1"/>
  <c r="E307" i="24" a="1"/>
  <c r="E307" i="24" s="1"/>
  <c r="C306" i="24" a="1"/>
  <c r="C306" i="24" s="1"/>
  <c r="E306" i="24" a="1"/>
  <c r="E306" i="24" s="1"/>
  <c r="A309" i="24"/>
  <c r="D309" i="24" s="1" a="1"/>
  <c r="D309" i="24" s="1"/>
  <c r="H307" i="24"/>
  <c r="F307" i="24"/>
  <c r="G307" i="24"/>
  <c r="B307" i="24"/>
  <c r="A308" i="24"/>
  <c r="D308" i="24" s="1" a="1"/>
  <c r="D308" i="24" s="1"/>
  <c r="H306" i="24"/>
  <c r="G306" i="24"/>
  <c r="B306" i="24"/>
  <c r="F306" i="24"/>
  <c r="C308" i="24" l="1" a="1"/>
  <c r="C308" i="24" s="1"/>
  <c r="E308" i="24" a="1"/>
  <c r="E308" i="24" s="1"/>
  <c r="C309" i="24" a="1"/>
  <c r="C309" i="24" s="1"/>
  <c r="E309" i="24" a="1"/>
  <c r="E309" i="24" s="1"/>
  <c r="H308" i="24"/>
  <c r="G308" i="24"/>
  <c r="B308" i="24"/>
  <c r="F308" i="24"/>
  <c r="A310" i="24"/>
  <c r="D310" i="24" s="1" a="1"/>
  <c r="D310" i="24" s="1"/>
  <c r="G309" i="24"/>
  <c r="B309" i="24"/>
  <c r="F309" i="24"/>
  <c r="A311" i="24"/>
  <c r="D311" i="24" s="1" a="1"/>
  <c r="D311" i="24" s="1"/>
  <c r="H309" i="24"/>
  <c r="C311" i="24" l="1" a="1"/>
  <c r="C311" i="24" s="1"/>
  <c r="E311" i="24" a="1"/>
  <c r="E311" i="24" s="1"/>
  <c r="C310" i="24" a="1"/>
  <c r="C310" i="24" s="1"/>
  <c r="E310" i="24" a="1"/>
  <c r="E310" i="24" s="1"/>
  <c r="H310" i="24"/>
  <c r="G310" i="24"/>
  <c r="B310" i="24"/>
  <c r="F310" i="24"/>
  <c r="A312" i="24"/>
  <c r="D312" i="24" s="1" a="1"/>
  <c r="D312" i="24" s="1"/>
  <c r="F311" i="24"/>
  <c r="A313" i="24"/>
  <c r="D313" i="24" s="1" a="1"/>
  <c r="D313" i="24" s="1"/>
  <c r="H311" i="24"/>
  <c r="B311" i="24"/>
  <c r="G311" i="24"/>
  <c r="C313" i="24" l="1" a="1"/>
  <c r="C313" i="24" s="1"/>
  <c r="E313" i="24" a="1"/>
  <c r="E313" i="24" s="1"/>
  <c r="C312" i="24" a="1"/>
  <c r="C312" i="24" s="1"/>
  <c r="E312" i="24" a="1"/>
  <c r="E312" i="24" s="1"/>
  <c r="A314" i="24"/>
  <c r="D314" i="24" s="1" a="1"/>
  <c r="D314" i="24" s="1"/>
  <c r="G312" i="24"/>
  <c r="B312" i="24"/>
  <c r="F312" i="24"/>
  <c r="H312" i="24"/>
  <c r="F313" i="24"/>
  <c r="A315" i="24"/>
  <c r="D315" i="24" s="1" a="1"/>
  <c r="D315" i="24" s="1"/>
  <c r="H313" i="24"/>
  <c r="G313" i="24"/>
  <c r="B313" i="24"/>
  <c r="C314" i="24" l="1" a="1"/>
  <c r="C314" i="24" s="1"/>
  <c r="E314" i="24" a="1"/>
  <c r="E314" i="24" s="1"/>
  <c r="C315" i="24" a="1"/>
  <c r="C315" i="24" s="1"/>
  <c r="E315" i="24" a="1"/>
  <c r="E315" i="24" s="1"/>
  <c r="A317" i="24"/>
  <c r="D317" i="24" s="1" a="1"/>
  <c r="D317" i="24" s="1"/>
  <c r="H315" i="24"/>
  <c r="F315" i="24"/>
  <c r="G315" i="24"/>
  <c r="B315" i="24"/>
  <c r="A316" i="24"/>
  <c r="D316" i="24" s="1" a="1"/>
  <c r="D316" i="24" s="1"/>
  <c r="H314" i="24"/>
  <c r="G314" i="24"/>
  <c r="B314" i="24"/>
  <c r="F314" i="24"/>
  <c r="C317" i="24" l="1" a="1"/>
  <c r="C317" i="24" s="1"/>
  <c r="E317" i="24" a="1"/>
  <c r="E317" i="24" s="1"/>
  <c r="C316" i="24" a="1"/>
  <c r="C316" i="24" s="1"/>
  <c r="E316" i="24" a="1"/>
  <c r="E316" i="24" s="1"/>
  <c r="H316" i="24"/>
  <c r="B316" i="24"/>
  <c r="A318" i="24"/>
  <c r="D318" i="24" s="1" a="1"/>
  <c r="D318" i="24" s="1"/>
  <c r="G316" i="24"/>
  <c r="F316" i="24"/>
  <c r="G317" i="24"/>
  <c r="B317" i="24"/>
  <c r="H317" i="24"/>
  <c r="A319" i="24"/>
  <c r="D319" i="24" s="1" a="1"/>
  <c r="D319" i="24" s="1"/>
  <c r="F317" i="24"/>
  <c r="C319" i="24" l="1" a="1"/>
  <c r="C319" i="24" s="1"/>
  <c r="E319" i="24" a="1"/>
  <c r="E319" i="24" s="1"/>
  <c r="C318" i="24" a="1"/>
  <c r="C318" i="24" s="1"/>
  <c r="E318" i="24" a="1"/>
  <c r="E318" i="24" s="1"/>
  <c r="F319" i="24"/>
  <c r="A321" i="24"/>
  <c r="D321" i="24" s="1" a="1"/>
  <c r="D321" i="24" s="1"/>
  <c r="H319" i="24"/>
  <c r="G319" i="24"/>
  <c r="B319" i="24"/>
  <c r="H318" i="24"/>
  <c r="G318" i="24"/>
  <c r="B318" i="24"/>
  <c r="F318" i="24"/>
  <c r="A320" i="24"/>
  <c r="D320" i="24" s="1" a="1"/>
  <c r="D320" i="24" s="1"/>
  <c r="C321" i="24" l="1" a="1"/>
  <c r="C321" i="24" s="1"/>
  <c r="E321" i="24" a="1"/>
  <c r="E321" i="24" s="1"/>
  <c r="C320" i="24" a="1"/>
  <c r="C320" i="24" s="1"/>
  <c r="E320" i="24" a="1"/>
  <c r="E320" i="24" s="1"/>
  <c r="F320" i="24"/>
  <c r="H320" i="24"/>
  <c r="G320" i="24"/>
  <c r="B320" i="24"/>
  <c r="A322" i="24"/>
  <c r="D322" i="24" s="1" a="1"/>
  <c r="D322" i="24" s="1"/>
  <c r="H321" i="24"/>
  <c r="G321" i="24"/>
  <c r="B321" i="24"/>
  <c r="F321" i="24"/>
  <c r="A323" i="24"/>
  <c r="D323" i="24" s="1" a="1"/>
  <c r="D323" i="24" s="1"/>
  <c r="C323" i="24" l="1" a="1"/>
  <c r="C323" i="24" s="1"/>
  <c r="E323" i="24" a="1"/>
  <c r="E323" i="24" s="1"/>
  <c r="C322" i="24" a="1"/>
  <c r="C322" i="24" s="1"/>
  <c r="E322" i="24" a="1"/>
  <c r="E322" i="24" s="1"/>
  <c r="A325" i="24"/>
  <c r="D325" i="24" s="1" a="1"/>
  <c r="D325" i="24" s="1"/>
  <c r="H323" i="24"/>
  <c r="F323" i="24"/>
  <c r="G323" i="24"/>
  <c r="B323" i="24"/>
  <c r="A324" i="24"/>
  <c r="D324" i="24" s="1" a="1"/>
  <c r="D324" i="24" s="1"/>
  <c r="H322" i="24"/>
  <c r="G322" i="24"/>
  <c r="B322" i="24"/>
  <c r="F322" i="24"/>
  <c r="C325" i="24" l="1" a="1"/>
  <c r="C325" i="24" s="1"/>
  <c r="E325" i="24" a="1"/>
  <c r="E325" i="24" s="1"/>
  <c r="C324" i="24" a="1"/>
  <c r="C324" i="24" s="1"/>
  <c r="E324" i="24" a="1"/>
  <c r="E324" i="24" s="1"/>
  <c r="H324" i="24"/>
  <c r="G324" i="24"/>
  <c r="B324" i="24"/>
  <c r="F324" i="24"/>
  <c r="A326" i="24"/>
  <c r="D326" i="24" s="1" a="1"/>
  <c r="D326" i="24" s="1"/>
  <c r="G325" i="24"/>
  <c r="B325" i="24"/>
  <c r="F325" i="24"/>
  <c r="A327" i="24"/>
  <c r="D327" i="24" s="1" a="1"/>
  <c r="D327" i="24" s="1"/>
  <c r="H325" i="24"/>
  <c r="C327" i="24" l="1" a="1"/>
  <c r="C327" i="24" s="1"/>
  <c r="E327" i="24" a="1"/>
  <c r="E327" i="24" s="1"/>
  <c r="C326" i="24" a="1"/>
  <c r="C326" i="24" s="1"/>
  <c r="E326" i="24" a="1"/>
  <c r="E326" i="24" s="1"/>
  <c r="H326" i="24"/>
  <c r="B326" i="24"/>
  <c r="A328" i="24"/>
  <c r="D328" i="24" s="1" a="1"/>
  <c r="D328" i="24" s="1"/>
  <c r="G326" i="24"/>
  <c r="F326" i="24"/>
  <c r="F327" i="24"/>
  <c r="A329" i="24"/>
  <c r="D329" i="24" s="1" a="1"/>
  <c r="D329" i="24" s="1"/>
  <c r="H327" i="24"/>
  <c r="G327" i="24"/>
  <c r="B327" i="24"/>
  <c r="C329" i="24" l="1" a="1"/>
  <c r="C329" i="24" s="1"/>
  <c r="E329" i="24" a="1"/>
  <c r="E329" i="24" s="1"/>
  <c r="C328" i="24" a="1"/>
  <c r="C328" i="24" s="1"/>
  <c r="E328" i="24" a="1"/>
  <c r="E328" i="24" s="1"/>
  <c r="A330" i="24"/>
  <c r="D330" i="24" s="1" a="1"/>
  <c r="D330" i="24" s="1"/>
  <c r="G328" i="24"/>
  <c r="B328" i="24"/>
  <c r="H328" i="24"/>
  <c r="F328" i="24"/>
  <c r="F329" i="24"/>
  <c r="A331" i="24"/>
  <c r="D331" i="24" s="1" a="1"/>
  <c r="D331" i="24" s="1"/>
  <c r="H329" i="24"/>
  <c r="G329" i="24"/>
  <c r="B329" i="24"/>
  <c r="C330" i="24" l="1" a="1"/>
  <c r="C330" i="24" s="1"/>
  <c r="E330" i="24" a="1"/>
  <c r="E330" i="24" s="1"/>
  <c r="C331" i="24" a="1"/>
  <c r="C331" i="24" s="1"/>
  <c r="E331" i="24" a="1"/>
  <c r="E331" i="24" s="1"/>
  <c r="A333" i="24"/>
  <c r="D333" i="24" s="1" a="1"/>
  <c r="D333" i="24" s="1"/>
  <c r="H331" i="24"/>
  <c r="F331" i="24"/>
  <c r="G331" i="24"/>
  <c r="B331" i="24"/>
  <c r="A332" i="24"/>
  <c r="D332" i="24" s="1" a="1"/>
  <c r="D332" i="24" s="1"/>
  <c r="H330" i="24"/>
  <c r="G330" i="24"/>
  <c r="B330" i="24"/>
  <c r="F330" i="24"/>
  <c r="E333" i="24" l="1" a="1"/>
  <c r="E333" i="24" s="1"/>
  <c r="C333" i="24" a="1"/>
  <c r="C333" i="24" s="1"/>
  <c r="C332" i="24" a="1"/>
  <c r="C332" i="24" s="1"/>
  <c r="E332" i="24" a="1"/>
  <c r="E332" i="24" s="1"/>
  <c r="A334" i="24"/>
  <c r="D334" i="24" s="1" a="1"/>
  <c r="D334" i="24" s="1"/>
  <c r="G332" i="24"/>
  <c r="B332" i="24"/>
  <c r="H332" i="24"/>
  <c r="F332" i="24"/>
  <c r="F333" i="24"/>
  <c r="A335" i="24"/>
  <c r="D335" i="24" s="1" a="1"/>
  <c r="D335" i="24" s="1"/>
  <c r="H333" i="24"/>
  <c r="G333" i="24"/>
  <c r="B333" i="24"/>
  <c r="C334" i="24" l="1" a="1"/>
  <c r="C334" i="24" s="1"/>
  <c r="E334" i="24" a="1"/>
  <c r="E334" i="24" s="1"/>
  <c r="C335" i="24" a="1"/>
  <c r="C335" i="24" s="1"/>
  <c r="E335" i="24" a="1"/>
  <c r="E335" i="24" s="1"/>
  <c r="F335" i="24"/>
  <c r="A337" i="24"/>
  <c r="D337" i="24" s="1" a="1"/>
  <c r="D337" i="24" s="1"/>
  <c r="H335" i="24"/>
  <c r="G335" i="24"/>
  <c r="B335" i="24"/>
  <c r="H334" i="24"/>
  <c r="G334" i="24"/>
  <c r="B334" i="24"/>
  <c r="A336" i="24"/>
  <c r="D336" i="24" s="1" a="1"/>
  <c r="D336" i="24" s="1"/>
  <c r="F334" i="24"/>
  <c r="C337" i="24" l="1" a="1"/>
  <c r="C337" i="24" s="1"/>
  <c r="E337" i="24" a="1"/>
  <c r="E337" i="24" s="1"/>
  <c r="C336" i="24" a="1"/>
  <c r="C336" i="24" s="1"/>
  <c r="E336" i="24" a="1"/>
  <c r="E336" i="24" s="1"/>
  <c r="F336" i="24"/>
  <c r="H336" i="24"/>
  <c r="A338" i="24"/>
  <c r="D338" i="24" s="1" a="1"/>
  <c r="D338" i="24" s="1"/>
  <c r="G336" i="24"/>
  <c r="B336" i="24"/>
  <c r="H337" i="24"/>
  <c r="G337" i="24"/>
  <c r="B337" i="24"/>
  <c r="F337" i="24"/>
  <c r="A339" i="24"/>
  <c r="D339" i="24" s="1" a="1"/>
  <c r="D339" i="24" s="1"/>
  <c r="C339" i="24" l="1" a="1"/>
  <c r="C339" i="24" s="1"/>
  <c r="E339" i="24" a="1"/>
  <c r="E339" i="24" s="1"/>
  <c r="C338" i="24" a="1"/>
  <c r="C338" i="24" s="1"/>
  <c r="E338" i="24" a="1"/>
  <c r="E338" i="24" s="1"/>
  <c r="A341" i="24"/>
  <c r="D341" i="24" s="1" a="1"/>
  <c r="D341" i="24" s="1"/>
  <c r="H339" i="24"/>
  <c r="F339" i="24"/>
  <c r="G339" i="24"/>
  <c r="B339" i="24"/>
  <c r="A340" i="24"/>
  <c r="D340" i="24" s="1" a="1"/>
  <c r="D340" i="24" s="1"/>
  <c r="H338" i="24"/>
  <c r="G338" i="24"/>
  <c r="F338" i="24"/>
  <c r="B338" i="24"/>
  <c r="C341" i="24" l="1" a="1"/>
  <c r="C341" i="24" s="1"/>
  <c r="E341" i="24" a="1"/>
  <c r="E341" i="24" s="1"/>
  <c r="C340" i="24" a="1"/>
  <c r="C340" i="24" s="1"/>
  <c r="E340" i="24" a="1"/>
  <c r="E340" i="24" s="1"/>
  <c r="H340" i="24"/>
  <c r="G340" i="24"/>
  <c r="A342" i="24"/>
  <c r="D342" i="24" s="1" a="1"/>
  <c r="D342" i="24" s="1"/>
  <c r="B340" i="24"/>
  <c r="F340" i="24"/>
  <c r="F341" i="24"/>
  <c r="G341" i="24"/>
  <c r="A343" i="24"/>
  <c r="D343" i="24" s="1" a="1"/>
  <c r="D343" i="24" s="1"/>
  <c r="H341" i="24"/>
  <c r="B341" i="24"/>
  <c r="C343" i="24" l="1" a="1"/>
  <c r="C343" i="24" s="1"/>
  <c r="E343" i="24" a="1"/>
  <c r="E343" i="24" s="1"/>
  <c r="C342" i="24" a="1"/>
  <c r="C342" i="24" s="1"/>
  <c r="E342" i="24" a="1"/>
  <c r="E342" i="24" s="1"/>
  <c r="F343" i="24"/>
  <c r="A345" i="24"/>
  <c r="D345" i="24" s="1" a="1"/>
  <c r="D345" i="24" s="1"/>
  <c r="G343" i="24"/>
  <c r="H343" i="24"/>
  <c r="B343" i="24"/>
  <c r="A344" i="24"/>
  <c r="D344" i="24" s="1" a="1"/>
  <c r="D344" i="24" s="1"/>
  <c r="B342" i="24"/>
  <c r="H342" i="24"/>
  <c r="G342" i="24"/>
  <c r="F342" i="24"/>
  <c r="C345" i="24" l="1" a="1"/>
  <c r="C345" i="24" s="1"/>
  <c r="E345" i="24" a="1"/>
  <c r="E345" i="24" s="1"/>
  <c r="C344" i="24" a="1"/>
  <c r="C344" i="24" s="1"/>
  <c r="E344" i="24" a="1"/>
  <c r="E344" i="24" s="1"/>
  <c r="A347" i="24"/>
  <c r="D347" i="24" s="1" a="1"/>
  <c r="D347" i="24" s="1"/>
  <c r="B345" i="24"/>
  <c r="H345" i="24"/>
  <c r="F345" i="24"/>
  <c r="G345" i="24"/>
  <c r="A346" i="24"/>
  <c r="D346" i="24" s="1" a="1"/>
  <c r="D346" i="24" s="1"/>
  <c r="G344" i="24"/>
  <c r="F344" i="24"/>
  <c r="H344" i="24"/>
  <c r="B344" i="24"/>
  <c r="C347" i="24" l="1" a="1"/>
  <c r="C347" i="24" s="1"/>
  <c r="E347" i="24" a="1"/>
  <c r="E347" i="24" s="1"/>
  <c r="C346" i="24" a="1"/>
  <c r="C346" i="24" s="1"/>
  <c r="E346" i="24" a="1"/>
  <c r="E346" i="24" s="1"/>
  <c r="H346" i="24"/>
  <c r="B346" i="24"/>
  <c r="F346" i="24"/>
  <c r="G346" i="24"/>
  <c r="A348" i="24"/>
  <c r="D348" i="24" s="1" a="1"/>
  <c r="D348" i="24" s="1"/>
  <c r="G347" i="24"/>
  <c r="B347" i="24"/>
  <c r="A349" i="24"/>
  <c r="D349" i="24" s="1" a="1"/>
  <c r="D349" i="24" s="1"/>
  <c r="F347" i="24"/>
  <c r="H347" i="24"/>
  <c r="C349" i="24" l="1" a="1"/>
  <c r="C349" i="24" s="1"/>
  <c r="E349" i="24" a="1"/>
  <c r="E349" i="24" s="1"/>
  <c r="C348" i="24" a="1"/>
  <c r="C348" i="24" s="1"/>
  <c r="E348" i="24" a="1"/>
  <c r="E348" i="24" s="1"/>
  <c r="H348" i="24"/>
  <c r="G348" i="24"/>
  <c r="B348" i="24"/>
  <c r="A350" i="24"/>
  <c r="D350" i="24" s="1" a="1"/>
  <c r="D350" i="24" s="1"/>
  <c r="F348" i="24"/>
  <c r="F349" i="24"/>
  <c r="A351" i="24"/>
  <c r="D351" i="24" s="1" a="1"/>
  <c r="D351" i="24" s="1"/>
  <c r="H349" i="24"/>
  <c r="G349" i="24"/>
  <c r="B349" i="24"/>
  <c r="C351" i="24" l="1" a="1"/>
  <c r="C351" i="24" s="1"/>
  <c r="E351" i="24" a="1"/>
  <c r="E351" i="24" s="1"/>
  <c r="C350" i="24" a="1"/>
  <c r="C350" i="24" s="1"/>
  <c r="E350" i="24" a="1"/>
  <c r="E350" i="24" s="1"/>
  <c r="A352" i="24"/>
  <c r="D352" i="24" s="1" a="1"/>
  <c r="D352" i="24" s="1"/>
  <c r="G350" i="24"/>
  <c r="B350" i="24"/>
  <c r="F350" i="24"/>
  <c r="H350" i="24"/>
  <c r="F351" i="24"/>
  <c r="A353" i="24"/>
  <c r="D353" i="24" s="1" a="1"/>
  <c r="D353" i="24" s="1"/>
  <c r="H351" i="24"/>
  <c r="G351" i="24"/>
  <c r="B351" i="24"/>
  <c r="C352" i="24" l="1" a="1"/>
  <c r="C352" i="24" s="1"/>
  <c r="E352" i="24" a="1"/>
  <c r="E352" i="24" s="1"/>
  <c r="C353" i="24" a="1"/>
  <c r="C353" i="24" s="1"/>
  <c r="E353" i="24" a="1"/>
  <c r="E353" i="24" s="1"/>
  <c r="A355" i="24"/>
  <c r="D355" i="24" s="1" a="1"/>
  <c r="D355" i="24" s="1"/>
  <c r="F353" i="24"/>
  <c r="G353" i="24"/>
  <c r="H353" i="24"/>
  <c r="B353" i="24"/>
  <c r="A354" i="24"/>
  <c r="D354" i="24" s="1" a="1"/>
  <c r="D354" i="24" s="1"/>
  <c r="H352" i="24"/>
  <c r="B352" i="24"/>
  <c r="F352" i="24"/>
  <c r="G352" i="24"/>
  <c r="C355" i="24" l="1" a="1"/>
  <c r="C355" i="24" s="1"/>
  <c r="E355" i="24" a="1"/>
  <c r="E355" i="24" s="1"/>
  <c r="C354" i="24" a="1"/>
  <c r="C354" i="24" s="1"/>
  <c r="E354" i="24" a="1"/>
  <c r="E354" i="24" s="1"/>
  <c r="H354" i="24"/>
  <c r="G354" i="24"/>
  <c r="B354" i="24"/>
  <c r="F354" i="24"/>
  <c r="A356" i="24"/>
  <c r="D356" i="24" s="1" a="1"/>
  <c r="D356" i="24" s="1"/>
  <c r="G355" i="24"/>
  <c r="B355" i="24"/>
  <c r="A357" i="24"/>
  <c r="D357" i="24" s="1" a="1"/>
  <c r="D357" i="24" s="1"/>
  <c r="H355" i="24"/>
  <c r="F355" i="24"/>
  <c r="C356" i="24" l="1" a="1"/>
  <c r="C356" i="24" s="1"/>
  <c r="E356" i="24" a="1"/>
  <c r="E356" i="24" s="1"/>
  <c r="C357" i="24" a="1"/>
  <c r="C357" i="24" s="1"/>
  <c r="E357" i="24" a="1"/>
  <c r="E357" i="24" s="1"/>
  <c r="A358" i="24"/>
  <c r="D358" i="24" s="1" a="1"/>
  <c r="D358" i="24" s="1"/>
  <c r="F356" i="24"/>
  <c r="G356" i="24"/>
  <c r="H356" i="24"/>
  <c r="B356" i="24"/>
  <c r="H357" i="24"/>
  <c r="G357" i="24"/>
  <c r="B357" i="24"/>
  <c r="F357" i="24"/>
  <c r="A359" i="24"/>
  <c r="D359" i="24" s="1" a="1"/>
  <c r="D359" i="24" s="1"/>
  <c r="C358" i="24" l="1" a="1"/>
  <c r="C358" i="24" s="1"/>
  <c r="E358" i="24" a="1"/>
  <c r="E358" i="24" s="1"/>
  <c r="C359" i="24" a="1"/>
  <c r="C359" i="24" s="1"/>
  <c r="E359" i="24" a="1"/>
  <c r="E359" i="24" s="1"/>
  <c r="F359" i="24"/>
  <c r="A361" i="24"/>
  <c r="D361" i="24" s="1" a="1"/>
  <c r="D361" i="24" s="1"/>
  <c r="H359" i="24"/>
  <c r="B359" i="24"/>
  <c r="G359" i="24"/>
  <c r="A360" i="24"/>
  <c r="D360" i="24" s="1" a="1"/>
  <c r="D360" i="24" s="1"/>
  <c r="G358" i="24"/>
  <c r="B358" i="24"/>
  <c r="H358" i="24"/>
  <c r="F358" i="24"/>
  <c r="C361" i="24" l="1" a="1"/>
  <c r="C361" i="24" s="1"/>
  <c r="E361" i="24" a="1"/>
  <c r="E361" i="24" s="1"/>
  <c r="C360" i="24" a="1"/>
  <c r="C360" i="24" s="1"/>
  <c r="E360" i="24" a="1"/>
  <c r="E360" i="24" s="1"/>
  <c r="A363" i="24"/>
  <c r="D363" i="24" s="1" a="1"/>
  <c r="D363" i="24" s="1"/>
  <c r="H361" i="24"/>
  <c r="F361" i="24"/>
  <c r="B361" i="24"/>
  <c r="G361" i="24"/>
  <c r="A362" i="24"/>
  <c r="D362" i="24" s="1" a="1"/>
  <c r="D362" i="24" s="1"/>
  <c r="B360" i="24"/>
  <c r="H360" i="24"/>
  <c r="G360" i="24"/>
  <c r="F360" i="24"/>
  <c r="C363" i="24" l="1" a="1"/>
  <c r="C363" i="24" s="1"/>
  <c r="E363" i="24" a="1"/>
  <c r="E363" i="24" s="1"/>
  <c r="C362" i="24" a="1"/>
  <c r="C362" i="24" s="1"/>
  <c r="E362" i="24" a="1"/>
  <c r="E362" i="24" s="1"/>
  <c r="H362" i="24"/>
  <c r="G362" i="24"/>
  <c r="B362" i="24"/>
  <c r="F362" i="24"/>
  <c r="A364" i="24"/>
  <c r="D364" i="24" s="1" a="1"/>
  <c r="D364" i="24" s="1"/>
  <c r="G363" i="24"/>
  <c r="B363" i="24"/>
  <c r="F363" i="24"/>
  <c r="H363" i="24"/>
  <c r="A365" i="24"/>
  <c r="D365" i="24" s="1" a="1"/>
  <c r="D365" i="24" s="1"/>
  <c r="C365" i="24" l="1" a="1"/>
  <c r="C365" i="24" s="1"/>
  <c r="E365" i="24" a="1"/>
  <c r="E365" i="24" s="1"/>
  <c r="C364" i="24" a="1"/>
  <c r="C364" i="24" s="1"/>
  <c r="E364" i="24" a="1"/>
  <c r="E364" i="24" s="1"/>
  <c r="F365" i="24"/>
  <c r="A367" i="24"/>
  <c r="D367" i="24" s="1" a="1"/>
  <c r="D367" i="24" s="1"/>
  <c r="H365" i="24"/>
  <c r="G365" i="24"/>
  <c r="B365" i="24"/>
  <c r="H364" i="24"/>
  <c r="G364" i="24"/>
  <c r="B364" i="24"/>
  <c r="A366" i="24"/>
  <c r="D366" i="24" s="1" a="1"/>
  <c r="D366" i="24" s="1"/>
  <c r="F364" i="24"/>
  <c r="C367" i="24" l="1" a="1"/>
  <c r="C367" i="24" s="1"/>
  <c r="E367" i="24" a="1"/>
  <c r="E367" i="24" s="1"/>
  <c r="C366" i="24" a="1"/>
  <c r="C366" i="24" s="1"/>
  <c r="E366" i="24" a="1"/>
  <c r="E366" i="24" s="1"/>
  <c r="F366" i="24"/>
  <c r="H366" i="24"/>
  <c r="A368" i="24"/>
  <c r="D368" i="24" s="1" a="1"/>
  <c r="D368" i="24" s="1"/>
  <c r="G366" i="24"/>
  <c r="B366" i="24"/>
  <c r="H367" i="24"/>
  <c r="G367" i="24"/>
  <c r="B367" i="24"/>
  <c r="F367" i="24"/>
  <c r="A369" i="24"/>
  <c r="D369" i="24" s="1" a="1"/>
  <c r="D369" i="24" s="1"/>
  <c r="C369" i="24" l="1" a="1"/>
  <c r="C369" i="24" s="1"/>
  <c r="E369" i="24" a="1"/>
  <c r="E369" i="24" s="1"/>
  <c r="C368" i="24" a="1"/>
  <c r="C368" i="24" s="1"/>
  <c r="E368" i="24" a="1"/>
  <c r="E368" i="24" s="1"/>
  <c r="A371" i="24"/>
  <c r="D371" i="24" s="1" a="1"/>
  <c r="D371" i="24" s="1"/>
  <c r="F369" i="24"/>
  <c r="G369" i="24"/>
  <c r="B369" i="24"/>
  <c r="H369" i="24"/>
  <c r="A370" i="24"/>
  <c r="D370" i="24" s="1" a="1"/>
  <c r="D370" i="24" s="1"/>
  <c r="H368" i="24"/>
  <c r="B368" i="24"/>
  <c r="G368" i="24"/>
  <c r="F368" i="24"/>
  <c r="C371" i="24" l="1" a="1"/>
  <c r="C371" i="24" s="1"/>
  <c r="E371" i="24" a="1"/>
  <c r="E371" i="24" s="1"/>
  <c r="C370" i="24" a="1"/>
  <c r="C370" i="24" s="1"/>
  <c r="E370" i="24" a="1"/>
  <c r="E370" i="24" s="1"/>
  <c r="H370" i="24"/>
  <c r="G370" i="24"/>
  <c r="B370" i="24"/>
  <c r="F370" i="24"/>
  <c r="A372" i="24"/>
  <c r="D372" i="24" s="1" a="1"/>
  <c r="D372" i="24" s="1"/>
  <c r="G371" i="24"/>
  <c r="B371" i="24"/>
  <c r="A373" i="24"/>
  <c r="D373" i="24" s="1" a="1"/>
  <c r="D373" i="24" s="1"/>
  <c r="H371" i="24"/>
  <c r="F371" i="24"/>
  <c r="C373" i="24" l="1" a="1"/>
  <c r="C373" i="24" s="1"/>
  <c r="E373" i="24" a="1"/>
  <c r="E373" i="24" s="1"/>
  <c r="C372" i="24" a="1"/>
  <c r="C372" i="24" s="1"/>
  <c r="E372" i="24" a="1"/>
  <c r="E372" i="24" s="1"/>
  <c r="H372" i="24"/>
  <c r="B372" i="24"/>
  <c r="F372" i="24"/>
  <c r="G372" i="24"/>
  <c r="A374" i="24"/>
  <c r="D374" i="24" s="1" a="1"/>
  <c r="D374" i="24" s="1"/>
  <c r="F373" i="24"/>
  <c r="A375" i="24"/>
  <c r="D375" i="24" s="1" a="1"/>
  <c r="D375" i="24" s="1"/>
  <c r="B373" i="24"/>
  <c r="H373" i="24"/>
  <c r="G373" i="24"/>
  <c r="C375" i="24" l="1" a="1"/>
  <c r="C375" i="24" s="1"/>
  <c r="E375" i="24" a="1"/>
  <c r="E375" i="24" s="1"/>
  <c r="C374" i="24" a="1"/>
  <c r="C374" i="24" s="1"/>
  <c r="E374" i="24" a="1"/>
  <c r="E374" i="24" s="1"/>
  <c r="A376" i="24"/>
  <c r="D376" i="24" s="1" a="1"/>
  <c r="D376" i="24" s="1"/>
  <c r="G374" i="24"/>
  <c r="B374" i="24"/>
  <c r="F374" i="24"/>
  <c r="H374" i="24"/>
  <c r="F375" i="24"/>
  <c r="A377" i="24"/>
  <c r="D377" i="24" s="1" a="1"/>
  <c r="D377" i="24" s="1"/>
  <c r="G375" i="24"/>
  <c r="B375" i="24"/>
  <c r="H375" i="24"/>
  <c r="C376" i="24" l="1" a="1"/>
  <c r="C376" i="24" s="1"/>
  <c r="E376" i="24" a="1"/>
  <c r="E376" i="24" s="1"/>
  <c r="C377" i="24" a="1"/>
  <c r="C377" i="24" s="1"/>
  <c r="E377" i="24" a="1"/>
  <c r="E377" i="24" s="1"/>
  <c r="A379" i="24"/>
  <c r="D379" i="24" s="1" a="1"/>
  <c r="D379" i="24" s="1"/>
  <c r="H377" i="24"/>
  <c r="F377" i="24"/>
  <c r="G377" i="24"/>
  <c r="B377" i="24"/>
  <c r="A378" i="24"/>
  <c r="D378" i="24" s="1" a="1"/>
  <c r="D378" i="24" s="1"/>
  <c r="B376" i="24"/>
  <c r="H376" i="24"/>
  <c r="G376" i="24"/>
  <c r="F376" i="24"/>
  <c r="C379" i="24" l="1" a="1"/>
  <c r="C379" i="24" s="1"/>
  <c r="E379" i="24" a="1"/>
  <c r="E379" i="24" s="1"/>
  <c r="C378" i="24" a="1"/>
  <c r="C378" i="24" s="1"/>
  <c r="E378" i="24" a="1"/>
  <c r="E378" i="24" s="1"/>
  <c r="H378" i="24"/>
  <c r="G378" i="24"/>
  <c r="B378" i="24"/>
  <c r="F378" i="24"/>
  <c r="A380" i="24"/>
  <c r="D380" i="24" s="1" a="1"/>
  <c r="D380" i="24" s="1"/>
  <c r="G379" i="24"/>
  <c r="F379" i="24"/>
  <c r="H379" i="24"/>
  <c r="B379" i="24"/>
  <c r="A381" i="24"/>
  <c r="D381" i="24" s="1" a="1"/>
  <c r="D381" i="24" s="1"/>
  <c r="C381" i="24" l="1" a="1"/>
  <c r="C381" i="24" s="1"/>
  <c r="E381" i="24" a="1"/>
  <c r="E381" i="24" s="1"/>
  <c r="C380" i="24" a="1"/>
  <c r="C380" i="24" s="1"/>
  <c r="E380" i="24" a="1"/>
  <c r="E380" i="24" s="1"/>
  <c r="F381" i="24"/>
  <c r="A383" i="24"/>
  <c r="D383" i="24" s="1" a="1"/>
  <c r="D383" i="24" s="1"/>
  <c r="H381" i="24"/>
  <c r="B381" i="24"/>
  <c r="G381" i="24"/>
  <c r="H380" i="24"/>
  <c r="G380" i="24"/>
  <c r="B380" i="24"/>
  <c r="A382" i="24"/>
  <c r="D382" i="24" s="1" a="1"/>
  <c r="D382" i="24" s="1"/>
  <c r="F380" i="24"/>
  <c r="C383" i="24" l="1" a="1"/>
  <c r="C383" i="24" s="1"/>
  <c r="E383" i="24" a="1"/>
  <c r="E383" i="24" s="1"/>
  <c r="C382" i="24" a="1"/>
  <c r="C382" i="24" s="1"/>
  <c r="E382" i="24" a="1"/>
  <c r="E382" i="24" s="1"/>
  <c r="F382" i="24"/>
  <c r="H382" i="24"/>
  <c r="G382" i="24"/>
  <c r="A384" i="24"/>
  <c r="D384" i="24" s="1" a="1"/>
  <c r="D384" i="24" s="1"/>
  <c r="B382" i="24"/>
  <c r="H383" i="24"/>
  <c r="B383" i="24"/>
  <c r="A385" i="24"/>
  <c r="D385" i="24" s="1" a="1"/>
  <c r="D385" i="24" s="1"/>
  <c r="G383" i="24"/>
  <c r="F383" i="24"/>
  <c r="C385" i="24" l="1" a="1"/>
  <c r="C385" i="24" s="1"/>
  <c r="E385" i="24" a="1"/>
  <c r="E385" i="24" s="1"/>
  <c r="C384" i="24" a="1"/>
  <c r="C384" i="24" s="1"/>
  <c r="E384" i="24" a="1"/>
  <c r="E384" i="24" s="1"/>
  <c r="A386" i="24"/>
  <c r="D386" i="24" s="1" a="1"/>
  <c r="D386" i="24" s="1"/>
  <c r="H384" i="24"/>
  <c r="B384" i="24"/>
  <c r="G384" i="24"/>
  <c r="F384" i="24"/>
  <c r="A387" i="24"/>
  <c r="D387" i="24" s="1" a="1"/>
  <c r="D387" i="24" s="1"/>
  <c r="H385" i="24"/>
  <c r="F385" i="24"/>
  <c r="B385" i="24"/>
  <c r="G385" i="24"/>
  <c r="C386" i="24" l="1" a="1"/>
  <c r="C386" i="24" s="1"/>
  <c r="E386" i="24" a="1"/>
  <c r="E386" i="24" s="1"/>
  <c r="C387" i="24" a="1"/>
  <c r="C387" i="24" s="1"/>
  <c r="E387" i="24" a="1"/>
  <c r="E387" i="24" s="1"/>
  <c r="G387" i="24"/>
  <c r="B387" i="24"/>
  <c r="A389" i="24"/>
  <c r="D389" i="24" s="1" a="1"/>
  <c r="D389" i="24" s="1"/>
  <c r="H387" i="24"/>
  <c r="F387" i="24"/>
  <c r="H386" i="24"/>
  <c r="G386" i="24"/>
  <c r="B386" i="24"/>
  <c r="F386" i="24"/>
  <c r="A388" i="24"/>
  <c r="D388" i="24" s="1" a="1"/>
  <c r="D388" i="24" s="1"/>
  <c r="C388" i="24" l="1" a="1"/>
  <c r="C388" i="24" s="1"/>
  <c r="E388" i="24" a="1"/>
  <c r="E388" i="24" s="1"/>
  <c r="C389" i="24" a="1"/>
  <c r="C389" i="24" s="1"/>
  <c r="E389" i="24" a="1"/>
  <c r="E389" i="24" s="1"/>
  <c r="H388" i="24"/>
  <c r="G388" i="24"/>
  <c r="B388" i="24"/>
  <c r="A390" i="24"/>
  <c r="D390" i="24" s="1" a="1"/>
  <c r="D390" i="24" s="1"/>
  <c r="F388" i="24"/>
  <c r="F389" i="24"/>
  <c r="H389" i="24"/>
  <c r="G389" i="24"/>
  <c r="A391" i="24"/>
  <c r="D391" i="24" s="1" a="1"/>
  <c r="D391" i="24" s="1"/>
  <c r="B389" i="24"/>
  <c r="C391" i="24" l="1" a="1"/>
  <c r="C391" i="24" s="1"/>
  <c r="E391" i="24" a="1"/>
  <c r="E391" i="24" s="1"/>
  <c r="C390" i="24" a="1"/>
  <c r="C390" i="24" s="1"/>
  <c r="E390" i="24" a="1"/>
  <c r="E390" i="24" s="1"/>
  <c r="H391" i="24"/>
  <c r="G391" i="24"/>
  <c r="B391" i="24"/>
  <c r="F391" i="24"/>
  <c r="A393" i="24"/>
  <c r="D393" i="24" s="1" a="1"/>
  <c r="D393" i="24" s="1"/>
  <c r="F390" i="24"/>
  <c r="A392" i="24"/>
  <c r="D392" i="24" s="1" a="1"/>
  <c r="D392" i="24" s="1"/>
  <c r="G390" i="24"/>
  <c r="H390" i="24"/>
  <c r="B390" i="24"/>
  <c r="C392" i="24" l="1" a="1"/>
  <c r="C392" i="24" s="1"/>
  <c r="E392" i="24" a="1"/>
  <c r="E392" i="24" s="1"/>
  <c r="C393" i="24" a="1"/>
  <c r="C393" i="24" s="1"/>
  <c r="E393" i="24" a="1"/>
  <c r="E393" i="24" s="1"/>
  <c r="A395" i="24"/>
  <c r="D395" i="24" s="1" a="1"/>
  <c r="D395" i="24" s="1"/>
  <c r="H393" i="24"/>
  <c r="F393" i="24"/>
  <c r="B393" i="24"/>
  <c r="G393" i="24"/>
  <c r="A394" i="24"/>
  <c r="D394" i="24" s="1" a="1"/>
  <c r="D394" i="24" s="1"/>
  <c r="H392" i="24"/>
  <c r="G392" i="24"/>
  <c r="F392" i="24"/>
  <c r="B392" i="24"/>
  <c r="C395" i="24" l="1" a="1"/>
  <c r="C395" i="24" s="1"/>
  <c r="E395" i="24" a="1"/>
  <c r="E395" i="24" s="1"/>
  <c r="C394" i="24" a="1"/>
  <c r="C394" i="24" s="1"/>
  <c r="E394" i="24" a="1"/>
  <c r="E394" i="24" s="1"/>
  <c r="A396" i="24"/>
  <c r="D396" i="24" s="1" a="1"/>
  <c r="D396" i="24" s="1"/>
  <c r="B394" i="24"/>
  <c r="H394" i="24"/>
  <c r="G394" i="24"/>
  <c r="F394" i="24"/>
  <c r="F395" i="24"/>
  <c r="A397" i="24"/>
  <c r="D397" i="24" s="1" a="1"/>
  <c r="D397" i="24" s="1"/>
  <c r="G395" i="24"/>
  <c r="B395" i="24"/>
  <c r="H395" i="24"/>
  <c r="E397" i="24" l="1" a="1"/>
  <c r="E397" i="24" s="1"/>
  <c r="C397" i="24" a="1"/>
  <c r="C397" i="24" s="1"/>
  <c r="C396" i="24" a="1"/>
  <c r="C396" i="24" s="1"/>
  <c r="E396" i="24" a="1"/>
  <c r="E396" i="24" s="1"/>
  <c r="A399" i="24"/>
  <c r="D399" i="24" s="1" a="1"/>
  <c r="D399" i="24" s="1"/>
  <c r="F397" i="24"/>
  <c r="B397" i="24"/>
  <c r="H397" i="24"/>
  <c r="G397" i="24"/>
  <c r="A398" i="24"/>
  <c r="D398" i="24" s="1" a="1"/>
  <c r="D398" i="24" s="1"/>
  <c r="H396" i="24"/>
  <c r="G396" i="24"/>
  <c r="F396" i="24"/>
  <c r="B396" i="24"/>
  <c r="C399" i="24" l="1" a="1"/>
  <c r="C399" i="24" s="1"/>
  <c r="E399" i="24" a="1"/>
  <c r="E399" i="24" s="1"/>
  <c r="C398" i="24" a="1"/>
  <c r="C398" i="24" s="1"/>
  <c r="E398" i="24" a="1"/>
  <c r="E398" i="24" s="1"/>
  <c r="H398" i="24"/>
  <c r="G398" i="24"/>
  <c r="B398" i="24"/>
  <c r="F398" i="24"/>
  <c r="A400" i="24"/>
  <c r="D400" i="24" s="1" a="1"/>
  <c r="D400" i="24" s="1"/>
  <c r="G399" i="24"/>
  <c r="F399" i="24"/>
  <c r="A401" i="24"/>
  <c r="D401" i="24" s="1" a="1"/>
  <c r="D401" i="24" s="1"/>
  <c r="B399" i="24"/>
  <c r="H399" i="24"/>
  <c r="C400" i="24" l="1" a="1"/>
  <c r="C400" i="24" s="1"/>
  <c r="E400" i="24" a="1"/>
  <c r="E400" i="24" s="1"/>
  <c r="C401" i="24" a="1"/>
  <c r="C401" i="24" s="1"/>
  <c r="E401" i="24" a="1"/>
  <c r="E401" i="24" s="1"/>
  <c r="H400" i="24"/>
  <c r="G400" i="24"/>
  <c r="B400" i="24"/>
  <c r="A402" i="24"/>
  <c r="D402" i="24" s="1" a="1"/>
  <c r="D402" i="24" s="1"/>
  <c r="F400" i="24"/>
  <c r="F401" i="24"/>
  <c r="H401" i="24"/>
  <c r="G401" i="24"/>
  <c r="A403" i="24"/>
  <c r="D403" i="24" s="1" a="1"/>
  <c r="D403" i="24" s="1"/>
  <c r="B401" i="24"/>
  <c r="C403" i="24" l="1" a="1"/>
  <c r="C403" i="24" s="1"/>
  <c r="E403" i="24" a="1"/>
  <c r="E403" i="24" s="1"/>
  <c r="C402" i="24" a="1"/>
  <c r="C402" i="24" s="1"/>
  <c r="E402" i="24" a="1"/>
  <c r="E402" i="24" s="1"/>
  <c r="H403" i="24"/>
  <c r="F403" i="24"/>
  <c r="G403" i="24"/>
  <c r="B403" i="24"/>
  <c r="A405" i="24"/>
  <c r="D405" i="24" s="1" a="1"/>
  <c r="D405" i="24" s="1"/>
  <c r="F402" i="24"/>
  <c r="B402" i="24"/>
  <c r="H402" i="24"/>
  <c r="G402" i="24"/>
  <c r="A404" i="24"/>
  <c r="D404" i="24" s="1" a="1"/>
  <c r="D404" i="24" s="1"/>
  <c r="C404" i="24" l="1" a="1"/>
  <c r="C404" i="24" s="1"/>
  <c r="E404" i="24" a="1"/>
  <c r="E404" i="24" s="1"/>
  <c r="C405" i="24" a="1"/>
  <c r="C405" i="24" s="1"/>
  <c r="E405" i="24" a="1"/>
  <c r="E405" i="24" s="1"/>
  <c r="A406" i="24"/>
  <c r="D406" i="24" s="1" a="1"/>
  <c r="D406" i="24" s="1"/>
  <c r="H404" i="24"/>
  <c r="G404" i="24"/>
  <c r="F404" i="24"/>
  <c r="B404" i="24"/>
  <c r="A407" i="24"/>
  <c r="D407" i="24" s="1" a="1"/>
  <c r="D407" i="24" s="1"/>
  <c r="F405" i="24"/>
  <c r="B405" i="24"/>
  <c r="H405" i="24"/>
  <c r="G405" i="24"/>
  <c r="C406" i="24" l="1" a="1"/>
  <c r="C406" i="24" s="1"/>
  <c r="E406" i="24" a="1"/>
  <c r="E406" i="24" s="1"/>
  <c r="C407" i="24" a="1"/>
  <c r="C407" i="24" s="1"/>
  <c r="E407" i="24" a="1"/>
  <c r="E407" i="24" s="1"/>
  <c r="G407" i="24"/>
  <c r="B407" i="24"/>
  <c r="F407" i="24"/>
  <c r="H407" i="24"/>
  <c r="A409" i="24"/>
  <c r="D409" i="24" s="1" a="1"/>
  <c r="D409" i="24" s="1"/>
  <c r="H406" i="24"/>
  <c r="B406" i="24"/>
  <c r="A408" i="24"/>
  <c r="D408" i="24" s="1" a="1"/>
  <c r="D408" i="24" s="1"/>
  <c r="G406" i="24"/>
  <c r="F406" i="24"/>
  <c r="C408" i="24" l="1" a="1"/>
  <c r="C408" i="24" s="1"/>
  <c r="E408" i="24" a="1"/>
  <c r="E408" i="24" s="1"/>
  <c r="C409" i="24" a="1"/>
  <c r="C409" i="24" s="1"/>
  <c r="E409" i="24" a="1"/>
  <c r="E409" i="24" s="1"/>
  <c r="F409" i="24"/>
  <c r="G409" i="24"/>
  <c r="A411" i="24"/>
  <c r="D411" i="24" s="1" a="1"/>
  <c r="D411" i="24" s="1"/>
  <c r="H409" i="24"/>
  <c r="B409" i="24"/>
  <c r="H408" i="24"/>
  <c r="B408" i="24"/>
  <c r="F408" i="24"/>
  <c r="G408" i="24"/>
  <c r="A410" i="24"/>
  <c r="D410" i="24" s="1" a="1"/>
  <c r="D410" i="24" s="1"/>
  <c r="C410" i="24" l="1" a="1"/>
  <c r="C410" i="24" s="1"/>
  <c r="E410" i="24" a="1"/>
  <c r="E410" i="24" s="1"/>
  <c r="C411" i="24" a="1"/>
  <c r="C411" i="24" s="1"/>
  <c r="E411" i="24" a="1"/>
  <c r="E411" i="24" s="1"/>
  <c r="A412" i="24"/>
  <c r="D412" i="24" s="1" a="1"/>
  <c r="D412" i="24" s="1"/>
  <c r="G410" i="24"/>
  <c r="B410" i="24"/>
  <c r="F410" i="24"/>
  <c r="H410" i="24"/>
  <c r="F411" i="24"/>
  <c r="A413" i="24"/>
  <c r="D413" i="24" s="1" a="1"/>
  <c r="D413" i="24" s="1"/>
  <c r="H411" i="24"/>
  <c r="G411" i="24"/>
  <c r="B411" i="24"/>
  <c r="C413" i="24" l="1" a="1"/>
  <c r="C413" i="24" s="1"/>
  <c r="E413" i="24" a="1"/>
  <c r="E413" i="24" s="1"/>
  <c r="C412" i="24" a="1"/>
  <c r="C412" i="24" s="1"/>
  <c r="E412" i="24" a="1"/>
  <c r="E412" i="24" s="1"/>
  <c r="A415" i="24"/>
  <c r="D415" i="24" s="1" a="1"/>
  <c r="D415" i="24" s="1"/>
  <c r="F413" i="24"/>
  <c r="B413" i="24"/>
  <c r="H413" i="24"/>
  <c r="G413" i="24"/>
  <c r="A414" i="24"/>
  <c r="D414" i="24" s="1" a="1"/>
  <c r="D414" i="24" s="1"/>
  <c r="H412" i="24"/>
  <c r="G412" i="24"/>
  <c r="F412" i="24"/>
  <c r="B412" i="24"/>
  <c r="C414" i="24" l="1" a="1"/>
  <c r="C414" i="24" s="1"/>
  <c r="E414" i="24" a="1"/>
  <c r="E414" i="24" s="1"/>
  <c r="C415" i="24" a="1"/>
  <c r="C415" i="24" s="1"/>
  <c r="E415" i="24" a="1"/>
  <c r="E415" i="24" s="1"/>
  <c r="H414" i="24"/>
  <c r="G414" i="24"/>
  <c r="B414" i="24"/>
  <c r="F414" i="24"/>
  <c r="A416" i="24"/>
  <c r="D416" i="24" s="1" a="1"/>
  <c r="D416" i="24" s="1"/>
  <c r="G415" i="24"/>
  <c r="B415" i="24"/>
  <c r="F415" i="24"/>
  <c r="A417" i="24"/>
  <c r="D417" i="24" s="1" a="1"/>
  <c r="D417" i="24" s="1"/>
  <c r="H415" i="24"/>
  <c r="C417" i="24" l="1" a="1"/>
  <c r="C417" i="24" s="1"/>
  <c r="E417" i="24" a="1"/>
  <c r="E417" i="24" s="1"/>
  <c r="C416" i="24" a="1"/>
  <c r="C416" i="24" s="1"/>
  <c r="E416" i="24" a="1"/>
  <c r="E416" i="24" s="1"/>
  <c r="H416" i="24"/>
  <c r="F416" i="24"/>
  <c r="G416" i="24"/>
  <c r="A418" i="24"/>
  <c r="D418" i="24" s="1" a="1"/>
  <c r="D418" i="24" s="1"/>
  <c r="B416" i="24"/>
  <c r="F417" i="24"/>
  <c r="G417" i="24"/>
  <c r="A419" i="24"/>
  <c r="D419" i="24" s="1" a="1"/>
  <c r="D419" i="24" s="1"/>
  <c r="B417" i="24"/>
  <c r="H417" i="24"/>
  <c r="C419" i="24" l="1" a="1"/>
  <c r="C419" i="24" s="1"/>
  <c r="E419" i="24" a="1"/>
  <c r="E419" i="24" s="1"/>
  <c r="C418" i="24" a="1"/>
  <c r="C418" i="24" s="1"/>
  <c r="E418" i="24" a="1"/>
  <c r="E418" i="24" s="1"/>
  <c r="A420" i="24"/>
  <c r="D420" i="24" s="1" a="1"/>
  <c r="D420" i="24" s="1"/>
  <c r="G418" i="24"/>
  <c r="B418" i="24"/>
  <c r="H418" i="24"/>
  <c r="F418" i="24"/>
  <c r="F419" i="24"/>
  <c r="G419" i="24"/>
  <c r="A421" i="24"/>
  <c r="D421" i="24" s="1" a="1"/>
  <c r="D421" i="24" s="1"/>
  <c r="H419" i="24"/>
  <c r="B419" i="24"/>
  <c r="C420" i="24" l="1" a="1"/>
  <c r="C420" i="24" s="1"/>
  <c r="E420" i="24" a="1"/>
  <c r="E420" i="24" s="1"/>
  <c r="C421" i="24" a="1"/>
  <c r="C421" i="24" s="1"/>
  <c r="E421" i="24" a="1"/>
  <c r="E421" i="24" s="1"/>
  <c r="A423" i="24"/>
  <c r="D423" i="24" s="1" a="1"/>
  <c r="D423" i="24" s="1"/>
  <c r="G421" i="24"/>
  <c r="H421" i="24"/>
  <c r="F421" i="24"/>
  <c r="B421" i="24"/>
  <c r="A422" i="24"/>
  <c r="D422" i="24" s="1" a="1"/>
  <c r="D422" i="24" s="1"/>
  <c r="G420" i="24"/>
  <c r="B420" i="24"/>
  <c r="H420" i="24"/>
  <c r="F420" i="24"/>
  <c r="C423" i="24" l="1" a="1"/>
  <c r="C423" i="24" s="1"/>
  <c r="E423" i="24" a="1"/>
  <c r="E423" i="24" s="1"/>
  <c r="C422" i="24" a="1"/>
  <c r="C422" i="24" s="1"/>
  <c r="E422" i="24" a="1"/>
  <c r="E422" i="24" s="1"/>
  <c r="H422" i="24"/>
  <c r="G422" i="24"/>
  <c r="B422" i="24"/>
  <c r="F422" i="24"/>
  <c r="A424" i="24"/>
  <c r="D424" i="24" s="1" a="1"/>
  <c r="D424" i="24" s="1"/>
  <c r="G423" i="24"/>
  <c r="B423" i="24"/>
  <c r="F423" i="24"/>
  <c r="A425" i="24"/>
  <c r="D425" i="24" s="1" a="1"/>
  <c r="D425" i="24" s="1"/>
  <c r="H423" i="24"/>
  <c r="C425" i="24" l="1" a="1"/>
  <c r="C425" i="24" s="1"/>
  <c r="E425" i="24" a="1"/>
  <c r="E425" i="24" s="1"/>
  <c r="C424" i="24" a="1"/>
  <c r="C424" i="24" s="1"/>
  <c r="E424" i="24" a="1"/>
  <c r="E424" i="24" s="1"/>
  <c r="H424" i="24"/>
  <c r="B424" i="24"/>
  <c r="G424" i="24"/>
  <c r="A426" i="24"/>
  <c r="D426" i="24" s="1" a="1"/>
  <c r="D426" i="24" s="1"/>
  <c r="F424" i="24"/>
  <c r="F425" i="24"/>
  <c r="H425" i="24"/>
  <c r="B425" i="24"/>
  <c r="A427" i="24"/>
  <c r="D427" i="24" s="1" a="1"/>
  <c r="D427" i="24" s="1"/>
  <c r="G425" i="24"/>
  <c r="C427" i="24" l="1" a="1"/>
  <c r="C427" i="24" s="1"/>
  <c r="E427" i="24" a="1"/>
  <c r="E427" i="24" s="1"/>
  <c r="C426" i="24" a="1"/>
  <c r="C426" i="24" s="1"/>
  <c r="E426" i="24" a="1"/>
  <c r="E426" i="24" s="1"/>
  <c r="F427" i="24"/>
  <c r="A429" i="24"/>
  <c r="D429" i="24" s="1" a="1"/>
  <c r="D429" i="24" s="1"/>
  <c r="G427" i="24"/>
  <c r="B427" i="24"/>
  <c r="H427" i="24"/>
  <c r="A428" i="24"/>
  <c r="D428" i="24" s="1" a="1"/>
  <c r="D428" i="24" s="1"/>
  <c r="B426" i="24"/>
  <c r="H426" i="24"/>
  <c r="G426" i="24"/>
  <c r="F426" i="24"/>
  <c r="C429" i="24" l="1" a="1"/>
  <c r="C429" i="24" s="1"/>
  <c r="E429" i="24" a="1"/>
  <c r="E429" i="24" s="1"/>
  <c r="C428" i="24" a="1"/>
  <c r="C428" i="24" s="1"/>
  <c r="E428" i="24" a="1"/>
  <c r="E428" i="24" s="1"/>
  <c r="A431" i="24"/>
  <c r="D431" i="24" s="1" a="1"/>
  <c r="D431" i="24" s="1"/>
  <c r="H429" i="24"/>
  <c r="F429" i="24"/>
  <c r="G429" i="24"/>
  <c r="B429" i="24"/>
  <c r="A430" i="24"/>
  <c r="D430" i="24" s="1" a="1"/>
  <c r="D430" i="24" s="1"/>
  <c r="H428" i="24"/>
  <c r="B428" i="24"/>
  <c r="G428" i="24"/>
  <c r="F428" i="24"/>
  <c r="C431" i="24" l="1" a="1"/>
  <c r="C431" i="24" s="1"/>
  <c r="E431" i="24" a="1"/>
  <c r="E431" i="24" s="1"/>
  <c r="C430" i="24" a="1"/>
  <c r="C430" i="24" s="1"/>
  <c r="E430" i="24" a="1"/>
  <c r="E430" i="24" s="1"/>
  <c r="H430" i="24"/>
  <c r="A432" i="24"/>
  <c r="D432" i="24" s="1" a="1"/>
  <c r="D432" i="24" s="1"/>
  <c r="G430" i="24"/>
  <c r="B430" i="24"/>
  <c r="F430" i="24"/>
  <c r="G431" i="24"/>
  <c r="A433" i="24"/>
  <c r="D433" i="24" s="1" a="1"/>
  <c r="D433" i="24" s="1"/>
  <c r="B431" i="24"/>
  <c r="F431" i="24"/>
  <c r="H431" i="24"/>
  <c r="C432" i="24" l="1" a="1"/>
  <c r="C432" i="24" s="1"/>
  <c r="E432" i="24" a="1"/>
  <c r="E432" i="24" s="1"/>
  <c r="C433" i="24" a="1"/>
  <c r="C433" i="24" s="1"/>
  <c r="E433" i="24" a="1"/>
  <c r="E433" i="24" s="1"/>
  <c r="F433" i="24"/>
  <c r="A435" i="24"/>
  <c r="D435" i="24" s="1" a="1"/>
  <c r="D435" i="24" s="1"/>
  <c r="H433" i="24"/>
  <c r="G433" i="24"/>
  <c r="B433" i="24"/>
  <c r="H432" i="24"/>
  <c r="G432" i="24"/>
  <c r="B432" i="24"/>
  <c r="A434" i="24"/>
  <c r="D434" i="24" s="1" a="1"/>
  <c r="D434" i="24" s="1"/>
  <c r="F432" i="24"/>
  <c r="C435" i="24" l="1" a="1"/>
  <c r="C435" i="24" s="1"/>
  <c r="E435" i="24" a="1"/>
  <c r="E435" i="24" s="1"/>
  <c r="E434" i="24" a="1"/>
  <c r="E434" i="24" s="1"/>
  <c r="C434" i="24" a="1"/>
  <c r="C434" i="24" s="1"/>
  <c r="H435" i="24"/>
  <c r="B435" i="24"/>
  <c r="G435" i="24"/>
  <c r="F435" i="24"/>
  <c r="A437" i="24"/>
  <c r="D437" i="24" s="1" a="1"/>
  <c r="D437" i="24" s="1"/>
  <c r="F434" i="24"/>
  <c r="H434" i="24"/>
  <c r="A436" i="24"/>
  <c r="D436" i="24" s="1" a="1"/>
  <c r="D436" i="24" s="1"/>
  <c r="G434" i="24"/>
  <c r="B434" i="24"/>
  <c r="C436" i="24" l="1" a="1"/>
  <c r="C436" i="24" s="1"/>
  <c r="E436" i="24" a="1"/>
  <c r="E436" i="24" s="1"/>
  <c r="C437" i="24" a="1"/>
  <c r="C437" i="24" s="1"/>
  <c r="E437" i="24" a="1"/>
  <c r="E437" i="24" s="1"/>
  <c r="A439" i="24"/>
  <c r="D439" i="24" s="1" a="1"/>
  <c r="D439" i="24" s="1"/>
  <c r="F437" i="24"/>
  <c r="B437" i="24"/>
  <c r="H437" i="24"/>
  <c r="G437" i="24"/>
  <c r="A438" i="24"/>
  <c r="D438" i="24" s="1" a="1"/>
  <c r="D438" i="24" s="1"/>
  <c r="H436" i="24"/>
  <c r="G436" i="24"/>
  <c r="F436" i="24"/>
  <c r="B436" i="24"/>
  <c r="C439" i="24" l="1" a="1"/>
  <c r="C439" i="24" s="1"/>
  <c r="E439" i="24" a="1"/>
  <c r="E439" i="24" s="1"/>
  <c r="C438" i="24" a="1"/>
  <c r="C438" i="24" s="1"/>
  <c r="E438" i="24" a="1"/>
  <c r="E438" i="24" s="1"/>
  <c r="A440" i="24"/>
  <c r="D440" i="24" s="1" a="1"/>
  <c r="D440" i="24" s="1"/>
  <c r="H438" i="24"/>
  <c r="G438" i="24"/>
  <c r="F438" i="24"/>
  <c r="B438" i="24"/>
  <c r="F439" i="24"/>
  <c r="B439" i="24"/>
  <c r="A441" i="24"/>
  <c r="D441" i="24" s="1" a="1"/>
  <c r="D441" i="24" s="1"/>
  <c r="H439" i="24"/>
  <c r="G439" i="24"/>
  <c r="C440" i="24" l="1" a="1"/>
  <c r="C440" i="24" s="1"/>
  <c r="E440" i="24" a="1"/>
  <c r="E440" i="24" s="1"/>
  <c r="C441" i="24" a="1"/>
  <c r="C441" i="24" s="1"/>
  <c r="E441" i="24" a="1"/>
  <c r="E441" i="24" s="1"/>
  <c r="G441" i="24"/>
  <c r="B441" i="24"/>
  <c r="F441" i="24"/>
  <c r="H441" i="24"/>
  <c r="A443" i="24"/>
  <c r="D443" i="24" s="1" a="1"/>
  <c r="D443" i="24" s="1"/>
  <c r="F440" i="24"/>
  <c r="A442" i="24"/>
  <c r="D442" i="24" s="1" a="1"/>
  <c r="D442" i="24" s="1"/>
  <c r="G440" i="24"/>
  <c r="H440" i="24"/>
  <c r="B440" i="24"/>
  <c r="C442" i="24" l="1" a="1"/>
  <c r="C442" i="24" s="1"/>
  <c r="E442" i="24" a="1"/>
  <c r="E442" i="24" s="1"/>
  <c r="C443" i="24" a="1"/>
  <c r="C443" i="24" s="1"/>
  <c r="E443" i="24" a="1"/>
  <c r="E443" i="24" s="1"/>
  <c r="F443" i="24"/>
  <c r="A445" i="24"/>
  <c r="D445" i="24" s="1" a="1"/>
  <c r="D445" i="24" s="1"/>
  <c r="H443" i="24"/>
  <c r="G443" i="24"/>
  <c r="B443" i="24"/>
  <c r="A444" i="24"/>
  <c r="D444" i="24" s="1" a="1"/>
  <c r="D444" i="24" s="1"/>
  <c r="H442" i="24"/>
  <c r="B442" i="24"/>
  <c r="F442" i="24"/>
  <c r="G442" i="24"/>
  <c r="C445" i="24" l="1" a="1"/>
  <c r="C445" i="24" s="1"/>
  <c r="E445" i="24" a="1"/>
  <c r="E445" i="24" s="1"/>
  <c r="C444" i="24" a="1"/>
  <c r="C444" i="24" s="1"/>
  <c r="E444" i="24" a="1"/>
  <c r="E444" i="24" s="1"/>
  <c r="H445" i="24"/>
  <c r="B445" i="24"/>
  <c r="G445" i="24"/>
  <c r="F445" i="24"/>
  <c r="A447" i="24"/>
  <c r="D447" i="24" s="1" a="1"/>
  <c r="D447" i="24" s="1"/>
  <c r="G444" i="24"/>
  <c r="H444" i="24"/>
  <c r="A446" i="24"/>
  <c r="D446" i="24" s="1" a="1"/>
  <c r="D446" i="24" s="1"/>
  <c r="B444" i="24"/>
  <c r="F444" i="24"/>
  <c r="C446" i="24" l="1" a="1"/>
  <c r="C446" i="24" s="1"/>
  <c r="E446" i="24" a="1"/>
  <c r="E446" i="24" s="1"/>
  <c r="E447" i="24" a="1"/>
  <c r="E447" i="24" s="1"/>
  <c r="C447" i="24" a="1"/>
  <c r="C447" i="24" s="1"/>
  <c r="F446" i="24"/>
  <c r="H446" i="24"/>
  <c r="B446" i="24"/>
  <c r="A448" i="24"/>
  <c r="D448" i="24" s="1" a="1"/>
  <c r="D448" i="24" s="1"/>
  <c r="G446" i="24"/>
  <c r="A449" i="24"/>
  <c r="D449" i="24" s="1" a="1"/>
  <c r="D449" i="24" s="1"/>
  <c r="H447" i="24"/>
  <c r="F447" i="24"/>
  <c r="B447" i="24"/>
  <c r="G447" i="24"/>
  <c r="C449" i="24" l="1" a="1"/>
  <c r="C449" i="24" s="1"/>
  <c r="E449" i="24" a="1"/>
  <c r="E449" i="24" s="1"/>
  <c r="C448" i="24" a="1"/>
  <c r="C448" i="24" s="1"/>
  <c r="E448" i="24" a="1"/>
  <c r="E448" i="24" s="1"/>
  <c r="A451" i="24"/>
  <c r="D451" i="24" s="1" a="1"/>
  <c r="D451" i="24" s="1"/>
  <c r="G449" i="24"/>
  <c r="F449" i="24"/>
  <c r="H449" i="24"/>
  <c r="B449" i="24"/>
  <c r="H448" i="24"/>
  <c r="F448" i="24"/>
  <c r="G448" i="24"/>
  <c r="B448" i="24"/>
  <c r="A450" i="24"/>
  <c r="D450" i="24" s="1" a="1"/>
  <c r="D450" i="24" s="1"/>
  <c r="C451" i="24" l="1" a="1"/>
  <c r="C451" i="24" s="1"/>
  <c r="E451" i="24" a="1"/>
  <c r="E451" i="24" s="1"/>
  <c r="C450" i="24" a="1"/>
  <c r="C450" i="24" s="1"/>
  <c r="E450" i="24" a="1"/>
  <c r="E450" i="24" s="1"/>
  <c r="B450" i="24"/>
  <c r="F450" i="24"/>
  <c r="G450" i="24"/>
  <c r="A452" i="24"/>
  <c r="D452" i="24" s="1" a="1"/>
  <c r="D452" i="24" s="1"/>
  <c r="H450" i="24"/>
  <c r="H451" i="24"/>
  <c r="A453" i="24"/>
  <c r="D453" i="24" s="1" a="1"/>
  <c r="D453" i="24" s="1"/>
  <c r="G451" i="24"/>
  <c r="B451" i="24"/>
  <c r="F451" i="24"/>
  <c r="C453" i="24" l="1" a="1"/>
  <c r="C453" i="24" s="1"/>
  <c r="E453" i="24" a="1"/>
  <c r="E453" i="24" s="1"/>
  <c r="C452" i="24" a="1"/>
  <c r="C452" i="24" s="1"/>
  <c r="E452" i="24" a="1"/>
  <c r="E452" i="24" s="1"/>
  <c r="H452" i="24"/>
  <c r="F452" i="24"/>
  <c r="G452" i="24"/>
  <c r="A454" i="24"/>
  <c r="D454" i="24" s="1" a="1"/>
  <c r="D454" i="24" s="1"/>
  <c r="B452" i="24"/>
  <c r="H453" i="24"/>
  <c r="G453" i="24"/>
  <c r="F453" i="24"/>
  <c r="B453" i="24"/>
  <c r="A455" i="24"/>
  <c r="D455" i="24" s="1" a="1"/>
  <c r="D455" i="24" s="1"/>
  <c r="C455" i="24" l="1" a="1"/>
  <c r="C455" i="24" s="1"/>
  <c r="E455" i="24" a="1"/>
  <c r="E455" i="24" s="1"/>
  <c r="C454" i="24" a="1"/>
  <c r="C454" i="24" s="1"/>
  <c r="E454" i="24" a="1"/>
  <c r="E454" i="24" s="1"/>
  <c r="A457" i="24"/>
  <c r="D457" i="24" s="1" a="1"/>
  <c r="D457" i="24" s="1"/>
  <c r="G455" i="24"/>
  <c r="F455" i="24"/>
  <c r="B455" i="24"/>
  <c r="H455" i="24"/>
  <c r="F454" i="24"/>
  <c r="A456" i="24"/>
  <c r="D456" i="24" s="1" a="1"/>
  <c r="D456" i="24" s="1"/>
  <c r="H454" i="24"/>
  <c r="G454" i="24"/>
  <c r="B454" i="24"/>
  <c r="C457" i="24" l="1" a="1"/>
  <c r="C457" i="24" s="1"/>
  <c r="E457" i="24" a="1"/>
  <c r="E457" i="24" s="1"/>
  <c r="C456" i="24" a="1"/>
  <c r="C456" i="24" s="1"/>
  <c r="E456" i="24" a="1"/>
  <c r="E456" i="24" s="1"/>
  <c r="H456" i="24"/>
  <c r="G456" i="24"/>
  <c r="B456" i="24"/>
  <c r="F456" i="24"/>
  <c r="A458" i="24"/>
  <c r="D458" i="24" s="1" a="1"/>
  <c r="D458" i="24" s="1"/>
  <c r="A459" i="24"/>
  <c r="D459" i="24" s="1" a="1"/>
  <c r="D459" i="24" s="1"/>
  <c r="H457" i="24"/>
  <c r="G457" i="24"/>
  <c r="B457" i="24"/>
  <c r="F457" i="24"/>
  <c r="C459" i="24" l="1" a="1"/>
  <c r="C459" i="24" s="1"/>
  <c r="E459" i="24" a="1"/>
  <c r="E459" i="24" s="1"/>
  <c r="C458" i="24" a="1"/>
  <c r="C458" i="24" s="1"/>
  <c r="E458" i="24" a="1"/>
  <c r="E458" i="24" s="1"/>
  <c r="A460" i="24"/>
  <c r="D460" i="24" s="1" a="1"/>
  <c r="D460" i="24" s="1"/>
  <c r="G458" i="24"/>
  <c r="F458" i="24"/>
  <c r="H458" i="24"/>
  <c r="B458" i="24"/>
  <c r="F459" i="24"/>
  <c r="A461" i="24"/>
  <c r="D461" i="24" s="1" a="1"/>
  <c r="D461" i="24" s="1"/>
  <c r="H459" i="24"/>
  <c r="G459" i="24"/>
  <c r="B459" i="24"/>
  <c r="C460" i="24" l="1" a="1"/>
  <c r="C460" i="24" s="1"/>
  <c r="E460" i="24" a="1"/>
  <c r="E460" i="24" s="1"/>
  <c r="C461" i="24" a="1"/>
  <c r="C461" i="24" s="1"/>
  <c r="E461" i="24" a="1"/>
  <c r="E461" i="24" s="1"/>
  <c r="G461" i="24"/>
  <c r="B461" i="24"/>
  <c r="A463" i="24"/>
  <c r="D463" i="24" s="1" a="1"/>
  <c r="D463" i="24" s="1"/>
  <c r="F461" i="24"/>
  <c r="H461" i="24"/>
  <c r="B460" i="24"/>
  <c r="A462" i="24"/>
  <c r="D462" i="24" s="1" a="1"/>
  <c r="D462" i="24" s="1"/>
  <c r="G460" i="24"/>
  <c r="H460" i="24"/>
  <c r="F460" i="24"/>
  <c r="C462" i="24" l="1" a="1"/>
  <c r="C462" i="24" s="1"/>
  <c r="E462" i="24" a="1"/>
  <c r="E462" i="24" s="1"/>
  <c r="C463" i="24" a="1"/>
  <c r="C463" i="24" s="1"/>
  <c r="E463" i="24" a="1"/>
  <c r="E463" i="24" s="1"/>
  <c r="A465" i="24"/>
  <c r="D465" i="24" s="1" a="1"/>
  <c r="D465" i="24" s="1"/>
  <c r="F463" i="24"/>
  <c r="B463" i="24"/>
  <c r="H463" i="24"/>
  <c r="G463" i="24"/>
  <c r="F462" i="24"/>
  <c r="A464" i="24"/>
  <c r="D464" i="24" s="1" a="1"/>
  <c r="D464" i="24" s="1"/>
  <c r="B462" i="24"/>
  <c r="H462" i="24"/>
  <c r="G462" i="24"/>
  <c r="C465" i="24" l="1" a="1"/>
  <c r="C465" i="24" s="1"/>
  <c r="E465" i="24" a="1"/>
  <c r="E465" i="24" s="1"/>
  <c r="C464" i="24" a="1"/>
  <c r="C464" i="24" s="1"/>
  <c r="E464" i="24" a="1"/>
  <c r="E464" i="24" s="1"/>
  <c r="H464" i="24"/>
  <c r="G464" i="24"/>
  <c r="B464" i="24"/>
  <c r="F464" i="24"/>
  <c r="A466" i="24"/>
  <c r="D466" i="24" s="1" a="1"/>
  <c r="D466" i="24" s="1"/>
  <c r="A467" i="24"/>
  <c r="D467" i="24" s="1" a="1"/>
  <c r="D467" i="24" s="1"/>
  <c r="H465" i="24"/>
  <c r="F465" i="24"/>
  <c r="G465" i="24"/>
  <c r="B465" i="24"/>
  <c r="C467" i="24" l="1" a="1"/>
  <c r="C467" i="24" s="1"/>
  <c r="E467" i="24" a="1"/>
  <c r="E467" i="24" s="1"/>
  <c r="C466" i="24" a="1"/>
  <c r="C466" i="24" s="1"/>
  <c r="E466" i="24" a="1"/>
  <c r="E466" i="24" s="1"/>
  <c r="A468" i="24"/>
  <c r="D468" i="24" s="1" a="1"/>
  <c r="D468" i="24" s="1"/>
  <c r="H466" i="24"/>
  <c r="G466" i="24"/>
  <c r="F466" i="24"/>
  <c r="B466" i="24"/>
  <c r="F467" i="24"/>
  <c r="A469" i="24"/>
  <c r="D469" i="24" s="1" a="1"/>
  <c r="D469" i="24" s="1"/>
  <c r="H467" i="24"/>
  <c r="G467" i="24"/>
  <c r="B467" i="24"/>
  <c r="C468" i="24" l="1" a="1"/>
  <c r="C468" i="24" s="1"/>
  <c r="E468" i="24" a="1"/>
  <c r="E468" i="24" s="1"/>
  <c r="C469" i="24" a="1"/>
  <c r="C469" i="24" s="1"/>
  <c r="E469" i="24" a="1"/>
  <c r="E469" i="24" s="1"/>
  <c r="H469" i="24"/>
  <c r="F469" i="24"/>
  <c r="G469" i="24"/>
  <c r="B469" i="24"/>
  <c r="A471" i="24"/>
  <c r="D471" i="24" s="1" a="1"/>
  <c r="D471" i="24" s="1"/>
  <c r="G468" i="24"/>
  <c r="B468" i="24"/>
  <c r="F468" i="24"/>
  <c r="H468" i="24"/>
  <c r="A470" i="24"/>
  <c r="D470" i="24" s="1" a="1"/>
  <c r="D470" i="24" s="1"/>
  <c r="C470" i="24" l="1" a="1"/>
  <c r="C470" i="24" s="1"/>
  <c r="E470" i="24" a="1"/>
  <c r="E470" i="24" s="1"/>
  <c r="C471" i="24" a="1"/>
  <c r="C471" i="24" s="1"/>
  <c r="E471" i="24" a="1"/>
  <c r="E471" i="24" s="1"/>
  <c r="G470" i="24"/>
  <c r="A472" i="24"/>
  <c r="D472" i="24" s="1" a="1"/>
  <c r="D472" i="24" s="1"/>
  <c r="H470" i="24"/>
  <c r="B470" i="24"/>
  <c r="F470" i="24"/>
  <c r="G471" i="24"/>
  <c r="H471" i="24"/>
  <c r="A473" i="24"/>
  <c r="D473" i="24" s="1" a="1"/>
  <c r="D473" i="24" s="1"/>
  <c r="F471" i="24"/>
  <c r="B471" i="24"/>
  <c r="C472" i="24" l="1" a="1"/>
  <c r="C472" i="24" s="1"/>
  <c r="E472" i="24" a="1"/>
  <c r="E472" i="24" s="1"/>
  <c r="C473" i="24" a="1"/>
  <c r="C473" i="24" s="1"/>
  <c r="E473" i="24" a="1"/>
  <c r="E473" i="24" s="1"/>
  <c r="A475" i="24"/>
  <c r="D475" i="24" s="1" a="1"/>
  <c r="D475" i="24" s="1"/>
  <c r="H473" i="24"/>
  <c r="G473" i="24"/>
  <c r="F473" i="24"/>
  <c r="B473" i="24"/>
  <c r="H472" i="24"/>
  <c r="A474" i="24"/>
  <c r="D474" i="24" s="1" a="1"/>
  <c r="D474" i="24" s="1"/>
  <c r="G472" i="24"/>
  <c r="B472" i="24"/>
  <c r="F472" i="24"/>
  <c r="C474" i="24" l="1" a="1"/>
  <c r="C474" i="24" s="1"/>
  <c r="E474" i="24" a="1"/>
  <c r="E474" i="24" s="1"/>
  <c r="C475" i="24" a="1"/>
  <c r="C475" i="24" s="1"/>
  <c r="E475" i="24" a="1"/>
  <c r="E475" i="24" s="1"/>
  <c r="G474" i="24"/>
  <c r="F474" i="24"/>
  <c r="B474" i="24"/>
  <c r="A476" i="24"/>
  <c r="D476" i="24" s="1" a="1"/>
  <c r="D476" i="24" s="1"/>
  <c r="H474" i="24"/>
  <c r="H475" i="24"/>
  <c r="B475" i="24"/>
  <c r="F475" i="24"/>
  <c r="G475" i="24"/>
  <c r="A477" i="24"/>
  <c r="D477" i="24" s="1" a="1"/>
  <c r="D477" i="24" s="1"/>
  <c r="C477" i="24" l="1" a="1"/>
  <c r="C477" i="24" s="1"/>
  <c r="E477" i="24" a="1"/>
  <c r="E477" i="24" s="1"/>
  <c r="C476" i="24" a="1"/>
  <c r="C476" i="24" s="1"/>
  <c r="E476" i="24" a="1"/>
  <c r="E476" i="24" s="1"/>
  <c r="A479" i="24"/>
  <c r="D479" i="24" s="1" a="1"/>
  <c r="D479" i="24" s="1"/>
  <c r="G477" i="24"/>
  <c r="H477" i="24"/>
  <c r="B477" i="24"/>
  <c r="F477" i="24"/>
  <c r="F476" i="24"/>
  <c r="H476" i="24"/>
  <c r="B476" i="24"/>
  <c r="A478" i="24"/>
  <c r="D478" i="24" s="1" a="1"/>
  <c r="D478" i="24" s="1"/>
  <c r="G476" i="24"/>
  <c r="C479" i="24" l="1" a="1"/>
  <c r="C479" i="24" s="1"/>
  <c r="E479" i="24" a="1"/>
  <c r="E479" i="24" s="1"/>
  <c r="C478" i="24" a="1"/>
  <c r="C478" i="24" s="1"/>
  <c r="E478" i="24" a="1"/>
  <c r="E478" i="24" s="1"/>
  <c r="H478" i="24"/>
  <c r="B478" i="24"/>
  <c r="G478" i="24"/>
  <c r="A480" i="24"/>
  <c r="D480" i="24" s="1" a="1"/>
  <c r="D480" i="24" s="1"/>
  <c r="F478" i="24"/>
  <c r="A481" i="24"/>
  <c r="D481" i="24" s="1" a="1"/>
  <c r="D481" i="24" s="1"/>
  <c r="H479" i="24"/>
  <c r="B479" i="24"/>
  <c r="F479" i="24"/>
  <c r="G479" i="24"/>
  <c r="C481" i="24" l="1" a="1"/>
  <c r="C481" i="24" s="1"/>
  <c r="E481" i="24" a="1"/>
  <c r="E481" i="24" s="1"/>
  <c r="C480" i="24" a="1"/>
  <c r="C480" i="24" s="1"/>
  <c r="E480" i="24" a="1"/>
  <c r="E480" i="24" s="1"/>
  <c r="A482" i="24"/>
  <c r="D482" i="24" s="1" a="1"/>
  <c r="D482" i="24" s="1"/>
  <c r="H480" i="24"/>
  <c r="G480" i="24"/>
  <c r="B480" i="24"/>
  <c r="F480" i="24"/>
  <c r="F481" i="24"/>
  <c r="A483" i="24"/>
  <c r="D483" i="24" s="1" a="1"/>
  <c r="D483" i="24" s="1"/>
  <c r="G481" i="24"/>
  <c r="H481" i="24"/>
  <c r="B481" i="24"/>
  <c r="C483" i="24" l="1" a="1"/>
  <c r="C483" i="24" s="1"/>
  <c r="E483" i="24" a="1"/>
  <c r="E483" i="24" s="1"/>
  <c r="C482" i="24" a="1"/>
  <c r="C482" i="24" s="1"/>
  <c r="E482" i="24" a="1"/>
  <c r="E482" i="24" s="1"/>
  <c r="H483" i="24"/>
  <c r="G483" i="24"/>
  <c r="B483" i="24"/>
  <c r="A485" i="24"/>
  <c r="D485" i="24" s="1" a="1"/>
  <c r="D485" i="24" s="1"/>
  <c r="F483" i="24"/>
  <c r="G482" i="24"/>
  <c r="B482" i="24"/>
  <c r="F482" i="24"/>
  <c r="H482" i="24"/>
  <c r="A484" i="24"/>
  <c r="D484" i="24" s="1" a="1"/>
  <c r="D484" i="24" s="1"/>
  <c r="C484" i="24" l="1" a="1"/>
  <c r="C484" i="24" s="1"/>
  <c r="E484" i="24" a="1"/>
  <c r="E484" i="24" s="1"/>
  <c r="C485" i="24" a="1"/>
  <c r="C485" i="24" s="1"/>
  <c r="E485" i="24" a="1"/>
  <c r="E485" i="24" s="1"/>
  <c r="F484" i="24"/>
  <c r="B484" i="24"/>
  <c r="A486" i="24"/>
  <c r="D486" i="24" s="1" a="1"/>
  <c r="D486" i="24" s="1"/>
  <c r="G484" i="24"/>
  <c r="H484" i="24"/>
  <c r="A487" i="24"/>
  <c r="D487" i="24" s="1" a="1"/>
  <c r="D487" i="24" s="1"/>
  <c r="B485" i="24"/>
  <c r="H485" i="24"/>
  <c r="G485" i="24"/>
  <c r="F485" i="24"/>
  <c r="C487" i="24" l="1" a="1"/>
  <c r="C487" i="24" s="1"/>
  <c r="E487" i="24" a="1"/>
  <c r="E487" i="24" s="1"/>
  <c r="C486" i="24" a="1"/>
  <c r="C486" i="24" s="1"/>
  <c r="E486" i="24" a="1"/>
  <c r="E486" i="24" s="1"/>
  <c r="H486" i="24"/>
  <c r="G486" i="24"/>
  <c r="B486" i="24"/>
  <c r="F486" i="24"/>
  <c r="A488" i="24"/>
  <c r="D488" i="24" s="1" a="1"/>
  <c r="D488" i="24" s="1"/>
  <c r="A489" i="24"/>
  <c r="D489" i="24" s="1" a="1"/>
  <c r="D489" i="24" s="1"/>
  <c r="H487" i="24"/>
  <c r="G487" i="24"/>
  <c r="F487" i="24"/>
  <c r="B487" i="24"/>
  <c r="C489" i="24" l="1" a="1"/>
  <c r="C489" i="24" s="1"/>
  <c r="E489" i="24" a="1"/>
  <c r="E489" i="24" s="1"/>
  <c r="C488" i="24" a="1"/>
  <c r="C488" i="24" s="1"/>
  <c r="E488" i="24" a="1"/>
  <c r="E488" i="24" s="1"/>
  <c r="A490" i="24"/>
  <c r="D490" i="24" s="1" a="1"/>
  <c r="D490" i="24" s="1"/>
  <c r="H488" i="24"/>
  <c r="G488" i="24"/>
  <c r="B488" i="24"/>
  <c r="F488" i="24"/>
  <c r="F489" i="24"/>
  <c r="A491" i="24"/>
  <c r="D491" i="24" s="1" a="1"/>
  <c r="D491" i="24" s="1"/>
  <c r="B489" i="24"/>
  <c r="G489" i="24"/>
  <c r="H489" i="24"/>
  <c r="C490" i="24" l="1" a="1"/>
  <c r="C490" i="24" s="1"/>
  <c r="E490" i="24" a="1"/>
  <c r="E490" i="24" s="1"/>
  <c r="C491" i="24" a="1"/>
  <c r="C491" i="24" s="1"/>
  <c r="E491" i="24" a="1"/>
  <c r="E491" i="24" s="1"/>
  <c r="H491" i="24"/>
  <c r="B491" i="24"/>
  <c r="F491" i="24"/>
  <c r="G491" i="24"/>
  <c r="A493" i="24"/>
  <c r="D493" i="24" s="1" a="1"/>
  <c r="D493" i="24" s="1"/>
  <c r="B490" i="24"/>
  <c r="G490" i="24"/>
  <c r="F490" i="24"/>
  <c r="A492" i="24"/>
  <c r="D492" i="24" s="1" a="1"/>
  <c r="D492" i="24" s="1"/>
  <c r="H490" i="24"/>
  <c r="C492" i="24" l="1" a="1"/>
  <c r="C492" i="24" s="1"/>
  <c r="E492" i="24" a="1"/>
  <c r="E492" i="24" s="1"/>
  <c r="C493" i="24" a="1"/>
  <c r="C493" i="24" s="1"/>
  <c r="E493" i="24" a="1"/>
  <c r="E493" i="24" s="1"/>
  <c r="A495" i="24"/>
  <c r="D495" i="24" s="1" a="1"/>
  <c r="D495" i="24" s="1"/>
  <c r="H493" i="24"/>
  <c r="F493" i="24"/>
  <c r="G493" i="24"/>
  <c r="B493" i="24"/>
  <c r="F492" i="24"/>
  <c r="G492" i="24"/>
  <c r="A494" i="24"/>
  <c r="D494" i="24" s="1" a="1"/>
  <c r="D494" i="24" s="1"/>
  <c r="B492" i="24"/>
  <c r="H492" i="24"/>
  <c r="C495" i="24" l="1" a="1"/>
  <c r="C495" i="24" s="1"/>
  <c r="E495" i="24" a="1"/>
  <c r="E495" i="24" s="1"/>
  <c r="C494" i="24" a="1"/>
  <c r="C494" i="24" s="1"/>
  <c r="E494" i="24" a="1"/>
  <c r="E494" i="24" s="1"/>
  <c r="H494" i="24"/>
  <c r="G494" i="24"/>
  <c r="A496" i="24"/>
  <c r="D496" i="24" s="1" a="1"/>
  <c r="D496" i="24" s="1"/>
  <c r="B494" i="24"/>
  <c r="F494" i="24"/>
  <c r="A497" i="24"/>
  <c r="D497" i="24" s="1" a="1"/>
  <c r="D497" i="24" s="1"/>
  <c r="B495" i="24"/>
  <c r="H495" i="24"/>
  <c r="F495" i="24"/>
  <c r="G495" i="24"/>
  <c r="C497" i="24" l="1" a="1"/>
  <c r="C497" i="24" s="1"/>
  <c r="E497" i="24" a="1"/>
  <c r="E497" i="24" s="1"/>
  <c r="C496" i="24" a="1"/>
  <c r="C496" i="24" s="1"/>
  <c r="E496" i="24" a="1"/>
  <c r="E496" i="24" s="1"/>
  <c r="A498" i="24"/>
  <c r="D498" i="24" s="1" a="1"/>
  <c r="D498" i="24" s="1"/>
  <c r="H496" i="24"/>
  <c r="G496" i="24"/>
  <c r="B496" i="24"/>
  <c r="F496" i="24"/>
  <c r="F497" i="24"/>
  <c r="G497" i="24"/>
  <c r="A499" i="24"/>
  <c r="D499" i="24" s="1" a="1"/>
  <c r="D499" i="24" s="1"/>
  <c r="H497" i="24"/>
  <c r="B497" i="24"/>
  <c r="C499" i="24" l="1" a="1"/>
  <c r="C499" i="24" s="1"/>
  <c r="E499" i="24" a="1"/>
  <c r="E499" i="24" s="1"/>
  <c r="C498" i="24" a="1"/>
  <c r="C498" i="24" s="1"/>
  <c r="E498" i="24" a="1"/>
  <c r="E498" i="24" s="1"/>
  <c r="H499" i="24"/>
  <c r="G499" i="24"/>
  <c r="F499" i="24"/>
  <c r="B499" i="24"/>
  <c r="B498" i="24"/>
  <c r="F498" i="24"/>
  <c r="G498" i="24"/>
  <c r="A500" i="24"/>
  <c r="D500" i="24" s="1" a="1"/>
  <c r="D500" i="24" s="1"/>
  <c r="H498" i="24"/>
  <c r="C500" i="24" l="1" a="1"/>
  <c r="C500" i="24" s="1"/>
  <c r="E500" i="24" a="1"/>
  <c r="E500" i="24" s="1"/>
  <c r="H500" i="24"/>
  <c r="B500" i="24"/>
  <c r="F500" i="24"/>
  <c r="G500" i="24"/>
  <c r="BB17" i="20" a="1"/>
  <c r="BB15" i="20" a="1"/>
  <c r="BB16" i="20" a="1"/>
  <c r="BB14" i="20" a="1"/>
  <c r="BB5" i="20" a="1"/>
  <c r="BB2" i="20" a="1"/>
  <c r="BB4" i="20" a="1"/>
  <c r="BB3" i="20" a="1"/>
  <c r="BB4" i="20" l="1"/>
  <c r="C12" i="23" s="1"/>
  <c r="BB3" i="20"/>
  <c r="C11" i="23" s="1"/>
  <c r="BB2" i="20"/>
  <c r="BB16" i="20"/>
  <c r="C24" i="23" s="1"/>
  <c r="BB15" i="20"/>
  <c r="C23" i="23" s="1"/>
  <c r="BB17" i="20"/>
  <c r="C25" i="23" s="1"/>
  <c r="BB5" i="20"/>
  <c r="C13" i="23" s="1"/>
  <c r="BB14" i="20"/>
  <c r="BB10" i="20" a="1"/>
  <c r="BB8" i="20" a="1"/>
  <c r="BB22" i="20" a="1"/>
  <c r="BB6" i="20" a="1"/>
  <c r="BB18" i="20" a="1"/>
  <c r="BB8" i="20" l="1"/>
  <c r="C16" i="23" s="1"/>
  <c r="BB18" i="20"/>
  <c r="C26" i="23" s="1"/>
  <c r="BB22" i="20"/>
  <c r="C30" i="23" s="1"/>
  <c r="BB6" i="20"/>
  <c r="C14" i="23" s="1"/>
  <c r="BB10" i="20"/>
  <c r="C18" i="23" s="1"/>
  <c r="C22" i="23"/>
  <c r="C10" i="23"/>
  <c r="BB20" i="20" a="1"/>
  <c r="BB23" i="20" a="1"/>
  <c r="BB11" i="20" a="1"/>
  <c r="BB23" i="20" l="1"/>
  <c r="C31" i="23" s="1"/>
  <c r="BB11" i="20"/>
  <c r="C19" i="23" s="1"/>
  <c r="BB20" i="20"/>
  <c r="C28" i="23" s="1"/>
  <c r="BB21" i="20" a="1"/>
  <c r="BB9" i="20" a="1"/>
  <c r="BB21" i="20" l="1"/>
  <c r="C29" i="23" s="1"/>
  <c r="BB9" i="20"/>
  <c r="C17" i="23" s="1"/>
  <c r="BB27" i="20" a="1"/>
  <c r="BB27" i="20" l="1"/>
  <c r="C35" i="23" s="1"/>
  <c r="BB28" i="20" a="1"/>
  <c r="BB28" i="20" l="1"/>
  <c r="C36" i="23" s="1"/>
  <c r="BB19" i="20" a="1"/>
  <c r="BB7" i="20" a="1"/>
  <c r="BB7" i="20" l="1"/>
  <c r="BB19" i="20"/>
  <c r="BB12" i="20" a="1"/>
  <c r="BB24" i="20" a="1"/>
  <c r="BB24" i="20" l="1"/>
  <c r="C32" i="23" s="1"/>
  <c r="BB12" i="20"/>
  <c r="C20" i="23" s="1"/>
  <c r="C27" i="23"/>
  <c r="C15" i="23"/>
  <c r="BB26" i="20" a="1"/>
  <c r="BB25" i="20" a="1"/>
  <c r="BB13" i="20" a="1"/>
  <c r="BB26" i="20" l="1"/>
  <c r="BB13" i="20"/>
  <c r="BB25" i="20"/>
  <c r="K4" i="20" l="1"/>
  <c r="C34" i="23"/>
  <c r="C33" i="23"/>
  <c r="K3" i="20"/>
  <c r="C21" i="23"/>
  <c r="C6" i="23" s="1"/>
  <c r="C7" i="23" s="1"/>
  <c r="K2" i="20"/>
  <c r="D14"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<sst xmlns="http://schemas.openxmlformats.org/spreadsheetml/2006/main" count="1263" uniqueCount="404">
  <si>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</si>
  <si>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</si>
  <si>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</si>
  <si>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</si>
  <si>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</si>
  <si>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</si>
  <si>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</si>
  <si>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</si>
  <si>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</si>
  <si>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</si>
  <si>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</si>
  <si>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</si>
  <si>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</si>
  <si>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</si>
  <si>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</si>
  <si>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</si>
  <si>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</si>
  <si>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</si>
  <si>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Current Result:</t>
  </si>
  <si>
    <t>Date and Time</t>
  </si>
  <si>
    <t>Best Result:</t>
  </si>
  <si>
    <t>All Correct?</t>
  </si>
  <si>
    <t>A1:G141</t>
  </si>
  <si>
    <t>No</t>
  </si>
  <si>
    <t>Instructions</t>
  </si>
  <si>
    <t>X Position</t>
  </si>
  <si>
    <t>Y Position</t>
  </si>
  <si>
    <t>Mouse Moves</t>
  </si>
  <si>
    <t>Data Tables?</t>
  </si>
  <si>
    <t>Use Values</t>
  </si>
  <si>
    <t>Generated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</si>
  <si>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</si>
  <si>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</si>
  <si>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</si>
  <si>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</si>
  <si>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</si>
  <si>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</si>
  <si>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</si>
  <si>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</si>
  <si>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</si>
  <si>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</si>
  <si>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</si>
  <si>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</si>
  <si>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</si>
  <si>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</si>
  <si>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</si>
  <si>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</si>
  <si>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</si>
  <si>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</si>
  <si>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</si>
  <si>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</si>
  <si>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</si>
  <si>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</si>
  <si>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</si>
  <si>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</si>
  <si>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</si>
  <si>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</si>
  <si>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</si>
  <si>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</si>
  <si>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</si>
  <si>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</si>
  <si>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</si>
  <si>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</si>
  <si>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</si>
  <si>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</si>
  <si>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</si>
  <si>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</si>
  <si>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</si>
  <si>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</si>
  <si>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</si>
  <si>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</si>
  <si>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</si>
  <si>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</si>
  <si>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</si>
  <si>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Random Method</t>
  </si>
  <si>
    <t>Random Scenario</t>
  </si>
  <si>
    <t>Num Random Scenarios</t>
  </si>
  <si>
    <t>Scenario Update</t>
  </si>
  <si>
    <t>Number of Answers</t>
  </si>
  <si>
    <t>Correct?</t>
  </si>
  <si>
    <t>Total Time</t>
  </si>
  <si>
    <t>Correct Answer</t>
  </si>
  <si>
    <t>If your spreadsheet does not automatically record your results:</t>
  </si>
  <si>
    <t xml:space="preserve">Use the Force Stop button to record your time. Force Stop will only work if all of your answers are correct </t>
  </si>
  <si>
    <t>and the time has not already stopped.</t>
  </si>
  <si>
    <t xml:space="preserve">Use the Record Time button to record your results. Record Time will only work if a stop time has been </t>
  </si>
  <si>
    <t>recorded and all of your answers are correct.</t>
  </si>
  <si>
    <t>Live Version?</t>
  </si>
  <si>
    <t>Version Notes</t>
  </si>
  <si>
    <t>V5 Implemented 11-30-2021 to count number of activations instead of preventing copy-paste</t>
  </si>
  <si>
    <t>V6 Implemented 12-14-2021 to refresh values before progressing and track total time in spreadsheet</t>
  </si>
  <si>
    <t>Spreadsheet Activations</t>
  </si>
  <si>
    <t>Last Time</t>
  </si>
  <si>
    <t>Total Time (seconds)</t>
  </si>
  <si>
    <t>ProblemType</t>
  </si>
  <si>
    <t>WorksheetName</t>
  </si>
  <si>
    <t>Range</t>
  </si>
  <si>
    <t>Comparison</t>
  </si>
  <si>
    <t>Grade</t>
  </si>
  <si>
    <t>CorrectFeedback</t>
  </si>
  <si>
    <t>IncorrectFeedback</t>
  </si>
  <si>
    <t>CELL</t>
  </si>
  <si>
    <t>N/A</t>
  </si>
  <si>
    <t>Note that the input parameters randomly adjust when you press the Start button and complete an exercise.</t>
  </si>
  <si>
    <t>Your Answer</t>
  </si>
  <si>
    <t>Start Date</t>
  </si>
  <si>
    <t>End Date</t>
  </si>
  <si>
    <t>Tab</t>
  </si>
  <si>
    <t>Cell</t>
  </si>
  <si>
    <t>Check Cell</t>
  </si>
  <si>
    <t>Correct Answers:</t>
  </si>
  <si>
    <t>Percentage:</t>
  </si>
  <si>
    <t>Individual Questions:</t>
  </si>
  <si>
    <t>Correct</t>
  </si>
  <si>
    <t>Incorrect</t>
  </si>
  <si>
    <t>You should not be referencing the answer cell</t>
  </si>
  <si>
    <t>Timed Results</t>
  </si>
  <si>
    <t>Question Results</t>
  </si>
  <si>
    <t xml:space="preserve">If you are starting a timed attempt, the next tab will be revealed as soon as all answers on the tab are correct. </t>
  </si>
  <si>
    <t>Repeat as many times as you would like to improve your time - only your best time will count.</t>
  </si>
  <si>
    <t>If you are starting an untimed attempt, all tabs will be revealed and you can work freely between the tabs.</t>
  </si>
  <si>
    <t>If the next tab is not revealed, click the "Open Next Tab" button to force the next tab to open.</t>
  </si>
  <si>
    <t>Do not attempt to copy and paste from another workbook. Leaving the spreadsheet will result in a 60 second penalty.</t>
  </si>
  <si>
    <t>For your timed result to be counted, it must be within 10% of your last recorded time AND the last recorded time</t>
  </si>
  <si>
    <t>Note that your model must remain correct when new parameters are used, else you cannot move to the next tab.</t>
  </si>
  <si>
    <t>Share your best result!</t>
  </si>
  <si>
    <t>Time Elapsed</t>
  </si>
  <si>
    <t>Penalty Count</t>
  </si>
  <si>
    <t>All Results:</t>
  </si>
  <si>
    <t>https://www.linkedin.com/sharing/share-offsite/?url=https://www.fmworldcup.com/microsoft-excel-collegiate-challenge/</t>
  </si>
  <si>
    <t>https://www.fmworldcup.com/microsoft-excel-collegiate-challenge/</t>
  </si>
  <si>
    <t>Best Time Elapsed</t>
  </si>
  <si>
    <t>Best Penalty Count</t>
  </si>
  <si>
    <t>Best Total Time</t>
  </si>
  <si>
    <t>Total Time in Spreadsheet</t>
  </si>
  <si>
    <t>Do not round answers at any point in your calculations.</t>
  </si>
  <si>
    <t>or your score will not be counted.</t>
  </si>
  <si>
    <r>
      <t xml:space="preserve">Only reference calculations from your model in the </t>
    </r>
    <r>
      <rPr>
        <i/>
        <sz val="11"/>
        <color theme="1"/>
        <rFont val="Calibri"/>
        <family val="2"/>
        <scheme val="minor"/>
      </rPr>
      <t>Your Answer</t>
    </r>
    <r>
      <rPr>
        <sz val="11"/>
        <color theme="1"/>
        <rFont val="Calibri"/>
        <family val="2"/>
        <scheme val="minor"/>
      </rPr>
      <t xml:space="preserve"> fields. Do not reference any </t>
    </r>
    <r>
      <rPr>
        <i/>
        <sz val="11"/>
        <color theme="1"/>
        <rFont val="Calibri"/>
        <family val="2"/>
        <scheme val="minor"/>
      </rPr>
      <t>Correct Answer</t>
    </r>
    <r>
      <rPr>
        <sz val="11"/>
        <color theme="1"/>
        <rFont val="Calibri"/>
        <family val="2"/>
        <scheme val="minor"/>
      </rPr>
      <t xml:space="preserve"> values</t>
    </r>
  </si>
  <si>
    <t>MOEValue(.0001)</t>
  </si>
  <si>
    <t>REP</t>
  </si>
  <si>
    <t>ACCT ID</t>
  </si>
  <si>
    <t>COMPANY</t>
  </si>
  <si>
    <t>NEW BIZ</t>
  </si>
  <si>
    <t>BASE AMT</t>
  </si>
  <si>
    <t>ADD ON AMT</t>
  </si>
  <si>
    <t>DATE</t>
  </si>
  <si>
    <t>Max</t>
  </si>
  <si>
    <t>2-10702</t>
  </si>
  <si>
    <t>Yes</t>
  </si>
  <si>
    <t/>
  </si>
  <si>
    <t>Poorya</t>
  </si>
  <si>
    <t>6-11065</t>
  </si>
  <si>
    <t>Kate</t>
  </si>
  <si>
    <t>8-10209</t>
  </si>
  <si>
    <t>Joelle</t>
  </si>
  <si>
    <t>7-13035</t>
  </si>
  <si>
    <t>Andrew</t>
  </si>
  <si>
    <t>3-10449</t>
  </si>
  <si>
    <t>2-10982</t>
  </si>
  <si>
    <t>2-12501</t>
  </si>
  <si>
    <t>3-13551</t>
  </si>
  <si>
    <t>Emils</t>
  </si>
  <si>
    <t>5-10449</t>
  </si>
  <si>
    <t>David</t>
  </si>
  <si>
    <t>4-11702</t>
  </si>
  <si>
    <t>Nicole</t>
  </si>
  <si>
    <t>1-10801</t>
  </si>
  <si>
    <t>3-12377</t>
  </si>
  <si>
    <t>3-13013</t>
  </si>
  <si>
    <t>3-12501</t>
  </si>
  <si>
    <t>4-10004</t>
  </si>
  <si>
    <t>6-12212</t>
  </si>
  <si>
    <t>1-12501</t>
  </si>
  <si>
    <t>3-10634</t>
  </si>
  <si>
    <t>5-13035</t>
  </si>
  <si>
    <t>5-10052</t>
  </si>
  <si>
    <t>2-11702</t>
  </si>
  <si>
    <t>6-13845</t>
  </si>
  <si>
    <t>4-11890</t>
  </si>
  <si>
    <t>8-13845</t>
  </si>
  <si>
    <t>6-11135</t>
  </si>
  <si>
    <t>6-11424</t>
  </si>
  <si>
    <t>6-13296</t>
  </si>
  <si>
    <t>3-11704</t>
  </si>
  <si>
    <t>3-13296</t>
  </si>
  <si>
    <t>8-13296</t>
  </si>
  <si>
    <t>3-13035</t>
  </si>
  <si>
    <t>3-10052</t>
  </si>
  <si>
    <t>7-12584</t>
  </si>
  <si>
    <t>8-12501</t>
  </si>
  <si>
    <t>6-12584</t>
  </si>
  <si>
    <t>4-12877</t>
  </si>
  <si>
    <t>3-13142</t>
  </si>
  <si>
    <t>1-13013</t>
  </si>
  <si>
    <t>5-13013</t>
  </si>
  <si>
    <t>3-12877</t>
  </si>
  <si>
    <t>4-10209</t>
  </si>
  <si>
    <t>7-10801</t>
  </si>
  <si>
    <t>7-13142</t>
  </si>
  <si>
    <t>8-12377</t>
  </si>
  <si>
    <t>2-11890</t>
  </si>
  <si>
    <t>1-11424</t>
  </si>
  <si>
    <t>7-11704</t>
  </si>
  <si>
    <t>3-10982</t>
  </si>
  <si>
    <t>1-10209</t>
  </si>
  <si>
    <t>2-12877</t>
  </si>
  <si>
    <t>7-13845</t>
  </si>
  <si>
    <t>1-11890</t>
  </si>
  <si>
    <t>5-11065</t>
  </si>
  <si>
    <t>3-11890</t>
  </si>
  <si>
    <t>7-12877</t>
  </si>
  <si>
    <t>3-10209</t>
  </si>
  <si>
    <t>2-10052</t>
  </si>
  <si>
    <t>4-10801</t>
  </si>
  <si>
    <t>3-10702</t>
  </si>
  <si>
    <t>5-13845</t>
  </si>
  <si>
    <t>3-10004</t>
  </si>
  <si>
    <t>6-10449</t>
  </si>
  <si>
    <t>4-11135</t>
  </si>
  <si>
    <t>4-10982</t>
  </si>
  <si>
    <t>7-11424</t>
  </si>
  <si>
    <t>2-12212</t>
  </si>
  <si>
    <t>4-11424</t>
  </si>
  <si>
    <t>4-10634</t>
  </si>
  <si>
    <t>5-10982</t>
  </si>
  <si>
    <t>1-13845</t>
  </si>
  <si>
    <t>8-13551</t>
  </si>
  <si>
    <t>4-12212</t>
  </si>
  <si>
    <t>7-11702</t>
  </si>
  <si>
    <t>7-13013</t>
  </si>
  <si>
    <t>8-12212</t>
  </si>
  <si>
    <t>8-11065</t>
  </si>
  <si>
    <t>1-10634</t>
  </si>
  <si>
    <t>4-12501</t>
  </si>
  <si>
    <t>2-11135</t>
  </si>
  <si>
    <t>1-10449</t>
  </si>
  <si>
    <t>Base Sales Commissions</t>
  </si>
  <si>
    <t>Payout Percent</t>
  </si>
  <si>
    <t>Add-On Sales Commissions</t>
  </si>
  <si>
    <t>Base Sales Bonuses</t>
  </si>
  <si>
    <t>Add-On Sales Bonuses</t>
  </si>
  <si>
    <t>Dollar Bonus</t>
  </si>
  <si>
    <t>New Business Bonus</t>
  </si>
  <si>
    <t>Dollar Amount</t>
  </si>
  <si>
    <t>MECC Commission Calculator</t>
  </si>
  <si>
    <t>Min Base Pct to Goal</t>
  </si>
  <si>
    <t>Base Sales Goal &amp; Sales Person</t>
  </si>
  <si>
    <t>Sales Person</t>
  </si>
  <si>
    <t>Sales Period</t>
  </si>
  <si>
    <t>Which salesperson has the highest effective commission rate?</t>
  </si>
  <si>
    <t>Which salesperson has the highest total sales?</t>
  </si>
  <si>
    <t>What is the effective commission rate for the entire team?</t>
  </si>
  <si>
    <t>Base Sales Rate 1</t>
  </si>
  <si>
    <t>Base Sales Rate 2</t>
  </si>
  <si>
    <t>Base Sales Rate 3</t>
  </si>
  <si>
    <t>Base Sales Rate 4</t>
  </si>
  <si>
    <t>Add-On Sales Rate 1</t>
  </si>
  <si>
    <t>Add-On Sales Rate 2</t>
  </si>
  <si>
    <t>Add-On Sales Rate 3</t>
  </si>
  <si>
    <t>Add-On Sales Rate 4</t>
  </si>
  <si>
    <t>Add-On Sales Rate 5</t>
  </si>
  <si>
    <t>Base Sales Bonus 1</t>
  </si>
  <si>
    <t>Base Sales Bonus 2</t>
  </si>
  <si>
    <t>Base Sales Bonus 3</t>
  </si>
  <si>
    <t>Base Sales Bonus 4</t>
  </si>
  <si>
    <t>Add-On Sales Bonus 1</t>
  </si>
  <si>
    <t>Add-On Sales Bonus 2</t>
  </si>
  <si>
    <t>Add-On Sales Bonus 3</t>
  </si>
  <si>
    <t>New Business Percent</t>
  </si>
  <si>
    <t>Sales Goal 1</t>
  </si>
  <si>
    <t>Sales Goal 2</t>
  </si>
  <si>
    <t>Commission Calculator 1</t>
  </si>
  <si>
    <t>Commission Calculator 2</t>
  </si>
  <si>
    <t>Team Commissions</t>
  </si>
  <si>
    <t>F31</t>
  </si>
  <si>
    <t>F32</t>
  </si>
  <si>
    <t>F33</t>
  </si>
  <si>
    <t>F34</t>
  </si>
  <si>
    <t>F35</t>
  </si>
  <si>
    <t>F36</t>
  </si>
  <si>
    <t>F37</t>
  </si>
  <si>
    <t>F38</t>
  </si>
  <si>
    <t>F39</t>
  </si>
  <si>
    <t>F40</t>
  </si>
  <si>
    <t>G35</t>
  </si>
  <si>
    <t>G36</t>
  </si>
  <si>
    <t>G37</t>
  </si>
  <si>
    <t>G38</t>
  </si>
  <si>
    <t>G39</t>
  </si>
  <si>
    <t>G40</t>
  </si>
  <si>
    <t>must be scored 100%. This ensures that valid attempts do not involve referencing the answer cells.</t>
  </si>
  <si>
    <t>C10</t>
  </si>
  <si>
    <t>Reference2(False,True,G31)</t>
  </si>
  <si>
    <t>C11</t>
  </si>
  <si>
    <t>Reference2(False,True,G32)</t>
  </si>
  <si>
    <t>C12</t>
  </si>
  <si>
    <t>Reference2(False,True,G33)</t>
  </si>
  <si>
    <t>C13</t>
  </si>
  <si>
    <t>Reference2(False,True,G34)</t>
  </si>
  <si>
    <t>C14</t>
  </si>
  <si>
    <t>Reference2(False,True,G35)</t>
  </si>
  <si>
    <t>C15</t>
  </si>
  <si>
    <t>Reference2(False,True,G36)</t>
  </si>
  <si>
    <t>C16</t>
  </si>
  <si>
    <t>Reference2(False,True,G37)</t>
  </si>
  <si>
    <t>C17</t>
  </si>
  <si>
    <t>Reference2(False,True,G38)</t>
  </si>
  <si>
    <t>C18</t>
  </si>
  <si>
    <t>Reference2(False,True,G39)</t>
  </si>
  <si>
    <t>C19</t>
  </si>
  <si>
    <t>Reference2(False,True,G40)</t>
  </si>
  <si>
    <t>C20</t>
  </si>
  <si>
    <t>C21</t>
  </si>
  <si>
    <t>C22</t>
  </si>
  <si>
    <t>C23</t>
  </si>
  <si>
    <t>C24</t>
  </si>
  <si>
    <t>C25</t>
  </si>
  <si>
    <t>C26</t>
  </si>
  <si>
    <t>C27</t>
  </si>
  <si>
    <t>C28</t>
  </si>
  <si>
    <t>C29</t>
  </si>
  <si>
    <t>C30</t>
  </si>
  <si>
    <t>C31</t>
  </si>
  <si>
    <t>C32</t>
  </si>
  <si>
    <t>C33</t>
  </si>
  <si>
    <t>C34</t>
  </si>
  <si>
    <t>B3</t>
  </si>
  <si>
    <t>V7 Implemented 5-13-2023 to only use one answer key that is based on the Questions Results tab so value checking is done internally</t>
  </si>
  <si>
    <t>V7 also updated CheckAnswer to correctly identify blank cells as incorrect</t>
  </si>
  <si>
    <t>Required attachment rate</t>
  </si>
  <si>
    <t>Percent of Goal (up to)</t>
  </si>
  <si>
    <t>Required % of goal</t>
  </si>
  <si>
    <t>Microsoft Excel Collegiate Challenge</t>
  </si>
  <si>
    <t>Gourmet Sandwich</t>
  </si>
  <si>
    <t>Office Tile</t>
  </si>
  <si>
    <t>The Crunchy Croissant</t>
  </si>
  <si>
    <t>Smart Phone Repair</t>
  </si>
  <si>
    <t>Ready Continental</t>
  </si>
  <si>
    <t>Fix Guru</t>
  </si>
  <si>
    <t>Service Scientist</t>
  </si>
  <si>
    <t>House Brush</t>
  </si>
  <si>
    <t>Hospital Tutor</t>
  </si>
  <si>
    <t>Art Fade</t>
  </si>
  <si>
    <t>Office Brush</t>
  </si>
  <si>
    <t>Brew Bean</t>
  </si>
  <si>
    <t>Trendy Scissor</t>
  </si>
  <si>
    <t>My Vegetarian Dinner</t>
  </si>
  <si>
    <t>Bean Morning</t>
  </si>
  <si>
    <t>Beep Sports</t>
  </si>
  <si>
    <t>Clean Scissor</t>
  </si>
  <si>
    <t>Urban Safari</t>
  </si>
  <si>
    <t>Active Body</t>
  </si>
  <si>
    <t>Evergrow</t>
  </si>
  <si>
    <t>The Loop</t>
  </si>
  <si>
    <t>The Fresh Breakfast</t>
  </si>
  <si>
    <t>Gawk Beauty</t>
  </si>
  <si>
    <t>The Glow Up</t>
  </si>
  <si>
    <t>Wood Works</t>
  </si>
  <si>
    <t>Random company names taken from https://www.namesnack.com/guides/random-company-names.</t>
  </si>
  <si>
    <t>Bob</t>
  </si>
  <si>
    <r>
      <t xml:space="preserve">This month’s MECC challenge will give you hands-on experience with calculating and understanding commissions from a manager perspective, and will help further develop your analytical and modeling skills.
Combining commission with base pay is a very common compensation plan for most sales departments and understanding commission is extremely beneficial for anyone involved with a company’s finances or seeking a career in or related to sales.
You are a manager at a software company that has 8 sales reps.  Your company offers a base software package with the option for add-ons.  
Sales rep’s individual goals are based on:
- Dollar amount of base packages sold
- Dollar amount of add-ons sold as a percentage of dollar amount of base packages (sometimes referred as an attachment rate)
</t>
    </r>
    <r>
      <rPr>
        <b/>
        <sz val="11"/>
        <color theme="1"/>
        <rFont val="Roboto"/>
      </rPr>
      <t>Sales rep’s commissions are calculated by:</t>
    </r>
    <r>
      <rPr>
        <sz val="11"/>
        <color theme="1"/>
        <rFont val="Roboto"/>
      </rPr>
      <t xml:space="preserve">
1 - A percentage of the dollar amount of sold base packages that increases as goal attainment increases
Ex: Bob’s goal is $100,000.  He closes $85,000 in base sales during the period.  At 85% to goal, he would get paid out at the rate of 15% giving him a payout of $12,750. See the "Base Sales Commissions" table to the right. Note that goal attainment cannot exceed 500%.
2 - A percentage of the number of sales with add-on packages that increases or decreases based on the attachment rate
Ex: Bob closes 6 base sales during the period.  He make 2 add-on sales for a total of $22,000 in add-ons.  At an attachment rate of 33.3%, he would get paid out at the rate of 8% therefore giving him a payout of $1,760.
3- Bonus payout for new business of 9% of total new biz sales dollars (base + add-on) once 50% of overall base sales goal is obtained
Ex: Bob closes $20,000 in base sales plus add-ons for new business and hit 85% of his base sales goal.  Because he hit the qualifiers, he would get paid $1,800.
4 - Bonus payouts based on set milestones for both base packages and attachment rate
Ex: On the next sales period, Bob hits 135% of his base goal with a 39% attachment rate.  Bob would get paid $4,000 bonus based on his base goal and $500 bonus based on his attachment rate. </t>
    </r>
  </si>
  <si>
    <t>This model can be completed either with or without timing. Begin by pressing the desired start button.</t>
  </si>
  <si>
    <t>Case Data</t>
  </si>
  <si>
    <t>Build a model to calculate the total commission compensation for the specified employee using the full data set. Assume the sales goal applies over the full date range, but you may want to build your model flexibly to allow for narrower date ranges. Commissions are paid according to the rules presented on the Case Details tab.</t>
  </si>
  <si>
    <t>Build a model to calculate the total commission compensation for the specified employee from the start of the period to the end of the period. Commissions are paid based on the same rules from the Case Details tab, but only sales during the period count towards fulfilling the sales goal.</t>
  </si>
  <si>
    <t>Build a model to calculate the total commission compensation for each employee from the start of the period to the end of the period. Commissions are paid based on the same rules from the Case Details tab, but only sales during the period count towards fulfilling the sales goal.</t>
  </si>
  <si>
    <t>F41</t>
  </si>
  <si>
    <t>F42</t>
  </si>
  <si>
    <t>G41</t>
  </si>
  <si>
    <t>G42</t>
  </si>
  <si>
    <t>F43</t>
  </si>
  <si>
    <t>G43</t>
  </si>
  <si>
    <t>F44</t>
  </si>
  <si>
    <t>G44</t>
  </si>
  <si>
    <t>F45</t>
  </si>
  <si>
    <t>G45</t>
  </si>
  <si>
    <t>F46</t>
  </si>
  <si>
    <t>G46</t>
  </si>
  <si>
    <t>Case Authors:</t>
  </si>
  <si>
    <t>David Brown</t>
  </si>
  <si>
    <t>Nicole Deere</t>
  </si>
  <si>
    <t>General Instructions</t>
  </si>
  <si>
    <t>F35:F37</t>
  </si>
  <si>
    <t>J8:P14</t>
  </si>
  <si>
    <t>J8:S25</t>
  </si>
  <si>
    <t>A1:F63</t>
  </si>
  <si>
    <t>B2:H27</t>
  </si>
  <si>
    <t>B2:H31</t>
  </si>
  <si>
    <t>G35:G37</t>
  </si>
  <si>
    <t>G35:G46</t>
  </si>
  <si>
    <t>Reference2(False,True,G41)</t>
  </si>
  <si>
    <t>Reference2(False,True,G42)</t>
  </si>
  <si>
    <t>Reference2(False,True,G43)</t>
  </si>
  <si>
    <t>Reference2(False,True,G44)</t>
  </si>
  <si>
    <t>Reference2(False,True,G45)</t>
  </si>
  <si>
    <t>Reference2(False,True,G46)</t>
  </si>
  <si>
    <t>C35</t>
  </si>
  <si>
    <t>C36</t>
  </si>
  <si>
    <t>Case Details</t>
  </si>
  <si>
    <t>F35:F46</t>
  </si>
  <si>
    <t>Scenarios</t>
  </si>
  <si>
    <t>On</t>
  </si>
  <si>
    <t>https://youtu.be/aKG-uNd8uhg</t>
  </si>
  <si>
    <t>Walkthrough Video:</t>
  </si>
</sst>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r="http://schemas.microsoft.com/office/spreadsheetml/2014/revision" xmlns:x="http://schemas.openxmlformats.org/spreadsheetml/2006/main" mc:Ignorable="x14ac x16r2 xr">
  <x:numFmts count="5">
    <x:numFmt numFmtId="6" formatCode="&quot;$&quot;#,##0_);[Red]\(&quot;$&quot;#,##0\)"/>
    <x:numFmt numFmtId="8" formatCode="&quot;$&quot;#,##0.00_);[Red]\(&quot;$&quot;#,##0.00\)"/>
    <x:numFmt numFmtId="164" formatCode="[$-409]m/d/yy\ h:mm\ AM/PM;@"/>
    <x:numFmt numFmtId="165" formatCode="0.0%"/>
    <x:numFmt numFmtId="166" formatCode="0.0000"/>
  </x:numFmts>
  <x:fonts count="24">
    <x:font>
      <x:sz val="11"/>
      <x:color theme="1"/>
      <x:name val="Calibri"/>
      <x:family val="2"/>
      <x:scheme val="minor"/>
    </x:font>
    <x:font>
      <x:b/>
      <x:sz val="11"/>
      <x:color theme="1"/>
      <x:name val="Calibri"/>
      <x:family val="2"/>
      <x:scheme val="minor"/>
    </x:font>
    <x:font>
      <x:b/>
      <x:sz val="11"/>
      <x:color rgb="FF0070C0"/>
      <x:name val="Calibri"/>
      <x:family val="2"/>
      <x:scheme val="minor"/>
    </x:font>
    <x:font>
      <x:sz val="3"/>
      <x:color rgb="FF242729"/>
      <x:name val="Consolas"/>
      <x:family val="3"/>
    </x:font>
    <x:font>
      <x:sz val="11"/>
      <x:color rgb="FF00007F"/>
      <x:name val="Courier New"/>
      <x:family val="3"/>
    </x:font>
    <x:font>
      <x:sz val="11"/>
      <x:color rgb="FF403F41"/>
      <x:name val="Courier New"/>
      <x:family val="3"/>
    </x:font>
    <x:font>
      <x:sz val="11"/>
      <x:color rgb="FF007F00"/>
      <x:name val="Courier New"/>
      <x:family val="3"/>
    </x:font>
    <x:font>
      <x:sz val="8"/>
      <x:name val="Calibri"/>
      <x:family val="2"/>
      <x:scheme val="minor"/>
    </x:font>
    <x:font>
      <x:sz val="11"/>
      <x:color rgb="FF0070C0"/>
      <x:name val="Calibri"/>
      <x:family val="2"/>
      <x:scheme val="minor"/>
    </x:font>
    <x:font>
      <x:b/>
      <x:sz val="14"/>
      <x:color theme="1"/>
      <x:name val="Calibri"/>
      <x:family val="2"/>
      <x:scheme val="minor"/>
    </x:font>
    <x:font>
      <x:sz val="11"/>
      <x:name val="Calibri"/>
      <x:family val="2"/>
      <x:scheme val="minor"/>
    </x:font>
    <x:font>
      <x:b/>
      <x:sz val="12"/>
      <x:color theme="1"/>
      <x:name val="Calibri"/>
      <x:family val="2"/>
      <x:scheme val="minor"/>
    </x:font>
    <x:font>
      <x:u/>
      <x:sz val="11"/>
      <x:color theme="10"/>
      <x:name val="Calibri"/>
      <x:family val="2"/>
      <x:scheme val="minor"/>
    </x:font>
    <x:font>
      <x:b/>
      <x:sz val="12"/>
      <x:color rgb="FFFF0000"/>
      <x:name val="Calibri"/>
      <x:family val="2"/>
      <x:scheme val="minor"/>
    </x:font>
    <x:font>
      <x:b/>
      <x:u/>
      <x:sz val="11"/>
      <x:color rgb="FFFF0000"/>
      <x:name val="Calibri"/>
      <x:family val="2"/>
      <x:scheme val="minor"/>
    </x:font>
    <x:font>
      <x:sz val="10"/>
      <x:color theme="1"/>
      <x:name val="Var(--ff-mono)"/>
    </x:font>
    <x:font>
      <x:i/>
      <x:sz val="11"/>
      <x:color theme="1"/>
      <x:name val="Calibri"/>
      <x:family val="2"/>
      <x:scheme val="minor"/>
    </x:font>
    <x:font>
      <x:b/>
      <x:sz val="11"/>
      <x:color rgb="FF000000"/>
      <x:name val="Calibri"/>
      <x:family val="2"/>
    </x:font>
    <x:font>
      <x:sz val="11"/>
      <x:color theme="1"/>
      <x:name val="Roboto"/>
    </x:font>
    <x:font>
      <x:b/>
      <x:sz val="24"/>
      <x:color theme="0"/>
      <x:name val="Agency FB"/>
      <x:family val="2"/>
    </x:font>
    <x:font>
      <x:sz val="11"/>
      <x:name val="Roboto"/>
    </x:font>
    <x:font>
      <x:b/>
      <x:sz val="18"/>
      <x:color theme="0"/>
      <x:name val="Agency FB"/>
      <x:family val="2"/>
    </x:font>
    <x:font>
      <x:b/>
      <x:sz val="11"/>
      <x:color theme="1"/>
      <x:name val="Roboto"/>
    </x:font>
    <x:font>
      <x:sz val="11"/>
      <x:color rgb="FF000000"/>
      <x:name val="Calibri"/>
      <x:family val="2"/>
    </x:font>
    <x:font>
      <x:sz val="12"/>
      <x:color rgb="FFFFFF"/>
      <x:name val="Arial"/>
    </x:font>
  </x:fonts>
  <x:fills count="10">
    <x:fill>
      <x:patternFill patternType="none"/>
    </x:fill>
    <x:fill>
      <x:patternFill patternType="gray125"/>
    </x:fill>
    <x:fill>
      <x:patternFill patternType="solid">
        <x:fgColor theme="0" tint="-0.14999847407452621"/>
        <x:bgColor indexed="64"/>
      </x:patternFill>
    </x:fill>
    <x:fill>
      <x:patternFill patternType="solid">
        <x:fgColor theme="5" tint="0.59999389629810485"/>
        <x:bgColor indexed="64"/>
      </x:patternFill>
    </x:fill>
    <x:fill>
      <x:patternFill patternType="solid">
        <x:fgColor theme="2"/>
        <x:bgColor indexed="64"/>
      </x:patternFill>
    </x:fill>
    <x:fill>
      <x:patternFill patternType="solid">
        <x:fgColor theme="0"/>
        <x:bgColor indexed="64"/>
      </x:patternFill>
    </x:fill>
    <x:fill>
      <x:gradientFill>
        <x:stop position="0">
          <x:color rgb="FFBF1F36"/>
        </x:stop>
        <x:stop position="1">
          <x:color rgb="FF020024"/>
        </x:stop>
      </x:gradientFill>
    </x:fill>
    <x:fill>
      <x:gradientFill>
        <x:stop position="0">
          <x:color rgb="FF228AB8"/>
        </x:stop>
        <x:stop position="1">
          <x:color rgb="FF020024"/>
        </x:stop>
      </x:gradientFill>
    </x:fill>
    <x:fill>
      <x:patternFill patternType="solid">
        <x:fgColor rgb="FF228AB8"/>
        <x:bgColor auto="1"/>
      </x:patternFill>
    </x:fill>
    <x:fill>
      <x:patternFill patternType="solid">
        <x:fgColor rgb="FFBF1F36"/>
        <x:bgColor auto="1"/>
      </x:patternFill>
    </x:fill>
  </x:fills>
  <x:borders count="12">
    <x:border>
      <x:left/>
      <x:right/>
      <x:top/>
      <x:bottom/>
      <x:diagonal/>
    </x:border>
    <x:border>
      <x:left style="medium">
        <x:color indexed="64"/>
      </x:left>
      <x:right style="medium">
        <x:color indexed="64"/>
      </x:right>
      <x:top style="medium">
        <x:color indexed="64"/>
      </x:top>
      <x:bottom style="medium">
        <x:color indexed="64"/>
      </x:bottom>
      <x:diagonal/>
    </x:border>
    <x:border>
      <x:left style="thin">
        <x:color theme="0" tint="-0.249977111117893"/>
      </x:left>
      <x:right style="thin">
        <x:color theme="0" tint="-0.249977111117893"/>
      </x:right>
      <x:top style="thin">
        <x:color theme="0" tint="-0.249977111117893"/>
      </x:top>
      <x:bottom style="thin">
        <x:color theme="0" tint="-0.249977111117893"/>
      </x:bottom>
      <x:diagonal/>
    </x:border>
    <x:border>
      <x:left/>
      <x:right/>
      <x:top/>
      <x:bottom style="medium">
        <x:color indexed="64"/>
      </x:bottom>
      <x:diagonal/>
    </x:border>
    <x:border>
      <x:left style="medium">
        <x:color indexed="64"/>
      </x:left>
      <x:right/>
      <x:top style="medium">
        <x:color indexed="64"/>
      </x:top>
      <x:bottom style="medium">
        <x:color indexed="64"/>
      </x:bottom>
      <x:diagonal/>
    </x:border>
    <x:border>
      <x:left/>
      <x:right/>
      <x:top style="medium">
        <x:color indexed="64"/>
      </x:top>
      <x:bottom style="medium">
        <x:color indexed="64"/>
      </x:bottom>
      <x:diagonal/>
    </x:border>
    <x:border>
      <x:left/>
      <x:right style="medium">
        <x:color indexed="64"/>
      </x:right>
      <x:top style="medium">
        <x:color indexed="64"/>
      </x:top>
      <x:bottom style="medium">
        <x:color indexed="64"/>
      </x:bottom>
      <x:diagonal/>
    </x:border>
    <x:border>
      <x:left style="medium">
        <x:color indexed="64"/>
      </x:left>
      <x:right style="medium">
        <x:color indexed="64"/>
      </x:right>
      <x:top style="medium">
        <x:color indexed="64"/>
      </x:top>
      <x:bottom/>
      <x:diagonal/>
    </x:border>
    <x:border>
      <x:left style="medium">
        <x:color indexed="64"/>
      </x:left>
      <x:right style="medium">
        <x:color indexed="64"/>
      </x:right>
      <x:top/>
      <x:bottom style="medium">
        <x:color indexed="64"/>
      </x:bottom>
      <x:diagonal/>
    </x:border>
    <x:border>
      <x:left style="thin">
        <x:color indexed="64"/>
      </x:left>
      <x:right/>
      <x:top style="thin">
        <x:color indexed="64"/>
      </x:top>
      <x:bottom style="thin">
        <x:color indexed="64"/>
      </x:bottom>
      <x:diagonal/>
    </x:border>
    <x:border>
      <x:left/>
      <x:right/>
      <x:top style="thin">
        <x:color indexed="64"/>
      </x:top>
      <x:bottom style="thin">
        <x:color indexed="64"/>
      </x:bottom>
      <x:diagonal/>
    </x:border>
    <x:border>
      <x:left/>
      <x:right/>
      <x:top style="thin">
        <x:color indexed="64"/>
      </x:top>
      <x:bottom/>
      <x:diagonal/>
    </x:border>
  </x:borders>
  <x:cellStyleXfs count="2">
    <x:xf numFmtId="0" fontId="0" fillId="0" borderId="0"/>
    <x:xf numFmtId="0" fontId="12" fillId="0" borderId="0" applyNumberFormat="0" applyFill="0" applyBorder="0" applyAlignment="0" applyProtection="0"/>
  </x:cellStyleXfs>
  <x:cellXfs count="111">
    <x:xf numFmtId="0" fontId="0" fillId="0" borderId="0" xfId="0"/>
    <x:xf numFmtId="3" fontId="8" fillId="0" borderId="0" xfId="0" applyNumberFormat="1" applyFont="1" applyAlignment="1" applyProtection="1">
      <x:alignment horizontal="center"/>
      <x:protection locked="0"/>
    </x:xf>
    <x:xf numFmtId="3" fontId="0" fillId="0" borderId="0" xfId="0" applyNumberFormat="1" applyAlignment="1" applyProtection="1">
      <x:alignment horizontal="center"/>
      <x:protection locked="0"/>
    </x:xf>
    <x:xf numFmtId="6" fontId="8" fillId="0" borderId="0" xfId="0" applyNumberFormat="1" applyFont="1" applyAlignment="1" applyProtection="1">
      <x:alignment horizontal="center"/>
      <x:protection locked="0"/>
    </x:xf>
    <x:xf numFmtId="0" fontId="0" fillId="0" borderId="0" xfId="0" applyProtection="1">
      <x:protection locked="0"/>
    </x:xf>
    <x:xf numFmtId="0" fontId="0" fillId="0" borderId="0" xfId="0" applyAlignment="1" applyProtection="1">
      <x:alignment horizontal="center"/>
      <x:protection locked="0"/>
    </x:xf>
    <x:xf numFmtId="8" fontId="0" fillId="0" borderId="0" xfId="0" applyNumberFormat="1" applyAlignment="1" applyProtection="1">
      <x:alignment horizontal="center"/>
      <x:protection locked="0"/>
    </x:xf>
    <x:xf numFmtId="0" fontId="1" fillId="4" borderId="2" xfId="0" applyFont="1" applyFill="1" applyBorder="1" applyAlignment="1" applyProtection="1">
      <x:alignment horizontal="center"/>
      <x:protection locked="0"/>
    </x:xf>
    <x:xf numFmtId="22" fontId="0" fillId="0" borderId="2" xfId="0" applyNumberFormat="1" applyBorder="1" applyAlignment="1" applyProtection="1">
      <x:alignment horizontal="center"/>
      <x:protection locked="0"/>
    </x:xf>
    <x:xf numFmtId="0" fontId="3" fillId="0" borderId="0" xfId="0" applyFont="1" applyAlignment="1" applyProtection="1">
      <x:alignment horizontal="center"/>
      <x:protection locked="0"/>
    </x:xf>
    <x:xf numFmtId="0" fontId="4" fillId="0" borderId="0" xfId="0" applyFont="1" applyProtection="1">
      <x:protection locked="0"/>
    </x:xf>
    <x:xf numFmtId="0" fontId="6" fillId="0" borderId="0" xfId="0" applyFont="1" applyProtection="1">
      <x:protection locked="0"/>
    </x:xf>
    <x:xf numFmtId="0" fontId="5" fillId="0" borderId="0" xfId="0" applyFont="1" applyProtection="1">
      <x:protection locked="0"/>
    </x:xf>
    <x:xf numFmtId="0" fontId="1" fillId="4" borderId="0" xfId="0" applyFont="1" applyFill="1" applyAlignment="1" applyProtection="1">
      <x:alignment horizontal="center"/>
      <x:protection locked="0"/>
    </x:xf>
    <x:xf numFmtId="0" fontId="0" fillId="0" borderId="0" xfId="0" applyProtection="1">
      <x:protection hidden="1"/>
    </x:xf>
    <x:xf numFmtId="0" fontId="1" fillId="0" borderId="0" xfId="0" applyFont="1" applyProtection="1">
      <x:protection locked="0"/>
    </x:xf>
    <x:xf numFmtId="6" fontId="0" fillId="0" borderId="0" xfId="0" applyNumberFormat="1" applyAlignment="1" applyProtection="1">
      <x:alignment horizontal="center"/>
      <x:protection locked="0"/>
    </x:xf>
    <x:xf numFmtId="165" fontId="0" fillId="0" borderId="0" xfId="0" applyNumberFormat="1" applyAlignment="1" applyProtection="1">
      <x:alignment horizontal="center"/>
      <x:protection locked="0"/>
    </x:xf>
    <x:xf numFmtId="165" fontId="8" fillId="0" borderId="0" xfId="0" applyNumberFormat="1" applyFont="1" applyAlignment="1" applyProtection="1">
      <x:alignment horizontal="center"/>
      <x:protection locked="0"/>
    </x:xf>
    <x:xf numFmtId="166" fontId="0" fillId="0" borderId="0" xfId="0" applyNumberFormat="1" applyAlignment="1" applyProtection="1">
      <x:alignment horizontal="center"/>
      <x:protection locked="0"/>
    </x:xf>
    <x:xf numFmtId="9" fontId="0" fillId="0" borderId="0" xfId="0" applyNumberFormat="1" applyAlignment="1" applyProtection="1">
      <x:alignment horizontal="center"/>
      <x:protection locked="0"/>
    </x:xf>
    <x:xf numFmtId="3" fontId="10" fillId="0" borderId="0" xfId="0" applyNumberFormat="1" applyFont="1" applyAlignment="1" applyProtection="1">
      <x:alignment horizontal="center"/>
      <x:protection locked="0"/>
    </x:xf>
    <x:xf numFmtId="10" fontId="0" fillId="0" borderId="0" xfId="0" applyNumberFormat="1" applyAlignment="1" applyProtection="1">
      <x:alignment horizontal="center"/>
      <x:protection locked="0"/>
    </x:xf>
    <x:xf numFmtId="4" fontId="0" fillId="0" borderId="0" xfId="0" applyNumberFormat="1" applyAlignment="1" applyProtection="1">
      <x:alignment horizontal="center"/>
      <x:protection locked="0"/>
    </x:xf>
    <x:xf numFmtId="1" fontId="0" fillId="0" borderId="0" xfId="0" applyNumberFormat="1" applyAlignment="1" applyProtection="1">
      <x:alignment horizontal="center"/>
      <x:protection locked="0"/>
    </x:xf>
    <x:xf numFmtId="0" fontId="11" fillId="0" borderId="0" xfId="0" applyFont="1" applyProtection="1">
      <x:protection hidden="1"/>
    </x:xf>
    <x:xf numFmtId="22" fontId="0" fillId="0" borderId="0" xfId="0" applyNumberFormat="1" applyAlignment="1" applyProtection="1">
      <x:alignment horizontal="center"/>
      <x:protection locked="0"/>
    </x:xf>
    <x:xf numFmtId="0" fontId="1" fillId="0" borderId="0" xfId="0" applyFont="1" applyAlignment="1" applyProtection="1">
      <x:alignment horizontal="center"/>
      <x:protection locked="0"/>
    </x:xf>
    <x:xf numFmtId="0" fontId="0" fillId="0" borderId="0" xfId="0" applyAlignment="1" applyProtection="1">
      <x:alignment horizontal="left"/>
      <x:protection locked="0"/>
    </x:xf>
    <x:xf numFmtId="15" fontId="0" fillId="0" borderId="0" xfId="0" applyNumberFormat="1" applyAlignment="1" applyProtection="1">
      <x:alignment horizontal="center"/>
      <x:protection locked="0"/>
    </x:xf>
    <x:xf numFmtId="14" fontId="0" fillId="0" borderId="0" xfId="0" applyNumberFormat="1" applyAlignment="1" applyProtection="1">
      <x:alignment horizontal="center"/>
      <x:protection locked="0"/>
    </x:xf>
    <x:xf numFmtId="165" fontId="0" fillId="3" borderId="1" xfId="0" applyNumberFormat="1" applyFill="1" applyBorder="1" applyAlignment="1" applyProtection="1">
      <x:alignment horizontal="center"/>
      <x:protection locked="0"/>
    </x:xf>
    <x:xf numFmtId="165" fontId="0" fillId="0" borderId="0" xfId="0" applyNumberFormat="1" applyAlignment="1" applyProtection="1">
      <x:alignment horizontal="center"/>
      <x:protection hidden="1"/>
    </x:xf>
    <x:xf numFmtId="22" fontId="0" fillId="0" borderId="2" xfId="0" applyNumberFormat="1" applyBorder="1" applyAlignment="1" applyProtection="1">
      <x:alignment horizontal="left"/>
      <x:protection locked="0"/>
    </x:xf>
    <x:xf numFmtId="0" fontId="12" fillId="0" borderId="0" xfId="1" applyAlignment="1" applyProtection="1">
      <x:alignment horizontal="left"/>
      <x:protection locked="0"/>
    </x:xf>
    <x:xf numFmtId="9" fontId="2" fillId="2" borderId="0" xfId="0" applyNumberFormat="1" applyFont="1" applyFill="1" applyAlignment="1" applyProtection="1">
      <x:alignment horizontal="center"/>
      <x:protection hidden="1"/>
    </x:xf>
    <x:xf numFmtId="6" fontId="2" fillId="2" borderId="0" xfId="0" applyNumberFormat="1" applyFont="1" applyFill="1" applyAlignment="1" applyProtection="1">
      <x:alignment horizontal="center"/>
      <x:protection hidden="1"/>
    </x:xf>
    <x:xf numFmtId="0" fontId="0" fillId="0" borderId="0" xfId="0" quotePrefix="1" applyProtection="1">
      <x:protection locked="0"/>
    </x:xf>
    <x:xf numFmtId="9" fontId="2" fillId="0" borderId="0" xfId="0" applyNumberFormat="1" applyFont="1" applyAlignment="1" applyProtection="1">
      <x:alignment horizontal="center"/>
      <x:protection hidden="1"/>
    </x:xf>
    <x:xf numFmtId="9" fontId="0" fillId="3" borderId="1" xfId="0" applyNumberFormat="1" applyFill="1" applyBorder="1" applyAlignment="1" applyProtection="1">
      <x:alignment horizontal="center"/>
      <x:protection locked="0"/>
    </x:xf>
    <x:xf numFmtId="6" fontId="0" fillId="3" borderId="1" xfId="0" applyNumberFormat="1" applyFill="1" applyBorder="1" applyAlignment="1" applyProtection="1">
      <x:alignment horizontal="center"/>
      <x:protection locked="0"/>
    </x:xf>
    <x:xf numFmtId="14" fontId="2" fillId="2" borderId="0" xfId="0" applyNumberFormat="1" applyFont="1" applyFill="1" applyAlignment="1" applyProtection="1">
      <x:alignment horizontal="center"/>
      <x:protection hidden="1"/>
    </x:xf>
    <x:xf numFmtId="4" fontId="8" fillId="0" borderId="0" xfId="0" applyNumberFormat="1" applyFont="1" applyAlignment="1" applyProtection="1">
      <x:alignment horizontal="center"/>
      <x:protection locked="0"/>
    </x:xf>
    <x:xf numFmtId="6" fontId="0" fillId="0" borderId="0" xfId="0" applyNumberFormat="1" applyAlignment="1" applyProtection="1">
      <x:alignment horizontal="center"/>
      <x:protection hidden="1"/>
    </x:xf>
    <x:xf numFmtId="9" fontId="0" fillId="0" borderId="0" xfId="0" applyNumberFormat="1" applyAlignment="1" applyProtection="1">
      <x:alignment horizontal="center"/>
      <x:protection hidden="1"/>
    </x:xf>
    <x:xf numFmtId="0" fontId="0" fillId="5" borderId="0" xfId="0" applyFill="1" applyProtection="1">
      <x:protection hidden="1"/>
    </x:xf>
    <x:xf numFmtId="0" fontId="9" fillId="5" borderId="0" xfId="0" applyFont="1" applyFill="1" applyAlignment="1" applyProtection="1">
      <x:alignment horizontal="left"/>
      <x:protection hidden="1"/>
    </x:xf>
    <x:xf numFmtId="0" fontId="0" fillId="5" borderId="0" xfId="0" applyFill="1" applyProtection="1">
      <x:protection locked="0"/>
    </x:xf>
    <x:xf numFmtId="0" fontId="0" fillId="5" borderId="0" xfId="0" applyFill="1" applyAlignment="1" applyProtection="1">
      <x:alignment horizontal="left"/>
      <x:protection hidden="1"/>
    </x:xf>
    <x:xf numFmtId="0" fontId="13" fillId="5" borderId="0" xfId="0" applyFont="1" applyFill="1" applyProtection="1">
      <x:protection hidden="1"/>
    </x:xf>
    <x:xf numFmtId="0" fontId="1" fillId="5" borderId="4" xfId="0" applyFont="1" applyFill="1" applyBorder="1" applyAlignment="1" applyProtection="1">
      <x:alignment horizontal="centerContinuous" vertical="center" wrapText="1"/>
      <x:protection hidden="1"/>
    </x:xf>
    <x:xf numFmtId="0" fontId="0" fillId="5" borderId="5" xfId="0" applyFill="1" applyBorder="1" applyAlignment="1" applyProtection="1">
      <x:alignment horizontal="centerContinuous"/>
      <x:protection hidden="1"/>
    </x:xf>
    <x:xf numFmtId="0" fontId="0" fillId="5" borderId="6" xfId="0" applyFill="1" applyBorder="1" applyAlignment="1" applyProtection="1">
      <x:alignment horizontal="centerContinuous"/>
      <x:protection hidden="1"/>
    </x:xf>
    <x:xf numFmtId="0" fontId="1" fillId="5" borderId="0" xfId="0" applyFont="1" applyFill="1" applyAlignment="1" applyProtection="1">
      <x:alignment horizontal="left"/>
      <x:protection hidden="1"/>
    </x:xf>
    <x:xf numFmtId="0" fontId="0" fillId="5" borderId="3" xfId="0" applyFill="1" applyBorder="1" applyAlignment="1" applyProtection="1">
      <x:alignment horizontal="center"/>
      <x:protection hidden="1"/>
    </x:xf>
    <x:xf numFmtId="164" fontId="0" fillId="5" borderId="0" xfId="0" applyNumberFormat="1" applyFill="1" applyAlignment="1" applyProtection="1">
      <x:alignment horizontal="center"/>
      <x:protection hidden="1"/>
    </x:xf>
    <x:xf numFmtId="0" fontId="0" fillId="5" borderId="0" xfId="0" applyFill="1" applyAlignment="1" applyProtection="1">
      <x:alignment horizontal="center"/>
      <x:protection hidden="1"/>
    </x:xf>
    <x:xf numFmtId="3" fontId="0" fillId="5" borderId="0" xfId="0" applyNumberFormat="1" applyFill="1" applyAlignment="1" applyProtection="1">
      <x:alignment horizontal="center"/>
      <x:protection hidden="1"/>
    </x:xf>
    <x:xf numFmtId="0" fontId="9" fillId="5" borderId="0" xfId="0" applyFont="1" applyFill="1" applyAlignment="1" applyProtection="1">
      <x:alignment horizontal="center"/>
      <x:protection hidden="1"/>
    </x:xf>
    <x:xf numFmtId="3" fontId="9" fillId="5" borderId="0" xfId="0" applyNumberFormat="1" applyFont="1" applyFill="1" applyAlignment="1" applyProtection="1">
      <x:alignment horizontal="center"/>
      <x:protection hidden="1"/>
    </x:xf>
    <x:xf numFmtId="9" fontId="9" fillId="5" borderId="0" xfId="0" applyNumberFormat="1" applyFont="1" applyFill="1" applyAlignment="1" applyProtection="1">
      <x:alignment horizontal="center"/>
      <x:protection hidden="1"/>
    </x:xf>
    <x:xf numFmtId="0" fontId="1" fillId="5" borderId="0" xfId="0" applyFont="1" applyFill="1" applyAlignment="1" applyProtection="1">
      <x:alignment horizontal="center"/>
      <x:protection hidden="1"/>
    </x:xf>
    <x:xf numFmtId="8" fontId="0" fillId="5" borderId="0" xfId="0" applyNumberFormat="1" applyFill="1" applyAlignment="1" applyProtection="1">
      <x:alignment horizontal="center"/>
      <x:protection hidden="1"/>
    </x:xf>
    <x:xf numFmtId="0" fontId="0" fillId="0" borderId="0" xfId="0" applyAlignment="1" applyProtection="1">
      <x:alignment horizontal="center"/>
      <x:protection hidden="1"/>
    </x:xf>
    <x:xf numFmtId="0" fontId="1" fillId="0" borderId="0" xfId="0" applyFont="1" applyAlignment="1" applyProtection="1">
      <x:alignment horizontal="left"/>
      <x:protection locked="0"/>
    </x:xf>
    <x:xf numFmtId="8" fontId="0" fillId="0" borderId="0" xfId="0" applyNumberFormat="1" applyAlignment="1" applyProtection="1">
      <x:alignment horizontal="left"/>
      <x:protection locked="0"/>
    </x:xf>
    <x:xf numFmtId="15" fontId="0" fillId="0" borderId="0" xfId="0" applyNumberFormat="1" applyAlignment="1" applyProtection="1">
      <x:alignment horizontal="left"/>
      <x:protection locked="0"/>
    </x:xf>
    <x:xf numFmtId="3" fontId="0" fillId="0" borderId="0" xfId="0" applyNumberFormat="1" applyAlignment="1" applyProtection="1">
      <x:alignment horizontal="left"/>
      <x:protection locked="0"/>
    </x:xf>
    <x:xf numFmtId="0" fontId="19" fillId="9" borderId="0" xfId="0" applyFont="1" applyFill="1" applyAlignment="1" applyProtection="1">
      <x:alignment horizontal="centerContinuous" vertical="center"/>
      <x:protection locked="0"/>
    </x:xf>
    <x:xf numFmtId="0" fontId="18" fillId="5" borderId="0" xfId="0" applyFont="1" applyFill="1" applyProtection="1">
      <x:protection locked="0"/>
    </x:xf>
    <x:xf numFmtId="0" fontId="21" fillId="8" borderId="9" xfId="0" applyFont="1" applyFill="1" applyBorder="1" applyAlignment="1" applyProtection="1">
      <x:alignment horizontal="centerContinuous" vertical="center"/>
      <x:protection locked="0"/>
    </x:xf>
    <x:xf numFmtId="0" fontId="20" fillId="5" borderId="0" xfId="0" applyFont="1" applyFill="1" applyProtection="1">
      <x:protection locked="0"/>
    </x:xf>
    <x:xf numFmtId="0" fontId="22" fillId="5" borderId="0" xfId="0" applyFont="1" applyFill="1" applyProtection="1">
      <x:protection locked="0"/>
    </x:xf>
    <x:xf numFmtId="0" fontId="18" fillId="5" borderId="0" xfId="0" applyFont="1" applyFill="1" applyAlignment="1" applyProtection="1">
      <x:alignment horizontal="center"/>
      <x:protection locked="0"/>
    </x:xf>
    <x:xf numFmtId="6" fontId="2" fillId="2" borderId="0" xfId="0" applyNumberFormat="1" applyFont="1" applyFill="1" applyAlignment="1" applyProtection="1">
      <x:alignment horizontal="center"/>
      <x:protection locked="0"/>
    </x:xf>
    <x:xf numFmtId="9" fontId="2" fillId="5" borderId="0" xfId="0" applyNumberFormat="1" applyFont="1" applyFill="1" applyAlignment="1" applyProtection="1">
      <x:alignment horizontal="center"/>
      <x:protection locked="0"/>
    </x:xf>
    <x:xf numFmtId="9" fontId="2" fillId="2" borderId="0" xfId="0" applyNumberFormat="1" applyFont="1" applyFill="1" applyAlignment="1" applyProtection="1">
      <x:alignment horizontal="center"/>
      <x:protection locked="0"/>
    </x:xf>
    <x:xf numFmtId="0" fontId="18" fillId="5" borderId="0" xfId="0" applyFont="1" applyFill="1" applyAlignment="1" applyProtection="1">
      <x:alignment vertical="top" wrapText="1"/>
      <x:protection locked="0"/>
    </x:xf>
    <x:xf numFmtId="0" fontId="17" fillId="0" borderId="0" xfId="0" applyFont="1" applyAlignment="1" applyProtection="1">
      <x:alignment horizontal="left"/>
      <x:protection locked="0"/>
    </x:xf>
    <x:xf numFmtId="6" fontId="0" fillId="0" borderId="0" xfId="0" applyNumberFormat="1" applyAlignment="1" applyProtection="1">
      <x:alignment horizontal="left"/>
      <x:protection locked="0"/>
    </x:xf>
    <x:xf numFmtId="14" fontId="0" fillId="0" borderId="0" xfId="0" applyNumberFormat="1" applyAlignment="1" applyProtection="1">
      <x:alignment horizontal="left"/>
      <x:protection locked="0"/>
    </x:xf>
    <x:xf numFmtId="0" fontId="18" fillId="0" borderId="0" xfId="0" applyFont="1" applyProtection="1">
      <x:protection locked="0"/>
    </x:xf>
    <x:xf numFmtId="0" fontId="23" fillId="0" borderId="0" xfId="0" applyFont="1" applyAlignment="1" applyProtection="1">
      <x:alignment horizontal="left"/>
      <x:protection locked="0"/>
    </x:xf>
    <x:xf numFmtId="0" fontId="17" fillId="0" borderId="0" xfId="0" applyFont="1" applyProtection="1">
      <x:protection locked="0"/>
    </x:xf>
    <x:xf numFmtId="0" fontId="11" fillId="0" borderId="0" xfId="0" applyFont="1" applyProtection="1">
      <x:protection locked="0"/>
    </x:xf>
    <x:xf numFmtId="9" fontId="2" fillId="0" borderId="0" xfId="0" applyNumberFormat="1" applyFont="1" applyAlignment="1" applyProtection="1">
      <x:alignment horizontal="center"/>
      <x:protection locked="0"/>
    </x:xf>
    <x:xf numFmtId="0" fontId="19" fillId="6" borderId="0" xfId="0" applyFont="1" applyFill="1" applyAlignment="1" applyProtection="1">
      <x:alignment vertical="center"/>
      <x:protection locked="0"/>
    </x:xf>
    <x:xf numFmtId="0" fontId="21" fillId="7" borderId="10" xfId="0" applyFont="1" applyFill="1" applyBorder="1" applyAlignment="1" applyProtection="1">
      <x:alignment vertical="center"/>
      <x:protection locked="0"/>
    </x:xf>
    <x:xf numFmtId="164" fontId="0" fillId="5" borderId="0" xfId="0" applyNumberFormat="1" applyFill="1" applyAlignment="1" applyProtection="1">
      <x:alignment horizontal="center"/>
      <x:protection locked="0"/>
    </x:xf>
    <x:xf numFmtId="0" fontId="0" fillId="5" borderId="0" xfId="0" applyFill="1" applyAlignment="1" applyProtection="1">
      <x:alignment horizontal="center"/>
      <x:protection locked="0"/>
    </x:xf>
    <x:xf numFmtId="3" fontId="0" fillId="5" borderId="0" xfId="0" applyNumberFormat="1" applyFill="1" applyAlignment="1" applyProtection="1">
      <x:alignment horizontal="center"/>
      <x:protection locked="0"/>
    </x:xf>
    <x:xf numFmtId="0" fontId="15" fillId="0" borderId="0" xfId="0" applyFont="1" applyAlignment="1" applyProtection="1">
      <x:alignment horizontal="left" vertical="center"/>
      <x:protection locked="0"/>
    </x:xf>
    <x:xf numFmtId="0" fontId="12" fillId="0" borderId="0" xfId="1" applyAlignment="1" applyProtection="1">
      <x:alignment horizontal="left" vertical="center"/>
      <x:protection locked="0"/>
    </x:xf>
    <x:xf numFmtId="0" fontId="19" fillId="9" borderId="0" xfId="0" applyFont="1" applyFill="1" applyAlignment="1" applyProtection="1">
      <x:alignment horizontal="centerContinuous" vertical="center"/>
      <x:protection hidden="1"/>
    </x:xf>
    <x:xf numFmtId="0" fontId="19" fillId="6" borderId="0" xfId="0" applyFont="1" applyFill="1" applyAlignment="1" applyProtection="1">
      <x:alignment vertical="center"/>
      <x:protection hidden="1"/>
    </x:xf>
    <x:xf numFmtId="0" fontId="18" fillId="0" borderId="0" xfId="0" applyFont="1" applyProtection="1">
      <x:protection hidden="1"/>
    </x:xf>
    <x:xf numFmtId="0" fontId="21" fillId="8" borderId="9" xfId="0" applyFont="1" applyFill="1" applyBorder="1" applyAlignment="1" applyProtection="1">
      <x:alignment horizontal="centerContinuous" vertical="center"/>
      <x:protection hidden="1"/>
    </x:xf>
    <x:xf numFmtId="0" fontId="21" fillId="7" borderId="10" xfId="0" applyFont="1" applyFill="1" applyBorder="1" applyAlignment="1" applyProtection="1">
      <x:alignment vertical="center"/>
      <x:protection hidden="1"/>
    </x:xf>
    <x:xf numFmtId="0" fontId="18" fillId="5" borderId="0" xfId="0" applyFont="1" applyFill="1" applyProtection="1">
      <x:protection hidden="1"/>
    </x:xf>
    <x:xf numFmtId="0" fontId="1" fillId="5" borderId="0" xfId="0" applyFont="1" applyFill="1" applyProtection="1">
      <x:protection hidden="1"/>
    </x:xf>
    <x:xf numFmtId="0" fontId="12" fillId="5" borderId="0" xfId="1" applyFill="1" applyProtection="1">
      <x:protection hidden="1"/>
    </x:xf>
    <x:xf numFmtId="0" fontId="12" fillId="5" borderId="0" xfId="1" applyFill="1" applyAlignment="1" applyProtection="1">
      <x:alignment horizontal="left"/>
      <x:protection hidden="1"/>
    </x:xf>
    <x:xf numFmtId="0" fontId="1" fillId="0" borderId="0" xfId="0" applyFont="1" applyProtection="1">
      <x:protection hidden="1"/>
    </x:xf>
    <x:xf numFmtId="0" fontId="0" fillId="0" borderId="0" xfId="0" quotePrefix="1" applyProtection="1">
      <x:protection hidden="1"/>
    </x:xf>
    <x:xf numFmtId="0" fontId="18" fillId="5" borderId="11" xfId="0" applyFont="1" applyFill="1" applyBorder="1" applyAlignment="1" applyProtection="1">
      <x:alignment horizontal="left" vertical="top" wrapText="1"/>
      <x:protection locked="0"/>
    </x:xf>
    <x:xf numFmtId="0" fontId="18" fillId="5" borderId="0" xfId="0" applyFont="1" applyFill="1" applyAlignment="1" applyProtection="1">
      <x:alignment horizontal="left" vertical="top" wrapText="1"/>
      <x:protection locked="0"/>
    </x:xf>
    <x:xf numFmtId="0" fontId="18" fillId="0" borderId="11" xfId="0" applyFont="1" applyBorder="1" applyAlignment="1" applyProtection="1">
      <x:alignment horizontal="left" vertical="top" wrapText="1"/>
      <x:protection hidden="1"/>
    </x:xf>
    <x:xf numFmtId="0" fontId="18" fillId="0" borderId="0" xfId="0" applyFont="1" applyAlignment="1" applyProtection="1">
      <x:alignment horizontal="left" vertical="top" wrapText="1"/>
      <x:protection hidden="1"/>
    </x:xf>
    <x:xf numFmtId="0" fontId="12" fillId="5" borderId="7" xfId="1" applyFill="1" applyBorder="1" applyAlignment="1" applyProtection="1">
      <x:alignment horizontal="center" vertical="center"/>
      <x:protection hidden="1"/>
    </x:xf>
    <x:xf numFmtId="0" fontId="14" fillId="5" borderId="8" xfId="1" applyFont="1" applyFill="1" applyBorder="1" applyAlignment="1" applyProtection="1">
      <x:alignment horizontal="center" vertical="center"/>
      <x:protection hidden="1"/>
    </x:xf>
    <x:xf fontId="24" fillId="0" borderId="0"/>
  </x:cellXfs>
  <x:cellStyles count="2">
    <x:cellStyle name="Hyperlink" xfId="1" builtinId="8"/>
    <x:cellStyle name="Normal" xfId="0" builtinId="0"/>
  </x:cellStyles>
  <x:dxfs count="21">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
      <x:font>
        <x:b/>
        <x:i val="0"/>
        <x:color rgb="FF00B050"/>
      </x:font>
    </x:dxf>
  </x:dxfs>
  <x:tableStyles count="0" defaultTableStyle="TableStyleMedium2" defaultPivotStyle="PivotStyleLight16"/>
  <x:colors>
    <x:mruColors>
      <x:color rgb="FFBF1F36"/>
      <x:color rgb="FF228AB8"/>
      <x:color rgb="FFFF3300"/>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externalLink" Target="externalLinks/externalLink8.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7.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externalLink" Target="externalLinks/externalLink10.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1125053</xdr:colOff>
      <xdr:row>9</xdr:row>
      <xdr:rowOff>143566</xdr:rowOff>
    </xdr:from>
    <xdr:to>
      <xdr:col>3</xdr:col>
      <xdr:colOff>1139577</xdr:colOff>
      <xdr:row>12</xdr:row>
      <xdr:rowOff>21895</xdr:rowOff>
    </xdr:to>
    <xdr:sp macro="[0]!startGame" textlink="">
      <xdr:nvSpPr>
        <xdr:cNvPr id="2" name="Bevel 3">
          <a:extLst>
            <a:ext uri="{FF2B5EF4-FFF2-40B4-BE49-F238E27FC236}">
              <a16:creationId xmlns:a16="http://schemas.microsoft.com/office/drawing/2014/main" id="{3DDB17D0-82BD-4391-9283-34F280025266}"/>
            </a:ext>
          </a:extLst>
        </xdr:cNvPr>
        <xdr:cNvSpPr/>
      </xdr:nvSpPr>
      <xdr:spPr>
        <a:xfrm>
          <a:off x="2444749" y="2098262"/>
          <a:ext cx="2044425" cy="430696"/>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Timed Attempt</a:t>
          </a:r>
        </a:p>
      </xdr:txBody>
    </xdr:sp>
    <xdr:clientData/>
  </xdr:twoCellAnchor>
  <xdr:twoCellAnchor editAs="oneCell">
    <xdr:from>
      <xdr:col>3</xdr:col>
      <xdr:colOff>1479826</xdr:colOff>
      <xdr:row>9</xdr:row>
      <xdr:rowOff>147405</xdr:rowOff>
    </xdr:from>
    <xdr:to>
      <xdr:col>4</xdr:col>
      <xdr:colOff>1923858</xdr:colOff>
      <xdr:row>12</xdr:row>
      <xdr:rowOff>22087</xdr:rowOff>
    </xdr:to>
    <xdr:sp macro="[0]!UnlockGame" textlink="">
      <xdr:nvSpPr>
        <xdr:cNvPr id="4" name="Bevel 7">
          <a:extLst>
            <a:ext uri="{FF2B5EF4-FFF2-40B4-BE49-F238E27FC236}">
              <a16:creationId xmlns:a16="http://schemas.microsoft.com/office/drawing/2014/main" id="{16322322-8C72-4CD7-9BEC-8FD9380B1F53}"/>
            </a:ext>
          </a:extLst>
        </xdr:cNvPr>
        <xdr:cNvSpPr/>
      </xdr:nvSpPr>
      <xdr:spPr>
        <a:xfrm>
          <a:off x="4837043" y="2102101"/>
          <a:ext cx="2479649" cy="421334"/>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a:t>
          </a:r>
          <a:r>
            <a:rPr lang="en-US" sz="1600" b="1" baseline="0">
              <a:solidFill>
                <a:sysClr val="windowText" lastClr="000000"/>
              </a:solidFill>
              <a:effectLst>
                <a:outerShdw blurRad="50800" dist="38100" dir="5400000" algn="t" rotWithShape="0">
                  <a:schemeClr val="bg1">
                    <a:lumMod val="95000"/>
                    <a:alpha val="40000"/>
                  </a:schemeClr>
                </a:outerShdw>
              </a:effectLst>
            </a:rPr>
            <a:t> Untimed Attempt</a:t>
          </a:r>
          <a:endParaRPr lang="en-US" sz="1600" b="1">
            <a:solidFill>
              <a:sysClr val="windowText" lastClr="000000"/>
            </a:solidFill>
            <a:effectLst>
              <a:outerShdw blurRad="50800" dist="38100" dir="5400000" algn="t" rotWithShape="0">
                <a:schemeClr val="bg1">
                  <a:lumMod val="95000"/>
                  <a:alpha val="40000"/>
                </a:schemeClr>
              </a:outerShdw>
            </a:effectLst>
          </a:endParaRPr>
        </a:p>
      </xdr:txBody>
    </xdr:sp>
    <xdr:clientData/>
  </xdr:twoCellAnchor>
  <xdr:twoCellAnchor editAs="oneCell">
    <xdr:from>
      <xdr:col>1</xdr:col>
      <xdr:colOff>603249</xdr:colOff>
      <xdr:row>38</xdr:row>
      <xdr:rowOff>153462</xdr:rowOff>
    </xdr:from>
    <xdr:to>
      <xdr:col>2</xdr:col>
      <xdr:colOff>969009</xdr:colOff>
      <xdr:row>41</xdr:row>
      <xdr:rowOff>97159</xdr:rowOff>
    </xdr:to>
    <xdr:sp macro="[0]!forceStop" textlink="">
      <xdr:nvSpPr>
        <xdr:cNvPr id="5" name="Bevel 3">
          <a:extLst>
            <a:ext uri="{FF2B5EF4-FFF2-40B4-BE49-F238E27FC236}">
              <a16:creationId xmlns:a16="http://schemas.microsoft.com/office/drawing/2014/main" id="{7AADF5A8-0C59-41A7-954A-F5E090D74A72}"/>
            </a:ext>
          </a:extLst>
        </xdr:cNvPr>
        <xdr:cNvSpPr/>
      </xdr:nvSpPr>
      <xdr:spPr>
        <a:xfrm>
          <a:off x="1028699" y="4220637"/>
          <a:ext cx="1256030" cy="503767"/>
        </a:xfrm>
        <a:prstGeom prst="bevel">
          <a:avLst/>
        </a:prstGeom>
        <a:solidFill>
          <a:srgbClr val="FF00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Force</a:t>
          </a:r>
          <a:r>
            <a:rPr lang="en-US" sz="1600" b="1" baseline="0">
              <a:solidFill>
                <a:sysClr val="windowText" lastClr="000000"/>
              </a:solidFill>
              <a:effectLst>
                <a:outerShdw blurRad="50800" dist="38100" dir="5400000" algn="t" rotWithShape="0">
                  <a:schemeClr val="bg1">
                    <a:lumMod val="95000"/>
                    <a:alpha val="40000"/>
                  </a:schemeClr>
                </a:outerShdw>
              </a:effectLst>
            </a:rPr>
            <a:t> Stop</a:t>
          </a:r>
          <a:endParaRPr lang="en-US" sz="1600" b="1">
            <a:solidFill>
              <a:sysClr val="windowText" lastClr="000000"/>
            </a:solidFill>
            <a:effectLst>
              <a:outerShdw blurRad="50800" dist="38100" dir="5400000" algn="t" rotWithShape="0">
                <a:schemeClr val="bg1">
                  <a:lumMod val="95000"/>
                  <a:alpha val="40000"/>
                </a:schemeClr>
              </a:outerShdw>
            </a:effectLst>
          </a:endParaRPr>
        </a:p>
      </xdr:txBody>
    </xdr:sp>
    <xdr:clientData/>
  </xdr:twoCellAnchor>
  <xdr:twoCellAnchor editAs="oneCell">
    <xdr:from>
      <xdr:col>3</xdr:col>
      <xdr:colOff>0</xdr:colOff>
      <xdr:row>38</xdr:row>
      <xdr:rowOff>153460</xdr:rowOff>
    </xdr:from>
    <xdr:to>
      <xdr:col>3</xdr:col>
      <xdr:colOff>1394248</xdr:colOff>
      <xdr:row>41</xdr:row>
      <xdr:rowOff>97792</xdr:rowOff>
    </xdr:to>
    <xdr:sp macro="[0]!recordResult" textlink="">
      <xdr:nvSpPr>
        <xdr:cNvPr id="6" name="Bevel 7">
          <a:extLst>
            <a:ext uri="{FF2B5EF4-FFF2-40B4-BE49-F238E27FC236}">
              <a16:creationId xmlns:a16="http://schemas.microsoft.com/office/drawing/2014/main" id="{87665B61-18C5-43F8-A393-54E10835ED6A}"/>
            </a:ext>
          </a:extLst>
        </xdr:cNvPr>
        <xdr:cNvSpPr/>
      </xdr:nvSpPr>
      <xdr:spPr>
        <a:xfrm>
          <a:off x="3124200" y="4220635"/>
          <a:ext cx="1391708" cy="504402"/>
        </a:xfrm>
        <a:prstGeom prst="bevel">
          <a:avLst/>
        </a:prstGeom>
        <a:solidFill>
          <a:srgbClr val="00B0F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Record Time</a:t>
          </a:r>
        </a:p>
      </xdr:txBody>
    </xdr:sp>
    <xdr:clientData/>
  </xdr:twoCellAnchor>
  <xdr:twoCellAnchor editAs="oneCell">
    <xdr:from>
      <xdr:col>1</xdr:col>
      <xdr:colOff>104914</xdr:colOff>
      <xdr:row>3</xdr:row>
      <xdr:rowOff>3537</xdr:rowOff>
    </xdr:from>
    <xdr:to>
      <xdr:col>3</xdr:col>
      <xdr:colOff>244917</xdr:colOff>
      <xdr:row>7</xdr:row>
      <xdr:rowOff>97691</xdr:rowOff>
    </xdr:to>
    <xdr:pic>
      <xdr:nvPicPr>
        <xdr:cNvPr id="3" name="Picture 2">
          <a:hlinkClick xmlns:r="http://schemas.openxmlformats.org/officeDocument/2006/relationships" r:id="rId1"/>
          <a:extLst>
            <a:ext uri="{FF2B5EF4-FFF2-40B4-BE49-F238E27FC236}">
              <a16:creationId xmlns:a16="http://schemas.microsoft.com/office/drawing/2014/main" id="{92764223-66FD-4F6A-B6B5-F2C18AD8DE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088" y="942233"/>
          <a:ext cx="3079666" cy="828739"/>
        </a:xfrm>
        <a:prstGeom prst="rect">
          <a:avLst/>
        </a:prstGeom>
      </xdr:spPr>
    </xdr:pic>
    <xdr:clientData/>
  </xdr:twoCellAnchor>
  <xdr:twoCellAnchor editAs="oneCell">
    <xdr:from>
      <xdr:col>3</xdr:col>
      <xdr:colOff>839304</xdr:colOff>
      <xdr:row>3</xdr:row>
      <xdr:rowOff>37442</xdr:rowOff>
    </xdr:from>
    <xdr:to>
      <xdr:col>4</xdr:col>
      <xdr:colOff>1920458</xdr:colOff>
      <xdr:row>7</xdr:row>
      <xdr:rowOff>54223</xdr:rowOff>
    </xdr:to>
    <xdr:pic>
      <xdr:nvPicPr>
        <xdr:cNvPr id="7" name="Picture 6">
          <a:hlinkClick xmlns:r="http://schemas.openxmlformats.org/officeDocument/2006/relationships" r:id="rId3"/>
          <a:extLst>
            <a:ext uri="{FF2B5EF4-FFF2-40B4-BE49-F238E27FC236}">
              <a16:creationId xmlns:a16="http://schemas.microsoft.com/office/drawing/2014/main" id="{BA924C06-7D52-4FB0-A4F0-8732999C3FD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96521" y="976138"/>
          <a:ext cx="3124391" cy="739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386081</xdr:colOff>
      <xdr:row>31</xdr:row>
      <xdr:rowOff>40543</xdr:rowOff>
    </xdr:from>
    <xdr:to>
      <xdr:col>6</xdr:col>
      <xdr:colOff>712472</xdr:colOff>
      <xdr:row>32</xdr:row>
      <xdr:rowOff>120651</xdr:rowOff>
    </xdr:to>
    <xdr:sp macro="[0]!openExercise3" textlink="">
      <xdr:nvSpPr>
        <xdr:cNvPr id="2" name="Bevel 3">
          <a:extLst>
            <a:ext uri="{FF2B5EF4-FFF2-40B4-BE49-F238E27FC236}">
              <a16:creationId xmlns:a16="http://schemas.microsoft.com/office/drawing/2014/main" id="{40E2E327-EC49-49AC-A610-3DDB6BAC2143}"/>
            </a:ext>
          </a:extLst>
        </xdr:cNvPr>
        <xdr:cNvSpPr/>
      </xdr:nvSpPr>
      <xdr:spPr>
        <a:xfrm>
          <a:off x="6228081" y="5425343"/>
          <a:ext cx="1316991" cy="264258"/>
        </a:xfrm>
        <a:prstGeom prst="bevel">
          <a:avLst/>
        </a:prstGeom>
        <a:solidFill>
          <a:srgbClr val="FF33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chemeClr val="bg1"/>
              </a:solidFill>
              <a:effectLst>
                <a:outerShdw blurRad="50800" dist="38100" dir="5400000" algn="t" rotWithShape="0">
                  <a:schemeClr val="bg1">
                    <a:lumMod val="95000"/>
                    <a:alpha val="40000"/>
                  </a:schemeClr>
                </a:outerShdw>
              </a:effectLst>
            </a:rPr>
            <a:t>Open Next</a:t>
          </a:r>
          <a:r>
            <a:rPr lang="en-US" sz="1200" b="1" baseline="0">
              <a:solidFill>
                <a:schemeClr val="bg1"/>
              </a:solidFill>
              <a:effectLst>
                <a:outerShdw blurRad="50800" dist="38100" dir="5400000" algn="t" rotWithShape="0">
                  <a:schemeClr val="bg1">
                    <a:lumMod val="95000"/>
                    <a:alpha val="40000"/>
                  </a:schemeClr>
                </a:outerShdw>
              </a:effectLst>
            </a:rPr>
            <a:t> Tab</a:t>
          </a:r>
          <a:endParaRPr lang="en-US" sz="1200" b="1">
            <a:solidFill>
              <a:schemeClr val="bg1"/>
            </a:solidFill>
            <a:effectLst>
              <a:outerShdw blurRad="50800" dist="38100" dir="5400000" algn="t" rotWithShape="0">
                <a:schemeClr val="bg1">
                  <a:lumMod val="95000"/>
                  <a:alpha val="40000"/>
                </a:scheme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367031</xdr:colOff>
      <xdr:row>31</xdr:row>
      <xdr:rowOff>53243</xdr:rowOff>
    </xdr:from>
    <xdr:to>
      <xdr:col>6</xdr:col>
      <xdr:colOff>695327</xdr:colOff>
      <xdr:row>32</xdr:row>
      <xdr:rowOff>135256</xdr:rowOff>
    </xdr:to>
    <xdr:sp macro="[0]!openExercise3" textlink="">
      <xdr:nvSpPr>
        <xdr:cNvPr id="2" name="Bevel 3">
          <a:extLst>
            <a:ext uri="{FF2B5EF4-FFF2-40B4-BE49-F238E27FC236}">
              <a16:creationId xmlns:a16="http://schemas.microsoft.com/office/drawing/2014/main" id="{9BA52036-6B60-4D52-AC73-5AE047EB6E59}"/>
            </a:ext>
          </a:extLst>
        </xdr:cNvPr>
        <xdr:cNvSpPr/>
      </xdr:nvSpPr>
      <xdr:spPr>
        <a:xfrm>
          <a:off x="6132831" y="6174643"/>
          <a:ext cx="1318896" cy="266163"/>
        </a:xfrm>
        <a:prstGeom prst="bevel">
          <a:avLst/>
        </a:prstGeom>
        <a:solidFill>
          <a:srgbClr val="FF33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chemeClr val="bg1"/>
              </a:solidFill>
              <a:effectLst>
                <a:outerShdw blurRad="50800" dist="38100" dir="5400000" algn="t" rotWithShape="0">
                  <a:schemeClr val="bg1">
                    <a:lumMod val="95000"/>
                    <a:alpha val="40000"/>
                  </a:schemeClr>
                </a:outerShdw>
              </a:effectLst>
            </a:rPr>
            <a:t>Open Next</a:t>
          </a:r>
          <a:r>
            <a:rPr lang="en-US" sz="1200" b="1" baseline="0">
              <a:solidFill>
                <a:schemeClr val="bg1"/>
              </a:solidFill>
              <a:effectLst>
                <a:outerShdw blurRad="50800" dist="38100" dir="5400000" algn="t" rotWithShape="0">
                  <a:schemeClr val="bg1">
                    <a:lumMod val="95000"/>
                    <a:alpha val="40000"/>
                  </a:schemeClr>
                </a:outerShdw>
              </a:effectLst>
            </a:rPr>
            <a:t> Tab</a:t>
          </a:r>
          <a:endParaRPr lang="en-US" sz="1200" b="1">
            <a:solidFill>
              <a:schemeClr val="bg1"/>
            </a:solidFill>
            <a:effectLst>
              <a:outerShdw blurRad="50800" dist="38100" dir="5400000" algn="t" rotWithShape="0">
                <a:schemeClr val="bg1">
                  <a:lumMod val="95000"/>
                  <a:alpha val="40000"/>
                </a:scheme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386081</xdr:colOff>
      <xdr:row>31</xdr:row>
      <xdr:rowOff>46893</xdr:rowOff>
    </xdr:from>
    <xdr:to>
      <xdr:col>6</xdr:col>
      <xdr:colOff>714377</xdr:colOff>
      <xdr:row>32</xdr:row>
      <xdr:rowOff>128906</xdr:rowOff>
    </xdr:to>
    <xdr:sp macro="[0]!openExercise3" textlink="">
      <xdr:nvSpPr>
        <xdr:cNvPr id="2" name="Bevel 3">
          <a:extLst>
            <a:ext uri="{FF2B5EF4-FFF2-40B4-BE49-F238E27FC236}">
              <a16:creationId xmlns:a16="http://schemas.microsoft.com/office/drawing/2014/main" id="{892E2DE8-A764-49BC-8599-624596F29532}"/>
            </a:ext>
          </a:extLst>
        </xdr:cNvPr>
        <xdr:cNvSpPr/>
      </xdr:nvSpPr>
      <xdr:spPr>
        <a:xfrm>
          <a:off x="6151881" y="6168293"/>
          <a:ext cx="1318896" cy="266163"/>
        </a:xfrm>
        <a:prstGeom prst="bevel">
          <a:avLst/>
        </a:prstGeom>
        <a:solidFill>
          <a:srgbClr val="FF33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chemeClr val="bg1"/>
              </a:solidFill>
              <a:effectLst>
                <a:outerShdw blurRad="50800" dist="38100" dir="5400000" algn="t" rotWithShape="0">
                  <a:schemeClr val="bg1">
                    <a:lumMod val="95000"/>
                    <a:alpha val="40000"/>
                  </a:schemeClr>
                </a:outerShdw>
              </a:effectLst>
            </a:rPr>
            <a:t>Open Next</a:t>
          </a:r>
          <a:r>
            <a:rPr lang="en-US" sz="1200" b="1" baseline="0">
              <a:solidFill>
                <a:schemeClr val="bg1"/>
              </a:solidFill>
              <a:effectLst>
                <a:outerShdw blurRad="50800" dist="38100" dir="5400000" algn="t" rotWithShape="0">
                  <a:schemeClr val="bg1">
                    <a:lumMod val="95000"/>
                    <a:alpha val="40000"/>
                  </a:schemeClr>
                </a:outerShdw>
              </a:effectLst>
            </a:rPr>
            <a:t> Tab</a:t>
          </a:r>
          <a:endParaRPr lang="en-US" sz="1200" b="1">
            <a:solidFill>
              <a:schemeClr val="bg1"/>
            </a:solidFill>
            <a:effectLst>
              <a:outerShdw blurRad="50800" dist="38100" dir="5400000" algn="t" rotWithShape="0">
                <a:schemeClr val="bg1">
                  <a:lumMod val="95000"/>
                  <a:alpha val="40000"/>
                </a:schemeClr>
              </a:outerShdw>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1057275</xdr:colOff>
      <xdr:row>4</xdr:row>
      <xdr:rowOff>161925</xdr:rowOff>
    </xdr:from>
    <xdr:to>
      <xdr:col>4</xdr:col>
      <xdr:colOff>1095375</xdr:colOff>
      <xdr:row>7</xdr:row>
      <xdr:rowOff>26670</xdr:rowOff>
    </xdr:to>
    <xdr:sp macro="[0]!startGame" textlink="">
      <xdr:nvSpPr>
        <xdr:cNvPr id="2" name="Bevel 3">
          <a:extLst>
            <a:ext uri="{FF2B5EF4-FFF2-40B4-BE49-F238E27FC236}">
              <a16:creationId xmlns:a16="http://schemas.microsoft.com/office/drawing/2014/main" id="{16331E9F-712E-4F91-8E56-7F50DDA440C7}"/>
            </a:ext>
          </a:extLst>
        </xdr:cNvPr>
        <xdr:cNvSpPr/>
      </xdr:nvSpPr>
      <xdr:spPr>
        <a:xfrm>
          <a:off x="3905250" y="161925"/>
          <a:ext cx="1400175" cy="483870"/>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Again!</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3\Case%20Development%20&amp;%20Related%20Files\June%202023\May%20Sales%20&amp;%20Marketing\TimedExerciseTemplateV7_SalesCommissionTrackerV7.xlsm" TargetMode="External"/><Relationship Id="rId1" Type="http://schemas.openxmlformats.org/officeDocument/2006/relationships/externalLinkPath" Target="TimedExerciseTemplateV7_SalesCommissionTrackerV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KeyboardingWarmUp_StudentVersion_GradingTa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udcb/Downloads/Hurdles%20Challenge%20(Answer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kudcb/Google%20Drive/Teaching/Financial%20Modeling/FIN%20413%20Spring%202022/Class%20Sessions/Class%2012%20-%20New/Financial%20Statement%20Exercises%203/TestTemplateV7_FinStatement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2%20-%20Shortcuts/ShortcutChallenge_StudentVersion_GradingTa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kudcb/Google%20Drive/Teaching/Excel%20Lab%20Course/Fall%202021/Class%20Sessions/Class%203%20-%20Dynamic%20Models%20-%20Discounting/ShortcutWarmUp_StudentVersion_GradingTab.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kudcb/Dropbox/FIN%20360L/Class%20Sessions/Class%207/ExerciseTemplateV3_MatchingExercisesPart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Keyboard%20Exercises%20UpdatedV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1/ZACHGE~1/LOCALS~1/Temp/Excel%20Tips%20from%20Chris%20G%20(%23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kudcb/Google%20Drive/Teaching/Financial%20Modeling/Spring%202021/Class%20Sessions/Class%201%20-%20Course%20Intro/Excel%20Shortcut%20Challenge%20(NoMouseCheck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Case Details"/>
      <sheetName val="Sales Data"/>
      <sheetName val="Commission Calculator 1"/>
      <sheetName val="Commission Calculator 2"/>
      <sheetName val="Team Commissions"/>
      <sheetName val="Timed Results"/>
      <sheetName val="Question Results"/>
      <sheetName val="BackgroundCalcs"/>
      <sheetName val="Output"/>
      <sheetName val="Grading Formulas"/>
      <sheetName val="Grading"/>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C6">
            <v>0</v>
          </cell>
        </row>
      </sheetData>
      <sheetData sheetId="8">
        <row r="2">
          <cell r="B2" t="str">
            <v>MECC Commission Calculator</v>
          </cell>
          <cell r="D2">
            <v>44221.658252314817</v>
          </cell>
        </row>
        <row r="5">
          <cell r="B5" t="str">
            <v>Numbers</v>
          </cell>
          <cell r="D5">
            <v>44221.65960648148</v>
          </cell>
        </row>
        <row r="8">
          <cell r="B8">
            <v>11</v>
          </cell>
        </row>
        <row r="17">
          <cell r="B17">
            <v>3</v>
          </cell>
        </row>
        <row r="26">
          <cell r="B26">
            <v>27</v>
          </cell>
          <cell r="D26">
            <v>0</v>
          </cell>
        </row>
        <row r="32">
          <cell r="B32">
            <v>6.7129629314877093E-4</v>
          </cell>
        </row>
      </sheetData>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Keyboard Warm Up 1"/>
      <sheetName val="Keyboard Warm Up 2"/>
      <sheetName val="Results"/>
      <sheetName val="Grading"/>
      <sheetName val="BackgroundCalcs"/>
      <sheetName val="Output"/>
    </sheetNames>
    <sheetDataSet>
      <sheetData sheetId="0"/>
      <sheetData sheetId="1">
        <row r="1">
          <cell r="A1" t="str">
            <v>Keyboarding Warm Up</v>
          </cell>
        </row>
        <row r="7">
          <cell r="D7">
            <v>1</v>
          </cell>
          <cell r="G7"/>
          <cell r="AC7">
            <v>4</v>
          </cell>
          <cell r="BR7">
            <v>17</v>
          </cell>
          <cell r="CQ7">
            <v>18</v>
          </cell>
        </row>
        <row r="11">
          <cell r="T11"/>
          <cell r="AB11"/>
          <cell r="AE11"/>
          <cell r="AN11"/>
        </row>
        <row r="12">
          <cell r="BD12">
            <v>11</v>
          </cell>
          <cell r="BN12">
            <v>12</v>
          </cell>
        </row>
        <row r="16">
          <cell r="G16"/>
          <cell r="M16"/>
        </row>
        <row r="17">
          <cell r="AE17"/>
        </row>
        <row r="18">
          <cell r="BN18">
            <v>13</v>
          </cell>
        </row>
        <row r="21">
          <cell r="AE21"/>
        </row>
        <row r="23">
          <cell r="D23" t="str">
            <v>˅</v>
          </cell>
          <cell r="M23"/>
        </row>
        <row r="25">
          <cell r="AE25"/>
        </row>
        <row r="29">
          <cell r="S29"/>
        </row>
        <row r="30">
          <cell r="AH30">
            <v>7</v>
          </cell>
          <cell r="AY30">
            <v>8</v>
          </cell>
          <cell r="BE30">
            <v>14</v>
          </cell>
          <cell r="BK30">
            <v>15</v>
          </cell>
        </row>
        <row r="31">
          <cell r="BR31" t="str">
            <v>˄</v>
          </cell>
          <cell r="BS31">
            <v>22</v>
          </cell>
          <cell r="CP31">
            <v>21</v>
          </cell>
        </row>
        <row r="38">
          <cell r="S38"/>
          <cell r="AB38"/>
        </row>
        <row r="53">
          <cell r="D53">
            <v>2</v>
          </cell>
          <cell r="AC53">
            <v>3</v>
          </cell>
          <cell r="AH53">
            <v>6</v>
          </cell>
          <cell r="AX53">
            <v>5</v>
          </cell>
          <cell r="AY53">
            <v>9</v>
          </cell>
          <cell r="BD53">
            <v>10</v>
          </cell>
          <cell r="BR53">
            <v>16</v>
          </cell>
          <cell r="BS53">
            <v>23</v>
          </cell>
          <cell r="CP53">
            <v>20</v>
          </cell>
          <cell r="CQ53">
            <v>19</v>
          </cell>
        </row>
      </sheetData>
      <sheetData sheetId="2"/>
      <sheetData sheetId="3"/>
      <sheetData sheetId="4"/>
      <sheetData sheetId="5">
        <row r="2">
          <cell r="S2">
            <v>0</v>
          </cell>
        </row>
      </sheetData>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rst"/>
      <sheetName val="Grading"/>
      <sheetName val="Second"/>
      <sheetName val="calc"/>
      <sheetName val="Results"/>
      <sheetName val="Output"/>
    </sheetNames>
    <sheetDataSet>
      <sheetData sheetId="0">
        <row r="3">
          <cell r="B3" t="str">
            <v>Start here</v>
          </cell>
          <cell r="C3" t="str">
            <v>x</v>
          </cell>
          <cell r="D3" t="str">
            <v>x</v>
          </cell>
          <cell r="E3" t="str">
            <v>x</v>
          </cell>
          <cell r="F3" t="str">
            <v>x</v>
          </cell>
          <cell r="G3" t="str">
            <v>x</v>
          </cell>
          <cell r="H3" t="str">
            <v>x</v>
          </cell>
          <cell r="I3" t="str">
            <v>x</v>
          </cell>
          <cell r="J3" t="str">
            <v>H</v>
          </cell>
        </row>
        <row r="4">
          <cell r="J4" t="str">
            <v>x</v>
          </cell>
        </row>
        <row r="5">
          <cell r="J5" t="str">
            <v>x</v>
          </cell>
        </row>
        <row r="6">
          <cell r="J6" t="str">
            <v>x</v>
          </cell>
        </row>
        <row r="7">
          <cell r="J7" t="str">
            <v>x</v>
          </cell>
        </row>
        <row r="8">
          <cell r="D8" t="str">
            <v>H</v>
          </cell>
          <cell r="E8" t="str">
            <v>x</v>
          </cell>
          <cell r="F8" t="str">
            <v>x</v>
          </cell>
          <cell r="G8" t="str">
            <v>x</v>
          </cell>
          <cell r="H8" t="str">
            <v>x</v>
          </cell>
          <cell r="I8" t="str">
            <v>x</v>
          </cell>
          <cell r="J8" t="str">
            <v>H</v>
          </cell>
        </row>
        <row r="9">
          <cell r="D9" t="str">
            <v>x</v>
          </cell>
        </row>
        <row r="10">
          <cell r="D10"/>
        </row>
        <row r="11">
          <cell r="D11" t="str">
            <v>x</v>
          </cell>
        </row>
        <row r="12">
          <cell r="D12"/>
        </row>
        <row r="13">
          <cell r="D13" t="str">
            <v>x</v>
          </cell>
        </row>
        <row r="14">
          <cell r="D14"/>
        </row>
        <row r="15">
          <cell r="D15" t="str">
            <v>x</v>
          </cell>
        </row>
        <row r="16">
          <cell r="D16"/>
        </row>
        <row r="17">
          <cell r="D17" t="str">
            <v>x</v>
          </cell>
        </row>
        <row r="18">
          <cell r="D18"/>
        </row>
        <row r="19">
          <cell r="D19" t="str">
            <v>H</v>
          </cell>
          <cell r="E19" t="str">
            <v>x</v>
          </cell>
          <cell r="F19" t="str">
            <v>x</v>
          </cell>
          <cell r="G19" t="str">
            <v>x</v>
          </cell>
          <cell r="H19"/>
          <cell r="I19"/>
          <cell r="J19"/>
          <cell r="K19" t="str">
            <v>x</v>
          </cell>
          <cell r="L19" t="str">
            <v>x</v>
          </cell>
          <cell r="M19" t="str">
            <v>x</v>
          </cell>
          <cell r="N19"/>
          <cell r="O19"/>
          <cell r="P19"/>
          <cell r="Q19" t="str">
            <v>x</v>
          </cell>
          <cell r="R19" t="str">
            <v>x</v>
          </cell>
          <cell r="S19" t="str">
            <v>x</v>
          </cell>
          <cell r="T19" t="str">
            <v>H</v>
          </cell>
        </row>
        <row r="20">
          <cell r="T20"/>
        </row>
        <row r="21">
          <cell r="T21"/>
        </row>
        <row r="22">
          <cell r="T22"/>
        </row>
        <row r="23">
          <cell r="E23" t="str">
            <v>H</v>
          </cell>
          <cell r="F23"/>
          <cell r="G23"/>
          <cell r="H23"/>
          <cell r="I23"/>
          <cell r="J23"/>
          <cell r="K23"/>
          <cell r="L23"/>
          <cell r="M23"/>
          <cell r="N23"/>
          <cell r="O23"/>
          <cell r="P23" t="str">
            <v>H</v>
          </cell>
          <cell r="T23"/>
        </row>
        <row r="24">
          <cell r="E24"/>
          <cell r="P24"/>
          <cell r="T24"/>
        </row>
        <row r="25">
          <cell r="E25"/>
          <cell r="P25"/>
          <cell r="T25"/>
        </row>
        <row r="26">
          <cell r="E26" t="str">
            <v>Select x from drop down</v>
          </cell>
          <cell r="F26" t="str">
            <v/>
          </cell>
          <cell r="G26"/>
          <cell r="H26"/>
          <cell r="I26"/>
          <cell r="J26"/>
          <cell r="K26" t="str">
            <v>H</v>
          </cell>
          <cell r="P26"/>
          <cell r="T26"/>
        </row>
        <row r="27">
          <cell r="K27"/>
          <cell r="P27"/>
          <cell r="T27"/>
        </row>
        <row r="28">
          <cell r="K28"/>
          <cell r="P28"/>
          <cell r="T28"/>
        </row>
        <row r="29">
          <cell r="K29"/>
          <cell r="P29" t="str">
            <v>H</v>
          </cell>
          <cell r="Q29"/>
          <cell r="R29"/>
          <cell r="S29"/>
          <cell r="T29" t="str">
            <v>H</v>
          </cell>
        </row>
        <row r="30">
          <cell r="K30"/>
        </row>
        <row r="31">
          <cell r="K31"/>
        </row>
        <row r="32">
          <cell r="C32" t="str">
            <v>Go to Second sheet</v>
          </cell>
          <cell r="D32"/>
          <cell r="E32"/>
          <cell r="F32"/>
          <cell r="G32"/>
          <cell r="H32"/>
          <cell r="I32"/>
          <cell r="J32"/>
          <cell r="K32" t="str">
            <v>H</v>
          </cell>
        </row>
      </sheetData>
      <sheetData sheetId="1"/>
      <sheetData sheetId="2">
        <row r="1">
          <cell r="A1" t="str">
            <v>H</v>
          </cell>
          <cell r="B1"/>
          <cell r="C1"/>
          <cell r="D1"/>
          <cell r="E1"/>
          <cell r="F1"/>
          <cell r="G1"/>
          <cell r="H1" t="str">
            <v>H</v>
          </cell>
        </row>
        <row r="2">
          <cell r="H2"/>
        </row>
        <row r="3">
          <cell r="H3"/>
        </row>
        <row r="4">
          <cell r="H4"/>
        </row>
        <row r="5">
          <cell r="H5"/>
        </row>
        <row r="6">
          <cell r="H6"/>
        </row>
        <row r="7">
          <cell r="H7"/>
        </row>
        <row r="8">
          <cell r="H8"/>
        </row>
        <row r="9">
          <cell r="H9"/>
        </row>
        <row r="10">
          <cell r="H10"/>
        </row>
        <row r="11">
          <cell r="H11"/>
        </row>
        <row r="12">
          <cell r="H12"/>
        </row>
        <row r="13">
          <cell r="H13"/>
        </row>
        <row r="14">
          <cell r="H14"/>
        </row>
        <row r="15">
          <cell r="H15"/>
        </row>
        <row r="16">
          <cell r="H16"/>
        </row>
        <row r="17">
          <cell r="H17"/>
        </row>
        <row r="18">
          <cell r="H18"/>
        </row>
        <row r="19">
          <cell r="H19"/>
        </row>
        <row r="20">
          <cell r="H20"/>
        </row>
        <row r="21">
          <cell r="H21"/>
        </row>
        <row r="22">
          <cell r="H22"/>
        </row>
        <row r="23">
          <cell r="H23"/>
        </row>
        <row r="24">
          <cell r="C24" t="str">
            <v>End</v>
          </cell>
          <cell r="H24"/>
        </row>
        <row r="25">
          <cell r="C25"/>
          <cell r="H25"/>
        </row>
        <row r="26">
          <cell r="C26"/>
          <cell r="H26" t="str">
            <v>H</v>
          </cell>
          <cell r="I26"/>
          <cell r="J26"/>
          <cell r="K26"/>
          <cell r="L26"/>
          <cell r="M26" t="str">
            <v>H</v>
          </cell>
        </row>
        <row r="27">
          <cell r="C27"/>
          <cell r="M27"/>
        </row>
        <row r="28">
          <cell r="C28"/>
          <cell r="M28"/>
        </row>
        <row r="29">
          <cell r="C29"/>
          <cell r="M29"/>
        </row>
        <row r="30">
          <cell r="C30"/>
          <cell r="M30"/>
        </row>
        <row r="31">
          <cell r="C31"/>
          <cell r="M31"/>
        </row>
        <row r="32">
          <cell r="C32"/>
          <cell r="M32"/>
        </row>
        <row r="33">
          <cell r="C33"/>
          <cell r="D33"/>
          <cell r="E33"/>
          <cell r="F33"/>
          <cell r="G33"/>
          <cell r="H33"/>
          <cell r="I33"/>
          <cell r="J33"/>
          <cell r="K33"/>
          <cell r="L33"/>
          <cell r="M33" t="str">
            <v>Go to cell C33</v>
          </cell>
        </row>
      </sheetData>
      <sheetData sheetId="3">
        <row r="3">
          <cell r="F3">
            <v>0</v>
          </cell>
          <cell r="G3"/>
          <cell r="H3"/>
        </row>
        <row r="4">
          <cell r="D4"/>
        </row>
        <row r="5">
          <cell r="D5"/>
        </row>
        <row r="6">
          <cell r="D6"/>
          <cell r="G6">
            <v>0</v>
          </cell>
        </row>
        <row r="7">
          <cell r="D7"/>
          <cell r="G7">
            <v>35.000000009313226</v>
          </cell>
        </row>
        <row r="8">
          <cell r="D8"/>
        </row>
        <row r="9">
          <cell r="D9"/>
        </row>
        <row r="10">
          <cell r="D10"/>
        </row>
        <row r="11">
          <cell r="D11"/>
        </row>
        <row r="12">
          <cell r="D12"/>
        </row>
        <row r="13">
          <cell r="D13"/>
        </row>
        <row r="14">
          <cell r="D14"/>
        </row>
        <row r="15">
          <cell r="D15"/>
        </row>
        <row r="16">
          <cell r="D16"/>
        </row>
        <row r="17">
          <cell r="D17"/>
        </row>
        <row r="18">
          <cell r="D18"/>
        </row>
        <row r="19">
          <cell r="D19"/>
        </row>
        <row r="20">
          <cell r="D20"/>
        </row>
        <row r="21">
          <cell r="D21"/>
        </row>
      </sheetData>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Financial Statements 3 Q1"/>
      <sheetName val="Q2"/>
      <sheetName val="Q3"/>
      <sheetName val="Results"/>
      <sheetName val="BackgroundCalcs"/>
      <sheetName val="Grading Formulas"/>
      <sheetName val="Grading"/>
      <sheetName val="Output"/>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ShortcutChallenge</v>
          </cell>
        </row>
        <row r="8">
          <cell r="D8" t="str">
            <v>12341234</v>
          </cell>
        </row>
        <row r="11">
          <cell r="D11" t="str">
            <v>asdf</v>
          </cell>
        </row>
        <row r="14">
          <cell r="D14">
            <v>1</v>
          </cell>
        </row>
        <row r="17">
          <cell r="F17">
            <v>14</v>
          </cell>
          <cell r="G17" t="e">
            <v>#N/A</v>
          </cell>
        </row>
        <row r="20">
          <cell r="F20">
            <v>147651</v>
          </cell>
        </row>
      </sheetData>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ShortcutChallenge"/>
      <sheetName val="Results"/>
      <sheetName val="Grading"/>
      <sheetName val="BackgroundCalcs"/>
      <sheetName val="Output"/>
    </sheetNames>
    <sheetDataSet>
      <sheetData sheetId="0"/>
      <sheetData sheetId="1"/>
      <sheetData sheetId="2"/>
      <sheetData sheetId="3"/>
      <sheetData sheetId="4">
        <row r="5">
          <cell r="D5" t="str">
            <v>Shortcut Warm Up</v>
          </cell>
        </row>
        <row r="8">
          <cell r="D8" t="str">
            <v>12341234</v>
          </cell>
        </row>
        <row r="11">
          <cell r="D11" t="str">
            <v>asdf</v>
          </cell>
        </row>
        <row r="14">
          <cell r="D14">
            <v>1</v>
          </cell>
        </row>
        <row r="17">
          <cell r="F17">
            <v>14</v>
          </cell>
          <cell r="G17" t="e">
            <v>#N/A</v>
          </cell>
        </row>
        <row r="20">
          <cell r="F20">
            <v>38008</v>
          </cell>
        </row>
      </sheetData>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Bond Data"/>
      <sheetName val="Exercise 1"/>
      <sheetName val="Exercise 2"/>
      <sheetName val="Exercise 3"/>
      <sheetName val="Exercise 4"/>
      <sheetName val="Exercise 5"/>
      <sheetName val="Results"/>
      <sheetName val="BackgroundCalcs"/>
      <sheetName val="Output"/>
    </sheetNames>
    <sheetDataSet>
      <sheetData sheetId="0"/>
      <sheetData sheetId="1"/>
      <sheetData sheetId="2"/>
      <sheetData sheetId="3"/>
      <sheetData sheetId="4"/>
      <sheetData sheetId="5"/>
      <sheetData sheetId="6"/>
      <sheetData sheetId="7"/>
      <sheetData sheetId="8">
        <row r="2">
          <cell r="B2" t="str">
            <v>Matching Exercises Part 1</v>
          </cell>
        </row>
        <row r="5">
          <cell r="B5" t="str">
            <v>Numbers</v>
          </cell>
        </row>
        <row r="8">
          <cell r="B8">
            <v>10</v>
          </cell>
        </row>
        <row r="17">
          <cell r="B17">
            <v>5</v>
          </cell>
        </row>
      </sheetData>
      <sheetData sheetId="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yboard Exercise 1"/>
      <sheetName val="Keyboard Exercise 2"/>
      <sheetName val="Keyboard Exercise 3"/>
      <sheetName val="Keyboard Exercise 4"/>
      <sheetName val="calc"/>
      <sheetName val="Results"/>
    </sheetNames>
    <sheetDataSet>
      <sheetData sheetId="0"/>
      <sheetData sheetId="1"/>
      <sheetData sheetId="2"/>
      <sheetData sheetId="3" refreshError="1"/>
      <sheetData sheetId="4">
        <row r="3">
          <cell r="G3">
            <v>44127.436469907407</v>
          </cell>
        </row>
        <row r="4">
          <cell r="D4" t="b">
            <v>1</v>
          </cell>
        </row>
        <row r="5">
          <cell r="D5" t="b">
            <v>1</v>
          </cell>
        </row>
        <row r="6">
          <cell r="D6" t="b">
            <v>1</v>
          </cell>
          <cell r="G6">
            <v>-44127.436469907407</v>
          </cell>
        </row>
        <row r="7">
          <cell r="D7" t="b">
            <v>1</v>
          </cell>
        </row>
        <row r="8">
          <cell r="D8" t="b">
            <v>1</v>
          </cell>
        </row>
        <row r="9">
          <cell r="D9" t="b">
            <v>1</v>
          </cell>
        </row>
        <row r="10">
          <cell r="D10" t="b">
            <v>1</v>
          </cell>
        </row>
        <row r="11">
          <cell r="D11" t="b">
            <v>1</v>
          </cell>
        </row>
        <row r="12">
          <cell r="D12" t="b">
            <v>1</v>
          </cell>
        </row>
        <row r="13">
          <cell r="D13" t="b">
            <v>1</v>
          </cell>
        </row>
        <row r="14">
          <cell r="D14" t="b">
            <v>1</v>
          </cell>
        </row>
        <row r="15">
          <cell r="D15" t="b">
            <v>1</v>
          </cell>
        </row>
        <row r="16">
          <cell r="D16" t="b">
            <v>1</v>
          </cell>
        </row>
        <row r="17">
          <cell r="D17" t="b">
            <v>1</v>
          </cell>
        </row>
        <row r="18">
          <cell r="D18" t="b">
            <v>1</v>
          </cell>
        </row>
        <row r="19">
          <cell r="D19" t="b">
            <v>1</v>
          </cell>
        </row>
        <row r="20">
          <cell r="D20" t="b">
            <v>1</v>
          </cell>
        </row>
        <row r="21">
          <cell r="D21" t="b">
            <v>1</v>
          </cell>
        </row>
      </sheetData>
      <sheetData sheetId="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2"/>
      <sheetName val="Did you know"/>
      <sheetName val="Fixing Annoyances Full Menus"/>
      <sheetName val="Fixing Annoyances PT Formulas"/>
      <sheetName val="Custom Numeric Formatting"/>
      <sheetName val="Conditional Formatting Tricks"/>
      <sheetName val="Dynamic Ranges"/>
      <sheetName val="Dynamic Ranges and Charts"/>
      <sheetName val="Charts with Custom Symbols"/>
      <sheetName val="Creating Simple UIs"/>
    </sheetNames>
    <sheetDataSet>
      <sheetData sheetId="0"/>
      <sheetData sheetId="1"/>
      <sheetData sheetId="2"/>
      <sheetData sheetId="3"/>
      <sheetData sheetId="4"/>
      <sheetData sheetId="5"/>
      <sheetData sheetId="6">
        <row r="5">
          <cell r="B5" t="str">
            <v>Name</v>
          </cell>
        </row>
      </sheetData>
      <sheetData sheetId="7">
        <row r="5">
          <cell r="B5" t="str">
            <v>Name</v>
          </cell>
        </row>
        <row r="30">
          <cell r="D30">
            <v>14</v>
          </cell>
        </row>
      </sheetData>
      <sheetData sheetId="8"/>
      <sheetData sheetId="9"/>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ortcutChallenge"/>
      <sheetName val="Results"/>
      <sheetName val="calc"/>
      <sheetName val="log"/>
    </sheetNames>
    <sheetDataSet>
      <sheetData sheetId="0" refreshError="1"/>
      <sheetData sheetId="1" refreshError="1"/>
      <sheetData sheetId="2">
        <row r="11">
          <cell r="B11">
            <v>-251732499.72570854</v>
          </cell>
        </row>
      </sheetData>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aKG-uNd8uhg" TargetMode="External"/><Relationship Id="rId2" Type="http://schemas.openxmlformats.org/officeDocument/2006/relationships/hyperlink" Target="https://www.linkedin.com/in/nicole-deere/" TargetMode="External"/><Relationship Id="rId1" Type="http://schemas.openxmlformats.org/officeDocument/2006/relationships/hyperlink" Target="https://www.linkedin.com/in/david-brown-5a44751/"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linkedin.com/sharing/share-offsite/?url=https://www.fmworldcup.com/microsoft-excel-collegiate-challenge/" TargetMode="External"/></Relationships>
</file>

<file path=xl/worksheets/sheet1.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80866A4F-8D2D-4B6B-A761-2F9C86D09908}" mc:Ignorable="x14ac xr xr2 xr3">
  <x:sheetPr codeName="Sheet1"/>
  <x:dimension ref="A1:I66"/>
  <x:sheetViews>
    <x:sheetView tabSelected="1" zoomScale="115" zoomScaleNormal="115" workbookViewId="0">
      <x:selection activeCell="B33" sqref="B33"/>
    </x:sheetView>
  </x:sheetViews>
  <x:sheetFormatPr defaultColWidth="0" defaultRowHeight="14.4" zeroHeight="1"/>
  <x:cols>
    <x:col min="1" max="1" width="6.109375" style="47" customWidth="1"/>
    <x:col min="2" max="2" width="12.77734375" style="47" customWidth="1"/>
    <x:col min="3" max="5" width="29.21875" style="47" customWidth="1"/>
    <x:col min="6" max="6" width="8.77734375" style="47" customWidth="1"/>
    <x:col min="7" max="16384" width="8.77734375" style="47" hidden="1"/>
  </x:cols>
  <x:sheetData>
    <x:row r="1" spans="1:9">
      <x:c r="A1" s="45"/>
      <x:c r="B1" s="45"/>
      <x:c r="C1" s="45"/>
      <x:c r="D1" s="45"/>
      <x:c r="E1" s="45"/>
      <x:c r="F1" s="45"/>
    </x:row>
    <x:row r="2" spans="1:9" ht="31.2">
      <x:c r="A2" s="45"/>
      <x:c r="B2" s="93" t="s">
        <x:v>332</x:v>
      </x:c>
      <x:c r="C2" s="93"/>
      <x:c r="D2" s="93"/>
      <x:c r="E2" s="93"/>
      <x:c r="F2" s="45"/>
      <x:c r="G2" s="68"/>
      <x:c r="H2" s="68"/>
      <x:c r="I2" s="68"/>
    </x:row>
    <x:row r="3" spans="1:9">
      <x:c r="A3" s="45"/>
      <x:c r="B3" s="98"/>
      <x:c r="C3" s="98"/>
      <x:c r="D3" s="98"/>
      <x:c r="E3" s="98"/>
      <x:c r="F3" s="45"/>
    </x:row>
    <x:row r="4" spans="1:9">
      <x:c r="A4" s="45"/>
      <x:c r="B4" s="98"/>
      <x:c r="C4" s="98"/>
      <x:c r="D4" s="98"/>
      <x:c r="E4" s="98"/>
      <x:c r="F4" s="45"/>
    </x:row>
    <x:row r="5" spans="1:9">
      <x:c r="A5" s="45"/>
      <x:c r="B5" s="98"/>
      <x:c r="C5" s="98"/>
      <x:c r="D5" s="98"/>
      <x:c r="E5" s="98"/>
      <x:c r="F5" s="45"/>
    </x:row>
    <x:row r="6" spans="1:9">
      <x:c r="A6" s="45"/>
      <x:c r="B6" s="98"/>
      <x:c r="C6" s="98"/>
      <x:c r="D6" s="98"/>
      <x:c r="E6" s="98"/>
      <x:c r="F6" s="45"/>
    </x:row>
    <x:row r="7" spans="1:9">
      <x:c r="A7" s="45"/>
      <x:c r="B7" s="98"/>
      <x:c r="C7" s="98"/>
      <x:c r="D7" s="98"/>
      <x:c r="E7" s="98"/>
      <x:c r="F7" s="45"/>
    </x:row>
    <x:row r="8" spans="1:9">
      <x:c r="A8" s="45"/>
      <x:c r="B8" s="98"/>
      <x:c r="C8" s="98"/>
      <x:c r="D8" s="98"/>
      <x:c r="E8" s="98"/>
      <x:c r="F8" s="45"/>
    </x:row>
    <x:row r="9" spans="1:9" ht="22.2">
      <x:c r="A9" s="45"/>
      <x:c r="B9" s="96" t="str">
        <x:f>FileName</x:f>
        <x:v>MECC Commission Calculator</x:v>
      </x:c>
      <x:c r="C9" s="96"/>
      <x:c r="D9" s="96"/>
      <x:c r="E9" s="96"/>
      <x:c r="F9" s="45"/>
    </x:row>
    <x:row r="10" spans="1:9">
      <x:c r="A10" s="45"/>
      <x:c r="B10" s="45"/>
      <x:c r="C10" s="45"/>
      <x:c r="D10" s="45"/>
      <x:c r="E10" s="45"/>
      <x:c r="F10" s="45"/>
    </x:row>
    <x:row r="11" spans="1:9">
      <x:c r="A11" s="45"/>
      <x:c r="B11" s="99" t="s">
        <x:v>378</x:v>
      </x:c>
      <x:c r="C11" s="100" t="s">
        <x:v>379</x:v>
      </x:c>
      <x:c r="D11" s="101"/>
      <x:c r="E11" s="45"/>
      <x:c r="F11" s="45"/>
    </x:row>
    <x:row r="12" spans="1:9">
      <x:c r="A12" s="45"/>
      <x:c r="B12" s="45"/>
      <x:c r="C12" s="100" t="s">
        <x:v>380</x:v>
      </x:c>
      <x:c r="D12" s="45"/>
      <x:c r="E12" s="45"/>
      <x:c r="F12" s="45"/>
    </x:row>
    <x:row r="13" spans="1:9">
      <x:c r="A13" s="45"/>
      <x:c r="B13" s="45"/>
      <x:c r="C13" s="100"/>
      <x:c r="D13" s="45"/>
      <x:c r="E13" s="45"/>
      <x:c r="F13" s="45"/>
    </x:row>
    <x:row r="14" spans="1:9">
      <x:c r="A14" s="45"/>
      <x:c r="B14" s="99" t="s">
        <x:v>403</x:v>
      </x:c>
      <x:c r="C14" s="100"/>
      <x:c r="D14" s="45"/>
      <x:c r="E14" s="45"/>
      <x:c r="F14" s="45"/>
    </x:row>
    <x:row r="15" spans="1:9">
      <x:c r="A15" s="45"/>
      <x:c r="B15" s="99"/>
      <x:c r="C15" s="100" t="s">
        <x:v>402</x:v>
      </x:c>
      <x:c r="D15" s="45"/>
      <x:c r="E15" s="45"/>
      <x:c r="F15" s="45"/>
    </x:row>
    <x:row r="16" spans="1:9">
      <x:c r="A16" s="45"/>
      <x:c r="B16" s="45"/>
      <x:c r="C16" s="45"/>
      <x:c r="D16" s="45"/>
      <x:c r="E16" s="45"/>
      <x:c r="F16" s="45"/>
    </x:row>
    <x:row r="17" spans="1:6" ht="22.2">
      <x:c r="A17" s="45"/>
      <x:c r="B17" s="96" t="s">
        <x:v>381</x:v>
      </x:c>
      <x:c r="C17" s="96"/>
      <x:c r="D17" s="96"/>
      <x:c r="E17" s="96"/>
      <x:c r="F17" s="45"/>
    </x:row>
    <x:row r="18" spans="1:6">
      <x:c r="A18" s="45"/>
      <x:c r="B18" s="45"/>
      <x:c r="C18" s="45"/>
      <x:c r="D18" s="45"/>
      <x:c r="E18" s="45"/>
      <x:c r="F18" s="45"/>
    </x:row>
    <x:row r="19" spans="1:6">
      <x:c r="A19" s="99">
        <x:v>1</x:v>
      </x:c>
      <x:c r="B19" s="45" t="s">
        <x:v>361</x:v>
      </x:c>
      <x:c r="C19" s="45"/>
      <x:c r="D19" s="45"/>
      <x:c r="E19" s="45"/>
      <x:c r="F19" s="45"/>
    </x:row>
    <x:row r="20" spans="1:6">
      <x:c r="A20" s="99">
        <x:v>2</x:v>
      </x:c>
      <x:c r="B20" s="45" t="s">
        <x:v>118</x:v>
      </x:c>
      <x:c r="C20" s="45"/>
      <x:c r="D20" s="45"/>
      <x:c r="E20" s="45"/>
      <x:c r="F20" s="45"/>
    </x:row>
    <x:row r="21" spans="1:6">
      <x:c r="A21" s="99">
        <x:v>3</x:v>
      </x:c>
      <x:c r="B21" s="45" t="s">
        <x:v>124</x:v>
      </x:c>
      <x:c r="C21" s="45"/>
      <x:c r="D21" s="45"/>
      <x:c r="E21" s="45"/>
      <x:c r="F21" s="45"/>
    </x:row>
    <x:row r="22" spans="1:6">
      <x:c r="A22" s="99">
        <x:v>4</x:v>
      </x:c>
      <x:c r="B22" s="45" t="s">
        <x:v>121</x:v>
      </x:c>
      <x:c r="C22" s="45"/>
      <x:c r="D22" s="45"/>
      <x:c r="E22" s="45"/>
      <x:c r="F22" s="45"/>
    </x:row>
    <x:row r="23" spans="1:6">
      <x:c r="A23" s="99">
        <x:v>5</x:v>
      </x:c>
      <x:c r="B23" s="45" t="str">
        <x:f>"When you complete all "&amp;NumberExercises&amp;" tabs correctly, your total time will be recorded."</x:f>
        <x:v>When you complete all 3 tabs correctly, your total time will be recorded.</x:v>
      </x:c>
      <x:c r="C23" s="45"/>
      <x:c r="D23" s="45"/>
      <x:c r="E23" s="45"/>
      <x:c r="F23" s="45"/>
    </x:row>
    <x:row r="24" spans="1:6">
      <x:c r="A24" s="99">
        <x:v>6</x:v>
      </x:c>
      <x:c r="B24" s="45" t="s">
        <x:v>119</x:v>
      </x:c>
      <x:c r="C24" s="45"/>
      <x:c r="D24" s="45"/>
      <x:c r="E24" s="45"/>
      <x:c r="F24" s="45"/>
    </x:row>
    <x:row r="25" spans="1:6">
      <x:c r="A25" s="99">
        <x:v>7</x:v>
      </x:c>
      <x:c r="B25" s="45" t="s">
        <x:v>120</x:v>
      </x:c>
      <x:c r="C25" s="45"/>
      <x:c r="D25" s="45"/>
      <x:c r="E25" s="45"/>
      <x:c r="F25" s="45"/>
    </x:row>
    <x:row r="26" spans="1:6">
      <x:c r="A26" s="99">
        <x:v>8</x:v>
      </x:c>
      <x:c r="B26" s="45" t="s">
        <x:v>103</x:v>
      </x:c>
      <x:c r="C26" s="45"/>
      <x:c r="D26" s="45"/>
      <x:c r="E26" s="45"/>
      <x:c r="F26" s="45"/>
    </x:row>
    <x:row r="27" spans="1:6">
      <x:c r="A27" s="99">
        <x:v>9</x:v>
      </x:c>
      <x:c r="B27" s="45" t="s">
        <x:v>135</x:v>
      </x:c>
      <x:c r="C27" s="45"/>
      <x:c r="D27" s="45"/>
      <x:c r="E27" s="45"/>
      <x:c r="F27" s="45"/>
    </x:row>
    <x:row r="28" spans="1:6">
      <x:c r="A28" s="99">
        <x:v>10</x:v>
      </x:c>
      <x:c r="B28" s="45" t="s">
        <x:v>137</x:v>
      </x:c>
      <x:c r="C28" s="45"/>
      <x:c r="D28" s="45"/>
      <x:c r="E28" s="45"/>
      <x:c r="F28" s="45"/>
    </x:row>
    <x:row r="29" spans="1:6">
      <x:c r="A29" s="99"/>
      <x:c r="B29" s="45" t="s">
        <x:v>136</x:v>
      </x:c>
      <x:c r="C29" s="45"/>
      <x:c r="D29" s="45"/>
      <x:c r="E29" s="45"/>
      <x:c r="F29" s="45"/>
    </x:row>
    <x:row r="30" spans="1:6">
      <x:c r="A30" s="99">
        <x:v>11</x:v>
      </x:c>
      <x:c r="B30" s="45" t="s">
        <x:v>122</x:v>
      </x:c>
      <x:c r="C30" s="45"/>
      <x:c r="D30" s="45"/>
      <x:c r="E30" s="45"/>
      <x:c r="F30" s="45"/>
    </x:row>
    <x:row r="31" spans="1:6">
      <x:c r="A31" s="99">
        <x:v>12</x:v>
      </x:c>
      <x:c r="B31" s="45" t="s">
        <x:v>123</x:v>
      </x:c>
      <x:c r="C31" s="45"/>
      <x:c r="D31" s="45"/>
      <x:c r="E31" s="45"/>
      <x:c r="F31" s="45"/>
    </x:row>
    <x:row r="32" spans="1:6">
      <x:c r="A32" s="45"/>
      <x:c r="B32" s="45" t="s">
        <x:v>290</x:v>
      </x:c>
      <x:c r="C32" s="45"/>
      <x:c r="D32" s="45"/>
      <x:c r="E32" s="45"/>
      <x:c r="F32" s="45"/>
    </x:row>
    <x:row r="33" spans="1:6">
      <x:c r="A33" s="45"/>
      <x:c r="B33" s="45"/>
      <x:c r="C33" s="45"/>
      <x:c r="D33" s="45"/>
      <x:c r="E33" s="45"/>
      <x:c r="F33" s="45"/>
    </x:row>
    <x:row r="34" spans="1:6">
      <x:c r="A34" s="45"/>
      <x:c r="B34" s="99" t="s">
        <x:v>82</x:v>
      </x:c>
      <x:c r="C34" s="45"/>
      <x:c r="D34" s="45"/>
      <x:c r="E34" s="45"/>
      <x:c r="F34" s="45"/>
    </x:row>
    <x:row r="35" spans="1:6">
      <x:c r="A35" s="99">
        <x:v>1</x:v>
      </x:c>
      <x:c r="B35" s="45" t="s">
        <x:v>83</x:v>
      </x:c>
      <x:c r="C35" s="45"/>
      <x:c r="D35" s="45"/>
      <x:c r="E35" s="45"/>
      <x:c r="F35" s="45"/>
    </x:row>
    <x:row r="36" spans="1:6">
      <x:c r="A36" s="99"/>
      <x:c r="B36" s="45" t="s">
        <x:v>84</x:v>
      </x:c>
      <x:c r="C36" s="45"/>
      <x:c r="D36" s="45"/>
      <x:c r="E36" s="45"/>
      <x:c r="F36" s="45"/>
    </x:row>
    <x:row r="37" spans="1:6">
      <x:c r="A37" s="99">
        <x:v>2</x:v>
      </x:c>
      <x:c r="B37" s="45" t="s">
        <x:v>85</x:v>
      </x:c>
      <x:c r="C37" s="45"/>
      <x:c r="D37" s="45"/>
      <x:c r="E37" s="45"/>
      <x:c r="F37" s="45"/>
    </x:row>
    <x:row r="38" spans="1:6">
      <x:c r="A38" s="99"/>
      <x:c r="B38" s="45" t="s">
        <x:v>86</x:v>
      </x:c>
      <x:c r="C38" s="45"/>
      <x:c r="D38" s="45"/>
      <x:c r="E38" s="45"/>
      <x:c r="F38" s="45"/>
    </x:row>
    <x:row r="39" spans="1:6">
      <x:c r="A39" s="45"/>
      <x:c r="B39" s="45"/>
      <x:c r="C39" s="45"/>
      <x:c r="D39" s="45"/>
      <x:c r="E39" s="45"/>
      <x:c r="F39" s="45"/>
    </x:row>
    <x:row r="40" spans="1:6">
      <x:c r="A40" s="45"/>
      <x:c r="B40" s="45"/>
      <x:c r="C40" s="45"/>
      <x:c r="D40" s="45"/>
      <x:c r="E40" s="45"/>
      <x:c r="F40" s="45"/>
    </x:row>
    <x:row r="41" spans="1:6">
      <x:c r="A41" s="45"/>
      <x:c r="B41" s="45"/>
      <x:c r="C41" s="45"/>
      <x:c r="D41" s="45"/>
      <x:c r="E41" s="45"/>
      <x:c r="F41" s="45"/>
    </x:row>
    <x:row r="42" spans="1:6">
      <x:c r="A42" s="45"/>
      <x:c r="B42" s="45"/>
      <x:c r="C42" s="45"/>
      <x:c r="D42" s="45"/>
      <x:c r="E42" s="45"/>
      <x:c r="F42" s="45"/>
    </x:row>
    <x:row r="43" spans="1:6">
      <x:c r="A43" s="45"/>
      <x:c r="B43" s="45"/>
      <x:c r="C43" s="45"/>
      <x:c r="D43" s="45"/>
      <x:c r="E43" s="45"/>
      <x:c r="F43" s="45"/>
    </x:row>
    <x:row r="44" spans="1:6" hidden="1">
      <x:c r="A44" s="45"/>
      <x:c r="B44" s="45"/>
      <x:c r="C44" s="45"/>
      <x:c r="D44" s="45"/>
      <x:c r="E44" s="45"/>
      <x:c r="F44" s="45"/>
    </x:row>
    <x:row r="45" spans="1:6" hidden="1">
      <x:c r="A45" s="45"/>
      <x:c r="B45" s="45"/>
      <x:c r="C45" s="45"/>
      <x:c r="D45" s="45"/>
      <x:c r="E45" s="45"/>
      <x:c r="F45" s="45"/>
    </x:row>
    <x:row r="46" spans="1:6" hidden="1">
      <x:c r="A46" s="45"/>
      <x:c r="B46" s="45"/>
      <x:c r="C46" s="45"/>
      <x:c r="D46" s="45"/>
      <x:c r="E46" s="45"/>
      <x:c r="F46" s="45"/>
    </x:row>
    <x:row r="47" spans="1:6" hidden="1">
      <x:c r="A47" s="45"/>
      <x:c r="B47" s="45"/>
      <x:c r="C47" s="45"/>
      <x:c r="D47" s="45"/>
      <x:c r="E47" s="45"/>
      <x:c r="F47" s="45"/>
    </x:row>
    <x:row r="48" spans="1:6">
      <x:c r="A48" s="45"/>
      <x:c r="B48" s="45"/>
      <x:c r="C48" s="45"/>
      <x:c r="D48" s="45"/>
      <x:c r="E48" s="45"/>
      <x:c r="F48" s="45"/>
    </x:row>
    <x:row r="49" spans="1:6">
      <x:c r="A49" s="45"/>
      <x:c r="B49" s="45"/>
      <x:c r="C49" s="45"/>
      <x:c r="D49" s="45"/>
      <x:c r="E49" s="45"/>
      <x:c r="F49" s="45"/>
    </x:row>
    <x:row r="50" spans="1:6">
      <x:c r="A50" s="45"/>
      <x:c r="B50" s="45"/>
      <x:c r="C50" s="45"/>
      <x:c r="D50" s="45"/>
      <x:c r="E50" s="45"/>
      <x:c r="F50" s="45"/>
    </x:row>
    <x:row r="51" spans="1:6">
      <x:c r="A51" s="45"/>
      <x:c r="B51" s="45"/>
      <x:c r="C51" s="45"/>
      <x:c r="D51" s="45"/>
      <x:c r="E51" s="45"/>
      <x:c r="F51" s="45"/>
    </x:row>
    <x:row r="52" spans="1:6">
      <x:c r="A52" s="45"/>
      <x:c r="B52" s="45"/>
      <x:c r="C52" s="45"/>
      <x:c r="D52" s="45"/>
      <x:c r="E52" s="45"/>
      <x:c r="F52" s="45"/>
    </x:row>
    <x:row r="53" spans="1:6">
      <x:c r="A53" s="45"/>
      <x:c r="B53" s="45"/>
      <x:c r="C53" s="45"/>
      <x:c r="D53" s="45"/>
      <x:c r="E53" s="45"/>
      <x:c r="F53" s="45"/>
    </x:row>
    <x:row r="54" spans="1:6">
      <x:c r="A54" s="45"/>
      <x:c r="B54" s="45"/>
      <x:c r="C54" s="45"/>
      <x:c r="D54" s="45"/>
      <x:c r="E54" s="45"/>
      <x:c r="F54" s="45"/>
    </x:row>
    <x:row r="55" spans="1:6">
      <x:c r="A55" s="45"/>
      <x:c r="B55" s="45"/>
      <x:c r="C55" s="45"/>
      <x:c r="D55" s="45"/>
      <x:c r="E55" s="45"/>
      <x:c r="F55" s="45"/>
    </x:row>
    <x:row r="56" spans="1:6">
      <x:c r="A56" s="45"/>
      <x:c r="B56" s="45"/>
      <x:c r="C56" s="45"/>
      <x:c r="D56" s="45"/>
      <x:c r="E56" s="45"/>
      <x:c r="F56" s="45"/>
    </x:row>
    <x:row r="57" spans="1:6">
      <x:c r="A57" s="45"/>
      <x:c r="B57" s="45"/>
      <x:c r="C57" s="45"/>
      <x:c r="D57" s="45"/>
      <x:c r="E57" s="45"/>
      <x:c r="F57" s="45"/>
    </x:row>
    <x:row r="58" spans="1:6">
      <x:c r="A58" s="45"/>
      <x:c r="B58" s="45"/>
      <x:c r="C58" s="45"/>
      <x:c r="D58" s="45"/>
      <x:c r="E58" s="45"/>
      <x:c r="F58" s="45"/>
    </x:row>
    <x:row r="59" spans="1:6">
      <x:c r="A59" s="45"/>
      <x:c r="B59" s="45"/>
      <x:c r="C59" s="45"/>
      <x:c r="D59" s="45"/>
      <x:c r="E59" s="45"/>
      <x:c r="F59" s="45"/>
    </x:row>
    <x:row r="60" spans="1:6">
      <x:c r="A60" s="45"/>
      <x:c r="B60" s="45"/>
      <x:c r="C60" s="45"/>
      <x:c r="D60" s="45"/>
      <x:c r="E60" s="45"/>
      <x:c r="F60" s="45"/>
    </x:row>
    <x:row r="61" spans="1:6">
      <x:c r="A61" s="45"/>
      <x:c r="B61" s="45"/>
      <x:c r="C61" s="45"/>
      <x:c r="D61" s="45"/>
      <x:c r="E61" s="45"/>
      <x:c r="F61" s="45"/>
    </x:row>
    <x:row r="62" spans="1:6">
      <x:c r="A62" s="45"/>
      <x:c r="B62" s="45"/>
      <x:c r="C62" s="45"/>
      <x:c r="D62" s="45"/>
      <x:c r="E62" s="45"/>
      <x:c r="F62" s="45"/>
    </x:row>
    <x:row r="63" spans="1:6"/>
    <x:row r="64" spans="1:6"/>
    <x:row r="65"/>
    <x:row r="66"/>
    <x:row r="1000">
      <x:c r="XX1000" s="110" t="n">
        <x:v>125713</x:v>
      </x:c>
    </x:row>
  </x:sheetData>
  <x:sheetProtection algorithmName="SHA-512" hashValue="oKz4SFnlYerHMQiyODrR4GIjZt/huYuUUjJ6LiKzFB12exBwM/qONDqc8uIjLfuuGfK1nIDaa6NCfQHehWh2hQ==" saltValue="d0PzDb3Zw+Z2JMxKMa7ILA==" spinCount="100000" sheet="1" objects="1" scenarios="1"/>
  <x:hyperlinks>
    <x:hyperlink ref="C11" r:id="rId1" display="Case Authors: David Brown" xr:uid="{0C2E3BD7-BF67-404A-BD86-04881F781EFB}"/>
    <x:hyperlink ref="C12" r:id="rId2" xr:uid="{28DEF857-BE2F-4968-B610-F7DD9EB7A1C4}"/>
    <x:hyperlink ref="C15" r:id="rId3" xr:uid="{81358F8F-A183-4D74-A151-B1CDFE0A8EF2}"/>
  </x:hyperlinks>
  <x:pageMargins left="0.7" right="0.7" top="0.75" bottom="0.75" header="0.3" footer="0.3"/>
  <x:pageSetup orientation="portrait" r:id="rId4"/>
  <x:drawing r:id="rId5"/>
</x:worksheet>
</file>

<file path=xl/worksheets/sheet2.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EE65B5A9-FB61-4218-83FD-89A20787ADB4}" mc:Ignorable="x14ac xr xr2 xr3">
  <x:sheetPr codeName="Sheet8">
    <x:tabColor rgb="FFFF0000"/>
  </x:sheetPr>
  <x:dimension ref="A1:V42"/>
  <x:sheetViews>
    <x:sheetView zoomScale="85" zoomScaleNormal="85" workbookViewId="0"/>
  </x:sheetViews>
  <x:sheetFormatPr defaultColWidth="0" defaultRowHeight="14.4" zeroHeight="1"/>
  <x:cols>
    <x:col min="1" max="17" width="8.77734375" style="4" customWidth="1"/>
    <x:col min="18" max="18" width="23.6640625" style="4" customWidth="1"/>
    <x:col min="19" max="19" width="20.33203125" style="4" customWidth="1"/>
    <x:col min="20" max="20" width="8.77734375" style="4" customWidth="1"/>
    <x:col min="21" max="16384" width="0" style="4" hidden="1"/>
  </x:cols>
  <x:sheetData>
    <x:row r="1" spans="1:22">
      <x:c r="A1" s="69"/>
      <x:c r="B1" s="69"/>
      <x:c r="C1" s="69"/>
      <x:c r="D1" s="69"/>
      <x:c r="E1" s="69"/>
      <x:c r="F1" s="69"/>
      <x:c r="G1" s="69"/>
      <x:c r="H1" s="69"/>
      <x:c r="I1" s="69"/>
      <x:c r="J1" s="69"/>
      <x:c r="K1" s="69"/>
      <x:c r="L1" s="69"/>
      <x:c r="M1" s="69"/>
      <x:c r="N1" s="69"/>
      <x:c r="O1" s="69"/>
      <x:c r="P1" s="69"/>
      <x:c r="Q1" s="69"/>
      <x:c r="R1" s="69"/>
      <x:c r="S1" s="69"/>
      <x:c r="T1" s="69"/>
      <x:c r="U1" s="69"/>
      <x:c r="V1" s="69"/>
    </x:row>
    <x:row r="2" spans="1:22" ht="31.2">
      <x:c r="A2" s="69"/>
      <x:c r="B2" s="68" t="s">
        <x:v>332</x:v>
      </x:c>
      <x:c r="C2" s="68"/>
      <x:c r="D2" s="68"/>
      <x:c r="E2" s="68"/>
      <x:c r="F2" s="68"/>
      <x:c r="G2" s="68"/>
      <x:c r="H2" s="68"/>
      <x:c r="I2" s="68"/>
      <x:c r="J2" s="68"/>
      <x:c r="K2" s="68"/>
      <x:c r="L2" s="68"/>
      <x:c r="M2" s="68"/>
      <x:c r="N2" s="68"/>
      <x:c r="O2" s="68"/>
      <x:c r="P2" s="68"/>
      <x:c r="Q2" s="69"/>
      <x:c r="R2" s="69"/>
      <x:c r="S2" s="69"/>
      <x:c r="T2" s="69"/>
      <x:c r="U2" s="69"/>
      <x:c r="V2" s="69"/>
    </x:row>
    <x:row r="3" spans="1:22">
      <x:c r="A3" s="69"/>
      <x:c r="B3" s="69"/>
      <x:c r="C3" s="69"/>
      <x:c r="D3" s="69"/>
      <x:c r="E3" s="69"/>
      <x:c r="F3" s="69"/>
      <x:c r="G3" s="69"/>
      <x:c r="H3" s="69"/>
      <x:c r="I3" s="69"/>
      <x:c r="J3" s="69"/>
      <x:c r="K3" s="69"/>
      <x:c r="L3" s="69"/>
      <x:c r="M3" s="69"/>
      <x:c r="N3" s="69"/>
      <x:c r="O3" s="69"/>
      <x:c r="P3" s="69"/>
      <x:c r="Q3" s="69"/>
      <x:c r="R3" s="47"/>
      <x:c r="S3" s="47"/>
      <x:c r="T3" s="69"/>
      <x:c r="U3" s="69"/>
      <x:c r="V3" s="69"/>
    </x:row>
    <x:row r="4" spans="1:22">
      <x:c r="A4" s="69"/>
      <x:c r="B4" s="69"/>
      <x:c r="C4" s="69"/>
      <x:c r="D4" s="69"/>
      <x:c r="E4" s="69"/>
      <x:c r="F4" s="69"/>
      <x:c r="G4" s="69"/>
      <x:c r="H4" s="69"/>
      <x:c r="I4" s="69"/>
      <x:c r="J4" s="69"/>
      <x:c r="K4" s="69"/>
      <x:c r="L4" s="69"/>
      <x:c r="M4" s="69"/>
      <x:c r="N4" s="69"/>
      <x:c r="O4" s="69"/>
      <x:c r="P4" s="71"/>
      <x:c r="Q4" s="69"/>
      <x:c r="R4" s="47"/>
      <x:c r="S4" s="47"/>
      <x:c r="T4" s="69"/>
    </x:row>
    <x:row r="5" spans="1:22" ht="22.2">
      <x:c r="A5" s="69"/>
      <x:c r="B5" s="70" t="s">
        <x:v>398</x:v>
      </x:c>
      <x:c r="C5" s="70"/>
      <x:c r="D5" s="70"/>
      <x:c r="E5" s="70"/>
      <x:c r="F5" s="70"/>
      <x:c r="G5" s="70"/>
      <x:c r="H5" s="70"/>
      <x:c r="I5" s="70"/>
      <x:c r="J5" s="70"/>
      <x:c r="K5" s="70"/>
      <x:c r="L5" s="70"/>
      <x:c r="M5" s="70"/>
      <x:c r="N5" s="70"/>
      <x:c r="O5" s="70"/>
      <x:c r="P5" s="70"/>
      <x:c r="Q5" s="69"/>
      <x:c r="R5" s="47"/>
      <x:c r="S5" s="47"/>
      <x:c r="T5" s="69"/>
    </x:row>
    <x:row r="6" spans="1:22" ht="14.55" customHeight="1">
      <x:c r="A6" s="69"/>
      <x:c r="B6" s="104" t="s">
        <x:v>360</x:v>
      </x:c>
      <x:c r="C6" s="104"/>
      <x:c r="D6" s="104"/>
      <x:c r="E6" s="104"/>
      <x:c r="F6" s="104"/>
      <x:c r="G6" s="104"/>
      <x:c r="H6" s="104"/>
      <x:c r="I6" s="104"/>
      <x:c r="J6" s="104"/>
      <x:c r="K6" s="104"/>
      <x:c r="L6" s="104"/>
      <x:c r="M6" s="104"/>
      <x:c r="N6" s="104"/>
      <x:c r="O6" s="104"/>
      <x:c r="P6" s="104"/>
      <x:c r="Q6" s="69"/>
      <x:c r="R6" s="72" t="s">
        <x:v>246</x:v>
      </x:c>
      <x:c r="S6" s="69"/>
      <x:c r="T6" s="69"/>
    </x:row>
    <x:row r="7" spans="1:22" ht="14.55" customHeight="1">
      <x:c r="A7" s="69"/>
      <x:c r="B7" s="105"/>
      <x:c r="C7" s="105"/>
      <x:c r="D7" s="105"/>
      <x:c r="E7" s="105"/>
      <x:c r="F7" s="105"/>
      <x:c r="G7" s="105"/>
      <x:c r="H7" s="105"/>
      <x:c r="I7" s="105"/>
      <x:c r="J7" s="105"/>
      <x:c r="K7" s="105"/>
      <x:c r="L7" s="105"/>
      <x:c r="M7" s="105"/>
      <x:c r="N7" s="105"/>
      <x:c r="O7" s="105"/>
      <x:c r="P7" s="105"/>
      <x:c r="Q7" s="69"/>
      <x:c r="R7" s="73" t="s">
        <x:v>243</x:v>
      </x:c>
      <x:c r="S7" s="73" t="s">
        <x:v>247</x:v>
      </x:c>
      <x:c r="T7" s="69"/>
    </x:row>
    <x:row r="8" spans="1:22" ht="14.55" customHeight="1">
      <x:c r="A8" s="69"/>
      <x:c r="B8" s="105"/>
      <x:c r="C8" s="105"/>
      <x:c r="D8" s="105"/>
      <x:c r="E8" s="105"/>
      <x:c r="F8" s="105"/>
      <x:c r="G8" s="105"/>
      <x:c r="H8" s="105"/>
      <x:c r="I8" s="105"/>
      <x:c r="J8" s="105"/>
      <x:c r="K8" s="105"/>
      <x:c r="L8" s="105"/>
      <x:c r="M8" s="105"/>
      <x:c r="N8" s="105"/>
      <x:c r="O8" s="105"/>
      <x:c r="P8" s="105"/>
      <x:c r="Q8" s="69"/>
      <x:c r="R8" s="74">
        <x:v>100000</x:v>
      </x:c>
      <x:c r="S8" s="74" t="s">
        <x:v>359</x:v>
      </x:c>
      <x:c r="T8" s="69"/>
    </x:row>
    <x:row r="9" spans="1:22" ht="14.55" customHeight="1">
      <x:c r="A9" s="69"/>
      <x:c r="B9" s="105"/>
      <x:c r="C9" s="105"/>
      <x:c r="D9" s="105"/>
      <x:c r="E9" s="105"/>
      <x:c r="F9" s="105"/>
      <x:c r="G9" s="105"/>
      <x:c r="H9" s="105"/>
      <x:c r="I9" s="105"/>
      <x:c r="J9" s="105"/>
      <x:c r="K9" s="105"/>
      <x:c r="L9" s="105"/>
      <x:c r="M9" s="105"/>
      <x:c r="N9" s="105"/>
      <x:c r="O9" s="105"/>
      <x:c r="P9" s="105"/>
      <x:c r="Q9" s="69"/>
      <x:c r="R9" s="72" t="s">
        <x:v>236</x:v>
      </x:c>
      <x:c r="S9" s="69"/>
      <x:c r="T9" s="69"/>
    </x:row>
    <x:row r="10" spans="1:22" ht="14.55" customHeight="1">
      <x:c r="A10" s="69"/>
      <x:c r="B10" s="105"/>
      <x:c r="C10" s="105"/>
      <x:c r="D10" s="105"/>
      <x:c r="E10" s="105"/>
      <x:c r="F10" s="105"/>
      <x:c r="G10" s="105"/>
      <x:c r="H10" s="105"/>
      <x:c r="I10" s="105"/>
      <x:c r="J10" s="105"/>
      <x:c r="K10" s="105"/>
      <x:c r="L10" s="105"/>
      <x:c r="M10" s="105"/>
      <x:c r="N10" s="105"/>
      <x:c r="O10" s="105"/>
      <x:c r="P10" s="105"/>
      <x:c r="Q10" s="69"/>
      <x:c r="R10" s="73" t="s">
        <x:v>330</x:v>
      </x:c>
      <x:c r="S10" s="73" t="s">
        <x:v>237</x:v>
      </x:c>
      <x:c r="T10" s="47"/>
    </x:row>
    <x:row r="11" spans="1:22" ht="14.55" customHeight="1">
      <x:c r="A11" s="69"/>
      <x:c r="B11" s="105"/>
      <x:c r="C11" s="105"/>
      <x:c r="D11" s="105"/>
      <x:c r="E11" s="105"/>
      <x:c r="F11" s="105"/>
      <x:c r="G11" s="105"/>
      <x:c r="H11" s="105"/>
      <x:c r="I11" s="105"/>
      <x:c r="J11" s="105"/>
      <x:c r="K11" s="105"/>
      <x:c r="L11" s="105"/>
      <x:c r="M11" s="105"/>
      <x:c r="N11" s="105"/>
      <x:c r="O11" s="105"/>
      <x:c r="P11" s="105"/>
      <x:c r="Q11" s="69"/>
      <x:c r="R11" s="75">
        <x:v>0.5</x:v>
      </x:c>
      <x:c r="S11" s="76">
        <x:v>0.1</x:v>
      </x:c>
      <x:c r="T11" s="47"/>
    </x:row>
    <x:row r="12" spans="1:22" ht="14.55" customHeight="1">
      <x:c r="A12" s="69"/>
      <x:c r="B12" s="105"/>
      <x:c r="C12" s="105"/>
      <x:c r="D12" s="105"/>
      <x:c r="E12" s="105"/>
      <x:c r="F12" s="105"/>
      <x:c r="G12" s="105"/>
      <x:c r="H12" s="105"/>
      <x:c r="I12" s="105"/>
      <x:c r="J12" s="105"/>
      <x:c r="K12" s="105"/>
      <x:c r="L12" s="105"/>
      <x:c r="M12" s="105"/>
      <x:c r="N12" s="105"/>
      <x:c r="O12" s="105"/>
      <x:c r="P12" s="105"/>
      <x:c r="Q12" s="69"/>
      <x:c r="R12" s="75">
        <x:v>1</x:v>
      </x:c>
      <x:c r="S12" s="76">
        <x:v>0.15</x:v>
      </x:c>
      <x:c r="T12" s="47"/>
    </x:row>
    <x:row r="13" spans="1:22" ht="14.55" customHeight="1">
      <x:c r="A13" s="69"/>
      <x:c r="B13" s="105"/>
      <x:c r="C13" s="105"/>
      <x:c r="D13" s="105"/>
      <x:c r="E13" s="105"/>
      <x:c r="F13" s="105"/>
      <x:c r="G13" s="105"/>
      <x:c r="H13" s="105"/>
      <x:c r="I13" s="105"/>
      <x:c r="J13" s="105"/>
      <x:c r="K13" s="105"/>
      <x:c r="L13" s="105"/>
      <x:c r="M13" s="105"/>
      <x:c r="N13" s="105"/>
      <x:c r="O13" s="105"/>
      <x:c r="P13" s="105"/>
      <x:c r="Q13" s="69"/>
      <x:c r="R13" s="75">
        <x:v>1.2</x:v>
      </x:c>
      <x:c r="S13" s="76">
        <x:v>0.2</x:v>
      </x:c>
      <x:c r="T13" s="47"/>
    </x:row>
    <x:row r="14" spans="1:22" ht="14.55" customHeight="1">
      <x:c r="A14" s="69"/>
      <x:c r="B14" s="105"/>
      <x:c r="C14" s="105"/>
      <x:c r="D14" s="105"/>
      <x:c r="E14" s="105"/>
      <x:c r="F14" s="105"/>
      <x:c r="G14" s="105"/>
      <x:c r="H14" s="105"/>
      <x:c r="I14" s="105"/>
      <x:c r="J14" s="105"/>
      <x:c r="K14" s="105"/>
      <x:c r="L14" s="105"/>
      <x:c r="M14" s="105"/>
      <x:c r="N14" s="105"/>
      <x:c r="O14" s="105"/>
      <x:c r="P14" s="105"/>
      <x:c r="Q14" s="69"/>
      <x:c r="R14" s="75">
        <x:v>5</x:v>
      </x:c>
      <x:c r="S14" s="76">
        <x:v>0.3</x:v>
      </x:c>
      <x:c r="T14" s="47"/>
    </x:row>
    <x:row r="15" spans="1:22" ht="14.55" customHeight="1">
      <x:c r="A15" s="69"/>
      <x:c r="B15" s="105"/>
      <x:c r="C15" s="105"/>
      <x:c r="D15" s="105"/>
      <x:c r="E15" s="105"/>
      <x:c r="F15" s="105"/>
      <x:c r="G15" s="105"/>
      <x:c r="H15" s="105"/>
      <x:c r="I15" s="105"/>
      <x:c r="J15" s="105"/>
      <x:c r="K15" s="105"/>
      <x:c r="L15" s="105"/>
      <x:c r="M15" s="105"/>
      <x:c r="N15" s="105"/>
      <x:c r="O15" s="105"/>
      <x:c r="P15" s="105"/>
      <x:c r="Q15" s="69"/>
      <x:c r="R15" s="72" t="s">
        <x:v>238</x:v>
      </x:c>
      <x:c r="S15" s="73"/>
      <x:c r="T15" s="47"/>
    </x:row>
    <x:row r="16" spans="1:22" ht="14.55" customHeight="1">
      <x:c r="A16" s="69"/>
      <x:c r="B16" s="105"/>
      <x:c r="C16" s="105"/>
      <x:c r="D16" s="105"/>
      <x:c r="E16" s="105"/>
      <x:c r="F16" s="105"/>
      <x:c r="G16" s="105"/>
      <x:c r="H16" s="105"/>
      <x:c r="I16" s="105"/>
      <x:c r="J16" s="105"/>
      <x:c r="K16" s="105"/>
      <x:c r="L16" s="105"/>
      <x:c r="M16" s="105"/>
      <x:c r="N16" s="105"/>
      <x:c r="O16" s="105"/>
      <x:c r="P16" s="105"/>
      <x:c r="Q16" s="69"/>
      <x:c r="R16" s="73" t="s">
        <x:v>330</x:v>
      </x:c>
      <x:c r="S16" s="73" t="s">
        <x:v>237</x:v>
      </x:c>
      <x:c r="T16" s="47"/>
    </x:row>
    <x:row r="17" spans="1:20" ht="14.55" customHeight="1">
      <x:c r="A17" s="69"/>
      <x:c r="B17" s="105"/>
      <x:c r="C17" s="105"/>
      <x:c r="D17" s="105"/>
      <x:c r="E17" s="105"/>
      <x:c r="F17" s="105"/>
      <x:c r="G17" s="105"/>
      <x:c r="H17" s="105"/>
      <x:c r="I17" s="105"/>
      <x:c r="J17" s="105"/>
      <x:c r="K17" s="105"/>
      <x:c r="L17" s="105"/>
      <x:c r="M17" s="105"/>
      <x:c r="N17" s="105"/>
      <x:c r="O17" s="105"/>
      <x:c r="P17" s="105"/>
      <x:c r="Q17" s="69"/>
      <x:c r="R17" s="75">
        <x:v>0.1</x:v>
      </x:c>
      <x:c r="S17" s="76">
        <x:v>0.01</x:v>
      </x:c>
      <x:c r="T17" s="47"/>
    </x:row>
    <x:row r="18" spans="1:20" ht="14.55" customHeight="1">
      <x:c r="A18" s="69"/>
      <x:c r="B18" s="105"/>
      <x:c r="C18" s="105"/>
      <x:c r="D18" s="105"/>
      <x:c r="E18" s="105"/>
      <x:c r="F18" s="105"/>
      <x:c r="G18" s="105"/>
      <x:c r="H18" s="105"/>
      <x:c r="I18" s="105"/>
      <x:c r="J18" s="105"/>
      <x:c r="K18" s="105"/>
      <x:c r="L18" s="105"/>
      <x:c r="M18" s="105"/>
      <x:c r="N18" s="105"/>
      <x:c r="O18" s="105"/>
      <x:c r="P18" s="105"/>
      <x:c r="Q18" s="69"/>
      <x:c r="R18" s="75">
        <x:v>0.2</x:v>
      </x:c>
      <x:c r="S18" s="76">
        <x:v>0.06</x:v>
      </x:c>
      <x:c r="T18" s="47"/>
    </x:row>
    <x:row r="19" spans="1:20" ht="14.55" customHeight="1">
      <x:c r="A19" s="69"/>
      <x:c r="B19" s="105"/>
      <x:c r="C19" s="105"/>
      <x:c r="D19" s="105"/>
      <x:c r="E19" s="105"/>
      <x:c r="F19" s="105"/>
      <x:c r="G19" s="105"/>
      <x:c r="H19" s="105"/>
      <x:c r="I19" s="105"/>
      <x:c r="J19" s="105"/>
      <x:c r="K19" s="105"/>
      <x:c r="L19" s="105"/>
      <x:c r="M19" s="105"/>
      <x:c r="N19" s="105"/>
      <x:c r="O19" s="105"/>
      <x:c r="P19" s="105"/>
      <x:c r="Q19" s="69"/>
      <x:c r="R19" s="75">
        <x:v>0.35</x:v>
      </x:c>
      <x:c r="S19" s="76">
        <x:v>0.08</x:v>
      </x:c>
      <x:c r="T19" s="47"/>
    </x:row>
    <x:row r="20" spans="1:20" ht="14.55" customHeight="1">
      <x:c r="A20" s="47"/>
      <x:c r="B20" s="105"/>
      <x:c r="C20" s="105"/>
      <x:c r="D20" s="105"/>
      <x:c r="E20" s="105"/>
      <x:c r="F20" s="105"/>
      <x:c r="G20" s="105"/>
      <x:c r="H20" s="105"/>
      <x:c r="I20" s="105"/>
      <x:c r="J20" s="105"/>
      <x:c r="K20" s="105"/>
      <x:c r="L20" s="105"/>
      <x:c r="M20" s="105"/>
      <x:c r="N20" s="105"/>
      <x:c r="O20" s="105"/>
      <x:c r="P20" s="105"/>
      <x:c r="Q20" s="69"/>
      <x:c r="R20" s="75">
        <x:v>0.5</x:v>
      </x:c>
      <x:c r="S20" s="76">
        <x:v>0.14000000000000001</x:v>
      </x:c>
      <x:c r="T20" s="47"/>
    </x:row>
    <x:row r="21" spans="1:20" ht="14.55" customHeight="1">
      <x:c r="A21" s="69"/>
      <x:c r="B21" s="105"/>
      <x:c r="C21" s="105"/>
      <x:c r="D21" s="105"/>
      <x:c r="E21" s="105"/>
      <x:c r="F21" s="105"/>
      <x:c r="G21" s="105"/>
      <x:c r="H21" s="105"/>
      <x:c r="I21" s="105"/>
      <x:c r="J21" s="105"/>
      <x:c r="K21" s="105"/>
      <x:c r="L21" s="105"/>
      <x:c r="M21" s="105"/>
      <x:c r="N21" s="105"/>
      <x:c r="O21" s="105"/>
      <x:c r="P21" s="105"/>
      <x:c r="Q21" s="69"/>
      <x:c r="R21" s="75">
        <x:v>1</x:v>
      </x:c>
      <x:c r="S21" s="76">
        <x:v>0.16</x:v>
      </x:c>
      <x:c r="T21" s="47"/>
    </x:row>
    <x:row r="22" spans="1:20" ht="14.55" customHeight="1">
      <x:c r="A22" s="69"/>
      <x:c r="B22" s="105"/>
      <x:c r="C22" s="105"/>
      <x:c r="D22" s="105"/>
      <x:c r="E22" s="105"/>
      <x:c r="F22" s="105"/>
      <x:c r="G22" s="105"/>
      <x:c r="H22" s="105"/>
      <x:c r="I22" s="105"/>
      <x:c r="J22" s="105"/>
      <x:c r="K22" s="105"/>
      <x:c r="L22" s="105"/>
      <x:c r="M22" s="105"/>
      <x:c r="N22" s="105"/>
      <x:c r="O22" s="105"/>
      <x:c r="P22" s="105"/>
      <x:c r="Q22" s="69"/>
      <x:c r="R22" s="72" t="s">
        <x:v>239</x:v>
      </x:c>
      <x:c r="S22" s="73"/>
      <x:c r="T22" s="47"/>
    </x:row>
    <x:row r="23" spans="1:20">
      <x:c r="A23" s="69"/>
      <x:c r="B23" s="105"/>
      <x:c r="C23" s="105"/>
      <x:c r="D23" s="105"/>
      <x:c r="E23" s="105"/>
      <x:c r="F23" s="105"/>
      <x:c r="G23" s="105"/>
      <x:c r="H23" s="105"/>
      <x:c r="I23" s="105"/>
      <x:c r="J23" s="105"/>
      <x:c r="K23" s="105"/>
      <x:c r="L23" s="105"/>
      <x:c r="M23" s="105"/>
      <x:c r="N23" s="105"/>
      <x:c r="O23" s="105"/>
      <x:c r="P23" s="105"/>
      <x:c r="Q23" s="69"/>
      <x:c r="R23" s="73" t="s">
        <x:v>331</x:v>
      </x:c>
      <x:c r="S23" s="73" t="s">
        <x:v>241</x:v>
      </x:c>
      <x:c r="T23" s="47"/>
    </x:row>
    <x:row r="24" spans="1:20">
      <x:c r="A24" s="69"/>
      <x:c r="B24" s="105"/>
      <x:c r="C24" s="105"/>
      <x:c r="D24" s="105"/>
      <x:c r="E24" s="105"/>
      <x:c r="F24" s="105"/>
      <x:c r="G24" s="105"/>
      <x:c r="H24" s="105"/>
      <x:c r="I24" s="105"/>
      <x:c r="J24" s="105"/>
      <x:c r="K24" s="105"/>
      <x:c r="L24" s="105"/>
      <x:c r="M24" s="105"/>
      <x:c r="N24" s="105"/>
      <x:c r="O24" s="105"/>
      <x:c r="P24" s="105"/>
      <x:c r="Q24" s="69"/>
      <x:c r="R24" s="75">
        <x:v>0</x:v>
      </x:c>
      <x:c r="S24" s="74">
        <x:v>0</x:v>
      </x:c>
      <x:c r="T24" s="47"/>
    </x:row>
    <x:row r="25" spans="1:20">
      <x:c r="A25" s="69"/>
      <x:c r="B25" s="105"/>
      <x:c r="C25" s="105"/>
      <x:c r="D25" s="105"/>
      <x:c r="E25" s="105"/>
      <x:c r="F25" s="105"/>
      <x:c r="G25" s="105"/>
      <x:c r="H25" s="105"/>
      <x:c r="I25" s="105"/>
      <x:c r="J25" s="105"/>
      <x:c r="K25" s="105"/>
      <x:c r="L25" s="105"/>
      <x:c r="M25" s="105"/>
      <x:c r="N25" s="105"/>
      <x:c r="O25" s="105"/>
      <x:c r="P25" s="105"/>
      <x:c r="Q25" s="69"/>
      <x:c r="R25" s="75">
        <x:v>1</x:v>
      </x:c>
      <x:c r="S25" s="74">
        <x:v>2000</x:v>
      </x:c>
      <x:c r="T25" s="47"/>
    </x:row>
    <x:row r="26" spans="1:20">
      <x:c r="A26" s="69"/>
      <x:c r="B26" s="105"/>
      <x:c r="C26" s="105"/>
      <x:c r="D26" s="105"/>
      <x:c r="E26" s="105"/>
      <x:c r="F26" s="105"/>
      <x:c r="G26" s="105"/>
      <x:c r="H26" s="105"/>
      <x:c r="I26" s="105"/>
      <x:c r="J26" s="105"/>
      <x:c r="K26" s="105"/>
      <x:c r="L26" s="105"/>
      <x:c r="M26" s="105"/>
      <x:c r="N26" s="105"/>
      <x:c r="O26" s="105"/>
      <x:c r="P26" s="105"/>
      <x:c r="Q26" s="69"/>
      <x:c r="R26" s="75">
        <x:v>1.25</x:v>
      </x:c>
      <x:c r="S26" s="74">
        <x:v>4000</x:v>
      </x:c>
      <x:c r="T26" s="47"/>
    </x:row>
    <x:row r="27" spans="1:20">
      <x:c r="A27" s="69"/>
      <x:c r="B27" s="105"/>
      <x:c r="C27" s="105"/>
      <x:c r="D27" s="105"/>
      <x:c r="E27" s="105"/>
      <x:c r="F27" s="105"/>
      <x:c r="G27" s="105"/>
      <x:c r="H27" s="105"/>
      <x:c r="I27" s="105"/>
      <x:c r="J27" s="105"/>
      <x:c r="K27" s="105"/>
      <x:c r="L27" s="105"/>
      <x:c r="M27" s="105"/>
      <x:c r="N27" s="105"/>
      <x:c r="O27" s="105"/>
      <x:c r="P27" s="105"/>
      <x:c r="Q27" s="69"/>
      <x:c r="R27" s="75">
        <x:v>1.5</x:v>
      </x:c>
      <x:c r="S27" s="74">
        <x:v>6000</x:v>
      </x:c>
      <x:c r="T27" s="47"/>
    </x:row>
    <x:row r="28" spans="1:20">
      <x:c r="A28" s="69"/>
      <x:c r="B28" s="105"/>
      <x:c r="C28" s="105"/>
      <x:c r="D28" s="105"/>
      <x:c r="E28" s="105"/>
      <x:c r="F28" s="105"/>
      <x:c r="G28" s="105"/>
      <x:c r="H28" s="105"/>
      <x:c r="I28" s="105"/>
      <x:c r="J28" s="105"/>
      <x:c r="K28" s="105"/>
      <x:c r="L28" s="105"/>
      <x:c r="M28" s="105"/>
      <x:c r="N28" s="105"/>
      <x:c r="O28" s="105"/>
      <x:c r="P28" s="105"/>
      <x:c r="Q28" s="69"/>
      <x:c r="R28" s="72" t="s">
        <x:v>240</x:v>
      </x:c>
      <x:c r="S28" s="73"/>
      <x:c r="T28" s="47"/>
    </x:row>
    <x:row r="29" spans="1:20">
      <x:c r="A29" s="69"/>
      <x:c r="B29" s="105"/>
      <x:c r="C29" s="105"/>
      <x:c r="D29" s="105"/>
      <x:c r="E29" s="105"/>
      <x:c r="F29" s="105"/>
      <x:c r="G29" s="105"/>
      <x:c r="H29" s="105"/>
      <x:c r="I29" s="105"/>
      <x:c r="J29" s="105"/>
      <x:c r="K29" s="105"/>
      <x:c r="L29" s="105"/>
      <x:c r="M29" s="105"/>
      <x:c r="N29" s="105"/>
      <x:c r="O29" s="105"/>
      <x:c r="P29" s="105"/>
      <x:c r="Q29" s="69"/>
      <x:c r="R29" s="73" t="s">
        <x:v>329</x:v>
      </x:c>
      <x:c r="S29" s="73" t="s">
        <x:v>241</x:v>
      </x:c>
      <x:c r="T29" s="47"/>
    </x:row>
    <x:row r="30" spans="1:20">
      <x:c r="A30" s="47"/>
      <x:c r="B30" s="105"/>
      <x:c r="C30" s="105"/>
      <x:c r="D30" s="105"/>
      <x:c r="E30" s="105"/>
      <x:c r="F30" s="105"/>
      <x:c r="G30" s="105"/>
      <x:c r="H30" s="105"/>
      <x:c r="I30" s="105"/>
      <x:c r="J30" s="105"/>
      <x:c r="K30" s="105"/>
      <x:c r="L30" s="105"/>
      <x:c r="M30" s="105"/>
      <x:c r="N30" s="105"/>
      <x:c r="O30" s="105"/>
      <x:c r="P30" s="105"/>
      <x:c r="Q30" s="69"/>
      <x:c r="R30" s="75">
        <x:v>0</x:v>
      </x:c>
      <x:c r="S30" s="74">
        <x:v>0</x:v>
      </x:c>
      <x:c r="T30" s="47"/>
    </x:row>
    <x:row r="31" spans="1:20">
      <x:c r="A31" s="47"/>
      <x:c r="B31" s="105"/>
      <x:c r="C31" s="105"/>
      <x:c r="D31" s="105"/>
      <x:c r="E31" s="105"/>
      <x:c r="F31" s="105"/>
      <x:c r="G31" s="105"/>
      <x:c r="H31" s="105"/>
      <x:c r="I31" s="105"/>
      <x:c r="J31" s="105"/>
      <x:c r="K31" s="105"/>
      <x:c r="L31" s="105"/>
      <x:c r="M31" s="105"/>
      <x:c r="N31" s="105"/>
      <x:c r="O31" s="105"/>
      <x:c r="P31" s="105"/>
      <x:c r="Q31" s="69"/>
      <x:c r="R31" s="75">
        <x:v>0.35</x:v>
      </x:c>
      <x:c r="S31" s="74">
        <x:v>500</x:v>
      </x:c>
      <x:c r="T31" s="47"/>
    </x:row>
    <x:row r="32" spans="1:20">
      <x:c r="A32" s="47"/>
      <x:c r="B32" s="105"/>
      <x:c r="C32" s="105"/>
      <x:c r="D32" s="105"/>
      <x:c r="E32" s="105"/>
      <x:c r="F32" s="105"/>
      <x:c r="G32" s="105"/>
      <x:c r="H32" s="105"/>
      <x:c r="I32" s="105"/>
      <x:c r="J32" s="105"/>
      <x:c r="K32" s="105"/>
      <x:c r="L32" s="105"/>
      <x:c r="M32" s="105"/>
      <x:c r="N32" s="105"/>
      <x:c r="O32" s="105"/>
      <x:c r="P32" s="105"/>
      <x:c r="Q32" s="69"/>
      <x:c r="R32" s="75">
        <x:v>0.55000000000000004</x:v>
      </x:c>
      <x:c r="S32" s="74">
        <x:v>1000</x:v>
      </x:c>
      <x:c r="T32" s="47"/>
    </x:row>
    <x:row r="33" spans="1:20">
      <x:c r="A33" s="47"/>
      <x:c r="B33" s="105"/>
      <x:c r="C33" s="105"/>
      <x:c r="D33" s="105"/>
      <x:c r="E33" s="105"/>
      <x:c r="F33" s="105"/>
      <x:c r="G33" s="105"/>
      <x:c r="H33" s="105"/>
      <x:c r="I33" s="105"/>
      <x:c r="J33" s="105"/>
      <x:c r="K33" s="105"/>
      <x:c r="L33" s="105"/>
      <x:c r="M33" s="105"/>
      <x:c r="N33" s="105"/>
      <x:c r="O33" s="105"/>
      <x:c r="P33" s="105"/>
      <x:c r="Q33" s="69"/>
      <x:c r="R33" s="72" t="s">
        <x:v>242</x:v>
      </x:c>
      <x:c r="S33" s="73"/>
      <x:c r="T33" s="47"/>
    </x:row>
    <x:row r="34" spans="1:20">
      <x:c r="A34" s="47"/>
      <x:c r="B34" s="105"/>
      <x:c r="C34" s="105"/>
      <x:c r="D34" s="105"/>
      <x:c r="E34" s="105"/>
      <x:c r="F34" s="105"/>
      <x:c r="G34" s="105"/>
      <x:c r="H34" s="105"/>
      <x:c r="I34" s="105"/>
      <x:c r="J34" s="105"/>
      <x:c r="K34" s="105"/>
      <x:c r="L34" s="105"/>
      <x:c r="M34" s="105"/>
      <x:c r="N34" s="105"/>
      <x:c r="O34" s="105"/>
      <x:c r="P34" s="105"/>
      <x:c r="Q34" s="69"/>
      <x:c r="R34" s="73" t="s">
        <x:v>245</x:v>
      </x:c>
      <x:c r="S34" s="73" t="s">
        <x:v>237</x:v>
      </x:c>
      <x:c r="T34" s="47"/>
    </x:row>
    <x:row r="35" spans="1:20">
      <x:c r="A35" s="47"/>
      <x:c r="B35" s="105"/>
      <x:c r="C35" s="105"/>
      <x:c r="D35" s="105"/>
      <x:c r="E35" s="105"/>
      <x:c r="F35" s="105"/>
      <x:c r="G35" s="105"/>
      <x:c r="H35" s="105"/>
      <x:c r="I35" s="105"/>
      <x:c r="J35" s="105"/>
      <x:c r="K35" s="105"/>
      <x:c r="L35" s="105"/>
      <x:c r="M35" s="105"/>
      <x:c r="N35" s="105"/>
      <x:c r="O35" s="105"/>
      <x:c r="P35" s="105"/>
      <x:c r="Q35" s="69"/>
      <x:c r="R35" s="75">
        <x:v>0.5</x:v>
      </x:c>
      <x:c r="S35" s="76">
        <x:v>0.09</x:v>
      </x:c>
      <x:c r="T35" s="47"/>
    </x:row>
    <x:row r="36" spans="1:20">
      <x:c r="A36" s="47"/>
      <x:c r="B36" s="105"/>
      <x:c r="C36" s="105"/>
      <x:c r="D36" s="105"/>
      <x:c r="E36" s="105"/>
      <x:c r="F36" s="105"/>
      <x:c r="G36" s="105"/>
      <x:c r="H36" s="105"/>
      <x:c r="I36" s="105"/>
      <x:c r="J36" s="105"/>
      <x:c r="K36" s="105"/>
      <x:c r="L36" s="105"/>
      <x:c r="M36" s="105"/>
      <x:c r="N36" s="105"/>
      <x:c r="O36" s="105"/>
      <x:c r="P36" s="105"/>
      <x:c r="Q36" s="69"/>
      <x:c r="R36" s="69"/>
      <x:c r="S36" s="69"/>
      <x:c r="T36" s="47"/>
    </x:row>
    <x:row r="37" spans="1:20">
      <x:c r="A37" s="47"/>
      <x:c r="B37" s="105"/>
      <x:c r="C37" s="105"/>
      <x:c r="D37" s="105"/>
      <x:c r="E37" s="105"/>
      <x:c r="F37" s="105"/>
      <x:c r="G37" s="105"/>
      <x:c r="H37" s="105"/>
      <x:c r="I37" s="105"/>
      <x:c r="J37" s="105"/>
      <x:c r="K37" s="105"/>
      <x:c r="L37" s="105"/>
      <x:c r="M37" s="105"/>
      <x:c r="N37" s="105"/>
      <x:c r="O37" s="105"/>
      <x:c r="P37" s="105"/>
      <x:c r="Q37" s="69"/>
      <x:c r="R37" s="69"/>
      <x:c r="S37" s="69"/>
      <x:c r="T37" s="47"/>
    </x:row>
    <x:row r="38" spans="1:20">
      <x:c r="A38" s="47"/>
      <x:c r="B38" s="105"/>
      <x:c r="C38" s="105"/>
      <x:c r="D38" s="105"/>
      <x:c r="E38" s="105"/>
      <x:c r="F38" s="105"/>
      <x:c r="G38" s="105"/>
      <x:c r="H38" s="105"/>
      <x:c r="I38" s="105"/>
      <x:c r="J38" s="105"/>
      <x:c r="K38" s="105"/>
      <x:c r="L38" s="105"/>
      <x:c r="M38" s="105"/>
      <x:c r="N38" s="105"/>
      <x:c r="O38" s="105"/>
      <x:c r="P38" s="105"/>
      <x:c r="Q38" s="69"/>
      <x:c r="R38" s="69"/>
      <x:c r="S38" s="69"/>
      <x:c r="T38" s="47"/>
    </x:row>
    <x:row r="39" spans="1:20">
      <x:c r="A39" s="47"/>
      <x:c r="B39" s="105"/>
      <x:c r="C39" s="105"/>
      <x:c r="D39" s="105"/>
      <x:c r="E39" s="105"/>
      <x:c r="F39" s="105"/>
      <x:c r="G39" s="105"/>
      <x:c r="H39" s="105"/>
      <x:c r="I39" s="105"/>
      <x:c r="J39" s="105"/>
      <x:c r="K39" s="105"/>
      <x:c r="L39" s="105"/>
      <x:c r="M39" s="105"/>
      <x:c r="N39" s="105"/>
      <x:c r="O39" s="105"/>
      <x:c r="P39" s="105"/>
      <x:c r="Q39" s="69"/>
      <x:c r="R39" s="69"/>
      <x:c r="S39" s="69"/>
      <x:c r="T39" s="47"/>
    </x:row>
    <x:row r="40" spans="1:20">
      <x:c r="A40" s="47"/>
      <x:c r="B40" s="105"/>
      <x:c r="C40" s="105"/>
      <x:c r="D40" s="105"/>
      <x:c r="E40" s="105"/>
      <x:c r="F40" s="105"/>
      <x:c r="G40" s="105"/>
      <x:c r="H40" s="105"/>
      <x:c r="I40" s="105"/>
      <x:c r="J40" s="105"/>
      <x:c r="K40" s="105"/>
      <x:c r="L40" s="105"/>
      <x:c r="M40" s="105"/>
      <x:c r="N40" s="105"/>
      <x:c r="O40" s="105"/>
      <x:c r="P40" s="105"/>
      <x:c r="Q40" s="69"/>
      <x:c r="R40" s="69"/>
      <x:c r="S40" s="69"/>
      <x:c r="T40" s="47"/>
    </x:row>
    <x:row r="41" spans="1:20">
      <x:c r="A41" s="47"/>
      <x:c r="B41" s="105"/>
      <x:c r="C41" s="105"/>
      <x:c r="D41" s="105"/>
      <x:c r="E41" s="105"/>
      <x:c r="F41" s="105"/>
      <x:c r="G41" s="105"/>
      <x:c r="H41" s="105"/>
      <x:c r="I41" s="105"/>
      <x:c r="J41" s="105"/>
      <x:c r="K41" s="105"/>
      <x:c r="L41" s="105"/>
      <x:c r="M41" s="105"/>
      <x:c r="N41" s="105"/>
      <x:c r="O41" s="105"/>
      <x:c r="P41" s="105"/>
      <x:c r="Q41" s="69"/>
      <x:c r="R41" s="69"/>
      <x:c r="S41" s="69"/>
      <x:c r="T41" s="47"/>
    </x:row>
    <x:row r="42" spans="1:20">
      <x:c r="A42" s="47"/>
      <x:c r="B42" s="47"/>
      <x:c r="C42" s="47"/>
      <x:c r="D42" s="47"/>
      <x:c r="E42" s="47"/>
      <x:c r="F42" s="47"/>
      <x:c r="G42" s="47"/>
      <x:c r="H42" s="47"/>
      <x:c r="I42" s="47"/>
      <x:c r="J42" s="47"/>
      <x:c r="K42" s="47"/>
      <x:c r="L42" s="47"/>
      <x:c r="M42" s="47"/>
      <x:c r="N42" s="47"/>
      <x:c r="O42" s="47"/>
      <x:c r="P42" s="47"/>
      <x:c r="Q42" s="47"/>
      <x:c r="R42" s="47"/>
      <x:c r="T42" s="47"/>
    </x:row>
    <x:row r="1000">
      <x:c r="XX1000" s="110" t="n">
        <x:v>125713</x:v>
      </x:c>
    </x:row>
  </x:sheetData>
  <x:mergeCells count="1">
    <x:mergeCell ref="B6:P41"/>
  </x:mergeCells>
  <x:pageMargins left="0.7" right="0.7" top="0.75" bottom="0.75" header="0.3" footer="0.3"/>
  <x:pageSetup orientation="portrait" verticalDpi="1200" r:id="rId1"/>
</x:worksheet>
</file>

<file path=xl/worksheets/sheet3.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D0C893D0-E081-410E-B1EB-33147111F482}" mc:Ignorable="x14ac xr xr2 xr3">
  <x:sheetPr codeName="Sheet5">
    <x:tabColor rgb="FFFF0000"/>
  </x:sheetPr>
  <x:dimension ref="A1:Q109"/>
  <x:sheetViews>
    <x:sheetView zoomScale="85" zoomScaleNormal="85" workbookViewId="0"/>
  </x:sheetViews>
  <x:sheetFormatPr defaultColWidth="0" defaultRowHeight="14.55" customHeight="1" zeroHeight="1"/>
  <x:cols>
    <x:col min="1" max="1" width="8.77734375" style="4" customWidth="1"/>
    <x:col min="2" max="8" width="20.6640625" style="4" customWidth="1"/>
    <x:col min="9" max="9" width="8.77734375" style="4" customWidth="1"/>
    <x:col min="10" max="11" width="0" style="4" hidden="1" customWidth="1"/>
    <x:col min="12" max="14" width="8.77734375" style="4" hidden="1" customWidth="1"/>
    <x:col min="15" max="15" width="23.6640625" style="4" hidden="1" customWidth="1"/>
    <x:col min="16" max="16" width="20.33203125" style="4" hidden="1" customWidth="1"/>
    <x:col min="17" max="17" width="8.77734375" style="4" hidden="1" customWidth="1"/>
    <x:col min="18" max="16384" width="0" style="4" hidden="1"/>
  </x:cols>
  <x:sheetData>
    <x:row r="1" spans="1:11" ht="14.4">
      <x:c r="A1" s="69"/>
      <x:c r="B1" s="69"/>
      <x:c r="C1" s="69"/>
      <x:c r="D1" s="69"/>
      <x:c r="E1" s="69"/>
      <x:c r="F1" s="69"/>
      <x:c r="G1" s="69"/>
      <x:c r="H1" s="69"/>
      <x:c r="I1" s="69"/>
      <x:c r="J1" s="69"/>
      <x:c r="K1" s="69"/>
    </x:row>
    <x:row r="2" spans="1:11" ht="31.2">
      <x:c r="A2" s="69"/>
      <x:c r="B2" s="68" t="s">
        <x:v>332</x:v>
      </x:c>
      <x:c r="C2" s="68"/>
      <x:c r="D2" s="68"/>
      <x:c r="E2" s="68"/>
      <x:c r="F2" s="68"/>
      <x:c r="G2" s="68"/>
      <x:c r="H2" s="68"/>
      <x:c r="I2" s="69"/>
      <x:c r="J2" s="69"/>
      <x:c r="K2" s="69"/>
    </x:row>
    <x:row r="3" spans="1:11" ht="14.4">
      <x:c r="A3" s="69"/>
      <x:c r="B3" s="69"/>
      <x:c r="C3" s="69"/>
      <x:c r="D3" s="69"/>
      <x:c r="E3" s="69"/>
      <x:c r="F3" s="69"/>
      <x:c r="G3" s="69"/>
      <x:c r="H3" s="69"/>
      <x:c r="I3" s="69"/>
      <x:c r="J3" s="69"/>
      <x:c r="K3" s="69"/>
    </x:row>
    <x:row r="4" spans="1:11" ht="14.4">
      <x:c r="A4" s="69"/>
      <x:c r="B4" s="69"/>
      <x:c r="C4" s="69"/>
      <x:c r="D4" s="69"/>
      <x:c r="E4" s="69"/>
      <x:c r="F4" s="69"/>
      <x:c r="G4" s="69"/>
      <x:c r="H4" s="69"/>
      <x:c r="I4" s="69"/>
    </x:row>
    <x:row r="5" spans="1:11" ht="22.2">
      <x:c r="A5" s="69"/>
      <x:c r="B5" s="70" t="s">
        <x:v>362</x:v>
      </x:c>
      <x:c r="C5" s="70"/>
      <x:c r="D5" s="70"/>
      <x:c r="E5" s="70"/>
      <x:c r="F5" s="70"/>
      <x:c r="G5" s="70"/>
      <x:c r="H5" s="70"/>
      <x:c r="I5" s="69"/>
    </x:row>
    <x:row r="6" spans="1:11" ht="14.55" customHeight="1">
      <x:c r="A6" s="69"/>
      <x:c r="B6" s="104" t="s">
        <x:v>358</x:v>
      </x:c>
      <x:c r="C6" s="104"/>
      <x:c r="D6" s="104"/>
      <x:c r="E6" s="104"/>
      <x:c r="F6" s="104"/>
      <x:c r="G6" s="104"/>
      <x:c r="H6" s="104"/>
      <x:c r="I6" s="69"/>
    </x:row>
    <x:row r="7" spans="1:11" ht="14.55" customHeight="1">
      <x:c r="A7" s="69"/>
      <x:c r="B7" s="77"/>
      <x:c r="C7" s="77"/>
      <x:c r="D7" s="77"/>
      <x:c r="E7" s="77"/>
      <x:c r="F7" s="77"/>
      <x:c r="G7" s="77"/>
      <x:c r="H7" s="77"/>
      <x:c r="I7" s="69"/>
    </x:row>
    <x:row r="8" spans="1:11" ht="14.55" customHeight="1">
      <x:c r="A8" s="69"/>
      <x:c r="B8" s="78" t="s">
        <x:v>139</x:v>
      </x:c>
      <x:c r="C8" s="78" t="s">
        <x:v>140</x:v>
      </x:c>
      <x:c r="D8" s="78" t="s">
        <x:v>141</x:v>
      </x:c>
      <x:c r="E8" s="64" t="s">
        <x:v>142</x:v>
      </x:c>
      <x:c r="F8" s="78" t="s">
        <x:v>143</x:v>
      </x:c>
      <x:c r="G8" s="64" t="s">
        <x:v>144</x:v>
      </x:c>
      <x:c r="H8" s="64" t="s">
        <x:v>145</x:v>
      </x:c>
      <x:c r="I8" s="69"/>
    </x:row>
    <x:row r="9" spans="1:11" ht="14.55" customHeight="1">
      <x:c r="A9" s="69"/>
      <x:c r="B9" s="28" t="s">
        <x:v>146</x:v>
      </x:c>
      <x:c r="C9" s="28" t="s">
        <x:v>147</x:v>
      </x:c>
      <x:c r="D9" s="28" t="s">
        <x:v>333</x:v>
      </x:c>
      <x:c r="E9" s="28" t="s">
        <x:v>148</x:v>
      </x:c>
      <x:c r="F9" s="79">
        <x:v>16000</x:v>
      </x:c>
      <x:c r="G9" s="79" t="s">
        <x:v>149</x:v>
      </x:c>
      <x:c r="H9" s="80">
        <x:v>44983</x:v>
      </x:c>
      <x:c r="I9" s="69"/>
    </x:row>
    <x:row r="10" spans="1:11" ht="14.55" customHeight="1">
      <x:c r="A10" s="69"/>
      <x:c r="B10" s="28" t="s">
        <x:v>150</x:v>
      </x:c>
      <x:c r="C10" s="28" t="s">
        <x:v>151</x:v>
      </x:c>
      <x:c r="D10" s="28" t="s">
        <x:v>334</x:v>
      </x:c>
      <x:c r="E10" s="28" t="s">
        <x:v>148</x:v>
      </x:c>
      <x:c r="F10" s="79">
        <x:v>21500</x:v>
      </x:c>
      <x:c r="G10" s="79">
        <x:v>2400</x:v>
      </x:c>
      <x:c r="H10" s="80">
        <x:v>44915</x:v>
      </x:c>
      <x:c r="I10" s="69"/>
    </x:row>
    <x:row r="11" spans="1:11" ht="14.55" customHeight="1">
      <x:c r="A11" s="69"/>
      <x:c r="B11" s="28" t="s">
        <x:v>152</x:v>
      </x:c>
      <x:c r="C11" s="28" t="s">
        <x:v>153</x:v>
      </x:c>
      <x:c r="D11" s="28" t="s">
        <x:v>335</x:v>
      </x:c>
      <x:c r="E11" s="28" t="s">
        <x:v>148</x:v>
      </x:c>
      <x:c r="F11" s="79">
        <x:v>26500</x:v>
      </x:c>
      <x:c r="G11" s="79">
        <x:v>3700</x:v>
      </x:c>
      <x:c r="H11" s="80">
        <x:v>44905</x:v>
      </x:c>
      <x:c r="I11" s="69"/>
    </x:row>
    <x:row r="12" spans="1:11" ht="14.55" customHeight="1">
      <x:c r="A12" s="69"/>
      <x:c r="B12" s="28" t="s">
        <x:v>154</x:v>
      </x:c>
      <x:c r="C12" s="28" t="s">
        <x:v>155</x:v>
      </x:c>
      <x:c r="D12" s="28" t="s">
        <x:v>336</x:v>
      </x:c>
      <x:c r="E12" s="28" t="s">
        <x:v>148</x:v>
      </x:c>
      <x:c r="F12" s="79">
        <x:v>36500</x:v>
      </x:c>
      <x:c r="G12" s="79" t="s">
        <x:v>149</x:v>
      </x:c>
      <x:c r="H12" s="80">
        <x:v>44984</x:v>
      </x:c>
      <x:c r="I12" s="69"/>
    </x:row>
    <x:row r="13" spans="1:11" ht="14.55" customHeight="1">
      <x:c r="A13" s="69"/>
      <x:c r="B13" s="28" t="s">
        <x:v>156</x:v>
      </x:c>
      <x:c r="C13" s="28" t="s">
        <x:v>157</x:v>
      </x:c>
      <x:c r="D13" s="28" t="s">
        <x:v>337</x:v>
      </x:c>
      <x:c r="E13" s="28" t="s">
        <x:v>148</x:v>
      </x:c>
      <x:c r="F13" s="79">
        <x:v>21500</x:v>
      </x:c>
      <x:c r="G13" s="79" t="s">
        <x:v>149</x:v>
      </x:c>
      <x:c r="H13" s="80">
        <x:v>44972</x:v>
      </x:c>
      <x:c r="I13" s="69"/>
    </x:row>
    <x:row r="14" spans="1:11" ht="14.55" customHeight="1">
      <x:c r="A14" s="69"/>
      <x:c r="B14" s="28" t="s">
        <x:v>146</x:v>
      </x:c>
      <x:c r="C14" s="28" t="s">
        <x:v>158</x:v>
      </x:c>
      <x:c r="D14" s="28" t="s">
        <x:v>338</x:v>
      </x:c>
      <x:c r="E14" s="28" t="s">
        <x:v>148</x:v>
      </x:c>
      <x:c r="F14" s="79">
        <x:v>9500</x:v>
      </x:c>
      <x:c r="G14" s="79" t="s">
        <x:v>149</x:v>
      </x:c>
      <x:c r="H14" s="80">
        <x:v>44956</x:v>
      </x:c>
      <x:c r="I14" s="69"/>
    </x:row>
    <x:row r="15" spans="1:11" ht="14.55" customHeight="1">
      <x:c r="A15" s="69"/>
      <x:c r="B15" s="28" t="s">
        <x:v>146</x:v>
      </x:c>
      <x:c r="C15" s="28" t="s">
        <x:v>159</x:v>
      </x:c>
      <x:c r="D15" s="28" t="s">
        <x:v>339</x:v>
      </x:c>
      <x:c r="E15" s="28" t="s">
        <x:v>148</x:v>
      </x:c>
      <x:c r="F15" s="79">
        <x:v>15500</x:v>
      </x:c>
      <x:c r="G15" s="79" t="s">
        <x:v>149</x:v>
      </x:c>
      <x:c r="H15" s="80">
        <x:v>44893</x:v>
      </x:c>
      <x:c r="I15" s="69"/>
    </x:row>
    <x:row r="16" spans="1:11" ht="14.55" customHeight="1">
      <x:c r="A16" s="69"/>
      <x:c r="B16" s="28" t="s">
        <x:v>156</x:v>
      </x:c>
      <x:c r="C16" s="28" t="s">
        <x:v>160</x:v>
      </x:c>
      <x:c r="D16" s="28" t="s">
        <x:v>340</x:v>
      </x:c>
      <x:c r="E16" s="28" t="s">
        <x:v>148</x:v>
      </x:c>
      <x:c r="F16" s="79">
        <x:v>30500</x:v>
      </x:c>
      <x:c r="G16" s="79" t="s">
        <x:v>149</x:v>
      </x:c>
      <x:c r="H16" s="80">
        <x:v>45045</x:v>
      </x:c>
      <x:c r="I16" s="69"/>
    </x:row>
    <x:row r="17" spans="1:9" ht="14.55" customHeight="1">
      <x:c r="A17" s="69"/>
      <x:c r="B17" s="28" t="s">
        <x:v>161</x:v>
      </x:c>
      <x:c r="C17" s="28" t="s">
        <x:v>162</x:v>
      </x:c>
      <x:c r="D17" s="28" t="s">
        <x:v>337</x:v>
      </x:c>
      <x:c r="E17" s="28" t="s">
        <x:v>23</x:v>
      </x:c>
      <x:c r="F17" s="79">
        <x:v>29500</x:v>
      </x:c>
      <x:c r="G17" s="79" t="s">
        <x:v>149</x:v>
      </x:c>
      <x:c r="H17" s="80">
        <x:v>44908</x:v>
      </x:c>
      <x:c r="I17" s="69"/>
    </x:row>
    <x:row r="18" spans="1:9" ht="14.55" customHeight="1">
      <x:c r="A18" s="69"/>
      <x:c r="B18" s="28" t="s">
        <x:v>163</x:v>
      </x:c>
      <x:c r="C18" s="28" t="s">
        <x:v>164</x:v>
      </x:c>
      <x:c r="D18" s="28" t="s">
        <x:v>341</x:v>
      </x:c>
      <x:c r="E18" s="28" t="s">
        <x:v>148</x:v>
      </x:c>
      <x:c r="F18" s="79">
        <x:v>14000</x:v>
      </x:c>
      <x:c r="G18" s="79" t="s">
        <x:v>149</x:v>
      </x:c>
      <x:c r="H18" s="80">
        <x:v>45000</x:v>
      </x:c>
      <x:c r="I18" s="69"/>
    </x:row>
    <x:row r="19" spans="1:9" ht="14.55" customHeight="1">
      <x:c r="A19" s="69"/>
      <x:c r="B19" s="28" t="s">
        <x:v>165</x:v>
      </x:c>
      <x:c r="C19" s="28" t="s">
        <x:v>166</x:v>
      </x:c>
      <x:c r="D19" s="28" t="s">
        <x:v>342</x:v>
      </x:c>
      <x:c r="E19" s="28" t="s">
        <x:v>148</x:v>
      </x:c>
      <x:c r="F19" s="79">
        <x:v>17000</x:v>
      </x:c>
      <x:c r="G19" s="79" t="s">
        <x:v>149</x:v>
      </x:c>
      <x:c r="H19" s="80">
        <x:v>44837</x:v>
      </x:c>
      <x:c r="I19" s="69"/>
    </x:row>
    <x:row r="20" spans="1:9" ht="14.55" customHeight="1">
      <x:c r="A20" s="47"/>
      <x:c r="B20" s="28" t="s">
        <x:v>156</x:v>
      </x:c>
      <x:c r="C20" s="28" t="s">
        <x:v>167</x:v>
      </x:c>
      <x:c r="D20" s="28" t="s">
        <x:v>343</x:v>
      </x:c>
      <x:c r="E20" s="28" t="s">
        <x:v>148</x:v>
      </x:c>
      <x:c r="F20" s="79">
        <x:v>27000</x:v>
      </x:c>
      <x:c r="G20" s="79">
        <x:v>2000</x:v>
      </x:c>
      <x:c r="H20" s="80">
        <x:v>44843</x:v>
      </x:c>
      <x:c r="I20" s="69"/>
    </x:row>
    <x:row r="21" spans="1:9" ht="14.55" customHeight="1">
      <x:c r="A21" s="69"/>
      <x:c r="B21" s="28" t="s">
        <x:v>146</x:v>
      </x:c>
      <x:c r="C21" s="28" t="s">
        <x:v>168</x:v>
      </x:c>
      <x:c r="D21" s="28" t="s">
        <x:v>344</x:v>
      </x:c>
      <x:c r="E21" s="28" t="s">
        <x:v>148</x:v>
      </x:c>
      <x:c r="F21" s="79">
        <x:v>29000</x:v>
      </x:c>
      <x:c r="G21" s="79">
        <x:v>3100</x:v>
      </x:c>
      <x:c r="H21" s="80">
        <x:v>45018</x:v>
      </x:c>
      <x:c r="I21" s="69"/>
    </x:row>
    <x:row r="22" spans="1:9" ht="14.55" customHeight="1">
      <x:c r="A22" s="69"/>
      <x:c r="B22" s="28" t="s">
        <x:v>152</x:v>
      </x:c>
      <x:c r="C22" s="28" t="s">
        <x:v>169</x:v>
      </x:c>
      <x:c r="D22" s="28" t="s">
        <x:v>339</x:v>
      </x:c>
      <x:c r="E22" s="28" t="s">
        <x:v>23</x:v>
      </x:c>
      <x:c r="F22" s="79">
        <x:v>29000</x:v>
      </x:c>
      <x:c r="G22" s="79">
        <x:v>4500</x:v>
      </x:c>
      <x:c r="H22" s="80">
        <x:v>45054</x:v>
      </x:c>
      <x:c r="I22" s="69"/>
    </x:row>
    <x:row r="23" spans="1:9" ht="14.4">
      <x:c r="A23" s="69"/>
      <x:c r="B23" s="28" t="s">
        <x:v>163</x:v>
      </x:c>
      <x:c r="C23" s="28" t="s">
        <x:v>170</x:v>
      </x:c>
      <x:c r="D23" s="28" t="s">
        <x:v>345</x:v>
      </x:c>
      <x:c r="E23" s="28" t="s">
        <x:v>148</x:v>
      </x:c>
      <x:c r="F23" s="79">
        <x:v>7000</x:v>
      </x:c>
      <x:c r="G23" s="79">
        <x:v>1300</x:v>
      </x:c>
      <x:c r="H23" s="80">
        <x:v>44874</x:v>
      </x:c>
      <x:c r="I23" s="69"/>
    </x:row>
    <x:row r="24" spans="1:9" ht="14.4">
      <x:c r="A24" s="69"/>
      <x:c r="B24" s="28" t="s">
        <x:v>150</x:v>
      </x:c>
      <x:c r="C24" s="28" t="s">
        <x:v>151</x:v>
      </x:c>
      <x:c r="D24" s="28" t="s">
        <x:v>334</x:v>
      </x:c>
      <x:c r="E24" s="28" t="s">
        <x:v>23</x:v>
      </x:c>
      <x:c r="F24" s="79">
        <x:v>25000</x:v>
      </x:c>
      <x:c r="G24" s="79" t="s">
        <x:v>149</x:v>
      </x:c>
      <x:c r="H24" s="80">
        <x:v>44843</x:v>
      </x:c>
      <x:c r="I24" s="69"/>
    </x:row>
    <x:row r="25" spans="1:9" ht="14.4">
      <x:c r="A25" s="69"/>
      <x:c r="B25" s="28" t="s">
        <x:v>154</x:v>
      </x:c>
      <x:c r="C25" s="28" t="s">
        <x:v>155</x:v>
      </x:c>
      <x:c r="D25" s="28" t="s">
        <x:v>336</x:v>
      </x:c>
      <x:c r="E25" s="28" t="s">
        <x:v>23</x:v>
      </x:c>
      <x:c r="F25" s="79">
        <x:v>8000</x:v>
      </x:c>
      <x:c r="G25" s="79">
        <x:v>1700</x:v>
      </x:c>
      <x:c r="H25" s="80">
        <x:v>44839</x:v>
      </x:c>
      <x:c r="I25" s="69"/>
    </x:row>
    <x:row r="26" spans="1:9" ht="14.4">
      <x:c r="A26" s="69"/>
      <x:c r="B26" s="28" t="s">
        <x:v>150</x:v>
      </x:c>
      <x:c r="C26" s="28" t="s">
        <x:v>171</x:v>
      </x:c>
      <x:c r="D26" s="28" t="s">
        <x:v>346</x:v>
      </x:c>
      <x:c r="E26" s="28" t="s">
        <x:v>148</x:v>
      </x:c>
      <x:c r="F26" s="79">
        <x:v>16000</x:v>
      </x:c>
      <x:c r="G26" s="79" t="s">
        <x:v>149</x:v>
      </x:c>
      <x:c r="H26" s="80">
        <x:v>44861</x:v>
      </x:c>
      <x:c r="I26" s="69"/>
    </x:row>
    <x:row r="27" spans="1:9" ht="14.4">
      <x:c r="A27" s="69"/>
      <x:c r="B27" s="28" t="s">
        <x:v>165</x:v>
      </x:c>
      <x:c r="C27" s="28" t="s">
        <x:v>172</x:v>
      </x:c>
      <x:c r="D27" s="28" t="s">
        <x:v>339</x:v>
      </x:c>
      <x:c r="E27" s="28" t="s">
        <x:v>23</x:v>
      </x:c>
      <x:c r="F27" s="79">
        <x:v>27500</x:v>
      </x:c>
      <x:c r="G27" s="79" t="s">
        <x:v>149</x:v>
      </x:c>
      <x:c r="H27" s="80">
        <x:v>44981</x:v>
      </x:c>
      <x:c r="I27" s="69"/>
    </x:row>
    <x:row r="28" spans="1:9" ht="14.4">
      <x:c r="A28" s="69"/>
      <x:c r="B28" s="28" t="s">
        <x:v>156</x:v>
      </x:c>
      <x:c r="C28" s="28" t="s">
        <x:v>173</x:v>
      </x:c>
      <x:c r="D28" s="28" t="s">
        <x:v>347</x:v>
      </x:c>
      <x:c r="E28" s="28" t="s">
        <x:v>148</x:v>
      </x:c>
      <x:c r="F28" s="79">
        <x:v>31500</x:v>
      </x:c>
      <x:c r="G28" s="79">
        <x:v>3900</x:v>
      </x:c>
      <x:c r="H28" s="80">
        <x:v>44936</x:v>
      </x:c>
      <x:c r="I28" s="69"/>
    </x:row>
    <x:row r="29" spans="1:9" ht="14.4">
      <x:c r="A29" s="69"/>
      <x:c r="B29" s="28" t="s">
        <x:v>161</x:v>
      </x:c>
      <x:c r="C29" s="28" t="s">
        <x:v>174</x:v>
      </x:c>
      <x:c r="D29" s="28" t="s">
        <x:v>336</x:v>
      </x:c>
      <x:c r="E29" s="28" t="s">
        <x:v>23</x:v>
      </x:c>
      <x:c r="F29" s="79">
        <x:v>28000</x:v>
      </x:c>
      <x:c r="G29" s="79" t="s">
        <x:v>149</x:v>
      </x:c>
      <x:c r="H29" s="80">
        <x:v>44839</x:v>
      </x:c>
      <x:c r="I29" s="69"/>
    </x:row>
    <x:row r="30" spans="1:9" ht="14.4">
      <x:c r="A30" s="47"/>
      <x:c r="B30" s="28" t="s">
        <x:v>161</x:v>
      </x:c>
      <x:c r="C30" s="28" t="s">
        <x:v>175</x:v>
      </x:c>
      <x:c r="D30" s="28" t="s">
        <x:v>348</x:v>
      </x:c>
      <x:c r="E30" s="28" t="s">
        <x:v>148</x:v>
      </x:c>
      <x:c r="F30" s="79">
        <x:v>30000</x:v>
      </x:c>
      <x:c r="G30" s="79" t="s">
        <x:v>149</x:v>
      </x:c>
      <x:c r="H30" s="80">
        <x:v>44851</x:v>
      </x:c>
      <x:c r="I30" s="69"/>
    </x:row>
    <x:row r="31" spans="1:9" ht="14.4">
      <x:c r="A31" s="47"/>
      <x:c r="B31" s="28" t="s">
        <x:v>146</x:v>
      </x:c>
      <x:c r="C31" s="28" t="s">
        <x:v>176</x:v>
      </x:c>
      <x:c r="D31" s="28" t="s">
        <x:v>341</x:v>
      </x:c>
      <x:c r="E31" s="28" t="s">
        <x:v>23</x:v>
      </x:c>
      <x:c r="F31" s="79">
        <x:v>16500</x:v>
      </x:c>
      <x:c r="G31" s="79" t="s">
        <x:v>149</x:v>
      </x:c>
      <x:c r="H31" s="80">
        <x:v>44987</x:v>
      </x:c>
      <x:c r="I31" s="69"/>
    </x:row>
    <x:row r="32" spans="1:9" ht="14.4">
      <x:c r="A32" s="47"/>
      <x:c r="B32" s="28" t="s">
        <x:v>150</x:v>
      </x:c>
      <x:c r="C32" s="28" t="s">
        <x:v>177</x:v>
      </x:c>
      <x:c r="D32" s="28" t="s">
        <x:v>349</x:v>
      </x:c>
      <x:c r="E32" s="28" t="s">
        <x:v>148</x:v>
      </x:c>
      <x:c r="F32" s="79">
        <x:v>25000</x:v>
      </x:c>
      <x:c r="G32" s="79" t="s">
        <x:v>149</x:v>
      </x:c>
      <x:c r="H32" s="80">
        <x:v>45023</x:v>
      </x:c>
      <x:c r="I32" s="69"/>
    </x:row>
    <x:row r="33" spans="1:9" ht="14.4">
      <x:c r="A33" s="47"/>
      <x:c r="B33" s="28" t="s">
        <x:v>163</x:v>
      </x:c>
      <x:c r="C33" s="28" t="s">
        <x:v>178</x:v>
      </x:c>
      <x:c r="D33" s="28" t="s">
        <x:v>350</x:v>
      </x:c>
      <x:c r="E33" s="28" t="s">
        <x:v>148</x:v>
      </x:c>
      <x:c r="F33" s="79">
        <x:v>22000</x:v>
      </x:c>
      <x:c r="G33" s="79" t="s">
        <x:v>149</x:v>
      </x:c>
      <x:c r="H33" s="80">
        <x:v>44961</x:v>
      </x:c>
      <x:c r="I33" s="69"/>
    </x:row>
    <x:row r="34" spans="1:9" ht="14.4">
      <x:c r="A34" s="47"/>
      <x:c r="B34" s="28" t="s">
        <x:v>152</x:v>
      </x:c>
      <x:c r="C34" s="28" t="s">
        <x:v>179</x:v>
      </x:c>
      <x:c r="D34" s="28" t="s">
        <x:v>349</x:v>
      </x:c>
      <x:c r="E34" s="28" t="s">
        <x:v>23</x:v>
      </x:c>
      <x:c r="F34" s="79">
        <x:v>33500</x:v>
      </x:c>
      <x:c r="G34" s="79" t="s">
        <x:v>149</x:v>
      </x:c>
      <x:c r="H34" s="80">
        <x:v>45006</x:v>
      </x:c>
      <x:c r="I34" s="69"/>
    </x:row>
    <x:row r="35" spans="1:9" ht="14.4">
      <x:c r="A35" s="47"/>
      <x:c r="B35" s="28" t="s">
        <x:v>150</x:v>
      </x:c>
      <x:c r="C35" s="28" t="s">
        <x:v>180</x:v>
      </x:c>
      <x:c r="D35" s="28" t="s">
        <x:v>351</x:v>
      </x:c>
      <x:c r="E35" s="28" t="s">
        <x:v>23</x:v>
      </x:c>
      <x:c r="F35" s="79">
        <x:v>42000</x:v>
      </x:c>
      <x:c r="G35" s="79" t="s">
        <x:v>149</x:v>
      </x:c>
      <x:c r="H35" s="80">
        <x:v>44946</x:v>
      </x:c>
      <x:c r="I35" s="69"/>
    </x:row>
    <x:row r="36" spans="1:9" ht="14.4">
      <x:c r="A36" s="47"/>
      <x:c r="B36" s="28" t="s">
        <x:v>146</x:v>
      </x:c>
      <x:c r="C36" s="28" t="s">
        <x:v>176</x:v>
      </x:c>
      <x:c r="D36" s="28" t="s">
        <x:v>341</x:v>
      </x:c>
      <x:c r="E36" s="28" t="s">
        <x:v>23</x:v>
      </x:c>
      <x:c r="F36" s="79">
        <x:v>20500</x:v>
      </x:c>
      <x:c r="G36" s="79">
        <x:v>1900</x:v>
      </x:c>
      <x:c r="H36" s="80">
        <x:v>44841</x:v>
      </x:c>
      <x:c r="I36" s="69"/>
    </x:row>
    <x:row r="37" spans="1:9" ht="14.4">
      <x:c r="A37" s="47"/>
      <x:c r="B37" s="28" t="s">
        <x:v>150</x:v>
      </x:c>
      <x:c r="C37" s="28" t="s">
        <x:v>181</x:v>
      </x:c>
      <x:c r="D37" s="28" t="s">
        <x:v>352</x:v>
      </x:c>
      <x:c r="E37" s="28" t="s">
        <x:v>148</x:v>
      </x:c>
      <x:c r="F37" s="79">
        <x:v>20000</x:v>
      </x:c>
      <x:c r="G37" s="79" t="s">
        <x:v>149</x:v>
      </x:c>
      <x:c r="H37" s="80">
        <x:v>44956</x:v>
      </x:c>
      <x:c r="I37" s="69"/>
    </x:row>
    <x:row r="38" spans="1:9" ht="14.4">
      <x:c r="A38" s="47"/>
      <x:c r="B38" s="28" t="s">
        <x:v>150</x:v>
      </x:c>
      <x:c r="C38" s="28" t="s">
        <x:v>180</x:v>
      </x:c>
      <x:c r="D38" s="28" t="s">
        <x:v>351</x:v>
      </x:c>
      <x:c r="E38" s="28" t="s">
        <x:v>23</x:v>
      </x:c>
      <x:c r="F38" s="79">
        <x:v>55500</x:v>
      </x:c>
      <x:c r="G38" s="79" t="s">
        <x:v>149</x:v>
      </x:c>
      <x:c r="H38" s="80">
        <x:v>44977</x:v>
      </x:c>
      <x:c r="I38" s="69"/>
    </x:row>
    <x:row r="39" spans="1:9" ht="14.4">
      <x:c r="A39" s="47"/>
      <x:c r="B39" s="28" t="s">
        <x:v>150</x:v>
      </x:c>
      <x:c r="C39" s="28" t="s">
        <x:v>182</x:v>
      </x:c>
      <x:c r="D39" s="28" t="s">
        <x:v>353</x:v>
      </x:c>
      <x:c r="E39" s="28" t="s">
        <x:v>148</x:v>
      </x:c>
      <x:c r="F39" s="79">
        <x:v>25500</x:v>
      </x:c>
      <x:c r="G39" s="79" t="s">
        <x:v>149</x:v>
      </x:c>
      <x:c r="H39" s="80">
        <x:v>45033</x:v>
      </x:c>
      <x:c r="I39" s="69"/>
    </x:row>
    <x:row r="40" spans="1:9" ht="14.4">
      <x:c r="A40" s="47"/>
      <x:c r="B40" s="28" t="s">
        <x:v>156</x:v>
      </x:c>
      <x:c r="C40" s="28" t="s">
        <x:v>183</x:v>
      </x:c>
      <x:c r="D40" s="28" t="s">
        <x:v>354</x:v>
      </x:c>
      <x:c r="E40" s="28" t="s">
        <x:v>148</x:v>
      </x:c>
      <x:c r="F40" s="79">
        <x:v>14000</x:v>
      </x:c>
      <x:c r="G40" s="79">
        <x:v>3500</x:v>
      </x:c>
      <x:c r="H40" s="80">
        <x:v>44953</x:v>
      </x:c>
      <x:c r="I40" s="69"/>
    </x:row>
    <x:row r="41" spans="1:9" ht="14.4">
      <x:c r="A41" s="47"/>
      <x:c r="B41" s="28" t="s">
        <x:v>156</x:v>
      </x:c>
      <x:c r="C41" s="28" t="s">
        <x:v>184</x:v>
      </x:c>
      <x:c r="D41" s="28" t="s">
        <x:v>353</x:v>
      </x:c>
      <x:c r="E41" s="28" t="s">
        <x:v>23</x:v>
      </x:c>
      <x:c r="F41" s="79">
        <x:v>20500</x:v>
      </x:c>
      <x:c r="G41" s="79" t="s">
        <x:v>149</x:v>
      </x:c>
      <x:c r="H41" s="80">
        <x:v>44875</x:v>
      </x:c>
      <x:c r="I41" s="69"/>
    </x:row>
    <x:row r="42" spans="1:9" ht="14.4">
      <x:c r="A42" s="47"/>
      <x:c r="B42" s="28" t="s">
        <x:v>152</x:v>
      </x:c>
      <x:c r="C42" s="28" t="s">
        <x:v>185</x:v>
      </x:c>
      <x:c r="D42" s="28" t="s">
        <x:v>353</x:v>
      </x:c>
      <x:c r="E42" s="28" t="s">
        <x:v>23</x:v>
      </x:c>
      <x:c r="F42" s="79">
        <x:v>24000</x:v>
      </x:c>
      <x:c r="G42" s="79">
        <x:v>4200</x:v>
      </x:c>
      <x:c r="H42" s="80">
        <x:v>44958</x:v>
      </x:c>
      <x:c r="I42" s="47"/>
    </x:row>
    <x:row r="43" spans="1:9" ht="14.55" customHeight="1">
      <x:c r="A43" s="47"/>
      <x:c r="B43" s="28" t="s">
        <x:v>156</x:v>
      </x:c>
      <x:c r="C43" s="28" t="s">
        <x:v>186</x:v>
      </x:c>
      <x:c r="D43" s="28" t="s">
        <x:v>336</x:v>
      </x:c>
      <x:c r="E43" s="28" t="s">
        <x:v>23</x:v>
      </x:c>
      <x:c r="F43" s="79">
        <x:v>19000</x:v>
      </x:c>
      <x:c r="G43" s="79" t="s">
        <x:v>149</x:v>
      </x:c>
      <x:c r="H43" s="80">
        <x:v>44992</x:v>
      </x:c>
    </x:row>
    <x:row r="44" spans="1:9" ht="14.55" customHeight="1">
      <x:c r="A44" s="47"/>
      <x:c r="B44" s="28" t="s">
        <x:v>165</x:v>
      </x:c>
      <x:c r="C44" s="28" t="s">
        <x:v>172</x:v>
      </x:c>
      <x:c r="D44" s="28" t="s">
        <x:v>339</x:v>
      </x:c>
      <x:c r="E44" s="28" t="s">
        <x:v>23</x:v>
      </x:c>
      <x:c r="F44" s="79">
        <x:v>10000</x:v>
      </x:c>
      <x:c r="G44" s="79">
        <x:v>1500</x:v>
      </x:c>
      <x:c r="H44" s="80">
        <x:v>44955</x:v>
      </x:c>
      <x:c r="I44" s="47"/>
    </x:row>
    <x:row r="45" spans="1:9" ht="14.55" customHeight="1">
      <x:c r="A45" s="47"/>
      <x:c r="B45" s="28" t="s">
        <x:v>150</x:v>
      </x:c>
      <x:c r="C45" s="28" t="s">
        <x:v>180</x:v>
      </x:c>
      <x:c r="D45" s="28" t="s">
        <x:v>351</x:v>
      </x:c>
      <x:c r="E45" s="28" t="s">
        <x:v>23</x:v>
      </x:c>
      <x:c r="F45" s="79">
        <x:v>17000</x:v>
      </x:c>
      <x:c r="G45" s="79" t="s">
        <x:v>149</x:v>
      </x:c>
      <x:c r="H45" s="80">
        <x:v>44977</x:v>
      </x:c>
      <x:c r="I45" s="47"/>
    </x:row>
    <x:row r="46" spans="1:9" ht="14.55" customHeight="1">
      <x:c r="A46" s="47"/>
      <x:c r="B46" s="28" t="s">
        <x:v>156</x:v>
      </x:c>
      <x:c r="C46" s="28" t="s">
        <x:v>187</x:v>
      </x:c>
      <x:c r="D46" s="28" t="s">
        <x:v>348</x:v>
      </x:c>
      <x:c r="E46" s="28" t="s">
        <x:v>23</x:v>
      </x:c>
      <x:c r="F46" s="79">
        <x:v>35500</x:v>
      </x:c>
      <x:c r="G46" s="79" t="s">
        <x:v>149</x:v>
      </x:c>
      <x:c r="H46" s="80">
        <x:v>44868</x:v>
      </x:c>
      <x:c r="I46" s="47"/>
    </x:row>
    <x:row r="47" spans="1:9" ht="14.55" customHeight="1">
      <x:c r="A47" s="47"/>
      <x:c r="B47" s="28" t="s">
        <x:v>154</x:v>
      </x:c>
      <x:c r="C47" s="28" t="s">
        <x:v>188</x:v>
      </x:c>
      <x:c r="D47" s="28" t="s">
        <x:v>355</x:v>
      </x:c>
      <x:c r="E47" s="28" t="s">
        <x:v>148</x:v>
      </x:c>
      <x:c r="F47" s="79">
        <x:v>19500</x:v>
      </x:c>
      <x:c r="G47" s="79" t="s">
        <x:v>149</x:v>
      </x:c>
      <x:c r="H47" s="80">
        <x:v>44930</x:v>
      </x:c>
      <x:c r="I47" s="47"/>
    </x:row>
    <x:row r="48" spans="1:9" ht="14.55" customHeight="1">
      <x:c r="A48" s="47"/>
      <x:c r="B48" s="28" t="s">
        <x:v>152</x:v>
      </x:c>
      <x:c r="C48" s="28" t="s">
        <x:v>189</x:v>
      </x:c>
      <x:c r="D48" s="28" t="s">
        <x:v>339</x:v>
      </x:c>
      <x:c r="E48" s="28" t="s">
        <x:v>23</x:v>
      </x:c>
      <x:c r="F48" s="79">
        <x:v>12000</x:v>
      </x:c>
      <x:c r="G48" s="79" t="s">
        <x:v>149</x:v>
      </x:c>
      <x:c r="H48" s="80">
        <x:v>44894</x:v>
      </x:c>
      <x:c r="I48" s="47"/>
    </x:row>
    <x:row r="49" spans="1:9" ht="14.55" customHeight="1">
      <x:c r="A49" s="47"/>
      <x:c r="B49" s="28" t="s">
        <x:v>150</x:v>
      </x:c>
      <x:c r="C49" s="28" t="s">
        <x:v>190</x:v>
      </x:c>
      <x:c r="D49" s="28" t="s">
        <x:v>355</x:v>
      </x:c>
      <x:c r="E49" s="28" t="s">
        <x:v>23</x:v>
      </x:c>
      <x:c r="F49" s="79">
        <x:v>21000</x:v>
      </x:c>
      <x:c r="G49" s="79" t="s">
        <x:v>149</x:v>
      </x:c>
      <x:c r="H49" s="80">
        <x:v>44996</x:v>
      </x:c>
      <x:c r="I49" s="47"/>
    </x:row>
    <x:row r="50" spans="1:9" ht="14.55" customHeight="1">
      <x:c r="A50" s="47"/>
      <x:c r="B50" s="28" t="s">
        <x:v>163</x:v>
      </x:c>
      <x:c r="C50" s="28" t="s">
        <x:v>191</x:v>
      </x:c>
      <x:c r="D50" s="28" t="s">
        <x:v>356</x:v>
      </x:c>
      <x:c r="E50" s="28" t="s">
        <x:v>148</x:v>
      </x:c>
      <x:c r="F50" s="79">
        <x:v>20500</x:v>
      </x:c>
      <x:c r="G50" s="79" t="s">
        <x:v>149</x:v>
      </x:c>
      <x:c r="H50" s="80">
        <x:v>44854</x:v>
      </x:c>
      <x:c r="I50" s="47"/>
    </x:row>
    <x:row r="51" spans="1:9" ht="14.55" customHeight="1">
      <x:c r="A51" s="47"/>
      <x:c r="B51" s="28" t="s">
        <x:v>156</x:v>
      </x:c>
      <x:c r="C51" s="28" t="s">
        <x:v>192</x:v>
      </x:c>
      <x:c r="D51" s="28" t="s">
        <x:v>357</x:v>
      </x:c>
      <x:c r="E51" s="28" t="s">
        <x:v>148</x:v>
      </x:c>
      <x:c r="F51" s="79">
        <x:v>33500</x:v>
      </x:c>
      <x:c r="G51" s="79" t="s">
        <x:v>149</x:v>
      </x:c>
      <x:c r="H51" s="80">
        <x:v>44855</x:v>
      </x:c>
      <x:c r="I51" s="47"/>
    </x:row>
    <x:row r="52" spans="1:9" ht="14.55" customHeight="1">
      <x:c r="A52" s="47"/>
      <x:c r="B52" s="28" t="s">
        <x:v>165</x:v>
      </x:c>
      <x:c r="C52" s="28" t="s">
        <x:v>193</x:v>
      </x:c>
      <x:c r="D52" s="28" t="s">
        <x:v>344</x:v>
      </x:c>
      <x:c r="E52" s="28" t="s">
        <x:v>23</x:v>
      </x:c>
      <x:c r="F52" s="79">
        <x:v>26000</x:v>
      </x:c>
      <x:c r="G52" s="79">
        <x:v>4700</x:v>
      </x:c>
      <x:c r="H52" s="80">
        <x:v>45028</x:v>
      </x:c>
      <x:c r="I52" s="47"/>
    </x:row>
    <x:row r="53" spans="1:9" ht="14.55" customHeight="1">
      <x:c r="A53" s="47"/>
      <x:c r="B53" s="28" t="s">
        <x:v>161</x:v>
      </x:c>
      <x:c r="C53" s="28" t="s">
        <x:v>194</x:v>
      </x:c>
      <x:c r="D53" s="28" t="s">
        <x:v>344</x:v>
      </x:c>
      <x:c r="E53" s="28" t="s">
        <x:v>23</x:v>
      </x:c>
      <x:c r="F53" s="79">
        <x:v>26500</x:v>
      </x:c>
      <x:c r="G53" s="79" t="s">
        <x:v>149</x:v>
      </x:c>
      <x:c r="H53" s="80">
        <x:v>44918</x:v>
      </x:c>
      <x:c r="I53" s="47"/>
    </x:row>
    <x:row r="54" spans="1:9" ht="14.55" customHeight="1">
      <x:c r="A54" s="47"/>
      <x:c r="B54" s="28" t="s">
        <x:v>156</x:v>
      </x:c>
      <x:c r="C54" s="28" t="s">
        <x:v>195</x:v>
      </x:c>
      <x:c r="D54" s="28" t="s">
        <x:v>356</x:v>
      </x:c>
      <x:c r="E54" s="28" t="s">
        <x:v>23</x:v>
      </x:c>
      <x:c r="F54" s="79">
        <x:v>26000</x:v>
      </x:c>
      <x:c r="G54" s="79">
        <x:v>1000</x:v>
      </x:c>
      <x:c r="H54" s="80">
        <x:v>44885</x:v>
      </x:c>
      <x:c r="I54" s="47"/>
    </x:row>
    <x:row r="55" spans="1:9" ht="14.55" customHeight="1">
      <x:c r="A55" s="47"/>
      <x:c r="B55" s="28" t="s">
        <x:v>163</x:v>
      </x:c>
      <x:c r="C55" s="28" t="s">
        <x:v>196</x:v>
      </x:c>
      <x:c r="D55" s="28" t="s">
        <x:v>335</x:v>
      </x:c>
      <x:c r="E55" s="28" t="s">
        <x:v>23</x:v>
      </x:c>
      <x:c r="F55" s="79">
        <x:v>17500</x:v>
      </x:c>
      <x:c r="G55" s="79" t="s">
        <x:v>149</x:v>
      </x:c>
      <x:c r="H55" s="80">
        <x:v>44926</x:v>
      </x:c>
      <x:c r="I55" s="47"/>
    </x:row>
    <x:row r="56" spans="1:9" ht="14.55" customHeight="1">
      <x:c r="A56" s="47"/>
      <x:c r="B56" s="28" t="s">
        <x:v>154</x:v>
      </x:c>
      <x:c r="C56" s="28" t="s">
        <x:v>197</x:v>
      </x:c>
      <x:c r="D56" s="28" t="s">
        <x:v>342</x:v>
      </x:c>
      <x:c r="E56" s="28" t="s">
        <x:v>23</x:v>
      </x:c>
      <x:c r="F56" s="79">
        <x:v>19500</x:v>
      </x:c>
      <x:c r="G56" s="79" t="s">
        <x:v>149</x:v>
      </x:c>
      <x:c r="H56" s="80">
        <x:v>45053</x:v>
      </x:c>
      <x:c r="I56" s="47"/>
    </x:row>
    <x:row r="57" spans="1:9" ht="14.55" customHeight="1">
      <x:c r="A57" s="47"/>
      <x:c r="B57" s="28" t="s">
        <x:v>154</x:v>
      </x:c>
      <x:c r="C57" s="28" t="s">
        <x:v>198</x:v>
      </x:c>
      <x:c r="D57" s="28" t="s">
        <x:v>357</x:v>
      </x:c>
      <x:c r="E57" s="28" t="s">
        <x:v>23</x:v>
      </x:c>
      <x:c r="F57" s="79">
        <x:v>37000</x:v>
      </x:c>
      <x:c r="G57" s="79" t="s">
        <x:v>149</x:v>
      </x:c>
      <x:c r="H57" s="80">
        <x:v>44989</x:v>
      </x:c>
      <x:c r="I57" s="47"/>
    </x:row>
    <x:row r="58" spans="1:9" ht="14.55" customHeight="1">
      <x:c r="A58" s="47"/>
      <x:c r="B58" s="28" t="s">
        <x:v>152</x:v>
      </x:c>
      <x:c r="C58" s="28" t="s">
        <x:v>199</x:v>
      </x:c>
      <x:c r="D58" s="28" t="s">
        <x:v>343</x:v>
      </x:c>
      <x:c r="E58" s="28" t="s">
        <x:v>23</x:v>
      </x:c>
      <x:c r="F58" s="79">
        <x:v>31500</x:v>
      </x:c>
      <x:c r="G58" s="79" t="s">
        <x:v>149</x:v>
      </x:c>
      <x:c r="H58" s="80">
        <x:v>45008</x:v>
      </x:c>
      <x:c r="I58" s="47"/>
    </x:row>
    <x:row r="59" spans="1:9" ht="14.55" customHeight="1">
      <x:c r="A59" s="47"/>
      <x:c r="B59" s="28" t="s">
        <x:v>146</x:v>
      </x:c>
      <x:c r="C59" s="28" t="s">
        <x:v>200</x:v>
      </x:c>
      <x:c r="D59" s="28" t="s">
        <x:v>350</x:v>
      </x:c>
      <x:c r="E59" s="28" t="s">
        <x:v>23</x:v>
      </x:c>
      <x:c r="F59" s="79">
        <x:v>6500</x:v>
      </x:c>
      <x:c r="G59" s="79">
        <x:v>1100</x:v>
      </x:c>
      <x:c r="H59" s="80">
        <x:v>44934</x:v>
      </x:c>
      <x:c r="I59" s="47"/>
    </x:row>
    <x:row r="60" spans="1:9" ht="14.55" customHeight="1">
      <x:c r="A60" s="47"/>
      <x:c r="B60" s="28" t="s">
        <x:v>150</x:v>
      </x:c>
      <x:c r="C60" s="28" t="s">
        <x:v>190</x:v>
      </x:c>
      <x:c r="D60" s="28" t="s">
        <x:v>355</x:v>
      </x:c>
      <x:c r="E60" s="28" t="s">
        <x:v>23</x:v>
      </x:c>
      <x:c r="F60" s="79">
        <x:v>22500</x:v>
      </x:c>
      <x:c r="G60" s="79">
        <x:v>3900</x:v>
      </x:c>
      <x:c r="H60" s="80">
        <x:v>45052</x:v>
      </x:c>
      <x:c r="I60" s="47"/>
    </x:row>
    <x:row r="61" spans="1:9" ht="14.55" customHeight="1">
      <x:c r="A61" s="47"/>
      <x:c r="B61" s="28" t="s">
        <x:v>165</x:v>
      </x:c>
      <x:c r="C61" s="28" t="s">
        <x:v>201</x:v>
      </x:c>
      <x:c r="D61" s="28" t="s">
        <x:v>352</x:v>
      </x:c>
      <x:c r="E61" s="28" t="s">
        <x:v>23</x:v>
      </x:c>
      <x:c r="F61" s="79">
        <x:v>30500</x:v>
      </x:c>
      <x:c r="G61" s="79" t="s">
        <x:v>149</x:v>
      </x:c>
      <x:c r="H61" s="80">
        <x:v>44921</x:v>
      </x:c>
      <x:c r="I61" s="47"/>
    </x:row>
    <x:row r="62" spans="1:9" ht="14.55" customHeight="1">
      <x:c r="A62" s="47"/>
      <x:c r="B62" s="28" t="s">
        <x:v>154</x:v>
      </x:c>
      <x:c r="C62" s="28" t="s">
        <x:v>202</x:v>
      </x:c>
      <x:c r="D62" s="28" t="s">
        <x:v>354</x:v>
      </x:c>
      <x:c r="E62" s="28" t="s">
        <x:v>23</x:v>
      </x:c>
      <x:c r="F62" s="79">
        <x:v>28000</x:v>
      </x:c>
      <x:c r="G62" s="79" t="s">
        <x:v>149</x:v>
      </x:c>
      <x:c r="H62" s="80">
        <x:v>45008</x:v>
      </x:c>
      <x:c r="I62" s="47"/>
    </x:row>
    <x:row r="63" spans="1:9" ht="14.55" customHeight="1">
      <x:c r="A63" s="47"/>
      <x:c r="B63" s="28" t="s">
        <x:v>156</x:v>
      </x:c>
      <x:c r="C63" s="28" t="s">
        <x:v>203</x:v>
      </x:c>
      <x:c r="D63" s="28" t="s">
        <x:v>338</x:v>
      </x:c>
      <x:c r="E63" s="28" t="s">
        <x:v>23</x:v>
      </x:c>
      <x:c r="F63" s="79">
        <x:v>12500</x:v>
      </x:c>
      <x:c r="G63" s="79" t="s">
        <x:v>149</x:v>
      </x:c>
      <x:c r="H63" s="80">
        <x:v>44874</x:v>
      </x:c>
      <x:c r="I63" s="47"/>
    </x:row>
    <x:row r="64" spans="1:9" ht="14.55" customHeight="1">
      <x:c r="A64" s="47"/>
      <x:c r="B64" s="28" t="s">
        <x:v>150</x:v>
      </x:c>
      <x:c r="C64" s="28" t="s">
        <x:v>182</x:v>
      </x:c>
      <x:c r="D64" s="28" t="s">
        <x:v>353</x:v>
      </x:c>
      <x:c r="E64" s="28" t="s">
        <x:v>23</x:v>
      </x:c>
      <x:c r="F64" s="79">
        <x:v>22500</x:v>
      </x:c>
      <x:c r="G64" s="79" t="s">
        <x:v>149</x:v>
      </x:c>
      <x:c r="H64" s="80">
        <x:v>44862</x:v>
      </x:c>
      <x:c r="I64" s="47"/>
    </x:row>
    <x:row r="65" spans="1:9" ht="14.55" customHeight="1">
      <x:c r="A65" s="47"/>
      <x:c r="B65" s="28" t="s">
        <x:v>165</x:v>
      </x:c>
      <x:c r="C65" s="28" t="s">
        <x:v>204</x:v>
      </x:c>
      <x:c r="D65" s="28" t="s">
        <x:v>335</x:v>
      </x:c>
      <x:c r="E65" s="28" t="s">
        <x:v>23</x:v>
      </x:c>
      <x:c r="F65" s="79">
        <x:v>34500</x:v>
      </x:c>
      <x:c r="G65" s="79">
        <x:v>3600</x:v>
      </x:c>
      <x:c r="H65" s="80">
        <x:v>44949</x:v>
      </x:c>
      <x:c r="I65" s="47"/>
    </x:row>
    <x:row r="66" spans="1:9" ht="14.55" customHeight="1">
      <x:c r="A66" s="47"/>
      <x:c r="B66" s="28" t="s">
        <x:v>146</x:v>
      </x:c>
      <x:c r="C66" s="28" t="s">
        <x:v>200</x:v>
      </x:c>
      <x:c r="D66" s="28" t="s">
        <x:v>350</x:v>
      </x:c>
      <x:c r="E66" s="28" t="s">
        <x:v>23</x:v>
      </x:c>
      <x:c r="F66" s="79">
        <x:v>26500</x:v>
      </x:c>
      <x:c r="G66" s="79" t="s">
        <x:v>149</x:v>
      </x:c>
      <x:c r="H66" s="80">
        <x:v>44914</x:v>
      </x:c>
      <x:c r="I66" s="47"/>
    </x:row>
    <x:row r="67" spans="1:9" ht="14.55" customHeight="1">
      <x:c r="A67" s="47"/>
      <x:c r="B67" s="28" t="s">
        <x:v>146</x:v>
      </x:c>
      <x:c r="C67" s="28" t="s">
        <x:v>205</x:v>
      </x:c>
      <x:c r="D67" s="28" t="s">
        <x:v>356</x:v>
      </x:c>
      <x:c r="E67" s="28" t="s">
        <x:v>23</x:v>
      </x:c>
      <x:c r="F67" s="79">
        <x:v>25500</x:v>
      </x:c>
      <x:c r="G67" s="79" t="s">
        <x:v>149</x:v>
      </x:c>
      <x:c r="H67" s="80">
        <x:v>45054</x:v>
      </x:c>
      <x:c r="I67" s="47"/>
    </x:row>
    <x:row r="68" spans="1:9" ht="14.55" customHeight="1">
      <x:c r="A68" s="47"/>
      <x:c r="B68" s="28" t="s">
        <x:v>154</x:v>
      </x:c>
      <x:c r="C68" s="28" t="s">
        <x:v>206</x:v>
      </x:c>
      <x:c r="D68" s="28" t="s">
        <x:v>349</x:v>
      </x:c>
      <x:c r="E68" s="28" t="s">
        <x:v>23</x:v>
      </x:c>
      <x:c r="F68" s="79">
        <x:v>7500</x:v>
      </x:c>
      <x:c r="G68" s="79" t="s">
        <x:v>149</x:v>
      </x:c>
      <x:c r="H68" s="80">
        <x:v>44847</x:v>
      </x:c>
      <x:c r="I68" s="47"/>
    </x:row>
    <x:row r="69" spans="1:9" ht="14.55" customHeight="1">
      <x:c r="A69" s="47"/>
      <x:c r="B69" s="28" t="s">
        <x:v>165</x:v>
      </x:c>
      <x:c r="C69" s="28" t="s">
        <x:v>207</x:v>
      </x:c>
      <x:c r="D69" s="28" t="s">
        <x:v>350</x:v>
      </x:c>
      <x:c r="E69" s="28" t="s">
        <x:v>23</x:v>
      </x:c>
      <x:c r="F69" s="79">
        <x:v>14500</x:v>
      </x:c>
      <x:c r="G69" s="79" t="s">
        <x:v>149</x:v>
      </x:c>
      <x:c r="H69" s="80">
        <x:v>45017</x:v>
      </x:c>
      <x:c r="I69" s="47"/>
    </x:row>
    <x:row r="70" spans="1:9" ht="14.55" customHeight="1">
      <x:c r="A70" s="47"/>
      <x:c r="B70" s="28" t="s">
        <x:v>161</x:v>
      </x:c>
      <x:c r="C70" s="28" t="s">
        <x:v>208</x:v>
      </x:c>
      <x:c r="D70" s="28" t="s">
        <x:v>334</x:v>
      </x:c>
      <x:c r="E70" s="28" t="s">
        <x:v>23</x:v>
      </x:c>
      <x:c r="F70" s="79">
        <x:v>14000</x:v>
      </x:c>
      <x:c r="G70" s="79">
        <x:v>1200</x:v>
      </x:c>
      <x:c r="H70" s="80">
        <x:v>44855</x:v>
      </x:c>
      <x:c r="I70" s="47"/>
    </x:row>
    <x:row r="71" spans="1:9" ht="14.55" customHeight="1">
      <x:c r="A71" s="47"/>
      <x:c r="B71" s="28" t="s">
        <x:v>156</x:v>
      </x:c>
      <x:c r="C71" s="28" t="s">
        <x:v>209</x:v>
      </x:c>
      <x:c r="D71" s="28" t="s">
        <x:v>350</x:v>
      </x:c>
      <x:c r="E71" s="28" t="s">
        <x:v>23</x:v>
      </x:c>
      <x:c r="F71" s="79">
        <x:v>18500</x:v>
      </x:c>
      <x:c r="G71" s="79" t="s">
        <x:v>149</x:v>
      </x:c>
      <x:c r="H71" s="80">
        <x:v>44878</x:v>
      </x:c>
      <x:c r="I71" s="47"/>
    </x:row>
    <x:row r="72" spans="1:9" ht="14.55" customHeight="1">
      <x:c r="A72" s="47"/>
      <x:c r="B72" s="28" t="s">
        <x:v>154</x:v>
      </x:c>
      <x:c r="C72" s="28" t="s">
        <x:v>210</x:v>
      </x:c>
      <x:c r="D72" s="28" t="s">
        <x:v>356</x:v>
      </x:c>
      <x:c r="E72" s="28" t="s">
        <x:v>23</x:v>
      </x:c>
      <x:c r="F72" s="79">
        <x:v>14500</x:v>
      </x:c>
      <x:c r="G72" s="79" t="s">
        <x:v>149</x:v>
      </x:c>
      <x:c r="H72" s="80">
        <x:v>44996</x:v>
      </x:c>
      <x:c r="I72" s="47"/>
    </x:row>
    <x:row r="73" spans="1:9" ht="14.55" customHeight="1">
      <x:c r="A73" s="47"/>
      <x:c r="B73" s="28" t="s">
        <x:v>152</x:v>
      </x:c>
      <x:c r="C73" s="28" t="s">
        <x:v>179</x:v>
      </x:c>
      <x:c r="D73" s="28" t="s">
        <x:v>349</x:v>
      </x:c>
      <x:c r="E73" s="28" t="s">
        <x:v>23</x:v>
      </x:c>
      <x:c r="F73" s="79">
        <x:v>12000</x:v>
      </x:c>
      <x:c r="G73" s="79">
        <x:v>3100</x:v>
      </x:c>
      <x:c r="H73" s="80">
        <x:v>44958</x:v>
      </x:c>
      <x:c r="I73" s="47"/>
    </x:row>
    <x:row r="74" spans="1:9" ht="14.55" customHeight="1">
      <x:c r="A74" s="47"/>
      <x:c r="B74" s="28" t="s">
        <x:v>161</x:v>
      </x:c>
      <x:c r="C74" s="28" t="s">
        <x:v>162</x:v>
      </x:c>
      <x:c r="D74" s="28" t="s">
        <x:v>337</x:v>
      </x:c>
      <x:c r="E74" s="28" t="s">
        <x:v>23</x:v>
      </x:c>
      <x:c r="F74" s="79">
        <x:v>25000</x:v>
      </x:c>
      <x:c r="G74" s="79" t="s">
        <x:v>149</x:v>
      </x:c>
      <x:c r="H74" s="80">
        <x:v>44890</x:v>
      </x:c>
      <x:c r="I74" s="47"/>
    </x:row>
    <x:row r="75" spans="1:9" ht="14.55" customHeight="1">
      <x:c r="A75" s="47"/>
      <x:c r="B75" s="28" t="s">
        <x:v>156</x:v>
      </x:c>
      <x:c r="C75" s="28" t="s">
        <x:v>211</x:v>
      </x:c>
      <x:c r="D75" s="28" t="s">
        <x:v>335</x:v>
      </x:c>
      <x:c r="E75" s="28" t="s">
        <x:v>23</x:v>
      </x:c>
      <x:c r="F75" s="79">
        <x:v>27500</x:v>
      </x:c>
      <x:c r="G75" s="79" t="s">
        <x:v>149</x:v>
      </x:c>
      <x:c r="H75" s="80">
        <x:v>44888</x:v>
      </x:c>
      <x:c r="I75" s="47"/>
    </x:row>
    <x:row r="76" spans="1:9" ht="14.55" customHeight="1">
      <x:c r="A76" s="47"/>
      <x:c r="B76" s="28" t="s">
        <x:v>146</x:v>
      </x:c>
      <x:c r="C76" s="28" t="s">
        <x:v>212</x:v>
      </x:c>
      <x:c r="D76" s="28" t="s">
        <x:v>348</x:v>
      </x:c>
      <x:c r="E76" s="28" t="s">
        <x:v>23</x:v>
      </x:c>
      <x:c r="F76" s="79">
        <x:v>20500</x:v>
      </x:c>
      <x:c r="G76" s="79" t="s">
        <x:v>149</x:v>
      </x:c>
      <x:c r="H76" s="80">
        <x:v>44974</x:v>
      </x:c>
      <x:c r="I76" s="47"/>
    </x:row>
    <x:row r="77" spans="1:9" ht="14.55" customHeight="1">
      <x:c r="A77" s="47"/>
      <x:c r="B77" s="28" t="s">
        <x:v>163</x:v>
      </x:c>
      <x:c r="C77" s="28" t="s">
        <x:v>213</x:v>
      </x:c>
      <x:c r="D77" s="28" t="s">
        <x:v>342</x:v>
      </x:c>
      <x:c r="E77" s="28" t="s">
        <x:v>23</x:v>
      </x:c>
      <x:c r="F77" s="79">
        <x:v>40000</x:v>
      </x:c>
      <x:c r="G77" s="79">
        <x:v>2800</x:v>
      </x:c>
      <x:c r="H77" s="80">
        <x:v>45043</x:v>
      </x:c>
      <x:c r="I77" s="47"/>
    </x:row>
    <x:row r="78" spans="1:9" ht="14.55" customHeight="1">
      <x:c r="A78" s="47"/>
      <x:c r="B78" s="28" t="s">
        <x:v>156</x:v>
      </x:c>
      <x:c r="C78" s="28" t="s">
        <x:v>214</x:v>
      </x:c>
      <x:c r="D78" s="28" t="s">
        <x:v>333</x:v>
      </x:c>
      <x:c r="E78" s="28" t="s">
        <x:v>23</x:v>
      </x:c>
      <x:c r="F78" s="79">
        <x:v>27000</x:v>
      </x:c>
      <x:c r="G78" s="79" t="s">
        <x:v>149</x:v>
      </x:c>
      <x:c r="H78" s="80">
        <x:v>45042</x:v>
      </x:c>
      <x:c r="I78" s="47"/>
    </x:row>
    <x:row r="79" spans="1:9" ht="14.55" customHeight="1">
      <x:c r="A79" s="47"/>
      <x:c r="B79" s="28" t="s">
        <x:v>161</x:v>
      </x:c>
      <x:c r="C79" s="28" t="s">
        <x:v>215</x:v>
      </x:c>
      <x:c r="D79" s="28" t="s">
        <x:v>349</x:v>
      </x:c>
      <x:c r="E79" s="28" t="s">
        <x:v>23</x:v>
      </x:c>
      <x:c r="F79" s="79">
        <x:v>36500</x:v>
      </x:c>
      <x:c r="G79" s="79" t="s">
        <x:v>149</x:v>
      </x:c>
      <x:c r="H79" s="80">
        <x:v>45055</x:v>
      </x:c>
      <x:c r="I79" s="47"/>
    </x:row>
    <x:row r="80" spans="1:9" ht="14.55" customHeight="1">
      <x:c r="A80" s="47"/>
      <x:c r="B80" s="28" t="s">
        <x:v>154</x:v>
      </x:c>
      <x:c r="C80" s="28" t="s">
        <x:v>155</x:v>
      </x:c>
      <x:c r="D80" s="28" t="s">
        <x:v>336</x:v>
      </x:c>
      <x:c r="E80" s="28" t="s">
        <x:v>23</x:v>
      </x:c>
      <x:c r="F80" s="79">
        <x:v>18000</x:v>
      </x:c>
      <x:c r="G80" s="79" t="s">
        <x:v>149</x:v>
      </x:c>
      <x:c r="H80" s="80">
        <x:v>44874</x:v>
      </x:c>
      <x:c r="I80" s="47"/>
    </x:row>
    <x:row r="81" spans="1:9" ht="14.55" customHeight="1">
      <x:c r="A81" s="47"/>
      <x:c r="B81" s="28" t="s">
        <x:v>156</x:v>
      </x:c>
      <x:c r="C81" s="28" t="s">
        <x:v>216</x:v>
      </x:c>
      <x:c r="D81" s="28" t="s">
        <x:v>345</x:v>
      </x:c>
      <x:c r="E81" s="28" t="s">
        <x:v>23</x:v>
      </x:c>
      <x:c r="F81" s="79">
        <x:v>5500</x:v>
      </x:c>
      <x:c r="G81" s="79" t="s">
        <x:v>149</x:v>
      </x:c>
      <x:c r="H81" s="80">
        <x:v>44900</x:v>
      </x:c>
      <x:c r="I81" s="47"/>
    </x:row>
    <x:row r="82" spans="1:9" ht="14.55" customHeight="1">
      <x:c r="A82" s="47"/>
      <x:c r="B82" s="28" t="s">
        <x:v>150</x:v>
      </x:c>
      <x:c r="C82" s="28" t="s">
        <x:v>217</x:v>
      </x:c>
      <x:c r="D82" s="28" t="s">
        <x:v>337</x:v>
      </x:c>
      <x:c r="E82" s="28" t="s">
        <x:v>23</x:v>
      </x:c>
      <x:c r="F82" s="79">
        <x:v>7000</x:v>
      </x:c>
      <x:c r="G82" s="79">
        <x:v>1200</x:v>
      </x:c>
      <x:c r="H82" s="80">
        <x:v>44994</x:v>
      </x:c>
      <x:c r="I82" s="47"/>
    </x:row>
    <x:row r="83" spans="1:9" ht="14.55" customHeight="1">
      <x:c r="A83" s="47"/>
      <x:c r="B83" s="28" t="s">
        <x:v>163</x:v>
      </x:c>
      <x:c r="C83" s="28" t="s">
        <x:v>218</x:v>
      </x:c>
      <x:c r="D83" s="28" t="s">
        <x:v>351</x:v>
      </x:c>
      <x:c r="E83" s="28" t="s">
        <x:v>23</x:v>
      </x:c>
      <x:c r="F83" s="79">
        <x:v>23500</x:v>
      </x:c>
      <x:c r="G83" s="79" t="s">
        <x:v>149</x:v>
      </x:c>
      <x:c r="H83" s="80">
        <x:v>44997</x:v>
      </x:c>
      <x:c r="I83" s="47"/>
    </x:row>
    <x:row r="84" spans="1:9" ht="14.55" customHeight="1">
      <x:c r="A84" s="47"/>
      <x:c r="B84" s="28" t="s">
        <x:v>163</x:v>
      </x:c>
      <x:c r="C84" s="28" t="s">
        <x:v>219</x:v>
      </x:c>
      <x:c r="D84" s="28" t="s">
        <x:v>338</x:v>
      </x:c>
      <x:c r="E84" s="28" t="s">
        <x:v>23</x:v>
      </x:c>
      <x:c r="F84" s="79">
        <x:v>23000</x:v>
      </x:c>
      <x:c r="G84" s="79">
        <x:v>3200</x:v>
      </x:c>
      <x:c r="H84" s="80">
        <x:v>44864</x:v>
      </x:c>
      <x:c r="I84" s="47"/>
    </x:row>
    <x:row r="85" spans="1:9" ht="14.55" customHeight="1">
      <x:c r="A85" s="47"/>
      <x:c r="B85" s="28" t="s">
        <x:v>154</x:v>
      </x:c>
      <x:c r="C85" s="28" t="s">
        <x:v>206</x:v>
      </x:c>
      <x:c r="D85" s="28" t="s">
        <x:v>349</x:v>
      </x:c>
      <x:c r="E85" s="28" t="s">
        <x:v>23</x:v>
      </x:c>
      <x:c r="F85" s="79">
        <x:v>16500</x:v>
      </x:c>
      <x:c r="G85" s="79" t="s">
        <x:v>149</x:v>
      </x:c>
      <x:c r="H85" s="80">
        <x:v>45053</x:v>
      </x:c>
      <x:c r="I85" s="47"/>
    </x:row>
    <x:row r="86" spans="1:9" ht="14.55" customHeight="1">
      <x:c r="A86" s="47"/>
      <x:c r="B86" s="28" t="s">
        <x:v>163</x:v>
      </x:c>
      <x:c r="C86" s="28" t="s">
        <x:v>170</x:v>
      </x:c>
      <x:c r="D86" s="28" t="s">
        <x:v>345</x:v>
      </x:c>
      <x:c r="E86" s="28" t="s">
        <x:v>23</x:v>
      </x:c>
      <x:c r="F86" s="79">
        <x:v>31500</x:v>
      </x:c>
      <x:c r="G86" s="79" t="s">
        <x:v>149</x:v>
      </x:c>
      <x:c r="H86" s="80">
        <x:v>44999</x:v>
      </x:c>
      <x:c r="I86" s="47"/>
    </x:row>
    <x:row r="87" spans="1:9" ht="14.55" customHeight="1">
      <x:c r="A87" s="47"/>
      <x:c r="B87" s="28" t="s">
        <x:v>154</x:v>
      </x:c>
      <x:c r="C87" s="28" t="s">
        <x:v>220</x:v>
      </x:c>
      <x:c r="D87" s="28" t="s">
        <x:v>352</x:v>
      </x:c>
      <x:c r="E87" s="28" t="s">
        <x:v>23</x:v>
      </x:c>
      <x:c r="F87" s="79">
        <x:v>7500</x:v>
      </x:c>
      <x:c r="G87" s="79" t="s">
        <x:v>149</x:v>
      </x:c>
      <x:c r="H87" s="80">
        <x:v>44835</x:v>
      </x:c>
      <x:c r="I87" s="47"/>
    </x:row>
    <x:row r="88" spans="1:9" ht="14.55" customHeight="1">
      <x:c r="A88" s="47"/>
      <x:c r="B88" s="28" t="s">
        <x:v>161</x:v>
      </x:c>
      <x:c r="C88" s="28" t="s">
        <x:v>174</x:v>
      </x:c>
      <x:c r="D88" s="28" t="s">
        <x:v>336</x:v>
      </x:c>
      <x:c r="E88" s="28" t="s">
        <x:v>23</x:v>
      </x:c>
      <x:c r="F88" s="79">
        <x:v>8500</x:v>
      </x:c>
      <x:c r="G88" s="79" t="s">
        <x:v>149</x:v>
      </x:c>
      <x:c r="H88" s="80">
        <x:v>44935</x:v>
      </x:c>
      <x:c r="I88" s="47"/>
    </x:row>
    <x:row r="89" spans="1:9" ht="14.55" customHeight="1">
      <x:c r="A89" s="47"/>
      <x:c r="B89" s="28" t="s">
        <x:v>146</x:v>
      </x:c>
      <x:c r="C89" s="28" t="s">
        <x:v>221</x:v>
      </x:c>
      <x:c r="D89" s="28" t="s">
        <x:v>346</x:v>
      </x:c>
      <x:c r="E89" s="28" t="s">
        <x:v>23</x:v>
      </x:c>
      <x:c r="F89" s="79">
        <x:v>12500</x:v>
      </x:c>
      <x:c r="G89" s="79">
        <x:v>2100</x:v>
      </x:c>
      <x:c r="H89" s="80">
        <x:v>45006</x:v>
      </x:c>
      <x:c r="I89" s="47"/>
    </x:row>
    <x:row r="90" spans="1:9" ht="14.55" customHeight="1">
      <x:c r="A90" s="47"/>
      <x:c r="B90" s="28" t="s">
        <x:v>163</x:v>
      </x:c>
      <x:c r="C90" s="28" t="s">
        <x:v>222</x:v>
      </x:c>
      <x:c r="D90" s="28" t="s">
        <x:v>352</x:v>
      </x:c>
      <x:c r="E90" s="28" t="s">
        <x:v>23</x:v>
      </x:c>
      <x:c r="F90" s="79">
        <x:v>23500</x:v>
      </x:c>
      <x:c r="G90" s="79" t="s">
        <x:v>149</x:v>
      </x:c>
      <x:c r="H90" s="80">
        <x:v>44966</x:v>
      </x:c>
      <x:c r="I90" s="47"/>
    </x:row>
    <x:row r="91" spans="1:9" ht="14.55" customHeight="1">
      <x:c r="A91" s="47"/>
      <x:c r="B91" s="28" t="s">
        <x:v>146</x:v>
      </x:c>
      <x:c r="C91" s="28" t="s">
        <x:v>200</x:v>
      </x:c>
      <x:c r="D91" s="28" t="s">
        <x:v>350</x:v>
      </x:c>
      <x:c r="E91" s="28" t="s">
        <x:v>23</x:v>
      </x:c>
      <x:c r="F91" s="79">
        <x:v>27000</x:v>
      </x:c>
      <x:c r="G91" s="79">
        <x:v>1100</x:v>
      </x:c>
      <x:c r="H91" s="80">
        <x:v>44926</x:v>
      </x:c>
      <x:c r="I91" s="47"/>
    </x:row>
    <x:row r="92" spans="1:9" ht="14.55" customHeight="1">
      <x:c r="A92" s="47"/>
      <x:c r="B92" s="28" t="s">
        <x:v>163</x:v>
      </x:c>
      <x:c r="C92" s="28" t="s">
        <x:v>223</x:v>
      </x:c>
      <x:c r="D92" s="28" t="s">
        <x:v>347</x:v>
      </x:c>
      <x:c r="E92" s="28" t="s">
        <x:v>23</x:v>
      </x:c>
      <x:c r="F92" s="79">
        <x:v>24000</x:v>
      </x:c>
      <x:c r="G92" s="79" t="s">
        <x:v>149</x:v>
      </x:c>
      <x:c r="H92" s="80">
        <x:v>44906</x:v>
      </x:c>
      <x:c r="I92" s="47"/>
    </x:row>
    <x:row r="93" spans="1:9" ht="14.55" customHeight="1">
      <x:c r="A93" s="47"/>
      <x:c r="B93" s="28" t="s">
        <x:v>152</x:v>
      </x:c>
      <x:c r="C93" s="28" t="s">
        <x:v>185</x:v>
      </x:c>
      <x:c r="D93" s="28" t="s">
        <x:v>353</x:v>
      </x:c>
      <x:c r="E93" s="28" t="s">
        <x:v>23</x:v>
      </x:c>
      <x:c r="F93" s="79">
        <x:v>15500</x:v>
      </x:c>
      <x:c r="G93" s="79" t="s">
        <x:v>149</x:v>
      </x:c>
      <x:c r="H93" s="80">
        <x:v>44886</x:v>
      </x:c>
      <x:c r="I93" s="47"/>
    </x:row>
    <x:row r="94" spans="1:9" ht="14.55" customHeight="1">
      <x:c r="A94" s="47"/>
      <x:c r="B94" s="28" t="s">
        <x:v>161</x:v>
      </x:c>
      <x:c r="C94" s="28" t="s">
        <x:v>224</x:v>
      </x:c>
      <x:c r="D94" s="28" t="s">
        <x:v>338</x:v>
      </x:c>
      <x:c r="E94" s="28" t="s">
        <x:v>23</x:v>
      </x:c>
      <x:c r="F94" s="79">
        <x:v>40000</x:v>
      </x:c>
      <x:c r="G94" s="79" t="s">
        <x:v>149</x:v>
      </x:c>
      <x:c r="H94" s="80">
        <x:v>44970</x:v>
      </x:c>
      <x:c r="I94" s="47"/>
    </x:row>
    <x:row r="95" spans="1:9" ht="14.55" customHeight="1">
      <x:c r="A95" s="47"/>
      <x:c r="B95" s="28" t="s">
        <x:v>165</x:v>
      </x:c>
      <x:c r="C95" s="28" t="s">
        <x:v>225</x:v>
      </x:c>
      <x:c r="D95" s="28" t="s">
        <x:v>349</x:v>
      </x:c>
      <x:c r="E95" s="28" t="s">
        <x:v>23</x:v>
      </x:c>
      <x:c r="F95" s="79">
        <x:v>16000</x:v>
      </x:c>
      <x:c r="G95" s="79">
        <x:v>3200</x:v>
      </x:c>
      <x:c r="H95" s="80">
        <x:v>45049</x:v>
      </x:c>
      <x:c r="I95" s="47"/>
    </x:row>
    <x:row r="96" spans="1:9" ht="14.55" customHeight="1">
      <x:c r="A96" s="47"/>
      <x:c r="B96" s="28" t="s">
        <x:v>152</x:v>
      </x:c>
      <x:c r="C96" s="28" t="s">
        <x:v>226</x:v>
      </x:c>
      <x:c r="D96" s="28" t="s">
        <x:v>340</x:v>
      </x:c>
      <x:c r="E96" s="28" t="s">
        <x:v>23</x:v>
      </x:c>
      <x:c r="F96" s="79">
        <x:v>29000</x:v>
      </x:c>
      <x:c r="G96" s="79" t="s">
        <x:v>149</x:v>
      </x:c>
      <x:c r="H96" s="80">
        <x:v>45006</x:v>
      </x:c>
      <x:c r="I96" s="47"/>
    </x:row>
    <x:row r="97" spans="1:9" ht="14.55" customHeight="1">
      <x:c r="A97" s="47"/>
      <x:c r="B97" s="28" t="s">
        <x:v>163</x:v>
      </x:c>
      <x:c r="C97" s="28" t="s">
        <x:v>227</x:v>
      </x:c>
      <x:c r="D97" s="28" t="s">
        <x:v>346</x:v>
      </x:c>
      <x:c r="E97" s="28" t="s">
        <x:v>23</x:v>
      </x:c>
      <x:c r="F97" s="79">
        <x:v>23500</x:v>
      </x:c>
      <x:c r="G97" s="79" t="s">
        <x:v>149</x:v>
      </x:c>
      <x:c r="H97" s="80">
        <x:v>44886</x:v>
      </x:c>
      <x:c r="I97" s="47"/>
    </x:row>
    <x:row r="98" spans="1:9" ht="14.55" customHeight="1">
      <x:c r="A98" s="47"/>
      <x:c r="B98" s="28" t="s">
        <x:v>154</x:v>
      </x:c>
      <x:c r="C98" s="28" t="s">
        <x:v>228</x:v>
      </x:c>
      <x:c r="D98" s="28" t="s">
        <x:v>341</x:v>
      </x:c>
      <x:c r="E98" s="28" t="s">
        <x:v>23</x:v>
      </x:c>
      <x:c r="F98" s="79">
        <x:v>11500</x:v>
      </x:c>
      <x:c r="G98" s="79" t="s">
        <x:v>149</x:v>
      </x:c>
      <x:c r="H98" s="80">
        <x:v>44846</x:v>
      </x:c>
      <x:c r="I98" s="47"/>
    </x:row>
    <x:row r="99" spans="1:9" ht="14.55" customHeight="1">
      <x:c r="A99" s="47"/>
      <x:c r="B99" s="28" t="s">
        <x:v>154</x:v>
      </x:c>
      <x:c r="C99" s="28" t="s">
        <x:v>229</x:v>
      </x:c>
      <x:c r="D99" s="28" t="s">
        <x:v>344</x:v>
      </x:c>
      <x:c r="E99" s="28" t="s">
        <x:v>23</x:v>
      </x:c>
      <x:c r="F99" s="79">
        <x:v>22500</x:v>
      </x:c>
      <x:c r="G99" s="79" t="s">
        <x:v>149</x:v>
      </x:c>
      <x:c r="H99" s="80">
        <x:v>44928</x:v>
      </x:c>
      <x:c r="I99" s="47"/>
    </x:row>
    <x:row r="100" spans="1:9" ht="14.55" customHeight="1">
      <x:c r="A100" s="47"/>
      <x:c r="B100" s="28" t="s">
        <x:v>152</x:v>
      </x:c>
      <x:c r="C100" s="28" t="s">
        <x:v>230</x:v>
      </x:c>
      <x:c r="D100" s="28" t="s">
        <x:v>346</x:v>
      </x:c>
      <x:c r="E100" s="28" t="s">
        <x:v>23</x:v>
      </x:c>
      <x:c r="F100" s="79">
        <x:v>8000</x:v>
      </x:c>
      <x:c r="G100" s="79" t="s">
        <x:v>149</x:v>
      </x:c>
      <x:c r="H100" s="80">
        <x:v>44968</x:v>
      </x:c>
      <x:c r="I100" s="47"/>
    </x:row>
    <x:row r="101" spans="1:9" ht="14.55" customHeight="1">
      <x:c r="A101" s="47"/>
      <x:c r="B101" s="28" t="s">
        <x:v>152</x:v>
      </x:c>
      <x:c r="C101" s="28" t="s">
        <x:v>231</x:v>
      </x:c>
      <x:c r="D101" s="28" t="s">
        <x:v>334</x:v>
      </x:c>
      <x:c r="E101" s="28" t="s">
        <x:v>23</x:v>
      </x:c>
      <x:c r="F101" s="79">
        <x:v>12500</x:v>
      </x:c>
      <x:c r="G101" s="79" t="s">
        <x:v>149</x:v>
      </x:c>
      <x:c r="H101" s="80">
        <x:v>44964</x:v>
      </x:c>
      <x:c r="I101" s="47"/>
    </x:row>
    <x:row r="102" spans="1:9" ht="14.55" customHeight="1">
      <x:c r="A102" s="47"/>
      <x:c r="B102" s="28" t="s">
        <x:v>150</x:v>
      </x:c>
      <x:c r="C102" s="28" t="s">
        <x:v>151</x:v>
      </x:c>
      <x:c r="D102" s="28" t="s">
        <x:v>334</x:v>
      </x:c>
      <x:c r="E102" s="28" t="s">
        <x:v>23</x:v>
      </x:c>
      <x:c r="F102" s="79">
        <x:v>34000</x:v>
      </x:c>
      <x:c r="G102" s="79" t="s">
        <x:v>149</x:v>
      </x:c>
      <x:c r="H102" s="80">
        <x:v>44944</x:v>
      </x:c>
      <x:c r="I102" s="47"/>
    </x:row>
    <x:row r="103" spans="1:9" ht="14.55" customHeight="1">
      <x:c r="A103" s="47"/>
      <x:c r="B103" s="28" t="s">
        <x:v>163</x:v>
      </x:c>
      <x:c r="C103" s="28" t="s">
        <x:v>223</x:v>
      </x:c>
      <x:c r="D103" s="28" t="s">
        <x:v>347</x:v>
      </x:c>
      <x:c r="E103" s="28" t="s">
        <x:v>23</x:v>
      </x:c>
      <x:c r="F103" s="79">
        <x:v>20500</x:v>
      </x:c>
      <x:c r="G103" s="79" t="s">
        <x:v>149</x:v>
      </x:c>
      <x:c r="H103" s="80">
        <x:v>44890</x:v>
      </x:c>
      <x:c r="I103" s="47"/>
    </x:row>
    <x:row r="104" spans="1:9" ht="14.55" customHeight="1">
      <x:c r="A104" s="47"/>
      <x:c r="B104" s="28" t="s">
        <x:v>165</x:v>
      </x:c>
      <x:c r="C104" s="28" t="s">
        <x:v>232</x:v>
      </x:c>
      <x:c r="D104" s="28" t="s">
        <x:v>347</x:v>
      </x:c>
      <x:c r="E104" s="28" t="s">
        <x:v>23</x:v>
      </x:c>
      <x:c r="F104" s="79">
        <x:v>11500</x:v>
      </x:c>
      <x:c r="G104" s="79">
        <x:v>2000</x:v>
      </x:c>
      <x:c r="H104" s="80">
        <x:v>44859</x:v>
      </x:c>
      <x:c r="I104" s="47"/>
    </x:row>
    <x:row r="105" spans="1:9" ht="14.55" customHeight="1">
      <x:c r="A105" s="47"/>
      <x:c r="B105" s="28" t="s">
        <x:v>163</x:v>
      </x:c>
      <x:c r="C105" s="28" t="s">
        <x:v>233</x:v>
      </x:c>
      <x:c r="D105" s="28" t="s">
        <x:v>339</x:v>
      </x:c>
      <x:c r="E105" s="28" t="s">
        <x:v>23</x:v>
      </x:c>
      <x:c r="F105" s="79">
        <x:v>35000</x:v>
      </x:c>
      <x:c r="G105" s="79" t="s">
        <x:v>149</x:v>
      </x:c>
      <x:c r="H105" s="80">
        <x:v>44864</x:v>
      </x:c>
      <x:c r="I105" s="47"/>
    </x:row>
    <x:row r="106" spans="1:9" ht="14.55" customHeight="1">
      <x:c r="A106" s="47"/>
      <x:c r="B106" s="28" t="s">
        <x:v>146</x:v>
      </x:c>
      <x:c r="C106" s="28" t="s">
        <x:v>234</x:v>
      </x:c>
      <x:c r="D106" s="28" t="s">
        <x:v>351</x:v>
      </x:c>
      <x:c r="E106" s="28" t="s">
        <x:v>23</x:v>
      </x:c>
      <x:c r="F106" s="79">
        <x:v>18500</x:v>
      </x:c>
      <x:c r="G106" s="79">
        <x:v>1200</x:v>
      </x:c>
      <x:c r="H106" s="80">
        <x:v>44898</x:v>
      </x:c>
      <x:c r="I106" s="47"/>
    </x:row>
    <x:row r="107" spans="1:9" ht="14.55" customHeight="1">
      <x:c r="A107" s="47"/>
      <x:c r="B107" s="28" t="s">
        <x:v>154</x:v>
      </x:c>
      <x:c r="C107" s="28" t="s">
        <x:v>210</x:v>
      </x:c>
      <x:c r="D107" s="28" t="s">
        <x:v>356</x:v>
      </x:c>
      <x:c r="E107" s="28" t="s">
        <x:v>23</x:v>
      </x:c>
      <x:c r="F107" s="79">
        <x:v>34000</x:v>
      </x:c>
      <x:c r="G107" s="79">
        <x:v>3100</x:v>
      </x:c>
      <x:c r="H107" s="80">
        <x:v>45004</x:v>
      </x:c>
      <x:c r="I107" s="47"/>
    </x:row>
    <x:row r="108" spans="1:9" ht="14.55" customHeight="1">
      <x:c r="A108" s="47"/>
      <x:c r="B108" s="28" t="s">
        <x:v>165</x:v>
      </x:c>
      <x:c r="C108" s="28" t="s">
        <x:v>235</x:v>
      </x:c>
      <x:c r="D108" s="28" t="s">
        <x:v>337</x:v>
      </x:c>
      <x:c r="E108" s="28" t="s">
        <x:v>23</x:v>
      </x:c>
      <x:c r="F108" s="79">
        <x:v>17000</x:v>
      </x:c>
      <x:c r="G108" s="79">
        <x:v>3700</x:v>
      </x:c>
      <x:c r="H108" s="80">
        <x:v>44899</x:v>
      </x:c>
      <x:c r="I108" s="47"/>
    </x:row>
    <x:row r="109" spans="1:9" ht="14.55" customHeight="1">
      <x:c r="A109" s="47"/>
      <x:c r="B109" s="47"/>
      <x:c r="C109" s="47"/>
      <x:c r="D109" s="47"/>
      <x:c r="E109" s="47"/>
      <x:c r="F109" s="47"/>
      <x:c r="G109" s="47"/>
      <x:c r="H109" s="47"/>
      <x:c r="I109" s="47"/>
    </x:row>
    <x:row r="1000">
      <x:c r="XX1000" s="110" t="n">
        <x:v>125713</x:v>
      </x:c>
    </x:row>
  </x:sheetData>
  <x:mergeCells count="1">
    <x:mergeCell ref="B6:H6"/>
  </x:mergeCells>
  <x:pageMargins left="0.7" right="0.7" top="0.75" bottom="0.75" header="0.3" footer="0.3"/>
  <x:pageSetup orientation="portrait" verticalDpi="1200" r:id="rId1"/>
</x:worksheet>
</file>

<file path=xl/worksheets/sheet4.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63312283-7DAF-4199-97B7-B0CC0985FD7B}" mc:Ignorable="x14ac xr xr2 xr3">
  <x:sheetPr codeName="Sheet4">
    <x:tabColor rgb="FF0070C0"/>
  </x:sheetPr>
  <x:dimension ref="A2:S53"/>
  <x:sheetViews>
    <x:sheetView workbookViewId="0">
      <x:selection activeCell="B3" sqref="B3"/>
    </x:sheetView>
  </x:sheetViews>
  <x:sheetFormatPr defaultColWidth="11.21875" defaultRowHeight="14.4"/>
  <x:cols>
    <x:col min="1" max="1" width="8.88671875" style="4" customWidth="1"/>
    <x:col min="2" max="2" width="22.6640625" style="4" customWidth="1"/>
    <x:col min="3" max="4" width="14.21875" style="4" customWidth="1"/>
    <x:col min="5" max="5" width="22.6640625" style="4" customWidth="1"/>
    <x:col min="6" max="7" width="14.21875" style="4" customWidth="1"/>
    <x:col min="8" max="8" width="8.88671875" style="4" customWidth="1"/>
    <x:col min="9" max="11" width="12.6640625" style="28" customWidth="1"/>
    <x:col min="12" max="12" width="19.5546875" style="28" bestFit="1" customWidth="1"/>
    <x:col min="13" max="19" width="12.6640625" style="28" customWidth="1"/>
    <x:col min="20" max="16384" width="11.21875" style="28"/>
  </x:cols>
  <x:sheetData>
    <x:row r="2" spans="2:19" ht="31.2">
      <x:c r="B2" s="93" t="s">
        <x:v>332</x:v>
      </x:c>
      <x:c r="C2" s="93"/>
      <x:c r="D2" s="93"/>
      <x:c r="E2" s="93"/>
      <x:c r="F2" s="93"/>
      <x:c r="G2" s="93"/>
      <x:c r="H2" s="93"/>
    </x:row>
    <x:row r="3" spans="2:19">
      <x:c r="B3" s="95"/>
      <x:c r="C3" s="95"/>
      <x:c r="D3" s="95"/>
      <x:c r="E3" s="95"/>
      <x:c r="F3" s="95"/>
      <x:c r="G3" s="95"/>
      <x:c r="H3" s="95"/>
    </x:row>
    <x:row r="4" spans="2:19" ht="22.2">
      <x:c r="B4" s="96" t="s">
        <x:v>24</x:v>
      </x:c>
      <x:c r="C4" s="96"/>
      <x:c r="D4" s="96"/>
      <x:c r="E4" s="96"/>
      <x:c r="F4" s="96"/>
      <x:c r="G4" s="96"/>
      <x:c r="H4" s="96"/>
    </x:row>
    <x:row r="5" spans="2:19" ht="14.55" customHeight="1">
      <x:c r="B5" s="106" t="s">
        <x:v>363</x:v>
      </x:c>
      <x:c r="C5" s="106"/>
      <x:c r="D5" s="106"/>
      <x:c r="E5" s="106"/>
      <x:c r="F5" s="106"/>
      <x:c r="G5" s="106"/>
      <x:c r="H5" s="106"/>
    </x:row>
    <x:row r="6" spans="2:19">
      <x:c r="B6" s="107"/>
      <x:c r="C6" s="107"/>
      <x:c r="D6" s="107"/>
      <x:c r="E6" s="107"/>
      <x:c r="F6" s="107"/>
      <x:c r="G6" s="107"/>
      <x:c r="H6" s="107"/>
    </x:row>
    <x:row r="7" spans="2:19">
      <x:c r="B7" s="107"/>
      <x:c r="C7" s="107"/>
      <x:c r="D7" s="107"/>
      <x:c r="E7" s="107"/>
      <x:c r="F7" s="107"/>
      <x:c r="G7" s="107"/>
      <x:c r="H7" s="107"/>
    </x:row>
    <x:row r="8" spans="2:19" ht="14.55" customHeight="1">
      <x:c r="B8" s="25"/>
      <x:c r="C8" s="14"/>
      <x:c r="D8" s="14"/>
      <x:c r="E8" s="14"/>
      <x:c r="F8" s="14"/>
      <x:c r="G8" s="14"/>
      <x:c r="H8" s="14"/>
      <x:c r="S8" s="82"/>
    </x:row>
    <x:row r="9" spans="2:19">
      <x:c r="B9" s="102" t="s">
        <x:v>236</x:v>
      </x:c>
      <x:c r="C9" s="14"/>
      <x:c r="D9" s="14"/>
      <x:c r="E9" s="102" t="s">
        <x:v>238</x:v>
      </x:c>
      <x:c r="F9" s="14"/>
      <x:c r="G9" s="14"/>
      <x:c r="H9" s="14"/>
    </x:row>
    <x:row r="10" spans="2:19">
      <x:c r="B10" s="63" t="s">
        <x:v>330</x:v>
      </x:c>
      <x:c r="C10" s="63" t="s">
        <x:v>237</x:v>
      </x:c>
      <x:c r="D10" s="14"/>
      <x:c r="E10" s="63" t="s">
        <x:v>330</x:v>
      </x:c>
      <x:c r="F10" s="63" t="s">
        <x:v>237</x:v>
      </x:c>
      <x:c r="G10" s="14"/>
      <x:c r="H10" s="14"/>
      <x:c r="J10" s="82"/>
      <x:c r="K10" s="82"/>
      <x:c r="L10" s="82"/>
      <x:c r="N10" s="82"/>
    </x:row>
    <x:row r="11" spans="2:19">
      <x:c r="B11" s="38">
        <x:v>0.5</x:v>
      </x:c>
      <x:c r="C11" s="35">
        <x:f>BackgroundCalcs!Q2</x:f>
        <x:v>0.1</x:v>
      </x:c>
      <x:c r="D11" s="14"/>
      <x:c r="E11" s="38">
        <x:v>0.1</x:v>
      </x:c>
      <x:c r="F11" s="35">
        <x:f>BackgroundCalcs!Q6</x:f>
        <x:v>0.02</x:v>
      </x:c>
      <x:c r="G11" s="14"/>
      <x:c r="H11" s="14"/>
    </x:row>
    <x:row r="12" spans="2:19">
      <x:c r="B12" s="38">
        <x:v>1</x:v>
      </x:c>
      <x:c r="C12" s="35">
        <x:f>BackgroundCalcs!Q3</x:f>
        <x:v>0.18</x:v>
      </x:c>
      <x:c r="D12" s="14"/>
      <x:c r="E12" s="38">
        <x:v>0.2</x:v>
      </x:c>
      <x:c r="F12" s="35">
        <x:f>BackgroundCalcs!Q7</x:f>
        <x:v>0.06</x:v>
      </x:c>
      <x:c r="G12" s="14"/>
      <x:c r="H12" s="14"/>
    </x:row>
    <x:row r="13" spans="2:19">
      <x:c r="B13" s="38">
        <x:v>1.2</x:v>
      </x:c>
      <x:c r="C13" s="35">
        <x:f>BackgroundCalcs!Q4</x:f>
        <x:v>0.28000000000000003</x:v>
      </x:c>
      <x:c r="D13" s="14"/>
      <x:c r="E13" s="38">
        <x:v>0.35</x:v>
      </x:c>
      <x:c r="F13" s="35">
        <x:f>BackgroundCalcs!Q8</x:f>
        <x:v>0.09</x:v>
      </x:c>
      <x:c r="G13" s="14"/>
      <x:c r="H13" s="14"/>
    </x:row>
    <x:row r="14" spans="2:19">
      <x:c r="B14" s="38">
        <x:v>5</x:v>
      </x:c>
      <x:c r="C14" s="35">
        <x:f>BackgroundCalcs!Q5</x:f>
        <x:v>0.35000000000000003</x:v>
      </x:c>
      <x:c r="D14" s="14"/>
      <x:c r="E14" s="38">
        <x:v>0.5</x:v>
      </x:c>
      <x:c r="F14" s="35">
        <x:f>BackgroundCalcs!Q9</x:f>
        <x:v>0.12</x:v>
      </x:c>
      <x:c r="G14" s="14"/>
      <x:c r="H14" s="14"/>
    </x:row>
    <x:row r="15" spans="2:19">
      <x:c r="B15" s="14"/>
      <x:c r="C15" s="14"/>
      <x:c r="D15" s="14"/>
      <x:c r="E15" s="38">
        <x:v>1</x:v>
      </x:c>
      <x:c r="F15" s="35">
        <x:f>BackgroundCalcs!Q10</x:f>
        <x:v>0.19</x:v>
      </x:c>
      <x:c r="G15" s="14"/>
      <x:c r="H15" s="14"/>
    </x:row>
    <x:row r="16" spans="2:19">
      <x:c r="B16" s="102" t="s">
        <x:v>239</x:v>
      </x:c>
      <x:c r="C16" s="14"/>
      <x:c r="D16" s="14"/>
      <x:c r="E16" s="14"/>
      <x:c r="F16" s="14"/>
      <x:c r="G16" s="14"/>
      <x:c r="H16" s="14"/>
    </x:row>
    <x:row r="17" spans="1:8">
      <x:c r="B17" s="63" t="s">
        <x:v>331</x:v>
      </x:c>
      <x:c r="C17" s="63" t="s">
        <x:v>241</x:v>
      </x:c>
      <x:c r="D17" s="14"/>
      <x:c r="E17" s="102" t="s">
        <x:v>240</x:v>
      </x:c>
      <x:c r="F17" s="14"/>
      <x:c r="G17" s="14"/>
      <x:c r="H17" s="14"/>
    </x:row>
    <x:row r="18" spans="1:8">
      <x:c r="B18" s="38">
        <x:v>0</x:v>
      </x:c>
      <x:c r="C18" s="36">
        <x:f>BackgroundCalcs!Q11</x:f>
        <x:v>0</x:v>
      </x:c>
      <x:c r="D18" s="14"/>
      <x:c r="E18" s="63" t="s">
        <x:v>329</x:v>
      </x:c>
      <x:c r="F18" s="63" t="s">
        <x:v>241</x:v>
      </x:c>
      <x:c r="G18" s="14"/>
      <x:c r="H18" s="14"/>
    </x:row>
    <x:row r="19" spans="1:8">
      <x:c r="A19" s="83"/>
      <x:c r="B19" s="38">
        <x:v>1</x:v>
      </x:c>
      <x:c r="C19" s="36">
        <x:f>BackgroundCalcs!Q12</x:f>
        <x:v>1000</x:v>
      </x:c>
      <x:c r="D19" s="14"/>
      <x:c r="E19" s="38">
        <x:v>0</x:v>
      </x:c>
      <x:c r="F19" s="36">
        <x:f>BackgroundCalcs!Q15</x:f>
        <x:v>0</x:v>
      </x:c>
      <x:c r="G19" s="14"/>
      <x:c r="H19" s="14"/>
    </x:row>
    <x:row r="20" spans="1:8">
      <x:c r="A20" s="83"/>
      <x:c r="B20" s="38">
        <x:v>1.25</x:v>
      </x:c>
      <x:c r="C20" s="36">
        <x:f>BackgroundCalcs!Q13</x:f>
        <x:v>3500</x:v>
      </x:c>
      <x:c r="D20" s="14"/>
      <x:c r="E20" s="38">
        <x:v>0.35</x:v>
      </x:c>
      <x:c r="F20" s="36">
        <x:f>BackgroundCalcs!Q16</x:f>
        <x:v>1000</x:v>
      </x:c>
      <x:c r="G20" s="14"/>
      <x:c r="H20" s="14"/>
    </x:row>
    <x:row r="21" spans="1:8">
      <x:c r="A21" s="83"/>
      <x:c r="B21" s="38">
        <x:v>1.5</x:v>
      </x:c>
      <x:c r="C21" s="36">
        <x:f>BackgroundCalcs!Q14</x:f>
        <x:v>6000</x:v>
      </x:c>
      <x:c r="D21" s="14"/>
      <x:c r="E21" s="38">
        <x:v>0.55000000000000004</x:v>
      </x:c>
      <x:c r="F21" s="36">
        <x:f>BackgroundCalcs!Q17</x:f>
        <x:v>2500</x:v>
      </x:c>
      <x:c r="G21" s="14"/>
      <x:c r="H21" s="14"/>
    </x:row>
    <x:row r="22" spans="1:8">
      <x:c r="A22" s="83"/>
      <x:c r="B22" s="14"/>
      <x:c r="C22" s="14"/>
      <x:c r="D22" s="14"/>
      <x:c r="E22" s="14"/>
      <x:c r="F22" s="14"/>
      <x:c r="G22" s="14"/>
      <x:c r="H22" s="14"/>
    </x:row>
    <x:row r="23" spans="1:8">
      <x:c r="A23" s="83"/>
      <x:c r="B23" s="102" t="s">
        <x:v>242</x:v>
      </x:c>
      <x:c r="C23" s="14"/>
      <x:c r="D23" s="14"/>
      <x:c r="E23" s="102" t="s">
        <x:v>246</x:v>
      </x:c>
      <x:c r="F23" s="14"/>
      <x:c r="G23" s="14"/>
      <x:c r="H23" s="14"/>
    </x:row>
    <x:row r="24" spans="1:8">
      <x:c r="A24" s="83"/>
      <x:c r="B24" s="63" t="s">
        <x:v>245</x:v>
      </x:c>
      <x:c r="C24" s="63" t="s">
        <x:v>237</x:v>
      </x:c>
      <x:c r="D24" s="14"/>
      <x:c r="E24" s="63" t="s">
        <x:v>243</x:v>
      </x:c>
      <x:c r="F24" s="63" t="s">
        <x:v>247</x:v>
      </x:c>
      <x:c r="G24" s="14"/>
      <x:c r="H24" s="14"/>
    </x:row>
    <x:row r="25" spans="1:8">
      <x:c r="A25" s="83"/>
      <x:c r="B25" s="38">
        <x:v>0.5</x:v>
      </x:c>
      <x:c r="C25" s="35">
        <x:f>BackgroundCalcs!Q18</x:f>
        <x:v>0.09</x:v>
      </x:c>
      <x:c r="D25" s="14"/>
      <x:c r="E25" s="36">
        <x:f>BackgroundCalcs!Q19</x:f>
        <x:v>250000</x:v>
      </x:c>
      <x:c r="F25" s="36" t="str">
        <x:f>'Team Commissions'!F25</x:f>
        <x:v>Max</x:v>
      </x:c>
      <x:c r="G25" s="14"/>
      <x:c r="H25" s="14"/>
    </x:row>
    <x:row r="26" spans="1:8">
      <x:c r="A26" s="83"/>
      <x:c r="B26" s="38"/>
      <x:c r="C26" s="14"/>
      <x:c r="D26" s="14"/>
      <x:c r="E26" s="14"/>
      <x:c r="F26" s="14"/>
      <x:c r="G26" s="14"/>
      <x:c r="H26" s="14"/>
    </x:row>
    <x:row r="27" spans="1:8">
      <x:c r="A27" s="83"/>
      <x:c r="B27" s="38"/>
      <x:c r="C27" s="14"/>
      <x:c r="D27" s="14"/>
      <x:c r="E27" s="14"/>
      <x:c r="F27" s="14"/>
      <x:c r="G27" s="14"/>
      <x:c r="H27" s="14"/>
    </x:row>
    <x:row r="28" spans="1:8">
      <x:c r="A28" s="83"/>
      <x:c r="B28" s="85"/>
    </x:row>
    <x:row r="29" spans="1:8">
      <x:c r="A29" s="83"/>
      <x:c r="B29" s="85"/>
    </x:row>
    <x:row r="30" spans="1:8">
      <x:c r="A30" s="83"/>
    </x:row>
    <x:row r="31" spans="1:8" ht="22.2">
      <x:c r="A31" s="83"/>
      <x:c r="B31" s="70" t="s">
        <x:v>51</x:v>
      </x:c>
      <x:c r="C31" s="70"/>
      <x:c r="D31" s="70"/>
      <x:c r="E31" s="70"/>
      <x:c r="F31" s="70"/>
      <x:c r="G31" s="70"/>
      <x:c r="H31" s="70"/>
    </x:row>
    <x:row r="33" spans="1:9">
      <x:c r="A33" s="83"/>
    </x:row>
    <x:row r="34" spans="1:9" ht="16.2" thickBot="1">
      <x:c r="B34" s="84"/>
      <x:c r="F34" s="27" t="s">
        <x:v>104</x:v>
      </x:c>
      <x:c r="G34" s="27" t="s">
        <x:v>81</x:v>
      </x:c>
    </x:row>
    <x:row r="35" spans="1:9" ht="15" thickBot="1">
      <x:c r="A35" s="4">
        <x:v>1</x:v>
      </x:c>
      <x:c r="B35" s="83" t="str">
        <x:f>"What is the total of the base sales for "&amp;$F$25&amp;"?"</x:f>
        <x:v>What is the total of the base sales for Max?</x:v>
      </x:c>
      <x:c r="F35" s="40"/>
      <x:c r="G35" s="43">
        <x:f>BackgroundCalcs!AY2</x:f>
        <x:v>244000</x:v>
      </x:c>
    </x:row>
    <x:row r="36" spans="1:9" ht="15" thickBot="1">
      <x:c r="A36" s="4">
        <x:v>2</x:v>
      </x:c>
      <x:c r="B36" s="83" t="str">
        <x:f>"What percentage of "&amp;F25&amp;"'s sales have add-on sales?"</x:f>
        <x:v>What percentage of Max's sales have add-on sales?</x:v>
      </x:c>
      <x:c r="F36" s="39"/>
      <x:c r="G36" s="44">
        <x:f>BackgroundCalcs!AY3</x:f>
        <x:v>0.46153846153846156</x:v>
      </x:c>
    </x:row>
    <x:row r="37" spans="1:9" ht="15" thickBot="1">
      <x:c r="A37" s="4">
        <x:v>3</x:v>
      </x:c>
      <x:c r="B37" s="83" t="str">
        <x:f>"What is the total of the add-on sales for "&amp;F25&amp;"?"</x:f>
        <x:v>What is the total of the add-on sales for Max?</x:v>
      </x:c>
      <x:c r="F37" s="40"/>
      <x:c r="G37" s="43">
        <x:f>BackgroundCalcs!AY4</x:f>
        <x:v>10500</x:v>
      </x:c>
    </x:row>
    <x:row r="38" spans="1:9" ht="15" thickBot="1">
      <x:c r="A38" s="4">
        <x:v>4</x:v>
      </x:c>
      <x:c r="B38" s="83" t="str">
        <x:f>"What is the total of the new business base sales for "&amp;F25&amp;"?"</x:f>
        <x:v>What is the total of the new business base sales for Max?</x:v>
      </x:c>
      <x:c r="F38" s="40"/>
      <x:c r="G38" s="43">
        <x:f>BackgroundCalcs!AY5</x:f>
        <x:v>70000</x:v>
      </x:c>
      <x:c r="I38" s="64"/>
    </x:row>
    <x:row r="39" spans="1:9" ht="15" thickBot="1">
      <x:c r="A39" s="4">
        <x:v>5</x:v>
      </x:c>
      <x:c r="B39" s="83" t="str">
        <x:f>"What is "&amp;$F$25&amp;"'s percent of goal for base sales?"</x:f>
        <x:v>What is Max's percent of goal for base sales?</x:v>
      </x:c>
      <x:c r="F39" s="39"/>
      <x:c r="G39" s="44">
        <x:f>BackgroundCalcs!AY6</x:f>
        <x:v>0.97599999999999998</x:v>
      </x:c>
      <x:c r="H39" s="27"/>
      <x:c r="I39" s="65"/>
    </x:row>
    <x:row r="40" spans="1:9" ht="15" thickBot="1">
      <x:c r="A40" s="4">
        <x:v>6</x:v>
      </x:c>
      <x:c r="B40" s="83" t="str">
        <x:f>"What payout percent applies to "&amp;$F$25&amp;"'s base sales?"</x:f>
        <x:v>What payout percent applies to Max's base sales?</x:v>
      </x:c>
      <x:c r="F40" s="39"/>
      <x:c r="G40" s="44">
        <x:f>BackgroundCalcs!AY7</x:f>
        <x:v>0.18</x:v>
      </x:c>
      <x:c r="H40" s="6"/>
    </x:row>
    <x:row r="41" spans="1:9" ht="15" thickBot="1">
      <x:c r="A41" s="4">
        <x:v>7</x:v>
      </x:c>
      <x:c r="B41" s="83" t="str">
        <x:f>"What is "&amp;$F$25&amp;"'s threshold bonus on base sales?"</x:f>
        <x:v>What is Max's threshold bonus on base sales?</x:v>
      </x:c>
      <x:c r="F41" s="40"/>
      <x:c r="G41" s="43">
        <x:f>BackgroundCalcs!AY8</x:f>
        <x:v>0</x:v>
      </x:c>
    </x:row>
    <x:row r="42" spans="1:9" ht="15" thickBot="1">
      <x:c r="A42" s="4">
        <x:v>8</x:v>
      </x:c>
      <x:c r="B42" s="83" t="str">
        <x:f>"What payout percent applies to "&amp;$F$25&amp;"'s add-on sales?"</x:f>
        <x:v>What payout percent applies to Max's add-on sales?</x:v>
      </x:c>
      <x:c r="F42" s="39"/>
      <x:c r="G42" s="44">
        <x:f>BackgroundCalcs!AY9</x:f>
        <x:v>0.12</x:v>
      </x:c>
    </x:row>
    <x:row r="43" spans="1:9" ht="15" thickBot="1">
      <x:c r="A43" s="4">
        <x:v>9</x:v>
      </x:c>
      <x:c r="B43" s="83" t="str">
        <x:f>"What is "&amp;$F$25&amp;"'s threshold bonus on add-on sales?"</x:f>
        <x:v>What is Max's threshold bonus on add-on sales?</x:v>
      </x:c>
      <x:c r="F43" s="40"/>
      <x:c r="G43" s="43">
        <x:f>BackgroundCalcs!AY10</x:f>
        <x:v>1000</x:v>
      </x:c>
    </x:row>
    <x:row r="44" spans="1:9" ht="15" thickBot="1">
      <x:c r="A44" s="4">
        <x:v>10</x:v>
      </x:c>
      <x:c r="B44" s="83" t="str">
        <x:f>"What is "&amp;$F$25&amp;"'s new business percent bonus?"</x:f>
        <x:v>What is Max's new business percent bonus?</x:v>
      </x:c>
      <x:c r="F44" s="39"/>
      <x:c r="G44" s="44">
        <x:f>BackgroundCalcs!AY11</x:f>
        <x:v>0.09</x:v>
      </x:c>
    </x:row>
    <x:row r="45" spans="1:9" ht="15" thickBot="1">
      <x:c r="A45" s="4">
        <x:v>11</x:v>
      </x:c>
      <x:c r="B45" s="83" t="str">
        <x:f>"What is "&amp;$F$25&amp;"'s total pay from commissions and threshold bonuses?"</x:f>
        <x:v>What is Max's total pay from commissions and threshold bonuses?</x:v>
      </x:c>
      <x:c r="F45" s="40"/>
      <x:c r="G45" s="43">
        <x:f>BackgroundCalcs!AY12</x:f>
        <x:v>52480</x:v>
      </x:c>
    </x:row>
    <x:row r="46" spans="1:9" ht="15" thickBot="1">
      <x:c r="A46" s="4">
        <x:v>12</x:v>
      </x:c>
      <x:c r="B46" s="83" t="str">
        <x:f>"What is the effective commission rate on all of "&amp;$F$25&amp;"'s sales?"</x:f>
        <x:v>What is the effective commission rate on all of Max's sales?</x:v>
      </x:c>
      <x:c r="F46" s="31"/>
      <x:c r="G46" s="32">
        <x:f>BackgroundCalcs!AY13</x:f>
        <x:v>0.20620825147347741</x:v>
      </x:c>
      <x:c r="I46" s="65"/>
    </x:row>
    <x:row r="47" spans="1:9">
      <x:c r="H47" s="6"/>
      <x:c r="I47" s="65"/>
    </x:row>
    <x:row r="51" spans="2:9">
      <x:c r="E51" s="5"/>
      <x:c r="F51" s="29"/>
      <x:c r="G51" s="6"/>
      <x:c r="H51" s="6"/>
      <x:c r="I51" s="65"/>
    </x:row>
    <x:row r="52" spans="2:9">
      <x:c r="E52" s="5"/>
      <x:c r="F52" s="29"/>
      <x:c r="G52" s="6"/>
      <x:c r="H52" s="6"/>
      <x:c r="I52" s="65"/>
    </x:row>
    <x:row r="53" spans="2:9">
      <x:c r="B53" s="78"/>
      <x:c r="C53" s="78"/>
      <x:c r="D53" s="78"/>
      <x:c r="E53" s="64"/>
      <x:c r="F53" s="78"/>
      <x:c r="G53" s="64"/>
      <x:c r="H53" s="64"/>
      <x:c r="I53" s="65"/>
    </x:row>
    <x:row r="1000">
      <x:c r="XX1000" s="110" t="n">
        <x:v>125713</x:v>
      </x:c>
    </x:row>
  </x:sheetData>
  <x:sheetProtection algorithmName="SHA-512" hashValue="biLv+ha1MuMLcG4OTRN0XiLyNKo97BSXYQaEtyoymqBqSUl9C5ZBsnjHr8hHq5UXcSrwQR7MoD22hI7n/katMw==" saltValue="ML5yBc1xDQu+2HrVGIwm+g==" spinCount="100000" sheet="1" objects="1" scenarios="1" formatCells="0"/>
  <x:mergeCells count="1">
    <x:mergeCell ref="B5:H7"/>
  </x:mergeCells>
  <x:conditionalFormatting sqref="I46:S47">
    <x:cfRule type="expression" dxfId="20" priority="2">
      <x:formula>IFERROR(AND(CheckAnswer(#REF!,I46),CheckAnswer(I40,I46),CheckAnswer(#REF!,I46)),FALSE)</x:formula>
    </x:cfRule>
  </x:conditionalFormatting>
  <x:conditionalFormatting sqref="G35:G46">
    <x:cfRule type="expression" dxfId="19" priority="1">
      <x:formula>CheckAnswerDirect(F35,G35)</x:formula>
    </x:cfRule>
  </x:conditionalFormatting>
  <x:conditionalFormatting sqref="S39">
    <x:cfRule type="expression" dxfId="18" priority="7">
      <x:formula>IFERROR(AND(CheckAnswer(K39,S39),CheckAnswer(K40,S39),CheckAnswer(#REF!,S39)),FALSE)</x:formula>
    </x:cfRule>
  </x:conditionalFormatting>
  <x:conditionalFormatting sqref="R39">
    <x:cfRule type="expression" dxfId="17" priority="8">
      <x:formula>IFERROR(AND(CheckAnswer(K39,R39),CheckAnswer(K40,R39),CheckAnswer(#REF!,R39)),FALSE)</x:formula>
    </x:cfRule>
  </x:conditionalFormatting>
  <x:conditionalFormatting sqref="H40">
    <x:cfRule type="expression" dxfId="16" priority="10">
      <x:formula>IFERROR(AND(CheckAnswer(G35,H40),CheckAnswer(G36,H40),CheckAnswer(#REF!,H40)),FALSE)</x:formula>
    </x:cfRule>
  </x:conditionalFormatting>
  <x:conditionalFormatting sqref="H47">
    <x:cfRule type="expression" dxfId="15" priority="12">
      <x:formula>IFERROR(AND(CheckAnswer(#REF!,H47),CheckAnswer(H42,H47),CheckAnswer(#REF!,H47)),FALSE)</x:formula>
    </x:cfRule>
  </x:conditionalFormatting>
  <x:conditionalFormatting sqref="K39">
    <x:cfRule type="expression" dxfId="14" priority="13">
      <x:formula>IFERROR(AND(CheckAnswer(H40,K39),CheckAnswer(H41,K39),CheckAnswer(#REF!,K39)),FALSE)</x:formula>
    </x:cfRule>
  </x:conditionalFormatting>
  <x:conditionalFormatting sqref="J39">
    <x:cfRule type="expression" dxfId="13" priority="14">
      <x:formula>IFERROR(AND(CheckAnswer(H40,J39),CheckAnswer(H41,J39),CheckAnswer(#REF!,J39)),FALSE)</x:formula>
    </x:cfRule>
  </x:conditionalFormatting>
  <x:conditionalFormatting sqref="N39:Q39">
    <x:cfRule type="expression" dxfId="12" priority="15">
      <x:formula>IFERROR(AND(CheckAnswer(H40,N39),CheckAnswer(H41,N39),CheckAnswer(#REF!,N39)),FALSE)</x:formula>
    </x:cfRule>
  </x:conditionalFormatting>
  <x:conditionalFormatting sqref="I39">
    <x:cfRule type="expression" dxfId="11" priority="16">
      <x:formula>IFERROR(AND(CheckAnswer(H35,I39),CheckAnswer(H36,I39),CheckAnswer(#REF!,I39)),FALSE)</x:formula>
    </x:cfRule>
  </x:conditionalFormatting>
  <x:pageMargins left="0.7" right="0.7" top="0.75" bottom="0.75" header="0.3" footer="0.3"/>
  <x:drawing r:id="rId1"/>
</x:worksheet>
</file>

<file path=xl/worksheets/sheet5.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3D56BC7F-0AB9-481B-ABEB-1B63607E0A01}" mc:Ignorable="x14ac xr xr2 xr3">
  <x:sheetPr codeName="Sheet6">
    <x:tabColor rgb="FF0070C0"/>
  </x:sheetPr>
  <x:dimension ref="A2:S52"/>
  <x:sheetViews>
    <x:sheetView workbookViewId="0">
      <x:selection activeCell="B3" sqref="B3"/>
    </x:sheetView>
  </x:sheetViews>
  <x:sheetFormatPr defaultColWidth="11.21875" defaultRowHeight="14.4"/>
  <x:cols>
    <x:col min="1" max="1" width="8.88671875" style="4" customWidth="1"/>
    <x:col min="2" max="2" width="22.6640625" style="4" customWidth="1"/>
    <x:col min="3" max="4" width="14.21875" style="4" customWidth="1"/>
    <x:col min="5" max="5" width="22.6640625" style="4" customWidth="1"/>
    <x:col min="6" max="7" width="14.21875" style="4" customWidth="1"/>
    <x:col min="8" max="8" width="8.88671875" style="4" customWidth="1"/>
    <x:col min="9" max="11" width="12.6640625" style="28" customWidth="1"/>
    <x:col min="12" max="12" width="19.5546875" style="28" bestFit="1" customWidth="1"/>
    <x:col min="13" max="19" width="12.6640625" style="28" customWidth="1"/>
    <x:col min="20" max="16384" width="11.21875" style="28"/>
  </x:cols>
  <x:sheetData>
    <x:row r="2" spans="2:19" ht="31.2">
      <x:c r="B2" s="93" t="s">
        <x:v>332</x:v>
      </x:c>
      <x:c r="C2" s="93"/>
      <x:c r="D2" s="93"/>
      <x:c r="E2" s="93"/>
      <x:c r="F2" s="93"/>
      <x:c r="G2" s="93"/>
      <x:c r="H2" s="93"/>
    </x:row>
    <x:row r="3" spans="2:19">
      <x:c r="B3" s="95"/>
      <x:c r="C3" s="95"/>
      <x:c r="D3" s="95"/>
      <x:c r="E3" s="95"/>
      <x:c r="F3" s="95"/>
      <x:c r="G3" s="95"/>
      <x:c r="H3" s="95"/>
    </x:row>
    <x:row r="4" spans="2:19" ht="22.2">
      <x:c r="B4" s="96" t="s">
        <x:v>24</x:v>
      </x:c>
      <x:c r="C4" s="96"/>
      <x:c r="D4" s="96"/>
      <x:c r="E4" s="96"/>
      <x:c r="F4" s="96"/>
      <x:c r="G4" s="96"/>
      <x:c r="H4" s="96"/>
    </x:row>
    <x:row r="5" spans="2:19">
      <x:c r="B5" s="106" t="s">
        <x:v>364</x:v>
      </x:c>
      <x:c r="C5" s="106"/>
      <x:c r="D5" s="106"/>
      <x:c r="E5" s="106"/>
      <x:c r="F5" s="106"/>
      <x:c r="G5" s="106"/>
      <x:c r="H5" s="106"/>
    </x:row>
    <x:row r="6" spans="2:19">
      <x:c r="B6" s="107"/>
      <x:c r="C6" s="107"/>
      <x:c r="D6" s="107"/>
      <x:c r="E6" s="107"/>
      <x:c r="F6" s="107"/>
      <x:c r="G6" s="107"/>
      <x:c r="H6" s="107"/>
    </x:row>
    <x:row r="7" spans="2:19">
      <x:c r="B7" s="107"/>
      <x:c r="C7" s="107"/>
      <x:c r="D7" s="107"/>
      <x:c r="E7" s="107"/>
      <x:c r="F7" s="107"/>
      <x:c r="G7" s="107"/>
      <x:c r="H7" s="107"/>
    </x:row>
    <x:row r="8" spans="2:19">
      <x:c r="B8" s="14"/>
      <x:c r="C8" s="14"/>
      <x:c r="D8" s="14"/>
      <x:c r="E8" s="14"/>
      <x:c r="F8" s="14"/>
      <x:c r="G8" s="14"/>
      <x:c r="H8" s="14"/>
      <x:c r="S8" s="82"/>
    </x:row>
    <x:row r="9" spans="2:19">
      <x:c r="B9" s="102" t="s">
        <x:v>236</x:v>
      </x:c>
      <x:c r="C9" s="14"/>
      <x:c r="D9" s="14"/>
      <x:c r="E9" s="102" t="s">
        <x:v>238</x:v>
      </x:c>
      <x:c r="F9" s="14"/>
      <x:c r="G9" s="14"/>
      <x:c r="H9" s="14"/>
    </x:row>
    <x:row r="10" spans="2:19">
      <x:c r="B10" s="63" t="s">
        <x:v>330</x:v>
      </x:c>
      <x:c r="C10" s="63" t="s">
        <x:v>237</x:v>
      </x:c>
      <x:c r="D10" s="14"/>
      <x:c r="E10" s="63" t="s">
        <x:v>330</x:v>
      </x:c>
      <x:c r="F10" s="63" t="s">
        <x:v>237</x:v>
      </x:c>
      <x:c r="G10" s="14"/>
      <x:c r="H10" s="14"/>
      <x:c r="J10" s="82"/>
      <x:c r="K10" s="82"/>
      <x:c r="L10" s="82"/>
      <x:c r="N10" s="82"/>
    </x:row>
    <x:row r="11" spans="2:19">
      <x:c r="B11" s="38">
        <x:v>0.5</x:v>
      </x:c>
      <x:c r="C11" s="35">
        <x:f>BackgroundCalcs!Q2</x:f>
        <x:v>0.1</x:v>
      </x:c>
      <x:c r="D11" s="14"/>
      <x:c r="E11" s="38">
        <x:v>0.1</x:v>
      </x:c>
      <x:c r="F11" s="35">
        <x:f>BackgroundCalcs!Q6</x:f>
        <x:v>0.02</x:v>
      </x:c>
      <x:c r="G11" s="14"/>
      <x:c r="H11" s="14"/>
    </x:row>
    <x:row r="12" spans="2:19">
      <x:c r="B12" s="38">
        <x:v>1</x:v>
      </x:c>
      <x:c r="C12" s="35">
        <x:f>BackgroundCalcs!Q3</x:f>
        <x:v>0.18</x:v>
      </x:c>
      <x:c r="D12" s="14"/>
      <x:c r="E12" s="38">
        <x:v>0.2</x:v>
      </x:c>
      <x:c r="F12" s="35">
        <x:f>BackgroundCalcs!Q7</x:f>
        <x:v>0.06</x:v>
      </x:c>
      <x:c r="G12" s="14"/>
      <x:c r="H12" s="14"/>
    </x:row>
    <x:row r="13" spans="2:19">
      <x:c r="B13" s="38">
        <x:v>1.2</x:v>
      </x:c>
      <x:c r="C13" s="35">
        <x:f>BackgroundCalcs!Q4</x:f>
        <x:v>0.28000000000000003</x:v>
      </x:c>
      <x:c r="D13" s="14"/>
      <x:c r="E13" s="38">
        <x:v>0.35</x:v>
      </x:c>
      <x:c r="F13" s="35">
        <x:f>BackgroundCalcs!Q8</x:f>
        <x:v>0.09</x:v>
      </x:c>
      <x:c r="G13" s="14"/>
      <x:c r="H13" s="14"/>
    </x:row>
    <x:row r="14" spans="2:19">
      <x:c r="B14" s="38">
        <x:v>5</x:v>
      </x:c>
      <x:c r="C14" s="35">
        <x:f>BackgroundCalcs!Q5</x:f>
        <x:v>0.35000000000000003</x:v>
      </x:c>
      <x:c r="D14" s="14"/>
      <x:c r="E14" s="38">
        <x:v>0.5</x:v>
      </x:c>
      <x:c r="F14" s="35">
        <x:f>BackgroundCalcs!Q9</x:f>
        <x:v>0.12</x:v>
      </x:c>
      <x:c r="G14" s="14"/>
      <x:c r="H14" s="14"/>
    </x:row>
    <x:row r="15" spans="2:19">
      <x:c r="B15" s="14"/>
      <x:c r="C15" s="14"/>
      <x:c r="D15" s="14"/>
      <x:c r="E15" s="38">
        <x:v>1</x:v>
      </x:c>
      <x:c r="F15" s="35">
        <x:f>BackgroundCalcs!Q10</x:f>
        <x:v>0.19</x:v>
      </x:c>
      <x:c r="G15" s="14"/>
      <x:c r="H15" s="14"/>
    </x:row>
    <x:row r="16" spans="2:19">
      <x:c r="B16" s="102" t="s">
        <x:v>239</x:v>
      </x:c>
      <x:c r="C16" s="14"/>
      <x:c r="D16" s="14"/>
      <x:c r="E16" s="14"/>
      <x:c r="F16" s="14"/>
      <x:c r="G16" s="14"/>
      <x:c r="H16" s="14"/>
    </x:row>
    <x:row r="17" spans="1:8">
      <x:c r="B17" s="63" t="s">
        <x:v>331</x:v>
      </x:c>
      <x:c r="C17" s="63" t="s">
        <x:v>241</x:v>
      </x:c>
      <x:c r="D17" s="14"/>
      <x:c r="E17" s="102" t="s">
        <x:v>240</x:v>
      </x:c>
      <x:c r="F17" s="14"/>
      <x:c r="G17" s="14"/>
      <x:c r="H17" s="14"/>
    </x:row>
    <x:row r="18" spans="1:8">
      <x:c r="B18" s="38">
        <x:v>0</x:v>
      </x:c>
      <x:c r="C18" s="36">
        <x:f>BackgroundCalcs!Q11</x:f>
        <x:v>0</x:v>
      </x:c>
      <x:c r="D18" s="14"/>
      <x:c r="E18" s="63" t="s">
        <x:v>329</x:v>
      </x:c>
      <x:c r="F18" s="63" t="s">
        <x:v>241</x:v>
      </x:c>
      <x:c r="G18" s="14"/>
      <x:c r="H18" s="14"/>
    </x:row>
    <x:row r="19" spans="1:8">
      <x:c r="B19" s="38">
        <x:v>1</x:v>
      </x:c>
      <x:c r="C19" s="36">
        <x:f>BackgroundCalcs!Q12</x:f>
        <x:v>1000</x:v>
      </x:c>
      <x:c r="D19" s="14"/>
      <x:c r="E19" s="38">
        <x:v>0</x:v>
      </x:c>
      <x:c r="F19" s="36">
        <x:f>BackgroundCalcs!Q15</x:f>
        <x:v>0</x:v>
      </x:c>
      <x:c r="G19" s="14"/>
      <x:c r="H19" s="14"/>
    </x:row>
    <x:row r="20" spans="1:8">
      <x:c r="B20" s="38">
        <x:v>1.25</x:v>
      </x:c>
      <x:c r="C20" s="36">
        <x:f>BackgroundCalcs!Q13</x:f>
        <x:v>3500</x:v>
      </x:c>
      <x:c r="D20" s="14"/>
      <x:c r="E20" s="38">
        <x:v>0.35</x:v>
      </x:c>
      <x:c r="F20" s="36">
        <x:f>BackgroundCalcs!Q16</x:f>
        <x:v>1000</x:v>
      </x:c>
      <x:c r="G20" s="14"/>
      <x:c r="H20" s="14"/>
    </x:row>
    <x:row r="21" spans="1:8">
      <x:c r="B21" s="38">
        <x:v>1.5</x:v>
      </x:c>
      <x:c r="C21" s="36">
        <x:f>BackgroundCalcs!Q14</x:f>
        <x:v>6000</x:v>
      </x:c>
      <x:c r="D21" s="14"/>
      <x:c r="E21" s="38">
        <x:v>0.55000000000000004</x:v>
      </x:c>
      <x:c r="F21" s="36">
        <x:f>BackgroundCalcs!Q17</x:f>
        <x:v>2500</x:v>
      </x:c>
      <x:c r="G21" s="14"/>
      <x:c r="H21" s="14"/>
    </x:row>
    <x:row r="22" spans="1:8">
      <x:c r="B22" s="14"/>
      <x:c r="C22" s="14"/>
      <x:c r="D22" s="14"/>
      <x:c r="E22" s="14"/>
      <x:c r="F22" s="14"/>
      <x:c r="G22" s="14"/>
      <x:c r="H22" s="14"/>
    </x:row>
    <x:row r="23" spans="1:8">
      <x:c r="A23" s="83"/>
      <x:c r="B23" s="102" t="s">
        <x:v>242</x:v>
      </x:c>
      <x:c r="C23" s="14"/>
      <x:c r="D23" s="14"/>
      <x:c r="E23" s="102" t="s">
        <x:v>246</x:v>
      </x:c>
      <x:c r="F23" s="14"/>
      <x:c r="G23" s="14"/>
      <x:c r="H23" s="14"/>
    </x:row>
    <x:row r="24" spans="1:8">
      <x:c r="A24" s="83"/>
      <x:c r="B24" s="63" t="s">
        <x:v>245</x:v>
      </x:c>
      <x:c r="C24" s="63" t="s">
        <x:v>237</x:v>
      </x:c>
      <x:c r="D24" s="14"/>
      <x:c r="E24" s="63" t="s">
        <x:v>243</x:v>
      </x:c>
      <x:c r="F24" s="63" t="s">
        <x:v>247</x:v>
      </x:c>
      <x:c r="G24" s="14"/>
      <x:c r="H24" s="14"/>
    </x:row>
    <x:row r="25" spans="1:8">
      <x:c r="A25" s="83"/>
      <x:c r="B25" s="38">
        <x:v>0.5</x:v>
      </x:c>
      <x:c r="C25" s="35">
        <x:f>BackgroundCalcs!Q18</x:f>
        <x:v>0.09</x:v>
      </x:c>
      <x:c r="D25" s="14"/>
      <x:c r="E25" s="36">
        <x:f>BackgroundCalcs!Q20</x:f>
        <x:v>140000</x:v>
      </x:c>
      <x:c r="F25" s="36" t="str">
        <x:f>'Team Commissions'!F25</x:f>
        <x:v>Max</x:v>
      </x:c>
      <x:c r="G25" s="14"/>
      <x:c r="H25" s="14"/>
    </x:row>
    <x:row r="26" spans="1:8">
      <x:c r="A26" s="83"/>
      <x:c r="B26" s="14"/>
      <x:c r="C26" s="14"/>
      <x:c r="D26" s="14"/>
      <x:c r="E26" s="14"/>
      <x:c r="F26" s="14"/>
      <x:c r="G26" s="14"/>
      <x:c r="H26" s="14"/>
    </x:row>
    <x:row r="27" spans="1:8">
      <x:c r="A27" s="83"/>
      <x:c r="B27" s="102" t="s">
        <x:v>248</x:v>
      </x:c>
      <x:c r="C27" s="14"/>
      <x:c r="D27" s="14"/>
      <x:c r="E27" s="14"/>
      <x:c r="F27" s="14"/>
      <x:c r="G27" s="14"/>
      <x:c r="H27" s="14"/>
    </x:row>
    <x:row r="28" spans="1:8">
      <x:c r="A28" s="83"/>
      <x:c r="B28" s="63" t="s">
        <x:v>105</x:v>
      </x:c>
      <x:c r="C28" s="63" t="s">
        <x:v>106</x:v>
      </x:c>
      <x:c r="D28" s="14"/>
      <x:c r="E28" s="14"/>
      <x:c r="F28" s="14"/>
      <x:c r="G28" s="14"/>
      <x:c r="H28" s="14"/>
    </x:row>
    <x:row r="29" spans="1:8">
      <x:c r="A29" s="83"/>
      <x:c r="B29" s="41">
        <x:f>DATE(2023,MONTH(BackgroundCalcs!Q22)-2,1)</x:f>
        <x:v>44927</x:v>
      </x:c>
      <x:c r="C29" s="41">
        <x:f>EOMONTH(B29,2)</x:f>
        <x:v>45016</x:v>
      </x:c>
      <x:c r="D29" s="14"/>
      <x:c r="E29" s="14"/>
      <x:c r="F29" s="14"/>
      <x:c r="G29" s="14"/>
      <x:c r="H29" s="14"/>
    </x:row>
    <x:row r="30" spans="1:8">
      <x:c r="A30" s="83"/>
      <x:c r="B30" s="103"/>
      <x:c r="C30" s="14"/>
      <x:c r="D30" s="14"/>
      <x:c r="E30" s="14"/>
      <x:c r="F30" s="14"/>
      <x:c r="G30" s="14"/>
      <x:c r="H30" s="14"/>
    </x:row>
    <x:row r="31" spans="1:8" ht="22.2">
      <x:c r="A31" s="83"/>
      <x:c r="B31" s="96" t="s">
        <x:v>51</x:v>
      </x:c>
      <x:c r="C31" s="96"/>
      <x:c r="D31" s="96"/>
      <x:c r="E31" s="96"/>
      <x:c r="F31" s="96"/>
      <x:c r="G31" s="96"/>
      <x:c r="H31" s="96"/>
    </x:row>
    <x:row r="32" spans="1:8">
      <x:c r="A32" s="83"/>
    </x:row>
    <x:row r="33" spans="1:9">
      <x:c r="A33" s="83"/>
      <x:c r="B33" s="37"/>
    </x:row>
    <x:row r="34" spans="1:9" ht="16.2" thickBot="1">
      <x:c r="B34" s="84"/>
      <x:c r="F34" s="27" t="s">
        <x:v>104</x:v>
      </x:c>
      <x:c r="G34" s="27" t="s">
        <x:v>81</x:v>
      </x:c>
    </x:row>
    <x:row r="35" spans="1:9" ht="15" thickBot="1">
      <x:c r="A35" s="4">
        <x:v>13</x:v>
      </x:c>
      <x:c r="B35" s="83" t="str">
        <x:f>"What is the total of the base sales for "&amp;$F$25&amp;"?"</x:f>
        <x:v>What is the total of the base sales for Max?</x:v>
      </x:c>
      <x:c r="F35" s="40"/>
      <x:c r="G35" s="43">
        <x:f>BackgroundCalcs!AY14</x:f>
        <x:v>81500</x:v>
      </x:c>
    </x:row>
    <x:row r="36" spans="1:9" ht="15" thickBot="1">
      <x:c r="A36" s="4">
        <x:v>14</x:v>
      </x:c>
      <x:c r="B36" s="83" t="str">
        <x:f>"What percentage of "&amp;F25&amp;"'s sales have add-on sales?"</x:f>
        <x:v>What percentage of Max's sales have add-on sales?</x:v>
      </x:c>
      <x:c r="F36" s="39"/>
      <x:c r="G36" s="44">
        <x:f>BackgroundCalcs!AY15</x:f>
        <x:v>0.33333333333333331</x:v>
      </x:c>
    </x:row>
    <x:row r="37" spans="1:9" ht="15" thickBot="1">
      <x:c r="A37" s="4">
        <x:v>15</x:v>
      </x:c>
      <x:c r="B37" s="83" t="str">
        <x:f>"What is the total of the add-on sales for "&amp;F25&amp;"?"</x:f>
        <x:v>What is the total of the add-on sales for Max?</x:v>
      </x:c>
      <x:c r="F37" s="40"/>
      <x:c r="G37" s="43">
        <x:f>BackgroundCalcs!AY16</x:f>
        <x:v>3200</x:v>
      </x:c>
    </x:row>
    <x:row r="38" spans="1:9" ht="15" thickBot="1">
      <x:c r="A38" s="4">
        <x:v>16</x:v>
      </x:c>
      <x:c r="B38" s="83" t="str">
        <x:f>"What is the total of the new business base sales for "&amp;F25&amp;"?"</x:f>
        <x:v>What is the total of the new business base sales for Max?</x:v>
      </x:c>
      <x:c r="F38" s="40"/>
      <x:c r="G38" s="43">
        <x:f>BackgroundCalcs!AY17</x:f>
        <x:v>25500</x:v>
      </x:c>
      <x:c r="H38" s="27"/>
      <x:c r="I38" s="64"/>
    </x:row>
    <x:row r="39" spans="1:9" ht="15" thickBot="1">
      <x:c r="A39" s="4">
        <x:v>17</x:v>
      </x:c>
      <x:c r="B39" s="83" t="str">
        <x:f>"What is "&amp;$F$25&amp;"'s percent of goal for base sales?"</x:f>
        <x:v>What is Max's percent of goal for base sales?</x:v>
      </x:c>
      <x:c r="F39" s="39"/>
      <x:c r="G39" s="44">
        <x:f>BackgroundCalcs!AY18</x:f>
        <x:v>0.58214285714285718</x:v>
      </x:c>
      <x:c r="H39" s="6"/>
      <x:c r="I39" s="65"/>
    </x:row>
    <x:row r="40" spans="1:9" ht="15" thickBot="1">
      <x:c r="A40" s="4">
        <x:v>18</x:v>
      </x:c>
      <x:c r="B40" s="83" t="str">
        <x:f>"What payout percent applies to "&amp;$F$25&amp;"'s base sales?"</x:f>
        <x:v>What payout percent applies to Max's base sales?</x:v>
      </x:c>
      <x:c r="F40" s="39"/>
      <x:c r="G40" s="44">
        <x:f>BackgroundCalcs!AY19</x:f>
        <x:v>0.18</x:v>
      </x:c>
    </x:row>
    <x:row r="41" spans="1:9" ht="15" thickBot="1">
      <x:c r="A41" s="4">
        <x:v>19</x:v>
      </x:c>
      <x:c r="B41" s="83" t="str">
        <x:f>"What is "&amp;$F$25&amp;"'s threshold bonus on base sales?"</x:f>
        <x:v>What is Max's threshold bonus on base sales?</x:v>
      </x:c>
      <x:c r="F41" s="40"/>
      <x:c r="G41" s="43">
        <x:f>BackgroundCalcs!AY20</x:f>
        <x:v>0</x:v>
      </x:c>
    </x:row>
    <x:row r="42" spans="1:9" ht="15" thickBot="1">
      <x:c r="A42" s="4">
        <x:v>20</x:v>
      </x:c>
      <x:c r="B42" s="83" t="str">
        <x:f>"What payout percent applies to "&amp;$F$25&amp;"'s add-on sales?"</x:f>
        <x:v>What payout percent applies to Max's add-on sales?</x:v>
      </x:c>
      <x:c r="F42" s="39"/>
      <x:c r="G42" s="44">
        <x:f>BackgroundCalcs!AY21</x:f>
        <x:v>0.09</x:v>
      </x:c>
    </x:row>
    <x:row r="43" spans="1:9" ht="15" thickBot="1">
      <x:c r="A43" s="4">
        <x:v>21</x:v>
      </x:c>
      <x:c r="B43" s="83" t="str">
        <x:f>"What is "&amp;$F$25&amp;"'s threshold bonus on add-on sales?"</x:f>
        <x:v>What is Max's threshold bonus on add-on sales?</x:v>
      </x:c>
      <x:c r="F43" s="40"/>
      <x:c r="G43" s="43">
        <x:f>BackgroundCalcs!AY22</x:f>
        <x:v>0</x:v>
      </x:c>
    </x:row>
    <x:row r="44" spans="1:9" ht="15" thickBot="1">
      <x:c r="A44" s="4">
        <x:v>22</x:v>
      </x:c>
      <x:c r="B44" s="83" t="str">
        <x:f>"What is "&amp;$F$25&amp;"'s new business percent bonus?"</x:f>
        <x:v>What is Max's new business percent bonus?</x:v>
      </x:c>
      <x:c r="F44" s="39"/>
      <x:c r="G44" s="44">
        <x:f>BackgroundCalcs!AY23</x:f>
        <x:v>0.09</x:v>
      </x:c>
    </x:row>
    <x:row r="45" spans="1:9" ht="15" thickBot="1">
      <x:c r="A45" s="4">
        <x:v>23</x:v>
      </x:c>
      <x:c r="B45" s="83" t="str">
        <x:f>"What is "&amp;$F$25&amp;"'s total pay from commissions and threshold bonuses?"</x:f>
        <x:v>What is Max's total pay from commissions and threshold bonuses?</x:v>
      </x:c>
      <x:c r="F45" s="40"/>
      <x:c r="G45" s="43">
        <x:f>BackgroundCalcs!AY24</x:f>
        <x:v>17253</x:v>
      </x:c>
    </x:row>
    <x:row r="46" spans="1:9" ht="15" thickBot="1">
      <x:c r="A46" s="4">
        <x:v>24</x:v>
      </x:c>
      <x:c r="B46" s="83" t="str">
        <x:f>"What is the effective commission rate on all of "&amp;$F$25&amp;"'s sales?"</x:f>
        <x:v>What is the effective commission rate on all of Max's sales?</x:v>
      </x:c>
      <x:c r="F46" s="31"/>
      <x:c r="G46" s="32">
        <x:f>BackgroundCalcs!AY25</x:f>
        <x:v>0.20369539551357732</x:v>
      </x:c>
      <x:c r="H46" s="6"/>
      <x:c r="I46" s="65"/>
    </x:row>
    <x:row r="47" spans="1:9">
      <x:c r="H47" s="6"/>
      <x:c r="I47" s="65"/>
    </x:row>
    <x:row r="51" spans="5:7">
      <x:c r="E51" s="5"/>
      <x:c r="F51" s="29"/>
      <x:c r="G51" s="6"/>
    </x:row>
    <x:row r="52" spans="5:7">
      <x:c r="E52" s="5"/>
      <x:c r="F52" s="29"/>
      <x:c r="G52" s="6"/>
    </x:row>
    <x:row r="1000">
      <x:c r="XX1000" s="110" t="n">
        <x:v>125713</x:v>
      </x:c>
    </x:row>
  </x:sheetData>
  <x:sheetProtection algorithmName="SHA-512" hashValue="sL2jqUu838JyhZg4M/Guuq67d8tDEougvV1BWuv9//JKDEhYKy93KB2wl4kbo/p41jOi5odgQzFkzWYTOj7xIw==" saltValue="n4tTd2PYpYXBBC3OD1Kt0Q==" spinCount="100000" sheet="1" objects="1" scenarios="1" formatCells="0"/>
  <x:mergeCells count="1">
    <x:mergeCell ref="B5:H7"/>
  </x:mergeCells>
  <x:conditionalFormatting sqref="H46:I47">
    <x:cfRule type="expression" dxfId="10" priority="9">
      <x:formula>IFERROR(AND(CheckAnswer(#REF!,H46),CheckAnswer(H40,H46),CheckAnswer(#REF!,H46)),FALSE)</x:formula>
    </x:cfRule>
  </x:conditionalFormatting>
  <x:conditionalFormatting sqref="G51:G52">
    <x:cfRule type="expression" dxfId="9" priority="8">
      <x:formula>IFERROR(CheckAnswer(F51,G51),FALSE)</x:formula>
    </x:cfRule>
  </x:conditionalFormatting>
  <x:conditionalFormatting sqref="G35:G46">
    <x:cfRule type="expression" dxfId="8" priority="7">
      <x:formula>CheckAnswerDirect(F35,G35)</x:formula>
    </x:cfRule>
  </x:conditionalFormatting>
  <x:conditionalFormatting sqref="H39:I39">
    <x:cfRule type="expression" dxfId="7" priority="23">
      <x:formula>IFERROR(AND(CheckAnswer(G35,H39),CheckAnswer(G36,H39),CheckAnswer(#REF!,H39)),FALSE)</x:formula>
    </x:cfRule>
  </x:conditionalFormatting>
  <x:conditionalFormatting sqref="J42:S43">
    <x:cfRule type="expression" dxfId="6" priority="1">
      <x:formula>IFERROR(AND(CheckAnswer(#REF!,J42),CheckAnswer(J36,J42),CheckAnswer(#REF!,J42)),FALSE)</x:formula>
    </x:cfRule>
  </x:conditionalFormatting>
  <x:conditionalFormatting sqref="S35">
    <x:cfRule type="expression" dxfId="5" priority="2">
      <x:formula>IFERROR(AND(CheckAnswer(K35,S35),CheckAnswer(K36,S35),CheckAnswer(#REF!,S35)),FALSE)</x:formula>
    </x:cfRule>
  </x:conditionalFormatting>
  <x:conditionalFormatting sqref="R35">
    <x:cfRule type="expression" dxfId="4" priority="3">
      <x:formula>IFERROR(AND(CheckAnswer(K35,R35),CheckAnswer(K36,R35),CheckAnswer(#REF!,R35)),FALSE)</x:formula>
    </x:cfRule>
  </x:conditionalFormatting>
  <x:conditionalFormatting sqref="K35">
    <x:cfRule type="expression" dxfId="3" priority="4">
      <x:formula>IFERROR(AND(CheckAnswer(H36,K35),CheckAnswer(H37,K35),CheckAnswer(#REF!,K35)),FALSE)</x:formula>
    </x:cfRule>
  </x:conditionalFormatting>
  <x:conditionalFormatting sqref="J35">
    <x:cfRule type="expression" dxfId="2" priority="5">
      <x:formula>IFERROR(AND(CheckAnswer(H36,J35),CheckAnswer(H37,J35),CheckAnswer(#REF!,J35)),FALSE)</x:formula>
    </x:cfRule>
  </x:conditionalFormatting>
  <x:conditionalFormatting sqref="N35:Q35">
    <x:cfRule type="expression" dxfId="1" priority="6">
      <x:formula>IFERROR(AND(CheckAnswer(H36,N35),CheckAnswer(H37,N35),CheckAnswer(#REF!,N35)),FALSE)</x:formula>
    </x:cfRule>
  </x:conditionalFormatting>
  <x:pageMargins left="0.7" right="0.7" top="0.75" bottom="0.75" header="0.3" footer="0.3"/>
  <x:drawing r:id="rId1"/>
</x:worksheet>
</file>

<file path=xl/worksheets/sheet6.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8A19EDBA-0CB7-4D27-BC82-CCC41BB00856}" mc:Ignorable="x14ac xr xr2 xr3">
  <x:sheetPr codeName="Sheet10">
    <x:tabColor rgb="FF0070C0"/>
  </x:sheetPr>
  <x:dimension ref="A2:U53"/>
  <x:sheetViews>
    <x:sheetView workbookViewId="0">
      <x:selection activeCell="B3" sqref="B3"/>
    </x:sheetView>
  </x:sheetViews>
  <x:sheetFormatPr defaultColWidth="11.21875" defaultRowHeight="14.4"/>
  <x:cols>
    <x:col min="1" max="1" width="8.88671875" style="4" customWidth="1"/>
    <x:col min="2" max="2" width="22.6640625" style="4" customWidth="1"/>
    <x:col min="3" max="4" width="14.21875" style="4" customWidth="1"/>
    <x:col min="5" max="5" width="22.6640625" style="4" customWidth="1"/>
    <x:col min="6" max="7" width="14.21875" style="4" customWidth="1"/>
    <x:col min="8" max="8" width="8.88671875" style="4" customWidth="1"/>
    <x:col min="9" max="20" width="12.6640625" style="28" customWidth="1"/>
    <x:col min="21" max="21" width="11.44140625" style="28" bestFit="1" customWidth="1"/>
    <x:col min="22" max="16384" width="11.21875" style="28"/>
  </x:cols>
  <x:sheetData>
    <x:row r="2" spans="2:21" ht="31.2">
      <x:c r="B2" s="93" t="s">
        <x:v>332</x:v>
      </x:c>
      <x:c r="C2" s="93"/>
      <x:c r="D2" s="93"/>
      <x:c r="E2" s="93"/>
      <x:c r="F2" s="93"/>
      <x:c r="G2" s="93"/>
      <x:c r="H2" s="93"/>
    </x:row>
    <x:row r="3" spans="2:21">
      <x:c r="B3" s="95"/>
      <x:c r="C3" s="95"/>
      <x:c r="D3" s="95"/>
      <x:c r="E3" s="95"/>
      <x:c r="F3" s="95"/>
      <x:c r="G3" s="95"/>
      <x:c r="H3" s="95"/>
    </x:row>
    <x:row r="4" spans="2:21" ht="22.2">
      <x:c r="B4" s="96" t="s">
        <x:v>24</x:v>
      </x:c>
      <x:c r="C4" s="96"/>
      <x:c r="D4" s="96"/>
      <x:c r="E4" s="96"/>
      <x:c r="F4" s="96"/>
      <x:c r="G4" s="96"/>
      <x:c r="H4" s="96"/>
    </x:row>
    <x:row r="5" spans="2:21">
      <x:c r="B5" s="106" t="s">
        <x:v>365</x:v>
      </x:c>
      <x:c r="C5" s="106"/>
      <x:c r="D5" s="106"/>
      <x:c r="E5" s="106"/>
      <x:c r="F5" s="106"/>
      <x:c r="G5" s="106"/>
      <x:c r="H5" s="106"/>
    </x:row>
    <x:row r="6" spans="2:21">
      <x:c r="B6" s="107"/>
      <x:c r="C6" s="107"/>
      <x:c r="D6" s="107"/>
      <x:c r="E6" s="107"/>
      <x:c r="F6" s="107"/>
      <x:c r="G6" s="107"/>
      <x:c r="H6" s="107"/>
    </x:row>
    <x:row r="7" spans="2:21">
      <x:c r="B7" s="107"/>
      <x:c r="C7" s="107"/>
      <x:c r="D7" s="107"/>
      <x:c r="E7" s="107"/>
      <x:c r="F7" s="107"/>
      <x:c r="G7" s="107"/>
      <x:c r="H7" s="107"/>
    </x:row>
    <x:row r="8" spans="2:21">
      <x:c r="B8" s="14"/>
      <x:c r="C8" s="14"/>
      <x:c r="D8" s="14"/>
      <x:c r="E8" s="14"/>
      <x:c r="F8" s="14"/>
      <x:c r="G8" s="14"/>
      <x:c r="H8" s="14"/>
    </x:row>
    <x:row r="9" spans="2:21">
      <x:c r="B9" s="102" t="s">
        <x:v>236</x:v>
      </x:c>
      <x:c r="C9" s="14"/>
      <x:c r="D9" s="14"/>
      <x:c r="E9" s="102" t="s">
        <x:v>238</x:v>
      </x:c>
      <x:c r="F9" s="14"/>
      <x:c r="G9" s="14"/>
      <x:c r="H9" s="14"/>
    </x:row>
    <x:row r="10" spans="2:21">
      <x:c r="B10" s="63" t="s">
        <x:v>330</x:v>
      </x:c>
      <x:c r="C10" s="63" t="s">
        <x:v>237</x:v>
      </x:c>
      <x:c r="D10" s="14"/>
      <x:c r="E10" s="63" t="s">
        <x:v>330</x:v>
      </x:c>
      <x:c r="F10" s="63" t="s">
        <x:v>237</x:v>
      </x:c>
      <x:c r="G10" s="14"/>
      <x:c r="H10" s="14"/>
    </x:row>
    <x:row r="11" spans="2:21">
      <x:c r="B11" s="38">
        <x:v>0.5</x:v>
      </x:c>
      <x:c r="C11" s="35">
        <x:f>BackgroundCalcs!Q2</x:f>
        <x:v>0.1</x:v>
      </x:c>
      <x:c r="D11" s="14"/>
      <x:c r="E11" s="38">
        <x:v>0.1</x:v>
      </x:c>
      <x:c r="F11" s="35">
        <x:f>BackgroundCalcs!Q6</x:f>
        <x:v>0.02</x:v>
      </x:c>
      <x:c r="G11" s="14"/>
      <x:c r="H11" s="14"/>
    </x:row>
    <x:row r="12" spans="2:21">
      <x:c r="B12" s="38">
        <x:v>1</x:v>
      </x:c>
      <x:c r="C12" s="35">
        <x:f>BackgroundCalcs!Q3</x:f>
        <x:v>0.18</x:v>
      </x:c>
      <x:c r="D12" s="14"/>
      <x:c r="E12" s="38">
        <x:v>0.2</x:v>
      </x:c>
      <x:c r="F12" s="35">
        <x:f>BackgroundCalcs!Q7</x:f>
        <x:v>0.06</x:v>
      </x:c>
      <x:c r="G12" s="14"/>
      <x:c r="H12" s="14"/>
      <x:c r="T12" s="82"/>
      <x:c r="U12" s="82"/>
    </x:row>
    <x:row r="13" spans="2:21">
      <x:c r="B13" s="38">
        <x:v>1.2</x:v>
      </x:c>
      <x:c r="C13" s="35">
        <x:f>BackgroundCalcs!Q4</x:f>
        <x:v>0.28000000000000003</x:v>
      </x:c>
      <x:c r="D13" s="14"/>
      <x:c r="E13" s="38">
        <x:v>0.35</x:v>
      </x:c>
      <x:c r="F13" s="35">
        <x:f>BackgroundCalcs!Q8</x:f>
        <x:v>0.09</x:v>
      </x:c>
      <x:c r="G13" s="14"/>
      <x:c r="H13" s="14"/>
    </x:row>
    <x:row r="14" spans="2:21">
      <x:c r="B14" s="38">
        <x:v>5</x:v>
      </x:c>
      <x:c r="C14" s="35">
        <x:f>BackgroundCalcs!Q5</x:f>
        <x:v>0.35000000000000003</x:v>
      </x:c>
      <x:c r="D14" s="14"/>
      <x:c r="E14" s="38">
        <x:v>0.5</x:v>
      </x:c>
      <x:c r="F14" s="35">
        <x:f>BackgroundCalcs!Q9</x:f>
        <x:v>0.12</x:v>
      </x:c>
      <x:c r="G14" s="14"/>
      <x:c r="H14" s="14"/>
    </x:row>
    <x:row r="15" spans="2:21">
      <x:c r="B15" s="14"/>
      <x:c r="C15" s="14"/>
      <x:c r="D15" s="14"/>
      <x:c r="E15" s="38">
        <x:v>1</x:v>
      </x:c>
      <x:c r="F15" s="35">
        <x:f>BackgroundCalcs!Q10</x:f>
        <x:v>0.19</x:v>
      </x:c>
      <x:c r="G15" s="14"/>
      <x:c r="H15" s="14"/>
    </x:row>
    <x:row r="16" spans="2:21">
      <x:c r="B16" s="102" t="s">
        <x:v>239</x:v>
      </x:c>
      <x:c r="C16" s="14"/>
      <x:c r="D16" s="14"/>
      <x:c r="E16" s="14"/>
      <x:c r="F16" s="14"/>
      <x:c r="G16" s="14"/>
      <x:c r="H16" s="14"/>
    </x:row>
    <x:row r="17" spans="1:18">
      <x:c r="B17" s="63" t="s">
        <x:v>331</x:v>
      </x:c>
      <x:c r="C17" s="63" t="s">
        <x:v>241</x:v>
      </x:c>
      <x:c r="D17" s="14"/>
      <x:c r="E17" s="102" t="s">
        <x:v>240</x:v>
      </x:c>
      <x:c r="F17" s="14"/>
      <x:c r="G17" s="14"/>
      <x:c r="H17" s="14"/>
    </x:row>
    <x:row r="18" spans="1:18">
      <x:c r="B18" s="38">
        <x:v>0</x:v>
      </x:c>
      <x:c r="C18" s="36">
        <x:f>BackgroundCalcs!Q11</x:f>
        <x:v>0</x:v>
      </x:c>
      <x:c r="D18" s="14"/>
      <x:c r="E18" s="63" t="s">
        <x:v>329</x:v>
      </x:c>
      <x:c r="F18" s="63" t="s">
        <x:v>241</x:v>
      </x:c>
      <x:c r="G18" s="14"/>
      <x:c r="H18" s="14"/>
    </x:row>
    <x:row r="19" spans="1:18">
      <x:c r="B19" s="38">
        <x:v>1</x:v>
      </x:c>
      <x:c r="C19" s="36">
        <x:f>BackgroundCalcs!Q12</x:f>
        <x:v>1000</x:v>
      </x:c>
      <x:c r="D19" s="14"/>
      <x:c r="E19" s="38">
        <x:v>0</x:v>
      </x:c>
      <x:c r="F19" s="36">
        <x:f>BackgroundCalcs!Q15</x:f>
        <x:v>0</x:v>
      </x:c>
      <x:c r="G19" s="14"/>
      <x:c r="H19" s="14"/>
    </x:row>
    <x:row r="20" spans="1:18">
      <x:c r="B20" s="38">
        <x:v>1.25</x:v>
      </x:c>
      <x:c r="C20" s="36">
        <x:f>BackgroundCalcs!Q13</x:f>
        <x:v>3500</x:v>
      </x:c>
      <x:c r="D20" s="14"/>
      <x:c r="E20" s="38">
        <x:v>0.35</x:v>
      </x:c>
      <x:c r="F20" s="36">
        <x:f>BackgroundCalcs!Q16</x:f>
        <x:v>1000</x:v>
      </x:c>
      <x:c r="G20" s="14"/>
      <x:c r="H20" s="14"/>
    </x:row>
    <x:row r="21" spans="1:18">
      <x:c r="B21" s="38">
        <x:v>1.5</x:v>
      </x:c>
      <x:c r="C21" s="36">
        <x:f>BackgroundCalcs!Q14</x:f>
        <x:v>6000</x:v>
      </x:c>
      <x:c r="D21" s="14"/>
      <x:c r="E21" s="38">
        <x:v>0.55000000000000004</x:v>
      </x:c>
      <x:c r="F21" s="36">
        <x:f>BackgroundCalcs!Q17</x:f>
        <x:v>2500</x:v>
      </x:c>
      <x:c r="G21" s="14"/>
      <x:c r="H21" s="14"/>
    </x:row>
    <x:row r="22" spans="1:18">
      <x:c r="B22" s="14"/>
      <x:c r="C22" s="14"/>
      <x:c r="D22" s="14"/>
      <x:c r="E22" s="14"/>
      <x:c r="F22" s="14"/>
      <x:c r="G22" s="14"/>
      <x:c r="H22" s="14"/>
    </x:row>
    <x:row r="23" spans="1:18">
      <x:c r="A23" s="83"/>
      <x:c r="B23" s="102" t="s">
        <x:v>242</x:v>
      </x:c>
      <x:c r="C23" s="14"/>
      <x:c r="D23" s="14"/>
      <x:c r="E23" s="102" t="s">
        <x:v>246</x:v>
      </x:c>
      <x:c r="F23" s="14"/>
      <x:c r="G23" s="14"/>
      <x:c r="H23" s="14"/>
    </x:row>
    <x:row r="24" spans="1:18">
      <x:c r="A24" s="83"/>
      <x:c r="B24" s="63" t="s">
        <x:v>245</x:v>
      </x:c>
      <x:c r="C24" s="63" t="s">
        <x:v>237</x:v>
      </x:c>
      <x:c r="D24" s="14"/>
      <x:c r="E24" s="63" t="s">
        <x:v>243</x:v>
      </x:c>
      <x:c r="F24" s="63" t="s">
        <x:v>247</x:v>
      </x:c>
      <x:c r="G24" s="14"/>
      <x:c r="H24" s="14"/>
    </x:row>
    <x:row r="25" spans="1:18">
      <x:c r="A25" s="83"/>
      <x:c r="B25" s="38">
        <x:v>0.5</x:v>
      </x:c>
      <x:c r="C25" s="35">
        <x:f>BackgroundCalcs!Q18</x:f>
        <x:v>0.09</x:v>
      </x:c>
      <x:c r="D25" s="14"/>
      <x:c r="E25" s="36">
        <x:f>BackgroundCalcs!Q20</x:f>
        <x:v>140000</x:v>
      </x:c>
      <x:c r="F25" s="36" t="str">
        <x:f>BackgroundCalcs!Q21</x:f>
        <x:v>Max</x:v>
      </x:c>
      <x:c r="G25" s="14"/>
      <x:c r="H25" s="14"/>
    </x:row>
    <x:row r="26" spans="1:18">
      <x:c r="A26" s="83"/>
      <x:c r="B26" s="14"/>
      <x:c r="C26" s="14"/>
      <x:c r="D26" s="14"/>
      <x:c r="E26" s="14"/>
      <x:c r="F26" s="14"/>
      <x:c r="G26" s="14"/>
      <x:c r="H26" s="14"/>
    </x:row>
    <x:row r="27" spans="1:18">
      <x:c r="A27" s="83"/>
      <x:c r="B27" s="102" t="s">
        <x:v>248</x:v>
      </x:c>
      <x:c r="C27" s="14"/>
      <x:c r="D27" s="14"/>
      <x:c r="E27" s="14"/>
      <x:c r="F27" s="14"/>
      <x:c r="G27" s="14"/>
      <x:c r="H27" s="14"/>
    </x:row>
    <x:row r="28" spans="1:18">
      <x:c r="A28" s="83"/>
      <x:c r="B28" s="63" t="s">
        <x:v>105</x:v>
      </x:c>
      <x:c r="C28" s="63" t="s">
        <x:v>106</x:v>
      </x:c>
      <x:c r="D28" s="14"/>
      <x:c r="E28" s="14"/>
      <x:c r="F28" s="14"/>
      <x:c r="G28" s="14"/>
      <x:c r="H28" s="14"/>
      <x:c r="L28" s="65"/>
      <x:c r="R28" s="66"/>
    </x:row>
    <x:row r="29" spans="1:18">
      <x:c r="A29" s="83"/>
      <x:c r="B29" s="41">
        <x:f>DATE(2023,MONTH(BackgroundCalcs!Q22)-2,1)</x:f>
        <x:v>44927</x:v>
      </x:c>
      <x:c r="C29" s="41">
        <x:f>EOMONTH(B29,2)</x:f>
        <x:v>45016</x:v>
      </x:c>
      <x:c r="D29" s="14"/>
      <x:c r="E29" s="14"/>
      <x:c r="F29" s="14"/>
      <x:c r="G29" s="14"/>
      <x:c r="H29" s="14"/>
      <x:c r="L29" s="65"/>
      <x:c r="R29" s="66"/>
    </x:row>
    <x:row r="30" spans="1:18">
      <x:c r="A30" s="83"/>
      <x:c r="B30" s="103"/>
      <x:c r="C30" s="14"/>
      <x:c r="D30" s="14"/>
      <x:c r="E30" s="14"/>
      <x:c r="F30" s="14"/>
      <x:c r="G30" s="14"/>
      <x:c r="H30" s="14"/>
      <x:c r="L30" s="65"/>
      <x:c r="R30" s="66"/>
    </x:row>
    <x:row r="31" spans="1:18" ht="22.2">
      <x:c r="A31" s="83"/>
      <x:c r="B31" s="96" t="s">
        <x:v>51</x:v>
      </x:c>
      <x:c r="C31" s="96"/>
      <x:c r="D31" s="96"/>
      <x:c r="E31" s="96"/>
      <x:c r="F31" s="96"/>
      <x:c r="G31" s="96"/>
      <x:c r="H31" s="96"/>
      <x:c r="L31" s="65"/>
      <x:c r="R31" s="66"/>
    </x:row>
    <x:row r="32" spans="1:18">
      <x:c r="A32" s="83"/>
      <x:c r="L32" s="65"/>
      <x:c r="R32" s="66"/>
    </x:row>
    <x:row r="33" spans="1:21">
      <x:c r="A33" s="83"/>
      <x:c r="B33" s="37"/>
      <x:c r="L33" s="65"/>
      <x:c r="R33" s="66"/>
    </x:row>
    <x:row r="34" spans="1:21" ht="16.2" thickBot="1">
      <x:c r="B34" s="84"/>
      <x:c r="F34" s="27" t="s">
        <x:v>104</x:v>
      </x:c>
      <x:c r="G34" s="27" t="s">
        <x:v>81</x:v>
      </x:c>
      <x:c r="L34" s="65"/>
      <x:c r="R34" s="66"/>
    </x:row>
    <x:row r="35" spans="1:21" ht="15" thickBot="1">
      <x:c r="A35" s="4">
        <x:v>25</x:v>
      </x:c>
      <x:c r="B35" s="83" t="s">
        <x:v>250</x:v>
      </x:c>
      <x:c r="F35" s="39"/>
      <x:c r="G35" s="43" t="str">
        <x:f>BackgroundCalcs!AY26</x:f>
        <x:v>Poorya</x:v>
      </x:c>
      <x:c r="L35" s="65"/>
      <x:c r="R35" s="66"/>
    </x:row>
    <x:row r="36" spans="1:21" ht="15" thickBot="1">
      <x:c r="A36" s="4">
        <x:v>26</x:v>
      </x:c>
      <x:c r="B36" s="83" t="s">
        <x:v>249</x:v>
      </x:c>
      <x:c r="F36" s="39"/>
      <x:c r="G36" s="43" t="str">
        <x:f>BackgroundCalcs!AY27</x:f>
        <x:v>Joelle</x:v>
      </x:c>
      <x:c r="L36" s="65"/>
      <x:c r="R36" s="66"/>
    </x:row>
    <x:row r="37" spans="1:21" ht="15" thickBot="1">
      <x:c r="A37" s="4">
        <x:v>27</x:v>
      </x:c>
      <x:c r="B37" s="15" t="s">
        <x:v>251</x:v>
      </x:c>
      <x:c r="E37" s="5"/>
      <x:c r="F37" s="31"/>
      <x:c r="G37" s="32">
        <x:f>BackgroundCalcs!AY28</x:f>
        <x:v>0.28865606936416183</x:v>
      </x:c>
      <x:c r="L37" s="65"/>
      <x:c r="R37" s="66"/>
    </x:row>
    <x:row r="38" spans="1:21">
      <x:c r="H38" s="27"/>
      <x:c r="L38" s="65"/>
      <x:c r="R38" s="66"/>
    </x:row>
    <x:row r="39" spans="1:21">
      <x:c r="L39" s="65"/>
      <x:c r="R39" s="66"/>
    </x:row>
    <x:row r="40" spans="1:21">
      <x:c r="L40" s="65"/>
      <x:c r="R40" s="66"/>
    </x:row>
    <x:row r="41" spans="1:21">
      <x:c r="H41" s="6"/>
      <x:c r="I41" s="65"/>
      <x:c r="J41" s="65"/>
      <x:c r="K41" s="65"/>
      <x:c r="L41" s="65"/>
      <x:c r="R41" s="66"/>
      <x:c r="S41" s="65"/>
      <x:c r="T41" s="65"/>
      <x:c r="U41" s="65"/>
    </x:row>
    <x:row r="42" spans="1:21">
      <x:c r="B42" s="78"/>
      <x:c r="C42" s="78"/>
      <x:c r="D42" s="78"/>
      <x:c r="E42" s="64"/>
      <x:c r="F42" s="78"/>
      <x:c r="G42" s="6"/>
      <x:c r="H42" s="6"/>
      <x:c r="I42" s="65"/>
      <x:c r="J42" s="65"/>
      <x:c r="K42" s="65"/>
      <x:c r="L42" s="65"/>
      <x:c r="R42" s="66"/>
      <x:c r="S42" s="65"/>
      <x:c r="T42" s="65"/>
      <x:c r="U42" s="65"/>
    </x:row>
    <x:row r="43" spans="1:21">
      <x:c r="B43" s="78"/>
      <x:c r="C43" s="78"/>
      <x:c r="D43" s="78"/>
      <x:c r="E43" s="64"/>
      <x:c r="F43" s="78"/>
      <x:c r="G43" s="64"/>
      <x:c r="H43" s="64"/>
      <x:c r="I43" s="65"/>
      <x:c r="J43" s="65"/>
      <x:c r="K43" s="65"/>
      <x:c r="L43" s="65"/>
      <x:c r="R43" s="66"/>
      <x:c r="S43" s="65"/>
      <x:c r="T43" s="65"/>
      <x:c r="U43" s="65"/>
    </x:row>
    <x:row r="44" spans="1:21">
      <x:c r="L44" s="65"/>
      <x:c r="R44" s="66"/>
      <x:c r="S44" s="65"/>
      <x:c r="T44" s="65"/>
      <x:c r="U44" s="65"/>
    </x:row>
    <x:row r="45" spans="1:21">
      <x:c r="L45" s="65"/>
      <x:c r="R45" s="66"/>
      <x:c r="S45" s="65"/>
      <x:c r="T45" s="65"/>
      <x:c r="U45" s="65"/>
    </x:row>
    <x:row r="46" spans="1:21">
      <x:c r="L46" s="65"/>
      <x:c r="R46" s="66"/>
      <x:c r="S46" s="65"/>
      <x:c r="T46" s="65"/>
      <x:c r="U46" s="65"/>
    </x:row>
    <x:row r="47" spans="1:21">
      <x:c r="L47" s="65"/>
      <x:c r="R47" s="66"/>
      <x:c r="S47" s="65"/>
      <x:c r="T47" s="65"/>
      <x:c r="U47" s="65"/>
    </x:row>
    <x:row r="48" spans="1:21">
      <x:c r="L48" s="65"/>
      <x:c r="R48" s="66"/>
      <x:c r="S48" s="65"/>
      <x:c r="T48" s="65"/>
      <x:c r="U48" s="65"/>
    </x:row>
    <x:row r="49" spans="12:21">
      <x:c r="L49" s="65"/>
      <x:c r="R49" s="66"/>
      <x:c r="S49" s="65"/>
      <x:c r="T49" s="65"/>
      <x:c r="U49" s="65"/>
    </x:row>
    <x:row r="50" spans="12:21">
      <x:c r="L50" s="65"/>
      <x:c r="R50" s="66"/>
      <x:c r="S50" s="65"/>
      <x:c r="T50" s="65"/>
      <x:c r="U50" s="65"/>
    </x:row>
    <x:row r="51" spans="12:21">
      <x:c r="L51" s="65"/>
      <x:c r="R51" s="66"/>
      <x:c r="S51" s="65"/>
      <x:c r="T51" s="65"/>
      <x:c r="U51" s="65"/>
    </x:row>
    <x:row r="52" spans="12:21">
      <x:c r="L52" s="65"/>
      <x:c r="M52" s="67"/>
      <x:c r="P52" s="65"/>
      <x:c r="Q52" s="65"/>
      <x:c r="R52" s="65"/>
      <x:c r="S52" s="65"/>
      <x:c r="T52" s="65"/>
      <x:c r="U52" s="65"/>
    </x:row>
    <x:row r="53" spans="12:21">
      <x:c r="L53" s="65"/>
      <x:c r="M53" s="67"/>
      <x:c r="P53" s="65"/>
      <x:c r="Q53" s="65"/>
      <x:c r="R53" s="65"/>
      <x:c r="S53" s="65"/>
      <x:c r="T53" s="65"/>
      <x:c r="U53" s="65"/>
    </x:row>
    <x:row r="1000">
      <x:c r="XX1000" s="110" t="n">
        <x:v>125713</x:v>
      </x:c>
    </x:row>
  </x:sheetData>
  <x:mergeCells count="1">
    <x:mergeCell ref="B5:H7"/>
  </x:mergeCells>
  <x:conditionalFormatting sqref="G35:G37">
    <x:cfRule type="expression" dxfId="0" priority="1">
      <x:formula>CheckAnswerDirect(F35,G35)</x:formula>
    </x:cfRule>
  </x:conditionalFormatting>
  <x:pageMargins left="0.7" right="0.7" top="0.75" bottom="0.75" header="0.3" footer="0.3"/>
  <x:drawing r:id="rId1"/>
</x:worksheet>
</file>

<file path=xl/worksheets/sheet7.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E21B03C0-38C8-4BD9-AC7F-4C3A2C189A35}" mc:Ignorable="x14ac xr xr2 xr3">
  <x:sheetPr codeName="Sheet7"/>
  <x:dimension ref="A1:H151"/>
  <x:sheetViews>
    <x:sheetView workbookViewId="0"/>
  </x:sheetViews>
  <x:sheetFormatPr defaultColWidth="0" defaultRowHeight="14.4" zeroHeight="1"/>
  <x:cols>
    <x:col min="1" max="1" width="3.109375" style="47" customWidth="1"/>
    <x:col min="2" max="5" width="20.33203125" style="47" customWidth="1"/>
    <x:col min="6" max="6" width="2.88671875" style="47" customWidth="1"/>
    <x:col min="7" max="16384" width="8.77734375" style="47" hidden="1"/>
  </x:cols>
  <x:sheetData>
    <x:row r="1" spans="1:8">
      <x:c r="A1" s="45"/>
      <x:c r="B1" s="45"/>
      <x:c r="C1" s="45"/>
      <x:c r="D1" s="45"/>
      <x:c r="E1" s="45"/>
      <x:c r="F1" s="45"/>
      <x:c r="G1" s="45"/>
    </x:row>
    <x:row r="2" spans="1:8" ht="31.2">
      <x:c r="A2" s="45"/>
      <x:c r="B2" s="93" t="s">
        <x:v>332</x:v>
      </x:c>
      <x:c r="C2" s="93"/>
      <x:c r="D2" s="93"/>
      <x:c r="E2" s="93"/>
      <x:c r="F2" s="45"/>
      <x:c r="G2" s="94"/>
      <x:c r="H2" s="86"/>
    </x:row>
    <x:row r="3" spans="1:8">
      <x:c r="A3" s="45"/>
      <x:c r="B3" s="95"/>
      <x:c r="C3" s="95"/>
      <x:c r="D3" s="95"/>
      <x:c r="E3" s="95"/>
      <x:c r="F3" s="45"/>
      <x:c r="G3" s="95"/>
      <x:c r="H3" s="81"/>
    </x:row>
    <x:row r="4" spans="1:8" ht="22.2">
      <x:c r="A4" s="45"/>
      <x:c r="B4" s="96" t="str">
        <x:f>"Results for "&amp;FileName</x:f>
        <x:v>Results for MECC Commission Calculator</x:v>
      </x:c>
      <x:c r="C4" s="96"/>
      <x:c r="D4" s="96"/>
      <x:c r="E4" s="96"/>
      <x:c r="F4" s="45"/>
      <x:c r="G4" s="97"/>
      <x:c r="H4" s="87"/>
    </x:row>
    <x:row r="5" spans="1:8" ht="18">
      <x:c r="A5" s="45"/>
      <x:c r="B5" s="46"/>
      <x:c r="C5" s="45"/>
      <x:c r="D5" s="45"/>
      <x:c r="E5" s="45"/>
      <x:c r="F5" s="45"/>
      <x:c r="G5" s="45"/>
    </x:row>
    <x:row r="6" spans="1:8" ht="18">
      <x:c r="A6" s="45"/>
      <x:c r="B6" s="46"/>
      <x:c r="C6" s="45"/>
      <x:c r="D6" s="45"/>
      <x:c r="E6" s="45"/>
      <x:c r="F6" s="45"/>
      <x:c r="G6" s="45"/>
    </x:row>
    <x:row r="7" spans="1:8">
      <x:c r="A7" s="45"/>
      <x:c r="B7" s="48"/>
      <x:c r="C7" s="45"/>
      <x:c r="D7" s="45"/>
      <x:c r="E7" s="45"/>
      <x:c r="F7" s="45"/>
      <x:c r="G7" s="45"/>
    </x:row>
    <x:row r="8" spans="1:8" ht="16.2" thickBot="1">
      <x:c r="A8" s="45"/>
      <x:c r="B8" s="49" t="s">
        <x:v>125</x:v>
      </x:c>
      <x:c r="C8" s="45"/>
      <x:c r="D8" s="45"/>
      <x:c r="E8" s="45"/>
      <x:c r="F8" s="45"/>
      <x:c r="G8" s="45"/>
    </x:row>
    <x:row r="9" spans="1:8" ht="43.8" thickBot="1">
      <x:c r="A9" s="45"/>
      <x:c r="B9" s="50" t="str">
        <x:f>BackgroundCalcs!D62</x:f>
        <x:v>I finished the MECC Commission Calculator in  seconds. Sign up for the Microsoft Excel Collegiate Challenge and give it a try! #ExcelEsports #ExcelAtEller</x:v>
      </x:c>
      <x:c r="C9" s="51"/>
      <x:c r="D9" s="51"/>
      <x:c r="E9" s="52"/>
      <x:c r="F9" s="45"/>
      <x:c r="G9" s="45"/>
    </x:row>
    <x:row r="10" spans="1:8" ht="15" thickBot="1">
      <x:c r="A10" s="45"/>
      <x:c r="B10" s="45"/>
      <x:c r="C10" s="45"/>
      <x:c r="D10" s="45"/>
      <x:c r="E10" s="45"/>
      <x:c r="F10" s="45"/>
      <x:c r="G10" s="45"/>
    </x:row>
    <x:row r="11" spans="1:8">
      <x:c r="A11" s="45"/>
      <x:c r="B11" s="45"/>
      <x:c r="C11" s="108" t="str">
        <x:f>HYPERLINK(BackgroundCalcs!D71,"Post to Twitter")</x:f>
        <x:v>Post to Twitter</x:v>
      </x:c>
      <x:c r="D11" s="108" t="str">
        <x:f>HYPERLINK(BackgroundCalcs!D65,"Post to LinkedIn")</x:f>
        <x:v>Post to LinkedIn</x:v>
      </x:c>
      <x:c r="E11" s="45"/>
      <x:c r="F11" s="45"/>
      <x:c r="G11" s="45"/>
    </x:row>
    <x:row r="12" spans="1:8" ht="15" thickBot="1">
      <x:c r="A12" s="45"/>
      <x:c r="B12" s="45"/>
      <x:c r="C12" s="109"/>
      <x:c r="D12" s="109"/>
      <x:c r="E12" s="45"/>
      <x:c r="F12" s="45"/>
      <x:c r="G12" s="45"/>
    </x:row>
    <x:row r="13" spans="1:8">
      <x:c r="A13" s="45"/>
      <x:c r="B13" s="45"/>
      <x:c r="C13" s="45"/>
      <x:c r="D13" s="45"/>
      <x:c r="E13" s="45"/>
      <x:c r="F13" s="45"/>
      <x:c r="G13" s="45"/>
    </x:row>
    <x:row r="14" spans="1:8">
      <x:c r="A14" s="45"/>
      <x:c r="B14" s="53" t="s">
        <x:v>18</x:v>
      </x:c>
      <x:c r="C14" s="45"/>
      <x:c r="D14" s="45"/>
      <x:c r="E14" s="45"/>
      <x:c r="F14" s="45"/>
      <x:c r="G14" s="45"/>
    </x:row>
    <x:row r="15" spans="1:8" ht="15" thickBot="1">
      <x:c r="A15" s="45"/>
      <x:c r="B15" s="54" t="s">
        <x:v>19</x:v>
      </x:c>
      <x:c r="C15" s="54" t="s">
        <x:v>126</x:v>
      </x:c>
      <x:c r="D15" s="54" t="s">
        <x:v>127</x:v>
      </x:c>
      <x:c r="E15" s="54" t="s">
        <x:v>80</x:v>
      </x:c>
      <x:c r="F15" s="45"/>
      <x:c r="G15" s="45"/>
    </x:row>
    <x:row r="16" spans="1:8">
      <x:c r="A16" s="45"/>
      <x:c r="B16" s="55"/>
      <x:c r="C16" s="56"/>
      <x:c r="D16" s="56"/>
      <x:c r="E16" s="57"/>
      <x:c r="F16" s="45"/>
      <x:c r="G16" s="45"/>
    </x:row>
    <x:row r="17" spans="1:7">
      <x:c r="A17" s="45"/>
      <x:c r="B17" s="45"/>
      <x:c r="C17" s="45"/>
      <x:c r="D17" s="45"/>
      <x:c r="E17" s="45"/>
      <x:c r="F17" s="45"/>
      <x:c r="G17" s="45"/>
    </x:row>
    <x:row r="18" spans="1:7">
      <x:c r="A18" s="45"/>
      <x:c r="B18" s="53" t="s">
        <x:v>20</x:v>
      </x:c>
      <x:c r="C18" s="45"/>
      <x:c r="D18" s="45"/>
      <x:c r="E18" s="45"/>
      <x:c r="F18" s="45"/>
      <x:c r="G18" s="45"/>
    </x:row>
    <x:row r="19" spans="1:7" ht="15" thickBot="1">
      <x:c r="A19" s="45"/>
      <x:c r="B19" s="54" t="s">
        <x:v>19</x:v>
      </x:c>
      <x:c r="C19" s="54" t="s">
        <x:v>126</x:v>
      </x:c>
      <x:c r="D19" s="54" t="s">
        <x:v>127</x:v>
      </x:c>
      <x:c r="E19" s="54" t="s">
        <x:v>80</x:v>
      </x:c>
      <x:c r="F19" s="45"/>
      <x:c r="G19" s="45"/>
    </x:row>
    <x:row r="20" spans="1:7">
      <x:c r="A20" s="45"/>
      <x:c r="B20" s="55" t="str">
        <x:f>IF(ISBLANK(B24),"",INDEX(B24:B142,MATCH(C20,C24:C142,0)))</x:f>
        <x:v/>
      </x:c>
      <x:c r="C20" s="56" t="str">
        <x:f>IF(ISBLANK(C24),"",INDEX(C24:C142,MATCH($E$20,$E$24:$E$142,0)))</x:f>
        <x:v/>
      </x:c>
      <x:c r="D20" s="56" t="str">
        <x:f>IF(ISBLANK(D24),"",INDEX(D24:D142,MATCH($E$20,$E$24:$E$142,0)))</x:f>
        <x:v/>
      </x:c>
      <x:c r="E20" s="57" t="str">
        <x:f>IF(ISBLANK(E24),"",MIN(E24:E142))</x:f>
        <x:v/>
      </x:c>
      <x:c r="F20" s="45"/>
      <x:c r="G20" s="45"/>
    </x:row>
    <x:row r="21" spans="1:7">
      <x:c r="A21" s="45"/>
      <x:c r="B21" s="45"/>
      <x:c r="C21" s="45"/>
      <x:c r="D21" s="45"/>
      <x:c r="E21" s="45"/>
      <x:c r="F21" s="45"/>
      <x:c r="G21" s="45"/>
    </x:row>
    <x:row r="22" spans="1:7">
      <x:c r="A22" s="45"/>
      <x:c r="B22" s="53" t="s">
        <x:v>128</x:v>
      </x:c>
      <x:c r="C22" s="45"/>
      <x:c r="D22" s="45"/>
      <x:c r="E22" s="45"/>
      <x:c r="F22" s="45"/>
      <x:c r="G22" s="45"/>
    </x:row>
    <x:row r="23" spans="1:7" ht="15" thickBot="1">
      <x:c r="A23" s="45"/>
      <x:c r="B23" s="54" t="s">
        <x:v>19</x:v>
      </x:c>
      <x:c r="C23" s="54" t="s">
        <x:v>126</x:v>
      </x:c>
      <x:c r="D23" s="54" t="s">
        <x:v>127</x:v>
      </x:c>
      <x:c r="E23" s="54" t="s">
        <x:v>80</x:v>
      </x:c>
      <x:c r="F23" s="45"/>
      <x:c r="G23" s="45"/>
    </x:row>
    <x:row r="24" spans="1:7">
      <x:c r="A24" s="45"/>
      <x:c r="B24" s="55"/>
      <x:c r="C24" s="57"/>
      <x:c r="D24" s="57"/>
      <x:c r="E24" s="57"/>
      <x:c r="F24" s="45"/>
      <x:c r="G24" s="45"/>
    </x:row>
    <x:row r="25" spans="1:7">
      <x:c r="A25" s="45"/>
      <x:c r="B25" s="55"/>
      <x:c r="C25" s="57"/>
      <x:c r="D25" s="57"/>
      <x:c r="E25" s="57"/>
      <x:c r="F25" s="45"/>
      <x:c r="G25" s="45"/>
    </x:row>
    <x:row r="26" spans="1:7">
      <x:c r="A26" s="45"/>
      <x:c r="B26" s="55"/>
      <x:c r="C26" s="57"/>
      <x:c r="D26" s="57"/>
      <x:c r="E26" s="57"/>
      <x:c r="F26" s="45"/>
      <x:c r="G26" s="45"/>
    </x:row>
    <x:row r="27" spans="1:7">
      <x:c r="A27" s="45"/>
      <x:c r="B27" s="55"/>
      <x:c r="C27" s="57"/>
      <x:c r="D27" s="57"/>
      <x:c r="E27" s="57"/>
      <x:c r="F27" s="45"/>
      <x:c r="G27" s="45"/>
    </x:row>
    <x:row r="28" spans="1:7">
      <x:c r="A28" s="45"/>
      <x:c r="B28" s="55"/>
      <x:c r="C28" s="57"/>
      <x:c r="D28" s="57"/>
      <x:c r="E28" s="57"/>
      <x:c r="F28" s="45"/>
      <x:c r="G28" s="45"/>
    </x:row>
    <x:row r="29" spans="1:7">
      <x:c r="A29" s="45"/>
      <x:c r="B29" s="55"/>
      <x:c r="C29" s="57"/>
      <x:c r="D29" s="57"/>
      <x:c r="E29" s="57"/>
      <x:c r="F29" s="45"/>
      <x:c r="G29" s="45"/>
    </x:row>
    <x:row r="30" spans="1:7">
      <x:c r="A30" s="45"/>
      <x:c r="B30" s="55"/>
      <x:c r="C30" s="57"/>
      <x:c r="D30" s="57"/>
      <x:c r="E30" s="57"/>
      <x:c r="F30" s="45"/>
      <x:c r="G30" s="45"/>
    </x:row>
    <x:row r="31" spans="1:7">
      <x:c r="A31" s="45"/>
      <x:c r="B31" s="55"/>
      <x:c r="C31" s="57"/>
      <x:c r="D31" s="57"/>
      <x:c r="E31" s="57"/>
      <x:c r="F31" s="45"/>
      <x:c r="G31" s="45"/>
    </x:row>
    <x:row r="32" spans="1:7">
      <x:c r="A32" s="45"/>
      <x:c r="B32" s="55"/>
      <x:c r="C32" s="57"/>
      <x:c r="D32" s="57"/>
      <x:c r="E32" s="57"/>
      <x:c r="F32" s="45"/>
      <x:c r="G32" s="45"/>
    </x:row>
    <x:row r="33" spans="1:7">
      <x:c r="A33" s="45"/>
      <x:c r="B33" s="55"/>
      <x:c r="C33" s="57"/>
      <x:c r="D33" s="57"/>
      <x:c r="E33" s="57"/>
      <x:c r="F33" s="45"/>
      <x:c r="G33" s="45"/>
    </x:row>
    <x:row r="34" spans="1:7">
      <x:c r="A34" s="45"/>
      <x:c r="B34" s="55"/>
      <x:c r="C34" s="57"/>
      <x:c r="D34" s="57"/>
      <x:c r="E34" s="57"/>
      <x:c r="F34" s="45"/>
      <x:c r="G34" s="45"/>
    </x:row>
    <x:row r="35" spans="1:7">
      <x:c r="A35" s="45"/>
      <x:c r="B35" s="55"/>
      <x:c r="C35" s="57"/>
      <x:c r="D35" s="57"/>
      <x:c r="E35" s="57"/>
      <x:c r="F35" s="45"/>
      <x:c r="G35" s="45"/>
    </x:row>
    <x:row r="36" spans="1:7">
      <x:c r="A36" s="45"/>
      <x:c r="B36" s="55"/>
      <x:c r="C36" s="57"/>
      <x:c r="D36" s="57"/>
      <x:c r="E36" s="57"/>
      <x:c r="F36" s="45"/>
      <x:c r="G36" s="45"/>
    </x:row>
    <x:row r="37" spans="1:7">
      <x:c r="A37" s="45"/>
      <x:c r="B37" s="55"/>
      <x:c r="C37" s="57"/>
      <x:c r="D37" s="57"/>
      <x:c r="E37" s="57"/>
      <x:c r="F37" s="45"/>
      <x:c r="G37" s="45"/>
    </x:row>
    <x:row r="38" spans="1:7">
      <x:c r="A38" s="45"/>
      <x:c r="B38" s="55"/>
      <x:c r="C38" s="57"/>
      <x:c r="D38" s="57"/>
      <x:c r="E38" s="57"/>
      <x:c r="F38" s="45"/>
      <x:c r="G38" s="45"/>
    </x:row>
    <x:row r="39" spans="1:7">
      <x:c r="A39" s="45"/>
      <x:c r="B39" s="55"/>
      <x:c r="C39" s="57"/>
      <x:c r="D39" s="57"/>
      <x:c r="E39" s="57"/>
      <x:c r="F39" s="45"/>
      <x:c r="G39" s="45"/>
    </x:row>
    <x:row r="40" spans="1:7">
      <x:c r="A40" s="45"/>
      <x:c r="B40" s="55"/>
      <x:c r="C40" s="57"/>
      <x:c r="D40" s="57"/>
      <x:c r="E40" s="57"/>
      <x:c r="F40" s="45"/>
      <x:c r="G40" s="45"/>
    </x:row>
    <x:row r="41" spans="1:7">
      <x:c r="A41" s="45"/>
      <x:c r="B41" s="55"/>
      <x:c r="C41" s="57"/>
      <x:c r="D41" s="57"/>
      <x:c r="E41" s="57"/>
      <x:c r="F41" s="45"/>
      <x:c r="G41" s="45"/>
    </x:row>
    <x:row r="42" spans="1:7">
      <x:c r="A42" s="45"/>
      <x:c r="B42" s="55"/>
      <x:c r="C42" s="57"/>
      <x:c r="D42" s="57"/>
      <x:c r="E42" s="57"/>
      <x:c r="F42" s="45"/>
      <x:c r="G42" s="45"/>
    </x:row>
    <x:row r="43" spans="1:7">
      <x:c r="A43" s="45"/>
      <x:c r="B43" s="55"/>
      <x:c r="C43" s="57"/>
      <x:c r="D43" s="57"/>
      <x:c r="E43" s="57"/>
      <x:c r="F43" s="45"/>
      <x:c r="G43" s="45"/>
    </x:row>
    <x:row r="44" spans="1:7">
      <x:c r="A44" s="45"/>
      <x:c r="B44" s="55"/>
      <x:c r="C44" s="57"/>
      <x:c r="D44" s="57"/>
      <x:c r="E44" s="57"/>
      <x:c r="F44" s="45"/>
      <x:c r="G44" s="45"/>
    </x:row>
    <x:row r="45" spans="1:7">
      <x:c r="A45" s="45"/>
      <x:c r="B45" s="55"/>
      <x:c r="C45" s="57"/>
      <x:c r="D45" s="57"/>
      <x:c r="E45" s="57"/>
      <x:c r="F45" s="45"/>
      <x:c r="G45" s="45"/>
    </x:row>
    <x:row r="46" spans="1:7">
      <x:c r="A46" s="45"/>
      <x:c r="B46" s="55"/>
      <x:c r="C46" s="57"/>
      <x:c r="D46" s="57"/>
      <x:c r="E46" s="57"/>
      <x:c r="F46" s="45"/>
      <x:c r="G46" s="45"/>
    </x:row>
    <x:row r="47" spans="1:7">
      <x:c r="A47" s="45"/>
      <x:c r="B47" s="55"/>
      <x:c r="C47" s="57"/>
      <x:c r="D47" s="57"/>
      <x:c r="E47" s="57"/>
      <x:c r="F47" s="45"/>
      <x:c r="G47" s="45"/>
    </x:row>
    <x:row r="48" spans="1:7">
      <x:c r="A48" s="45"/>
      <x:c r="B48" s="55"/>
      <x:c r="C48" s="57"/>
      <x:c r="D48" s="57"/>
      <x:c r="E48" s="57"/>
      <x:c r="F48" s="45"/>
      <x:c r="G48" s="45"/>
    </x:row>
    <x:row r="49" spans="1:7">
      <x:c r="A49" s="45"/>
      <x:c r="B49" s="55"/>
      <x:c r="C49" s="57"/>
      <x:c r="D49" s="57"/>
      <x:c r="E49" s="57"/>
      <x:c r="F49" s="45"/>
      <x:c r="G49" s="45"/>
    </x:row>
    <x:row r="50" spans="1:7">
      <x:c r="A50" s="45"/>
      <x:c r="B50" s="55"/>
      <x:c r="C50" s="57"/>
      <x:c r="D50" s="57"/>
      <x:c r="E50" s="57"/>
      <x:c r="F50" s="45"/>
      <x:c r="G50" s="45"/>
    </x:row>
    <x:row r="51" spans="1:7">
      <x:c r="A51" s="45"/>
      <x:c r="B51" s="55"/>
      <x:c r="C51" s="57"/>
      <x:c r="D51" s="57"/>
      <x:c r="E51" s="57"/>
      <x:c r="F51" s="45"/>
      <x:c r="G51" s="45"/>
    </x:row>
    <x:row r="52" spans="1:7">
      <x:c r="A52" s="45"/>
      <x:c r="B52" s="55"/>
      <x:c r="C52" s="57"/>
      <x:c r="D52" s="57"/>
      <x:c r="E52" s="57"/>
      <x:c r="F52" s="45"/>
      <x:c r="G52" s="45"/>
    </x:row>
    <x:row r="53" spans="1:7">
      <x:c r="A53" s="45"/>
      <x:c r="B53" s="55"/>
      <x:c r="C53" s="57"/>
      <x:c r="D53" s="57"/>
      <x:c r="E53" s="57"/>
      <x:c r="F53" s="45"/>
      <x:c r="G53" s="45"/>
    </x:row>
    <x:row r="54" spans="1:7">
      <x:c r="A54" s="45"/>
      <x:c r="B54" s="55"/>
      <x:c r="C54" s="57"/>
      <x:c r="D54" s="57"/>
      <x:c r="E54" s="57"/>
      <x:c r="F54" s="45"/>
      <x:c r="G54" s="45"/>
    </x:row>
    <x:row r="55" spans="1:7">
      <x:c r="A55" s="45"/>
      <x:c r="B55" s="55"/>
      <x:c r="C55" s="57"/>
      <x:c r="D55" s="57"/>
      <x:c r="E55" s="57"/>
      <x:c r="F55" s="45"/>
      <x:c r="G55" s="45"/>
    </x:row>
    <x:row r="56" spans="1:7">
      <x:c r="A56" s="45"/>
      <x:c r="B56" s="55"/>
      <x:c r="C56" s="57"/>
      <x:c r="D56" s="57"/>
      <x:c r="E56" s="57"/>
      <x:c r="F56" s="45"/>
      <x:c r="G56" s="45"/>
    </x:row>
    <x:row r="57" spans="1:7">
      <x:c r="A57" s="45"/>
      <x:c r="B57" s="55"/>
      <x:c r="C57" s="57"/>
      <x:c r="D57" s="57"/>
      <x:c r="E57" s="57"/>
      <x:c r="F57" s="45"/>
      <x:c r="G57" s="45"/>
    </x:row>
    <x:row r="58" spans="1:7">
      <x:c r="A58" s="45"/>
      <x:c r="B58" s="55"/>
      <x:c r="C58" s="57"/>
      <x:c r="D58" s="57"/>
      <x:c r="E58" s="57"/>
      <x:c r="F58" s="45"/>
      <x:c r="G58" s="45"/>
    </x:row>
    <x:row r="59" spans="1:7">
      <x:c r="A59" s="45"/>
      <x:c r="B59" s="55"/>
      <x:c r="C59" s="57"/>
      <x:c r="D59" s="57"/>
      <x:c r="E59" s="57"/>
      <x:c r="F59" s="45"/>
      <x:c r="G59" s="45"/>
    </x:row>
    <x:row r="60" spans="1:7">
      <x:c r="A60" s="45"/>
      <x:c r="B60" s="55"/>
      <x:c r="C60" s="57"/>
      <x:c r="D60" s="57"/>
      <x:c r="E60" s="57"/>
      <x:c r="F60" s="45"/>
      <x:c r="G60" s="45"/>
    </x:row>
    <x:row r="61" spans="1:7">
      <x:c r="A61" s="45"/>
      <x:c r="B61" s="55"/>
      <x:c r="C61" s="57"/>
      <x:c r="D61" s="57"/>
      <x:c r="E61" s="57"/>
      <x:c r="F61" s="45"/>
      <x:c r="G61" s="45"/>
    </x:row>
    <x:row r="62" spans="1:7">
      <x:c r="A62" s="45"/>
      <x:c r="B62" s="55"/>
      <x:c r="C62" s="57"/>
      <x:c r="D62" s="57"/>
      <x:c r="E62" s="57"/>
      <x:c r="F62" s="45"/>
      <x:c r="G62" s="45"/>
    </x:row>
    <x:row r="63" spans="1:7">
      <x:c r="A63" s="45"/>
      <x:c r="B63" s="55"/>
      <x:c r="C63" s="57"/>
      <x:c r="D63" s="57"/>
      <x:c r="E63" s="57"/>
      <x:c r="F63" s="45"/>
      <x:c r="G63" s="45"/>
    </x:row>
    <x:row r="64" spans="1:7">
      <x:c r="A64" s="45"/>
      <x:c r="B64" s="55"/>
      <x:c r="C64" s="57"/>
      <x:c r="D64" s="57"/>
      <x:c r="E64" s="57"/>
      <x:c r="F64" s="45"/>
      <x:c r="G64" s="45"/>
    </x:row>
    <x:row r="65" spans="1:7">
      <x:c r="A65" s="45"/>
      <x:c r="B65" s="55"/>
      <x:c r="C65" s="57"/>
      <x:c r="D65" s="57"/>
      <x:c r="E65" s="57"/>
      <x:c r="F65" s="45"/>
      <x:c r="G65" s="45"/>
    </x:row>
    <x:row r="66" spans="1:7">
      <x:c r="A66" s="45"/>
      <x:c r="B66" s="55"/>
      <x:c r="C66" s="57"/>
      <x:c r="D66" s="57"/>
      <x:c r="E66" s="57"/>
      <x:c r="F66" s="45"/>
      <x:c r="G66" s="45"/>
    </x:row>
    <x:row r="67" spans="1:7">
      <x:c r="A67" s="45"/>
      <x:c r="B67" s="55"/>
      <x:c r="C67" s="57"/>
      <x:c r="D67" s="57"/>
      <x:c r="E67" s="57"/>
      <x:c r="F67" s="45"/>
      <x:c r="G67" s="45"/>
    </x:row>
    <x:row r="68" spans="1:7">
      <x:c r="A68" s="45"/>
      <x:c r="B68" s="55"/>
      <x:c r="C68" s="57"/>
      <x:c r="D68" s="57"/>
      <x:c r="E68" s="57"/>
      <x:c r="F68" s="45"/>
      <x:c r="G68" s="45"/>
    </x:row>
    <x:row r="69" spans="1:7">
      <x:c r="A69" s="45"/>
      <x:c r="B69" s="55"/>
      <x:c r="C69" s="57"/>
      <x:c r="D69" s="57"/>
      <x:c r="E69" s="57"/>
      <x:c r="F69" s="45"/>
      <x:c r="G69" s="45"/>
    </x:row>
    <x:row r="70" spans="1:7">
      <x:c r="A70" s="45"/>
      <x:c r="B70" s="55"/>
      <x:c r="C70" s="57"/>
      <x:c r="D70" s="57"/>
      <x:c r="E70" s="57"/>
      <x:c r="F70" s="45"/>
      <x:c r="G70" s="45"/>
    </x:row>
    <x:row r="71" spans="1:7">
      <x:c r="A71" s="45"/>
      <x:c r="B71" s="55"/>
      <x:c r="C71" s="57"/>
      <x:c r="D71" s="57"/>
      <x:c r="E71" s="57"/>
      <x:c r="F71" s="45"/>
      <x:c r="G71" s="45"/>
    </x:row>
    <x:row r="72" spans="1:7">
      <x:c r="A72" s="45"/>
      <x:c r="B72" s="55"/>
      <x:c r="C72" s="57"/>
      <x:c r="D72" s="57"/>
      <x:c r="E72" s="57"/>
      <x:c r="F72" s="45"/>
      <x:c r="G72" s="45"/>
    </x:row>
    <x:row r="73" spans="1:7">
      <x:c r="A73" s="45"/>
      <x:c r="B73" s="55"/>
      <x:c r="C73" s="57"/>
      <x:c r="D73" s="57"/>
      <x:c r="E73" s="57"/>
      <x:c r="F73" s="45"/>
      <x:c r="G73" s="45"/>
    </x:row>
    <x:row r="74" spans="1:7">
      <x:c r="A74" s="45"/>
      <x:c r="B74" s="55"/>
      <x:c r="C74" s="57"/>
      <x:c r="D74" s="57"/>
      <x:c r="E74" s="57"/>
      <x:c r="F74" s="45"/>
      <x:c r="G74" s="45"/>
    </x:row>
    <x:row r="75" spans="1:7">
      <x:c r="A75" s="45"/>
      <x:c r="B75" s="55"/>
      <x:c r="C75" s="57"/>
      <x:c r="D75" s="57"/>
      <x:c r="E75" s="57"/>
      <x:c r="F75" s="45"/>
      <x:c r="G75" s="45"/>
    </x:row>
    <x:row r="76" spans="1:7">
      <x:c r="A76" s="45"/>
      <x:c r="B76" s="55"/>
      <x:c r="C76" s="57"/>
      <x:c r="D76" s="57"/>
      <x:c r="E76" s="57"/>
      <x:c r="F76" s="45"/>
      <x:c r="G76" s="45"/>
    </x:row>
    <x:row r="77" spans="1:7">
      <x:c r="A77" s="45"/>
      <x:c r="B77" s="55"/>
      <x:c r="C77" s="57"/>
      <x:c r="D77" s="57"/>
      <x:c r="E77" s="57"/>
      <x:c r="F77" s="45"/>
      <x:c r="G77" s="45"/>
    </x:row>
    <x:row r="78" spans="1:7">
      <x:c r="A78" s="45"/>
      <x:c r="B78" s="55"/>
      <x:c r="C78" s="57"/>
      <x:c r="D78" s="57"/>
      <x:c r="E78" s="57"/>
      <x:c r="F78" s="45"/>
      <x:c r="G78" s="45"/>
    </x:row>
    <x:row r="79" spans="1:7">
      <x:c r="A79" s="45"/>
      <x:c r="B79" s="55"/>
      <x:c r="C79" s="57"/>
      <x:c r="D79" s="57"/>
      <x:c r="E79" s="57"/>
      <x:c r="F79" s="45"/>
      <x:c r="G79" s="45"/>
    </x:row>
    <x:row r="80" spans="1:7">
      <x:c r="A80" s="45"/>
      <x:c r="B80" s="55"/>
      <x:c r="C80" s="57"/>
      <x:c r="D80" s="57"/>
      <x:c r="E80" s="57"/>
      <x:c r="F80" s="45"/>
      <x:c r="G80" s="45"/>
    </x:row>
    <x:row r="81" spans="1:7">
      <x:c r="A81" s="45"/>
      <x:c r="B81" s="55"/>
      <x:c r="C81" s="57"/>
      <x:c r="D81" s="57"/>
      <x:c r="E81" s="57"/>
      <x:c r="F81" s="45"/>
      <x:c r="G81" s="45"/>
    </x:row>
    <x:row r="82" spans="1:7">
      <x:c r="A82" s="45"/>
      <x:c r="B82" s="55"/>
      <x:c r="C82" s="57"/>
      <x:c r="D82" s="57"/>
      <x:c r="E82" s="57"/>
      <x:c r="F82" s="45"/>
      <x:c r="G82" s="45"/>
    </x:row>
    <x:row r="83" spans="1:7">
      <x:c r="A83" s="45"/>
      <x:c r="B83" s="55"/>
      <x:c r="C83" s="57"/>
      <x:c r="D83" s="57"/>
      <x:c r="E83" s="57"/>
      <x:c r="F83" s="45"/>
      <x:c r="G83" s="45"/>
    </x:row>
    <x:row r="84" spans="1:7">
      <x:c r="A84" s="45"/>
      <x:c r="B84" s="55"/>
      <x:c r="C84" s="57"/>
      <x:c r="D84" s="57"/>
      <x:c r="E84" s="57"/>
      <x:c r="F84" s="45"/>
      <x:c r="G84" s="45"/>
    </x:row>
    <x:row r="85" spans="1:7">
      <x:c r="A85" s="45"/>
      <x:c r="B85" s="55"/>
      <x:c r="C85" s="57"/>
      <x:c r="D85" s="57"/>
      <x:c r="E85" s="57"/>
      <x:c r="F85" s="45"/>
      <x:c r="G85" s="45"/>
    </x:row>
    <x:row r="86" spans="1:7">
      <x:c r="A86" s="45"/>
      <x:c r="B86" s="55"/>
      <x:c r="C86" s="57"/>
      <x:c r="D86" s="57"/>
      <x:c r="E86" s="57"/>
      <x:c r="F86" s="45"/>
      <x:c r="G86" s="45"/>
    </x:row>
    <x:row r="87" spans="1:7">
      <x:c r="A87" s="45"/>
      <x:c r="B87" s="55"/>
      <x:c r="C87" s="57"/>
      <x:c r="D87" s="57"/>
      <x:c r="E87" s="57"/>
      <x:c r="F87" s="45"/>
      <x:c r="G87" s="45"/>
    </x:row>
    <x:row r="88" spans="1:7">
      <x:c r="A88" s="45"/>
      <x:c r="B88" s="55"/>
      <x:c r="C88" s="57"/>
      <x:c r="D88" s="57"/>
      <x:c r="E88" s="57"/>
      <x:c r="F88" s="45"/>
      <x:c r="G88" s="45"/>
    </x:row>
    <x:row r="89" spans="1:7">
      <x:c r="A89" s="45"/>
      <x:c r="B89" s="55"/>
      <x:c r="C89" s="57"/>
      <x:c r="D89" s="57"/>
      <x:c r="E89" s="57"/>
      <x:c r="F89" s="45"/>
      <x:c r="G89" s="45"/>
    </x:row>
    <x:row r="90" spans="1:7">
      <x:c r="A90" s="45"/>
      <x:c r="B90" s="55"/>
      <x:c r="C90" s="57"/>
      <x:c r="D90" s="57"/>
      <x:c r="E90" s="57"/>
      <x:c r="F90" s="45"/>
      <x:c r="G90" s="45"/>
    </x:row>
    <x:row r="91" spans="1:7">
      <x:c r="A91" s="45"/>
      <x:c r="B91" s="55"/>
      <x:c r="C91" s="57"/>
      <x:c r="D91" s="57"/>
      <x:c r="E91" s="57"/>
      <x:c r="F91" s="45"/>
      <x:c r="G91" s="45"/>
    </x:row>
    <x:row r="92" spans="1:7">
      <x:c r="A92" s="45"/>
      <x:c r="B92" s="55"/>
      <x:c r="C92" s="57"/>
      <x:c r="D92" s="57"/>
      <x:c r="E92" s="57"/>
      <x:c r="F92" s="45"/>
      <x:c r="G92" s="45"/>
    </x:row>
    <x:row r="93" spans="1:7">
      <x:c r="A93" s="45"/>
      <x:c r="B93" s="55"/>
      <x:c r="C93" s="57"/>
      <x:c r="D93" s="57"/>
      <x:c r="E93" s="57"/>
      <x:c r="F93" s="45"/>
      <x:c r="G93" s="45"/>
    </x:row>
    <x:row r="94" spans="1:7">
      <x:c r="A94" s="45"/>
      <x:c r="B94" s="55"/>
      <x:c r="C94" s="57"/>
      <x:c r="D94" s="57"/>
      <x:c r="E94" s="57"/>
      <x:c r="F94" s="45"/>
      <x:c r="G94" s="45"/>
    </x:row>
    <x:row r="95" spans="1:7">
      <x:c r="A95" s="45"/>
      <x:c r="B95" s="55"/>
      <x:c r="C95" s="57"/>
      <x:c r="D95" s="57"/>
      <x:c r="E95" s="57"/>
      <x:c r="F95" s="45"/>
      <x:c r="G95" s="45"/>
    </x:row>
    <x:row r="96" spans="1:7">
      <x:c r="A96" s="45"/>
      <x:c r="B96" s="55"/>
      <x:c r="C96" s="57"/>
      <x:c r="D96" s="57"/>
      <x:c r="E96" s="57"/>
      <x:c r="F96" s="45"/>
      <x:c r="G96" s="45"/>
    </x:row>
    <x:row r="97" spans="1:7">
      <x:c r="A97" s="45"/>
      <x:c r="B97" s="55"/>
      <x:c r="C97" s="57"/>
      <x:c r="D97" s="57"/>
      <x:c r="E97" s="57"/>
      <x:c r="F97" s="45"/>
      <x:c r="G97" s="45"/>
    </x:row>
    <x:row r="98" spans="1:7">
      <x:c r="A98" s="45"/>
      <x:c r="B98" s="55"/>
      <x:c r="C98" s="57"/>
      <x:c r="D98" s="57"/>
      <x:c r="E98" s="57"/>
      <x:c r="F98" s="45"/>
      <x:c r="G98" s="45"/>
    </x:row>
    <x:row r="99" spans="1:7">
      <x:c r="A99" s="45"/>
      <x:c r="B99" s="55"/>
      <x:c r="C99" s="57"/>
      <x:c r="D99" s="57"/>
      <x:c r="E99" s="57"/>
      <x:c r="F99" s="45"/>
      <x:c r="G99" s="45"/>
    </x:row>
    <x:row r="100" spans="1:7">
      <x:c r="A100" s="45"/>
      <x:c r="B100" s="55"/>
      <x:c r="C100" s="57"/>
      <x:c r="D100" s="57"/>
      <x:c r="E100" s="57"/>
      <x:c r="F100" s="45"/>
      <x:c r="G100" s="45"/>
    </x:row>
    <x:row r="101" spans="1:7">
      <x:c r="A101" s="45"/>
      <x:c r="B101" s="55"/>
      <x:c r="C101" s="57"/>
      <x:c r="D101" s="57"/>
      <x:c r="E101" s="57"/>
      <x:c r="F101" s="45"/>
      <x:c r="G101" s="45"/>
    </x:row>
    <x:row r="102" spans="1:7">
      <x:c r="A102" s="45"/>
      <x:c r="B102" s="55"/>
      <x:c r="C102" s="57"/>
      <x:c r="D102" s="57"/>
      <x:c r="E102" s="57"/>
      <x:c r="F102" s="45"/>
      <x:c r="G102" s="45"/>
    </x:row>
    <x:row r="103" spans="1:7">
      <x:c r="A103" s="45"/>
      <x:c r="B103" s="55"/>
      <x:c r="C103" s="57"/>
      <x:c r="D103" s="57"/>
      <x:c r="E103" s="57"/>
      <x:c r="F103" s="45"/>
      <x:c r="G103" s="45"/>
    </x:row>
    <x:row r="104" spans="1:7">
      <x:c r="A104" s="45"/>
      <x:c r="B104" s="55"/>
      <x:c r="C104" s="57"/>
      <x:c r="D104" s="57"/>
      <x:c r="E104" s="57"/>
      <x:c r="F104" s="45"/>
      <x:c r="G104" s="45"/>
    </x:row>
    <x:row r="105" spans="1:7">
      <x:c r="A105" s="45"/>
      <x:c r="B105" s="55"/>
      <x:c r="C105" s="57"/>
      <x:c r="D105" s="57"/>
      <x:c r="E105" s="57"/>
      <x:c r="F105" s="45"/>
      <x:c r="G105" s="45"/>
    </x:row>
    <x:row r="106" spans="1:7">
      <x:c r="A106" s="45"/>
      <x:c r="B106" s="55"/>
      <x:c r="C106" s="57"/>
      <x:c r="D106" s="57"/>
      <x:c r="E106" s="57"/>
      <x:c r="F106" s="45"/>
      <x:c r="G106" s="45"/>
    </x:row>
    <x:row r="107" spans="1:7">
      <x:c r="A107" s="45"/>
      <x:c r="B107" s="55"/>
      <x:c r="C107" s="57"/>
      <x:c r="D107" s="57"/>
      <x:c r="E107" s="57"/>
      <x:c r="F107" s="45"/>
      <x:c r="G107" s="45"/>
    </x:row>
    <x:row r="108" spans="1:7">
      <x:c r="A108" s="45"/>
      <x:c r="B108" s="55"/>
      <x:c r="C108" s="57"/>
      <x:c r="D108" s="57"/>
      <x:c r="E108" s="57"/>
      <x:c r="F108" s="45"/>
      <x:c r="G108" s="45"/>
    </x:row>
    <x:row r="109" spans="1:7">
      <x:c r="A109" s="45"/>
      <x:c r="B109" s="55"/>
      <x:c r="C109" s="57"/>
      <x:c r="D109" s="57"/>
      <x:c r="E109" s="57"/>
      <x:c r="F109" s="45"/>
      <x:c r="G109" s="45"/>
    </x:row>
    <x:row r="110" spans="1:7">
      <x:c r="A110" s="45"/>
      <x:c r="B110" s="55"/>
      <x:c r="C110" s="57"/>
      <x:c r="D110" s="57"/>
      <x:c r="E110" s="57"/>
      <x:c r="F110" s="45"/>
      <x:c r="G110" s="45"/>
    </x:row>
    <x:row r="111" spans="1:7">
      <x:c r="A111" s="45"/>
      <x:c r="B111" s="55"/>
      <x:c r="C111" s="57"/>
      <x:c r="D111" s="57"/>
      <x:c r="E111" s="57"/>
      <x:c r="F111" s="45"/>
      <x:c r="G111" s="45"/>
    </x:row>
    <x:row r="112" spans="1:7">
      <x:c r="A112" s="45"/>
      <x:c r="B112" s="55"/>
      <x:c r="C112" s="57"/>
      <x:c r="D112" s="57"/>
      <x:c r="E112" s="57"/>
      <x:c r="F112" s="45"/>
      <x:c r="G112" s="45"/>
    </x:row>
    <x:row r="113" spans="1:7">
      <x:c r="A113" s="45"/>
      <x:c r="B113" s="55"/>
      <x:c r="C113" s="57"/>
      <x:c r="D113" s="57"/>
      <x:c r="E113" s="57"/>
      <x:c r="F113" s="45"/>
      <x:c r="G113" s="45"/>
    </x:row>
    <x:row r="114" spans="1:7">
      <x:c r="A114" s="45"/>
      <x:c r="B114" s="55"/>
      <x:c r="C114" s="57"/>
      <x:c r="D114" s="57"/>
      <x:c r="E114" s="57"/>
      <x:c r="F114" s="45"/>
      <x:c r="G114" s="45"/>
    </x:row>
    <x:row r="115" spans="1:7">
      <x:c r="A115" s="45"/>
      <x:c r="B115" s="55"/>
      <x:c r="C115" s="57"/>
      <x:c r="D115" s="57"/>
      <x:c r="E115" s="57"/>
      <x:c r="F115" s="45"/>
      <x:c r="G115" s="45"/>
    </x:row>
    <x:row r="116" spans="1:7">
      <x:c r="A116" s="45"/>
      <x:c r="B116" s="55"/>
      <x:c r="C116" s="57"/>
      <x:c r="D116" s="57"/>
      <x:c r="E116" s="57"/>
      <x:c r="F116" s="45"/>
      <x:c r="G116" s="45"/>
    </x:row>
    <x:row r="117" spans="1:7">
      <x:c r="A117" s="45"/>
      <x:c r="B117" s="55"/>
      <x:c r="C117" s="57"/>
      <x:c r="D117" s="57"/>
      <x:c r="E117" s="57"/>
      <x:c r="F117" s="45"/>
      <x:c r="G117" s="45"/>
    </x:row>
    <x:row r="118" spans="1:7">
      <x:c r="A118" s="45"/>
      <x:c r="B118" s="55"/>
      <x:c r="C118" s="57"/>
      <x:c r="D118" s="57"/>
      <x:c r="E118" s="57"/>
      <x:c r="F118" s="45"/>
      <x:c r="G118" s="45"/>
    </x:row>
    <x:row r="119" spans="1:7">
      <x:c r="A119" s="45"/>
      <x:c r="B119" s="55"/>
      <x:c r="C119" s="57"/>
      <x:c r="D119" s="57"/>
      <x:c r="E119" s="57"/>
      <x:c r="F119" s="45"/>
      <x:c r="G119" s="45"/>
    </x:row>
    <x:row r="120" spans="1:7">
      <x:c r="A120" s="45"/>
      <x:c r="B120" s="55"/>
      <x:c r="C120" s="57"/>
      <x:c r="D120" s="57"/>
      <x:c r="E120" s="57"/>
      <x:c r="F120" s="45"/>
      <x:c r="G120" s="45"/>
    </x:row>
    <x:row r="121" spans="1:7">
      <x:c r="A121" s="45"/>
      <x:c r="B121" s="55"/>
      <x:c r="C121" s="57"/>
      <x:c r="D121" s="57"/>
      <x:c r="E121" s="57"/>
      <x:c r="F121" s="45"/>
      <x:c r="G121" s="45"/>
    </x:row>
    <x:row r="122" spans="1:7">
      <x:c r="A122" s="45"/>
      <x:c r="B122" s="55"/>
      <x:c r="C122" s="57"/>
      <x:c r="D122" s="57"/>
      <x:c r="E122" s="57"/>
      <x:c r="F122" s="45"/>
      <x:c r="G122" s="45"/>
    </x:row>
    <x:row r="123" spans="1:7">
      <x:c r="A123" s="45"/>
      <x:c r="B123" s="55"/>
      <x:c r="C123" s="57"/>
      <x:c r="D123" s="57"/>
      <x:c r="E123" s="57"/>
      <x:c r="F123" s="45"/>
      <x:c r="G123" s="45"/>
    </x:row>
    <x:row r="124" spans="1:7">
      <x:c r="A124" s="45"/>
      <x:c r="B124" s="55"/>
      <x:c r="C124" s="57"/>
      <x:c r="D124" s="57"/>
      <x:c r="E124" s="57"/>
      <x:c r="F124" s="45"/>
      <x:c r="G124" s="45"/>
    </x:row>
    <x:row r="125" spans="1:7">
      <x:c r="A125" s="45"/>
      <x:c r="B125" s="55"/>
      <x:c r="C125" s="57"/>
      <x:c r="D125" s="57"/>
      <x:c r="E125" s="57"/>
      <x:c r="F125" s="45"/>
      <x:c r="G125" s="45"/>
    </x:row>
    <x:row r="126" spans="1:7">
      <x:c r="A126" s="45"/>
      <x:c r="B126" s="55"/>
      <x:c r="C126" s="57"/>
      <x:c r="D126" s="57"/>
      <x:c r="E126" s="57"/>
      <x:c r="F126" s="45"/>
      <x:c r="G126" s="45"/>
    </x:row>
    <x:row r="127" spans="1:7">
      <x:c r="A127" s="45"/>
      <x:c r="B127" s="55"/>
      <x:c r="C127" s="57"/>
      <x:c r="D127" s="57"/>
      <x:c r="E127" s="57"/>
      <x:c r="F127" s="45"/>
      <x:c r="G127" s="45"/>
    </x:row>
    <x:row r="128" spans="1:7">
      <x:c r="A128" s="45"/>
      <x:c r="B128" s="55"/>
      <x:c r="C128" s="57"/>
      <x:c r="D128" s="57"/>
      <x:c r="E128" s="57"/>
      <x:c r="F128" s="45"/>
      <x:c r="G128" s="45"/>
    </x:row>
    <x:row r="129" spans="1:7">
      <x:c r="A129" s="45"/>
      <x:c r="B129" s="55"/>
      <x:c r="C129" s="57"/>
      <x:c r="D129" s="57"/>
      <x:c r="E129" s="57"/>
      <x:c r="F129" s="45"/>
      <x:c r="G129" s="45"/>
    </x:row>
    <x:row r="130" spans="1:7">
      <x:c r="A130" s="45"/>
      <x:c r="B130" s="55"/>
      <x:c r="C130" s="57"/>
      <x:c r="D130" s="57"/>
      <x:c r="E130" s="57"/>
      <x:c r="F130" s="45"/>
      <x:c r="G130" s="45"/>
    </x:row>
    <x:row r="131" spans="1:7">
      <x:c r="A131" s="45"/>
      <x:c r="B131" s="55"/>
      <x:c r="C131" s="57"/>
      <x:c r="D131" s="57"/>
      <x:c r="E131" s="57"/>
      <x:c r="F131" s="45"/>
      <x:c r="G131" s="45"/>
    </x:row>
    <x:row r="132" spans="1:7">
      <x:c r="A132" s="45"/>
      <x:c r="B132" s="55"/>
      <x:c r="C132" s="57"/>
      <x:c r="D132" s="57"/>
      <x:c r="E132" s="57"/>
      <x:c r="F132" s="45"/>
      <x:c r="G132" s="45"/>
    </x:row>
    <x:row r="133" spans="1:7">
      <x:c r="A133" s="45"/>
      <x:c r="B133" s="55"/>
      <x:c r="C133" s="57"/>
      <x:c r="D133" s="57"/>
      <x:c r="E133" s="57"/>
      <x:c r="F133" s="45"/>
      <x:c r="G133" s="45"/>
    </x:row>
    <x:row r="134" spans="1:7">
      <x:c r="A134" s="45"/>
      <x:c r="B134" s="55"/>
      <x:c r="C134" s="57"/>
      <x:c r="D134" s="57"/>
      <x:c r="E134" s="57"/>
      <x:c r="F134" s="45"/>
      <x:c r="G134" s="45"/>
    </x:row>
    <x:row r="135" spans="1:7">
      <x:c r="A135" s="45"/>
      <x:c r="B135" s="55"/>
      <x:c r="C135" s="57"/>
      <x:c r="D135" s="57"/>
      <x:c r="E135" s="57"/>
      <x:c r="F135" s="45"/>
      <x:c r="G135" s="45"/>
    </x:row>
    <x:row r="136" spans="1:7">
      <x:c r="A136" s="45"/>
      <x:c r="B136" s="55"/>
      <x:c r="C136" s="57"/>
      <x:c r="D136" s="57"/>
      <x:c r="E136" s="57"/>
      <x:c r="F136" s="45"/>
      <x:c r="G136" s="45"/>
    </x:row>
    <x:row r="137" spans="1:7">
      <x:c r="A137" s="45"/>
      <x:c r="B137" s="55"/>
      <x:c r="C137" s="57"/>
      <x:c r="D137" s="57"/>
      <x:c r="E137" s="57"/>
      <x:c r="F137" s="45"/>
      <x:c r="G137" s="45"/>
    </x:row>
    <x:row r="138" spans="1:7">
      <x:c r="A138" s="45"/>
      <x:c r="B138" s="55"/>
      <x:c r="C138" s="57"/>
      <x:c r="D138" s="57"/>
      <x:c r="E138" s="57"/>
      <x:c r="F138" s="45"/>
      <x:c r="G138" s="45"/>
    </x:row>
    <x:row r="139" spans="1:7">
      <x:c r="A139" s="45"/>
      <x:c r="B139" s="55"/>
      <x:c r="C139" s="57"/>
      <x:c r="D139" s="57"/>
      <x:c r="E139" s="57"/>
      <x:c r="F139" s="45"/>
      <x:c r="G139" s="45"/>
    </x:row>
    <x:row r="140" spans="1:7">
      <x:c r="A140" s="45"/>
      <x:c r="B140" s="55"/>
      <x:c r="C140" s="57"/>
      <x:c r="D140" s="57"/>
      <x:c r="E140" s="57"/>
      <x:c r="F140" s="45"/>
      <x:c r="G140" s="45"/>
    </x:row>
    <x:row r="141" spans="1:7">
      <x:c r="A141" s="45"/>
      <x:c r="B141" s="55"/>
      <x:c r="C141" s="57"/>
      <x:c r="D141" s="57"/>
      <x:c r="E141" s="57"/>
      <x:c r="F141" s="45"/>
      <x:c r="G141" s="45"/>
    </x:row>
    <x:row r="142" spans="1:7">
      <x:c r="B142" s="88"/>
      <x:c r="C142" s="90"/>
      <x:c r="D142" s="90"/>
      <x:c r="E142" s="90"/>
    </x:row>
    <x:row r="143" spans="1:7">
      <x:c r="B143" s="88"/>
      <x:c r="C143" s="90"/>
      <x:c r="D143" s="90"/>
      <x:c r="E143" s="90"/>
    </x:row>
    <x:row r="144" spans="1:7">
      <x:c r="B144" s="88"/>
      <x:c r="C144" s="90"/>
      <x:c r="D144" s="90"/>
      <x:c r="E144" s="90"/>
    </x:row>
    <x:row r="145" spans="2:5">
      <x:c r="B145" s="88"/>
      <x:c r="C145" s="90"/>
      <x:c r="D145" s="90"/>
      <x:c r="E145" s="90"/>
    </x:row>
    <x:row r="146" spans="2:5">
      <x:c r="B146" s="88"/>
      <x:c r="C146" s="90"/>
      <x:c r="D146" s="90"/>
      <x:c r="E146" s="90"/>
    </x:row>
    <x:row r="147" spans="2:5"/>
    <x:row r="148" spans="2:5"/>
    <x:row r="149" spans="2:5"/>
    <x:row r="150" spans="2:5"/>
    <x:row r="151" spans="2:5"/>
    <x:row r="1000">
      <x:c r="XX1000" s="110" t="n">
        <x:v>125713</x:v>
      </x:c>
    </x:row>
  </x:sheetData>
  <x:sheetProtection algorithmName="SHA-512" hashValue="tVAAIhHdYtJnsRL1gyfFgMuyeMHSznijaElUsXrg3aeWBziXgqIQAzppmVpFsMHdnnlVvjSw4tRcLRQZeIyDqQ==" saltValue="kh/WXWlv8H96u6/1NQbVLQ==" spinCount="100000" sheet="1" objects="1" scenarios="1"/>
  <x:mergeCells count="2">
    <x:mergeCell ref="C11:C12"/>
    <x:mergeCell ref="D11:D12"/>
  </x:mergeCells>
  <x:pageMargins left="0.7" right="0.7" top="0.75" bottom="0.75" header="0.3" footer="0.3"/>
  <x:drawing r:id="rId1"/>
</x:worksheet>
</file>

<file path=xl/worksheets/sheet8.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CB5D7AED-7FC4-428D-813D-0B28373AF508}" mc:Ignorable="x14ac xr xr2 xr3">
  <x:sheetPr codeName="Sheet12"/>
  <x:dimension ref="A1:H253"/>
  <x:sheetViews>
    <x:sheetView workbookViewId="0"/>
  </x:sheetViews>
  <x:sheetFormatPr defaultColWidth="0" defaultRowHeight="14.85" customHeight="1" zeroHeight="1"/>
  <x:cols>
    <x:col min="1" max="1" width="3.21875" style="47" customWidth="1"/>
    <x:col min="2" max="2" width="24.77734375" style="47" customWidth="1"/>
    <x:col min="3" max="3" width="14.33203125" style="47" customWidth="1"/>
    <x:col min="4" max="4" width="17.77734375" style="47" bestFit="1" customWidth="1"/>
    <x:col min="5" max="5" width="17.77734375" style="47" customWidth="1"/>
    <x:col min="6" max="6" width="3.21875" style="47" customWidth="1"/>
    <x:col min="7" max="8" width="0" style="47" hidden="1" customWidth="1"/>
    <x:col min="9" max="16384" width="8.77734375" style="47" hidden="1"/>
  </x:cols>
  <x:sheetData>
    <x:row r="1" spans="1:7" ht="14.4">
      <x:c r="A1" s="45"/>
      <x:c r="B1" s="45"/>
      <x:c r="C1" s="45"/>
      <x:c r="D1" s="45"/>
      <x:c r="E1" s="45"/>
      <x:c r="F1" s="45"/>
      <x:c r="G1" s="45"/>
    </x:row>
    <x:row r="2" spans="1:7" ht="31.2">
      <x:c r="A2" s="45"/>
      <x:c r="B2" s="93" t="s">
        <x:v>332</x:v>
      </x:c>
      <x:c r="C2" s="93"/>
      <x:c r="D2" s="93"/>
      <x:c r="E2" s="93"/>
      <x:c r="F2" s="45"/>
      <x:c r="G2" s="45"/>
    </x:row>
    <x:row r="3" spans="1:7" ht="14.4">
      <x:c r="A3" s="45"/>
      <x:c r="B3" s="95"/>
      <x:c r="C3" s="95"/>
      <x:c r="D3" s="95"/>
      <x:c r="E3" s="95"/>
      <x:c r="F3" s="45"/>
      <x:c r="G3" s="45"/>
    </x:row>
    <x:row r="4" spans="1:7" ht="22.2">
      <x:c r="A4" s="45"/>
      <x:c r="B4" s="96" t="str">
        <x:f>"Results for "&amp;FileName</x:f>
        <x:v>Results for MECC Commission Calculator</x:v>
      </x:c>
      <x:c r="C4" s="96"/>
      <x:c r="D4" s="96"/>
      <x:c r="E4" s="96"/>
      <x:c r="F4" s="45"/>
      <x:c r="G4" s="45"/>
    </x:row>
    <x:row r="5" spans="1:7" ht="14.4">
      <x:c r="A5" s="45"/>
      <x:c r="B5" s="56"/>
      <x:c r="C5" s="45"/>
      <x:c r="D5" s="45"/>
      <x:c r="E5" s="45"/>
      <x:c r="F5" s="45"/>
      <x:c r="G5" s="45"/>
    </x:row>
    <x:row r="6" spans="1:7" ht="18">
      <x:c r="A6" s="45"/>
      <x:c r="B6" s="58" t="s">
        <x:v>110</x:v>
      </x:c>
      <x:c r="C6" s="59">
        <x:f ca="1">COUNTIF(C10:C241,TRUE)</x:f>
        <x:v>0</x:v>
      </x:c>
      <x:c r="D6" s="45"/>
      <x:c r="E6" s="45"/>
      <x:c r="F6" s="45"/>
      <x:c r="G6" s="45"/>
    </x:row>
    <x:row r="7" spans="1:7" ht="18">
      <x:c r="A7" s="45"/>
      <x:c r="B7" s="58" t="s">
        <x:v>111</x:v>
      </x:c>
      <x:c r="C7" s="60">
        <x:f ca="1">CurrentScore/COUNT(B10:B241)</x:f>
        <x:v>0</x:v>
      </x:c>
      <x:c r="D7" s="56"/>
      <x:c r="E7" s="56"/>
      <x:c r="F7" s="45"/>
      <x:c r="G7" s="45"/>
    </x:row>
    <x:row r="8" spans="1:7" ht="14.4">
      <x:c r="A8" s="45"/>
      <x:c r="B8" s="45"/>
      <x:c r="C8" s="56"/>
      <x:c r="D8" s="45"/>
      <x:c r="E8" s="45"/>
      <x:c r="F8" s="45"/>
      <x:c r="G8" s="45"/>
    </x:row>
    <x:row r="9" spans="1:7" ht="14.4">
      <x:c r="A9" s="45"/>
      <x:c r="B9" s="61" t="s">
        <x:v>112</x:v>
      </x:c>
      <x:c r="C9" s="61" t="s">
        <x:v>79</x:v>
      </x:c>
      <x:c r="D9" s="45"/>
      <x:c r="E9" s="45"/>
      <x:c r="F9" s="45"/>
      <x:c r="G9" s="45"/>
    </x:row>
    <x:row r="10" spans="1:7" ht="14.4">
      <x:c r="A10" s="45"/>
      <x:c r="B10" s="56">
        <x:v>1</x:v>
      </x:c>
      <x:c r="C10" s="56" t="b">
        <x:f ca="1">IF(BackgroundCalcs!BB2=1,TRUE,FALSE)</x:f>
        <x:v>0</x:v>
      </x:c>
      <x:c r="D10" s="62"/>
      <x:c r="E10" s="56"/>
      <x:c r="F10" s="45"/>
      <x:c r="G10" s="45"/>
    </x:row>
    <x:row r="11" spans="1:7" ht="14.4">
      <x:c r="A11" s="45"/>
      <x:c r="B11" s="56">
        <x:v>2</x:v>
      </x:c>
      <x:c r="C11" s="56" t="b">
        <x:f ca="1">IF(BackgroundCalcs!BB3=1,TRUE,FALSE)</x:f>
        <x:v>0</x:v>
      </x:c>
      <x:c r="D11" s="55"/>
      <x:c r="E11" s="55"/>
      <x:c r="F11" s="45"/>
      <x:c r="G11" s="45"/>
    </x:row>
    <x:row r="12" spans="1:7" ht="14.4">
      <x:c r="A12" s="45"/>
      <x:c r="B12" s="56">
        <x:v>3</x:v>
      </x:c>
      <x:c r="C12" s="56" t="b">
        <x:f ca="1">IF(BackgroundCalcs!BB4=1,TRUE,FALSE)</x:f>
        <x:v>0</x:v>
      </x:c>
      <x:c r="D12" s="45"/>
      <x:c r="E12" s="45"/>
      <x:c r="F12" s="45"/>
      <x:c r="G12" s="45"/>
    </x:row>
    <x:row r="13" spans="1:7" ht="14.4">
      <x:c r="A13" s="45"/>
      <x:c r="B13" s="56">
        <x:v>4</x:v>
      </x:c>
      <x:c r="C13" s="56" t="b">
        <x:f ca="1">IF(BackgroundCalcs!BB5=1,TRUE,FALSE)</x:f>
        <x:v>0</x:v>
      </x:c>
      <x:c r="D13" s="55"/>
      <x:c r="E13" s="55"/>
      <x:c r="F13" s="45"/>
      <x:c r="G13" s="45"/>
    </x:row>
    <x:row r="14" spans="1:7" ht="14.4">
      <x:c r="A14" s="45"/>
      <x:c r="B14" s="56">
        <x:v>5</x:v>
      </x:c>
      <x:c r="C14" s="56" t="b">
        <x:f ca="1">IF(BackgroundCalcs!BB6=1,TRUE,FALSE)</x:f>
        <x:v>0</x:v>
      </x:c>
      <x:c r="D14" s="55"/>
      <x:c r="E14" s="55"/>
      <x:c r="F14" s="45"/>
      <x:c r="G14" s="45"/>
    </x:row>
    <x:row r="15" spans="1:7" ht="14.4">
      <x:c r="A15" s="45"/>
      <x:c r="B15" s="56">
        <x:v>6</x:v>
      </x:c>
      <x:c r="C15" s="56" t="b">
        <x:f ca="1">IF(BackgroundCalcs!BB7=1,TRUE,FALSE)</x:f>
        <x:v>0</x:v>
      </x:c>
      <x:c r="D15" s="55"/>
      <x:c r="E15" s="55"/>
      <x:c r="F15" s="45"/>
      <x:c r="G15" s="45"/>
    </x:row>
    <x:row r="16" spans="1:7" ht="14.4">
      <x:c r="A16" s="45"/>
      <x:c r="B16" s="56">
        <x:v>7</x:v>
      </x:c>
      <x:c r="C16" s="56" t="b">
        <x:f ca="1">IF(BackgroundCalcs!BB8=1,TRUE,FALSE)</x:f>
        <x:v>0</x:v>
      </x:c>
      <x:c r="D16" s="55"/>
      <x:c r="E16" s="55"/>
      <x:c r="F16" s="45"/>
      <x:c r="G16" s="45"/>
    </x:row>
    <x:row r="17" spans="1:7" ht="14.4">
      <x:c r="A17" s="45"/>
      <x:c r="B17" s="56">
        <x:v>8</x:v>
      </x:c>
      <x:c r="C17" s="56" t="b">
        <x:f ca="1">IF(BackgroundCalcs!BB9=1,TRUE,FALSE)</x:f>
        <x:v>0</x:v>
      </x:c>
      <x:c r="D17" s="55"/>
      <x:c r="E17" s="55"/>
      <x:c r="F17" s="45"/>
      <x:c r="G17" s="45"/>
    </x:row>
    <x:row r="18" spans="1:7" ht="14.4">
      <x:c r="A18" s="45"/>
      <x:c r="B18" s="56">
        <x:v>9</x:v>
      </x:c>
      <x:c r="C18" s="56" t="b">
        <x:f ca="1">IF(BackgroundCalcs!BB10=1,TRUE,FALSE)</x:f>
        <x:v>0</x:v>
      </x:c>
      <x:c r="D18" s="55"/>
      <x:c r="E18" s="55"/>
      <x:c r="F18" s="45"/>
      <x:c r="G18" s="45"/>
    </x:row>
    <x:row r="19" spans="1:7" ht="14.4">
      <x:c r="A19" s="45"/>
      <x:c r="B19" s="56">
        <x:v>10</x:v>
      </x:c>
      <x:c r="C19" s="56" t="b">
        <x:f ca="1">IF(BackgroundCalcs!BB11=1,TRUE,FALSE)</x:f>
        <x:v>0</x:v>
      </x:c>
      <x:c r="D19" s="55"/>
      <x:c r="E19" s="55"/>
      <x:c r="F19" s="45"/>
      <x:c r="G19" s="45"/>
    </x:row>
    <x:row r="20" spans="1:7" ht="14.4">
      <x:c r="A20" s="45"/>
      <x:c r="B20" s="56">
        <x:v>11</x:v>
      </x:c>
      <x:c r="C20" s="56" t="b">
        <x:f ca="1">IF(BackgroundCalcs!BB12=1,TRUE,FALSE)</x:f>
        <x:v>0</x:v>
      </x:c>
      <x:c r="D20" s="55"/>
      <x:c r="E20" s="55"/>
      <x:c r="F20" s="45"/>
      <x:c r="G20" s="45"/>
    </x:row>
    <x:row r="21" spans="1:7" ht="14.4">
      <x:c r="A21" s="45"/>
      <x:c r="B21" s="56">
        <x:v>12</x:v>
      </x:c>
      <x:c r="C21" s="56" t="b">
        <x:f ca="1">IF(BackgroundCalcs!BB13=1,TRUE,FALSE)</x:f>
        <x:v>0</x:v>
      </x:c>
      <x:c r="D21" s="55"/>
      <x:c r="E21" s="55"/>
      <x:c r="F21" s="45"/>
      <x:c r="G21" s="45"/>
    </x:row>
    <x:row r="22" spans="1:7" ht="14.4">
      <x:c r="A22" s="45"/>
      <x:c r="B22" s="56">
        <x:v>13</x:v>
      </x:c>
      <x:c r="C22" s="56" t="b">
        <x:f ca="1">IF(BackgroundCalcs!BB14=1,TRUE,FALSE)</x:f>
        <x:v>0</x:v>
      </x:c>
      <x:c r="D22" s="55"/>
      <x:c r="E22" s="55"/>
      <x:c r="F22" s="45"/>
      <x:c r="G22" s="45"/>
    </x:row>
    <x:row r="23" spans="1:7" ht="14.4">
      <x:c r="A23" s="45"/>
      <x:c r="B23" s="56">
        <x:v>14</x:v>
      </x:c>
      <x:c r="C23" s="56" t="b">
        <x:f ca="1">IF(BackgroundCalcs!BB15=1,TRUE,FALSE)</x:f>
        <x:v>0</x:v>
      </x:c>
      <x:c r="D23" s="55"/>
      <x:c r="E23" s="55"/>
      <x:c r="F23" s="45"/>
      <x:c r="G23" s="45"/>
    </x:row>
    <x:row r="24" spans="1:7" ht="14.4">
      <x:c r="A24" s="45"/>
      <x:c r="B24" s="56">
        <x:v>15</x:v>
      </x:c>
      <x:c r="C24" s="56" t="b">
        <x:f ca="1">IF(BackgroundCalcs!BB16=1,TRUE,FALSE)</x:f>
        <x:v>0</x:v>
      </x:c>
      <x:c r="D24" s="55"/>
      <x:c r="E24" s="55"/>
      <x:c r="F24" s="45"/>
      <x:c r="G24" s="45"/>
    </x:row>
    <x:row r="25" spans="1:7" ht="14.4">
      <x:c r="A25" s="45"/>
      <x:c r="B25" s="56">
        <x:v>16</x:v>
      </x:c>
      <x:c r="C25" s="56" t="b">
        <x:f ca="1">IF(BackgroundCalcs!BB17=1,TRUE,FALSE)</x:f>
        <x:v>0</x:v>
      </x:c>
      <x:c r="D25" s="55"/>
      <x:c r="E25" s="55"/>
      <x:c r="F25" s="45"/>
      <x:c r="G25" s="45"/>
    </x:row>
    <x:row r="26" spans="1:7" ht="14.4">
      <x:c r="A26" s="45"/>
      <x:c r="B26" s="56">
        <x:v>17</x:v>
      </x:c>
      <x:c r="C26" s="56" t="b">
        <x:f ca="1">IF(BackgroundCalcs!BB18=1,TRUE,FALSE)</x:f>
        <x:v>0</x:v>
      </x:c>
      <x:c r="D26" s="55"/>
      <x:c r="E26" s="55"/>
      <x:c r="F26" s="45"/>
      <x:c r="G26" s="45"/>
    </x:row>
    <x:row r="27" spans="1:7" ht="14.4">
      <x:c r="A27" s="45"/>
      <x:c r="B27" s="56">
        <x:v>18</x:v>
      </x:c>
      <x:c r="C27" s="56" t="b">
        <x:f ca="1">IF(BackgroundCalcs!BB19=1,TRUE,FALSE)</x:f>
        <x:v>0</x:v>
      </x:c>
      <x:c r="D27" s="55"/>
      <x:c r="E27" s="55"/>
      <x:c r="F27" s="45"/>
      <x:c r="G27" s="45"/>
    </x:row>
    <x:row r="28" spans="1:7" ht="14.4">
      <x:c r="A28" s="45"/>
      <x:c r="B28" s="56">
        <x:v>19</x:v>
      </x:c>
      <x:c r="C28" s="56" t="b">
        <x:f ca="1">IF(BackgroundCalcs!BB20=1,TRUE,FALSE)</x:f>
        <x:v>0</x:v>
      </x:c>
      <x:c r="D28" s="55"/>
      <x:c r="E28" s="55"/>
      <x:c r="F28" s="45"/>
      <x:c r="G28" s="45"/>
    </x:row>
    <x:row r="29" spans="1:7" ht="14.4">
      <x:c r="A29" s="45"/>
      <x:c r="B29" s="56">
        <x:v>20</x:v>
      </x:c>
      <x:c r="C29" s="56" t="b">
        <x:f ca="1">IF(BackgroundCalcs!BB21=1,TRUE,FALSE)</x:f>
        <x:v>0</x:v>
      </x:c>
      <x:c r="D29" s="55"/>
      <x:c r="E29" s="55"/>
      <x:c r="F29" s="45"/>
      <x:c r="G29" s="45"/>
    </x:row>
    <x:row r="30" spans="1:7" ht="14.4">
      <x:c r="A30" s="45"/>
      <x:c r="B30" s="56">
        <x:v>21</x:v>
      </x:c>
      <x:c r="C30" s="56" t="b">
        <x:f ca="1">IF(BackgroundCalcs!BB22=1,TRUE,FALSE)</x:f>
        <x:v>0</x:v>
      </x:c>
      <x:c r="D30" s="55"/>
      <x:c r="E30" s="55"/>
      <x:c r="F30" s="45"/>
      <x:c r="G30" s="45"/>
    </x:row>
    <x:row r="31" spans="1:7" ht="14.4">
      <x:c r="A31" s="45"/>
      <x:c r="B31" s="56">
        <x:v>22</x:v>
      </x:c>
      <x:c r="C31" s="56" t="b">
        <x:f ca="1">IF(BackgroundCalcs!BB23=1,TRUE,FALSE)</x:f>
        <x:v>0</x:v>
      </x:c>
      <x:c r="D31" s="55"/>
      <x:c r="E31" s="55"/>
      <x:c r="F31" s="45"/>
      <x:c r="G31" s="45"/>
    </x:row>
    <x:row r="32" spans="1:7" ht="14.4">
      <x:c r="A32" s="45"/>
      <x:c r="B32" s="56">
        <x:v>23</x:v>
      </x:c>
      <x:c r="C32" s="56" t="b">
        <x:f ca="1">IF(BackgroundCalcs!BB24=1,TRUE,FALSE)</x:f>
        <x:v>0</x:v>
      </x:c>
      <x:c r="D32" s="55"/>
      <x:c r="E32" s="55"/>
      <x:c r="F32" s="45"/>
      <x:c r="G32" s="45"/>
    </x:row>
    <x:row r="33" spans="1:7" ht="14.4">
      <x:c r="A33" s="45"/>
      <x:c r="B33" s="56">
        <x:v>24</x:v>
      </x:c>
      <x:c r="C33" s="56" t="b">
        <x:f ca="1">IF(BackgroundCalcs!BB25=1,TRUE,FALSE)</x:f>
        <x:v>0</x:v>
      </x:c>
      <x:c r="D33" s="55"/>
      <x:c r="E33" s="55"/>
      <x:c r="F33" s="45"/>
      <x:c r="G33" s="45"/>
    </x:row>
    <x:row r="34" spans="1:7" ht="14.4">
      <x:c r="A34" s="45"/>
      <x:c r="B34" s="56">
        <x:v>25</x:v>
      </x:c>
      <x:c r="C34" s="56" t="b">
        <x:f ca="1">IF(BackgroundCalcs!BB26=1,TRUE,FALSE)</x:f>
        <x:v>0</x:v>
      </x:c>
      <x:c r="D34" s="55"/>
      <x:c r="E34" s="55"/>
      <x:c r="F34" s="45"/>
      <x:c r="G34" s="45"/>
    </x:row>
    <x:row r="35" spans="1:7" ht="14.4">
      <x:c r="A35" s="45"/>
      <x:c r="B35" s="56">
        <x:v>26</x:v>
      </x:c>
      <x:c r="C35" s="56" t="b">
        <x:f ca="1">IF(BackgroundCalcs!BB27=1,TRUE,FALSE)</x:f>
        <x:v>0</x:v>
      </x:c>
      <x:c r="D35" s="55"/>
      <x:c r="E35" s="55"/>
      <x:c r="F35" s="45"/>
      <x:c r="G35" s="45"/>
    </x:row>
    <x:row r="36" spans="1:7" ht="14.4">
      <x:c r="A36" s="45"/>
      <x:c r="B36" s="56">
        <x:v>27</x:v>
      </x:c>
      <x:c r="C36" s="56" t="b">
        <x:f ca="1">IF(BackgroundCalcs!BB28=1,TRUE,FALSE)</x:f>
        <x:v>0</x:v>
      </x:c>
      <x:c r="D36" s="55"/>
      <x:c r="E36" s="55"/>
      <x:c r="F36" s="45"/>
      <x:c r="G36" s="45"/>
    </x:row>
    <x:row r="37" spans="1:7" ht="14.4">
      <x:c r="A37" s="45"/>
      <x:c r="B37" s="56"/>
      <x:c r="C37" s="56"/>
      <x:c r="D37" s="55"/>
      <x:c r="E37" s="55"/>
      <x:c r="F37" s="45"/>
      <x:c r="G37" s="45"/>
    </x:row>
    <x:row r="38" spans="1:7" ht="14.4">
      <x:c r="A38" s="45"/>
      <x:c r="B38" s="56"/>
      <x:c r="C38" s="56"/>
      <x:c r="D38" s="55"/>
      <x:c r="E38" s="55"/>
      <x:c r="F38" s="45"/>
      <x:c r="G38" s="45"/>
    </x:row>
    <x:row r="39" spans="1:7" ht="14.4">
      <x:c r="A39" s="45"/>
      <x:c r="B39" s="56"/>
      <x:c r="C39" s="56"/>
      <x:c r="D39" s="55"/>
      <x:c r="E39" s="55"/>
      <x:c r="F39" s="45"/>
      <x:c r="G39" s="45"/>
    </x:row>
    <x:row r="40" spans="1:7" ht="14.4">
      <x:c r="A40" s="45"/>
      <x:c r="B40" s="56"/>
      <x:c r="C40" s="56"/>
      <x:c r="D40" s="55"/>
      <x:c r="E40" s="55"/>
      <x:c r="F40" s="45"/>
      <x:c r="G40" s="45"/>
    </x:row>
    <x:row r="41" spans="1:7" ht="14.4">
      <x:c r="A41" s="45"/>
      <x:c r="B41" s="56"/>
      <x:c r="C41" s="56"/>
      <x:c r="D41" s="55"/>
      <x:c r="E41" s="55"/>
      <x:c r="F41" s="45"/>
      <x:c r="G41" s="45"/>
    </x:row>
    <x:row r="42" spans="1:7" ht="14.4">
      <x:c r="A42" s="45"/>
      <x:c r="B42" s="56"/>
      <x:c r="C42" s="56"/>
      <x:c r="D42" s="55"/>
      <x:c r="E42" s="55"/>
      <x:c r="F42" s="45"/>
      <x:c r="G42" s="45"/>
    </x:row>
    <x:row r="43" spans="1:7" ht="14.4">
      <x:c r="A43" s="45"/>
      <x:c r="B43" s="56"/>
      <x:c r="C43" s="56"/>
      <x:c r="D43" s="55"/>
      <x:c r="E43" s="55"/>
      <x:c r="F43" s="45"/>
      <x:c r="G43" s="45"/>
    </x:row>
    <x:row r="44" spans="1:7" ht="14.4">
      <x:c r="A44" s="45"/>
      <x:c r="B44" s="56"/>
      <x:c r="C44" s="56"/>
      <x:c r="D44" s="55"/>
      <x:c r="E44" s="55"/>
      <x:c r="F44" s="45"/>
      <x:c r="G44" s="45"/>
    </x:row>
    <x:row r="45" spans="1:7" ht="14.4">
      <x:c r="A45" s="45"/>
      <x:c r="B45" s="56"/>
      <x:c r="C45" s="56"/>
      <x:c r="D45" s="55"/>
      <x:c r="E45" s="55"/>
      <x:c r="F45" s="45"/>
      <x:c r="G45" s="45"/>
    </x:row>
    <x:row r="46" spans="1:7" ht="14.4">
      <x:c r="A46" s="45"/>
      <x:c r="B46" s="56"/>
      <x:c r="C46" s="56"/>
      <x:c r="D46" s="55"/>
      <x:c r="E46" s="55"/>
      <x:c r="F46" s="45"/>
      <x:c r="G46" s="45"/>
    </x:row>
    <x:row r="47" spans="1:7" ht="14.4">
      <x:c r="A47" s="45"/>
      <x:c r="B47" s="56"/>
      <x:c r="C47" s="56"/>
      <x:c r="D47" s="55"/>
      <x:c r="E47" s="55"/>
      <x:c r="F47" s="45"/>
      <x:c r="G47" s="45"/>
    </x:row>
    <x:row r="48" spans="1:7" ht="14.4">
      <x:c r="A48" s="45"/>
      <x:c r="B48" s="56"/>
      <x:c r="C48" s="56"/>
      <x:c r="D48" s="55"/>
      <x:c r="E48" s="55"/>
      <x:c r="F48" s="45"/>
      <x:c r="G48" s="45"/>
    </x:row>
    <x:row r="49" spans="1:7" ht="14.4">
      <x:c r="A49" s="45"/>
      <x:c r="B49" s="56"/>
      <x:c r="C49" s="56"/>
      <x:c r="D49" s="55"/>
      <x:c r="E49" s="55"/>
      <x:c r="F49" s="45"/>
      <x:c r="G49" s="45"/>
    </x:row>
    <x:row r="50" spans="1:7" ht="14.4">
      <x:c r="A50" s="45"/>
      <x:c r="B50" s="56"/>
      <x:c r="C50" s="56"/>
      <x:c r="D50" s="55"/>
      <x:c r="E50" s="55"/>
      <x:c r="F50" s="45"/>
      <x:c r="G50" s="45"/>
    </x:row>
    <x:row r="51" spans="1:7" ht="14.4">
      <x:c r="A51" s="45"/>
      <x:c r="B51" s="56"/>
      <x:c r="C51" s="56"/>
      <x:c r="D51" s="55"/>
      <x:c r="E51" s="55"/>
      <x:c r="F51" s="45"/>
      <x:c r="G51" s="45"/>
    </x:row>
    <x:row r="52" spans="1:7" ht="14.4">
      <x:c r="A52" s="45"/>
      <x:c r="B52" s="56"/>
      <x:c r="C52" s="56"/>
      <x:c r="D52" s="55"/>
      <x:c r="E52" s="55"/>
      <x:c r="F52" s="45"/>
      <x:c r="G52" s="45"/>
    </x:row>
    <x:row r="53" spans="1:7" ht="14.4">
      <x:c r="A53" s="45"/>
      <x:c r="B53" s="56"/>
      <x:c r="C53" s="56"/>
      <x:c r="D53" s="55"/>
      <x:c r="E53" s="55"/>
      <x:c r="F53" s="45"/>
      <x:c r="G53" s="45"/>
    </x:row>
    <x:row r="54" spans="1:7" ht="14.4">
      <x:c r="A54" s="45"/>
      <x:c r="B54" s="56"/>
      <x:c r="C54" s="56"/>
      <x:c r="D54" s="55"/>
      <x:c r="E54" s="55"/>
      <x:c r="F54" s="45"/>
      <x:c r="G54" s="45"/>
    </x:row>
    <x:row r="55" spans="1:7" ht="14.4">
      <x:c r="A55" s="45"/>
      <x:c r="B55" s="56"/>
      <x:c r="C55" s="56"/>
      <x:c r="D55" s="55"/>
      <x:c r="E55" s="55"/>
      <x:c r="F55" s="45"/>
      <x:c r="G55" s="45"/>
    </x:row>
    <x:row r="56" spans="1:7" ht="14.4">
      <x:c r="A56" s="45"/>
      <x:c r="B56" s="56"/>
      <x:c r="C56" s="56"/>
      <x:c r="D56" s="55"/>
      <x:c r="E56" s="55"/>
      <x:c r="F56" s="45"/>
      <x:c r="G56" s="45"/>
    </x:row>
    <x:row r="57" spans="1:7" ht="14.4">
      <x:c r="A57" s="45"/>
      <x:c r="B57" s="56"/>
      <x:c r="C57" s="56"/>
      <x:c r="D57" s="55"/>
      <x:c r="E57" s="55"/>
      <x:c r="F57" s="45"/>
      <x:c r="G57" s="45"/>
    </x:row>
    <x:row r="58" spans="1:7" ht="14.4">
      <x:c r="A58" s="45"/>
      <x:c r="B58" s="56"/>
      <x:c r="C58" s="56"/>
      <x:c r="D58" s="55"/>
      <x:c r="E58" s="55"/>
      <x:c r="F58" s="45"/>
      <x:c r="G58" s="45"/>
    </x:row>
    <x:row r="59" spans="1:7" ht="14.4">
      <x:c r="A59" s="45"/>
      <x:c r="B59" s="56"/>
      <x:c r="C59" s="56"/>
      <x:c r="D59" s="55"/>
      <x:c r="E59" s="55"/>
      <x:c r="F59" s="45"/>
      <x:c r="G59" s="45"/>
    </x:row>
    <x:row r="60" spans="1:7" ht="14.4">
      <x:c r="A60" s="45"/>
      <x:c r="B60" s="56"/>
      <x:c r="C60" s="56"/>
      <x:c r="D60" s="55"/>
      <x:c r="E60" s="55"/>
      <x:c r="F60" s="45"/>
      <x:c r="G60" s="45"/>
    </x:row>
    <x:row r="61" spans="1:7" ht="14.4">
      <x:c r="A61" s="45"/>
      <x:c r="B61" s="56"/>
      <x:c r="C61" s="56"/>
      <x:c r="D61" s="55"/>
      <x:c r="E61" s="55"/>
      <x:c r="F61" s="45"/>
      <x:c r="G61" s="45"/>
    </x:row>
    <x:row r="62" spans="1:7" ht="14.4">
      <x:c r="A62" s="45"/>
      <x:c r="B62" s="56"/>
      <x:c r="C62" s="56"/>
      <x:c r="D62" s="55"/>
      <x:c r="E62" s="55"/>
      <x:c r="F62" s="45"/>
      <x:c r="G62" s="45"/>
    </x:row>
    <x:row r="63" spans="1:7" ht="14.4">
      <x:c r="A63" s="45"/>
      <x:c r="B63" s="56"/>
      <x:c r="C63" s="56"/>
      <x:c r="D63" s="55"/>
      <x:c r="E63" s="55"/>
      <x:c r="F63" s="45"/>
      <x:c r="G63" s="45"/>
    </x:row>
    <x:row r="64" spans="1:7" ht="14.4">
      <x:c r="A64" s="45"/>
      <x:c r="B64" s="56"/>
      <x:c r="C64" s="56"/>
      <x:c r="D64" s="55"/>
      <x:c r="E64" s="55"/>
      <x:c r="F64" s="45"/>
      <x:c r="G64" s="45"/>
    </x:row>
    <x:row r="65" spans="1:7" ht="14.4">
      <x:c r="A65" s="45"/>
      <x:c r="B65" s="56"/>
      <x:c r="C65" s="56"/>
      <x:c r="D65" s="55"/>
      <x:c r="E65" s="55"/>
      <x:c r="F65" s="45"/>
      <x:c r="G65" s="45"/>
    </x:row>
    <x:row r="66" spans="1:7" ht="14.4">
      <x:c r="A66" s="45"/>
      <x:c r="B66" s="56"/>
      <x:c r="C66" s="56"/>
      <x:c r="D66" s="55"/>
      <x:c r="E66" s="55"/>
      <x:c r="F66" s="45"/>
      <x:c r="G66" s="45"/>
    </x:row>
    <x:row r="67" spans="1:7" ht="14.4">
      <x:c r="A67" s="45"/>
      <x:c r="B67" s="56"/>
      <x:c r="C67" s="56"/>
      <x:c r="D67" s="55"/>
      <x:c r="E67" s="55"/>
      <x:c r="F67" s="45"/>
      <x:c r="G67" s="45"/>
    </x:row>
    <x:row r="68" spans="1:7" ht="14.4">
      <x:c r="A68" s="45"/>
      <x:c r="B68" s="56"/>
      <x:c r="C68" s="56"/>
      <x:c r="D68" s="55"/>
      <x:c r="E68" s="55"/>
      <x:c r="F68" s="45"/>
      <x:c r="G68" s="45"/>
    </x:row>
    <x:row r="69" spans="1:7" ht="14.4">
      <x:c r="A69" s="45"/>
      <x:c r="B69" s="56"/>
      <x:c r="C69" s="56"/>
      <x:c r="D69" s="55"/>
      <x:c r="E69" s="55"/>
      <x:c r="F69" s="45"/>
      <x:c r="G69" s="45"/>
    </x:row>
    <x:row r="70" spans="1:7" ht="14.4">
      <x:c r="A70" s="45"/>
      <x:c r="B70" s="56"/>
      <x:c r="C70" s="56"/>
      <x:c r="D70" s="55"/>
      <x:c r="E70" s="55"/>
      <x:c r="F70" s="45"/>
      <x:c r="G70" s="45"/>
    </x:row>
    <x:row r="71" spans="1:7" ht="14.4">
      <x:c r="A71" s="45"/>
      <x:c r="B71" s="56"/>
      <x:c r="C71" s="56"/>
      <x:c r="D71" s="55"/>
      <x:c r="E71" s="55"/>
      <x:c r="F71" s="45"/>
      <x:c r="G71" s="45"/>
    </x:row>
    <x:row r="72" spans="1:7" ht="14.4">
      <x:c r="A72" s="45"/>
      <x:c r="B72" s="56"/>
      <x:c r="C72" s="56"/>
      <x:c r="D72" s="55"/>
      <x:c r="E72" s="55"/>
      <x:c r="F72" s="45"/>
      <x:c r="G72" s="45"/>
    </x:row>
    <x:row r="73" spans="1:7" ht="14.4">
      <x:c r="A73" s="45"/>
      <x:c r="B73" s="56"/>
      <x:c r="C73" s="56"/>
      <x:c r="D73" s="55"/>
      <x:c r="E73" s="55"/>
      <x:c r="F73" s="45"/>
      <x:c r="G73" s="45"/>
    </x:row>
    <x:row r="74" spans="1:7" ht="14.4">
      <x:c r="A74" s="45"/>
      <x:c r="B74" s="56"/>
      <x:c r="C74" s="56"/>
      <x:c r="D74" s="55"/>
      <x:c r="E74" s="55"/>
      <x:c r="F74" s="45"/>
      <x:c r="G74" s="45"/>
    </x:row>
    <x:row r="75" spans="1:7" ht="14.4">
      <x:c r="A75" s="45"/>
      <x:c r="B75" s="56"/>
      <x:c r="C75" s="56"/>
      <x:c r="D75" s="55"/>
      <x:c r="E75" s="55"/>
      <x:c r="F75" s="45"/>
      <x:c r="G75" s="45"/>
    </x:row>
    <x:row r="76" spans="1:7" ht="14.4">
      <x:c r="A76" s="45"/>
      <x:c r="B76" s="56"/>
      <x:c r="C76" s="56"/>
      <x:c r="D76" s="55"/>
      <x:c r="E76" s="55"/>
      <x:c r="F76" s="45"/>
      <x:c r="G76" s="45"/>
    </x:row>
    <x:row r="77" spans="1:7" ht="14.4">
      <x:c r="A77" s="45"/>
      <x:c r="B77" s="56"/>
      <x:c r="C77" s="56"/>
      <x:c r="D77" s="55"/>
      <x:c r="E77" s="55"/>
      <x:c r="F77" s="45"/>
      <x:c r="G77" s="45"/>
    </x:row>
    <x:row r="78" spans="1:7" ht="14.4">
      <x:c r="A78" s="45"/>
      <x:c r="B78" s="56"/>
      <x:c r="C78" s="56"/>
      <x:c r="D78" s="55"/>
      <x:c r="E78" s="55"/>
      <x:c r="F78" s="45"/>
      <x:c r="G78" s="45"/>
    </x:row>
    <x:row r="79" spans="1:7" ht="14.4">
      <x:c r="A79" s="45"/>
      <x:c r="B79" s="56"/>
      <x:c r="C79" s="56"/>
      <x:c r="D79" s="55"/>
      <x:c r="E79" s="55"/>
      <x:c r="F79" s="45"/>
      <x:c r="G79" s="45"/>
    </x:row>
    <x:row r="80" spans="1:7" ht="14.4">
      <x:c r="A80" s="45"/>
      <x:c r="B80" s="56"/>
      <x:c r="C80" s="56"/>
      <x:c r="D80" s="55"/>
      <x:c r="E80" s="55"/>
      <x:c r="F80" s="45"/>
      <x:c r="G80" s="45"/>
    </x:row>
    <x:row r="81" spans="1:7" ht="14.4">
      <x:c r="A81" s="45"/>
      <x:c r="B81" s="56"/>
      <x:c r="C81" s="56"/>
      <x:c r="D81" s="55"/>
      <x:c r="E81" s="55"/>
      <x:c r="F81" s="45"/>
      <x:c r="G81" s="45"/>
    </x:row>
    <x:row r="82" spans="1:7" ht="14.4">
      <x:c r="A82" s="45"/>
      <x:c r="B82" s="56"/>
      <x:c r="C82" s="56"/>
      <x:c r="D82" s="55"/>
      <x:c r="E82" s="55"/>
      <x:c r="F82" s="45"/>
      <x:c r="G82" s="45"/>
    </x:row>
    <x:row r="83" spans="1:7" ht="14.4">
      <x:c r="A83" s="45"/>
      <x:c r="B83" s="56"/>
      <x:c r="C83" s="56"/>
      <x:c r="D83" s="55"/>
      <x:c r="E83" s="55"/>
      <x:c r="F83" s="45"/>
      <x:c r="G83" s="45"/>
    </x:row>
    <x:row r="84" spans="1:7" ht="14.4">
      <x:c r="A84" s="45"/>
      <x:c r="B84" s="56"/>
      <x:c r="C84" s="56"/>
      <x:c r="D84" s="55"/>
      <x:c r="E84" s="55"/>
      <x:c r="F84" s="45"/>
      <x:c r="G84" s="45"/>
    </x:row>
    <x:row r="85" spans="1:7" ht="14.4">
      <x:c r="A85" s="45"/>
      <x:c r="B85" s="56"/>
      <x:c r="C85" s="56"/>
      <x:c r="D85" s="55"/>
      <x:c r="E85" s="55"/>
      <x:c r="F85" s="45"/>
      <x:c r="G85" s="45"/>
    </x:row>
    <x:row r="86" spans="1:7" ht="14.4">
      <x:c r="A86" s="45"/>
      <x:c r="B86" s="56"/>
      <x:c r="C86" s="56"/>
      <x:c r="D86" s="55"/>
      <x:c r="E86" s="55"/>
      <x:c r="F86" s="45"/>
      <x:c r="G86" s="45"/>
    </x:row>
    <x:row r="87" spans="1:7" ht="14.4">
      <x:c r="A87" s="45"/>
      <x:c r="B87" s="56"/>
      <x:c r="C87" s="56"/>
      <x:c r="D87" s="55"/>
      <x:c r="E87" s="55"/>
      <x:c r="F87" s="45"/>
      <x:c r="G87" s="45"/>
    </x:row>
    <x:row r="88" spans="1:7" ht="14.4">
      <x:c r="A88" s="45"/>
      <x:c r="B88" s="56"/>
      <x:c r="C88" s="56"/>
      <x:c r="D88" s="55"/>
      <x:c r="E88" s="55"/>
      <x:c r="F88" s="45"/>
      <x:c r="G88" s="45"/>
    </x:row>
    <x:row r="89" spans="1:7" ht="14.4">
      <x:c r="A89" s="45"/>
      <x:c r="B89" s="56"/>
      <x:c r="C89" s="56"/>
      <x:c r="D89" s="55"/>
      <x:c r="E89" s="55"/>
      <x:c r="F89" s="45"/>
      <x:c r="G89" s="45"/>
    </x:row>
    <x:row r="90" spans="1:7" ht="14.4">
      <x:c r="A90" s="45"/>
      <x:c r="B90" s="56"/>
      <x:c r="C90" s="56"/>
      <x:c r="D90" s="55"/>
      <x:c r="E90" s="55"/>
      <x:c r="F90" s="45"/>
      <x:c r="G90" s="45"/>
    </x:row>
    <x:row r="91" spans="1:7" ht="14.4">
      <x:c r="A91" s="45"/>
      <x:c r="B91" s="56"/>
      <x:c r="C91" s="56"/>
      <x:c r="D91" s="55"/>
      <x:c r="E91" s="55"/>
      <x:c r="F91" s="45"/>
      <x:c r="G91" s="45"/>
    </x:row>
    <x:row r="92" spans="1:7" ht="14.4">
      <x:c r="A92" s="45"/>
      <x:c r="B92" s="56"/>
      <x:c r="C92" s="56"/>
      <x:c r="D92" s="55"/>
      <x:c r="E92" s="55"/>
      <x:c r="F92" s="45"/>
      <x:c r="G92" s="45"/>
    </x:row>
    <x:row r="93" spans="1:7" ht="14.4">
      <x:c r="A93" s="45"/>
      <x:c r="B93" s="56"/>
      <x:c r="C93" s="56"/>
      <x:c r="D93" s="55"/>
      <x:c r="E93" s="55"/>
      <x:c r="F93" s="45"/>
      <x:c r="G93" s="45"/>
    </x:row>
    <x:row r="94" spans="1:7" ht="14.4">
      <x:c r="A94" s="45"/>
      <x:c r="B94" s="56"/>
      <x:c r="C94" s="56"/>
      <x:c r="D94" s="55"/>
      <x:c r="E94" s="55"/>
      <x:c r="F94" s="45"/>
      <x:c r="G94" s="45"/>
    </x:row>
    <x:row r="95" spans="1:7" ht="14.4">
      <x:c r="A95" s="45"/>
      <x:c r="B95" s="56"/>
      <x:c r="C95" s="56"/>
      <x:c r="D95" s="55"/>
      <x:c r="E95" s="55"/>
      <x:c r="F95" s="45"/>
      <x:c r="G95" s="45"/>
    </x:row>
    <x:row r="96" spans="1:7" ht="14.4">
      <x:c r="A96" s="45"/>
      <x:c r="B96" s="56"/>
      <x:c r="C96" s="56"/>
      <x:c r="D96" s="55"/>
      <x:c r="E96" s="55"/>
      <x:c r="F96" s="45"/>
      <x:c r="G96" s="45"/>
    </x:row>
    <x:row r="97" spans="1:7" ht="14.4">
      <x:c r="A97" s="45"/>
      <x:c r="B97" s="56"/>
      <x:c r="C97" s="56"/>
      <x:c r="D97" s="55"/>
      <x:c r="E97" s="55"/>
      <x:c r="F97" s="45"/>
      <x:c r="G97" s="45"/>
    </x:row>
    <x:row r="98" spans="1:7" ht="14.4">
      <x:c r="A98" s="45"/>
      <x:c r="B98" s="56"/>
      <x:c r="C98" s="56"/>
      <x:c r="D98" s="55"/>
      <x:c r="E98" s="55"/>
      <x:c r="F98" s="45"/>
      <x:c r="G98" s="45"/>
    </x:row>
    <x:row r="99" spans="1:7" ht="14.4">
      <x:c r="A99" s="45"/>
      <x:c r="B99" s="56"/>
      <x:c r="C99" s="56"/>
      <x:c r="D99" s="55"/>
      <x:c r="E99" s="55"/>
      <x:c r="F99" s="45"/>
      <x:c r="G99" s="45"/>
    </x:row>
    <x:row r="100" spans="1:7" ht="14.4">
      <x:c r="A100" s="45"/>
      <x:c r="B100" s="56"/>
      <x:c r="C100" s="56"/>
      <x:c r="D100" s="55"/>
      <x:c r="E100" s="55"/>
      <x:c r="F100" s="45"/>
      <x:c r="G100" s="45"/>
    </x:row>
    <x:row r="101" spans="1:7" ht="14.4">
      <x:c r="A101" s="45"/>
      <x:c r="B101" s="56"/>
      <x:c r="C101" s="56"/>
      <x:c r="D101" s="55"/>
      <x:c r="E101" s="55"/>
      <x:c r="F101" s="45"/>
      <x:c r="G101" s="45"/>
    </x:row>
    <x:row r="102" spans="1:7" ht="14.4">
      <x:c r="A102" s="45"/>
      <x:c r="B102" s="56"/>
      <x:c r="C102" s="56"/>
      <x:c r="D102" s="55"/>
      <x:c r="E102" s="55"/>
      <x:c r="F102" s="45"/>
      <x:c r="G102" s="45"/>
    </x:row>
    <x:row r="103" spans="1:7" ht="14.4">
      <x:c r="A103" s="45"/>
      <x:c r="B103" s="56"/>
      <x:c r="C103" s="56"/>
      <x:c r="D103" s="55"/>
      <x:c r="E103" s="55"/>
      <x:c r="F103" s="45"/>
      <x:c r="G103" s="45"/>
    </x:row>
    <x:row r="104" spans="1:7" ht="14.4">
      <x:c r="A104" s="45"/>
      <x:c r="B104" s="56"/>
      <x:c r="C104" s="56"/>
      <x:c r="D104" s="55"/>
      <x:c r="E104" s="55"/>
      <x:c r="F104" s="45"/>
      <x:c r="G104" s="45"/>
    </x:row>
    <x:row r="105" spans="1:7" ht="14.4">
      <x:c r="A105" s="45"/>
      <x:c r="B105" s="56"/>
      <x:c r="C105" s="56"/>
      <x:c r="D105" s="55"/>
      <x:c r="E105" s="55"/>
      <x:c r="F105" s="45"/>
      <x:c r="G105" s="45"/>
    </x:row>
    <x:row r="106" spans="1:7" ht="14.4">
      <x:c r="A106" s="45"/>
      <x:c r="B106" s="56"/>
      <x:c r="C106" s="56"/>
      <x:c r="D106" s="55"/>
      <x:c r="E106" s="55"/>
      <x:c r="F106" s="45"/>
      <x:c r="G106" s="45"/>
    </x:row>
    <x:row r="107" spans="1:7" ht="14.4">
      <x:c r="A107" s="45"/>
      <x:c r="B107" s="56"/>
      <x:c r="C107" s="56"/>
      <x:c r="D107" s="55"/>
      <x:c r="E107" s="55"/>
      <x:c r="F107" s="45"/>
      <x:c r="G107" s="45"/>
    </x:row>
    <x:row r="108" spans="1:7" ht="14.4">
      <x:c r="A108" s="45"/>
      <x:c r="B108" s="56"/>
      <x:c r="C108" s="56"/>
      <x:c r="D108" s="55"/>
      <x:c r="E108" s="55"/>
      <x:c r="F108" s="45"/>
      <x:c r="G108" s="45"/>
    </x:row>
    <x:row r="109" spans="1:7" ht="14.4">
      <x:c r="A109" s="45"/>
      <x:c r="B109" s="56"/>
      <x:c r="C109" s="56"/>
      <x:c r="D109" s="55"/>
      <x:c r="E109" s="55"/>
      <x:c r="F109" s="45"/>
      <x:c r="G109" s="45"/>
    </x:row>
    <x:row r="110" spans="1:7" ht="14.4">
      <x:c r="A110" s="45"/>
      <x:c r="B110" s="56"/>
      <x:c r="C110" s="56"/>
      <x:c r="D110" s="55"/>
      <x:c r="E110" s="55"/>
      <x:c r="F110" s="45"/>
      <x:c r="G110" s="45"/>
    </x:row>
    <x:row r="111" spans="1:7" ht="14.4">
      <x:c r="A111" s="45"/>
      <x:c r="B111" s="56"/>
      <x:c r="C111" s="56"/>
      <x:c r="D111" s="55"/>
      <x:c r="E111" s="55"/>
      <x:c r="F111" s="45"/>
      <x:c r="G111" s="45"/>
    </x:row>
    <x:row r="112" spans="1:7" ht="14.4">
      <x:c r="A112" s="45"/>
      <x:c r="B112" s="56"/>
      <x:c r="C112" s="56"/>
      <x:c r="D112" s="55"/>
      <x:c r="E112" s="55"/>
      <x:c r="F112" s="45"/>
      <x:c r="G112" s="45"/>
    </x:row>
    <x:row r="113" spans="1:7" ht="14.4">
      <x:c r="A113" s="45"/>
      <x:c r="B113" s="56"/>
      <x:c r="C113" s="56"/>
      <x:c r="D113" s="55"/>
      <x:c r="E113" s="55"/>
      <x:c r="F113" s="45"/>
      <x:c r="G113" s="45"/>
    </x:row>
    <x:row r="114" spans="1:7" ht="14.4">
      <x:c r="A114" s="45"/>
      <x:c r="B114" s="56"/>
      <x:c r="C114" s="56"/>
      <x:c r="D114" s="55"/>
      <x:c r="E114" s="55"/>
      <x:c r="F114" s="45"/>
      <x:c r="G114" s="45"/>
    </x:row>
    <x:row r="115" spans="1:7" ht="14.4">
      <x:c r="A115" s="45"/>
      <x:c r="B115" s="56"/>
      <x:c r="C115" s="56"/>
      <x:c r="D115" s="55"/>
      <x:c r="E115" s="55"/>
      <x:c r="F115" s="45"/>
      <x:c r="G115" s="45"/>
    </x:row>
    <x:row r="116" spans="1:7" ht="14.4">
      <x:c r="A116" s="45"/>
      <x:c r="B116" s="56"/>
      <x:c r="C116" s="56"/>
      <x:c r="D116" s="55"/>
      <x:c r="E116" s="55"/>
      <x:c r="F116" s="45"/>
      <x:c r="G116" s="45"/>
    </x:row>
    <x:row r="117" spans="1:7" ht="14.4">
      <x:c r="A117" s="45"/>
      <x:c r="B117" s="56"/>
      <x:c r="C117" s="56"/>
      <x:c r="D117" s="55"/>
      <x:c r="E117" s="55"/>
      <x:c r="F117" s="45"/>
      <x:c r="G117" s="45"/>
    </x:row>
    <x:row r="118" spans="1:7" ht="14.4">
      <x:c r="A118" s="45"/>
      <x:c r="B118" s="56"/>
      <x:c r="C118" s="56"/>
      <x:c r="D118" s="55"/>
      <x:c r="E118" s="55"/>
      <x:c r="F118" s="45"/>
      <x:c r="G118" s="45"/>
    </x:row>
    <x:row r="119" spans="1:7" ht="14.4">
      <x:c r="A119" s="45"/>
      <x:c r="B119" s="56"/>
      <x:c r="C119" s="56"/>
      <x:c r="D119" s="55"/>
      <x:c r="E119" s="55"/>
      <x:c r="F119" s="45"/>
      <x:c r="G119" s="45"/>
    </x:row>
    <x:row r="120" spans="1:7" ht="14.4">
      <x:c r="A120" s="45"/>
      <x:c r="B120" s="56"/>
      <x:c r="C120" s="56"/>
      <x:c r="D120" s="55"/>
      <x:c r="E120" s="55"/>
      <x:c r="F120" s="45"/>
      <x:c r="G120" s="45"/>
    </x:row>
    <x:row r="121" spans="1:7" ht="14.4">
      <x:c r="A121" s="45"/>
      <x:c r="B121" s="56"/>
      <x:c r="C121" s="56"/>
      <x:c r="D121" s="55"/>
      <x:c r="E121" s="55"/>
      <x:c r="F121" s="45"/>
      <x:c r="G121" s="45"/>
    </x:row>
    <x:row r="122" spans="1:7" ht="14.4">
      <x:c r="A122" s="45"/>
      <x:c r="B122" s="56"/>
      <x:c r="C122" s="56"/>
      <x:c r="D122" s="55"/>
      <x:c r="E122" s="55"/>
      <x:c r="F122" s="45"/>
      <x:c r="G122" s="45"/>
    </x:row>
    <x:row r="123" spans="1:7" ht="14.4">
      <x:c r="A123" s="45"/>
      <x:c r="B123" s="56"/>
      <x:c r="C123" s="56"/>
      <x:c r="D123" s="55"/>
      <x:c r="E123" s="55"/>
      <x:c r="F123" s="45"/>
      <x:c r="G123" s="45"/>
    </x:row>
    <x:row r="124" spans="1:7" ht="14.4">
      <x:c r="A124" s="45"/>
      <x:c r="B124" s="56"/>
      <x:c r="C124" s="56"/>
      <x:c r="D124" s="55"/>
      <x:c r="E124" s="55"/>
      <x:c r="F124" s="45"/>
      <x:c r="G124" s="45"/>
    </x:row>
    <x:row r="125" spans="1:7" ht="14.4">
      <x:c r="A125" s="45"/>
      <x:c r="B125" s="56"/>
      <x:c r="C125" s="56"/>
      <x:c r="D125" s="55"/>
      <x:c r="E125" s="55"/>
      <x:c r="F125" s="45"/>
      <x:c r="G125" s="45"/>
    </x:row>
    <x:row r="126" spans="1:7" ht="14.4">
      <x:c r="A126" s="45"/>
      <x:c r="B126" s="56"/>
      <x:c r="C126" s="56"/>
      <x:c r="D126" s="55"/>
      <x:c r="E126" s="55"/>
      <x:c r="F126" s="45"/>
      <x:c r="G126" s="45"/>
    </x:row>
    <x:row r="127" spans="1:7" ht="14.4">
      <x:c r="A127" s="45"/>
      <x:c r="B127" s="56"/>
      <x:c r="C127" s="56"/>
      <x:c r="D127" s="55"/>
      <x:c r="E127" s="55"/>
      <x:c r="F127" s="45"/>
      <x:c r="G127" s="45"/>
    </x:row>
    <x:row r="128" spans="1:7" ht="14.4">
      <x:c r="A128" s="45"/>
      <x:c r="B128" s="56"/>
      <x:c r="C128" s="56"/>
      <x:c r="D128" s="55"/>
      <x:c r="E128" s="55"/>
      <x:c r="F128" s="45"/>
      <x:c r="G128" s="45"/>
    </x:row>
    <x:row r="129" spans="1:7" ht="14.4">
      <x:c r="A129" s="45"/>
      <x:c r="B129" s="56"/>
      <x:c r="C129" s="56"/>
      <x:c r="D129" s="55"/>
      <x:c r="E129" s="55"/>
      <x:c r="F129" s="45"/>
      <x:c r="G129" s="45"/>
    </x:row>
    <x:row r="130" spans="1:7" ht="14.4">
      <x:c r="A130" s="45"/>
      <x:c r="B130" s="56"/>
      <x:c r="C130" s="56"/>
      <x:c r="D130" s="55"/>
      <x:c r="E130" s="55"/>
      <x:c r="F130" s="45"/>
      <x:c r="G130" s="45"/>
    </x:row>
    <x:row r="131" spans="1:7" ht="14.4">
      <x:c r="A131" s="45"/>
      <x:c r="B131" s="56"/>
      <x:c r="C131" s="56"/>
      <x:c r="D131" s="55"/>
      <x:c r="E131" s="55"/>
      <x:c r="F131" s="45"/>
      <x:c r="G131" s="45"/>
    </x:row>
    <x:row r="132" spans="1:7" ht="14.4">
      <x:c r="A132" s="45"/>
      <x:c r="B132" s="56"/>
      <x:c r="C132" s="56"/>
      <x:c r="D132" s="55"/>
      <x:c r="E132" s="55"/>
      <x:c r="F132" s="45"/>
      <x:c r="G132" s="45"/>
    </x:row>
    <x:row r="133" spans="1:7" ht="14.4">
      <x:c r="A133" s="45"/>
      <x:c r="B133" s="56"/>
      <x:c r="C133" s="56"/>
      <x:c r="D133" s="55"/>
      <x:c r="E133" s="55"/>
      <x:c r="F133" s="45"/>
      <x:c r="G133" s="45"/>
    </x:row>
    <x:row r="134" spans="1:7" ht="14.4">
      <x:c r="A134" s="45"/>
      <x:c r="B134" s="56"/>
      <x:c r="C134" s="56"/>
      <x:c r="D134" s="55"/>
      <x:c r="E134" s="55"/>
      <x:c r="F134" s="45"/>
      <x:c r="G134" s="45"/>
    </x:row>
    <x:row r="135" spans="1:7" ht="14.4">
      <x:c r="A135" s="45"/>
      <x:c r="B135" s="56"/>
      <x:c r="C135" s="56"/>
      <x:c r="D135" s="55"/>
      <x:c r="E135" s="55"/>
      <x:c r="F135" s="45"/>
      <x:c r="G135" s="45"/>
    </x:row>
    <x:row r="136" spans="1:7" ht="14.4">
      <x:c r="A136" s="45"/>
      <x:c r="B136" s="56"/>
      <x:c r="C136" s="56"/>
      <x:c r="D136" s="55"/>
      <x:c r="E136" s="55"/>
      <x:c r="F136" s="45"/>
      <x:c r="G136" s="45"/>
    </x:row>
    <x:row r="137" spans="1:7" ht="14.4">
      <x:c r="A137" s="45"/>
      <x:c r="B137" s="56"/>
      <x:c r="C137" s="56"/>
      <x:c r="D137" s="55"/>
      <x:c r="E137" s="55"/>
      <x:c r="F137" s="45"/>
      <x:c r="G137" s="45"/>
    </x:row>
    <x:row r="138" spans="1:7" ht="14.4">
      <x:c r="A138" s="45"/>
      <x:c r="B138" s="56"/>
      <x:c r="C138" s="56"/>
      <x:c r="D138" s="55"/>
      <x:c r="E138" s="55"/>
      <x:c r="F138" s="45"/>
      <x:c r="G138" s="45"/>
    </x:row>
    <x:row r="139" spans="1:7" ht="14.4">
      <x:c r="A139" s="45"/>
      <x:c r="B139" s="56"/>
      <x:c r="C139" s="56"/>
      <x:c r="D139" s="55"/>
      <x:c r="E139" s="55"/>
      <x:c r="F139" s="45"/>
      <x:c r="G139" s="45"/>
    </x:row>
    <x:row r="140" spans="1:7" ht="14.4">
      <x:c r="A140" s="45"/>
      <x:c r="B140" s="56"/>
      <x:c r="C140" s="56"/>
      <x:c r="D140" s="55"/>
      <x:c r="E140" s="55"/>
      <x:c r="F140" s="45"/>
      <x:c r="G140" s="45"/>
    </x:row>
    <x:row r="141" spans="1:7" ht="14.4">
      <x:c r="A141" s="45"/>
      <x:c r="B141" s="56"/>
      <x:c r="C141" s="56"/>
      <x:c r="D141" s="55"/>
      <x:c r="E141" s="55"/>
      <x:c r="F141" s="45"/>
      <x:c r="G141" s="45"/>
    </x:row>
    <x:row r="142" spans="1:7" ht="14.4">
      <x:c r="B142" s="89"/>
      <x:c r="C142" s="89"/>
      <x:c r="D142" s="88"/>
      <x:c r="E142" s="88"/>
    </x:row>
    <x:row r="143" spans="1:7" ht="14.4">
      <x:c r="B143" s="89"/>
      <x:c r="C143" s="89"/>
      <x:c r="D143" s="88"/>
      <x:c r="E143" s="88"/>
    </x:row>
    <x:row r="144" spans="1:7" ht="14.4">
      <x:c r="B144" s="89"/>
      <x:c r="C144" s="89"/>
      <x:c r="D144" s="88"/>
      <x:c r="E144" s="88"/>
    </x:row>
    <x:row r="145" spans="2:5" ht="14.4">
      <x:c r="B145" s="89"/>
      <x:c r="C145" s="89"/>
      <x:c r="D145" s="88"/>
      <x:c r="E145" s="88"/>
    </x:row>
    <x:row r="146" spans="2:5" ht="14.4">
      <x:c r="B146" s="89"/>
      <x:c r="C146" s="89"/>
      <x:c r="D146" s="88"/>
      <x:c r="E146" s="88"/>
    </x:row>
    <x:row r="147" spans="2:5" ht="14.4">
      <x:c r="B147" s="89"/>
      <x:c r="C147" s="89"/>
      <x:c r="D147" s="88"/>
      <x:c r="E147" s="88"/>
    </x:row>
    <x:row r="148" spans="2:5" ht="14.4">
      <x:c r="B148" s="89"/>
      <x:c r="C148" s="89"/>
      <x:c r="D148" s="88"/>
      <x:c r="E148" s="88"/>
    </x:row>
    <x:row r="149" spans="2:5" ht="14.4">
      <x:c r="B149" s="89"/>
      <x:c r="C149" s="89"/>
      <x:c r="D149" s="88"/>
      <x:c r="E149" s="88"/>
    </x:row>
    <x:row r="150" spans="2:5" ht="14.4">
      <x:c r="B150" s="89"/>
      <x:c r="C150" s="89"/>
      <x:c r="D150" s="88"/>
      <x:c r="E150" s="88"/>
    </x:row>
    <x:row r="151" spans="2:5" ht="14.4">
      <x:c r="B151" s="89"/>
      <x:c r="C151" s="89"/>
      <x:c r="D151" s="88"/>
      <x:c r="E151" s="88"/>
    </x:row>
    <x:row r="152" spans="2:5" ht="14.4">
      <x:c r="B152" s="89"/>
      <x:c r="C152" s="89"/>
      <x:c r="D152" s="88"/>
      <x:c r="E152" s="88"/>
    </x:row>
    <x:row r="153" spans="2:5" ht="14.4">
      <x:c r="B153" s="89"/>
      <x:c r="C153" s="89"/>
      <x:c r="D153" s="88"/>
      <x:c r="E153" s="88"/>
    </x:row>
    <x:row r="154" spans="2:5" ht="14.4">
      <x:c r="B154" s="89"/>
      <x:c r="C154" s="89"/>
      <x:c r="D154" s="88"/>
      <x:c r="E154" s="88"/>
    </x:row>
    <x:row r="155" spans="2:5" ht="14.4">
      <x:c r="B155" s="89"/>
      <x:c r="C155" s="89"/>
      <x:c r="D155" s="88"/>
      <x:c r="E155" s="88"/>
    </x:row>
    <x:row r="156" spans="2:5" ht="14.4">
      <x:c r="B156" s="89"/>
      <x:c r="C156" s="89"/>
      <x:c r="D156" s="88"/>
      <x:c r="E156" s="88"/>
    </x:row>
    <x:row r="157" spans="2:5" ht="14.4">
      <x:c r="B157" s="89"/>
      <x:c r="C157" s="89"/>
      <x:c r="D157" s="88"/>
      <x:c r="E157" s="88"/>
    </x:row>
    <x:row r="158" spans="2:5" ht="14.4">
      <x:c r="B158" s="89"/>
      <x:c r="C158" s="89"/>
      <x:c r="D158" s="88"/>
      <x:c r="E158" s="88"/>
    </x:row>
    <x:row r="159" spans="2:5" ht="14.4">
      <x:c r="B159" s="89"/>
      <x:c r="C159" s="89"/>
      <x:c r="D159" s="88"/>
      <x:c r="E159" s="88"/>
    </x:row>
    <x:row r="160" spans="2:5" ht="14.4">
      <x:c r="B160" s="89"/>
      <x:c r="C160" s="89"/>
      <x:c r="D160" s="88"/>
      <x:c r="E160" s="88"/>
    </x:row>
    <x:row r="161" spans="2:5" ht="14.4">
      <x:c r="B161" s="89"/>
      <x:c r="C161" s="89"/>
      <x:c r="D161" s="88"/>
      <x:c r="E161" s="88"/>
    </x:row>
    <x:row r="162" spans="2:5" ht="14.4">
      <x:c r="B162" s="89"/>
      <x:c r="C162" s="89"/>
      <x:c r="D162" s="88"/>
      <x:c r="E162" s="88"/>
    </x:row>
    <x:row r="163" spans="2:5" ht="14.4">
      <x:c r="B163" s="89"/>
      <x:c r="C163" s="89"/>
      <x:c r="D163" s="88"/>
      <x:c r="E163" s="88"/>
    </x:row>
    <x:row r="164" spans="2:5" ht="14.4">
      <x:c r="B164" s="89"/>
      <x:c r="C164" s="89"/>
      <x:c r="D164" s="88"/>
      <x:c r="E164" s="88"/>
    </x:row>
    <x:row r="165" spans="2:5" ht="14.4">
      <x:c r="B165" s="89"/>
      <x:c r="C165" s="89"/>
      <x:c r="D165" s="88"/>
      <x:c r="E165" s="88"/>
    </x:row>
    <x:row r="166" spans="2:5" ht="14.4">
      <x:c r="B166" s="89"/>
      <x:c r="C166" s="89"/>
      <x:c r="D166" s="88"/>
      <x:c r="E166" s="88"/>
    </x:row>
    <x:row r="167" spans="2:5" ht="14.4">
      <x:c r="B167" s="89"/>
      <x:c r="C167" s="89"/>
      <x:c r="D167" s="88"/>
      <x:c r="E167" s="88"/>
    </x:row>
    <x:row r="168" spans="2:5" ht="14.4">
      <x:c r="B168" s="89"/>
      <x:c r="C168" s="89"/>
      <x:c r="D168" s="88"/>
      <x:c r="E168" s="88"/>
    </x:row>
    <x:row r="169" spans="2:5" ht="14.4">
      <x:c r="B169" s="89"/>
      <x:c r="C169" s="89"/>
      <x:c r="D169" s="88"/>
      <x:c r="E169" s="88"/>
    </x:row>
    <x:row r="170" spans="2:5" ht="14.4">
      <x:c r="B170" s="89"/>
      <x:c r="C170" s="89"/>
      <x:c r="D170" s="88"/>
      <x:c r="E170" s="88"/>
    </x:row>
    <x:row r="171" spans="2:5" ht="14.4">
      <x:c r="B171" s="89"/>
      <x:c r="C171" s="89"/>
      <x:c r="D171" s="88"/>
      <x:c r="E171" s="88"/>
    </x:row>
    <x:row r="172" spans="2:5" ht="14.4">
      <x:c r="B172" s="89"/>
      <x:c r="C172" s="89"/>
      <x:c r="D172" s="88"/>
      <x:c r="E172" s="88"/>
    </x:row>
    <x:row r="173" spans="2:5" ht="14.4">
      <x:c r="B173" s="89"/>
      <x:c r="C173" s="89"/>
      <x:c r="D173" s="88"/>
      <x:c r="E173" s="88"/>
    </x:row>
    <x:row r="174" spans="2:5" ht="14.4">
      <x:c r="B174" s="89"/>
      <x:c r="C174" s="89"/>
      <x:c r="D174" s="88"/>
      <x:c r="E174" s="88"/>
    </x:row>
    <x:row r="175" spans="2:5" ht="14.4">
      <x:c r="B175" s="89"/>
      <x:c r="C175" s="89"/>
      <x:c r="D175" s="88"/>
      <x:c r="E175" s="88"/>
    </x:row>
    <x:row r="176" spans="2:5" ht="14.4">
      <x:c r="B176" s="89"/>
      <x:c r="C176" s="89"/>
      <x:c r="D176" s="88"/>
      <x:c r="E176" s="88"/>
    </x:row>
    <x:row r="177" spans="2:5" ht="14.4">
      <x:c r="B177" s="89"/>
      <x:c r="C177" s="89"/>
      <x:c r="D177" s="88"/>
      <x:c r="E177" s="88"/>
    </x:row>
    <x:row r="178" spans="2:5" ht="14.4">
      <x:c r="B178" s="89"/>
      <x:c r="C178" s="89"/>
      <x:c r="D178" s="88"/>
      <x:c r="E178" s="88"/>
    </x:row>
    <x:row r="179" spans="2:5" ht="14.4">
      <x:c r="B179" s="89"/>
      <x:c r="C179" s="89"/>
      <x:c r="D179" s="88"/>
      <x:c r="E179" s="88"/>
    </x:row>
    <x:row r="180" spans="2:5" ht="14.4">
      <x:c r="B180" s="89"/>
      <x:c r="C180" s="89"/>
      <x:c r="D180" s="88"/>
      <x:c r="E180" s="88"/>
    </x:row>
    <x:row r="181" spans="2:5" ht="14.4">
      <x:c r="B181" s="89"/>
      <x:c r="C181" s="89"/>
      <x:c r="D181" s="88"/>
      <x:c r="E181" s="88"/>
    </x:row>
    <x:row r="182" spans="2:5" ht="14.4">
      <x:c r="B182" s="89"/>
      <x:c r="C182" s="89"/>
      <x:c r="D182" s="88"/>
      <x:c r="E182" s="88"/>
    </x:row>
    <x:row r="183" spans="2:5" ht="14.4">
      <x:c r="B183" s="89"/>
      <x:c r="C183" s="89"/>
      <x:c r="D183" s="88"/>
      <x:c r="E183" s="88"/>
    </x:row>
    <x:row r="184" spans="2:5" ht="14.4">
      <x:c r="B184" s="89"/>
      <x:c r="C184" s="89"/>
      <x:c r="D184" s="88"/>
      <x:c r="E184" s="88"/>
    </x:row>
    <x:row r="185" spans="2:5" ht="14.4">
      <x:c r="B185" s="89"/>
      <x:c r="C185" s="89"/>
      <x:c r="D185" s="88"/>
      <x:c r="E185" s="88"/>
    </x:row>
    <x:row r="186" spans="2:5" ht="14.4">
      <x:c r="B186" s="89"/>
      <x:c r="C186" s="89"/>
      <x:c r="D186" s="88"/>
      <x:c r="E186" s="88"/>
    </x:row>
    <x:row r="187" spans="2:5" ht="14.4">
      <x:c r="B187" s="89"/>
      <x:c r="C187" s="89"/>
      <x:c r="D187" s="88"/>
      <x:c r="E187" s="88"/>
    </x:row>
    <x:row r="188" spans="2:5" ht="14.4">
      <x:c r="B188" s="89"/>
      <x:c r="C188" s="89"/>
      <x:c r="D188" s="88"/>
      <x:c r="E188" s="88"/>
    </x:row>
    <x:row r="189" spans="2:5" ht="14.4">
      <x:c r="B189" s="89"/>
      <x:c r="C189" s="89"/>
      <x:c r="D189" s="88"/>
      <x:c r="E189" s="88"/>
    </x:row>
    <x:row r="190" spans="2:5" ht="14.4">
      <x:c r="B190" s="89"/>
      <x:c r="C190" s="89"/>
      <x:c r="D190" s="88"/>
      <x:c r="E190" s="88"/>
    </x:row>
    <x:row r="191" spans="2:5" ht="14.4">
      <x:c r="B191" s="89"/>
      <x:c r="C191" s="89"/>
      <x:c r="D191" s="88"/>
      <x:c r="E191" s="88"/>
    </x:row>
    <x:row r="192" spans="2:5" ht="14.4">
      <x:c r="B192" s="89"/>
      <x:c r="C192" s="89"/>
      <x:c r="D192" s="88"/>
      <x:c r="E192" s="88"/>
    </x:row>
    <x:row r="193" spans="2:5" ht="14.4">
      <x:c r="B193" s="89"/>
      <x:c r="C193" s="89"/>
      <x:c r="D193" s="88"/>
      <x:c r="E193" s="88"/>
    </x:row>
    <x:row r="194" spans="2:5" ht="14.4">
      <x:c r="B194" s="89"/>
      <x:c r="C194" s="89"/>
      <x:c r="D194" s="88"/>
      <x:c r="E194" s="88"/>
    </x:row>
    <x:row r="195" spans="2:5" ht="14.4">
      <x:c r="B195" s="89"/>
      <x:c r="C195" s="89"/>
      <x:c r="D195" s="88"/>
      <x:c r="E195" s="88"/>
    </x:row>
    <x:row r="196" spans="2:5" ht="14.4">
      <x:c r="B196" s="89"/>
      <x:c r="C196" s="89"/>
      <x:c r="D196" s="88"/>
      <x:c r="E196" s="88"/>
    </x:row>
    <x:row r="197" spans="2:5" ht="14.4">
      <x:c r="B197" s="89"/>
      <x:c r="C197" s="89"/>
      <x:c r="D197" s="88"/>
      <x:c r="E197" s="88"/>
    </x:row>
    <x:row r="198" spans="2:5" ht="14.4">
      <x:c r="B198" s="89"/>
      <x:c r="C198" s="89"/>
      <x:c r="D198" s="88"/>
      <x:c r="E198" s="88"/>
    </x:row>
    <x:row r="199" spans="2:5" ht="14.4">
      <x:c r="B199" s="89"/>
      <x:c r="C199" s="89"/>
      <x:c r="D199" s="88"/>
      <x:c r="E199" s="88"/>
    </x:row>
    <x:row r="200" spans="2:5" ht="14.4">
      <x:c r="B200" s="89"/>
      <x:c r="C200" s="89"/>
      <x:c r="D200" s="88"/>
      <x:c r="E200" s="88"/>
    </x:row>
    <x:row r="201" spans="2:5" ht="14.4">
      <x:c r="B201" s="89"/>
      <x:c r="C201" s="89"/>
      <x:c r="D201" s="88"/>
      <x:c r="E201" s="88"/>
    </x:row>
    <x:row r="202" spans="2:5" ht="14.4">
      <x:c r="B202" s="89"/>
      <x:c r="C202" s="89"/>
      <x:c r="D202" s="88"/>
      <x:c r="E202" s="88"/>
    </x:row>
    <x:row r="203" spans="2:5" ht="14.4">
      <x:c r="B203" s="89"/>
      <x:c r="C203" s="89"/>
      <x:c r="D203" s="88"/>
      <x:c r="E203" s="88"/>
    </x:row>
    <x:row r="204" spans="2:5" ht="14.4">
      <x:c r="B204" s="89"/>
      <x:c r="C204" s="89"/>
      <x:c r="D204" s="88"/>
      <x:c r="E204" s="88"/>
    </x:row>
    <x:row r="205" spans="2:5" ht="14.4">
      <x:c r="B205" s="89"/>
      <x:c r="C205" s="89"/>
      <x:c r="D205" s="88"/>
      <x:c r="E205" s="88"/>
    </x:row>
    <x:row r="206" spans="2:5" ht="14.4">
      <x:c r="B206" s="89"/>
      <x:c r="C206" s="89"/>
      <x:c r="D206" s="88"/>
      <x:c r="E206" s="88"/>
    </x:row>
    <x:row r="207" spans="2:5" ht="14.4">
      <x:c r="B207" s="89"/>
      <x:c r="C207" s="89"/>
      <x:c r="D207" s="88"/>
      <x:c r="E207" s="88"/>
    </x:row>
    <x:row r="208" spans="2:5" ht="14.4">
      <x:c r="B208" s="89"/>
      <x:c r="C208" s="89"/>
      <x:c r="D208" s="88"/>
      <x:c r="E208" s="88"/>
    </x:row>
    <x:row r="209" spans="2:5" ht="14.4">
      <x:c r="B209" s="89"/>
      <x:c r="C209" s="89"/>
      <x:c r="D209" s="88"/>
      <x:c r="E209" s="88"/>
    </x:row>
    <x:row r="210" spans="2:5" ht="14.4">
      <x:c r="B210" s="89"/>
      <x:c r="C210" s="89"/>
      <x:c r="D210" s="88"/>
      <x:c r="E210" s="88"/>
    </x:row>
    <x:row r="211" spans="2:5" ht="14.4">
      <x:c r="B211" s="89"/>
      <x:c r="C211" s="89"/>
      <x:c r="D211" s="88"/>
      <x:c r="E211" s="88"/>
    </x:row>
    <x:row r="212" spans="2:5" ht="14.4">
      <x:c r="B212" s="89"/>
      <x:c r="C212" s="89"/>
      <x:c r="D212" s="88"/>
      <x:c r="E212" s="88"/>
    </x:row>
    <x:row r="213" spans="2:5" ht="14.4">
      <x:c r="B213" s="89"/>
      <x:c r="C213" s="89"/>
      <x:c r="D213" s="88"/>
      <x:c r="E213" s="88"/>
    </x:row>
    <x:row r="214" spans="2:5" ht="14.4">
      <x:c r="B214" s="89"/>
      <x:c r="C214" s="89"/>
      <x:c r="D214" s="88"/>
      <x:c r="E214" s="88"/>
    </x:row>
    <x:row r="215" spans="2:5" ht="14.4">
      <x:c r="B215" s="89"/>
      <x:c r="C215" s="89"/>
      <x:c r="D215" s="88"/>
      <x:c r="E215" s="88"/>
    </x:row>
    <x:row r="216" spans="2:5" ht="14.4">
      <x:c r="B216" s="89"/>
      <x:c r="C216" s="89"/>
      <x:c r="D216" s="88"/>
      <x:c r="E216" s="88"/>
    </x:row>
    <x:row r="217" spans="2:5" ht="14.4">
      <x:c r="B217" s="89"/>
      <x:c r="C217" s="89"/>
      <x:c r="D217" s="88"/>
      <x:c r="E217" s="88"/>
    </x:row>
    <x:row r="218" spans="2:5" ht="14.4">
      <x:c r="B218" s="89"/>
      <x:c r="C218" s="89"/>
      <x:c r="D218" s="88"/>
      <x:c r="E218" s="88"/>
    </x:row>
    <x:row r="219" spans="2:5" ht="14.4">
      <x:c r="B219" s="89"/>
      <x:c r="C219" s="89"/>
      <x:c r="D219" s="88"/>
      <x:c r="E219" s="88"/>
    </x:row>
    <x:row r="220" spans="2:5" ht="14.4">
      <x:c r="B220" s="89"/>
      <x:c r="C220" s="89"/>
      <x:c r="D220" s="88"/>
      <x:c r="E220" s="88"/>
    </x:row>
    <x:row r="221" spans="2:5" ht="14.4">
      <x:c r="B221" s="89"/>
      <x:c r="C221" s="89"/>
      <x:c r="D221" s="88"/>
      <x:c r="E221" s="88"/>
    </x:row>
    <x:row r="222" spans="2:5" ht="14.4">
      <x:c r="B222" s="89"/>
      <x:c r="C222" s="89"/>
      <x:c r="D222" s="88"/>
      <x:c r="E222" s="88"/>
    </x:row>
    <x:row r="223" spans="2:5" ht="14.4">
      <x:c r="B223" s="89"/>
      <x:c r="C223" s="89"/>
      <x:c r="D223" s="88"/>
      <x:c r="E223" s="88"/>
    </x:row>
    <x:row r="224" spans="2:5" ht="14.4">
      <x:c r="B224" s="89"/>
      <x:c r="C224" s="89"/>
      <x:c r="D224" s="88"/>
      <x:c r="E224" s="88"/>
    </x:row>
    <x:row r="225" spans="2:5" ht="14.4">
      <x:c r="B225" s="89"/>
      <x:c r="C225" s="89"/>
      <x:c r="D225" s="88"/>
      <x:c r="E225" s="88"/>
    </x:row>
    <x:row r="226" spans="2:5" ht="14.4">
      <x:c r="B226" s="89"/>
      <x:c r="C226" s="89"/>
      <x:c r="D226" s="88"/>
      <x:c r="E226" s="88"/>
    </x:row>
    <x:row r="227" spans="2:5" ht="14.4">
      <x:c r="B227" s="89"/>
      <x:c r="C227" s="89"/>
      <x:c r="D227" s="88"/>
      <x:c r="E227" s="88"/>
    </x:row>
    <x:row r="228" spans="2:5" ht="14.4">
      <x:c r="B228" s="89"/>
      <x:c r="C228" s="89"/>
      <x:c r="D228" s="88"/>
      <x:c r="E228" s="88"/>
    </x:row>
    <x:row r="229" spans="2:5" ht="14.4">
      <x:c r="B229" s="89"/>
      <x:c r="C229" s="89"/>
      <x:c r="D229" s="88"/>
      <x:c r="E229" s="88"/>
    </x:row>
    <x:row r="230" spans="2:5" ht="14.4">
      <x:c r="B230" s="89"/>
      <x:c r="C230" s="89"/>
      <x:c r="D230" s="88"/>
      <x:c r="E230" s="88"/>
    </x:row>
    <x:row r="231" spans="2:5" ht="14.4">
      <x:c r="B231" s="89"/>
      <x:c r="C231" s="89"/>
      <x:c r="D231" s="88"/>
      <x:c r="E231" s="88"/>
    </x:row>
    <x:row r="232" spans="2:5" ht="14.4">
      <x:c r="B232" s="89"/>
      <x:c r="C232" s="89"/>
      <x:c r="D232" s="88"/>
      <x:c r="E232" s="88"/>
    </x:row>
    <x:row r="233" spans="2:5" ht="14.4">
      <x:c r="B233" s="89"/>
      <x:c r="C233" s="89"/>
      <x:c r="D233" s="88"/>
      <x:c r="E233" s="88"/>
    </x:row>
    <x:row r="234" spans="2:5" ht="14.4">
      <x:c r="B234" s="89"/>
      <x:c r="C234" s="89"/>
      <x:c r="D234" s="88"/>
      <x:c r="E234" s="88"/>
    </x:row>
    <x:row r="235" spans="2:5" ht="14.4">
      <x:c r="B235" s="89"/>
      <x:c r="C235" s="89"/>
      <x:c r="D235" s="88"/>
      <x:c r="E235" s="88"/>
    </x:row>
    <x:row r="236" spans="2:5" ht="14.4">
      <x:c r="B236" s="89"/>
      <x:c r="C236" s="89"/>
      <x:c r="D236" s="88"/>
      <x:c r="E236" s="88"/>
    </x:row>
    <x:row r="237" spans="2:5" ht="14.4">
      <x:c r="C237" s="89"/>
      <x:c r="D237" s="88"/>
      <x:c r="E237" s="88"/>
    </x:row>
    <x:row r="238" spans="2:5" ht="14.4">
      <x:c r="C238" s="89"/>
      <x:c r="D238" s="88"/>
      <x:c r="E238" s="88"/>
    </x:row>
    <x:row r="239" spans="2:5" ht="14.4">
      <x:c r="C239" s="89"/>
      <x:c r="D239" s="88"/>
      <x:c r="E239" s="88"/>
    </x:row>
    <x:row r="240" spans="2:5" ht="14.4">
      <x:c r="C240" s="89"/>
      <x:c r="D240" s="88"/>
      <x:c r="E240" s="88"/>
    </x:row>
    <x:row r="241" spans="3:5" ht="14.4">
      <x:c r="C241" s="89"/>
      <x:c r="D241" s="88"/>
      <x:c r="E241" s="88"/>
    </x:row>
    <x:row r="242" spans="3:5" ht="14.4" hidden="1"/>
    <x:row r="243" spans="3:5" ht="14.4" hidden="1"/>
    <x:row r="244" spans="3:5" ht="14.4" hidden="1"/>
    <x:row r="245" spans="3:5" ht="14.4" hidden="1"/>
    <x:row r="246" spans="3:5" ht="14.4" hidden="1"/>
    <x:row r="247" spans="3:5" ht="14.4" hidden="1"/>
    <x:row r="248" spans="3:5" ht="14.4" hidden="1"/>
    <x:row r="249" spans="3:5" ht="14.4" hidden="1"/>
    <x:row r="250" spans="3:5" ht="14.4" hidden="1"/>
    <x:row r="251" spans="3:5" ht="14.85" customHeight="1"/>
    <x:row r="252" spans="3:5" ht="14.85" customHeight="1"/>
    <x:row r="253" spans="3:5" ht="14.85" customHeight="1"/>
    <x:row r="1000">
      <x:c r="XX1000" s="110" t="n">
        <x:v>125713</x:v>
      </x:c>
    </x:row>
  </x:sheetData>
  <x:pageMargins left="0.7" right="0.7" top="0.75" bottom="0.75" header="0.3" footer="0.3"/>
  <x:pageSetup orientation="portrait" horizontalDpi="1200" verticalDpi="1200" r:id="rId1"/>
</x: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3F166-8E67-4745-985C-9FBF2D0E0897}">
  <sheetPr codeName="Sheet11"/>
  <dimension ref="A1:BW110"/>
  <sheetViews>
    <sheetView topLeftCell="J1" workbookViewId="0">
      <selection activeCell="R22" sqref="R22"/>
    </sheetView>
  </sheetViews>
  <sheetFormatPr defaultColWidth="8.77734375" defaultRowHeight="14.4"/>
  <cols>
    <col min="1" max="1" width="3.77734375" style="5" customWidth="1"/>
    <col min="2" max="2" width="23.5546875" style="5" bestFit="1" customWidth="1"/>
    <col min="3" max="3" width="3.77734375" style="5" customWidth="1"/>
    <col min="4" max="4" width="20.109375" style="5" customWidth="1"/>
    <col min="5" max="5" width="3.77734375" style="5" customWidth="1"/>
    <col min="6" max="6" width="23.77734375" style="5" bestFit="1" customWidth="1"/>
    <col min="7" max="8" width="15.33203125" style="5" customWidth="1"/>
    <col min="9" max="9" width="22" style="5" bestFit="1" customWidth="1"/>
    <col min="10" max="11" width="15.33203125" style="5" customWidth="1"/>
    <col min="12" max="12" width="3.77734375" style="5" customWidth="1"/>
    <col min="13" max="13" width="23.77734375" style="5" bestFit="1" customWidth="1"/>
    <col min="14" max="14" width="15.33203125" style="5" customWidth="1"/>
    <col min="15" max="15" width="3.77734375" style="5" customWidth="1"/>
    <col min="16" max="16" width="19.5546875" style="5" customWidth="1"/>
    <col min="17" max="17" width="13" style="5" customWidth="1"/>
    <col min="18" max="18" width="3.77734375" style="5" customWidth="1"/>
    <col min="19" max="19" width="16.33203125" style="5" bestFit="1" customWidth="1"/>
    <col min="20" max="20" width="3.77734375" style="5" customWidth="1"/>
    <col min="21" max="24" width="15.109375" style="5" customWidth="1"/>
    <col min="25" max="25" width="3.77734375" style="5" customWidth="1"/>
    <col min="26" max="26" width="16" style="5" bestFit="1" customWidth="1"/>
    <col min="27" max="34" width="16" style="5" customWidth="1"/>
    <col min="35" max="45" width="17.109375" style="5" bestFit="1" customWidth="1"/>
    <col min="46" max="46" width="3.77734375" style="5" customWidth="1"/>
    <col min="47" max="47" width="9.33203125" style="5" bestFit="1" customWidth="1"/>
    <col min="48" max="48" width="29.33203125" style="5" customWidth="1"/>
    <col min="49" max="50" width="11.77734375" style="5" customWidth="1"/>
    <col min="51" max="51" width="21.109375" style="5" customWidth="1"/>
    <col min="52" max="52" width="3.77734375" style="5" customWidth="1"/>
    <col min="53" max="54" width="21.109375" style="5" customWidth="1"/>
    <col min="55" max="55" width="3.77734375" style="5" customWidth="1"/>
    <col min="56" max="75" width="14.77734375" style="5" customWidth="1"/>
    <col min="76" max="16384" width="8.77734375" style="5"/>
  </cols>
  <sheetData>
    <row r="1" spans="1:75">
      <c r="B1" s="7" t="s">
        <v>2</v>
      </c>
      <c r="D1" s="7" t="s">
        <v>0</v>
      </c>
      <c r="F1" s="7" t="s">
        <v>5</v>
      </c>
      <c r="G1" s="7" t="s">
        <v>6</v>
      </c>
      <c r="H1" s="7" t="s">
        <v>7</v>
      </c>
      <c r="I1" s="7" t="s">
        <v>8</v>
      </c>
      <c r="J1" s="7" t="s">
        <v>28</v>
      </c>
      <c r="K1" s="13" t="s">
        <v>21</v>
      </c>
      <c r="M1" s="7" t="s">
        <v>5</v>
      </c>
      <c r="N1" s="7" t="s">
        <v>10</v>
      </c>
      <c r="P1" s="7" t="s">
        <v>16</v>
      </c>
      <c r="Q1" s="7" t="s">
        <v>29</v>
      </c>
      <c r="S1" s="7" t="s">
        <v>30</v>
      </c>
      <c r="U1" s="7" t="s">
        <v>13</v>
      </c>
      <c r="V1" s="7" t="s">
        <v>14</v>
      </c>
      <c r="W1" s="7" t="s">
        <v>15</v>
      </c>
      <c r="X1" s="7" t="s">
        <v>12</v>
      </c>
      <c r="Z1" s="7" t="s">
        <v>31</v>
      </c>
      <c r="AA1" s="7" t="s">
        <v>32</v>
      </c>
      <c r="AB1" s="7" t="s">
        <v>33</v>
      </c>
      <c r="AC1" s="7" t="s">
        <v>34</v>
      </c>
      <c r="AD1" s="7" t="s">
        <v>35</v>
      </c>
      <c r="AE1" s="7" t="s">
        <v>36</v>
      </c>
      <c r="AF1" s="7" t="s">
        <v>37</v>
      </c>
      <c r="AG1" s="7" t="s">
        <v>38</v>
      </c>
      <c r="AH1" s="7" t="s">
        <v>39</v>
      </c>
      <c r="AI1" s="7" t="s">
        <v>40</v>
      </c>
      <c r="AJ1" s="7" t="s">
        <v>41</v>
      </c>
      <c r="AK1" s="7" t="s">
        <v>42</v>
      </c>
      <c r="AL1" s="7" t="s">
        <v>43</v>
      </c>
      <c r="AM1" s="7" t="s">
        <v>44</v>
      </c>
      <c r="AN1" s="7" t="s">
        <v>45</v>
      </c>
      <c r="AO1" s="7" t="s">
        <v>46</v>
      </c>
      <c r="AP1" s="7" t="s">
        <v>47</v>
      </c>
      <c r="AQ1" s="7" t="s">
        <v>48</v>
      </c>
      <c r="AR1" s="7" t="s">
        <v>49</v>
      </c>
      <c r="AS1" s="7" t="s">
        <v>50</v>
      </c>
      <c r="AU1" s="7" t="s">
        <v>51</v>
      </c>
      <c r="AV1" s="7" t="s">
        <v>107</v>
      </c>
      <c r="AW1" s="7" t="s">
        <v>108</v>
      </c>
      <c r="AX1" s="7" t="s">
        <v>109</v>
      </c>
      <c r="AY1" s="7" t="s">
        <v>52</v>
      </c>
      <c r="BA1" s="7" t="s">
        <v>53</v>
      </c>
      <c r="BB1" s="13" t="s">
        <v>79</v>
      </c>
      <c r="BD1" s="7" t="s">
        <v>54</v>
      </c>
      <c r="BE1" s="7" t="s">
        <v>55</v>
      </c>
      <c r="BF1" s="7" t="s">
        <v>56</v>
      </c>
      <c r="BG1" s="7" t="s">
        <v>57</v>
      </c>
      <c r="BH1" s="7" t="s">
        <v>58</v>
      </c>
      <c r="BI1" s="7" t="s">
        <v>59</v>
      </c>
      <c r="BJ1" s="7" t="s">
        <v>60</v>
      </c>
      <c r="BK1" s="7" t="s">
        <v>61</v>
      </c>
      <c r="BL1" s="7" t="s">
        <v>62</v>
      </c>
      <c r="BM1" s="7" t="s">
        <v>63</v>
      </c>
      <c r="BN1" s="7" t="s">
        <v>64</v>
      </c>
      <c r="BO1" s="7" t="s">
        <v>65</v>
      </c>
      <c r="BP1" s="7" t="s">
        <v>66</v>
      </c>
      <c r="BQ1" s="7" t="s">
        <v>67</v>
      </c>
      <c r="BR1" s="7" t="s">
        <v>68</v>
      </c>
      <c r="BS1" s="7" t="s">
        <v>69</v>
      </c>
      <c r="BT1" s="7" t="s">
        <v>70</v>
      </c>
      <c r="BU1" s="7" t="s">
        <v>71</v>
      </c>
      <c r="BV1" s="7" t="s">
        <v>72</v>
      </c>
      <c r="BW1" s="7" t="s">
        <v>73</v>
      </c>
    </row>
    <row r="2" spans="1:75">
      <c r="B2" s="5" t="s">
        <v>244</v>
      </c>
      <c r="D2" s="8"/>
      <c r="F2" s="8" t="s">
        <v>271</v>
      </c>
      <c r="G2" s="8" t="s">
        <v>326</v>
      </c>
      <c r="H2" s="8" t="s">
        <v>399</v>
      </c>
      <c r="I2" s="8" t="s">
        <v>383</v>
      </c>
      <c r="J2" s="8" t="s">
        <v>23</v>
      </c>
      <c r="K2" s="23" t="b">
        <f ca="1">IF(PRODUCT(BB2:BB13)=1,TRUE,FALSE)</f>
        <v>0</v>
      </c>
      <c r="M2" s="5" t="s">
        <v>116</v>
      </c>
      <c r="N2" s="5" t="s">
        <v>22</v>
      </c>
      <c r="P2" s="5" t="s">
        <v>252</v>
      </c>
      <c r="Q2" s="20" cm="1">
        <f t="array" ref="Q2">IF(RandomMethod="Numbers",S2,IF(RandomMethod="Scenarios",INDEX(Z2:AS2,RandomScenarioNumber),"Error"))</f>
        <v>0.1</v>
      </c>
      <c r="S2" s="20">
        <v>0.1</v>
      </c>
      <c r="U2" s="1">
        <v>3</v>
      </c>
      <c r="V2" s="1">
        <v>10</v>
      </c>
      <c r="W2" s="42">
        <v>0.01</v>
      </c>
      <c r="X2" s="20">
        <f t="shared" ref="X2:X20" ca="1" si="0">RANDBETWEEN($U2,$V2)*$W2</f>
        <v>7.0000000000000007E-2</v>
      </c>
      <c r="Z2" s="20">
        <v>7.0000000000000007E-2</v>
      </c>
      <c r="AA2" s="20">
        <v>0.06</v>
      </c>
      <c r="AB2" s="20">
        <v>0.04</v>
      </c>
      <c r="AC2" s="20">
        <v>0.08</v>
      </c>
      <c r="AD2" s="20">
        <v>0.1</v>
      </c>
      <c r="AE2" s="20">
        <v>7.0000000000000007E-2</v>
      </c>
      <c r="AF2" s="20">
        <v>0.08</v>
      </c>
      <c r="AG2" s="20">
        <v>0.05</v>
      </c>
      <c r="AH2" s="20">
        <v>7.0000000000000007E-2</v>
      </c>
      <c r="AI2" s="20">
        <v>0.08</v>
      </c>
      <c r="AJ2" s="20">
        <v>0.04</v>
      </c>
      <c r="AK2" s="20">
        <v>0.03</v>
      </c>
      <c r="AL2" s="20">
        <v>0.06</v>
      </c>
      <c r="AM2" s="20">
        <v>0.06</v>
      </c>
      <c r="AN2" s="20">
        <v>0.08</v>
      </c>
      <c r="AO2" s="20">
        <v>0.08</v>
      </c>
      <c r="AP2" s="20">
        <v>7.0000000000000007E-2</v>
      </c>
      <c r="AQ2" s="20">
        <v>0.08</v>
      </c>
      <c r="AR2" s="20">
        <v>0.09</v>
      </c>
      <c r="AS2" s="20">
        <v>0.1</v>
      </c>
      <c r="AU2" s="5">
        <v>1</v>
      </c>
      <c r="AV2" s="8" t="s">
        <v>271</v>
      </c>
      <c r="AW2" s="5" t="s">
        <v>278</v>
      </c>
      <c r="AX2" s="5" t="s">
        <v>284</v>
      </c>
      <c r="AY2" s="19" cm="1">
        <f t="array" ref="AY2">IF(RandomMethod="Numbers",BA2,IF(RandomMethod="Scenarios",INDEX(BD2:BW2,RandomScenarioNumber),"Error"))</f>
        <v>244000</v>
      </c>
      <c r="BA2" s="16" cm="1">
        <f t="array" aca="1" ref="BA2" ca="1">INDIRECT("'"&amp;AV2&amp;"'!"&amp;AW2)</f>
        <v>0</v>
      </c>
      <c r="BB2" s="24" cm="1">
        <f t="array" aca="1" ref="BB2" ca="1">IF(CheckAnswer(BA2,AY2,AV2,AW2)=TRUE,1,0)</f>
        <v>0</v>
      </c>
      <c r="BD2" s="16">
        <v>233500</v>
      </c>
      <c r="BE2" s="16">
        <v>204500</v>
      </c>
      <c r="BF2" s="16">
        <v>354500</v>
      </c>
      <c r="BG2" s="16">
        <v>238000</v>
      </c>
      <c r="BH2" s="16">
        <v>244000</v>
      </c>
      <c r="BI2" s="16">
        <v>233500</v>
      </c>
      <c r="BJ2" s="16">
        <v>238000</v>
      </c>
      <c r="BK2" s="16">
        <v>280500</v>
      </c>
      <c r="BL2" s="16">
        <v>244000</v>
      </c>
      <c r="BM2" s="16">
        <v>354500</v>
      </c>
      <c r="BN2" s="16">
        <v>280500</v>
      </c>
      <c r="BO2" s="16">
        <v>204500</v>
      </c>
      <c r="BP2" s="16">
        <v>233500</v>
      </c>
      <c r="BQ2" s="16">
        <v>233500</v>
      </c>
      <c r="BR2" s="16">
        <v>350000</v>
      </c>
      <c r="BS2" s="16">
        <v>280500</v>
      </c>
      <c r="BT2" s="16">
        <v>325500</v>
      </c>
      <c r="BU2" s="16">
        <v>233500</v>
      </c>
      <c r="BV2" s="16">
        <v>238000</v>
      </c>
      <c r="BW2" s="16">
        <v>238000</v>
      </c>
    </row>
    <row r="3" spans="1:75">
      <c r="F3" s="8" t="s">
        <v>272</v>
      </c>
      <c r="G3" s="8" t="s">
        <v>326</v>
      </c>
      <c r="H3" s="8" t="s">
        <v>399</v>
      </c>
      <c r="I3" s="8" t="s">
        <v>383</v>
      </c>
      <c r="J3" s="8" t="s">
        <v>23</v>
      </c>
      <c r="K3" s="23" t="b">
        <f ca="1">IF(PRODUCT(BB14:BB25)=1,TRUE,FALSE)</f>
        <v>0</v>
      </c>
      <c r="M3" s="5" t="s">
        <v>117</v>
      </c>
      <c r="N3" s="5" t="s">
        <v>22</v>
      </c>
      <c r="P3" s="5" t="s">
        <v>253</v>
      </c>
      <c r="Q3" s="20" cm="1">
        <f t="array" ref="Q3">IF(RandomMethod="Numbers",S3,IF(RandomMethod="Scenarios",INDEX(Z3:AS3,RandomScenarioNumber),"Error"))</f>
        <v>0.18</v>
      </c>
      <c r="R3" s="17"/>
      <c r="S3" s="20">
        <v>0.12</v>
      </c>
      <c r="U3" s="1">
        <v>11</v>
      </c>
      <c r="V3" s="1">
        <v>22</v>
      </c>
      <c r="W3" s="42">
        <v>0.01</v>
      </c>
      <c r="X3" s="20">
        <f t="shared" ca="1" si="0"/>
        <v>0.13</v>
      </c>
      <c r="Z3" s="20">
        <v>0.16</v>
      </c>
      <c r="AA3" s="20">
        <v>0.11</v>
      </c>
      <c r="AB3" s="20">
        <v>0.12</v>
      </c>
      <c r="AC3" s="20">
        <v>0.16</v>
      </c>
      <c r="AD3" s="20">
        <v>0.18</v>
      </c>
      <c r="AE3" s="20">
        <v>0.16</v>
      </c>
      <c r="AF3" s="20">
        <v>0.17</v>
      </c>
      <c r="AG3" s="20">
        <v>0.13</v>
      </c>
      <c r="AH3" s="20">
        <v>0.18</v>
      </c>
      <c r="AI3" s="20">
        <v>0.11</v>
      </c>
      <c r="AJ3" s="20">
        <v>0.21</v>
      </c>
      <c r="AK3" s="20">
        <v>0.18</v>
      </c>
      <c r="AL3" s="20">
        <v>0.2</v>
      </c>
      <c r="AM3" s="20">
        <v>0.19</v>
      </c>
      <c r="AN3" s="20">
        <v>0.19</v>
      </c>
      <c r="AO3" s="20">
        <v>0.22</v>
      </c>
      <c r="AP3" s="20">
        <v>0.15</v>
      </c>
      <c r="AQ3" s="20">
        <v>0.17</v>
      </c>
      <c r="AR3" s="20">
        <v>0.16</v>
      </c>
      <c r="AS3" s="20">
        <v>0.12</v>
      </c>
      <c r="AU3" s="5">
        <v>2</v>
      </c>
      <c r="AV3" s="8" t="s">
        <v>271</v>
      </c>
      <c r="AW3" s="5" t="s">
        <v>279</v>
      </c>
      <c r="AX3" s="5" t="s">
        <v>285</v>
      </c>
      <c r="AY3" s="19" cm="1">
        <f t="array" ref="AY3">IF(RandomMethod="Numbers",BA3,IF(RandomMethod="Scenarios",INDEX(BD3:BW3,RandomScenarioNumber),"Error"))</f>
        <v>0.46153846153846156</v>
      </c>
      <c r="BA3" s="20" cm="1">
        <f t="array" aca="1" ref="BA3" ca="1">INDIRECT("'"&amp;AV3&amp;"'!"&amp;AW3)</f>
        <v>0</v>
      </c>
      <c r="BB3" s="24" cm="1">
        <f t="array" aca="1" ref="BB3" ca="1">IF(CheckAnswer(BA3,AY3,AV3,AW3)=TRUE,1,0)</f>
        <v>0</v>
      </c>
      <c r="BD3" s="20">
        <v>0.36363636363636365</v>
      </c>
      <c r="BE3" s="20">
        <v>0.6</v>
      </c>
      <c r="BF3" s="20">
        <v>0.21428571428571427</v>
      </c>
      <c r="BG3" s="20">
        <v>0.1111111111111111</v>
      </c>
      <c r="BH3" s="20">
        <v>0.46153846153846156</v>
      </c>
      <c r="BI3" s="20">
        <v>0.36363636363636365</v>
      </c>
      <c r="BJ3" s="20">
        <v>0.1111111111111111</v>
      </c>
      <c r="BK3" s="20">
        <v>0.14285714285714285</v>
      </c>
      <c r="BL3" s="20">
        <v>0.46153846153846156</v>
      </c>
      <c r="BM3" s="20">
        <v>0.21428571428571427</v>
      </c>
      <c r="BN3" s="20">
        <v>0.14285714285714285</v>
      </c>
      <c r="BO3" s="20">
        <v>0.6</v>
      </c>
      <c r="BP3" s="20">
        <v>0.36363636363636365</v>
      </c>
      <c r="BQ3" s="20">
        <v>0.36363636363636365</v>
      </c>
      <c r="BR3" s="20">
        <v>0.26666666666666666</v>
      </c>
      <c r="BS3" s="20">
        <v>0.14285714285714285</v>
      </c>
      <c r="BT3" s="20">
        <v>0.21428571428571427</v>
      </c>
      <c r="BU3" s="20">
        <v>0.36363636363636365</v>
      </c>
      <c r="BV3" s="20">
        <v>0.1111111111111111</v>
      </c>
      <c r="BW3" s="20">
        <v>0.1111111111111111</v>
      </c>
    </row>
    <row r="4" spans="1:75">
      <c r="A4" s="9"/>
      <c r="B4" s="7" t="s">
        <v>74</v>
      </c>
      <c r="D4" s="7" t="s">
        <v>1</v>
      </c>
      <c r="F4" s="5" t="s">
        <v>273</v>
      </c>
      <c r="G4" s="8" t="s">
        <v>326</v>
      </c>
      <c r="H4" s="8" t="s">
        <v>382</v>
      </c>
      <c r="I4" s="8" t="s">
        <v>384</v>
      </c>
      <c r="J4" s="8" t="s">
        <v>148</v>
      </c>
      <c r="K4" s="23" t="b">
        <f ca="1">IF(PRODUCT(BB26:BB28)=1,TRUE,FALSE)</f>
        <v>0</v>
      </c>
      <c r="M4" s="5" t="s">
        <v>24</v>
      </c>
      <c r="N4" s="5" t="s">
        <v>385</v>
      </c>
      <c r="O4" s="9"/>
      <c r="P4" s="5" t="s">
        <v>254</v>
      </c>
      <c r="Q4" s="20" cm="1">
        <f t="array" ref="Q4">IF(RandomMethod="Numbers",S4,IF(RandomMethod="Scenarios",INDEX(Z4:AS4,RandomScenarioNumber),"Error"))</f>
        <v>0.28000000000000003</v>
      </c>
      <c r="S4" s="20">
        <v>0.28000000000000003</v>
      </c>
      <c r="U4" s="1">
        <v>23</v>
      </c>
      <c r="V4" s="1">
        <v>30</v>
      </c>
      <c r="W4" s="42">
        <v>0.01</v>
      </c>
      <c r="X4" s="20">
        <f t="shared" ca="1" si="0"/>
        <v>0.27</v>
      </c>
      <c r="Y4" s="9"/>
      <c r="Z4" s="20">
        <v>0.27</v>
      </c>
      <c r="AA4" s="20">
        <v>0.23</v>
      </c>
      <c r="AB4" s="20">
        <v>0.28999999999999998</v>
      </c>
      <c r="AC4" s="20">
        <v>0.26</v>
      </c>
      <c r="AD4" s="20">
        <v>0.28000000000000003</v>
      </c>
      <c r="AE4" s="20">
        <v>0.28000000000000003</v>
      </c>
      <c r="AF4" s="20">
        <v>0.28000000000000003</v>
      </c>
      <c r="AG4" s="20">
        <v>0.28999999999999998</v>
      </c>
      <c r="AH4" s="20">
        <v>0.28000000000000003</v>
      </c>
      <c r="AI4" s="20">
        <v>0.3</v>
      </c>
      <c r="AJ4" s="20">
        <v>0.3</v>
      </c>
      <c r="AK4" s="20">
        <v>0.25</v>
      </c>
      <c r="AL4" s="20">
        <v>0.26</v>
      </c>
      <c r="AM4" s="20">
        <v>0.23</v>
      </c>
      <c r="AN4" s="20">
        <v>0.26</v>
      </c>
      <c r="AO4" s="20">
        <v>0.28999999999999998</v>
      </c>
      <c r="AP4" s="20">
        <v>0.25</v>
      </c>
      <c r="AQ4" s="20">
        <v>0.28000000000000003</v>
      </c>
      <c r="AR4" s="20">
        <v>0.3</v>
      </c>
      <c r="AS4" s="20">
        <v>0.28000000000000003</v>
      </c>
      <c r="AT4" s="9"/>
      <c r="AU4" s="5">
        <v>3</v>
      </c>
      <c r="AV4" s="8" t="s">
        <v>271</v>
      </c>
      <c r="AW4" s="5" t="s">
        <v>280</v>
      </c>
      <c r="AX4" s="5" t="s">
        <v>286</v>
      </c>
      <c r="AY4" s="19" cm="1">
        <f t="array" ref="AY4">IF(RandomMethod="Numbers",BA4,IF(RandomMethod="Scenarios",INDEX(BD4:BW4,RandomScenarioNumber),"Error"))</f>
        <v>10500</v>
      </c>
      <c r="AZ4" s="9"/>
      <c r="BA4" s="16" cm="1">
        <f t="array" aca="1" ref="BA4" ca="1">INDIRECT("'"&amp;AV4&amp;"'!"&amp;AW4)</f>
        <v>0</v>
      </c>
      <c r="BB4" s="24" cm="1">
        <f t="array" aca="1" ref="BB4" ca="1">IF(CheckAnswer(BA4,AY4,AV4,AW4)=TRUE,1,0)</f>
        <v>0</v>
      </c>
      <c r="BC4" s="9"/>
      <c r="BD4" s="16">
        <v>15500</v>
      </c>
      <c r="BE4" s="16">
        <v>18700</v>
      </c>
      <c r="BF4" s="16">
        <v>7500</v>
      </c>
      <c r="BG4" s="16">
        <v>1200</v>
      </c>
      <c r="BH4" s="16">
        <v>10500</v>
      </c>
      <c r="BI4" s="16">
        <v>15500</v>
      </c>
      <c r="BJ4" s="16">
        <v>1200</v>
      </c>
      <c r="BK4" s="16">
        <v>4800</v>
      </c>
      <c r="BL4" s="16">
        <v>10500</v>
      </c>
      <c r="BM4" s="16">
        <v>7500</v>
      </c>
      <c r="BN4" s="16">
        <v>4800</v>
      </c>
      <c r="BO4" s="16">
        <v>18700</v>
      </c>
      <c r="BP4" s="16">
        <v>15500</v>
      </c>
      <c r="BQ4" s="16">
        <v>15500</v>
      </c>
      <c r="BR4" s="16">
        <v>10400</v>
      </c>
      <c r="BS4" s="16">
        <v>4800</v>
      </c>
      <c r="BT4" s="16">
        <v>7300</v>
      </c>
      <c r="BU4" s="16">
        <v>15500</v>
      </c>
      <c r="BV4" s="16">
        <v>1200</v>
      </c>
      <c r="BW4" s="16">
        <v>1200</v>
      </c>
    </row>
    <row r="5" spans="1:75">
      <c r="B5" s="5" t="s">
        <v>400</v>
      </c>
      <c r="D5" s="8"/>
      <c r="G5" s="8"/>
      <c r="H5" s="8"/>
      <c r="I5" s="8"/>
      <c r="J5" s="8"/>
      <c r="K5" s="23"/>
      <c r="M5" s="8" t="s">
        <v>271</v>
      </c>
      <c r="N5" s="5" t="s">
        <v>386</v>
      </c>
      <c r="P5" s="5" t="s">
        <v>255</v>
      </c>
      <c r="Q5" s="20" cm="1">
        <f t="array" ref="Q5">IF(RandomMethod="Numbers",S5,IF(RandomMethod="Scenarios",INDEX(Z5:AS5,RandomScenarioNumber),"Error"))</f>
        <v>0.35000000000000003</v>
      </c>
      <c r="R5" s="2"/>
      <c r="S5" s="20">
        <v>0.36</v>
      </c>
      <c r="U5" s="1">
        <v>31</v>
      </c>
      <c r="V5" s="1">
        <v>40</v>
      </c>
      <c r="W5" s="42">
        <v>0.01</v>
      </c>
      <c r="X5" s="20">
        <f t="shared" ca="1" si="0"/>
        <v>0.35000000000000003</v>
      </c>
      <c r="Z5" s="20">
        <v>0.31</v>
      </c>
      <c r="AA5" s="20">
        <v>0.33</v>
      </c>
      <c r="AB5" s="20">
        <v>0.37</v>
      </c>
      <c r="AC5" s="20">
        <v>0.38</v>
      </c>
      <c r="AD5" s="20">
        <v>0.35000000000000003</v>
      </c>
      <c r="AE5" s="20">
        <v>0.39</v>
      </c>
      <c r="AF5" s="20">
        <v>0.32</v>
      </c>
      <c r="AG5" s="20">
        <v>0.33</v>
      </c>
      <c r="AH5" s="20">
        <v>0.38</v>
      </c>
      <c r="AI5" s="20">
        <v>0.32</v>
      </c>
      <c r="AJ5" s="20">
        <v>0.35000000000000003</v>
      </c>
      <c r="AK5" s="20">
        <v>0.37</v>
      </c>
      <c r="AL5" s="20">
        <v>0.32</v>
      </c>
      <c r="AM5" s="20">
        <v>0.35000000000000003</v>
      </c>
      <c r="AN5" s="20">
        <v>0.36</v>
      </c>
      <c r="AO5" s="20">
        <v>0.33</v>
      </c>
      <c r="AP5" s="20">
        <v>0.36</v>
      </c>
      <c r="AQ5" s="20">
        <v>0.39</v>
      </c>
      <c r="AR5" s="20">
        <v>0.33</v>
      </c>
      <c r="AS5" s="20">
        <v>0.36</v>
      </c>
      <c r="AU5" s="5">
        <v>4</v>
      </c>
      <c r="AV5" s="8" t="s">
        <v>271</v>
      </c>
      <c r="AW5" s="5" t="s">
        <v>281</v>
      </c>
      <c r="AX5" s="5" t="s">
        <v>287</v>
      </c>
      <c r="AY5" s="19" cm="1">
        <f t="array" ref="AY5">IF(RandomMethod="Numbers",BA5,IF(RandomMethod="Scenarios",INDEX(BD5:BW5,RandomScenarioNumber),"Error"))</f>
        <v>70000</v>
      </c>
      <c r="BA5" s="16" cm="1">
        <f t="array" aca="1" ref="BA5" ca="1">INDIRECT("'"&amp;AV5&amp;"'!"&amp;AW5)</f>
        <v>0</v>
      </c>
      <c r="BB5" s="24" cm="1">
        <f t="array" aca="1" ref="BB5" ca="1">IF(CheckAnswer(BA5,AY5,AV5,AW5)=TRUE,1,0)</f>
        <v>0</v>
      </c>
      <c r="BD5" s="16">
        <v>26500</v>
      </c>
      <c r="BE5" s="16">
        <v>17000</v>
      </c>
      <c r="BF5" s="16">
        <v>108000</v>
      </c>
      <c r="BG5" s="16">
        <v>30000</v>
      </c>
      <c r="BH5" s="16">
        <v>70000</v>
      </c>
      <c r="BI5" s="16">
        <v>26500</v>
      </c>
      <c r="BJ5" s="16">
        <v>30000</v>
      </c>
      <c r="BK5" s="16">
        <v>56000</v>
      </c>
      <c r="BL5" s="16">
        <v>70000</v>
      </c>
      <c r="BM5" s="16">
        <v>108000</v>
      </c>
      <c r="BN5" s="16">
        <v>56000</v>
      </c>
      <c r="BO5" s="16">
        <v>17000</v>
      </c>
      <c r="BP5" s="16">
        <v>26500</v>
      </c>
      <c r="BQ5" s="16">
        <v>26500</v>
      </c>
      <c r="BR5" s="16">
        <v>158000</v>
      </c>
      <c r="BS5" s="16">
        <v>56000</v>
      </c>
      <c r="BT5" s="16">
        <v>63500</v>
      </c>
      <c r="BU5" s="16">
        <v>26500</v>
      </c>
      <c r="BV5" s="16">
        <v>30000</v>
      </c>
      <c r="BW5" s="16">
        <v>30000</v>
      </c>
    </row>
    <row r="6" spans="1:75">
      <c r="G6" s="8"/>
      <c r="H6" s="8"/>
      <c r="I6" s="8"/>
      <c r="J6" s="8"/>
      <c r="K6" s="23"/>
      <c r="M6" s="8" t="s">
        <v>271</v>
      </c>
      <c r="N6" s="5" t="s">
        <v>389</v>
      </c>
      <c r="P6" s="5" t="s">
        <v>256</v>
      </c>
      <c r="Q6" s="20" cm="1">
        <f t="array" ref="Q6">IF(RandomMethod="Numbers",S6,IF(RandomMethod="Scenarios",INDEX(Z6:AS6,RandomScenarioNumber),"Error"))</f>
        <v>0.02</v>
      </c>
      <c r="S6" s="20">
        <v>0</v>
      </c>
      <c r="U6" s="1">
        <v>0</v>
      </c>
      <c r="V6" s="1">
        <v>2</v>
      </c>
      <c r="W6" s="42">
        <v>0.01</v>
      </c>
      <c r="X6" s="20">
        <f t="shared" ca="1" si="0"/>
        <v>0</v>
      </c>
      <c r="Z6" s="20">
        <v>0.01</v>
      </c>
      <c r="AA6" s="20">
        <v>0.02</v>
      </c>
      <c r="AB6" s="20">
        <v>0.01</v>
      </c>
      <c r="AC6" s="20">
        <v>0.01</v>
      </c>
      <c r="AD6" s="20">
        <v>0.02</v>
      </c>
      <c r="AE6" s="20">
        <v>0.01</v>
      </c>
      <c r="AF6" s="20">
        <v>0.01</v>
      </c>
      <c r="AG6" s="20">
        <v>0.02</v>
      </c>
      <c r="AH6" s="20">
        <v>0.01</v>
      </c>
      <c r="AI6" s="20">
        <v>0.01</v>
      </c>
      <c r="AJ6" s="20">
        <v>0</v>
      </c>
      <c r="AK6" s="20">
        <v>0.01</v>
      </c>
      <c r="AL6" s="20">
        <v>0</v>
      </c>
      <c r="AM6" s="20">
        <v>0.02</v>
      </c>
      <c r="AN6" s="20">
        <v>0.02</v>
      </c>
      <c r="AO6" s="20">
        <v>0.02</v>
      </c>
      <c r="AP6" s="20">
        <v>0.02</v>
      </c>
      <c r="AQ6" s="20">
        <v>0</v>
      </c>
      <c r="AR6" s="20">
        <v>0</v>
      </c>
      <c r="AS6" s="20">
        <v>0</v>
      </c>
      <c r="AU6" s="5">
        <v>5</v>
      </c>
      <c r="AV6" s="8" t="s">
        <v>271</v>
      </c>
      <c r="AW6" s="5" t="s">
        <v>282</v>
      </c>
      <c r="AX6" s="5" t="s">
        <v>288</v>
      </c>
      <c r="AY6" s="19" cm="1">
        <f t="array" ref="AY6">IF(RandomMethod="Numbers",BA6,IF(RandomMethod="Scenarios",INDEX(BD6:BW6,RandomScenarioNumber),"Error"))</f>
        <v>0.97599999999999998</v>
      </c>
      <c r="BA6" s="20" cm="1">
        <f t="array" aca="1" ref="BA6" ca="1">INDIRECT("'"&amp;AV6&amp;"'!"&amp;AW6)</f>
        <v>0</v>
      </c>
      <c r="BB6" s="24" cm="1">
        <f t="array" aca="1" ref="BB6" ca="1">IF(CheckAnswer(BA6,AY6,AV6,AW6)=TRUE,1,0)</f>
        <v>0</v>
      </c>
      <c r="BD6" s="20">
        <v>0.86481481481481481</v>
      </c>
      <c r="BE6" s="20">
        <v>0.75740740740740742</v>
      </c>
      <c r="BF6" s="20">
        <v>1.6113636363636363</v>
      </c>
      <c r="BG6" s="20">
        <v>0.85</v>
      </c>
      <c r="BH6" s="20">
        <v>0.97599999999999998</v>
      </c>
      <c r="BI6" s="20">
        <v>0.89807692307692311</v>
      </c>
      <c r="BJ6" s="20">
        <v>0.95199999999999996</v>
      </c>
      <c r="BK6" s="20">
        <v>1.2749999999999999</v>
      </c>
      <c r="BL6" s="20">
        <v>1.0166666666666666</v>
      </c>
      <c r="BM6" s="20">
        <v>1.6113636363636363</v>
      </c>
      <c r="BN6" s="20">
        <v>1.16875</v>
      </c>
      <c r="BO6" s="20">
        <v>0.81799999999999995</v>
      </c>
      <c r="BP6" s="20">
        <v>0.97291666666666665</v>
      </c>
      <c r="BQ6" s="20">
        <v>1.0152173913043478</v>
      </c>
      <c r="BR6" s="20">
        <v>1.3461538461538463</v>
      </c>
      <c r="BS6" s="20">
        <v>1.038888888888889</v>
      </c>
      <c r="BT6" s="20">
        <v>1.302</v>
      </c>
      <c r="BU6" s="20">
        <v>0.86481481481481481</v>
      </c>
      <c r="BV6" s="20">
        <v>1.0347826086956522</v>
      </c>
      <c r="BW6" s="20">
        <v>0.91538461538461535</v>
      </c>
    </row>
    <row r="7" spans="1:75">
      <c r="B7" s="7" t="s">
        <v>75</v>
      </c>
      <c r="D7" s="7" t="s">
        <v>4</v>
      </c>
      <c r="G7" s="8"/>
      <c r="H7" s="8"/>
      <c r="I7" s="8"/>
      <c r="J7" s="8"/>
      <c r="K7" s="23"/>
      <c r="M7" s="8" t="s">
        <v>272</v>
      </c>
      <c r="N7" s="5" t="s">
        <v>387</v>
      </c>
      <c r="P7" s="5" t="s">
        <v>257</v>
      </c>
      <c r="Q7" s="20" cm="1">
        <f t="array" ref="Q7">IF(RandomMethod="Numbers",S7,IF(RandomMethod="Scenarios",INDEX(Z7:AS7,RandomScenarioNumber),"Error"))</f>
        <v>0.06</v>
      </c>
      <c r="S7" s="20">
        <v>0.05</v>
      </c>
      <c r="U7" s="1">
        <v>3</v>
      </c>
      <c r="V7" s="1">
        <v>6</v>
      </c>
      <c r="W7" s="42">
        <v>0.01</v>
      </c>
      <c r="X7" s="20">
        <f t="shared" ca="1" si="0"/>
        <v>0.03</v>
      </c>
      <c r="Z7" s="20">
        <v>0.04</v>
      </c>
      <c r="AA7" s="20">
        <v>0.05</v>
      </c>
      <c r="AB7" s="20">
        <v>0.05</v>
      </c>
      <c r="AC7" s="20">
        <v>0.04</v>
      </c>
      <c r="AD7" s="20">
        <v>0.06</v>
      </c>
      <c r="AE7" s="20">
        <v>0.06</v>
      </c>
      <c r="AF7" s="20">
        <v>0.05</v>
      </c>
      <c r="AG7" s="20">
        <v>0.06</v>
      </c>
      <c r="AH7" s="20">
        <v>0.03</v>
      </c>
      <c r="AI7" s="20">
        <v>0.04</v>
      </c>
      <c r="AJ7" s="20">
        <v>0.04</v>
      </c>
      <c r="AK7" s="20">
        <v>0.06</v>
      </c>
      <c r="AL7" s="20">
        <v>0.03</v>
      </c>
      <c r="AM7" s="20">
        <v>0.03</v>
      </c>
      <c r="AN7" s="20">
        <v>0.03</v>
      </c>
      <c r="AO7" s="20">
        <v>0.05</v>
      </c>
      <c r="AP7" s="20">
        <v>0.03</v>
      </c>
      <c r="AQ7" s="20">
        <v>0.06</v>
      </c>
      <c r="AR7" s="20">
        <v>0.05</v>
      </c>
      <c r="AS7" s="20">
        <v>0.05</v>
      </c>
      <c r="AU7" s="5">
        <v>6</v>
      </c>
      <c r="AV7" s="8" t="s">
        <v>271</v>
      </c>
      <c r="AW7" s="5" t="s">
        <v>283</v>
      </c>
      <c r="AX7" s="5" t="s">
        <v>289</v>
      </c>
      <c r="AY7" s="19" cm="1">
        <f t="array" ref="AY7">IF(RandomMethod="Numbers",BA7,IF(RandomMethod="Scenarios",INDEX(BD7:BW7,RandomScenarioNumber),"Error"))</f>
        <v>0.18</v>
      </c>
      <c r="BA7" s="20" cm="1">
        <f t="array" aca="1" ref="BA7" ca="1">INDIRECT("'"&amp;AV7&amp;"'!"&amp;AW7)</f>
        <v>0</v>
      </c>
      <c r="BB7" s="24" cm="1">
        <f t="array" aca="1" ref="BB7" ca="1">IF(CheckAnswer(BA7,AY7,AV7,AW7)=TRUE,1,0)</f>
        <v>0</v>
      </c>
      <c r="BD7" s="20">
        <v>0.16</v>
      </c>
      <c r="BE7" s="20">
        <v>0.11</v>
      </c>
      <c r="BF7" s="20">
        <v>0.37</v>
      </c>
      <c r="BG7" s="20">
        <v>0.16</v>
      </c>
      <c r="BH7" s="20">
        <v>0.18</v>
      </c>
      <c r="BI7" s="20">
        <v>0.16</v>
      </c>
      <c r="BJ7" s="20">
        <v>0.17</v>
      </c>
      <c r="BK7" s="20">
        <v>0.33</v>
      </c>
      <c r="BL7" s="20">
        <v>0.28000000000000003</v>
      </c>
      <c r="BM7" s="20">
        <v>0.32</v>
      </c>
      <c r="BN7" s="20">
        <v>0.3</v>
      </c>
      <c r="BO7" s="20">
        <v>0.18</v>
      </c>
      <c r="BP7" s="20">
        <v>0.2</v>
      </c>
      <c r="BQ7" s="20">
        <v>0.23</v>
      </c>
      <c r="BR7" s="20">
        <v>0.36</v>
      </c>
      <c r="BS7" s="20">
        <v>0.28999999999999998</v>
      </c>
      <c r="BT7" s="20">
        <v>0.36</v>
      </c>
      <c r="BU7" s="20">
        <v>0.17</v>
      </c>
      <c r="BV7" s="20">
        <v>0.3</v>
      </c>
      <c r="BW7" s="20">
        <v>0.12</v>
      </c>
    </row>
    <row r="8" spans="1:75">
      <c r="B8" s="5">
        <v>5</v>
      </c>
      <c r="D8" s="5" t="b">
        <v>0</v>
      </c>
      <c r="M8" s="8" t="s">
        <v>272</v>
      </c>
      <c r="N8" s="5" t="s">
        <v>389</v>
      </c>
      <c r="P8" s="5" t="s">
        <v>258</v>
      </c>
      <c r="Q8" s="20" cm="1">
        <f t="array" ref="Q8">IF(RandomMethod="Numbers",S8,IF(RandomMethod="Scenarios",INDEX(Z8:AS8,RandomScenarioNumber),"Error"))</f>
        <v>0.09</v>
      </c>
      <c r="R8" s="9"/>
      <c r="S8" s="20">
        <v>0.08</v>
      </c>
      <c r="T8" s="9"/>
      <c r="U8" s="1">
        <v>7</v>
      </c>
      <c r="V8" s="1">
        <v>10</v>
      </c>
      <c r="W8" s="42">
        <v>0.01</v>
      </c>
      <c r="X8" s="20">
        <f t="shared" ca="1" si="0"/>
        <v>0.08</v>
      </c>
      <c r="Z8" s="20">
        <v>7.0000000000000007E-2</v>
      </c>
      <c r="AA8" s="20">
        <v>0.09</v>
      </c>
      <c r="AB8" s="20">
        <v>0.09</v>
      </c>
      <c r="AC8" s="20">
        <v>7.0000000000000007E-2</v>
      </c>
      <c r="AD8" s="20">
        <v>0.09</v>
      </c>
      <c r="AE8" s="20">
        <v>7.0000000000000007E-2</v>
      </c>
      <c r="AF8" s="20">
        <v>0.1</v>
      </c>
      <c r="AG8" s="20">
        <v>0.08</v>
      </c>
      <c r="AH8" s="20">
        <v>0.1</v>
      </c>
      <c r="AI8" s="20">
        <v>0.08</v>
      </c>
      <c r="AJ8" s="20">
        <v>0.09</v>
      </c>
      <c r="AK8" s="20">
        <v>0.08</v>
      </c>
      <c r="AL8" s="20">
        <v>0.09</v>
      </c>
      <c r="AM8" s="20">
        <v>0.08</v>
      </c>
      <c r="AN8" s="20">
        <v>0.1</v>
      </c>
      <c r="AO8" s="20">
        <v>0.1</v>
      </c>
      <c r="AP8" s="20">
        <v>0.1</v>
      </c>
      <c r="AQ8" s="20">
        <v>7.0000000000000007E-2</v>
      </c>
      <c r="AR8" s="20">
        <v>0.1</v>
      </c>
      <c r="AS8" s="20">
        <v>0.08</v>
      </c>
      <c r="AU8" s="5">
        <v>7</v>
      </c>
      <c r="AV8" s="8" t="s">
        <v>271</v>
      </c>
      <c r="AW8" s="5" t="s">
        <v>366</v>
      </c>
      <c r="AX8" s="5" t="s">
        <v>368</v>
      </c>
      <c r="AY8" s="19" cm="1">
        <f t="array" ref="AY8">IF(RandomMethod="Numbers",BA8,IF(RandomMethod="Scenarios",INDEX(BD8:BW8,RandomScenarioNumber),"Error"))</f>
        <v>0</v>
      </c>
      <c r="BA8" s="16" cm="1">
        <f t="array" aca="1" ref="BA8" ca="1">INDIRECT("'"&amp;AV8&amp;"'!"&amp;AW8)</f>
        <v>0</v>
      </c>
      <c r="BB8" s="24" cm="1">
        <f t="array" aca="1" ref="BB8" ca="1">IF(CheckAnswer(BA8,AY8,AV8,AW8)=TRUE,1,0)</f>
        <v>0</v>
      </c>
      <c r="BD8" s="16">
        <v>0</v>
      </c>
      <c r="BE8" s="16">
        <v>0</v>
      </c>
      <c r="BF8" s="16">
        <v>6000</v>
      </c>
      <c r="BG8" s="16">
        <v>0</v>
      </c>
      <c r="BH8" s="16">
        <v>0</v>
      </c>
      <c r="BI8" s="16">
        <v>0</v>
      </c>
      <c r="BJ8" s="16">
        <v>0</v>
      </c>
      <c r="BK8" s="16">
        <v>2500</v>
      </c>
      <c r="BL8" s="16">
        <v>1000</v>
      </c>
      <c r="BM8" s="16">
        <v>5000</v>
      </c>
      <c r="BN8" s="16">
        <v>500</v>
      </c>
      <c r="BO8" s="16">
        <v>0</v>
      </c>
      <c r="BP8" s="16">
        <v>0</v>
      </c>
      <c r="BQ8" s="16">
        <v>1000</v>
      </c>
      <c r="BR8" s="16">
        <v>3500</v>
      </c>
      <c r="BS8" s="16">
        <v>1500</v>
      </c>
      <c r="BT8" s="16">
        <v>2000</v>
      </c>
      <c r="BU8" s="16">
        <v>0</v>
      </c>
      <c r="BV8" s="16">
        <v>500</v>
      </c>
      <c r="BW8" s="16">
        <v>0</v>
      </c>
    </row>
    <row r="9" spans="1:75">
      <c r="M9" s="5" t="s">
        <v>273</v>
      </c>
      <c r="N9" s="5" t="s">
        <v>387</v>
      </c>
      <c r="P9" s="5" t="s">
        <v>259</v>
      </c>
      <c r="Q9" s="20" cm="1">
        <f t="array" ref="Q9">IF(RandomMethod="Numbers",S9,IF(RandomMethod="Scenarios",INDEX(Z9:AS9,RandomScenarioNumber),"Error"))</f>
        <v>0.12</v>
      </c>
      <c r="S9" s="20">
        <v>0.12</v>
      </c>
      <c r="U9" s="1">
        <v>11</v>
      </c>
      <c r="V9" s="1">
        <v>15</v>
      </c>
      <c r="W9" s="42">
        <v>0.01</v>
      </c>
      <c r="X9" s="20">
        <f t="shared" ca="1" si="0"/>
        <v>0.13</v>
      </c>
      <c r="Z9" s="20">
        <v>0.14000000000000001</v>
      </c>
      <c r="AA9" s="20">
        <v>0.12</v>
      </c>
      <c r="AB9" s="20">
        <v>0.13</v>
      </c>
      <c r="AC9" s="20">
        <v>0.15</v>
      </c>
      <c r="AD9" s="20">
        <v>0.12</v>
      </c>
      <c r="AE9" s="20">
        <v>0.15</v>
      </c>
      <c r="AF9" s="20">
        <v>0.12</v>
      </c>
      <c r="AG9" s="20">
        <v>0.11</v>
      </c>
      <c r="AH9" s="20">
        <v>0.14000000000000001</v>
      </c>
      <c r="AI9" s="20">
        <v>0.14000000000000001</v>
      </c>
      <c r="AJ9" s="20">
        <v>0.12</v>
      </c>
      <c r="AK9" s="20">
        <v>0.13</v>
      </c>
      <c r="AL9" s="20">
        <v>0.14000000000000001</v>
      </c>
      <c r="AM9" s="20">
        <v>0.12</v>
      </c>
      <c r="AN9" s="20">
        <v>0.13</v>
      </c>
      <c r="AO9" s="20">
        <v>0.14000000000000001</v>
      </c>
      <c r="AP9" s="20">
        <v>0.15</v>
      </c>
      <c r="AQ9" s="20">
        <v>0.11</v>
      </c>
      <c r="AR9" s="20">
        <v>0.11</v>
      </c>
      <c r="AS9" s="20">
        <v>0.12</v>
      </c>
      <c r="AU9" s="5">
        <v>8</v>
      </c>
      <c r="AV9" s="8" t="s">
        <v>271</v>
      </c>
      <c r="AW9" s="5" t="s">
        <v>367</v>
      </c>
      <c r="AX9" s="5" t="s">
        <v>369</v>
      </c>
      <c r="AY9" s="19" cm="1">
        <f t="array" ref="AY9">IF(RandomMethod="Numbers",BA9,IF(RandomMethod="Scenarios",INDEX(BD9:BW9,RandomScenarioNumber),"Error"))</f>
        <v>0.12</v>
      </c>
      <c r="BA9" s="20" cm="1">
        <f t="array" aca="1" ref="BA9" ca="1">INDIRECT("'"&amp;AV9&amp;"'!"&amp;AW9)</f>
        <v>0</v>
      </c>
      <c r="BB9" s="24" cm="1">
        <f t="array" aca="1" ref="BB9" ca="1">IF(CheckAnswer(BA9,AY9,AV9,AW9)=TRUE,1,0)</f>
        <v>0</v>
      </c>
      <c r="BD9" s="20">
        <v>0.14000000000000001</v>
      </c>
      <c r="BE9" s="20">
        <v>0.2</v>
      </c>
      <c r="BF9" s="20">
        <v>0.09</v>
      </c>
      <c r="BG9" s="20">
        <v>0.04</v>
      </c>
      <c r="BH9" s="20">
        <v>0.12</v>
      </c>
      <c r="BI9" s="20">
        <v>0.15</v>
      </c>
      <c r="BJ9" s="20">
        <v>0.05</v>
      </c>
      <c r="BK9" s="20">
        <v>0.06</v>
      </c>
      <c r="BL9" s="20">
        <v>0.14000000000000001</v>
      </c>
      <c r="BM9" s="20">
        <v>0.08</v>
      </c>
      <c r="BN9" s="20">
        <v>0.04</v>
      </c>
      <c r="BO9" s="20">
        <v>0.16</v>
      </c>
      <c r="BP9" s="20">
        <v>0.14000000000000001</v>
      </c>
      <c r="BQ9" s="20">
        <v>0.12</v>
      </c>
      <c r="BR9" s="20">
        <v>0.1</v>
      </c>
      <c r="BS9" s="20">
        <v>0.05</v>
      </c>
      <c r="BT9" s="20">
        <v>0.1</v>
      </c>
      <c r="BU9" s="20">
        <v>0.11</v>
      </c>
      <c r="BV9" s="20">
        <v>0.05</v>
      </c>
      <c r="BW9" s="20">
        <v>0.05</v>
      </c>
    </row>
    <row r="10" spans="1:75">
      <c r="B10" s="7" t="s">
        <v>76</v>
      </c>
      <c r="D10" s="7" t="s">
        <v>3</v>
      </c>
      <c r="M10" s="5" t="s">
        <v>273</v>
      </c>
      <c r="N10" s="5" t="s">
        <v>388</v>
      </c>
      <c r="P10" s="5" t="s">
        <v>260</v>
      </c>
      <c r="Q10" s="20" cm="1">
        <f t="array" ref="Q10">IF(RandomMethod="Numbers",S10,IF(RandomMethod="Scenarios",INDEX(Z10:AS10,RandomScenarioNumber),"Error"))</f>
        <v>0.19</v>
      </c>
      <c r="S10" s="20">
        <v>0.17</v>
      </c>
      <c r="U10" s="1">
        <v>16</v>
      </c>
      <c r="V10" s="1">
        <v>20</v>
      </c>
      <c r="W10" s="42">
        <v>0.01</v>
      </c>
      <c r="X10" s="20">
        <f t="shared" ca="1" si="0"/>
        <v>0.19</v>
      </c>
      <c r="Z10" s="20">
        <v>0.17</v>
      </c>
      <c r="AA10" s="20">
        <v>0.2</v>
      </c>
      <c r="AB10" s="20">
        <v>0.18</v>
      </c>
      <c r="AC10" s="20">
        <v>0.17</v>
      </c>
      <c r="AD10" s="20">
        <v>0.19</v>
      </c>
      <c r="AE10" s="20">
        <v>0.18</v>
      </c>
      <c r="AF10" s="20">
        <v>0.2</v>
      </c>
      <c r="AG10" s="20">
        <v>0.18</v>
      </c>
      <c r="AH10" s="20">
        <v>0.17</v>
      </c>
      <c r="AI10" s="20">
        <v>0.17</v>
      </c>
      <c r="AJ10" s="20">
        <v>0.18</v>
      </c>
      <c r="AK10" s="20">
        <v>0.16</v>
      </c>
      <c r="AL10" s="20">
        <v>0.2</v>
      </c>
      <c r="AM10" s="20">
        <v>0.18</v>
      </c>
      <c r="AN10" s="20">
        <v>0.2</v>
      </c>
      <c r="AO10" s="20">
        <v>0.2</v>
      </c>
      <c r="AP10" s="20">
        <v>0.16</v>
      </c>
      <c r="AQ10" s="20">
        <v>0.2</v>
      </c>
      <c r="AR10" s="20">
        <v>0.16</v>
      </c>
      <c r="AS10" s="20">
        <v>0.17</v>
      </c>
      <c r="AU10" s="5">
        <v>9</v>
      </c>
      <c r="AV10" s="8" t="s">
        <v>271</v>
      </c>
      <c r="AW10" s="5" t="s">
        <v>370</v>
      </c>
      <c r="AX10" s="5" t="s">
        <v>371</v>
      </c>
      <c r="AY10" s="19" cm="1">
        <f t="array" ref="AY10">IF(RandomMethod="Numbers",BA10,IF(RandomMethod="Scenarios",INDEX(BD10:BW10,RandomScenarioNumber),"Error"))</f>
        <v>1000</v>
      </c>
      <c r="BA10" s="16" cm="1">
        <f t="array" aca="1" ref="BA10" ca="1">INDIRECT("'"&amp;AV10&amp;"'!"&amp;AW10)</f>
        <v>0</v>
      </c>
      <c r="BB10" s="24" cm="1">
        <f t="array" aca="1" ref="BB10" ca="1">IF(CheckAnswer(BA10,AY10,AV10,AW10)=TRUE,1,0)</f>
        <v>0</v>
      </c>
      <c r="BD10" s="16">
        <v>1000</v>
      </c>
      <c r="BE10" s="16">
        <v>2000</v>
      </c>
      <c r="BF10" s="16">
        <v>0</v>
      </c>
      <c r="BG10" s="16">
        <v>0</v>
      </c>
      <c r="BH10" s="16">
        <v>1000</v>
      </c>
      <c r="BI10" s="16">
        <v>1500</v>
      </c>
      <c r="BJ10" s="16">
        <v>0</v>
      </c>
      <c r="BK10" s="16">
        <v>0</v>
      </c>
      <c r="BL10" s="16">
        <v>1500</v>
      </c>
      <c r="BM10" s="16">
        <v>0</v>
      </c>
      <c r="BN10" s="16">
        <v>0</v>
      </c>
      <c r="BO10" s="16">
        <v>2500</v>
      </c>
      <c r="BP10" s="16">
        <v>500</v>
      </c>
      <c r="BQ10" s="16">
        <v>1000</v>
      </c>
      <c r="BR10" s="16">
        <v>0</v>
      </c>
      <c r="BS10" s="16">
        <v>0</v>
      </c>
      <c r="BT10" s="16">
        <v>0</v>
      </c>
      <c r="BU10" s="16">
        <v>1500</v>
      </c>
      <c r="BV10" s="16">
        <v>0</v>
      </c>
      <c r="BW10" s="16">
        <v>0</v>
      </c>
    </row>
    <row r="11" spans="1:75">
      <c r="B11" s="5">
        <v>20</v>
      </c>
      <c r="D11" s="5">
        <f>ROUND((endTime-startTime)*3600*24,0)+60*activateCount</f>
        <v>0</v>
      </c>
      <c r="P11" s="5" t="s">
        <v>261</v>
      </c>
      <c r="Q11" s="2" cm="1">
        <f t="array" ref="Q11">IF(RandomMethod="Numbers",S11,IF(RandomMethod="Scenarios",INDEX(Z11:AS11,RandomScenarioNumber),"Error"))</f>
        <v>0</v>
      </c>
      <c r="R11" s="9"/>
      <c r="S11" s="2">
        <v>0</v>
      </c>
      <c r="T11" s="9"/>
      <c r="U11" s="1">
        <v>0</v>
      </c>
      <c r="V11" s="1">
        <v>0</v>
      </c>
      <c r="W11" s="1">
        <v>500</v>
      </c>
      <c r="X11" s="2">
        <f t="shared" ca="1" si="0"/>
        <v>0</v>
      </c>
      <c r="Z11" s="2">
        <v>0</v>
      </c>
      <c r="AA11" s="2">
        <v>0</v>
      </c>
      <c r="AB11" s="2">
        <v>0</v>
      </c>
      <c r="AC11" s="2">
        <v>0</v>
      </c>
      <c r="AD11" s="2">
        <v>0</v>
      </c>
      <c r="AE11" s="2">
        <v>0</v>
      </c>
      <c r="AF11" s="2">
        <v>0</v>
      </c>
      <c r="AG11" s="2">
        <v>0</v>
      </c>
      <c r="AH11" s="2">
        <v>0</v>
      </c>
      <c r="AI11" s="2">
        <v>0</v>
      </c>
      <c r="AJ11" s="2">
        <v>0</v>
      </c>
      <c r="AK11" s="2">
        <v>0</v>
      </c>
      <c r="AL11" s="2">
        <v>0</v>
      </c>
      <c r="AM11" s="2">
        <v>0</v>
      </c>
      <c r="AN11" s="2">
        <v>0</v>
      </c>
      <c r="AO11" s="2">
        <v>0</v>
      </c>
      <c r="AP11" s="2">
        <v>0</v>
      </c>
      <c r="AQ11" s="2">
        <v>0</v>
      </c>
      <c r="AR11" s="2">
        <v>0</v>
      </c>
      <c r="AS11" s="2">
        <v>0</v>
      </c>
      <c r="AU11" s="5">
        <v>10</v>
      </c>
      <c r="AV11" s="8" t="s">
        <v>271</v>
      </c>
      <c r="AW11" s="5" t="s">
        <v>372</v>
      </c>
      <c r="AX11" s="5" t="s">
        <v>373</v>
      </c>
      <c r="AY11" s="19" cm="1">
        <f t="array" ref="AY11">IF(RandomMethod="Numbers",BA11,IF(RandomMethod="Scenarios",INDEX(BD11:BW11,RandomScenarioNumber),"Error"))</f>
        <v>0.09</v>
      </c>
      <c r="BA11" s="20" cm="1">
        <f t="array" aca="1" ref="BA11" ca="1">INDIRECT("'"&amp;AV11&amp;"'!"&amp;AW11)</f>
        <v>0</v>
      </c>
      <c r="BB11" s="24" cm="1">
        <f t="array" aca="1" ref="BB11" ca="1">IF(CheckAnswer(BA11,AY11,AV11,AW11)=TRUE,1,0)</f>
        <v>0</v>
      </c>
      <c r="BD11" s="20">
        <v>0.12</v>
      </c>
      <c r="BE11" s="20">
        <v>0.12</v>
      </c>
      <c r="BF11" s="20">
        <v>0.11</v>
      </c>
      <c r="BG11" s="20">
        <v>0.11</v>
      </c>
      <c r="BH11" s="20">
        <v>0.09</v>
      </c>
      <c r="BI11" s="20">
        <v>0.11</v>
      </c>
      <c r="BJ11" s="20">
        <v>0.09</v>
      </c>
      <c r="BK11" s="20">
        <v>0.11</v>
      </c>
      <c r="BL11" s="20">
        <v>0.08</v>
      </c>
      <c r="BM11" s="20">
        <v>0.1</v>
      </c>
      <c r="BN11" s="20">
        <v>0.12</v>
      </c>
      <c r="BO11" s="20">
        <v>0.09</v>
      </c>
      <c r="BP11" s="20">
        <v>0.12</v>
      </c>
      <c r="BQ11" s="20">
        <v>0.09</v>
      </c>
      <c r="BR11" s="20">
        <v>0.11</v>
      </c>
      <c r="BS11" s="20">
        <v>0.08</v>
      </c>
      <c r="BT11" s="20">
        <v>0.09</v>
      </c>
      <c r="BU11" s="20">
        <v>0.09</v>
      </c>
      <c r="BV11" s="20">
        <v>0.11</v>
      </c>
      <c r="BW11" s="20">
        <v>0.12</v>
      </c>
    </row>
    <row r="12" spans="1:75">
      <c r="P12" s="5" t="s">
        <v>262</v>
      </c>
      <c r="Q12" s="2" cm="1">
        <f t="array" ref="Q12">IF(RandomMethod="Numbers",S12,IF(RandomMethod="Scenarios",INDEX(Z12:AS12,RandomScenarioNumber),"Error"))</f>
        <v>1000</v>
      </c>
      <c r="S12" s="2">
        <v>1000</v>
      </c>
      <c r="U12" s="1">
        <v>1</v>
      </c>
      <c r="V12" s="1">
        <v>3</v>
      </c>
      <c r="W12" s="1">
        <v>500</v>
      </c>
      <c r="X12" s="2">
        <f t="shared" ca="1" si="0"/>
        <v>500</v>
      </c>
      <c r="Z12" s="2">
        <v>500</v>
      </c>
      <c r="AA12" s="2">
        <v>1000</v>
      </c>
      <c r="AB12" s="2">
        <v>1500</v>
      </c>
      <c r="AC12" s="2">
        <v>1500</v>
      </c>
      <c r="AD12" s="2">
        <v>1000</v>
      </c>
      <c r="AE12" s="2">
        <v>1500</v>
      </c>
      <c r="AF12" s="2">
        <v>1500</v>
      </c>
      <c r="AG12" s="2">
        <v>1000</v>
      </c>
      <c r="AH12" s="2">
        <v>1000</v>
      </c>
      <c r="AI12" s="2">
        <v>500</v>
      </c>
      <c r="AJ12" s="2">
        <v>500</v>
      </c>
      <c r="AK12" s="2">
        <v>500</v>
      </c>
      <c r="AL12" s="2">
        <v>500</v>
      </c>
      <c r="AM12" s="2">
        <v>1000</v>
      </c>
      <c r="AN12" s="2">
        <v>1000</v>
      </c>
      <c r="AO12" s="2">
        <v>1500</v>
      </c>
      <c r="AP12" s="2">
        <v>500</v>
      </c>
      <c r="AQ12" s="2">
        <v>1500</v>
      </c>
      <c r="AR12" s="2">
        <v>500</v>
      </c>
      <c r="AS12" s="2">
        <v>1000</v>
      </c>
      <c r="AU12" s="5">
        <v>11</v>
      </c>
      <c r="AV12" s="8" t="s">
        <v>271</v>
      </c>
      <c r="AW12" s="5" t="s">
        <v>374</v>
      </c>
      <c r="AX12" s="5" t="s">
        <v>375</v>
      </c>
      <c r="AY12" s="19" cm="1">
        <f t="array" ref="AY12">IF(RandomMethod="Numbers",BA12,IF(RandomMethod="Scenarios",INDEX(BD12:BW12,RandomScenarioNumber),"Error"))</f>
        <v>52480</v>
      </c>
      <c r="BA12" s="16" cm="1">
        <f t="array" aca="1" ref="BA12" ca="1">INDIRECT("'"&amp;AV12&amp;"'!"&amp;AW12)</f>
        <v>0</v>
      </c>
      <c r="BB12" s="24" cm="1">
        <f t="array" aca="1" ref="BB12" ca="1">IF(CheckAnswer(BA12,AY12,AV12,AW12)=TRUE,1,0)</f>
        <v>0</v>
      </c>
      <c r="BD12" s="16">
        <v>43710</v>
      </c>
      <c r="BE12" s="16">
        <v>30275</v>
      </c>
      <c r="BF12" s="16">
        <v>149720</v>
      </c>
      <c r="BG12" s="16">
        <v>41428</v>
      </c>
      <c r="BH12" s="16">
        <v>52480</v>
      </c>
      <c r="BI12" s="16">
        <v>44100</v>
      </c>
      <c r="BJ12" s="16">
        <v>43220</v>
      </c>
      <c r="BK12" s="16">
        <v>101513</v>
      </c>
      <c r="BL12" s="16">
        <v>77890</v>
      </c>
      <c r="BM12" s="16">
        <v>129840</v>
      </c>
      <c r="BN12" s="16">
        <v>91562</v>
      </c>
      <c r="BO12" s="16">
        <v>43832</v>
      </c>
      <c r="BP12" s="16">
        <v>52550</v>
      </c>
      <c r="BQ12" s="16">
        <v>59950</v>
      </c>
      <c r="BR12" s="16">
        <v>147920</v>
      </c>
      <c r="BS12" s="16">
        <v>87565</v>
      </c>
      <c r="BT12" s="16">
        <v>125625</v>
      </c>
      <c r="BU12" s="16">
        <v>45285</v>
      </c>
      <c r="BV12" s="16">
        <v>75260</v>
      </c>
      <c r="BW12" s="16">
        <v>32220</v>
      </c>
    </row>
    <row r="13" spans="1:75">
      <c r="B13" s="7" t="s">
        <v>77</v>
      </c>
      <c r="D13" s="7" t="s">
        <v>21</v>
      </c>
      <c r="P13" s="5" t="s">
        <v>263</v>
      </c>
      <c r="Q13" s="2" cm="1">
        <f t="array" ref="Q13">IF(RandomMethod="Numbers",S13,IF(RandomMethod="Scenarios",INDEX(Z13:AS13,RandomScenarioNumber),"Error"))</f>
        <v>3500</v>
      </c>
      <c r="S13" s="2">
        <v>3000</v>
      </c>
      <c r="U13" s="1">
        <v>4</v>
      </c>
      <c r="V13" s="1">
        <v>7</v>
      </c>
      <c r="W13" s="1">
        <v>500</v>
      </c>
      <c r="X13" s="2">
        <f t="shared" ca="1" si="0"/>
        <v>2000</v>
      </c>
      <c r="Z13" s="2">
        <v>3500</v>
      </c>
      <c r="AA13" s="2">
        <v>2000</v>
      </c>
      <c r="AB13" s="2">
        <v>3000</v>
      </c>
      <c r="AC13" s="2">
        <v>2000</v>
      </c>
      <c r="AD13" s="2">
        <v>3500</v>
      </c>
      <c r="AE13" s="2">
        <v>2500</v>
      </c>
      <c r="AF13" s="2">
        <v>2000</v>
      </c>
      <c r="AG13" s="2">
        <v>2500</v>
      </c>
      <c r="AH13" s="2">
        <v>3000</v>
      </c>
      <c r="AI13" s="2">
        <v>2500</v>
      </c>
      <c r="AJ13" s="2">
        <v>2000</v>
      </c>
      <c r="AK13" s="2">
        <v>2000</v>
      </c>
      <c r="AL13" s="2">
        <v>2000</v>
      </c>
      <c r="AM13" s="2">
        <v>2500</v>
      </c>
      <c r="AN13" s="2">
        <v>3500</v>
      </c>
      <c r="AO13" s="2">
        <v>2000</v>
      </c>
      <c r="AP13" s="2">
        <v>2000</v>
      </c>
      <c r="AQ13" s="2">
        <v>2500</v>
      </c>
      <c r="AR13" s="2">
        <v>2000</v>
      </c>
      <c r="AS13" s="2">
        <v>3000</v>
      </c>
      <c r="AU13" s="5">
        <v>12</v>
      </c>
      <c r="AV13" s="8" t="s">
        <v>271</v>
      </c>
      <c r="AW13" s="5" t="s">
        <v>376</v>
      </c>
      <c r="AX13" s="5" t="s">
        <v>377</v>
      </c>
      <c r="AY13" s="19" cm="1">
        <f t="array" ref="AY13">IF(RandomMethod="Numbers",BA13,IF(RandomMethod="Scenarios",INDEX(BD13:BW13,RandomScenarioNumber),"Error"))</f>
        <v>0.20620825147347741</v>
      </c>
      <c r="BA13" s="17" cm="1">
        <f t="array" aca="1" ref="BA13" ca="1">INDIRECT("'"&amp;AV13&amp;"'!"&amp;AW13)</f>
        <v>0</v>
      </c>
      <c r="BB13" s="24" cm="1">
        <f t="array" aca="1" ref="BB13" ca="1">IF(CheckAnswer(BA13,AY13,AV13,AW13)=TRUE,1,0)</f>
        <v>0</v>
      </c>
      <c r="BD13" s="17">
        <v>0.1755421686746988</v>
      </c>
      <c r="BE13" s="17">
        <v>0.13564068100358423</v>
      </c>
      <c r="BF13" s="17">
        <v>0.41359116022099446</v>
      </c>
      <c r="BG13" s="17">
        <v>0.17319397993311036</v>
      </c>
      <c r="BH13" s="17">
        <v>0.20620825147347741</v>
      </c>
      <c r="BI13" s="17">
        <v>0.17710843373493976</v>
      </c>
      <c r="BJ13" s="17">
        <v>0.180685618729097</v>
      </c>
      <c r="BK13" s="17">
        <v>0.35581142656852438</v>
      </c>
      <c r="BL13" s="17">
        <v>0.30605108055009822</v>
      </c>
      <c r="BM13" s="17">
        <v>0.35867403314917129</v>
      </c>
      <c r="BN13" s="17">
        <v>0.32093235191026986</v>
      </c>
      <c r="BO13" s="17">
        <v>0.19637992831541218</v>
      </c>
      <c r="BP13" s="17">
        <v>0.21104417670682732</v>
      </c>
      <c r="BQ13" s="17">
        <v>0.24076305220883534</v>
      </c>
      <c r="BR13" s="17">
        <v>0.4104328523862375</v>
      </c>
      <c r="BS13" s="17">
        <v>0.30692253767963545</v>
      </c>
      <c r="BT13" s="17">
        <v>0.37747896634615385</v>
      </c>
      <c r="BU13" s="17">
        <v>0.18186746987951807</v>
      </c>
      <c r="BV13" s="17">
        <v>0.31463210702341138</v>
      </c>
      <c r="BW13" s="17">
        <v>0.1346989966555184</v>
      </c>
    </row>
    <row r="14" spans="1:75">
      <c r="B14" s="5" t="s">
        <v>401</v>
      </c>
      <c r="D14" s="5" t="b">
        <f ca="1">IF(PRODUCT(BB2:BB34)=1,TRUE,FALSE)</f>
        <v>0</v>
      </c>
      <c r="P14" s="5" t="s">
        <v>264</v>
      </c>
      <c r="Q14" s="2" cm="1">
        <f t="array" ref="Q14">IF(RandomMethod="Numbers",S14,IF(RandomMethod="Scenarios",INDEX(Z14:AS14,RandomScenarioNumber),"Error"))</f>
        <v>6000</v>
      </c>
      <c r="S14" s="2">
        <v>5500</v>
      </c>
      <c r="U14" s="1">
        <v>8</v>
      </c>
      <c r="V14" s="1">
        <v>12</v>
      </c>
      <c r="W14" s="1">
        <v>500</v>
      </c>
      <c r="X14" s="2">
        <f t="shared" ca="1" si="0"/>
        <v>4000</v>
      </c>
      <c r="Z14" s="2">
        <v>6000</v>
      </c>
      <c r="AA14" s="2">
        <v>5000</v>
      </c>
      <c r="AB14" s="2">
        <v>6000</v>
      </c>
      <c r="AC14" s="2">
        <v>6000</v>
      </c>
      <c r="AD14" s="2">
        <v>6000</v>
      </c>
      <c r="AE14" s="2">
        <v>4000</v>
      </c>
      <c r="AF14" s="2">
        <v>6000</v>
      </c>
      <c r="AG14" s="2">
        <v>4000</v>
      </c>
      <c r="AH14" s="2">
        <v>5000</v>
      </c>
      <c r="AI14" s="2">
        <v>5000</v>
      </c>
      <c r="AJ14" s="2">
        <v>6000</v>
      </c>
      <c r="AK14" s="2">
        <v>5500</v>
      </c>
      <c r="AL14" s="2">
        <v>5000</v>
      </c>
      <c r="AM14" s="2">
        <v>5000</v>
      </c>
      <c r="AN14" s="2">
        <v>4000</v>
      </c>
      <c r="AO14" s="2">
        <v>6000</v>
      </c>
      <c r="AP14" s="2">
        <v>4000</v>
      </c>
      <c r="AQ14" s="2">
        <v>5500</v>
      </c>
      <c r="AR14" s="2">
        <v>6000</v>
      </c>
      <c r="AS14" s="2">
        <v>5500</v>
      </c>
      <c r="AU14" s="5">
        <v>13</v>
      </c>
      <c r="AV14" s="8" t="s">
        <v>272</v>
      </c>
      <c r="AW14" s="5" t="s">
        <v>278</v>
      </c>
      <c r="AX14" s="5" t="s">
        <v>284</v>
      </c>
      <c r="AY14" s="19" cm="1">
        <f t="array" ref="AY14">IF(RandomMethod="Numbers",BA14,IF(RandomMethod="Scenarios",INDEX(BD14:BW14,RandomScenarioNumber),"Error"))</f>
        <v>81500</v>
      </c>
      <c r="BA14" s="16" cm="1">
        <f t="array" aca="1" ref="BA14" ca="1">INDIRECT("'"&amp;AV14&amp;"'!"&amp;AW14)</f>
        <v>0</v>
      </c>
      <c r="BB14" s="24" cm="1">
        <f t="array" aca="1" ref="BB14" ca="1">IF(CheckAnswer(BA14,AY14,AV14,AW14)=TRUE,1,0)</f>
        <v>0</v>
      </c>
      <c r="BD14" s="16">
        <v>54000</v>
      </c>
      <c r="BE14" s="16">
        <v>72000</v>
      </c>
      <c r="BF14" s="16">
        <v>117500</v>
      </c>
      <c r="BG14" s="16">
        <v>40000</v>
      </c>
      <c r="BH14" s="16">
        <v>81500</v>
      </c>
      <c r="BI14" s="16">
        <v>54000</v>
      </c>
      <c r="BJ14" s="16">
        <v>40000</v>
      </c>
      <c r="BK14" s="16">
        <v>192000</v>
      </c>
      <c r="BL14" s="16">
        <v>81500</v>
      </c>
      <c r="BM14" s="16">
        <v>151000</v>
      </c>
      <c r="BN14" s="16">
        <v>192000</v>
      </c>
      <c r="BO14" s="16">
        <v>119500</v>
      </c>
      <c r="BP14" s="16">
        <v>83000</v>
      </c>
      <c r="BQ14" s="16">
        <v>150500</v>
      </c>
      <c r="BR14" s="16">
        <v>98000</v>
      </c>
      <c r="BS14" s="16">
        <v>150000</v>
      </c>
      <c r="BT14" s="16">
        <v>154500</v>
      </c>
      <c r="BU14" s="16">
        <v>150500</v>
      </c>
      <c r="BV14" s="16">
        <v>40000</v>
      </c>
      <c r="BW14" s="16">
        <v>89500</v>
      </c>
    </row>
    <row r="15" spans="1:75">
      <c r="P15" s="5" t="s">
        <v>265</v>
      </c>
      <c r="Q15" s="2" cm="1">
        <f t="array" ref="Q15">IF(RandomMethod="Numbers",S15,IF(RandomMethod="Scenarios",INDEX(Z15:AS15,RandomScenarioNumber),"Error"))</f>
        <v>0</v>
      </c>
      <c r="S15" s="2">
        <v>0</v>
      </c>
      <c r="U15" s="1">
        <v>0</v>
      </c>
      <c r="V15" s="1">
        <v>0</v>
      </c>
      <c r="W15" s="1">
        <v>500</v>
      </c>
      <c r="X15" s="2">
        <f t="shared" ca="1" si="0"/>
        <v>0</v>
      </c>
      <c r="Z15" s="2">
        <v>0</v>
      </c>
      <c r="AA15" s="2">
        <v>0</v>
      </c>
      <c r="AB15" s="2">
        <v>0</v>
      </c>
      <c r="AC15" s="2">
        <v>0</v>
      </c>
      <c r="AD15" s="2">
        <v>0</v>
      </c>
      <c r="AE15" s="2">
        <v>0</v>
      </c>
      <c r="AF15" s="2">
        <v>0</v>
      </c>
      <c r="AG15" s="2">
        <v>0</v>
      </c>
      <c r="AH15" s="2">
        <v>0</v>
      </c>
      <c r="AI15" s="2">
        <v>0</v>
      </c>
      <c r="AJ15" s="2">
        <v>0</v>
      </c>
      <c r="AK15" s="2">
        <v>0</v>
      </c>
      <c r="AL15" s="2">
        <v>0</v>
      </c>
      <c r="AM15" s="2">
        <v>0</v>
      </c>
      <c r="AN15" s="2">
        <v>0</v>
      </c>
      <c r="AO15" s="2">
        <v>0</v>
      </c>
      <c r="AP15" s="2">
        <v>0</v>
      </c>
      <c r="AQ15" s="2">
        <v>0</v>
      </c>
      <c r="AR15" s="2">
        <v>0</v>
      </c>
      <c r="AS15" s="2">
        <v>0</v>
      </c>
      <c r="AU15" s="5">
        <v>14</v>
      </c>
      <c r="AV15" s="8" t="s">
        <v>272</v>
      </c>
      <c r="AW15" s="5" t="s">
        <v>279</v>
      </c>
      <c r="AX15" s="5" t="s">
        <v>285</v>
      </c>
      <c r="AY15" s="19" cm="1">
        <f t="array" ref="AY15">IF(RandomMethod="Numbers",BA15,IF(RandomMethod="Scenarios",INDEX(BD15:BW15,RandomScenarioNumber),"Error"))</f>
        <v>0.33333333333333331</v>
      </c>
      <c r="BA15" s="20" cm="1">
        <f t="array" aca="1" ref="BA15" ca="1">INDIRECT("'"&amp;AV15&amp;"'!"&amp;AW15)</f>
        <v>0</v>
      </c>
      <c r="BB15" s="24" cm="1">
        <f t="array" aca="1" ref="BB15" ca="1">IF(CheckAnswer(BA15,AY15,AV15,AW15)=TRUE,1,0)</f>
        <v>0</v>
      </c>
      <c r="BD15" s="20">
        <v>0.33333333333333331</v>
      </c>
      <c r="BE15" s="20">
        <v>0.66666666666666663</v>
      </c>
      <c r="BF15" s="20">
        <v>0.25</v>
      </c>
      <c r="BG15" s="20">
        <v>0</v>
      </c>
      <c r="BH15" s="20">
        <v>0.33333333333333331</v>
      </c>
      <c r="BI15" s="20">
        <v>0.33333333333333331</v>
      </c>
      <c r="BJ15" s="20">
        <v>0</v>
      </c>
      <c r="BK15" s="20">
        <v>0.14285714285714285</v>
      </c>
      <c r="BL15" s="20">
        <v>0.33333333333333331</v>
      </c>
      <c r="BM15" s="20">
        <v>0.16666666666666666</v>
      </c>
      <c r="BN15" s="20">
        <v>0.14285714285714285</v>
      </c>
      <c r="BO15" s="20">
        <v>0.6</v>
      </c>
      <c r="BP15" s="20">
        <v>0.6</v>
      </c>
      <c r="BQ15" s="20">
        <v>0.2857142857142857</v>
      </c>
      <c r="BR15" s="20">
        <v>0</v>
      </c>
      <c r="BS15" s="20">
        <v>0.2</v>
      </c>
      <c r="BT15" s="20">
        <v>0.16666666666666666</v>
      </c>
      <c r="BU15" s="20">
        <v>0.2857142857142857</v>
      </c>
      <c r="BV15" s="20">
        <v>0</v>
      </c>
      <c r="BW15" s="20">
        <v>0</v>
      </c>
    </row>
    <row r="16" spans="1:75">
      <c r="B16" s="7" t="s">
        <v>9</v>
      </c>
      <c r="D16" s="7" t="s">
        <v>25</v>
      </c>
      <c r="P16" s="5" t="s">
        <v>266</v>
      </c>
      <c r="Q16" s="2" cm="1">
        <f t="array" ref="Q16">IF(RandomMethod="Numbers",S16,IF(RandomMethod="Scenarios",INDEX(Z16:AS16,RandomScenarioNumber),"Error"))</f>
        <v>1000</v>
      </c>
      <c r="S16" s="2">
        <v>500</v>
      </c>
      <c r="U16" s="1">
        <v>1</v>
      </c>
      <c r="V16" s="1">
        <v>3</v>
      </c>
      <c r="W16" s="1">
        <v>500</v>
      </c>
      <c r="X16" s="2">
        <f t="shared" ca="1" si="0"/>
        <v>500</v>
      </c>
      <c r="Z16" s="2">
        <v>1000</v>
      </c>
      <c r="AA16" s="2">
        <v>500</v>
      </c>
      <c r="AB16" s="2">
        <v>1500</v>
      </c>
      <c r="AC16" s="2">
        <v>500</v>
      </c>
      <c r="AD16" s="2">
        <v>1000</v>
      </c>
      <c r="AE16" s="2">
        <v>1500</v>
      </c>
      <c r="AF16" s="2">
        <v>1500</v>
      </c>
      <c r="AG16" s="2">
        <v>1500</v>
      </c>
      <c r="AH16" s="2">
        <v>1500</v>
      </c>
      <c r="AI16" s="2">
        <v>500</v>
      </c>
      <c r="AJ16" s="2">
        <v>1000</v>
      </c>
      <c r="AK16" s="2">
        <v>500</v>
      </c>
      <c r="AL16" s="2">
        <v>500</v>
      </c>
      <c r="AM16" s="2">
        <v>1000</v>
      </c>
      <c r="AN16" s="2">
        <v>1500</v>
      </c>
      <c r="AO16" s="2">
        <v>1500</v>
      </c>
      <c r="AP16" s="2">
        <v>500</v>
      </c>
      <c r="AQ16" s="2">
        <v>1500</v>
      </c>
      <c r="AR16" s="2">
        <v>1000</v>
      </c>
      <c r="AS16" s="2">
        <v>500</v>
      </c>
      <c r="AU16" s="5">
        <v>15</v>
      </c>
      <c r="AV16" s="8" t="s">
        <v>272</v>
      </c>
      <c r="AW16" s="5" t="s">
        <v>280</v>
      </c>
      <c r="AX16" s="5" t="s">
        <v>286</v>
      </c>
      <c r="AY16" s="19" cm="1">
        <f t="array" ref="AY16">IF(RandomMethod="Numbers",BA16,IF(RandomMethod="Scenarios",INDEX(BD16:BW16,RandomScenarioNumber),"Error"))</f>
        <v>3200</v>
      </c>
      <c r="BA16" s="16" cm="1">
        <f t="array" aca="1" ref="BA16" ca="1">INDIRECT("'"&amp;AV16&amp;"'!"&amp;AW16)</f>
        <v>0</v>
      </c>
      <c r="BB16" s="24" cm="1">
        <f t="array" aca="1" ref="BB16" ca="1">IF(CheckAnswer(BA16,AY16,AV16,AW16)=TRUE,1,0)</f>
        <v>0</v>
      </c>
      <c r="BD16" s="16">
        <v>3700</v>
      </c>
      <c r="BE16" s="16">
        <v>5100</v>
      </c>
      <c r="BF16" s="16">
        <v>2400</v>
      </c>
      <c r="BG16" s="16">
        <v>0</v>
      </c>
      <c r="BH16" s="16">
        <v>3200</v>
      </c>
      <c r="BI16" s="16">
        <v>3700</v>
      </c>
      <c r="BJ16" s="16">
        <v>0</v>
      </c>
      <c r="BK16" s="16">
        <v>3100</v>
      </c>
      <c r="BL16" s="16">
        <v>3200</v>
      </c>
      <c r="BM16" s="16">
        <v>1200</v>
      </c>
      <c r="BN16" s="16">
        <v>3100</v>
      </c>
      <c r="BO16" s="16">
        <v>8800</v>
      </c>
      <c r="BP16" s="16">
        <v>11000</v>
      </c>
      <c r="BQ16" s="16">
        <v>7300</v>
      </c>
      <c r="BR16" s="16">
        <v>0</v>
      </c>
      <c r="BS16" s="16">
        <v>3100</v>
      </c>
      <c r="BT16" s="16">
        <v>2800</v>
      </c>
      <c r="BU16" s="16">
        <v>7300</v>
      </c>
      <c r="BV16" s="16">
        <v>0</v>
      </c>
      <c r="BW16" s="16">
        <v>0</v>
      </c>
    </row>
    <row r="17" spans="2:75">
      <c r="B17" s="5">
        <f>COUNTA(F2:F26)</f>
        <v>3</v>
      </c>
      <c r="D17" s="5">
        <v>6802</v>
      </c>
      <c r="P17" s="5" t="s">
        <v>267</v>
      </c>
      <c r="Q17" s="2" cm="1">
        <f t="array" ref="Q17">IF(RandomMethod="Numbers",S17,IF(RandomMethod="Scenarios",INDEX(Z17:AS17,RandomScenarioNumber),"Error"))</f>
        <v>2500</v>
      </c>
      <c r="S17" s="2">
        <v>2500</v>
      </c>
      <c r="U17" s="1">
        <v>4</v>
      </c>
      <c r="V17" s="1">
        <v>6</v>
      </c>
      <c r="W17" s="1">
        <v>500</v>
      </c>
      <c r="X17" s="2">
        <f t="shared" ca="1" si="0"/>
        <v>3000</v>
      </c>
      <c r="Z17" s="2">
        <v>2000</v>
      </c>
      <c r="AA17" s="2">
        <v>2000</v>
      </c>
      <c r="AB17" s="2">
        <v>2500</v>
      </c>
      <c r="AC17" s="2">
        <v>3000</v>
      </c>
      <c r="AD17" s="2">
        <v>2500</v>
      </c>
      <c r="AE17" s="2">
        <v>2000</v>
      </c>
      <c r="AF17" s="2">
        <v>2000</v>
      </c>
      <c r="AG17" s="2">
        <v>2000</v>
      </c>
      <c r="AH17" s="2">
        <v>3000</v>
      </c>
      <c r="AI17" s="2">
        <v>2500</v>
      </c>
      <c r="AJ17" s="2">
        <v>3000</v>
      </c>
      <c r="AK17" s="2">
        <v>2500</v>
      </c>
      <c r="AL17" s="2">
        <v>3000</v>
      </c>
      <c r="AM17" s="2">
        <v>3000</v>
      </c>
      <c r="AN17" s="2">
        <v>3000</v>
      </c>
      <c r="AO17" s="2">
        <v>3000</v>
      </c>
      <c r="AP17" s="2">
        <v>2500</v>
      </c>
      <c r="AQ17" s="2">
        <v>3000</v>
      </c>
      <c r="AR17" s="2">
        <v>2500</v>
      </c>
      <c r="AS17" s="2">
        <v>2500</v>
      </c>
      <c r="AU17" s="5">
        <v>16</v>
      </c>
      <c r="AV17" s="8" t="s">
        <v>272</v>
      </c>
      <c r="AW17" s="5" t="s">
        <v>281</v>
      </c>
      <c r="AX17" s="5" t="s">
        <v>287</v>
      </c>
      <c r="AY17" s="19" cm="1">
        <f t="array" ref="AY17">IF(RandomMethod="Numbers",BA17,IF(RandomMethod="Scenarios",INDEX(BD17:BW17,RandomScenarioNumber),"Error"))</f>
        <v>25500</v>
      </c>
      <c r="BA17" s="16" cm="1">
        <f t="array" aca="1" ref="BA17" ca="1">INDIRECT("'"&amp;AV17&amp;"'!"&amp;AW17)</f>
        <v>0</v>
      </c>
      <c r="BB17" s="24" cm="1">
        <f t="array" aca="1" ref="BB17" ca="1">IF(CheckAnswer(BA17,AY17,AV17,AW17)=TRUE,1,0)</f>
        <v>0</v>
      </c>
      <c r="BD17" s="16">
        <v>26500</v>
      </c>
      <c r="BE17" s="16">
        <v>0</v>
      </c>
      <c r="BF17" s="16">
        <v>41500</v>
      </c>
      <c r="BG17" s="16">
        <v>0</v>
      </c>
      <c r="BH17" s="16">
        <v>25500</v>
      </c>
      <c r="BI17" s="16">
        <v>26500</v>
      </c>
      <c r="BJ17" s="16">
        <v>0</v>
      </c>
      <c r="BK17" s="16">
        <v>56000</v>
      </c>
      <c r="BL17" s="16">
        <v>25500</v>
      </c>
      <c r="BM17" s="16">
        <v>50500</v>
      </c>
      <c r="BN17" s="16">
        <v>56000</v>
      </c>
      <c r="BO17" s="16">
        <v>0</v>
      </c>
      <c r="BP17" s="16">
        <v>26500</v>
      </c>
      <c r="BQ17" s="16">
        <v>0</v>
      </c>
      <c r="BR17" s="16">
        <v>52000</v>
      </c>
      <c r="BS17" s="16">
        <v>36500</v>
      </c>
      <c r="BT17" s="16">
        <v>36000</v>
      </c>
      <c r="BU17" s="16">
        <v>0</v>
      </c>
      <c r="BV17" s="16">
        <v>0</v>
      </c>
      <c r="BW17" s="16">
        <v>0</v>
      </c>
    </row>
    <row r="18" spans="2:75">
      <c r="P18" s="5" t="s">
        <v>268</v>
      </c>
      <c r="Q18" s="20" cm="1">
        <f t="array" ref="Q18">IF(RandomMethod="Numbers",S18,IF(RandomMethod="Scenarios",INDEX(Z18:AS18,RandomScenarioNumber),"Error"))</f>
        <v>0.09</v>
      </c>
      <c r="S18" s="20">
        <v>0.12</v>
      </c>
      <c r="U18" s="1">
        <v>8</v>
      </c>
      <c r="V18" s="1">
        <v>12</v>
      </c>
      <c r="W18" s="42">
        <v>0.01</v>
      </c>
      <c r="X18" s="20">
        <f t="shared" ca="1" si="0"/>
        <v>0.11</v>
      </c>
      <c r="Z18" s="20">
        <v>0.12</v>
      </c>
      <c r="AA18" s="20">
        <v>0.12</v>
      </c>
      <c r="AB18" s="20">
        <v>0.11</v>
      </c>
      <c r="AC18" s="20">
        <v>0.11</v>
      </c>
      <c r="AD18" s="20">
        <v>0.09</v>
      </c>
      <c r="AE18" s="20">
        <v>0.11</v>
      </c>
      <c r="AF18" s="20">
        <v>0.09</v>
      </c>
      <c r="AG18" s="20">
        <v>0.11</v>
      </c>
      <c r="AH18" s="20">
        <v>0.08</v>
      </c>
      <c r="AI18" s="20">
        <v>0.1</v>
      </c>
      <c r="AJ18" s="20">
        <v>0.12</v>
      </c>
      <c r="AK18" s="20">
        <v>0.09</v>
      </c>
      <c r="AL18" s="20">
        <v>0.12</v>
      </c>
      <c r="AM18" s="20">
        <v>0.09</v>
      </c>
      <c r="AN18" s="20">
        <v>0.11</v>
      </c>
      <c r="AO18" s="20">
        <v>0.08</v>
      </c>
      <c r="AP18" s="20">
        <v>0.09</v>
      </c>
      <c r="AQ18" s="20">
        <v>0.09</v>
      </c>
      <c r="AR18" s="20">
        <v>0.11</v>
      </c>
      <c r="AS18" s="20">
        <v>0.12</v>
      </c>
      <c r="AU18" s="5">
        <v>17</v>
      </c>
      <c r="AV18" s="8" t="s">
        <v>272</v>
      </c>
      <c r="AW18" s="5" t="s">
        <v>282</v>
      </c>
      <c r="AX18" s="5" t="s">
        <v>288</v>
      </c>
      <c r="AY18" s="19" cm="1">
        <f t="array" ref="AY18">IF(RandomMethod="Numbers",BA18,IF(RandomMethod="Scenarios",INDEX(BD18:BW18,RandomScenarioNumber),"Error"))</f>
        <v>0.58214285714285718</v>
      </c>
      <c r="BA18" s="20" cm="1">
        <f t="array" aca="1" ref="BA18" ca="1">INDIRECT("'"&amp;AV18&amp;"'!"&amp;AW18)</f>
        <v>0</v>
      </c>
      <c r="BB18" s="24" cm="1">
        <f t="array" aca="1" ref="BB18" ca="1">IF(CheckAnswer(BA18,AY18,AV18,AW18)=TRUE,1,0)</f>
        <v>0</v>
      </c>
      <c r="BD18" s="20">
        <v>0.36</v>
      </c>
      <c r="BE18" s="20">
        <v>0.37894736842105264</v>
      </c>
      <c r="BF18" s="20">
        <v>0.734375</v>
      </c>
      <c r="BG18" s="20">
        <v>0.26666666666666666</v>
      </c>
      <c r="BH18" s="20">
        <v>0.58214285714285718</v>
      </c>
      <c r="BI18" s="20">
        <v>0.28421052631578947</v>
      </c>
      <c r="BJ18" s="20">
        <v>0.33333333333333331</v>
      </c>
      <c r="BK18" s="20">
        <v>1.2</v>
      </c>
      <c r="BL18" s="20">
        <v>0.6791666666666667</v>
      </c>
      <c r="BM18" s="20">
        <v>0.83888888888888891</v>
      </c>
      <c r="BN18" s="20">
        <v>1.1294117647058823</v>
      </c>
      <c r="BO18" s="20">
        <v>0.66388888888888886</v>
      </c>
      <c r="BP18" s="20">
        <v>0.69166666666666665</v>
      </c>
      <c r="BQ18" s="20">
        <v>1.0033333333333334</v>
      </c>
      <c r="BR18" s="20">
        <v>0.5444444444444444</v>
      </c>
      <c r="BS18" s="20">
        <v>0.78947368421052633</v>
      </c>
      <c r="BT18" s="20">
        <v>0.81315789473684208</v>
      </c>
      <c r="BU18" s="20">
        <v>0.79210526315789476</v>
      </c>
      <c r="BV18" s="20">
        <v>0.26666666666666666</v>
      </c>
      <c r="BW18" s="20">
        <v>0.55937499999999996</v>
      </c>
    </row>
    <row r="19" spans="2:75">
      <c r="B19" s="7" t="s">
        <v>11</v>
      </c>
      <c r="D19" s="7" t="s">
        <v>26</v>
      </c>
      <c r="P19" s="5" t="s">
        <v>269</v>
      </c>
      <c r="Q19" s="2" cm="1">
        <f t="array" ref="Q19">IF(RandomMethod="Numbers",S19,IF(RandomMethod="Scenarios",INDEX(Z19:AS19,RandomScenarioNumber),"Error"))</f>
        <v>250000</v>
      </c>
      <c r="S19" s="2">
        <v>260000</v>
      </c>
      <c r="U19" s="1">
        <v>22</v>
      </c>
      <c r="V19" s="1">
        <v>28</v>
      </c>
      <c r="W19" s="1">
        <v>10000</v>
      </c>
      <c r="X19" s="2">
        <f t="shared" ca="1" si="0"/>
        <v>270000</v>
      </c>
      <c r="Z19" s="2">
        <v>270000</v>
      </c>
      <c r="AA19" s="2">
        <v>270000</v>
      </c>
      <c r="AB19" s="2">
        <v>220000</v>
      </c>
      <c r="AC19" s="2">
        <v>280000</v>
      </c>
      <c r="AD19" s="2">
        <v>250000</v>
      </c>
      <c r="AE19" s="2">
        <v>260000</v>
      </c>
      <c r="AF19" s="2">
        <v>250000</v>
      </c>
      <c r="AG19" s="2">
        <v>220000</v>
      </c>
      <c r="AH19" s="2">
        <v>240000</v>
      </c>
      <c r="AI19" s="2">
        <v>220000</v>
      </c>
      <c r="AJ19" s="2">
        <v>240000</v>
      </c>
      <c r="AK19" s="2">
        <v>250000</v>
      </c>
      <c r="AL19" s="2">
        <v>240000</v>
      </c>
      <c r="AM19" s="2">
        <v>230000</v>
      </c>
      <c r="AN19" s="2">
        <v>260000</v>
      </c>
      <c r="AO19" s="2">
        <v>270000</v>
      </c>
      <c r="AP19" s="2">
        <v>250000</v>
      </c>
      <c r="AQ19" s="2">
        <v>270000</v>
      </c>
      <c r="AR19" s="2">
        <v>230000</v>
      </c>
      <c r="AS19" s="2">
        <v>260000</v>
      </c>
      <c r="AU19" s="5">
        <v>18</v>
      </c>
      <c r="AV19" s="8" t="s">
        <v>272</v>
      </c>
      <c r="AW19" s="5" t="s">
        <v>283</v>
      </c>
      <c r="AX19" s="5" t="s">
        <v>289</v>
      </c>
      <c r="AY19" s="19" cm="1">
        <f t="array" ref="AY19">IF(RandomMethod="Numbers",BA19,IF(RandomMethod="Scenarios",INDEX(BD19:BW19,RandomScenarioNumber),"Error"))</f>
        <v>0.18</v>
      </c>
      <c r="BA19" s="20" cm="1">
        <f t="array" aca="1" ref="BA19" ca="1">INDIRECT("'"&amp;AV19&amp;"'!"&amp;AW19)</f>
        <v>0</v>
      </c>
      <c r="BB19" s="24" cm="1">
        <f t="array" aca="1" ref="BB19" ca="1">IF(CheckAnswer(BA19,AY19,AV19,AW19)=TRUE,1,0)</f>
        <v>0</v>
      </c>
      <c r="BD19" s="20">
        <v>7.0000000000000007E-2</v>
      </c>
      <c r="BE19" s="20">
        <v>0.06</v>
      </c>
      <c r="BF19" s="20">
        <v>0.12</v>
      </c>
      <c r="BG19" s="20">
        <v>0.08</v>
      </c>
      <c r="BH19" s="20">
        <v>0.18</v>
      </c>
      <c r="BI19" s="20">
        <v>7.0000000000000007E-2</v>
      </c>
      <c r="BJ19" s="20">
        <v>0.08</v>
      </c>
      <c r="BK19" s="20">
        <v>0.28999999999999998</v>
      </c>
      <c r="BL19" s="20">
        <v>0.18</v>
      </c>
      <c r="BM19" s="20">
        <v>0.11</v>
      </c>
      <c r="BN19" s="20">
        <v>0.3</v>
      </c>
      <c r="BO19" s="20">
        <v>0.18</v>
      </c>
      <c r="BP19" s="20">
        <v>0.2</v>
      </c>
      <c r="BQ19" s="20">
        <v>0.23</v>
      </c>
      <c r="BR19" s="20">
        <v>0.19</v>
      </c>
      <c r="BS19" s="20">
        <v>0.22</v>
      </c>
      <c r="BT19" s="20">
        <v>0.15</v>
      </c>
      <c r="BU19" s="20">
        <v>0.17</v>
      </c>
      <c r="BV19" s="20">
        <v>0.09</v>
      </c>
      <c r="BW19" s="20">
        <v>0.12</v>
      </c>
    </row>
    <row r="20" spans="2:75">
      <c r="B20" s="5">
        <f>COUNTA(M2:M100)</f>
        <v>9</v>
      </c>
      <c r="D20" s="5">
        <v>-1324</v>
      </c>
      <c r="G20" s="4"/>
      <c r="P20" s="5" t="s">
        <v>270</v>
      </c>
      <c r="Q20" s="2" cm="1">
        <f t="array" ref="Q20">IF(RandomMethod="Numbers",S20,IF(RandomMethod="Scenarios",INDEX(Z20:AS20,RandomScenarioNumber),"Error"))</f>
        <v>140000</v>
      </c>
      <c r="S20" s="2">
        <v>160000</v>
      </c>
      <c r="U20" s="1">
        <v>12</v>
      </c>
      <c r="V20" s="1">
        <v>20</v>
      </c>
      <c r="W20" s="1">
        <v>10000</v>
      </c>
      <c r="X20" s="2">
        <f t="shared" ca="1" si="0"/>
        <v>190000</v>
      </c>
      <c r="Z20" s="2">
        <v>150000</v>
      </c>
      <c r="AA20" s="2">
        <v>190000</v>
      </c>
      <c r="AB20" s="2">
        <v>160000</v>
      </c>
      <c r="AC20" s="2">
        <v>150000</v>
      </c>
      <c r="AD20" s="2">
        <v>140000</v>
      </c>
      <c r="AE20" s="2">
        <v>190000</v>
      </c>
      <c r="AF20" s="2">
        <v>120000</v>
      </c>
      <c r="AG20" s="2">
        <v>160000</v>
      </c>
      <c r="AH20" s="2">
        <v>120000</v>
      </c>
      <c r="AI20" s="2">
        <v>180000</v>
      </c>
      <c r="AJ20" s="2">
        <v>170000</v>
      </c>
      <c r="AK20" s="2">
        <v>180000</v>
      </c>
      <c r="AL20" s="2">
        <v>120000</v>
      </c>
      <c r="AM20" s="2">
        <v>150000</v>
      </c>
      <c r="AN20" s="2">
        <v>180000</v>
      </c>
      <c r="AO20" s="2">
        <v>190000</v>
      </c>
      <c r="AP20" s="2">
        <v>190000</v>
      </c>
      <c r="AQ20" s="2">
        <v>190000</v>
      </c>
      <c r="AR20" s="2">
        <v>150000</v>
      </c>
      <c r="AS20" s="2">
        <v>160000</v>
      </c>
      <c r="AU20" s="5">
        <v>19</v>
      </c>
      <c r="AV20" s="8" t="s">
        <v>272</v>
      </c>
      <c r="AW20" s="5" t="s">
        <v>366</v>
      </c>
      <c r="AX20" s="5" t="s">
        <v>368</v>
      </c>
      <c r="AY20" s="19" cm="1">
        <f t="array" ref="AY20">IF(RandomMethod="Numbers",BA20,IF(RandomMethod="Scenarios",INDEX(BD20:BW20,RandomScenarioNumber),"Error"))</f>
        <v>0</v>
      </c>
      <c r="BA20" s="16" cm="1">
        <f t="array" aca="1" ref="BA20" ca="1">INDIRECT("'"&amp;AV20&amp;"'!"&amp;AW20)</f>
        <v>0</v>
      </c>
      <c r="BB20" s="24" cm="1">
        <f t="array" aca="1" ref="BB20" ca="1">IF(CheckAnswer(BA20,AY20,AV20,AW20)=TRUE,1,0)</f>
        <v>0</v>
      </c>
      <c r="BD20" s="16">
        <v>0</v>
      </c>
      <c r="BE20" s="16">
        <v>0</v>
      </c>
      <c r="BF20" s="16">
        <v>0</v>
      </c>
      <c r="BG20" s="16">
        <v>0</v>
      </c>
      <c r="BH20" s="16">
        <v>0</v>
      </c>
      <c r="BI20" s="16">
        <v>0</v>
      </c>
      <c r="BJ20" s="16">
        <v>0</v>
      </c>
      <c r="BK20" s="16">
        <v>1000</v>
      </c>
      <c r="BL20" s="16">
        <v>0</v>
      </c>
      <c r="BM20" s="16">
        <v>0</v>
      </c>
      <c r="BN20" s="16">
        <v>500</v>
      </c>
      <c r="BO20" s="16">
        <v>0</v>
      </c>
      <c r="BP20" s="16">
        <v>0</v>
      </c>
      <c r="BQ20" s="16">
        <v>1000</v>
      </c>
      <c r="BR20" s="16">
        <v>0</v>
      </c>
      <c r="BS20" s="16">
        <v>0</v>
      </c>
      <c r="BT20" s="16">
        <v>0</v>
      </c>
      <c r="BU20" s="16">
        <v>0</v>
      </c>
      <c r="BV20" s="16">
        <v>0</v>
      </c>
      <c r="BW20" s="16">
        <v>0</v>
      </c>
    </row>
    <row r="21" spans="2:75">
      <c r="G21" s="4"/>
      <c r="P21" s="5" t="s">
        <v>247</v>
      </c>
      <c r="Q21" s="2" t="str" cm="1">
        <f t="array" ref="Q21">IF(RandomMethod="Numbers",S21,IF(RandomMethod="Scenarios",INDEX(Z21:AS21,RandomScenarioNumber),"Error"))</f>
        <v>Max</v>
      </c>
      <c r="S21" s="2" t="s">
        <v>161</v>
      </c>
      <c r="U21" s="1">
        <v>1</v>
      </c>
      <c r="V21" s="1">
        <v>8</v>
      </c>
      <c r="W21" s="1">
        <v>1</v>
      </c>
      <c r="X21" s="2" t="str" cm="1">
        <f t="array" aca="1" ref="X21" ca="1">INDEX(_xlfn._xlws.SORT(_xlfn.UNIQUE('Sales Data'!B9:B108),,1),RANDBETWEEN($U21,$V21)*$W21)</f>
        <v>Andrew</v>
      </c>
      <c r="Z21" s="2" t="s">
        <v>152</v>
      </c>
      <c r="AA21" s="2" t="s">
        <v>165</v>
      </c>
      <c r="AB21" s="2" t="s">
        <v>150</v>
      </c>
      <c r="AC21" s="2" t="s">
        <v>161</v>
      </c>
      <c r="AD21" s="2" t="s">
        <v>146</v>
      </c>
      <c r="AE21" s="2" t="s">
        <v>152</v>
      </c>
      <c r="AF21" s="2" t="s">
        <v>161</v>
      </c>
      <c r="AG21" s="2" t="s">
        <v>154</v>
      </c>
      <c r="AH21" s="2" t="s">
        <v>146</v>
      </c>
      <c r="AI21" s="2" t="s">
        <v>150</v>
      </c>
      <c r="AJ21" s="2" t="s">
        <v>154</v>
      </c>
      <c r="AK21" s="2" t="s">
        <v>165</v>
      </c>
      <c r="AL21" s="2" t="s">
        <v>152</v>
      </c>
      <c r="AM21" s="2" t="s">
        <v>152</v>
      </c>
      <c r="AN21" s="2" t="s">
        <v>156</v>
      </c>
      <c r="AO21" s="2" t="s">
        <v>154</v>
      </c>
      <c r="AP21" s="2" t="s">
        <v>163</v>
      </c>
      <c r="AQ21" s="2" t="s">
        <v>152</v>
      </c>
      <c r="AR21" s="2" t="s">
        <v>161</v>
      </c>
      <c r="AS21" s="2" t="s">
        <v>161</v>
      </c>
      <c r="AU21" s="5">
        <v>20</v>
      </c>
      <c r="AV21" s="8" t="s">
        <v>272</v>
      </c>
      <c r="AW21" s="5" t="s">
        <v>367</v>
      </c>
      <c r="AX21" s="5" t="s">
        <v>369</v>
      </c>
      <c r="AY21" s="19" cm="1">
        <f t="array" ref="AY21">IF(RandomMethod="Numbers",BA21,IF(RandomMethod="Scenarios",INDEX(BD21:BW21,RandomScenarioNumber),"Error"))</f>
        <v>0.09</v>
      </c>
      <c r="BA21" s="20" cm="1">
        <f t="array" aca="1" ref="BA21" ca="1">INDIRECT("'"&amp;AV21&amp;"'!"&amp;AW21)</f>
        <v>0</v>
      </c>
      <c r="BB21" s="24" cm="1">
        <f t="array" aca="1" ref="BB21" ca="1">IF(CheckAnswer(BA21,AY21,AV21,AW21)=TRUE,1,0)</f>
        <v>0</v>
      </c>
      <c r="BD21" s="20">
        <v>7.0000000000000007E-2</v>
      </c>
      <c r="BE21" s="20">
        <v>0.2</v>
      </c>
      <c r="BF21" s="20">
        <v>0.09</v>
      </c>
      <c r="BG21" s="20">
        <v>0.01</v>
      </c>
      <c r="BH21" s="20">
        <v>0.09</v>
      </c>
      <c r="BI21" s="20">
        <v>7.0000000000000007E-2</v>
      </c>
      <c r="BJ21" s="20">
        <v>0.01</v>
      </c>
      <c r="BK21" s="20">
        <v>0.06</v>
      </c>
      <c r="BL21" s="20">
        <v>0.1</v>
      </c>
      <c r="BM21" s="20">
        <v>0.04</v>
      </c>
      <c r="BN21" s="20">
        <v>0.04</v>
      </c>
      <c r="BO21" s="20">
        <v>0.16</v>
      </c>
      <c r="BP21" s="20">
        <v>0.2</v>
      </c>
      <c r="BQ21" s="20">
        <v>0.08</v>
      </c>
      <c r="BR21" s="20">
        <v>0.02</v>
      </c>
      <c r="BS21" s="20">
        <v>0.05</v>
      </c>
      <c r="BT21" s="20">
        <v>0.03</v>
      </c>
      <c r="BU21" s="20">
        <v>7.0000000000000007E-2</v>
      </c>
      <c r="BV21" s="20">
        <v>0</v>
      </c>
      <c r="BW21" s="20">
        <v>0</v>
      </c>
    </row>
    <row r="22" spans="2:75">
      <c r="B22" s="7" t="s">
        <v>17</v>
      </c>
      <c r="D22" s="7" t="s">
        <v>27</v>
      </c>
      <c r="G22" s="4"/>
      <c r="P22" s="5" t="s">
        <v>105</v>
      </c>
      <c r="Q22" s="30" cm="1">
        <f t="array" ref="Q22">IF(RandomMethod="Numbers",S22,IF(RandomMethod="Scenarios",INDEX(Z22:AS22,RandomScenarioNumber),"Error"))</f>
        <v>44986</v>
      </c>
      <c r="S22" s="30">
        <v>44927</v>
      </c>
      <c r="U22" s="1">
        <v>1</v>
      </c>
      <c r="V22" s="1">
        <v>4</v>
      </c>
      <c r="W22" s="1">
        <v>1</v>
      </c>
      <c r="X22" s="30">
        <f ca="1">DATE(2023,RANDBETWEEN($U22,$V22)*$W22,1)</f>
        <v>44958</v>
      </c>
      <c r="Z22" s="30">
        <v>44927</v>
      </c>
      <c r="AA22" s="30">
        <v>44986</v>
      </c>
      <c r="AB22" s="30">
        <v>44927</v>
      </c>
      <c r="AC22" s="30">
        <v>45017</v>
      </c>
      <c r="AD22" s="30">
        <v>44986</v>
      </c>
      <c r="AE22" s="30">
        <v>44927</v>
      </c>
      <c r="AF22" s="30">
        <v>45017</v>
      </c>
      <c r="AG22" s="30">
        <v>44986</v>
      </c>
      <c r="AH22" s="30">
        <v>44986</v>
      </c>
      <c r="AI22" s="30">
        <v>45017</v>
      </c>
      <c r="AJ22" s="30">
        <v>44986</v>
      </c>
      <c r="AK22" s="30">
        <v>44958</v>
      </c>
      <c r="AL22" s="30">
        <v>44958</v>
      </c>
      <c r="AM22" s="30">
        <v>45017</v>
      </c>
      <c r="AN22" s="30">
        <v>45017</v>
      </c>
      <c r="AO22" s="30">
        <v>45017</v>
      </c>
      <c r="AP22" s="30">
        <v>45017</v>
      </c>
      <c r="AQ22" s="30">
        <v>44986</v>
      </c>
      <c r="AR22" s="30">
        <v>45017</v>
      </c>
      <c r="AS22" s="30">
        <v>44927</v>
      </c>
      <c r="AU22" s="5">
        <v>21</v>
      </c>
      <c r="AV22" s="8" t="s">
        <v>272</v>
      </c>
      <c r="AW22" s="5" t="s">
        <v>370</v>
      </c>
      <c r="AX22" s="5" t="s">
        <v>371</v>
      </c>
      <c r="AY22" s="19" cm="1">
        <f t="array" ref="AY22">IF(RandomMethod="Numbers",BA22,IF(RandomMethod="Scenarios",INDEX(BD22:BW22,RandomScenarioNumber),"Error"))</f>
        <v>0</v>
      </c>
      <c r="BA22" s="16" cm="1">
        <f t="array" aca="1" ref="BA22" ca="1">INDIRECT("'"&amp;AV22&amp;"'!"&amp;AW22)</f>
        <v>0</v>
      </c>
      <c r="BB22" s="24" cm="1">
        <f t="array" aca="1" ref="BB22" ca="1">IF(CheckAnswer(BA22,AY22,AV22,AW22)=TRUE,1,0)</f>
        <v>0</v>
      </c>
      <c r="BD22" s="16">
        <v>0</v>
      </c>
      <c r="BE22" s="16">
        <v>2000</v>
      </c>
      <c r="BF22" s="16">
        <v>0</v>
      </c>
      <c r="BG22" s="16">
        <v>0</v>
      </c>
      <c r="BH22" s="16">
        <v>0</v>
      </c>
      <c r="BI22" s="16">
        <v>0</v>
      </c>
      <c r="BJ22" s="16">
        <v>0</v>
      </c>
      <c r="BK22" s="16">
        <v>0</v>
      </c>
      <c r="BL22" s="16">
        <v>0</v>
      </c>
      <c r="BM22" s="16">
        <v>0</v>
      </c>
      <c r="BN22" s="16">
        <v>0</v>
      </c>
      <c r="BO22" s="16">
        <v>2500</v>
      </c>
      <c r="BP22" s="16">
        <v>3000</v>
      </c>
      <c r="BQ22" s="16">
        <v>0</v>
      </c>
      <c r="BR22" s="16">
        <v>0</v>
      </c>
      <c r="BS22" s="16">
        <v>0</v>
      </c>
      <c r="BT22" s="16">
        <v>0</v>
      </c>
      <c r="BU22" s="16">
        <v>0</v>
      </c>
      <c r="BV22" s="16">
        <v>0</v>
      </c>
      <c r="BW22" s="16">
        <v>0</v>
      </c>
    </row>
    <row r="23" spans="2:75">
      <c r="B23" s="5">
        <f ca="1">COUNTA(X2:X100)</f>
        <v>21</v>
      </c>
      <c r="D23" s="5">
        <v>1</v>
      </c>
      <c r="G23" s="4"/>
      <c r="Q23" s="30"/>
      <c r="S23" s="30"/>
      <c r="U23" s="1"/>
      <c r="V23" s="1"/>
      <c r="W23" s="1"/>
      <c r="X23" s="30"/>
      <c r="Z23" s="30"/>
      <c r="AA23" s="30"/>
      <c r="AB23" s="30"/>
      <c r="AC23" s="30"/>
      <c r="AD23" s="30"/>
      <c r="AE23" s="30"/>
      <c r="AF23" s="30"/>
      <c r="AG23" s="30"/>
      <c r="AH23" s="30"/>
      <c r="AI23" s="30"/>
      <c r="AJ23" s="30"/>
      <c r="AK23" s="30"/>
      <c r="AL23" s="30"/>
      <c r="AM23" s="30"/>
      <c r="AN23" s="30"/>
      <c r="AO23" s="30"/>
      <c r="AP23" s="30"/>
      <c r="AQ23" s="30"/>
      <c r="AR23" s="30"/>
      <c r="AS23" s="30"/>
      <c r="AU23" s="5">
        <v>22</v>
      </c>
      <c r="AV23" s="8" t="s">
        <v>272</v>
      </c>
      <c r="AW23" s="5" t="s">
        <v>372</v>
      </c>
      <c r="AX23" s="5" t="s">
        <v>373</v>
      </c>
      <c r="AY23" s="19" cm="1">
        <f t="array" ref="AY23">IF(RandomMethod="Numbers",BA23,IF(RandomMethod="Scenarios",INDEX(BD23:BW23,RandomScenarioNumber),"Error"))</f>
        <v>0.09</v>
      </c>
      <c r="BA23" s="20" cm="1">
        <f t="array" aca="1" ref="BA23" ca="1">INDIRECT("'"&amp;AV23&amp;"'!"&amp;AW23)</f>
        <v>0</v>
      </c>
      <c r="BB23" s="24" cm="1">
        <f t="array" aca="1" ref="BB23" ca="1">IF(CheckAnswer(BA23,AY23,AV23,AW23)=TRUE,1,0)</f>
        <v>0</v>
      </c>
      <c r="BD23" s="20">
        <v>0</v>
      </c>
      <c r="BE23" s="20">
        <v>0</v>
      </c>
      <c r="BF23" s="20">
        <v>0.11</v>
      </c>
      <c r="BG23" s="20">
        <v>0</v>
      </c>
      <c r="BH23" s="20">
        <v>0.09</v>
      </c>
      <c r="BI23" s="20">
        <v>0</v>
      </c>
      <c r="BJ23" s="20">
        <v>0</v>
      </c>
      <c r="BK23" s="20">
        <v>0.11</v>
      </c>
      <c r="BL23" s="20">
        <v>0.08</v>
      </c>
      <c r="BM23" s="20">
        <v>0.1</v>
      </c>
      <c r="BN23" s="20">
        <v>0.12</v>
      </c>
      <c r="BO23" s="20">
        <v>0.09</v>
      </c>
      <c r="BP23" s="20">
        <v>0.12</v>
      </c>
      <c r="BQ23" s="20">
        <v>0.09</v>
      </c>
      <c r="BR23" s="20">
        <v>0.11</v>
      </c>
      <c r="BS23" s="20">
        <v>0.08</v>
      </c>
      <c r="BT23" s="20">
        <v>0.09</v>
      </c>
      <c r="BU23" s="20">
        <v>0.09</v>
      </c>
      <c r="BV23" s="20">
        <v>0</v>
      </c>
      <c r="BW23" s="20">
        <v>0.12</v>
      </c>
    </row>
    <row r="24" spans="2:75">
      <c r="G24" s="4"/>
      <c r="Q24" s="17"/>
      <c r="S24" s="17"/>
      <c r="U24" s="18"/>
      <c r="V24" s="18"/>
      <c r="W24" s="1"/>
      <c r="X24" s="17"/>
      <c r="Z24" s="17"/>
      <c r="AA24" s="17"/>
      <c r="AB24" s="17"/>
      <c r="AC24" s="17"/>
      <c r="AD24" s="17"/>
      <c r="AE24" s="17"/>
      <c r="AF24" s="17"/>
      <c r="AG24" s="17"/>
      <c r="AH24" s="17"/>
      <c r="AI24" s="17"/>
      <c r="AJ24" s="17"/>
      <c r="AK24" s="17"/>
      <c r="AL24" s="17"/>
      <c r="AM24" s="17"/>
      <c r="AN24" s="17"/>
      <c r="AU24" s="5">
        <v>23</v>
      </c>
      <c r="AV24" s="8" t="s">
        <v>272</v>
      </c>
      <c r="AW24" s="5" t="s">
        <v>374</v>
      </c>
      <c r="AX24" s="5" t="s">
        <v>375</v>
      </c>
      <c r="AY24" s="19" cm="1">
        <f t="array" ref="AY24">IF(RandomMethod="Numbers",BA24,IF(RandomMethod="Scenarios",INDEX(BD24:BW24,RandomScenarioNumber),"Error"))</f>
        <v>17253</v>
      </c>
      <c r="BA24" s="16" cm="1">
        <f t="array" aca="1" ref="BA24" ca="1">INDIRECT("'"&amp;AV24&amp;"'!"&amp;AW24)</f>
        <v>0</v>
      </c>
      <c r="BB24" s="24" cm="1">
        <f t="array" aca="1" ref="BB24" ca="1">IF(CheckAnswer(BA24,AY24,AV24,AW24)=TRUE,1,0)</f>
        <v>0</v>
      </c>
      <c r="BD24" s="16">
        <v>4039.0000000000005</v>
      </c>
      <c r="BE24" s="16">
        <v>7340</v>
      </c>
      <c r="BF24" s="16">
        <v>18881</v>
      </c>
      <c r="BG24" s="16">
        <v>3200</v>
      </c>
      <c r="BH24" s="16">
        <v>17253</v>
      </c>
      <c r="BI24" s="16">
        <v>4039.0000000000005</v>
      </c>
      <c r="BJ24" s="16">
        <v>3200</v>
      </c>
      <c r="BK24" s="16">
        <v>63025.999999999993</v>
      </c>
      <c r="BL24" s="16">
        <v>17030</v>
      </c>
      <c r="BM24" s="16">
        <v>21708</v>
      </c>
      <c r="BN24" s="16">
        <v>64944</v>
      </c>
      <c r="BO24" s="16">
        <v>25418</v>
      </c>
      <c r="BP24" s="16">
        <v>24980</v>
      </c>
      <c r="BQ24" s="16">
        <v>36199</v>
      </c>
      <c r="BR24" s="16">
        <v>24340</v>
      </c>
      <c r="BS24" s="16">
        <v>36075</v>
      </c>
      <c r="BT24" s="16">
        <v>26499</v>
      </c>
      <c r="BU24" s="16">
        <v>26096.000000000004</v>
      </c>
      <c r="BV24" s="16">
        <v>3600</v>
      </c>
      <c r="BW24" s="16">
        <v>10740</v>
      </c>
    </row>
    <row r="25" spans="2:75">
      <c r="B25" s="7" t="s">
        <v>78</v>
      </c>
      <c r="D25" s="7" t="s">
        <v>91</v>
      </c>
      <c r="G25" s="4"/>
      <c r="P25" s="30"/>
      <c r="Q25" s="2"/>
      <c r="S25" s="2"/>
      <c r="U25" s="1"/>
      <c r="V25" s="1"/>
      <c r="W25" s="1"/>
      <c r="X25" s="2"/>
      <c r="Z25" s="2"/>
      <c r="AA25" s="2"/>
      <c r="AB25" s="2"/>
      <c r="AC25" s="2"/>
      <c r="AD25" s="2"/>
      <c r="AE25" s="2"/>
      <c r="AF25" s="2"/>
      <c r="AG25" s="2"/>
      <c r="AH25" s="2"/>
      <c r="AI25" s="2"/>
      <c r="AJ25" s="2"/>
      <c r="AK25" s="2"/>
      <c r="AL25" s="2"/>
      <c r="AM25" s="2"/>
      <c r="AN25" s="2"/>
      <c r="AU25" s="5">
        <v>24</v>
      </c>
      <c r="AV25" s="8" t="s">
        <v>272</v>
      </c>
      <c r="AW25" s="5" t="s">
        <v>376</v>
      </c>
      <c r="AX25" s="5" t="s">
        <v>377</v>
      </c>
      <c r="AY25" s="19" cm="1">
        <f t="array" ref="AY25">IF(RandomMethod="Numbers",BA25,IF(RandomMethod="Scenarios",INDEX(BD25:BW25,RandomScenarioNumber),"Error"))</f>
        <v>0.20369539551357732</v>
      </c>
      <c r="BA25" s="17" cm="1">
        <f t="array" aca="1" ref="BA25" ca="1">INDIRECT("'"&amp;AV25&amp;"'!"&amp;AW25)</f>
        <v>0</v>
      </c>
      <c r="BB25" s="24" cm="1">
        <f t="array" aca="1" ref="BB25" ca="1">IF(CheckAnswer(BA25,AY25,AV25,AW25)=TRUE,1,0)</f>
        <v>0</v>
      </c>
      <c r="BD25" s="17">
        <v>7.0000000000000007E-2</v>
      </c>
      <c r="BE25" s="17">
        <v>9.520103761348897E-2</v>
      </c>
      <c r="BF25" s="17">
        <v>0.15747289407839868</v>
      </c>
      <c r="BG25" s="17">
        <v>0.08</v>
      </c>
      <c r="BH25" s="17">
        <v>0.20369539551357732</v>
      </c>
      <c r="BI25" s="17">
        <v>7.0000000000000007E-2</v>
      </c>
      <c r="BJ25" s="17">
        <v>0.08</v>
      </c>
      <c r="BK25" s="17">
        <v>0.32304459251665807</v>
      </c>
      <c r="BL25" s="17">
        <v>0.20106257378984652</v>
      </c>
      <c r="BM25" s="17">
        <v>0.14262812089356111</v>
      </c>
      <c r="BN25" s="17">
        <v>0.33287544848795492</v>
      </c>
      <c r="BO25" s="17">
        <v>0.19811379579111457</v>
      </c>
      <c r="BP25" s="17">
        <v>0.26574468085106384</v>
      </c>
      <c r="BQ25" s="17">
        <v>0.22939797211660329</v>
      </c>
      <c r="BR25" s="17">
        <v>0.24836734693877552</v>
      </c>
      <c r="BS25" s="17">
        <v>0.23563030698889614</v>
      </c>
      <c r="BT25" s="17">
        <v>0.16846153846153847</v>
      </c>
      <c r="BU25" s="17">
        <v>0.16537389100126745</v>
      </c>
      <c r="BV25" s="17">
        <v>0.09</v>
      </c>
      <c r="BW25" s="17">
        <v>0.12</v>
      </c>
    </row>
    <row r="26" spans="2:75">
      <c r="B26" s="5">
        <f>COUNTA(AV2:AV153)</f>
        <v>27</v>
      </c>
      <c r="D26" s="5">
        <v>0</v>
      </c>
      <c r="G26" s="4"/>
      <c r="Q26" s="2"/>
      <c r="S26" s="2"/>
      <c r="U26" s="1"/>
      <c r="V26" s="1"/>
      <c r="W26" s="1"/>
      <c r="X26" s="2"/>
      <c r="Z26" s="2"/>
      <c r="AA26" s="2"/>
      <c r="AB26" s="2"/>
      <c r="AC26" s="2"/>
      <c r="AD26" s="2"/>
      <c r="AE26" s="2"/>
      <c r="AF26" s="2"/>
      <c r="AG26" s="2"/>
      <c r="AH26" s="2"/>
      <c r="AI26" s="2"/>
      <c r="AJ26" s="2"/>
      <c r="AK26" s="2"/>
      <c r="AL26" s="2"/>
      <c r="AM26" s="2"/>
      <c r="AN26" s="2"/>
      <c r="AU26" s="5">
        <v>25</v>
      </c>
      <c r="AV26" s="8" t="s">
        <v>273</v>
      </c>
      <c r="AW26" s="5" t="s">
        <v>278</v>
      </c>
      <c r="AX26" s="5" t="s">
        <v>284</v>
      </c>
      <c r="AY26" s="19" t="str" cm="1">
        <f t="array" ref="AY26">IF(RandomMethod="Numbers",BA26,IF(RandomMethod="Scenarios",INDEX(BD26:BW26,RandomScenarioNumber),"Error"))</f>
        <v>Poorya</v>
      </c>
      <c r="BA26" s="19" cm="1">
        <f t="array" aca="1" ref="BA26" ca="1">INDIRECT("'"&amp;AV26&amp;"'!"&amp;AW26)</f>
        <v>0</v>
      </c>
      <c r="BB26" s="24" cm="1">
        <f t="array" aca="1" ref="BB26" ca="1">IF(CheckAnswer(BA26,AY26,AV26,AW26)=TRUE,1,0)</f>
        <v>0</v>
      </c>
      <c r="BD26" s="19" t="s">
        <v>156</v>
      </c>
      <c r="BE26" s="19" t="s">
        <v>150</v>
      </c>
      <c r="BF26" s="19" t="s">
        <v>156</v>
      </c>
      <c r="BG26" s="19" t="s">
        <v>152</v>
      </c>
      <c r="BH26" s="19" t="s">
        <v>150</v>
      </c>
      <c r="BI26" s="19" t="s">
        <v>156</v>
      </c>
      <c r="BJ26" s="19" t="s">
        <v>152</v>
      </c>
      <c r="BK26" s="19" t="s">
        <v>150</v>
      </c>
      <c r="BL26" s="19" t="s">
        <v>150</v>
      </c>
      <c r="BM26" s="19" t="s">
        <v>152</v>
      </c>
      <c r="BN26" s="19" t="s">
        <v>150</v>
      </c>
      <c r="BO26" s="19" t="s">
        <v>150</v>
      </c>
      <c r="BP26" s="19" t="s">
        <v>150</v>
      </c>
      <c r="BQ26" s="19" t="s">
        <v>152</v>
      </c>
      <c r="BR26" s="19" t="s">
        <v>152</v>
      </c>
      <c r="BS26" s="19" t="s">
        <v>152</v>
      </c>
      <c r="BT26" s="19" t="s">
        <v>152</v>
      </c>
      <c r="BU26" s="19" t="s">
        <v>150</v>
      </c>
      <c r="BV26" s="19" t="s">
        <v>152</v>
      </c>
      <c r="BW26" s="19" t="s">
        <v>156</v>
      </c>
    </row>
    <row r="27" spans="2:75">
      <c r="G27" s="4"/>
      <c r="Q27" s="2"/>
      <c r="S27" s="2"/>
      <c r="U27" s="1"/>
      <c r="V27" s="1"/>
      <c r="W27" s="1"/>
      <c r="X27" s="2"/>
      <c r="Z27" s="2"/>
      <c r="AA27" s="2"/>
      <c r="AB27" s="2"/>
      <c r="AC27" s="2"/>
      <c r="AD27" s="2"/>
      <c r="AE27" s="2"/>
      <c r="AF27" s="2"/>
      <c r="AG27" s="2"/>
      <c r="AH27" s="2"/>
      <c r="AI27" s="2"/>
      <c r="AJ27" s="2"/>
      <c r="AK27" s="2"/>
      <c r="AL27" s="2"/>
      <c r="AM27" s="2"/>
      <c r="AN27" s="2"/>
      <c r="AU27" s="5">
        <v>26</v>
      </c>
      <c r="AV27" s="8" t="s">
        <v>273</v>
      </c>
      <c r="AW27" s="5" t="s">
        <v>279</v>
      </c>
      <c r="AX27" s="5" t="s">
        <v>285</v>
      </c>
      <c r="AY27" s="19" t="str" cm="1">
        <f t="array" ref="AY27">IF(RandomMethod="Numbers",BA27,IF(RandomMethod="Scenarios",INDEX(BD27:BW27,RandomScenarioNumber),"Error"))</f>
        <v>Joelle</v>
      </c>
      <c r="BA27" s="19" cm="1">
        <f t="array" aca="1" ref="BA27" ca="1">INDIRECT("'"&amp;AV27&amp;"'!"&amp;AW27)</f>
        <v>0</v>
      </c>
      <c r="BB27" s="24" cm="1">
        <f t="array" aca="1" ref="BB27" ca="1">IF(CheckAnswer(BA27,AY27,AV27,AW27)=TRUE,1,0)</f>
        <v>0</v>
      </c>
      <c r="BD27" s="19" t="s">
        <v>156</v>
      </c>
      <c r="BE27" s="19" t="s">
        <v>154</v>
      </c>
      <c r="BF27" s="19" t="s">
        <v>156</v>
      </c>
      <c r="BG27" s="19" t="s">
        <v>150</v>
      </c>
      <c r="BH27" s="19" t="s">
        <v>154</v>
      </c>
      <c r="BI27" s="19" t="s">
        <v>156</v>
      </c>
      <c r="BJ27" s="19" t="s">
        <v>150</v>
      </c>
      <c r="BK27" s="19" t="s">
        <v>150</v>
      </c>
      <c r="BL27" s="19" t="s">
        <v>154</v>
      </c>
      <c r="BM27" s="19" t="s">
        <v>156</v>
      </c>
      <c r="BN27" s="19" t="s">
        <v>154</v>
      </c>
      <c r="BO27" s="19" t="s">
        <v>150</v>
      </c>
      <c r="BP27" s="19" t="s">
        <v>150</v>
      </c>
      <c r="BQ27" s="19" t="s">
        <v>150</v>
      </c>
      <c r="BR27" s="19" t="s">
        <v>146</v>
      </c>
      <c r="BS27" s="19" t="s">
        <v>156</v>
      </c>
      <c r="BT27" s="19" t="s">
        <v>156</v>
      </c>
      <c r="BU27" s="19" t="s">
        <v>154</v>
      </c>
      <c r="BV27" s="19" t="s">
        <v>150</v>
      </c>
      <c r="BW27" s="19" t="s">
        <v>156</v>
      </c>
    </row>
    <row r="28" spans="2:75">
      <c r="B28" s="7" t="s">
        <v>87</v>
      </c>
      <c r="D28" s="7" t="s">
        <v>92</v>
      </c>
      <c r="G28" s="4"/>
      <c r="Q28" s="2"/>
      <c r="S28" s="2"/>
      <c r="U28" s="1"/>
      <c r="V28" s="1"/>
      <c r="W28" s="1"/>
      <c r="X28" s="2"/>
      <c r="Z28" s="2"/>
      <c r="AA28" s="2"/>
      <c r="AB28" s="2"/>
      <c r="AC28" s="2"/>
      <c r="AD28" s="2"/>
      <c r="AE28" s="2"/>
      <c r="AF28" s="2"/>
      <c r="AG28" s="2"/>
      <c r="AH28" s="2"/>
      <c r="AI28" s="2"/>
      <c r="AJ28" s="2"/>
      <c r="AK28" s="2"/>
      <c r="AL28" s="2"/>
      <c r="AM28" s="2"/>
      <c r="AN28" s="2"/>
      <c r="AU28" s="5">
        <v>27</v>
      </c>
      <c r="AV28" s="8" t="s">
        <v>273</v>
      </c>
      <c r="AW28" s="5" t="s">
        <v>280</v>
      </c>
      <c r="AX28" s="5" t="s">
        <v>286</v>
      </c>
      <c r="AY28" s="19" cm="1">
        <f t="array" ref="AY28">IF(RandomMethod="Numbers",BA28,IF(RandomMethod="Scenarios",INDEX(BD28:BW28,RandomScenarioNumber),"Error"))</f>
        <v>0.28865606936416183</v>
      </c>
      <c r="BA28" s="17" cm="1">
        <f t="array" aca="1" ref="BA28" ca="1">INDIRECT("'"&amp;AV28&amp;"'!"&amp;AW28)</f>
        <v>0</v>
      </c>
      <c r="BB28" s="24" cm="1">
        <f t="array" aca="1" ref="BB28" ca="1">IF(CheckAnswer(BA28,AY28,AV28,AW28)=TRUE,1,0)</f>
        <v>0</v>
      </c>
      <c r="BD28" s="17">
        <v>0.20562945081472542</v>
      </c>
      <c r="BE28" s="17">
        <v>0.16184248554913294</v>
      </c>
      <c r="BF28" s="17">
        <v>0.17076765238382619</v>
      </c>
      <c r="BG28" s="17">
        <v>0.2305586592178771</v>
      </c>
      <c r="BH28" s="17">
        <v>0.28865606936416183</v>
      </c>
      <c r="BI28" s="17">
        <v>0.16493301146650574</v>
      </c>
      <c r="BJ28" s="17">
        <v>0.29317146540610228</v>
      </c>
      <c r="BK28" s="17">
        <v>0.22047894302229562</v>
      </c>
      <c r="BL28" s="17">
        <v>0.31882431874483896</v>
      </c>
      <c r="BM28" s="17">
        <v>0.12993876235496346</v>
      </c>
      <c r="BN28" s="17">
        <v>0.23507741535920726</v>
      </c>
      <c r="BO28" s="17">
        <v>0.15362016806722689</v>
      </c>
      <c r="BP28" s="17">
        <v>0.27880560224089634</v>
      </c>
      <c r="BQ28" s="17">
        <v>0.21812634293081221</v>
      </c>
      <c r="BR28" s="17">
        <v>0.20213149978513106</v>
      </c>
      <c r="BS28" s="17">
        <v>0.20290395358831112</v>
      </c>
      <c r="BT28" s="17">
        <v>0.14849376880103138</v>
      </c>
      <c r="BU28" s="17">
        <v>0.20363026424442612</v>
      </c>
      <c r="BV28" s="17">
        <v>0.24779437043403524</v>
      </c>
      <c r="BW28" s="17">
        <v>0.1760156910078455</v>
      </c>
    </row>
    <row r="29" spans="2:75">
      <c r="B29" s="5" t="b">
        <v>1</v>
      </c>
      <c r="D29" s="26">
        <v>45090.388738425929</v>
      </c>
      <c r="G29" s="4"/>
      <c r="Q29" s="2"/>
      <c r="S29" s="2"/>
      <c r="U29" s="1"/>
      <c r="V29" s="1"/>
      <c r="W29" s="1"/>
      <c r="X29" s="2"/>
      <c r="Z29" s="2"/>
      <c r="AA29" s="2"/>
      <c r="AB29" s="2"/>
      <c r="AC29" s="2"/>
      <c r="AD29" s="2"/>
      <c r="AE29" s="2"/>
      <c r="AF29" s="2"/>
      <c r="AG29" s="2"/>
      <c r="AH29" s="2"/>
      <c r="AI29" s="2"/>
      <c r="AJ29" s="2"/>
      <c r="AK29" s="2"/>
      <c r="AL29" s="2"/>
      <c r="AM29" s="2"/>
      <c r="AN29" s="2"/>
      <c r="AV29" s="8"/>
      <c r="AY29" s="19"/>
      <c r="BA29" s="19"/>
      <c r="BB29" s="24"/>
      <c r="BD29" s="19"/>
      <c r="BE29" s="19"/>
      <c r="BF29" s="19"/>
      <c r="BG29" s="19"/>
      <c r="BH29" s="19"/>
      <c r="BI29" s="19"/>
      <c r="BJ29" s="19"/>
      <c r="BK29" s="19"/>
      <c r="BL29" s="19"/>
      <c r="BM29" s="19"/>
      <c r="BN29" s="19"/>
      <c r="BO29" s="19"/>
      <c r="BP29" s="19"/>
      <c r="BQ29" s="19"/>
      <c r="BR29" s="19"/>
      <c r="BS29" s="19"/>
      <c r="BT29" s="19"/>
      <c r="BU29" s="19"/>
      <c r="BV29" s="19"/>
      <c r="BW29" s="19"/>
    </row>
    <row r="30" spans="2:75">
      <c r="G30" s="4"/>
      <c r="Q30" s="2"/>
      <c r="S30" s="2"/>
      <c r="U30" s="1"/>
      <c r="V30" s="1"/>
      <c r="W30" s="1"/>
      <c r="X30" s="2"/>
      <c r="Z30" s="2"/>
      <c r="AA30" s="2"/>
      <c r="AB30" s="2"/>
      <c r="AC30" s="2"/>
      <c r="AD30" s="2"/>
      <c r="AE30" s="2"/>
      <c r="AF30" s="2"/>
      <c r="AG30" s="2"/>
      <c r="AH30" s="2"/>
      <c r="AI30" s="2"/>
      <c r="AJ30" s="2"/>
      <c r="AK30" s="2"/>
      <c r="AL30" s="2"/>
      <c r="AM30" s="2"/>
      <c r="AN30" s="2"/>
      <c r="AV30" s="8"/>
      <c r="AY30" s="19"/>
      <c r="BA30" s="19"/>
      <c r="BB30" s="24"/>
      <c r="BD30" s="19"/>
      <c r="BE30" s="19"/>
      <c r="BF30" s="19"/>
      <c r="BG30" s="19"/>
      <c r="BH30" s="19"/>
      <c r="BI30" s="19"/>
      <c r="BJ30" s="19"/>
      <c r="BK30" s="19"/>
      <c r="BL30" s="19"/>
      <c r="BM30" s="19"/>
      <c r="BN30" s="19"/>
      <c r="BO30" s="19"/>
      <c r="BP30" s="19"/>
      <c r="BQ30" s="19"/>
      <c r="BR30" s="19"/>
      <c r="BS30" s="19"/>
      <c r="BT30" s="19"/>
      <c r="BU30" s="19"/>
      <c r="BV30" s="19"/>
      <c r="BW30" s="19"/>
    </row>
    <row r="31" spans="2:75">
      <c r="B31" s="7" t="s">
        <v>80</v>
      </c>
      <c r="D31" s="7" t="s">
        <v>93</v>
      </c>
      <c r="G31" s="4"/>
      <c r="Q31" s="2"/>
      <c r="S31" s="2"/>
      <c r="U31" s="1"/>
      <c r="V31" s="1"/>
      <c r="W31" s="1"/>
      <c r="X31" s="2"/>
      <c r="Z31" s="2"/>
      <c r="AA31" s="2"/>
      <c r="AB31" s="2"/>
      <c r="AC31" s="2"/>
      <c r="AD31" s="2"/>
      <c r="AE31" s="2"/>
      <c r="AF31" s="2"/>
      <c r="AG31" s="2"/>
      <c r="AH31" s="2"/>
      <c r="AI31" s="2"/>
      <c r="AJ31" s="2"/>
      <c r="AK31" s="2"/>
      <c r="AL31" s="2"/>
      <c r="AM31" s="2"/>
      <c r="AN31" s="2"/>
      <c r="AV31" s="8"/>
      <c r="AY31" s="19"/>
      <c r="BA31" s="19"/>
      <c r="BB31" s="24"/>
      <c r="BD31" s="19"/>
      <c r="BE31" s="19"/>
      <c r="BF31" s="19"/>
      <c r="BG31" s="19"/>
      <c r="BH31" s="19"/>
      <c r="BI31" s="19"/>
      <c r="BJ31" s="19"/>
      <c r="BK31" s="19"/>
      <c r="BL31" s="19"/>
      <c r="BM31" s="19"/>
      <c r="BN31" s="19"/>
      <c r="BO31" s="19"/>
      <c r="BP31" s="19"/>
      <c r="BQ31" s="19"/>
      <c r="BR31" s="19"/>
      <c r="BS31" s="19"/>
      <c r="BT31" s="19"/>
      <c r="BU31" s="19"/>
      <c r="BV31" s="19"/>
      <c r="BW31" s="19"/>
    </row>
    <row r="32" spans="2:75">
      <c r="B32" s="26">
        <v>0</v>
      </c>
      <c r="D32" s="5">
        <f>totalTime*24*3600</f>
        <v>0</v>
      </c>
      <c r="G32" s="4"/>
      <c r="Q32" s="2"/>
      <c r="S32" s="2"/>
      <c r="U32" s="1"/>
      <c r="V32" s="1"/>
      <c r="W32" s="1"/>
      <c r="X32" s="2"/>
      <c r="Z32" s="2"/>
      <c r="AA32" s="2"/>
      <c r="AB32" s="2"/>
      <c r="AC32" s="2"/>
      <c r="AD32" s="2"/>
      <c r="AE32" s="2"/>
      <c r="AF32" s="2"/>
      <c r="AG32" s="2"/>
      <c r="AH32" s="2"/>
      <c r="AI32" s="2"/>
      <c r="AJ32" s="2"/>
      <c r="AK32" s="2"/>
      <c r="AL32" s="2"/>
      <c r="AM32" s="2"/>
      <c r="AN32" s="2"/>
      <c r="AV32" s="8"/>
      <c r="AY32" s="19"/>
      <c r="BA32" s="19"/>
      <c r="BB32" s="24"/>
      <c r="BD32" s="19"/>
      <c r="BE32" s="19"/>
      <c r="BF32" s="19"/>
      <c r="BG32" s="19"/>
      <c r="BH32" s="19"/>
      <c r="BI32" s="19"/>
      <c r="BJ32" s="19"/>
      <c r="BK32" s="19"/>
      <c r="BL32" s="19"/>
      <c r="BM32" s="19"/>
      <c r="BN32" s="19"/>
      <c r="BO32" s="19"/>
      <c r="BP32" s="19"/>
      <c r="BQ32" s="19"/>
      <c r="BR32" s="19"/>
      <c r="BS32" s="19"/>
      <c r="BT32" s="19"/>
      <c r="BU32" s="19"/>
      <c r="BV32" s="19"/>
      <c r="BW32" s="19"/>
    </row>
    <row r="33" spans="2:75">
      <c r="Q33" s="2"/>
      <c r="S33" s="2"/>
      <c r="U33" s="1"/>
      <c r="V33" s="1"/>
      <c r="W33" s="1"/>
      <c r="X33" s="2"/>
      <c r="Z33" s="2"/>
      <c r="AA33" s="2"/>
      <c r="AB33" s="2"/>
      <c r="AC33" s="2"/>
      <c r="AD33" s="2"/>
      <c r="AE33" s="2"/>
      <c r="AF33" s="2"/>
      <c r="AG33" s="2"/>
      <c r="AH33" s="2"/>
      <c r="AI33" s="2"/>
      <c r="AJ33" s="2"/>
      <c r="AK33" s="2"/>
      <c r="AL33" s="2"/>
      <c r="AM33" s="2"/>
      <c r="AN33" s="2"/>
      <c r="AV33" s="8"/>
      <c r="AY33" s="19"/>
      <c r="BA33" s="19"/>
      <c r="BB33" s="24"/>
      <c r="BD33" s="19"/>
      <c r="BE33" s="19"/>
      <c r="BF33" s="19"/>
      <c r="BG33" s="19"/>
      <c r="BH33" s="19"/>
      <c r="BI33" s="19"/>
      <c r="BJ33" s="19"/>
      <c r="BK33" s="19"/>
      <c r="BL33" s="19"/>
      <c r="BM33" s="19"/>
      <c r="BN33" s="19"/>
      <c r="BO33" s="19"/>
      <c r="BP33" s="19"/>
      <c r="BQ33" s="19"/>
      <c r="BR33" s="19"/>
      <c r="BS33" s="19"/>
      <c r="BT33" s="19"/>
      <c r="BU33" s="19"/>
      <c r="BV33" s="19"/>
      <c r="BW33" s="19"/>
    </row>
    <row r="34" spans="2:75">
      <c r="Q34" s="2"/>
      <c r="S34" s="2"/>
      <c r="U34" s="1"/>
      <c r="V34" s="1"/>
      <c r="W34" s="1"/>
      <c r="X34" s="2"/>
      <c r="Z34" s="2"/>
      <c r="AA34" s="2"/>
      <c r="AB34" s="2"/>
      <c r="AC34" s="2"/>
      <c r="AD34" s="2"/>
      <c r="AE34" s="2"/>
      <c r="AF34" s="2"/>
      <c r="AG34" s="2"/>
      <c r="AH34" s="2"/>
      <c r="AI34" s="2"/>
      <c r="AJ34" s="2"/>
      <c r="AK34" s="2"/>
      <c r="AL34" s="2"/>
      <c r="AM34" s="2"/>
      <c r="AN34" s="2"/>
      <c r="AV34" s="8"/>
      <c r="AY34" s="19"/>
      <c r="BA34" s="19"/>
      <c r="BB34" s="24"/>
      <c r="BD34" s="19"/>
      <c r="BE34" s="19"/>
      <c r="BF34" s="19"/>
      <c r="BG34" s="19"/>
      <c r="BH34" s="19"/>
      <c r="BI34" s="19"/>
      <c r="BJ34" s="19"/>
      <c r="BK34" s="19"/>
      <c r="BL34" s="19"/>
      <c r="BM34" s="19"/>
      <c r="BN34" s="19"/>
      <c r="BO34" s="19"/>
      <c r="BP34" s="19"/>
      <c r="BQ34" s="19"/>
      <c r="BR34" s="19"/>
      <c r="BS34" s="19"/>
      <c r="BT34" s="19"/>
      <c r="BU34" s="19"/>
      <c r="BV34" s="19"/>
      <c r="BW34" s="19"/>
    </row>
    <row r="35" spans="2:75">
      <c r="B35" s="27" t="s">
        <v>88</v>
      </c>
      <c r="Q35" s="2"/>
      <c r="S35" s="2"/>
      <c r="U35" s="1"/>
      <c r="V35" s="1"/>
      <c r="W35" s="1"/>
      <c r="X35" s="2"/>
      <c r="Z35" s="2"/>
      <c r="AA35" s="2"/>
      <c r="AB35" s="2"/>
      <c r="AC35" s="2"/>
      <c r="AD35" s="2"/>
      <c r="AE35" s="2"/>
      <c r="AF35" s="2"/>
      <c r="AG35" s="2"/>
      <c r="AH35" s="2"/>
      <c r="AI35" s="2"/>
      <c r="AJ35" s="2"/>
      <c r="AK35" s="2"/>
      <c r="AL35" s="2"/>
      <c r="AM35" s="2"/>
      <c r="AN35" s="2"/>
      <c r="AV35" s="19"/>
      <c r="AY35" s="24"/>
      <c r="BA35" s="19"/>
      <c r="BB35" s="19"/>
      <c r="BD35" s="19"/>
      <c r="BE35" s="19"/>
      <c r="BF35" s="19"/>
      <c r="BG35" s="19"/>
      <c r="BH35" s="19"/>
      <c r="BI35" s="19"/>
      <c r="BJ35" s="19"/>
      <c r="BK35" s="19"/>
      <c r="BL35" s="19"/>
      <c r="BM35" s="19"/>
      <c r="BN35" s="19"/>
      <c r="BO35" s="19"/>
      <c r="BP35" s="19"/>
      <c r="BQ35" s="19"/>
      <c r="BR35" s="19"/>
      <c r="BS35" s="19"/>
      <c r="BT35" s="19"/>
      <c r="BU35" s="19"/>
    </row>
    <row r="36" spans="2:75">
      <c r="B36" s="28" t="s">
        <v>89</v>
      </c>
      <c r="Q36" s="2"/>
      <c r="S36" s="2"/>
      <c r="U36" s="1"/>
      <c r="V36" s="1"/>
      <c r="W36" s="1"/>
      <c r="X36" s="2"/>
      <c r="Z36" s="2"/>
      <c r="AA36" s="2"/>
      <c r="AB36" s="2"/>
      <c r="AC36" s="2"/>
      <c r="AD36" s="2"/>
      <c r="AE36" s="2"/>
      <c r="AF36" s="2"/>
      <c r="AG36" s="2"/>
      <c r="AH36" s="2"/>
      <c r="AI36" s="2"/>
      <c r="AJ36" s="2"/>
      <c r="AK36" s="2"/>
      <c r="AL36" s="2"/>
      <c r="AM36" s="2"/>
      <c r="AN36" s="2"/>
      <c r="AV36" s="19"/>
      <c r="AY36" s="24"/>
      <c r="BA36" s="19"/>
      <c r="BB36" s="19"/>
      <c r="BD36" s="19"/>
      <c r="BE36" s="19"/>
      <c r="BF36" s="19"/>
      <c r="BG36" s="19"/>
      <c r="BH36" s="19"/>
      <c r="BI36" s="19"/>
      <c r="BJ36" s="19"/>
      <c r="BK36" s="19"/>
      <c r="BL36" s="19"/>
      <c r="BM36" s="19"/>
      <c r="BN36" s="19"/>
      <c r="BO36" s="19"/>
      <c r="BP36" s="19"/>
      <c r="BQ36" s="19"/>
      <c r="BR36" s="19"/>
      <c r="BS36" s="19"/>
      <c r="BT36" s="19"/>
      <c r="BU36" s="19"/>
    </row>
    <row r="37" spans="2:75">
      <c r="B37" s="28" t="s">
        <v>90</v>
      </c>
      <c r="Q37" s="2"/>
      <c r="S37" s="2"/>
      <c r="U37" s="1"/>
      <c r="V37" s="1"/>
      <c r="W37" s="1"/>
      <c r="X37" s="2"/>
      <c r="Z37" s="2"/>
      <c r="AA37" s="2"/>
      <c r="AB37" s="2"/>
      <c r="AC37" s="2"/>
      <c r="AD37" s="2"/>
      <c r="AE37" s="2"/>
      <c r="AF37" s="2"/>
      <c r="AG37" s="2"/>
      <c r="AH37" s="2"/>
      <c r="AI37" s="2"/>
      <c r="AJ37" s="2"/>
      <c r="AK37" s="2"/>
      <c r="AL37" s="2"/>
      <c r="AM37" s="2"/>
      <c r="AN37" s="2"/>
      <c r="AV37" s="19"/>
      <c r="AY37" s="24"/>
      <c r="BA37" s="19"/>
      <c r="BB37" s="19"/>
      <c r="BD37" s="19"/>
      <c r="BE37" s="19"/>
      <c r="BF37" s="19"/>
      <c r="BG37" s="19"/>
      <c r="BH37" s="19"/>
      <c r="BI37" s="19"/>
      <c r="BJ37" s="19"/>
      <c r="BK37" s="19"/>
      <c r="BL37" s="19"/>
      <c r="BM37" s="19"/>
      <c r="BN37" s="19"/>
      <c r="BO37" s="19"/>
      <c r="BP37" s="19"/>
      <c r="BQ37" s="19"/>
      <c r="BR37" s="19"/>
      <c r="BS37" s="19"/>
      <c r="BT37" s="19"/>
      <c r="BU37" s="19"/>
    </row>
    <row r="38" spans="2:75">
      <c r="B38" s="28" t="s">
        <v>327</v>
      </c>
      <c r="Q38" s="2"/>
      <c r="S38" s="2"/>
      <c r="U38" s="1"/>
      <c r="V38" s="1"/>
      <c r="W38" s="1"/>
      <c r="X38" s="2"/>
      <c r="Z38" s="2"/>
      <c r="AA38" s="2"/>
      <c r="AB38" s="2"/>
      <c r="AC38" s="2"/>
      <c r="AD38" s="2"/>
      <c r="AE38" s="2"/>
      <c r="AF38" s="2"/>
      <c r="AG38" s="2"/>
      <c r="AH38" s="2"/>
      <c r="AI38" s="2"/>
      <c r="AJ38" s="2"/>
      <c r="AK38" s="2"/>
      <c r="AL38" s="2"/>
      <c r="AM38" s="2"/>
      <c r="AN38" s="2"/>
      <c r="AV38" s="19"/>
      <c r="AX38" s="19"/>
      <c r="AY38" s="24"/>
      <c r="BA38" s="19"/>
      <c r="BB38" s="19"/>
      <c r="BD38" s="19"/>
      <c r="BE38" s="19"/>
      <c r="BF38" s="19"/>
      <c r="BG38" s="19"/>
      <c r="BH38" s="19"/>
      <c r="BI38" s="19"/>
      <c r="BJ38" s="19"/>
      <c r="BK38" s="19"/>
      <c r="BL38" s="19"/>
      <c r="BM38" s="19"/>
      <c r="BN38" s="19"/>
      <c r="BO38" s="19"/>
      <c r="BP38" s="19"/>
      <c r="BQ38" s="19"/>
      <c r="BR38" s="19"/>
      <c r="BS38" s="19"/>
      <c r="BT38" s="19"/>
      <c r="BU38" s="19"/>
    </row>
    <row r="39" spans="2:75">
      <c r="B39" s="28" t="s">
        <v>328</v>
      </c>
      <c r="Q39" s="2"/>
      <c r="S39" s="2"/>
      <c r="U39" s="1"/>
      <c r="V39" s="1"/>
      <c r="W39" s="1"/>
      <c r="X39" s="2"/>
      <c r="Z39" s="2"/>
      <c r="AA39" s="2"/>
      <c r="AB39" s="2"/>
      <c r="AC39" s="2"/>
      <c r="AD39" s="2"/>
      <c r="AE39" s="2"/>
      <c r="AF39" s="2"/>
      <c r="AG39" s="2"/>
      <c r="AH39" s="2"/>
      <c r="AI39" s="2"/>
      <c r="AJ39" s="2"/>
      <c r="AK39" s="2"/>
      <c r="AL39" s="2"/>
      <c r="AM39" s="2"/>
      <c r="AN39" s="2"/>
      <c r="AV39" s="19"/>
      <c r="AX39" s="19"/>
      <c r="AY39" s="24"/>
      <c r="BA39" s="19"/>
      <c r="BB39" s="19"/>
      <c r="BD39" s="19"/>
      <c r="BE39" s="19"/>
      <c r="BF39" s="19"/>
      <c r="BG39" s="19"/>
      <c r="BH39" s="19"/>
      <c r="BI39" s="19"/>
      <c r="BJ39" s="19"/>
      <c r="BK39" s="19"/>
      <c r="BL39" s="19"/>
      <c r="BM39" s="19"/>
      <c r="BN39" s="19"/>
      <c r="BO39" s="19"/>
      <c r="BP39" s="19"/>
      <c r="BQ39" s="19"/>
      <c r="BR39" s="19"/>
      <c r="BS39" s="19"/>
      <c r="BT39" s="19"/>
      <c r="BU39" s="19"/>
    </row>
    <row r="40" spans="2:75">
      <c r="Q40" s="2"/>
      <c r="S40" s="2"/>
      <c r="U40" s="1"/>
      <c r="V40" s="1"/>
      <c r="W40" s="1"/>
      <c r="X40" s="2"/>
      <c r="Z40" s="2"/>
      <c r="AA40" s="2"/>
      <c r="AB40" s="2"/>
      <c r="AC40" s="2"/>
      <c r="AD40" s="2"/>
      <c r="AE40" s="2"/>
      <c r="AF40" s="2"/>
      <c r="AG40" s="2"/>
      <c r="AH40" s="2"/>
      <c r="AI40" s="2"/>
      <c r="AJ40" s="2"/>
      <c r="AK40" s="2"/>
      <c r="AL40" s="2"/>
      <c r="AM40" s="2"/>
      <c r="AN40" s="2"/>
      <c r="AV40" s="19"/>
      <c r="AX40" s="19"/>
      <c r="AY40" s="24"/>
      <c r="BA40" s="19"/>
      <c r="BB40" s="19"/>
      <c r="BD40" s="19"/>
      <c r="BE40" s="19"/>
      <c r="BF40" s="19"/>
      <c r="BG40" s="19"/>
      <c r="BH40" s="19"/>
      <c r="BI40" s="19"/>
      <c r="BJ40" s="19"/>
      <c r="BK40" s="19"/>
      <c r="BL40" s="19"/>
      <c r="BM40" s="19"/>
      <c r="BN40" s="19"/>
      <c r="BO40" s="19"/>
      <c r="BP40" s="19"/>
      <c r="BQ40" s="19"/>
      <c r="BR40" s="19"/>
      <c r="BS40" s="19"/>
      <c r="BT40" s="19"/>
      <c r="BU40" s="19"/>
    </row>
    <row r="41" spans="2:75">
      <c r="Q41" s="2"/>
      <c r="S41" s="2"/>
      <c r="U41" s="1"/>
      <c r="V41" s="1"/>
      <c r="W41" s="1"/>
      <c r="X41" s="2"/>
      <c r="Z41" s="2"/>
      <c r="AA41" s="2"/>
      <c r="AB41" s="2"/>
      <c r="AC41" s="2"/>
      <c r="AD41" s="2"/>
      <c r="AE41" s="2"/>
      <c r="AF41" s="2"/>
      <c r="AG41" s="2"/>
      <c r="AH41" s="2"/>
      <c r="AI41" s="2"/>
      <c r="AJ41" s="2"/>
      <c r="AK41" s="2"/>
      <c r="AL41" s="2"/>
      <c r="AM41" s="2"/>
      <c r="AN41" s="2"/>
      <c r="AV41" s="19"/>
      <c r="AX41" s="19"/>
      <c r="AY41" s="24"/>
      <c r="BA41" s="19"/>
      <c r="BB41" s="19"/>
      <c r="BD41" s="19"/>
      <c r="BE41" s="19"/>
      <c r="BF41" s="19"/>
      <c r="BG41" s="19"/>
      <c r="BH41" s="19"/>
      <c r="BI41" s="19"/>
      <c r="BJ41" s="19"/>
      <c r="BK41" s="19"/>
      <c r="BL41" s="19"/>
      <c r="BM41" s="19"/>
      <c r="BN41" s="19"/>
      <c r="BO41" s="19"/>
      <c r="BP41" s="19"/>
      <c r="BQ41" s="19"/>
      <c r="BR41" s="19"/>
      <c r="BS41" s="19"/>
      <c r="BT41" s="19"/>
      <c r="BU41" s="19"/>
    </row>
    <row r="42" spans="2:75">
      <c r="Q42" s="2"/>
      <c r="S42" s="2"/>
      <c r="U42" s="1"/>
      <c r="V42" s="1"/>
      <c r="W42" s="1"/>
      <c r="X42" s="2"/>
      <c r="Z42" s="2"/>
      <c r="AA42" s="2"/>
      <c r="AB42" s="2"/>
      <c r="AC42" s="2"/>
      <c r="AD42" s="2"/>
      <c r="AE42" s="2"/>
      <c r="AF42" s="2"/>
      <c r="AG42" s="2"/>
      <c r="AH42" s="2"/>
      <c r="AI42" s="2"/>
      <c r="AJ42" s="2"/>
      <c r="AK42" s="2"/>
      <c r="AL42" s="2"/>
      <c r="AM42" s="2"/>
      <c r="AN42" s="2"/>
      <c r="AV42" s="19"/>
      <c r="AX42" s="19"/>
      <c r="AY42" s="24"/>
    </row>
    <row r="43" spans="2:75">
      <c r="Q43" s="2"/>
      <c r="S43" s="2"/>
      <c r="U43" s="1"/>
      <c r="V43" s="1"/>
      <c r="W43" s="1"/>
      <c r="X43" s="2"/>
      <c r="Z43" s="2"/>
      <c r="AA43" s="2"/>
      <c r="AB43" s="2"/>
      <c r="AC43" s="2"/>
      <c r="AD43" s="2"/>
      <c r="AE43" s="2"/>
      <c r="AF43" s="2"/>
      <c r="AG43" s="2"/>
      <c r="AH43" s="2"/>
      <c r="AI43" s="2"/>
      <c r="AJ43" s="2"/>
      <c r="AK43" s="2"/>
      <c r="AL43" s="2"/>
      <c r="AM43" s="2"/>
      <c r="AN43" s="2"/>
      <c r="AV43" s="19"/>
      <c r="AX43" s="19"/>
      <c r="AY43" s="24"/>
    </row>
    <row r="44" spans="2:75">
      <c r="Q44" s="2"/>
      <c r="S44" s="2"/>
      <c r="U44" s="1"/>
      <c r="V44" s="1"/>
      <c r="W44" s="1"/>
      <c r="X44" s="2"/>
      <c r="Z44" s="2"/>
      <c r="AA44" s="2"/>
      <c r="AB44" s="2"/>
      <c r="AC44" s="2"/>
      <c r="AD44" s="2"/>
      <c r="AE44" s="2"/>
      <c r="AF44" s="2"/>
      <c r="AG44" s="2"/>
      <c r="AH44" s="2"/>
      <c r="AI44" s="2"/>
      <c r="AJ44" s="2"/>
      <c r="AK44" s="2"/>
      <c r="AL44" s="2"/>
      <c r="AM44" s="2"/>
      <c r="AN44" s="2"/>
      <c r="AV44" s="19"/>
      <c r="AX44" s="19"/>
      <c r="AY44" s="24"/>
    </row>
    <row r="45" spans="2:75">
      <c r="Q45" s="2"/>
      <c r="S45" s="2"/>
      <c r="U45" s="1"/>
      <c r="V45" s="1"/>
      <c r="W45" s="1"/>
      <c r="X45" s="2"/>
      <c r="Z45" s="2"/>
      <c r="AA45" s="2"/>
      <c r="AB45" s="2"/>
      <c r="AC45" s="2"/>
      <c r="AD45" s="2"/>
      <c r="AE45" s="2"/>
      <c r="AF45" s="2"/>
      <c r="AG45" s="2"/>
      <c r="AH45" s="2"/>
      <c r="AI45" s="2"/>
      <c r="AJ45" s="2"/>
      <c r="AK45" s="2"/>
      <c r="AL45" s="2"/>
      <c r="AM45" s="2"/>
      <c r="AN45" s="2"/>
      <c r="AV45" s="19"/>
      <c r="AX45" s="19"/>
      <c r="AY45" s="24"/>
    </row>
    <row r="46" spans="2:75">
      <c r="Q46" s="2"/>
      <c r="S46" s="2"/>
      <c r="U46" s="1"/>
      <c r="V46" s="1"/>
      <c r="W46" s="1"/>
      <c r="X46" s="2"/>
      <c r="Z46" s="2"/>
      <c r="AA46" s="2"/>
      <c r="AB46" s="2"/>
      <c r="AC46" s="2"/>
      <c r="AD46" s="2"/>
      <c r="AE46" s="2"/>
      <c r="AF46" s="2"/>
      <c r="AG46" s="2"/>
      <c r="AH46" s="2"/>
      <c r="AI46" s="2"/>
      <c r="AJ46" s="2"/>
      <c r="AK46" s="2"/>
      <c r="AL46" s="2"/>
      <c r="AM46" s="2"/>
      <c r="AN46" s="2"/>
      <c r="AV46" s="19"/>
      <c r="AX46" s="19"/>
      <c r="AY46" s="24"/>
    </row>
    <row r="47" spans="2:75">
      <c r="Q47" s="2"/>
      <c r="S47" s="2"/>
      <c r="U47" s="1"/>
      <c r="V47" s="1"/>
      <c r="W47" s="1"/>
      <c r="X47" s="2"/>
      <c r="Z47" s="2"/>
      <c r="AA47" s="2"/>
      <c r="AB47" s="2"/>
      <c r="AC47" s="2"/>
      <c r="AD47" s="2"/>
      <c r="AE47" s="2"/>
      <c r="AF47" s="2"/>
      <c r="AG47" s="2"/>
      <c r="AH47" s="2"/>
      <c r="AI47" s="2"/>
      <c r="AJ47" s="2"/>
      <c r="AK47" s="2"/>
      <c r="AL47" s="2"/>
      <c r="AM47" s="2"/>
      <c r="AN47" s="2"/>
      <c r="AV47" s="19"/>
      <c r="AX47" s="19"/>
      <c r="AY47" s="24"/>
    </row>
    <row r="48" spans="2:75">
      <c r="Q48" s="2"/>
      <c r="S48" s="2"/>
      <c r="U48" s="1"/>
      <c r="V48" s="1"/>
      <c r="W48" s="1"/>
      <c r="X48" s="2"/>
      <c r="Z48" s="2"/>
      <c r="AA48" s="2"/>
      <c r="AB48" s="2"/>
      <c r="AC48" s="2"/>
      <c r="AD48" s="2"/>
      <c r="AE48" s="2"/>
      <c r="AF48" s="2"/>
      <c r="AG48" s="2"/>
      <c r="AH48" s="2"/>
      <c r="AI48" s="2"/>
      <c r="AJ48" s="2"/>
      <c r="AK48" s="2"/>
      <c r="AL48" s="2"/>
      <c r="AM48" s="2"/>
      <c r="AN48" s="2"/>
      <c r="AV48" s="19"/>
      <c r="AX48" s="19"/>
      <c r="AY48" s="24"/>
    </row>
    <row r="49" spans="4:51">
      <c r="Q49" s="2"/>
      <c r="S49" s="2"/>
      <c r="U49" s="1"/>
      <c r="V49" s="1"/>
      <c r="W49" s="1"/>
      <c r="X49" s="2"/>
      <c r="Z49" s="2"/>
      <c r="AA49" s="2"/>
      <c r="AB49" s="2"/>
      <c r="AC49" s="2"/>
      <c r="AD49" s="2"/>
      <c r="AE49" s="2"/>
      <c r="AF49" s="2"/>
      <c r="AG49" s="2"/>
      <c r="AH49" s="2"/>
      <c r="AI49" s="2"/>
      <c r="AJ49" s="2"/>
      <c r="AK49" s="2"/>
      <c r="AL49" s="2"/>
      <c r="AM49" s="2"/>
      <c r="AN49" s="2"/>
      <c r="AV49" s="19"/>
      <c r="AX49" s="19"/>
      <c r="AY49" s="24"/>
    </row>
    <row r="50" spans="4:51">
      <c r="Q50" s="2"/>
      <c r="S50" s="2"/>
      <c r="U50" s="1"/>
      <c r="V50" s="1"/>
      <c r="W50" s="1"/>
      <c r="X50" s="2"/>
      <c r="Z50" s="2"/>
      <c r="AA50" s="2"/>
      <c r="AB50" s="2"/>
      <c r="AC50" s="2"/>
      <c r="AD50" s="2"/>
      <c r="AE50" s="2"/>
      <c r="AF50" s="2"/>
      <c r="AG50" s="2"/>
      <c r="AH50" s="2"/>
      <c r="AI50" s="2"/>
      <c r="AJ50" s="2"/>
      <c r="AK50" s="2"/>
      <c r="AL50" s="2"/>
      <c r="AM50" s="2"/>
      <c r="AN50" s="2"/>
      <c r="AV50" s="19"/>
      <c r="AX50" s="19"/>
      <c r="AY50" s="24"/>
    </row>
    <row r="51" spans="4:51">
      <c r="Q51" s="2"/>
      <c r="S51" s="2"/>
      <c r="U51" s="1"/>
      <c r="V51" s="1"/>
      <c r="W51" s="1"/>
      <c r="X51" s="2"/>
      <c r="Z51" s="2"/>
      <c r="AA51" s="2"/>
      <c r="AB51" s="2"/>
      <c r="AC51" s="2"/>
      <c r="AD51" s="2"/>
      <c r="AE51" s="2"/>
      <c r="AF51" s="2"/>
      <c r="AG51" s="2"/>
      <c r="AH51" s="2"/>
      <c r="AI51" s="2"/>
      <c r="AJ51" s="2"/>
      <c r="AK51" s="2"/>
      <c r="AL51" s="2"/>
      <c r="AM51" s="2"/>
      <c r="AN51" s="2"/>
      <c r="AV51" s="19"/>
      <c r="AX51" s="19"/>
      <c r="AY51" s="24"/>
    </row>
    <row r="52" spans="4:51">
      <c r="Q52" s="2"/>
      <c r="S52" s="2"/>
      <c r="U52" s="1"/>
      <c r="V52" s="1"/>
      <c r="W52" s="1"/>
      <c r="X52" s="2"/>
      <c r="Z52" s="2"/>
      <c r="AA52" s="2"/>
      <c r="AB52" s="2"/>
      <c r="AC52" s="2"/>
      <c r="AD52" s="2"/>
      <c r="AE52" s="2"/>
      <c r="AF52" s="2"/>
      <c r="AG52" s="2"/>
      <c r="AH52" s="2"/>
      <c r="AI52" s="2"/>
      <c r="AJ52" s="2"/>
      <c r="AK52" s="2"/>
      <c r="AL52" s="2"/>
      <c r="AM52" s="2"/>
      <c r="AN52" s="2"/>
      <c r="AV52" s="19"/>
      <c r="AX52" s="19"/>
      <c r="AY52" s="24"/>
    </row>
    <row r="53" spans="4:51">
      <c r="Q53" s="2"/>
      <c r="S53" s="2"/>
      <c r="U53" s="1"/>
      <c r="V53" s="1"/>
      <c r="W53" s="1"/>
      <c r="X53" s="2"/>
      <c r="Z53" s="2"/>
      <c r="AA53" s="2"/>
      <c r="AB53" s="2"/>
      <c r="AC53" s="2"/>
      <c r="AD53" s="2"/>
      <c r="AE53" s="2"/>
      <c r="AF53" s="2"/>
      <c r="AG53" s="2"/>
      <c r="AH53" s="2"/>
      <c r="AI53" s="2"/>
      <c r="AJ53" s="2"/>
      <c r="AK53" s="2"/>
      <c r="AL53" s="2"/>
      <c r="AM53" s="2"/>
      <c r="AN53" s="2"/>
      <c r="AV53" s="19"/>
      <c r="AX53" s="19"/>
      <c r="AY53" s="24"/>
    </row>
    <row r="54" spans="4:51">
      <c r="Q54" s="2"/>
      <c r="S54" s="2"/>
      <c r="U54" s="1"/>
      <c r="V54" s="1"/>
      <c r="W54" s="1"/>
      <c r="X54" s="2"/>
      <c r="Z54" s="2"/>
      <c r="AA54" s="2"/>
      <c r="AB54" s="2"/>
      <c r="AC54" s="2"/>
      <c r="AD54" s="2"/>
      <c r="AE54" s="2"/>
      <c r="AF54" s="2"/>
      <c r="AG54" s="2"/>
      <c r="AH54" s="2"/>
      <c r="AI54" s="2"/>
      <c r="AJ54" s="2"/>
      <c r="AK54" s="2"/>
      <c r="AL54" s="2"/>
      <c r="AM54" s="2"/>
      <c r="AN54" s="2"/>
      <c r="AV54" s="19"/>
      <c r="AX54" s="19"/>
      <c r="AY54" s="24"/>
    </row>
    <row r="55" spans="4:51">
      <c r="Q55" s="21"/>
      <c r="S55" s="21"/>
      <c r="U55" s="1"/>
      <c r="V55" s="1"/>
      <c r="W55" s="1"/>
      <c r="X55" s="2"/>
      <c r="Z55" s="21"/>
      <c r="AA55" s="21"/>
      <c r="AB55" s="21"/>
      <c r="AC55" s="21"/>
      <c r="AD55" s="21"/>
      <c r="AE55" s="21"/>
      <c r="AF55" s="21"/>
      <c r="AG55" s="21"/>
      <c r="AH55" s="21"/>
      <c r="AI55" s="21"/>
      <c r="AJ55" s="21"/>
      <c r="AK55" s="21"/>
      <c r="AL55" s="21"/>
      <c r="AM55" s="21"/>
      <c r="AN55" s="21"/>
      <c r="AV55" s="19"/>
      <c r="AX55" s="19"/>
      <c r="AY55" s="24"/>
    </row>
    <row r="56" spans="4:51">
      <c r="Q56" s="21"/>
      <c r="S56" s="21"/>
      <c r="U56" s="1"/>
      <c r="V56" s="1"/>
      <c r="W56" s="1"/>
      <c r="X56" s="2"/>
      <c r="Z56" s="21"/>
      <c r="AA56" s="21"/>
      <c r="AB56" s="21"/>
      <c r="AC56" s="21"/>
      <c r="AD56" s="21"/>
      <c r="AE56" s="21"/>
      <c r="AF56" s="21"/>
      <c r="AG56" s="21"/>
      <c r="AH56" s="21"/>
      <c r="AI56" s="21"/>
      <c r="AJ56" s="21"/>
      <c r="AK56" s="21"/>
      <c r="AL56" s="21"/>
      <c r="AM56" s="21"/>
      <c r="AN56" s="21"/>
      <c r="AV56" s="19"/>
      <c r="AX56" s="19"/>
      <c r="AY56" s="24"/>
    </row>
    <row r="57" spans="4:51">
      <c r="Q57" s="21"/>
      <c r="S57" s="21"/>
      <c r="U57" s="1"/>
      <c r="V57" s="1"/>
      <c r="W57" s="1"/>
      <c r="X57" s="2"/>
      <c r="Z57" s="21"/>
      <c r="AA57" s="21"/>
      <c r="AB57" s="21"/>
      <c r="AC57" s="21"/>
      <c r="AD57" s="21"/>
      <c r="AE57" s="21"/>
      <c r="AF57" s="21"/>
      <c r="AG57" s="21"/>
      <c r="AH57" s="21"/>
      <c r="AI57" s="21"/>
      <c r="AJ57" s="21"/>
      <c r="AK57" s="21"/>
      <c r="AL57" s="21"/>
      <c r="AM57" s="21"/>
      <c r="AN57" s="21"/>
      <c r="AV57" s="19"/>
      <c r="AX57" s="19"/>
      <c r="AY57" s="24"/>
    </row>
    <row r="58" spans="4:51">
      <c r="Q58" s="21"/>
      <c r="S58" s="21"/>
      <c r="U58" s="1"/>
      <c r="V58" s="1"/>
      <c r="W58" s="1"/>
      <c r="X58" s="2"/>
      <c r="Z58" s="21"/>
      <c r="AA58" s="21"/>
      <c r="AB58" s="21"/>
      <c r="AC58" s="21"/>
      <c r="AD58" s="21"/>
      <c r="AE58" s="21"/>
      <c r="AF58" s="21"/>
      <c r="AG58" s="21"/>
      <c r="AH58" s="21"/>
      <c r="AI58" s="21"/>
      <c r="AJ58" s="21"/>
      <c r="AK58" s="21"/>
      <c r="AL58" s="21"/>
      <c r="AM58" s="21"/>
      <c r="AN58" s="21"/>
      <c r="AV58" s="19"/>
      <c r="AX58" s="19"/>
      <c r="AY58" s="24"/>
    </row>
    <row r="59" spans="4:51">
      <c r="Q59" s="21"/>
      <c r="S59" s="21"/>
      <c r="U59" s="1"/>
      <c r="V59" s="1"/>
      <c r="W59" s="1"/>
      <c r="X59" s="2"/>
      <c r="Z59" s="21"/>
      <c r="AA59" s="21"/>
      <c r="AB59" s="21"/>
      <c r="AC59" s="21"/>
      <c r="AD59" s="21"/>
      <c r="AE59" s="21"/>
      <c r="AF59" s="21"/>
      <c r="AG59" s="21"/>
      <c r="AH59" s="21"/>
      <c r="AI59" s="21"/>
      <c r="AJ59" s="21"/>
      <c r="AK59" s="21"/>
      <c r="AL59" s="21"/>
      <c r="AM59" s="21"/>
      <c r="AN59" s="21"/>
      <c r="AV59" s="19"/>
      <c r="AX59" s="19"/>
      <c r="AY59" s="24"/>
    </row>
    <row r="60" spans="4:51">
      <c r="Q60" s="21"/>
      <c r="S60" s="21"/>
      <c r="U60" s="1"/>
      <c r="V60" s="1"/>
      <c r="W60" s="1"/>
      <c r="X60" s="2"/>
      <c r="Z60" s="21"/>
      <c r="AA60" s="21"/>
      <c r="AB60" s="21"/>
      <c r="AC60" s="21"/>
      <c r="AD60" s="21"/>
      <c r="AE60" s="21"/>
      <c r="AF60" s="21"/>
      <c r="AG60" s="21"/>
      <c r="AH60" s="21"/>
      <c r="AI60" s="21"/>
      <c r="AJ60" s="21"/>
      <c r="AK60" s="21"/>
      <c r="AL60" s="21"/>
      <c r="AM60" s="21"/>
      <c r="AN60" s="21"/>
      <c r="AV60" s="19"/>
      <c r="AX60" s="19"/>
      <c r="AY60" s="24"/>
    </row>
    <row r="61" spans="4:51">
      <c r="Q61" s="21"/>
      <c r="S61" s="21"/>
      <c r="U61" s="1"/>
      <c r="V61" s="1"/>
      <c r="W61" s="1"/>
      <c r="X61" s="2"/>
      <c r="Z61" s="21"/>
      <c r="AA61" s="21"/>
      <c r="AB61" s="21"/>
      <c r="AC61" s="21"/>
      <c r="AD61" s="21"/>
      <c r="AE61" s="21"/>
      <c r="AF61" s="21"/>
      <c r="AG61" s="21"/>
      <c r="AH61" s="21"/>
      <c r="AI61" s="21"/>
      <c r="AJ61" s="21"/>
      <c r="AK61" s="21"/>
      <c r="AL61" s="21"/>
      <c r="AM61" s="21"/>
      <c r="AN61" s="21"/>
      <c r="AV61" s="19"/>
      <c r="AX61" s="19"/>
      <c r="AY61" s="24"/>
    </row>
    <row r="62" spans="4:51">
      <c r="D62" s="28" t="str">
        <f>"I finished the "&amp;FileName&amp;" in "&amp;'Timed Results'!E20&amp;" seconds. Sign up for the Microsoft Excel Collegiate Challenge and give it a try! #ExcelEsports #ExcelAtEller"</f>
        <v>I finished the MECC Commission Calculator in  seconds. Sign up for the Microsoft Excel Collegiate Challenge and give it a try! #ExcelEsports #ExcelAtEller</v>
      </c>
      <c r="Q62" s="21"/>
      <c r="S62" s="21"/>
      <c r="U62" s="1"/>
      <c r="V62" s="1"/>
      <c r="W62" s="1"/>
      <c r="X62" s="2"/>
      <c r="Z62" s="21"/>
      <c r="AA62" s="21"/>
      <c r="AB62" s="21"/>
      <c r="AC62" s="21"/>
      <c r="AD62" s="21"/>
      <c r="AE62" s="21"/>
      <c r="AF62" s="21"/>
      <c r="AG62" s="21"/>
      <c r="AH62" s="21"/>
      <c r="AI62" s="21"/>
      <c r="AJ62" s="21"/>
      <c r="AK62" s="21"/>
      <c r="AL62" s="21"/>
      <c r="AM62" s="21"/>
      <c r="AN62" s="21"/>
      <c r="AV62" s="19"/>
      <c r="AX62" s="19"/>
      <c r="AY62" s="24"/>
    </row>
    <row r="63" spans="4:51">
      <c r="Q63" s="21"/>
      <c r="S63" s="21"/>
      <c r="U63" s="1"/>
      <c r="V63" s="1"/>
      <c r="W63" s="1"/>
      <c r="X63" s="2"/>
      <c r="Z63" s="21"/>
      <c r="AA63" s="21"/>
      <c r="AB63" s="21"/>
      <c r="AC63" s="21"/>
      <c r="AD63" s="21"/>
      <c r="AE63" s="21"/>
      <c r="AF63" s="21"/>
      <c r="AG63" s="21"/>
      <c r="AH63" s="21"/>
      <c r="AI63" s="21"/>
      <c r="AJ63" s="21"/>
      <c r="AK63" s="21"/>
      <c r="AL63" s="21"/>
      <c r="AM63" s="21"/>
      <c r="AN63" s="21"/>
      <c r="AV63" s="19"/>
      <c r="AX63" s="19"/>
      <c r="AY63" s="24"/>
    </row>
    <row r="64" spans="4:51">
      <c r="D64" s="91"/>
      <c r="Q64" s="21"/>
      <c r="S64" s="21"/>
      <c r="U64" s="1"/>
      <c r="V64" s="1"/>
      <c r="W64" s="1"/>
      <c r="X64" s="2"/>
      <c r="Z64" s="21"/>
      <c r="AA64" s="21"/>
      <c r="AB64" s="21"/>
      <c r="AC64" s="21"/>
      <c r="AD64" s="21"/>
      <c r="AE64" s="21"/>
      <c r="AF64" s="21"/>
      <c r="AG64" s="21"/>
      <c r="AH64" s="21"/>
      <c r="AI64" s="21"/>
      <c r="AJ64" s="21"/>
      <c r="AK64" s="21"/>
      <c r="AL64" s="21"/>
      <c r="AM64" s="21"/>
      <c r="AN64" s="21"/>
      <c r="AV64" s="19"/>
      <c r="AX64" s="19"/>
      <c r="AY64" s="24"/>
    </row>
    <row r="65" spans="4:51">
      <c r="D65" s="92" t="s">
        <v>129</v>
      </c>
      <c r="Q65" s="21"/>
      <c r="S65" s="21"/>
      <c r="U65" s="1"/>
      <c r="V65" s="1"/>
      <c r="W65" s="1"/>
      <c r="X65" s="2"/>
      <c r="Z65" s="21"/>
      <c r="AA65" s="21"/>
      <c r="AB65" s="21"/>
      <c r="AC65" s="21"/>
      <c r="AD65" s="21"/>
      <c r="AE65" s="21"/>
      <c r="AF65" s="21"/>
      <c r="AG65" s="21"/>
      <c r="AH65" s="21"/>
      <c r="AI65" s="21"/>
      <c r="AJ65" s="21"/>
      <c r="AK65" s="21"/>
      <c r="AL65" s="21"/>
      <c r="AM65" s="21"/>
      <c r="AN65" s="21"/>
      <c r="AV65" s="19"/>
      <c r="AX65" s="19"/>
      <c r="AY65" s="24"/>
    </row>
    <row r="66" spans="4:51">
      <c r="Q66" s="21"/>
      <c r="S66" s="21"/>
      <c r="U66" s="1"/>
      <c r="V66" s="1"/>
      <c r="W66" s="1"/>
      <c r="X66" s="2"/>
      <c r="Z66" s="21"/>
      <c r="AA66" s="21"/>
      <c r="AB66" s="21"/>
      <c r="AC66" s="21"/>
      <c r="AD66" s="21"/>
      <c r="AE66" s="21"/>
      <c r="AF66" s="21"/>
      <c r="AG66" s="21"/>
      <c r="AH66" s="21"/>
      <c r="AI66" s="21"/>
      <c r="AJ66" s="21"/>
      <c r="AK66" s="21"/>
      <c r="AL66" s="21"/>
      <c r="AM66" s="21"/>
      <c r="AN66" s="21"/>
      <c r="AV66" s="19"/>
      <c r="AX66" s="22"/>
      <c r="AY66" s="24"/>
    </row>
    <row r="67" spans="4:51">
      <c r="D67" s="28" t="s">
        <v>130</v>
      </c>
      <c r="Q67" s="21"/>
      <c r="S67" s="21"/>
      <c r="U67" s="1"/>
      <c r="V67" s="1"/>
      <c r="W67" s="1"/>
      <c r="X67" s="2"/>
      <c r="Z67" s="21"/>
      <c r="AA67" s="21"/>
      <c r="AB67" s="21"/>
      <c r="AC67" s="21"/>
      <c r="AD67" s="21"/>
      <c r="AE67" s="21"/>
      <c r="AF67" s="21"/>
      <c r="AG67" s="21"/>
      <c r="AH67" s="21"/>
      <c r="AI67" s="21"/>
      <c r="AJ67" s="21"/>
      <c r="AK67" s="21"/>
      <c r="AL67" s="21"/>
      <c r="AM67" s="21"/>
      <c r="AN67" s="21"/>
      <c r="AV67" s="19"/>
      <c r="AX67" s="22"/>
      <c r="AY67" s="24"/>
    </row>
    <row r="68" spans="4:51">
      <c r="Q68" s="21"/>
      <c r="S68" s="21"/>
      <c r="U68" s="1"/>
      <c r="V68" s="1"/>
      <c r="W68" s="1"/>
      <c r="X68" s="2"/>
      <c r="Z68" s="21"/>
      <c r="AA68" s="21"/>
      <c r="AB68" s="21"/>
      <c r="AC68" s="21"/>
      <c r="AD68" s="21"/>
      <c r="AE68" s="21"/>
      <c r="AF68" s="21"/>
      <c r="AG68" s="21"/>
      <c r="AH68" s="21"/>
      <c r="AI68" s="21"/>
      <c r="AJ68" s="21"/>
      <c r="AK68" s="21"/>
      <c r="AL68" s="21"/>
      <c r="AM68" s="21"/>
      <c r="AN68" s="21"/>
      <c r="AV68" s="19"/>
      <c r="AX68" s="22"/>
      <c r="AY68" s="24"/>
    </row>
    <row r="69" spans="4:51">
      <c r="D69" s="34"/>
      <c r="Q69" s="2"/>
      <c r="S69" s="2"/>
      <c r="U69" s="1"/>
      <c r="V69" s="1"/>
      <c r="W69" s="1"/>
      <c r="X69" s="2"/>
      <c r="Z69" s="2"/>
      <c r="AA69" s="2"/>
      <c r="AB69" s="2"/>
      <c r="AC69" s="2"/>
      <c r="AD69" s="2"/>
      <c r="AE69" s="2"/>
      <c r="AF69" s="2"/>
      <c r="AG69" s="2"/>
      <c r="AH69" s="2"/>
      <c r="AI69" s="2"/>
      <c r="AJ69" s="2"/>
      <c r="AK69" s="2"/>
      <c r="AL69" s="2"/>
      <c r="AM69" s="2"/>
      <c r="AN69" s="2"/>
      <c r="AV69" s="19"/>
      <c r="AX69" s="22"/>
      <c r="AY69" s="24"/>
    </row>
    <row r="70" spans="4:51">
      <c r="Q70" s="21"/>
      <c r="S70" s="21"/>
      <c r="U70" s="1"/>
      <c r="V70" s="1"/>
      <c r="W70" s="1"/>
      <c r="X70" s="2"/>
      <c r="Z70" s="21"/>
      <c r="AA70" s="21"/>
      <c r="AB70" s="21"/>
      <c r="AC70" s="21"/>
      <c r="AD70" s="21"/>
      <c r="AE70" s="21"/>
      <c r="AF70" s="21"/>
      <c r="AG70" s="21"/>
      <c r="AH70" s="21"/>
      <c r="AI70" s="21"/>
      <c r="AJ70" s="21"/>
      <c r="AK70" s="21"/>
      <c r="AL70" s="21"/>
      <c r="AM70" s="21"/>
      <c r="AN70" s="21"/>
      <c r="AV70" s="19"/>
      <c r="AX70" s="22"/>
      <c r="AY70" s="24"/>
    </row>
    <row r="71" spans="4:51">
      <c r="D71" s="28" t="str">
        <f>"https://twitter.com/intent/tweet?text=I+finished+the+MECC+Commission+Calculator+in+"&amp;'Timed Results'!E20&amp;"+seconds.+Sign+up+for+the+Microsoft+Excel+Collegiate+Challenge+and+give+it+a+try!&amp;hashtags=ExcelEsports,ExcelAtEller"</f>
        <v>https://twitter.com/intent/tweet?text=I+finished+the+MECC+Commission+Calculator+in++seconds.+Sign+up+for+the+Microsoft+Excel+Collegiate+Challenge+and+give+it+a+try!&amp;hashtags=ExcelEsports,ExcelAtEller</v>
      </c>
      <c r="Q71" s="16"/>
      <c r="R71" s="9"/>
      <c r="S71" s="16"/>
      <c r="T71" s="9"/>
      <c r="U71" s="3"/>
      <c r="V71" s="3"/>
      <c r="W71" s="1"/>
      <c r="X71" s="16"/>
      <c r="Z71" s="16"/>
      <c r="AA71" s="16"/>
      <c r="AB71" s="16"/>
      <c r="AC71" s="16"/>
      <c r="AD71" s="16"/>
      <c r="AE71" s="16"/>
      <c r="AF71" s="16"/>
      <c r="AG71" s="16"/>
      <c r="AH71" s="16"/>
      <c r="AI71" s="16"/>
      <c r="AJ71" s="16"/>
      <c r="AK71" s="16"/>
      <c r="AL71" s="16"/>
      <c r="AM71" s="16"/>
      <c r="AN71" s="16"/>
      <c r="AV71" s="19"/>
      <c r="AX71" s="22"/>
      <c r="AY71" s="24"/>
    </row>
    <row r="72" spans="4:51">
      <c r="AV72" s="19"/>
      <c r="AX72" s="22"/>
      <c r="AY72" s="24"/>
    </row>
    <row r="73" spans="4:51">
      <c r="AV73" s="19"/>
      <c r="AX73" s="22"/>
      <c r="AY73" s="24"/>
    </row>
    <row r="74" spans="4:51">
      <c r="AV74" s="19"/>
      <c r="AX74" s="22"/>
      <c r="AY74" s="24"/>
    </row>
    <row r="75" spans="4:51">
      <c r="AV75" s="19"/>
      <c r="AX75" s="22"/>
      <c r="AY75" s="24"/>
    </row>
    <row r="76" spans="4:51">
      <c r="AV76" s="19"/>
      <c r="AX76" s="22"/>
      <c r="AY76" s="22"/>
    </row>
    <row r="77" spans="4:51">
      <c r="AV77" s="19"/>
    </row>
    <row r="78" spans="4:51">
      <c r="AV78" s="19"/>
    </row>
    <row r="79" spans="4:51">
      <c r="AV79" s="19"/>
    </row>
    <row r="80" spans="4:51">
      <c r="AV80" s="19"/>
    </row>
    <row r="81" spans="48:48">
      <c r="AV81" s="19"/>
    </row>
    <row r="82" spans="48:48">
      <c r="AV82" s="19"/>
    </row>
    <row r="83" spans="48:48">
      <c r="AV83" s="19"/>
    </row>
    <row r="84" spans="48:48">
      <c r="AV84" s="19"/>
    </row>
    <row r="85" spans="48:48">
      <c r="AV85" s="19"/>
    </row>
    <row r="86" spans="48:48">
      <c r="AV86" s="19"/>
    </row>
    <row r="87" spans="48:48">
      <c r="AV87" s="19"/>
    </row>
    <row r="88" spans="48:48">
      <c r="AV88" s="19"/>
    </row>
    <row r="89" spans="48:48">
      <c r="AV89" s="19"/>
    </row>
    <row r="90" spans="48:48">
      <c r="AV90" s="19"/>
    </row>
    <row r="91" spans="48:48">
      <c r="AV91" s="19"/>
    </row>
    <row r="92" spans="48:48">
      <c r="AV92" s="19"/>
    </row>
    <row r="93" spans="48:48">
      <c r="AV93" s="19"/>
    </row>
    <row r="94" spans="48:48">
      <c r="AV94" s="19"/>
    </row>
    <row r="95" spans="48:48">
      <c r="AV95" s="19"/>
    </row>
    <row r="96" spans="48:48">
      <c r="AV96" s="19"/>
    </row>
    <row r="97" spans="48:48">
      <c r="AV97" s="19"/>
    </row>
    <row r="98" spans="48:48">
      <c r="AV98" s="19"/>
    </row>
    <row r="99" spans="48:48">
      <c r="AV99" s="19"/>
    </row>
    <row r="100" spans="48:48">
      <c r="AV100" s="19"/>
    </row>
    <row r="101" spans="48:48">
      <c r="AV101" s="19"/>
    </row>
    <row r="102" spans="48:48">
      <c r="AV102" s="19"/>
    </row>
    <row r="103" spans="48:48">
      <c r="AV103" s="19"/>
    </row>
    <row r="104" spans="48:48">
      <c r="AV104" s="19"/>
    </row>
    <row r="105" spans="48:48">
      <c r="AV105" s="19"/>
    </row>
    <row r="106" spans="48:48">
      <c r="AV106" s="19"/>
    </row>
    <row r="107" spans="48:48">
      <c r="AV107" s="19"/>
    </row>
    <row r="108" spans="48:48">
      <c r="AV108" s="19"/>
    </row>
    <row r="109" spans="48:48">
      <c r="AV109" s="19"/>
    </row>
    <row r="110" spans="48:48">
      <c r="AV110" s="19"/>
    </row>
  </sheetData>
  <phoneticPr fontId="7" type="noConversion"/>
  <hyperlinks>
    <hyperlink ref="D65" r:id="rId1" xr:uid="{9DBA56ED-5479-4856-9DD1-189E54A1A28B}"/>
  </hyperlinks>
  <pageMargins left="0.7" right="0.7" top="0.75" bottom="0.75" header="0.3" footer="0.3"/>
  <pageSetup orientation="portrait" horizontalDpi="1200" verticalDpi="12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H76"/>
  <sheetViews>
    <sheetView workbookViewId="0">
      <selection activeCell="D2" sqref="D2"/>
    </sheetView>
  </sheetViews>
  <sheetFormatPr defaultColWidth="8.77734375" defaultRowHeight="14.4"/>
  <cols>
    <col min="1" max="3" width="21" style="5" customWidth="1"/>
    <col min="4" max="4" width="24.33203125" style="5" bestFit="1" customWidth="1"/>
    <col min="5" max="16384" width="8.77734375" style="4"/>
  </cols>
  <sheetData>
    <row r="1" spans="1:8">
      <c r="A1" s="7" t="s">
        <v>131</v>
      </c>
      <c r="B1" s="7" t="s">
        <v>132</v>
      </c>
      <c r="C1" s="7" t="s">
        <v>133</v>
      </c>
      <c r="D1" s="7" t="s">
        <v>134</v>
      </c>
    </row>
    <row r="2" spans="1:8">
      <c r="A2" s="2" t="str">
        <f>'Timed Results'!C20</f>
        <v/>
      </c>
      <c r="B2" s="2" t="str">
        <f>'Timed Results'!D20</f>
        <v/>
      </c>
      <c r="C2" s="2" t="str">
        <f>'Timed Results'!E20</f>
        <v/>
      </c>
      <c r="D2" s="2">
        <f>ROUND(BackgroundCalcs!D32,0)</f>
        <v>0</v>
      </c>
    </row>
    <row r="10" spans="1:8">
      <c r="H10" s="10"/>
    </row>
    <row r="11" spans="1:8">
      <c r="H11" s="11"/>
    </row>
    <row r="12" spans="1:8">
      <c r="H12" s="11"/>
    </row>
    <row r="14" spans="1:8">
      <c r="H14" s="10"/>
    </row>
    <row r="15" spans="1:8">
      <c r="H15" s="10"/>
    </row>
    <row r="16" spans="1:8">
      <c r="H16" s="10"/>
    </row>
    <row r="17" spans="8:8">
      <c r="H17" s="10"/>
    </row>
    <row r="18" spans="8:8">
      <c r="H18" s="10"/>
    </row>
    <row r="20" spans="8:8">
      <c r="H20" s="11"/>
    </row>
    <row r="21" spans="8:8">
      <c r="H21" s="12"/>
    </row>
    <row r="22" spans="8:8">
      <c r="H22" s="12"/>
    </row>
    <row r="23" spans="8:8">
      <c r="H23" s="12"/>
    </row>
    <row r="25" spans="8:8">
      <c r="H25" s="11"/>
    </row>
    <row r="26" spans="8:8">
      <c r="H26" s="12"/>
    </row>
    <row r="28" spans="8:8">
      <c r="H28" s="12"/>
    </row>
    <row r="29" spans="8:8">
      <c r="H29" s="12"/>
    </row>
    <row r="30" spans="8:8">
      <c r="H30" s="12"/>
    </row>
    <row r="31" spans="8:8">
      <c r="H31" s="12"/>
    </row>
    <row r="32" spans="8:8">
      <c r="H32" s="12"/>
    </row>
    <row r="33" spans="8:8">
      <c r="H33" s="12"/>
    </row>
    <row r="35" spans="8:8">
      <c r="H35" s="11"/>
    </row>
    <row r="36" spans="8:8">
      <c r="H36" s="12"/>
    </row>
    <row r="37" spans="8:8">
      <c r="H37" s="12"/>
    </row>
    <row r="38" spans="8:8">
      <c r="H38" s="12"/>
    </row>
    <row r="40" spans="8:8">
      <c r="H40" s="11"/>
    </row>
    <row r="41" spans="8:8">
      <c r="H41" s="12"/>
    </row>
    <row r="43" spans="8:8">
      <c r="H43" s="11"/>
    </row>
    <row r="44" spans="8:8">
      <c r="H44" s="12"/>
    </row>
    <row r="46" spans="8:8">
      <c r="H46" s="11"/>
    </row>
    <row r="47" spans="8:8">
      <c r="H47" s="12"/>
    </row>
    <row r="48" spans="8:8">
      <c r="H48" s="12"/>
    </row>
    <row r="49" spans="8:8">
      <c r="H49" s="12"/>
    </row>
    <row r="50" spans="8:8">
      <c r="H50" s="12"/>
    </row>
    <row r="51" spans="8:8">
      <c r="H51" s="12"/>
    </row>
    <row r="52" spans="8:8">
      <c r="H52" s="12"/>
    </row>
    <row r="53" spans="8:8">
      <c r="H53" s="12"/>
    </row>
    <row r="54" spans="8:8">
      <c r="H54" s="12"/>
    </row>
    <row r="55" spans="8:8">
      <c r="H55" s="12"/>
    </row>
    <row r="56" spans="8:8">
      <c r="H56" s="12"/>
    </row>
    <row r="57" spans="8:8">
      <c r="H57" s="12"/>
    </row>
    <row r="58" spans="8:8">
      <c r="H58" s="12"/>
    </row>
    <row r="59" spans="8:8">
      <c r="H59" s="12"/>
    </row>
    <row r="60" spans="8:8">
      <c r="H60" s="12"/>
    </row>
    <row r="61" spans="8:8">
      <c r="H61" s="12"/>
    </row>
    <row r="63" spans="8:8">
      <c r="H63" s="12"/>
    </row>
    <row r="64" spans="8:8">
      <c r="H64" s="12"/>
    </row>
    <row r="65" spans="8:8">
      <c r="H65" s="12"/>
    </row>
    <row r="67" spans="8:8">
      <c r="H67" s="11"/>
    </row>
    <row r="68" spans="8:8">
      <c r="H68" s="12"/>
    </row>
    <row r="70" spans="8:8">
      <c r="H70" s="12"/>
    </row>
    <row r="71" spans="8:8">
      <c r="H71" s="12"/>
    </row>
    <row r="72" spans="8:8">
      <c r="H72" s="12"/>
    </row>
    <row r="73" spans="8:8">
      <c r="H73" s="12"/>
    </row>
    <row r="74" spans="8:8">
      <c r="H74" s="12"/>
    </row>
    <row r="75" spans="8:8">
      <c r="H75" s="10"/>
    </row>
    <row r="76" spans="8:8">
      <c r="H76" s="1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61055-155C-445F-BBD4-3909BBE38A7E}">
  <sheetPr codeName="Sheet3"/>
  <dimension ref="A1:H500"/>
  <sheetViews>
    <sheetView zoomScale="130" zoomScaleNormal="130" workbookViewId="0"/>
  </sheetViews>
  <sheetFormatPr defaultRowHeight="14.4"/>
  <cols>
    <col min="1" max="1" width="8.88671875" style="4"/>
    <col min="2" max="2" width="12.21875" style="5" bestFit="1" customWidth="1"/>
    <col min="3" max="3" width="21.77734375" style="4" bestFit="1" customWidth="1"/>
    <col min="4" max="4" width="7.21875" style="4" customWidth="1"/>
    <col min="5" max="5" width="31.77734375" style="4" customWidth="1"/>
    <col min="6" max="6" width="5.77734375" style="4" bestFit="1" customWidth="1"/>
    <col min="7" max="7" width="41.109375" style="4" bestFit="1" customWidth="1"/>
    <col min="8" max="8" width="16.77734375" style="4" bestFit="1" customWidth="1"/>
    <col min="9" max="16384" width="8.88671875" style="4"/>
  </cols>
  <sheetData>
    <row r="1" spans="1:8">
      <c r="B1" s="5" t="s">
        <v>94</v>
      </c>
      <c r="C1" s="4" t="s">
        <v>95</v>
      </c>
      <c r="D1" s="4" t="s">
        <v>96</v>
      </c>
      <c r="E1" s="4" t="s">
        <v>97</v>
      </c>
      <c r="F1" s="4" t="s">
        <v>98</v>
      </c>
      <c r="G1" s="4" t="s">
        <v>99</v>
      </c>
      <c r="H1" s="4" t="s">
        <v>100</v>
      </c>
    </row>
    <row r="2" spans="1:8">
      <c r="A2" s="5">
        <v>1</v>
      </c>
      <c r="B2" s="5" t="str">
        <f>IF(ISNUMBER(A2),"CELL","")</f>
        <v>CELL</v>
      </c>
      <c r="C2" s="33" t="str" cm="1">
        <f t="array" ref="C2">IF(ISNUMBER(A2),IF(A2=A1,INDEX(BackgroundCalcs!$AV$2:$AV$500,'Grading Formulas'!$A2),"Question Results"),"")</f>
        <v>Question Results</v>
      </c>
      <c r="D2" s="8" t="str" cm="1">
        <f t="array" ref="D2">IF(ISNUMBER($A2),IF(A2=A1,INDEX(BackgroundCalcs!$AW$2:$AW$500,'Grading Formulas'!$A2),"C"&amp;A2+9),"")</f>
        <v>C10</v>
      </c>
      <c r="E2" s="4" t="str" cm="1">
        <f t="array" ref="E2">IF(ISNUMBER($A2),IF(A2=A1,"Reference2(False,True,"&amp;INDEX(BackgroundCalcs!$AX$2:$AX$500,'Grading Formulas'!$A2)&amp;")","MOEValue(.0001)"),"")</f>
        <v>MOEValue(.0001)</v>
      </c>
      <c r="F2" s="4">
        <f>IF(ISNUMBER($A2),IF(A2=A1,-1000,1),"")</f>
        <v>1</v>
      </c>
      <c r="G2" s="4" t="str">
        <f>IF(ISNUMBER($A2),IF(A2=A1,"You should not be referencing the answer cell","Correct"),"")</f>
        <v>Correct</v>
      </c>
      <c r="H2" s="4" t="str">
        <f>IF(ISNUMBER($A2),IF(A2=A1,"N/A","Incorrect"),"")</f>
        <v>Incorrect</v>
      </c>
    </row>
    <row r="3" spans="1:8">
      <c r="A3" s="5">
        <v>1</v>
      </c>
      <c r="B3" s="5" t="str">
        <f t="shared" ref="B3:B257" si="0">IF(ISNUMBER(A3),"CELL","")</f>
        <v>CELL</v>
      </c>
      <c r="C3" s="33" t="str" cm="1">
        <f t="array" ref="C3">IF(ISNUMBER(A3),IF(A3=A2,INDEX(BackgroundCalcs!$AV$2:$AV$500,'Grading Formulas'!$A3),"Question Results"),"")</f>
        <v>Commission Calculator 1</v>
      </c>
      <c r="D3" s="8" t="str" cm="1">
        <f t="array" ref="D3">IF(ISNUMBER($A3),IF(A3=A2,INDEX(BackgroundCalcs!$AW$2:$AW$500,'Grading Formulas'!$A3),"C"&amp;A3+9),"")</f>
        <v>F35</v>
      </c>
      <c r="E3" s="4" t="str" cm="1">
        <f t="array" ref="E3">IF(ISNUMBER($A3),IF(A3=A2,"Reference2(False,True,"&amp;INDEX(BackgroundCalcs!$AX$2:$AX$500,'Grading Formulas'!$A3)&amp;")","MOEValue(.0001)"),"")</f>
        <v>Reference2(False,True,G35)</v>
      </c>
      <c r="F3" s="4">
        <f t="shared" ref="F3:F66" si="1">IF(ISNUMBER($A3),IF(A3=A2,-1000,1),"")</f>
        <v>-1000</v>
      </c>
      <c r="G3" s="4" t="str">
        <f t="shared" ref="G3:G66" si="2">IF(ISNUMBER($A3),IF(A3=A2,"You should not be referencing the answer cell","Correct"),"")</f>
        <v>You should not be referencing the answer cell</v>
      </c>
      <c r="H3" s="4" t="str">
        <f t="shared" ref="H3:H66" si="3">IF(ISNUMBER($A3),IF(A3=A2,"N/A","Incorrect"),"")</f>
        <v>N/A</v>
      </c>
    </row>
    <row r="4" spans="1:8">
      <c r="A4" s="5">
        <f t="shared" ref="A4:A67" si="4">IF(A2&lt;NumAnswers,A2+1,"")</f>
        <v>2</v>
      </c>
      <c r="B4" s="5" t="str">
        <f t="shared" si="0"/>
        <v>CELL</v>
      </c>
      <c r="C4" s="33" t="str" cm="1">
        <f t="array" ref="C4">IF(ISNUMBER(A4),IF(A4=A3,INDEX(BackgroundCalcs!$AV$2:$AV$500,'Grading Formulas'!$A4),"Question Results"),"")</f>
        <v>Question Results</v>
      </c>
      <c r="D4" s="8" t="str" cm="1">
        <f t="array" ref="D4">IF(ISNUMBER($A4),IF(A4=A3,INDEX(BackgroundCalcs!$AW$2:$AW$500,'Grading Formulas'!$A4),"C"&amp;A4+9),"")</f>
        <v>C11</v>
      </c>
      <c r="E4" s="4" t="str" cm="1">
        <f t="array" ref="E4">IF(ISNUMBER($A4),IF(A4=A3,"Reference2(False,True,"&amp;INDEX(BackgroundCalcs!$AX$2:$AX$500,'Grading Formulas'!$A4)&amp;")","MOEValue(.0001)"),"")</f>
        <v>MOEValue(.0001)</v>
      </c>
      <c r="F4" s="4">
        <f t="shared" si="1"/>
        <v>1</v>
      </c>
      <c r="G4" s="4" t="str">
        <f t="shared" si="2"/>
        <v>Correct</v>
      </c>
      <c r="H4" s="4" t="str">
        <f t="shared" si="3"/>
        <v>Incorrect</v>
      </c>
    </row>
    <row r="5" spans="1:8">
      <c r="A5" s="5">
        <f t="shared" si="4"/>
        <v>2</v>
      </c>
      <c r="B5" s="5" t="str">
        <f t="shared" si="0"/>
        <v>CELL</v>
      </c>
      <c r="C5" s="33" t="str" cm="1">
        <f t="array" ref="C5">IF(ISNUMBER(A5),IF(A5=A4,INDEX(BackgroundCalcs!$AV$2:$AV$500,'Grading Formulas'!$A5),"Question Results"),"")</f>
        <v>Commission Calculator 1</v>
      </c>
      <c r="D5" s="8" t="str" cm="1">
        <f t="array" ref="D5">IF(ISNUMBER($A5),IF(A5=A4,INDEX(BackgroundCalcs!$AW$2:$AW$500,'Grading Formulas'!$A5),"C"&amp;A5+9),"")</f>
        <v>F36</v>
      </c>
      <c r="E5" s="4" t="str" cm="1">
        <f t="array" ref="E5">IF(ISNUMBER($A5),IF(A5=A4,"Reference2(False,True,"&amp;INDEX(BackgroundCalcs!$AX$2:$AX$500,'Grading Formulas'!$A5)&amp;")","MOEValue(.0001)"),"")</f>
        <v>Reference2(False,True,G36)</v>
      </c>
      <c r="F5" s="4">
        <f t="shared" si="1"/>
        <v>-1000</v>
      </c>
      <c r="G5" s="4" t="str">
        <f t="shared" si="2"/>
        <v>You should not be referencing the answer cell</v>
      </c>
      <c r="H5" s="4" t="str">
        <f t="shared" si="3"/>
        <v>N/A</v>
      </c>
    </row>
    <row r="6" spans="1:8">
      <c r="A6" s="5">
        <f t="shared" si="4"/>
        <v>3</v>
      </c>
      <c r="B6" s="5" t="str">
        <f t="shared" si="0"/>
        <v>CELL</v>
      </c>
      <c r="C6" s="33" t="str" cm="1">
        <f t="array" ref="C6">IF(ISNUMBER(A6),IF(A6=A5,INDEX(BackgroundCalcs!$AV$2:$AV$500,'Grading Formulas'!$A6),"Question Results"),"")</f>
        <v>Question Results</v>
      </c>
      <c r="D6" s="8" t="str" cm="1">
        <f t="array" ref="D6">IF(ISNUMBER($A6),IF(A6=A5,INDEX(BackgroundCalcs!$AW$2:$AW$500,'Grading Formulas'!$A6),"C"&amp;A6+9),"")</f>
        <v>C12</v>
      </c>
      <c r="E6" s="4" t="str" cm="1">
        <f t="array" ref="E6">IF(ISNUMBER($A6),IF(A6=A5,"Reference2(False,True,"&amp;INDEX(BackgroundCalcs!$AX$2:$AX$500,'Grading Formulas'!$A6)&amp;")","MOEValue(.0001)"),"")</f>
        <v>MOEValue(.0001)</v>
      </c>
      <c r="F6" s="4">
        <f t="shared" si="1"/>
        <v>1</v>
      </c>
      <c r="G6" s="4" t="str">
        <f t="shared" si="2"/>
        <v>Correct</v>
      </c>
      <c r="H6" s="4" t="str">
        <f t="shared" si="3"/>
        <v>Incorrect</v>
      </c>
    </row>
    <row r="7" spans="1:8">
      <c r="A7" s="5">
        <f t="shared" si="4"/>
        <v>3</v>
      </c>
      <c r="B7" s="5" t="str">
        <f t="shared" si="0"/>
        <v>CELL</v>
      </c>
      <c r="C7" s="33" t="str" cm="1">
        <f t="array" ref="C7">IF(ISNUMBER(A7),IF(A7=A6,INDEX(BackgroundCalcs!$AV$2:$AV$500,'Grading Formulas'!$A7),"Question Results"),"")</f>
        <v>Commission Calculator 1</v>
      </c>
      <c r="D7" s="8" t="str" cm="1">
        <f t="array" ref="D7">IF(ISNUMBER($A7),IF(A7=A6,INDEX(BackgroundCalcs!$AW$2:$AW$500,'Grading Formulas'!$A7),"C"&amp;A7+9),"")</f>
        <v>F37</v>
      </c>
      <c r="E7" s="4" t="str" cm="1">
        <f t="array" ref="E7">IF(ISNUMBER($A7),IF(A7=A6,"Reference2(False,True,"&amp;INDEX(BackgroundCalcs!$AX$2:$AX$500,'Grading Formulas'!$A7)&amp;")","MOEValue(.0001)"),"")</f>
        <v>Reference2(False,True,G37)</v>
      </c>
      <c r="F7" s="4">
        <f t="shared" si="1"/>
        <v>-1000</v>
      </c>
      <c r="G7" s="4" t="str">
        <f t="shared" si="2"/>
        <v>You should not be referencing the answer cell</v>
      </c>
      <c r="H7" s="4" t="str">
        <f t="shared" si="3"/>
        <v>N/A</v>
      </c>
    </row>
    <row r="8" spans="1:8">
      <c r="A8" s="5">
        <f t="shared" si="4"/>
        <v>4</v>
      </c>
      <c r="B8" s="5" t="str">
        <f t="shared" si="0"/>
        <v>CELL</v>
      </c>
      <c r="C8" s="33" t="str" cm="1">
        <f t="array" ref="C8">IF(ISNUMBER(A8),IF(A8=A7,INDEX(BackgroundCalcs!$AV$2:$AV$500,'Grading Formulas'!$A8),"Question Results"),"")</f>
        <v>Question Results</v>
      </c>
      <c r="D8" s="8" t="str" cm="1">
        <f t="array" ref="D8">IF(ISNUMBER($A8),IF(A8=A7,INDEX(BackgroundCalcs!$AW$2:$AW$500,'Grading Formulas'!$A8),"C"&amp;A8+9),"")</f>
        <v>C13</v>
      </c>
      <c r="E8" s="4" t="str" cm="1">
        <f t="array" ref="E8">IF(ISNUMBER($A8),IF(A8=A7,"Reference2(False,True,"&amp;INDEX(BackgroundCalcs!$AX$2:$AX$500,'Grading Formulas'!$A8)&amp;")","MOEValue(.0001)"),"")</f>
        <v>MOEValue(.0001)</v>
      </c>
      <c r="F8" s="4">
        <f t="shared" si="1"/>
        <v>1</v>
      </c>
      <c r="G8" s="4" t="str">
        <f t="shared" si="2"/>
        <v>Correct</v>
      </c>
      <c r="H8" s="4" t="str">
        <f t="shared" si="3"/>
        <v>Incorrect</v>
      </c>
    </row>
    <row r="9" spans="1:8">
      <c r="A9" s="5">
        <f t="shared" si="4"/>
        <v>4</v>
      </c>
      <c r="B9" s="5" t="str">
        <f t="shared" si="0"/>
        <v>CELL</v>
      </c>
      <c r="C9" s="33" t="str" cm="1">
        <f t="array" ref="C9">IF(ISNUMBER(A9),IF(A9=A8,INDEX(BackgroundCalcs!$AV$2:$AV$500,'Grading Formulas'!$A9),"Question Results"),"")</f>
        <v>Commission Calculator 1</v>
      </c>
      <c r="D9" s="8" t="str" cm="1">
        <f t="array" ref="D9">IF(ISNUMBER($A9),IF(A9=A8,INDEX(BackgroundCalcs!$AW$2:$AW$500,'Grading Formulas'!$A9),"C"&amp;A9+9),"")</f>
        <v>F38</v>
      </c>
      <c r="E9" s="4" t="str" cm="1">
        <f t="array" ref="E9">IF(ISNUMBER($A9),IF(A9=A8,"Reference2(False,True,"&amp;INDEX(BackgroundCalcs!$AX$2:$AX$500,'Grading Formulas'!$A9)&amp;")","MOEValue(.0001)"),"")</f>
        <v>Reference2(False,True,G38)</v>
      </c>
      <c r="F9" s="4">
        <f t="shared" si="1"/>
        <v>-1000</v>
      </c>
      <c r="G9" s="4" t="str">
        <f t="shared" si="2"/>
        <v>You should not be referencing the answer cell</v>
      </c>
      <c r="H9" s="4" t="str">
        <f t="shared" si="3"/>
        <v>N/A</v>
      </c>
    </row>
    <row r="10" spans="1:8">
      <c r="A10" s="5">
        <f t="shared" si="4"/>
        <v>5</v>
      </c>
      <c r="B10" s="5" t="str">
        <f t="shared" si="0"/>
        <v>CELL</v>
      </c>
      <c r="C10" s="33" t="str" cm="1">
        <f t="array" ref="C10">IF(ISNUMBER(A10),IF(A10=A9,INDEX(BackgroundCalcs!$AV$2:$AV$500,'Grading Formulas'!$A10),"Question Results"),"")</f>
        <v>Question Results</v>
      </c>
      <c r="D10" s="8" t="str" cm="1">
        <f t="array" ref="D10">IF(ISNUMBER($A10),IF(A10=A9,INDEX(BackgroundCalcs!$AW$2:$AW$500,'Grading Formulas'!$A10),"C"&amp;A10+9),"")</f>
        <v>C14</v>
      </c>
      <c r="E10" s="4" t="str" cm="1">
        <f t="array" ref="E10">IF(ISNUMBER($A10),IF(A10=A9,"Reference2(False,True,"&amp;INDEX(BackgroundCalcs!$AX$2:$AX$500,'Grading Formulas'!$A10)&amp;")","MOEValue(.0001)"),"")</f>
        <v>MOEValue(.0001)</v>
      </c>
      <c r="F10" s="4">
        <f t="shared" si="1"/>
        <v>1</v>
      </c>
      <c r="G10" s="4" t="str">
        <f t="shared" si="2"/>
        <v>Correct</v>
      </c>
      <c r="H10" s="4" t="str">
        <f t="shared" si="3"/>
        <v>Incorrect</v>
      </c>
    </row>
    <row r="11" spans="1:8">
      <c r="A11" s="5">
        <f t="shared" si="4"/>
        <v>5</v>
      </c>
      <c r="B11" s="5" t="str">
        <f t="shared" si="0"/>
        <v>CELL</v>
      </c>
      <c r="C11" s="33" t="str" cm="1">
        <f t="array" ref="C11">IF(ISNUMBER(A11),IF(A11=A10,INDEX(BackgroundCalcs!$AV$2:$AV$500,'Grading Formulas'!$A11),"Question Results"),"")</f>
        <v>Commission Calculator 1</v>
      </c>
      <c r="D11" s="8" t="str" cm="1">
        <f t="array" ref="D11">IF(ISNUMBER($A11),IF(A11=A10,INDEX(BackgroundCalcs!$AW$2:$AW$500,'Grading Formulas'!$A11),"C"&amp;A11+9),"")</f>
        <v>F39</v>
      </c>
      <c r="E11" s="4" t="str" cm="1">
        <f t="array" ref="E11">IF(ISNUMBER($A11),IF(A11=A10,"Reference2(False,True,"&amp;INDEX(BackgroundCalcs!$AX$2:$AX$500,'Grading Formulas'!$A11)&amp;")","MOEValue(.0001)"),"")</f>
        <v>Reference2(False,True,G39)</v>
      </c>
      <c r="F11" s="4">
        <f t="shared" si="1"/>
        <v>-1000</v>
      </c>
      <c r="G11" s="4" t="str">
        <f t="shared" si="2"/>
        <v>You should not be referencing the answer cell</v>
      </c>
      <c r="H11" s="4" t="str">
        <f t="shared" si="3"/>
        <v>N/A</v>
      </c>
    </row>
    <row r="12" spans="1:8">
      <c r="A12" s="5">
        <f t="shared" si="4"/>
        <v>6</v>
      </c>
      <c r="B12" s="5" t="str">
        <f t="shared" si="0"/>
        <v>CELL</v>
      </c>
      <c r="C12" s="33" t="str" cm="1">
        <f t="array" ref="C12">IF(ISNUMBER(A12),IF(A12=A11,INDEX(BackgroundCalcs!$AV$2:$AV$500,'Grading Formulas'!$A12),"Question Results"),"")</f>
        <v>Question Results</v>
      </c>
      <c r="D12" s="8" t="str" cm="1">
        <f t="array" ref="D12">IF(ISNUMBER($A12),IF(A12=A11,INDEX(BackgroundCalcs!$AW$2:$AW$500,'Grading Formulas'!$A12),"C"&amp;A12+9),"")</f>
        <v>C15</v>
      </c>
      <c r="E12" s="4" t="str" cm="1">
        <f t="array" ref="E12">IF(ISNUMBER($A12),IF(A12=A11,"Reference2(False,True,"&amp;INDEX(BackgroundCalcs!$AX$2:$AX$500,'Grading Formulas'!$A12)&amp;")","MOEValue(.0001)"),"")</f>
        <v>MOEValue(.0001)</v>
      </c>
      <c r="F12" s="4">
        <f t="shared" si="1"/>
        <v>1</v>
      </c>
      <c r="G12" s="4" t="str">
        <f t="shared" si="2"/>
        <v>Correct</v>
      </c>
      <c r="H12" s="4" t="str">
        <f t="shared" si="3"/>
        <v>Incorrect</v>
      </c>
    </row>
    <row r="13" spans="1:8">
      <c r="A13" s="5">
        <f t="shared" si="4"/>
        <v>6</v>
      </c>
      <c r="B13" s="5" t="str">
        <f t="shared" si="0"/>
        <v>CELL</v>
      </c>
      <c r="C13" s="33" t="str" cm="1">
        <f t="array" ref="C13">IF(ISNUMBER(A13),IF(A13=A12,INDEX(BackgroundCalcs!$AV$2:$AV$500,'Grading Formulas'!$A13),"Question Results"),"")</f>
        <v>Commission Calculator 1</v>
      </c>
      <c r="D13" s="8" t="str" cm="1">
        <f t="array" ref="D13">IF(ISNUMBER($A13),IF(A13=A12,INDEX(BackgroundCalcs!$AW$2:$AW$500,'Grading Formulas'!$A13),"C"&amp;A13+9),"")</f>
        <v>F40</v>
      </c>
      <c r="E13" s="4" t="str" cm="1">
        <f t="array" ref="E13">IF(ISNUMBER($A13),IF(A13=A12,"Reference2(False,True,"&amp;INDEX(BackgroundCalcs!$AX$2:$AX$500,'Grading Formulas'!$A13)&amp;")","MOEValue(.0001)"),"")</f>
        <v>Reference2(False,True,G40)</v>
      </c>
      <c r="F13" s="4">
        <f t="shared" si="1"/>
        <v>-1000</v>
      </c>
      <c r="G13" s="4" t="str">
        <f t="shared" si="2"/>
        <v>You should not be referencing the answer cell</v>
      </c>
      <c r="H13" s="4" t="str">
        <f t="shared" si="3"/>
        <v>N/A</v>
      </c>
    </row>
    <row r="14" spans="1:8">
      <c r="A14" s="5">
        <f t="shared" si="4"/>
        <v>7</v>
      </c>
      <c r="B14" s="5" t="str">
        <f t="shared" si="0"/>
        <v>CELL</v>
      </c>
      <c r="C14" s="33" t="str" cm="1">
        <f t="array" ref="C14">IF(ISNUMBER(A14),IF(A14=A13,INDEX(BackgroundCalcs!$AV$2:$AV$500,'Grading Formulas'!$A14),"Question Results"),"")</f>
        <v>Question Results</v>
      </c>
      <c r="D14" s="8" t="str" cm="1">
        <f t="array" ref="D14">IF(ISNUMBER($A14),IF(A14=A13,INDEX(BackgroundCalcs!$AW$2:$AW$500,'Grading Formulas'!$A14),"C"&amp;A14+9),"")</f>
        <v>C16</v>
      </c>
      <c r="E14" s="4" t="str" cm="1">
        <f t="array" ref="E14">IF(ISNUMBER($A14),IF(A14=A13,"Reference2(False,True,"&amp;INDEX(BackgroundCalcs!$AX$2:$AX$500,'Grading Formulas'!$A14)&amp;")","MOEValue(.0001)"),"")</f>
        <v>MOEValue(.0001)</v>
      </c>
      <c r="F14" s="4">
        <f t="shared" si="1"/>
        <v>1</v>
      </c>
      <c r="G14" s="4" t="str">
        <f t="shared" si="2"/>
        <v>Correct</v>
      </c>
      <c r="H14" s="4" t="str">
        <f t="shared" si="3"/>
        <v>Incorrect</v>
      </c>
    </row>
    <row r="15" spans="1:8">
      <c r="A15" s="5">
        <f t="shared" si="4"/>
        <v>7</v>
      </c>
      <c r="B15" s="5" t="str">
        <f t="shared" si="0"/>
        <v>CELL</v>
      </c>
      <c r="C15" s="33" t="str" cm="1">
        <f t="array" ref="C15">IF(ISNUMBER(A15),IF(A15=A14,INDEX(BackgroundCalcs!$AV$2:$AV$500,'Grading Formulas'!$A15),"Question Results"),"")</f>
        <v>Commission Calculator 1</v>
      </c>
      <c r="D15" s="8" t="str" cm="1">
        <f t="array" ref="D15">IF(ISNUMBER($A15),IF(A15=A14,INDEX(BackgroundCalcs!$AW$2:$AW$500,'Grading Formulas'!$A15),"C"&amp;A15+9),"")</f>
        <v>F41</v>
      </c>
      <c r="E15" s="4" t="str" cm="1">
        <f t="array" ref="E15">IF(ISNUMBER($A15),IF(A15=A14,"Reference2(False,True,"&amp;INDEX(BackgroundCalcs!$AX$2:$AX$500,'Grading Formulas'!$A15)&amp;")","MOEValue(.0001)"),"")</f>
        <v>Reference2(False,True,G41)</v>
      </c>
      <c r="F15" s="4">
        <f t="shared" si="1"/>
        <v>-1000</v>
      </c>
      <c r="G15" s="4" t="str">
        <f t="shared" si="2"/>
        <v>You should not be referencing the answer cell</v>
      </c>
      <c r="H15" s="4" t="str">
        <f t="shared" si="3"/>
        <v>N/A</v>
      </c>
    </row>
    <row r="16" spans="1:8">
      <c r="A16" s="5">
        <f t="shared" si="4"/>
        <v>8</v>
      </c>
      <c r="B16" s="5" t="str">
        <f t="shared" si="0"/>
        <v>CELL</v>
      </c>
      <c r="C16" s="33" t="str" cm="1">
        <f t="array" ref="C16">IF(ISNUMBER(A16),IF(A16=A15,INDEX(BackgroundCalcs!$AV$2:$AV$500,'Grading Formulas'!$A16),"Question Results"),"")</f>
        <v>Question Results</v>
      </c>
      <c r="D16" s="8" t="str" cm="1">
        <f t="array" ref="D16">IF(ISNUMBER($A16),IF(A16=A15,INDEX(BackgroundCalcs!$AW$2:$AW$500,'Grading Formulas'!$A16),"C"&amp;A16+9),"")</f>
        <v>C17</v>
      </c>
      <c r="E16" s="4" t="str" cm="1">
        <f t="array" ref="E16">IF(ISNUMBER($A16),IF(A16=A15,"Reference2(False,True,"&amp;INDEX(BackgroundCalcs!$AX$2:$AX$500,'Grading Formulas'!$A16)&amp;")","MOEValue(.0001)"),"")</f>
        <v>MOEValue(.0001)</v>
      </c>
      <c r="F16" s="4">
        <f t="shared" si="1"/>
        <v>1</v>
      </c>
      <c r="G16" s="4" t="str">
        <f t="shared" si="2"/>
        <v>Correct</v>
      </c>
      <c r="H16" s="4" t="str">
        <f t="shared" si="3"/>
        <v>Incorrect</v>
      </c>
    </row>
    <row r="17" spans="1:8">
      <c r="A17" s="5">
        <f t="shared" si="4"/>
        <v>8</v>
      </c>
      <c r="B17" s="5" t="str">
        <f t="shared" si="0"/>
        <v>CELL</v>
      </c>
      <c r="C17" s="33" t="str" cm="1">
        <f t="array" ref="C17">IF(ISNUMBER(A17),IF(A17=A16,INDEX(BackgroundCalcs!$AV$2:$AV$500,'Grading Formulas'!$A17),"Question Results"),"")</f>
        <v>Commission Calculator 1</v>
      </c>
      <c r="D17" s="8" t="str" cm="1">
        <f t="array" ref="D17">IF(ISNUMBER($A17),IF(A17=A16,INDEX(BackgroundCalcs!$AW$2:$AW$500,'Grading Formulas'!$A17),"C"&amp;A17+9),"")</f>
        <v>F42</v>
      </c>
      <c r="E17" s="4" t="str" cm="1">
        <f t="array" ref="E17">IF(ISNUMBER($A17),IF(A17=A16,"Reference2(False,True,"&amp;INDEX(BackgroundCalcs!$AX$2:$AX$500,'Grading Formulas'!$A17)&amp;")","MOEValue(.0001)"),"")</f>
        <v>Reference2(False,True,G42)</v>
      </c>
      <c r="F17" s="4">
        <f t="shared" si="1"/>
        <v>-1000</v>
      </c>
      <c r="G17" s="4" t="str">
        <f t="shared" si="2"/>
        <v>You should not be referencing the answer cell</v>
      </c>
      <c r="H17" s="4" t="str">
        <f t="shared" si="3"/>
        <v>N/A</v>
      </c>
    </row>
    <row r="18" spans="1:8">
      <c r="A18" s="5">
        <f t="shared" si="4"/>
        <v>9</v>
      </c>
      <c r="B18" s="5" t="str">
        <f t="shared" si="0"/>
        <v>CELL</v>
      </c>
      <c r="C18" s="33" t="str" cm="1">
        <f t="array" ref="C18">IF(ISNUMBER(A18),IF(A18=A17,INDEX(BackgroundCalcs!$AV$2:$AV$500,'Grading Formulas'!$A18),"Question Results"),"")</f>
        <v>Question Results</v>
      </c>
      <c r="D18" s="8" t="str" cm="1">
        <f t="array" ref="D18">IF(ISNUMBER($A18),IF(A18=A17,INDEX(BackgroundCalcs!$AW$2:$AW$500,'Grading Formulas'!$A18),"C"&amp;A18+9),"")</f>
        <v>C18</v>
      </c>
      <c r="E18" s="4" t="str" cm="1">
        <f t="array" ref="E18">IF(ISNUMBER($A18),IF(A18=A17,"Reference2(False,True,"&amp;INDEX(BackgroundCalcs!$AX$2:$AX$500,'Grading Formulas'!$A18)&amp;")","MOEValue(.0001)"),"")</f>
        <v>MOEValue(.0001)</v>
      </c>
      <c r="F18" s="4">
        <f t="shared" si="1"/>
        <v>1</v>
      </c>
      <c r="G18" s="4" t="str">
        <f t="shared" si="2"/>
        <v>Correct</v>
      </c>
      <c r="H18" s="4" t="str">
        <f t="shared" si="3"/>
        <v>Incorrect</v>
      </c>
    </row>
    <row r="19" spans="1:8">
      <c r="A19" s="5">
        <f t="shared" si="4"/>
        <v>9</v>
      </c>
      <c r="B19" s="5" t="str">
        <f t="shared" si="0"/>
        <v>CELL</v>
      </c>
      <c r="C19" s="33" t="str" cm="1">
        <f t="array" ref="C19">IF(ISNUMBER(A19),IF(A19=A18,INDEX(BackgroundCalcs!$AV$2:$AV$500,'Grading Formulas'!$A19),"Question Results"),"")</f>
        <v>Commission Calculator 1</v>
      </c>
      <c r="D19" s="8" t="str" cm="1">
        <f t="array" ref="D19">IF(ISNUMBER($A19),IF(A19=A18,INDEX(BackgroundCalcs!$AW$2:$AW$500,'Grading Formulas'!$A19),"C"&amp;A19+9),"")</f>
        <v>F43</v>
      </c>
      <c r="E19" s="4" t="str" cm="1">
        <f t="array" ref="E19">IF(ISNUMBER($A19),IF(A19=A18,"Reference2(False,True,"&amp;INDEX(BackgroundCalcs!$AX$2:$AX$500,'Grading Formulas'!$A19)&amp;")","MOEValue(.0001)"),"")</f>
        <v>Reference2(False,True,G43)</v>
      </c>
      <c r="F19" s="4">
        <f t="shared" si="1"/>
        <v>-1000</v>
      </c>
      <c r="G19" s="4" t="str">
        <f t="shared" si="2"/>
        <v>You should not be referencing the answer cell</v>
      </c>
      <c r="H19" s="4" t="str">
        <f t="shared" si="3"/>
        <v>N/A</v>
      </c>
    </row>
    <row r="20" spans="1:8">
      <c r="A20" s="5">
        <f t="shared" si="4"/>
        <v>10</v>
      </c>
      <c r="B20" s="5" t="str">
        <f t="shared" si="0"/>
        <v>CELL</v>
      </c>
      <c r="C20" s="33" t="str" cm="1">
        <f t="array" ref="C20">IF(ISNUMBER(A20),IF(A20=A19,INDEX(BackgroundCalcs!$AV$2:$AV$500,'Grading Formulas'!$A20),"Question Results"),"")</f>
        <v>Question Results</v>
      </c>
      <c r="D20" s="8" t="str" cm="1">
        <f t="array" ref="D20">IF(ISNUMBER($A20),IF(A20=A19,INDEX(BackgroundCalcs!$AW$2:$AW$500,'Grading Formulas'!$A20),"C"&amp;A20+9),"")</f>
        <v>C19</v>
      </c>
      <c r="E20" s="4" t="str" cm="1">
        <f t="array" ref="E20">IF(ISNUMBER($A20),IF(A20=A19,"Reference2(False,True,"&amp;INDEX(BackgroundCalcs!$AX$2:$AX$500,'Grading Formulas'!$A20)&amp;")","MOEValue(.0001)"),"")</f>
        <v>MOEValue(.0001)</v>
      </c>
      <c r="F20" s="4">
        <f t="shared" si="1"/>
        <v>1</v>
      </c>
      <c r="G20" s="4" t="str">
        <f t="shared" si="2"/>
        <v>Correct</v>
      </c>
      <c r="H20" s="4" t="str">
        <f t="shared" si="3"/>
        <v>Incorrect</v>
      </c>
    </row>
    <row r="21" spans="1:8">
      <c r="A21" s="5">
        <f t="shared" si="4"/>
        <v>10</v>
      </c>
      <c r="B21" s="5" t="str">
        <f t="shared" si="0"/>
        <v>CELL</v>
      </c>
      <c r="C21" s="33" t="str" cm="1">
        <f t="array" ref="C21">IF(ISNUMBER(A21),IF(A21=A20,INDEX(BackgroundCalcs!$AV$2:$AV$500,'Grading Formulas'!$A21),"Question Results"),"")</f>
        <v>Commission Calculator 1</v>
      </c>
      <c r="D21" s="8" t="str" cm="1">
        <f t="array" ref="D21">IF(ISNUMBER($A21),IF(A21=A20,INDEX(BackgroundCalcs!$AW$2:$AW$500,'Grading Formulas'!$A21),"C"&amp;A21+9),"")</f>
        <v>F44</v>
      </c>
      <c r="E21" s="4" t="str" cm="1">
        <f t="array" ref="E21">IF(ISNUMBER($A21),IF(A21=A20,"Reference2(False,True,"&amp;INDEX(BackgroundCalcs!$AX$2:$AX$500,'Grading Formulas'!$A21)&amp;")","MOEValue(.0001)"),"")</f>
        <v>Reference2(False,True,G44)</v>
      </c>
      <c r="F21" s="4">
        <f t="shared" si="1"/>
        <v>-1000</v>
      </c>
      <c r="G21" s="4" t="str">
        <f t="shared" si="2"/>
        <v>You should not be referencing the answer cell</v>
      </c>
      <c r="H21" s="4" t="str">
        <f t="shared" si="3"/>
        <v>N/A</v>
      </c>
    </row>
    <row r="22" spans="1:8">
      <c r="A22" s="5">
        <f t="shared" si="4"/>
        <v>11</v>
      </c>
      <c r="B22" s="5" t="str">
        <f t="shared" si="0"/>
        <v>CELL</v>
      </c>
      <c r="C22" s="33" t="str" cm="1">
        <f t="array" ref="C22">IF(ISNUMBER(A22),IF(A22=A21,INDEX(BackgroundCalcs!$AV$2:$AV$500,'Grading Formulas'!$A22),"Question Results"),"")</f>
        <v>Question Results</v>
      </c>
      <c r="D22" s="8" t="str" cm="1">
        <f t="array" ref="D22">IF(ISNUMBER($A22),IF(A22=A21,INDEX(BackgroundCalcs!$AW$2:$AW$500,'Grading Formulas'!$A22),"C"&amp;A22+9),"")</f>
        <v>C20</v>
      </c>
      <c r="E22" s="4" t="str" cm="1">
        <f t="array" ref="E22">IF(ISNUMBER($A22),IF(A22=A21,"Reference2(False,True,"&amp;INDEX(BackgroundCalcs!$AX$2:$AX$500,'Grading Formulas'!$A22)&amp;")","MOEValue(.0001)"),"")</f>
        <v>MOEValue(.0001)</v>
      </c>
      <c r="F22" s="4">
        <f t="shared" si="1"/>
        <v>1</v>
      </c>
      <c r="G22" s="4" t="str">
        <f t="shared" si="2"/>
        <v>Correct</v>
      </c>
      <c r="H22" s="4" t="str">
        <f t="shared" si="3"/>
        <v>Incorrect</v>
      </c>
    </row>
    <row r="23" spans="1:8">
      <c r="A23" s="5">
        <f t="shared" si="4"/>
        <v>11</v>
      </c>
      <c r="B23" s="5" t="str">
        <f t="shared" si="0"/>
        <v>CELL</v>
      </c>
      <c r="C23" s="33" t="str" cm="1">
        <f t="array" ref="C23">IF(ISNUMBER(A23),IF(A23=A22,INDEX(BackgroundCalcs!$AV$2:$AV$500,'Grading Formulas'!$A23),"Question Results"),"")</f>
        <v>Commission Calculator 1</v>
      </c>
      <c r="D23" s="8" t="str" cm="1">
        <f t="array" ref="D23">IF(ISNUMBER($A23),IF(A23=A22,INDEX(BackgroundCalcs!$AW$2:$AW$500,'Grading Formulas'!$A23),"C"&amp;A23+9),"")</f>
        <v>F45</v>
      </c>
      <c r="E23" s="4" t="str" cm="1">
        <f t="array" ref="E23">IF(ISNUMBER($A23),IF(A23=A22,"Reference2(False,True,"&amp;INDEX(BackgroundCalcs!$AX$2:$AX$500,'Grading Formulas'!$A23)&amp;")","MOEValue(.0001)"),"")</f>
        <v>Reference2(False,True,G45)</v>
      </c>
      <c r="F23" s="4">
        <f t="shared" si="1"/>
        <v>-1000</v>
      </c>
      <c r="G23" s="4" t="str">
        <f t="shared" si="2"/>
        <v>You should not be referencing the answer cell</v>
      </c>
      <c r="H23" s="4" t="str">
        <f t="shared" si="3"/>
        <v>N/A</v>
      </c>
    </row>
    <row r="24" spans="1:8">
      <c r="A24" s="5">
        <f t="shared" si="4"/>
        <v>12</v>
      </c>
      <c r="B24" s="5" t="str">
        <f t="shared" si="0"/>
        <v>CELL</v>
      </c>
      <c r="C24" s="33" t="str" cm="1">
        <f t="array" ref="C24">IF(ISNUMBER(A24),IF(A24=A23,INDEX(BackgroundCalcs!$AV$2:$AV$500,'Grading Formulas'!$A24),"Question Results"),"")</f>
        <v>Question Results</v>
      </c>
      <c r="D24" s="8" t="str" cm="1">
        <f t="array" ref="D24">IF(ISNUMBER($A24),IF(A24=A23,INDEX(BackgroundCalcs!$AW$2:$AW$500,'Grading Formulas'!$A24),"C"&amp;A24+9),"")</f>
        <v>C21</v>
      </c>
      <c r="E24" s="4" t="str" cm="1">
        <f t="array" ref="E24">IF(ISNUMBER($A24),IF(A24=A23,"Reference2(False,True,"&amp;INDEX(BackgroundCalcs!$AX$2:$AX$500,'Grading Formulas'!$A24)&amp;")","MOEValue(.0001)"),"")</f>
        <v>MOEValue(.0001)</v>
      </c>
      <c r="F24" s="4">
        <f t="shared" si="1"/>
        <v>1</v>
      </c>
      <c r="G24" s="4" t="str">
        <f t="shared" si="2"/>
        <v>Correct</v>
      </c>
      <c r="H24" s="4" t="str">
        <f t="shared" si="3"/>
        <v>Incorrect</v>
      </c>
    </row>
    <row r="25" spans="1:8">
      <c r="A25" s="5">
        <f t="shared" si="4"/>
        <v>12</v>
      </c>
      <c r="B25" s="5" t="str">
        <f t="shared" si="0"/>
        <v>CELL</v>
      </c>
      <c r="C25" s="33" t="str" cm="1">
        <f t="array" ref="C25">IF(ISNUMBER(A25),IF(A25=A24,INDEX(BackgroundCalcs!$AV$2:$AV$500,'Grading Formulas'!$A25),"Question Results"),"")</f>
        <v>Commission Calculator 1</v>
      </c>
      <c r="D25" s="8" t="str" cm="1">
        <f t="array" ref="D25">IF(ISNUMBER($A25),IF(A25=A24,INDEX(BackgroundCalcs!$AW$2:$AW$500,'Grading Formulas'!$A25),"C"&amp;A25+9),"")</f>
        <v>F46</v>
      </c>
      <c r="E25" s="4" t="str" cm="1">
        <f t="array" ref="E25">IF(ISNUMBER($A25),IF(A25=A24,"Reference2(False,True,"&amp;INDEX(BackgroundCalcs!$AX$2:$AX$500,'Grading Formulas'!$A25)&amp;")","MOEValue(.0001)"),"")</f>
        <v>Reference2(False,True,G46)</v>
      </c>
      <c r="F25" s="4">
        <f t="shared" si="1"/>
        <v>-1000</v>
      </c>
      <c r="G25" s="4" t="str">
        <f t="shared" si="2"/>
        <v>You should not be referencing the answer cell</v>
      </c>
      <c r="H25" s="4" t="str">
        <f t="shared" si="3"/>
        <v>N/A</v>
      </c>
    </row>
    <row r="26" spans="1:8">
      <c r="A26" s="5">
        <f t="shared" si="4"/>
        <v>13</v>
      </c>
      <c r="B26" s="5" t="str">
        <f t="shared" si="0"/>
        <v>CELL</v>
      </c>
      <c r="C26" s="33" t="str" cm="1">
        <f t="array" ref="C26">IF(ISNUMBER(A26),IF(A26=A25,INDEX(BackgroundCalcs!$AV$2:$AV$500,'Grading Formulas'!$A26),"Question Results"),"")</f>
        <v>Question Results</v>
      </c>
      <c r="D26" s="8" t="str" cm="1">
        <f t="array" ref="D26">IF(ISNUMBER($A26),IF(A26=A25,INDEX(BackgroundCalcs!$AW$2:$AW$500,'Grading Formulas'!$A26),"C"&amp;A26+9),"")</f>
        <v>C22</v>
      </c>
      <c r="E26" s="4" t="str" cm="1">
        <f t="array" ref="E26">IF(ISNUMBER($A26),IF(A26=A25,"Reference2(False,True,"&amp;INDEX(BackgroundCalcs!$AX$2:$AX$500,'Grading Formulas'!$A26)&amp;")","MOEValue(.0001)"),"")</f>
        <v>MOEValue(.0001)</v>
      </c>
      <c r="F26" s="4">
        <f t="shared" si="1"/>
        <v>1</v>
      </c>
      <c r="G26" s="4" t="str">
        <f t="shared" si="2"/>
        <v>Correct</v>
      </c>
      <c r="H26" s="4" t="str">
        <f t="shared" si="3"/>
        <v>Incorrect</v>
      </c>
    </row>
    <row r="27" spans="1:8">
      <c r="A27" s="5">
        <f t="shared" si="4"/>
        <v>13</v>
      </c>
      <c r="B27" s="5" t="str">
        <f t="shared" si="0"/>
        <v>CELL</v>
      </c>
      <c r="C27" s="33" t="str" cm="1">
        <f t="array" ref="C27">IF(ISNUMBER(A27),IF(A27=A26,INDEX(BackgroundCalcs!$AV$2:$AV$500,'Grading Formulas'!$A27),"Question Results"),"")</f>
        <v>Commission Calculator 2</v>
      </c>
      <c r="D27" s="8" t="str" cm="1">
        <f t="array" ref="D27">IF(ISNUMBER($A27),IF(A27=A26,INDEX(BackgroundCalcs!$AW$2:$AW$500,'Grading Formulas'!$A27),"C"&amp;A27+9),"")</f>
        <v>F35</v>
      </c>
      <c r="E27" s="4" t="str" cm="1">
        <f t="array" ref="E27">IF(ISNUMBER($A27),IF(A27=A26,"Reference2(False,True,"&amp;INDEX(BackgroundCalcs!$AX$2:$AX$500,'Grading Formulas'!$A27)&amp;")","MOEValue(.0001)"),"")</f>
        <v>Reference2(False,True,G35)</v>
      </c>
      <c r="F27" s="4">
        <f t="shared" si="1"/>
        <v>-1000</v>
      </c>
      <c r="G27" s="4" t="str">
        <f t="shared" si="2"/>
        <v>You should not be referencing the answer cell</v>
      </c>
      <c r="H27" s="4" t="str">
        <f t="shared" si="3"/>
        <v>N/A</v>
      </c>
    </row>
    <row r="28" spans="1:8">
      <c r="A28" s="5">
        <f t="shared" si="4"/>
        <v>14</v>
      </c>
      <c r="B28" s="5" t="str">
        <f t="shared" si="0"/>
        <v>CELL</v>
      </c>
      <c r="C28" s="33" t="str" cm="1">
        <f t="array" ref="C28">IF(ISNUMBER(A28),IF(A28=A27,INDEX(BackgroundCalcs!$AV$2:$AV$500,'Grading Formulas'!$A28),"Question Results"),"")</f>
        <v>Question Results</v>
      </c>
      <c r="D28" s="8" t="str" cm="1">
        <f t="array" ref="D28">IF(ISNUMBER($A28),IF(A28=A27,INDEX(BackgroundCalcs!$AW$2:$AW$500,'Grading Formulas'!$A28),"C"&amp;A28+9),"")</f>
        <v>C23</v>
      </c>
      <c r="E28" s="4" t="str" cm="1">
        <f t="array" ref="E28">IF(ISNUMBER($A28),IF(A28=A27,"Reference2(False,True,"&amp;INDEX(BackgroundCalcs!$AX$2:$AX$500,'Grading Formulas'!$A28)&amp;")","MOEValue(.0001)"),"")</f>
        <v>MOEValue(.0001)</v>
      </c>
      <c r="F28" s="4">
        <f t="shared" si="1"/>
        <v>1</v>
      </c>
      <c r="G28" s="4" t="str">
        <f t="shared" si="2"/>
        <v>Correct</v>
      </c>
      <c r="H28" s="4" t="str">
        <f t="shared" si="3"/>
        <v>Incorrect</v>
      </c>
    </row>
    <row r="29" spans="1:8">
      <c r="A29" s="5">
        <f t="shared" si="4"/>
        <v>14</v>
      </c>
      <c r="B29" s="5" t="str">
        <f t="shared" si="0"/>
        <v>CELL</v>
      </c>
      <c r="C29" s="33" t="str" cm="1">
        <f t="array" ref="C29">IF(ISNUMBER(A29),IF(A29=A28,INDEX(BackgroundCalcs!$AV$2:$AV$500,'Grading Formulas'!$A29),"Question Results"),"")</f>
        <v>Commission Calculator 2</v>
      </c>
      <c r="D29" s="8" t="str" cm="1">
        <f t="array" ref="D29">IF(ISNUMBER($A29),IF(A29=A28,INDEX(BackgroundCalcs!$AW$2:$AW$500,'Grading Formulas'!$A29),"C"&amp;A29+9),"")</f>
        <v>F36</v>
      </c>
      <c r="E29" s="4" t="str" cm="1">
        <f t="array" ref="E29">IF(ISNUMBER($A29),IF(A29=A28,"Reference2(False,True,"&amp;INDEX(BackgroundCalcs!$AX$2:$AX$500,'Grading Formulas'!$A29)&amp;")","MOEValue(.0001)"),"")</f>
        <v>Reference2(False,True,G36)</v>
      </c>
      <c r="F29" s="4">
        <f t="shared" si="1"/>
        <v>-1000</v>
      </c>
      <c r="G29" s="4" t="str">
        <f t="shared" si="2"/>
        <v>You should not be referencing the answer cell</v>
      </c>
      <c r="H29" s="4" t="str">
        <f t="shared" si="3"/>
        <v>N/A</v>
      </c>
    </row>
    <row r="30" spans="1:8">
      <c r="A30" s="5">
        <f t="shared" si="4"/>
        <v>15</v>
      </c>
      <c r="B30" s="5" t="str">
        <f t="shared" si="0"/>
        <v>CELL</v>
      </c>
      <c r="C30" s="33" t="str" cm="1">
        <f t="array" ref="C30">IF(ISNUMBER(A30),IF(A30=A29,INDEX(BackgroundCalcs!$AV$2:$AV$500,'Grading Formulas'!$A30),"Question Results"),"")</f>
        <v>Question Results</v>
      </c>
      <c r="D30" s="8" t="str" cm="1">
        <f t="array" ref="D30">IF(ISNUMBER($A30),IF(A30=A29,INDEX(BackgroundCalcs!$AW$2:$AW$500,'Grading Formulas'!$A30),"C"&amp;A30+9),"")</f>
        <v>C24</v>
      </c>
      <c r="E30" s="4" t="str" cm="1">
        <f t="array" ref="E30">IF(ISNUMBER($A30),IF(A30=A29,"Reference2(False,True,"&amp;INDEX(BackgroundCalcs!$AX$2:$AX$500,'Grading Formulas'!$A30)&amp;")","MOEValue(.0001)"),"")</f>
        <v>MOEValue(.0001)</v>
      </c>
      <c r="F30" s="4">
        <f t="shared" si="1"/>
        <v>1</v>
      </c>
      <c r="G30" s="4" t="str">
        <f t="shared" si="2"/>
        <v>Correct</v>
      </c>
      <c r="H30" s="4" t="str">
        <f t="shared" si="3"/>
        <v>Incorrect</v>
      </c>
    </row>
    <row r="31" spans="1:8">
      <c r="A31" s="5">
        <f t="shared" si="4"/>
        <v>15</v>
      </c>
      <c r="B31" s="5" t="str">
        <f t="shared" si="0"/>
        <v>CELL</v>
      </c>
      <c r="C31" s="33" t="str" cm="1">
        <f t="array" ref="C31">IF(ISNUMBER(A31),IF(A31=A30,INDEX(BackgroundCalcs!$AV$2:$AV$500,'Grading Formulas'!$A31),"Question Results"),"")</f>
        <v>Commission Calculator 2</v>
      </c>
      <c r="D31" s="8" t="str" cm="1">
        <f t="array" ref="D31">IF(ISNUMBER($A31),IF(A31=A30,INDEX(BackgroundCalcs!$AW$2:$AW$500,'Grading Formulas'!$A31),"C"&amp;A31+9),"")</f>
        <v>F37</v>
      </c>
      <c r="E31" s="4" t="str" cm="1">
        <f t="array" ref="E31">IF(ISNUMBER($A31),IF(A31=A30,"Reference2(False,True,"&amp;INDEX(BackgroundCalcs!$AX$2:$AX$500,'Grading Formulas'!$A31)&amp;")","MOEValue(.0001)"),"")</f>
        <v>Reference2(False,True,G37)</v>
      </c>
      <c r="F31" s="4">
        <f t="shared" si="1"/>
        <v>-1000</v>
      </c>
      <c r="G31" s="4" t="str">
        <f t="shared" si="2"/>
        <v>You should not be referencing the answer cell</v>
      </c>
      <c r="H31" s="4" t="str">
        <f t="shared" si="3"/>
        <v>N/A</v>
      </c>
    </row>
    <row r="32" spans="1:8">
      <c r="A32" s="5">
        <f t="shared" si="4"/>
        <v>16</v>
      </c>
      <c r="B32" s="5" t="str">
        <f t="shared" si="0"/>
        <v>CELL</v>
      </c>
      <c r="C32" s="33" t="str" cm="1">
        <f t="array" ref="C32">IF(ISNUMBER(A32),IF(A32=A31,INDEX(BackgroundCalcs!$AV$2:$AV$500,'Grading Formulas'!$A32),"Question Results"),"")</f>
        <v>Question Results</v>
      </c>
      <c r="D32" s="8" t="str" cm="1">
        <f t="array" ref="D32">IF(ISNUMBER($A32),IF(A32=A31,INDEX(BackgroundCalcs!$AW$2:$AW$500,'Grading Formulas'!$A32),"C"&amp;A32+9),"")</f>
        <v>C25</v>
      </c>
      <c r="E32" s="4" t="str" cm="1">
        <f t="array" ref="E32">IF(ISNUMBER($A32),IF(A32=A31,"Reference2(False,True,"&amp;INDEX(BackgroundCalcs!$AX$2:$AX$500,'Grading Formulas'!$A32)&amp;")","MOEValue(.0001)"),"")</f>
        <v>MOEValue(.0001)</v>
      </c>
      <c r="F32" s="4">
        <f t="shared" si="1"/>
        <v>1</v>
      </c>
      <c r="G32" s="4" t="str">
        <f t="shared" si="2"/>
        <v>Correct</v>
      </c>
      <c r="H32" s="4" t="str">
        <f t="shared" si="3"/>
        <v>Incorrect</v>
      </c>
    </row>
    <row r="33" spans="1:8">
      <c r="A33" s="5">
        <f t="shared" si="4"/>
        <v>16</v>
      </c>
      <c r="B33" s="5" t="str">
        <f t="shared" si="0"/>
        <v>CELL</v>
      </c>
      <c r="C33" s="33" t="str" cm="1">
        <f t="array" ref="C33">IF(ISNUMBER(A33),IF(A33=A32,INDEX(BackgroundCalcs!$AV$2:$AV$500,'Grading Formulas'!$A33),"Question Results"),"")</f>
        <v>Commission Calculator 2</v>
      </c>
      <c r="D33" s="8" t="str" cm="1">
        <f t="array" ref="D33">IF(ISNUMBER($A33),IF(A33=A32,INDEX(BackgroundCalcs!$AW$2:$AW$500,'Grading Formulas'!$A33),"C"&amp;A33+9),"")</f>
        <v>F38</v>
      </c>
      <c r="E33" s="4" t="str" cm="1">
        <f t="array" ref="E33">IF(ISNUMBER($A33),IF(A33=A32,"Reference2(False,True,"&amp;INDEX(BackgroundCalcs!$AX$2:$AX$500,'Grading Formulas'!$A33)&amp;")","MOEValue(.0001)"),"")</f>
        <v>Reference2(False,True,G38)</v>
      </c>
      <c r="F33" s="4">
        <f t="shared" si="1"/>
        <v>-1000</v>
      </c>
      <c r="G33" s="4" t="str">
        <f t="shared" si="2"/>
        <v>You should not be referencing the answer cell</v>
      </c>
      <c r="H33" s="4" t="str">
        <f t="shared" si="3"/>
        <v>N/A</v>
      </c>
    </row>
    <row r="34" spans="1:8">
      <c r="A34" s="5">
        <f t="shared" si="4"/>
        <v>17</v>
      </c>
      <c r="B34" s="5" t="str">
        <f t="shared" si="0"/>
        <v>CELL</v>
      </c>
      <c r="C34" s="33" t="str" cm="1">
        <f t="array" ref="C34">IF(ISNUMBER(A34),IF(A34=A33,INDEX(BackgroundCalcs!$AV$2:$AV$500,'Grading Formulas'!$A34),"Question Results"),"")</f>
        <v>Question Results</v>
      </c>
      <c r="D34" s="8" t="str" cm="1">
        <f t="array" ref="D34">IF(ISNUMBER($A34),IF(A34=A33,INDEX(BackgroundCalcs!$AW$2:$AW$500,'Grading Formulas'!$A34),"C"&amp;A34+9),"")</f>
        <v>C26</v>
      </c>
      <c r="E34" s="4" t="str" cm="1">
        <f t="array" ref="E34">IF(ISNUMBER($A34),IF(A34=A33,"Reference2(False,True,"&amp;INDEX(BackgroundCalcs!$AX$2:$AX$500,'Grading Formulas'!$A34)&amp;")","MOEValue(.0001)"),"")</f>
        <v>MOEValue(.0001)</v>
      </c>
      <c r="F34" s="4">
        <f t="shared" si="1"/>
        <v>1</v>
      </c>
      <c r="G34" s="4" t="str">
        <f t="shared" si="2"/>
        <v>Correct</v>
      </c>
      <c r="H34" s="4" t="str">
        <f t="shared" si="3"/>
        <v>Incorrect</v>
      </c>
    </row>
    <row r="35" spans="1:8">
      <c r="A35" s="5">
        <f t="shared" si="4"/>
        <v>17</v>
      </c>
      <c r="B35" s="5" t="str">
        <f t="shared" si="0"/>
        <v>CELL</v>
      </c>
      <c r="C35" s="33" t="str" cm="1">
        <f t="array" ref="C35">IF(ISNUMBER(A35),IF(A35=A34,INDEX(BackgroundCalcs!$AV$2:$AV$500,'Grading Formulas'!$A35),"Question Results"),"")</f>
        <v>Commission Calculator 2</v>
      </c>
      <c r="D35" s="8" t="str" cm="1">
        <f t="array" ref="D35">IF(ISNUMBER($A35),IF(A35=A34,INDEX(BackgroundCalcs!$AW$2:$AW$500,'Grading Formulas'!$A35),"C"&amp;A35+9),"")</f>
        <v>F39</v>
      </c>
      <c r="E35" s="4" t="str" cm="1">
        <f t="array" ref="E35">IF(ISNUMBER($A35),IF(A35=A34,"Reference2(False,True,"&amp;INDEX(BackgroundCalcs!$AX$2:$AX$500,'Grading Formulas'!$A35)&amp;")","MOEValue(.0001)"),"")</f>
        <v>Reference2(False,True,G39)</v>
      </c>
      <c r="F35" s="4">
        <f t="shared" si="1"/>
        <v>-1000</v>
      </c>
      <c r="G35" s="4" t="str">
        <f t="shared" si="2"/>
        <v>You should not be referencing the answer cell</v>
      </c>
      <c r="H35" s="4" t="str">
        <f t="shared" si="3"/>
        <v>N/A</v>
      </c>
    </row>
    <row r="36" spans="1:8">
      <c r="A36" s="5">
        <f t="shared" si="4"/>
        <v>18</v>
      </c>
      <c r="B36" s="5" t="str">
        <f t="shared" si="0"/>
        <v>CELL</v>
      </c>
      <c r="C36" s="33" t="str" cm="1">
        <f t="array" ref="C36">IF(ISNUMBER(A36),IF(A36=A35,INDEX(BackgroundCalcs!$AV$2:$AV$500,'Grading Formulas'!$A36),"Question Results"),"")</f>
        <v>Question Results</v>
      </c>
      <c r="D36" s="8" t="str" cm="1">
        <f t="array" ref="D36">IF(ISNUMBER($A36),IF(A36=A35,INDEX(BackgroundCalcs!$AW$2:$AW$500,'Grading Formulas'!$A36),"C"&amp;A36+9),"")</f>
        <v>C27</v>
      </c>
      <c r="E36" s="4" t="str" cm="1">
        <f t="array" ref="E36">IF(ISNUMBER($A36),IF(A36=A35,"Reference2(False,True,"&amp;INDEX(BackgroundCalcs!$AX$2:$AX$500,'Grading Formulas'!$A36)&amp;")","MOEValue(.0001)"),"")</f>
        <v>MOEValue(.0001)</v>
      </c>
      <c r="F36" s="4">
        <f t="shared" si="1"/>
        <v>1</v>
      </c>
      <c r="G36" s="4" t="str">
        <f t="shared" si="2"/>
        <v>Correct</v>
      </c>
      <c r="H36" s="4" t="str">
        <f t="shared" si="3"/>
        <v>Incorrect</v>
      </c>
    </row>
    <row r="37" spans="1:8">
      <c r="A37" s="5">
        <f t="shared" si="4"/>
        <v>18</v>
      </c>
      <c r="B37" s="5" t="str">
        <f t="shared" si="0"/>
        <v>CELL</v>
      </c>
      <c r="C37" s="33" t="str" cm="1">
        <f t="array" ref="C37">IF(ISNUMBER(A37),IF(A37=A36,INDEX(BackgroundCalcs!$AV$2:$AV$500,'Grading Formulas'!$A37),"Question Results"),"")</f>
        <v>Commission Calculator 2</v>
      </c>
      <c r="D37" s="8" t="str" cm="1">
        <f t="array" ref="D37">IF(ISNUMBER($A37),IF(A37=A36,INDEX(BackgroundCalcs!$AW$2:$AW$500,'Grading Formulas'!$A37),"C"&amp;A37+9),"")</f>
        <v>F40</v>
      </c>
      <c r="E37" s="4" t="str" cm="1">
        <f t="array" ref="E37">IF(ISNUMBER($A37),IF(A37=A36,"Reference2(False,True,"&amp;INDEX(BackgroundCalcs!$AX$2:$AX$500,'Grading Formulas'!$A37)&amp;")","MOEValue(.0001)"),"")</f>
        <v>Reference2(False,True,G40)</v>
      </c>
      <c r="F37" s="4">
        <f t="shared" si="1"/>
        <v>-1000</v>
      </c>
      <c r="G37" s="4" t="str">
        <f t="shared" si="2"/>
        <v>You should not be referencing the answer cell</v>
      </c>
      <c r="H37" s="4" t="str">
        <f t="shared" si="3"/>
        <v>N/A</v>
      </c>
    </row>
    <row r="38" spans="1:8">
      <c r="A38" s="5">
        <f t="shared" si="4"/>
        <v>19</v>
      </c>
      <c r="B38" s="5" t="str">
        <f t="shared" si="0"/>
        <v>CELL</v>
      </c>
      <c r="C38" s="33" t="str" cm="1">
        <f t="array" ref="C38">IF(ISNUMBER(A38),IF(A38=A37,INDEX(BackgroundCalcs!$AV$2:$AV$500,'Grading Formulas'!$A38),"Question Results"),"")</f>
        <v>Question Results</v>
      </c>
      <c r="D38" s="8" t="str" cm="1">
        <f t="array" ref="D38">IF(ISNUMBER($A38),IF(A38=A37,INDEX(BackgroundCalcs!$AW$2:$AW$500,'Grading Formulas'!$A38),"C"&amp;A38+9),"")</f>
        <v>C28</v>
      </c>
      <c r="E38" s="4" t="str" cm="1">
        <f t="array" ref="E38">IF(ISNUMBER($A38),IF(A38=A37,"Reference2(False,True,"&amp;INDEX(BackgroundCalcs!$AX$2:$AX$500,'Grading Formulas'!$A38)&amp;")","MOEValue(.0001)"),"")</f>
        <v>MOEValue(.0001)</v>
      </c>
      <c r="F38" s="4">
        <f t="shared" si="1"/>
        <v>1</v>
      </c>
      <c r="G38" s="4" t="str">
        <f t="shared" si="2"/>
        <v>Correct</v>
      </c>
      <c r="H38" s="4" t="str">
        <f t="shared" si="3"/>
        <v>Incorrect</v>
      </c>
    </row>
    <row r="39" spans="1:8">
      <c r="A39" s="5">
        <f t="shared" si="4"/>
        <v>19</v>
      </c>
      <c r="B39" s="5" t="str">
        <f t="shared" si="0"/>
        <v>CELL</v>
      </c>
      <c r="C39" s="33" t="str" cm="1">
        <f t="array" ref="C39">IF(ISNUMBER(A39),IF(A39=A38,INDEX(BackgroundCalcs!$AV$2:$AV$500,'Grading Formulas'!$A39),"Question Results"),"")</f>
        <v>Commission Calculator 2</v>
      </c>
      <c r="D39" s="8" t="str" cm="1">
        <f t="array" ref="D39">IF(ISNUMBER($A39),IF(A39=A38,INDEX(BackgroundCalcs!$AW$2:$AW$500,'Grading Formulas'!$A39),"C"&amp;A39+9),"")</f>
        <v>F41</v>
      </c>
      <c r="E39" s="4" t="str" cm="1">
        <f t="array" ref="E39">IF(ISNUMBER($A39),IF(A39=A38,"Reference2(False,True,"&amp;INDEX(BackgroundCalcs!$AX$2:$AX$500,'Grading Formulas'!$A39)&amp;")","MOEValue(.0001)"),"")</f>
        <v>Reference2(False,True,G41)</v>
      </c>
      <c r="F39" s="4">
        <f t="shared" si="1"/>
        <v>-1000</v>
      </c>
      <c r="G39" s="4" t="str">
        <f t="shared" si="2"/>
        <v>You should not be referencing the answer cell</v>
      </c>
      <c r="H39" s="4" t="str">
        <f t="shared" si="3"/>
        <v>N/A</v>
      </c>
    </row>
    <row r="40" spans="1:8">
      <c r="A40" s="5">
        <f t="shared" si="4"/>
        <v>20</v>
      </c>
      <c r="B40" s="5" t="str">
        <f t="shared" si="0"/>
        <v>CELL</v>
      </c>
      <c r="C40" s="33" t="str" cm="1">
        <f t="array" ref="C40">IF(ISNUMBER(A40),IF(A40=A39,INDEX(BackgroundCalcs!$AV$2:$AV$500,'Grading Formulas'!$A40),"Question Results"),"")</f>
        <v>Question Results</v>
      </c>
      <c r="D40" s="8" t="str" cm="1">
        <f t="array" ref="D40">IF(ISNUMBER($A40),IF(A40=A39,INDEX(BackgroundCalcs!$AW$2:$AW$500,'Grading Formulas'!$A40),"C"&amp;A40+9),"")</f>
        <v>C29</v>
      </c>
      <c r="E40" s="4" t="str" cm="1">
        <f t="array" ref="E40">IF(ISNUMBER($A40),IF(A40=A39,"Reference2(False,True,"&amp;INDEX(BackgroundCalcs!$AX$2:$AX$500,'Grading Formulas'!$A40)&amp;")","MOEValue(.0001)"),"")</f>
        <v>MOEValue(.0001)</v>
      </c>
      <c r="F40" s="4">
        <f t="shared" si="1"/>
        <v>1</v>
      </c>
      <c r="G40" s="4" t="str">
        <f t="shared" si="2"/>
        <v>Correct</v>
      </c>
      <c r="H40" s="4" t="str">
        <f t="shared" si="3"/>
        <v>Incorrect</v>
      </c>
    </row>
    <row r="41" spans="1:8">
      <c r="A41" s="5">
        <f t="shared" si="4"/>
        <v>20</v>
      </c>
      <c r="B41" s="5" t="str">
        <f t="shared" si="0"/>
        <v>CELL</v>
      </c>
      <c r="C41" s="33" t="str" cm="1">
        <f t="array" ref="C41">IF(ISNUMBER(A41),IF(A41=A40,INDEX(BackgroundCalcs!$AV$2:$AV$500,'Grading Formulas'!$A41),"Question Results"),"")</f>
        <v>Commission Calculator 2</v>
      </c>
      <c r="D41" s="8" t="str" cm="1">
        <f t="array" ref="D41">IF(ISNUMBER($A41),IF(A41=A40,INDEX(BackgroundCalcs!$AW$2:$AW$500,'Grading Formulas'!$A41),"C"&amp;A41+9),"")</f>
        <v>F42</v>
      </c>
      <c r="E41" s="4" t="str" cm="1">
        <f t="array" ref="E41">IF(ISNUMBER($A41),IF(A41=A40,"Reference2(False,True,"&amp;INDEX(BackgroundCalcs!$AX$2:$AX$500,'Grading Formulas'!$A41)&amp;")","MOEValue(.0001)"),"")</f>
        <v>Reference2(False,True,G42)</v>
      </c>
      <c r="F41" s="4">
        <f t="shared" si="1"/>
        <v>-1000</v>
      </c>
      <c r="G41" s="4" t="str">
        <f t="shared" si="2"/>
        <v>You should not be referencing the answer cell</v>
      </c>
      <c r="H41" s="4" t="str">
        <f t="shared" si="3"/>
        <v>N/A</v>
      </c>
    </row>
    <row r="42" spans="1:8">
      <c r="A42" s="5">
        <f t="shared" si="4"/>
        <v>21</v>
      </c>
      <c r="B42" s="5" t="str">
        <f t="shared" si="0"/>
        <v>CELL</v>
      </c>
      <c r="C42" s="33" t="str" cm="1">
        <f t="array" ref="C42">IF(ISNUMBER(A42),IF(A42=A41,INDEX(BackgroundCalcs!$AV$2:$AV$500,'Grading Formulas'!$A42),"Question Results"),"")</f>
        <v>Question Results</v>
      </c>
      <c r="D42" s="8" t="str" cm="1">
        <f t="array" ref="D42">IF(ISNUMBER($A42),IF(A42=A41,INDEX(BackgroundCalcs!$AW$2:$AW$500,'Grading Formulas'!$A42),"C"&amp;A42+9),"")</f>
        <v>C30</v>
      </c>
      <c r="E42" s="4" t="str" cm="1">
        <f t="array" ref="E42">IF(ISNUMBER($A42),IF(A42=A41,"Reference2(False,True,"&amp;INDEX(BackgroundCalcs!$AX$2:$AX$500,'Grading Formulas'!$A42)&amp;")","MOEValue(.0001)"),"")</f>
        <v>MOEValue(.0001)</v>
      </c>
      <c r="F42" s="4">
        <f t="shared" si="1"/>
        <v>1</v>
      </c>
      <c r="G42" s="4" t="str">
        <f t="shared" si="2"/>
        <v>Correct</v>
      </c>
      <c r="H42" s="4" t="str">
        <f t="shared" si="3"/>
        <v>Incorrect</v>
      </c>
    </row>
    <row r="43" spans="1:8">
      <c r="A43" s="5">
        <f t="shared" si="4"/>
        <v>21</v>
      </c>
      <c r="B43" s="5" t="str">
        <f t="shared" si="0"/>
        <v>CELL</v>
      </c>
      <c r="C43" s="33" t="str" cm="1">
        <f t="array" ref="C43">IF(ISNUMBER(A43),IF(A43=A42,INDEX(BackgroundCalcs!$AV$2:$AV$500,'Grading Formulas'!$A43),"Question Results"),"")</f>
        <v>Commission Calculator 2</v>
      </c>
      <c r="D43" s="8" t="str" cm="1">
        <f t="array" ref="D43">IF(ISNUMBER($A43),IF(A43=A42,INDEX(BackgroundCalcs!$AW$2:$AW$500,'Grading Formulas'!$A43),"C"&amp;A43+9),"")</f>
        <v>F43</v>
      </c>
      <c r="E43" s="4" t="str" cm="1">
        <f t="array" ref="E43">IF(ISNUMBER($A43),IF(A43=A42,"Reference2(False,True,"&amp;INDEX(BackgroundCalcs!$AX$2:$AX$500,'Grading Formulas'!$A43)&amp;")","MOEValue(.0001)"),"")</f>
        <v>Reference2(False,True,G43)</v>
      </c>
      <c r="F43" s="4">
        <f t="shared" si="1"/>
        <v>-1000</v>
      </c>
      <c r="G43" s="4" t="str">
        <f t="shared" si="2"/>
        <v>You should not be referencing the answer cell</v>
      </c>
      <c r="H43" s="4" t="str">
        <f t="shared" si="3"/>
        <v>N/A</v>
      </c>
    </row>
    <row r="44" spans="1:8">
      <c r="A44" s="5">
        <f t="shared" si="4"/>
        <v>22</v>
      </c>
      <c r="B44" s="5" t="str">
        <f t="shared" si="0"/>
        <v>CELL</v>
      </c>
      <c r="C44" s="33" t="str" cm="1">
        <f t="array" ref="C44">IF(ISNUMBER(A44),IF(A44=A43,INDEX(BackgroundCalcs!$AV$2:$AV$500,'Grading Formulas'!$A44),"Question Results"),"")</f>
        <v>Question Results</v>
      </c>
      <c r="D44" s="8" t="str" cm="1">
        <f t="array" ref="D44">IF(ISNUMBER($A44),IF(A44=A43,INDEX(BackgroundCalcs!$AW$2:$AW$500,'Grading Formulas'!$A44),"C"&amp;A44+9),"")</f>
        <v>C31</v>
      </c>
      <c r="E44" s="4" t="str" cm="1">
        <f t="array" ref="E44">IF(ISNUMBER($A44),IF(A44=A43,"Reference2(False,True,"&amp;INDEX(BackgroundCalcs!$AX$2:$AX$500,'Grading Formulas'!$A44)&amp;")","MOEValue(.0001)"),"")</f>
        <v>MOEValue(.0001)</v>
      </c>
      <c r="F44" s="4">
        <f t="shared" si="1"/>
        <v>1</v>
      </c>
      <c r="G44" s="4" t="str">
        <f t="shared" si="2"/>
        <v>Correct</v>
      </c>
      <c r="H44" s="4" t="str">
        <f t="shared" si="3"/>
        <v>Incorrect</v>
      </c>
    </row>
    <row r="45" spans="1:8">
      <c r="A45" s="5">
        <f t="shared" si="4"/>
        <v>22</v>
      </c>
      <c r="B45" s="5" t="str">
        <f t="shared" si="0"/>
        <v>CELL</v>
      </c>
      <c r="C45" s="33" t="str" cm="1">
        <f t="array" ref="C45">IF(ISNUMBER(A45),IF(A45=A44,INDEX(BackgroundCalcs!$AV$2:$AV$500,'Grading Formulas'!$A45),"Question Results"),"")</f>
        <v>Commission Calculator 2</v>
      </c>
      <c r="D45" s="8" t="str" cm="1">
        <f t="array" ref="D45">IF(ISNUMBER($A45),IF(A45=A44,INDEX(BackgroundCalcs!$AW$2:$AW$500,'Grading Formulas'!$A45),"C"&amp;A45+9),"")</f>
        <v>F44</v>
      </c>
      <c r="E45" s="4" t="str" cm="1">
        <f t="array" ref="E45">IF(ISNUMBER($A45),IF(A45=A44,"Reference2(False,True,"&amp;INDEX(BackgroundCalcs!$AX$2:$AX$500,'Grading Formulas'!$A45)&amp;")","MOEValue(.0001)"),"")</f>
        <v>Reference2(False,True,G44)</v>
      </c>
      <c r="F45" s="4">
        <f t="shared" si="1"/>
        <v>-1000</v>
      </c>
      <c r="G45" s="4" t="str">
        <f t="shared" si="2"/>
        <v>You should not be referencing the answer cell</v>
      </c>
      <c r="H45" s="4" t="str">
        <f t="shared" si="3"/>
        <v>N/A</v>
      </c>
    </row>
    <row r="46" spans="1:8">
      <c r="A46" s="5">
        <f t="shared" si="4"/>
        <v>23</v>
      </c>
      <c r="B46" s="5" t="str">
        <f t="shared" si="0"/>
        <v>CELL</v>
      </c>
      <c r="C46" s="33" t="str" cm="1">
        <f t="array" ref="C46">IF(ISNUMBER(A46),IF(A46=A45,INDEX(BackgroundCalcs!$AV$2:$AV$500,'Grading Formulas'!$A46),"Question Results"),"")</f>
        <v>Question Results</v>
      </c>
      <c r="D46" s="8" t="str" cm="1">
        <f t="array" ref="D46">IF(ISNUMBER($A46),IF(A46=A45,INDEX(BackgroundCalcs!$AW$2:$AW$500,'Grading Formulas'!$A46),"C"&amp;A46+9),"")</f>
        <v>C32</v>
      </c>
      <c r="E46" s="4" t="str" cm="1">
        <f t="array" ref="E46">IF(ISNUMBER($A46),IF(A46=A45,"Reference2(False,True,"&amp;INDEX(BackgroundCalcs!$AX$2:$AX$500,'Grading Formulas'!$A46)&amp;")","MOEValue(.0001)"),"")</f>
        <v>MOEValue(.0001)</v>
      </c>
      <c r="F46" s="4">
        <f t="shared" si="1"/>
        <v>1</v>
      </c>
      <c r="G46" s="4" t="str">
        <f t="shared" si="2"/>
        <v>Correct</v>
      </c>
      <c r="H46" s="4" t="str">
        <f t="shared" si="3"/>
        <v>Incorrect</v>
      </c>
    </row>
    <row r="47" spans="1:8">
      <c r="A47" s="5">
        <f t="shared" si="4"/>
        <v>23</v>
      </c>
      <c r="B47" s="5" t="str">
        <f t="shared" si="0"/>
        <v>CELL</v>
      </c>
      <c r="C47" s="33" t="str" cm="1">
        <f t="array" ref="C47">IF(ISNUMBER(A47),IF(A47=A46,INDEX(BackgroundCalcs!$AV$2:$AV$500,'Grading Formulas'!$A47),"Question Results"),"")</f>
        <v>Commission Calculator 2</v>
      </c>
      <c r="D47" s="8" t="str" cm="1">
        <f t="array" ref="D47">IF(ISNUMBER($A47),IF(A47=A46,INDEX(BackgroundCalcs!$AW$2:$AW$500,'Grading Formulas'!$A47),"C"&amp;A47+9),"")</f>
        <v>F45</v>
      </c>
      <c r="E47" s="4" t="str" cm="1">
        <f t="array" ref="E47">IF(ISNUMBER($A47),IF(A47=A46,"Reference2(False,True,"&amp;INDEX(BackgroundCalcs!$AX$2:$AX$500,'Grading Formulas'!$A47)&amp;")","MOEValue(.0001)"),"")</f>
        <v>Reference2(False,True,G45)</v>
      </c>
      <c r="F47" s="4">
        <f t="shared" si="1"/>
        <v>-1000</v>
      </c>
      <c r="G47" s="4" t="str">
        <f t="shared" si="2"/>
        <v>You should not be referencing the answer cell</v>
      </c>
      <c r="H47" s="4" t="str">
        <f t="shared" si="3"/>
        <v>N/A</v>
      </c>
    </row>
    <row r="48" spans="1:8">
      <c r="A48" s="5">
        <f t="shared" si="4"/>
        <v>24</v>
      </c>
      <c r="B48" s="5" t="str">
        <f t="shared" si="0"/>
        <v>CELL</v>
      </c>
      <c r="C48" s="33" t="str" cm="1">
        <f t="array" ref="C48">IF(ISNUMBER(A48),IF(A48=A47,INDEX(BackgroundCalcs!$AV$2:$AV$500,'Grading Formulas'!$A48),"Question Results"),"")</f>
        <v>Question Results</v>
      </c>
      <c r="D48" s="8" t="str" cm="1">
        <f t="array" ref="D48">IF(ISNUMBER($A48),IF(A48=A47,INDEX(BackgroundCalcs!$AW$2:$AW$500,'Grading Formulas'!$A48),"C"&amp;A48+9),"")</f>
        <v>C33</v>
      </c>
      <c r="E48" s="4" t="str" cm="1">
        <f t="array" ref="E48">IF(ISNUMBER($A48),IF(A48=A47,"Reference2(False,True,"&amp;INDEX(BackgroundCalcs!$AX$2:$AX$500,'Grading Formulas'!$A48)&amp;")","MOEValue(.0001)"),"")</f>
        <v>MOEValue(.0001)</v>
      </c>
      <c r="F48" s="4">
        <f t="shared" si="1"/>
        <v>1</v>
      </c>
      <c r="G48" s="4" t="str">
        <f t="shared" si="2"/>
        <v>Correct</v>
      </c>
      <c r="H48" s="4" t="str">
        <f t="shared" si="3"/>
        <v>Incorrect</v>
      </c>
    </row>
    <row r="49" spans="1:8">
      <c r="A49" s="5">
        <f t="shared" si="4"/>
        <v>24</v>
      </c>
      <c r="B49" s="5" t="str">
        <f t="shared" si="0"/>
        <v>CELL</v>
      </c>
      <c r="C49" s="33" t="str" cm="1">
        <f t="array" ref="C49">IF(ISNUMBER(A49),IF(A49=A48,INDEX(BackgroundCalcs!$AV$2:$AV$500,'Grading Formulas'!$A49),"Question Results"),"")</f>
        <v>Commission Calculator 2</v>
      </c>
      <c r="D49" s="8" t="str" cm="1">
        <f t="array" ref="D49">IF(ISNUMBER($A49),IF(A49=A48,INDEX(BackgroundCalcs!$AW$2:$AW$500,'Grading Formulas'!$A49),"C"&amp;A49+9),"")</f>
        <v>F46</v>
      </c>
      <c r="E49" s="4" t="str" cm="1">
        <f t="array" ref="E49">IF(ISNUMBER($A49),IF(A49=A48,"Reference2(False,True,"&amp;INDEX(BackgroundCalcs!$AX$2:$AX$500,'Grading Formulas'!$A49)&amp;")","MOEValue(.0001)"),"")</f>
        <v>Reference2(False,True,G46)</v>
      </c>
      <c r="F49" s="4">
        <f t="shared" si="1"/>
        <v>-1000</v>
      </c>
      <c r="G49" s="4" t="str">
        <f t="shared" si="2"/>
        <v>You should not be referencing the answer cell</v>
      </c>
      <c r="H49" s="4" t="str">
        <f t="shared" si="3"/>
        <v>N/A</v>
      </c>
    </row>
    <row r="50" spans="1:8">
      <c r="A50" s="5">
        <f t="shared" si="4"/>
        <v>25</v>
      </c>
      <c r="B50" s="5" t="str">
        <f t="shared" si="0"/>
        <v>CELL</v>
      </c>
      <c r="C50" s="33" t="str" cm="1">
        <f t="array" ref="C50">IF(ISNUMBER(A50),IF(A50=A49,INDEX(BackgroundCalcs!$AV$2:$AV$500,'Grading Formulas'!$A50),"Question Results"),"")</f>
        <v>Question Results</v>
      </c>
      <c r="D50" s="8" t="str" cm="1">
        <f t="array" ref="D50">IF(ISNUMBER($A50),IF(A50=A49,INDEX(BackgroundCalcs!$AW$2:$AW$500,'Grading Formulas'!$A50),"C"&amp;A50+9),"")</f>
        <v>C34</v>
      </c>
      <c r="E50" s="4" t="str" cm="1">
        <f t="array" ref="E50">IF(ISNUMBER($A50),IF(A50=A49,"Reference2(False,True,"&amp;INDEX(BackgroundCalcs!$AX$2:$AX$500,'Grading Formulas'!$A50)&amp;")","MOEValue(.0001)"),"")</f>
        <v>MOEValue(.0001)</v>
      </c>
      <c r="F50" s="4">
        <f t="shared" si="1"/>
        <v>1</v>
      </c>
      <c r="G50" s="4" t="str">
        <f t="shared" si="2"/>
        <v>Correct</v>
      </c>
      <c r="H50" s="4" t="str">
        <f t="shared" si="3"/>
        <v>Incorrect</v>
      </c>
    </row>
    <row r="51" spans="1:8">
      <c r="A51" s="5">
        <f t="shared" si="4"/>
        <v>25</v>
      </c>
      <c r="B51" s="5" t="str">
        <f t="shared" si="0"/>
        <v>CELL</v>
      </c>
      <c r="C51" s="33" t="str" cm="1">
        <f t="array" ref="C51">IF(ISNUMBER(A51),IF(A51=A50,INDEX(BackgroundCalcs!$AV$2:$AV$500,'Grading Formulas'!$A51),"Question Results"),"")</f>
        <v>Team Commissions</v>
      </c>
      <c r="D51" s="8" t="str" cm="1">
        <f t="array" ref="D51">IF(ISNUMBER($A51),IF(A51=A50,INDEX(BackgroundCalcs!$AW$2:$AW$500,'Grading Formulas'!$A51),"C"&amp;A51+9),"")</f>
        <v>F35</v>
      </c>
      <c r="E51" s="4" t="str" cm="1">
        <f t="array" ref="E51">IF(ISNUMBER($A51),IF(A51=A50,"Reference2(False,True,"&amp;INDEX(BackgroundCalcs!$AX$2:$AX$500,'Grading Formulas'!$A51)&amp;")","MOEValue(.0001)"),"")</f>
        <v>Reference2(False,True,G35)</v>
      </c>
      <c r="F51" s="4">
        <f t="shared" si="1"/>
        <v>-1000</v>
      </c>
      <c r="G51" s="4" t="str">
        <f t="shared" si="2"/>
        <v>You should not be referencing the answer cell</v>
      </c>
      <c r="H51" s="4" t="str">
        <f t="shared" si="3"/>
        <v>N/A</v>
      </c>
    </row>
    <row r="52" spans="1:8">
      <c r="A52" s="5">
        <f t="shared" si="4"/>
        <v>26</v>
      </c>
      <c r="B52" s="5" t="str">
        <f t="shared" si="0"/>
        <v>CELL</v>
      </c>
      <c r="C52" s="33" t="str" cm="1">
        <f t="array" ref="C52">IF(ISNUMBER(A52),IF(A52=A51,INDEX(BackgroundCalcs!$AV$2:$AV$500,'Grading Formulas'!$A52),"Question Results"),"")</f>
        <v>Question Results</v>
      </c>
      <c r="D52" s="8" t="str" cm="1">
        <f t="array" ref="D52">IF(ISNUMBER($A52),IF(A52=A51,INDEX(BackgroundCalcs!$AW$2:$AW$500,'Grading Formulas'!$A52),"C"&amp;A52+9),"")</f>
        <v>C35</v>
      </c>
      <c r="E52" s="4" t="str" cm="1">
        <f t="array" ref="E52">IF(ISNUMBER($A52),IF(A52=A51,"Reference2(False,True,"&amp;INDEX(BackgroundCalcs!$AX$2:$AX$500,'Grading Formulas'!$A52)&amp;")","MOEValue(.0001)"),"")</f>
        <v>MOEValue(.0001)</v>
      </c>
      <c r="F52" s="4">
        <f t="shared" si="1"/>
        <v>1</v>
      </c>
      <c r="G52" s="4" t="str">
        <f t="shared" si="2"/>
        <v>Correct</v>
      </c>
      <c r="H52" s="4" t="str">
        <f t="shared" si="3"/>
        <v>Incorrect</v>
      </c>
    </row>
    <row r="53" spans="1:8">
      <c r="A53" s="5">
        <f t="shared" si="4"/>
        <v>26</v>
      </c>
      <c r="B53" s="5" t="str">
        <f t="shared" si="0"/>
        <v>CELL</v>
      </c>
      <c r="C53" s="33" t="str" cm="1">
        <f t="array" ref="C53">IF(ISNUMBER(A53),IF(A53=A52,INDEX(BackgroundCalcs!$AV$2:$AV$500,'Grading Formulas'!$A53),"Question Results"),"")</f>
        <v>Team Commissions</v>
      </c>
      <c r="D53" s="8" t="str" cm="1">
        <f t="array" ref="D53">IF(ISNUMBER($A53),IF(A53=A52,INDEX(BackgroundCalcs!$AW$2:$AW$500,'Grading Formulas'!$A53),"C"&amp;A53+9),"")</f>
        <v>F36</v>
      </c>
      <c r="E53" s="4" t="str" cm="1">
        <f t="array" ref="E53">IF(ISNUMBER($A53),IF(A53=A52,"Reference2(False,True,"&amp;INDEX(BackgroundCalcs!$AX$2:$AX$500,'Grading Formulas'!$A53)&amp;")","MOEValue(.0001)"),"")</f>
        <v>Reference2(False,True,G36)</v>
      </c>
      <c r="F53" s="4">
        <f t="shared" si="1"/>
        <v>-1000</v>
      </c>
      <c r="G53" s="4" t="str">
        <f t="shared" si="2"/>
        <v>You should not be referencing the answer cell</v>
      </c>
      <c r="H53" s="4" t="str">
        <f t="shared" si="3"/>
        <v>N/A</v>
      </c>
    </row>
    <row r="54" spans="1:8">
      <c r="A54" s="5">
        <f t="shared" si="4"/>
        <v>27</v>
      </c>
      <c r="B54" s="5" t="str">
        <f t="shared" si="0"/>
        <v>CELL</v>
      </c>
      <c r="C54" s="33" t="str" cm="1">
        <f t="array" ref="C54">IF(ISNUMBER(A54),IF(A54=A53,INDEX(BackgroundCalcs!$AV$2:$AV$500,'Grading Formulas'!$A54),"Question Results"),"")</f>
        <v>Question Results</v>
      </c>
      <c r="D54" s="8" t="str" cm="1">
        <f t="array" ref="D54">IF(ISNUMBER($A54),IF(A54=A53,INDEX(BackgroundCalcs!$AW$2:$AW$500,'Grading Formulas'!$A54),"C"&amp;A54+9),"")</f>
        <v>C36</v>
      </c>
      <c r="E54" s="4" t="str" cm="1">
        <f t="array" ref="E54">IF(ISNUMBER($A54),IF(A54=A53,"Reference2(False,True,"&amp;INDEX(BackgroundCalcs!$AX$2:$AX$500,'Grading Formulas'!$A54)&amp;")","MOEValue(.0001)"),"")</f>
        <v>MOEValue(.0001)</v>
      </c>
      <c r="F54" s="4">
        <f t="shared" si="1"/>
        <v>1</v>
      </c>
      <c r="G54" s="4" t="str">
        <f t="shared" si="2"/>
        <v>Correct</v>
      </c>
      <c r="H54" s="4" t="str">
        <f t="shared" si="3"/>
        <v>Incorrect</v>
      </c>
    </row>
    <row r="55" spans="1:8">
      <c r="A55" s="5">
        <f t="shared" si="4"/>
        <v>27</v>
      </c>
      <c r="B55" s="5" t="str">
        <f t="shared" si="0"/>
        <v>CELL</v>
      </c>
      <c r="C55" s="33" t="str" cm="1">
        <f t="array" ref="C55">IF(ISNUMBER(A55),IF(A55=A54,INDEX(BackgroundCalcs!$AV$2:$AV$500,'Grading Formulas'!$A55),"Question Results"),"")</f>
        <v>Team Commissions</v>
      </c>
      <c r="D55" s="8" t="str" cm="1">
        <f t="array" ref="D55">IF(ISNUMBER($A55),IF(A55=A54,INDEX(BackgroundCalcs!$AW$2:$AW$500,'Grading Formulas'!$A55),"C"&amp;A55+9),"")</f>
        <v>F37</v>
      </c>
      <c r="E55" s="4" t="str" cm="1">
        <f t="array" ref="E55">IF(ISNUMBER($A55),IF(A55=A54,"Reference2(False,True,"&amp;INDEX(BackgroundCalcs!$AX$2:$AX$500,'Grading Formulas'!$A55)&amp;")","MOEValue(.0001)"),"")</f>
        <v>Reference2(False,True,G37)</v>
      </c>
      <c r="F55" s="4">
        <f t="shared" si="1"/>
        <v>-1000</v>
      </c>
      <c r="G55" s="4" t="str">
        <f t="shared" si="2"/>
        <v>You should not be referencing the answer cell</v>
      </c>
      <c r="H55" s="4" t="str">
        <f t="shared" si="3"/>
        <v>N/A</v>
      </c>
    </row>
    <row r="56" spans="1:8">
      <c r="A56" s="5" t="str">
        <f t="shared" si="4"/>
        <v/>
      </c>
      <c r="B56" s="5" t="str">
        <f t="shared" si="0"/>
        <v/>
      </c>
      <c r="C56" s="33" t="str" cm="1">
        <f t="array" ref="C56">IF(ISNUMBER(A56),IF(A56=A55,INDEX(BackgroundCalcs!$AV$2:$AV$500,'Grading Formulas'!$A56),"Question Results"),"")</f>
        <v/>
      </c>
      <c r="D56" s="8" t="str" cm="1">
        <f t="array" ref="D56">IF(ISNUMBER($A56),IF(A56=A55,INDEX(BackgroundCalcs!$AW$2:$AW$500,'Grading Formulas'!$A56),"C"&amp;A56+9),"")</f>
        <v/>
      </c>
      <c r="E56" s="4" t="str" cm="1">
        <f t="array" ref="E56">IF(ISNUMBER($A56),IF(A56=A55,"Reference2(False,True,"&amp;INDEX(BackgroundCalcs!$AX$2:$AX$500,'Grading Formulas'!$A56)&amp;")","MOEValue(.0001)"),"")</f>
        <v/>
      </c>
      <c r="F56" s="4" t="str">
        <f t="shared" si="1"/>
        <v/>
      </c>
      <c r="G56" s="4" t="str">
        <f t="shared" si="2"/>
        <v/>
      </c>
      <c r="H56" s="4" t="str">
        <f t="shared" si="3"/>
        <v/>
      </c>
    </row>
    <row r="57" spans="1:8">
      <c r="A57" s="5" t="str">
        <f t="shared" si="4"/>
        <v/>
      </c>
      <c r="B57" s="5" t="str">
        <f t="shared" si="0"/>
        <v/>
      </c>
      <c r="C57" s="33" t="str" cm="1">
        <f t="array" ref="C57">IF(ISNUMBER(A57),IF(A57=A56,INDEX(BackgroundCalcs!$AV$2:$AV$500,'Grading Formulas'!$A57),"Question Results"),"")</f>
        <v/>
      </c>
      <c r="D57" s="8" t="str" cm="1">
        <f t="array" ref="D57">IF(ISNUMBER($A57),IF(A57=A56,INDEX(BackgroundCalcs!$AW$2:$AW$500,'Grading Formulas'!$A57),"C"&amp;A57+9),"")</f>
        <v/>
      </c>
      <c r="E57" s="4" t="str" cm="1">
        <f t="array" ref="E57">IF(ISNUMBER($A57),IF(A57=A56,"Reference2(False,True,"&amp;INDEX(BackgroundCalcs!$AX$2:$AX$500,'Grading Formulas'!$A57)&amp;")","MOEValue(.0001)"),"")</f>
        <v/>
      </c>
      <c r="F57" s="4" t="str">
        <f t="shared" si="1"/>
        <v/>
      </c>
      <c r="G57" s="4" t="str">
        <f t="shared" si="2"/>
        <v/>
      </c>
      <c r="H57" s="4" t="str">
        <f t="shared" si="3"/>
        <v/>
      </c>
    </row>
    <row r="58" spans="1:8">
      <c r="A58" s="5" t="str">
        <f t="shared" si="4"/>
        <v/>
      </c>
      <c r="B58" s="5" t="str">
        <f t="shared" si="0"/>
        <v/>
      </c>
      <c r="C58" s="33" t="str" cm="1">
        <f t="array" ref="C58">IF(ISNUMBER(A58),IF(A58=A57,INDEX(BackgroundCalcs!$AV$2:$AV$500,'Grading Formulas'!$A58),"Question Results"),"")</f>
        <v/>
      </c>
      <c r="D58" s="8" t="str" cm="1">
        <f t="array" ref="D58">IF(ISNUMBER($A58),IF(A58=A57,INDEX(BackgroundCalcs!$AW$2:$AW$500,'Grading Formulas'!$A58),"C"&amp;A58+9),"")</f>
        <v/>
      </c>
      <c r="E58" s="4" t="str" cm="1">
        <f t="array" ref="E58">IF(ISNUMBER($A58),IF(A58=A57,"Reference2(False,True,"&amp;INDEX(BackgroundCalcs!$AX$2:$AX$500,'Grading Formulas'!$A58)&amp;")","MOEValue(.0001)"),"")</f>
        <v/>
      </c>
      <c r="F58" s="4" t="str">
        <f t="shared" si="1"/>
        <v/>
      </c>
      <c r="G58" s="4" t="str">
        <f t="shared" si="2"/>
        <v/>
      </c>
      <c r="H58" s="4" t="str">
        <f t="shared" si="3"/>
        <v/>
      </c>
    </row>
    <row r="59" spans="1:8">
      <c r="A59" s="5" t="str">
        <f t="shared" si="4"/>
        <v/>
      </c>
      <c r="B59" s="5" t="str">
        <f t="shared" si="0"/>
        <v/>
      </c>
      <c r="C59" s="33" t="str" cm="1">
        <f t="array" ref="C59">IF(ISNUMBER(A59),IF(A59=A58,INDEX(BackgroundCalcs!$AV$2:$AV$500,'Grading Formulas'!$A59),"Question Results"),"")</f>
        <v/>
      </c>
      <c r="D59" s="8" t="str" cm="1">
        <f t="array" ref="D59">IF(ISNUMBER($A59),IF(A59=A58,INDEX(BackgroundCalcs!$AW$2:$AW$500,'Grading Formulas'!$A59),"C"&amp;A59+9),"")</f>
        <v/>
      </c>
      <c r="E59" s="4" t="str" cm="1">
        <f t="array" ref="E59">IF(ISNUMBER($A59),IF(A59=A58,"Reference2(False,True,"&amp;INDEX(BackgroundCalcs!$AX$2:$AX$500,'Grading Formulas'!$A59)&amp;")","MOEValue(.0001)"),"")</f>
        <v/>
      </c>
      <c r="F59" s="4" t="str">
        <f t="shared" si="1"/>
        <v/>
      </c>
      <c r="G59" s="4" t="str">
        <f t="shared" si="2"/>
        <v/>
      </c>
      <c r="H59" s="4" t="str">
        <f t="shared" si="3"/>
        <v/>
      </c>
    </row>
    <row r="60" spans="1:8">
      <c r="A60" s="5" t="str">
        <f t="shared" si="4"/>
        <v/>
      </c>
      <c r="B60" s="5" t="str">
        <f t="shared" si="0"/>
        <v/>
      </c>
      <c r="C60" s="33" t="str" cm="1">
        <f t="array" ref="C60">IF(ISNUMBER(A60),IF(A60=A59,INDEX(BackgroundCalcs!$AV$2:$AV$500,'Grading Formulas'!$A60),"Question Results"),"")</f>
        <v/>
      </c>
      <c r="D60" s="8" t="str" cm="1">
        <f t="array" ref="D60">IF(ISNUMBER($A60),IF(A60=A59,INDEX(BackgroundCalcs!$AW$2:$AW$500,'Grading Formulas'!$A60),"C"&amp;A60+9),"")</f>
        <v/>
      </c>
      <c r="E60" s="4" t="str" cm="1">
        <f t="array" ref="E60">IF(ISNUMBER($A60),IF(A60=A59,"Reference2(False,True,"&amp;INDEX(BackgroundCalcs!$AX$2:$AX$500,'Grading Formulas'!$A60)&amp;")","MOEValue(.0001)"),"")</f>
        <v/>
      </c>
      <c r="F60" s="4" t="str">
        <f t="shared" si="1"/>
        <v/>
      </c>
      <c r="G60" s="4" t="str">
        <f t="shared" si="2"/>
        <v/>
      </c>
      <c r="H60" s="4" t="str">
        <f t="shared" si="3"/>
        <v/>
      </c>
    </row>
    <row r="61" spans="1:8">
      <c r="A61" s="5" t="str">
        <f t="shared" si="4"/>
        <v/>
      </c>
      <c r="B61" s="5" t="str">
        <f t="shared" si="0"/>
        <v/>
      </c>
      <c r="C61" s="33" t="str" cm="1">
        <f t="array" ref="C61">IF(ISNUMBER(A61),IF(A61=A60,INDEX(BackgroundCalcs!$AV$2:$AV$500,'Grading Formulas'!$A61),"Question Results"),"")</f>
        <v/>
      </c>
      <c r="D61" s="8" t="str" cm="1">
        <f t="array" ref="D61">IF(ISNUMBER($A61),IF(A61=A60,INDEX(BackgroundCalcs!$AW$2:$AW$500,'Grading Formulas'!$A61),"C"&amp;A61+9),"")</f>
        <v/>
      </c>
      <c r="E61" s="4" t="str" cm="1">
        <f t="array" ref="E61">IF(ISNUMBER($A61),IF(A61=A60,"Reference2(False,True,"&amp;INDEX(BackgroundCalcs!$AX$2:$AX$500,'Grading Formulas'!$A61)&amp;")","MOEValue(.0001)"),"")</f>
        <v/>
      </c>
      <c r="F61" s="4" t="str">
        <f t="shared" si="1"/>
        <v/>
      </c>
      <c r="G61" s="4" t="str">
        <f t="shared" si="2"/>
        <v/>
      </c>
      <c r="H61" s="4" t="str">
        <f t="shared" si="3"/>
        <v/>
      </c>
    </row>
    <row r="62" spans="1:8">
      <c r="A62" s="5" t="str">
        <f t="shared" si="4"/>
        <v/>
      </c>
      <c r="B62" s="5" t="str">
        <f t="shared" si="0"/>
        <v/>
      </c>
      <c r="C62" s="33" t="str" cm="1">
        <f t="array" ref="C62">IF(ISNUMBER(A62),IF(A62=A61,INDEX(BackgroundCalcs!$AV$2:$AV$500,'Grading Formulas'!$A62),"Question Results"),"")</f>
        <v/>
      </c>
      <c r="D62" s="8" t="str" cm="1">
        <f t="array" ref="D62">IF(ISNUMBER($A62),IF(A62=A61,INDEX(BackgroundCalcs!$AW$2:$AW$500,'Grading Formulas'!$A62),"C"&amp;A62+9),"")</f>
        <v/>
      </c>
      <c r="E62" s="4" t="str" cm="1">
        <f t="array" ref="E62">IF(ISNUMBER($A62),IF(A62=A61,"Reference2(False,True,"&amp;INDEX(BackgroundCalcs!$AX$2:$AX$500,'Grading Formulas'!$A62)&amp;")","MOEValue(.0001)"),"")</f>
        <v/>
      </c>
      <c r="F62" s="4" t="str">
        <f t="shared" si="1"/>
        <v/>
      </c>
      <c r="G62" s="4" t="str">
        <f t="shared" si="2"/>
        <v/>
      </c>
      <c r="H62" s="4" t="str">
        <f t="shared" si="3"/>
        <v/>
      </c>
    </row>
    <row r="63" spans="1:8">
      <c r="A63" s="5" t="str">
        <f t="shared" si="4"/>
        <v/>
      </c>
      <c r="B63" s="5" t="str">
        <f t="shared" si="0"/>
        <v/>
      </c>
      <c r="C63" s="33" t="str" cm="1">
        <f t="array" ref="C63">IF(ISNUMBER(A63),IF(A63=A62,INDEX(BackgroundCalcs!$AV$2:$AV$500,'Grading Formulas'!$A63),"Question Results"),"")</f>
        <v/>
      </c>
      <c r="D63" s="8" t="str" cm="1">
        <f t="array" ref="D63">IF(ISNUMBER($A63),IF(A63=A62,INDEX(BackgroundCalcs!$AW$2:$AW$500,'Grading Formulas'!$A63),"C"&amp;A63+9),"")</f>
        <v/>
      </c>
      <c r="E63" s="4" t="str" cm="1">
        <f t="array" ref="E63">IF(ISNUMBER($A63),IF(A63=A62,"Reference2(False,True,"&amp;INDEX(BackgroundCalcs!$AX$2:$AX$500,'Grading Formulas'!$A63)&amp;")","MOEValue(.0001)"),"")</f>
        <v/>
      </c>
      <c r="F63" s="4" t="str">
        <f t="shared" si="1"/>
        <v/>
      </c>
      <c r="G63" s="4" t="str">
        <f t="shared" si="2"/>
        <v/>
      </c>
      <c r="H63" s="4" t="str">
        <f t="shared" si="3"/>
        <v/>
      </c>
    </row>
    <row r="64" spans="1:8">
      <c r="A64" s="5" t="str">
        <f t="shared" si="4"/>
        <v/>
      </c>
      <c r="B64" s="5" t="str">
        <f t="shared" si="0"/>
        <v/>
      </c>
      <c r="C64" s="33" t="str" cm="1">
        <f t="array" ref="C64">IF(ISNUMBER(A64),IF(A64=A63,INDEX(BackgroundCalcs!$AV$2:$AV$500,'Grading Formulas'!$A64),"Question Results"),"")</f>
        <v/>
      </c>
      <c r="D64" s="8" t="str" cm="1">
        <f t="array" ref="D64">IF(ISNUMBER($A64),IF(A64=A63,INDEX(BackgroundCalcs!$AW$2:$AW$500,'Grading Formulas'!$A64),"C"&amp;A64+9),"")</f>
        <v/>
      </c>
      <c r="E64" s="4" t="str" cm="1">
        <f t="array" ref="E64">IF(ISNUMBER($A64),IF(A64=A63,"Reference2(False,True,"&amp;INDEX(BackgroundCalcs!$AX$2:$AX$500,'Grading Formulas'!$A64)&amp;")","MOEValue(.0001)"),"")</f>
        <v/>
      </c>
      <c r="F64" s="4" t="str">
        <f t="shared" si="1"/>
        <v/>
      </c>
      <c r="G64" s="4" t="str">
        <f t="shared" si="2"/>
        <v/>
      </c>
      <c r="H64" s="4" t="str">
        <f t="shared" si="3"/>
        <v/>
      </c>
    </row>
    <row r="65" spans="1:8">
      <c r="A65" s="5" t="str">
        <f t="shared" si="4"/>
        <v/>
      </c>
      <c r="B65" s="5" t="str">
        <f t="shared" si="0"/>
        <v/>
      </c>
      <c r="C65" s="33" t="str" cm="1">
        <f t="array" ref="C65">IF(ISNUMBER(A65),IF(A65=A64,INDEX(BackgroundCalcs!$AV$2:$AV$500,'Grading Formulas'!$A65),"Question Results"),"")</f>
        <v/>
      </c>
      <c r="D65" s="8" t="str" cm="1">
        <f t="array" ref="D65">IF(ISNUMBER($A65),IF(A65=A64,INDEX(BackgroundCalcs!$AW$2:$AW$500,'Grading Formulas'!$A65),"C"&amp;A65+9),"")</f>
        <v/>
      </c>
      <c r="E65" s="4" t="str" cm="1">
        <f t="array" ref="E65">IF(ISNUMBER($A65),IF(A65=A64,"Reference2(False,True,"&amp;INDEX(BackgroundCalcs!$AX$2:$AX$500,'Grading Formulas'!$A65)&amp;")","MOEValue(.0001)"),"")</f>
        <v/>
      </c>
      <c r="F65" s="4" t="str">
        <f t="shared" si="1"/>
        <v/>
      </c>
      <c r="G65" s="4" t="str">
        <f t="shared" si="2"/>
        <v/>
      </c>
      <c r="H65" s="4" t="str">
        <f t="shared" si="3"/>
        <v/>
      </c>
    </row>
    <row r="66" spans="1:8">
      <c r="A66" s="5" t="str">
        <f t="shared" si="4"/>
        <v/>
      </c>
      <c r="B66" s="5" t="str">
        <f t="shared" si="0"/>
        <v/>
      </c>
      <c r="C66" s="33" t="str" cm="1">
        <f t="array" ref="C66">IF(ISNUMBER(A66),IF(A66=A65,INDEX(BackgroundCalcs!$AV$2:$AV$500,'Grading Formulas'!$A66),"Question Results"),"")</f>
        <v/>
      </c>
      <c r="D66" s="8" t="str" cm="1">
        <f t="array" ref="D66">IF(ISNUMBER($A66),IF(A66=A65,INDEX(BackgroundCalcs!$AW$2:$AW$500,'Grading Formulas'!$A66),"C"&amp;A66+9),"")</f>
        <v/>
      </c>
      <c r="E66" s="4" t="str" cm="1">
        <f t="array" ref="E66">IF(ISNUMBER($A66),IF(A66=A65,"Reference2(False,True,"&amp;INDEX(BackgroundCalcs!$AX$2:$AX$500,'Grading Formulas'!$A66)&amp;")","MOEValue(.0001)"),"")</f>
        <v/>
      </c>
      <c r="F66" s="4" t="str">
        <f t="shared" si="1"/>
        <v/>
      </c>
      <c r="G66" s="4" t="str">
        <f t="shared" si="2"/>
        <v/>
      </c>
      <c r="H66" s="4" t="str">
        <f t="shared" si="3"/>
        <v/>
      </c>
    </row>
    <row r="67" spans="1:8">
      <c r="A67" s="5" t="str">
        <f t="shared" si="4"/>
        <v/>
      </c>
      <c r="B67" s="5" t="str">
        <f t="shared" si="0"/>
        <v/>
      </c>
      <c r="C67" s="33" t="str" cm="1">
        <f t="array" ref="C67">IF(ISNUMBER(A67),IF(A67=A66,INDEX(BackgroundCalcs!$AV$2:$AV$500,'Grading Formulas'!$A67),"Question Results"),"")</f>
        <v/>
      </c>
      <c r="D67" s="8" t="str" cm="1">
        <f t="array" ref="D67">IF(ISNUMBER($A67),IF(A67=A66,INDEX(BackgroundCalcs!$AW$2:$AW$500,'Grading Formulas'!$A67),"C"&amp;A67+9),"")</f>
        <v/>
      </c>
      <c r="E67" s="4" t="str" cm="1">
        <f t="array" ref="E67">IF(ISNUMBER($A67),IF(A67=A66,"Reference2(False,True,"&amp;INDEX(BackgroundCalcs!$AX$2:$AX$500,'Grading Formulas'!$A67)&amp;")","MOEValue(.0001)"),"")</f>
        <v/>
      </c>
      <c r="F67" s="4" t="str">
        <f t="shared" ref="F67:F130" si="5">IF(ISNUMBER($A67),IF(A67=A66,-1000,1),"")</f>
        <v/>
      </c>
      <c r="G67" s="4" t="str">
        <f t="shared" ref="G67:G130" si="6">IF(ISNUMBER($A67),IF(A67=A66,"You should not be referencing the answer cell","Correct"),"")</f>
        <v/>
      </c>
      <c r="H67" s="4" t="str">
        <f t="shared" ref="H67:H130" si="7">IF(ISNUMBER($A67),IF(A67=A66,"N/A","Incorrect"),"")</f>
        <v/>
      </c>
    </row>
    <row r="68" spans="1:8">
      <c r="A68" s="5" t="str">
        <f t="shared" ref="A68:A131" si="8">IF(A66&lt;NumAnswers,A66+1,"")</f>
        <v/>
      </c>
      <c r="B68" s="5" t="str">
        <f t="shared" si="0"/>
        <v/>
      </c>
      <c r="C68" s="33" t="str" cm="1">
        <f t="array" ref="C68">IF(ISNUMBER(A68),IF(A68=A67,INDEX(BackgroundCalcs!$AV$2:$AV$500,'Grading Formulas'!$A68),"Question Results"),"")</f>
        <v/>
      </c>
      <c r="D68" s="8" t="str" cm="1">
        <f t="array" ref="D68">IF(ISNUMBER($A68),IF(A68=A67,INDEX(BackgroundCalcs!$AW$2:$AW$500,'Grading Formulas'!$A68),"C"&amp;A68+9),"")</f>
        <v/>
      </c>
      <c r="E68" s="4" t="str" cm="1">
        <f t="array" ref="E68">IF(ISNUMBER($A68),IF(A68=A67,"Reference2(False,True,"&amp;INDEX(BackgroundCalcs!$AX$2:$AX$500,'Grading Formulas'!$A68)&amp;")","MOEValue(.0001)"),"")</f>
        <v/>
      </c>
      <c r="F68" s="4" t="str">
        <f t="shared" si="5"/>
        <v/>
      </c>
      <c r="G68" s="4" t="str">
        <f t="shared" si="6"/>
        <v/>
      </c>
      <c r="H68" s="4" t="str">
        <f t="shared" si="7"/>
        <v/>
      </c>
    </row>
    <row r="69" spans="1:8">
      <c r="A69" s="5" t="str">
        <f t="shared" si="8"/>
        <v/>
      </c>
      <c r="B69" s="5" t="str">
        <f t="shared" si="0"/>
        <v/>
      </c>
      <c r="C69" s="33" t="str" cm="1">
        <f t="array" ref="C69">IF(ISNUMBER(A69),IF(A69=A68,INDEX(BackgroundCalcs!$AV$2:$AV$500,'Grading Formulas'!$A69),"Question Results"),"")</f>
        <v/>
      </c>
      <c r="D69" s="8" t="str" cm="1">
        <f t="array" ref="D69">IF(ISNUMBER($A69),IF(A69=A68,INDEX(BackgroundCalcs!$AW$2:$AW$500,'Grading Formulas'!$A69),"C"&amp;A69+9),"")</f>
        <v/>
      </c>
      <c r="E69" s="4" t="str" cm="1">
        <f t="array" ref="E69">IF(ISNUMBER($A69),IF(A69=A68,"Reference2(False,True,"&amp;INDEX(BackgroundCalcs!$AX$2:$AX$500,'Grading Formulas'!$A69)&amp;")","MOEValue(.0001)"),"")</f>
        <v/>
      </c>
      <c r="F69" s="4" t="str">
        <f t="shared" si="5"/>
        <v/>
      </c>
      <c r="G69" s="4" t="str">
        <f t="shared" si="6"/>
        <v/>
      </c>
      <c r="H69" s="4" t="str">
        <f t="shared" si="7"/>
        <v/>
      </c>
    </row>
    <row r="70" spans="1:8">
      <c r="A70" s="5" t="str">
        <f t="shared" si="8"/>
        <v/>
      </c>
      <c r="B70" s="5" t="str">
        <f t="shared" si="0"/>
        <v/>
      </c>
      <c r="C70" s="33" t="str" cm="1">
        <f t="array" ref="C70">IF(ISNUMBER(A70),IF(A70=A69,INDEX(BackgroundCalcs!$AV$2:$AV$500,'Grading Formulas'!$A70),"Question Results"),"")</f>
        <v/>
      </c>
      <c r="D70" s="8" t="str" cm="1">
        <f t="array" ref="D70">IF(ISNUMBER($A70),IF(A70=A69,INDEX(BackgroundCalcs!$AW$2:$AW$500,'Grading Formulas'!$A70),"C"&amp;A70+9),"")</f>
        <v/>
      </c>
      <c r="E70" s="4" t="str" cm="1">
        <f t="array" ref="E70">IF(ISNUMBER($A70),IF(A70=A69,"Reference2(False,True,"&amp;INDEX(BackgroundCalcs!$AX$2:$AX$500,'Grading Formulas'!$A70)&amp;")","MOEValue(.0001)"),"")</f>
        <v/>
      </c>
      <c r="F70" s="4" t="str">
        <f t="shared" si="5"/>
        <v/>
      </c>
      <c r="G70" s="4" t="str">
        <f t="shared" si="6"/>
        <v/>
      </c>
      <c r="H70" s="4" t="str">
        <f t="shared" si="7"/>
        <v/>
      </c>
    </row>
    <row r="71" spans="1:8">
      <c r="A71" s="5" t="str">
        <f t="shared" si="8"/>
        <v/>
      </c>
      <c r="B71" s="5" t="str">
        <f t="shared" si="0"/>
        <v/>
      </c>
      <c r="C71" s="33" t="str" cm="1">
        <f t="array" ref="C71">IF(ISNUMBER(A71),IF(A71=A70,INDEX(BackgroundCalcs!$AV$2:$AV$500,'Grading Formulas'!$A71),"Question Results"),"")</f>
        <v/>
      </c>
      <c r="D71" s="8" t="str" cm="1">
        <f t="array" ref="D71">IF(ISNUMBER($A71),IF(A71=A70,INDEX(BackgroundCalcs!$AW$2:$AW$500,'Grading Formulas'!$A71),"C"&amp;A71+9),"")</f>
        <v/>
      </c>
      <c r="E71" s="4" t="str" cm="1">
        <f t="array" ref="E71">IF(ISNUMBER($A71),IF(A71=A70,"Reference2(False,True,"&amp;INDEX(BackgroundCalcs!$AX$2:$AX$500,'Grading Formulas'!$A71)&amp;")","MOEValue(.0001)"),"")</f>
        <v/>
      </c>
      <c r="F71" s="4" t="str">
        <f t="shared" si="5"/>
        <v/>
      </c>
      <c r="G71" s="4" t="str">
        <f t="shared" si="6"/>
        <v/>
      </c>
      <c r="H71" s="4" t="str">
        <f t="shared" si="7"/>
        <v/>
      </c>
    </row>
    <row r="72" spans="1:8">
      <c r="A72" s="5" t="str">
        <f t="shared" si="8"/>
        <v/>
      </c>
      <c r="B72" s="5" t="str">
        <f t="shared" si="0"/>
        <v/>
      </c>
      <c r="C72" s="33" t="str" cm="1">
        <f t="array" ref="C72">IF(ISNUMBER(A72),IF(A72=A71,INDEX(BackgroundCalcs!$AV$2:$AV$500,'Grading Formulas'!$A72),"Question Results"),"")</f>
        <v/>
      </c>
      <c r="D72" s="8" t="str" cm="1">
        <f t="array" ref="D72">IF(ISNUMBER($A72),IF(A72=A71,INDEX(BackgroundCalcs!$AW$2:$AW$500,'Grading Formulas'!$A72),"C"&amp;A72+9),"")</f>
        <v/>
      </c>
      <c r="E72" s="4" t="str" cm="1">
        <f t="array" ref="E72">IF(ISNUMBER($A72),IF(A72=A71,"Reference2(False,True,"&amp;INDEX(BackgroundCalcs!$AX$2:$AX$500,'Grading Formulas'!$A72)&amp;")","MOEValue(.0001)"),"")</f>
        <v/>
      </c>
      <c r="F72" s="4" t="str">
        <f t="shared" si="5"/>
        <v/>
      </c>
      <c r="G72" s="4" t="str">
        <f t="shared" si="6"/>
        <v/>
      </c>
      <c r="H72" s="4" t="str">
        <f t="shared" si="7"/>
        <v/>
      </c>
    </row>
    <row r="73" spans="1:8">
      <c r="A73" s="5" t="str">
        <f t="shared" si="8"/>
        <v/>
      </c>
      <c r="B73" s="5" t="str">
        <f t="shared" si="0"/>
        <v/>
      </c>
      <c r="C73" s="33" t="str" cm="1">
        <f t="array" ref="C73">IF(ISNUMBER(A73),IF(A73=A72,INDEX(BackgroundCalcs!$AV$2:$AV$500,'Grading Formulas'!$A73),"Question Results"),"")</f>
        <v/>
      </c>
      <c r="D73" s="8" t="str" cm="1">
        <f t="array" ref="D73">IF(ISNUMBER($A73),IF(A73=A72,INDEX(BackgroundCalcs!$AW$2:$AW$500,'Grading Formulas'!$A73),"C"&amp;A73+9),"")</f>
        <v/>
      </c>
      <c r="E73" s="4" t="str" cm="1">
        <f t="array" ref="E73">IF(ISNUMBER($A73),IF(A73=A72,"Reference2(False,True,"&amp;INDEX(BackgroundCalcs!$AX$2:$AX$500,'Grading Formulas'!$A73)&amp;")","MOEValue(.0001)"),"")</f>
        <v/>
      </c>
      <c r="F73" s="4" t="str">
        <f t="shared" si="5"/>
        <v/>
      </c>
      <c r="G73" s="4" t="str">
        <f t="shared" si="6"/>
        <v/>
      </c>
      <c r="H73" s="4" t="str">
        <f t="shared" si="7"/>
        <v/>
      </c>
    </row>
    <row r="74" spans="1:8">
      <c r="A74" s="5" t="str">
        <f t="shared" si="8"/>
        <v/>
      </c>
      <c r="B74" s="5" t="str">
        <f t="shared" si="0"/>
        <v/>
      </c>
      <c r="C74" s="33" t="str" cm="1">
        <f t="array" ref="C74">IF(ISNUMBER(A74),IF(A74=A73,INDEX(BackgroundCalcs!$AV$2:$AV$500,'Grading Formulas'!$A74),"Question Results"),"")</f>
        <v/>
      </c>
      <c r="D74" s="8" t="str" cm="1">
        <f t="array" ref="D74">IF(ISNUMBER($A74),IF(A74=A73,INDEX(BackgroundCalcs!$AW$2:$AW$500,'Grading Formulas'!$A74),"C"&amp;A74+9),"")</f>
        <v/>
      </c>
      <c r="E74" s="4" t="str" cm="1">
        <f t="array" ref="E74">IF(ISNUMBER($A74),IF(A74=A73,"Reference2(False,True,"&amp;INDEX(BackgroundCalcs!$AX$2:$AX$500,'Grading Formulas'!$A74)&amp;")","MOEValue(.0001)"),"")</f>
        <v/>
      </c>
      <c r="F74" s="4" t="str">
        <f t="shared" si="5"/>
        <v/>
      </c>
      <c r="G74" s="4" t="str">
        <f t="shared" si="6"/>
        <v/>
      </c>
      <c r="H74" s="4" t="str">
        <f t="shared" si="7"/>
        <v/>
      </c>
    </row>
    <row r="75" spans="1:8">
      <c r="A75" s="5" t="str">
        <f t="shared" si="8"/>
        <v/>
      </c>
      <c r="B75" s="5" t="str">
        <f t="shared" si="0"/>
        <v/>
      </c>
      <c r="C75" s="33" t="str" cm="1">
        <f t="array" ref="C75">IF(ISNUMBER(A75),IF(A75=A74,INDEX(BackgroundCalcs!$AV$2:$AV$500,'Grading Formulas'!$A75),"Question Results"),"")</f>
        <v/>
      </c>
      <c r="D75" s="8" t="str" cm="1">
        <f t="array" ref="D75">IF(ISNUMBER($A75),IF(A75=A74,INDEX(BackgroundCalcs!$AW$2:$AW$500,'Grading Formulas'!$A75),"C"&amp;A75+9),"")</f>
        <v/>
      </c>
      <c r="E75" s="4" t="str" cm="1">
        <f t="array" ref="E75">IF(ISNUMBER($A75),IF(A75=A74,"Reference2(False,True,"&amp;INDEX(BackgroundCalcs!$AX$2:$AX$500,'Grading Formulas'!$A75)&amp;")","MOEValue(.0001)"),"")</f>
        <v/>
      </c>
      <c r="F75" s="4" t="str">
        <f t="shared" si="5"/>
        <v/>
      </c>
      <c r="G75" s="4" t="str">
        <f t="shared" si="6"/>
        <v/>
      </c>
      <c r="H75" s="4" t="str">
        <f t="shared" si="7"/>
        <v/>
      </c>
    </row>
    <row r="76" spans="1:8">
      <c r="A76" s="5" t="str">
        <f t="shared" si="8"/>
        <v/>
      </c>
      <c r="B76" s="5" t="str">
        <f t="shared" si="0"/>
        <v/>
      </c>
      <c r="C76" s="33" t="str" cm="1">
        <f t="array" ref="C76">IF(ISNUMBER(A76),IF(A76=A75,INDEX(BackgroundCalcs!$AV$2:$AV$500,'Grading Formulas'!$A76),"Question Results"),"")</f>
        <v/>
      </c>
      <c r="D76" s="8" t="str" cm="1">
        <f t="array" ref="D76">IF(ISNUMBER($A76),IF(A76=A75,INDEX(BackgroundCalcs!$AW$2:$AW$500,'Grading Formulas'!$A76),"C"&amp;A76+9),"")</f>
        <v/>
      </c>
      <c r="E76" s="4" t="str" cm="1">
        <f t="array" ref="E76">IF(ISNUMBER($A76),IF(A76=A75,"Reference2(False,True,"&amp;INDEX(BackgroundCalcs!$AX$2:$AX$500,'Grading Formulas'!$A76)&amp;")","MOEValue(.0001)"),"")</f>
        <v/>
      </c>
      <c r="F76" s="4" t="str">
        <f t="shared" si="5"/>
        <v/>
      </c>
      <c r="G76" s="4" t="str">
        <f t="shared" si="6"/>
        <v/>
      </c>
      <c r="H76" s="4" t="str">
        <f t="shared" si="7"/>
        <v/>
      </c>
    </row>
    <row r="77" spans="1:8">
      <c r="A77" s="5" t="str">
        <f t="shared" si="8"/>
        <v/>
      </c>
      <c r="B77" s="5" t="str">
        <f t="shared" si="0"/>
        <v/>
      </c>
      <c r="C77" s="33" t="str" cm="1">
        <f t="array" ref="C77">IF(ISNUMBER(A77),IF(A77=A76,INDEX(BackgroundCalcs!$AV$2:$AV$500,'Grading Formulas'!$A77),"Question Results"),"")</f>
        <v/>
      </c>
      <c r="D77" s="8" t="str" cm="1">
        <f t="array" ref="D77">IF(ISNUMBER($A77),IF(A77=A76,INDEX(BackgroundCalcs!$AW$2:$AW$500,'Grading Formulas'!$A77),"C"&amp;A77+9),"")</f>
        <v/>
      </c>
      <c r="E77" s="4" t="str" cm="1">
        <f t="array" ref="E77">IF(ISNUMBER($A77),IF(A77=A76,"Reference2(False,True,"&amp;INDEX(BackgroundCalcs!$AX$2:$AX$500,'Grading Formulas'!$A77)&amp;")","MOEValue(.0001)"),"")</f>
        <v/>
      </c>
      <c r="F77" s="4" t="str">
        <f t="shared" si="5"/>
        <v/>
      </c>
      <c r="G77" s="4" t="str">
        <f t="shared" si="6"/>
        <v/>
      </c>
      <c r="H77" s="4" t="str">
        <f t="shared" si="7"/>
        <v/>
      </c>
    </row>
    <row r="78" spans="1:8">
      <c r="A78" s="5" t="str">
        <f t="shared" si="8"/>
        <v/>
      </c>
      <c r="B78" s="5" t="str">
        <f t="shared" si="0"/>
        <v/>
      </c>
      <c r="C78" s="33" t="str" cm="1">
        <f t="array" ref="C78">IF(ISNUMBER(A78),IF(A78=A77,INDEX(BackgroundCalcs!$AV$2:$AV$500,'Grading Formulas'!$A78),"Question Results"),"")</f>
        <v/>
      </c>
      <c r="D78" s="8" t="str" cm="1">
        <f t="array" ref="D78">IF(ISNUMBER($A78),IF(A78=A77,INDEX(BackgroundCalcs!$AW$2:$AW$500,'Grading Formulas'!$A78),"C"&amp;A78+9),"")</f>
        <v/>
      </c>
      <c r="E78" s="4" t="str" cm="1">
        <f t="array" ref="E78">IF(ISNUMBER($A78),IF(A78=A77,"Reference2(False,True,"&amp;INDEX(BackgroundCalcs!$AX$2:$AX$500,'Grading Formulas'!$A78)&amp;")","MOEValue(.0001)"),"")</f>
        <v/>
      </c>
      <c r="F78" s="4" t="str">
        <f t="shared" si="5"/>
        <v/>
      </c>
      <c r="G78" s="4" t="str">
        <f t="shared" si="6"/>
        <v/>
      </c>
      <c r="H78" s="4" t="str">
        <f t="shared" si="7"/>
        <v/>
      </c>
    </row>
    <row r="79" spans="1:8">
      <c r="A79" s="5" t="str">
        <f t="shared" si="8"/>
        <v/>
      </c>
      <c r="B79" s="5" t="str">
        <f t="shared" si="0"/>
        <v/>
      </c>
      <c r="C79" s="33" t="str" cm="1">
        <f t="array" ref="C79">IF(ISNUMBER(A79),IF(A79=A78,INDEX(BackgroundCalcs!$AV$2:$AV$500,'Grading Formulas'!$A79),"Question Results"),"")</f>
        <v/>
      </c>
      <c r="D79" s="8" t="str" cm="1">
        <f t="array" ref="D79">IF(ISNUMBER($A79),IF(A79=A78,INDEX(BackgroundCalcs!$AW$2:$AW$500,'Grading Formulas'!$A79),"C"&amp;A79+9),"")</f>
        <v/>
      </c>
      <c r="E79" s="4" t="str" cm="1">
        <f t="array" ref="E79">IF(ISNUMBER($A79),IF(A79=A78,"Reference2(False,True,"&amp;INDEX(BackgroundCalcs!$AX$2:$AX$500,'Grading Formulas'!$A79)&amp;")","MOEValue(.0001)"),"")</f>
        <v/>
      </c>
      <c r="F79" s="4" t="str">
        <f t="shared" si="5"/>
        <v/>
      </c>
      <c r="G79" s="4" t="str">
        <f t="shared" si="6"/>
        <v/>
      </c>
      <c r="H79" s="4" t="str">
        <f t="shared" si="7"/>
        <v/>
      </c>
    </row>
    <row r="80" spans="1:8">
      <c r="A80" s="5" t="str">
        <f t="shared" si="8"/>
        <v/>
      </c>
      <c r="B80" s="5" t="str">
        <f t="shared" si="0"/>
        <v/>
      </c>
      <c r="C80" s="33" t="str" cm="1">
        <f t="array" ref="C80">IF(ISNUMBER(A80),IF(A80=A79,INDEX(BackgroundCalcs!$AV$2:$AV$500,'Grading Formulas'!$A80),"Question Results"),"")</f>
        <v/>
      </c>
      <c r="D80" s="8" t="str" cm="1">
        <f t="array" ref="D80">IF(ISNUMBER($A80),IF(A80=A79,INDEX(BackgroundCalcs!$AW$2:$AW$500,'Grading Formulas'!$A80),"C"&amp;A80+9),"")</f>
        <v/>
      </c>
      <c r="E80" s="4" t="str" cm="1">
        <f t="array" ref="E80">IF(ISNUMBER($A80),IF(A80=A79,"Reference2(False,True,"&amp;INDEX(BackgroundCalcs!$AX$2:$AX$500,'Grading Formulas'!$A80)&amp;")","MOEValue(.0001)"),"")</f>
        <v/>
      </c>
      <c r="F80" s="4" t="str">
        <f t="shared" si="5"/>
        <v/>
      </c>
      <c r="G80" s="4" t="str">
        <f t="shared" si="6"/>
        <v/>
      </c>
      <c r="H80" s="4" t="str">
        <f t="shared" si="7"/>
        <v/>
      </c>
    </row>
    <row r="81" spans="1:8">
      <c r="A81" s="5" t="str">
        <f t="shared" si="8"/>
        <v/>
      </c>
      <c r="B81" s="5" t="str">
        <f t="shared" si="0"/>
        <v/>
      </c>
      <c r="C81" s="33" t="str" cm="1">
        <f t="array" ref="C81">IF(ISNUMBER(A81),IF(A81=A80,INDEX(BackgroundCalcs!$AV$2:$AV$500,'Grading Formulas'!$A81),"Question Results"),"")</f>
        <v/>
      </c>
      <c r="D81" s="8" t="str" cm="1">
        <f t="array" ref="D81">IF(ISNUMBER($A81),IF(A81=A80,INDEX(BackgroundCalcs!$AW$2:$AW$500,'Grading Formulas'!$A81),"C"&amp;A81+9),"")</f>
        <v/>
      </c>
      <c r="E81" s="4" t="str" cm="1">
        <f t="array" ref="E81">IF(ISNUMBER($A81),IF(A81=A80,"Reference2(False,True,"&amp;INDEX(BackgroundCalcs!$AX$2:$AX$500,'Grading Formulas'!$A81)&amp;")","MOEValue(.0001)"),"")</f>
        <v/>
      </c>
      <c r="F81" s="4" t="str">
        <f t="shared" si="5"/>
        <v/>
      </c>
      <c r="G81" s="4" t="str">
        <f t="shared" si="6"/>
        <v/>
      </c>
      <c r="H81" s="4" t="str">
        <f t="shared" si="7"/>
        <v/>
      </c>
    </row>
    <row r="82" spans="1:8">
      <c r="A82" s="5" t="str">
        <f t="shared" si="8"/>
        <v/>
      </c>
      <c r="B82" s="5" t="str">
        <f t="shared" si="0"/>
        <v/>
      </c>
      <c r="C82" s="33" t="str" cm="1">
        <f t="array" ref="C82">IF(ISNUMBER(A82),IF(A82=A81,INDEX(BackgroundCalcs!$AV$2:$AV$500,'Grading Formulas'!$A82),"Question Results"),"")</f>
        <v/>
      </c>
      <c r="D82" s="8" t="str" cm="1">
        <f t="array" ref="D82">IF(ISNUMBER($A82),IF(A82=A81,INDEX(BackgroundCalcs!$AW$2:$AW$500,'Grading Formulas'!$A82),"C"&amp;A82+9),"")</f>
        <v/>
      </c>
      <c r="E82" s="4" t="str" cm="1">
        <f t="array" ref="E82">IF(ISNUMBER($A82),IF(A82=A81,"Reference2(False,True,"&amp;INDEX(BackgroundCalcs!$AX$2:$AX$500,'Grading Formulas'!$A82)&amp;")","MOEValue(.0001)"),"")</f>
        <v/>
      </c>
      <c r="F82" s="4" t="str">
        <f t="shared" si="5"/>
        <v/>
      </c>
      <c r="G82" s="4" t="str">
        <f t="shared" si="6"/>
        <v/>
      </c>
      <c r="H82" s="4" t="str">
        <f t="shared" si="7"/>
        <v/>
      </c>
    </row>
    <row r="83" spans="1:8">
      <c r="A83" s="5" t="str">
        <f t="shared" si="8"/>
        <v/>
      </c>
      <c r="B83" s="5" t="str">
        <f t="shared" si="0"/>
        <v/>
      </c>
      <c r="C83" s="33" t="str" cm="1">
        <f t="array" ref="C83">IF(ISNUMBER(A83),IF(A83=A82,INDEX(BackgroundCalcs!$AV$2:$AV$500,'Grading Formulas'!$A83),"Question Results"),"")</f>
        <v/>
      </c>
      <c r="D83" s="8" t="str" cm="1">
        <f t="array" ref="D83">IF(ISNUMBER($A83),IF(A83=A82,INDEX(BackgroundCalcs!$AW$2:$AW$500,'Grading Formulas'!$A83),"C"&amp;A83+9),"")</f>
        <v/>
      </c>
      <c r="E83" s="4" t="str" cm="1">
        <f t="array" ref="E83">IF(ISNUMBER($A83),IF(A83=A82,"Reference2(False,True,"&amp;INDEX(BackgroundCalcs!$AX$2:$AX$500,'Grading Formulas'!$A83)&amp;")","MOEValue(.0001)"),"")</f>
        <v/>
      </c>
      <c r="F83" s="4" t="str">
        <f t="shared" si="5"/>
        <v/>
      </c>
      <c r="G83" s="4" t="str">
        <f t="shared" si="6"/>
        <v/>
      </c>
      <c r="H83" s="4" t="str">
        <f t="shared" si="7"/>
        <v/>
      </c>
    </row>
    <row r="84" spans="1:8">
      <c r="A84" s="5" t="str">
        <f t="shared" si="8"/>
        <v/>
      </c>
      <c r="B84" s="5" t="str">
        <f t="shared" si="0"/>
        <v/>
      </c>
      <c r="C84" s="33" t="str" cm="1">
        <f t="array" ref="C84">IF(ISNUMBER(A84),IF(A84=A83,INDEX(BackgroundCalcs!$AV$2:$AV$500,'Grading Formulas'!$A84),"Question Results"),"")</f>
        <v/>
      </c>
      <c r="D84" s="8" t="str" cm="1">
        <f t="array" ref="D84">IF(ISNUMBER($A84),IF(A84=A83,INDEX(BackgroundCalcs!$AW$2:$AW$500,'Grading Formulas'!$A84),"C"&amp;A84+9),"")</f>
        <v/>
      </c>
      <c r="E84" s="4" t="str" cm="1">
        <f t="array" ref="E84">IF(ISNUMBER($A84),IF(A84=A83,"Reference2(False,True,"&amp;INDEX(BackgroundCalcs!$AX$2:$AX$500,'Grading Formulas'!$A84)&amp;")","MOEValue(.0001)"),"")</f>
        <v/>
      </c>
      <c r="F84" s="4" t="str">
        <f t="shared" si="5"/>
        <v/>
      </c>
      <c r="G84" s="4" t="str">
        <f t="shared" si="6"/>
        <v/>
      </c>
      <c r="H84" s="4" t="str">
        <f t="shared" si="7"/>
        <v/>
      </c>
    </row>
    <row r="85" spans="1:8">
      <c r="A85" s="5" t="str">
        <f t="shared" si="8"/>
        <v/>
      </c>
      <c r="B85" s="5" t="str">
        <f t="shared" si="0"/>
        <v/>
      </c>
      <c r="C85" s="33" t="str" cm="1">
        <f t="array" ref="C85">IF(ISNUMBER(A85),IF(A85=A84,INDEX(BackgroundCalcs!$AV$2:$AV$500,'Grading Formulas'!$A85),"Question Results"),"")</f>
        <v/>
      </c>
      <c r="D85" s="8" t="str" cm="1">
        <f t="array" ref="D85">IF(ISNUMBER($A85),IF(A85=A84,INDEX(BackgroundCalcs!$AW$2:$AW$500,'Grading Formulas'!$A85),"C"&amp;A85+9),"")</f>
        <v/>
      </c>
      <c r="E85" s="4" t="str" cm="1">
        <f t="array" ref="E85">IF(ISNUMBER($A85),IF(A85=A84,"Reference2(False,True,"&amp;INDEX(BackgroundCalcs!$AX$2:$AX$500,'Grading Formulas'!$A85)&amp;")","MOEValue(.0001)"),"")</f>
        <v/>
      </c>
      <c r="F85" s="4" t="str">
        <f t="shared" si="5"/>
        <v/>
      </c>
      <c r="G85" s="4" t="str">
        <f t="shared" si="6"/>
        <v/>
      </c>
      <c r="H85" s="4" t="str">
        <f t="shared" si="7"/>
        <v/>
      </c>
    </row>
    <row r="86" spans="1:8">
      <c r="A86" s="5" t="str">
        <f t="shared" si="8"/>
        <v/>
      </c>
      <c r="B86" s="5" t="str">
        <f t="shared" si="0"/>
        <v/>
      </c>
      <c r="C86" s="33" t="str" cm="1">
        <f t="array" ref="C86">IF(ISNUMBER(A86),IF(A86=A85,INDEX(BackgroundCalcs!$AV$2:$AV$500,'Grading Formulas'!$A86),"Question Results"),"")</f>
        <v/>
      </c>
      <c r="D86" s="8" t="str" cm="1">
        <f t="array" ref="D86">IF(ISNUMBER($A86),IF(A86=A85,INDEX(BackgroundCalcs!$AW$2:$AW$500,'Grading Formulas'!$A86),"C"&amp;A86+9),"")</f>
        <v/>
      </c>
      <c r="E86" s="4" t="str" cm="1">
        <f t="array" ref="E86">IF(ISNUMBER($A86),IF(A86=A85,"Reference2(False,True,"&amp;INDEX(BackgroundCalcs!$AX$2:$AX$500,'Grading Formulas'!$A86)&amp;")","MOEValue(.0001)"),"")</f>
        <v/>
      </c>
      <c r="F86" s="4" t="str">
        <f t="shared" si="5"/>
        <v/>
      </c>
      <c r="G86" s="4" t="str">
        <f t="shared" si="6"/>
        <v/>
      </c>
      <c r="H86" s="4" t="str">
        <f t="shared" si="7"/>
        <v/>
      </c>
    </row>
    <row r="87" spans="1:8">
      <c r="A87" s="5" t="str">
        <f t="shared" si="8"/>
        <v/>
      </c>
      <c r="B87" s="5" t="str">
        <f t="shared" si="0"/>
        <v/>
      </c>
      <c r="C87" s="33" t="str" cm="1">
        <f t="array" ref="C87">IF(ISNUMBER(A87),IF(A87=A86,INDEX(BackgroundCalcs!$AV$2:$AV$500,'Grading Formulas'!$A87),"Question Results"),"")</f>
        <v/>
      </c>
      <c r="D87" s="8" t="str" cm="1">
        <f t="array" ref="D87">IF(ISNUMBER($A87),IF(A87=A86,INDEX(BackgroundCalcs!$AW$2:$AW$500,'Grading Formulas'!$A87),"C"&amp;A87+9),"")</f>
        <v/>
      </c>
      <c r="E87" s="4" t="str" cm="1">
        <f t="array" ref="E87">IF(ISNUMBER($A87),IF(A87=A86,"Reference2(False,True,"&amp;INDEX(BackgroundCalcs!$AX$2:$AX$500,'Grading Formulas'!$A87)&amp;")","MOEValue(.0001)"),"")</f>
        <v/>
      </c>
      <c r="F87" s="4" t="str">
        <f t="shared" si="5"/>
        <v/>
      </c>
      <c r="G87" s="4" t="str">
        <f t="shared" si="6"/>
        <v/>
      </c>
      <c r="H87" s="4" t="str">
        <f t="shared" si="7"/>
        <v/>
      </c>
    </row>
    <row r="88" spans="1:8">
      <c r="A88" s="5" t="str">
        <f t="shared" si="8"/>
        <v/>
      </c>
      <c r="B88" s="5" t="str">
        <f t="shared" si="0"/>
        <v/>
      </c>
      <c r="C88" s="33" t="str" cm="1">
        <f t="array" ref="C88">IF(ISNUMBER(A88),IF(A88=A87,INDEX(BackgroundCalcs!$AV$2:$AV$500,'Grading Formulas'!$A88),"Question Results"),"")</f>
        <v/>
      </c>
      <c r="D88" s="8" t="str" cm="1">
        <f t="array" ref="D88">IF(ISNUMBER($A88),IF(A88=A87,INDEX(BackgroundCalcs!$AW$2:$AW$500,'Grading Formulas'!$A88),"C"&amp;A88+9),"")</f>
        <v/>
      </c>
      <c r="E88" s="4" t="str" cm="1">
        <f t="array" ref="E88">IF(ISNUMBER($A88),IF(A88=A87,"Reference2(False,True,"&amp;INDEX(BackgroundCalcs!$AX$2:$AX$500,'Grading Formulas'!$A88)&amp;")","MOEValue(.0001)"),"")</f>
        <v/>
      </c>
      <c r="F88" s="4" t="str">
        <f t="shared" si="5"/>
        <v/>
      </c>
      <c r="G88" s="4" t="str">
        <f t="shared" si="6"/>
        <v/>
      </c>
      <c r="H88" s="4" t="str">
        <f t="shared" si="7"/>
        <v/>
      </c>
    </row>
    <row r="89" spans="1:8">
      <c r="A89" s="5" t="str">
        <f t="shared" si="8"/>
        <v/>
      </c>
      <c r="B89" s="5" t="str">
        <f t="shared" si="0"/>
        <v/>
      </c>
      <c r="C89" s="33" t="str" cm="1">
        <f t="array" ref="C89">IF(ISNUMBER(A89),IF(A89=A88,INDEX(BackgroundCalcs!$AV$2:$AV$500,'Grading Formulas'!$A89),"Question Results"),"")</f>
        <v/>
      </c>
      <c r="D89" s="8" t="str" cm="1">
        <f t="array" ref="D89">IF(ISNUMBER($A89),IF(A89=A88,INDEX(BackgroundCalcs!$AW$2:$AW$500,'Grading Formulas'!$A89),"C"&amp;A89+9),"")</f>
        <v/>
      </c>
      <c r="E89" s="4" t="str" cm="1">
        <f t="array" ref="E89">IF(ISNUMBER($A89),IF(A89=A88,"Reference2(False,True,"&amp;INDEX(BackgroundCalcs!$AX$2:$AX$500,'Grading Formulas'!$A89)&amp;")","MOEValue(.0001)"),"")</f>
        <v/>
      </c>
      <c r="F89" s="4" t="str">
        <f t="shared" si="5"/>
        <v/>
      </c>
      <c r="G89" s="4" t="str">
        <f t="shared" si="6"/>
        <v/>
      </c>
      <c r="H89" s="4" t="str">
        <f t="shared" si="7"/>
        <v/>
      </c>
    </row>
    <row r="90" spans="1:8">
      <c r="A90" s="5" t="str">
        <f t="shared" si="8"/>
        <v/>
      </c>
      <c r="B90" s="5" t="str">
        <f t="shared" si="0"/>
        <v/>
      </c>
      <c r="C90" s="33" t="str" cm="1">
        <f t="array" ref="C90">IF(ISNUMBER(A90),IF(A90=A89,INDEX(BackgroundCalcs!$AV$2:$AV$500,'Grading Formulas'!$A90),"Question Results"),"")</f>
        <v/>
      </c>
      <c r="D90" s="8" t="str" cm="1">
        <f t="array" ref="D90">IF(ISNUMBER($A90),IF(A90=A89,INDEX(BackgroundCalcs!$AW$2:$AW$500,'Grading Formulas'!$A90),"C"&amp;A90+9),"")</f>
        <v/>
      </c>
      <c r="E90" s="4" t="str" cm="1">
        <f t="array" ref="E90">IF(ISNUMBER($A90),IF(A90=A89,"Reference2(False,True,"&amp;INDEX(BackgroundCalcs!$AX$2:$AX$500,'Grading Formulas'!$A90)&amp;")","MOEValue(.0001)"),"")</f>
        <v/>
      </c>
      <c r="F90" s="4" t="str">
        <f t="shared" si="5"/>
        <v/>
      </c>
      <c r="G90" s="4" t="str">
        <f t="shared" si="6"/>
        <v/>
      </c>
      <c r="H90" s="4" t="str">
        <f t="shared" si="7"/>
        <v/>
      </c>
    </row>
    <row r="91" spans="1:8">
      <c r="A91" s="5" t="str">
        <f t="shared" si="8"/>
        <v/>
      </c>
      <c r="B91" s="5" t="str">
        <f t="shared" si="0"/>
        <v/>
      </c>
      <c r="C91" s="33" t="str" cm="1">
        <f t="array" ref="C91">IF(ISNUMBER(A91),IF(A91=A90,INDEX(BackgroundCalcs!$AV$2:$AV$500,'Grading Formulas'!$A91),"Question Results"),"")</f>
        <v/>
      </c>
      <c r="D91" s="8" t="str" cm="1">
        <f t="array" ref="D91">IF(ISNUMBER($A91),IF(A91=A90,INDEX(BackgroundCalcs!$AW$2:$AW$500,'Grading Formulas'!$A91),"C"&amp;A91+9),"")</f>
        <v/>
      </c>
      <c r="E91" s="4" t="str" cm="1">
        <f t="array" ref="E91">IF(ISNUMBER($A91),IF(A91=A90,"Reference2(False,True,"&amp;INDEX(BackgroundCalcs!$AX$2:$AX$500,'Grading Formulas'!$A91)&amp;")","MOEValue(.0001)"),"")</f>
        <v/>
      </c>
      <c r="F91" s="4" t="str">
        <f t="shared" si="5"/>
        <v/>
      </c>
      <c r="G91" s="4" t="str">
        <f t="shared" si="6"/>
        <v/>
      </c>
      <c r="H91" s="4" t="str">
        <f t="shared" si="7"/>
        <v/>
      </c>
    </row>
    <row r="92" spans="1:8">
      <c r="A92" s="5" t="str">
        <f t="shared" si="8"/>
        <v/>
      </c>
      <c r="B92" s="5" t="str">
        <f t="shared" si="0"/>
        <v/>
      </c>
      <c r="C92" s="33" t="str" cm="1">
        <f t="array" ref="C92">IF(ISNUMBER(A92),IF(A92=A91,INDEX(BackgroundCalcs!$AV$2:$AV$500,'Grading Formulas'!$A92),"Question Results"),"")</f>
        <v/>
      </c>
      <c r="D92" s="8" t="str" cm="1">
        <f t="array" ref="D92">IF(ISNUMBER($A92),IF(A92=A91,INDEX(BackgroundCalcs!$AW$2:$AW$500,'Grading Formulas'!$A92),"C"&amp;A92+9),"")</f>
        <v/>
      </c>
      <c r="E92" s="4" t="str" cm="1">
        <f t="array" ref="E92">IF(ISNUMBER($A92),IF(A92=A91,"Reference2(False,True,"&amp;INDEX(BackgroundCalcs!$AX$2:$AX$500,'Grading Formulas'!$A92)&amp;")","MOEValue(.0001)"),"")</f>
        <v/>
      </c>
      <c r="F92" s="4" t="str">
        <f t="shared" si="5"/>
        <v/>
      </c>
      <c r="G92" s="4" t="str">
        <f t="shared" si="6"/>
        <v/>
      </c>
      <c r="H92" s="4" t="str">
        <f t="shared" si="7"/>
        <v/>
      </c>
    </row>
    <row r="93" spans="1:8">
      <c r="A93" s="5" t="str">
        <f t="shared" si="8"/>
        <v/>
      </c>
      <c r="B93" s="5" t="str">
        <f t="shared" si="0"/>
        <v/>
      </c>
      <c r="C93" s="33" t="str" cm="1">
        <f t="array" ref="C93">IF(ISNUMBER(A93),IF(A93=A92,INDEX(BackgroundCalcs!$AV$2:$AV$500,'Grading Formulas'!$A93),"Question Results"),"")</f>
        <v/>
      </c>
      <c r="D93" s="8" t="str" cm="1">
        <f t="array" ref="D93">IF(ISNUMBER($A93),IF(A93=A92,INDEX(BackgroundCalcs!$AW$2:$AW$500,'Grading Formulas'!$A93),"C"&amp;A93+9),"")</f>
        <v/>
      </c>
      <c r="E93" s="4" t="str" cm="1">
        <f t="array" ref="E93">IF(ISNUMBER($A93),IF(A93=A92,"Reference2(False,True,"&amp;INDEX(BackgroundCalcs!$AX$2:$AX$500,'Grading Formulas'!$A93)&amp;")","MOEValue(.0001)"),"")</f>
        <v/>
      </c>
      <c r="F93" s="4" t="str">
        <f t="shared" si="5"/>
        <v/>
      </c>
      <c r="G93" s="4" t="str">
        <f t="shared" si="6"/>
        <v/>
      </c>
      <c r="H93" s="4" t="str">
        <f t="shared" si="7"/>
        <v/>
      </c>
    </row>
    <row r="94" spans="1:8">
      <c r="A94" s="5" t="str">
        <f t="shared" si="8"/>
        <v/>
      </c>
      <c r="B94" s="5" t="str">
        <f t="shared" si="0"/>
        <v/>
      </c>
      <c r="C94" s="33" t="str" cm="1">
        <f t="array" ref="C94">IF(ISNUMBER(A94),IF(A94=A93,INDEX(BackgroundCalcs!$AV$2:$AV$500,'Grading Formulas'!$A94),"Question Results"),"")</f>
        <v/>
      </c>
      <c r="D94" s="8" t="str" cm="1">
        <f t="array" ref="D94">IF(ISNUMBER($A94),IF(A94=A93,INDEX(BackgroundCalcs!$AW$2:$AW$500,'Grading Formulas'!$A94),"C"&amp;A94+9),"")</f>
        <v/>
      </c>
      <c r="E94" s="4" t="str" cm="1">
        <f t="array" ref="E94">IF(ISNUMBER($A94),IF(A94=A93,"Reference2(False,True,"&amp;INDEX(BackgroundCalcs!$AX$2:$AX$500,'Grading Formulas'!$A94)&amp;")","MOEValue(.0001)"),"")</f>
        <v/>
      </c>
      <c r="F94" s="4" t="str">
        <f t="shared" si="5"/>
        <v/>
      </c>
      <c r="G94" s="4" t="str">
        <f t="shared" si="6"/>
        <v/>
      </c>
      <c r="H94" s="4" t="str">
        <f t="shared" si="7"/>
        <v/>
      </c>
    </row>
    <row r="95" spans="1:8">
      <c r="A95" s="5" t="str">
        <f t="shared" si="8"/>
        <v/>
      </c>
      <c r="B95" s="5" t="str">
        <f t="shared" si="0"/>
        <v/>
      </c>
      <c r="C95" s="33" t="str" cm="1">
        <f t="array" ref="C95">IF(ISNUMBER(A95),IF(A95=A94,INDEX(BackgroundCalcs!$AV$2:$AV$500,'Grading Formulas'!$A95),"Question Results"),"")</f>
        <v/>
      </c>
      <c r="D95" s="8" t="str" cm="1">
        <f t="array" ref="D95">IF(ISNUMBER($A95),IF(A95=A94,INDEX(BackgroundCalcs!$AW$2:$AW$500,'Grading Formulas'!$A95),"C"&amp;A95+9),"")</f>
        <v/>
      </c>
      <c r="E95" s="4" t="str" cm="1">
        <f t="array" ref="E95">IF(ISNUMBER($A95),IF(A95=A94,"Reference2(False,True,"&amp;INDEX(BackgroundCalcs!$AX$2:$AX$500,'Grading Formulas'!$A95)&amp;")","MOEValue(.0001)"),"")</f>
        <v/>
      </c>
      <c r="F95" s="4" t="str">
        <f t="shared" si="5"/>
        <v/>
      </c>
      <c r="G95" s="4" t="str">
        <f t="shared" si="6"/>
        <v/>
      </c>
      <c r="H95" s="4" t="str">
        <f t="shared" si="7"/>
        <v/>
      </c>
    </row>
    <row r="96" spans="1:8">
      <c r="A96" s="5" t="str">
        <f t="shared" si="8"/>
        <v/>
      </c>
      <c r="B96" s="5" t="str">
        <f t="shared" si="0"/>
        <v/>
      </c>
      <c r="C96" s="33" t="str" cm="1">
        <f t="array" ref="C96">IF(ISNUMBER(A96),IF(A96=A95,INDEX(BackgroundCalcs!$AV$2:$AV$500,'Grading Formulas'!$A96),"Question Results"),"")</f>
        <v/>
      </c>
      <c r="D96" s="8" t="str" cm="1">
        <f t="array" ref="D96">IF(ISNUMBER($A96),IF(A96=A95,INDEX(BackgroundCalcs!$AW$2:$AW$500,'Grading Formulas'!$A96),"C"&amp;A96+9),"")</f>
        <v/>
      </c>
      <c r="E96" s="4" t="str" cm="1">
        <f t="array" ref="E96">IF(ISNUMBER($A96),IF(A96=A95,"Reference2(False,True,"&amp;INDEX(BackgroundCalcs!$AX$2:$AX$500,'Grading Formulas'!$A96)&amp;")","MOEValue(.0001)"),"")</f>
        <v/>
      </c>
      <c r="F96" s="4" t="str">
        <f t="shared" si="5"/>
        <v/>
      </c>
      <c r="G96" s="4" t="str">
        <f t="shared" si="6"/>
        <v/>
      </c>
      <c r="H96" s="4" t="str">
        <f t="shared" si="7"/>
        <v/>
      </c>
    </row>
    <row r="97" spans="1:8">
      <c r="A97" s="5" t="str">
        <f t="shared" si="8"/>
        <v/>
      </c>
      <c r="B97" s="5" t="str">
        <f t="shared" si="0"/>
        <v/>
      </c>
      <c r="C97" s="33" t="str" cm="1">
        <f t="array" ref="C97">IF(ISNUMBER(A97),IF(A97=A96,INDEX(BackgroundCalcs!$AV$2:$AV$500,'Grading Formulas'!$A97),"Question Results"),"")</f>
        <v/>
      </c>
      <c r="D97" s="8" t="str" cm="1">
        <f t="array" ref="D97">IF(ISNUMBER($A97),IF(A97=A96,INDEX(BackgroundCalcs!$AW$2:$AW$500,'Grading Formulas'!$A97),"C"&amp;A97+9),"")</f>
        <v/>
      </c>
      <c r="E97" s="4" t="str" cm="1">
        <f t="array" ref="E97">IF(ISNUMBER($A97),IF(A97=A96,"Reference2(False,True,"&amp;INDEX(BackgroundCalcs!$AX$2:$AX$500,'Grading Formulas'!$A97)&amp;")","MOEValue(.0001)"),"")</f>
        <v/>
      </c>
      <c r="F97" s="4" t="str">
        <f t="shared" si="5"/>
        <v/>
      </c>
      <c r="G97" s="4" t="str">
        <f t="shared" si="6"/>
        <v/>
      </c>
      <c r="H97" s="4" t="str">
        <f t="shared" si="7"/>
        <v/>
      </c>
    </row>
    <row r="98" spans="1:8">
      <c r="A98" s="5" t="str">
        <f t="shared" si="8"/>
        <v/>
      </c>
      <c r="B98" s="5" t="str">
        <f t="shared" si="0"/>
        <v/>
      </c>
      <c r="C98" s="33" t="str" cm="1">
        <f t="array" ref="C98">IF(ISNUMBER(A98),IF(A98=A97,INDEX(BackgroundCalcs!$AV$2:$AV$500,'Grading Formulas'!$A98),"Question Results"),"")</f>
        <v/>
      </c>
      <c r="D98" s="8" t="str" cm="1">
        <f t="array" ref="D98">IF(ISNUMBER($A98),IF(A98=A97,INDEX(BackgroundCalcs!$AW$2:$AW$500,'Grading Formulas'!$A98),"C"&amp;A98+9),"")</f>
        <v/>
      </c>
      <c r="E98" s="4" t="str" cm="1">
        <f t="array" ref="E98">IF(ISNUMBER($A98),IF(A98=A97,"Reference2(False,True,"&amp;INDEX(BackgroundCalcs!$AX$2:$AX$500,'Grading Formulas'!$A98)&amp;")","MOEValue(.0001)"),"")</f>
        <v/>
      </c>
      <c r="F98" s="4" t="str">
        <f t="shared" si="5"/>
        <v/>
      </c>
      <c r="G98" s="4" t="str">
        <f t="shared" si="6"/>
        <v/>
      </c>
      <c r="H98" s="4" t="str">
        <f t="shared" si="7"/>
        <v/>
      </c>
    </row>
    <row r="99" spans="1:8">
      <c r="A99" s="5" t="str">
        <f t="shared" si="8"/>
        <v/>
      </c>
      <c r="B99" s="5" t="str">
        <f t="shared" si="0"/>
        <v/>
      </c>
      <c r="C99" s="33" t="str" cm="1">
        <f t="array" ref="C99">IF(ISNUMBER(A99),IF(A99=A98,INDEX(BackgroundCalcs!$AV$2:$AV$500,'Grading Formulas'!$A99),"Question Results"),"")</f>
        <v/>
      </c>
      <c r="D99" s="8" t="str" cm="1">
        <f t="array" ref="D99">IF(ISNUMBER($A99),IF(A99=A98,INDEX(BackgroundCalcs!$AW$2:$AW$500,'Grading Formulas'!$A99),"C"&amp;A99+9),"")</f>
        <v/>
      </c>
      <c r="E99" s="4" t="str" cm="1">
        <f t="array" ref="E99">IF(ISNUMBER($A99),IF(A99=A98,"Reference2(False,True,"&amp;INDEX(BackgroundCalcs!$AX$2:$AX$500,'Grading Formulas'!$A99)&amp;")","MOEValue(.0001)"),"")</f>
        <v/>
      </c>
      <c r="F99" s="4" t="str">
        <f t="shared" si="5"/>
        <v/>
      </c>
      <c r="G99" s="4" t="str">
        <f t="shared" si="6"/>
        <v/>
      </c>
      <c r="H99" s="4" t="str">
        <f t="shared" si="7"/>
        <v/>
      </c>
    </row>
    <row r="100" spans="1:8">
      <c r="A100" s="5" t="str">
        <f t="shared" si="8"/>
        <v/>
      </c>
      <c r="B100" s="5" t="str">
        <f t="shared" si="0"/>
        <v/>
      </c>
      <c r="C100" s="33" t="str" cm="1">
        <f t="array" ref="C100">IF(ISNUMBER(A100),IF(A100=A99,INDEX(BackgroundCalcs!$AV$2:$AV$500,'Grading Formulas'!$A100),"Question Results"),"")</f>
        <v/>
      </c>
      <c r="D100" s="8" t="str" cm="1">
        <f t="array" ref="D100">IF(ISNUMBER($A100),IF(A100=A99,INDEX(BackgroundCalcs!$AW$2:$AW$500,'Grading Formulas'!$A100),"C"&amp;A100+9),"")</f>
        <v/>
      </c>
      <c r="E100" s="4" t="str" cm="1">
        <f t="array" ref="E100">IF(ISNUMBER($A100),IF(A100=A99,"Reference2(False,True,"&amp;INDEX(BackgroundCalcs!$AX$2:$AX$500,'Grading Formulas'!$A100)&amp;")","MOEValue(.0001)"),"")</f>
        <v/>
      </c>
      <c r="F100" s="4" t="str">
        <f t="shared" si="5"/>
        <v/>
      </c>
      <c r="G100" s="4" t="str">
        <f t="shared" si="6"/>
        <v/>
      </c>
      <c r="H100" s="4" t="str">
        <f t="shared" si="7"/>
        <v/>
      </c>
    </row>
    <row r="101" spans="1:8">
      <c r="A101" s="5" t="str">
        <f t="shared" si="8"/>
        <v/>
      </c>
      <c r="B101" s="5" t="str">
        <f t="shared" si="0"/>
        <v/>
      </c>
      <c r="C101" s="33" t="str" cm="1">
        <f t="array" ref="C101">IF(ISNUMBER(A101),IF(A101=A100,INDEX(BackgroundCalcs!$AV$2:$AV$500,'Grading Formulas'!$A101),"Question Results"),"")</f>
        <v/>
      </c>
      <c r="D101" s="8" t="str" cm="1">
        <f t="array" ref="D101">IF(ISNUMBER($A101),IF(A101=A100,INDEX(BackgroundCalcs!$AW$2:$AW$500,'Grading Formulas'!$A101),"C"&amp;A101+9),"")</f>
        <v/>
      </c>
      <c r="E101" s="4" t="str" cm="1">
        <f t="array" ref="E101">IF(ISNUMBER($A101),IF(A101=A100,"Reference2(False,True,"&amp;INDEX(BackgroundCalcs!$AX$2:$AX$500,'Grading Formulas'!$A101)&amp;")","MOEValue(.0001)"),"")</f>
        <v/>
      </c>
      <c r="F101" s="4" t="str">
        <f t="shared" si="5"/>
        <v/>
      </c>
      <c r="G101" s="4" t="str">
        <f t="shared" si="6"/>
        <v/>
      </c>
      <c r="H101" s="4" t="str">
        <f t="shared" si="7"/>
        <v/>
      </c>
    </row>
    <row r="102" spans="1:8">
      <c r="A102" s="5" t="str">
        <f t="shared" si="8"/>
        <v/>
      </c>
      <c r="B102" s="5" t="str">
        <f t="shared" si="0"/>
        <v/>
      </c>
      <c r="C102" s="33" t="str" cm="1">
        <f t="array" ref="C102">IF(ISNUMBER(A102),IF(A102=A101,INDEX(BackgroundCalcs!$AV$2:$AV$500,'Grading Formulas'!$A102),"Question Results"),"")</f>
        <v/>
      </c>
      <c r="D102" s="8" t="str" cm="1">
        <f t="array" ref="D102">IF(ISNUMBER($A102),IF(A102=A101,INDEX(BackgroundCalcs!$AW$2:$AW$500,'Grading Formulas'!$A102),"C"&amp;A102+9),"")</f>
        <v/>
      </c>
      <c r="E102" s="4" t="str" cm="1">
        <f t="array" ref="E102">IF(ISNUMBER($A102),IF(A102=A101,"Reference2(False,True,"&amp;INDEX(BackgroundCalcs!$AX$2:$AX$500,'Grading Formulas'!$A102)&amp;")","MOEValue(.0001)"),"")</f>
        <v/>
      </c>
      <c r="F102" s="4" t="str">
        <f t="shared" si="5"/>
        <v/>
      </c>
      <c r="G102" s="4" t="str">
        <f t="shared" si="6"/>
        <v/>
      </c>
      <c r="H102" s="4" t="str">
        <f t="shared" si="7"/>
        <v/>
      </c>
    </row>
    <row r="103" spans="1:8">
      <c r="A103" s="5" t="str">
        <f t="shared" si="8"/>
        <v/>
      </c>
      <c r="B103" s="5" t="str">
        <f t="shared" si="0"/>
        <v/>
      </c>
      <c r="C103" s="33" t="str" cm="1">
        <f t="array" ref="C103">IF(ISNUMBER(A103),IF(A103=A102,INDEX(BackgroundCalcs!$AV$2:$AV$500,'Grading Formulas'!$A103),"Question Results"),"")</f>
        <v/>
      </c>
      <c r="D103" s="8" t="str" cm="1">
        <f t="array" ref="D103">IF(ISNUMBER($A103),IF(A103=A102,INDEX(BackgroundCalcs!$AW$2:$AW$500,'Grading Formulas'!$A103),"C"&amp;A103+9),"")</f>
        <v/>
      </c>
      <c r="E103" s="4" t="str" cm="1">
        <f t="array" ref="E103">IF(ISNUMBER($A103),IF(A103=A102,"Reference2(False,True,"&amp;INDEX(BackgroundCalcs!$AX$2:$AX$500,'Grading Formulas'!$A103)&amp;")","MOEValue(.0001)"),"")</f>
        <v/>
      </c>
      <c r="F103" s="4" t="str">
        <f t="shared" si="5"/>
        <v/>
      </c>
      <c r="G103" s="4" t="str">
        <f t="shared" si="6"/>
        <v/>
      </c>
      <c r="H103" s="4" t="str">
        <f t="shared" si="7"/>
        <v/>
      </c>
    </row>
    <row r="104" spans="1:8">
      <c r="A104" s="5" t="str">
        <f t="shared" si="8"/>
        <v/>
      </c>
      <c r="B104" s="5" t="str">
        <f t="shared" si="0"/>
        <v/>
      </c>
      <c r="C104" s="33" t="str" cm="1">
        <f t="array" ref="C104">IF(ISNUMBER(A104),IF(A104=A103,INDEX(BackgroundCalcs!$AV$2:$AV$500,'Grading Formulas'!$A104),"Question Results"),"")</f>
        <v/>
      </c>
      <c r="D104" s="8" t="str" cm="1">
        <f t="array" ref="D104">IF(ISNUMBER($A104),IF(A104=A103,INDEX(BackgroundCalcs!$AW$2:$AW$500,'Grading Formulas'!$A104),"C"&amp;A104+9),"")</f>
        <v/>
      </c>
      <c r="E104" s="4" t="str" cm="1">
        <f t="array" ref="E104">IF(ISNUMBER($A104),IF(A104=A103,"Reference2(False,True,"&amp;INDEX(BackgroundCalcs!$AX$2:$AX$500,'Grading Formulas'!$A104)&amp;")","MOEValue(.0001)"),"")</f>
        <v/>
      </c>
      <c r="F104" s="4" t="str">
        <f t="shared" si="5"/>
        <v/>
      </c>
      <c r="G104" s="4" t="str">
        <f t="shared" si="6"/>
        <v/>
      </c>
      <c r="H104" s="4" t="str">
        <f t="shared" si="7"/>
        <v/>
      </c>
    </row>
    <row r="105" spans="1:8">
      <c r="A105" s="5" t="str">
        <f t="shared" si="8"/>
        <v/>
      </c>
      <c r="B105" s="5" t="str">
        <f t="shared" si="0"/>
        <v/>
      </c>
      <c r="C105" s="33" t="str" cm="1">
        <f t="array" ref="C105">IF(ISNUMBER(A105),IF(A105=A104,INDEX(BackgroundCalcs!$AV$2:$AV$500,'Grading Formulas'!$A105),"Question Results"),"")</f>
        <v/>
      </c>
      <c r="D105" s="8" t="str" cm="1">
        <f t="array" ref="D105">IF(ISNUMBER($A105),IF(A105=A104,INDEX(BackgroundCalcs!$AW$2:$AW$500,'Grading Formulas'!$A105),"C"&amp;A105+9),"")</f>
        <v/>
      </c>
      <c r="E105" s="4" t="str" cm="1">
        <f t="array" ref="E105">IF(ISNUMBER($A105),IF(A105=A104,"Reference2(False,True,"&amp;INDEX(BackgroundCalcs!$AX$2:$AX$500,'Grading Formulas'!$A105)&amp;")","MOEValue(.0001)"),"")</f>
        <v/>
      </c>
      <c r="F105" s="4" t="str">
        <f t="shared" si="5"/>
        <v/>
      </c>
      <c r="G105" s="4" t="str">
        <f t="shared" si="6"/>
        <v/>
      </c>
      <c r="H105" s="4" t="str">
        <f t="shared" si="7"/>
        <v/>
      </c>
    </row>
    <row r="106" spans="1:8">
      <c r="A106" s="5" t="str">
        <f t="shared" si="8"/>
        <v/>
      </c>
      <c r="B106" s="5" t="str">
        <f t="shared" si="0"/>
        <v/>
      </c>
      <c r="C106" s="33" t="str" cm="1">
        <f t="array" ref="C106">IF(ISNUMBER(A106),IF(A106=A105,INDEX(BackgroundCalcs!$AV$2:$AV$500,'Grading Formulas'!$A106),"Question Results"),"")</f>
        <v/>
      </c>
      <c r="D106" s="8" t="str" cm="1">
        <f t="array" ref="D106">IF(ISNUMBER($A106),IF(A106=A105,INDEX(BackgroundCalcs!$AW$2:$AW$500,'Grading Formulas'!$A106),"C"&amp;A106+9),"")</f>
        <v/>
      </c>
      <c r="E106" s="4" t="str" cm="1">
        <f t="array" ref="E106">IF(ISNUMBER($A106),IF(A106=A105,"Reference2(False,True,"&amp;INDEX(BackgroundCalcs!$AX$2:$AX$500,'Grading Formulas'!$A106)&amp;")","MOEValue(.0001)"),"")</f>
        <v/>
      </c>
      <c r="F106" s="4" t="str">
        <f t="shared" si="5"/>
        <v/>
      </c>
      <c r="G106" s="4" t="str">
        <f t="shared" si="6"/>
        <v/>
      </c>
      <c r="H106" s="4" t="str">
        <f t="shared" si="7"/>
        <v/>
      </c>
    </row>
    <row r="107" spans="1:8">
      <c r="A107" s="5" t="str">
        <f t="shared" si="8"/>
        <v/>
      </c>
      <c r="B107" s="5" t="str">
        <f t="shared" si="0"/>
        <v/>
      </c>
      <c r="C107" s="33" t="str" cm="1">
        <f t="array" ref="C107">IF(ISNUMBER(A107),IF(A107=A106,INDEX(BackgroundCalcs!$AV$2:$AV$500,'Grading Formulas'!$A107),"Question Results"),"")</f>
        <v/>
      </c>
      <c r="D107" s="8" t="str" cm="1">
        <f t="array" ref="D107">IF(ISNUMBER($A107),IF(A107=A106,INDEX(BackgroundCalcs!$AW$2:$AW$500,'Grading Formulas'!$A107),"C"&amp;A107+9),"")</f>
        <v/>
      </c>
      <c r="E107" s="4" t="str" cm="1">
        <f t="array" ref="E107">IF(ISNUMBER($A107),IF(A107=A106,"Reference2(False,True,"&amp;INDEX(BackgroundCalcs!$AX$2:$AX$500,'Grading Formulas'!$A107)&amp;")","MOEValue(.0001)"),"")</f>
        <v/>
      </c>
      <c r="F107" s="4" t="str">
        <f t="shared" si="5"/>
        <v/>
      </c>
      <c r="G107" s="4" t="str">
        <f t="shared" si="6"/>
        <v/>
      </c>
      <c r="H107" s="4" t="str">
        <f t="shared" si="7"/>
        <v/>
      </c>
    </row>
    <row r="108" spans="1:8">
      <c r="A108" s="5" t="str">
        <f t="shared" si="8"/>
        <v/>
      </c>
      <c r="B108" s="5" t="str">
        <f t="shared" si="0"/>
        <v/>
      </c>
      <c r="C108" s="33" t="str" cm="1">
        <f t="array" ref="C108">IF(ISNUMBER(A108),IF(A108=A107,INDEX(BackgroundCalcs!$AV$2:$AV$500,'Grading Formulas'!$A108),"Question Results"),"")</f>
        <v/>
      </c>
      <c r="D108" s="8" t="str" cm="1">
        <f t="array" ref="D108">IF(ISNUMBER($A108),IF(A108=A107,INDEX(BackgroundCalcs!$AW$2:$AW$500,'Grading Formulas'!$A108),"C"&amp;A108+9),"")</f>
        <v/>
      </c>
      <c r="E108" s="4" t="str" cm="1">
        <f t="array" ref="E108">IF(ISNUMBER($A108),IF(A108=A107,"Reference2(False,True,"&amp;INDEX(BackgroundCalcs!$AX$2:$AX$500,'Grading Formulas'!$A108)&amp;")","MOEValue(.0001)"),"")</f>
        <v/>
      </c>
      <c r="F108" s="4" t="str">
        <f t="shared" si="5"/>
        <v/>
      </c>
      <c r="G108" s="4" t="str">
        <f t="shared" si="6"/>
        <v/>
      </c>
      <c r="H108" s="4" t="str">
        <f t="shared" si="7"/>
        <v/>
      </c>
    </row>
    <row r="109" spans="1:8">
      <c r="A109" s="5" t="str">
        <f t="shared" si="8"/>
        <v/>
      </c>
      <c r="B109" s="5" t="str">
        <f t="shared" si="0"/>
        <v/>
      </c>
      <c r="C109" s="33" t="str" cm="1">
        <f t="array" ref="C109">IF(ISNUMBER(A109),IF(A109=A108,INDEX(BackgroundCalcs!$AV$2:$AV$500,'Grading Formulas'!$A109),"Question Results"),"")</f>
        <v/>
      </c>
      <c r="D109" s="8" t="str" cm="1">
        <f t="array" ref="D109">IF(ISNUMBER($A109),IF(A109=A108,INDEX(BackgroundCalcs!$AW$2:$AW$500,'Grading Formulas'!$A109),"C"&amp;A109+9),"")</f>
        <v/>
      </c>
      <c r="E109" s="4" t="str" cm="1">
        <f t="array" ref="E109">IF(ISNUMBER($A109),IF(A109=A108,"Reference2(False,True,"&amp;INDEX(BackgroundCalcs!$AX$2:$AX$500,'Grading Formulas'!$A109)&amp;")","MOEValue(.0001)"),"")</f>
        <v/>
      </c>
      <c r="F109" s="4" t="str">
        <f t="shared" si="5"/>
        <v/>
      </c>
      <c r="G109" s="4" t="str">
        <f t="shared" si="6"/>
        <v/>
      </c>
      <c r="H109" s="4" t="str">
        <f t="shared" si="7"/>
        <v/>
      </c>
    </row>
    <row r="110" spans="1:8">
      <c r="A110" s="5" t="str">
        <f t="shared" si="8"/>
        <v/>
      </c>
      <c r="B110" s="5" t="str">
        <f t="shared" si="0"/>
        <v/>
      </c>
      <c r="C110" s="33" t="str" cm="1">
        <f t="array" ref="C110">IF(ISNUMBER(A110),IF(A110=A109,INDEX(BackgroundCalcs!$AV$2:$AV$500,'Grading Formulas'!$A110),"Question Results"),"")</f>
        <v/>
      </c>
      <c r="D110" s="8" t="str" cm="1">
        <f t="array" ref="D110">IF(ISNUMBER($A110),IF(A110=A109,INDEX(BackgroundCalcs!$AW$2:$AW$500,'Grading Formulas'!$A110),"C"&amp;A110+9),"")</f>
        <v/>
      </c>
      <c r="E110" s="4" t="str" cm="1">
        <f t="array" ref="E110">IF(ISNUMBER($A110),IF(A110=A109,"Reference2(False,True,"&amp;INDEX(BackgroundCalcs!$AX$2:$AX$500,'Grading Formulas'!$A110)&amp;")","MOEValue(.0001)"),"")</f>
        <v/>
      </c>
      <c r="F110" s="4" t="str">
        <f t="shared" si="5"/>
        <v/>
      </c>
      <c r="G110" s="4" t="str">
        <f t="shared" si="6"/>
        <v/>
      </c>
      <c r="H110" s="4" t="str">
        <f t="shared" si="7"/>
        <v/>
      </c>
    </row>
    <row r="111" spans="1:8">
      <c r="A111" s="5" t="str">
        <f t="shared" si="8"/>
        <v/>
      </c>
      <c r="B111" s="5" t="str">
        <f t="shared" si="0"/>
        <v/>
      </c>
      <c r="C111" s="33" t="str" cm="1">
        <f t="array" ref="C111">IF(ISNUMBER(A111),IF(A111=A110,INDEX(BackgroundCalcs!$AV$2:$AV$500,'Grading Formulas'!$A111),"Question Results"),"")</f>
        <v/>
      </c>
      <c r="D111" s="8" t="str" cm="1">
        <f t="array" ref="D111">IF(ISNUMBER($A111),IF(A111=A110,INDEX(BackgroundCalcs!$AW$2:$AW$500,'Grading Formulas'!$A111),"C"&amp;A111+9),"")</f>
        <v/>
      </c>
      <c r="E111" s="4" t="str" cm="1">
        <f t="array" ref="E111">IF(ISNUMBER($A111),IF(A111=A110,"Reference2(False,True,"&amp;INDEX(BackgroundCalcs!$AX$2:$AX$500,'Grading Formulas'!$A111)&amp;")","MOEValue(.0001)"),"")</f>
        <v/>
      </c>
      <c r="F111" s="4" t="str">
        <f t="shared" si="5"/>
        <v/>
      </c>
      <c r="G111" s="4" t="str">
        <f t="shared" si="6"/>
        <v/>
      </c>
      <c r="H111" s="4" t="str">
        <f t="shared" si="7"/>
        <v/>
      </c>
    </row>
    <row r="112" spans="1:8">
      <c r="A112" s="5" t="str">
        <f t="shared" si="8"/>
        <v/>
      </c>
      <c r="B112" s="5" t="str">
        <f t="shared" si="0"/>
        <v/>
      </c>
      <c r="C112" s="33" t="str" cm="1">
        <f t="array" ref="C112">IF(ISNUMBER(A112),IF(A112=A111,INDEX(BackgroundCalcs!$AV$2:$AV$500,'Grading Formulas'!$A112),"Question Results"),"")</f>
        <v/>
      </c>
      <c r="D112" s="8" t="str" cm="1">
        <f t="array" ref="D112">IF(ISNUMBER($A112),IF(A112=A111,INDEX(BackgroundCalcs!$AW$2:$AW$500,'Grading Formulas'!$A112),"C"&amp;A112+9),"")</f>
        <v/>
      </c>
      <c r="E112" s="4" t="str" cm="1">
        <f t="array" ref="E112">IF(ISNUMBER($A112),IF(A112=A111,"Reference2(False,True,"&amp;INDEX(BackgroundCalcs!$AX$2:$AX$500,'Grading Formulas'!$A112)&amp;")","MOEValue(.0001)"),"")</f>
        <v/>
      </c>
      <c r="F112" s="4" t="str">
        <f t="shared" si="5"/>
        <v/>
      </c>
      <c r="G112" s="4" t="str">
        <f t="shared" si="6"/>
        <v/>
      </c>
      <c r="H112" s="4" t="str">
        <f t="shared" si="7"/>
        <v/>
      </c>
    </row>
    <row r="113" spans="1:8">
      <c r="A113" s="5" t="str">
        <f t="shared" si="8"/>
        <v/>
      </c>
      <c r="B113" s="5" t="str">
        <f t="shared" si="0"/>
        <v/>
      </c>
      <c r="C113" s="33" t="str" cm="1">
        <f t="array" ref="C113">IF(ISNUMBER(A113),IF(A113=A112,INDEX(BackgroundCalcs!$AV$2:$AV$500,'Grading Formulas'!$A113),"Question Results"),"")</f>
        <v/>
      </c>
      <c r="D113" s="8" t="str" cm="1">
        <f t="array" ref="D113">IF(ISNUMBER($A113),IF(A113=A112,INDEX(BackgroundCalcs!$AW$2:$AW$500,'Grading Formulas'!$A113),"C"&amp;A113+9),"")</f>
        <v/>
      </c>
      <c r="E113" s="4" t="str" cm="1">
        <f t="array" ref="E113">IF(ISNUMBER($A113),IF(A113=A112,"Reference2(False,True,"&amp;INDEX(BackgroundCalcs!$AX$2:$AX$500,'Grading Formulas'!$A113)&amp;")","MOEValue(.0001)"),"")</f>
        <v/>
      </c>
      <c r="F113" s="4" t="str">
        <f t="shared" si="5"/>
        <v/>
      </c>
      <c r="G113" s="4" t="str">
        <f t="shared" si="6"/>
        <v/>
      </c>
      <c r="H113" s="4" t="str">
        <f t="shared" si="7"/>
        <v/>
      </c>
    </row>
    <row r="114" spans="1:8">
      <c r="A114" s="5" t="str">
        <f t="shared" si="8"/>
        <v/>
      </c>
      <c r="B114" s="5" t="str">
        <f t="shared" si="0"/>
        <v/>
      </c>
      <c r="C114" s="33" t="str" cm="1">
        <f t="array" ref="C114">IF(ISNUMBER(A114),IF(A114=A113,INDEX(BackgroundCalcs!$AV$2:$AV$500,'Grading Formulas'!$A114),"Question Results"),"")</f>
        <v/>
      </c>
      <c r="D114" s="8" t="str" cm="1">
        <f t="array" ref="D114">IF(ISNUMBER($A114),IF(A114=A113,INDEX(BackgroundCalcs!$AW$2:$AW$500,'Grading Formulas'!$A114),"C"&amp;A114+9),"")</f>
        <v/>
      </c>
      <c r="E114" s="4" t="str" cm="1">
        <f t="array" ref="E114">IF(ISNUMBER($A114),IF(A114=A113,"Reference2(False,True,"&amp;INDEX(BackgroundCalcs!$AX$2:$AX$500,'Grading Formulas'!$A114)&amp;")","MOEValue(.0001)"),"")</f>
        <v/>
      </c>
      <c r="F114" s="4" t="str">
        <f t="shared" si="5"/>
        <v/>
      </c>
      <c r="G114" s="4" t="str">
        <f t="shared" si="6"/>
        <v/>
      </c>
      <c r="H114" s="4" t="str">
        <f t="shared" si="7"/>
        <v/>
      </c>
    </row>
    <row r="115" spans="1:8">
      <c r="A115" s="5" t="str">
        <f t="shared" si="8"/>
        <v/>
      </c>
      <c r="B115" s="5" t="str">
        <f t="shared" si="0"/>
        <v/>
      </c>
      <c r="C115" s="33" t="str" cm="1">
        <f t="array" ref="C115">IF(ISNUMBER(A115),IF(A115=A114,INDEX(BackgroundCalcs!$AV$2:$AV$500,'Grading Formulas'!$A115),"Question Results"),"")</f>
        <v/>
      </c>
      <c r="D115" s="8" t="str" cm="1">
        <f t="array" ref="D115">IF(ISNUMBER($A115),IF(A115=A114,INDEX(BackgroundCalcs!$AW$2:$AW$500,'Grading Formulas'!$A115),"C"&amp;A115+9),"")</f>
        <v/>
      </c>
      <c r="E115" s="4" t="str" cm="1">
        <f t="array" ref="E115">IF(ISNUMBER($A115),IF(A115=A114,"Reference2(False,True,"&amp;INDEX(BackgroundCalcs!$AX$2:$AX$500,'Grading Formulas'!$A115)&amp;")","MOEValue(.0001)"),"")</f>
        <v/>
      </c>
      <c r="F115" s="4" t="str">
        <f t="shared" si="5"/>
        <v/>
      </c>
      <c r="G115" s="4" t="str">
        <f t="shared" si="6"/>
        <v/>
      </c>
      <c r="H115" s="4" t="str">
        <f t="shared" si="7"/>
        <v/>
      </c>
    </row>
    <row r="116" spans="1:8">
      <c r="A116" s="5" t="str">
        <f t="shared" si="8"/>
        <v/>
      </c>
      <c r="B116" s="5" t="str">
        <f t="shared" si="0"/>
        <v/>
      </c>
      <c r="C116" s="33" t="str" cm="1">
        <f t="array" ref="C116">IF(ISNUMBER(A116),IF(A116=A115,INDEX(BackgroundCalcs!$AV$2:$AV$500,'Grading Formulas'!$A116),"Question Results"),"")</f>
        <v/>
      </c>
      <c r="D116" s="8" t="str" cm="1">
        <f t="array" ref="D116">IF(ISNUMBER($A116),IF(A116=A115,INDEX(BackgroundCalcs!$AW$2:$AW$500,'Grading Formulas'!$A116),"C"&amp;A116+9),"")</f>
        <v/>
      </c>
      <c r="E116" s="4" t="str" cm="1">
        <f t="array" ref="E116">IF(ISNUMBER($A116),IF(A116=A115,"Reference2(False,True,"&amp;INDEX(BackgroundCalcs!$AX$2:$AX$500,'Grading Formulas'!$A116)&amp;")","MOEValue(.0001)"),"")</f>
        <v/>
      </c>
      <c r="F116" s="4" t="str">
        <f t="shared" si="5"/>
        <v/>
      </c>
      <c r="G116" s="4" t="str">
        <f t="shared" si="6"/>
        <v/>
      </c>
      <c r="H116" s="4" t="str">
        <f t="shared" si="7"/>
        <v/>
      </c>
    </row>
    <row r="117" spans="1:8">
      <c r="A117" s="5" t="str">
        <f t="shared" si="8"/>
        <v/>
      </c>
      <c r="B117" s="5" t="str">
        <f t="shared" si="0"/>
        <v/>
      </c>
      <c r="C117" s="33" t="str" cm="1">
        <f t="array" ref="C117">IF(ISNUMBER(A117),IF(A117=A116,INDEX(BackgroundCalcs!$AV$2:$AV$500,'Grading Formulas'!$A117),"Question Results"),"")</f>
        <v/>
      </c>
      <c r="D117" s="8" t="str" cm="1">
        <f t="array" ref="D117">IF(ISNUMBER($A117),IF(A117=A116,INDEX(BackgroundCalcs!$AW$2:$AW$500,'Grading Formulas'!$A117),"C"&amp;A117+9),"")</f>
        <v/>
      </c>
      <c r="E117" s="4" t="str" cm="1">
        <f t="array" ref="E117">IF(ISNUMBER($A117),IF(A117=A116,"Reference2(False,True,"&amp;INDEX(BackgroundCalcs!$AX$2:$AX$500,'Grading Formulas'!$A117)&amp;")","MOEValue(.0001)"),"")</f>
        <v/>
      </c>
      <c r="F117" s="4" t="str">
        <f t="shared" si="5"/>
        <v/>
      </c>
      <c r="G117" s="4" t="str">
        <f t="shared" si="6"/>
        <v/>
      </c>
      <c r="H117" s="4" t="str">
        <f t="shared" si="7"/>
        <v/>
      </c>
    </row>
    <row r="118" spans="1:8">
      <c r="A118" s="5" t="str">
        <f t="shared" si="8"/>
        <v/>
      </c>
      <c r="B118" s="5" t="str">
        <f t="shared" si="0"/>
        <v/>
      </c>
      <c r="C118" s="33" t="str" cm="1">
        <f t="array" ref="C118">IF(ISNUMBER(A118),IF(A118=A117,INDEX(BackgroundCalcs!$AV$2:$AV$500,'Grading Formulas'!$A118),"Question Results"),"")</f>
        <v/>
      </c>
      <c r="D118" s="8" t="str" cm="1">
        <f t="array" ref="D118">IF(ISNUMBER($A118),IF(A118=A117,INDEX(BackgroundCalcs!$AW$2:$AW$500,'Grading Formulas'!$A118),"C"&amp;A118+9),"")</f>
        <v/>
      </c>
      <c r="E118" s="4" t="str" cm="1">
        <f t="array" ref="E118">IF(ISNUMBER($A118),IF(A118=A117,"Reference2(False,True,"&amp;INDEX(BackgroundCalcs!$AX$2:$AX$500,'Grading Formulas'!$A118)&amp;")","MOEValue(.0001)"),"")</f>
        <v/>
      </c>
      <c r="F118" s="4" t="str">
        <f t="shared" si="5"/>
        <v/>
      </c>
      <c r="G118" s="4" t="str">
        <f t="shared" si="6"/>
        <v/>
      </c>
      <c r="H118" s="4" t="str">
        <f t="shared" si="7"/>
        <v/>
      </c>
    </row>
    <row r="119" spans="1:8">
      <c r="A119" s="5" t="str">
        <f t="shared" si="8"/>
        <v/>
      </c>
      <c r="B119" s="5" t="str">
        <f t="shared" si="0"/>
        <v/>
      </c>
      <c r="C119" s="33" t="str" cm="1">
        <f t="array" ref="C119">IF(ISNUMBER(A119),IF(A119=A118,INDEX(BackgroundCalcs!$AV$2:$AV$500,'Grading Formulas'!$A119),"Question Results"),"")</f>
        <v/>
      </c>
      <c r="D119" s="8" t="str" cm="1">
        <f t="array" ref="D119">IF(ISNUMBER($A119),IF(A119=A118,INDEX(BackgroundCalcs!$AW$2:$AW$500,'Grading Formulas'!$A119),"C"&amp;A119+9),"")</f>
        <v/>
      </c>
      <c r="E119" s="4" t="str" cm="1">
        <f t="array" ref="E119">IF(ISNUMBER($A119),IF(A119=A118,"Reference2(False,True,"&amp;INDEX(BackgroundCalcs!$AX$2:$AX$500,'Grading Formulas'!$A119)&amp;")","MOEValue(.0001)"),"")</f>
        <v/>
      </c>
      <c r="F119" s="4" t="str">
        <f t="shared" si="5"/>
        <v/>
      </c>
      <c r="G119" s="4" t="str">
        <f t="shared" si="6"/>
        <v/>
      </c>
      <c r="H119" s="4" t="str">
        <f t="shared" si="7"/>
        <v/>
      </c>
    </row>
    <row r="120" spans="1:8">
      <c r="A120" s="5" t="str">
        <f t="shared" si="8"/>
        <v/>
      </c>
      <c r="B120" s="5" t="str">
        <f t="shared" si="0"/>
        <v/>
      </c>
      <c r="C120" s="33" t="str" cm="1">
        <f t="array" ref="C120">IF(ISNUMBER(A120),IF(A120=A119,INDEX(BackgroundCalcs!$AV$2:$AV$500,'Grading Formulas'!$A120),"Question Results"),"")</f>
        <v/>
      </c>
      <c r="D120" s="8" t="str" cm="1">
        <f t="array" ref="D120">IF(ISNUMBER($A120),IF(A120=A119,INDEX(BackgroundCalcs!$AW$2:$AW$500,'Grading Formulas'!$A120),"C"&amp;A120+9),"")</f>
        <v/>
      </c>
      <c r="E120" s="4" t="str" cm="1">
        <f t="array" ref="E120">IF(ISNUMBER($A120),IF(A120=A119,"Reference2(False,True,"&amp;INDEX(BackgroundCalcs!$AX$2:$AX$500,'Grading Formulas'!$A120)&amp;")","MOEValue(.0001)"),"")</f>
        <v/>
      </c>
      <c r="F120" s="4" t="str">
        <f t="shared" si="5"/>
        <v/>
      </c>
      <c r="G120" s="4" t="str">
        <f t="shared" si="6"/>
        <v/>
      </c>
      <c r="H120" s="4" t="str">
        <f t="shared" si="7"/>
        <v/>
      </c>
    </row>
    <row r="121" spans="1:8">
      <c r="A121" s="5" t="str">
        <f t="shared" si="8"/>
        <v/>
      </c>
      <c r="B121" s="5" t="str">
        <f t="shared" si="0"/>
        <v/>
      </c>
      <c r="C121" s="33" t="str" cm="1">
        <f t="array" ref="C121">IF(ISNUMBER(A121),IF(A121=A120,INDEX(BackgroundCalcs!$AV$2:$AV$500,'Grading Formulas'!$A121),"Question Results"),"")</f>
        <v/>
      </c>
      <c r="D121" s="8" t="str" cm="1">
        <f t="array" ref="D121">IF(ISNUMBER($A121),IF(A121=A120,INDEX(BackgroundCalcs!$AW$2:$AW$500,'Grading Formulas'!$A121),"C"&amp;A121+9),"")</f>
        <v/>
      </c>
      <c r="E121" s="4" t="str" cm="1">
        <f t="array" ref="E121">IF(ISNUMBER($A121),IF(A121=A120,"Reference2(False,True,"&amp;INDEX(BackgroundCalcs!$AX$2:$AX$500,'Grading Formulas'!$A121)&amp;")","MOEValue(.0001)"),"")</f>
        <v/>
      </c>
      <c r="F121" s="4" t="str">
        <f t="shared" si="5"/>
        <v/>
      </c>
      <c r="G121" s="4" t="str">
        <f t="shared" si="6"/>
        <v/>
      </c>
      <c r="H121" s="4" t="str">
        <f t="shared" si="7"/>
        <v/>
      </c>
    </row>
    <row r="122" spans="1:8">
      <c r="A122" s="5" t="str">
        <f t="shared" si="8"/>
        <v/>
      </c>
      <c r="B122" s="5" t="str">
        <f t="shared" si="0"/>
        <v/>
      </c>
      <c r="C122" s="33" t="str" cm="1">
        <f t="array" ref="C122">IF(ISNUMBER(A122),IF(A122=A121,INDEX(BackgroundCalcs!$AV$2:$AV$500,'Grading Formulas'!$A122),"Question Results"),"")</f>
        <v/>
      </c>
      <c r="D122" s="8" t="str" cm="1">
        <f t="array" ref="D122">IF(ISNUMBER($A122),IF(A122=A121,INDEX(BackgroundCalcs!$AW$2:$AW$500,'Grading Formulas'!$A122),"C"&amp;A122+9),"")</f>
        <v/>
      </c>
      <c r="E122" s="4" t="str" cm="1">
        <f t="array" ref="E122">IF(ISNUMBER($A122),IF(A122=A121,"Reference2(False,True,"&amp;INDEX(BackgroundCalcs!$AX$2:$AX$500,'Grading Formulas'!$A122)&amp;")","MOEValue(.0001)"),"")</f>
        <v/>
      </c>
      <c r="F122" s="4" t="str">
        <f t="shared" si="5"/>
        <v/>
      </c>
      <c r="G122" s="4" t="str">
        <f t="shared" si="6"/>
        <v/>
      </c>
      <c r="H122" s="4" t="str">
        <f t="shared" si="7"/>
        <v/>
      </c>
    </row>
    <row r="123" spans="1:8">
      <c r="A123" s="5" t="str">
        <f t="shared" si="8"/>
        <v/>
      </c>
      <c r="B123" s="5" t="str">
        <f t="shared" si="0"/>
        <v/>
      </c>
      <c r="C123" s="33" t="str" cm="1">
        <f t="array" ref="C123">IF(ISNUMBER(A123),IF(A123=A122,INDEX(BackgroundCalcs!$AV$2:$AV$500,'Grading Formulas'!$A123),"Question Results"),"")</f>
        <v/>
      </c>
      <c r="D123" s="8" t="str" cm="1">
        <f t="array" ref="D123">IF(ISNUMBER($A123),IF(A123=A122,INDEX(BackgroundCalcs!$AW$2:$AW$500,'Grading Formulas'!$A123),"C"&amp;A123+9),"")</f>
        <v/>
      </c>
      <c r="E123" s="4" t="str" cm="1">
        <f t="array" ref="E123">IF(ISNUMBER($A123),IF(A123=A122,"Reference2(False,True,"&amp;INDEX(BackgroundCalcs!$AX$2:$AX$500,'Grading Formulas'!$A123)&amp;")","MOEValue(.0001)"),"")</f>
        <v/>
      </c>
      <c r="F123" s="4" t="str">
        <f t="shared" si="5"/>
        <v/>
      </c>
      <c r="G123" s="4" t="str">
        <f t="shared" si="6"/>
        <v/>
      </c>
      <c r="H123" s="4" t="str">
        <f t="shared" si="7"/>
        <v/>
      </c>
    </row>
    <row r="124" spans="1:8">
      <c r="A124" s="5" t="str">
        <f t="shared" si="8"/>
        <v/>
      </c>
      <c r="B124" s="5" t="str">
        <f t="shared" si="0"/>
        <v/>
      </c>
      <c r="C124" s="33" t="str" cm="1">
        <f t="array" ref="C124">IF(ISNUMBER(A124),IF(A124=A123,INDEX(BackgroundCalcs!$AV$2:$AV$500,'Grading Formulas'!$A124),"Question Results"),"")</f>
        <v/>
      </c>
      <c r="D124" s="8" t="str" cm="1">
        <f t="array" ref="D124">IF(ISNUMBER($A124),IF(A124=A123,INDEX(BackgroundCalcs!$AW$2:$AW$500,'Grading Formulas'!$A124),"C"&amp;A124+9),"")</f>
        <v/>
      </c>
      <c r="E124" s="4" t="str" cm="1">
        <f t="array" ref="E124">IF(ISNUMBER($A124),IF(A124=A123,"Reference2(False,True,"&amp;INDEX(BackgroundCalcs!$AX$2:$AX$500,'Grading Formulas'!$A124)&amp;")","MOEValue(.0001)"),"")</f>
        <v/>
      </c>
      <c r="F124" s="4" t="str">
        <f t="shared" si="5"/>
        <v/>
      </c>
      <c r="G124" s="4" t="str">
        <f t="shared" si="6"/>
        <v/>
      </c>
      <c r="H124" s="4" t="str">
        <f t="shared" si="7"/>
        <v/>
      </c>
    </row>
    <row r="125" spans="1:8">
      <c r="A125" s="5" t="str">
        <f t="shared" si="8"/>
        <v/>
      </c>
      <c r="B125" s="5" t="str">
        <f t="shared" si="0"/>
        <v/>
      </c>
      <c r="C125" s="33" t="str" cm="1">
        <f t="array" ref="C125">IF(ISNUMBER(A125),IF(A125=A124,INDEX(BackgroundCalcs!$AV$2:$AV$500,'Grading Formulas'!$A125),"Question Results"),"")</f>
        <v/>
      </c>
      <c r="D125" s="8" t="str" cm="1">
        <f t="array" ref="D125">IF(ISNUMBER($A125),IF(A125=A124,INDEX(BackgroundCalcs!$AW$2:$AW$500,'Grading Formulas'!$A125),"C"&amp;A125+9),"")</f>
        <v/>
      </c>
      <c r="E125" s="4" t="str" cm="1">
        <f t="array" ref="E125">IF(ISNUMBER($A125),IF(A125=A124,"Reference2(False,True,"&amp;INDEX(BackgroundCalcs!$AX$2:$AX$500,'Grading Formulas'!$A125)&amp;")","MOEValue(.0001)"),"")</f>
        <v/>
      </c>
      <c r="F125" s="4" t="str">
        <f t="shared" si="5"/>
        <v/>
      </c>
      <c r="G125" s="4" t="str">
        <f t="shared" si="6"/>
        <v/>
      </c>
      <c r="H125" s="4" t="str">
        <f t="shared" si="7"/>
        <v/>
      </c>
    </row>
    <row r="126" spans="1:8">
      <c r="A126" s="5" t="str">
        <f t="shared" si="8"/>
        <v/>
      </c>
      <c r="B126" s="5" t="str">
        <f t="shared" si="0"/>
        <v/>
      </c>
      <c r="C126" s="33" t="str" cm="1">
        <f t="array" ref="C126">IF(ISNUMBER(A126),IF(A126=A125,INDEX(BackgroundCalcs!$AV$2:$AV$500,'Grading Formulas'!$A126),"Question Results"),"")</f>
        <v/>
      </c>
      <c r="D126" s="8" t="str" cm="1">
        <f t="array" ref="D126">IF(ISNUMBER($A126),IF(A126=A125,INDEX(BackgroundCalcs!$AW$2:$AW$500,'Grading Formulas'!$A126),"C"&amp;A126+9),"")</f>
        <v/>
      </c>
      <c r="E126" s="4" t="str" cm="1">
        <f t="array" ref="E126">IF(ISNUMBER($A126),IF(A126=A125,"Reference2(False,True,"&amp;INDEX(BackgroundCalcs!$AX$2:$AX$500,'Grading Formulas'!$A126)&amp;")","MOEValue(.0001)"),"")</f>
        <v/>
      </c>
      <c r="F126" s="4" t="str">
        <f t="shared" si="5"/>
        <v/>
      </c>
      <c r="G126" s="4" t="str">
        <f t="shared" si="6"/>
        <v/>
      </c>
      <c r="H126" s="4" t="str">
        <f t="shared" si="7"/>
        <v/>
      </c>
    </row>
    <row r="127" spans="1:8">
      <c r="A127" s="5" t="str">
        <f t="shared" si="8"/>
        <v/>
      </c>
      <c r="B127" s="5" t="str">
        <f t="shared" si="0"/>
        <v/>
      </c>
      <c r="C127" s="33" t="str" cm="1">
        <f t="array" ref="C127">IF(ISNUMBER(A127),IF(A127=A126,INDEX(BackgroundCalcs!$AV$2:$AV$500,'Grading Formulas'!$A127),"Question Results"),"")</f>
        <v/>
      </c>
      <c r="D127" s="8" t="str" cm="1">
        <f t="array" ref="D127">IF(ISNUMBER($A127),IF(A127=A126,INDEX(BackgroundCalcs!$AW$2:$AW$500,'Grading Formulas'!$A127),"C"&amp;A127+9),"")</f>
        <v/>
      </c>
      <c r="E127" s="4" t="str" cm="1">
        <f t="array" ref="E127">IF(ISNUMBER($A127),IF(A127=A126,"Reference2(False,True,"&amp;INDEX(BackgroundCalcs!$AX$2:$AX$500,'Grading Formulas'!$A127)&amp;")","MOEValue(.0001)"),"")</f>
        <v/>
      </c>
      <c r="F127" s="4" t="str">
        <f t="shared" si="5"/>
        <v/>
      </c>
      <c r="G127" s="4" t="str">
        <f t="shared" si="6"/>
        <v/>
      </c>
      <c r="H127" s="4" t="str">
        <f t="shared" si="7"/>
        <v/>
      </c>
    </row>
    <row r="128" spans="1:8">
      <c r="A128" s="5" t="str">
        <f t="shared" si="8"/>
        <v/>
      </c>
      <c r="B128" s="5" t="str">
        <f t="shared" si="0"/>
        <v/>
      </c>
      <c r="C128" s="33" t="str" cm="1">
        <f t="array" ref="C128">IF(ISNUMBER(A128),IF(A128=A127,INDEX(BackgroundCalcs!$AV$2:$AV$500,'Grading Formulas'!$A128),"Question Results"),"")</f>
        <v/>
      </c>
      <c r="D128" s="8" t="str" cm="1">
        <f t="array" ref="D128">IF(ISNUMBER($A128),IF(A128=A127,INDEX(BackgroundCalcs!$AW$2:$AW$500,'Grading Formulas'!$A128),"C"&amp;A128+9),"")</f>
        <v/>
      </c>
      <c r="E128" s="4" t="str" cm="1">
        <f t="array" ref="E128">IF(ISNUMBER($A128),IF(A128=A127,"Reference2(False,True,"&amp;INDEX(BackgroundCalcs!$AX$2:$AX$500,'Grading Formulas'!$A128)&amp;")","MOEValue(.0001)"),"")</f>
        <v/>
      </c>
      <c r="F128" s="4" t="str">
        <f t="shared" si="5"/>
        <v/>
      </c>
      <c r="G128" s="4" t="str">
        <f t="shared" si="6"/>
        <v/>
      </c>
      <c r="H128" s="4" t="str">
        <f t="shared" si="7"/>
        <v/>
      </c>
    </row>
    <row r="129" spans="1:8">
      <c r="A129" s="5" t="str">
        <f t="shared" si="8"/>
        <v/>
      </c>
      <c r="B129" s="5" t="str">
        <f t="shared" si="0"/>
        <v/>
      </c>
      <c r="C129" s="33" t="str" cm="1">
        <f t="array" ref="C129">IF(ISNUMBER(A129),IF(A129=A128,INDEX(BackgroundCalcs!$AV$2:$AV$500,'Grading Formulas'!$A129),"Question Results"),"")</f>
        <v/>
      </c>
      <c r="D129" s="8" t="str" cm="1">
        <f t="array" ref="D129">IF(ISNUMBER($A129),IF(A129=A128,INDEX(BackgroundCalcs!$AW$2:$AW$500,'Grading Formulas'!$A129),"C"&amp;A129+9),"")</f>
        <v/>
      </c>
      <c r="E129" s="4" t="str" cm="1">
        <f t="array" ref="E129">IF(ISNUMBER($A129),IF(A129=A128,"Reference2(False,True,"&amp;INDEX(BackgroundCalcs!$AX$2:$AX$500,'Grading Formulas'!$A129)&amp;")","MOEValue(.0001)"),"")</f>
        <v/>
      </c>
      <c r="F129" s="4" t="str">
        <f t="shared" si="5"/>
        <v/>
      </c>
      <c r="G129" s="4" t="str">
        <f t="shared" si="6"/>
        <v/>
      </c>
      <c r="H129" s="4" t="str">
        <f t="shared" si="7"/>
        <v/>
      </c>
    </row>
    <row r="130" spans="1:8">
      <c r="A130" s="5" t="str">
        <f t="shared" si="8"/>
        <v/>
      </c>
      <c r="B130" s="5" t="str">
        <f t="shared" si="0"/>
        <v/>
      </c>
      <c r="C130" s="33" t="str" cm="1">
        <f t="array" ref="C130">IF(ISNUMBER(A130),IF(A130=A129,INDEX(BackgroundCalcs!$AV$2:$AV$500,'Grading Formulas'!$A130),"Question Results"),"")</f>
        <v/>
      </c>
      <c r="D130" s="8" t="str" cm="1">
        <f t="array" ref="D130">IF(ISNUMBER($A130),IF(A130=A129,INDEX(BackgroundCalcs!$AW$2:$AW$500,'Grading Formulas'!$A130),"C"&amp;A130+9),"")</f>
        <v/>
      </c>
      <c r="E130" s="4" t="str" cm="1">
        <f t="array" ref="E130">IF(ISNUMBER($A130),IF(A130=A129,"Reference2(False,True,"&amp;INDEX(BackgroundCalcs!$AX$2:$AX$500,'Grading Formulas'!$A130)&amp;")","MOEValue(.0001)"),"")</f>
        <v/>
      </c>
      <c r="F130" s="4" t="str">
        <f t="shared" si="5"/>
        <v/>
      </c>
      <c r="G130" s="4" t="str">
        <f t="shared" si="6"/>
        <v/>
      </c>
      <c r="H130" s="4" t="str">
        <f t="shared" si="7"/>
        <v/>
      </c>
    </row>
    <row r="131" spans="1:8">
      <c r="A131" s="5" t="str">
        <f t="shared" si="8"/>
        <v/>
      </c>
      <c r="B131" s="5" t="str">
        <f t="shared" si="0"/>
        <v/>
      </c>
      <c r="C131" s="33" t="str" cm="1">
        <f t="array" ref="C131">IF(ISNUMBER(A131),IF(A131=A130,INDEX(BackgroundCalcs!$AV$2:$AV$500,'Grading Formulas'!$A131),"Question Results"),"")</f>
        <v/>
      </c>
      <c r="D131" s="8" t="str" cm="1">
        <f t="array" ref="D131">IF(ISNUMBER($A131),IF(A131=A130,INDEX(BackgroundCalcs!$AW$2:$AW$500,'Grading Formulas'!$A131),"C"&amp;A131+9),"")</f>
        <v/>
      </c>
      <c r="E131" s="4" t="str" cm="1">
        <f t="array" ref="E131">IF(ISNUMBER($A131),IF(A131=A130,"Reference2(False,True,"&amp;INDEX(BackgroundCalcs!$AX$2:$AX$500,'Grading Formulas'!$A131)&amp;")","MOEValue(.0001)"),"")</f>
        <v/>
      </c>
      <c r="F131" s="4" t="str">
        <f t="shared" ref="F131:F194" si="9">IF(ISNUMBER($A131),IF(A131=A130,-1000,1),"")</f>
        <v/>
      </c>
      <c r="G131" s="4" t="str">
        <f t="shared" ref="G131:G194" si="10">IF(ISNUMBER($A131),IF(A131=A130,"You should not be referencing the answer cell","Correct"),"")</f>
        <v/>
      </c>
      <c r="H131" s="4" t="str">
        <f t="shared" ref="H131:H194" si="11">IF(ISNUMBER($A131),IF(A131=A130,"N/A","Incorrect"),"")</f>
        <v/>
      </c>
    </row>
    <row r="132" spans="1:8">
      <c r="A132" s="5" t="str">
        <f t="shared" ref="A132:A195" si="12">IF(A130&lt;NumAnswers,A130+1,"")</f>
        <v/>
      </c>
      <c r="B132" s="5" t="str">
        <f t="shared" si="0"/>
        <v/>
      </c>
      <c r="C132" s="33" t="str" cm="1">
        <f t="array" ref="C132">IF(ISNUMBER(A132),IF(A132=A131,INDEX(BackgroundCalcs!$AV$2:$AV$500,'Grading Formulas'!$A132),"Question Results"),"")</f>
        <v/>
      </c>
      <c r="D132" s="8" t="str" cm="1">
        <f t="array" ref="D132">IF(ISNUMBER($A132),IF(A132=A131,INDEX(BackgroundCalcs!$AW$2:$AW$500,'Grading Formulas'!$A132),"C"&amp;A132+9),"")</f>
        <v/>
      </c>
      <c r="E132" s="4" t="str" cm="1">
        <f t="array" ref="E132">IF(ISNUMBER($A132),IF(A132=A131,"Reference2(False,True,"&amp;INDEX(BackgroundCalcs!$AX$2:$AX$500,'Grading Formulas'!$A132)&amp;")","MOEValue(.0001)"),"")</f>
        <v/>
      </c>
      <c r="F132" s="4" t="str">
        <f t="shared" si="9"/>
        <v/>
      </c>
      <c r="G132" s="4" t="str">
        <f t="shared" si="10"/>
        <v/>
      </c>
      <c r="H132" s="4" t="str">
        <f t="shared" si="11"/>
        <v/>
      </c>
    </row>
    <row r="133" spans="1:8">
      <c r="A133" s="5" t="str">
        <f t="shared" si="12"/>
        <v/>
      </c>
      <c r="B133" s="5" t="str">
        <f t="shared" si="0"/>
        <v/>
      </c>
      <c r="C133" s="33" t="str" cm="1">
        <f t="array" ref="C133">IF(ISNUMBER(A133),IF(A133=A132,INDEX(BackgroundCalcs!$AV$2:$AV$500,'Grading Formulas'!$A133),"Question Results"),"")</f>
        <v/>
      </c>
      <c r="D133" s="8" t="str" cm="1">
        <f t="array" ref="D133">IF(ISNUMBER($A133),IF(A133=A132,INDEX(BackgroundCalcs!$AW$2:$AW$500,'Grading Formulas'!$A133),"C"&amp;A133+9),"")</f>
        <v/>
      </c>
      <c r="E133" s="4" t="str" cm="1">
        <f t="array" ref="E133">IF(ISNUMBER($A133),IF(A133=A132,"Reference2(False,True,"&amp;INDEX(BackgroundCalcs!$AX$2:$AX$500,'Grading Formulas'!$A133)&amp;")","MOEValue(.0001)"),"")</f>
        <v/>
      </c>
      <c r="F133" s="4" t="str">
        <f t="shared" si="9"/>
        <v/>
      </c>
      <c r="G133" s="4" t="str">
        <f t="shared" si="10"/>
        <v/>
      </c>
      <c r="H133" s="4" t="str">
        <f t="shared" si="11"/>
        <v/>
      </c>
    </row>
    <row r="134" spans="1:8">
      <c r="A134" s="5" t="str">
        <f t="shared" si="12"/>
        <v/>
      </c>
      <c r="B134" s="5" t="str">
        <f t="shared" si="0"/>
        <v/>
      </c>
      <c r="C134" s="33" t="str" cm="1">
        <f t="array" ref="C134">IF(ISNUMBER(A134),IF(A134=A133,INDEX(BackgroundCalcs!$AV$2:$AV$500,'Grading Formulas'!$A134),"Question Results"),"")</f>
        <v/>
      </c>
      <c r="D134" s="8" t="str" cm="1">
        <f t="array" ref="D134">IF(ISNUMBER($A134),IF(A134=A133,INDEX(BackgroundCalcs!$AW$2:$AW$500,'Grading Formulas'!$A134),"C"&amp;A134+9),"")</f>
        <v/>
      </c>
      <c r="E134" s="4" t="str" cm="1">
        <f t="array" ref="E134">IF(ISNUMBER($A134),IF(A134=A133,"Reference2(False,True,"&amp;INDEX(BackgroundCalcs!$AX$2:$AX$500,'Grading Formulas'!$A134)&amp;")","MOEValue(.0001)"),"")</f>
        <v/>
      </c>
      <c r="F134" s="4" t="str">
        <f t="shared" si="9"/>
        <v/>
      </c>
      <c r="G134" s="4" t="str">
        <f t="shared" si="10"/>
        <v/>
      </c>
      <c r="H134" s="4" t="str">
        <f t="shared" si="11"/>
        <v/>
      </c>
    </row>
    <row r="135" spans="1:8">
      <c r="A135" s="5" t="str">
        <f t="shared" si="12"/>
        <v/>
      </c>
      <c r="B135" s="5" t="str">
        <f t="shared" si="0"/>
        <v/>
      </c>
      <c r="C135" s="33" t="str" cm="1">
        <f t="array" ref="C135">IF(ISNUMBER(A135),IF(A135=A134,INDEX(BackgroundCalcs!$AV$2:$AV$500,'Grading Formulas'!$A135),"Question Results"),"")</f>
        <v/>
      </c>
      <c r="D135" s="8" t="str" cm="1">
        <f t="array" ref="D135">IF(ISNUMBER($A135),IF(A135=A134,INDEX(BackgroundCalcs!$AW$2:$AW$500,'Grading Formulas'!$A135),"C"&amp;A135+9),"")</f>
        <v/>
      </c>
      <c r="E135" s="4" t="str" cm="1">
        <f t="array" ref="E135">IF(ISNUMBER($A135),IF(A135=A134,"Reference2(False,True,"&amp;INDEX(BackgroundCalcs!$AX$2:$AX$500,'Grading Formulas'!$A135)&amp;")","MOEValue(.0001)"),"")</f>
        <v/>
      </c>
      <c r="F135" s="4" t="str">
        <f t="shared" si="9"/>
        <v/>
      </c>
      <c r="G135" s="4" t="str">
        <f t="shared" si="10"/>
        <v/>
      </c>
      <c r="H135" s="4" t="str">
        <f t="shared" si="11"/>
        <v/>
      </c>
    </row>
    <row r="136" spans="1:8">
      <c r="A136" s="5" t="str">
        <f t="shared" si="12"/>
        <v/>
      </c>
      <c r="B136" s="5" t="str">
        <f t="shared" si="0"/>
        <v/>
      </c>
      <c r="C136" s="33" t="str" cm="1">
        <f t="array" ref="C136">IF(ISNUMBER(A136),IF(A136=A135,INDEX(BackgroundCalcs!$AV$2:$AV$500,'Grading Formulas'!$A136),"Question Results"),"")</f>
        <v/>
      </c>
      <c r="D136" s="8" t="str" cm="1">
        <f t="array" ref="D136">IF(ISNUMBER($A136),IF(A136=A135,INDEX(BackgroundCalcs!$AW$2:$AW$500,'Grading Formulas'!$A136),"C"&amp;A136+9),"")</f>
        <v/>
      </c>
      <c r="E136" s="4" t="str" cm="1">
        <f t="array" ref="E136">IF(ISNUMBER($A136),IF(A136=A135,"Reference2(False,True,"&amp;INDEX(BackgroundCalcs!$AX$2:$AX$500,'Grading Formulas'!$A136)&amp;")","MOEValue(.0001)"),"")</f>
        <v/>
      </c>
      <c r="F136" s="4" t="str">
        <f t="shared" si="9"/>
        <v/>
      </c>
      <c r="G136" s="4" t="str">
        <f t="shared" si="10"/>
        <v/>
      </c>
      <c r="H136" s="4" t="str">
        <f t="shared" si="11"/>
        <v/>
      </c>
    </row>
    <row r="137" spans="1:8">
      <c r="A137" s="5" t="str">
        <f t="shared" si="12"/>
        <v/>
      </c>
      <c r="B137" s="5" t="str">
        <f t="shared" si="0"/>
        <v/>
      </c>
      <c r="C137" s="33" t="str" cm="1">
        <f t="array" ref="C137">IF(ISNUMBER(A137),IF(A137=A136,INDEX(BackgroundCalcs!$AV$2:$AV$500,'Grading Formulas'!$A137),"Question Results"),"")</f>
        <v/>
      </c>
      <c r="D137" s="8" t="str" cm="1">
        <f t="array" ref="D137">IF(ISNUMBER($A137),IF(A137=A136,INDEX(BackgroundCalcs!$AW$2:$AW$500,'Grading Formulas'!$A137),"C"&amp;A137+9),"")</f>
        <v/>
      </c>
      <c r="E137" s="4" t="str" cm="1">
        <f t="array" ref="E137">IF(ISNUMBER($A137),IF(A137=A136,"Reference2(False,True,"&amp;INDEX(BackgroundCalcs!$AX$2:$AX$500,'Grading Formulas'!$A137)&amp;")","MOEValue(.0001)"),"")</f>
        <v/>
      </c>
      <c r="F137" s="4" t="str">
        <f t="shared" si="9"/>
        <v/>
      </c>
      <c r="G137" s="4" t="str">
        <f t="shared" si="10"/>
        <v/>
      </c>
      <c r="H137" s="4" t="str">
        <f t="shared" si="11"/>
        <v/>
      </c>
    </row>
    <row r="138" spans="1:8">
      <c r="A138" s="5" t="str">
        <f t="shared" si="12"/>
        <v/>
      </c>
      <c r="B138" s="5" t="str">
        <f t="shared" si="0"/>
        <v/>
      </c>
      <c r="C138" s="33" t="str" cm="1">
        <f t="array" ref="C138">IF(ISNUMBER(A138),IF(A138=A137,INDEX(BackgroundCalcs!$AV$2:$AV$500,'Grading Formulas'!$A138),"Question Results"),"")</f>
        <v/>
      </c>
      <c r="D138" s="8" t="str" cm="1">
        <f t="array" ref="D138">IF(ISNUMBER($A138),IF(A138=A137,INDEX(BackgroundCalcs!$AW$2:$AW$500,'Grading Formulas'!$A138),"C"&amp;A138+9),"")</f>
        <v/>
      </c>
      <c r="E138" s="4" t="str" cm="1">
        <f t="array" ref="E138">IF(ISNUMBER($A138),IF(A138=A137,"Reference2(False,True,"&amp;INDEX(BackgroundCalcs!$AX$2:$AX$500,'Grading Formulas'!$A138)&amp;")","MOEValue(.0001)"),"")</f>
        <v/>
      </c>
      <c r="F138" s="4" t="str">
        <f t="shared" si="9"/>
        <v/>
      </c>
      <c r="G138" s="4" t="str">
        <f t="shared" si="10"/>
        <v/>
      </c>
      <c r="H138" s="4" t="str">
        <f t="shared" si="11"/>
        <v/>
      </c>
    </row>
    <row r="139" spans="1:8">
      <c r="A139" s="5" t="str">
        <f t="shared" si="12"/>
        <v/>
      </c>
      <c r="B139" s="5" t="str">
        <f t="shared" si="0"/>
        <v/>
      </c>
      <c r="C139" s="33" t="str" cm="1">
        <f t="array" ref="C139">IF(ISNUMBER(A139),IF(A139=A138,INDEX(BackgroundCalcs!$AV$2:$AV$500,'Grading Formulas'!$A139),"Question Results"),"")</f>
        <v/>
      </c>
      <c r="D139" s="8" t="str" cm="1">
        <f t="array" ref="D139">IF(ISNUMBER($A139),IF(A139=A138,INDEX(BackgroundCalcs!$AW$2:$AW$500,'Grading Formulas'!$A139),"C"&amp;A139+9),"")</f>
        <v/>
      </c>
      <c r="E139" s="4" t="str" cm="1">
        <f t="array" ref="E139">IF(ISNUMBER($A139),IF(A139=A138,"Reference2(False,True,"&amp;INDEX(BackgroundCalcs!$AX$2:$AX$500,'Grading Formulas'!$A139)&amp;")","MOEValue(.0001)"),"")</f>
        <v/>
      </c>
      <c r="F139" s="4" t="str">
        <f t="shared" si="9"/>
        <v/>
      </c>
      <c r="G139" s="4" t="str">
        <f t="shared" si="10"/>
        <v/>
      </c>
      <c r="H139" s="4" t="str">
        <f t="shared" si="11"/>
        <v/>
      </c>
    </row>
    <row r="140" spans="1:8">
      <c r="A140" s="5" t="str">
        <f t="shared" si="12"/>
        <v/>
      </c>
      <c r="B140" s="5" t="str">
        <f t="shared" si="0"/>
        <v/>
      </c>
      <c r="C140" s="33" t="str" cm="1">
        <f t="array" ref="C140">IF(ISNUMBER(A140),IF(A140=A139,INDEX(BackgroundCalcs!$AV$2:$AV$500,'Grading Formulas'!$A140),"Question Results"),"")</f>
        <v/>
      </c>
      <c r="D140" s="8" t="str" cm="1">
        <f t="array" ref="D140">IF(ISNUMBER($A140),IF(A140=A139,INDEX(BackgroundCalcs!$AW$2:$AW$500,'Grading Formulas'!$A140),"C"&amp;A140+9),"")</f>
        <v/>
      </c>
      <c r="E140" s="4" t="str" cm="1">
        <f t="array" ref="E140">IF(ISNUMBER($A140),IF(A140=A139,"Reference2(False,True,"&amp;INDEX(BackgroundCalcs!$AX$2:$AX$500,'Grading Formulas'!$A140)&amp;")","MOEValue(.0001)"),"")</f>
        <v/>
      </c>
      <c r="F140" s="4" t="str">
        <f t="shared" si="9"/>
        <v/>
      </c>
      <c r="G140" s="4" t="str">
        <f t="shared" si="10"/>
        <v/>
      </c>
      <c r="H140" s="4" t="str">
        <f t="shared" si="11"/>
        <v/>
      </c>
    </row>
    <row r="141" spans="1:8">
      <c r="A141" s="5" t="str">
        <f t="shared" si="12"/>
        <v/>
      </c>
      <c r="B141" s="5" t="str">
        <f t="shared" si="0"/>
        <v/>
      </c>
      <c r="C141" s="33" t="str" cm="1">
        <f t="array" ref="C141">IF(ISNUMBER(A141),IF(A141=A140,INDEX(BackgroundCalcs!$AV$2:$AV$500,'Grading Formulas'!$A141),"Question Results"),"")</f>
        <v/>
      </c>
      <c r="D141" s="8" t="str" cm="1">
        <f t="array" ref="D141">IF(ISNUMBER($A141),IF(A141=A140,INDEX(BackgroundCalcs!$AW$2:$AW$500,'Grading Formulas'!$A141),"C"&amp;A141+9),"")</f>
        <v/>
      </c>
      <c r="E141" s="4" t="str" cm="1">
        <f t="array" ref="E141">IF(ISNUMBER($A141),IF(A141=A140,"Reference2(False,True,"&amp;INDEX(BackgroundCalcs!$AX$2:$AX$500,'Grading Formulas'!$A141)&amp;")","MOEValue(.0001)"),"")</f>
        <v/>
      </c>
      <c r="F141" s="4" t="str">
        <f t="shared" si="9"/>
        <v/>
      </c>
      <c r="G141" s="4" t="str">
        <f t="shared" si="10"/>
        <v/>
      </c>
      <c r="H141" s="4" t="str">
        <f t="shared" si="11"/>
        <v/>
      </c>
    </row>
    <row r="142" spans="1:8">
      <c r="A142" s="5" t="str">
        <f t="shared" si="12"/>
        <v/>
      </c>
      <c r="B142" s="5" t="str">
        <f t="shared" si="0"/>
        <v/>
      </c>
      <c r="C142" s="33" t="str" cm="1">
        <f t="array" ref="C142">IF(ISNUMBER(A142),IF(A142=A141,INDEX(BackgroundCalcs!$AV$2:$AV$500,'Grading Formulas'!$A142),"Question Results"),"")</f>
        <v/>
      </c>
      <c r="D142" s="8" t="str" cm="1">
        <f t="array" ref="D142">IF(ISNUMBER($A142),IF(A142=A141,INDEX(BackgroundCalcs!$AW$2:$AW$500,'Grading Formulas'!$A142),"C"&amp;A142+9),"")</f>
        <v/>
      </c>
      <c r="E142" s="4" t="str" cm="1">
        <f t="array" ref="E142">IF(ISNUMBER($A142),IF(A142=A141,"Reference2(False,True,"&amp;INDEX(BackgroundCalcs!$AX$2:$AX$500,'Grading Formulas'!$A142)&amp;")","MOEValue(.0001)"),"")</f>
        <v/>
      </c>
      <c r="F142" s="4" t="str">
        <f t="shared" si="9"/>
        <v/>
      </c>
      <c r="G142" s="4" t="str">
        <f t="shared" si="10"/>
        <v/>
      </c>
      <c r="H142" s="4" t="str">
        <f t="shared" si="11"/>
        <v/>
      </c>
    </row>
    <row r="143" spans="1:8">
      <c r="A143" s="5" t="str">
        <f t="shared" si="12"/>
        <v/>
      </c>
      <c r="B143" s="5" t="str">
        <f t="shared" si="0"/>
        <v/>
      </c>
      <c r="C143" s="33" t="str" cm="1">
        <f t="array" ref="C143">IF(ISNUMBER(A143),IF(A143=A142,INDEX(BackgroundCalcs!$AV$2:$AV$500,'Grading Formulas'!$A143),"Question Results"),"")</f>
        <v/>
      </c>
      <c r="D143" s="8" t="str" cm="1">
        <f t="array" ref="D143">IF(ISNUMBER($A143),IF(A143=A142,INDEX(BackgroundCalcs!$AW$2:$AW$500,'Grading Formulas'!$A143),"C"&amp;A143+9),"")</f>
        <v/>
      </c>
      <c r="E143" s="4" t="str" cm="1">
        <f t="array" ref="E143">IF(ISNUMBER($A143),IF(A143=A142,"Reference2(False,True,"&amp;INDEX(BackgroundCalcs!$AX$2:$AX$500,'Grading Formulas'!$A143)&amp;")","MOEValue(.0001)"),"")</f>
        <v/>
      </c>
      <c r="F143" s="4" t="str">
        <f t="shared" si="9"/>
        <v/>
      </c>
      <c r="G143" s="4" t="str">
        <f t="shared" si="10"/>
        <v/>
      </c>
      <c r="H143" s="4" t="str">
        <f t="shared" si="11"/>
        <v/>
      </c>
    </row>
    <row r="144" spans="1:8">
      <c r="A144" s="5" t="str">
        <f t="shared" si="12"/>
        <v/>
      </c>
      <c r="B144" s="5" t="str">
        <f t="shared" si="0"/>
        <v/>
      </c>
      <c r="C144" s="33" t="str" cm="1">
        <f t="array" ref="C144">IF(ISNUMBER(A144),IF(A144=A143,INDEX(BackgroundCalcs!$AV$2:$AV$500,'Grading Formulas'!$A144),"Question Results"),"")</f>
        <v/>
      </c>
      <c r="D144" s="8" t="str" cm="1">
        <f t="array" ref="D144">IF(ISNUMBER($A144),IF(A144=A143,INDEX(BackgroundCalcs!$AW$2:$AW$500,'Grading Formulas'!$A144),"C"&amp;A144+9),"")</f>
        <v/>
      </c>
      <c r="E144" s="4" t="str" cm="1">
        <f t="array" ref="E144">IF(ISNUMBER($A144),IF(A144=A143,"Reference2(False,True,"&amp;INDEX(BackgroundCalcs!$AX$2:$AX$500,'Grading Formulas'!$A144)&amp;")","MOEValue(.0001)"),"")</f>
        <v/>
      </c>
      <c r="F144" s="4" t="str">
        <f t="shared" si="9"/>
        <v/>
      </c>
      <c r="G144" s="4" t="str">
        <f t="shared" si="10"/>
        <v/>
      </c>
      <c r="H144" s="4" t="str">
        <f t="shared" si="11"/>
        <v/>
      </c>
    </row>
    <row r="145" spans="1:8">
      <c r="A145" s="5" t="str">
        <f t="shared" si="12"/>
        <v/>
      </c>
      <c r="B145" s="5" t="str">
        <f t="shared" si="0"/>
        <v/>
      </c>
      <c r="C145" s="33" t="str" cm="1">
        <f t="array" ref="C145">IF(ISNUMBER(A145),IF(A145=A144,INDEX(BackgroundCalcs!$AV$2:$AV$500,'Grading Formulas'!$A145),"Question Results"),"")</f>
        <v/>
      </c>
      <c r="D145" s="8" t="str" cm="1">
        <f t="array" ref="D145">IF(ISNUMBER($A145),IF(A145=A144,INDEX(BackgroundCalcs!$AW$2:$AW$500,'Grading Formulas'!$A145),"C"&amp;A145+9),"")</f>
        <v/>
      </c>
      <c r="E145" s="4" t="str" cm="1">
        <f t="array" ref="E145">IF(ISNUMBER($A145),IF(A145=A144,"Reference2(False,True,"&amp;INDEX(BackgroundCalcs!$AX$2:$AX$500,'Grading Formulas'!$A145)&amp;")","MOEValue(.0001)"),"")</f>
        <v/>
      </c>
      <c r="F145" s="4" t="str">
        <f t="shared" si="9"/>
        <v/>
      </c>
      <c r="G145" s="4" t="str">
        <f t="shared" si="10"/>
        <v/>
      </c>
      <c r="H145" s="4" t="str">
        <f t="shared" si="11"/>
        <v/>
      </c>
    </row>
    <row r="146" spans="1:8">
      <c r="A146" s="5" t="str">
        <f t="shared" si="12"/>
        <v/>
      </c>
      <c r="B146" s="5" t="str">
        <f t="shared" si="0"/>
        <v/>
      </c>
      <c r="C146" s="33" t="str" cm="1">
        <f t="array" ref="C146">IF(ISNUMBER(A146),IF(A146=A145,INDEX(BackgroundCalcs!$AV$2:$AV$500,'Grading Formulas'!$A146),"Question Results"),"")</f>
        <v/>
      </c>
      <c r="D146" s="8" t="str" cm="1">
        <f t="array" ref="D146">IF(ISNUMBER($A146),IF(A146=A145,INDEX(BackgroundCalcs!$AW$2:$AW$500,'Grading Formulas'!$A146),"C"&amp;A146+9),"")</f>
        <v/>
      </c>
      <c r="E146" s="4" t="str" cm="1">
        <f t="array" ref="E146">IF(ISNUMBER($A146),IF(A146=A145,"Reference2(False,True,"&amp;INDEX(BackgroundCalcs!$AX$2:$AX$500,'Grading Formulas'!$A146)&amp;")","MOEValue(.0001)"),"")</f>
        <v/>
      </c>
      <c r="F146" s="4" t="str">
        <f t="shared" si="9"/>
        <v/>
      </c>
      <c r="G146" s="4" t="str">
        <f t="shared" si="10"/>
        <v/>
      </c>
      <c r="H146" s="4" t="str">
        <f t="shared" si="11"/>
        <v/>
      </c>
    </row>
    <row r="147" spans="1:8">
      <c r="A147" s="5" t="str">
        <f t="shared" si="12"/>
        <v/>
      </c>
      <c r="B147" s="5" t="str">
        <f t="shared" si="0"/>
        <v/>
      </c>
      <c r="C147" s="33" t="str" cm="1">
        <f t="array" ref="C147">IF(ISNUMBER(A147),IF(A147=A146,INDEX(BackgroundCalcs!$AV$2:$AV$500,'Grading Formulas'!$A147),"Question Results"),"")</f>
        <v/>
      </c>
      <c r="D147" s="8" t="str" cm="1">
        <f t="array" ref="D147">IF(ISNUMBER($A147),IF(A147=A146,INDEX(BackgroundCalcs!$AW$2:$AW$500,'Grading Formulas'!$A147),"C"&amp;A147+9),"")</f>
        <v/>
      </c>
      <c r="E147" s="4" t="str" cm="1">
        <f t="array" ref="E147">IF(ISNUMBER($A147),IF(A147=A146,"Reference2(False,True,"&amp;INDEX(BackgroundCalcs!$AX$2:$AX$500,'Grading Formulas'!$A147)&amp;")","MOEValue(.0001)"),"")</f>
        <v/>
      </c>
      <c r="F147" s="4" t="str">
        <f t="shared" si="9"/>
        <v/>
      </c>
      <c r="G147" s="4" t="str">
        <f t="shared" si="10"/>
        <v/>
      </c>
      <c r="H147" s="4" t="str">
        <f t="shared" si="11"/>
        <v/>
      </c>
    </row>
    <row r="148" spans="1:8">
      <c r="A148" s="5" t="str">
        <f t="shared" si="12"/>
        <v/>
      </c>
      <c r="B148" s="5" t="str">
        <f t="shared" si="0"/>
        <v/>
      </c>
      <c r="C148" s="33" t="str" cm="1">
        <f t="array" ref="C148">IF(ISNUMBER(A148),IF(A148=A147,INDEX(BackgroundCalcs!$AV$2:$AV$500,'Grading Formulas'!$A148),"Question Results"),"")</f>
        <v/>
      </c>
      <c r="D148" s="8" t="str" cm="1">
        <f t="array" ref="D148">IF(ISNUMBER($A148),IF(A148=A147,INDEX(BackgroundCalcs!$AW$2:$AW$500,'Grading Formulas'!$A148),"C"&amp;A148+9),"")</f>
        <v/>
      </c>
      <c r="E148" s="4" t="str" cm="1">
        <f t="array" ref="E148">IF(ISNUMBER($A148),IF(A148=A147,"Reference2(False,True,"&amp;INDEX(BackgroundCalcs!$AX$2:$AX$500,'Grading Formulas'!$A148)&amp;")","MOEValue(.0001)"),"")</f>
        <v/>
      </c>
      <c r="F148" s="4" t="str">
        <f t="shared" si="9"/>
        <v/>
      </c>
      <c r="G148" s="4" t="str">
        <f t="shared" si="10"/>
        <v/>
      </c>
      <c r="H148" s="4" t="str">
        <f t="shared" si="11"/>
        <v/>
      </c>
    </row>
    <row r="149" spans="1:8">
      <c r="A149" s="5" t="str">
        <f t="shared" si="12"/>
        <v/>
      </c>
      <c r="B149" s="5" t="str">
        <f t="shared" si="0"/>
        <v/>
      </c>
      <c r="C149" s="33" t="str" cm="1">
        <f t="array" ref="C149">IF(ISNUMBER(A149),IF(A149=A148,INDEX(BackgroundCalcs!$AV$2:$AV$500,'Grading Formulas'!$A149),"Question Results"),"")</f>
        <v/>
      </c>
      <c r="D149" s="8" t="str" cm="1">
        <f t="array" ref="D149">IF(ISNUMBER($A149),IF(A149=A148,INDEX(BackgroundCalcs!$AW$2:$AW$500,'Grading Formulas'!$A149),"C"&amp;A149+9),"")</f>
        <v/>
      </c>
      <c r="E149" s="4" t="str" cm="1">
        <f t="array" ref="E149">IF(ISNUMBER($A149),IF(A149=A148,"Reference2(False,True,"&amp;INDEX(BackgroundCalcs!$AX$2:$AX$500,'Grading Formulas'!$A149)&amp;")","MOEValue(.0001)"),"")</f>
        <v/>
      </c>
      <c r="F149" s="4" t="str">
        <f t="shared" si="9"/>
        <v/>
      </c>
      <c r="G149" s="4" t="str">
        <f t="shared" si="10"/>
        <v/>
      </c>
      <c r="H149" s="4" t="str">
        <f t="shared" si="11"/>
        <v/>
      </c>
    </row>
    <row r="150" spans="1:8">
      <c r="A150" s="5" t="str">
        <f t="shared" si="12"/>
        <v/>
      </c>
      <c r="B150" s="5" t="str">
        <f t="shared" si="0"/>
        <v/>
      </c>
      <c r="C150" s="33" t="str" cm="1">
        <f t="array" ref="C150">IF(ISNUMBER(A150),IF(A150=A149,INDEX(BackgroundCalcs!$AV$2:$AV$500,'Grading Formulas'!$A150),"Question Results"),"")</f>
        <v/>
      </c>
      <c r="D150" s="8" t="str" cm="1">
        <f t="array" ref="D150">IF(ISNUMBER($A150),IF(A150=A149,INDEX(BackgroundCalcs!$AW$2:$AW$500,'Grading Formulas'!$A150),"C"&amp;A150+9),"")</f>
        <v/>
      </c>
      <c r="E150" s="4" t="str" cm="1">
        <f t="array" ref="E150">IF(ISNUMBER($A150),IF(A150=A149,"Reference2(False,True,"&amp;INDEX(BackgroundCalcs!$AX$2:$AX$500,'Grading Formulas'!$A150)&amp;")","MOEValue(.0001)"),"")</f>
        <v/>
      </c>
      <c r="F150" s="4" t="str">
        <f t="shared" si="9"/>
        <v/>
      </c>
      <c r="G150" s="4" t="str">
        <f t="shared" si="10"/>
        <v/>
      </c>
      <c r="H150" s="4" t="str">
        <f t="shared" si="11"/>
        <v/>
      </c>
    </row>
    <row r="151" spans="1:8">
      <c r="A151" s="5" t="str">
        <f t="shared" si="12"/>
        <v/>
      </c>
      <c r="B151" s="5" t="str">
        <f t="shared" si="0"/>
        <v/>
      </c>
      <c r="C151" s="33" t="str" cm="1">
        <f t="array" ref="C151">IF(ISNUMBER(A151),IF(A151=A150,INDEX(BackgroundCalcs!$AV$2:$AV$500,'Grading Formulas'!$A151),"Question Results"),"")</f>
        <v/>
      </c>
      <c r="D151" s="8" t="str" cm="1">
        <f t="array" ref="D151">IF(ISNUMBER($A151),IF(A151=A150,INDEX(BackgroundCalcs!$AW$2:$AW$500,'Grading Formulas'!$A151),"C"&amp;A151+9),"")</f>
        <v/>
      </c>
      <c r="E151" s="4" t="str" cm="1">
        <f t="array" ref="E151">IF(ISNUMBER($A151),IF(A151=A150,"Reference2(False,True,"&amp;INDEX(BackgroundCalcs!$AX$2:$AX$500,'Grading Formulas'!$A151)&amp;")","MOEValue(.0001)"),"")</f>
        <v/>
      </c>
      <c r="F151" s="4" t="str">
        <f t="shared" si="9"/>
        <v/>
      </c>
      <c r="G151" s="4" t="str">
        <f t="shared" si="10"/>
        <v/>
      </c>
      <c r="H151" s="4" t="str">
        <f t="shared" si="11"/>
        <v/>
      </c>
    </row>
    <row r="152" spans="1:8">
      <c r="A152" s="5" t="str">
        <f t="shared" si="12"/>
        <v/>
      </c>
      <c r="B152" s="5" t="str">
        <f t="shared" si="0"/>
        <v/>
      </c>
      <c r="C152" s="33" t="str" cm="1">
        <f t="array" ref="C152">IF(ISNUMBER(A152),IF(A152=A151,INDEX(BackgroundCalcs!$AV$2:$AV$500,'Grading Formulas'!$A152),"Question Results"),"")</f>
        <v/>
      </c>
      <c r="D152" s="8" t="str" cm="1">
        <f t="array" ref="D152">IF(ISNUMBER($A152),IF(A152=A151,INDEX(BackgroundCalcs!$AW$2:$AW$500,'Grading Formulas'!$A152),"C"&amp;A152+9),"")</f>
        <v/>
      </c>
      <c r="E152" s="4" t="str" cm="1">
        <f t="array" ref="E152">IF(ISNUMBER($A152),IF(A152=A151,"Reference2(False,True,"&amp;INDEX(BackgroundCalcs!$AX$2:$AX$500,'Grading Formulas'!$A152)&amp;")","MOEValue(.0001)"),"")</f>
        <v/>
      </c>
      <c r="F152" s="4" t="str">
        <f t="shared" si="9"/>
        <v/>
      </c>
      <c r="G152" s="4" t="str">
        <f t="shared" si="10"/>
        <v/>
      </c>
      <c r="H152" s="4" t="str">
        <f t="shared" si="11"/>
        <v/>
      </c>
    </row>
    <row r="153" spans="1:8">
      <c r="A153" s="5" t="str">
        <f t="shared" si="12"/>
        <v/>
      </c>
      <c r="B153" s="5" t="str">
        <f t="shared" si="0"/>
        <v/>
      </c>
      <c r="C153" s="33" t="str" cm="1">
        <f t="array" ref="C153">IF(ISNUMBER(A153),IF(A153=A152,INDEX(BackgroundCalcs!$AV$2:$AV$500,'Grading Formulas'!$A153),"Question Results"),"")</f>
        <v/>
      </c>
      <c r="D153" s="8" t="str" cm="1">
        <f t="array" ref="D153">IF(ISNUMBER($A153),IF(A153=A152,INDEX(BackgroundCalcs!$AW$2:$AW$500,'Grading Formulas'!$A153),"C"&amp;A153+9),"")</f>
        <v/>
      </c>
      <c r="E153" s="4" t="str" cm="1">
        <f t="array" ref="E153">IF(ISNUMBER($A153),IF(A153=A152,"Reference2(False,True,"&amp;INDEX(BackgroundCalcs!$AX$2:$AX$500,'Grading Formulas'!$A153)&amp;")","MOEValue(.0001)"),"")</f>
        <v/>
      </c>
      <c r="F153" s="4" t="str">
        <f t="shared" si="9"/>
        <v/>
      </c>
      <c r="G153" s="4" t="str">
        <f t="shared" si="10"/>
        <v/>
      </c>
      <c r="H153" s="4" t="str">
        <f t="shared" si="11"/>
        <v/>
      </c>
    </row>
    <row r="154" spans="1:8">
      <c r="A154" s="5" t="str">
        <f t="shared" si="12"/>
        <v/>
      </c>
      <c r="B154" s="5" t="str">
        <f t="shared" si="0"/>
        <v/>
      </c>
      <c r="C154" s="33" t="str" cm="1">
        <f t="array" ref="C154">IF(ISNUMBER(A154),IF(A154=A153,INDEX(BackgroundCalcs!$AV$2:$AV$500,'Grading Formulas'!$A154),"Question Results"),"")</f>
        <v/>
      </c>
      <c r="D154" s="8" t="str" cm="1">
        <f t="array" ref="D154">IF(ISNUMBER($A154),IF(A154=A153,INDEX(BackgroundCalcs!$AW$2:$AW$500,'Grading Formulas'!$A154),"C"&amp;A154+9),"")</f>
        <v/>
      </c>
      <c r="E154" s="4" t="str" cm="1">
        <f t="array" ref="E154">IF(ISNUMBER($A154),IF(A154=A153,"Reference2(False,True,"&amp;INDEX(BackgroundCalcs!$AX$2:$AX$500,'Grading Formulas'!$A154)&amp;")","MOEValue(.0001)"),"")</f>
        <v/>
      </c>
      <c r="F154" s="4" t="str">
        <f t="shared" si="9"/>
        <v/>
      </c>
      <c r="G154" s="4" t="str">
        <f t="shared" si="10"/>
        <v/>
      </c>
      <c r="H154" s="4" t="str">
        <f t="shared" si="11"/>
        <v/>
      </c>
    </row>
    <row r="155" spans="1:8">
      <c r="A155" s="5" t="str">
        <f t="shared" si="12"/>
        <v/>
      </c>
      <c r="B155" s="5" t="str">
        <f t="shared" si="0"/>
        <v/>
      </c>
      <c r="C155" s="33" t="str" cm="1">
        <f t="array" ref="C155">IF(ISNUMBER(A155),IF(A155=A154,INDEX(BackgroundCalcs!$AV$2:$AV$500,'Grading Formulas'!$A155),"Question Results"),"")</f>
        <v/>
      </c>
      <c r="D155" s="8" t="str" cm="1">
        <f t="array" ref="D155">IF(ISNUMBER($A155),IF(A155=A154,INDEX(BackgroundCalcs!$AW$2:$AW$500,'Grading Formulas'!$A155),"C"&amp;A155+9),"")</f>
        <v/>
      </c>
      <c r="E155" s="4" t="str" cm="1">
        <f t="array" ref="E155">IF(ISNUMBER($A155),IF(A155=A154,"Reference2(False,True,"&amp;INDEX(BackgroundCalcs!$AX$2:$AX$500,'Grading Formulas'!$A155)&amp;")","MOEValue(.0001)"),"")</f>
        <v/>
      </c>
      <c r="F155" s="4" t="str">
        <f t="shared" si="9"/>
        <v/>
      </c>
      <c r="G155" s="4" t="str">
        <f t="shared" si="10"/>
        <v/>
      </c>
      <c r="H155" s="4" t="str">
        <f t="shared" si="11"/>
        <v/>
      </c>
    </row>
    <row r="156" spans="1:8">
      <c r="A156" s="5" t="str">
        <f t="shared" si="12"/>
        <v/>
      </c>
      <c r="B156" s="5" t="str">
        <f t="shared" si="0"/>
        <v/>
      </c>
      <c r="C156" s="33" t="str" cm="1">
        <f t="array" ref="C156">IF(ISNUMBER(A156),IF(A156=A155,INDEX(BackgroundCalcs!$AV$2:$AV$500,'Grading Formulas'!$A156),"Question Results"),"")</f>
        <v/>
      </c>
      <c r="D156" s="8" t="str" cm="1">
        <f t="array" ref="D156">IF(ISNUMBER($A156),IF(A156=A155,INDEX(BackgroundCalcs!$AW$2:$AW$500,'Grading Formulas'!$A156),"C"&amp;A156+9),"")</f>
        <v/>
      </c>
      <c r="E156" s="4" t="str" cm="1">
        <f t="array" ref="E156">IF(ISNUMBER($A156),IF(A156=A155,"Reference2(False,True,"&amp;INDEX(BackgroundCalcs!$AX$2:$AX$500,'Grading Formulas'!$A156)&amp;")","MOEValue(.0001)"),"")</f>
        <v/>
      </c>
      <c r="F156" s="4" t="str">
        <f t="shared" si="9"/>
        <v/>
      </c>
      <c r="G156" s="4" t="str">
        <f t="shared" si="10"/>
        <v/>
      </c>
      <c r="H156" s="4" t="str">
        <f t="shared" si="11"/>
        <v/>
      </c>
    </row>
    <row r="157" spans="1:8">
      <c r="A157" s="5" t="str">
        <f t="shared" si="12"/>
        <v/>
      </c>
      <c r="B157" s="5" t="str">
        <f t="shared" si="0"/>
        <v/>
      </c>
      <c r="C157" s="33" t="str" cm="1">
        <f t="array" ref="C157">IF(ISNUMBER(A157),IF(A157=A156,INDEX(BackgroundCalcs!$AV$2:$AV$500,'Grading Formulas'!$A157),"Question Results"),"")</f>
        <v/>
      </c>
      <c r="D157" s="8" t="str" cm="1">
        <f t="array" ref="D157">IF(ISNUMBER($A157),IF(A157=A156,INDEX(BackgroundCalcs!$AW$2:$AW$500,'Grading Formulas'!$A157),"C"&amp;A157+9),"")</f>
        <v/>
      </c>
      <c r="E157" s="4" t="str" cm="1">
        <f t="array" ref="E157">IF(ISNUMBER($A157),IF(A157=A156,"Reference2(False,True,"&amp;INDEX(BackgroundCalcs!$AX$2:$AX$500,'Grading Formulas'!$A157)&amp;")","MOEValue(.0001)"),"")</f>
        <v/>
      </c>
      <c r="F157" s="4" t="str">
        <f t="shared" si="9"/>
        <v/>
      </c>
      <c r="G157" s="4" t="str">
        <f t="shared" si="10"/>
        <v/>
      </c>
      <c r="H157" s="4" t="str">
        <f t="shared" si="11"/>
        <v/>
      </c>
    </row>
    <row r="158" spans="1:8">
      <c r="A158" s="5" t="str">
        <f t="shared" si="12"/>
        <v/>
      </c>
      <c r="B158" s="5" t="str">
        <f t="shared" si="0"/>
        <v/>
      </c>
      <c r="C158" s="33" t="str" cm="1">
        <f t="array" ref="C158">IF(ISNUMBER(A158),IF(A158=A157,INDEX(BackgroundCalcs!$AV$2:$AV$500,'Grading Formulas'!$A158),"Question Results"),"")</f>
        <v/>
      </c>
      <c r="D158" s="8" t="str" cm="1">
        <f t="array" ref="D158">IF(ISNUMBER($A158),IF(A158=A157,INDEX(BackgroundCalcs!$AW$2:$AW$500,'Grading Formulas'!$A158),"C"&amp;A158+9),"")</f>
        <v/>
      </c>
      <c r="E158" s="4" t="str" cm="1">
        <f t="array" ref="E158">IF(ISNUMBER($A158),IF(A158=A157,"Reference2(False,True,"&amp;INDEX(BackgroundCalcs!$AX$2:$AX$500,'Grading Formulas'!$A158)&amp;")","MOEValue(.0001)"),"")</f>
        <v/>
      </c>
      <c r="F158" s="4" t="str">
        <f t="shared" si="9"/>
        <v/>
      </c>
      <c r="G158" s="4" t="str">
        <f t="shared" si="10"/>
        <v/>
      </c>
      <c r="H158" s="4" t="str">
        <f t="shared" si="11"/>
        <v/>
      </c>
    </row>
    <row r="159" spans="1:8">
      <c r="A159" s="5" t="str">
        <f t="shared" si="12"/>
        <v/>
      </c>
      <c r="B159" s="5" t="str">
        <f t="shared" si="0"/>
        <v/>
      </c>
      <c r="C159" s="33" t="str" cm="1">
        <f t="array" ref="C159">IF(ISNUMBER(A159),IF(A159=A158,INDEX(BackgroundCalcs!$AV$2:$AV$500,'Grading Formulas'!$A159),"Question Results"),"")</f>
        <v/>
      </c>
      <c r="D159" s="8" t="str" cm="1">
        <f t="array" ref="D159">IF(ISNUMBER($A159),IF(A159=A158,INDEX(BackgroundCalcs!$AW$2:$AW$500,'Grading Formulas'!$A159),"C"&amp;A159+9),"")</f>
        <v/>
      </c>
      <c r="E159" s="4" t="str" cm="1">
        <f t="array" ref="E159">IF(ISNUMBER($A159),IF(A159=A158,"Reference2(False,True,"&amp;INDEX(BackgroundCalcs!$AX$2:$AX$500,'Grading Formulas'!$A159)&amp;")","MOEValue(.0001)"),"")</f>
        <v/>
      </c>
      <c r="F159" s="4" t="str">
        <f t="shared" si="9"/>
        <v/>
      </c>
      <c r="G159" s="4" t="str">
        <f t="shared" si="10"/>
        <v/>
      </c>
      <c r="H159" s="4" t="str">
        <f t="shared" si="11"/>
        <v/>
      </c>
    </row>
    <row r="160" spans="1:8">
      <c r="A160" s="5" t="str">
        <f t="shared" si="12"/>
        <v/>
      </c>
      <c r="B160" s="5" t="str">
        <f t="shared" si="0"/>
        <v/>
      </c>
      <c r="C160" s="33" t="str" cm="1">
        <f t="array" ref="C160">IF(ISNUMBER(A160),IF(A160=A159,INDEX(BackgroundCalcs!$AV$2:$AV$500,'Grading Formulas'!$A160),"Question Results"),"")</f>
        <v/>
      </c>
      <c r="D160" s="8" t="str" cm="1">
        <f t="array" ref="D160">IF(ISNUMBER($A160),IF(A160=A159,INDEX(BackgroundCalcs!$AW$2:$AW$500,'Grading Formulas'!$A160),"C"&amp;A160+9),"")</f>
        <v/>
      </c>
      <c r="E160" s="4" t="str" cm="1">
        <f t="array" ref="E160">IF(ISNUMBER($A160),IF(A160=A159,"Reference2(False,True,"&amp;INDEX(BackgroundCalcs!$AX$2:$AX$500,'Grading Formulas'!$A160)&amp;")","MOEValue(.0001)"),"")</f>
        <v/>
      </c>
      <c r="F160" s="4" t="str">
        <f t="shared" si="9"/>
        <v/>
      </c>
      <c r="G160" s="4" t="str">
        <f t="shared" si="10"/>
        <v/>
      </c>
      <c r="H160" s="4" t="str">
        <f t="shared" si="11"/>
        <v/>
      </c>
    </row>
    <row r="161" spans="1:8">
      <c r="A161" s="5" t="str">
        <f t="shared" si="12"/>
        <v/>
      </c>
      <c r="B161" s="5" t="str">
        <f t="shared" si="0"/>
        <v/>
      </c>
      <c r="C161" s="33" t="str" cm="1">
        <f t="array" ref="C161">IF(ISNUMBER(A161),IF(A161=A160,INDEX(BackgroundCalcs!$AV$2:$AV$500,'Grading Formulas'!$A161),"Question Results"),"")</f>
        <v/>
      </c>
      <c r="D161" s="8" t="str" cm="1">
        <f t="array" ref="D161">IF(ISNUMBER($A161),IF(A161=A160,INDEX(BackgroundCalcs!$AW$2:$AW$500,'Grading Formulas'!$A161),"C"&amp;A161+9),"")</f>
        <v/>
      </c>
      <c r="E161" s="4" t="str" cm="1">
        <f t="array" ref="E161">IF(ISNUMBER($A161),IF(A161=A160,"Reference2(False,True,"&amp;INDEX(BackgroundCalcs!$AX$2:$AX$500,'Grading Formulas'!$A161)&amp;")","MOEValue(.0001)"),"")</f>
        <v/>
      </c>
      <c r="F161" s="4" t="str">
        <f t="shared" si="9"/>
        <v/>
      </c>
      <c r="G161" s="4" t="str">
        <f t="shared" si="10"/>
        <v/>
      </c>
      <c r="H161" s="4" t="str">
        <f t="shared" si="11"/>
        <v/>
      </c>
    </row>
    <row r="162" spans="1:8">
      <c r="A162" s="5" t="str">
        <f t="shared" si="12"/>
        <v/>
      </c>
      <c r="B162" s="5" t="str">
        <f t="shared" si="0"/>
        <v/>
      </c>
      <c r="C162" s="33" t="str" cm="1">
        <f t="array" ref="C162">IF(ISNUMBER(A162),IF(A162=A161,INDEX(BackgroundCalcs!$AV$2:$AV$500,'Grading Formulas'!$A162),"Question Results"),"")</f>
        <v/>
      </c>
      <c r="D162" s="8" t="str" cm="1">
        <f t="array" ref="D162">IF(ISNUMBER($A162),IF(A162=A161,INDEX(BackgroundCalcs!$AW$2:$AW$500,'Grading Formulas'!$A162),"C"&amp;A162+9),"")</f>
        <v/>
      </c>
      <c r="E162" s="4" t="str" cm="1">
        <f t="array" ref="E162">IF(ISNUMBER($A162),IF(A162=A161,"Reference2(False,True,"&amp;INDEX(BackgroundCalcs!$AX$2:$AX$500,'Grading Formulas'!$A162)&amp;")","MOEValue(.0001)"),"")</f>
        <v/>
      </c>
      <c r="F162" s="4" t="str">
        <f t="shared" si="9"/>
        <v/>
      </c>
      <c r="G162" s="4" t="str">
        <f t="shared" si="10"/>
        <v/>
      </c>
      <c r="H162" s="4" t="str">
        <f t="shared" si="11"/>
        <v/>
      </c>
    </row>
    <row r="163" spans="1:8">
      <c r="A163" s="5" t="str">
        <f t="shared" si="12"/>
        <v/>
      </c>
      <c r="B163" s="5" t="str">
        <f t="shared" si="0"/>
        <v/>
      </c>
      <c r="C163" s="33" t="str" cm="1">
        <f t="array" ref="C163">IF(ISNUMBER(A163),IF(A163=A162,INDEX(BackgroundCalcs!$AV$2:$AV$500,'Grading Formulas'!$A163),"Question Results"),"")</f>
        <v/>
      </c>
      <c r="D163" s="8" t="str" cm="1">
        <f t="array" ref="D163">IF(ISNUMBER($A163),IF(A163=A162,INDEX(BackgroundCalcs!$AW$2:$AW$500,'Grading Formulas'!$A163),"C"&amp;A163+9),"")</f>
        <v/>
      </c>
      <c r="E163" s="4" t="str" cm="1">
        <f t="array" ref="E163">IF(ISNUMBER($A163),IF(A163=A162,"Reference2(False,True,"&amp;INDEX(BackgroundCalcs!$AX$2:$AX$500,'Grading Formulas'!$A163)&amp;")","MOEValue(.0001)"),"")</f>
        <v/>
      </c>
      <c r="F163" s="4" t="str">
        <f t="shared" si="9"/>
        <v/>
      </c>
      <c r="G163" s="4" t="str">
        <f t="shared" si="10"/>
        <v/>
      </c>
      <c r="H163" s="4" t="str">
        <f t="shared" si="11"/>
        <v/>
      </c>
    </row>
    <row r="164" spans="1:8">
      <c r="A164" s="5" t="str">
        <f t="shared" si="12"/>
        <v/>
      </c>
      <c r="B164" s="5" t="str">
        <f t="shared" si="0"/>
        <v/>
      </c>
      <c r="C164" s="33" t="str" cm="1">
        <f t="array" ref="C164">IF(ISNUMBER(A164),IF(A164=A163,INDEX(BackgroundCalcs!$AV$2:$AV$500,'Grading Formulas'!$A164),"Question Results"),"")</f>
        <v/>
      </c>
      <c r="D164" s="8" t="str" cm="1">
        <f t="array" ref="D164">IF(ISNUMBER($A164),IF(A164=A163,INDEX(BackgroundCalcs!$AW$2:$AW$500,'Grading Formulas'!$A164),"C"&amp;A164+9),"")</f>
        <v/>
      </c>
      <c r="E164" s="4" t="str" cm="1">
        <f t="array" ref="E164">IF(ISNUMBER($A164),IF(A164=A163,"Reference2(False,True,"&amp;INDEX(BackgroundCalcs!$AX$2:$AX$500,'Grading Formulas'!$A164)&amp;")","MOEValue(.0001)"),"")</f>
        <v/>
      </c>
      <c r="F164" s="4" t="str">
        <f t="shared" si="9"/>
        <v/>
      </c>
      <c r="G164" s="4" t="str">
        <f t="shared" si="10"/>
        <v/>
      </c>
      <c r="H164" s="4" t="str">
        <f t="shared" si="11"/>
        <v/>
      </c>
    </row>
    <row r="165" spans="1:8">
      <c r="A165" s="5" t="str">
        <f t="shared" si="12"/>
        <v/>
      </c>
      <c r="B165" s="5" t="str">
        <f t="shared" si="0"/>
        <v/>
      </c>
      <c r="C165" s="33" t="str" cm="1">
        <f t="array" ref="C165">IF(ISNUMBER(A165),IF(A165=A164,INDEX(BackgroundCalcs!$AV$2:$AV$500,'Grading Formulas'!$A165),"Question Results"),"")</f>
        <v/>
      </c>
      <c r="D165" s="8" t="str" cm="1">
        <f t="array" ref="D165">IF(ISNUMBER($A165),IF(A165=A164,INDEX(BackgroundCalcs!$AW$2:$AW$500,'Grading Formulas'!$A165),"C"&amp;A165+9),"")</f>
        <v/>
      </c>
      <c r="E165" s="4" t="str" cm="1">
        <f t="array" ref="E165">IF(ISNUMBER($A165),IF(A165=A164,"Reference2(False,True,"&amp;INDEX(BackgroundCalcs!$AX$2:$AX$500,'Grading Formulas'!$A165)&amp;")","MOEValue(.0001)"),"")</f>
        <v/>
      </c>
      <c r="F165" s="4" t="str">
        <f t="shared" si="9"/>
        <v/>
      </c>
      <c r="G165" s="4" t="str">
        <f t="shared" si="10"/>
        <v/>
      </c>
      <c r="H165" s="4" t="str">
        <f t="shared" si="11"/>
        <v/>
      </c>
    </row>
    <row r="166" spans="1:8">
      <c r="A166" s="5" t="str">
        <f t="shared" si="12"/>
        <v/>
      </c>
      <c r="B166" s="5" t="str">
        <f t="shared" si="0"/>
        <v/>
      </c>
      <c r="C166" s="33" t="str" cm="1">
        <f t="array" ref="C166">IF(ISNUMBER(A166),IF(A166=A165,INDEX(BackgroundCalcs!$AV$2:$AV$500,'Grading Formulas'!$A166),"Question Results"),"")</f>
        <v/>
      </c>
      <c r="D166" s="8" t="str" cm="1">
        <f t="array" ref="D166">IF(ISNUMBER($A166),IF(A166=A165,INDEX(BackgroundCalcs!$AW$2:$AW$500,'Grading Formulas'!$A166),"C"&amp;A166+9),"")</f>
        <v/>
      </c>
      <c r="E166" s="4" t="str" cm="1">
        <f t="array" ref="E166">IF(ISNUMBER($A166),IF(A166=A165,"Reference2(False,True,"&amp;INDEX(BackgroundCalcs!$AX$2:$AX$500,'Grading Formulas'!$A166)&amp;")","MOEValue(.0001)"),"")</f>
        <v/>
      </c>
      <c r="F166" s="4" t="str">
        <f t="shared" si="9"/>
        <v/>
      </c>
      <c r="G166" s="4" t="str">
        <f t="shared" si="10"/>
        <v/>
      </c>
      <c r="H166" s="4" t="str">
        <f t="shared" si="11"/>
        <v/>
      </c>
    </row>
    <row r="167" spans="1:8">
      <c r="A167" s="5" t="str">
        <f t="shared" si="12"/>
        <v/>
      </c>
      <c r="B167" s="5" t="str">
        <f t="shared" si="0"/>
        <v/>
      </c>
      <c r="C167" s="33" t="str" cm="1">
        <f t="array" ref="C167">IF(ISNUMBER(A167),IF(A167=A166,INDEX(BackgroundCalcs!$AV$2:$AV$500,'Grading Formulas'!$A167),"Question Results"),"")</f>
        <v/>
      </c>
      <c r="D167" s="8" t="str" cm="1">
        <f t="array" ref="D167">IF(ISNUMBER($A167),IF(A167=A166,INDEX(BackgroundCalcs!$AW$2:$AW$500,'Grading Formulas'!$A167),"C"&amp;A167+9),"")</f>
        <v/>
      </c>
      <c r="E167" s="4" t="str" cm="1">
        <f t="array" ref="E167">IF(ISNUMBER($A167),IF(A167=A166,"Reference2(False,True,"&amp;INDEX(BackgroundCalcs!$AX$2:$AX$500,'Grading Formulas'!$A167)&amp;")","MOEValue(.0001)"),"")</f>
        <v/>
      </c>
      <c r="F167" s="4" t="str">
        <f t="shared" si="9"/>
        <v/>
      </c>
      <c r="G167" s="4" t="str">
        <f t="shared" si="10"/>
        <v/>
      </c>
      <c r="H167" s="4" t="str">
        <f t="shared" si="11"/>
        <v/>
      </c>
    </row>
    <row r="168" spans="1:8">
      <c r="A168" s="5" t="str">
        <f t="shared" si="12"/>
        <v/>
      </c>
      <c r="B168" s="5" t="str">
        <f t="shared" si="0"/>
        <v/>
      </c>
      <c r="C168" s="33" t="str" cm="1">
        <f t="array" ref="C168">IF(ISNUMBER(A168),IF(A168=A167,INDEX(BackgroundCalcs!$AV$2:$AV$500,'Grading Formulas'!$A168),"Question Results"),"")</f>
        <v/>
      </c>
      <c r="D168" s="8" t="str" cm="1">
        <f t="array" ref="D168">IF(ISNUMBER($A168),IF(A168=A167,INDEX(BackgroundCalcs!$AW$2:$AW$500,'Grading Formulas'!$A168),"C"&amp;A168+9),"")</f>
        <v/>
      </c>
      <c r="E168" s="4" t="str" cm="1">
        <f t="array" ref="E168">IF(ISNUMBER($A168),IF(A168=A167,"Reference2(False,True,"&amp;INDEX(BackgroundCalcs!$AX$2:$AX$500,'Grading Formulas'!$A168)&amp;")","MOEValue(.0001)"),"")</f>
        <v/>
      </c>
      <c r="F168" s="4" t="str">
        <f t="shared" si="9"/>
        <v/>
      </c>
      <c r="G168" s="4" t="str">
        <f t="shared" si="10"/>
        <v/>
      </c>
      <c r="H168" s="4" t="str">
        <f t="shared" si="11"/>
        <v/>
      </c>
    </row>
    <row r="169" spans="1:8">
      <c r="A169" s="5" t="str">
        <f t="shared" si="12"/>
        <v/>
      </c>
      <c r="B169" s="5" t="str">
        <f t="shared" si="0"/>
        <v/>
      </c>
      <c r="C169" s="33" t="str" cm="1">
        <f t="array" ref="C169">IF(ISNUMBER(A169),IF(A169=A168,INDEX(BackgroundCalcs!$AV$2:$AV$500,'Grading Formulas'!$A169),"Question Results"),"")</f>
        <v/>
      </c>
      <c r="D169" s="8" t="str" cm="1">
        <f t="array" ref="D169">IF(ISNUMBER($A169),IF(A169=A168,INDEX(BackgroundCalcs!$AW$2:$AW$500,'Grading Formulas'!$A169),"C"&amp;A169+9),"")</f>
        <v/>
      </c>
      <c r="E169" s="4" t="str" cm="1">
        <f t="array" ref="E169">IF(ISNUMBER($A169),IF(A169=A168,"Reference2(False,True,"&amp;INDEX(BackgroundCalcs!$AX$2:$AX$500,'Grading Formulas'!$A169)&amp;")","MOEValue(.0001)"),"")</f>
        <v/>
      </c>
      <c r="F169" s="4" t="str">
        <f t="shared" si="9"/>
        <v/>
      </c>
      <c r="G169" s="4" t="str">
        <f t="shared" si="10"/>
        <v/>
      </c>
      <c r="H169" s="4" t="str">
        <f t="shared" si="11"/>
        <v/>
      </c>
    </row>
    <row r="170" spans="1:8">
      <c r="A170" s="5" t="str">
        <f t="shared" si="12"/>
        <v/>
      </c>
      <c r="B170" s="5" t="str">
        <f t="shared" si="0"/>
        <v/>
      </c>
      <c r="C170" s="33" t="str" cm="1">
        <f t="array" ref="C170">IF(ISNUMBER(A170),IF(A170=A169,INDEX(BackgroundCalcs!$AV$2:$AV$500,'Grading Formulas'!$A170),"Question Results"),"")</f>
        <v/>
      </c>
      <c r="D170" s="8" t="str" cm="1">
        <f t="array" ref="D170">IF(ISNUMBER($A170),IF(A170=A169,INDEX(BackgroundCalcs!$AW$2:$AW$500,'Grading Formulas'!$A170),"C"&amp;A170+9),"")</f>
        <v/>
      </c>
      <c r="E170" s="4" t="str" cm="1">
        <f t="array" ref="E170">IF(ISNUMBER($A170),IF(A170=A169,"Reference2(False,True,"&amp;INDEX(BackgroundCalcs!$AX$2:$AX$500,'Grading Formulas'!$A170)&amp;")","MOEValue(.0001)"),"")</f>
        <v/>
      </c>
      <c r="F170" s="4" t="str">
        <f t="shared" si="9"/>
        <v/>
      </c>
      <c r="G170" s="4" t="str">
        <f t="shared" si="10"/>
        <v/>
      </c>
      <c r="H170" s="4" t="str">
        <f t="shared" si="11"/>
        <v/>
      </c>
    </row>
    <row r="171" spans="1:8">
      <c r="A171" s="5" t="str">
        <f t="shared" si="12"/>
        <v/>
      </c>
      <c r="B171" s="5" t="str">
        <f t="shared" si="0"/>
        <v/>
      </c>
      <c r="C171" s="33" t="str" cm="1">
        <f t="array" ref="C171">IF(ISNUMBER(A171),IF(A171=A170,INDEX(BackgroundCalcs!$AV$2:$AV$500,'Grading Formulas'!$A171),"Question Results"),"")</f>
        <v/>
      </c>
      <c r="D171" s="8" t="str" cm="1">
        <f t="array" ref="D171">IF(ISNUMBER($A171),IF(A171=A170,INDEX(BackgroundCalcs!$AW$2:$AW$500,'Grading Formulas'!$A171),"C"&amp;A171+9),"")</f>
        <v/>
      </c>
      <c r="E171" s="4" t="str" cm="1">
        <f t="array" ref="E171">IF(ISNUMBER($A171),IF(A171=A170,"Reference2(False,True,"&amp;INDEX(BackgroundCalcs!$AX$2:$AX$500,'Grading Formulas'!$A171)&amp;")","MOEValue(.0001)"),"")</f>
        <v/>
      </c>
      <c r="F171" s="4" t="str">
        <f t="shared" si="9"/>
        <v/>
      </c>
      <c r="G171" s="4" t="str">
        <f t="shared" si="10"/>
        <v/>
      </c>
      <c r="H171" s="4" t="str">
        <f t="shared" si="11"/>
        <v/>
      </c>
    </row>
    <row r="172" spans="1:8">
      <c r="A172" s="5" t="str">
        <f t="shared" si="12"/>
        <v/>
      </c>
      <c r="B172" s="5" t="str">
        <f t="shared" si="0"/>
        <v/>
      </c>
      <c r="C172" s="33" t="str" cm="1">
        <f t="array" ref="C172">IF(ISNUMBER(A172),IF(A172=A171,INDEX(BackgroundCalcs!$AV$2:$AV$500,'Grading Formulas'!$A172),"Question Results"),"")</f>
        <v/>
      </c>
      <c r="D172" s="8" t="str" cm="1">
        <f t="array" ref="D172">IF(ISNUMBER($A172),IF(A172=A171,INDEX(BackgroundCalcs!$AW$2:$AW$500,'Grading Formulas'!$A172),"C"&amp;A172+9),"")</f>
        <v/>
      </c>
      <c r="E172" s="4" t="str" cm="1">
        <f t="array" ref="E172">IF(ISNUMBER($A172),IF(A172=A171,"Reference2(False,True,"&amp;INDEX(BackgroundCalcs!$AX$2:$AX$500,'Grading Formulas'!$A172)&amp;")","MOEValue(.0001)"),"")</f>
        <v/>
      </c>
      <c r="F172" s="4" t="str">
        <f t="shared" si="9"/>
        <v/>
      </c>
      <c r="G172" s="4" t="str">
        <f t="shared" si="10"/>
        <v/>
      </c>
      <c r="H172" s="4" t="str">
        <f t="shared" si="11"/>
        <v/>
      </c>
    </row>
    <row r="173" spans="1:8">
      <c r="A173" s="5" t="str">
        <f t="shared" si="12"/>
        <v/>
      </c>
      <c r="B173" s="5" t="str">
        <f t="shared" si="0"/>
        <v/>
      </c>
      <c r="C173" s="33" t="str" cm="1">
        <f t="array" ref="C173">IF(ISNUMBER(A173),IF(A173=A172,INDEX(BackgroundCalcs!$AV$2:$AV$500,'Grading Formulas'!$A173),"Question Results"),"")</f>
        <v/>
      </c>
      <c r="D173" s="8" t="str" cm="1">
        <f t="array" ref="D173">IF(ISNUMBER($A173),IF(A173=A172,INDEX(BackgroundCalcs!$AW$2:$AW$500,'Grading Formulas'!$A173),"C"&amp;A173+9),"")</f>
        <v/>
      </c>
      <c r="E173" s="4" t="str" cm="1">
        <f t="array" ref="E173">IF(ISNUMBER($A173),IF(A173=A172,"Reference2(False,True,"&amp;INDEX(BackgroundCalcs!$AX$2:$AX$500,'Grading Formulas'!$A173)&amp;")","MOEValue(.0001)"),"")</f>
        <v/>
      </c>
      <c r="F173" s="4" t="str">
        <f t="shared" si="9"/>
        <v/>
      </c>
      <c r="G173" s="4" t="str">
        <f t="shared" si="10"/>
        <v/>
      </c>
      <c r="H173" s="4" t="str">
        <f t="shared" si="11"/>
        <v/>
      </c>
    </row>
    <row r="174" spans="1:8">
      <c r="A174" s="5" t="str">
        <f t="shared" si="12"/>
        <v/>
      </c>
      <c r="B174" s="5" t="str">
        <f t="shared" si="0"/>
        <v/>
      </c>
      <c r="C174" s="33" t="str" cm="1">
        <f t="array" ref="C174">IF(ISNUMBER(A174),IF(A174=A173,INDEX(BackgroundCalcs!$AV$2:$AV$500,'Grading Formulas'!$A174),"Question Results"),"")</f>
        <v/>
      </c>
      <c r="D174" s="8" t="str" cm="1">
        <f t="array" ref="D174">IF(ISNUMBER($A174),IF(A174=A173,INDEX(BackgroundCalcs!$AW$2:$AW$500,'Grading Formulas'!$A174),"C"&amp;A174+9),"")</f>
        <v/>
      </c>
      <c r="E174" s="4" t="str" cm="1">
        <f t="array" ref="E174">IF(ISNUMBER($A174),IF(A174=A173,"Reference2(False,True,"&amp;INDEX(BackgroundCalcs!$AX$2:$AX$500,'Grading Formulas'!$A174)&amp;")","MOEValue(.0001)"),"")</f>
        <v/>
      </c>
      <c r="F174" s="4" t="str">
        <f t="shared" si="9"/>
        <v/>
      </c>
      <c r="G174" s="4" t="str">
        <f t="shared" si="10"/>
        <v/>
      </c>
      <c r="H174" s="4" t="str">
        <f t="shared" si="11"/>
        <v/>
      </c>
    </row>
    <row r="175" spans="1:8">
      <c r="A175" s="5" t="str">
        <f t="shared" si="12"/>
        <v/>
      </c>
      <c r="B175" s="5" t="str">
        <f t="shared" si="0"/>
        <v/>
      </c>
      <c r="C175" s="33" t="str" cm="1">
        <f t="array" ref="C175">IF(ISNUMBER(A175),IF(A175=A174,INDEX(BackgroundCalcs!$AV$2:$AV$500,'Grading Formulas'!$A175),"Question Results"),"")</f>
        <v/>
      </c>
      <c r="D175" s="8" t="str" cm="1">
        <f t="array" ref="D175">IF(ISNUMBER($A175),IF(A175=A174,INDEX(BackgroundCalcs!$AW$2:$AW$500,'Grading Formulas'!$A175),"C"&amp;A175+9),"")</f>
        <v/>
      </c>
      <c r="E175" s="4" t="str" cm="1">
        <f t="array" ref="E175">IF(ISNUMBER($A175),IF(A175=A174,"Reference2(False,True,"&amp;INDEX(BackgroundCalcs!$AX$2:$AX$500,'Grading Formulas'!$A175)&amp;")","MOEValue(.0001)"),"")</f>
        <v/>
      </c>
      <c r="F175" s="4" t="str">
        <f t="shared" si="9"/>
        <v/>
      </c>
      <c r="G175" s="4" t="str">
        <f t="shared" si="10"/>
        <v/>
      </c>
      <c r="H175" s="4" t="str">
        <f t="shared" si="11"/>
        <v/>
      </c>
    </row>
    <row r="176" spans="1:8">
      <c r="A176" s="5" t="str">
        <f t="shared" si="12"/>
        <v/>
      </c>
      <c r="B176" s="5" t="str">
        <f t="shared" si="0"/>
        <v/>
      </c>
      <c r="C176" s="33" t="str" cm="1">
        <f t="array" ref="C176">IF(ISNUMBER(A176),IF(A176=A175,INDEX(BackgroundCalcs!$AV$2:$AV$500,'Grading Formulas'!$A176),"Question Results"),"")</f>
        <v/>
      </c>
      <c r="D176" s="8" t="str" cm="1">
        <f t="array" ref="D176">IF(ISNUMBER($A176),IF(A176=A175,INDEX(BackgroundCalcs!$AW$2:$AW$500,'Grading Formulas'!$A176),"C"&amp;A176+9),"")</f>
        <v/>
      </c>
      <c r="E176" s="4" t="str" cm="1">
        <f t="array" ref="E176">IF(ISNUMBER($A176),IF(A176=A175,"Reference2(False,True,"&amp;INDEX(BackgroundCalcs!$AX$2:$AX$500,'Grading Formulas'!$A176)&amp;")","MOEValue(.0001)"),"")</f>
        <v/>
      </c>
      <c r="F176" s="4" t="str">
        <f t="shared" si="9"/>
        <v/>
      </c>
      <c r="G176" s="4" t="str">
        <f t="shared" si="10"/>
        <v/>
      </c>
      <c r="H176" s="4" t="str">
        <f t="shared" si="11"/>
        <v/>
      </c>
    </row>
    <row r="177" spans="1:8">
      <c r="A177" s="5" t="str">
        <f t="shared" si="12"/>
        <v/>
      </c>
      <c r="B177" s="5" t="str">
        <f t="shared" si="0"/>
        <v/>
      </c>
      <c r="C177" s="33" t="str" cm="1">
        <f t="array" ref="C177">IF(ISNUMBER(A177),IF(A177=A176,INDEX(BackgroundCalcs!$AV$2:$AV$500,'Grading Formulas'!$A177),"Question Results"),"")</f>
        <v/>
      </c>
      <c r="D177" s="8" t="str" cm="1">
        <f t="array" ref="D177">IF(ISNUMBER($A177),IF(A177=A176,INDEX(BackgroundCalcs!$AW$2:$AW$500,'Grading Formulas'!$A177),"C"&amp;A177+9),"")</f>
        <v/>
      </c>
      <c r="E177" s="4" t="str" cm="1">
        <f t="array" ref="E177">IF(ISNUMBER($A177),IF(A177=A176,"Reference2(False,True,"&amp;INDEX(BackgroundCalcs!$AX$2:$AX$500,'Grading Formulas'!$A177)&amp;")","MOEValue(.0001)"),"")</f>
        <v/>
      </c>
      <c r="F177" s="4" t="str">
        <f t="shared" si="9"/>
        <v/>
      </c>
      <c r="G177" s="4" t="str">
        <f t="shared" si="10"/>
        <v/>
      </c>
      <c r="H177" s="4" t="str">
        <f t="shared" si="11"/>
        <v/>
      </c>
    </row>
    <row r="178" spans="1:8">
      <c r="A178" s="5" t="str">
        <f t="shared" si="12"/>
        <v/>
      </c>
      <c r="B178" s="5" t="str">
        <f t="shared" si="0"/>
        <v/>
      </c>
      <c r="C178" s="33" t="str" cm="1">
        <f t="array" ref="C178">IF(ISNUMBER(A178),IF(A178=A177,INDEX(BackgroundCalcs!$AV$2:$AV$500,'Grading Formulas'!$A178),"Question Results"),"")</f>
        <v/>
      </c>
      <c r="D178" s="8" t="str" cm="1">
        <f t="array" ref="D178">IF(ISNUMBER($A178),IF(A178=A177,INDEX(BackgroundCalcs!$AW$2:$AW$500,'Grading Formulas'!$A178),"C"&amp;A178+9),"")</f>
        <v/>
      </c>
      <c r="E178" s="4" t="str" cm="1">
        <f t="array" ref="E178">IF(ISNUMBER($A178),IF(A178=A177,"Reference2(False,True,"&amp;INDEX(BackgroundCalcs!$AX$2:$AX$500,'Grading Formulas'!$A178)&amp;")","MOEValue(.0001)"),"")</f>
        <v/>
      </c>
      <c r="F178" s="4" t="str">
        <f t="shared" si="9"/>
        <v/>
      </c>
      <c r="G178" s="4" t="str">
        <f t="shared" si="10"/>
        <v/>
      </c>
      <c r="H178" s="4" t="str">
        <f t="shared" si="11"/>
        <v/>
      </c>
    </row>
    <row r="179" spans="1:8">
      <c r="A179" s="5" t="str">
        <f t="shared" si="12"/>
        <v/>
      </c>
      <c r="B179" s="5" t="str">
        <f t="shared" si="0"/>
        <v/>
      </c>
      <c r="C179" s="33" t="str" cm="1">
        <f t="array" ref="C179">IF(ISNUMBER(A179),IF(A179=A178,INDEX(BackgroundCalcs!$AV$2:$AV$500,'Grading Formulas'!$A179),"Question Results"),"")</f>
        <v/>
      </c>
      <c r="D179" s="8" t="str" cm="1">
        <f t="array" ref="D179">IF(ISNUMBER($A179),IF(A179=A178,INDEX(BackgroundCalcs!$AW$2:$AW$500,'Grading Formulas'!$A179),"C"&amp;A179+9),"")</f>
        <v/>
      </c>
      <c r="E179" s="4" t="str" cm="1">
        <f t="array" ref="E179">IF(ISNUMBER($A179),IF(A179=A178,"Reference2(False,True,"&amp;INDEX(BackgroundCalcs!$AX$2:$AX$500,'Grading Formulas'!$A179)&amp;")","MOEValue(.0001)"),"")</f>
        <v/>
      </c>
      <c r="F179" s="4" t="str">
        <f t="shared" si="9"/>
        <v/>
      </c>
      <c r="G179" s="4" t="str">
        <f t="shared" si="10"/>
        <v/>
      </c>
      <c r="H179" s="4" t="str">
        <f t="shared" si="11"/>
        <v/>
      </c>
    </row>
    <row r="180" spans="1:8">
      <c r="A180" s="5" t="str">
        <f t="shared" si="12"/>
        <v/>
      </c>
      <c r="B180" s="5" t="str">
        <f t="shared" si="0"/>
        <v/>
      </c>
      <c r="C180" s="33" t="str" cm="1">
        <f t="array" ref="C180">IF(ISNUMBER(A180),IF(A180=A179,INDEX(BackgroundCalcs!$AV$2:$AV$500,'Grading Formulas'!$A180),"Question Results"),"")</f>
        <v/>
      </c>
      <c r="D180" s="8" t="str" cm="1">
        <f t="array" ref="D180">IF(ISNUMBER($A180),IF(A180=A179,INDEX(BackgroundCalcs!$AW$2:$AW$500,'Grading Formulas'!$A180),"C"&amp;A180+9),"")</f>
        <v/>
      </c>
      <c r="E180" s="4" t="str" cm="1">
        <f t="array" ref="E180">IF(ISNUMBER($A180),IF(A180=A179,"Reference2(False,True,"&amp;INDEX(BackgroundCalcs!$AX$2:$AX$500,'Grading Formulas'!$A180)&amp;")","MOEValue(.0001)"),"")</f>
        <v/>
      </c>
      <c r="F180" s="4" t="str">
        <f t="shared" si="9"/>
        <v/>
      </c>
      <c r="G180" s="4" t="str">
        <f t="shared" si="10"/>
        <v/>
      </c>
      <c r="H180" s="4" t="str">
        <f t="shared" si="11"/>
        <v/>
      </c>
    </row>
    <row r="181" spans="1:8">
      <c r="A181" s="5" t="str">
        <f t="shared" si="12"/>
        <v/>
      </c>
      <c r="B181" s="5" t="str">
        <f t="shared" si="0"/>
        <v/>
      </c>
      <c r="C181" s="33" t="str" cm="1">
        <f t="array" ref="C181">IF(ISNUMBER(A181),IF(A181=A180,INDEX(BackgroundCalcs!$AV$2:$AV$500,'Grading Formulas'!$A181),"Question Results"),"")</f>
        <v/>
      </c>
      <c r="D181" s="8" t="str" cm="1">
        <f t="array" ref="D181">IF(ISNUMBER($A181),IF(A181=A180,INDEX(BackgroundCalcs!$AW$2:$AW$500,'Grading Formulas'!$A181),"C"&amp;A181+9),"")</f>
        <v/>
      </c>
      <c r="E181" s="4" t="str" cm="1">
        <f t="array" ref="E181">IF(ISNUMBER($A181),IF(A181=A180,"Reference2(False,True,"&amp;INDEX(BackgroundCalcs!$AX$2:$AX$500,'Grading Formulas'!$A181)&amp;")","MOEValue(.0001)"),"")</f>
        <v/>
      </c>
      <c r="F181" s="4" t="str">
        <f t="shared" si="9"/>
        <v/>
      </c>
      <c r="G181" s="4" t="str">
        <f t="shared" si="10"/>
        <v/>
      </c>
      <c r="H181" s="4" t="str">
        <f t="shared" si="11"/>
        <v/>
      </c>
    </row>
    <row r="182" spans="1:8">
      <c r="A182" s="5" t="str">
        <f t="shared" si="12"/>
        <v/>
      </c>
      <c r="B182" s="5" t="str">
        <f t="shared" si="0"/>
        <v/>
      </c>
      <c r="C182" s="33" t="str" cm="1">
        <f t="array" ref="C182">IF(ISNUMBER(A182),IF(A182=A181,INDEX(BackgroundCalcs!$AV$2:$AV$500,'Grading Formulas'!$A182),"Question Results"),"")</f>
        <v/>
      </c>
      <c r="D182" s="8" t="str" cm="1">
        <f t="array" ref="D182">IF(ISNUMBER($A182),IF(A182=A181,INDEX(BackgroundCalcs!$AW$2:$AW$500,'Grading Formulas'!$A182),"C"&amp;A182+9),"")</f>
        <v/>
      </c>
      <c r="E182" s="4" t="str" cm="1">
        <f t="array" ref="E182">IF(ISNUMBER($A182),IF(A182=A181,"Reference2(False,True,"&amp;INDEX(BackgroundCalcs!$AX$2:$AX$500,'Grading Formulas'!$A182)&amp;")","MOEValue(.0001)"),"")</f>
        <v/>
      </c>
      <c r="F182" s="4" t="str">
        <f t="shared" si="9"/>
        <v/>
      </c>
      <c r="G182" s="4" t="str">
        <f t="shared" si="10"/>
        <v/>
      </c>
      <c r="H182" s="4" t="str">
        <f t="shared" si="11"/>
        <v/>
      </c>
    </row>
    <row r="183" spans="1:8">
      <c r="A183" s="5" t="str">
        <f t="shared" si="12"/>
        <v/>
      </c>
      <c r="B183" s="5" t="str">
        <f t="shared" si="0"/>
        <v/>
      </c>
      <c r="C183" s="33" t="str" cm="1">
        <f t="array" ref="C183">IF(ISNUMBER(A183),IF(A183=A182,INDEX(BackgroundCalcs!$AV$2:$AV$500,'Grading Formulas'!$A183),"Question Results"),"")</f>
        <v/>
      </c>
      <c r="D183" s="8" t="str" cm="1">
        <f t="array" ref="D183">IF(ISNUMBER($A183),IF(A183=A182,INDEX(BackgroundCalcs!$AW$2:$AW$500,'Grading Formulas'!$A183),"C"&amp;A183+9),"")</f>
        <v/>
      </c>
      <c r="E183" s="4" t="str" cm="1">
        <f t="array" ref="E183">IF(ISNUMBER($A183),IF(A183=A182,"Reference2(False,True,"&amp;INDEX(BackgroundCalcs!$AX$2:$AX$500,'Grading Formulas'!$A183)&amp;")","MOEValue(.0001)"),"")</f>
        <v/>
      </c>
      <c r="F183" s="4" t="str">
        <f t="shared" si="9"/>
        <v/>
      </c>
      <c r="G183" s="4" t="str">
        <f t="shared" si="10"/>
        <v/>
      </c>
      <c r="H183" s="4" t="str">
        <f t="shared" si="11"/>
        <v/>
      </c>
    </row>
    <row r="184" spans="1:8">
      <c r="A184" s="5" t="str">
        <f t="shared" si="12"/>
        <v/>
      </c>
      <c r="B184" s="5" t="str">
        <f t="shared" si="0"/>
        <v/>
      </c>
      <c r="C184" s="33" t="str" cm="1">
        <f t="array" ref="C184">IF(ISNUMBER(A184),IF(A184=A183,INDEX(BackgroundCalcs!$AV$2:$AV$500,'Grading Formulas'!$A184),"Question Results"),"")</f>
        <v/>
      </c>
      <c r="D184" s="8" t="str" cm="1">
        <f t="array" ref="D184">IF(ISNUMBER($A184),IF(A184=A183,INDEX(BackgroundCalcs!$AW$2:$AW$500,'Grading Formulas'!$A184),"C"&amp;A184+9),"")</f>
        <v/>
      </c>
      <c r="E184" s="4" t="str" cm="1">
        <f t="array" ref="E184">IF(ISNUMBER($A184),IF(A184=A183,"Reference2(False,True,"&amp;INDEX(BackgroundCalcs!$AX$2:$AX$500,'Grading Formulas'!$A184)&amp;")","MOEValue(.0001)"),"")</f>
        <v/>
      </c>
      <c r="F184" s="4" t="str">
        <f t="shared" si="9"/>
        <v/>
      </c>
      <c r="G184" s="4" t="str">
        <f t="shared" si="10"/>
        <v/>
      </c>
      <c r="H184" s="4" t="str">
        <f t="shared" si="11"/>
        <v/>
      </c>
    </row>
    <row r="185" spans="1:8">
      <c r="A185" s="5" t="str">
        <f t="shared" si="12"/>
        <v/>
      </c>
      <c r="B185" s="5" t="str">
        <f t="shared" si="0"/>
        <v/>
      </c>
      <c r="C185" s="33" t="str" cm="1">
        <f t="array" ref="C185">IF(ISNUMBER(A185),IF(A185=A184,INDEX(BackgroundCalcs!$AV$2:$AV$500,'Grading Formulas'!$A185),"Question Results"),"")</f>
        <v/>
      </c>
      <c r="D185" s="8" t="str" cm="1">
        <f t="array" ref="D185">IF(ISNUMBER($A185),IF(A185=A184,INDEX(BackgroundCalcs!$AW$2:$AW$500,'Grading Formulas'!$A185),"C"&amp;A185+9),"")</f>
        <v/>
      </c>
      <c r="E185" s="4" t="str" cm="1">
        <f t="array" ref="E185">IF(ISNUMBER($A185),IF(A185=A184,"Reference2(False,True,"&amp;INDEX(BackgroundCalcs!$AX$2:$AX$500,'Grading Formulas'!$A185)&amp;")","MOEValue(.0001)"),"")</f>
        <v/>
      </c>
      <c r="F185" s="4" t="str">
        <f t="shared" si="9"/>
        <v/>
      </c>
      <c r="G185" s="4" t="str">
        <f t="shared" si="10"/>
        <v/>
      </c>
      <c r="H185" s="4" t="str">
        <f t="shared" si="11"/>
        <v/>
      </c>
    </row>
    <row r="186" spans="1:8">
      <c r="A186" s="5" t="str">
        <f t="shared" si="12"/>
        <v/>
      </c>
      <c r="B186" s="5" t="str">
        <f t="shared" si="0"/>
        <v/>
      </c>
      <c r="C186" s="33" t="str" cm="1">
        <f t="array" ref="C186">IF(ISNUMBER(A186),IF(A186=A185,INDEX(BackgroundCalcs!$AV$2:$AV$500,'Grading Formulas'!$A186),"Question Results"),"")</f>
        <v/>
      </c>
      <c r="D186" s="8" t="str" cm="1">
        <f t="array" ref="D186">IF(ISNUMBER($A186),IF(A186=A185,INDEX(BackgroundCalcs!$AW$2:$AW$500,'Grading Formulas'!$A186),"C"&amp;A186+9),"")</f>
        <v/>
      </c>
      <c r="E186" s="4" t="str" cm="1">
        <f t="array" ref="E186">IF(ISNUMBER($A186),IF(A186=A185,"Reference2(False,True,"&amp;INDEX(BackgroundCalcs!$AX$2:$AX$500,'Grading Formulas'!$A186)&amp;")","MOEValue(.0001)"),"")</f>
        <v/>
      </c>
      <c r="F186" s="4" t="str">
        <f t="shared" si="9"/>
        <v/>
      </c>
      <c r="G186" s="4" t="str">
        <f t="shared" si="10"/>
        <v/>
      </c>
      <c r="H186" s="4" t="str">
        <f t="shared" si="11"/>
        <v/>
      </c>
    </row>
    <row r="187" spans="1:8">
      <c r="A187" s="5" t="str">
        <f t="shared" si="12"/>
        <v/>
      </c>
      <c r="B187" s="5" t="str">
        <f t="shared" si="0"/>
        <v/>
      </c>
      <c r="C187" s="33" t="str" cm="1">
        <f t="array" ref="C187">IF(ISNUMBER(A187),IF(A187=A186,INDEX(BackgroundCalcs!$AV$2:$AV$500,'Grading Formulas'!$A187),"Question Results"),"")</f>
        <v/>
      </c>
      <c r="D187" s="8" t="str" cm="1">
        <f t="array" ref="D187">IF(ISNUMBER($A187),IF(A187=A186,INDEX(BackgroundCalcs!$AW$2:$AW$500,'Grading Formulas'!$A187),"C"&amp;A187+9),"")</f>
        <v/>
      </c>
      <c r="E187" s="4" t="str" cm="1">
        <f t="array" ref="E187">IF(ISNUMBER($A187),IF(A187=A186,"Reference2(False,True,"&amp;INDEX(BackgroundCalcs!$AX$2:$AX$500,'Grading Formulas'!$A187)&amp;")","MOEValue(.0001)"),"")</f>
        <v/>
      </c>
      <c r="F187" s="4" t="str">
        <f t="shared" si="9"/>
        <v/>
      </c>
      <c r="G187" s="4" t="str">
        <f t="shared" si="10"/>
        <v/>
      </c>
      <c r="H187" s="4" t="str">
        <f t="shared" si="11"/>
        <v/>
      </c>
    </row>
    <row r="188" spans="1:8">
      <c r="A188" s="5" t="str">
        <f t="shared" si="12"/>
        <v/>
      </c>
      <c r="B188" s="5" t="str">
        <f t="shared" si="0"/>
        <v/>
      </c>
      <c r="C188" s="33" t="str" cm="1">
        <f t="array" ref="C188">IF(ISNUMBER(A188),IF(A188=A187,INDEX(BackgroundCalcs!$AV$2:$AV$500,'Grading Formulas'!$A188),"Question Results"),"")</f>
        <v/>
      </c>
      <c r="D188" s="8" t="str" cm="1">
        <f t="array" ref="D188">IF(ISNUMBER($A188),IF(A188=A187,INDEX(BackgroundCalcs!$AW$2:$AW$500,'Grading Formulas'!$A188),"C"&amp;A188+9),"")</f>
        <v/>
      </c>
      <c r="E188" s="4" t="str" cm="1">
        <f t="array" ref="E188">IF(ISNUMBER($A188),IF(A188=A187,"Reference2(False,True,"&amp;INDEX(BackgroundCalcs!$AX$2:$AX$500,'Grading Formulas'!$A188)&amp;")","MOEValue(.0001)"),"")</f>
        <v/>
      </c>
      <c r="F188" s="4" t="str">
        <f t="shared" si="9"/>
        <v/>
      </c>
      <c r="G188" s="4" t="str">
        <f t="shared" si="10"/>
        <v/>
      </c>
      <c r="H188" s="4" t="str">
        <f t="shared" si="11"/>
        <v/>
      </c>
    </row>
    <row r="189" spans="1:8">
      <c r="A189" s="5" t="str">
        <f t="shared" si="12"/>
        <v/>
      </c>
      <c r="B189" s="5" t="str">
        <f t="shared" si="0"/>
        <v/>
      </c>
      <c r="C189" s="33" t="str" cm="1">
        <f t="array" ref="C189">IF(ISNUMBER(A189),IF(A189=A188,INDEX(BackgroundCalcs!$AV$2:$AV$500,'Grading Formulas'!$A189),"Question Results"),"")</f>
        <v/>
      </c>
      <c r="D189" s="8" t="str" cm="1">
        <f t="array" ref="D189">IF(ISNUMBER($A189),IF(A189=A188,INDEX(BackgroundCalcs!$AW$2:$AW$500,'Grading Formulas'!$A189),"C"&amp;A189+9),"")</f>
        <v/>
      </c>
      <c r="E189" s="4" t="str" cm="1">
        <f t="array" ref="E189">IF(ISNUMBER($A189),IF(A189=A188,"Reference2(False,True,"&amp;INDEX(BackgroundCalcs!$AX$2:$AX$500,'Grading Formulas'!$A189)&amp;")","MOEValue(.0001)"),"")</f>
        <v/>
      </c>
      <c r="F189" s="4" t="str">
        <f t="shared" si="9"/>
        <v/>
      </c>
      <c r="G189" s="4" t="str">
        <f t="shared" si="10"/>
        <v/>
      </c>
      <c r="H189" s="4" t="str">
        <f t="shared" si="11"/>
        <v/>
      </c>
    </row>
    <row r="190" spans="1:8">
      <c r="A190" s="5" t="str">
        <f t="shared" si="12"/>
        <v/>
      </c>
      <c r="B190" s="5" t="str">
        <f t="shared" si="0"/>
        <v/>
      </c>
      <c r="C190" s="33" t="str" cm="1">
        <f t="array" ref="C190">IF(ISNUMBER(A190),IF(A190=A189,INDEX(BackgroundCalcs!$AV$2:$AV$500,'Grading Formulas'!$A190),"Question Results"),"")</f>
        <v/>
      </c>
      <c r="D190" s="8" t="str" cm="1">
        <f t="array" ref="D190">IF(ISNUMBER($A190),IF(A190=A189,INDEX(BackgroundCalcs!$AW$2:$AW$500,'Grading Formulas'!$A190),"C"&amp;A190+9),"")</f>
        <v/>
      </c>
      <c r="E190" s="4" t="str" cm="1">
        <f t="array" ref="E190">IF(ISNUMBER($A190),IF(A190=A189,"Reference2(False,True,"&amp;INDEX(BackgroundCalcs!$AX$2:$AX$500,'Grading Formulas'!$A190)&amp;")","MOEValue(.0001)"),"")</f>
        <v/>
      </c>
      <c r="F190" s="4" t="str">
        <f t="shared" si="9"/>
        <v/>
      </c>
      <c r="G190" s="4" t="str">
        <f t="shared" si="10"/>
        <v/>
      </c>
      <c r="H190" s="4" t="str">
        <f t="shared" si="11"/>
        <v/>
      </c>
    </row>
    <row r="191" spans="1:8">
      <c r="A191" s="5" t="str">
        <f t="shared" si="12"/>
        <v/>
      </c>
      <c r="B191" s="5" t="str">
        <f t="shared" si="0"/>
        <v/>
      </c>
      <c r="C191" s="33" t="str" cm="1">
        <f t="array" ref="C191">IF(ISNUMBER(A191),IF(A191=A190,INDEX(BackgroundCalcs!$AV$2:$AV$500,'Grading Formulas'!$A191),"Question Results"),"")</f>
        <v/>
      </c>
      <c r="D191" s="8" t="str" cm="1">
        <f t="array" ref="D191">IF(ISNUMBER($A191),IF(A191=A190,INDEX(BackgroundCalcs!$AW$2:$AW$500,'Grading Formulas'!$A191),"C"&amp;A191+9),"")</f>
        <v/>
      </c>
      <c r="E191" s="4" t="str" cm="1">
        <f t="array" ref="E191">IF(ISNUMBER($A191),IF(A191=A190,"Reference2(False,True,"&amp;INDEX(BackgroundCalcs!$AX$2:$AX$500,'Grading Formulas'!$A191)&amp;")","MOEValue(.0001)"),"")</f>
        <v/>
      </c>
      <c r="F191" s="4" t="str">
        <f t="shared" si="9"/>
        <v/>
      </c>
      <c r="G191" s="4" t="str">
        <f t="shared" si="10"/>
        <v/>
      </c>
      <c r="H191" s="4" t="str">
        <f t="shared" si="11"/>
        <v/>
      </c>
    </row>
    <row r="192" spans="1:8">
      <c r="A192" s="5" t="str">
        <f t="shared" si="12"/>
        <v/>
      </c>
      <c r="B192" s="5" t="str">
        <f t="shared" si="0"/>
        <v/>
      </c>
      <c r="C192" s="33" t="str" cm="1">
        <f t="array" ref="C192">IF(ISNUMBER(A192),IF(A192=A191,INDEX(BackgroundCalcs!$AV$2:$AV$500,'Grading Formulas'!$A192),"Question Results"),"")</f>
        <v/>
      </c>
      <c r="D192" s="8" t="str" cm="1">
        <f t="array" ref="D192">IF(ISNUMBER($A192),IF(A192=A191,INDEX(BackgroundCalcs!$AW$2:$AW$500,'Grading Formulas'!$A192),"C"&amp;A192+9),"")</f>
        <v/>
      </c>
      <c r="E192" s="4" t="str" cm="1">
        <f t="array" ref="E192">IF(ISNUMBER($A192),IF(A192=A191,"Reference2(False,True,"&amp;INDEX(BackgroundCalcs!$AX$2:$AX$500,'Grading Formulas'!$A192)&amp;")","MOEValue(.0001)"),"")</f>
        <v/>
      </c>
      <c r="F192" s="4" t="str">
        <f t="shared" si="9"/>
        <v/>
      </c>
      <c r="G192" s="4" t="str">
        <f t="shared" si="10"/>
        <v/>
      </c>
      <c r="H192" s="4" t="str">
        <f t="shared" si="11"/>
        <v/>
      </c>
    </row>
    <row r="193" spans="1:8">
      <c r="A193" s="5" t="str">
        <f t="shared" si="12"/>
        <v/>
      </c>
      <c r="B193" s="5" t="str">
        <f t="shared" si="0"/>
        <v/>
      </c>
      <c r="C193" s="33" t="str" cm="1">
        <f t="array" ref="C193">IF(ISNUMBER(A193),IF(A193=A192,INDEX(BackgroundCalcs!$AV$2:$AV$500,'Grading Formulas'!$A193),"Question Results"),"")</f>
        <v/>
      </c>
      <c r="D193" s="8" t="str" cm="1">
        <f t="array" ref="D193">IF(ISNUMBER($A193),IF(A193=A192,INDEX(BackgroundCalcs!$AW$2:$AW$500,'Grading Formulas'!$A193),"C"&amp;A193+9),"")</f>
        <v/>
      </c>
      <c r="E193" s="4" t="str" cm="1">
        <f t="array" ref="E193">IF(ISNUMBER($A193),IF(A193=A192,"Reference2(False,True,"&amp;INDEX(BackgroundCalcs!$AX$2:$AX$500,'Grading Formulas'!$A193)&amp;")","MOEValue(.0001)"),"")</f>
        <v/>
      </c>
      <c r="F193" s="4" t="str">
        <f t="shared" si="9"/>
        <v/>
      </c>
      <c r="G193" s="4" t="str">
        <f t="shared" si="10"/>
        <v/>
      </c>
      <c r="H193" s="4" t="str">
        <f t="shared" si="11"/>
        <v/>
      </c>
    </row>
    <row r="194" spans="1:8">
      <c r="A194" s="5" t="str">
        <f t="shared" si="12"/>
        <v/>
      </c>
      <c r="B194" s="5" t="str">
        <f t="shared" si="0"/>
        <v/>
      </c>
      <c r="C194" s="33" t="str" cm="1">
        <f t="array" ref="C194">IF(ISNUMBER(A194),IF(A194=A193,INDEX(BackgroundCalcs!$AV$2:$AV$500,'Grading Formulas'!$A194),"Question Results"),"")</f>
        <v/>
      </c>
      <c r="D194" s="8" t="str" cm="1">
        <f t="array" ref="D194">IF(ISNUMBER($A194),IF(A194=A193,INDEX(BackgroundCalcs!$AW$2:$AW$500,'Grading Formulas'!$A194),"C"&amp;A194+9),"")</f>
        <v/>
      </c>
      <c r="E194" s="4" t="str" cm="1">
        <f t="array" ref="E194">IF(ISNUMBER($A194),IF(A194=A193,"Reference2(False,True,"&amp;INDEX(BackgroundCalcs!$AX$2:$AX$500,'Grading Formulas'!$A194)&amp;")","MOEValue(.0001)"),"")</f>
        <v/>
      </c>
      <c r="F194" s="4" t="str">
        <f t="shared" si="9"/>
        <v/>
      </c>
      <c r="G194" s="4" t="str">
        <f t="shared" si="10"/>
        <v/>
      </c>
      <c r="H194" s="4" t="str">
        <f t="shared" si="11"/>
        <v/>
      </c>
    </row>
    <row r="195" spans="1:8">
      <c r="A195" s="5" t="str">
        <f t="shared" si="12"/>
        <v/>
      </c>
      <c r="B195" s="5" t="str">
        <f t="shared" si="0"/>
        <v/>
      </c>
      <c r="C195" s="33" t="str" cm="1">
        <f t="array" ref="C195">IF(ISNUMBER(A195),IF(A195=A194,INDEX(BackgroundCalcs!$AV$2:$AV$500,'Grading Formulas'!$A195),"Question Results"),"")</f>
        <v/>
      </c>
      <c r="D195" s="8" t="str" cm="1">
        <f t="array" ref="D195">IF(ISNUMBER($A195),IF(A195=A194,INDEX(BackgroundCalcs!$AW$2:$AW$500,'Grading Formulas'!$A195),"C"&amp;A195+9),"")</f>
        <v/>
      </c>
      <c r="E195" s="4" t="str" cm="1">
        <f t="array" ref="E195">IF(ISNUMBER($A195),IF(A195=A194,"Reference2(False,True,"&amp;INDEX(BackgroundCalcs!$AX$2:$AX$500,'Grading Formulas'!$A195)&amp;")","MOEValue(.0001)"),"")</f>
        <v/>
      </c>
      <c r="F195" s="4" t="str">
        <f t="shared" ref="F195:F258" si="13">IF(ISNUMBER($A195),IF(A195=A194,-1000,1),"")</f>
        <v/>
      </c>
      <c r="G195" s="4" t="str">
        <f t="shared" ref="G195:G258" si="14">IF(ISNUMBER($A195),IF(A195=A194,"You should not be referencing the answer cell","Correct"),"")</f>
        <v/>
      </c>
      <c r="H195" s="4" t="str">
        <f t="shared" ref="H195:H258" si="15">IF(ISNUMBER($A195),IF(A195=A194,"N/A","Incorrect"),"")</f>
        <v/>
      </c>
    </row>
    <row r="196" spans="1:8">
      <c r="A196" s="5" t="str">
        <f t="shared" ref="A196:A259" si="16">IF(A194&lt;NumAnswers,A194+1,"")</f>
        <v/>
      </c>
      <c r="B196" s="5" t="str">
        <f t="shared" si="0"/>
        <v/>
      </c>
      <c r="C196" s="33" t="str" cm="1">
        <f t="array" ref="C196">IF(ISNUMBER(A196),IF(A196=A195,INDEX(BackgroundCalcs!$AV$2:$AV$500,'Grading Formulas'!$A196),"Question Results"),"")</f>
        <v/>
      </c>
      <c r="D196" s="8" t="str" cm="1">
        <f t="array" ref="D196">IF(ISNUMBER($A196),IF(A196=A195,INDEX(BackgroundCalcs!$AW$2:$AW$500,'Grading Formulas'!$A196),"C"&amp;A196+9),"")</f>
        <v/>
      </c>
      <c r="E196" s="4" t="str" cm="1">
        <f t="array" ref="E196">IF(ISNUMBER($A196),IF(A196=A195,"Reference2(False,True,"&amp;INDEX(BackgroundCalcs!$AX$2:$AX$500,'Grading Formulas'!$A196)&amp;")","MOEValue(.0001)"),"")</f>
        <v/>
      </c>
      <c r="F196" s="4" t="str">
        <f t="shared" si="13"/>
        <v/>
      </c>
      <c r="G196" s="4" t="str">
        <f t="shared" si="14"/>
        <v/>
      </c>
      <c r="H196" s="4" t="str">
        <f t="shared" si="15"/>
        <v/>
      </c>
    </row>
    <row r="197" spans="1:8">
      <c r="A197" s="5" t="str">
        <f t="shared" si="16"/>
        <v/>
      </c>
      <c r="B197" s="5" t="str">
        <f t="shared" si="0"/>
        <v/>
      </c>
      <c r="C197" s="33" t="str" cm="1">
        <f t="array" ref="C197">IF(ISNUMBER(A197),IF(A197=A196,INDEX(BackgroundCalcs!$AV$2:$AV$500,'Grading Formulas'!$A197),"Question Results"),"")</f>
        <v/>
      </c>
      <c r="D197" s="8" t="str" cm="1">
        <f t="array" ref="D197">IF(ISNUMBER($A197),IF(A197=A196,INDEX(BackgroundCalcs!$AW$2:$AW$500,'Grading Formulas'!$A197),"C"&amp;A197+9),"")</f>
        <v/>
      </c>
      <c r="E197" s="4" t="str" cm="1">
        <f t="array" ref="E197">IF(ISNUMBER($A197),IF(A197=A196,"Reference2(False,True,"&amp;INDEX(BackgroundCalcs!$AX$2:$AX$500,'Grading Formulas'!$A197)&amp;")","MOEValue(.0001)"),"")</f>
        <v/>
      </c>
      <c r="F197" s="4" t="str">
        <f t="shared" si="13"/>
        <v/>
      </c>
      <c r="G197" s="4" t="str">
        <f t="shared" si="14"/>
        <v/>
      </c>
      <c r="H197" s="4" t="str">
        <f t="shared" si="15"/>
        <v/>
      </c>
    </row>
    <row r="198" spans="1:8">
      <c r="A198" s="5" t="str">
        <f t="shared" si="16"/>
        <v/>
      </c>
      <c r="B198" s="5" t="str">
        <f t="shared" si="0"/>
        <v/>
      </c>
      <c r="C198" s="33" t="str" cm="1">
        <f t="array" ref="C198">IF(ISNUMBER(A198),IF(A198=A197,INDEX(BackgroundCalcs!$AV$2:$AV$500,'Grading Formulas'!$A198),"Question Results"),"")</f>
        <v/>
      </c>
      <c r="D198" s="8" t="str" cm="1">
        <f t="array" ref="D198">IF(ISNUMBER($A198),IF(A198=A197,INDEX(BackgroundCalcs!$AW$2:$AW$500,'Grading Formulas'!$A198),"C"&amp;A198+9),"")</f>
        <v/>
      </c>
      <c r="E198" s="4" t="str" cm="1">
        <f t="array" ref="E198">IF(ISNUMBER($A198),IF(A198=A197,"Reference2(False,True,"&amp;INDEX(BackgroundCalcs!$AX$2:$AX$500,'Grading Formulas'!$A198)&amp;")","MOEValue(.0001)"),"")</f>
        <v/>
      </c>
      <c r="F198" s="4" t="str">
        <f t="shared" si="13"/>
        <v/>
      </c>
      <c r="G198" s="4" t="str">
        <f t="shared" si="14"/>
        <v/>
      </c>
      <c r="H198" s="4" t="str">
        <f t="shared" si="15"/>
        <v/>
      </c>
    </row>
    <row r="199" spans="1:8">
      <c r="A199" s="5" t="str">
        <f t="shared" si="16"/>
        <v/>
      </c>
      <c r="B199" s="5" t="str">
        <f t="shared" si="0"/>
        <v/>
      </c>
      <c r="C199" s="33" t="str" cm="1">
        <f t="array" ref="C199">IF(ISNUMBER(A199),IF(A199=A198,INDEX(BackgroundCalcs!$AV$2:$AV$500,'Grading Formulas'!$A199),"Question Results"),"")</f>
        <v/>
      </c>
      <c r="D199" s="8" t="str" cm="1">
        <f t="array" ref="D199">IF(ISNUMBER($A199),IF(A199=A198,INDEX(BackgroundCalcs!$AW$2:$AW$500,'Grading Formulas'!$A199),"C"&amp;A199+9),"")</f>
        <v/>
      </c>
      <c r="E199" s="4" t="str" cm="1">
        <f t="array" ref="E199">IF(ISNUMBER($A199),IF(A199=A198,"Reference2(False,True,"&amp;INDEX(BackgroundCalcs!$AX$2:$AX$500,'Grading Formulas'!$A199)&amp;")","MOEValue(.0001)"),"")</f>
        <v/>
      </c>
      <c r="F199" s="4" t="str">
        <f t="shared" si="13"/>
        <v/>
      </c>
      <c r="G199" s="4" t="str">
        <f t="shared" si="14"/>
        <v/>
      </c>
      <c r="H199" s="4" t="str">
        <f t="shared" si="15"/>
        <v/>
      </c>
    </row>
    <row r="200" spans="1:8">
      <c r="A200" s="5" t="str">
        <f t="shared" si="16"/>
        <v/>
      </c>
      <c r="B200" s="5" t="str">
        <f t="shared" si="0"/>
        <v/>
      </c>
      <c r="C200" s="33" t="str" cm="1">
        <f t="array" ref="C200">IF(ISNUMBER(A200),IF(A200=A199,INDEX(BackgroundCalcs!$AV$2:$AV$500,'Grading Formulas'!$A200),"Question Results"),"")</f>
        <v/>
      </c>
      <c r="D200" s="8" t="str" cm="1">
        <f t="array" ref="D200">IF(ISNUMBER($A200),IF(A200=A199,INDEX(BackgroundCalcs!$AW$2:$AW$500,'Grading Formulas'!$A200),"C"&amp;A200+9),"")</f>
        <v/>
      </c>
      <c r="E200" s="4" t="str" cm="1">
        <f t="array" ref="E200">IF(ISNUMBER($A200),IF(A200=A199,"Reference2(False,True,"&amp;INDEX(BackgroundCalcs!$AX$2:$AX$500,'Grading Formulas'!$A200)&amp;")","MOEValue(.0001)"),"")</f>
        <v/>
      </c>
      <c r="F200" s="4" t="str">
        <f t="shared" si="13"/>
        <v/>
      </c>
      <c r="G200" s="4" t="str">
        <f t="shared" si="14"/>
        <v/>
      </c>
      <c r="H200" s="4" t="str">
        <f t="shared" si="15"/>
        <v/>
      </c>
    </row>
    <row r="201" spans="1:8">
      <c r="A201" s="5" t="str">
        <f t="shared" si="16"/>
        <v/>
      </c>
      <c r="B201" s="5" t="str">
        <f t="shared" si="0"/>
        <v/>
      </c>
      <c r="C201" s="33" t="str" cm="1">
        <f t="array" ref="C201">IF(ISNUMBER(A201),IF(A201=A200,INDEX(BackgroundCalcs!$AV$2:$AV$500,'Grading Formulas'!$A201),"Question Results"),"")</f>
        <v/>
      </c>
      <c r="D201" s="8" t="str" cm="1">
        <f t="array" ref="D201">IF(ISNUMBER($A201),IF(A201=A200,INDEX(BackgroundCalcs!$AW$2:$AW$500,'Grading Formulas'!$A201),"C"&amp;A201+9),"")</f>
        <v/>
      </c>
      <c r="E201" s="4" t="str" cm="1">
        <f t="array" ref="E201">IF(ISNUMBER($A201),IF(A201=A200,"Reference2(False,True,"&amp;INDEX(BackgroundCalcs!$AX$2:$AX$500,'Grading Formulas'!$A201)&amp;")","MOEValue(.0001)"),"")</f>
        <v/>
      </c>
      <c r="F201" s="4" t="str">
        <f t="shared" si="13"/>
        <v/>
      </c>
      <c r="G201" s="4" t="str">
        <f t="shared" si="14"/>
        <v/>
      </c>
      <c r="H201" s="4" t="str">
        <f t="shared" si="15"/>
        <v/>
      </c>
    </row>
    <row r="202" spans="1:8">
      <c r="A202" s="5" t="str">
        <f t="shared" si="16"/>
        <v/>
      </c>
      <c r="B202" s="5" t="str">
        <f t="shared" si="0"/>
        <v/>
      </c>
      <c r="C202" s="33" t="str" cm="1">
        <f t="array" ref="C202">IF(ISNUMBER(A202),IF(A202=A201,INDEX(BackgroundCalcs!$AV$2:$AV$500,'Grading Formulas'!$A202),"Question Results"),"")</f>
        <v/>
      </c>
      <c r="D202" s="8" t="str" cm="1">
        <f t="array" ref="D202">IF(ISNUMBER($A202),IF(A202=A201,INDEX(BackgroundCalcs!$AW$2:$AW$500,'Grading Formulas'!$A202),"C"&amp;A202+9),"")</f>
        <v/>
      </c>
      <c r="E202" s="4" t="str" cm="1">
        <f t="array" ref="E202">IF(ISNUMBER($A202),IF(A202=A201,"Reference2(False,True,"&amp;INDEX(BackgroundCalcs!$AX$2:$AX$500,'Grading Formulas'!$A202)&amp;")","MOEValue(.0001)"),"")</f>
        <v/>
      </c>
      <c r="F202" s="4" t="str">
        <f t="shared" si="13"/>
        <v/>
      </c>
      <c r="G202" s="4" t="str">
        <f t="shared" si="14"/>
        <v/>
      </c>
      <c r="H202" s="4" t="str">
        <f t="shared" si="15"/>
        <v/>
      </c>
    </row>
    <row r="203" spans="1:8">
      <c r="A203" s="5" t="str">
        <f t="shared" si="16"/>
        <v/>
      </c>
      <c r="B203" s="5" t="str">
        <f t="shared" si="0"/>
        <v/>
      </c>
      <c r="C203" s="33" t="str" cm="1">
        <f t="array" ref="C203">IF(ISNUMBER(A203),IF(A203=A202,INDEX(BackgroundCalcs!$AV$2:$AV$500,'Grading Formulas'!$A203),"Question Results"),"")</f>
        <v/>
      </c>
      <c r="D203" s="8" t="str" cm="1">
        <f t="array" ref="D203">IF(ISNUMBER($A203),IF(A203=A202,INDEX(BackgroundCalcs!$AW$2:$AW$500,'Grading Formulas'!$A203),"C"&amp;A203+9),"")</f>
        <v/>
      </c>
      <c r="E203" s="4" t="str" cm="1">
        <f t="array" ref="E203">IF(ISNUMBER($A203),IF(A203=A202,"Reference2(False,True,"&amp;INDEX(BackgroundCalcs!$AX$2:$AX$500,'Grading Formulas'!$A203)&amp;")","MOEValue(.0001)"),"")</f>
        <v/>
      </c>
      <c r="F203" s="4" t="str">
        <f t="shared" si="13"/>
        <v/>
      </c>
      <c r="G203" s="4" t="str">
        <f t="shared" si="14"/>
        <v/>
      </c>
      <c r="H203" s="4" t="str">
        <f t="shared" si="15"/>
        <v/>
      </c>
    </row>
    <row r="204" spans="1:8">
      <c r="A204" s="5" t="str">
        <f t="shared" si="16"/>
        <v/>
      </c>
      <c r="B204" s="5" t="str">
        <f t="shared" si="0"/>
        <v/>
      </c>
      <c r="C204" s="33" t="str" cm="1">
        <f t="array" ref="C204">IF(ISNUMBER(A204),IF(A204=A203,INDEX(BackgroundCalcs!$AV$2:$AV$500,'Grading Formulas'!$A204),"Question Results"),"")</f>
        <v/>
      </c>
      <c r="D204" s="8" t="str" cm="1">
        <f t="array" ref="D204">IF(ISNUMBER($A204),IF(A204=A203,INDEX(BackgroundCalcs!$AW$2:$AW$500,'Grading Formulas'!$A204),"C"&amp;A204+9),"")</f>
        <v/>
      </c>
      <c r="E204" s="4" t="str" cm="1">
        <f t="array" ref="E204">IF(ISNUMBER($A204),IF(A204=A203,"Reference2(False,True,"&amp;INDEX(BackgroundCalcs!$AX$2:$AX$500,'Grading Formulas'!$A204)&amp;")","MOEValue(.0001)"),"")</f>
        <v/>
      </c>
      <c r="F204" s="4" t="str">
        <f t="shared" si="13"/>
        <v/>
      </c>
      <c r="G204" s="4" t="str">
        <f t="shared" si="14"/>
        <v/>
      </c>
      <c r="H204" s="4" t="str">
        <f t="shared" si="15"/>
        <v/>
      </c>
    </row>
    <row r="205" spans="1:8">
      <c r="A205" s="5" t="str">
        <f t="shared" si="16"/>
        <v/>
      </c>
      <c r="B205" s="5" t="str">
        <f t="shared" si="0"/>
        <v/>
      </c>
      <c r="C205" s="33" t="str" cm="1">
        <f t="array" ref="C205">IF(ISNUMBER(A205),IF(A205=A204,INDEX(BackgroundCalcs!$AV$2:$AV$500,'Grading Formulas'!$A205),"Question Results"),"")</f>
        <v/>
      </c>
      <c r="D205" s="8" t="str" cm="1">
        <f t="array" ref="D205">IF(ISNUMBER($A205),IF(A205=A204,INDEX(BackgroundCalcs!$AW$2:$AW$500,'Grading Formulas'!$A205),"C"&amp;A205+9),"")</f>
        <v/>
      </c>
      <c r="E205" s="4" t="str" cm="1">
        <f t="array" ref="E205">IF(ISNUMBER($A205),IF(A205=A204,"Reference2(False,True,"&amp;INDEX(BackgroundCalcs!$AX$2:$AX$500,'Grading Formulas'!$A205)&amp;")","MOEValue(.0001)"),"")</f>
        <v/>
      </c>
      <c r="F205" s="4" t="str">
        <f t="shared" si="13"/>
        <v/>
      </c>
      <c r="G205" s="4" t="str">
        <f t="shared" si="14"/>
        <v/>
      </c>
      <c r="H205" s="4" t="str">
        <f t="shared" si="15"/>
        <v/>
      </c>
    </row>
    <row r="206" spans="1:8">
      <c r="A206" s="5" t="str">
        <f t="shared" si="16"/>
        <v/>
      </c>
      <c r="B206" s="5" t="str">
        <f t="shared" si="0"/>
        <v/>
      </c>
      <c r="C206" s="33" t="str" cm="1">
        <f t="array" ref="C206">IF(ISNUMBER(A206),IF(A206=A205,INDEX(BackgroundCalcs!$AV$2:$AV$500,'Grading Formulas'!$A206),"Question Results"),"")</f>
        <v/>
      </c>
      <c r="D206" s="8" t="str" cm="1">
        <f t="array" ref="D206">IF(ISNUMBER($A206),IF(A206=A205,INDEX(BackgroundCalcs!$AW$2:$AW$500,'Grading Formulas'!$A206),"C"&amp;A206+9),"")</f>
        <v/>
      </c>
      <c r="E206" s="4" t="str" cm="1">
        <f t="array" ref="E206">IF(ISNUMBER($A206),IF(A206=A205,"Reference2(False,True,"&amp;INDEX(BackgroundCalcs!$AX$2:$AX$500,'Grading Formulas'!$A206)&amp;")","MOEValue(.0001)"),"")</f>
        <v/>
      </c>
      <c r="F206" s="4" t="str">
        <f t="shared" si="13"/>
        <v/>
      </c>
      <c r="G206" s="4" t="str">
        <f t="shared" si="14"/>
        <v/>
      </c>
      <c r="H206" s="4" t="str">
        <f t="shared" si="15"/>
        <v/>
      </c>
    </row>
    <row r="207" spans="1:8">
      <c r="A207" s="5" t="str">
        <f t="shared" si="16"/>
        <v/>
      </c>
      <c r="B207" s="5" t="str">
        <f t="shared" si="0"/>
        <v/>
      </c>
      <c r="C207" s="33" t="str" cm="1">
        <f t="array" ref="C207">IF(ISNUMBER(A207),IF(A207=A206,INDEX(BackgroundCalcs!$AV$2:$AV$500,'Grading Formulas'!$A207),"Question Results"),"")</f>
        <v/>
      </c>
      <c r="D207" s="8" t="str" cm="1">
        <f t="array" ref="D207">IF(ISNUMBER($A207),IF(A207=A206,INDEX(BackgroundCalcs!$AW$2:$AW$500,'Grading Formulas'!$A207),"C"&amp;A207+9),"")</f>
        <v/>
      </c>
      <c r="E207" s="4" t="str" cm="1">
        <f t="array" ref="E207">IF(ISNUMBER($A207),IF(A207=A206,"Reference2(False,True,"&amp;INDEX(BackgroundCalcs!$AX$2:$AX$500,'Grading Formulas'!$A207)&amp;")","MOEValue(.0001)"),"")</f>
        <v/>
      </c>
      <c r="F207" s="4" t="str">
        <f t="shared" si="13"/>
        <v/>
      </c>
      <c r="G207" s="4" t="str">
        <f t="shared" si="14"/>
        <v/>
      </c>
      <c r="H207" s="4" t="str">
        <f t="shared" si="15"/>
        <v/>
      </c>
    </row>
    <row r="208" spans="1:8">
      <c r="A208" s="5" t="str">
        <f t="shared" si="16"/>
        <v/>
      </c>
      <c r="B208" s="5" t="str">
        <f t="shared" si="0"/>
        <v/>
      </c>
      <c r="C208" s="33" t="str" cm="1">
        <f t="array" ref="C208">IF(ISNUMBER(A208),IF(A208=A207,INDEX(BackgroundCalcs!$AV$2:$AV$500,'Grading Formulas'!$A208),"Question Results"),"")</f>
        <v/>
      </c>
      <c r="D208" s="8" t="str" cm="1">
        <f t="array" ref="D208">IF(ISNUMBER($A208),IF(A208=A207,INDEX(BackgroundCalcs!$AW$2:$AW$500,'Grading Formulas'!$A208),"C"&amp;A208+9),"")</f>
        <v/>
      </c>
      <c r="E208" s="4" t="str" cm="1">
        <f t="array" ref="E208">IF(ISNUMBER($A208),IF(A208=A207,"Reference2(False,True,"&amp;INDEX(BackgroundCalcs!$AX$2:$AX$500,'Grading Formulas'!$A208)&amp;")","MOEValue(.0001)"),"")</f>
        <v/>
      </c>
      <c r="F208" s="4" t="str">
        <f t="shared" si="13"/>
        <v/>
      </c>
      <c r="G208" s="4" t="str">
        <f t="shared" si="14"/>
        <v/>
      </c>
      <c r="H208" s="4" t="str">
        <f t="shared" si="15"/>
        <v/>
      </c>
    </row>
    <row r="209" spans="1:8">
      <c r="A209" s="5" t="str">
        <f t="shared" si="16"/>
        <v/>
      </c>
      <c r="B209" s="5" t="str">
        <f t="shared" si="0"/>
        <v/>
      </c>
      <c r="C209" s="33" t="str" cm="1">
        <f t="array" ref="C209">IF(ISNUMBER(A209),IF(A209=A208,INDEX(BackgroundCalcs!$AV$2:$AV$500,'Grading Formulas'!$A209),"Question Results"),"")</f>
        <v/>
      </c>
      <c r="D209" s="8" t="str" cm="1">
        <f t="array" ref="D209">IF(ISNUMBER($A209),IF(A209=A208,INDEX(BackgroundCalcs!$AW$2:$AW$500,'Grading Formulas'!$A209),"C"&amp;A209+9),"")</f>
        <v/>
      </c>
      <c r="E209" s="4" t="str" cm="1">
        <f t="array" ref="E209">IF(ISNUMBER($A209),IF(A209=A208,"Reference2(False,True,"&amp;INDEX(BackgroundCalcs!$AX$2:$AX$500,'Grading Formulas'!$A209)&amp;")","MOEValue(.0001)"),"")</f>
        <v/>
      </c>
      <c r="F209" s="4" t="str">
        <f t="shared" si="13"/>
        <v/>
      </c>
      <c r="G209" s="4" t="str">
        <f t="shared" si="14"/>
        <v/>
      </c>
      <c r="H209" s="4" t="str">
        <f t="shared" si="15"/>
        <v/>
      </c>
    </row>
    <row r="210" spans="1:8">
      <c r="A210" s="5" t="str">
        <f t="shared" si="16"/>
        <v/>
      </c>
      <c r="B210" s="5" t="str">
        <f t="shared" si="0"/>
        <v/>
      </c>
      <c r="C210" s="33" t="str" cm="1">
        <f t="array" ref="C210">IF(ISNUMBER(A210),IF(A210=A209,INDEX(BackgroundCalcs!$AV$2:$AV$500,'Grading Formulas'!$A210),"Question Results"),"")</f>
        <v/>
      </c>
      <c r="D210" s="8" t="str" cm="1">
        <f t="array" ref="D210">IF(ISNUMBER($A210),IF(A210=A209,INDEX(BackgroundCalcs!$AW$2:$AW$500,'Grading Formulas'!$A210),"C"&amp;A210+9),"")</f>
        <v/>
      </c>
      <c r="E210" s="4" t="str" cm="1">
        <f t="array" ref="E210">IF(ISNUMBER($A210),IF(A210=A209,"Reference2(False,True,"&amp;INDEX(BackgroundCalcs!$AX$2:$AX$500,'Grading Formulas'!$A210)&amp;")","MOEValue(.0001)"),"")</f>
        <v/>
      </c>
      <c r="F210" s="4" t="str">
        <f t="shared" si="13"/>
        <v/>
      </c>
      <c r="G210" s="4" t="str">
        <f t="shared" si="14"/>
        <v/>
      </c>
      <c r="H210" s="4" t="str">
        <f t="shared" si="15"/>
        <v/>
      </c>
    </row>
    <row r="211" spans="1:8">
      <c r="A211" s="5" t="str">
        <f t="shared" si="16"/>
        <v/>
      </c>
      <c r="B211" s="5" t="str">
        <f t="shared" si="0"/>
        <v/>
      </c>
      <c r="C211" s="33" t="str" cm="1">
        <f t="array" ref="C211">IF(ISNUMBER(A211),IF(A211=A210,INDEX(BackgroundCalcs!$AV$2:$AV$500,'Grading Formulas'!$A211),"Question Results"),"")</f>
        <v/>
      </c>
      <c r="D211" s="8" t="str" cm="1">
        <f t="array" ref="D211">IF(ISNUMBER($A211),IF(A211=A210,INDEX(BackgroundCalcs!$AW$2:$AW$500,'Grading Formulas'!$A211),"C"&amp;A211+9),"")</f>
        <v/>
      </c>
      <c r="E211" s="4" t="str" cm="1">
        <f t="array" ref="E211">IF(ISNUMBER($A211),IF(A211=A210,"Reference2(False,True,"&amp;INDEX(BackgroundCalcs!$AX$2:$AX$500,'Grading Formulas'!$A211)&amp;")","MOEValue(.0001)"),"")</f>
        <v/>
      </c>
      <c r="F211" s="4" t="str">
        <f t="shared" si="13"/>
        <v/>
      </c>
      <c r="G211" s="4" t="str">
        <f t="shared" si="14"/>
        <v/>
      </c>
      <c r="H211" s="4" t="str">
        <f t="shared" si="15"/>
        <v/>
      </c>
    </row>
    <row r="212" spans="1:8">
      <c r="A212" s="5" t="str">
        <f t="shared" si="16"/>
        <v/>
      </c>
      <c r="B212" s="5" t="str">
        <f t="shared" si="0"/>
        <v/>
      </c>
      <c r="C212" s="33" t="str" cm="1">
        <f t="array" ref="C212">IF(ISNUMBER(A212),IF(A212=A211,INDEX(BackgroundCalcs!$AV$2:$AV$500,'Grading Formulas'!$A212),"Question Results"),"")</f>
        <v/>
      </c>
      <c r="D212" s="8" t="str" cm="1">
        <f t="array" ref="D212">IF(ISNUMBER($A212),IF(A212=A211,INDEX(BackgroundCalcs!$AW$2:$AW$500,'Grading Formulas'!$A212),"C"&amp;A212+9),"")</f>
        <v/>
      </c>
      <c r="E212" s="4" t="str" cm="1">
        <f t="array" ref="E212">IF(ISNUMBER($A212),IF(A212=A211,"Reference2(False,True,"&amp;INDEX(BackgroundCalcs!$AX$2:$AX$500,'Grading Formulas'!$A212)&amp;")","MOEValue(.0001)"),"")</f>
        <v/>
      </c>
      <c r="F212" s="4" t="str">
        <f t="shared" si="13"/>
        <v/>
      </c>
      <c r="G212" s="4" t="str">
        <f t="shared" si="14"/>
        <v/>
      </c>
      <c r="H212" s="4" t="str">
        <f t="shared" si="15"/>
        <v/>
      </c>
    </row>
    <row r="213" spans="1:8">
      <c r="A213" s="5" t="str">
        <f t="shared" si="16"/>
        <v/>
      </c>
      <c r="B213" s="5" t="str">
        <f t="shared" si="0"/>
        <v/>
      </c>
      <c r="C213" s="33" t="str" cm="1">
        <f t="array" ref="C213">IF(ISNUMBER(A213),IF(A213=A212,INDEX(BackgroundCalcs!$AV$2:$AV$500,'Grading Formulas'!$A213),"Question Results"),"")</f>
        <v/>
      </c>
      <c r="D213" s="8" t="str" cm="1">
        <f t="array" ref="D213">IF(ISNUMBER($A213),IF(A213=A212,INDEX(BackgroundCalcs!$AW$2:$AW$500,'Grading Formulas'!$A213),"C"&amp;A213+9),"")</f>
        <v/>
      </c>
      <c r="E213" s="4" t="str" cm="1">
        <f t="array" ref="E213">IF(ISNUMBER($A213),IF(A213=A212,"Reference2(False,True,"&amp;INDEX(BackgroundCalcs!$AX$2:$AX$500,'Grading Formulas'!$A213)&amp;")","MOEValue(.0001)"),"")</f>
        <v/>
      </c>
      <c r="F213" s="4" t="str">
        <f t="shared" si="13"/>
        <v/>
      </c>
      <c r="G213" s="4" t="str">
        <f t="shared" si="14"/>
        <v/>
      </c>
      <c r="H213" s="4" t="str">
        <f t="shared" si="15"/>
        <v/>
      </c>
    </row>
    <row r="214" spans="1:8">
      <c r="A214" s="5" t="str">
        <f t="shared" si="16"/>
        <v/>
      </c>
      <c r="B214" s="5" t="str">
        <f t="shared" si="0"/>
        <v/>
      </c>
      <c r="C214" s="33" t="str" cm="1">
        <f t="array" ref="C214">IF(ISNUMBER(A214),IF(A214=A213,INDEX(BackgroundCalcs!$AV$2:$AV$500,'Grading Formulas'!$A214),"Question Results"),"")</f>
        <v/>
      </c>
      <c r="D214" s="8" t="str" cm="1">
        <f t="array" ref="D214">IF(ISNUMBER($A214),IF(A214=A213,INDEX(BackgroundCalcs!$AW$2:$AW$500,'Grading Formulas'!$A214),"C"&amp;A214+9),"")</f>
        <v/>
      </c>
      <c r="E214" s="4" t="str" cm="1">
        <f t="array" ref="E214">IF(ISNUMBER($A214),IF(A214=A213,"Reference2(False,True,"&amp;INDEX(BackgroundCalcs!$AX$2:$AX$500,'Grading Formulas'!$A214)&amp;")","MOEValue(.0001)"),"")</f>
        <v/>
      </c>
      <c r="F214" s="4" t="str">
        <f t="shared" si="13"/>
        <v/>
      </c>
      <c r="G214" s="4" t="str">
        <f t="shared" si="14"/>
        <v/>
      </c>
      <c r="H214" s="4" t="str">
        <f t="shared" si="15"/>
        <v/>
      </c>
    </row>
    <row r="215" spans="1:8">
      <c r="A215" s="5" t="str">
        <f t="shared" si="16"/>
        <v/>
      </c>
      <c r="B215" s="5" t="str">
        <f t="shared" si="0"/>
        <v/>
      </c>
      <c r="C215" s="33" t="str" cm="1">
        <f t="array" ref="C215">IF(ISNUMBER(A215),IF(A215=A214,INDEX(BackgroundCalcs!$AV$2:$AV$500,'Grading Formulas'!$A215),"Question Results"),"")</f>
        <v/>
      </c>
      <c r="D215" s="8" t="str" cm="1">
        <f t="array" ref="D215">IF(ISNUMBER($A215),IF(A215=A214,INDEX(BackgroundCalcs!$AW$2:$AW$500,'Grading Formulas'!$A215),"C"&amp;A215+9),"")</f>
        <v/>
      </c>
      <c r="E215" s="4" t="str" cm="1">
        <f t="array" ref="E215">IF(ISNUMBER($A215),IF(A215=A214,"Reference2(False,True,"&amp;INDEX(BackgroundCalcs!$AX$2:$AX$500,'Grading Formulas'!$A215)&amp;")","MOEValue(.0001)"),"")</f>
        <v/>
      </c>
      <c r="F215" s="4" t="str">
        <f t="shared" si="13"/>
        <v/>
      </c>
      <c r="G215" s="4" t="str">
        <f t="shared" si="14"/>
        <v/>
      </c>
      <c r="H215" s="4" t="str">
        <f t="shared" si="15"/>
        <v/>
      </c>
    </row>
    <row r="216" spans="1:8">
      <c r="A216" s="5" t="str">
        <f t="shared" si="16"/>
        <v/>
      </c>
      <c r="B216" s="5" t="str">
        <f t="shared" si="0"/>
        <v/>
      </c>
      <c r="C216" s="33" t="str" cm="1">
        <f t="array" ref="C216">IF(ISNUMBER(A216),IF(A216=A215,INDEX(BackgroundCalcs!$AV$2:$AV$500,'Grading Formulas'!$A216),"Question Results"),"")</f>
        <v/>
      </c>
      <c r="D216" s="8" t="str" cm="1">
        <f t="array" ref="D216">IF(ISNUMBER($A216),IF(A216=A215,INDEX(BackgroundCalcs!$AW$2:$AW$500,'Grading Formulas'!$A216),"C"&amp;A216+9),"")</f>
        <v/>
      </c>
      <c r="E216" s="4" t="str" cm="1">
        <f t="array" ref="E216">IF(ISNUMBER($A216),IF(A216=A215,"Reference2(False,True,"&amp;INDEX(BackgroundCalcs!$AX$2:$AX$500,'Grading Formulas'!$A216)&amp;")","MOEValue(.0001)"),"")</f>
        <v/>
      </c>
      <c r="F216" s="4" t="str">
        <f t="shared" si="13"/>
        <v/>
      </c>
      <c r="G216" s="4" t="str">
        <f t="shared" si="14"/>
        <v/>
      </c>
      <c r="H216" s="4" t="str">
        <f t="shared" si="15"/>
        <v/>
      </c>
    </row>
    <row r="217" spans="1:8">
      <c r="A217" s="5" t="str">
        <f t="shared" si="16"/>
        <v/>
      </c>
      <c r="B217" s="5" t="str">
        <f t="shared" si="0"/>
        <v/>
      </c>
      <c r="C217" s="33" t="str" cm="1">
        <f t="array" ref="C217">IF(ISNUMBER(A217),IF(A217=A216,INDEX(BackgroundCalcs!$AV$2:$AV$500,'Grading Formulas'!$A217),"Question Results"),"")</f>
        <v/>
      </c>
      <c r="D217" s="8" t="str" cm="1">
        <f t="array" ref="D217">IF(ISNUMBER($A217),IF(A217=A216,INDEX(BackgroundCalcs!$AW$2:$AW$500,'Grading Formulas'!$A217),"C"&amp;A217+9),"")</f>
        <v/>
      </c>
      <c r="E217" s="4" t="str" cm="1">
        <f t="array" ref="E217">IF(ISNUMBER($A217),IF(A217=A216,"Reference2(False,True,"&amp;INDEX(BackgroundCalcs!$AX$2:$AX$500,'Grading Formulas'!$A217)&amp;")","MOEValue(.0001)"),"")</f>
        <v/>
      </c>
      <c r="F217" s="4" t="str">
        <f t="shared" si="13"/>
        <v/>
      </c>
      <c r="G217" s="4" t="str">
        <f t="shared" si="14"/>
        <v/>
      </c>
      <c r="H217" s="4" t="str">
        <f t="shared" si="15"/>
        <v/>
      </c>
    </row>
    <row r="218" spans="1:8">
      <c r="A218" s="5" t="str">
        <f t="shared" si="16"/>
        <v/>
      </c>
      <c r="B218" s="5" t="str">
        <f t="shared" si="0"/>
        <v/>
      </c>
      <c r="C218" s="33" t="str" cm="1">
        <f t="array" ref="C218">IF(ISNUMBER(A218),IF(A218=A217,INDEX(BackgroundCalcs!$AV$2:$AV$500,'Grading Formulas'!$A218),"Question Results"),"")</f>
        <v/>
      </c>
      <c r="D218" s="8" t="str" cm="1">
        <f t="array" ref="D218">IF(ISNUMBER($A218),IF(A218=A217,INDEX(BackgroundCalcs!$AW$2:$AW$500,'Grading Formulas'!$A218),"C"&amp;A218+9),"")</f>
        <v/>
      </c>
      <c r="E218" s="4" t="str" cm="1">
        <f t="array" ref="E218">IF(ISNUMBER($A218),IF(A218=A217,"Reference2(False,True,"&amp;INDEX(BackgroundCalcs!$AX$2:$AX$500,'Grading Formulas'!$A218)&amp;")","MOEValue(.0001)"),"")</f>
        <v/>
      </c>
      <c r="F218" s="4" t="str">
        <f t="shared" si="13"/>
        <v/>
      </c>
      <c r="G218" s="4" t="str">
        <f t="shared" si="14"/>
        <v/>
      </c>
      <c r="H218" s="4" t="str">
        <f t="shared" si="15"/>
        <v/>
      </c>
    </row>
    <row r="219" spans="1:8">
      <c r="A219" s="5" t="str">
        <f t="shared" si="16"/>
        <v/>
      </c>
      <c r="B219" s="5" t="str">
        <f t="shared" si="0"/>
        <v/>
      </c>
      <c r="C219" s="33" t="str" cm="1">
        <f t="array" ref="C219">IF(ISNUMBER(A219),IF(A219=A218,INDEX(BackgroundCalcs!$AV$2:$AV$500,'Grading Formulas'!$A219),"Question Results"),"")</f>
        <v/>
      </c>
      <c r="D219" s="8" t="str" cm="1">
        <f t="array" ref="D219">IF(ISNUMBER($A219),IF(A219=A218,INDEX(BackgroundCalcs!$AW$2:$AW$500,'Grading Formulas'!$A219),"C"&amp;A219+9),"")</f>
        <v/>
      </c>
      <c r="E219" s="4" t="str" cm="1">
        <f t="array" ref="E219">IF(ISNUMBER($A219),IF(A219=A218,"Reference2(False,True,"&amp;INDEX(BackgroundCalcs!$AX$2:$AX$500,'Grading Formulas'!$A219)&amp;")","MOEValue(.0001)"),"")</f>
        <v/>
      </c>
      <c r="F219" s="4" t="str">
        <f t="shared" si="13"/>
        <v/>
      </c>
      <c r="G219" s="4" t="str">
        <f t="shared" si="14"/>
        <v/>
      </c>
      <c r="H219" s="4" t="str">
        <f t="shared" si="15"/>
        <v/>
      </c>
    </row>
    <row r="220" spans="1:8">
      <c r="A220" s="5" t="str">
        <f t="shared" si="16"/>
        <v/>
      </c>
      <c r="B220" s="5" t="str">
        <f t="shared" si="0"/>
        <v/>
      </c>
      <c r="C220" s="33" t="str" cm="1">
        <f t="array" ref="C220">IF(ISNUMBER(A220),IF(A220=A219,INDEX(BackgroundCalcs!$AV$2:$AV$500,'Grading Formulas'!$A220),"Question Results"),"")</f>
        <v/>
      </c>
      <c r="D220" s="8" t="str" cm="1">
        <f t="array" ref="D220">IF(ISNUMBER($A220),IF(A220=A219,INDEX(BackgroundCalcs!$AW$2:$AW$500,'Grading Formulas'!$A220),"C"&amp;A220+9),"")</f>
        <v/>
      </c>
      <c r="E220" s="4" t="str" cm="1">
        <f t="array" ref="E220">IF(ISNUMBER($A220),IF(A220=A219,"Reference2(False,True,"&amp;INDEX(BackgroundCalcs!$AX$2:$AX$500,'Grading Formulas'!$A220)&amp;")","MOEValue(.0001)"),"")</f>
        <v/>
      </c>
      <c r="F220" s="4" t="str">
        <f t="shared" si="13"/>
        <v/>
      </c>
      <c r="G220" s="4" t="str">
        <f t="shared" si="14"/>
        <v/>
      </c>
      <c r="H220" s="4" t="str">
        <f t="shared" si="15"/>
        <v/>
      </c>
    </row>
    <row r="221" spans="1:8">
      <c r="A221" s="5" t="str">
        <f t="shared" si="16"/>
        <v/>
      </c>
      <c r="B221" s="5" t="str">
        <f t="shared" si="0"/>
        <v/>
      </c>
      <c r="C221" s="33" t="str" cm="1">
        <f t="array" ref="C221">IF(ISNUMBER(A221),IF(A221=A220,INDEX(BackgroundCalcs!$AV$2:$AV$500,'Grading Formulas'!$A221),"Question Results"),"")</f>
        <v/>
      </c>
      <c r="D221" s="8" t="str" cm="1">
        <f t="array" ref="D221">IF(ISNUMBER($A221),IF(A221=A220,INDEX(BackgroundCalcs!$AW$2:$AW$500,'Grading Formulas'!$A221),"C"&amp;A221+9),"")</f>
        <v/>
      </c>
      <c r="E221" s="4" t="str" cm="1">
        <f t="array" ref="E221">IF(ISNUMBER($A221),IF(A221=A220,"Reference2(False,True,"&amp;INDEX(BackgroundCalcs!$AX$2:$AX$500,'Grading Formulas'!$A221)&amp;")","MOEValue(.0001)"),"")</f>
        <v/>
      </c>
      <c r="F221" s="4" t="str">
        <f t="shared" si="13"/>
        <v/>
      </c>
      <c r="G221" s="4" t="str">
        <f t="shared" si="14"/>
        <v/>
      </c>
      <c r="H221" s="4" t="str">
        <f t="shared" si="15"/>
        <v/>
      </c>
    </row>
    <row r="222" spans="1:8">
      <c r="A222" s="5" t="str">
        <f t="shared" si="16"/>
        <v/>
      </c>
      <c r="B222" s="5" t="str">
        <f t="shared" si="0"/>
        <v/>
      </c>
      <c r="C222" s="33" t="str" cm="1">
        <f t="array" ref="C222">IF(ISNUMBER(A222),IF(A222=A221,INDEX(BackgroundCalcs!$AV$2:$AV$500,'Grading Formulas'!$A222),"Question Results"),"")</f>
        <v/>
      </c>
      <c r="D222" s="8" t="str" cm="1">
        <f t="array" ref="D222">IF(ISNUMBER($A222),IF(A222=A221,INDEX(BackgroundCalcs!$AW$2:$AW$500,'Grading Formulas'!$A222),"C"&amp;A222+9),"")</f>
        <v/>
      </c>
      <c r="E222" s="4" t="str" cm="1">
        <f t="array" ref="E222">IF(ISNUMBER($A222),IF(A222=A221,"Reference2(False,True,"&amp;INDEX(BackgroundCalcs!$AX$2:$AX$500,'Grading Formulas'!$A222)&amp;")","MOEValue(.0001)"),"")</f>
        <v/>
      </c>
      <c r="F222" s="4" t="str">
        <f t="shared" si="13"/>
        <v/>
      </c>
      <c r="G222" s="4" t="str">
        <f t="shared" si="14"/>
        <v/>
      </c>
      <c r="H222" s="4" t="str">
        <f t="shared" si="15"/>
        <v/>
      </c>
    </row>
    <row r="223" spans="1:8">
      <c r="A223" s="5" t="str">
        <f t="shared" si="16"/>
        <v/>
      </c>
      <c r="B223" s="5" t="str">
        <f t="shared" si="0"/>
        <v/>
      </c>
      <c r="C223" s="33" t="str" cm="1">
        <f t="array" ref="C223">IF(ISNUMBER(A223),IF(A223=A222,INDEX(BackgroundCalcs!$AV$2:$AV$500,'Grading Formulas'!$A223),"Question Results"),"")</f>
        <v/>
      </c>
      <c r="D223" s="8" t="str" cm="1">
        <f t="array" ref="D223">IF(ISNUMBER($A223),IF(A223=A222,INDEX(BackgroundCalcs!$AW$2:$AW$500,'Grading Formulas'!$A223),"C"&amp;A223+9),"")</f>
        <v/>
      </c>
      <c r="E223" s="4" t="str" cm="1">
        <f t="array" ref="E223">IF(ISNUMBER($A223),IF(A223=A222,"Reference2(False,True,"&amp;INDEX(BackgroundCalcs!$AX$2:$AX$500,'Grading Formulas'!$A223)&amp;")","MOEValue(.0001)"),"")</f>
        <v/>
      </c>
      <c r="F223" s="4" t="str">
        <f t="shared" si="13"/>
        <v/>
      </c>
      <c r="G223" s="4" t="str">
        <f t="shared" si="14"/>
        <v/>
      </c>
      <c r="H223" s="4" t="str">
        <f t="shared" si="15"/>
        <v/>
      </c>
    </row>
    <row r="224" spans="1:8">
      <c r="A224" s="5" t="str">
        <f t="shared" si="16"/>
        <v/>
      </c>
      <c r="B224" s="5" t="str">
        <f t="shared" si="0"/>
        <v/>
      </c>
      <c r="C224" s="33" t="str" cm="1">
        <f t="array" ref="C224">IF(ISNUMBER(A224),IF(A224=A223,INDEX(BackgroundCalcs!$AV$2:$AV$500,'Grading Formulas'!$A224),"Question Results"),"")</f>
        <v/>
      </c>
      <c r="D224" s="8" t="str" cm="1">
        <f t="array" ref="D224">IF(ISNUMBER($A224),IF(A224=A223,INDEX(BackgroundCalcs!$AW$2:$AW$500,'Grading Formulas'!$A224),"C"&amp;A224+9),"")</f>
        <v/>
      </c>
      <c r="E224" s="4" t="str" cm="1">
        <f t="array" ref="E224">IF(ISNUMBER($A224),IF(A224=A223,"Reference2(False,True,"&amp;INDEX(BackgroundCalcs!$AX$2:$AX$500,'Grading Formulas'!$A224)&amp;")","MOEValue(.0001)"),"")</f>
        <v/>
      </c>
      <c r="F224" s="4" t="str">
        <f t="shared" si="13"/>
        <v/>
      </c>
      <c r="G224" s="4" t="str">
        <f t="shared" si="14"/>
        <v/>
      </c>
      <c r="H224" s="4" t="str">
        <f t="shared" si="15"/>
        <v/>
      </c>
    </row>
    <row r="225" spans="1:8">
      <c r="A225" s="5" t="str">
        <f t="shared" si="16"/>
        <v/>
      </c>
      <c r="B225" s="5" t="str">
        <f t="shared" si="0"/>
        <v/>
      </c>
      <c r="C225" s="33" t="str" cm="1">
        <f t="array" ref="C225">IF(ISNUMBER(A225),IF(A225=A224,INDEX(BackgroundCalcs!$AV$2:$AV$500,'Grading Formulas'!$A225),"Question Results"),"")</f>
        <v/>
      </c>
      <c r="D225" s="8" t="str" cm="1">
        <f t="array" ref="D225">IF(ISNUMBER($A225),IF(A225=A224,INDEX(BackgroundCalcs!$AW$2:$AW$500,'Grading Formulas'!$A225),"C"&amp;A225+9),"")</f>
        <v/>
      </c>
      <c r="E225" s="4" t="str" cm="1">
        <f t="array" ref="E225">IF(ISNUMBER($A225),IF(A225=A224,"Reference2(False,True,"&amp;INDEX(BackgroundCalcs!$AX$2:$AX$500,'Grading Formulas'!$A225)&amp;")","MOEValue(.0001)"),"")</f>
        <v/>
      </c>
      <c r="F225" s="4" t="str">
        <f t="shared" si="13"/>
        <v/>
      </c>
      <c r="G225" s="4" t="str">
        <f t="shared" si="14"/>
        <v/>
      </c>
      <c r="H225" s="4" t="str">
        <f t="shared" si="15"/>
        <v/>
      </c>
    </row>
    <row r="226" spans="1:8">
      <c r="A226" s="5" t="str">
        <f t="shared" si="16"/>
        <v/>
      </c>
      <c r="B226" s="5" t="str">
        <f t="shared" si="0"/>
        <v/>
      </c>
      <c r="C226" s="33" t="str" cm="1">
        <f t="array" ref="C226">IF(ISNUMBER(A226),IF(A226=A225,INDEX(BackgroundCalcs!$AV$2:$AV$500,'Grading Formulas'!$A226),"Question Results"),"")</f>
        <v/>
      </c>
      <c r="D226" s="8" t="str" cm="1">
        <f t="array" ref="D226">IF(ISNUMBER($A226),IF(A226=A225,INDEX(BackgroundCalcs!$AW$2:$AW$500,'Grading Formulas'!$A226),"C"&amp;A226+9),"")</f>
        <v/>
      </c>
      <c r="E226" s="4" t="str" cm="1">
        <f t="array" ref="E226">IF(ISNUMBER($A226),IF(A226=A225,"Reference2(False,True,"&amp;INDEX(BackgroundCalcs!$AX$2:$AX$500,'Grading Formulas'!$A226)&amp;")","MOEValue(.0001)"),"")</f>
        <v/>
      </c>
      <c r="F226" s="4" t="str">
        <f t="shared" si="13"/>
        <v/>
      </c>
      <c r="G226" s="4" t="str">
        <f t="shared" si="14"/>
        <v/>
      </c>
      <c r="H226" s="4" t="str">
        <f t="shared" si="15"/>
        <v/>
      </c>
    </row>
    <row r="227" spans="1:8">
      <c r="A227" s="5" t="str">
        <f t="shared" si="16"/>
        <v/>
      </c>
      <c r="B227" s="5" t="str">
        <f t="shared" si="0"/>
        <v/>
      </c>
      <c r="C227" s="33" t="str" cm="1">
        <f t="array" ref="C227">IF(ISNUMBER(A227),IF(A227=A226,INDEX(BackgroundCalcs!$AV$2:$AV$500,'Grading Formulas'!$A227),"Question Results"),"")</f>
        <v/>
      </c>
      <c r="D227" s="8" t="str" cm="1">
        <f t="array" ref="D227">IF(ISNUMBER($A227),IF(A227=A226,INDEX(BackgroundCalcs!$AW$2:$AW$500,'Grading Formulas'!$A227),"C"&amp;A227+9),"")</f>
        <v/>
      </c>
      <c r="E227" s="4" t="str" cm="1">
        <f t="array" ref="E227">IF(ISNUMBER($A227),IF(A227=A226,"Reference2(False,True,"&amp;INDEX(BackgroundCalcs!$AX$2:$AX$500,'Grading Formulas'!$A227)&amp;")","MOEValue(.0001)"),"")</f>
        <v/>
      </c>
      <c r="F227" s="4" t="str">
        <f t="shared" si="13"/>
        <v/>
      </c>
      <c r="G227" s="4" t="str">
        <f t="shared" si="14"/>
        <v/>
      </c>
      <c r="H227" s="4" t="str">
        <f t="shared" si="15"/>
        <v/>
      </c>
    </row>
    <row r="228" spans="1:8">
      <c r="A228" s="5" t="str">
        <f t="shared" si="16"/>
        <v/>
      </c>
      <c r="B228" s="5" t="str">
        <f t="shared" si="0"/>
        <v/>
      </c>
      <c r="C228" s="33" t="str" cm="1">
        <f t="array" ref="C228">IF(ISNUMBER(A228),IF(A228=A227,INDEX(BackgroundCalcs!$AV$2:$AV$500,'Grading Formulas'!$A228),"Question Results"),"")</f>
        <v/>
      </c>
      <c r="D228" s="8" t="str" cm="1">
        <f t="array" ref="D228">IF(ISNUMBER($A228),IF(A228=A227,INDEX(BackgroundCalcs!$AW$2:$AW$500,'Grading Formulas'!$A228),"C"&amp;A228+9),"")</f>
        <v/>
      </c>
      <c r="E228" s="4" t="str" cm="1">
        <f t="array" ref="E228">IF(ISNUMBER($A228),IF(A228=A227,"Reference2(False,True,"&amp;INDEX(BackgroundCalcs!$AX$2:$AX$500,'Grading Formulas'!$A228)&amp;")","MOEValue(.0001)"),"")</f>
        <v/>
      </c>
      <c r="F228" s="4" t="str">
        <f t="shared" si="13"/>
        <v/>
      </c>
      <c r="G228" s="4" t="str">
        <f t="shared" si="14"/>
        <v/>
      </c>
      <c r="H228" s="4" t="str">
        <f t="shared" si="15"/>
        <v/>
      </c>
    </row>
    <row r="229" spans="1:8">
      <c r="A229" s="5" t="str">
        <f t="shared" si="16"/>
        <v/>
      </c>
      <c r="B229" s="5" t="str">
        <f t="shared" si="0"/>
        <v/>
      </c>
      <c r="C229" s="33" t="str" cm="1">
        <f t="array" ref="C229">IF(ISNUMBER(A229),IF(A229=A228,INDEX(BackgroundCalcs!$AV$2:$AV$500,'Grading Formulas'!$A229),"Question Results"),"")</f>
        <v/>
      </c>
      <c r="D229" s="8" t="str" cm="1">
        <f t="array" ref="D229">IF(ISNUMBER($A229),IF(A229=A228,INDEX(BackgroundCalcs!$AW$2:$AW$500,'Grading Formulas'!$A229),"C"&amp;A229+9),"")</f>
        <v/>
      </c>
      <c r="E229" s="4" t="str" cm="1">
        <f t="array" ref="E229">IF(ISNUMBER($A229),IF(A229=A228,"Reference2(False,True,"&amp;INDEX(BackgroundCalcs!$AX$2:$AX$500,'Grading Formulas'!$A229)&amp;")","MOEValue(.0001)"),"")</f>
        <v/>
      </c>
      <c r="F229" s="4" t="str">
        <f t="shared" si="13"/>
        <v/>
      </c>
      <c r="G229" s="4" t="str">
        <f t="shared" si="14"/>
        <v/>
      </c>
      <c r="H229" s="4" t="str">
        <f t="shared" si="15"/>
        <v/>
      </c>
    </row>
    <row r="230" spans="1:8">
      <c r="A230" s="5" t="str">
        <f t="shared" si="16"/>
        <v/>
      </c>
      <c r="B230" s="5" t="str">
        <f t="shared" si="0"/>
        <v/>
      </c>
      <c r="C230" s="33" t="str" cm="1">
        <f t="array" ref="C230">IF(ISNUMBER(A230),IF(A230=A229,INDEX(BackgroundCalcs!$AV$2:$AV$500,'Grading Formulas'!$A230),"Question Results"),"")</f>
        <v/>
      </c>
      <c r="D230" s="8" t="str" cm="1">
        <f t="array" ref="D230">IF(ISNUMBER($A230),IF(A230=A229,INDEX(BackgroundCalcs!$AW$2:$AW$500,'Grading Formulas'!$A230),"C"&amp;A230+9),"")</f>
        <v/>
      </c>
      <c r="E230" s="4" t="str" cm="1">
        <f t="array" ref="E230">IF(ISNUMBER($A230),IF(A230=A229,"Reference2(False,True,"&amp;INDEX(BackgroundCalcs!$AX$2:$AX$500,'Grading Formulas'!$A230)&amp;")","MOEValue(.0001)"),"")</f>
        <v/>
      </c>
      <c r="F230" s="4" t="str">
        <f t="shared" si="13"/>
        <v/>
      </c>
      <c r="G230" s="4" t="str">
        <f t="shared" si="14"/>
        <v/>
      </c>
      <c r="H230" s="4" t="str">
        <f t="shared" si="15"/>
        <v/>
      </c>
    </row>
    <row r="231" spans="1:8">
      <c r="A231" s="5" t="str">
        <f t="shared" si="16"/>
        <v/>
      </c>
      <c r="B231" s="5" t="str">
        <f t="shared" si="0"/>
        <v/>
      </c>
      <c r="C231" s="33" t="str" cm="1">
        <f t="array" ref="C231">IF(ISNUMBER(A231),IF(A231=A230,INDEX(BackgroundCalcs!$AV$2:$AV$500,'Grading Formulas'!$A231),"Question Results"),"")</f>
        <v/>
      </c>
      <c r="D231" s="8" t="str" cm="1">
        <f t="array" ref="D231">IF(ISNUMBER($A231),IF(A231=A230,INDEX(BackgroundCalcs!$AW$2:$AW$500,'Grading Formulas'!$A231),"C"&amp;A231+9),"")</f>
        <v/>
      </c>
      <c r="E231" s="4" t="str" cm="1">
        <f t="array" ref="E231">IF(ISNUMBER($A231),IF(A231=A230,"Reference2(False,True,"&amp;INDEX(BackgroundCalcs!$AX$2:$AX$500,'Grading Formulas'!$A231)&amp;")","MOEValue(.0001)"),"")</f>
        <v/>
      </c>
      <c r="F231" s="4" t="str">
        <f t="shared" si="13"/>
        <v/>
      </c>
      <c r="G231" s="4" t="str">
        <f t="shared" si="14"/>
        <v/>
      </c>
      <c r="H231" s="4" t="str">
        <f t="shared" si="15"/>
        <v/>
      </c>
    </row>
    <row r="232" spans="1:8">
      <c r="A232" s="5" t="str">
        <f t="shared" si="16"/>
        <v/>
      </c>
      <c r="B232" s="5" t="str">
        <f t="shared" si="0"/>
        <v/>
      </c>
      <c r="C232" s="33" t="str" cm="1">
        <f t="array" ref="C232">IF(ISNUMBER(A232),IF(A232=A231,INDEX(BackgroundCalcs!$AV$2:$AV$500,'Grading Formulas'!$A232),"Question Results"),"")</f>
        <v/>
      </c>
      <c r="D232" s="8" t="str" cm="1">
        <f t="array" ref="D232">IF(ISNUMBER($A232),IF(A232=A231,INDEX(BackgroundCalcs!$AW$2:$AW$500,'Grading Formulas'!$A232),"C"&amp;A232+9),"")</f>
        <v/>
      </c>
      <c r="E232" s="4" t="str" cm="1">
        <f t="array" ref="E232">IF(ISNUMBER($A232),IF(A232=A231,"Reference2(False,True,"&amp;INDEX(BackgroundCalcs!$AX$2:$AX$500,'Grading Formulas'!$A232)&amp;")","MOEValue(.0001)"),"")</f>
        <v/>
      </c>
      <c r="F232" s="4" t="str">
        <f t="shared" si="13"/>
        <v/>
      </c>
      <c r="G232" s="4" t="str">
        <f t="shared" si="14"/>
        <v/>
      </c>
      <c r="H232" s="4" t="str">
        <f t="shared" si="15"/>
        <v/>
      </c>
    </row>
    <row r="233" spans="1:8">
      <c r="A233" s="5" t="str">
        <f t="shared" si="16"/>
        <v/>
      </c>
      <c r="B233" s="5" t="str">
        <f t="shared" si="0"/>
        <v/>
      </c>
      <c r="C233" s="33" t="str" cm="1">
        <f t="array" ref="C233">IF(ISNUMBER(A233),IF(A233=A232,INDEX(BackgroundCalcs!$AV$2:$AV$500,'Grading Formulas'!$A233),"Question Results"),"")</f>
        <v/>
      </c>
      <c r="D233" s="8" t="str" cm="1">
        <f t="array" ref="D233">IF(ISNUMBER($A233),IF(A233=A232,INDEX(BackgroundCalcs!$AW$2:$AW$500,'Grading Formulas'!$A233),"C"&amp;A233+9),"")</f>
        <v/>
      </c>
      <c r="E233" s="4" t="str" cm="1">
        <f t="array" ref="E233">IF(ISNUMBER($A233),IF(A233=A232,"Reference2(False,True,"&amp;INDEX(BackgroundCalcs!$AX$2:$AX$500,'Grading Formulas'!$A233)&amp;")","MOEValue(.0001)"),"")</f>
        <v/>
      </c>
      <c r="F233" s="4" t="str">
        <f t="shared" si="13"/>
        <v/>
      </c>
      <c r="G233" s="4" t="str">
        <f t="shared" si="14"/>
        <v/>
      </c>
      <c r="H233" s="4" t="str">
        <f t="shared" si="15"/>
        <v/>
      </c>
    </row>
    <row r="234" spans="1:8">
      <c r="A234" s="5" t="str">
        <f t="shared" si="16"/>
        <v/>
      </c>
      <c r="B234" s="5" t="str">
        <f t="shared" si="0"/>
        <v/>
      </c>
      <c r="C234" s="33" t="str" cm="1">
        <f t="array" ref="C234">IF(ISNUMBER(A234),IF(A234=A233,INDEX(BackgroundCalcs!$AV$2:$AV$500,'Grading Formulas'!$A234),"Question Results"),"")</f>
        <v/>
      </c>
      <c r="D234" s="8" t="str" cm="1">
        <f t="array" ref="D234">IF(ISNUMBER($A234),IF(A234=A233,INDEX(BackgroundCalcs!$AW$2:$AW$500,'Grading Formulas'!$A234),"C"&amp;A234+9),"")</f>
        <v/>
      </c>
      <c r="E234" s="4" t="str" cm="1">
        <f t="array" ref="E234">IF(ISNUMBER($A234),IF(A234=A233,"Reference2(False,True,"&amp;INDEX(BackgroundCalcs!$AX$2:$AX$500,'Grading Formulas'!$A234)&amp;")","MOEValue(.0001)"),"")</f>
        <v/>
      </c>
      <c r="F234" s="4" t="str">
        <f t="shared" si="13"/>
        <v/>
      </c>
      <c r="G234" s="4" t="str">
        <f t="shared" si="14"/>
        <v/>
      </c>
      <c r="H234" s="4" t="str">
        <f t="shared" si="15"/>
        <v/>
      </c>
    </row>
    <row r="235" spans="1:8">
      <c r="A235" s="5" t="str">
        <f t="shared" si="16"/>
        <v/>
      </c>
      <c r="B235" s="5" t="str">
        <f t="shared" si="0"/>
        <v/>
      </c>
      <c r="C235" s="33" t="str" cm="1">
        <f t="array" ref="C235">IF(ISNUMBER(A235),IF(A235=A234,INDEX(BackgroundCalcs!$AV$2:$AV$500,'Grading Formulas'!$A235),"Question Results"),"")</f>
        <v/>
      </c>
      <c r="D235" s="8" t="str" cm="1">
        <f t="array" ref="D235">IF(ISNUMBER($A235),IF(A235=A234,INDEX(BackgroundCalcs!$AW$2:$AW$500,'Grading Formulas'!$A235),"C"&amp;A235+9),"")</f>
        <v/>
      </c>
      <c r="E235" s="4" t="str" cm="1">
        <f t="array" ref="E235">IF(ISNUMBER($A235),IF(A235=A234,"Reference2(False,True,"&amp;INDEX(BackgroundCalcs!$AX$2:$AX$500,'Grading Formulas'!$A235)&amp;")","MOEValue(.0001)"),"")</f>
        <v/>
      </c>
      <c r="F235" s="4" t="str">
        <f t="shared" si="13"/>
        <v/>
      </c>
      <c r="G235" s="4" t="str">
        <f t="shared" si="14"/>
        <v/>
      </c>
      <c r="H235" s="4" t="str">
        <f t="shared" si="15"/>
        <v/>
      </c>
    </row>
    <row r="236" spans="1:8">
      <c r="A236" s="5" t="str">
        <f t="shared" si="16"/>
        <v/>
      </c>
      <c r="B236" s="5" t="str">
        <f t="shared" si="0"/>
        <v/>
      </c>
      <c r="C236" s="33" t="str" cm="1">
        <f t="array" ref="C236">IF(ISNUMBER(A236),IF(A236=A235,INDEX(BackgroundCalcs!$AV$2:$AV$500,'Grading Formulas'!$A236),"Question Results"),"")</f>
        <v/>
      </c>
      <c r="D236" s="8" t="str" cm="1">
        <f t="array" ref="D236">IF(ISNUMBER($A236),IF(A236=A235,INDEX(BackgroundCalcs!$AW$2:$AW$500,'Grading Formulas'!$A236),"C"&amp;A236+9),"")</f>
        <v/>
      </c>
      <c r="E236" s="4" t="str" cm="1">
        <f t="array" ref="E236">IF(ISNUMBER($A236),IF(A236=A235,"Reference2(False,True,"&amp;INDEX(BackgroundCalcs!$AX$2:$AX$500,'Grading Formulas'!$A236)&amp;")","MOEValue(.0001)"),"")</f>
        <v/>
      </c>
      <c r="F236" s="4" t="str">
        <f t="shared" si="13"/>
        <v/>
      </c>
      <c r="G236" s="4" t="str">
        <f t="shared" si="14"/>
        <v/>
      </c>
      <c r="H236" s="4" t="str">
        <f t="shared" si="15"/>
        <v/>
      </c>
    </row>
    <row r="237" spans="1:8">
      <c r="A237" s="5" t="str">
        <f t="shared" si="16"/>
        <v/>
      </c>
      <c r="B237" s="5" t="str">
        <f t="shared" si="0"/>
        <v/>
      </c>
      <c r="C237" s="33" t="str" cm="1">
        <f t="array" ref="C237">IF(ISNUMBER(A237),IF(A237=A236,INDEX(BackgroundCalcs!$AV$2:$AV$500,'Grading Formulas'!$A237),"Question Results"),"")</f>
        <v/>
      </c>
      <c r="D237" s="8" t="str" cm="1">
        <f t="array" ref="D237">IF(ISNUMBER($A237),IF(A237=A236,INDEX(BackgroundCalcs!$AW$2:$AW$500,'Grading Formulas'!$A237),"C"&amp;A237+9),"")</f>
        <v/>
      </c>
      <c r="E237" s="4" t="str" cm="1">
        <f t="array" ref="E237">IF(ISNUMBER($A237),IF(A237=A236,"Reference2(False,True,"&amp;INDEX(BackgroundCalcs!$AX$2:$AX$500,'Grading Formulas'!$A237)&amp;")","MOEValue(.0001)"),"")</f>
        <v/>
      </c>
      <c r="F237" s="4" t="str">
        <f t="shared" si="13"/>
        <v/>
      </c>
      <c r="G237" s="4" t="str">
        <f t="shared" si="14"/>
        <v/>
      </c>
      <c r="H237" s="4" t="str">
        <f t="shared" si="15"/>
        <v/>
      </c>
    </row>
    <row r="238" spans="1:8">
      <c r="A238" s="5" t="str">
        <f t="shared" si="16"/>
        <v/>
      </c>
      <c r="B238" s="5" t="str">
        <f t="shared" si="0"/>
        <v/>
      </c>
      <c r="C238" s="33" t="str" cm="1">
        <f t="array" ref="C238">IF(ISNUMBER(A238),IF(A238=A237,INDEX(BackgroundCalcs!$AV$2:$AV$500,'Grading Formulas'!$A238),"Question Results"),"")</f>
        <v/>
      </c>
      <c r="D238" s="8" t="str" cm="1">
        <f t="array" ref="D238">IF(ISNUMBER($A238),IF(A238=A237,INDEX(BackgroundCalcs!$AW$2:$AW$500,'Grading Formulas'!$A238),"C"&amp;A238+9),"")</f>
        <v/>
      </c>
      <c r="E238" s="4" t="str" cm="1">
        <f t="array" ref="E238">IF(ISNUMBER($A238),IF(A238=A237,"Reference2(False,True,"&amp;INDEX(BackgroundCalcs!$AX$2:$AX$500,'Grading Formulas'!$A238)&amp;")","MOEValue(.0001)"),"")</f>
        <v/>
      </c>
      <c r="F238" s="4" t="str">
        <f t="shared" si="13"/>
        <v/>
      </c>
      <c r="G238" s="4" t="str">
        <f t="shared" si="14"/>
        <v/>
      </c>
      <c r="H238" s="4" t="str">
        <f t="shared" si="15"/>
        <v/>
      </c>
    </row>
    <row r="239" spans="1:8">
      <c r="A239" s="5" t="str">
        <f t="shared" si="16"/>
        <v/>
      </c>
      <c r="B239" s="5" t="str">
        <f t="shared" si="0"/>
        <v/>
      </c>
      <c r="C239" s="33" t="str" cm="1">
        <f t="array" ref="C239">IF(ISNUMBER(A239),IF(A239=A238,INDEX(BackgroundCalcs!$AV$2:$AV$500,'Grading Formulas'!$A239),"Question Results"),"")</f>
        <v/>
      </c>
      <c r="D239" s="8" t="str" cm="1">
        <f t="array" ref="D239">IF(ISNUMBER($A239),IF(A239=A238,INDEX(BackgroundCalcs!$AW$2:$AW$500,'Grading Formulas'!$A239),"C"&amp;A239+9),"")</f>
        <v/>
      </c>
      <c r="E239" s="4" t="str" cm="1">
        <f t="array" ref="E239">IF(ISNUMBER($A239),IF(A239=A238,"Reference2(False,True,"&amp;INDEX(BackgroundCalcs!$AX$2:$AX$500,'Grading Formulas'!$A239)&amp;")","MOEValue(.0001)"),"")</f>
        <v/>
      </c>
      <c r="F239" s="4" t="str">
        <f t="shared" si="13"/>
        <v/>
      </c>
      <c r="G239" s="4" t="str">
        <f t="shared" si="14"/>
        <v/>
      </c>
      <c r="H239" s="4" t="str">
        <f t="shared" si="15"/>
        <v/>
      </c>
    </row>
    <row r="240" spans="1:8">
      <c r="A240" s="5" t="str">
        <f t="shared" si="16"/>
        <v/>
      </c>
      <c r="B240" s="5" t="str">
        <f t="shared" si="0"/>
        <v/>
      </c>
      <c r="C240" s="33" t="str" cm="1">
        <f t="array" ref="C240">IF(ISNUMBER(A240),IF(A240=A239,INDEX(BackgroundCalcs!$AV$2:$AV$500,'Grading Formulas'!$A240),"Question Results"),"")</f>
        <v/>
      </c>
      <c r="D240" s="8" t="str" cm="1">
        <f t="array" ref="D240">IF(ISNUMBER($A240),IF(A240=A239,INDEX(BackgroundCalcs!$AW$2:$AW$500,'Grading Formulas'!$A240),"C"&amp;A240+9),"")</f>
        <v/>
      </c>
      <c r="E240" s="4" t="str" cm="1">
        <f t="array" ref="E240">IF(ISNUMBER($A240),IF(A240=A239,"Reference2(False,True,"&amp;INDEX(BackgroundCalcs!$AX$2:$AX$500,'Grading Formulas'!$A240)&amp;")","MOEValue(.0001)"),"")</f>
        <v/>
      </c>
      <c r="F240" s="4" t="str">
        <f t="shared" si="13"/>
        <v/>
      </c>
      <c r="G240" s="4" t="str">
        <f t="shared" si="14"/>
        <v/>
      </c>
      <c r="H240" s="4" t="str">
        <f t="shared" si="15"/>
        <v/>
      </c>
    </row>
    <row r="241" spans="1:8">
      <c r="A241" s="5" t="str">
        <f t="shared" si="16"/>
        <v/>
      </c>
      <c r="B241" s="5" t="str">
        <f t="shared" si="0"/>
        <v/>
      </c>
      <c r="C241" s="33" t="str" cm="1">
        <f t="array" ref="C241">IF(ISNUMBER(A241),IF(A241=A240,INDEX(BackgroundCalcs!$AV$2:$AV$500,'Grading Formulas'!$A241),"Question Results"),"")</f>
        <v/>
      </c>
      <c r="D241" s="8" t="str" cm="1">
        <f t="array" ref="D241">IF(ISNUMBER($A241),IF(A241=A240,INDEX(BackgroundCalcs!$AW$2:$AW$500,'Grading Formulas'!$A241),"C"&amp;A241+9),"")</f>
        <v/>
      </c>
      <c r="E241" s="4" t="str" cm="1">
        <f t="array" ref="E241">IF(ISNUMBER($A241),IF(A241=A240,"Reference2(False,True,"&amp;INDEX(BackgroundCalcs!$AX$2:$AX$500,'Grading Formulas'!$A241)&amp;")","MOEValue(.0001)"),"")</f>
        <v/>
      </c>
      <c r="F241" s="4" t="str">
        <f t="shared" si="13"/>
        <v/>
      </c>
      <c r="G241" s="4" t="str">
        <f t="shared" si="14"/>
        <v/>
      </c>
      <c r="H241" s="4" t="str">
        <f t="shared" si="15"/>
        <v/>
      </c>
    </row>
    <row r="242" spans="1:8">
      <c r="A242" s="5" t="str">
        <f t="shared" si="16"/>
        <v/>
      </c>
      <c r="B242" s="5" t="str">
        <f t="shared" si="0"/>
        <v/>
      </c>
      <c r="C242" s="33" t="str" cm="1">
        <f t="array" ref="C242">IF(ISNUMBER(A242),IF(A242=A241,INDEX(BackgroundCalcs!$AV$2:$AV$500,'Grading Formulas'!$A242),"Question Results"),"")</f>
        <v/>
      </c>
      <c r="D242" s="8" t="str" cm="1">
        <f t="array" ref="D242">IF(ISNUMBER($A242),IF(A242=A241,INDEX(BackgroundCalcs!$AW$2:$AW$500,'Grading Formulas'!$A242),"C"&amp;A242+9),"")</f>
        <v/>
      </c>
      <c r="E242" s="4" t="str" cm="1">
        <f t="array" ref="E242">IF(ISNUMBER($A242),IF(A242=A241,"Reference2(False,True,"&amp;INDEX(BackgroundCalcs!$AX$2:$AX$500,'Grading Formulas'!$A242)&amp;")","MOEValue(.0001)"),"")</f>
        <v/>
      </c>
      <c r="F242" s="4" t="str">
        <f t="shared" si="13"/>
        <v/>
      </c>
      <c r="G242" s="4" t="str">
        <f t="shared" si="14"/>
        <v/>
      </c>
      <c r="H242" s="4" t="str">
        <f t="shared" si="15"/>
        <v/>
      </c>
    </row>
    <row r="243" spans="1:8">
      <c r="A243" s="5" t="str">
        <f t="shared" si="16"/>
        <v/>
      </c>
      <c r="B243" s="5" t="str">
        <f t="shared" si="0"/>
        <v/>
      </c>
      <c r="C243" s="33" t="str" cm="1">
        <f t="array" ref="C243">IF(ISNUMBER(A243),IF(A243=A242,INDEX(BackgroundCalcs!$AV$2:$AV$500,'Grading Formulas'!$A243),"Question Results"),"")</f>
        <v/>
      </c>
      <c r="D243" s="8" t="str" cm="1">
        <f t="array" ref="D243">IF(ISNUMBER($A243),IF(A243=A242,INDEX(BackgroundCalcs!$AW$2:$AW$500,'Grading Formulas'!$A243),"C"&amp;A243+9),"")</f>
        <v/>
      </c>
      <c r="E243" s="4" t="str" cm="1">
        <f t="array" ref="E243">IF(ISNUMBER($A243),IF(A243=A242,"Reference2(False,True,"&amp;INDEX(BackgroundCalcs!$AX$2:$AX$500,'Grading Formulas'!$A243)&amp;")","MOEValue(.0001)"),"")</f>
        <v/>
      </c>
      <c r="F243" s="4" t="str">
        <f t="shared" si="13"/>
        <v/>
      </c>
      <c r="G243" s="4" t="str">
        <f t="shared" si="14"/>
        <v/>
      </c>
      <c r="H243" s="4" t="str">
        <f t="shared" si="15"/>
        <v/>
      </c>
    </row>
    <row r="244" spans="1:8">
      <c r="A244" s="5" t="str">
        <f t="shared" si="16"/>
        <v/>
      </c>
      <c r="B244" s="5" t="str">
        <f t="shared" si="0"/>
        <v/>
      </c>
      <c r="C244" s="33" t="str" cm="1">
        <f t="array" ref="C244">IF(ISNUMBER(A244),IF(A244=A243,INDEX(BackgroundCalcs!$AV$2:$AV$500,'Grading Formulas'!$A244),"Question Results"),"")</f>
        <v/>
      </c>
      <c r="D244" s="8" t="str" cm="1">
        <f t="array" ref="D244">IF(ISNUMBER($A244),IF(A244=A243,INDEX(BackgroundCalcs!$AW$2:$AW$500,'Grading Formulas'!$A244),"C"&amp;A244+9),"")</f>
        <v/>
      </c>
      <c r="E244" s="4" t="str" cm="1">
        <f t="array" ref="E244">IF(ISNUMBER($A244),IF(A244=A243,"Reference2(False,True,"&amp;INDEX(BackgroundCalcs!$AX$2:$AX$500,'Grading Formulas'!$A244)&amp;")","MOEValue(.0001)"),"")</f>
        <v/>
      </c>
      <c r="F244" s="4" t="str">
        <f t="shared" si="13"/>
        <v/>
      </c>
      <c r="G244" s="4" t="str">
        <f t="shared" si="14"/>
        <v/>
      </c>
      <c r="H244" s="4" t="str">
        <f t="shared" si="15"/>
        <v/>
      </c>
    </row>
    <row r="245" spans="1:8">
      <c r="A245" s="5" t="str">
        <f t="shared" si="16"/>
        <v/>
      </c>
      <c r="B245" s="5" t="str">
        <f t="shared" si="0"/>
        <v/>
      </c>
      <c r="C245" s="33" t="str" cm="1">
        <f t="array" ref="C245">IF(ISNUMBER(A245),IF(A245=A244,INDEX(BackgroundCalcs!$AV$2:$AV$500,'Grading Formulas'!$A245),"Question Results"),"")</f>
        <v/>
      </c>
      <c r="D245" s="8" t="str" cm="1">
        <f t="array" ref="D245">IF(ISNUMBER($A245),IF(A245=A244,INDEX(BackgroundCalcs!$AW$2:$AW$500,'Grading Formulas'!$A245),"C"&amp;A245+9),"")</f>
        <v/>
      </c>
      <c r="E245" s="4" t="str" cm="1">
        <f t="array" ref="E245">IF(ISNUMBER($A245),IF(A245=A244,"Reference2(False,True,"&amp;INDEX(BackgroundCalcs!$AX$2:$AX$500,'Grading Formulas'!$A245)&amp;")","MOEValue(.0001)"),"")</f>
        <v/>
      </c>
      <c r="F245" s="4" t="str">
        <f t="shared" si="13"/>
        <v/>
      </c>
      <c r="G245" s="4" t="str">
        <f t="shared" si="14"/>
        <v/>
      </c>
      <c r="H245" s="4" t="str">
        <f t="shared" si="15"/>
        <v/>
      </c>
    </row>
    <row r="246" spans="1:8">
      <c r="A246" s="5" t="str">
        <f t="shared" si="16"/>
        <v/>
      </c>
      <c r="B246" s="5" t="str">
        <f t="shared" si="0"/>
        <v/>
      </c>
      <c r="C246" s="33" t="str" cm="1">
        <f t="array" ref="C246">IF(ISNUMBER(A246),IF(A246=A245,INDEX(BackgroundCalcs!$AV$2:$AV$500,'Grading Formulas'!$A246),"Question Results"),"")</f>
        <v/>
      </c>
      <c r="D246" s="8" t="str" cm="1">
        <f t="array" ref="D246">IF(ISNUMBER($A246),IF(A246=A245,INDEX(BackgroundCalcs!$AW$2:$AW$500,'Grading Formulas'!$A246),"C"&amp;A246+9),"")</f>
        <v/>
      </c>
      <c r="E246" s="4" t="str" cm="1">
        <f t="array" ref="E246">IF(ISNUMBER($A246),IF(A246=A245,"Reference2(False,True,"&amp;INDEX(BackgroundCalcs!$AX$2:$AX$500,'Grading Formulas'!$A246)&amp;")","MOEValue(.0001)"),"")</f>
        <v/>
      </c>
      <c r="F246" s="4" t="str">
        <f t="shared" si="13"/>
        <v/>
      </c>
      <c r="G246" s="4" t="str">
        <f t="shared" si="14"/>
        <v/>
      </c>
      <c r="H246" s="4" t="str">
        <f t="shared" si="15"/>
        <v/>
      </c>
    </row>
    <row r="247" spans="1:8">
      <c r="A247" s="5" t="str">
        <f t="shared" si="16"/>
        <v/>
      </c>
      <c r="B247" s="5" t="str">
        <f t="shared" si="0"/>
        <v/>
      </c>
      <c r="C247" s="33" t="str" cm="1">
        <f t="array" ref="C247">IF(ISNUMBER(A247),IF(A247=A246,INDEX(BackgroundCalcs!$AV$2:$AV$500,'Grading Formulas'!$A247),"Question Results"),"")</f>
        <v/>
      </c>
      <c r="D247" s="8" t="str" cm="1">
        <f t="array" ref="D247">IF(ISNUMBER($A247),IF(A247=A246,INDEX(BackgroundCalcs!$AW$2:$AW$500,'Grading Formulas'!$A247),"C"&amp;A247+9),"")</f>
        <v/>
      </c>
      <c r="E247" s="4" t="str" cm="1">
        <f t="array" ref="E247">IF(ISNUMBER($A247),IF(A247=A246,"Reference2(False,True,"&amp;INDEX(BackgroundCalcs!$AX$2:$AX$500,'Grading Formulas'!$A247)&amp;")","MOEValue(.0001)"),"")</f>
        <v/>
      </c>
      <c r="F247" s="4" t="str">
        <f t="shared" si="13"/>
        <v/>
      </c>
      <c r="G247" s="4" t="str">
        <f t="shared" si="14"/>
        <v/>
      </c>
      <c r="H247" s="4" t="str">
        <f t="shared" si="15"/>
        <v/>
      </c>
    </row>
    <row r="248" spans="1:8">
      <c r="A248" s="5" t="str">
        <f t="shared" si="16"/>
        <v/>
      </c>
      <c r="B248" s="5" t="str">
        <f t="shared" si="0"/>
        <v/>
      </c>
      <c r="C248" s="33" t="str" cm="1">
        <f t="array" ref="C248">IF(ISNUMBER(A248),IF(A248=A247,INDEX(BackgroundCalcs!$AV$2:$AV$500,'Grading Formulas'!$A248),"Question Results"),"")</f>
        <v/>
      </c>
      <c r="D248" s="8" t="str" cm="1">
        <f t="array" ref="D248">IF(ISNUMBER($A248),IF(A248=A247,INDEX(BackgroundCalcs!$AW$2:$AW$500,'Grading Formulas'!$A248),"C"&amp;A248+9),"")</f>
        <v/>
      </c>
      <c r="E248" s="4" t="str" cm="1">
        <f t="array" ref="E248">IF(ISNUMBER($A248),IF(A248=A247,"Reference2(False,True,"&amp;INDEX(BackgroundCalcs!$AX$2:$AX$500,'Grading Formulas'!$A248)&amp;")","MOEValue(.0001)"),"")</f>
        <v/>
      </c>
      <c r="F248" s="4" t="str">
        <f t="shared" si="13"/>
        <v/>
      </c>
      <c r="G248" s="4" t="str">
        <f t="shared" si="14"/>
        <v/>
      </c>
      <c r="H248" s="4" t="str">
        <f t="shared" si="15"/>
        <v/>
      </c>
    </row>
    <row r="249" spans="1:8">
      <c r="A249" s="5" t="str">
        <f t="shared" si="16"/>
        <v/>
      </c>
      <c r="B249" s="5" t="str">
        <f t="shared" si="0"/>
        <v/>
      </c>
      <c r="C249" s="33" t="str" cm="1">
        <f t="array" ref="C249">IF(ISNUMBER(A249),IF(A249=A248,INDEX(BackgroundCalcs!$AV$2:$AV$500,'Grading Formulas'!$A249),"Question Results"),"")</f>
        <v/>
      </c>
      <c r="D249" s="8" t="str" cm="1">
        <f t="array" ref="D249">IF(ISNUMBER($A249),IF(A249=A248,INDEX(BackgroundCalcs!$AW$2:$AW$500,'Grading Formulas'!$A249),"C"&amp;A249+9),"")</f>
        <v/>
      </c>
      <c r="E249" s="4" t="str" cm="1">
        <f t="array" ref="E249">IF(ISNUMBER($A249),IF(A249=A248,"Reference2(False,True,"&amp;INDEX(BackgroundCalcs!$AX$2:$AX$500,'Grading Formulas'!$A249)&amp;")","MOEValue(.0001)"),"")</f>
        <v/>
      </c>
      <c r="F249" s="4" t="str">
        <f t="shared" si="13"/>
        <v/>
      </c>
      <c r="G249" s="4" t="str">
        <f t="shared" si="14"/>
        <v/>
      </c>
      <c r="H249" s="4" t="str">
        <f t="shared" si="15"/>
        <v/>
      </c>
    </row>
    <row r="250" spans="1:8">
      <c r="A250" s="5" t="str">
        <f t="shared" si="16"/>
        <v/>
      </c>
      <c r="B250" s="5" t="str">
        <f t="shared" si="0"/>
        <v/>
      </c>
      <c r="C250" s="33" t="str" cm="1">
        <f t="array" ref="C250">IF(ISNUMBER(A250),IF(A250=A249,INDEX(BackgroundCalcs!$AV$2:$AV$500,'Grading Formulas'!$A250),"Question Results"),"")</f>
        <v/>
      </c>
      <c r="D250" s="8" t="str" cm="1">
        <f t="array" ref="D250">IF(ISNUMBER($A250),IF(A250=A249,INDEX(BackgroundCalcs!$AW$2:$AW$500,'Grading Formulas'!$A250),"C"&amp;A250+9),"")</f>
        <v/>
      </c>
      <c r="E250" s="4" t="str" cm="1">
        <f t="array" ref="E250">IF(ISNUMBER($A250),IF(A250=A249,"Reference2(False,True,"&amp;INDEX(BackgroundCalcs!$AX$2:$AX$500,'Grading Formulas'!$A250)&amp;")","MOEValue(.0001)"),"")</f>
        <v/>
      </c>
      <c r="F250" s="4" t="str">
        <f t="shared" si="13"/>
        <v/>
      </c>
      <c r="G250" s="4" t="str">
        <f t="shared" si="14"/>
        <v/>
      </c>
      <c r="H250" s="4" t="str">
        <f t="shared" si="15"/>
        <v/>
      </c>
    </row>
    <row r="251" spans="1:8">
      <c r="A251" s="5" t="str">
        <f t="shared" si="16"/>
        <v/>
      </c>
      <c r="B251" s="5" t="str">
        <f t="shared" si="0"/>
        <v/>
      </c>
      <c r="C251" s="33" t="str" cm="1">
        <f t="array" ref="C251">IF(ISNUMBER(A251),IF(A251=A250,INDEX(BackgroundCalcs!$AV$2:$AV$500,'Grading Formulas'!$A251),"Question Results"),"")</f>
        <v/>
      </c>
      <c r="D251" s="8" t="str" cm="1">
        <f t="array" ref="D251">IF(ISNUMBER($A251),IF(A251=A250,INDEX(BackgroundCalcs!$AW$2:$AW$500,'Grading Formulas'!$A251),"C"&amp;A251+9),"")</f>
        <v/>
      </c>
      <c r="E251" s="4" t="str" cm="1">
        <f t="array" ref="E251">IF(ISNUMBER($A251),IF(A251=A250,"Reference2(False,True,"&amp;INDEX(BackgroundCalcs!$AX$2:$AX$500,'Grading Formulas'!$A251)&amp;")","MOEValue(.0001)"),"")</f>
        <v/>
      </c>
      <c r="F251" s="4" t="str">
        <f t="shared" si="13"/>
        <v/>
      </c>
      <c r="G251" s="4" t="str">
        <f t="shared" si="14"/>
        <v/>
      </c>
      <c r="H251" s="4" t="str">
        <f t="shared" si="15"/>
        <v/>
      </c>
    </row>
    <row r="252" spans="1:8">
      <c r="A252" s="5" t="str">
        <f t="shared" si="16"/>
        <v/>
      </c>
      <c r="B252" s="5" t="str">
        <f t="shared" si="0"/>
        <v/>
      </c>
      <c r="C252" s="33" t="str" cm="1">
        <f t="array" ref="C252">IF(ISNUMBER(A252),IF(A252=A251,INDEX(BackgroundCalcs!$AV$2:$AV$500,'Grading Formulas'!$A252),"Question Results"),"")</f>
        <v/>
      </c>
      <c r="D252" s="8" t="str" cm="1">
        <f t="array" ref="D252">IF(ISNUMBER($A252),IF(A252=A251,INDEX(BackgroundCalcs!$AW$2:$AW$500,'Grading Formulas'!$A252),"C"&amp;A252+9),"")</f>
        <v/>
      </c>
      <c r="E252" s="4" t="str" cm="1">
        <f t="array" ref="E252">IF(ISNUMBER($A252),IF(A252=A251,"Reference2(False,True,"&amp;INDEX(BackgroundCalcs!$AX$2:$AX$500,'Grading Formulas'!$A252)&amp;")","MOEValue(.0001)"),"")</f>
        <v/>
      </c>
      <c r="F252" s="4" t="str">
        <f t="shared" si="13"/>
        <v/>
      </c>
      <c r="G252" s="4" t="str">
        <f t="shared" si="14"/>
        <v/>
      </c>
      <c r="H252" s="4" t="str">
        <f t="shared" si="15"/>
        <v/>
      </c>
    </row>
    <row r="253" spans="1:8">
      <c r="A253" s="5" t="str">
        <f t="shared" si="16"/>
        <v/>
      </c>
      <c r="B253" s="5" t="str">
        <f t="shared" si="0"/>
        <v/>
      </c>
      <c r="C253" s="33" t="str" cm="1">
        <f t="array" ref="C253">IF(ISNUMBER(A253),IF(A253=A252,INDEX(BackgroundCalcs!$AV$2:$AV$500,'Grading Formulas'!$A253),"Question Results"),"")</f>
        <v/>
      </c>
      <c r="D253" s="8" t="str" cm="1">
        <f t="array" ref="D253">IF(ISNUMBER($A253),IF(A253=A252,INDEX(BackgroundCalcs!$AW$2:$AW$500,'Grading Formulas'!$A253),"C"&amp;A253+9),"")</f>
        <v/>
      </c>
      <c r="E253" s="4" t="str" cm="1">
        <f t="array" ref="E253">IF(ISNUMBER($A253),IF(A253=A252,"Reference2(False,True,"&amp;INDEX(BackgroundCalcs!$AX$2:$AX$500,'Grading Formulas'!$A253)&amp;")","MOEValue(.0001)"),"")</f>
        <v/>
      </c>
      <c r="F253" s="4" t="str">
        <f t="shared" si="13"/>
        <v/>
      </c>
      <c r="G253" s="4" t="str">
        <f t="shared" si="14"/>
        <v/>
      </c>
      <c r="H253" s="4" t="str">
        <f t="shared" si="15"/>
        <v/>
      </c>
    </row>
    <row r="254" spans="1:8">
      <c r="A254" s="5" t="str">
        <f t="shared" si="16"/>
        <v/>
      </c>
      <c r="B254" s="5" t="str">
        <f t="shared" si="0"/>
        <v/>
      </c>
      <c r="C254" s="33" t="str" cm="1">
        <f t="array" ref="C254">IF(ISNUMBER(A254),IF(A254=A253,INDEX(BackgroundCalcs!$AV$2:$AV$500,'Grading Formulas'!$A254),"Question Results"),"")</f>
        <v/>
      </c>
      <c r="D254" s="8" t="str" cm="1">
        <f t="array" ref="D254">IF(ISNUMBER($A254),IF(A254=A253,INDEX(BackgroundCalcs!$AW$2:$AW$500,'Grading Formulas'!$A254),"C"&amp;A254+9),"")</f>
        <v/>
      </c>
      <c r="E254" s="4" t="str" cm="1">
        <f t="array" ref="E254">IF(ISNUMBER($A254),IF(A254=A253,"Reference2(False,True,"&amp;INDEX(BackgroundCalcs!$AX$2:$AX$500,'Grading Formulas'!$A254)&amp;")","MOEValue(.0001)"),"")</f>
        <v/>
      </c>
      <c r="F254" s="4" t="str">
        <f t="shared" si="13"/>
        <v/>
      </c>
      <c r="G254" s="4" t="str">
        <f t="shared" si="14"/>
        <v/>
      </c>
      <c r="H254" s="4" t="str">
        <f t="shared" si="15"/>
        <v/>
      </c>
    </row>
    <row r="255" spans="1:8">
      <c r="A255" s="5" t="str">
        <f t="shared" si="16"/>
        <v/>
      </c>
      <c r="B255" s="5" t="str">
        <f t="shared" si="0"/>
        <v/>
      </c>
      <c r="C255" s="33" t="str" cm="1">
        <f t="array" ref="C255">IF(ISNUMBER(A255),IF(A255=A254,INDEX(BackgroundCalcs!$AV$2:$AV$500,'Grading Formulas'!$A255),"Question Results"),"")</f>
        <v/>
      </c>
      <c r="D255" s="8" t="str" cm="1">
        <f t="array" ref="D255">IF(ISNUMBER($A255),IF(A255=A254,INDEX(BackgroundCalcs!$AW$2:$AW$500,'Grading Formulas'!$A255),"C"&amp;A255+9),"")</f>
        <v/>
      </c>
      <c r="E255" s="4" t="str" cm="1">
        <f t="array" ref="E255">IF(ISNUMBER($A255),IF(A255=A254,"Reference2(False,True,"&amp;INDEX(BackgroundCalcs!$AX$2:$AX$500,'Grading Formulas'!$A255)&amp;")","MOEValue(.0001)"),"")</f>
        <v/>
      </c>
      <c r="F255" s="4" t="str">
        <f t="shared" si="13"/>
        <v/>
      </c>
      <c r="G255" s="4" t="str">
        <f t="shared" si="14"/>
        <v/>
      </c>
      <c r="H255" s="4" t="str">
        <f t="shared" si="15"/>
        <v/>
      </c>
    </row>
    <row r="256" spans="1:8">
      <c r="A256" s="5" t="str">
        <f t="shared" si="16"/>
        <v/>
      </c>
      <c r="B256" s="5" t="str">
        <f t="shared" si="0"/>
        <v/>
      </c>
      <c r="C256" s="33" t="str" cm="1">
        <f t="array" ref="C256">IF(ISNUMBER(A256),IF(A256=A255,INDEX(BackgroundCalcs!$AV$2:$AV$500,'Grading Formulas'!$A256),"Question Results"),"")</f>
        <v/>
      </c>
      <c r="D256" s="8" t="str" cm="1">
        <f t="array" ref="D256">IF(ISNUMBER($A256),IF(A256=A255,INDEX(BackgroundCalcs!$AW$2:$AW$500,'Grading Formulas'!$A256),"C"&amp;A256+9),"")</f>
        <v/>
      </c>
      <c r="E256" s="4" t="str" cm="1">
        <f t="array" ref="E256">IF(ISNUMBER($A256),IF(A256=A255,"Reference2(False,True,"&amp;INDEX(BackgroundCalcs!$AX$2:$AX$500,'Grading Formulas'!$A256)&amp;")","MOEValue(.0001)"),"")</f>
        <v/>
      </c>
      <c r="F256" s="4" t="str">
        <f t="shared" si="13"/>
        <v/>
      </c>
      <c r="G256" s="4" t="str">
        <f t="shared" si="14"/>
        <v/>
      </c>
      <c r="H256" s="4" t="str">
        <f t="shared" si="15"/>
        <v/>
      </c>
    </row>
    <row r="257" spans="1:8">
      <c r="A257" s="5" t="str">
        <f t="shared" si="16"/>
        <v/>
      </c>
      <c r="B257" s="5" t="str">
        <f t="shared" si="0"/>
        <v/>
      </c>
      <c r="C257" s="33" t="str" cm="1">
        <f t="array" ref="C257">IF(ISNUMBER(A257),IF(A257=A256,INDEX(BackgroundCalcs!$AV$2:$AV$500,'Grading Formulas'!$A257),"Question Results"),"")</f>
        <v/>
      </c>
      <c r="D257" s="8" t="str" cm="1">
        <f t="array" ref="D257">IF(ISNUMBER($A257),IF(A257=A256,INDEX(BackgroundCalcs!$AW$2:$AW$500,'Grading Formulas'!$A257),"C"&amp;A257+9),"")</f>
        <v/>
      </c>
      <c r="E257" s="4" t="str" cm="1">
        <f t="array" ref="E257">IF(ISNUMBER($A257),IF(A257=A256,"Reference2(False,True,"&amp;INDEX(BackgroundCalcs!$AX$2:$AX$500,'Grading Formulas'!$A257)&amp;")","MOEValue(.0001)"),"")</f>
        <v/>
      </c>
      <c r="F257" s="4" t="str">
        <f t="shared" si="13"/>
        <v/>
      </c>
      <c r="G257" s="4" t="str">
        <f t="shared" si="14"/>
        <v/>
      </c>
      <c r="H257" s="4" t="str">
        <f t="shared" si="15"/>
        <v/>
      </c>
    </row>
    <row r="258" spans="1:8">
      <c r="A258" s="5" t="str">
        <f t="shared" si="16"/>
        <v/>
      </c>
      <c r="B258" s="5" t="str">
        <f t="shared" ref="B258:B321" si="17">IF(ISNUMBER(A258),"CELL","")</f>
        <v/>
      </c>
      <c r="C258" s="33" t="str" cm="1">
        <f t="array" ref="C258">IF(ISNUMBER(A258),IF(A258=A257,INDEX(BackgroundCalcs!$AV$2:$AV$500,'Grading Formulas'!$A258),"Question Results"),"")</f>
        <v/>
      </c>
      <c r="D258" s="8" t="str" cm="1">
        <f t="array" ref="D258">IF(ISNUMBER($A258),IF(A258=A257,INDEX(BackgroundCalcs!$AW$2:$AW$500,'Grading Formulas'!$A258),"C"&amp;A258+9),"")</f>
        <v/>
      </c>
      <c r="E258" s="4" t="str" cm="1">
        <f t="array" ref="E258">IF(ISNUMBER($A258),IF(A258=A257,"Reference2(False,True,"&amp;INDEX(BackgroundCalcs!$AX$2:$AX$500,'Grading Formulas'!$A258)&amp;")","MOEValue(.0001)"),"")</f>
        <v/>
      </c>
      <c r="F258" s="4" t="str">
        <f t="shared" si="13"/>
        <v/>
      </c>
      <c r="G258" s="4" t="str">
        <f t="shared" si="14"/>
        <v/>
      </c>
      <c r="H258" s="4" t="str">
        <f t="shared" si="15"/>
        <v/>
      </c>
    </row>
    <row r="259" spans="1:8">
      <c r="A259" s="5" t="str">
        <f t="shared" si="16"/>
        <v/>
      </c>
      <c r="B259" s="5" t="str">
        <f t="shared" si="17"/>
        <v/>
      </c>
      <c r="C259" s="33" t="str" cm="1">
        <f t="array" ref="C259">IF(ISNUMBER(A259),IF(A259=A258,INDEX(BackgroundCalcs!$AV$2:$AV$500,'Grading Formulas'!$A259),"Question Results"),"")</f>
        <v/>
      </c>
      <c r="D259" s="8" t="str" cm="1">
        <f t="array" ref="D259">IF(ISNUMBER($A259),IF(A259=A258,INDEX(BackgroundCalcs!$AW$2:$AW$500,'Grading Formulas'!$A259),"C"&amp;A259+9),"")</f>
        <v/>
      </c>
      <c r="E259" s="4" t="str" cm="1">
        <f t="array" ref="E259">IF(ISNUMBER($A259),IF(A259=A258,"Reference2(False,True,"&amp;INDEX(BackgroundCalcs!$AX$2:$AX$500,'Grading Formulas'!$A259)&amp;")","MOEValue(.0001)"),"")</f>
        <v/>
      </c>
      <c r="F259" s="4" t="str">
        <f t="shared" ref="F259:F322" si="18">IF(ISNUMBER($A259),IF(A259=A258,-1000,1),"")</f>
        <v/>
      </c>
      <c r="G259" s="4" t="str">
        <f t="shared" ref="G259:G322" si="19">IF(ISNUMBER($A259),IF(A259=A258,"You should not be referencing the answer cell","Correct"),"")</f>
        <v/>
      </c>
      <c r="H259" s="4" t="str">
        <f t="shared" ref="H259:H322" si="20">IF(ISNUMBER($A259),IF(A259=A258,"N/A","Incorrect"),"")</f>
        <v/>
      </c>
    </row>
    <row r="260" spans="1:8">
      <c r="A260" s="5" t="str">
        <f t="shared" ref="A260:A323" si="21">IF(A258&lt;NumAnswers,A258+1,"")</f>
        <v/>
      </c>
      <c r="B260" s="5" t="str">
        <f t="shared" si="17"/>
        <v/>
      </c>
      <c r="C260" s="33" t="str" cm="1">
        <f t="array" ref="C260">IF(ISNUMBER(A260),IF(A260=A259,INDEX(BackgroundCalcs!$AV$2:$AV$500,'Grading Formulas'!$A260),"Question Results"),"")</f>
        <v/>
      </c>
      <c r="D260" s="8" t="str" cm="1">
        <f t="array" ref="D260">IF(ISNUMBER($A260),IF(A260=A259,INDEX(BackgroundCalcs!$AW$2:$AW$500,'Grading Formulas'!$A260),"C"&amp;A260+9),"")</f>
        <v/>
      </c>
      <c r="E260" s="4" t="str" cm="1">
        <f t="array" ref="E260">IF(ISNUMBER($A260),IF(A260=A259,"Reference2(False,True,"&amp;INDEX(BackgroundCalcs!$AX$2:$AX$500,'Grading Formulas'!$A260)&amp;")","MOEValue(.0001)"),"")</f>
        <v/>
      </c>
      <c r="F260" s="4" t="str">
        <f t="shared" si="18"/>
        <v/>
      </c>
      <c r="G260" s="4" t="str">
        <f t="shared" si="19"/>
        <v/>
      </c>
      <c r="H260" s="4" t="str">
        <f t="shared" si="20"/>
        <v/>
      </c>
    </row>
    <row r="261" spans="1:8">
      <c r="A261" s="5" t="str">
        <f t="shared" si="21"/>
        <v/>
      </c>
      <c r="B261" s="5" t="str">
        <f t="shared" si="17"/>
        <v/>
      </c>
      <c r="C261" s="33" t="str" cm="1">
        <f t="array" ref="C261">IF(ISNUMBER(A261),IF(A261=A260,INDEX(BackgroundCalcs!$AV$2:$AV$500,'Grading Formulas'!$A261),"Question Results"),"")</f>
        <v/>
      </c>
      <c r="D261" s="8" t="str" cm="1">
        <f t="array" ref="D261">IF(ISNUMBER($A261),IF(A261=A260,INDEX(BackgroundCalcs!$AW$2:$AW$500,'Grading Formulas'!$A261),"C"&amp;A261+9),"")</f>
        <v/>
      </c>
      <c r="E261" s="4" t="str" cm="1">
        <f t="array" ref="E261">IF(ISNUMBER($A261),IF(A261=A260,"Reference2(False,True,"&amp;INDEX(BackgroundCalcs!$AX$2:$AX$500,'Grading Formulas'!$A261)&amp;")","MOEValue(.0001)"),"")</f>
        <v/>
      </c>
      <c r="F261" s="4" t="str">
        <f t="shared" si="18"/>
        <v/>
      </c>
      <c r="G261" s="4" t="str">
        <f t="shared" si="19"/>
        <v/>
      </c>
      <c r="H261" s="4" t="str">
        <f t="shared" si="20"/>
        <v/>
      </c>
    </row>
    <row r="262" spans="1:8">
      <c r="A262" s="5" t="str">
        <f t="shared" si="21"/>
        <v/>
      </c>
      <c r="B262" s="5" t="str">
        <f t="shared" si="17"/>
        <v/>
      </c>
      <c r="C262" s="33" t="str" cm="1">
        <f t="array" ref="C262">IF(ISNUMBER(A262),IF(A262=A261,INDEX(BackgroundCalcs!$AV$2:$AV$500,'Grading Formulas'!$A262),"Question Results"),"")</f>
        <v/>
      </c>
      <c r="D262" s="8" t="str" cm="1">
        <f t="array" ref="D262">IF(ISNUMBER($A262),IF(A262=A261,INDEX(BackgroundCalcs!$AW$2:$AW$500,'Grading Formulas'!$A262),"C"&amp;A262+9),"")</f>
        <v/>
      </c>
      <c r="E262" s="4" t="str" cm="1">
        <f t="array" ref="E262">IF(ISNUMBER($A262),IF(A262=A261,"Reference2(False,True,"&amp;INDEX(BackgroundCalcs!$AX$2:$AX$500,'Grading Formulas'!$A262)&amp;")","MOEValue(.0001)"),"")</f>
        <v/>
      </c>
      <c r="F262" s="4" t="str">
        <f t="shared" si="18"/>
        <v/>
      </c>
      <c r="G262" s="4" t="str">
        <f t="shared" si="19"/>
        <v/>
      </c>
      <c r="H262" s="4" t="str">
        <f t="shared" si="20"/>
        <v/>
      </c>
    </row>
    <row r="263" spans="1:8">
      <c r="A263" s="5" t="str">
        <f t="shared" si="21"/>
        <v/>
      </c>
      <c r="B263" s="5" t="str">
        <f t="shared" si="17"/>
        <v/>
      </c>
      <c r="C263" s="33" t="str" cm="1">
        <f t="array" ref="C263">IF(ISNUMBER(A263),IF(A263=A262,INDEX(BackgroundCalcs!$AV$2:$AV$500,'Grading Formulas'!$A263),"Question Results"),"")</f>
        <v/>
      </c>
      <c r="D263" s="8" t="str" cm="1">
        <f t="array" ref="D263">IF(ISNUMBER($A263),IF(A263=A262,INDEX(BackgroundCalcs!$AW$2:$AW$500,'Grading Formulas'!$A263),"C"&amp;A263+9),"")</f>
        <v/>
      </c>
      <c r="E263" s="4" t="str" cm="1">
        <f t="array" ref="E263">IF(ISNUMBER($A263),IF(A263=A262,"Reference2(False,True,"&amp;INDEX(BackgroundCalcs!$AX$2:$AX$500,'Grading Formulas'!$A263)&amp;")","MOEValue(.0001)"),"")</f>
        <v/>
      </c>
      <c r="F263" s="4" t="str">
        <f t="shared" si="18"/>
        <v/>
      </c>
      <c r="G263" s="4" t="str">
        <f t="shared" si="19"/>
        <v/>
      </c>
      <c r="H263" s="4" t="str">
        <f t="shared" si="20"/>
        <v/>
      </c>
    </row>
    <row r="264" spans="1:8">
      <c r="A264" s="5" t="str">
        <f t="shared" si="21"/>
        <v/>
      </c>
      <c r="B264" s="5" t="str">
        <f t="shared" si="17"/>
        <v/>
      </c>
      <c r="C264" s="33" t="str" cm="1">
        <f t="array" ref="C264">IF(ISNUMBER(A264),IF(A264=A263,INDEX(BackgroundCalcs!$AV$2:$AV$500,'Grading Formulas'!$A264),"Question Results"),"")</f>
        <v/>
      </c>
      <c r="D264" s="8" t="str" cm="1">
        <f t="array" ref="D264">IF(ISNUMBER($A264),IF(A264=A263,INDEX(BackgroundCalcs!$AW$2:$AW$500,'Grading Formulas'!$A264),"C"&amp;A264+9),"")</f>
        <v/>
      </c>
      <c r="E264" s="4" t="str" cm="1">
        <f t="array" ref="E264">IF(ISNUMBER($A264),IF(A264=A263,"Reference2(False,True,"&amp;INDEX(BackgroundCalcs!$AX$2:$AX$500,'Grading Formulas'!$A264)&amp;")","MOEValue(.0001)"),"")</f>
        <v/>
      </c>
      <c r="F264" s="4" t="str">
        <f t="shared" si="18"/>
        <v/>
      </c>
      <c r="G264" s="4" t="str">
        <f t="shared" si="19"/>
        <v/>
      </c>
      <c r="H264" s="4" t="str">
        <f t="shared" si="20"/>
        <v/>
      </c>
    </row>
    <row r="265" spans="1:8">
      <c r="A265" s="5" t="str">
        <f t="shared" si="21"/>
        <v/>
      </c>
      <c r="B265" s="5" t="str">
        <f t="shared" si="17"/>
        <v/>
      </c>
      <c r="C265" s="33" t="str" cm="1">
        <f t="array" ref="C265">IF(ISNUMBER(A265),IF(A265=A264,INDEX(BackgroundCalcs!$AV$2:$AV$500,'Grading Formulas'!$A265),"Question Results"),"")</f>
        <v/>
      </c>
      <c r="D265" s="8" t="str" cm="1">
        <f t="array" ref="D265">IF(ISNUMBER($A265),IF(A265=A264,INDEX(BackgroundCalcs!$AW$2:$AW$500,'Grading Formulas'!$A265),"C"&amp;A265+9),"")</f>
        <v/>
      </c>
      <c r="E265" s="4" t="str" cm="1">
        <f t="array" ref="E265">IF(ISNUMBER($A265),IF(A265=A264,"Reference2(False,True,"&amp;INDEX(BackgroundCalcs!$AX$2:$AX$500,'Grading Formulas'!$A265)&amp;")","MOEValue(.0001)"),"")</f>
        <v/>
      </c>
      <c r="F265" s="4" t="str">
        <f t="shared" si="18"/>
        <v/>
      </c>
      <c r="G265" s="4" t="str">
        <f t="shared" si="19"/>
        <v/>
      </c>
      <c r="H265" s="4" t="str">
        <f t="shared" si="20"/>
        <v/>
      </c>
    </row>
    <row r="266" spans="1:8">
      <c r="A266" s="5" t="str">
        <f t="shared" si="21"/>
        <v/>
      </c>
      <c r="B266" s="5" t="str">
        <f t="shared" si="17"/>
        <v/>
      </c>
      <c r="C266" s="33" t="str" cm="1">
        <f t="array" ref="C266">IF(ISNUMBER(A266),IF(A266=A265,INDEX(BackgroundCalcs!$AV$2:$AV$500,'Grading Formulas'!$A266),"Question Results"),"")</f>
        <v/>
      </c>
      <c r="D266" s="8" t="str" cm="1">
        <f t="array" ref="D266">IF(ISNUMBER($A266),IF(A266=A265,INDEX(BackgroundCalcs!$AW$2:$AW$500,'Grading Formulas'!$A266),"C"&amp;A266+9),"")</f>
        <v/>
      </c>
      <c r="E266" s="4" t="str" cm="1">
        <f t="array" ref="E266">IF(ISNUMBER($A266),IF(A266=A265,"Reference2(False,True,"&amp;INDEX(BackgroundCalcs!$AX$2:$AX$500,'Grading Formulas'!$A266)&amp;")","MOEValue(.0001)"),"")</f>
        <v/>
      </c>
      <c r="F266" s="4" t="str">
        <f t="shared" si="18"/>
        <v/>
      </c>
      <c r="G266" s="4" t="str">
        <f t="shared" si="19"/>
        <v/>
      </c>
      <c r="H266" s="4" t="str">
        <f t="shared" si="20"/>
        <v/>
      </c>
    </row>
    <row r="267" spans="1:8">
      <c r="A267" s="5" t="str">
        <f t="shared" si="21"/>
        <v/>
      </c>
      <c r="B267" s="5" t="str">
        <f t="shared" si="17"/>
        <v/>
      </c>
      <c r="C267" s="33" t="str" cm="1">
        <f t="array" ref="C267">IF(ISNUMBER(A267),IF(A267=A266,INDEX(BackgroundCalcs!$AV$2:$AV$500,'Grading Formulas'!$A267),"Question Results"),"")</f>
        <v/>
      </c>
      <c r="D267" s="8" t="str" cm="1">
        <f t="array" ref="D267">IF(ISNUMBER($A267),IF(A267=A266,INDEX(BackgroundCalcs!$AW$2:$AW$500,'Grading Formulas'!$A267),"C"&amp;A267+9),"")</f>
        <v/>
      </c>
      <c r="E267" s="4" t="str" cm="1">
        <f t="array" ref="E267">IF(ISNUMBER($A267),IF(A267=A266,"Reference2(False,True,"&amp;INDEX(BackgroundCalcs!$AX$2:$AX$500,'Grading Formulas'!$A267)&amp;")","MOEValue(.0001)"),"")</f>
        <v/>
      </c>
      <c r="F267" s="4" t="str">
        <f t="shared" si="18"/>
        <v/>
      </c>
      <c r="G267" s="4" t="str">
        <f t="shared" si="19"/>
        <v/>
      </c>
      <c r="H267" s="4" t="str">
        <f t="shared" si="20"/>
        <v/>
      </c>
    </row>
    <row r="268" spans="1:8">
      <c r="A268" s="5" t="str">
        <f t="shared" si="21"/>
        <v/>
      </c>
      <c r="B268" s="5" t="str">
        <f t="shared" si="17"/>
        <v/>
      </c>
      <c r="C268" s="33" t="str" cm="1">
        <f t="array" ref="C268">IF(ISNUMBER(A268),IF(A268=A267,INDEX(BackgroundCalcs!$AV$2:$AV$500,'Grading Formulas'!$A268),"Question Results"),"")</f>
        <v/>
      </c>
      <c r="D268" s="8" t="str" cm="1">
        <f t="array" ref="D268">IF(ISNUMBER($A268),IF(A268=A267,INDEX(BackgroundCalcs!$AW$2:$AW$500,'Grading Formulas'!$A268),"C"&amp;A268+9),"")</f>
        <v/>
      </c>
      <c r="E268" s="4" t="str" cm="1">
        <f t="array" ref="E268">IF(ISNUMBER($A268),IF(A268=A267,"Reference2(False,True,"&amp;INDEX(BackgroundCalcs!$AX$2:$AX$500,'Grading Formulas'!$A268)&amp;")","MOEValue(.0001)"),"")</f>
        <v/>
      </c>
      <c r="F268" s="4" t="str">
        <f t="shared" si="18"/>
        <v/>
      </c>
      <c r="G268" s="4" t="str">
        <f t="shared" si="19"/>
        <v/>
      </c>
      <c r="H268" s="4" t="str">
        <f t="shared" si="20"/>
        <v/>
      </c>
    </row>
    <row r="269" spans="1:8">
      <c r="A269" s="5" t="str">
        <f t="shared" si="21"/>
        <v/>
      </c>
      <c r="B269" s="5" t="str">
        <f t="shared" si="17"/>
        <v/>
      </c>
      <c r="C269" s="33" t="str" cm="1">
        <f t="array" ref="C269">IF(ISNUMBER(A269),IF(A269=A268,INDEX(BackgroundCalcs!$AV$2:$AV$500,'Grading Formulas'!$A269),"Question Results"),"")</f>
        <v/>
      </c>
      <c r="D269" s="8" t="str" cm="1">
        <f t="array" ref="D269">IF(ISNUMBER($A269),IF(A269=A268,INDEX(BackgroundCalcs!$AW$2:$AW$500,'Grading Formulas'!$A269),"C"&amp;A269+9),"")</f>
        <v/>
      </c>
      <c r="E269" s="4" t="str" cm="1">
        <f t="array" ref="E269">IF(ISNUMBER($A269),IF(A269=A268,"Reference2(False,True,"&amp;INDEX(BackgroundCalcs!$AX$2:$AX$500,'Grading Formulas'!$A269)&amp;")","MOEValue(.0001)"),"")</f>
        <v/>
      </c>
      <c r="F269" s="4" t="str">
        <f t="shared" si="18"/>
        <v/>
      </c>
      <c r="G269" s="4" t="str">
        <f t="shared" si="19"/>
        <v/>
      </c>
      <c r="H269" s="4" t="str">
        <f t="shared" si="20"/>
        <v/>
      </c>
    </row>
    <row r="270" spans="1:8">
      <c r="A270" s="5" t="str">
        <f t="shared" si="21"/>
        <v/>
      </c>
      <c r="B270" s="5" t="str">
        <f t="shared" si="17"/>
        <v/>
      </c>
      <c r="C270" s="33" t="str" cm="1">
        <f t="array" ref="C270">IF(ISNUMBER(A270),IF(A270=A269,INDEX(BackgroundCalcs!$AV$2:$AV$500,'Grading Formulas'!$A270),"Question Results"),"")</f>
        <v/>
      </c>
      <c r="D270" s="8" t="str" cm="1">
        <f t="array" ref="D270">IF(ISNUMBER($A270),IF(A270=A269,INDEX(BackgroundCalcs!$AW$2:$AW$500,'Grading Formulas'!$A270),"C"&amp;A270+9),"")</f>
        <v/>
      </c>
      <c r="E270" s="4" t="str" cm="1">
        <f t="array" ref="E270">IF(ISNUMBER($A270),IF(A270=A269,"Reference2(False,True,"&amp;INDEX(BackgroundCalcs!$AX$2:$AX$500,'Grading Formulas'!$A270)&amp;")","MOEValue(.0001)"),"")</f>
        <v/>
      </c>
      <c r="F270" s="4" t="str">
        <f t="shared" si="18"/>
        <v/>
      </c>
      <c r="G270" s="4" t="str">
        <f t="shared" si="19"/>
        <v/>
      </c>
      <c r="H270" s="4" t="str">
        <f t="shared" si="20"/>
        <v/>
      </c>
    </row>
    <row r="271" spans="1:8">
      <c r="A271" s="5" t="str">
        <f t="shared" si="21"/>
        <v/>
      </c>
      <c r="B271" s="5" t="str">
        <f t="shared" si="17"/>
        <v/>
      </c>
      <c r="C271" s="33" t="str" cm="1">
        <f t="array" ref="C271">IF(ISNUMBER(A271),IF(A271=A270,INDEX(BackgroundCalcs!$AV$2:$AV$500,'Grading Formulas'!$A271),"Question Results"),"")</f>
        <v/>
      </c>
      <c r="D271" s="8" t="str" cm="1">
        <f t="array" ref="D271">IF(ISNUMBER($A271),IF(A271=A270,INDEX(BackgroundCalcs!$AW$2:$AW$500,'Grading Formulas'!$A271),"C"&amp;A271+9),"")</f>
        <v/>
      </c>
      <c r="E271" s="4" t="str" cm="1">
        <f t="array" ref="E271">IF(ISNUMBER($A271),IF(A271=A270,"Reference2(False,True,"&amp;INDEX(BackgroundCalcs!$AX$2:$AX$500,'Grading Formulas'!$A271)&amp;")","MOEValue(.0001)"),"")</f>
        <v/>
      </c>
      <c r="F271" s="4" t="str">
        <f t="shared" si="18"/>
        <v/>
      </c>
      <c r="G271" s="4" t="str">
        <f t="shared" si="19"/>
        <v/>
      </c>
      <c r="H271" s="4" t="str">
        <f t="shared" si="20"/>
        <v/>
      </c>
    </row>
    <row r="272" spans="1:8">
      <c r="A272" s="5" t="str">
        <f t="shared" si="21"/>
        <v/>
      </c>
      <c r="B272" s="5" t="str">
        <f t="shared" si="17"/>
        <v/>
      </c>
      <c r="C272" s="33" t="str" cm="1">
        <f t="array" ref="C272">IF(ISNUMBER(A272),IF(A272=A271,INDEX(BackgroundCalcs!$AV$2:$AV$500,'Grading Formulas'!$A272),"Question Results"),"")</f>
        <v/>
      </c>
      <c r="D272" s="8" t="str" cm="1">
        <f t="array" ref="D272">IF(ISNUMBER($A272),IF(A272=A271,INDEX(BackgroundCalcs!$AW$2:$AW$500,'Grading Formulas'!$A272),"C"&amp;A272+9),"")</f>
        <v/>
      </c>
      <c r="E272" s="4" t="str" cm="1">
        <f t="array" ref="E272">IF(ISNUMBER($A272),IF(A272=A271,"Reference2(False,True,"&amp;INDEX(BackgroundCalcs!$AX$2:$AX$500,'Grading Formulas'!$A272)&amp;")","MOEValue(.0001)"),"")</f>
        <v/>
      </c>
      <c r="F272" s="4" t="str">
        <f t="shared" si="18"/>
        <v/>
      </c>
      <c r="G272" s="4" t="str">
        <f t="shared" si="19"/>
        <v/>
      </c>
      <c r="H272" s="4" t="str">
        <f t="shared" si="20"/>
        <v/>
      </c>
    </row>
    <row r="273" spans="1:8">
      <c r="A273" s="5" t="str">
        <f t="shared" si="21"/>
        <v/>
      </c>
      <c r="B273" s="5" t="str">
        <f t="shared" si="17"/>
        <v/>
      </c>
      <c r="C273" s="33" t="str" cm="1">
        <f t="array" ref="C273">IF(ISNUMBER(A273),IF(A273=A272,INDEX(BackgroundCalcs!$AV$2:$AV$500,'Grading Formulas'!$A273),"Question Results"),"")</f>
        <v/>
      </c>
      <c r="D273" s="8" t="str" cm="1">
        <f t="array" ref="D273">IF(ISNUMBER($A273),IF(A273=A272,INDEX(BackgroundCalcs!$AW$2:$AW$500,'Grading Formulas'!$A273),"C"&amp;A273+9),"")</f>
        <v/>
      </c>
      <c r="E273" s="4" t="str" cm="1">
        <f t="array" ref="E273">IF(ISNUMBER($A273),IF(A273=A272,"Reference2(False,True,"&amp;INDEX(BackgroundCalcs!$AX$2:$AX$500,'Grading Formulas'!$A273)&amp;")","MOEValue(.0001)"),"")</f>
        <v/>
      </c>
      <c r="F273" s="4" t="str">
        <f t="shared" si="18"/>
        <v/>
      </c>
      <c r="G273" s="4" t="str">
        <f t="shared" si="19"/>
        <v/>
      </c>
      <c r="H273" s="4" t="str">
        <f t="shared" si="20"/>
        <v/>
      </c>
    </row>
    <row r="274" spans="1:8">
      <c r="A274" s="5" t="str">
        <f t="shared" si="21"/>
        <v/>
      </c>
      <c r="B274" s="5" t="str">
        <f t="shared" si="17"/>
        <v/>
      </c>
      <c r="C274" s="33" t="str" cm="1">
        <f t="array" ref="C274">IF(ISNUMBER(A274),IF(A274=A273,INDEX(BackgroundCalcs!$AV$2:$AV$500,'Grading Formulas'!$A274),"Question Results"),"")</f>
        <v/>
      </c>
      <c r="D274" s="8" t="str" cm="1">
        <f t="array" ref="D274">IF(ISNUMBER($A274),IF(A274=A273,INDEX(BackgroundCalcs!$AW$2:$AW$500,'Grading Formulas'!$A274),"C"&amp;A274+9),"")</f>
        <v/>
      </c>
      <c r="E274" s="4" t="str" cm="1">
        <f t="array" ref="E274">IF(ISNUMBER($A274),IF(A274=A273,"Reference2(False,True,"&amp;INDEX(BackgroundCalcs!$AX$2:$AX$500,'Grading Formulas'!$A274)&amp;")","MOEValue(.0001)"),"")</f>
        <v/>
      </c>
      <c r="F274" s="4" t="str">
        <f t="shared" si="18"/>
        <v/>
      </c>
      <c r="G274" s="4" t="str">
        <f t="shared" si="19"/>
        <v/>
      </c>
      <c r="H274" s="4" t="str">
        <f t="shared" si="20"/>
        <v/>
      </c>
    </row>
    <row r="275" spans="1:8">
      <c r="A275" s="5" t="str">
        <f t="shared" si="21"/>
        <v/>
      </c>
      <c r="B275" s="5" t="str">
        <f t="shared" si="17"/>
        <v/>
      </c>
      <c r="C275" s="33" t="str" cm="1">
        <f t="array" ref="C275">IF(ISNUMBER(A275),IF(A275=A274,INDEX(BackgroundCalcs!$AV$2:$AV$500,'Grading Formulas'!$A275),"Question Results"),"")</f>
        <v/>
      </c>
      <c r="D275" s="8" t="str" cm="1">
        <f t="array" ref="D275">IF(ISNUMBER($A275),IF(A275=A274,INDEX(BackgroundCalcs!$AW$2:$AW$500,'Grading Formulas'!$A275),"C"&amp;A275+9),"")</f>
        <v/>
      </c>
      <c r="E275" s="4" t="str" cm="1">
        <f t="array" ref="E275">IF(ISNUMBER($A275),IF(A275=A274,"Reference2(False,True,"&amp;INDEX(BackgroundCalcs!$AX$2:$AX$500,'Grading Formulas'!$A275)&amp;")","MOEValue(.0001)"),"")</f>
        <v/>
      </c>
      <c r="F275" s="4" t="str">
        <f t="shared" si="18"/>
        <v/>
      </c>
      <c r="G275" s="4" t="str">
        <f t="shared" si="19"/>
        <v/>
      </c>
      <c r="H275" s="4" t="str">
        <f t="shared" si="20"/>
        <v/>
      </c>
    </row>
    <row r="276" spans="1:8">
      <c r="A276" s="5" t="str">
        <f t="shared" si="21"/>
        <v/>
      </c>
      <c r="B276" s="5" t="str">
        <f t="shared" si="17"/>
        <v/>
      </c>
      <c r="C276" s="33" t="str" cm="1">
        <f t="array" ref="C276">IF(ISNUMBER(A276),IF(A276=A275,INDEX(BackgroundCalcs!$AV$2:$AV$500,'Grading Formulas'!$A276),"Question Results"),"")</f>
        <v/>
      </c>
      <c r="D276" s="8" t="str" cm="1">
        <f t="array" ref="D276">IF(ISNUMBER($A276),IF(A276=A275,INDEX(BackgroundCalcs!$AW$2:$AW$500,'Grading Formulas'!$A276),"C"&amp;A276+9),"")</f>
        <v/>
      </c>
      <c r="E276" s="4" t="str" cm="1">
        <f t="array" ref="E276">IF(ISNUMBER($A276),IF(A276=A275,"Reference2(False,True,"&amp;INDEX(BackgroundCalcs!$AX$2:$AX$500,'Grading Formulas'!$A276)&amp;")","MOEValue(.0001)"),"")</f>
        <v/>
      </c>
      <c r="F276" s="4" t="str">
        <f t="shared" si="18"/>
        <v/>
      </c>
      <c r="G276" s="4" t="str">
        <f t="shared" si="19"/>
        <v/>
      </c>
      <c r="H276" s="4" t="str">
        <f t="shared" si="20"/>
        <v/>
      </c>
    </row>
    <row r="277" spans="1:8">
      <c r="A277" s="5" t="str">
        <f t="shared" si="21"/>
        <v/>
      </c>
      <c r="B277" s="5" t="str">
        <f t="shared" si="17"/>
        <v/>
      </c>
      <c r="C277" s="33" t="str" cm="1">
        <f t="array" ref="C277">IF(ISNUMBER(A277),IF(A277=A276,INDEX(BackgroundCalcs!$AV$2:$AV$500,'Grading Formulas'!$A277),"Question Results"),"")</f>
        <v/>
      </c>
      <c r="D277" s="8" t="str" cm="1">
        <f t="array" ref="D277">IF(ISNUMBER($A277),IF(A277=A276,INDEX(BackgroundCalcs!$AW$2:$AW$500,'Grading Formulas'!$A277),"C"&amp;A277+9),"")</f>
        <v/>
      </c>
      <c r="E277" s="4" t="str" cm="1">
        <f t="array" ref="E277">IF(ISNUMBER($A277),IF(A277=A276,"Reference2(False,True,"&amp;INDEX(BackgroundCalcs!$AX$2:$AX$500,'Grading Formulas'!$A277)&amp;")","MOEValue(.0001)"),"")</f>
        <v/>
      </c>
      <c r="F277" s="4" t="str">
        <f t="shared" si="18"/>
        <v/>
      </c>
      <c r="G277" s="4" t="str">
        <f t="shared" si="19"/>
        <v/>
      </c>
      <c r="H277" s="4" t="str">
        <f t="shared" si="20"/>
        <v/>
      </c>
    </row>
    <row r="278" spans="1:8">
      <c r="A278" s="5" t="str">
        <f t="shared" si="21"/>
        <v/>
      </c>
      <c r="B278" s="5" t="str">
        <f t="shared" si="17"/>
        <v/>
      </c>
      <c r="C278" s="33" t="str" cm="1">
        <f t="array" ref="C278">IF(ISNUMBER(A278),IF(A278=A277,INDEX(BackgroundCalcs!$AV$2:$AV$500,'Grading Formulas'!$A278),"Question Results"),"")</f>
        <v/>
      </c>
      <c r="D278" s="8" t="str" cm="1">
        <f t="array" ref="D278">IF(ISNUMBER($A278),IF(A278=A277,INDEX(BackgroundCalcs!$AW$2:$AW$500,'Grading Formulas'!$A278),"C"&amp;A278+9),"")</f>
        <v/>
      </c>
      <c r="E278" s="4" t="str" cm="1">
        <f t="array" ref="E278">IF(ISNUMBER($A278),IF(A278=A277,"Reference2(False,True,"&amp;INDEX(BackgroundCalcs!$AX$2:$AX$500,'Grading Formulas'!$A278)&amp;")","MOEValue(.0001)"),"")</f>
        <v/>
      </c>
      <c r="F278" s="4" t="str">
        <f t="shared" si="18"/>
        <v/>
      </c>
      <c r="G278" s="4" t="str">
        <f t="shared" si="19"/>
        <v/>
      </c>
      <c r="H278" s="4" t="str">
        <f t="shared" si="20"/>
        <v/>
      </c>
    </row>
    <row r="279" spans="1:8">
      <c r="A279" s="5" t="str">
        <f t="shared" si="21"/>
        <v/>
      </c>
      <c r="B279" s="5" t="str">
        <f t="shared" si="17"/>
        <v/>
      </c>
      <c r="C279" s="33" t="str" cm="1">
        <f t="array" ref="C279">IF(ISNUMBER(A279),IF(A279=A278,INDEX(BackgroundCalcs!$AV$2:$AV$500,'Grading Formulas'!$A279),"Question Results"),"")</f>
        <v/>
      </c>
      <c r="D279" s="8" t="str" cm="1">
        <f t="array" ref="D279">IF(ISNUMBER($A279),IF(A279=A278,INDEX(BackgroundCalcs!$AW$2:$AW$500,'Grading Formulas'!$A279),"C"&amp;A279+9),"")</f>
        <v/>
      </c>
      <c r="E279" s="4" t="str" cm="1">
        <f t="array" ref="E279">IF(ISNUMBER($A279),IF(A279=A278,"Reference2(False,True,"&amp;INDEX(BackgroundCalcs!$AX$2:$AX$500,'Grading Formulas'!$A279)&amp;")","MOEValue(.0001)"),"")</f>
        <v/>
      </c>
      <c r="F279" s="4" t="str">
        <f t="shared" si="18"/>
        <v/>
      </c>
      <c r="G279" s="4" t="str">
        <f t="shared" si="19"/>
        <v/>
      </c>
      <c r="H279" s="4" t="str">
        <f t="shared" si="20"/>
        <v/>
      </c>
    </row>
    <row r="280" spans="1:8">
      <c r="A280" s="5" t="str">
        <f t="shared" si="21"/>
        <v/>
      </c>
      <c r="B280" s="5" t="str">
        <f t="shared" si="17"/>
        <v/>
      </c>
      <c r="C280" s="33" t="str" cm="1">
        <f t="array" ref="C280">IF(ISNUMBER(A280),IF(A280=A279,INDEX(BackgroundCalcs!$AV$2:$AV$500,'Grading Formulas'!$A280),"Question Results"),"")</f>
        <v/>
      </c>
      <c r="D280" s="8" t="str" cm="1">
        <f t="array" ref="D280">IF(ISNUMBER($A280),IF(A280=A279,INDEX(BackgroundCalcs!$AW$2:$AW$500,'Grading Formulas'!$A280),"C"&amp;A280+9),"")</f>
        <v/>
      </c>
      <c r="E280" s="4" t="str" cm="1">
        <f t="array" ref="E280">IF(ISNUMBER($A280),IF(A280=A279,"Reference2(False,True,"&amp;INDEX(BackgroundCalcs!$AX$2:$AX$500,'Grading Formulas'!$A280)&amp;")","MOEValue(.0001)"),"")</f>
        <v/>
      </c>
      <c r="F280" s="4" t="str">
        <f t="shared" si="18"/>
        <v/>
      </c>
      <c r="G280" s="4" t="str">
        <f t="shared" si="19"/>
        <v/>
      </c>
      <c r="H280" s="4" t="str">
        <f t="shared" si="20"/>
        <v/>
      </c>
    </row>
    <row r="281" spans="1:8">
      <c r="A281" s="5" t="str">
        <f t="shared" si="21"/>
        <v/>
      </c>
      <c r="B281" s="5" t="str">
        <f t="shared" si="17"/>
        <v/>
      </c>
      <c r="C281" s="33" t="str" cm="1">
        <f t="array" ref="C281">IF(ISNUMBER(A281),IF(A281=A280,INDEX(BackgroundCalcs!$AV$2:$AV$500,'Grading Formulas'!$A281),"Question Results"),"")</f>
        <v/>
      </c>
      <c r="D281" s="8" t="str" cm="1">
        <f t="array" ref="D281">IF(ISNUMBER($A281),IF(A281=A280,INDEX(BackgroundCalcs!$AW$2:$AW$500,'Grading Formulas'!$A281),"C"&amp;A281+9),"")</f>
        <v/>
      </c>
      <c r="E281" s="4" t="str" cm="1">
        <f t="array" ref="E281">IF(ISNUMBER($A281),IF(A281=A280,"Reference2(False,True,"&amp;INDEX(BackgroundCalcs!$AX$2:$AX$500,'Grading Formulas'!$A281)&amp;")","MOEValue(.0001)"),"")</f>
        <v/>
      </c>
      <c r="F281" s="4" t="str">
        <f t="shared" si="18"/>
        <v/>
      </c>
      <c r="G281" s="4" t="str">
        <f t="shared" si="19"/>
        <v/>
      </c>
      <c r="H281" s="4" t="str">
        <f t="shared" si="20"/>
        <v/>
      </c>
    </row>
    <row r="282" spans="1:8">
      <c r="A282" s="5" t="str">
        <f t="shared" si="21"/>
        <v/>
      </c>
      <c r="B282" s="5" t="str">
        <f t="shared" si="17"/>
        <v/>
      </c>
      <c r="C282" s="33" t="str" cm="1">
        <f t="array" ref="C282">IF(ISNUMBER(A282),IF(A282=A281,INDEX(BackgroundCalcs!$AV$2:$AV$500,'Grading Formulas'!$A282),"Question Results"),"")</f>
        <v/>
      </c>
      <c r="D282" s="8" t="str" cm="1">
        <f t="array" ref="D282">IF(ISNUMBER($A282),IF(A282=A281,INDEX(BackgroundCalcs!$AW$2:$AW$500,'Grading Formulas'!$A282),"C"&amp;A282+9),"")</f>
        <v/>
      </c>
      <c r="E282" s="4" t="str" cm="1">
        <f t="array" ref="E282">IF(ISNUMBER($A282),IF(A282=A281,"Reference2(False,True,"&amp;INDEX(BackgroundCalcs!$AX$2:$AX$500,'Grading Formulas'!$A282)&amp;")","MOEValue(.0001)"),"")</f>
        <v/>
      </c>
      <c r="F282" s="4" t="str">
        <f t="shared" si="18"/>
        <v/>
      </c>
      <c r="G282" s="4" t="str">
        <f t="shared" si="19"/>
        <v/>
      </c>
      <c r="H282" s="4" t="str">
        <f t="shared" si="20"/>
        <v/>
      </c>
    </row>
    <row r="283" spans="1:8">
      <c r="A283" s="5" t="str">
        <f t="shared" si="21"/>
        <v/>
      </c>
      <c r="B283" s="5" t="str">
        <f t="shared" si="17"/>
        <v/>
      </c>
      <c r="C283" s="33" t="str" cm="1">
        <f t="array" ref="C283">IF(ISNUMBER(A283),IF(A283=A282,INDEX(BackgroundCalcs!$AV$2:$AV$500,'Grading Formulas'!$A283),"Question Results"),"")</f>
        <v/>
      </c>
      <c r="D283" s="8" t="str" cm="1">
        <f t="array" ref="D283">IF(ISNUMBER($A283),IF(A283=A282,INDEX(BackgroundCalcs!$AW$2:$AW$500,'Grading Formulas'!$A283),"C"&amp;A283+9),"")</f>
        <v/>
      </c>
      <c r="E283" s="4" t="str" cm="1">
        <f t="array" ref="E283">IF(ISNUMBER($A283),IF(A283=A282,"Reference2(False,True,"&amp;INDEX(BackgroundCalcs!$AX$2:$AX$500,'Grading Formulas'!$A283)&amp;")","MOEValue(.0001)"),"")</f>
        <v/>
      </c>
      <c r="F283" s="4" t="str">
        <f t="shared" si="18"/>
        <v/>
      </c>
      <c r="G283" s="4" t="str">
        <f t="shared" si="19"/>
        <v/>
      </c>
      <c r="H283" s="4" t="str">
        <f t="shared" si="20"/>
        <v/>
      </c>
    </row>
    <row r="284" spans="1:8">
      <c r="A284" s="5" t="str">
        <f t="shared" si="21"/>
        <v/>
      </c>
      <c r="B284" s="5" t="str">
        <f t="shared" si="17"/>
        <v/>
      </c>
      <c r="C284" s="33" t="str" cm="1">
        <f t="array" ref="C284">IF(ISNUMBER(A284),IF(A284=A283,INDEX(BackgroundCalcs!$AV$2:$AV$500,'Grading Formulas'!$A284),"Question Results"),"")</f>
        <v/>
      </c>
      <c r="D284" s="8" t="str" cm="1">
        <f t="array" ref="D284">IF(ISNUMBER($A284),IF(A284=A283,INDEX(BackgroundCalcs!$AW$2:$AW$500,'Grading Formulas'!$A284),"C"&amp;A284+9),"")</f>
        <v/>
      </c>
      <c r="E284" s="4" t="str" cm="1">
        <f t="array" ref="E284">IF(ISNUMBER($A284),IF(A284=A283,"Reference2(False,True,"&amp;INDEX(BackgroundCalcs!$AX$2:$AX$500,'Grading Formulas'!$A284)&amp;")","MOEValue(.0001)"),"")</f>
        <v/>
      </c>
      <c r="F284" s="4" t="str">
        <f t="shared" si="18"/>
        <v/>
      </c>
      <c r="G284" s="4" t="str">
        <f t="shared" si="19"/>
        <v/>
      </c>
      <c r="H284" s="4" t="str">
        <f t="shared" si="20"/>
        <v/>
      </c>
    </row>
    <row r="285" spans="1:8">
      <c r="A285" s="5" t="str">
        <f t="shared" si="21"/>
        <v/>
      </c>
      <c r="B285" s="5" t="str">
        <f t="shared" si="17"/>
        <v/>
      </c>
      <c r="C285" s="33" t="str" cm="1">
        <f t="array" ref="C285">IF(ISNUMBER(A285),IF(A285=A284,INDEX(BackgroundCalcs!$AV$2:$AV$500,'Grading Formulas'!$A285),"Question Results"),"")</f>
        <v/>
      </c>
      <c r="D285" s="8" t="str" cm="1">
        <f t="array" ref="D285">IF(ISNUMBER($A285),IF(A285=A284,INDEX(BackgroundCalcs!$AW$2:$AW$500,'Grading Formulas'!$A285),"C"&amp;A285+9),"")</f>
        <v/>
      </c>
      <c r="E285" s="4" t="str" cm="1">
        <f t="array" ref="E285">IF(ISNUMBER($A285),IF(A285=A284,"Reference2(False,True,"&amp;INDEX(BackgroundCalcs!$AX$2:$AX$500,'Grading Formulas'!$A285)&amp;")","MOEValue(.0001)"),"")</f>
        <v/>
      </c>
      <c r="F285" s="4" t="str">
        <f t="shared" si="18"/>
        <v/>
      </c>
      <c r="G285" s="4" t="str">
        <f t="shared" si="19"/>
        <v/>
      </c>
      <c r="H285" s="4" t="str">
        <f t="shared" si="20"/>
        <v/>
      </c>
    </row>
    <row r="286" spans="1:8">
      <c r="A286" s="5" t="str">
        <f t="shared" si="21"/>
        <v/>
      </c>
      <c r="B286" s="5" t="str">
        <f t="shared" si="17"/>
        <v/>
      </c>
      <c r="C286" s="33" t="str" cm="1">
        <f t="array" ref="C286">IF(ISNUMBER(A286),IF(A286=A285,INDEX(BackgroundCalcs!$AV$2:$AV$500,'Grading Formulas'!$A286),"Question Results"),"")</f>
        <v/>
      </c>
      <c r="D286" s="8" t="str" cm="1">
        <f t="array" ref="D286">IF(ISNUMBER($A286),IF(A286=A285,INDEX(BackgroundCalcs!$AW$2:$AW$500,'Grading Formulas'!$A286),"C"&amp;A286+9),"")</f>
        <v/>
      </c>
      <c r="E286" s="4" t="str" cm="1">
        <f t="array" ref="E286">IF(ISNUMBER($A286),IF(A286=A285,"Reference2(False,True,"&amp;INDEX(BackgroundCalcs!$AX$2:$AX$500,'Grading Formulas'!$A286)&amp;")","MOEValue(.0001)"),"")</f>
        <v/>
      </c>
      <c r="F286" s="4" t="str">
        <f t="shared" si="18"/>
        <v/>
      </c>
      <c r="G286" s="4" t="str">
        <f t="shared" si="19"/>
        <v/>
      </c>
      <c r="H286" s="4" t="str">
        <f t="shared" si="20"/>
        <v/>
      </c>
    </row>
    <row r="287" spans="1:8">
      <c r="A287" s="5" t="str">
        <f t="shared" si="21"/>
        <v/>
      </c>
      <c r="B287" s="5" t="str">
        <f t="shared" si="17"/>
        <v/>
      </c>
      <c r="C287" s="33" t="str" cm="1">
        <f t="array" ref="C287">IF(ISNUMBER(A287),IF(A287=A286,INDEX(BackgroundCalcs!$AV$2:$AV$500,'Grading Formulas'!$A287),"Question Results"),"")</f>
        <v/>
      </c>
      <c r="D287" s="8" t="str" cm="1">
        <f t="array" ref="D287">IF(ISNUMBER($A287),IF(A287=A286,INDEX(BackgroundCalcs!$AW$2:$AW$500,'Grading Formulas'!$A287),"C"&amp;A287+9),"")</f>
        <v/>
      </c>
      <c r="E287" s="4" t="str" cm="1">
        <f t="array" ref="E287">IF(ISNUMBER($A287),IF(A287=A286,"Reference2(False,True,"&amp;INDEX(BackgroundCalcs!$AX$2:$AX$500,'Grading Formulas'!$A287)&amp;")","MOEValue(.0001)"),"")</f>
        <v/>
      </c>
      <c r="F287" s="4" t="str">
        <f t="shared" si="18"/>
        <v/>
      </c>
      <c r="G287" s="4" t="str">
        <f t="shared" si="19"/>
        <v/>
      </c>
      <c r="H287" s="4" t="str">
        <f t="shared" si="20"/>
        <v/>
      </c>
    </row>
    <row r="288" spans="1:8">
      <c r="A288" s="5" t="str">
        <f t="shared" si="21"/>
        <v/>
      </c>
      <c r="B288" s="5" t="str">
        <f t="shared" si="17"/>
        <v/>
      </c>
      <c r="C288" s="33" t="str" cm="1">
        <f t="array" ref="C288">IF(ISNUMBER(A288),IF(A288=A287,INDEX(BackgroundCalcs!$AV$2:$AV$500,'Grading Formulas'!$A288),"Question Results"),"")</f>
        <v/>
      </c>
      <c r="D288" s="8" t="str" cm="1">
        <f t="array" ref="D288">IF(ISNUMBER($A288),IF(A288=A287,INDEX(BackgroundCalcs!$AW$2:$AW$500,'Grading Formulas'!$A288),"C"&amp;A288+9),"")</f>
        <v/>
      </c>
      <c r="E288" s="4" t="str" cm="1">
        <f t="array" ref="E288">IF(ISNUMBER($A288),IF(A288=A287,"Reference2(False,True,"&amp;INDEX(BackgroundCalcs!$AX$2:$AX$500,'Grading Formulas'!$A288)&amp;")","MOEValue(.0001)"),"")</f>
        <v/>
      </c>
      <c r="F288" s="4" t="str">
        <f t="shared" si="18"/>
        <v/>
      </c>
      <c r="G288" s="4" t="str">
        <f t="shared" si="19"/>
        <v/>
      </c>
      <c r="H288" s="4" t="str">
        <f t="shared" si="20"/>
        <v/>
      </c>
    </row>
    <row r="289" spans="1:8">
      <c r="A289" s="5" t="str">
        <f t="shared" si="21"/>
        <v/>
      </c>
      <c r="B289" s="5" t="str">
        <f t="shared" si="17"/>
        <v/>
      </c>
      <c r="C289" s="33" t="str" cm="1">
        <f t="array" ref="C289">IF(ISNUMBER(A289),IF(A289=A288,INDEX(BackgroundCalcs!$AV$2:$AV$500,'Grading Formulas'!$A289),"Question Results"),"")</f>
        <v/>
      </c>
      <c r="D289" s="8" t="str" cm="1">
        <f t="array" ref="D289">IF(ISNUMBER($A289),IF(A289=A288,INDEX(BackgroundCalcs!$AW$2:$AW$500,'Grading Formulas'!$A289),"C"&amp;A289+9),"")</f>
        <v/>
      </c>
      <c r="E289" s="4" t="str" cm="1">
        <f t="array" ref="E289">IF(ISNUMBER($A289),IF(A289=A288,"Reference2(False,True,"&amp;INDEX(BackgroundCalcs!$AX$2:$AX$500,'Grading Formulas'!$A289)&amp;")","MOEValue(.0001)"),"")</f>
        <v/>
      </c>
      <c r="F289" s="4" t="str">
        <f t="shared" si="18"/>
        <v/>
      </c>
      <c r="G289" s="4" t="str">
        <f t="shared" si="19"/>
        <v/>
      </c>
      <c r="H289" s="4" t="str">
        <f t="shared" si="20"/>
        <v/>
      </c>
    </row>
    <row r="290" spans="1:8">
      <c r="A290" s="5" t="str">
        <f t="shared" si="21"/>
        <v/>
      </c>
      <c r="B290" s="5" t="str">
        <f t="shared" si="17"/>
        <v/>
      </c>
      <c r="C290" s="33" t="str" cm="1">
        <f t="array" ref="C290">IF(ISNUMBER(A290),IF(A290=A289,INDEX(BackgroundCalcs!$AV$2:$AV$500,'Grading Formulas'!$A290),"Question Results"),"")</f>
        <v/>
      </c>
      <c r="D290" s="8" t="str" cm="1">
        <f t="array" ref="D290">IF(ISNUMBER($A290),IF(A290=A289,INDEX(BackgroundCalcs!$AW$2:$AW$500,'Grading Formulas'!$A290),"C"&amp;A290+9),"")</f>
        <v/>
      </c>
      <c r="E290" s="4" t="str" cm="1">
        <f t="array" ref="E290">IF(ISNUMBER($A290),IF(A290=A289,"Reference2(False,True,"&amp;INDEX(BackgroundCalcs!$AX$2:$AX$500,'Grading Formulas'!$A290)&amp;")","MOEValue(.0001)"),"")</f>
        <v/>
      </c>
      <c r="F290" s="4" t="str">
        <f t="shared" si="18"/>
        <v/>
      </c>
      <c r="G290" s="4" t="str">
        <f t="shared" si="19"/>
        <v/>
      </c>
      <c r="H290" s="4" t="str">
        <f t="shared" si="20"/>
        <v/>
      </c>
    </row>
    <row r="291" spans="1:8">
      <c r="A291" s="5" t="str">
        <f t="shared" si="21"/>
        <v/>
      </c>
      <c r="B291" s="5" t="str">
        <f t="shared" si="17"/>
        <v/>
      </c>
      <c r="C291" s="33" t="str" cm="1">
        <f t="array" ref="C291">IF(ISNUMBER(A291),IF(A291=A290,INDEX(BackgroundCalcs!$AV$2:$AV$500,'Grading Formulas'!$A291),"Question Results"),"")</f>
        <v/>
      </c>
      <c r="D291" s="8" t="str" cm="1">
        <f t="array" ref="D291">IF(ISNUMBER($A291),IF(A291=A290,INDEX(BackgroundCalcs!$AW$2:$AW$500,'Grading Formulas'!$A291),"C"&amp;A291+9),"")</f>
        <v/>
      </c>
      <c r="E291" s="4" t="str" cm="1">
        <f t="array" ref="E291">IF(ISNUMBER($A291),IF(A291=A290,"Reference2(False,True,"&amp;INDEX(BackgroundCalcs!$AX$2:$AX$500,'Grading Formulas'!$A291)&amp;")","MOEValue(.0001)"),"")</f>
        <v/>
      </c>
      <c r="F291" s="4" t="str">
        <f t="shared" si="18"/>
        <v/>
      </c>
      <c r="G291" s="4" t="str">
        <f t="shared" si="19"/>
        <v/>
      </c>
      <c r="H291" s="4" t="str">
        <f t="shared" si="20"/>
        <v/>
      </c>
    </row>
    <row r="292" spans="1:8">
      <c r="A292" s="5" t="str">
        <f t="shared" si="21"/>
        <v/>
      </c>
      <c r="B292" s="5" t="str">
        <f t="shared" si="17"/>
        <v/>
      </c>
      <c r="C292" s="33" t="str" cm="1">
        <f t="array" ref="C292">IF(ISNUMBER(A292),IF(A292=A291,INDEX(BackgroundCalcs!$AV$2:$AV$500,'Grading Formulas'!$A292),"Question Results"),"")</f>
        <v/>
      </c>
      <c r="D292" s="8" t="str" cm="1">
        <f t="array" ref="D292">IF(ISNUMBER($A292),IF(A292=A291,INDEX(BackgroundCalcs!$AW$2:$AW$500,'Grading Formulas'!$A292),"C"&amp;A292+9),"")</f>
        <v/>
      </c>
      <c r="E292" s="4" t="str" cm="1">
        <f t="array" ref="E292">IF(ISNUMBER($A292),IF(A292=A291,"Reference2(False,True,"&amp;INDEX(BackgroundCalcs!$AX$2:$AX$500,'Grading Formulas'!$A292)&amp;")","MOEValue(.0001)"),"")</f>
        <v/>
      </c>
      <c r="F292" s="4" t="str">
        <f t="shared" si="18"/>
        <v/>
      </c>
      <c r="G292" s="4" t="str">
        <f t="shared" si="19"/>
        <v/>
      </c>
      <c r="H292" s="4" t="str">
        <f t="shared" si="20"/>
        <v/>
      </c>
    </row>
    <row r="293" spans="1:8">
      <c r="A293" s="5" t="str">
        <f t="shared" si="21"/>
        <v/>
      </c>
      <c r="B293" s="5" t="str">
        <f t="shared" si="17"/>
        <v/>
      </c>
      <c r="C293" s="33" t="str" cm="1">
        <f t="array" ref="C293">IF(ISNUMBER(A293),IF(A293=A292,INDEX(BackgroundCalcs!$AV$2:$AV$500,'Grading Formulas'!$A293),"Question Results"),"")</f>
        <v/>
      </c>
      <c r="D293" s="8" t="str" cm="1">
        <f t="array" ref="D293">IF(ISNUMBER($A293),IF(A293=A292,INDEX(BackgroundCalcs!$AW$2:$AW$500,'Grading Formulas'!$A293),"C"&amp;A293+9),"")</f>
        <v/>
      </c>
      <c r="E293" s="4" t="str" cm="1">
        <f t="array" ref="E293">IF(ISNUMBER($A293),IF(A293=A292,"Reference2(False,True,"&amp;INDEX(BackgroundCalcs!$AX$2:$AX$500,'Grading Formulas'!$A293)&amp;")","MOEValue(.0001)"),"")</f>
        <v/>
      </c>
      <c r="F293" s="4" t="str">
        <f t="shared" si="18"/>
        <v/>
      </c>
      <c r="G293" s="4" t="str">
        <f t="shared" si="19"/>
        <v/>
      </c>
      <c r="H293" s="4" t="str">
        <f t="shared" si="20"/>
        <v/>
      </c>
    </row>
    <row r="294" spans="1:8">
      <c r="A294" s="5" t="str">
        <f t="shared" si="21"/>
        <v/>
      </c>
      <c r="B294" s="5" t="str">
        <f t="shared" si="17"/>
        <v/>
      </c>
      <c r="C294" s="33" t="str" cm="1">
        <f t="array" ref="C294">IF(ISNUMBER(A294),IF(A294=A293,INDEX(BackgroundCalcs!$AV$2:$AV$500,'Grading Formulas'!$A294),"Question Results"),"")</f>
        <v/>
      </c>
      <c r="D294" s="8" t="str" cm="1">
        <f t="array" ref="D294">IF(ISNUMBER($A294),IF(A294=A293,INDEX(BackgroundCalcs!$AW$2:$AW$500,'Grading Formulas'!$A294),"C"&amp;A294+9),"")</f>
        <v/>
      </c>
      <c r="E294" s="4" t="str" cm="1">
        <f t="array" ref="E294">IF(ISNUMBER($A294),IF(A294=A293,"Reference2(False,True,"&amp;INDEX(BackgroundCalcs!$AX$2:$AX$500,'Grading Formulas'!$A294)&amp;")","MOEValue(.0001)"),"")</f>
        <v/>
      </c>
      <c r="F294" s="4" t="str">
        <f t="shared" si="18"/>
        <v/>
      </c>
      <c r="G294" s="4" t="str">
        <f t="shared" si="19"/>
        <v/>
      </c>
      <c r="H294" s="4" t="str">
        <f t="shared" si="20"/>
        <v/>
      </c>
    </row>
    <row r="295" spans="1:8">
      <c r="A295" s="5" t="str">
        <f t="shared" si="21"/>
        <v/>
      </c>
      <c r="B295" s="5" t="str">
        <f t="shared" si="17"/>
        <v/>
      </c>
      <c r="C295" s="33" t="str" cm="1">
        <f t="array" ref="C295">IF(ISNUMBER(A295),IF(A295=A294,INDEX(BackgroundCalcs!$AV$2:$AV$500,'Grading Formulas'!$A295),"Question Results"),"")</f>
        <v/>
      </c>
      <c r="D295" s="8" t="str" cm="1">
        <f t="array" ref="D295">IF(ISNUMBER($A295),IF(A295=A294,INDEX(BackgroundCalcs!$AW$2:$AW$500,'Grading Formulas'!$A295),"C"&amp;A295+9),"")</f>
        <v/>
      </c>
      <c r="E295" s="4" t="str" cm="1">
        <f t="array" ref="E295">IF(ISNUMBER($A295),IF(A295=A294,"Reference2(False,True,"&amp;INDEX(BackgroundCalcs!$AX$2:$AX$500,'Grading Formulas'!$A295)&amp;")","MOEValue(.0001)"),"")</f>
        <v/>
      </c>
      <c r="F295" s="4" t="str">
        <f t="shared" si="18"/>
        <v/>
      </c>
      <c r="G295" s="4" t="str">
        <f t="shared" si="19"/>
        <v/>
      </c>
      <c r="H295" s="4" t="str">
        <f t="shared" si="20"/>
        <v/>
      </c>
    </row>
    <row r="296" spans="1:8">
      <c r="A296" s="5" t="str">
        <f t="shared" si="21"/>
        <v/>
      </c>
      <c r="B296" s="5" t="str">
        <f t="shared" si="17"/>
        <v/>
      </c>
      <c r="C296" s="33" t="str" cm="1">
        <f t="array" ref="C296">IF(ISNUMBER(A296),IF(A296=A295,INDEX(BackgroundCalcs!$AV$2:$AV$500,'Grading Formulas'!$A296),"Question Results"),"")</f>
        <v/>
      </c>
      <c r="D296" s="8" t="str" cm="1">
        <f t="array" ref="D296">IF(ISNUMBER($A296),IF(A296=A295,INDEX(BackgroundCalcs!$AW$2:$AW$500,'Grading Formulas'!$A296),"C"&amp;A296+9),"")</f>
        <v/>
      </c>
      <c r="E296" s="4" t="str" cm="1">
        <f t="array" ref="E296">IF(ISNUMBER($A296),IF(A296=A295,"Reference2(False,True,"&amp;INDEX(BackgroundCalcs!$AX$2:$AX$500,'Grading Formulas'!$A296)&amp;")","MOEValue(.0001)"),"")</f>
        <v/>
      </c>
      <c r="F296" s="4" t="str">
        <f t="shared" si="18"/>
        <v/>
      </c>
      <c r="G296" s="4" t="str">
        <f t="shared" si="19"/>
        <v/>
      </c>
      <c r="H296" s="4" t="str">
        <f t="shared" si="20"/>
        <v/>
      </c>
    </row>
    <row r="297" spans="1:8">
      <c r="A297" s="5" t="str">
        <f t="shared" si="21"/>
        <v/>
      </c>
      <c r="B297" s="5" t="str">
        <f t="shared" si="17"/>
        <v/>
      </c>
      <c r="C297" s="33" t="str" cm="1">
        <f t="array" ref="C297">IF(ISNUMBER(A297),IF(A297=A296,INDEX(BackgroundCalcs!$AV$2:$AV$500,'Grading Formulas'!$A297),"Question Results"),"")</f>
        <v/>
      </c>
      <c r="D297" s="8" t="str" cm="1">
        <f t="array" ref="D297">IF(ISNUMBER($A297),IF(A297=A296,INDEX(BackgroundCalcs!$AW$2:$AW$500,'Grading Formulas'!$A297),"C"&amp;A297+9),"")</f>
        <v/>
      </c>
      <c r="E297" s="4" t="str" cm="1">
        <f t="array" ref="E297">IF(ISNUMBER($A297),IF(A297=A296,"Reference2(False,True,"&amp;INDEX(BackgroundCalcs!$AX$2:$AX$500,'Grading Formulas'!$A297)&amp;")","MOEValue(.0001)"),"")</f>
        <v/>
      </c>
      <c r="F297" s="4" t="str">
        <f t="shared" si="18"/>
        <v/>
      </c>
      <c r="G297" s="4" t="str">
        <f t="shared" si="19"/>
        <v/>
      </c>
      <c r="H297" s="4" t="str">
        <f t="shared" si="20"/>
        <v/>
      </c>
    </row>
    <row r="298" spans="1:8">
      <c r="A298" s="5" t="str">
        <f t="shared" si="21"/>
        <v/>
      </c>
      <c r="B298" s="5" t="str">
        <f t="shared" si="17"/>
        <v/>
      </c>
      <c r="C298" s="33" t="str" cm="1">
        <f t="array" ref="C298">IF(ISNUMBER(A298),IF(A298=A297,INDEX(BackgroundCalcs!$AV$2:$AV$500,'Grading Formulas'!$A298),"Question Results"),"")</f>
        <v/>
      </c>
      <c r="D298" s="8" t="str" cm="1">
        <f t="array" ref="D298">IF(ISNUMBER($A298),IF(A298=A297,INDEX(BackgroundCalcs!$AW$2:$AW$500,'Grading Formulas'!$A298),"C"&amp;A298+9),"")</f>
        <v/>
      </c>
      <c r="E298" s="4" t="str" cm="1">
        <f t="array" ref="E298">IF(ISNUMBER($A298),IF(A298=A297,"Reference2(False,True,"&amp;INDEX(BackgroundCalcs!$AX$2:$AX$500,'Grading Formulas'!$A298)&amp;")","MOEValue(.0001)"),"")</f>
        <v/>
      </c>
      <c r="F298" s="4" t="str">
        <f t="shared" si="18"/>
        <v/>
      </c>
      <c r="G298" s="4" t="str">
        <f t="shared" si="19"/>
        <v/>
      </c>
      <c r="H298" s="4" t="str">
        <f t="shared" si="20"/>
        <v/>
      </c>
    </row>
    <row r="299" spans="1:8">
      <c r="A299" s="5" t="str">
        <f t="shared" si="21"/>
        <v/>
      </c>
      <c r="B299" s="5" t="str">
        <f t="shared" si="17"/>
        <v/>
      </c>
      <c r="C299" s="33" t="str" cm="1">
        <f t="array" ref="C299">IF(ISNUMBER(A299),IF(A299=A298,INDEX(BackgroundCalcs!$AV$2:$AV$500,'Grading Formulas'!$A299),"Question Results"),"")</f>
        <v/>
      </c>
      <c r="D299" s="8" t="str" cm="1">
        <f t="array" ref="D299">IF(ISNUMBER($A299),IF(A299=A298,INDEX(BackgroundCalcs!$AW$2:$AW$500,'Grading Formulas'!$A299),"C"&amp;A299+9),"")</f>
        <v/>
      </c>
      <c r="E299" s="4" t="str" cm="1">
        <f t="array" ref="E299">IF(ISNUMBER($A299),IF(A299=A298,"Reference2(False,True,"&amp;INDEX(BackgroundCalcs!$AX$2:$AX$500,'Grading Formulas'!$A299)&amp;")","MOEValue(.0001)"),"")</f>
        <v/>
      </c>
      <c r="F299" s="4" t="str">
        <f t="shared" si="18"/>
        <v/>
      </c>
      <c r="G299" s="4" t="str">
        <f t="shared" si="19"/>
        <v/>
      </c>
      <c r="H299" s="4" t="str">
        <f t="shared" si="20"/>
        <v/>
      </c>
    </row>
    <row r="300" spans="1:8">
      <c r="A300" s="5" t="str">
        <f t="shared" si="21"/>
        <v/>
      </c>
      <c r="B300" s="5" t="str">
        <f t="shared" si="17"/>
        <v/>
      </c>
      <c r="C300" s="33" t="str" cm="1">
        <f t="array" ref="C300">IF(ISNUMBER(A300),IF(A300=A299,INDEX(BackgroundCalcs!$AV$2:$AV$500,'Grading Formulas'!$A300),"Question Results"),"")</f>
        <v/>
      </c>
      <c r="D300" s="8" t="str" cm="1">
        <f t="array" ref="D300">IF(ISNUMBER($A300),IF(A300=A299,INDEX(BackgroundCalcs!$AW$2:$AW$500,'Grading Formulas'!$A300),"C"&amp;A300+9),"")</f>
        <v/>
      </c>
      <c r="E300" s="4" t="str" cm="1">
        <f t="array" ref="E300">IF(ISNUMBER($A300),IF(A300=A299,"Reference2(False,True,"&amp;INDEX(BackgroundCalcs!$AX$2:$AX$500,'Grading Formulas'!$A300)&amp;")","MOEValue(.0001)"),"")</f>
        <v/>
      </c>
      <c r="F300" s="4" t="str">
        <f t="shared" si="18"/>
        <v/>
      </c>
      <c r="G300" s="4" t="str">
        <f t="shared" si="19"/>
        <v/>
      </c>
      <c r="H300" s="4" t="str">
        <f t="shared" si="20"/>
        <v/>
      </c>
    </row>
    <row r="301" spans="1:8">
      <c r="A301" s="5" t="str">
        <f t="shared" si="21"/>
        <v/>
      </c>
      <c r="B301" s="5" t="str">
        <f t="shared" si="17"/>
        <v/>
      </c>
      <c r="C301" s="33" t="str" cm="1">
        <f t="array" ref="C301">IF(ISNUMBER(A301),IF(A301=A300,INDEX(BackgroundCalcs!$AV$2:$AV$500,'Grading Formulas'!$A301),"Question Results"),"")</f>
        <v/>
      </c>
      <c r="D301" s="8" t="str" cm="1">
        <f t="array" ref="D301">IF(ISNUMBER($A301),IF(A301=A300,INDEX(BackgroundCalcs!$AW$2:$AW$500,'Grading Formulas'!$A301),"C"&amp;A301+9),"")</f>
        <v/>
      </c>
      <c r="E301" s="4" t="str" cm="1">
        <f t="array" ref="E301">IF(ISNUMBER($A301),IF(A301=A300,"Reference2(False,True,"&amp;INDEX(BackgroundCalcs!$AX$2:$AX$500,'Grading Formulas'!$A301)&amp;")","MOEValue(.0001)"),"")</f>
        <v/>
      </c>
      <c r="F301" s="4" t="str">
        <f t="shared" si="18"/>
        <v/>
      </c>
      <c r="G301" s="4" t="str">
        <f t="shared" si="19"/>
        <v/>
      </c>
      <c r="H301" s="4" t="str">
        <f t="shared" si="20"/>
        <v/>
      </c>
    </row>
    <row r="302" spans="1:8">
      <c r="A302" s="5" t="str">
        <f t="shared" si="21"/>
        <v/>
      </c>
      <c r="B302" s="5" t="str">
        <f t="shared" si="17"/>
        <v/>
      </c>
      <c r="C302" s="33" t="str" cm="1">
        <f t="array" ref="C302">IF(ISNUMBER(A302),IF(A302=A301,INDEX(BackgroundCalcs!$AV$2:$AV$500,'Grading Formulas'!$A302),"Question Results"),"")</f>
        <v/>
      </c>
      <c r="D302" s="8" t="str" cm="1">
        <f t="array" ref="D302">IF(ISNUMBER($A302),IF(A302=A301,INDEX(BackgroundCalcs!$AW$2:$AW$500,'Grading Formulas'!$A302),"C"&amp;A302+9),"")</f>
        <v/>
      </c>
      <c r="E302" s="4" t="str" cm="1">
        <f t="array" ref="E302">IF(ISNUMBER($A302),IF(A302=A301,"Reference2(False,True,"&amp;INDEX(BackgroundCalcs!$AX$2:$AX$500,'Grading Formulas'!$A302)&amp;")","MOEValue(.0001)"),"")</f>
        <v/>
      </c>
      <c r="F302" s="4" t="str">
        <f t="shared" si="18"/>
        <v/>
      </c>
      <c r="G302" s="4" t="str">
        <f t="shared" si="19"/>
        <v/>
      </c>
      <c r="H302" s="4" t="str">
        <f t="shared" si="20"/>
        <v/>
      </c>
    </row>
    <row r="303" spans="1:8">
      <c r="A303" s="5" t="str">
        <f t="shared" si="21"/>
        <v/>
      </c>
      <c r="B303" s="5" t="str">
        <f t="shared" si="17"/>
        <v/>
      </c>
      <c r="C303" s="33" t="str" cm="1">
        <f t="array" ref="C303">IF(ISNUMBER(A303),IF(A303=A302,INDEX(BackgroundCalcs!$AV$2:$AV$500,'Grading Formulas'!$A303),"Question Results"),"")</f>
        <v/>
      </c>
      <c r="D303" s="8" t="str" cm="1">
        <f t="array" ref="D303">IF(ISNUMBER($A303),IF(A303=A302,INDEX(BackgroundCalcs!$AW$2:$AW$500,'Grading Formulas'!$A303),"C"&amp;A303+9),"")</f>
        <v/>
      </c>
      <c r="E303" s="4" t="str" cm="1">
        <f t="array" ref="E303">IF(ISNUMBER($A303),IF(A303=A302,"Reference2(False,True,"&amp;INDEX(BackgroundCalcs!$AX$2:$AX$500,'Grading Formulas'!$A303)&amp;")","MOEValue(.0001)"),"")</f>
        <v/>
      </c>
      <c r="F303" s="4" t="str">
        <f t="shared" si="18"/>
        <v/>
      </c>
      <c r="G303" s="4" t="str">
        <f t="shared" si="19"/>
        <v/>
      </c>
      <c r="H303" s="4" t="str">
        <f t="shared" si="20"/>
        <v/>
      </c>
    </row>
    <row r="304" spans="1:8">
      <c r="A304" s="5" t="str">
        <f t="shared" si="21"/>
        <v/>
      </c>
      <c r="B304" s="5" t="str">
        <f t="shared" si="17"/>
        <v/>
      </c>
      <c r="C304" s="33" t="str" cm="1">
        <f t="array" ref="C304">IF(ISNUMBER(A304),IF(A304=A303,INDEX(BackgroundCalcs!$AV$2:$AV$500,'Grading Formulas'!$A304),"Question Results"),"")</f>
        <v/>
      </c>
      <c r="D304" s="8" t="str" cm="1">
        <f t="array" ref="D304">IF(ISNUMBER($A304),IF(A304=A303,INDEX(BackgroundCalcs!$AW$2:$AW$500,'Grading Formulas'!$A304),"C"&amp;A304+9),"")</f>
        <v/>
      </c>
      <c r="E304" s="4" t="str" cm="1">
        <f t="array" ref="E304">IF(ISNUMBER($A304),IF(A304=A303,"Reference2(False,True,"&amp;INDEX(BackgroundCalcs!$AX$2:$AX$500,'Grading Formulas'!$A304)&amp;")","MOEValue(.0001)"),"")</f>
        <v/>
      </c>
      <c r="F304" s="4" t="str">
        <f t="shared" si="18"/>
        <v/>
      </c>
      <c r="G304" s="4" t="str">
        <f t="shared" si="19"/>
        <v/>
      </c>
      <c r="H304" s="4" t="str">
        <f t="shared" si="20"/>
        <v/>
      </c>
    </row>
    <row r="305" spans="1:8">
      <c r="A305" s="5" t="str">
        <f t="shared" si="21"/>
        <v/>
      </c>
      <c r="B305" s="5" t="str">
        <f t="shared" si="17"/>
        <v/>
      </c>
      <c r="C305" s="33" t="str" cm="1">
        <f t="array" ref="C305">IF(ISNUMBER(A305),IF(A305=A304,INDEX(BackgroundCalcs!$AV$2:$AV$500,'Grading Formulas'!$A305),"Question Results"),"")</f>
        <v/>
      </c>
      <c r="D305" s="8" t="str" cm="1">
        <f t="array" ref="D305">IF(ISNUMBER($A305),IF(A305=A304,INDEX(BackgroundCalcs!$AW$2:$AW$500,'Grading Formulas'!$A305),"C"&amp;A305+9),"")</f>
        <v/>
      </c>
      <c r="E305" s="4" t="str" cm="1">
        <f t="array" ref="E305">IF(ISNUMBER($A305),IF(A305=A304,"Reference2(False,True,"&amp;INDEX(BackgroundCalcs!$AX$2:$AX$500,'Grading Formulas'!$A305)&amp;")","MOEValue(.0001)"),"")</f>
        <v/>
      </c>
      <c r="F305" s="4" t="str">
        <f t="shared" si="18"/>
        <v/>
      </c>
      <c r="G305" s="4" t="str">
        <f t="shared" si="19"/>
        <v/>
      </c>
      <c r="H305" s="4" t="str">
        <f t="shared" si="20"/>
        <v/>
      </c>
    </row>
    <row r="306" spans="1:8">
      <c r="A306" s="5" t="str">
        <f t="shared" si="21"/>
        <v/>
      </c>
      <c r="B306" s="5" t="str">
        <f t="shared" si="17"/>
        <v/>
      </c>
      <c r="C306" s="33" t="str" cm="1">
        <f t="array" ref="C306">IF(ISNUMBER(A306),IF(A306=A305,INDEX(BackgroundCalcs!$AV$2:$AV$500,'Grading Formulas'!$A306),"Question Results"),"")</f>
        <v/>
      </c>
      <c r="D306" s="8" t="str" cm="1">
        <f t="array" ref="D306">IF(ISNUMBER($A306),IF(A306=A305,INDEX(BackgroundCalcs!$AW$2:$AW$500,'Grading Formulas'!$A306),"C"&amp;A306+9),"")</f>
        <v/>
      </c>
      <c r="E306" s="4" t="str" cm="1">
        <f t="array" ref="E306">IF(ISNUMBER($A306),IF(A306=A305,"Reference2(False,True,"&amp;INDEX(BackgroundCalcs!$AX$2:$AX$500,'Grading Formulas'!$A306)&amp;")","MOEValue(.0001)"),"")</f>
        <v/>
      </c>
      <c r="F306" s="4" t="str">
        <f t="shared" si="18"/>
        <v/>
      </c>
      <c r="G306" s="4" t="str">
        <f t="shared" si="19"/>
        <v/>
      </c>
      <c r="H306" s="4" t="str">
        <f t="shared" si="20"/>
        <v/>
      </c>
    </row>
    <row r="307" spans="1:8">
      <c r="A307" s="5" t="str">
        <f t="shared" si="21"/>
        <v/>
      </c>
      <c r="B307" s="5" t="str">
        <f t="shared" si="17"/>
        <v/>
      </c>
      <c r="C307" s="33" t="str" cm="1">
        <f t="array" ref="C307">IF(ISNUMBER(A307),IF(A307=A306,INDEX(BackgroundCalcs!$AV$2:$AV$500,'Grading Formulas'!$A307),"Question Results"),"")</f>
        <v/>
      </c>
      <c r="D307" s="8" t="str" cm="1">
        <f t="array" ref="D307">IF(ISNUMBER($A307),IF(A307=A306,INDEX(BackgroundCalcs!$AW$2:$AW$500,'Grading Formulas'!$A307),"C"&amp;A307+9),"")</f>
        <v/>
      </c>
      <c r="E307" s="4" t="str" cm="1">
        <f t="array" ref="E307">IF(ISNUMBER($A307),IF(A307=A306,"Reference2(False,True,"&amp;INDEX(BackgroundCalcs!$AX$2:$AX$500,'Grading Formulas'!$A307)&amp;")","MOEValue(.0001)"),"")</f>
        <v/>
      </c>
      <c r="F307" s="4" t="str">
        <f t="shared" si="18"/>
        <v/>
      </c>
      <c r="G307" s="4" t="str">
        <f t="shared" si="19"/>
        <v/>
      </c>
      <c r="H307" s="4" t="str">
        <f t="shared" si="20"/>
        <v/>
      </c>
    </row>
    <row r="308" spans="1:8">
      <c r="A308" s="5" t="str">
        <f t="shared" si="21"/>
        <v/>
      </c>
      <c r="B308" s="5" t="str">
        <f t="shared" si="17"/>
        <v/>
      </c>
      <c r="C308" s="33" t="str" cm="1">
        <f t="array" ref="C308">IF(ISNUMBER(A308),IF(A308=A307,INDEX(BackgroundCalcs!$AV$2:$AV$500,'Grading Formulas'!$A308),"Question Results"),"")</f>
        <v/>
      </c>
      <c r="D308" s="8" t="str" cm="1">
        <f t="array" ref="D308">IF(ISNUMBER($A308),IF(A308=A307,INDEX(BackgroundCalcs!$AW$2:$AW$500,'Grading Formulas'!$A308),"C"&amp;A308+9),"")</f>
        <v/>
      </c>
      <c r="E308" s="4" t="str" cm="1">
        <f t="array" ref="E308">IF(ISNUMBER($A308),IF(A308=A307,"Reference2(False,True,"&amp;INDEX(BackgroundCalcs!$AX$2:$AX$500,'Grading Formulas'!$A308)&amp;")","MOEValue(.0001)"),"")</f>
        <v/>
      </c>
      <c r="F308" s="4" t="str">
        <f t="shared" si="18"/>
        <v/>
      </c>
      <c r="G308" s="4" t="str">
        <f t="shared" si="19"/>
        <v/>
      </c>
      <c r="H308" s="4" t="str">
        <f t="shared" si="20"/>
        <v/>
      </c>
    </row>
    <row r="309" spans="1:8">
      <c r="A309" s="5" t="str">
        <f t="shared" si="21"/>
        <v/>
      </c>
      <c r="B309" s="5" t="str">
        <f t="shared" si="17"/>
        <v/>
      </c>
      <c r="C309" s="33" t="str" cm="1">
        <f t="array" ref="C309">IF(ISNUMBER(A309),IF(A309=A308,INDEX(BackgroundCalcs!$AV$2:$AV$500,'Grading Formulas'!$A309),"Question Results"),"")</f>
        <v/>
      </c>
      <c r="D309" s="8" t="str" cm="1">
        <f t="array" ref="D309">IF(ISNUMBER($A309),IF(A309=A308,INDEX(BackgroundCalcs!$AW$2:$AW$500,'Grading Formulas'!$A309),"C"&amp;A309+9),"")</f>
        <v/>
      </c>
      <c r="E309" s="4" t="str" cm="1">
        <f t="array" ref="E309">IF(ISNUMBER($A309),IF(A309=A308,"Reference2(False,True,"&amp;INDEX(BackgroundCalcs!$AX$2:$AX$500,'Grading Formulas'!$A309)&amp;")","MOEValue(.0001)"),"")</f>
        <v/>
      </c>
      <c r="F309" s="4" t="str">
        <f t="shared" si="18"/>
        <v/>
      </c>
      <c r="G309" s="4" t="str">
        <f t="shared" si="19"/>
        <v/>
      </c>
      <c r="H309" s="4" t="str">
        <f t="shared" si="20"/>
        <v/>
      </c>
    </row>
    <row r="310" spans="1:8">
      <c r="A310" s="5" t="str">
        <f t="shared" si="21"/>
        <v/>
      </c>
      <c r="B310" s="5" t="str">
        <f t="shared" si="17"/>
        <v/>
      </c>
      <c r="C310" s="33" t="str" cm="1">
        <f t="array" ref="C310">IF(ISNUMBER(A310),IF(A310=A309,INDEX(BackgroundCalcs!$AV$2:$AV$500,'Grading Formulas'!$A310),"Question Results"),"")</f>
        <v/>
      </c>
      <c r="D310" s="8" t="str" cm="1">
        <f t="array" ref="D310">IF(ISNUMBER($A310),IF(A310=A309,INDEX(BackgroundCalcs!$AW$2:$AW$500,'Grading Formulas'!$A310),"C"&amp;A310+9),"")</f>
        <v/>
      </c>
      <c r="E310" s="4" t="str" cm="1">
        <f t="array" ref="E310">IF(ISNUMBER($A310),IF(A310=A309,"Reference2(False,True,"&amp;INDEX(BackgroundCalcs!$AX$2:$AX$500,'Grading Formulas'!$A310)&amp;")","MOEValue(.0001)"),"")</f>
        <v/>
      </c>
      <c r="F310" s="4" t="str">
        <f t="shared" si="18"/>
        <v/>
      </c>
      <c r="G310" s="4" t="str">
        <f t="shared" si="19"/>
        <v/>
      </c>
      <c r="H310" s="4" t="str">
        <f t="shared" si="20"/>
        <v/>
      </c>
    </row>
    <row r="311" spans="1:8">
      <c r="A311" s="5" t="str">
        <f t="shared" si="21"/>
        <v/>
      </c>
      <c r="B311" s="5" t="str">
        <f t="shared" si="17"/>
        <v/>
      </c>
      <c r="C311" s="33" t="str" cm="1">
        <f t="array" ref="C311">IF(ISNUMBER(A311),IF(A311=A310,INDEX(BackgroundCalcs!$AV$2:$AV$500,'Grading Formulas'!$A311),"Question Results"),"")</f>
        <v/>
      </c>
      <c r="D311" s="8" t="str" cm="1">
        <f t="array" ref="D311">IF(ISNUMBER($A311),IF(A311=A310,INDEX(BackgroundCalcs!$AW$2:$AW$500,'Grading Formulas'!$A311),"C"&amp;A311+9),"")</f>
        <v/>
      </c>
      <c r="E311" s="4" t="str" cm="1">
        <f t="array" ref="E311">IF(ISNUMBER($A311),IF(A311=A310,"Reference2(False,True,"&amp;INDEX(BackgroundCalcs!$AX$2:$AX$500,'Grading Formulas'!$A311)&amp;")","MOEValue(.0001)"),"")</f>
        <v/>
      </c>
      <c r="F311" s="4" t="str">
        <f t="shared" si="18"/>
        <v/>
      </c>
      <c r="G311" s="4" t="str">
        <f t="shared" si="19"/>
        <v/>
      </c>
      <c r="H311" s="4" t="str">
        <f t="shared" si="20"/>
        <v/>
      </c>
    </row>
    <row r="312" spans="1:8">
      <c r="A312" s="5" t="str">
        <f t="shared" si="21"/>
        <v/>
      </c>
      <c r="B312" s="5" t="str">
        <f t="shared" si="17"/>
        <v/>
      </c>
      <c r="C312" s="33" t="str" cm="1">
        <f t="array" ref="C312">IF(ISNUMBER(A312),IF(A312=A311,INDEX(BackgroundCalcs!$AV$2:$AV$500,'Grading Formulas'!$A312),"Question Results"),"")</f>
        <v/>
      </c>
      <c r="D312" s="8" t="str" cm="1">
        <f t="array" ref="D312">IF(ISNUMBER($A312),IF(A312=A311,INDEX(BackgroundCalcs!$AW$2:$AW$500,'Grading Formulas'!$A312),"C"&amp;A312+9),"")</f>
        <v/>
      </c>
      <c r="E312" s="4" t="str" cm="1">
        <f t="array" ref="E312">IF(ISNUMBER($A312),IF(A312=A311,"Reference2(False,True,"&amp;INDEX(BackgroundCalcs!$AX$2:$AX$500,'Grading Formulas'!$A312)&amp;")","MOEValue(.0001)"),"")</f>
        <v/>
      </c>
      <c r="F312" s="4" t="str">
        <f t="shared" si="18"/>
        <v/>
      </c>
      <c r="G312" s="4" t="str">
        <f t="shared" si="19"/>
        <v/>
      </c>
      <c r="H312" s="4" t="str">
        <f t="shared" si="20"/>
        <v/>
      </c>
    </row>
    <row r="313" spans="1:8">
      <c r="A313" s="5" t="str">
        <f t="shared" si="21"/>
        <v/>
      </c>
      <c r="B313" s="5" t="str">
        <f t="shared" si="17"/>
        <v/>
      </c>
      <c r="C313" s="33" t="str" cm="1">
        <f t="array" ref="C313">IF(ISNUMBER(A313),IF(A313=A312,INDEX(BackgroundCalcs!$AV$2:$AV$500,'Grading Formulas'!$A313),"Question Results"),"")</f>
        <v/>
      </c>
      <c r="D313" s="8" t="str" cm="1">
        <f t="array" ref="D313">IF(ISNUMBER($A313),IF(A313=A312,INDEX(BackgroundCalcs!$AW$2:$AW$500,'Grading Formulas'!$A313),"C"&amp;A313+9),"")</f>
        <v/>
      </c>
      <c r="E313" s="4" t="str" cm="1">
        <f t="array" ref="E313">IF(ISNUMBER($A313),IF(A313=A312,"Reference2(False,True,"&amp;INDEX(BackgroundCalcs!$AX$2:$AX$500,'Grading Formulas'!$A313)&amp;")","MOEValue(.0001)"),"")</f>
        <v/>
      </c>
      <c r="F313" s="4" t="str">
        <f t="shared" si="18"/>
        <v/>
      </c>
      <c r="G313" s="4" t="str">
        <f t="shared" si="19"/>
        <v/>
      </c>
      <c r="H313" s="4" t="str">
        <f t="shared" si="20"/>
        <v/>
      </c>
    </row>
    <row r="314" spans="1:8">
      <c r="A314" s="5" t="str">
        <f t="shared" si="21"/>
        <v/>
      </c>
      <c r="B314" s="5" t="str">
        <f t="shared" si="17"/>
        <v/>
      </c>
      <c r="C314" s="33" t="str" cm="1">
        <f t="array" ref="C314">IF(ISNUMBER(A314),IF(A314=A313,INDEX(BackgroundCalcs!$AV$2:$AV$500,'Grading Formulas'!$A314),"Question Results"),"")</f>
        <v/>
      </c>
      <c r="D314" s="8" t="str" cm="1">
        <f t="array" ref="D314">IF(ISNUMBER($A314),IF(A314=A313,INDEX(BackgroundCalcs!$AW$2:$AW$500,'Grading Formulas'!$A314),"C"&amp;A314+9),"")</f>
        <v/>
      </c>
      <c r="E314" s="4" t="str" cm="1">
        <f t="array" ref="E314">IF(ISNUMBER($A314),IF(A314=A313,"Reference2(False,True,"&amp;INDEX(BackgroundCalcs!$AX$2:$AX$500,'Grading Formulas'!$A314)&amp;")","MOEValue(.0001)"),"")</f>
        <v/>
      </c>
      <c r="F314" s="4" t="str">
        <f t="shared" si="18"/>
        <v/>
      </c>
      <c r="G314" s="4" t="str">
        <f t="shared" si="19"/>
        <v/>
      </c>
      <c r="H314" s="4" t="str">
        <f t="shared" si="20"/>
        <v/>
      </c>
    </row>
    <row r="315" spans="1:8">
      <c r="A315" s="5" t="str">
        <f t="shared" si="21"/>
        <v/>
      </c>
      <c r="B315" s="5" t="str">
        <f t="shared" si="17"/>
        <v/>
      </c>
      <c r="C315" s="33" t="str" cm="1">
        <f t="array" ref="C315">IF(ISNUMBER(A315),IF(A315=A314,INDEX(BackgroundCalcs!$AV$2:$AV$500,'Grading Formulas'!$A315),"Question Results"),"")</f>
        <v/>
      </c>
      <c r="D315" s="8" t="str" cm="1">
        <f t="array" ref="D315">IF(ISNUMBER($A315),IF(A315=A314,INDEX(BackgroundCalcs!$AW$2:$AW$500,'Grading Formulas'!$A315),"C"&amp;A315+9),"")</f>
        <v/>
      </c>
      <c r="E315" s="4" t="str" cm="1">
        <f t="array" ref="E315">IF(ISNUMBER($A315),IF(A315=A314,"Reference2(False,True,"&amp;INDEX(BackgroundCalcs!$AX$2:$AX$500,'Grading Formulas'!$A315)&amp;")","MOEValue(.0001)"),"")</f>
        <v/>
      </c>
      <c r="F315" s="4" t="str">
        <f t="shared" si="18"/>
        <v/>
      </c>
      <c r="G315" s="4" t="str">
        <f t="shared" si="19"/>
        <v/>
      </c>
      <c r="H315" s="4" t="str">
        <f t="shared" si="20"/>
        <v/>
      </c>
    </row>
    <row r="316" spans="1:8">
      <c r="A316" s="5" t="str">
        <f t="shared" si="21"/>
        <v/>
      </c>
      <c r="B316" s="5" t="str">
        <f t="shared" si="17"/>
        <v/>
      </c>
      <c r="C316" s="33" t="str" cm="1">
        <f t="array" ref="C316">IF(ISNUMBER(A316),IF(A316=A315,INDEX(BackgroundCalcs!$AV$2:$AV$500,'Grading Formulas'!$A316),"Question Results"),"")</f>
        <v/>
      </c>
      <c r="D316" s="8" t="str" cm="1">
        <f t="array" ref="D316">IF(ISNUMBER($A316),IF(A316=A315,INDEX(BackgroundCalcs!$AW$2:$AW$500,'Grading Formulas'!$A316),"C"&amp;A316+9),"")</f>
        <v/>
      </c>
      <c r="E316" s="4" t="str" cm="1">
        <f t="array" ref="E316">IF(ISNUMBER($A316),IF(A316=A315,"Reference2(False,True,"&amp;INDEX(BackgroundCalcs!$AX$2:$AX$500,'Grading Formulas'!$A316)&amp;")","MOEValue(.0001)"),"")</f>
        <v/>
      </c>
      <c r="F316" s="4" t="str">
        <f t="shared" si="18"/>
        <v/>
      </c>
      <c r="G316" s="4" t="str">
        <f t="shared" si="19"/>
        <v/>
      </c>
      <c r="H316" s="4" t="str">
        <f t="shared" si="20"/>
        <v/>
      </c>
    </row>
    <row r="317" spans="1:8">
      <c r="A317" s="5" t="str">
        <f t="shared" si="21"/>
        <v/>
      </c>
      <c r="B317" s="5" t="str">
        <f t="shared" si="17"/>
        <v/>
      </c>
      <c r="C317" s="33" t="str" cm="1">
        <f t="array" ref="C317">IF(ISNUMBER(A317),IF(A317=A316,INDEX(BackgroundCalcs!$AV$2:$AV$500,'Grading Formulas'!$A317),"Question Results"),"")</f>
        <v/>
      </c>
      <c r="D317" s="8" t="str" cm="1">
        <f t="array" ref="D317">IF(ISNUMBER($A317),IF(A317=A316,INDEX(BackgroundCalcs!$AW$2:$AW$500,'Grading Formulas'!$A317),"C"&amp;A317+9),"")</f>
        <v/>
      </c>
      <c r="E317" s="4" t="str" cm="1">
        <f t="array" ref="E317">IF(ISNUMBER($A317),IF(A317=A316,"Reference2(False,True,"&amp;INDEX(BackgroundCalcs!$AX$2:$AX$500,'Grading Formulas'!$A317)&amp;")","MOEValue(.0001)"),"")</f>
        <v/>
      </c>
      <c r="F317" s="4" t="str">
        <f t="shared" si="18"/>
        <v/>
      </c>
      <c r="G317" s="4" t="str">
        <f t="shared" si="19"/>
        <v/>
      </c>
      <c r="H317" s="4" t="str">
        <f t="shared" si="20"/>
        <v/>
      </c>
    </row>
    <row r="318" spans="1:8">
      <c r="A318" s="5" t="str">
        <f t="shared" si="21"/>
        <v/>
      </c>
      <c r="B318" s="5" t="str">
        <f t="shared" si="17"/>
        <v/>
      </c>
      <c r="C318" s="33" t="str" cm="1">
        <f t="array" ref="C318">IF(ISNUMBER(A318),IF(A318=A317,INDEX(BackgroundCalcs!$AV$2:$AV$500,'Grading Formulas'!$A318),"Question Results"),"")</f>
        <v/>
      </c>
      <c r="D318" s="8" t="str" cm="1">
        <f t="array" ref="D318">IF(ISNUMBER($A318),IF(A318=A317,INDEX(BackgroundCalcs!$AW$2:$AW$500,'Grading Formulas'!$A318),"C"&amp;A318+9),"")</f>
        <v/>
      </c>
      <c r="E318" s="4" t="str" cm="1">
        <f t="array" ref="E318">IF(ISNUMBER($A318),IF(A318=A317,"Reference2(False,True,"&amp;INDEX(BackgroundCalcs!$AX$2:$AX$500,'Grading Formulas'!$A318)&amp;")","MOEValue(.0001)"),"")</f>
        <v/>
      </c>
      <c r="F318" s="4" t="str">
        <f t="shared" si="18"/>
        <v/>
      </c>
      <c r="G318" s="4" t="str">
        <f t="shared" si="19"/>
        <v/>
      </c>
      <c r="H318" s="4" t="str">
        <f t="shared" si="20"/>
        <v/>
      </c>
    </row>
    <row r="319" spans="1:8">
      <c r="A319" s="5" t="str">
        <f t="shared" si="21"/>
        <v/>
      </c>
      <c r="B319" s="5" t="str">
        <f t="shared" si="17"/>
        <v/>
      </c>
      <c r="C319" s="33" t="str" cm="1">
        <f t="array" ref="C319">IF(ISNUMBER(A319),IF(A319=A318,INDEX(BackgroundCalcs!$AV$2:$AV$500,'Grading Formulas'!$A319),"Question Results"),"")</f>
        <v/>
      </c>
      <c r="D319" s="8" t="str" cm="1">
        <f t="array" ref="D319">IF(ISNUMBER($A319),IF(A319=A318,INDEX(BackgroundCalcs!$AW$2:$AW$500,'Grading Formulas'!$A319),"C"&amp;A319+9),"")</f>
        <v/>
      </c>
      <c r="E319" s="4" t="str" cm="1">
        <f t="array" ref="E319">IF(ISNUMBER($A319),IF(A319=A318,"Reference2(False,True,"&amp;INDEX(BackgroundCalcs!$AX$2:$AX$500,'Grading Formulas'!$A319)&amp;")","MOEValue(.0001)"),"")</f>
        <v/>
      </c>
      <c r="F319" s="4" t="str">
        <f t="shared" si="18"/>
        <v/>
      </c>
      <c r="G319" s="4" t="str">
        <f t="shared" si="19"/>
        <v/>
      </c>
      <c r="H319" s="4" t="str">
        <f t="shared" si="20"/>
        <v/>
      </c>
    </row>
    <row r="320" spans="1:8">
      <c r="A320" s="5" t="str">
        <f t="shared" si="21"/>
        <v/>
      </c>
      <c r="B320" s="5" t="str">
        <f t="shared" si="17"/>
        <v/>
      </c>
      <c r="C320" s="33" t="str" cm="1">
        <f t="array" ref="C320">IF(ISNUMBER(A320),IF(A320=A319,INDEX(BackgroundCalcs!$AV$2:$AV$500,'Grading Formulas'!$A320),"Question Results"),"")</f>
        <v/>
      </c>
      <c r="D320" s="8" t="str" cm="1">
        <f t="array" ref="D320">IF(ISNUMBER($A320),IF(A320=A319,INDEX(BackgroundCalcs!$AW$2:$AW$500,'Grading Formulas'!$A320),"C"&amp;A320+9),"")</f>
        <v/>
      </c>
      <c r="E320" s="4" t="str" cm="1">
        <f t="array" ref="E320">IF(ISNUMBER($A320),IF(A320=A319,"Reference2(False,True,"&amp;INDEX(BackgroundCalcs!$AX$2:$AX$500,'Grading Formulas'!$A320)&amp;")","MOEValue(.0001)"),"")</f>
        <v/>
      </c>
      <c r="F320" s="4" t="str">
        <f t="shared" si="18"/>
        <v/>
      </c>
      <c r="G320" s="4" t="str">
        <f t="shared" si="19"/>
        <v/>
      </c>
      <c r="H320" s="4" t="str">
        <f t="shared" si="20"/>
        <v/>
      </c>
    </row>
    <row r="321" spans="1:8">
      <c r="A321" s="5" t="str">
        <f t="shared" si="21"/>
        <v/>
      </c>
      <c r="B321" s="5" t="str">
        <f t="shared" si="17"/>
        <v/>
      </c>
      <c r="C321" s="33" t="str" cm="1">
        <f t="array" ref="C321">IF(ISNUMBER(A321),IF(A321=A320,INDEX(BackgroundCalcs!$AV$2:$AV$500,'Grading Formulas'!$A321),"Question Results"),"")</f>
        <v/>
      </c>
      <c r="D321" s="8" t="str" cm="1">
        <f t="array" ref="D321">IF(ISNUMBER($A321),IF(A321=A320,INDEX(BackgroundCalcs!$AW$2:$AW$500,'Grading Formulas'!$A321),"C"&amp;A321+9),"")</f>
        <v/>
      </c>
      <c r="E321" s="4" t="str" cm="1">
        <f t="array" ref="E321">IF(ISNUMBER($A321),IF(A321=A320,"Reference2(False,True,"&amp;INDEX(BackgroundCalcs!$AX$2:$AX$500,'Grading Formulas'!$A321)&amp;")","MOEValue(.0001)"),"")</f>
        <v/>
      </c>
      <c r="F321" s="4" t="str">
        <f t="shared" si="18"/>
        <v/>
      </c>
      <c r="G321" s="4" t="str">
        <f t="shared" si="19"/>
        <v/>
      </c>
      <c r="H321" s="4" t="str">
        <f t="shared" si="20"/>
        <v/>
      </c>
    </row>
    <row r="322" spans="1:8">
      <c r="A322" s="5" t="str">
        <f t="shared" si="21"/>
        <v/>
      </c>
      <c r="B322" s="5" t="str">
        <f t="shared" ref="B322:B385" si="22">IF(ISNUMBER(A322),"CELL","")</f>
        <v/>
      </c>
      <c r="C322" s="33" t="str" cm="1">
        <f t="array" ref="C322">IF(ISNUMBER(A322),IF(A322=A321,INDEX(BackgroundCalcs!$AV$2:$AV$500,'Grading Formulas'!$A322),"Question Results"),"")</f>
        <v/>
      </c>
      <c r="D322" s="8" t="str" cm="1">
        <f t="array" ref="D322">IF(ISNUMBER($A322),IF(A322=A321,INDEX(BackgroundCalcs!$AW$2:$AW$500,'Grading Formulas'!$A322),"C"&amp;A322+9),"")</f>
        <v/>
      </c>
      <c r="E322" s="4" t="str" cm="1">
        <f t="array" ref="E322">IF(ISNUMBER($A322),IF(A322=A321,"Reference2(False,True,"&amp;INDEX(BackgroundCalcs!$AX$2:$AX$500,'Grading Formulas'!$A322)&amp;")","MOEValue(.0001)"),"")</f>
        <v/>
      </c>
      <c r="F322" s="4" t="str">
        <f t="shared" si="18"/>
        <v/>
      </c>
      <c r="G322" s="4" t="str">
        <f t="shared" si="19"/>
        <v/>
      </c>
      <c r="H322" s="4" t="str">
        <f t="shared" si="20"/>
        <v/>
      </c>
    </row>
    <row r="323" spans="1:8">
      <c r="A323" s="5" t="str">
        <f t="shared" si="21"/>
        <v/>
      </c>
      <c r="B323" s="5" t="str">
        <f t="shared" si="22"/>
        <v/>
      </c>
      <c r="C323" s="33" t="str" cm="1">
        <f t="array" ref="C323">IF(ISNUMBER(A323),IF(A323=A322,INDEX(BackgroundCalcs!$AV$2:$AV$500,'Grading Formulas'!$A323),"Question Results"),"")</f>
        <v/>
      </c>
      <c r="D323" s="8" t="str" cm="1">
        <f t="array" ref="D323">IF(ISNUMBER($A323),IF(A323=A322,INDEX(BackgroundCalcs!$AW$2:$AW$500,'Grading Formulas'!$A323),"C"&amp;A323+9),"")</f>
        <v/>
      </c>
      <c r="E323" s="4" t="str" cm="1">
        <f t="array" ref="E323">IF(ISNUMBER($A323),IF(A323=A322,"Reference2(False,True,"&amp;INDEX(BackgroundCalcs!$AX$2:$AX$500,'Grading Formulas'!$A323)&amp;")","MOEValue(.0001)"),"")</f>
        <v/>
      </c>
      <c r="F323" s="4" t="str">
        <f t="shared" ref="F323:F386" si="23">IF(ISNUMBER($A323),IF(A323=A322,-1000,1),"")</f>
        <v/>
      </c>
      <c r="G323" s="4" t="str">
        <f t="shared" ref="G323:G386" si="24">IF(ISNUMBER($A323),IF(A323=A322,"You should not be referencing the answer cell","Correct"),"")</f>
        <v/>
      </c>
      <c r="H323" s="4" t="str">
        <f t="shared" ref="H323:H386" si="25">IF(ISNUMBER($A323),IF(A323=A322,"N/A","Incorrect"),"")</f>
        <v/>
      </c>
    </row>
    <row r="324" spans="1:8">
      <c r="A324" s="5" t="str">
        <f t="shared" ref="A324:A387" si="26">IF(A322&lt;NumAnswers,A322+1,"")</f>
        <v/>
      </c>
      <c r="B324" s="5" t="str">
        <f t="shared" si="22"/>
        <v/>
      </c>
      <c r="C324" s="33" t="str" cm="1">
        <f t="array" ref="C324">IF(ISNUMBER(A324),IF(A324=A323,INDEX(BackgroundCalcs!$AV$2:$AV$500,'Grading Formulas'!$A324),"Question Results"),"")</f>
        <v/>
      </c>
      <c r="D324" s="8" t="str" cm="1">
        <f t="array" ref="D324">IF(ISNUMBER($A324),IF(A324=A323,INDEX(BackgroundCalcs!$AW$2:$AW$500,'Grading Formulas'!$A324),"C"&amp;A324+9),"")</f>
        <v/>
      </c>
      <c r="E324" s="4" t="str" cm="1">
        <f t="array" ref="E324">IF(ISNUMBER($A324),IF(A324=A323,"Reference2(False,True,"&amp;INDEX(BackgroundCalcs!$AX$2:$AX$500,'Grading Formulas'!$A324)&amp;")","MOEValue(.0001)"),"")</f>
        <v/>
      </c>
      <c r="F324" s="4" t="str">
        <f t="shared" si="23"/>
        <v/>
      </c>
      <c r="G324" s="4" t="str">
        <f t="shared" si="24"/>
        <v/>
      </c>
      <c r="H324" s="4" t="str">
        <f t="shared" si="25"/>
        <v/>
      </c>
    </row>
    <row r="325" spans="1:8">
      <c r="A325" s="5" t="str">
        <f t="shared" si="26"/>
        <v/>
      </c>
      <c r="B325" s="5" t="str">
        <f t="shared" si="22"/>
        <v/>
      </c>
      <c r="C325" s="33" t="str" cm="1">
        <f t="array" ref="C325">IF(ISNUMBER(A325),IF(A325=A324,INDEX(BackgroundCalcs!$AV$2:$AV$500,'Grading Formulas'!$A325),"Question Results"),"")</f>
        <v/>
      </c>
      <c r="D325" s="8" t="str" cm="1">
        <f t="array" ref="D325">IF(ISNUMBER($A325),IF(A325=A324,INDEX(BackgroundCalcs!$AW$2:$AW$500,'Grading Formulas'!$A325),"C"&amp;A325+9),"")</f>
        <v/>
      </c>
      <c r="E325" s="4" t="str" cm="1">
        <f t="array" ref="E325">IF(ISNUMBER($A325),IF(A325=A324,"Reference2(False,True,"&amp;INDEX(BackgroundCalcs!$AX$2:$AX$500,'Grading Formulas'!$A325)&amp;")","MOEValue(.0001)"),"")</f>
        <v/>
      </c>
      <c r="F325" s="4" t="str">
        <f t="shared" si="23"/>
        <v/>
      </c>
      <c r="G325" s="4" t="str">
        <f t="shared" si="24"/>
        <v/>
      </c>
      <c r="H325" s="4" t="str">
        <f t="shared" si="25"/>
        <v/>
      </c>
    </row>
    <row r="326" spans="1:8">
      <c r="A326" s="5" t="str">
        <f t="shared" si="26"/>
        <v/>
      </c>
      <c r="B326" s="5" t="str">
        <f t="shared" si="22"/>
        <v/>
      </c>
      <c r="C326" s="33" t="str" cm="1">
        <f t="array" ref="C326">IF(ISNUMBER(A326),IF(A326=A325,INDEX(BackgroundCalcs!$AV$2:$AV$500,'Grading Formulas'!$A326),"Question Results"),"")</f>
        <v/>
      </c>
      <c r="D326" s="8" t="str" cm="1">
        <f t="array" ref="D326">IF(ISNUMBER($A326),IF(A326=A325,INDEX(BackgroundCalcs!$AW$2:$AW$500,'Grading Formulas'!$A326),"C"&amp;A326+9),"")</f>
        <v/>
      </c>
      <c r="E326" s="4" t="str" cm="1">
        <f t="array" ref="E326">IF(ISNUMBER($A326),IF(A326=A325,"Reference2(False,True,"&amp;INDEX(BackgroundCalcs!$AX$2:$AX$500,'Grading Formulas'!$A326)&amp;")","MOEValue(.0001)"),"")</f>
        <v/>
      </c>
      <c r="F326" s="4" t="str">
        <f t="shared" si="23"/>
        <v/>
      </c>
      <c r="G326" s="4" t="str">
        <f t="shared" si="24"/>
        <v/>
      </c>
      <c r="H326" s="4" t="str">
        <f t="shared" si="25"/>
        <v/>
      </c>
    </row>
    <row r="327" spans="1:8">
      <c r="A327" s="5" t="str">
        <f t="shared" si="26"/>
        <v/>
      </c>
      <c r="B327" s="5" t="str">
        <f t="shared" si="22"/>
        <v/>
      </c>
      <c r="C327" s="33" t="str" cm="1">
        <f t="array" ref="C327">IF(ISNUMBER(A327),IF(A327=A326,INDEX(BackgroundCalcs!$AV$2:$AV$500,'Grading Formulas'!$A327),"Question Results"),"")</f>
        <v/>
      </c>
      <c r="D327" s="8" t="str" cm="1">
        <f t="array" ref="D327">IF(ISNUMBER($A327),IF(A327=A326,INDEX(BackgroundCalcs!$AW$2:$AW$500,'Grading Formulas'!$A327),"C"&amp;A327+9),"")</f>
        <v/>
      </c>
      <c r="E327" s="4" t="str" cm="1">
        <f t="array" ref="E327">IF(ISNUMBER($A327),IF(A327=A326,"Reference2(False,True,"&amp;INDEX(BackgroundCalcs!$AX$2:$AX$500,'Grading Formulas'!$A327)&amp;")","MOEValue(.0001)"),"")</f>
        <v/>
      </c>
      <c r="F327" s="4" t="str">
        <f t="shared" si="23"/>
        <v/>
      </c>
      <c r="G327" s="4" t="str">
        <f t="shared" si="24"/>
        <v/>
      </c>
      <c r="H327" s="4" t="str">
        <f t="shared" si="25"/>
        <v/>
      </c>
    </row>
    <row r="328" spans="1:8">
      <c r="A328" s="5" t="str">
        <f t="shared" si="26"/>
        <v/>
      </c>
      <c r="B328" s="5" t="str">
        <f t="shared" si="22"/>
        <v/>
      </c>
      <c r="C328" s="33" t="str" cm="1">
        <f t="array" ref="C328">IF(ISNUMBER(A328),IF(A328=A327,INDEX(BackgroundCalcs!$AV$2:$AV$500,'Grading Formulas'!$A328),"Question Results"),"")</f>
        <v/>
      </c>
      <c r="D328" s="8" t="str" cm="1">
        <f t="array" ref="D328">IF(ISNUMBER($A328),IF(A328=A327,INDEX(BackgroundCalcs!$AW$2:$AW$500,'Grading Formulas'!$A328),"C"&amp;A328+9),"")</f>
        <v/>
      </c>
      <c r="E328" s="4" t="str" cm="1">
        <f t="array" ref="E328">IF(ISNUMBER($A328),IF(A328=A327,"Reference2(False,True,"&amp;INDEX(BackgroundCalcs!$AX$2:$AX$500,'Grading Formulas'!$A328)&amp;")","MOEValue(.0001)"),"")</f>
        <v/>
      </c>
      <c r="F328" s="4" t="str">
        <f t="shared" si="23"/>
        <v/>
      </c>
      <c r="G328" s="4" t="str">
        <f t="shared" si="24"/>
        <v/>
      </c>
      <c r="H328" s="4" t="str">
        <f t="shared" si="25"/>
        <v/>
      </c>
    </row>
    <row r="329" spans="1:8">
      <c r="A329" s="5" t="str">
        <f t="shared" si="26"/>
        <v/>
      </c>
      <c r="B329" s="5" t="str">
        <f t="shared" si="22"/>
        <v/>
      </c>
      <c r="C329" s="33" t="str" cm="1">
        <f t="array" ref="C329">IF(ISNUMBER(A329),IF(A329=A328,INDEX(BackgroundCalcs!$AV$2:$AV$500,'Grading Formulas'!$A329),"Question Results"),"")</f>
        <v/>
      </c>
      <c r="D329" s="8" t="str" cm="1">
        <f t="array" ref="D329">IF(ISNUMBER($A329),IF(A329=A328,INDEX(BackgroundCalcs!$AW$2:$AW$500,'Grading Formulas'!$A329),"C"&amp;A329+9),"")</f>
        <v/>
      </c>
      <c r="E329" s="4" t="str" cm="1">
        <f t="array" ref="E329">IF(ISNUMBER($A329),IF(A329=A328,"Reference2(False,True,"&amp;INDEX(BackgroundCalcs!$AX$2:$AX$500,'Grading Formulas'!$A329)&amp;")","MOEValue(.0001)"),"")</f>
        <v/>
      </c>
      <c r="F329" s="4" t="str">
        <f t="shared" si="23"/>
        <v/>
      </c>
      <c r="G329" s="4" t="str">
        <f t="shared" si="24"/>
        <v/>
      </c>
      <c r="H329" s="4" t="str">
        <f t="shared" si="25"/>
        <v/>
      </c>
    </row>
    <row r="330" spans="1:8">
      <c r="A330" s="5" t="str">
        <f t="shared" si="26"/>
        <v/>
      </c>
      <c r="B330" s="5" t="str">
        <f t="shared" si="22"/>
        <v/>
      </c>
      <c r="C330" s="33" t="str" cm="1">
        <f t="array" ref="C330">IF(ISNUMBER(A330),IF(A330=A329,INDEX(BackgroundCalcs!$AV$2:$AV$500,'Grading Formulas'!$A330),"Question Results"),"")</f>
        <v/>
      </c>
      <c r="D330" s="8" t="str" cm="1">
        <f t="array" ref="D330">IF(ISNUMBER($A330),IF(A330=A329,INDEX(BackgroundCalcs!$AW$2:$AW$500,'Grading Formulas'!$A330),"C"&amp;A330+9),"")</f>
        <v/>
      </c>
      <c r="E330" s="4" t="str" cm="1">
        <f t="array" ref="E330">IF(ISNUMBER($A330),IF(A330=A329,"Reference2(False,True,"&amp;INDEX(BackgroundCalcs!$AX$2:$AX$500,'Grading Formulas'!$A330)&amp;")","MOEValue(.0001)"),"")</f>
        <v/>
      </c>
      <c r="F330" s="4" t="str">
        <f t="shared" si="23"/>
        <v/>
      </c>
      <c r="G330" s="4" t="str">
        <f t="shared" si="24"/>
        <v/>
      </c>
      <c r="H330" s="4" t="str">
        <f t="shared" si="25"/>
        <v/>
      </c>
    </row>
    <row r="331" spans="1:8">
      <c r="A331" s="5" t="str">
        <f t="shared" si="26"/>
        <v/>
      </c>
      <c r="B331" s="5" t="str">
        <f t="shared" si="22"/>
        <v/>
      </c>
      <c r="C331" s="33" t="str" cm="1">
        <f t="array" ref="C331">IF(ISNUMBER(A331),IF(A331=A330,INDEX(BackgroundCalcs!$AV$2:$AV$500,'Grading Formulas'!$A331),"Question Results"),"")</f>
        <v/>
      </c>
      <c r="D331" s="8" t="str" cm="1">
        <f t="array" ref="D331">IF(ISNUMBER($A331),IF(A331=A330,INDEX(BackgroundCalcs!$AW$2:$AW$500,'Grading Formulas'!$A331),"C"&amp;A331+9),"")</f>
        <v/>
      </c>
      <c r="E331" s="4" t="str" cm="1">
        <f t="array" ref="E331">IF(ISNUMBER($A331),IF(A331=A330,"Reference2(False,True,"&amp;INDEX(BackgroundCalcs!$AX$2:$AX$500,'Grading Formulas'!$A331)&amp;")","MOEValue(.0001)"),"")</f>
        <v/>
      </c>
      <c r="F331" s="4" t="str">
        <f t="shared" si="23"/>
        <v/>
      </c>
      <c r="G331" s="4" t="str">
        <f t="shared" si="24"/>
        <v/>
      </c>
      <c r="H331" s="4" t="str">
        <f t="shared" si="25"/>
        <v/>
      </c>
    </row>
    <row r="332" spans="1:8">
      <c r="A332" s="5" t="str">
        <f t="shared" si="26"/>
        <v/>
      </c>
      <c r="B332" s="5" t="str">
        <f t="shared" si="22"/>
        <v/>
      </c>
      <c r="C332" s="33" t="str" cm="1">
        <f t="array" ref="C332">IF(ISNUMBER(A332),IF(A332=A331,INDEX(BackgroundCalcs!$AV$2:$AV$500,'Grading Formulas'!$A332),"Question Results"),"")</f>
        <v/>
      </c>
      <c r="D332" s="8" t="str" cm="1">
        <f t="array" ref="D332">IF(ISNUMBER($A332),IF(A332=A331,INDEX(BackgroundCalcs!$AW$2:$AW$500,'Grading Formulas'!$A332),"C"&amp;A332+9),"")</f>
        <v/>
      </c>
      <c r="E332" s="4" t="str" cm="1">
        <f t="array" ref="E332">IF(ISNUMBER($A332),IF(A332=A331,"Reference2(False,True,"&amp;INDEX(BackgroundCalcs!$AX$2:$AX$500,'Grading Formulas'!$A332)&amp;")","MOEValue(.0001)"),"")</f>
        <v/>
      </c>
      <c r="F332" s="4" t="str">
        <f t="shared" si="23"/>
        <v/>
      </c>
      <c r="G332" s="4" t="str">
        <f t="shared" si="24"/>
        <v/>
      </c>
      <c r="H332" s="4" t="str">
        <f t="shared" si="25"/>
        <v/>
      </c>
    </row>
    <row r="333" spans="1:8">
      <c r="A333" s="5" t="str">
        <f t="shared" si="26"/>
        <v/>
      </c>
      <c r="B333" s="5" t="str">
        <f t="shared" si="22"/>
        <v/>
      </c>
      <c r="C333" s="33" t="str" cm="1">
        <f t="array" ref="C333">IF(ISNUMBER(A333),IF(A333=A332,INDEX(BackgroundCalcs!$AV$2:$AV$500,'Grading Formulas'!$A333),"Question Results"),"")</f>
        <v/>
      </c>
      <c r="D333" s="8" t="str" cm="1">
        <f t="array" ref="D333">IF(ISNUMBER($A333),IF(A333=A332,INDEX(BackgroundCalcs!$AW$2:$AW$500,'Grading Formulas'!$A333),"C"&amp;A333+9),"")</f>
        <v/>
      </c>
      <c r="E333" s="4" t="str" cm="1">
        <f t="array" ref="E333">IF(ISNUMBER($A333),IF(A333=A332,"Reference2(False,True,"&amp;INDEX(BackgroundCalcs!$AX$2:$AX$500,'Grading Formulas'!$A333)&amp;")","MOEValue(.0001)"),"")</f>
        <v/>
      </c>
      <c r="F333" s="4" t="str">
        <f t="shared" si="23"/>
        <v/>
      </c>
      <c r="G333" s="4" t="str">
        <f t="shared" si="24"/>
        <v/>
      </c>
      <c r="H333" s="4" t="str">
        <f t="shared" si="25"/>
        <v/>
      </c>
    </row>
    <row r="334" spans="1:8">
      <c r="A334" s="5" t="str">
        <f t="shared" si="26"/>
        <v/>
      </c>
      <c r="B334" s="5" t="str">
        <f t="shared" si="22"/>
        <v/>
      </c>
      <c r="C334" s="33" t="str" cm="1">
        <f t="array" ref="C334">IF(ISNUMBER(A334),IF(A334=A333,INDEX(BackgroundCalcs!$AV$2:$AV$500,'Grading Formulas'!$A334),"Question Results"),"")</f>
        <v/>
      </c>
      <c r="D334" s="8" t="str" cm="1">
        <f t="array" ref="D334">IF(ISNUMBER($A334),IF(A334=A333,INDEX(BackgroundCalcs!$AW$2:$AW$500,'Grading Formulas'!$A334),"C"&amp;A334+9),"")</f>
        <v/>
      </c>
      <c r="E334" s="4" t="str" cm="1">
        <f t="array" ref="E334">IF(ISNUMBER($A334),IF(A334=A333,"Reference2(False,True,"&amp;INDEX(BackgroundCalcs!$AX$2:$AX$500,'Grading Formulas'!$A334)&amp;")","MOEValue(.0001)"),"")</f>
        <v/>
      </c>
      <c r="F334" s="4" t="str">
        <f t="shared" si="23"/>
        <v/>
      </c>
      <c r="G334" s="4" t="str">
        <f t="shared" si="24"/>
        <v/>
      </c>
      <c r="H334" s="4" t="str">
        <f t="shared" si="25"/>
        <v/>
      </c>
    </row>
    <row r="335" spans="1:8">
      <c r="A335" s="5" t="str">
        <f t="shared" si="26"/>
        <v/>
      </c>
      <c r="B335" s="5" t="str">
        <f t="shared" si="22"/>
        <v/>
      </c>
      <c r="C335" s="33" t="str" cm="1">
        <f t="array" ref="C335">IF(ISNUMBER(A335),IF(A335=A334,INDEX(BackgroundCalcs!$AV$2:$AV$500,'Grading Formulas'!$A335),"Question Results"),"")</f>
        <v/>
      </c>
      <c r="D335" s="8" t="str" cm="1">
        <f t="array" ref="D335">IF(ISNUMBER($A335),IF(A335=A334,INDEX(BackgroundCalcs!$AW$2:$AW$500,'Grading Formulas'!$A335),"C"&amp;A335+9),"")</f>
        <v/>
      </c>
      <c r="E335" s="4" t="str" cm="1">
        <f t="array" ref="E335">IF(ISNUMBER($A335),IF(A335=A334,"Reference2(False,True,"&amp;INDEX(BackgroundCalcs!$AX$2:$AX$500,'Grading Formulas'!$A335)&amp;")","MOEValue(.0001)"),"")</f>
        <v/>
      </c>
      <c r="F335" s="4" t="str">
        <f t="shared" si="23"/>
        <v/>
      </c>
      <c r="G335" s="4" t="str">
        <f t="shared" si="24"/>
        <v/>
      </c>
      <c r="H335" s="4" t="str">
        <f t="shared" si="25"/>
        <v/>
      </c>
    </row>
    <row r="336" spans="1:8">
      <c r="A336" s="5" t="str">
        <f t="shared" si="26"/>
        <v/>
      </c>
      <c r="B336" s="5" t="str">
        <f t="shared" si="22"/>
        <v/>
      </c>
      <c r="C336" s="33" t="str" cm="1">
        <f t="array" ref="C336">IF(ISNUMBER(A336),IF(A336=A335,INDEX(BackgroundCalcs!$AV$2:$AV$500,'Grading Formulas'!$A336),"Question Results"),"")</f>
        <v/>
      </c>
      <c r="D336" s="8" t="str" cm="1">
        <f t="array" ref="D336">IF(ISNUMBER($A336),IF(A336=A335,INDEX(BackgroundCalcs!$AW$2:$AW$500,'Grading Formulas'!$A336),"C"&amp;A336+9),"")</f>
        <v/>
      </c>
      <c r="E336" s="4" t="str" cm="1">
        <f t="array" ref="E336">IF(ISNUMBER($A336),IF(A336=A335,"Reference2(False,True,"&amp;INDEX(BackgroundCalcs!$AX$2:$AX$500,'Grading Formulas'!$A336)&amp;")","MOEValue(.0001)"),"")</f>
        <v/>
      </c>
      <c r="F336" s="4" t="str">
        <f t="shared" si="23"/>
        <v/>
      </c>
      <c r="G336" s="4" t="str">
        <f t="shared" si="24"/>
        <v/>
      </c>
      <c r="H336" s="4" t="str">
        <f t="shared" si="25"/>
        <v/>
      </c>
    </row>
    <row r="337" spans="1:8">
      <c r="A337" s="5" t="str">
        <f t="shared" si="26"/>
        <v/>
      </c>
      <c r="B337" s="5" t="str">
        <f t="shared" si="22"/>
        <v/>
      </c>
      <c r="C337" s="33" t="str" cm="1">
        <f t="array" ref="C337">IF(ISNUMBER(A337),IF(A337=A336,INDEX(BackgroundCalcs!$AV$2:$AV$500,'Grading Formulas'!$A337),"Question Results"),"")</f>
        <v/>
      </c>
      <c r="D337" s="8" t="str" cm="1">
        <f t="array" ref="D337">IF(ISNUMBER($A337),IF(A337=A336,INDEX(BackgroundCalcs!$AW$2:$AW$500,'Grading Formulas'!$A337),"C"&amp;A337+9),"")</f>
        <v/>
      </c>
      <c r="E337" s="4" t="str" cm="1">
        <f t="array" ref="E337">IF(ISNUMBER($A337),IF(A337=A336,"Reference2(False,True,"&amp;INDEX(BackgroundCalcs!$AX$2:$AX$500,'Grading Formulas'!$A337)&amp;")","MOEValue(.0001)"),"")</f>
        <v/>
      </c>
      <c r="F337" s="4" t="str">
        <f t="shared" si="23"/>
        <v/>
      </c>
      <c r="G337" s="4" t="str">
        <f t="shared" si="24"/>
        <v/>
      </c>
      <c r="H337" s="4" t="str">
        <f t="shared" si="25"/>
        <v/>
      </c>
    </row>
    <row r="338" spans="1:8">
      <c r="A338" s="5" t="str">
        <f t="shared" si="26"/>
        <v/>
      </c>
      <c r="B338" s="5" t="str">
        <f t="shared" si="22"/>
        <v/>
      </c>
      <c r="C338" s="33" t="str" cm="1">
        <f t="array" ref="C338">IF(ISNUMBER(A338),IF(A338=A337,INDEX(BackgroundCalcs!$AV$2:$AV$500,'Grading Formulas'!$A338),"Question Results"),"")</f>
        <v/>
      </c>
      <c r="D338" s="8" t="str" cm="1">
        <f t="array" ref="D338">IF(ISNUMBER($A338),IF(A338=A337,INDEX(BackgroundCalcs!$AW$2:$AW$500,'Grading Formulas'!$A338),"C"&amp;A338+9),"")</f>
        <v/>
      </c>
      <c r="E338" s="4" t="str" cm="1">
        <f t="array" ref="E338">IF(ISNUMBER($A338),IF(A338=A337,"Reference2(False,True,"&amp;INDEX(BackgroundCalcs!$AX$2:$AX$500,'Grading Formulas'!$A338)&amp;")","MOEValue(.0001)"),"")</f>
        <v/>
      </c>
      <c r="F338" s="4" t="str">
        <f t="shared" si="23"/>
        <v/>
      </c>
      <c r="G338" s="4" t="str">
        <f t="shared" si="24"/>
        <v/>
      </c>
      <c r="H338" s="4" t="str">
        <f t="shared" si="25"/>
        <v/>
      </c>
    </row>
    <row r="339" spans="1:8">
      <c r="A339" s="5" t="str">
        <f t="shared" si="26"/>
        <v/>
      </c>
      <c r="B339" s="5" t="str">
        <f t="shared" si="22"/>
        <v/>
      </c>
      <c r="C339" s="33" t="str" cm="1">
        <f t="array" ref="C339">IF(ISNUMBER(A339),IF(A339=A338,INDEX(BackgroundCalcs!$AV$2:$AV$500,'Grading Formulas'!$A339),"Question Results"),"")</f>
        <v/>
      </c>
      <c r="D339" s="8" t="str" cm="1">
        <f t="array" ref="D339">IF(ISNUMBER($A339),IF(A339=A338,INDEX(BackgroundCalcs!$AW$2:$AW$500,'Grading Formulas'!$A339),"C"&amp;A339+9),"")</f>
        <v/>
      </c>
      <c r="E339" s="4" t="str" cm="1">
        <f t="array" ref="E339">IF(ISNUMBER($A339),IF(A339=A338,"Reference2(False,True,"&amp;INDEX(BackgroundCalcs!$AX$2:$AX$500,'Grading Formulas'!$A339)&amp;")","MOEValue(.0001)"),"")</f>
        <v/>
      </c>
      <c r="F339" s="4" t="str">
        <f t="shared" si="23"/>
        <v/>
      </c>
      <c r="G339" s="4" t="str">
        <f t="shared" si="24"/>
        <v/>
      </c>
      <c r="H339" s="4" t="str">
        <f t="shared" si="25"/>
        <v/>
      </c>
    </row>
    <row r="340" spans="1:8">
      <c r="A340" s="5" t="str">
        <f t="shared" si="26"/>
        <v/>
      </c>
      <c r="B340" s="5" t="str">
        <f t="shared" si="22"/>
        <v/>
      </c>
      <c r="C340" s="33" t="str" cm="1">
        <f t="array" ref="C340">IF(ISNUMBER(A340),IF(A340=A339,INDEX(BackgroundCalcs!$AV$2:$AV$500,'Grading Formulas'!$A340),"Question Results"),"")</f>
        <v/>
      </c>
      <c r="D340" s="8" t="str" cm="1">
        <f t="array" ref="D340">IF(ISNUMBER($A340),IF(A340=A339,INDEX(BackgroundCalcs!$AW$2:$AW$500,'Grading Formulas'!$A340),"C"&amp;A340+9),"")</f>
        <v/>
      </c>
      <c r="E340" s="4" t="str" cm="1">
        <f t="array" ref="E340">IF(ISNUMBER($A340),IF(A340=A339,"Reference2(False,True,"&amp;INDEX(BackgroundCalcs!$AX$2:$AX$500,'Grading Formulas'!$A340)&amp;")","MOEValue(.0001)"),"")</f>
        <v/>
      </c>
      <c r="F340" s="4" t="str">
        <f t="shared" si="23"/>
        <v/>
      </c>
      <c r="G340" s="4" t="str">
        <f t="shared" si="24"/>
        <v/>
      </c>
      <c r="H340" s="4" t="str">
        <f t="shared" si="25"/>
        <v/>
      </c>
    </row>
    <row r="341" spans="1:8">
      <c r="A341" s="5" t="str">
        <f t="shared" si="26"/>
        <v/>
      </c>
      <c r="B341" s="5" t="str">
        <f t="shared" si="22"/>
        <v/>
      </c>
      <c r="C341" s="33" t="str" cm="1">
        <f t="array" ref="C341">IF(ISNUMBER(A341),IF(A341=A340,INDEX(BackgroundCalcs!$AV$2:$AV$500,'Grading Formulas'!$A341),"Question Results"),"")</f>
        <v/>
      </c>
      <c r="D341" s="8" t="str" cm="1">
        <f t="array" ref="D341">IF(ISNUMBER($A341),IF(A341=A340,INDEX(BackgroundCalcs!$AW$2:$AW$500,'Grading Formulas'!$A341),"C"&amp;A341+9),"")</f>
        <v/>
      </c>
      <c r="E341" s="4" t="str" cm="1">
        <f t="array" ref="E341">IF(ISNUMBER($A341),IF(A341=A340,"Reference2(False,True,"&amp;INDEX(BackgroundCalcs!$AX$2:$AX$500,'Grading Formulas'!$A341)&amp;")","MOEValue(.0001)"),"")</f>
        <v/>
      </c>
      <c r="F341" s="4" t="str">
        <f t="shared" si="23"/>
        <v/>
      </c>
      <c r="G341" s="4" t="str">
        <f t="shared" si="24"/>
        <v/>
      </c>
      <c r="H341" s="4" t="str">
        <f t="shared" si="25"/>
        <v/>
      </c>
    </row>
    <row r="342" spans="1:8">
      <c r="A342" s="5" t="str">
        <f t="shared" si="26"/>
        <v/>
      </c>
      <c r="B342" s="5" t="str">
        <f t="shared" si="22"/>
        <v/>
      </c>
      <c r="C342" s="33" t="str" cm="1">
        <f t="array" ref="C342">IF(ISNUMBER(A342),IF(A342=A341,INDEX(BackgroundCalcs!$AV$2:$AV$500,'Grading Formulas'!$A342),"Question Results"),"")</f>
        <v/>
      </c>
      <c r="D342" s="8" t="str" cm="1">
        <f t="array" ref="D342">IF(ISNUMBER($A342),IF(A342=A341,INDEX(BackgroundCalcs!$AW$2:$AW$500,'Grading Formulas'!$A342),"C"&amp;A342+9),"")</f>
        <v/>
      </c>
      <c r="E342" s="4" t="str" cm="1">
        <f t="array" ref="E342">IF(ISNUMBER($A342),IF(A342=A341,"Reference2(False,True,"&amp;INDEX(BackgroundCalcs!$AX$2:$AX$500,'Grading Formulas'!$A342)&amp;")","MOEValue(.0001)"),"")</f>
        <v/>
      </c>
      <c r="F342" s="4" t="str">
        <f t="shared" si="23"/>
        <v/>
      </c>
      <c r="G342" s="4" t="str">
        <f t="shared" si="24"/>
        <v/>
      </c>
      <c r="H342" s="4" t="str">
        <f t="shared" si="25"/>
        <v/>
      </c>
    </row>
    <row r="343" spans="1:8">
      <c r="A343" s="5" t="str">
        <f t="shared" si="26"/>
        <v/>
      </c>
      <c r="B343" s="5" t="str">
        <f t="shared" si="22"/>
        <v/>
      </c>
      <c r="C343" s="33" t="str" cm="1">
        <f t="array" ref="C343">IF(ISNUMBER(A343),IF(A343=A342,INDEX(BackgroundCalcs!$AV$2:$AV$500,'Grading Formulas'!$A343),"Question Results"),"")</f>
        <v/>
      </c>
      <c r="D343" s="8" t="str" cm="1">
        <f t="array" ref="D343">IF(ISNUMBER($A343),IF(A343=A342,INDEX(BackgroundCalcs!$AW$2:$AW$500,'Grading Formulas'!$A343),"C"&amp;A343+9),"")</f>
        <v/>
      </c>
      <c r="E343" s="4" t="str" cm="1">
        <f t="array" ref="E343">IF(ISNUMBER($A343),IF(A343=A342,"Reference2(False,True,"&amp;INDEX(BackgroundCalcs!$AX$2:$AX$500,'Grading Formulas'!$A343)&amp;")","MOEValue(.0001)"),"")</f>
        <v/>
      </c>
      <c r="F343" s="4" t="str">
        <f t="shared" si="23"/>
        <v/>
      </c>
      <c r="G343" s="4" t="str">
        <f t="shared" si="24"/>
        <v/>
      </c>
      <c r="H343" s="4" t="str">
        <f t="shared" si="25"/>
        <v/>
      </c>
    </row>
    <row r="344" spans="1:8">
      <c r="A344" s="5" t="str">
        <f t="shared" si="26"/>
        <v/>
      </c>
      <c r="B344" s="5" t="str">
        <f t="shared" si="22"/>
        <v/>
      </c>
      <c r="C344" s="33" t="str" cm="1">
        <f t="array" ref="C344">IF(ISNUMBER(A344),IF(A344=A343,INDEX(BackgroundCalcs!$AV$2:$AV$500,'Grading Formulas'!$A344),"Question Results"),"")</f>
        <v/>
      </c>
      <c r="D344" s="8" t="str" cm="1">
        <f t="array" ref="D344">IF(ISNUMBER($A344),IF(A344=A343,INDEX(BackgroundCalcs!$AW$2:$AW$500,'Grading Formulas'!$A344),"C"&amp;A344+9),"")</f>
        <v/>
      </c>
      <c r="E344" s="4" t="str" cm="1">
        <f t="array" ref="E344">IF(ISNUMBER($A344),IF(A344=A343,"Reference2(False,True,"&amp;INDEX(BackgroundCalcs!$AX$2:$AX$500,'Grading Formulas'!$A344)&amp;")","MOEValue(.0001)"),"")</f>
        <v/>
      </c>
      <c r="F344" s="4" t="str">
        <f t="shared" si="23"/>
        <v/>
      </c>
      <c r="G344" s="4" t="str">
        <f t="shared" si="24"/>
        <v/>
      </c>
      <c r="H344" s="4" t="str">
        <f t="shared" si="25"/>
        <v/>
      </c>
    </row>
    <row r="345" spans="1:8">
      <c r="A345" s="5" t="str">
        <f t="shared" si="26"/>
        <v/>
      </c>
      <c r="B345" s="5" t="str">
        <f t="shared" si="22"/>
        <v/>
      </c>
      <c r="C345" s="33" t="str" cm="1">
        <f t="array" ref="C345">IF(ISNUMBER(A345),IF(A345=A344,INDEX(BackgroundCalcs!$AV$2:$AV$500,'Grading Formulas'!$A345),"Question Results"),"")</f>
        <v/>
      </c>
      <c r="D345" s="8" t="str" cm="1">
        <f t="array" ref="D345">IF(ISNUMBER($A345),IF(A345=A344,INDEX(BackgroundCalcs!$AW$2:$AW$500,'Grading Formulas'!$A345),"C"&amp;A345+9),"")</f>
        <v/>
      </c>
      <c r="E345" s="4" t="str" cm="1">
        <f t="array" ref="E345">IF(ISNUMBER($A345),IF(A345=A344,"Reference2(False,True,"&amp;INDEX(BackgroundCalcs!$AX$2:$AX$500,'Grading Formulas'!$A345)&amp;")","MOEValue(.0001)"),"")</f>
        <v/>
      </c>
      <c r="F345" s="4" t="str">
        <f t="shared" si="23"/>
        <v/>
      </c>
      <c r="G345" s="4" t="str">
        <f t="shared" si="24"/>
        <v/>
      </c>
      <c r="H345" s="4" t="str">
        <f t="shared" si="25"/>
        <v/>
      </c>
    </row>
    <row r="346" spans="1:8">
      <c r="A346" s="5" t="str">
        <f t="shared" si="26"/>
        <v/>
      </c>
      <c r="B346" s="5" t="str">
        <f t="shared" si="22"/>
        <v/>
      </c>
      <c r="C346" s="33" t="str" cm="1">
        <f t="array" ref="C346">IF(ISNUMBER(A346),IF(A346=A345,INDEX(BackgroundCalcs!$AV$2:$AV$500,'Grading Formulas'!$A346),"Question Results"),"")</f>
        <v/>
      </c>
      <c r="D346" s="8" t="str" cm="1">
        <f t="array" ref="D346">IF(ISNUMBER($A346),IF(A346=A345,INDEX(BackgroundCalcs!$AW$2:$AW$500,'Grading Formulas'!$A346),"C"&amp;A346+9),"")</f>
        <v/>
      </c>
      <c r="E346" s="4" t="str" cm="1">
        <f t="array" ref="E346">IF(ISNUMBER($A346),IF(A346=A345,"Reference2(False,True,"&amp;INDEX(BackgroundCalcs!$AX$2:$AX$500,'Grading Formulas'!$A346)&amp;")","MOEValue(.0001)"),"")</f>
        <v/>
      </c>
      <c r="F346" s="4" t="str">
        <f t="shared" si="23"/>
        <v/>
      </c>
      <c r="G346" s="4" t="str">
        <f t="shared" si="24"/>
        <v/>
      </c>
      <c r="H346" s="4" t="str">
        <f t="shared" si="25"/>
        <v/>
      </c>
    </row>
    <row r="347" spans="1:8">
      <c r="A347" s="5" t="str">
        <f t="shared" si="26"/>
        <v/>
      </c>
      <c r="B347" s="5" t="str">
        <f t="shared" si="22"/>
        <v/>
      </c>
      <c r="C347" s="33" t="str" cm="1">
        <f t="array" ref="C347">IF(ISNUMBER(A347),IF(A347=A346,INDEX(BackgroundCalcs!$AV$2:$AV$500,'Grading Formulas'!$A347),"Question Results"),"")</f>
        <v/>
      </c>
      <c r="D347" s="8" t="str" cm="1">
        <f t="array" ref="D347">IF(ISNUMBER($A347),IF(A347=A346,INDEX(BackgroundCalcs!$AW$2:$AW$500,'Grading Formulas'!$A347),"C"&amp;A347+9),"")</f>
        <v/>
      </c>
      <c r="E347" s="4" t="str" cm="1">
        <f t="array" ref="E347">IF(ISNUMBER($A347),IF(A347=A346,"Reference2(False,True,"&amp;INDEX(BackgroundCalcs!$AX$2:$AX$500,'Grading Formulas'!$A347)&amp;")","MOEValue(.0001)"),"")</f>
        <v/>
      </c>
      <c r="F347" s="4" t="str">
        <f t="shared" si="23"/>
        <v/>
      </c>
      <c r="G347" s="4" t="str">
        <f t="shared" si="24"/>
        <v/>
      </c>
      <c r="H347" s="4" t="str">
        <f t="shared" si="25"/>
        <v/>
      </c>
    </row>
    <row r="348" spans="1:8">
      <c r="A348" s="5" t="str">
        <f t="shared" si="26"/>
        <v/>
      </c>
      <c r="B348" s="5" t="str">
        <f t="shared" si="22"/>
        <v/>
      </c>
      <c r="C348" s="33" t="str" cm="1">
        <f t="array" ref="C348">IF(ISNUMBER(A348),IF(A348=A347,INDEX(BackgroundCalcs!$AV$2:$AV$500,'Grading Formulas'!$A348),"Question Results"),"")</f>
        <v/>
      </c>
      <c r="D348" s="8" t="str" cm="1">
        <f t="array" ref="D348">IF(ISNUMBER($A348),IF(A348=A347,INDEX(BackgroundCalcs!$AW$2:$AW$500,'Grading Formulas'!$A348),"C"&amp;A348+9),"")</f>
        <v/>
      </c>
      <c r="E348" s="4" t="str" cm="1">
        <f t="array" ref="E348">IF(ISNUMBER($A348),IF(A348=A347,"Reference2(False,True,"&amp;INDEX(BackgroundCalcs!$AX$2:$AX$500,'Grading Formulas'!$A348)&amp;")","MOEValue(.0001)"),"")</f>
        <v/>
      </c>
      <c r="F348" s="4" t="str">
        <f t="shared" si="23"/>
        <v/>
      </c>
      <c r="G348" s="4" t="str">
        <f t="shared" si="24"/>
        <v/>
      </c>
      <c r="H348" s="4" t="str">
        <f t="shared" si="25"/>
        <v/>
      </c>
    </row>
    <row r="349" spans="1:8">
      <c r="A349" s="5" t="str">
        <f t="shared" si="26"/>
        <v/>
      </c>
      <c r="B349" s="5" t="str">
        <f t="shared" si="22"/>
        <v/>
      </c>
      <c r="C349" s="33" t="str" cm="1">
        <f t="array" ref="C349">IF(ISNUMBER(A349),IF(A349=A348,INDEX(BackgroundCalcs!$AV$2:$AV$500,'Grading Formulas'!$A349),"Question Results"),"")</f>
        <v/>
      </c>
      <c r="D349" s="8" t="str" cm="1">
        <f t="array" ref="D349">IF(ISNUMBER($A349),IF(A349=A348,INDEX(BackgroundCalcs!$AW$2:$AW$500,'Grading Formulas'!$A349),"C"&amp;A349+9),"")</f>
        <v/>
      </c>
      <c r="E349" s="4" t="str" cm="1">
        <f t="array" ref="E349">IF(ISNUMBER($A349),IF(A349=A348,"Reference2(False,True,"&amp;INDEX(BackgroundCalcs!$AX$2:$AX$500,'Grading Formulas'!$A349)&amp;")","MOEValue(.0001)"),"")</f>
        <v/>
      </c>
      <c r="F349" s="4" t="str">
        <f t="shared" si="23"/>
        <v/>
      </c>
      <c r="G349" s="4" t="str">
        <f t="shared" si="24"/>
        <v/>
      </c>
      <c r="H349" s="4" t="str">
        <f t="shared" si="25"/>
        <v/>
      </c>
    </row>
    <row r="350" spans="1:8">
      <c r="A350" s="5" t="str">
        <f t="shared" si="26"/>
        <v/>
      </c>
      <c r="B350" s="5" t="str">
        <f t="shared" si="22"/>
        <v/>
      </c>
      <c r="C350" s="33" t="str" cm="1">
        <f t="array" ref="C350">IF(ISNUMBER(A350),IF(A350=A349,INDEX(BackgroundCalcs!$AV$2:$AV$500,'Grading Formulas'!$A350),"Question Results"),"")</f>
        <v/>
      </c>
      <c r="D350" s="8" t="str" cm="1">
        <f t="array" ref="D350">IF(ISNUMBER($A350),IF(A350=A349,INDEX(BackgroundCalcs!$AW$2:$AW$500,'Grading Formulas'!$A350),"C"&amp;A350+9),"")</f>
        <v/>
      </c>
      <c r="E350" s="4" t="str" cm="1">
        <f t="array" ref="E350">IF(ISNUMBER($A350),IF(A350=A349,"Reference2(False,True,"&amp;INDEX(BackgroundCalcs!$AX$2:$AX$500,'Grading Formulas'!$A350)&amp;")","MOEValue(.0001)"),"")</f>
        <v/>
      </c>
      <c r="F350" s="4" t="str">
        <f t="shared" si="23"/>
        <v/>
      </c>
      <c r="G350" s="4" t="str">
        <f t="shared" si="24"/>
        <v/>
      </c>
      <c r="H350" s="4" t="str">
        <f t="shared" si="25"/>
        <v/>
      </c>
    </row>
    <row r="351" spans="1:8">
      <c r="A351" s="5" t="str">
        <f t="shared" si="26"/>
        <v/>
      </c>
      <c r="B351" s="5" t="str">
        <f t="shared" si="22"/>
        <v/>
      </c>
      <c r="C351" s="33" t="str" cm="1">
        <f t="array" ref="C351">IF(ISNUMBER(A351),IF(A351=A350,INDEX(BackgroundCalcs!$AV$2:$AV$500,'Grading Formulas'!$A351),"Question Results"),"")</f>
        <v/>
      </c>
      <c r="D351" s="8" t="str" cm="1">
        <f t="array" ref="D351">IF(ISNUMBER($A351),IF(A351=A350,INDEX(BackgroundCalcs!$AW$2:$AW$500,'Grading Formulas'!$A351),"C"&amp;A351+9),"")</f>
        <v/>
      </c>
      <c r="E351" s="4" t="str" cm="1">
        <f t="array" ref="E351">IF(ISNUMBER($A351),IF(A351=A350,"Reference2(False,True,"&amp;INDEX(BackgroundCalcs!$AX$2:$AX$500,'Grading Formulas'!$A351)&amp;")","MOEValue(.0001)"),"")</f>
        <v/>
      </c>
      <c r="F351" s="4" t="str">
        <f t="shared" si="23"/>
        <v/>
      </c>
      <c r="G351" s="4" t="str">
        <f t="shared" si="24"/>
        <v/>
      </c>
      <c r="H351" s="4" t="str">
        <f t="shared" si="25"/>
        <v/>
      </c>
    </row>
    <row r="352" spans="1:8">
      <c r="A352" s="5" t="str">
        <f t="shared" si="26"/>
        <v/>
      </c>
      <c r="B352" s="5" t="str">
        <f t="shared" si="22"/>
        <v/>
      </c>
      <c r="C352" s="33" t="str" cm="1">
        <f t="array" ref="C352">IF(ISNUMBER(A352),IF(A352=A351,INDEX(BackgroundCalcs!$AV$2:$AV$500,'Grading Formulas'!$A352),"Question Results"),"")</f>
        <v/>
      </c>
      <c r="D352" s="8" t="str" cm="1">
        <f t="array" ref="D352">IF(ISNUMBER($A352),IF(A352=A351,INDEX(BackgroundCalcs!$AW$2:$AW$500,'Grading Formulas'!$A352),"C"&amp;A352+9),"")</f>
        <v/>
      </c>
      <c r="E352" s="4" t="str" cm="1">
        <f t="array" ref="E352">IF(ISNUMBER($A352),IF(A352=A351,"Reference2(False,True,"&amp;INDEX(BackgroundCalcs!$AX$2:$AX$500,'Grading Formulas'!$A352)&amp;")","MOEValue(.0001)"),"")</f>
        <v/>
      </c>
      <c r="F352" s="4" t="str">
        <f t="shared" si="23"/>
        <v/>
      </c>
      <c r="G352" s="4" t="str">
        <f t="shared" si="24"/>
        <v/>
      </c>
      <c r="H352" s="4" t="str">
        <f t="shared" si="25"/>
        <v/>
      </c>
    </row>
    <row r="353" spans="1:8">
      <c r="A353" s="5" t="str">
        <f t="shared" si="26"/>
        <v/>
      </c>
      <c r="B353" s="5" t="str">
        <f t="shared" si="22"/>
        <v/>
      </c>
      <c r="C353" s="33" t="str" cm="1">
        <f t="array" ref="C353">IF(ISNUMBER(A353),IF(A353=A352,INDEX(BackgroundCalcs!$AV$2:$AV$500,'Grading Formulas'!$A353),"Question Results"),"")</f>
        <v/>
      </c>
      <c r="D353" s="8" t="str" cm="1">
        <f t="array" ref="D353">IF(ISNUMBER($A353),IF(A353=A352,INDEX(BackgroundCalcs!$AW$2:$AW$500,'Grading Formulas'!$A353),"C"&amp;A353+9),"")</f>
        <v/>
      </c>
      <c r="E353" s="4" t="str" cm="1">
        <f t="array" ref="E353">IF(ISNUMBER($A353),IF(A353=A352,"Reference2(False,True,"&amp;INDEX(BackgroundCalcs!$AX$2:$AX$500,'Grading Formulas'!$A353)&amp;")","MOEValue(.0001)"),"")</f>
        <v/>
      </c>
      <c r="F353" s="4" t="str">
        <f t="shared" si="23"/>
        <v/>
      </c>
      <c r="G353" s="4" t="str">
        <f t="shared" si="24"/>
        <v/>
      </c>
      <c r="H353" s="4" t="str">
        <f t="shared" si="25"/>
        <v/>
      </c>
    </row>
    <row r="354" spans="1:8">
      <c r="A354" s="5" t="str">
        <f t="shared" si="26"/>
        <v/>
      </c>
      <c r="B354" s="5" t="str">
        <f t="shared" si="22"/>
        <v/>
      </c>
      <c r="C354" s="33" t="str" cm="1">
        <f t="array" ref="C354">IF(ISNUMBER(A354),IF(A354=A353,INDEX(BackgroundCalcs!$AV$2:$AV$500,'Grading Formulas'!$A354),"Question Results"),"")</f>
        <v/>
      </c>
      <c r="D354" s="8" t="str" cm="1">
        <f t="array" ref="D354">IF(ISNUMBER($A354),IF(A354=A353,INDEX(BackgroundCalcs!$AW$2:$AW$500,'Grading Formulas'!$A354),"C"&amp;A354+9),"")</f>
        <v/>
      </c>
      <c r="E354" s="4" t="str" cm="1">
        <f t="array" ref="E354">IF(ISNUMBER($A354),IF(A354=A353,"Reference2(False,True,"&amp;INDEX(BackgroundCalcs!$AX$2:$AX$500,'Grading Formulas'!$A354)&amp;")","MOEValue(.0001)"),"")</f>
        <v/>
      </c>
      <c r="F354" s="4" t="str">
        <f t="shared" si="23"/>
        <v/>
      </c>
      <c r="G354" s="4" t="str">
        <f t="shared" si="24"/>
        <v/>
      </c>
      <c r="H354" s="4" t="str">
        <f t="shared" si="25"/>
        <v/>
      </c>
    </row>
    <row r="355" spans="1:8">
      <c r="A355" s="5" t="str">
        <f t="shared" si="26"/>
        <v/>
      </c>
      <c r="B355" s="5" t="str">
        <f t="shared" si="22"/>
        <v/>
      </c>
      <c r="C355" s="33" t="str" cm="1">
        <f t="array" ref="C355">IF(ISNUMBER(A355),IF(A355=A354,INDEX(BackgroundCalcs!$AV$2:$AV$500,'Grading Formulas'!$A355),"Question Results"),"")</f>
        <v/>
      </c>
      <c r="D355" s="8" t="str" cm="1">
        <f t="array" ref="D355">IF(ISNUMBER($A355),IF(A355=A354,INDEX(BackgroundCalcs!$AW$2:$AW$500,'Grading Formulas'!$A355),"C"&amp;A355+9),"")</f>
        <v/>
      </c>
      <c r="E355" s="4" t="str" cm="1">
        <f t="array" ref="E355">IF(ISNUMBER($A355),IF(A355=A354,"Reference2(False,True,"&amp;INDEX(BackgroundCalcs!$AX$2:$AX$500,'Grading Formulas'!$A355)&amp;")","MOEValue(.0001)"),"")</f>
        <v/>
      </c>
      <c r="F355" s="4" t="str">
        <f t="shared" si="23"/>
        <v/>
      </c>
      <c r="G355" s="4" t="str">
        <f t="shared" si="24"/>
        <v/>
      </c>
      <c r="H355" s="4" t="str">
        <f t="shared" si="25"/>
        <v/>
      </c>
    </row>
    <row r="356" spans="1:8">
      <c r="A356" s="5" t="str">
        <f t="shared" si="26"/>
        <v/>
      </c>
      <c r="B356" s="5" t="str">
        <f t="shared" si="22"/>
        <v/>
      </c>
      <c r="C356" s="33" t="str" cm="1">
        <f t="array" ref="C356">IF(ISNUMBER(A356),IF(A356=A355,INDEX(BackgroundCalcs!$AV$2:$AV$500,'Grading Formulas'!$A356),"Question Results"),"")</f>
        <v/>
      </c>
      <c r="D356" s="8" t="str" cm="1">
        <f t="array" ref="D356">IF(ISNUMBER($A356),IF(A356=A355,INDEX(BackgroundCalcs!$AW$2:$AW$500,'Grading Formulas'!$A356),"C"&amp;A356+9),"")</f>
        <v/>
      </c>
      <c r="E356" s="4" t="str" cm="1">
        <f t="array" ref="E356">IF(ISNUMBER($A356),IF(A356=A355,"Reference2(False,True,"&amp;INDEX(BackgroundCalcs!$AX$2:$AX$500,'Grading Formulas'!$A356)&amp;")","MOEValue(.0001)"),"")</f>
        <v/>
      </c>
      <c r="F356" s="4" t="str">
        <f t="shared" si="23"/>
        <v/>
      </c>
      <c r="G356" s="4" t="str">
        <f t="shared" si="24"/>
        <v/>
      </c>
      <c r="H356" s="4" t="str">
        <f t="shared" si="25"/>
        <v/>
      </c>
    </row>
    <row r="357" spans="1:8">
      <c r="A357" s="5" t="str">
        <f t="shared" si="26"/>
        <v/>
      </c>
      <c r="B357" s="5" t="str">
        <f t="shared" si="22"/>
        <v/>
      </c>
      <c r="C357" s="33" t="str" cm="1">
        <f t="array" ref="C357">IF(ISNUMBER(A357),IF(A357=A356,INDEX(BackgroundCalcs!$AV$2:$AV$500,'Grading Formulas'!$A357),"Question Results"),"")</f>
        <v/>
      </c>
      <c r="D357" s="8" t="str" cm="1">
        <f t="array" ref="D357">IF(ISNUMBER($A357),IF(A357=A356,INDEX(BackgroundCalcs!$AW$2:$AW$500,'Grading Formulas'!$A357),"C"&amp;A357+9),"")</f>
        <v/>
      </c>
      <c r="E357" s="4" t="str" cm="1">
        <f t="array" ref="E357">IF(ISNUMBER($A357),IF(A357=A356,"Reference2(False,True,"&amp;INDEX(BackgroundCalcs!$AX$2:$AX$500,'Grading Formulas'!$A357)&amp;")","MOEValue(.0001)"),"")</f>
        <v/>
      </c>
      <c r="F357" s="4" t="str">
        <f t="shared" si="23"/>
        <v/>
      </c>
      <c r="G357" s="4" t="str">
        <f t="shared" si="24"/>
        <v/>
      </c>
      <c r="H357" s="4" t="str">
        <f t="shared" si="25"/>
        <v/>
      </c>
    </row>
    <row r="358" spans="1:8">
      <c r="A358" s="5" t="str">
        <f t="shared" si="26"/>
        <v/>
      </c>
      <c r="B358" s="5" t="str">
        <f t="shared" si="22"/>
        <v/>
      </c>
      <c r="C358" s="33" t="str" cm="1">
        <f t="array" ref="C358">IF(ISNUMBER(A358),IF(A358=A357,INDEX(BackgroundCalcs!$AV$2:$AV$500,'Grading Formulas'!$A358),"Question Results"),"")</f>
        <v/>
      </c>
      <c r="D358" s="8" t="str" cm="1">
        <f t="array" ref="D358">IF(ISNUMBER($A358),IF(A358=A357,INDEX(BackgroundCalcs!$AW$2:$AW$500,'Grading Formulas'!$A358),"C"&amp;A358+9),"")</f>
        <v/>
      </c>
      <c r="E358" s="4" t="str" cm="1">
        <f t="array" ref="E358">IF(ISNUMBER($A358),IF(A358=A357,"Reference2(False,True,"&amp;INDEX(BackgroundCalcs!$AX$2:$AX$500,'Grading Formulas'!$A358)&amp;")","MOEValue(.0001)"),"")</f>
        <v/>
      </c>
      <c r="F358" s="4" t="str">
        <f t="shared" si="23"/>
        <v/>
      </c>
      <c r="G358" s="4" t="str">
        <f t="shared" si="24"/>
        <v/>
      </c>
      <c r="H358" s="4" t="str">
        <f t="shared" si="25"/>
        <v/>
      </c>
    </row>
    <row r="359" spans="1:8">
      <c r="A359" s="5" t="str">
        <f t="shared" si="26"/>
        <v/>
      </c>
      <c r="B359" s="5" t="str">
        <f t="shared" si="22"/>
        <v/>
      </c>
      <c r="C359" s="33" t="str" cm="1">
        <f t="array" ref="C359">IF(ISNUMBER(A359),IF(A359=A358,INDEX(BackgroundCalcs!$AV$2:$AV$500,'Grading Formulas'!$A359),"Question Results"),"")</f>
        <v/>
      </c>
      <c r="D359" s="8" t="str" cm="1">
        <f t="array" ref="D359">IF(ISNUMBER($A359),IF(A359=A358,INDEX(BackgroundCalcs!$AW$2:$AW$500,'Grading Formulas'!$A359),"C"&amp;A359+9),"")</f>
        <v/>
      </c>
      <c r="E359" s="4" t="str" cm="1">
        <f t="array" ref="E359">IF(ISNUMBER($A359),IF(A359=A358,"Reference2(False,True,"&amp;INDEX(BackgroundCalcs!$AX$2:$AX$500,'Grading Formulas'!$A359)&amp;")","MOEValue(.0001)"),"")</f>
        <v/>
      </c>
      <c r="F359" s="4" t="str">
        <f t="shared" si="23"/>
        <v/>
      </c>
      <c r="G359" s="4" t="str">
        <f t="shared" si="24"/>
        <v/>
      </c>
      <c r="H359" s="4" t="str">
        <f t="shared" si="25"/>
        <v/>
      </c>
    </row>
    <row r="360" spans="1:8">
      <c r="A360" s="5" t="str">
        <f t="shared" si="26"/>
        <v/>
      </c>
      <c r="B360" s="5" t="str">
        <f t="shared" si="22"/>
        <v/>
      </c>
      <c r="C360" s="33" t="str" cm="1">
        <f t="array" ref="C360">IF(ISNUMBER(A360),IF(A360=A359,INDEX(BackgroundCalcs!$AV$2:$AV$500,'Grading Formulas'!$A360),"Question Results"),"")</f>
        <v/>
      </c>
      <c r="D360" s="8" t="str" cm="1">
        <f t="array" ref="D360">IF(ISNUMBER($A360),IF(A360=A359,INDEX(BackgroundCalcs!$AW$2:$AW$500,'Grading Formulas'!$A360),"C"&amp;A360+9),"")</f>
        <v/>
      </c>
      <c r="E360" s="4" t="str" cm="1">
        <f t="array" ref="E360">IF(ISNUMBER($A360),IF(A360=A359,"Reference2(False,True,"&amp;INDEX(BackgroundCalcs!$AX$2:$AX$500,'Grading Formulas'!$A360)&amp;")","MOEValue(.0001)"),"")</f>
        <v/>
      </c>
      <c r="F360" s="4" t="str">
        <f t="shared" si="23"/>
        <v/>
      </c>
      <c r="G360" s="4" t="str">
        <f t="shared" si="24"/>
        <v/>
      </c>
      <c r="H360" s="4" t="str">
        <f t="shared" si="25"/>
        <v/>
      </c>
    </row>
    <row r="361" spans="1:8">
      <c r="A361" s="5" t="str">
        <f t="shared" si="26"/>
        <v/>
      </c>
      <c r="B361" s="5" t="str">
        <f t="shared" si="22"/>
        <v/>
      </c>
      <c r="C361" s="33" t="str" cm="1">
        <f t="array" ref="C361">IF(ISNUMBER(A361),IF(A361=A360,INDEX(BackgroundCalcs!$AV$2:$AV$500,'Grading Formulas'!$A361),"Question Results"),"")</f>
        <v/>
      </c>
      <c r="D361" s="8" t="str" cm="1">
        <f t="array" ref="D361">IF(ISNUMBER($A361),IF(A361=A360,INDEX(BackgroundCalcs!$AW$2:$AW$500,'Grading Formulas'!$A361),"C"&amp;A361+9),"")</f>
        <v/>
      </c>
      <c r="E361" s="4" t="str" cm="1">
        <f t="array" ref="E361">IF(ISNUMBER($A361),IF(A361=A360,"Reference2(False,True,"&amp;INDEX(BackgroundCalcs!$AX$2:$AX$500,'Grading Formulas'!$A361)&amp;")","MOEValue(.0001)"),"")</f>
        <v/>
      </c>
      <c r="F361" s="4" t="str">
        <f t="shared" si="23"/>
        <v/>
      </c>
      <c r="G361" s="4" t="str">
        <f t="shared" si="24"/>
        <v/>
      </c>
      <c r="H361" s="4" t="str">
        <f t="shared" si="25"/>
        <v/>
      </c>
    </row>
    <row r="362" spans="1:8">
      <c r="A362" s="5" t="str">
        <f t="shared" si="26"/>
        <v/>
      </c>
      <c r="B362" s="5" t="str">
        <f t="shared" si="22"/>
        <v/>
      </c>
      <c r="C362" s="33" t="str" cm="1">
        <f t="array" ref="C362">IF(ISNUMBER(A362),IF(A362=A361,INDEX(BackgroundCalcs!$AV$2:$AV$500,'Grading Formulas'!$A362),"Question Results"),"")</f>
        <v/>
      </c>
      <c r="D362" s="8" t="str" cm="1">
        <f t="array" ref="D362">IF(ISNUMBER($A362),IF(A362=A361,INDEX(BackgroundCalcs!$AW$2:$AW$500,'Grading Formulas'!$A362),"C"&amp;A362+9),"")</f>
        <v/>
      </c>
      <c r="E362" s="4" t="str" cm="1">
        <f t="array" ref="E362">IF(ISNUMBER($A362),IF(A362=A361,"Reference2(False,True,"&amp;INDEX(BackgroundCalcs!$AX$2:$AX$500,'Grading Formulas'!$A362)&amp;")","MOEValue(.0001)"),"")</f>
        <v/>
      </c>
      <c r="F362" s="4" t="str">
        <f t="shared" si="23"/>
        <v/>
      </c>
      <c r="G362" s="4" t="str">
        <f t="shared" si="24"/>
        <v/>
      </c>
      <c r="H362" s="4" t="str">
        <f t="shared" si="25"/>
        <v/>
      </c>
    </row>
    <row r="363" spans="1:8">
      <c r="A363" s="5" t="str">
        <f t="shared" si="26"/>
        <v/>
      </c>
      <c r="B363" s="5" t="str">
        <f t="shared" si="22"/>
        <v/>
      </c>
      <c r="C363" s="33" t="str" cm="1">
        <f t="array" ref="C363">IF(ISNUMBER(A363),IF(A363=A362,INDEX(BackgroundCalcs!$AV$2:$AV$500,'Grading Formulas'!$A363),"Question Results"),"")</f>
        <v/>
      </c>
      <c r="D363" s="8" t="str" cm="1">
        <f t="array" ref="D363">IF(ISNUMBER($A363),IF(A363=A362,INDEX(BackgroundCalcs!$AW$2:$AW$500,'Grading Formulas'!$A363),"C"&amp;A363+9),"")</f>
        <v/>
      </c>
      <c r="E363" s="4" t="str" cm="1">
        <f t="array" ref="E363">IF(ISNUMBER($A363),IF(A363=A362,"Reference2(False,True,"&amp;INDEX(BackgroundCalcs!$AX$2:$AX$500,'Grading Formulas'!$A363)&amp;")","MOEValue(.0001)"),"")</f>
        <v/>
      </c>
      <c r="F363" s="4" t="str">
        <f t="shared" si="23"/>
        <v/>
      </c>
      <c r="G363" s="4" t="str">
        <f t="shared" si="24"/>
        <v/>
      </c>
      <c r="H363" s="4" t="str">
        <f t="shared" si="25"/>
        <v/>
      </c>
    </row>
    <row r="364" spans="1:8">
      <c r="A364" s="5" t="str">
        <f t="shared" si="26"/>
        <v/>
      </c>
      <c r="B364" s="5" t="str">
        <f t="shared" si="22"/>
        <v/>
      </c>
      <c r="C364" s="33" t="str" cm="1">
        <f t="array" ref="C364">IF(ISNUMBER(A364),IF(A364=A363,INDEX(BackgroundCalcs!$AV$2:$AV$500,'Grading Formulas'!$A364),"Question Results"),"")</f>
        <v/>
      </c>
      <c r="D364" s="8" t="str" cm="1">
        <f t="array" ref="D364">IF(ISNUMBER($A364),IF(A364=A363,INDEX(BackgroundCalcs!$AW$2:$AW$500,'Grading Formulas'!$A364),"C"&amp;A364+9),"")</f>
        <v/>
      </c>
      <c r="E364" s="4" t="str" cm="1">
        <f t="array" ref="E364">IF(ISNUMBER($A364),IF(A364=A363,"Reference2(False,True,"&amp;INDEX(BackgroundCalcs!$AX$2:$AX$500,'Grading Formulas'!$A364)&amp;")","MOEValue(.0001)"),"")</f>
        <v/>
      </c>
      <c r="F364" s="4" t="str">
        <f t="shared" si="23"/>
        <v/>
      </c>
      <c r="G364" s="4" t="str">
        <f t="shared" si="24"/>
        <v/>
      </c>
      <c r="H364" s="4" t="str">
        <f t="shared" si="25"/>
        <v/>
      </c>
    </row>
    <row r="365" spans="1:8">
      <c r="A365" s="5" t="str">
        <f t="shared" si="26"/>
        <v/>
      </c>
      <c r="B365" s="5" t="str">
        <f t="shared" si="22"/>
        <v/>
      </c>
      <c r="C365" s="33" t="str" cm="1">
        <f t="array" ref="C365">IF(ISNUMBER(A365),IF(A365=A364,INDEX(BackgroundCalcs!$AV$2:$AV$500,'Grading Formulas'!$A365),"Question Results"),"")</f>
        <v/>
      </c>
      <c r="D365" s="8" t="str" cm="1">
        <f t="array" ref="D365">IF(ISNUMBER($A365),IF(A365=A364,INDEX(BackgroundCalcs!$AW$2:$AW$500,'Grading Formulas'!$A365),"C"&amp;A365+9),"")</f>
        <v/>
      </c>
      <c r="E365" s="4" t="str" cm="1">
        <f t="array" ref="E365">IF(ISNUMBER($A365),IF(A365=A364,"Reference2(False,True,"&amp;INDEX(BackgroundCalcs!$AX$2:$AX$500,'Grading Formulas'!$A365)&amp;")","MOEValue(.0001)"),"")</f>
        <v/>
      </c>
      <c r="F365" s="4" t="str">
        <f t="shared" si="23"/>
        <v/>
      </c>
      <c r="G365" s="4" t="str">
        <f t="shared" si="24"/>
        <v/>
      </c>
      <c r="H365" s="4" t="str">
        <f t="shared" si="25"/>
        <v/>
      </c>
    </row>
    <row r="366" spans="1:8">
      <c r="A366" s="5" t="str">
        <f t="shared" si="26"/>
        <v/>
      </c>
      <c r="B366" s="5" t="str">
        <f t="shared" si="22"/>
        <v/>
      </c>
      <c r="C366" s="33" t="str" cm="1">
        <f t="array" ref="C366">IF(ISNUMBER(A366),IF(A366=A365,INDEX(BackgroundCalcs!$AV$2:$AV$500,'Grading Formulas'!$A366),"Question Results"),"")</f>
        <v/>
      </c>
      <c r="D366" s="8" t="str" cm="1">
        <f t="array" ref="D366">IF(ISNUMBER($A366),IF(A366=A365,INDEX(BackgroundCalcs!$AW$2:$AW$500,'Grading Formulas'!$A366),"C"&amp;A366+9),"")</f>
        <v/>
      </c>
      <c r="E366" s="4" t="str" cm="1">
        <f t="array" ref="E366">IF(ISNUMBER($A366),IF(A366=A365,"Reference2(False,True,"&amp;INDEX(BackgroundCalcs!$AX$2:$AX$500,'Grading Formulas'!$A366)&amp;")","MOEValue(.0001)"),"")</f>
        <v/>
      </c>
      <c r="F366" s="4" t="str">
        <f t="shared" si="23"/>
        <v/>
      </c>
      <c r="G366" s="4" t="str">
        <f t="shared" si="24"/>
        <v/>
      </c>
      <c r="H366" s="4" t="str">
        <f t="shared" si="25"/>
        <v/>
      </c>
    </row>
    <row r="367" spans="1:8">
      <c r="A367" s="5" t="str">
        <f t="shared" si="26"/>
        <v/>
      </c>
      <c r="B367" s="5" t="str">
        <f t="shared" si="22"/>
        <v/>
      </c>
      <c r="C367" s="33" t="str" cm="1">
        <f t="array" ref="C367">IF(ISNUMBER(A367),IF(A367=A366,INDEX(BackgroundCalcs!$AV$2:$AV$500,'Grading Formulas'!$A367),"Question Results"),"")</f>
        <v/>
      </c>
      <c r="D367" s="8" t="str" cm="1">
        <f t="array" ref="D367">IF(ISNUMBER($A367),IF(A367=A366,INDEX(BackgroundCalcs!$AW$2:$AW$500,'Grading Formulas'!$A367),"C"&amp;A367+9),"")</f>
        <v/>
      </c>
      <c r="E367" s="4" t="str" cm="1">
        <f t="array" ref="E367">IF(ISNUMBER($A367),IF(A367=A366,"Reference2(False,True,"&amp;INDEX(BackgroundCalcs!$AX$2:$AX$500,'Grading Formulas'!$A367)&amp;")","MOEValue(.0001)"),"")</f>
        <v/>
      </c>
      <c r="F367" s="4" t="str">
        <f t="shared" si="23"/>
        <v/>
      </c>
      <c r="G367" s="4" t="str">
        <f t="shared" si="24"/>
        <v/>
      </c>
      <c r="H367" s="4" t="str">
        <f t="shared" si="25"/>
        <v/>
      </c>
    </row>
    <row r="368" spans="1:8">
      <c r="A368" s="5" t="str">
        <f t="shared" si="26"/>
        <v/>
      </c>
      <c r="B368" s="5" t="str">
        <f t="shared" si="22"/>
        <v/>
      </c>
      <c r="C368" s="33" t="str" cm="1">
        <f t="array" ref="C368">IF(ISNUMBER(A368),IF(A368=A367,INDEX(BackgroundCalcs!$AV$2:$AV$500,'Grading Formulas'!$A368),"Question Results"),"")</f>
        <v/>
      </c>
      <c r="D368" s="8" t="str" cm="1">
        <f t="array" ref="D368">IF(ISNUMBER($A368),IF(A368=A367,INDEX(BackgroundCalcs!$AW$2:$AW$500,'Grading Formulas'!$A368),"C"&amp;A368+9),"")</f>
        <v/>
      </c>
      <c r="E368" s="4" t="str" cm="1">
        <f t="array" ref="E368">IF(ISNUMBER($A368),IF(A368=A367,"Reference2(False,True,"&amp;INDEX(BackgroundCalcs!$AX$2:$AX$500,'Grading Formulas'!$A368)&amp;")","MOEValue(.0001)"),"")</f>
        <v/>
      </c>
      <c r="F368" s="4" t="str">
        <f t="shared" si="23"/>
        <v/>
      </c>
      <c r="G368" s="4" t="str">
        <f t="shared" si="24"/>
        <v/>
      </c>
      <c r="H368" s="4" t="str">
        <f t="shared" si="25"/>
        <v/>
      </c>
    </row>
    <row r="369" spans="1:8">
      <c r="A369" s="5" t="str">
        <f t="shared" si="26"/>
        <v/>
      </c>
      <c r="B369" s="5" t="str">
        <f t="shared" si="22"/>
        <v/>
      </c>
      <c r="C369" s="33" t="str" cm="1">
        <f t="array" ref="C369">IF(ISNUMBER(A369),IF(A369=A368,INDEX(BackgroundCalcs!$AV$2:$AV$500,'Grading Formulas'!$A369),"Question Results"),"")</f>
        <v/>
      </c>
      <c r="D369" s="8" t="str" cm="1">
        <f t="array" ref="D369">IF(ISNUMBER($A369),IF(A369=A368,INDEX(BackgroundCalcs!$AW$2:$AW$500,'Grading Formulas'!$A369),"C"&amp;A369+9),"")</f>
        <v/>
      </c>
      <c r="E369" s="4" t="str" cm="1">
        <f t="array" ref="E369">IF(ISNUMBER($A369),IF(A369=A368,"Reference2(False,True,"&amp;INDEX(BackgroundCalcs!$AX$2:$AX$500,'Grading Formulas'!$A369)&amp;")","MOEValue(.0001)"),"")</f>
        <v/>
      </c>
      <c r="F369" s="4" t="str">
        <f t="shared" si="23"/>
        <v/>
      </c>
      <c r="G369" s="4" t="str">
        <f t="shared" si="24"/>
        <v/>
      </c>
      <c r="H369" s="4" t="str">
        <f t="shared" si="25"/>
        <v/>
      </c>
    </row>
    <row r="370" spans="1:8">
      <c r="A370" s="5" t="str">
        <f t="shared" si="26"/>
        <v/>
      </c>
      <c r="B370" s="5" t="str">
        <f t="shared" si="22"/>
        <v/>
      </c>
      <c r="C370" s="33" t="str" cm="1">
        <f t="array" ref="C370">IF(ISNUMBER(A370),IF(A370=A369,INDEX(BackgroundCalcs!$AV$2:$AV$500,'Grading Formulas'!$A370),"Question Results"),"")</f>
        <v/>
      </c>
      <c r="D370" s="8" t="str" cm="1">
        <f t="array" ref="D370">IF(ISNUMBER($A370),IF(A370=A369,INDEX(BackgroundCalcs!$AW$2:$AW$500,'Grading Formulas'!$A370),"C"&amp;A370+9),"")</f>
        <v/>
      </c>
      <c r="E370" s="4" t="str" cm="1">
        <f t="array" ref="E370">IF(ISNUMBER($A370),IF(A370=A369,"Reference2(False,True,"&amp;INDEX(BackgroundCalcs!$AX$2:$AX$500,'Grading Formulas'!$A370)&amp;")","MOEValue(.0001)"),"")</f>
        <v/>
      </c>
      <c r="F370" s="4" t="str">
        <f t="shared" si="23"/>
        <v/>
      </c>
      <c r="G370" s="4" t="str">
        <f t="shared" si="24"/>
        <v/>
      </c>
      <c r="H370" s="4" t="str">
        <f t="shared" si="25"/>
        <v/>
      </c>
    </row>
    <row r="371" spans="1:8">
      <c r="A371" s="5" t="str">
        <f t="shared" si="26"/>
        <v/>
      </c>
      <c r="B371" s="5" t="str">
        <f t="shared" si="22"/>
        <v/>
      </c>
      <c r="C371" s="33" t="str" cm="1">
        <f t="array" ref="C371">IF(ISNUMBER(A371),IF(A371=A370,INDEX(BackgroundCalcs!$AV$2:$AV$500,'Grading Formulas'!$A371),"Question Results"),"")</f>
        <v/>
      </c>
      <c r="D371" s="8" t="str" cm="1">
        <f t="array" ref="D371">IF(ISNUMBER($A371),IF(A371=A370,INDEX(BackgroundCalcs!$AW$2:$AW$500,'Grading Formulas'!$A371),"C"&amp;A371+9),"")</f>
        <v/>
      </c>
      <c r="E371" s="4" t="str" cm="1">
        <f t="array" ref="E371">IF(ISNUMBER($A371),IF(A371=A370,"Reference2(False,True,"&amp;INDEX(BackgroundCalcs!$AX$2:$AX$500,'Grading Formulas'!$A371)&amp;")","MOEValue(.0001)"),"")</f>
        <v/>
      </c>
      <c r="F371" s="4" t="str">
        <f t="shared" si="23"/>
        <v/>
      </c>
      <c r="G371" s="4" t="str">
        <f t="shared" si="24"/>
        <v/>
      </c>
      <c r="H371" s="4" t="str">
        <f t="shared" si="25"/>
        <v/>
      </c>
    </row>
    <row r="372" spans="1:8">
      <c r="A372" s="5" t="str">
        <f t="shared" si="26"/>
        <v/>
      </c>
      <c r="B372" s="5" t="str">
        <f t="shared" si="22"/>
        <v/>
      </c>
      <c r="C372" s="33" t="str" cm="1">
        <f t="array" ref="C372">IF(ISNUMBER(A372),IF(A372=A371,INDEX(BackgroundCalcs!$AV$2:$AV$500,'Grading Formulas'!$A372),"Question Results"),"")</f>
        <v/>
      </c>
      <c r="D372" s="8" t="str" cm="1">
        <f t="array" ref="D372">IF(ISNUMBER($A372),IF(A372=A371,INDEX(BackgroundCalcs!$AW$2:$AW$500,'Grading Formulas'!$A372),"C"&amp;A372+9),"")</f>
        <v/>
      </c>
      <c r="E372" s="4" t="str" cm="1">
        <f t="array" ref="E372">IF(ISNUMBER($A372),IF(A372=A371,"Reference2(False,True,"&amp;INDEX(BackgroundCalcs!$AX$2:$AX$500,'Grading Formulas'!$A372)&amp;")","MOEValue(.0001)"),"")</f>
        <v/>
      </c>
      <c r="F372" s="4" t="str">
        <f t="shared" si="23"/>
        <v/>
      </c>
      <c r="G372" s="4" t="str">
        <f t="shared" si="24"/>
        <v/>
      </c>
      <c r="H372" s="4" t="str">
        <f t="shared" si="25"/>
        <v/>
      </c>
    </row>
    <row r="373" spans="1:8">
      <c r="A373" s="5" t="str">
        <f t="shared" si="26"/>
        <v/>
      </c>
      <c r="B373" s="5" t="str">
        <f t="shared" si="22"/>
        <v/>
      </c>
      <c r="C373" s="33" t="str" cm="1">
        <f t="array" ref="C373">IF(ISNUMBER(A373),IF(A373=A372,INDEX(BackgroundCalcs!$AV$2:$AV$500,'Grading Formulas'!$A373),"Question Results"),"")</f>
        <v/>
      </c>
      <c r="D373" s="8" t="str" cm="1">
        <f t="array" ref="D373">IF(ISNUMBER($A373),IF(A373=A372,INDEX(BackgroundCalcs!$AW$2:$AW$500,'Grading Formulas'!$A373),"C"&amp;A373+9),"")</f>
        <v/>
      </c>
      <c r="E373" s="4" t="str" cm="1">
        <f t="array" ref="E373">IF(ISNUMBER($A373),IF(A373=A372,"Reference2(False,True,"&amp;INDEX(BackgroundCalcs!$AX$2:$AX$500,'Grading Formulas'!$A373)&amp;")","MOEValue(.0001)"),"")</f>
        <v/>
      </c>
      <c r="F373" s="4" t="str">
        <f t="shared" si="23"/>
        <v/>
      </c>
      <c r="G373" s="4" t="str">
        <f t="shared" si="24"/>
        <v/>
      </c>
      <c r="H373" s="4" t="str">
        <f t="shared" si="25"/>
        <v/>
      </c>
    </row>
    <row r="374" spans="1:8">
      <c r="A374" s="5" t="str">
        <f t="shared" si="26"/>
        <v/>
      </c>
      <c r="B374" s="5" t="str">
        <f t="shared" si="22"/>
        <v/>
      </c>
      <c r="C374" s="33" t="str" cm="1">
        <f t="array" ref="C374">IF(ISNUMBER(A374),IF(A374=A373,INDEX(BackgroundCalcs!$AV$2:$AV$500,'Grading Formulas'!$A374),"Question Results"),"")</f>
        <v/>
      </c>
      <c r="D374" s="8" t="str" cm="1">
        <f t="array" ref="D374">IF(ISNUMBER($A374),IF(A374=A373,INDEX(BackgroundCalcs!$AW$2:$AW$500,'Grading Formulas'!$A374),"C"&amp;A374+9),"")</f>
        <v/>
      </c>
      <c r="E374" s="4" t="str" cm="1">
        <f t="array" ref="E374">IF(ISNUMBER($A374),IF(A374=A373,"Reference2(False,True,"&amp;INDEX(BackgroundCalcs!$AX$2:$AX$500,'Grading Formulas'!$A374)&amp;")","MOEValue(.0001)"),"")</f>
        <v/>
      </c>
      <c r="F374" s="4" t="str">
        <f t="shared" si="23"/>
        <v/>
      </c>
      <c r="G374" s="4" t="str">
        <f t="shared" si="24"/>
        <v/>
      </c>
      <c r="H374" s="4" t="str">
        <f t="shared" si="25"/>
        <v/>
      </c>
    </row>
    <row r="375" spans="1:8">
      <c r="A375" s="5" t="str">
        <f t="shared" si="26"/>
        <v/>
      </c>
      <c r="B375" s="5" t="str">
        <f t="shared" si="22"/>
        <v/>
      </c>
      <c r="C375" s="33" t="str" cm="1">
        <f t="array" ref="C375">IF(ISNUMBER(A375),IF(A375=A374,INDEX(BackgroundCalcs!$AV$2:$AV$500,'Grading Formulas'!$A375),"Question Results"),"")</f>
        <v/>
      </c>
      <c r="D375" s="8" t="str" cm="1">
        <f t="array" ref="D375">IF(ISNUMBER($A375),IF(A375=A374,INDEX(BackgroundCalcs!$AW$2:$AW$500,'Grading Formulas'!$A375),"C"&amp;A375+9),"")</f>
        <v/>
      </c>
      <c r="E375" s="4" t="str" cm="1">
        <f t="array" ref="E375">IF(ISNUMBER($A375),IF(A375=A374,"Reference2(False,True,"&amp;INDEX(BackgroundCalcs!$AX$2:$AX$500,'Grading Formulas'!$A375)&amp;")","MOEValue(.0001)"),"")</f>
        <v/>
      </c>
      <c r="F375" s="4" t="str">
        <f t="shared" si="23"/>
        <v/>
      </c>
      <c r="G375" s="4" t="str">
        <f t="shared" si="24"/>
        <v/>
      </c>
      <c r="H375" s="4" t="str">
        <f t="shared" si="25"/>
        <v/>
      </c>
    </row>
    <row r="376" spans="1:8">
      <c r="A376" s="5" t="str">
        <f t="shared" si="26"/>
        <v/>
      </c>
      <c r="B376" s="5" t="str">
        <f t="shared" si="22"/>
        <v/>
      </c>
      <c r="C376" s="33" t="str" cm="1">
        <f t="array" ref="C376">IF(ISNUMBER(A376),IF(A376=A375,INDEX(BackgroundCalcs!$AV$2:$AV$500,'Grading Formulas'!$A376),"Question Results"),"")</f>
        <v/>
      </c>
      <c r="D376" s="8" t="str" cm="1">
        <f t="array" ref="D376">IF(ISNUMBER($A376),IF(A376=A375,INDEX(BackgroundCalcs!$AW$2:$AW$500,'Grading Formulas'!$A376),"C"&amp;A376+9),"")</f>
        <v/>
      </c>
      <c r="E376" s="4" t="str" cm="1">
        <f t="array" ref="E376">IF(ISNUMBER($A376),IF(A376=A375,"Reference2(False,True,"&amp;INDEX(BackgroundCalcs!$AX$2:$AX$500,'Grading Formulas'!$A376)&amp;")","MOEValue(.0001)"),"")</f>
        <v/>
      </c>
      <c r="F376" s="4" t="str">
        <f t="shared" si="23"/>
        <v/>
      </c>
      <c r="G376" s="4" t="str">
        <f t="shared" si="24"/>
        <v/>
      </c>
      <c r="H376" s="4" t="str">
        <f t="shared" si="25"/>
        <v/>
      </c>
    </row>
    <row r="377" spans="1:8">
      <c r="A377" s="5" t="str">
        <f t="shared" si="26"/>
        <v/>
      </c>
      <c r="B377" s="5" t="str">
        <f t="shared" si="22"/>
        <v/>
      </c>
      <c r="C377" s="33" t="str" cm="1">
        <f t="array" ref="C377">IF(ISNUMBER(A377),IF(A377=A376,INDEX(BackgroundCalcs!$AV$2:$AV$500,'Grading Formulas'!$A377),"Question Results"),"")</f>
        <v/>
      </c>
      <c r="D377" s="8" t="str" cm="1">
        <f t="array" ref="D377">IF(ISNUMBER($A377),IF(A377=A376,INDEX(BackgroundCalcs!$AW$2:$AW$500,'Grading Formulas'!$A377),"C"&amp;A377+9),"")</f>
        <v/>
      </c>
      <c r="E377" s="4" t="str" cm="1">
        <f t="array" ref="E377">IF(ISNUMBER($A377),IF(A377=A376,"Reference2(False,True,"&amp;INDEX(BackgroundCalcs!$AX$2:$AX$500,'Grading Formulas'!$A377)&amp;")","MOEValue(.0001)"),"")</f>
        <v/>
      </c>
      <c r="F377" s="4" t="str">
        <f t="shared" si="23"/>
        <v/>
      </c>
      <c r="G377" s="4" t="str">
        <f t="shared" si="24"/>
        <v/>
      </c>
      <c r="H377" s="4" t="str">
        <f t="shared" si="25"/>
        <v/>
      </c>
    </row>
    <row r="378" spans="1:8">
      <c r="A378" s="5" t="str">
        <f t="shared" si="26"/>
        <v/>
      </c>
      <c r="B378" s="5" t="str">
        <f t="shared" si="22"/>
        <v/>
      </c>
      <c r="C378" s="33" t="str" cm="1">
        <f t="array" ref="C378">IF(ISNUMBER(A378),IF(A378=A377,INDEX(BackgroundCalcs!$AV$2:$AV$500,'Grading Formulas'!$A378),"Question Results"),"")</f>
        <v/>
      </c>
      <c r="D378" s="8" t="str" cm="1">
        <f t="array" ref="D378">IF(ISNUMBER($A378),IF(A378=A377,INDEX(BackgroundCalcs!$AW$2:$AW$500,'Grading Formulas'!$A378),"C"&amp;A378+9),"")</f>
        <v/>
      </c>
      <c r="E378" s="4" t="str" cm="1">
        <f t="array" ref="E378">IF(ISNUMBER($A378),IF(A378=A377,"Reference2(False,True,"&amp;INDEX(BackgroundCalcs!$AX$2:$AX$500,'Grading Formulas'!$A378)&amp;")","MOEValue(.0001)"),"")</f>
        <v/>
      </c>
      <c r="F378" s="4" t="str">
        <f t="shared" si="23"/>
        <v/>
      </c>
      <c r="G378" s="4" t="str">
        <f t="shared" si="24"/>
        <v/>
      </c>
      <c r="H378" s="4" t="str">
        <f t="shared" si="25"/>
        <v/>
      </c>
    </row>
    <row r="379" spans="1:8">
      <c r="A379" s="5" t="str">
        <f t="shared" si="26"/>
        <v/>
      </c>
      <c r="B379" s="5" t="str">
        <f t="shared" si="22"/>
        <v/>
      </c>
      <c r="C379" s="33" t="str" cm="1">
        <f t="array" ref="C379">IF(ISNUMBER(A379),IF(A379=A378,INDEX(BackgroundCalcs!$AV$2:$AV$500,'Grading Formulas'!$A379),"Question Results"),"")</f>
        <v/>
      </c>
      <c r="D379" s="8" t="str" cm="1">
        <f t="array" ref="D379">IF(ISNUMBER($A379),IF(A379=A378,INDEX(BackgroundCalcs!$AW$2:$AW$500,'Grading Formulas'!$A379),"C"&amp;A379+9),"")</f>
        <v/>
      </c>
      <c r="E379" s="4" t="str" cm="1">
        <f t="array" ref="E379">IF(ISNUMBER($A379),IF(A379=A378,"Reference2(False,True,"&amp;INDEX(BackgroundCalcs!$AX$2:$AX$500,'Grading Formulas'!$A379)&amp;")","MOEValue(.0001)"),"")</f>
        <v/>
      </c>
      <c r="F379" s="4" t="str">
        <f t="shared" si="23"/>
        <v/>
      </c>
      <c r="G379" s="4" t="str">
        <f t="shared" si="24"/>
        <v/>
      </c>
      <c r="H379" s="4" t="str">
        <f t="shared" si="25"/>
        <v/>
      </c>
    </row>
    <row r="380" spans="1:8">
      <c r="A380" s="5" t="str">
        <f t="shared" si="26"/>
        <v/>
      </c>
      <c r="B380" s="5" t="str">
        <f t="shared" si="22"/>
        <v/>
      </c>
      <c r="C380" s="33" t="str" cm="1">
        <f t="array" ref="C380">IF(ISNUMBER(A380),IF(A380=A379,INDEX(BackgroundCalcs!$AV$2:$AV$500,'Grading Formulas'!$A380),"Question Results"),"")</f>
        <v/>
      </c>
      <c r="D380" s="8" t="str" cm="1">
        <f t="array" ref="D380">IF(ISNUMBER($A380),IF(A380=A379,INDEX(BackgroundCalcs!$AW$2:$AW$500,'Grading Formulas'!$A380),"C"&amp;A380+9),"")</f>
        <v/>
      </c>
      <c r="E380" s="4" t="str" cm="1">
        <f t="array" ref="E380">IF(ISNUMBER($A380),IF(A380=A379,"Reference2(False,True,"&amp;INDEX(BackgroundCalcs!$AX$2:$AX$500,'Grading Formulas'!$A380)&amp;")","MOEValue(.0001)"),"")</f>
        <v/>
      </c>
      <c r="F380" s="4" t="str">
        <f t="shared" si="23"/>
        <v/>
      </c>
      <c r="G380" s="4" t="str">
        <f t="shared" si="24"/>
        <v/>
      </c>
      <c r="H380" s="4" t="str">
        <f t="shared" si="25"/>
        <v/>
      </c>
    </row>
    <row r="381" spans="1:8">
      <c r="A381" s="5" t="str">
        <f t="shared" si="26"/>
        <v/>
      </c>
      <c r="B381" s="5" t="str">
        <f t="shared" si="22"/>
        <v/>
      </c>
      <c r="C381" s="33" t="str" cm="1">
        <f t="array" ref="C381">IF(ISNUMBER(A381),IF(A381=A380,INDEX(BackgroundCalcs!$AV$2:$AV$500,'Grading Formulas'!$A381),"Question Results"),"")</f>
        <v/>
      </c>
      <c r="D381" s="8" t="str" cm="1">
        <f t="array" ref="D381">IF(ISNUMBER($A381),IF(A381=A380,INDEX(BackgroundCalcs!$AW$2:$AW$500,'Grading Formulas'!$A381),"C"&amp;A381+9),"")</f>
        <v/>
      </c>
      <c r="E381" s="4" t="str" cm="1">
        <f t="array" ref="E381">IF(ISNUMBER($A381),IF(A381=A380,"Reference2(False,True,"&amp;INDEX(BackgroundCalcs!$AX$2:$AX$500,'Grading Formulas'!$A381)&amp;")","MOEValue(.0001)"),"")</f>
        <v/>
      </c>
      <c r="F381" s="4" t="str">
        <f t="shared" si="23"/>
        <v/>
      </c>
      <c r="G381" s="4" t="str">
        <f t="shared" si="24"/>
        <v/>
      </c>
      <c r="H381" s="4" t="str">
        <f t="shared" si="25"/>
        <v/>
      </c>
    </row>
    <row r="382" spans="1:8">
      <c r="A382" s="5" t="str">
        <f t="shared" si="26"/>
        <v/>
      </c>
      <c r="B382" s="5" t="str">
        <f t="shared" si="22"/>
        <v/>
      </c>
      <c r="C382" s="33" t="str" cm="1">
        <f t="array" ref="C382">IF(ISNUMBER(A382),IF(A382=A381,INDEX(BackgroundCalcs!$AV$2:$AV$500,'Grading Formulas'!$A382),"Question Results"),"")</f>
        <v/>
      </c>
      <c r="D382" s="8" t="str" cm="1">
        <f t="array" ref="D382">IF(ISNUMBER($A382),IF(A382=A381,INDEX(BackgroundCalcs!$AW$2:$AW$500,'Grading Formulas'!$A382),"C"&amp;A382+9),"")</f>
        <v/>
      </c>
      <c r="E382" s="4" t="str" cm="1">
        <f t="array" ref="E382">IF(ISNUMBER($A382),IF(A382=A381,"Reference2(False,True,"&amp;INDEX(BackgroundCalcs!$AX$2:$AX$500,'Grading Formulas'!$A382)&amp;")","MOEValue(.0001)"),"")</f>
        <v/>
      </c>
      <c r="F382" s="4" t="str">
        <f t="shared" si="23"/>
        <v/>
      </c>
      <c r="G382" s="4" t="str">
        <f t="shared" si="24"/>
        <v/>
      </c>
      <c r="H382" s="4" t="str">
        <f t="shared" si="25"/>
        <v/>
      </c>
    </row>
    <row r="383" spans="1:8">
      <c r="A383" s="5" t="str">
        <f t="shared" si="26"/>
        <v/>
      </c>
      <c r="B383" s="5" t="str">
        <f t="shared" si="22"/>
        <v/>
      </c>
      <c r="C383" s="33" t="str" cm="1">
        <f t="array" ref="C383">IF(ISNUMBER(A383),IF(A383=A382,INDEX(BackgroundCalcs!$AV$2:$AV$500,'Grading Formulas'!$A383),"Question Results"),"")</f>
        <v/>
      </c>
      <c r="D383" s="8" t="str" cm="1">
        <f t="array" ref="D383">IF(ISNUMBER($A383),IF(A383=A382,INDEX(BackgroundCalcs!$AW$2:$AW$500,'Grading Formulas'!$A383),"C"&amp;A383+9),"")</f>
        <v/>
      </c>
      <c r="E383" s="4" t="str" cm="1">
        <f t="array" ref="E383">IF(ISNUMBER($A383),IF(A383=A382,"Reference2(False,True,"&amp;INDEX(BackgroundCalcs!$AX$2:$AX$500,'Grading Formulas'!$A383)&amp;")","MOEValue(.0001)"),"")</f>
        <v/>
      </c>
      <c r="F383" s="4" t="str">
        <f t="shared" si="23"/>
        <v/>
      </c>
      <c r="G383" s="4" t="str">
        <f t="shared" si="24"/>
        <v/>
      </c>
      <c r="H383" s="4" t="str">
        <f t="shared" si="25"/>
        <v/>
      </c>
    </row>
    <row r="384" spans="1:8">
      <c r="A384" s="5" t="str">
        <f t="shared" si="26"/>
        <v/>
      </c>
      <c r="B384" s="5" t="str">
        <f t="shared" si="22"/>
        <v/>
      </c>
      <c r="C384" s="33" t="str" cm="1">
        <f t="array" ref="C384">IF(ISNUMBER(A384),IF(A384=A383,INDEX(BackgroundCalcs!$AV$2:$AV$500,'Grading Formulas'!$A384),"Question Results"),"")</f>
        <v/>
      </c>
      <c r="D384" s="8" t="str" cm="1">
        <f t="array" ref="D384">IF(ISNUMBER($A384),IF(A384=A383,INDEX(BackgroundCalcs!$AW$2:$AW$500,'Grading Formulas'!$A384),"C"&amp;A384+9),"")</f>
        <v/>
      </c>
      <c r="E384" s="4" t="str" cm="1">
        <f t="array" ref="E384">IF(ISNUMBER($A384),IF(A384=A383,"Reference2(False,True,"&amp;INDEX(BackgroundCalcs!$AX$2:$AX$500,'Grading Formulas'!$A384)&amp;")","MOEValue(.0001)"),"")</f>
        <v/>
      </c>
      <c r="F384" s="4" t="str">
        <f t="shared" si="23"/>
        <v/>
      </c>
      <c r="G384" s="4" t="str">
        <f t="shared" si="24"/>
        <v/>
      </c>
      <c r="H384" s="4" t="str">
        <f t="shared" si="25"/>
        <v/>
      </c>
    </row>
    <row r="385" spans="1:8">
      <c r="A385" s="5" t="str">
        <f t="shared" si="26"/>
        <v/>
      </c>
      <c r="B385" s="5" t="str">
        <f t="shared" si="22"/>
        <v/>
      </c>
      <c r="C385" s="33" t="str" cm="1">
        <f t="array" ref="C385">IF(ISNUMBER(A385),IF(A385=A384,INDEX(BackgroundCalcs!$AV$2:$AV$500,'Grading Formulas'!$A385),"Question Results"),"")</f>
        <v/>
      </c>
      <c r="D385" s="8" t="str" cm="1">
        <f t="array" ref="D385">IF(ISNUMBER($A385),IF(A385=A384,INDEX(BackgroundCalcs!$AW$2:$AW$500,'Grading Formulas'!$A385),"C"&amp;A385+9),"")</f>
        <v/>
      </c>
      <c r="E385" s="4" t="str" cm="1">
        <f t="array" ref="E385">IF(ISNUMBER($A385),IF(A385=A384,"Reference2(False,True,"&amp;INDEX(BackgroundCalcs!$AX$2:$AX$500,'Grading Formulas'!$A385)&amp;")","MOEValue(.0001)"),"")</f>
        <v/>
      </c>
      <c r="F385" s="4" t="str">
        <f t="shared" si="23"/>
        <v/>
      </c>
      <c r="G385" s="4" t="str">
        <f t="shared" si="24"/>
        <v/>
      </c>
      <c r="H385" s="4" t="str">
        <f t="shared" si="25"/>
        <v/>
      </c>
    </row>
    <row r="386" spans="1:8">
      <c r="A386" s="5" t="str">
        <f t="shared" si="26"/>
        <v/>
      </c>
      <c r="B386" s="5" t="str">
        <f t="shared" ref="B386:B449" si="27">IF(ISNUMBER(A386),"CELL","")</f>
        <v/>
      </c>
      <c r="C386" s="33" t="str" cm="1">
        <f t="array" ref="C386">IF(ISNUMBER(A386),IF(A386=A385,INDEX(BackgroundCalcs!$AV$2:$AV$500,'Grading Formulas'!$A386),"Question Results"),"")</f>
        <v/>
      </c>
      <c r="D386" s="8" t="str" cm="1">
        <f t="array" ref="D386">IF(ISNUMBER($A386),IF(A386=A385,INDEX(BackgroundCalcs!$AW$2:$AW$500,'Grading Formulas'!$A386),"C"&amp;A386+9),"")</f>
        <v/>
      </c>
      <c r="E386" s="4" t="str" cm="1">
        <f t="array" ref="E386">IF(ISNUMBER($A386),IF(A386=A385,"Reference2(False,True,"&amp;INDEX(BackgroundCalcs!$AX$2:$AX$500,'Grading Formulas'!$A386)&amp;")","MOEValue(.0001)"),"")</f>
        <v/>
      </c>
      <c r="F386" s="4" t="str">
        <f t="shared" si="23"/>
        <v/>
      </c>
      <c r="G386" s="4" t="str">
        <f t="shared" si="24"/>
        <v/>
      </c>
      <c r="H386" s="4" t="str">
        <f t="shared" si="25"/>
        <v/>
      </c>
    </row>
    <row r="387" spans="1:8">
      <c r="A387" s="5" t="str">
        <f t="shared" si="26"/>
        <v/>
      </c>
      <c r="B387" s="5" t="str">
        <f t="shared" si="27"/>
        <v/>
      </c>
      <c r="C387" s="33" t="str" cm="1">
        <f t="array" ref="C387">IF(ISNUMBER(A387),IF(A387=A386,INDEX(BackgroundCalcs!$AV$2:$AV$500,'Grading Formulas'!$A387),"Question Results"),"")</f>
        <v/>
      </c>
      <c r="D387" s="8" t="str" cm="1">
        <f t="array" ref="D387">IF(ISNUMBER($A387),IF(A387=A386,INDEX(BackgroundCalcs!$AW$2:$AW$500,'Grading Formulas'!$A387),"C"&amp;A387+9),"")</f>
        <v/>
      </c>
      <c r="E387" s="4" t="str" cm="1">
        <f t="array" ref="E387">IF(ISNUMBER($A387),IF(A387=A386,"Reference2(False,True,"&amp;INDEX(BackgroundCalcs!$AX$2:$AX$500,'Grading Formulas'!$A387)&amp;")","MOEValue(.0001)"),"")</f>
        <v/>
      </c>
      <c r="F387" s="4" t="str">
        <f t="shared" ref="F387:F450" si="28">IF(ISNUMBER($A387),IF(A387=A386,-1000,1),"")</f>
        <v/>
      </c>
      <c r="G387" s="4" t="str">
        <f t="shared" ref="G387:G450" si="29">IF(ISNUMBER($A387),IF(A387=A386,"You should not be referencing the answer cell","Correct"),"")</f>
        <v/>
      </c>
      <c r="H387" s="4" t="str">
        <f t="shared" ref="H387:H450" si="30">IF(ISNUMBER($A387),IF(A387=A386,"N/A","Incorrect"),"")</f>
        <v/>
      </c>
    </row>
    <row r="388" spans="1:8">
      <c r="A388" s="5" t="str">
        <f t="shared" ref="A388:A451" si="31">IF(A386&lt;NumAnswers,A386+1,"")</f>
        <v/>
      </c>
      <c r="B388" s="5" t="str">
        <f t="shared" si="27"/>
        <v/>
      </c>
      <c r="C388" s="33" t="str" cm="1">
        <f t="array" ref="C388">IF(ISNUMBER(A388),IF(A388=A387,INDEX(BackgroundCalcs!$AV$2:$AV$500,'Grading Formulas'!$A388),"Question Results"),"")</f>
        <v/>
      </c>
      <c r="D388" s="8" t="str" cm="1">
        <f t="array" ref="D388">IF(ISNUMBER($A388),IF(A388=A387,INDEX(BackgroundCalcs!$AW$2:$AW$500,'Grading Formulas'!$A388),"C"&amp;A388+9),"")</f>
        <v/>
      </c>
      <c r="E388" s="4" t="str" cm="1">
        <f t="array" ref="E388">IF(ISNUMBER($A388),IF(A388=A387,"Reference2(False,True,"&amp;INDEX(BackgroundCalcs!$AX$2:$AX$500,'Grading Formulas'!$A388)&amp;")","MOEValue(.0001)"),"")</f>
        <v/>
      </c>
      <c r="F388" s="4" t="str">
        <f t="shared" si="28"/>
        <v/>
      </c>
      <c r="G388" s="4" t="str">
        <f t="shared" si="29"/>
        <v/>
      </c>
      <c r="H388" s="4" t="str">
        <f t="shared" si="30"/>
        <v/>
      </c>
    </row>
    <row r="389" spans="1:8">
      <c r="A389" s="5" t="str">
        <f t="shared" si="31"/>
        <v/>
      </c>
      <c r="B389" s="5" t="str">
        <f t="shared" si="27"/>
        <v/>
      </c>
      <c r="C389" s="33" t="str" cm="1">
        <f t="array" ref="C389">IF(ISNUMBER(A389),IF(A389=A388,INDEX(BackgroundCalcs!$AV$2:$AV$500,'Grading Formulas'!$A389),"Question Results"),"")</f>
        <v/>
      </c>
      <c r="D389" s="8" t="str" cm="1">
        <f t="array" ref="D389">IF(ISNUMBER($A389),IF(A389=A388,INDEX(BackgroundCalcs!$AW$2:$AW$500,'Grading Formulas'!$A389),"C"&amp;A389+9),"")</f>
        <v/>
      </c>
      <c r="E389" s="4" t="str" cm="1">
        <f t="array" ref="E389">IF(ISNUMBER($A389),IF(A389=A388,"Reference2(False,True,"&amp;INDEX(BackgroundCalcs!$AX$2:$AX$500,'Grading Formulas'!$A389)&amp;")","MOEValue(.0001)"),"")</f>
        <v/>
      </c>
      <c r="F389" s="4" t="str">
        <f t="shared" si="28"/>
        <v/>
      </c>
      <c r="G389" s="4" t="str">
        <f t="shared" si="29"/>
        <v/>
      </c>
      <c r="H389" s="4" t="str">
        <f t="shared" si="30"/>
        <v/>
      </c>
    </row>
    <row r="390" spans="1:8">
      <c r="A390" s="5" t="str">
        <f t="shared" si="31"/>
        <v/>
      </c>
      <c r="B390" s="5" t="str">
        <f t="shared" si="27"/>
        <v/>
      </c>
      <c r="C390" s="33" t="str" cm="1">
        <f t="array" ref="C390">IF(ISNUMBER(A390),IF(A390=A389,INDEX(BackgroundCalcs!$AV$2:$AV$500,'Grading Formulas'!$A390),"Question Results"),"")</f>
        <v/>
      </c>
      <c r="D390" s="8" t="str" cm="1">
        <f t="array" ref="D390">IF(ISNUMBER($A390),IF(A390=A389,INDEX(BackgroundCalcs!$AW$2:$AW$500,'Grading Formulas'!$A390),"C"&amp;A390+9),"")</f>
        <v/>
      </c>
      <c r="E390" s="4" t="str" cm="1">
        <f t="array" ref="E390">IF(ISNUMBER($A390),IF(A390=A389,"Reference2(False,True,"&amp;INDEX(BackgroundCalcs!$AX$2:$AX$500,'Grading Formulas'!$A390)&amp;")","MOEValue(.0001)"),"")</f>
        <v/>
      </c>
      <c r="F390" s="4" t="str">
        <f t="shared" si="28"/>
        <v/>
      </c>
      <c r="G390" s="4" t="str">
        <f t="shared" si="29"/>
        <v/>
      </c>
      <c r="H390" s="4" t="str">
        <f t="shared" si="30"/>
        <v/>
      </c>
    </row>
    <row r="391" spans="1:8">
      <c r="A391" s="5" t="str">
        <f t="shared" si="31"/>
        <v/>
      </c>
      <c r="B391" s="5" t="str">
        <f t="shared" si="27"/>
        <v/>
      </c>
      <c r="C391" s="33" t="str" cm="1">
        <f t="array" ref="C391">IF(ISNUMBER(A391),IF(A391=A390,INDEX(BackgroundCalcs!$AV$2:$AV$500,'Grading Formulas'!$A391),"Question Results"),"")</f>
        <v/>
      </c>
      <c r="D391" s="8" t="str" cm="1">
        <f t="array" ref="D391">IF(ISNUMBER($A391),IF(A391=A390,INDEX(BackgroundCalcs!$AW$2:$AW$500,'Grading Formulas'!$A391),"C"&amp;A391+9),"")</f>
        <v/>
      </c>
      <c r="E391" s="4" t="str" cm="1">
        <f t="array" ref="E391">IF(ISNUMBER($A391),IF(A391=A390,"Reference2(False,True,"&amp;INDEX(BackgroundCalcs!$AX$2:$AX$500,'Grading Formulas'!$A391)&amp;")","MOEValue(.0001)"),"")</f>
        <v/>
      </c>
      <c r="F391" s="4" t="str">
        <f t="shared" si="28"/>
        <v/>
      </c>
      <c r="G391" s="4" t="str">
        <f t="shared" si="29"/>
        <v/>
      </c>
      <c r="H391" s="4" t="str">
        <f t="shared" si="30"/>
        <v/>
      </c>
    </row>
    <row r="392" spans="1:8">
      <c r="A392" s="5" t="str">
        <f t="shared" si="31"/>
        <v/>
      </c>
      <c r="B392" s="5" t="str">
        <f t="shared" si="27"/>
        <v/>
      </c>
      <c r="C392" s="33" t="str" cm="1">
        <f t="array" ref="C392">IF(ISNUMBER(A392),IF(A392=A391,INDEX(BackgroundCalcs!$AV$2:$AV$500,'Grading Formulas'!$A392),"Question Results"),"")</f>
        <v/>
      </c>
      <c r="D392" s="8" t="str" cm="1">
        <f t="array" ref="D392">IF(ISNUMBER($A392),IF(A392=A391,INDEX(BackgroundCalcs!$AW$2:$AW$500,'Grading Formulas'!$A392),"C"&amp;A392+9),"")</f>
        <v/>
      </c>
      <c r="E392" s="4" t="str" cm="1">
        <f t="array" ref="E392">IF(ISNUMBER($A392),IF(A392=A391,"Reference2(False,True,"&amp;INDEX(BackgroundCalcs!$AX$2:$AX$500,'Grading Formulas'!$A392)&amp;")","MOEValue(.0001)"),"")</f>
        <v/>
      </c>
      <c r="F392" s="4" t="str">
        <f t="shared" si="28"/>
        <v/>
      </c>
      <c r="G392" s="4" t="str">
        <f t="shared" si="29"/>
        <v/>
      </c>
      <c r="H392" s="4" t="str">
        <f t="shared" si="30"/>
        <v/>
      </c>
    </row>
    <row r="393" spans="1:8">
      <c r="A393" s="5" t="str">
        <f t="shared" si="31"/>
        <v/>
      </c>
      <c r="B393" s="5" t="str">
        <f t="shared" si="27"/>
        <v/>
      </c>
      <c r="C393" s="33" t="str" cm="1">
        <f t="array" ref="C393">IF(ISNUMBER(A393),IF(A393=A392,INDEX(BackgroundCalcs!$AV$2:$AV$500,'Grading Formulas'!$A393),"Question Results"),"")</f>
        <v/>
      </c>
      <c r="D393" s="8" t="str" cm="1">
        <f t="array" ref="D393">IF(ISNUMBER($A393),IF(A393=A392,INDEX(BackgroundCalcs!$AW$2:$AW$500,'Grading Formulas'!$A393),"C"&amp;A393+9),"")</f>
        <v/>
      </c>
      <c r="E393" s="4" t="str" cm="1">
        <f t="array" ref="E393">IF(ISNUMBER($A393),IF(A393=A392,"Reference2(False,True,"&amp;INDEX(BackgroundCalcs!$AX$2:$AX$500,'Grading Formulas'!$A393)&amp;")","MOEValue(.0001)"),"")</f>
        <v/>
      </c>
      <c r="F393" s="4" t="str">
        <f t="shared" si="28"/>
        <v/>
      </c>
      <c r="G393" s="4" t="str">
        <f t="shared" si="29"/>
        <v/>
      </c>
      <c r="H393" s="4" t="str">
        <f t="shared" si="30"/>
        <v/>
      </c>
    </row>
    <row r="394" spans="1:8">
      <c r="A394" s="5" t="str">
        <f t="shared" si="31"/>
        <v/>
      </c>
      <c r="B394" s="5" t="str">
        <f t="shared" si="27"/>
        <v/>
      </c>
      <c r="C394" s="33" t="str" cm="1">
        <f t="array" ref="C394">IF(ISNUMBER(A394),IF(A394=A393,INDEX(BackgroundCalcs!$AV$2:$AV$500,'Grading Formulas'!$A394),"Question Results"),"")</f>
        <v/>
      </c>
      <c r="D394" s="8" t="str" cm="1">
        <f t="array" ref="D394">IF(ISNUMBER($A394),IF(A394=A393,INDEX(BackgroundCalcs!$AW$2:$AW$500,'Grading Formulas'!$A394),"C"&amp;A394+9),"")</f>
        <v/>
      </c>
      <c r="E394" s="4" t="str" cm="1">
        <f t="array" ref="E394">IF(ISNUMBER($A394),IF(A394=A393,"Reference2(False,True,"&amp;INDEX(BackgroundCalcs!$AX$2:$AX$500,'Grading Formulas'!$A394)&amp;")","MOEValue(.0001)"),"")</f>
        <v/>
      </c>
      <c r="F394" s="4" t="str">
        <f t="shared" si="28"/>
        <v/>
      </c>
      <c r="G394" s="4" t="str">
        <f t="shared" si="29"/>
        <v/>
      </c>
      <c r="H394" s="4" t="str">
        <f t="shared" si="30"/>
        <v/>
      </c>
    </row>
    <row r="395" spans="1:8">
      <c r="A395" s="5" t="str">
        <f t="shared" si="31"/>
        <v/>
      </c>
      <c r="B395" s="5" t="str">
        <f t="shared" si="27"/>
        <v/>
      </c>
      <c r="C395" s="33" t="str" cm="1">
        <f t="array" ref="C395">IF(ISNUMBER(A395),IF(A395=A394,INDEX(BackgroundCalcs!$AV$2:$AV$500,'Grading Formulas'!$A395),"Question Results"),"")</f>
        <v/>
      </c>
      <c r="D395" s="8" t="str" cm="1">
        <f t="array" ref="D395">IF(ISNUMBER($A395),IF(A395=A394,INDEX(BackgroundCalcs!$AW$2:$AW$500,'Grading Formulas'!$A395),"C"&amp;A395+9),"")</f>
        <v/>
      </c>
      <c r="E395" s="4" t="str" cm="1">
        <f t="array" ref="E395">IF(ISNUMBER($A395),IF(A395=A394,"Reference2(False,True,"&amp;INDEX(BackgroundCalcs!$AX$2:$AX$500,'Grading Formulas'!$A395)&amp;")","MOEValue(.0001)"),"")</f>
        <v/>
      </c>
      <c r="F395" s="4" t="str">
        <f t="shared" si="28"/>
        <v/>
      </c>
      <c r="G395" s="4" t="str">
        <f t="shared" si="29"/>
        <v/>
      </c>
      <c r="H395" s="4" t="str">
        <f t="shared" si="30"/>
        <v/>
      </c>
    </row>
    <row r="396" spans="1:8">
      <c r="A396" s="5" t="str">
        <f t="shared" si="31"/>
        <v/>
      </c>
      <c r="B396" s="5" t="str">
        <f t="shared" si="27"/>
        <v/>
      </c>
      <c r="C396" s="33" t="str" cm="1">
        <f t="array" ref="C396">IF(ISNUMBER(A396),IF(A396=A395,INDEX(BackgroundCalcs!$AV$2:$AV$500,'Grading Formulas'!$A396),"Question Results"),"")</f>
        <v/>
      </c>
      <c r="D396" s="8" t="str" cm="1">
        <f t="array" ref="D396">IF(ISNUMBER($A396),IF(A396=A395,INDEX(BackgroundCalcs!$AW$2:$AW$500,'Grading Formulas'!$A396),"C"&amp;A396+9),"")</f>
        <v/>
      </c>
      <c r="E396" s="4" t="str" cm="1">
        <f t="array" ref="E396">IF(ISNUMBER($A396),IF(A396=A395,"Reference2(False,True,"&amp;INDEX(BackgroundCalcs!$AX$2:$AX$500,'Grading Formulas'!$A396)&amp;")","MOEValue(.0001)"),"")</f>
        <v/>
      </c>
      <c r="F396" s="4" t="str">
        <f t="shared" si="28"/>
        <v/>
      </c>
      <c r="G396" s="4" t="str">
        <f t="shared" si="29"/>
        <v/>
      </c>
      <c r="H396" s="4" t="str">
        <f t="shared" si="30"/>
        <v/>
      </c>
    </row>
    <row r="397" spans="1:8">
      <c r="A397" s="5" t="str">
        <f t="shared" si="31"/>
        <v/>
      </c>
      <c r="B397" s="5" t="str">
        <f t="shared" si="27"/>
        <v/>
      </c>
      <c r="C397" s="33" t="str" cm="1">
        <f t="array" ref="C397">IF(ISNUMBER(A397),IF(A397=A396,INDEX(BackgroundCalcs!$AV$2:$AV$500,'Grading Formulas'!$A397),"Question Results"),"")</f>
        <v/>
      </c>
      <c r="D397" s="8" t="str" cm="1">
        <f t="array" ref="D397">IF(ISNUMBER($A397),IF(A397=A396,INDEX(BackgroundCalcs!$AW$2:$AW$500,'Grading Formulas'!$A397),"C"&amp;A397+9),"")</f>
        <v/>
      </c>
      <c r="E397" s="4" t="str" cm="1">
        <f t="array" ref="E397">IF(ISNUMBER($A397),IF(A397=A396,"Reference2(False,True,"&amp;INDEX(BackgroundCalcs!$AX$2:$AX$500,'Grading Formulas'!$A397)&amp;")","MOEValue(.0001)"),"")</f>
        <v/>
      </c>
      <c r="F397" s="4" t="str">
        <f t="shared" si="28"/>
        <v/>
      </c>
      <c r="G397" s="4" t="str">
        <f t="shared" si="29"/>
        <v/>
      </c>
      <c r="H397" s="4" t="str">
        <f t="shared" si="30"/>
        <v/>
      </c>
    </row>
    <row r="398" spans="1:8">
      <c r="A398" s="5" t="str">
        <f t="shared" si="31"/>
        <v/>
      </c>
      <c r="B398" s="5" t="str">
        <f t="shared" si="27"/>
        <v/>
      </c>
      <c r="C398" s="33" t="str" cm="1">
        <f t="array" ref="C398">IF(ISNUMBER(A398),IF(A398=A397,INDEX(BackgroundCalcs!$AV$2:$AV$500,'Grading Formulas'!$A398),"Question Results"),"")</f>
        <v/>
      </c>
      <c r="D398" s="8" t="str" cm="1">
        <f t="array" ref="D398">IF(ISNUMBER($A398),IF(A398=A397,INDEX(BackgroundCalcs!$AW$2:$AW$500,'Grading Formulas'!$A398),"C"&amp;A398+9),"")</f>
        <v/>
      </c>
      <c r="E398" s="4" t="str" cm="1">
        <f t="array" ref="E398">IF(ISNUMBER($A398),IF(A398=A397,"Reference2(False,True,"&amp;INDEX(BackgroundCalcs!$AX$2:$AX$500,'Grading Formulas'!$A398)&amp;")","MOEValue(.0001)"),"")</f>
        <v/>
      </c>
      <c r="F398" s="4" t="str">
        <f t="shared" si="28"/>
        <v/>
      </c>
      <c r="G398" s="4" t="str">
        <f t="shared" si="29"/>
        <v/>
      </c>
      <c r="H398" s="4" t="str">
        <f t="shared" si="30"/>
        <v/>
      </c>
    </row>
    <row r="399" spans="1:8">
      <c r="A399" s="5" t="str">
        <f t="shared" si="31"/>
        <v/>
      </c>
      <c r="B399" s="5" t="str">
        <f t="shared" si="27"/>
        <v/>
      </c>
      <c r="C399" s="33" t="str" cm="1">
        <f t="array" ref="C399">IF(ISNUMBER(A399),IF(A399=A398,INDEX(BackgroundCalcs!$AV$2:$AV$500,'Grading Formulas'!$A399),"Question Results"),"")</f>
        <v/>
      </c>
      <c r="D399" s="8" t="str" cm="1">
        <f t="array" ref="D399">IF(ISNUMBER($A399),IF(A399=A398,INDEX(BackgroundCalcs!$AW$2:$AW$500,'Grading Formulas'!$A399),"C"&amp;A399+9),"")</f>
        <v/>
      </c>
      <c r="E399" s="4" t="str" cm="1">
        <f t="array" ref="E399">IF(ISNUMBER($A399),IF(A399=A398,"Reference2(False,True,"&amp;INDEX(BackgroundCalcs!$AX$2:$AX$500,'Grading Formulas'!$A399)&amp;")","MOEValue(.0001)"),"")</f>
        <v/>
      </c>
      <c r="F399" s="4" t="str">
        <f t="shared" si="28"/>
        <v/>
      </c>
      <c r="G399" s="4" t="str">
        <f t="shared" si="29"/>
        <v/>
      </c>
      <c r="H399" s="4" t="str">
        <f t="shared" si="30"/>
        <v/>
      </c>
    </row>
    <row r="400" spans="1:8">
      <c r="A400" s="5" t="str">
        <f t="shared" si="31"/>
        <v/>
      </c>
      <c r="B400" s="5" t="str">
        <f t="shared" si="27"/>
        <v/>
      </c>
      <c r="C400" s="33" t="str" cm="1">
        <f t="array" ref="C400">IF(ISNUMBER(A400),IF(A400=A399,INDEX(BackgroundCalcs!$AV$2:$AV$500,'Grading Formulas'!$A400),"Question Results"),"")</f>
        <v/>
      </c>
      <c r="D400" s="8" t="str" cm="1">
        <f t="array" ref="D400">IF(ISNUMBER($A400),IF(A400=A399,INDEX(BackgroundCalcs!$AW$2:$AW$500,'Grading Formulas'!$A400),"C"&amp;A400+9),"")</f>
        <v/>
      </c>
      <c r="E400" s="4" t="str" cm="1">
        <f t="array" ref="E400">IF(ISNUMBER($A400),IF(A400=A399,"Reference2(False,True,"&amp;INDEX(BackgroundCalcs!$AX$2:$AX$500,'Grading Formulas'!$A400)&amp;")","MOEValue(.0001)"),"")</f>
        <v/>
      </c>
      <c r="F400" s="4" t="str">
        <f t="shared" si="28"/>
        <v/>
      </c>
      <c r="G400" s="4" t="str">
        <f t="shared" si="29"/>
        <v/>
      </c>
      <c r="H400" s="4" t="str">
        <f t="shared" si="30"/>
        <v/>
      </c>
    </row>
    <row r="401" spans="1:8">
      <c r="A401" s="5" t="str">
        <f t="shared" si="31"/>
        <v/>
      </c>
      <c r="B401" s="5" t="str">
        <f t="shared" si="27"/>
        <v/>
      </c>
      <c r="C401" s="33" t="str" cm="1">
        <f t="array" ref="C401">IF(ISNUMBER(A401),IF(A401=A400,INDEX(BackgroundCalcs!$AV$2:$AV$500,'Grading Formulas'!$A401),"Question Results"),"")</f>
        <v/>
      </c>
      <c r="D401" s="8" t="str" cm="1">
        <f t="array" ref="D401">IF(ISNUMBER($A401),IF(A401=A400,INDEX(BackgroundCalcs!$AW$2:$AW$500,'Grading Formulas'!$A401),"C"&amp;A401+9),"")</f>
        <v/>
      </c>
      <c r="E401" s="4" t="str" cm="1">
        <f t="array" ref="E401">IF(ISNUMBER($A401),IF(A401=A400,"Reference2(False,True,"&amp;INDEX(BackgroundCalcs!$AX$2:$AX$500,'Grading Formulas'!$A401)&amp;")","MOEValue(.0001)"),"")</f>
        <v/>
      </c>
      <c r="F401" s="4" t="str">
        <f t="shared" si="28"/>
        <v/>
      </c>
      <c r="G401" s="4" t="str">
        <f t="shared" si="29"/>
        <v/>
      </c>
      <c r="H401" s="4" t="str">
        <f t="shared" si="30"/>
        <v/>
      </c>
    </row>
    <row r="402" spans="1:8">
      <c r="A402" s="5" t="str">
        <f t="shared" si="31"/>
        <v/>
      </c>
      <c r="B402" s="5" t="str">
        <f t="shared" si="27"/>
        <v/>
      </c>
      <c r="C402" s="33" t="str" cm="1">
        <f t="array" ref="C402">IF(ISNUMBER(A402),IF(A402=A401,INDEX(BackgroundCalcs!$AV$2:$AV$500,'Grading Formulas'!$A402),"Question Results"),"")</f>
        <v/>
      </c>
      <c r="D402" s="8" t="str" cm="1">
        <f t="array" ref="D402">IF(ISNUMBER($A402),IF(A402=A401,INDEX(BackgroundCalcs!$AW$2:$AW$500,'Grading Formulas'!$A402),"C"&amp;A402+9),"")</f>
        <v/>
      </c>
      <c r="E402" s="4" t="str" cm="1">
        <f t="array" ref="E402">IF(ISNUMBER($A402),IF(A402=A401,"Reference2(False,True,"&amp;INDEX(BackgroundCalcs!$AX$2:$AX$500,'Grading Formulas'!$A402)&amp;")","MOEValue(.0001)"),"")</f>
        <v/>
      </c>
      <c r="F402" s="4" t="str">
        <f t="shared" si="28"/>
        <v/>
      </c>
      <c r="G402" s="4" t="str">
        <f t="shared" si="29"/>
        <v/>
      </c>
      <c r="H402" s="4" t="str">
        <f t="shared" si="30"/>
        <v/>
      </c>
    </row>
    <row r="403" spans="1:8">
      <c r="A403" s="5" t="str">
        <f t="shared" si="31"/>
        <v/>
      </c>
      <c r="B403" s="5" t="str">
        <f t="shared" si="27"/>
        <v/>
      </c>
      <c r="C403" s="33" t="str" cm="1">
        <f t="array" ref="C403">IF(ISNUMBER(A403),IF(A403=A402,INDEX(BackgroundCalcs!$AV$2:$AV$500,'Grading Formulas'!$A403),"Question Results"),"")</f>
        <v/>
      </c>
      <c r="D403" s="8" t="str" cm="1">
        <f t="array" ref="D403">IF(ISNUMBER($A403),IF(A403=A402,INDEX(BackgroundCalcs!$AW$2:$AW$500,'Grading Formulas'!$A403),"C"&amp;A403+9),"")</f>
        <v/>
      </c>
      <c r="E403" s="4" t="str" cm="1">
        <f t="array" ref="E403">IF(ISNUMBER($A403),IF(A403=A402,"Reference2(False,True,"&amp;INDEX(BackgroundCalcs!$AX$2:$AX$500,'Grading Formulas'!$A403)&amp;")","MOEValue(.0001)"),"")</f>
        <v/>
      </c>
      <c r="F403" s="4" t="str">
        <f t="shared" si="28"/>
        <v/>
      </c>
      <c r="G403" s="4" t="str">
        <f t="shared" si="29"/>
        <v/>
      </c>
      <c r="H403" s="4" t="str">
        <f t="shared" si="30"/>
        <v/>
      </c>
    </row>
    <row r="404" spans="1:8">
      <c r="A404" s="5" t="str">
        <f t="shared" si="31"/>
        <v/>
      </c>
      <c r="B404" s="5" t="str">
        <f t="shared" si="27"/>
        <v/>
      </c>
      <c r="C404" s="33" t="str" cm="1">
        <f t="array" ref="C404">IF(ISNUMBER(A404),IF(A404=A403,INDEX(BackgroundCalcs!$AV$2:$AV$500,'Grading Formulas'!$A404),"Question Results"),"")</f>
        <v/>
      </c>
      <c r="D404" s="8" t="str" cm="1">
        <f t="array" ref="D404">IF(ISNUMBER($A404),IF(A404=A403,INDEX(BackgroundCalcs!$AW$2:$AW$500,'Grading Formulas'!$A404),"C"&amp;A404+9),"")</f>
        <v/>
      </c>
      <c r="E404" s="4" t="str" cm="1">
        <f t="array" ref="E404">IF(ISNUMBER($A404),IF(A404=A403,"Reference2(False,True,"&amp;INDEX(BackgroundCalcs!$AX$2:$AX$500,'Grading Formulas'!$A404)&amp;")","MOEValue(.0001)"),"")</f>
        <v/>
      </c>
      <c r="F404" s="4" t="str">
        <f t="shared" si="28"/>
        <v/>
      </c>
      <c r="G404" s="4" t="str">
        <f t="shared" si="29"/>
        <v/>
      </c>
      <c r="H404" s="4" t="str">
        <f t="shared" si="30"/>
        <v/>
      </c>
    </row>
    <row r="405" spans="1:8">
      <c r="A405" s="5" t="str">
        <f t="shared" si="31"/>
        <v/>
      </c>
      <c r="B405" s="5" t="str">
        <f t="shared" si="27"/>
        <v/>
      </c>
      <c r="C405" s="33" t="str" cm="1">
        <f t="array" ref="C405">IF(ISNUMBER(A405),IF(A405=A404,INDEX(BackgroundCalcs!$AV$2:$AV$500,'Grading Formulas'!$A405),"Question Results"),"")</f>
        <v/>
      </c>
      <c r="D405" s="8" t="str" cm="1">
        <f t="array" ref="D405">IF(ISNUMBER($A405),IF(A405=A404,INDEX(BackgroundCalcs!$AW$2:$AW$500,'Grading Formulas'!$A405),"C"&amp;A405+9),"")</f>
        <v/>
      </c>
      <c r="E405" s="4" t="str" cm="1">
        <f t="array" ref="E405">IF(ISNUMBER($A405),IF(A405=A404,"Reference2(False,True,"&amp;INDEX(BackgroundCalcs!$AX$2:$AX$500,'Grading Formulas'!$A405)&amp;")","MOEValue(.0001)"),"")</f>
        <v/>
      </c>
      <c r="F405" s="4" t="str">
        <f t="shared" si="28"/>
        <v/>
      </c>
      <c r="G405" s="4" t="str">
        <f t="shared" si="29"/>
        <v/>
      </c>
      <c r="H405" s="4" t="str">
        <f t="shared" si="30"/>
        <v/>
      </c>
    </row>
    <row r="406" spans="1:8">
      <c r="A406" s="5" t="str">
        <f t="shared" si="31"/>
        <v/>
      </c>
      <c r="B406" s="5" t="str">
        <f t="shared" si="27"/>
        <v/>
      </c>
      <c r="C406" s="33" t="str" cm="1">
        <f t="array" ref="C406">IF(ISNUMBER(A406),IF(A406=A405,INDEX(BackgroundCalcs!$AV$2:$AV$500,'Grading Formulas'!$A406),"Question Results"),"")</f>
        <v/>
      </c>
      <c r="D406" s="8" t="str" cm="1">
        <f t="array" ref="D406">IF(ISNUMBER($A406),IF(A406=A405,INDEX(BackgroundCalcs!$AW$2:$AW$500,'Grading Formulas'!$A406),"C"&amp;A406+9),"")</f>
        <v/>
      </c>
      <c r="E406" s="4" t="str" cm="1">
        <f t="array" ref="E406">IF(ISNUMBER($A406),IF(A406=A405,"Reference2(False,True,"&amp;INDEX(BackgroundCalcs!$AX$2:$AX$500,'Grading Formulas'!$A406)&amp;")","MOEValue(.0001)"),"")</f>
        <v/>
      </c>
      <c r="F406" s="4" t="str">
        <f t="shared" si="28"/>
        <v/>
      </c>
      <c r="G406" s="4" t="str">
        <f t="shared" si="29"/>
        <v/>
      </c>
      <c r="H406" s="4" t="str">
        <f t="shared" si="30"/>
        <v/>
      </c>
    </row>
    <row r="407" spans="1:8">
      <c r="A407" s="5" t="str">
        <f t="shared" si="31"/>
        <v/>
      </c>
      <c r="B407" s="5" t="str">
        <f t="shared" si="27"/>
        <v/>
      </c>
      <c r="C407" s="33" t="str" cm="1">
        <f t="array" ref="C407">IF(ISNUMBER(A407),IF(A407=A406,INDEX(BackgroundCalcs!$AV$2:$AV$500,'Grading Formulas'!$A407),"Question Results"),"")</f>
        <v/>
      </c>
      <c r="D407" s="8" t="str" cm="1">
        <f t="array" ref="D407">IF(ISNUMBER($A407),IF(A407=A406,INDEX(BackgroundCalcs!$AW$2:$AW$500,'Grading Formulas'!$A407),"C"&amp;A407+9),"")</f>
        <v/>
      </c>
      <c r="E407" s="4" t="str" cm="1">
        <f t="array" ref="E407">IF(ISNUMBER($A407),IF(A407=A406,"Reference2(False,True,"&amp;INDEX(BackgroundCalcs!$AX$2:$AX$500,'Grading Formulas'!$A407)&amp;")","MOEValue(.0001)"),"")</f>
        <v/>
      </c>
      <c r="F407" s="4" t="str">
        <f t="shared" si="28"/>
        <v/>
      </c>
      <c r="G407" s="4" t="str">
        <f t="shared" si="29"/>
        <v/>
      </c>
      <c r="H407" s="4" t="str">
        <f t="shared" si="30"/>
        <v/>
      </c>
    </row>
    <row r="408" spans="1:8">
      <c r="A408" s="5" t="str">
        <f t="shared" si="31"/>
        <v/>
      </c>
      <c r="B408" s="5" t="str">
        <f t="shared" si="27"/>
        <v/>
      </c>
      <c r="C408" s="33" t="str" cm="1">
        <f t="array" ref="C408">IF(ISNUMBER(A408),IF(A408=A407,INDEX(BackgroundCalcs!$AV$2:$AV$500,'Grading Formulas'!$A408),"Question Results"),"")</f>
        <v/>
      </c>
      <c r="D408" s="8" t="str" cm="1">
        <f t="array" ref="D408">IF(ISNUMBER($A408),IF(A408=A407,INDEX(BackgroundCalcs!$AW$2:$AW$500,'Grading Formulas'!$A408),"C"&amp;A408+9),"")</f>
        <v/>
      </c>
      <c r="E408" s="4" t="str" cm="1">
        <f t="array" ref="E408">IF(ISNUMBER($A408),IF(A408=A407,"Reference2(False,True,"&amp;INDEX(BackgroundCalcs!$AX$2:$AX$500,'Grading Formulas'!$A408)&amp;")","MOEValue(.0001)"),"")</f>
        <v/>
      </c>
      <c r="F408" s="4" t="str">
        <f t="shared" si="28"/>
        <v/>
      </c>
      <c r="G408" s="4" t="str">
        <f t="shared" si="29"/>
        <v/>
      </c>
      <c r="H408" s="4" t="str">
        <f t="shared" si="30"/>
        <v/>
      </c>
    </row>
    <row r="409" spans="1:8">
      <c r="A409" s="5" t="str">
        <f t="shared" si="31"/>
        <v/>
      </c>
      <c r="B409" s="5" t="str">
        <f t="shared" si="27"/>
        <v/>
      </c>
      <c r="C409" s="33" t="str" cm="1">
        <f t="array" ref="C409">IF(ISNUMBER(A409),IF(A409=A408,INDEX(BackgroundCalcs!$AV$2:$AV$500,'Grading Formulas'!$A409),"Question Results"),"")</f>
        <v/>
      </c>
      <c r="D409" s="8" t="str" cm="1">
        <f t="array" ref="D409">IF(ISNUMBER($A409),IF(A409=A408,INDEX(BackgroundCalcs!$AW$2:$AW$500,'Grading Formulas'!$A409),"C"&amp;A409+9),"")</f>
        <v/>
      </c>
      <c r="E409" s="4" t="str" cm="1">
        <f t="array" ref="E409">IF(ISNUMBER($A409),IF(A409=A408,"Reference2(False,True,"&amp;INDEX(BackgroundCalcs!$AX$2:$AX$500,'Grading Formulas'!$A409)&amp;")","MOEValue(.0001)"),"")</f>
        <v/>
      </c>
      <c r="F409" s="4" t="str">
        <f t="shared" si="28"/>
        <v/>
      </c>
      <c r="G409" s="4" t="str">
        <f t="shared" si="29"/>
        <v/>
      </c>
      <c r="H409" s="4" t="str">
        <f t="shared" si="30"/>
        <v/>
      </c>
    </row>
    <row r="410" spans="1:8">
      <c r="A410" s="5" t="str">
        <f t="shared" si="31"/>
        <v/>
      </c>
      <c r="B410" s="5" t="str">
        <f t="shared" si="27"/>
        <v/>
      </c>
      <c r="C410" s="33" t="str" cm="1">
        <f t="array" ref="C410">IF(ISNUMBER(A410),IF(A410=A409,INDEX(BackgroundCalcs!$AV$2:$AV$500,'Grading Formulas'!$A410),"Question Results"),"")</f>
        <v/>
      </c>
      <c r="D410" s="8" t="str" cm="1">
        <f t="array" ref="D410">IF(ISNUMBER($A410),IF(A410=A409,INDEX(BackgroundCalcs!$AW$2:$AW$500,'Grading Formulas'!$A410),"C"&amp;A410+9),"")</f>
        <v/>
      </c>
      <c r="E410" s="4" t="str" cm="1">
        <f t="array" ref="E410">IF(ISNUMBER($A410),IF(A410=A409,"Reference2(False,True,"&amp;INDEX(BackgroundCalcs!$AX$2:$AX$500,'Grading Formulas'!$A410)&amp;")","MOEValue(.0001)"),"")</f>
        <v/>
      </c>
      <c r="F410" s="4" t="str">
        <f t="shared" si="28"/>
        <v/>
      </c>
      <c r="G410" s="4" t="str">
        <f t="shared" si="29"/>
        <v/>
      </c>
      <c r="H410" s="4" t="str">
        <f t="shared" si="30"/>
        <v/>
      </c>
    </row>
    <row r="411" spans="1:8">
      <c r="A411" s="5" t="str">
        <f t="shared" si="31"/>
        <v/>
      </c>
      <c r="B411" s="5" t="str">
        <f t="shared" si="27"/>
        <v/>
      </c>
      <c r="C411" s="33" t="str" cm="1">
        <f t="array" ref="C411">IF(ISNUMBER(A411),IF(A411=A410,INDEX(BackgroundCalcs!$AV$2:$AV$500,'Grading Formulas'!$A411),"Question Results"),"")</f>
        <v/>
      </c>
      <c r="D411" s="8" t="str" cm="1">
        <f t="array" ref="D411">IF(ISNUMBER($A411),IF(A411=A410,INDEX(BackgroundCalcs!$AW$2:$AW$500,'Grading Formulas'!$A411),"C"&amp;A411+9),"")</f>
        <v/>
      </c>
      <c r="E411" s="4" t="str" cm="1">
        <f t="array" ref="E411">IF(ISNUMBER($A411),IF(A411=A410,"Reference2(False,True,"&amp;INDEX(BackgroundCalcs!$AX$2:$AX$500,'Grading Formulas'!$A411)&amp;")","MOEValue(.0001)"),"")</f>
        <v/>
      </c>
      <c r="F411" s="4" t="str">
        <f t="shared" si="28"/>
        <v/>
      </c>
      <c r="G411" s="4" t="str">
        <f t="shared" si="29"/>
        <v/>
      </c>
      <c r="H411" s="4" t="str">
        <f t="shared" si="30"/>
        <v/>
      </c>
    </row>
    <row r="412" spans="1:8">
      <c r="A412" s="5" t="str">
        <f t="shared" si="31"/>
        <v/>
      </c>
      <c r="B412" s="5" t="str">
        <f t="shared" si="27"/>
        <v/>
      </c>
      <c r="C412" s="33" t="str" cm="1">
        <f t="array" ref="C412">IF(ISNUMBER(A412),IF(A412=A411,INDEX(BackgroundCalcs!$AV$2:$AV$500,'Grading Formulas'!$A412),"Question Results"),"")</f>
        <v/>
      </c>
      <c r="D412" s="8" t="str" cm="1">
        <f t="array" ref="D412">IF(ISNUMBER($A412),IF(A412=A411,INDEX(BackgroundCalcs!$AW$2:$AW$500,'Grading Formulas'!$A412),"C"&amp;A412+9),"")</f>
        <v/>
      </c>
      <c r="E412" s="4" t="str" cm="1">
        <f t="array" ref="E412">IF(ISNUMBER($A412),IF(A412=A411,"Reference2(False,True,"&amp;INDEX(BackgroundCalcs!$AX$2:$AX$500,'Grading Formulas'!$A412)&amp;")","MOEValue(.0001)"),"")</f>
        <v/>
      </c>
      <c r="F412" s="4" t="str">
        <f t="shared" si="28"/>
        <v/>
      </c>
      <c r="G412" s="4" t="str">
        <f t="shared" si="29"/>
        <v/>
      </c>
      <c r="H412" s="4" t="str">
        <f t="shared" si="30"/>
        <v/>
      </c>
    </row>
    <row r="413" spans="1:8">
      <c r="A413" s="5" t="str">
        <f t="shared" si="31"/>
        <v/>
      </c>
      <c r="B413" s="5" t="str">
        <f t="shared" si="27"/>
        <v/>
      </c>
      <c r="C413" s="33" t="str" cm="1">
        <f t="array" ref="C413">IF(ISNUMBER(A413),IF(A413=A412,INDEX(BackgroundCalcs!$AV$2:$AV$500,'Grading Formulas'!$A413),"Question Results"),"")</f>
        <v/>
      </c>
      <c r="D413" s="8" t="str" cm="1">
        <f t="array" ref="D413">IF(ISNUMBER($A413),IF(A413=A412,INDEX(BackgroundCalcs!$AW$2:$AW$500,'Grading Formulas'!$A413),"C"&amp;A413+9),"")</f>
        <v/>
      </c>
      <c r="E413" s="4" t="str" cm="1">
        <f t="array" ref="E413">IF(ISNUMBER($A413),IF(A413=A412,"Reference2(False,True,"&amp;INDEX(BackgroundCalcs!$AX$2:$AX$500,'Grading Formulas'!$A413)&amp;")","MOEValue(.0001)"),"")</f>
        <v/>
      </c>
      <c r="F413" s="4" t="str">
        <f t="shared" si="28"/>
        <v/>
      </c>
      <c r="G413" s="4" t="str">
        <f t="shared" si="29"/>
        <v/>
      </c>
      <c r="H413" s="4" t="str">
        <f t="shared" si="30"/>
        <v/>
      </c>
    </row>
    <row r="414" spans="1:8">
      <c r="A414" s="5" t="str">
        <f t="shared" si="31"/>
        <v/>
      </c>
      <c r="B414" s="5" t="str">
        <f t="shared" si="27"/>
        <v/>
      </c>
      <c r="C414" s="33" t="str" cm="1">
        <f t="array" ref="C414">IF(ISNUMBER(A414),IF(A414=A413,INDEX(BackgroundCalcs!$AV$2:$AV$500,'Grading Formulas'!$A414),"Question Results"),"")</f>
        <v/>
      </c>
      <c r="D414" s="8" t="str" cm="1">
        <f t="array" ref="D414">IF(ISNUMBER($A414),IF(A414=A413,INDEX(BackgroundCalcs!$AW$2:$AW$500,'Grading Formulas'!$A414),"C"&amp;A414+9),"")</f>
        <v/>
      </c>
      <c r="E414" s="4" t="str" cm="1">
        <f t="array" ref="E414">IF(ISNUMBER($A414),IF(A414=A413,"Reference2(False,True,"&amp;INDEX(BackgroundCalcs!$AX$2:$AX$500,'Grading Formulas'!$A414)&amp;")","MOEValue(.0001)"),"")</f>
        <v/>
      </c>
      <c r="F414" s="4" t="str">
        <f t="shared" si="28"/>
        <v/>
      </c>
      <c r="G414" s="4" t="str">
        <f t="shared" si="29"/>
        <v/>
      </c>
      <c r="H414" s="4" t="str">
        <f t="shared" si="30"/>
        <v/>
      </c>
    </row>
    <row r="415" spans="1:8">
      <c r="A415" s="5" t="str">
        <f t="shared" si="31"/>
        <v/>
      </c>
      <c r="B415" s="5" t="str">
        <f t="shared" si="27"/>
        <v/>
      </c>
      <c r="C415" s="33" t="str" cm="1">
        <f t="array" ref="C415">IF(ISNUMBER(A415),IF(A415=A414,INDEX(BackgroundCalcs!$AV$2:$AV$500,'Grading Formulas'!$A415),"Question Results"),"")</f>
        <v/>
      </c>
      <c r="D415" s="8" t="str" cm="1">
        <f t="array" ref="D415">IF(ISNUMBER($A415),IF(A415=A414,INDEX(BackgroundCalcs!$AW$2:$AW$500,'Grading Formulas'!$A415),"C"&amp;A415+9),"")</f>
        <v/>
      </c>
      <c r="E415" s="4" t="str" cm="1">
        <f t="array" ref="E415">IF(ISNUMBER($A415),IF(A415=A414,"Reference2(False,True,"&amp;INDEX(BackgroundCalcs!$AX$2:$AX$500,'Grading Formulas'!$A415)&amp;")","MOEValue(.0001)"),"")</f>
        <v/>
      </c>
      <c r="F415" s="4" t="str">
        <f t="shared" si="28"/>
        <v/>
      </c>
      <c r="G415" s="4" t="str">
        <f t="shared" si="29"/>
        <v/>
      </c>
      <c r="H415" s="4" t="str">
        <f t="shared" si="30"/>
        <v/>
      </c>
    </row>
    <row r="416" spans="1:8">
      <c r="A416" s="5" t="str">
        <f t="shared" si="31"/>
        <v/>
      </c>
      <c r="B416" s="5" t="str">
        <f t="shared" si="27"/>
        <v/>
      </c>
      <c r="C416" s="33" t="str" cm="1">
        <f t="array" ref="C416">IF(ISNUMBER(A416),IF(A416=A415,INDEX(BackgroundCalcs!$AV$2:$AV$500,'Grading Formulas'!$A416),"Question Results"),"")</f>
        <v/>
      </c>
      <c r="D416" s="8" t="str" cm="1">
        <f t="array" ref="D416">IF(ISNUMBER($A416),IF(A416=A415,INDEX(BackgroundCalcs!$AW$2:$AW$500,'Grading Formulas'!$A416),"C"&amp;A416+9),"")</f>
        <v/>
      </c>
      <c r="E416" s="4" t="str" cm="1">
        <f t="array" ref="E416">IF(ISNUMBER($A416),IF(A416=A415,"Reference2(False,True,"&amp;INDEX(BackgroundCalcs!$AX$2:$AX$500,'Grading Formulas'!$A416)&amp;")","MOEValue(.0001)"),"")</f>
        <v/>
      </c>
      <c r="F416" s="4" t="str">
        <f t="shared" si="28"/>
        <v/>
      </c>
      <c r="G416" s="4" t="str">
        <f t="shared" si="29"/>
        <v/>
      </c>
      <c r="H416" s="4" t="str">
        <f t="shared" si="30"/>
        <v/>
      </c>
    </row>
    <row r="417" spans="1:8">
      <c r="A417" s="5" t="str">
        <f t="shared" si="31"/>
        <v/>
      </c>
      <c r="B417" s="5" t="str">
        <f t="shared" si="27"/>
        <v/>
      </c>
      <c r="C417" s="33" t="str" cm="1">
        <f t="array" ref="C417">IF(ISNUMBER(A417),IF(A417=A416,INDEX(BackgroundCalcs!$AV$2:$AV$500,'Grading Formulas'!$A417),"Question Results"),"")</f>
        <v/>
      </c>
      <c r="D417" s="8" t="str" cm="1">
        <f t="array" ref="D417">IF(ISNUMBER($A417),IF(A417=A416,INDEX(BackgroundCalcs!$AW$2:$AW$500,'Grading Formulas'!$A417),"C"&amp;A417+9),"")</f>
        <v/>
      </c>
      <c r="E417" s="4" t="str" cm="1">
        <f t="array" ref="E417">IF(ISNUMBER($A417),IF(A417=A416,"Reference2(False,True,"&amp;INDEX(BackgroundCalcs!$AX$2:$AX$500,'Grading Formulas'!$A417)&amp;")","MOEValue(.0001)"),"")</f>
        <v/>
      </c>
      <c r="F417" s="4" t="str">
        <f t="shared" si="28"/>
        <v/>
      </c>
      <c r="G417" s="4" t="str">
        <f t="shared" si="29"/>
        <v/>
      </c>
      <c r="H417" s="4" t="str">
        <f t="shared" si="30"/>
        <v/>
      </c>
    </row>
    <row r="418" spans="1:8">
      <c r="A418" s="5" t="str">
        <f t="shared" si="31"/>
        <v/>
      </c>
      <c r="B418" s="5" t="str">
        <f t="shared" si="27"/>
        <v/>
      </c>
      <c r="C418" s="33" t="str" cm="1">
        <f t="array" ref="C418">IF(ISNUMBER(A418),IF(A418=A417,INDEX(BackgroundCalcs!$AV$2:$AV$500,'Grading Formulas'!$A418),"Question Results"),"")</f>
        <v/>
      </c>
      <c r="D418" s="8" t="str" cm="1">
        <f t="array" ref="D418">IF(ISNUMBER($A418),IF(A418=A417,INDEX(BackgroundCalcs!$AW$2:$AW$500,'Grading Formulas'!$A418),"C"&amp;A418+9),"")</f>
        <v/>
      </c>
      <c r="E418" s="4" t="str" cm="1">
        <f t="array" ref="E418">IF(ISNUMBER($A418),IF(A418=A417,"Reference2(False,True,"&amp;INDEX(BackgroundCalcs!$AX$2:$AX$500,'Grading Formulas'!$A418)&amp;")","MOEValue(.0001)"),"")</f>
        <v/>
      </c>
      <c r="F418" s="4" t="str">
        <f t="shared" si="28"/>
        <v/>
      </c>
      <c r="G418" s="4" t="str">
        <f t="shared" si="29"/>
        <v/>
      </c>
      <c r="H418" s="4" t="str">
        <f t="shared" si="30"/>
        <v/>
      </c>
    </row>
    <row r="419" spans="1:8">
      <c r="A419" s="5" t="str">
        <f t="shared" si="31"/>
        <v/>
      </c>
      <c r="B419" s="5" t="str">
        <f t="shared" si="27"/>
        <v/>
      </c>
      <c r="C419" s="33" t="str" cm="1">
        <f t="array" ref="C419">IF(ISNUMBER(A419),IF(A419=A418,INDEX(BackgroundCalcs!$AV$2:$AV$500,'Grading Formulas'!$A419),"Question Results"),"")</f>
        <v/>
      </c>
      <c r="D419" s="8" t="str" cm="1">
        <f t="array" ref="D419">IF(ISNUMBER($A419),IF(A419=A418,INDEX(BackgroundCalcs!$AW$2:$AW$500,'Grading Formulas'!$A419),"C"&amp;A419+9),"")</f>
        <v/>
      </c>
      <c r="E419" s="4" t="str" cm="1">
        <f t="array" ref="E419">IF(ISNUMBER($A419),IF(A419=A418,"Reference2(False,True,"&amp;INDEX(BackgroundCalcs!$AX$2:$AX$500,'Grading Formulas'!$A419)&amp;")","MOEValue(.0001)"),"")</f>
        <v/>
      </c>
      <c r="F419" s="4" t="str">
        <f t="shared" si="28"/>
        <v/>
      </c>
      <c r="G419" s="4" t="str">
        <f t="shared" si="29"/>
        <v/>
      </c>
      <c r="H419" s="4" t="str">
        <f t="shared" si="30"/>
        <v/>
      </c>
    </row>
    <row r="420" spans="1:8">
      <c r="A420" s="5" t="str">
        <f t="shared" si="31"/>
        <v/>
      </c>
      <c r="B420" s="5" t="str">
        <f t="shared" si="27"/>
        <v/>
      </c>
      <c r="C420" s="33" t="str" cm="1">
        <f t="array" ref="C420">IF(ISNUMBER(A420),IF(A420=A419,INDEX(BackgroundCalcs!$AV$2:$AV$500,'Grading Formulas'!$A420),"Question Results"),"")</f>
        <v/>
      </c>
      <c r="D420" s="8" t="str" cm="1">
        <f t="array" ref="D420">IF(ISNUMBER($A420),IF(A420=A419,INDEX(BackgroundCalcs!$AW$2:$AW$500,'Grading Formulas'!$A420),"C"&amp;A420+9),"")</f>
        <v/>
      </c>
      <c r="E420" s="4" t="str" cm="1">
        <f t="array" ref="E420">IF(ISNUMBER($A420),IF(A420=A419,"Reference2(False,True,"&amp;INDEX(BackgroundCalcs!$AX$2:$AX$500,'Grading Formulas'!$A420)&amp;")","MOEValue(.0001)"),"")</f>
        <v/>
      </c>
      <c r="F420" s="4" t="str">
        <f t="shared" si="28"/>
        <v/>
      </c>
      <c r="G420" s="4" t="str">
        <f t="shared" si="29"/>
        <v/>
      </c>
      <c r="H420" s="4" t="str">
        <f t="shared" si="30"/>
        <v/>
      </c>
    </row>
    <row r="421" spans="1:8">
      <c r="A421" s="5" t="str">
        <f t="shared" si="31"/>
        <v/>
      </c>
      <c r="B421" s="5" t="str">
        <f t="shared" si="27"/>
        <v/>
      </c>
      <c r="C421" s="33" t="str" cm="1">
        <f t="array" ref="C421">IF(ISNUMBER(A421),IF(A421=A420,INDEX(BackgroundCalcs!$AV$2:$AV$500,'Grading Formulas'!$A421),"Question Results"),"")</f>
        <v/>
      </c>
      <c r="D421" s="8" t="str" cm="1">
        <f t="array" ref="D421">IF(ISNUMBER($A421),IF(A421=A420,INDEX(BackgroundCalcs!$AW$2:$AW$500,'Grading Formulas'!$A421),"C"&amp;A421+9),"")</f>
        <v/>
      </c>
      <c r="E421" s="4" t="str" cm="1">
        <f t="array" ref="E421">IF(ISNUMBER($A421),IF(A421=A420,"Reference2(False,True,"&amp;INDEX(BackgroundCalcs!$AX$2:$AX$500,'Grading Formulas'!$A421)&amp;")","MOEValue(.0001)"),"")</f>
        <v/>
      </c>
      <c r="F421" s="4" t="str">
        <f t="shared" si="28"/>
        <v/>
      </c>
      <c r="G421" s="4" t="str">
        <f t="shared" si="29"/>
        <v/>
      </c>
      <c r="H421" s="4" t="str">
        <f t="shared" si="30"/>
        <v/>
      </c>
    </row>
    <row r="422" spans="1:8">
      <c r="A422" s="5" t="str">
        <f t="shared" si="31"/>
        <v/>
      </c>
      <c r="B422" s="5" t="str">
        <f t="shared" si="27"/>
        <v/>
      </c>
      <c r="C422" s="33" t="str" cm="1">
        <f t="array" ref="C422">IF(ISNUMBER(A422),IF(A422=A421,INDEX(BackgroundCalcs!$AV$2:$AV$500,'Grading Formulas'!$A422),"Question Results"),"")</f>
        <v/>
      </c>
      <c r="D422" s="8" t="str" cm="1">
        <f t="array" ref="D422">IF(ISNUMBER($A422),IF(A422=A421,INDEX(BackgroundCalcs!$AW$2:$AW$500,'Grading Formulas'!$A422),"C"&amp;A422+9),"")</f>
        <v/>
      </c>
      <c r="E422" s="4" t="str" cm="1">
        <f t="array" ref="E422">IF(ISNUMBER($A422),IF(A422=A421,"Reference2(False,True,"&amp;INDEX(BackgroundCalcs!$AX$2:$AX$500,'Grading Formulas'!$A422)&amp;")","MOEValue(.0001)"),"")</f>
        <v/>
      </c>
      <c r="F422" s="4" t="str">
        <f t="shared" si="28"/>
        <v/>
      </c>
      <c r="G422" s="4" t="str">
        <f t="shared" si="29"/>
        <v/>
      </c>
      <c r="H422" s="4" t="str">
        <f t="shared" si="30"/>
        <v/>
      </c>
    </row>
    <row r="423" spans="1:8">
      <c r="A423" s="5" t="str">
        <f t="shared" si="31"/>
        <v/>
      </c>
      <c r="B423" s="5" t="str">
        <f t="shared" si="27"/>
        <v/>
      </c>
      <c r="C423" s="33" t="str" cm="1">
        <f t="array" ref="C423">IF(ISNUMBER(A423),IF(A423=A422,INDEX(BackgroundCalcs!$AV$2:$AV$500,'Grading Formulas'!$A423),"Question Results"),"")</f>
        <v/>
      </c>
      <c r="D423" s="8" t="str" cm="1">
        <f t="array" ref="D423">IF(ISNUMBER($A423),IF(A423=A422,INDEX(BackgroundCalcs!$AW$2:$AW$500,'Grading Formulas'!$A423),"C"&amp;A423+9),"")</f>
        <v/>
      </c>
      <c r="E423" s="4" t="str" cm="1">
        <f t="array" ref="E423">IF(ISNUMBER($A423),IF(A423=A422,"Reference2(False,True,"&amp;INDEX(BackgroundCalcs!$AX$2:$AX$500,'Grading Formulas'!$A423)&amp;")","MOEValue(.0001)"),"")</f>
        <v/>
      </c>
      <c r="F423" s="4" t="str">
        <f t="shared" si="28"/>
        <v/>
      </c>
      <c r="G423" s="4" t="str">
        <f t="shared" si="29"/>
        <v/>
      </c>
      <c r="H423" s="4" t="str">
        <f t="shared" si="30"/>
        <v/>
      </c>
    </row>
    <row r="424" spans="1:8">
      <c r="A424" s="5" t="str">
        <f t="shared" si="31"/>
        <v/>
      </c>
      <c r="B424" s="5" t="str">
        <f t="shared" si="27"/>
        <v/>
      </c>
      <c r="C424" s="33" t="str" cm="1">
        <f t="array" ref="C424">IF(ISNUMBER(A424),IF(A424=A423,INDEX(BackgroundCalcs!$AV$2:$AV$500,'Grading Formulas'!$A424),"Question Results"),"")</f>
        <v/>
      </c>
      <c r="D424" s="8" t="str" cm="1">
        <f t="array" ref="D424">IF(ISNUMBER($A424),IF(A424=A423,INDEX(BackgroundCalcs!$AW$2:$AW$500,'Grading Formulas'!$A424),"C"&amp;A424+9),"")</f>
        <v/>
      </c>
      <c r="E424" s="4" t="str" cm="1">
        <f t="array" ref="E424">IF(ISNUMBER($A424),IF(A424=A423,"Reference2(False,True,"&amp;INDEX(BackgroundCalcs!$AX$2:$AX$500,'Grading Formulas'!$A424)&amp;")","MOEValue(.0001)"),"")</f>
        <v/>
      </c>
      <c r="F424" s="4" t="str">
        <f t="shared" si="28"/>
        <v/>
      </c>
      <c r="G424" s="4" t="str">
        <f t="shared" si="29"/>
        <v/>
      </c>
      <c r="H424" s="4" t="str">
        <f t="shared" si="30"/>
        <v/>
      </c>
    </row>
    <row r="425" spans="1:8">
      <c r="A425" s="5" t="str">
        <f t="shared" si="31"/>
        <v/>
      </c>
      <c r="B425" s="5" t="str">
        <f t="shared" si="27"/>
        <v/>
      </c>
      <c r="C425" s="33" t="str" cm="1">
        <f t="array" ref="C425">IF(ISNUMBER(A425),IF(A425=A424,INDEX(BackgroundCalcs!$AV$2:$AV$500,'Grading Formulas'!$A425),"Question Results"),"")</f>
        <v/>
      </c>
      <c r="D425" s="8" t="str" cm="1">
        <f t="array" ref="D425">IF(ISNUMBER($A425),IF(A425=A424,INDEX(BackgroundCalcs!$AW$2:$AW$500,'Grading Formulas'!$A425),"C"&amp;A425+9),"")</f>
        <v/>
      </c>
      <c r="E425" s="4" t="str" cm="1">
        <f t="array" ref="E425">IF(ISNUMBER($A425),IF(A425=A424,"Reference2(False,True,"&amp;INDEX(BackgroundCalcs!$AX$2:$AX$500,'Grading Formulas'!$A425)&amp;")","MOEValue(.0001)"),"")</f>
        <v/>
      </c>
      <c r="F425" s="4" t="str">
        <f t="shared" si="28"/>
        <v/>
      </c>
      <c r="G425" s="4" t="str">
        <f t="shared" si="29"/>
        <v/>
      </c>
      <c r="H425" s="4" t="str">
        <f t="shared" si="30"/>
        <v/>
      </c>
    </row>
    <row r="426" spans="1:8">
      <c r="A426" s="5" t="str">
        <f t="shared" si="31"/>
        <v/>
      </c>
      <c r="B426" s="5" t="str">
        <f t="shared" si="27"/>
        <v/>
      </c>
      <c r="C426" s="33" t="str" cm="1">
        <f t="array" ref="C426">IF(ISNUMBER(A426),IF(A426=A425,INDEX(BackgroundCalcs!$AV$2:$AV$500,'Grading Formulas'!$A426),"Question Results"),"")</f>
        <v/>
      </c>
      <c r="D426" s="8" t="str" cm="1">
        <f t="array" ref="D426">IF(ISNUMBER($A426),IF(A426=A425,INDEX(BackgroundCalcs!$AW$2:$AW$500,'Grading Formulas'!$A426),"C"&amp;A426+9),"")</f>
        <v/>
      </c>
      <c r="E426" s="4" t="str" cm="1">
        <f t="array" ref="E426">IF(ISNUMBER($A426),IF(A426=A425,"Reference2(False,True,"&amp;INDEX(BackgroundCalcs!$AX$2:$AX$500,'Grading Formulas'!$A426)&amp;")","MOEValue(.0001)"),"")</f>
        <v/>
      </c>
      <c r="F426" s="4" t="str">
        <f t="shared" si="28"/>
        <v/>
      </c>
      <c r="G426" s="4" t="str">
        <f t="shared" si="29"/>
        <v/>
      </c>
      <c r="H426" s="4" t="str">
        <f t="shared" si="30"/>
        <v/>
      </c>
    </row>
    <row r="427" spans="1:8">
      <c r="A427" s="5" t="str">
        <f t="shared" si="31"/>
        <v/>
      </c>
      <c r="B427" s="5" t="str">
        <f t="shared" si="27"/>
        <v/>
      </c>
      <c r="C427" s="33" t="str" cm="1">
        <f t="array" ref="C427">IF(ISNUMBER(A427),IF(A427=A426,INDEX(BackgroundCalcs!$AV$2:$AV$500,'Grading Formulas'!$A427),"Question Results"),"")</f>
        <v/>
      </c>
      <c r="D427" s="8" t="str" cm="1">
        <f t="array" ref="D427">IF(ISNUMBER($A427),IF(A427=A426,INDEX(BackgroundCalcs!$AW$2:$AW$500,'Grading Formulas'!$A427),"C"&amp;A427+9),"")</f>
        <v/>
      </c>
      <c r="E427" s="4" t="str" cm="1">
        <f t="array" ref="E427">IF(ISNUMBER($A427),IF(A427=A426,"Reference2(False,True,"&amp;INDEX(BackgroundCalcs!$AX$2:$AX$500,'Grading Formulas'!$A427)&amp;")","MOEValue(.0001)"),"")</f>
        <v/>
      </c>
      <c r="F427" s="4" t="str">
        <f t="shared" si="28"/>
        <v/>
      </c>
      <c r="G427" s="4" t="str">
        <f t="shared" si="29"/>
        <v/>
      </c>
      <c r="H427" s="4" t="str">
        <f t="shared" si="30"/>
        <v/>
      </c>
    </row>
    <row r="428" spans="1:8">
      <c r="A428" s="5" t="str">
        <f t="shared" si="31"/>
        <v/>
      </c>
      <c r="B428" s="5" t="str">
        <f t="shared" si="27"/>
        <v/>
      </c>
      <c r="C428" s="33" t="str" cm="1">
        <f t="array" ref="C428">IF(ISNUMBER(A428),IF(A428=A427,INDEX(BackgroundCalcs!$AV$2:$AV$500,'Grading Formulas'!$A428),"Question Results"),"")</f>
        <v/>
      </c>
      <c r="D428" s="8" t="str" cm="1">
        <f t="array" ref="D428">IF(ISNUMBER($A428),IF(A428=A427,INDEX(BackgroundCalcs!$AW$2:$AW$500,'Grading Formulas'!$A428),"C"&amp;A428+9),"")</f>
        <v/>
      </c>
      <c r="E428" s="4" t="str" cm="1">
        <f t="array" ref="E428">IF(ISNUMBER($A428),IF(A428=A427,"Reference2(False,True,"&amp;INDEX(BackgroundCalcs!$AX$2:$AX$500,'Grading Formulas'!$A428)&amp;")","MOEValue(.0001)"),"")</f>
        <v/>
      </c>
      <c r="F428" s="4" t="str">
        <f t="shared" si="28"/>
        <v/>
      </c>
      <c r="G428" s="4" t="str">
        <f t="shared" si="29"/>
        <v/>
      </c>
      <c r="H428" s="4" t="str">
        <f t="shared" si="30"/>
        <v/>
      </c>
    </row>
    <row r="429" spans="1:8">
      <c r="A429" s="5" t="str">
        <f t="shared" si="31"/>
        <v/>
      </c>
      <c r="B429" s="5" t="str">
        <f t="shared" si="27"/>
        <v/>
      </c>
      <c r="C429" s="33" t="str" cm="1">
        <f t="array" ref="C429">IF(ISNUMBER(A429),IF(A429=A428,INDEX(BackgroundCalcs!$AV$2:$AV$500,'Grading Formulas'!$A429),"Question Results"),"")</f>
        <v/>
      </c>
      <c r="D429" s="8" t="str" cm="1">
        <f t="array" ref="D429">IF(ISNUMBER($A429),IF(A429=A428,INDEX(BackgroundCalcs!$AW$2:$AW$500,'Grading Formulas'!$A429),"C"&amp;A429+9),"")</f>
        <v/>
      </c>
      <c r="E429" s="4" t="str" cm="1">
        <f t="array" ref="E429">IF(ISNUMBER($A429),IF(A429=A428,"Reference2(False,True,"&amp;INDEX(BackgroundCalcs!$AX$2:$AX$500,'Grading Formulas'!$A429)&amp;")","MOEValue(.0001)"),"")</f>
        <v/>
      </c>
      <c r="F429" s="4" t="str">
        <f t="shared" si="28"/>
        <v/>
      </c>
      <c r="G429" s="4" t="str">
        <f t="shared" si="29"/>
        <v/>
      </c>
      <c r="H429" s="4" t="str">
        <f t="shared" si="30"/>
        <v/>
      </c>
    </row>
    <row r="430" spans="1:8">
      <c r="A430" s="5" t="str">
        <f t="shared" si="31"/>
        <v/>
      </c>
      <c r="B430" s="5" t="str">
        <f t="shared" si="27"/>
        <v/>
      </c>
      <c r="C430" s="33" t="str" cm="1">
        <f t="array" ref="C430">IF(ISNUMBER(A430),IF(A430=A429,INDEX(BackgroundCalcs!$AV$2:$AV$500,'Grading Formulas'!$A430),"Question Results"),"")</f>
        <v/>
      </c>
      <c r="D430" s="8" t="str" cm="1">
        <f t="array" ref="D430">IF(ISNUMBER($A430),IF(A430=A429,INDEX(BackgroundCalcs!$AW$2:$AW$500,'Grading Formulas'!$A430),"C"&amp;A430+9),"")</f>
        <v/>
      </c>
      <c r="E430" s="4" t="str" cm="1">
        <f t="array" ref="E430">IF(ISNUMBER($A430),IF(A430=A429,"Reference2(False,True,"&amp;INDEX(BackgroundCalcs!$AX$2:$AX$500,'Grading Formulas'!$A430)&amp;")","MOEValue(.0001)"),"")</f>
        <v/>
      </c>
      <c r="F430" s="4" t="str">
        <f t="shared" si="28"/>
        <v/>
      </c>
      <c r="G430" s="4" t="str">
        <f t="shared" si="29"/>
        <v/>
      </c>
      <c r="H430" s="4" t="str">
        <f t="shared" si="30"/>
        <v/>
      </c>
    </row>
    <row r="431" spans="1:8">
      <c r="A431" s="5" t="str">
        <f t="shared" si="31"/>
        <v/>
      </c>
      <c r="B431" s="5" t="str">
        <f t="shared" si="27"/>
        <v/>
      </c>
      <c r="C431" s="33" t="str" cm="1">
        <f t="array" ref="C431">IF(ISNUMBER(A431),IF(A431=A430,INDEX(BackgroundCalcs!$AV$2:$AV$500,'Grading Formulas'!$A431),"Question Results"),"")</f>
        <v/>
      </c>
      <c r="D431" s="8" t="str" cm="1">
        <f t="array" ref="D431">IF(ISNUMBER($A431),IF(A431=A430,INDEX(BackgroundCalcs!$AW$2:$AW$500,'Grading Formulas'!$A431),"C"&amp;A431+9),"")</f>
        <v/>
      </c>
      <c r="E431" s="4" t="str" cm="1">
        <f t="array" ref="E431">IF(ISNUMBER($A431),IF(A431=A430,"Reference2(False,True,"&amp;INDEX(BackgroundCalcs!$AX$2:$AX$500,'Grading Formulas'!$A431)&amp;")","MOEValue(.0001)"),"")</f>
        <v/>
      </c>
      <c r="F431" s="4" t="str">
        <f t="shared" si="28"/>
        <v/>
      </c>
      <c r="G431" s="4" t="str">
        <f t="shared" si="29"/>
        <v/>
      </c>
      <c r="H431" s="4" t="str">
        <f t="shared" si="30"/>
        <v/>
      </c>
    </row>
    <row r="432" spans="1:8">
      <c r="A432" s="5" t="str">
        <f t="shared" si="31"/>
        <v/>
      </c>
      <c r="B432" s="5" t="str">
        <f t="shared" si="27"/>
        <v/>
      </c>
      <c r="C432" s="33" t="str" cm="1">
        <f t="array" ref="C432">IF(ISNUMBER(A432),IF(A432=A431,INDEX(BackgroundCalcs!$AV$2:$AV$500,'Grading Formulas'!$A432),"Question Results"),"")</f>
        <v/>
      </c>
      <c r="D432" s="8" t="str" cm="1">
        <f t="array" ref="D432">IF(ISNUMBER($A432),IF(A432=A431,INDEX(BackgroundCalcs!$AW$2:$AW$500,'Grading Formulas'!$A432),"C"&amp;A432+9),"")</f>
        <v/>
      </c>
      <c r="E432" s="4" t="str" cm="1">
        <f t="array" ref="E432">IF(ISNUMBER($A432),IF(A432=A431,"Reference2(False,True,"&amp;INDEX(BackgroundCalcs!$AX$2:$AX$500,'Grading Formulas'!$A432)&amp;")","MOEValue(.0001)"),"")</f>
        <v/>
      </c>
      <c r="F432" s="4" t="str">
        <f t="shared" si="28"/>
        <v/>
      </c>
      <c r="G432" s="4" t="str">
        <f t="shared" si="29"/>
        <v/>
      </c>
      <c r="H432" s="4" t="str">
        <f t="shared" si="30"/>
        <v/>
      </c>
    </row>
    <row r="433" spans="1:8">
      <c r="A433" s="5" t="str">
        <f t="shared" si="31"/>
        <v/>
      </c>
      <c r="B433" s="5" t="str">
        <f t="shared" si="27"/>
        <v/>
      </c>
      <c r="C433" s="33" t="str" cm="1">
        <f t="array" ref="C433">IF(ISNUMBER(A433),IF(A433=A432,INDEX(BackgroundCalcs!$AV$2:$AV$500,'Grading Formulas'!$A433),"Question Results"),"")</f>
        <v/>
      </c>
      <c r="D433" s="8" t="str" cm="1">
        <f t="array" ref="D433">IF(ISNUMBER($A433),IF(A433=A432,INDEX(BackgroundCalcs!$AW$2:$AW$500,'Grading Formulas'!$A433),"C"&amp;A433+9),"")</f>
        <v/>
      </c>
      <c r="E433" s="4" t="str" cm="1">
        <f t="array" ref="E433">IF(ISNUMBER($A433),IF(A433=A432,"Reference2(False,True,"&amp;INDEX(BackgroundCalcs!$AX$2:$AX$500,'Grading Formulas'!$A433)&amp;")","MOEValue(.0001)"),"")</f>
        <v/>
      </c>
      <c r="F433" s="4" t="str">
        <f t="shared" si="28"/>
        <v/>
      </c>
      <c r="G433" s="4" t="str">
        <f t="shared" si="29"/>
        <v/>
      </c>
      <c r="H433" s="4" t="str">
        <f t="shared" si="30"/>
        <v/>
      </c>
    </row>
    <row r="434" spans="1:8">
      <c r="A434" s="5" t="str">
        <f t="shared" si="31"/>
        <v/>
      </c>
      <c r="B434" s="5" t="str">
        <f t="shared" si="27"/>
        <v/>
      </c>
      <c r="C434" s="33" t="str" cm="1">
        <f t="array" ref="C434">IF(ISNUMBER(A434),IF(A434=A433,INDEX(BackgroundCalcs!$AV$2:$AV$500,'Grading Formulas'!$A434),"Question Results"),"")</f>
        <v/>
      </c>
      <c r="D434" s="8" t="str" cm="1">
        <f t="array" ref="D434">IF(ISNUMBER($A434),IF(A434=A433,INDEX(BackgroundCalcs!$AW$2:$AW$500,'Grading Formulas'!$A434),"C"&amp;A434+9),"")</f>
        <v/>
      </c>
      <c r="E434" s="4" t="str" cm="1">
        <f t="array" ref="E434">IF(ISNUMBER($A434),IF(A434=A433,"Reference2(False,True,"&amp;INDEX(BackgroundCalcs!$AX$2:$AX$500,'Grading Formulas'!$A434)&amp;")","MOEValue(.0001)"),"")</f>
        <v/>
      </c>
      <c r="F434" s="4" t="str">
        <f t="shared" si="28"/>
        <v/>
      </c>
      <c r="G434" s="4" t="str">
        <f t="shared" si="29"/>
        <v/>
      </c>
      <c r="H434" s="4" t="str">
        <f t="shared" si="30"/>
        <v/>
      </c>
    </row>
    <row r="435" spans="1:8">
      <c r="A435" s="5" t="str">
        <f t="shared" si="31"/>
        <v/>
      </c>
      <c r="B435" s="5" t="str">
        <f t="shared" si="27"/>
        <v/>
      </c>
      <c r="C435" s="33" t="str" cm="1">
        <f t="array" ref="C435">IF(ISNUMBER(A435),IF(A435=A434,INDEX(BackgroundCalcs!$AV$2:$AV$500,'Grading Formulas'!$A435),"Question Results"),"")</f>
        <v/>
      </c>
      <c r="D435" s="8" t="str" cm="1">
        <f t="array" ref="D435">IF(ISNUMBER($A435),IF(A435=A434,INDEX(BackgroundCalcs!$AW$2:$AW$500,'Grading Formulas'!$A435),"C"&amp;A435+9),"")</f>
        <v/>
      </c>
      <c r="E435" s="4" t="str" cm="1">
        <f t="array" ref="E435">IF(ISNUMBER($A435),IF(A435=A434,"Reference2(False,True,"&amp;INDEX(BackgroundCalcs!$AX$2:$AX$500,'Grading Formulas'!$A435)&amp;")","MOEValue(.0001)"),"")</f>
        <v/>
      </c>
      <c r="F435" s="4" t="str">
        <f t="shared" si="28"/>
        <v/>
      </c>
      <c r="G435" s="4" t="str">
        <f t="shared" si="29"/>
        <v/>
      </c>
      <c r="H435" s="4" t="str">
        <f t="shared" si="30"/>
        <v/>
      </c>
    </row>
    <row r="436" spans="1:8">
      <c r="A436" s="5" t="str">
        <f t="shared" si="31"/>
        <v/>
      </c>
      <c r="B436" s="5" t="str">
        <f t="shared" si="27"/>
        <v/>
      </c>
      <c r="C436" s="33" t="str" cm="1">
        <f t="array" ref="C436">IF(ISNUMBER(A436),IF(A436=A435,INDEX(BackgroundCalcs!$AV$2:$AV$500,'Grading Formulas'!$A436),"Question Results"),"")</f>
        <v/>
      </c>
      <c r="D436" s="8" t="str" cm="1">
        <f t="array" ref="D436">IF(ISNUMBER($A436),IF(A436=A435,INDEX(BackgroundCalcs!$AW$2:$AW$500,'Grading Formulas'!$A436),"C"&amp;A436+9),"")</f>
        <v/>
      </c>
      <c r="E436" s="4" t="str" cm="1">
        <f t="array" ref="E436">IF(ISNUMBER($A436),IF(A436=A435,"Reference2(False,True,"&amp;INDEX(BackgroundCalcs!$AX$2:$AX$500,'Grading Formulas'!$A436)&amp;")","MOEValue(.0001)"),"")</f>
        <v/>
      </c>
      <c r="F436" s="4" t="str">
        <f t="shared" si="28"/>
        <v/>
      </c>
      <c r="G436" s="4" t="str">
        <f t="shared" si="29"/>
        <v/>
      </c>
      <c r="H436" s="4" t="str">
        <f t="shared" si="30"/>
        <v/>
      </c>
    </row>
    <row r="437" spans="1:8">
      <c r="A437" s="5" t="str">
        <f t="shared" si="31"/>
        <v/>
      </c>
      <c r="B437" s="5" t="str">
        <f t="shared" si="27"/>
        <v/>
      </c>
      <c r="C437" s="33" t="str" cm="1">
        <f t="array" ref="C437">IF(ISNUMBER(A437),IF(A437=A436,INDEX(BackgroundCalcs!$AV$2:$AV$500,'Grading Formulas'!$A437),"Question Results"),"")</f>
        <v/>
      </c>
      <c r="D437" s="8" t="str" cm="1">
        <f t="array" ref="D437">IF(ISNUMBER($A437),IF(A437=A436,INDEX(BackgroundCalcs!$AW$2:$AW$500,'Grading Formulas'!$A437),"C"&amp;A437+9),"")</f>
        <v/>
      </c>
      <c r="E437" s="4" t="str" cm="1">
        <f t="array" ref="E437">IF(ISNUMBER($A437),IF(A437=A436,"Reference2(False,True,"&amp;INDEX(BackgroundCalcs!$AX$2:$AX$500,'Grading Formulas'!$A437)&amp;")","MOEValue(.0001)"),"")</f>
        <v/>
      </c>
      <c r="F437" s="4" t="str">
        <f t="shared" si="28"/>
        <v/>
      </c>
      <c r="G437" s="4" t="str">
        <f t="shared" si="29"/>
        <v/>
      </c>
      <c r="H437" s="4" t="str">
        <f t="shared" si="30"/>
        <v/>
      </c>
    </row>
    <row r="438" spans="1:8">
      <c r="A438" s="5" t="str">
        <f t="shared" si="31"/>
        <v/>
      </c>
      <c r="B438" s="5" t="str">
        <f t="shared" si="27"/>
        <v/>
      </c>
      <c r="C438" s="33" t="str" cm="1">
        <f t="array" ref="C438">IF(ISNUMBER(A438),IF(A438=A437,INDEX(BackgroundCalcs!$AV$2:$AV$500,'Grading Formulas'!$A438),"Question Results"),"")</f>
        <v/>
      </c>
      <c r="D438" s="8" t="str" cm="1">
        <f t="array" ref="D438">IF(ISNUMBER($A438),IF(A438=A437,INDEX(BackgroundCalcs!$AW$2:$AW$500,'Grading Formulas'!$A438),"C"&amp;A438+9),"")</f>
        <v/>
      </c>
      <c r="E438" s="4" t="str" cm="1">
        <f t="array" ref="E438">IF(ISNUMBER($A438),IF(A438=A437,"Reference2(False,True,"&amp;INDEX(BackgroundCalcs!$AX$2:$AX$500,'Grading Formulas'!$A438)&amp;")","MOEValue(.0001)"),"")</f>
        <v/>
      </c>
      <c r="F438" s="4" t="str">
        <f t="shared" si="28"/>
        <v/>
      </c>
      <c r="G438" s="4" t="str">
        <f t="shared" si="29"/>
        <v/>
      </c>
      <c r="H438" s="4" t="str">
        <f t="shared" si="30"/>
        <v/>
      </c>
    </row>
    <row r="439" spans="1:8">
      <c r="A439" s="5" t="str">
        <f t="shared" si="31"/>
        <v/>
      </c>
      <c r="B439" s="5" t="str">
        <f t="shared" si="27"/>
        <v/>
      </c>
      <c r="C439" s="33" t="str" cm="1">
        <f t="array" ref="C439">IF(ISNUMBER(A439),IF(A439=A438,INDEX(BackgroundCalcs!$AV$2:$AV$500,'Grading Formulas'!$A439),"Question Results"),"")</f>
        <v/>
      </c>
      <c r="D439" s="8" t="str" cm="1">
        <f t="array" ref="D439">IF(ISNUMBER($A439),IF(A439=A438,INDEX(BackgroundCalcs!$AW$2:$AW$500,'Grading Formulas'!$A439),"C"&amp;A439+9),"")</f>
        <v/>
      </c>
      <c r="E439" s="4" t="str" cm="1">
        <f t="array" ref="E439">IF(ISNUMBER($A439),IF(A439=A438,"Reference2(False,True,"&amp;INDEX(BackgroundCalcs!$AX$2:$AX$500,'Grading Formulas'!$A439)&amp;")","MOEValue(.0001)"),"")</f>
        <v/>
      </c>
      <c r="F439" s="4" t="str">
        <f t="shared" si="28"/>
        <v/>
      </c>
      <c r="G439" s="4" t="str">
        <f t="shared" si="29"/>
        <v/>
      </c>
      <c r="H439" s="4" t="str">
        <f t="shared" si="30"/>
        <v/>
      </c>
    </row>
    <row r="440" spans="1:8">
      <c r="A440" s="5" t="str">
        <f t="shared" si="31"/>
        <v/>
      </c>
      <c r="B440" s="5" t="str">
        <f t="shared" si="27"/>
        <v/>
      </c>
      <c r="C440" s="33" t="str" cm="1">
        <f t="array" ref="C440">IF(ISNUMBER(A440),IF(A440=A439,INDEX(BackgroundCalcs!$AV$2:$AV$500,'Grading Formulas'!$A440),"Question Results"),"")</f>
        <v/>
      </c>
      <c r="D440" s="8" t="str" cm="1">
        <f t="array" ref="D440">IF(ISNUMBER($A440),IF(A440=A439,INDEX(BackgroundCalcs!$AW$2:$AW$500,'Grading Formulas'!$A440),"C"&amp;A440+9),"")</f>
        <v/>
      </c>
      <c r="E440" s="4" t="str" cm="1">
        <f t="array" ref="E440">IF(ISNUMBER($A440),IF(A440=A439,"Reference2(False,True,"&amp;INDEX(BackgroundCalcs!$AX$2:$AX$500,'Grading Formulas'!$A440)&amp;")","MOEValue(.0001)"),"")</f>
        <v/>
      </c>
      <c r="F440" s="4" t="str">
        <f t="shared" si="28"/>
        <v/>
      </c>
      <c r="G440" s="4" t="str">
        <f t="shared" si="29"/>
        <v/>
      </c>
      <c r="H440" s="4" t="str">
        <f t="shared" si="30"/>
        <v/>
      </c>
    </row>
    <row r="441" spans="1:8">
      <c r="A441" s="5" t="str">
        <f t="shared" si="31"/>
        <v/>
      </c>
      <c r="B441" s="5" t="str">
        <f t="shared" si="27"/>
        <v/>
      </c>
      <c r="C441" s="33" t="str" cm="1">
        <f t="array" ref="C441">IF(ISNUMBER(A441),IF(A441=A440,INDEX(BackgroundCalcs!$AV$2:$AV$500,'Grading Formulas'!$A441),"Question Results"),"")</f>
        <v/>
      </c>
      <c r="D441" s="8" t="str" cm="1">
        <f t="array" ref="D441">IF(ISNUMBER($A441),IF(A441=A440,INDEX(BackgroundCalcs!$AW$2:$AW$500,'Grading Formulas'!$A441),"C"&amp;A441+9),"")</f>
        <v/>
      </c>
      <c r="E441" s="4" t="str" cm="1">
        <f t="array" ref="E441">IF(ISNUMBER($A441),IF(A441=A440,"Reference2(False,True,"&amp;INDEX(BackgroundCalcs!$AX$2:$AX$500,'Grading Formulas'!$A441)&amp;")","MOEValue(.0001)"),"")</f>
        <v/>
      </c>
      <c r="F441" s="4" t="str">
        <f t="shared" si="28"/>
        <v/>
      </c>
      <c r="G441" s="4" t="str">
        <f t="shared" si="29"/>
        <v/>
      </c>
      <c r="H441" s="4" t="str">
        <f t="shared" si="30"/>
        <v/>
      </c>
    </row>
    <row r="442" spans="1:8">
      <c r="A442" s="5" t="str">
        <f t="shared" si="31"/>
        <v/>
      </c>
      <c r="B442" s="5" t="str">
        <f t="shared" si="27"/>
        <v/>
      </c>
      <c r="C442" s="33" t="str" cm="1">
        <f t="array" ref="C442">IF(ISNUMBER(A442),IF(A442=A441,INDEX(BackgroundCalcs!$AV$2:$AV$500,'Grading Formulas'!$A442),"Question Results"),"")</f>
        <v/>
      </c>
      <c r="D442" s="8" t="str" cm="1">
        <f t="array" ref="D442">IF(ISNUMBER($A442),IF(A442=A441,INDEX(BackgroundCalcs!$AW$2:$AW$500,'Grading Formulas'!$A442),"C"&amp;A442+9),"")</f>
        <v/>
      </c>
      <c r="E442" s="4" t="str" cm="1">
        <f t="array" ref="E442">IF(ISNUMBER($A442),IF(A442=A441,"Reference2(False,True,"&amp;INDEX(BackgroundCalcs!$AX$2:$AX$500,'Grading Formulas'!$A442)&amp;")","MOEValue(.0001)"),"")</f>
        <v/>
      </c>
      <c r="F442" s="4" t="str">
        <f t="shared" si="28"/>
        <v/>
      </c>
      <c r="G442" s="4" t="str">
        <f t="shared" si="29"/>
        <v/>
      </c>
      <c r="H442" s="4" t="str">
        <f t="shared" si="30"/>
        <v/>
      </c>
    </row>
    <row r="443" spans="1:8">
      <c r="A443" s="5" t="str">
        <f t="shared" si="31"/>
        <v/>
      </c>
      <c r="B443" s="5" t="str">
        <f t="shared" si="27"/>
        <v/>
      </c>
      <c r="C443" s="33" t="str" cm="1">
        <f t="array" ref="C443">IF(ISNUMBER(A443),IF(A443=A442,INDEX(BackgroundCalcs!$AV$2:$AV$500,'Grading Formulas'!$A443),"Question Results"),"")</f>
        <v/>
      </c>
      <c r="D443" s="8" t="str" cm="1">
        <f t="array" ref="D443">IF(ISNUMBER($A443),IF(A443=A442,INDEX(BackgroundCalcs!$AW$2:$AW$500,'Grading Formulas'!$A443),"C"&amp;A443+9),"")</f>
        <v/>
      </c>
      <c r="E443" s="4" t="str" cm="1">
        <f t="array" ref="E443">IF(ISNUMBER($A443),IF(A443=A442,"Reference2(False,True,"&amp;INDEX(BackgroundCalcs!$AX$2:$AX$500,'Grading Formulas'!$A443)&amp;")","MOEValue(.0001)"),"")</f>
        <v/>
      </c>
      <c r="F443" s="4" t="str">
        <f t="shared" si="28"/>
        <v/>
      </c>
      <c r="G443" s="4" t="str">
        <f t="shared" si="29"/>
        <v/>
      </c>
      <c r="H443" s="4" t="str">
        <f t="shared" si="30"/>
        <v/>
      </c>
    </row>
    <row r="444" spans="1:8">
      <c r="A444" s="5" t="str">
        <f t="shared" si="31"/>
        <v/>
      </c>
      <c r="B444" s="5" t="str">
        <f t="shared" si="27"/>
        <v/>
      </c>
      <c r="C444" s="33" t="str" cm="1">
        <f t="array" ref="C444">IF(ISNUMBER(A444),IF(A444=A443,INDEX(BackgroundCalcs!$AV$2:$AV$500,'Grading Formulas'!$A444),"Question Results"),"")</f>
        <v/>
      </c>
      <c r="D444" s="8" t="str" cm="1">
        <f t="array" ref="D444">IF(ISNUMBER($A444),IF(A444=A443,INDEX(BackgroundCalcs!$AW$2:$AW$500,'Grading Formulas'!$A444),"C"&amp;A444+9),"")</f>
        <v/>
      </c>
      <c r="E444" s="4" t="str" cm="1">
        <f t="array" ref="E444">IF(ISNUMBER($A444),IF(A444=A443,"Reference2(False,True,"&amp;INDEX(BackgroundCalcs!$AX$2:$AX$500,'Grading Formulas'!$A444)&amp;")","MOEValue(.0001)"),"")</f>
        <v/>
      </c>
      <c r="F444" s="4" t="str">
        <f t="shared" si="28"/>
        <v/>
      </c>
      <c r="G444" s="4" t="str">
        <f t="shared" si="29"/>
        <v/>
      </c>
      <c r="H444" s="4" t="str">
        <f t="shared" si="30"/>
        <v/>
      </c>
    </row>
    <row r="445" spans="1:8">
      <c r="A445" s="5" t="str">
        <f t="shared" si="31"/>
        <v/>
      </c>
      <c r="B445" s="5" t="str">
        <f t="shared" si="27"/>
        <v/>
      </c>
      <c r="C445" s="33" t="str" cm="1">
        <f t="array" ref="C445">IF(ISNUMBER(A445),IF(A445=A444,INDEX(BackgroundCalcs!$AV$2:$AV$500,'Grading Formulas'!$A445),"Question Results"),"")</f>
        <v/>
      </c>
      <c r="D445" s="8" t="str" cm="1">
        <f t="array" ref="D445">IF(ISNUMBER($A445),IF(A445=A444,INDEX(BackgroundCalcs!$AW$2:$AW$500,'Grading Formulas'!$A445),"C"&amp;A445+9),"")</f>
        <v/>
      </c>
      <c r="E445" s="4" t="str" cm="1">
        <f t="array" ref="E445">IF(ISNUMBER($A445),IF(A445=A444,"Reference2(False,True,"&amp;INDEX(BackgroundCalcs!$AX$2:$AX$500,'Grading Formulas'!$A445)&amp;")","MOEValue(.0001)"),"")</f>
        <v/>
      </c>
      <c r="F445" s="4" t="str">
        <f t="shared" si="28"/>
        <v/>
      </c>
      <c r="G445" s="4" t="str">
        <f t="shared" si="29"/>
        <v/>
      </c>
      <c r="H445" s="4" t="str">
        <f t="shared" si="30"/>
        <v/>
      </c>
    </row>
    <row r="446" spans="1:8">
      <c r="A446" s="5" t="str">
        <f t="shared" si="31"/>
        <v/>
      </c>
      <c r="B446" s="5" t="str">
        <f t="shared" si="27"/>
        <v/>
      </c>
      <c r="C446" s="33" t="str" cm="1">
        <f t="array" ref="C446">IF(ISNUMBER(A446),IF(A446=A445,INDEX(BackgroundCalcs!$AV$2:$AV$500,'Grading Formulas'!$A446),"Question Results"),"")</f>
        <v/>
      </c>
      <c r="D446" s="8" t="str" cm="1">
        <f t="array" ref="D446">IF(ISNUMBER($A446),IF(A446=A445,INDEX(BackgroundCalcs!$AW$2:$AW$500,'Grading Formulas'!$A446),"C"&amp;A446+9),"")</f>
        <v/>
      </c>
      <c r="E446" s="4" t="str" cm="1">
        <f t="array" ref="E446">IF(ISNUMBER($A446),IF(A446=A445,"Reference2(False,True,"&amp;INDEX(BackgroundCalcs!$AX$2:$AX$500,'Grading Formulas'!$A446)&amp;")","MOEValue(.0001)"),"")</f>
        <v/>
      </c>
      <c r="F446" s="4" t="str">
        <f t="shared" si="28"/>
        <v/>
      </c>
      <c r="G446" s="4" t="str">
        <f t="shared" si="29"/>
        <v/>
      </c>
      <c r="H446" s="4" t="str">
        <f t="shared" si="30"/>
        <v/>
      </c>
    </row>
    <row r="447" spans="1:8">
      <c r="A447" s="5" t="str">
        <f t="shared" si="31"/>
        <v/>
      </c>
      <c r="B447" s="5" t="str">
        <f t="shared" si="27"/>
        <v/>
      </c>
      <c r="C447" s="33" t="str" cm="1">
        <f t="array" ref="C447">IF(ISNUMBER(A447),IF(A447=A446,INDEX(BackgroundCalcs!$AV$2:$AV$500,'Grading Formulas'!$A447),"Question Results"),"")</f>
        <v/>
      </c>
      <c r="D447" s="8" t="str" cm="1">
        <f t="array" ref="D447">IF(ISNUMBER($A447),IF(A447=A446,INDEX(BackgroundCalcs!$AW$2:$AW$500,'Grading Formulas'!$A447),"C"&amp;A447+9),"")</f>
        <v/>
      </c>
      <c r="E447" s="4" t="str" cm="1">
        <f t="array" ref="E447">IF(ISNUMBER($A447),IF(A447=A446,"Reference2(False,True,"&amp;INDEX(BackgroundCalcs!$AX$2:$AX$500,'Grading Formulas'!$A447)&amp;")","MOEValue(.0001)"),"")</f>
        <v/>
      </c>
      <c r="F447" s="4" t="str">
        <f t="shared" si="28"/>
        <v/>
      </c>
      <c r="G447" s="4" t="str">
        <f t="shared" si="29"/>
        <v/>
      </c>
      <c r="H447" s="4" t="str">
        <f t="shared" si="30"/>
        <v/>
      </c>
    </row>
    <row r="448" spans="1:8">
      <c r="A448" s="5" t="str">
        <f t="shared" si="31"/>
        <v/>
      </c>
      <c r="B448" s="5" t="str">
        <f t="shared" si="27"/>
        <v/>
      </c>
      <c r="C448" s="33" t="str" cm="1">
        <f t="array" ref="C448">IF(ISNUMBER(A448),IF(A448=A447,INDEX(BackgroundCalcs!$AV$2:$AV$500,'Grading Formulas'!$A448),"Question Results"),"")</f>
        <v/>
      </c>
      <c r="D448" s="8" t="str" cm="1">
        <f t="array" ref="D448">IF(ISNUMBER($A448),IF(A448=A447,INDEX(BackgroundCalcs!$AW$2:$AW$500,'Grading Formulas'!$A448),"C"&amp;A448+9),"")</f>
        <v/>
      </c>
      <c r="E448" s="4" t="str" cm="1">
        <f t="array" ref="E448">IF(ISNUMBER($A448),IF(A448=A447,"Reference2(False,True,"&amp;INDEX(BackgroundCalcs!$AX$2:$AX$500,'Grading Formulas'!$A448)&amp;")","MOEValue(.0001)"),"")</f>
        <v/>
      </c>
      <c r="F448" s="4" t="str">
        <f t="shared" si="28"/>
        <v/>
      </c>
      <c r="G448" s="4" t="str">
        <f t="shared" si="29"/>
        <v/>
      </c>
      <c r="H448" s="4" t="str">
        <f t="shared" si="30"/>
        <v/>
      </c>
    </row>
    <row r="449" spans="1:8">
      <c r="A449" s="5" t="str">
        <f t="shared" si="31"/>
        <v/>
      </c>
      <c r="B449" s="5" t="str">
        <f t="shared" si="27"/>
        <v/>
      </c>
      <c r="C449" s="33" t="str" cm="1">
        <f t="array" ref="C449">IF(ISNUMBER(A449),IF(A449=A448,INDEX(BackgroundCalcs!$AV$2:$AV$500,'Grading Formulas'!$A449),"Question Results"),"")</f>
        <v/>
      </c>
      <c r="D449" s="8" t="str" cm="1">
        <f t="array" ref="D449">IF(ISNUMBER($A449),IF(A449=A448,INDEX(BackgroundCalcs!$AW$2:$AW$500,'Grading Formulas'!$A449),"C"&amp;A449+9),"")</f>
        <v/>
      </c>
      <c r="E449" s="4" t="str" cm="1">
        <f t="array" ref="E449">IF(ISNUMBER($A449),IF(A449=A448,"Reference2(False,True,"&amp;INDEX(BackgroundCalcs!$AX$2:$AX$500,'Grading Formulas'!$A449)&amp;")","MOEValue(.0001)"),"")</f>
        <v/>
      </c>
      <c r="F449" s="4" t="str">
        <f t="shared" si="28"/>
        <v/>
      </c>
      <c r="G449" s="4" t="str">
        <f t="shared" si="29"/>
        <v/>
      </c>
      <c r="H449" s="4" t="str">
        <f t="shared" si="30"/>
        <v/>
      </c>
    </row>
    <row r="450" spans="1:8">
      <c r="A450" s="5" t="str">
        <f t="shared" si="31"/>
        <v/>
      </c>
      <c r="B450" s="5" t="str">
        <f t="shared" ref="B450:B500" si="32">IF(ISNUMBER(A450),"CELL","")</f>
        <v/>
      </c>
      <c r="C450" s="33" t="str" cm="1">
        <f t="array" ref="C450">IF(ISNUMBER(A450),IF(A450=A449,INDEX(BackgroundCalcs!$AV$2:$AV$500,'Grading Formulas'!$A450),"Question Results"),"")</f>
        <v/>
      </c>
      <c r="D450" s="8" t="str" cm="1">
        <f t="array" ref="D450">IF(ISNUMBER($A450),IF(A450=A449,INDEX(BackgroundCalcs!$AW$2:$AW$500,'Grading Formulas'!$A450),"C"&amp;A450+9),"")</f>
        <v/>
      </c>
      <c r="E450" s="4" t="str" cm="1">
        <f t="array" ref="E450">IF(ISNUMBER($A450),IF(A450=A449,"Reference2(False,True,"&amp;INDEX(BackgroundCalcs!$AX$2:$AX$500,'Grading Formulas'!$A450)&amp;")","MOEValue(.0001)"),"")</f>
        <v/>
      </c>
      <c r="F450" s="4" t="str">
        <f t="shared" si="28"/>
        <v/>
      </c>
      <c r="G450" s="4" t="str">
        <f t="shared" si="29"/>
        <v/>
      </c>
      <c r="H450" s="4" t="str">
        <f t="shared" si="30"/>
        <v/>
      </c>
    </row>
    <row r="451" spans="1:8">
      <c r="A451" s="5" t="str">
        <f t="shared" si="31"/>
        <v/>
      </c>
      <c r="B451" s="5" t="str">
        <f t="shared" si="32"/>
        <v/>
      </c>
      <c r="C451" s="33" t="str" cm="1">
        <f t="array" ref="C451">IF(ISNUMBER(A451),IF(A451=A450,INDEX(BackgroundCalcs!$AV$2:$AV$500,'Grading Formulas'!$A451),"Question Results"),"")</f>
        <v/>
      </c>
      <c r="D451" s="8" t="str" cm="1">
        <f t="array" ref="D451">IF(ISNUMBER($A451),IF(A451=A450,INDEX(BackgroundCalcs!$AW$2:$AW$500,'Grading Formulas'!$A451),"C"&amp;A451+9),"")</f>
        <v/>
      </c>
      <c r="E451" s="4" t="str" cm="1">
        <f t="array" ref="E451">IF(ISNUMBER($A451),IF(A451=A450,"Reference2(False,True,"&amp;INDEX(BackgroundCalcs!$AX$2:$AX$500,'Grading Formulas'!$A451)&amp;")","MOEValue(.0001)"),"")</f>
        <v/>
      </c>
      <c r="F451" s="4" t="str">
        <f t="shared" ref="F451:F500" si="33">IF(ISNUMBER($A451),IF(A451=A450,-1000,1),"")</f>
        <v/>
      </c>
      <c r="G451" s="4" t="str">
        <f t="shared" ref="G451:G500" si="34">IF(ISNUMBER($A451),IF(A451=A450,"You should not be referencing the answer cell","Correct"),"")</f>
        <v/>
      </c>
      <c r="H451" s="4" t="str">
        <f t="shared" ref="H451:H500" si="35">IF(ISNUMBER($A451),IF(A451=A450,"N/A","Incorrect"),"")</f>
        <v/>
      </c>
    </row>
    <row r="452" spans="1:8">
      <c r="A452" s="5" t="str">
        <f t="shared" ref="A452:A500" si="36">IF(A450&lt;NumAnswers,A450+1,"")</f>
        <v/>
      </c>
      <c r="B452" s="5" t="str">
        <f t="shared" si="32"/>
        <v/>
      </c>
      <c r="C452" s="33" t="str" cm="1">
        <f t="array" ref="C452">IF(ISNUMBER(A452),IF(A452=A451,INDEX(BackgroundCalcs!$AV$2:$AV$500,'Grading Formulas'!$A452),"Question Results"),"")</f>
        <v/>
      </c>
      <c r="D452" s="8" t="str" cm="1">
        <f t="array" ref="D452">IF(ISNUMBER($A452),IF(A452=A451,INDEX(BackgroundCalcs!$AW$2:$AW$500,'Grading Formulas'!$A452),"C"&amp;A452+9),"")</f>
        <v/>
      </c>
      <c r="E452" s="4" t="str" cm="1">
        <f t="array" ref="E452">IF(ISNUMBER($A452),IF(A452=A451,"Reference2(False,True,"&amp;INDEX(BackgroundCalcs!$AX$2:$AX$500,'Grading Formulas'!$A452)&amp;")","MOEValue(.0001)"),"")</f>
        <v/>
      </c>
      <c r="F452" s="4" t="str">
        <f t="shared" si="33"/>
        <v/>
      </c>
      <c r="G452" s="4" t="str">
        <f t="shared" si="34"/>
        <v/>
      </c>
      <c r="H452" s="4" t="str">
        <f t="shared" si="35"/>
        <v/>
      </c>
    </row>
    <row r="453" spans="1:8">
      <c r="A453" s="5" t="str">
        <f t="shared" si="36"/>
        <v/>
      </c>
      <c r="B453" s="5" t="str">
        <f t="shared" si="32"/>
        <v/>
      </c>
      <c r="C453" s="33" t="str" cm="1">
        <f t="array" ref="C453">IF(ISNUMBER(A453),IF(A453=A452,INDEX(BackgroundCalcs!$AV$2:$AV$500,'Grading Formulas'!$A453),"Question Results"),"")</f>
        <v/>
      </c>
      <c r="D453" s="8" t="str" cm="1">
        <f t="array" ref="D453">IF(ISNUMBER($A453),IF(A453=A452,INDEX(BackgroundCalcs!$AW$2:$AW$500,'Grading Formulas'!$A453),"C"&amp;A453+9),"")</f>
        <v/>
      </c>
      <c r="E453" s="4" t="str" cm="1">
        <f t="array" ref="E453">IF(ISNUMBER($A453),IF(A453=A452,"Reference2(False,True,"&amp;INDEX(BackgroundCalcs!$AX$2:$AX$500,'Grading Formulas'!$A453)&amp;")","MOEValue(.0001)"),"")</f>
        <v/>
      </c>
      <c r="F453" s="4" t="str">
        <f t="shared" si="33"/>
        <v/>
      </c>
      <c r="G453" s="4" t="str">
        <f t="shared" si="34"/>
        <v/>
      </c>
      <c r="H453" s="4" t="str">
        <f t="shared" si="35"/>
        <v/>
      </c>
    </row>
    <row r="454" spans="1:8">
      <c r="A454" s="5" t="str">
        <f t="shared" si="36"/>
        <v/>
      </c>
      <c r="B454" s="5" t="str">
        <f t="shared" si="32"/>
        <v/>
      </c>
      <c r="C454" s="33" t="str" cm="1">
        <f t="array" ref="C454">IF(ISNUMBER(A454),IF(A454=A453,INDEX(BackgroundCalcs!$AV$2:$AV$500,'Grading Formulas'!$A454),"Question Results"),"")</f>
        <v/>
      </c>
      <c r="D454" s="8" t="str" cm="1">
        <f t="array" ref="D454">IF(ISNUMBER($A454),IF(A454=A453,INDEX(BackgroundCalcs!$AW$2:$AW$500,'Grading Formulas'!$A454),"C"&amp;A454+9),"")</f>
        <v/>
      </c>
      <c r="E454" s="4" t="str" cm="1">
        <f t="array" ref="E454">IF(ISNUMBER($A454),IF(A454=A453,"Reference2(False,True,"&amp;INDEX(BackgroundCalcs!$AX$2:$AX$500,'Grading Formulas'!$A454)&amp;")","MOEValue(.0001)"),"")</f>
        <v/>
      </c>
      <c r="F454" s="4" t="str">
        <f t="shared" si="33"/>
        <v/>
      </c>
      <c r="G454" s="4" t="str">
        <f t="shared" si="34"/>
        <v/>
      </c>
      <c r="H454" s="4" t="str">
        <f t="shared" si="35"/>
        <v/>
      </c>
    </row>
    <row r="455" spans="1:8">
      <c r="A455" s="5" t="str">
        <f t="shared" si="36"/>
        <v/>
      </c>
      <c r="B455" s="5" t="str">
        <f t="shared" si="32"/>
        <v/>
      </c>
      <c r="C455" s="33" t="str" cm="1">
        <f t="array" ref="C455">IF(ISNUMBER(A455),IF(A455=A454,INDEX(BackgroundCalcs!$AV$2:$AV$500,'Grading Formulas'!$A455),"Question Results"),"")</f>
        <v/>
      </c>
      <c r="D455" s="8" t="str" cm="1">
        <f t="array" ref="D455">IF(ISNUMBER($A455),IF(A455=A454,INDEX(BackgroundCalcs!$AW$2:$AW$500,'Grading Formulas'!$A455),"C"&amp;A455+9),"")</f>
        <v/>
      </c>
      <c r="E455" s="4" t="str" cm="1">
        <f t="array" ref="E455">IF(ISNUMBER($A455),IF(A455=A454,"Reference2(False,True,"&amp;INDEX(BackgroundCalcs!$AX$2:$AX$500,'Grading Formulas'!$A455)&amp;")","MOEValue(.0001)"),"")</f>
        <v/>
      </c>
      <c r="F455" s="4" t="str">
        <f t="shared" si="33"/>
        <v/>
      </c>
      <c r="G455" s="4" t="str">
        <f t="shared" si="34"/>
        <v/>
      </c>
      <c r="H455" s="4" t="str">
        <f t="shared" si="35"/>
        <v/>
      </c>
    </row>
    <row r="456" spans="1:8">
      <c r="A456" s="5" t="str">
        <f t="shared" si="36"/>
        <v/>
      </c>
      <c r="B456" s="5" t="str">
        <f t="shared" si="32"/>
        <v/>
      </c>
      <c r="C456" s="33" t="str" cm="1">
        <f t="array" ref="C456">IF(ISNUMBER(A456),IF(A456=A455,INDEX(BackgroundCalcs!$AV$2:$AV$500,'Grading Formulas'!$A456),"Question Results"),"")</f>
        <v/>
      </c>
      <c r="D456" s="8" t="str" cm="1">
        <f t="array" ref="D456">IF(ISNUMBER($A456),IF(A456=A455,INDEX(BackgroundCalcs!$AW$2:$AW$500,'Grading Formulas'!$A456),"C"&amp;A456+9),"")</f>
        <v/>
      </c>
      <c r="E456" s="4" t="str" cm="1">
        <f t="array" ref="E456">IF(ISNUMBER($A456),IF(A456=A455,"Reference2(False,True,"&amp;INDEX(BackgroundCalcs!$AX$2:$AX$500,'Grading Formulas'!$A456)&amp;")","MOEValue(.0001)"),"")</f>
        <v/>
      </c>
      <c r="F456" s="4" t="str">
        <f t="shared" si="33"/>
        <v/>
      </c>
      <c r="G456" s="4" t="str">
        <f t="shared" si="34"/>
        <v/>
      </c>
      <c r="H456" s="4" t="str">
        <f t="shared" si="35"/>
        <v/>
      </c>
    </row>
    <row r="457" spans="1:8">
      <c r="A457" s="5" t="str">
        <f t="shared" si="36"/>
        <v/>
      </c>
      <c r="B457" s="5" t="str">
        <f t="shared" si="32"/>
        <v/>
      </c>
      <c r="C457" s="33" t="str" cm="1">
        <f t="array" ref="C457">IF(ISNUMBER(A457),IF(A457=A456,INDEX(BackgroundCalcs!$AV$2:$AV$500,'Grading Formulas'!$A457),"Question Results"),"")</f>
        <v/>
      </c>
      <c r="D457" s="8" t="str" cm="1">
        <f t="array" ref="D457">IF(ISNUMBER($A457),IF(A457=A456,INDEX(BackgroundCalcs!$AW$2:$AW$500,'Grading Formulas'!$A457),"C"&amp;A457+9),"")</f>
        <v/>
      </c>
      <c r="E457" s="4" t="str" cm="1">
        <f t="array" ref="E457">IF(ISNUMBER($A457),IF(A457=A456,"Reference2(False,True,"&amp;INDEX(BackgroundCalcs!$AX$2:$AX$500,'Grading Formulas'!$A457)&amp;")","MOEValue(.0001)"),"")</f>
        <v/>
      </c>
      <c r="F457" s="4" t="str">
        <f t="shared" si="33"/>
        <v/>
      </c>
      <c r="G457" s="4" t="str">
        <f t="shared" si="34"/>
        <v/>
      </c>
      <c r="H457" s="4" t="str">
        <f t="shared" si="35"/>
        <v/>
      </c>
    </row>
    <row r="458" spans="1:8">
      <c r="A458" s="5" t="str">
        <f t="shared" si="36"/>
        <v/>
      </c>
      <c r="B458" s="5" t="str">
        <f t="shared" si="32"/>
        <v/>
      </c>
      <c r="C458" s="33" t="str" cm="1">
        <f t="array" ref="C458">IF(ISNUMBER(A458),IF(A458=A457,INDEX(BackgroundCalcs!$AV$2:$AV$500,'Grading Formulas'!$A458),"Question Results"),"")</f>
        <v/>
      </c>
      <c r="D458" s="8" t="str" cm="1">
        <f t="array" ref="D458">IF(ISNUMBER($A458),IF(A458=A457,INDEX(BackgroundCalcs!$AW$2:$AW$500,'Grading Formulas'!$A458),"C"&amp;A458+9),"")</f>
        <v/>
      </c>
      <c r="E458" s="4" t="str" cm="1">
        <f t="array" ref="E458">IF(ISNUMBER($A458),IF(A458=A457,"Reference2(False,True,"&amp;INDEX(BackgroundCalcs!$AX$2:$AX$500,'Grading Formulas'!$A458)&amp;")","MOEValue(.0001)"),"")</f>
        <v/>
      </c>
      <c r="F458" s="4" t="str">
        <f t="shared" si="33"/>
        <v/>
      </c>
      <c r="G458" s="4" t="str">
        <f t="shared" si="34"/>
        <v/>
      </c>
      <c r="H458" s="4" t="str">
        <f t="shared" si="35"/>
        <v/>
      </c>
    </row>
    <row r="459" spans="1:8">
      <c r="A459" s="5" t="str">
        <f t="shared" si="36"/>
        <v/>
      </c>
      <c r="B459" s="5" t="str">
        <f t="shared" si="32"/>
        <v/>
      </c>
      <c r="C459" s="33" t="str" cm="1">
        <f t="array" ref="C459">IF(ISNUMBER(A459),IF(A459=A458,INDEX(BackgroundCalcs!$AV$2:$AV$500,'Grading Formulas'!$A459),"Question Results"),"")</f>
        <v/>
      </c>
      <c r="D459" s="8" t="str" cm="1">
        <f t="array" ref="D459">IF(ISNUMBER($A459),IF(A459=A458,INDEX(BackgroundCalcs!$AW$2:$AW$500,'Grading Formulas'!$A459),"C"&amp;A459+9),"")</f>
        <v/>
      </c>
      <c r="E459" s="4" t="str" cm="1">
        <f t="array" ref="E459">IF(ISNUMBER($A459),IF(A459=A458,"Reference2(False,True,"&amp;INDEX(BackgroundCalcs!$AX$2:$AX$500,'Grading Formulas'!$A459)&amp;")","MOEValue(.0001)"),"")</f>
        <v/>
      </c>
      <c r="F459" s="4" t="str">
        <f t="shared" si="33"/>
        <v/>
      </c>
      <c r="G459" s="4" t="str">
        <f t="shared" si="34"/>
        <v/>
      </c>
      <c r="H459" s="4" t="str">
        <f t="shared" si="35"/>
        <v/>
      </c>
    </row>
    <row r="460" spans="1:8">
      <c r="A460" s="5" t="str">
        <f t="shared" si="36"/>
        <v/>
      </c>
      <c r="B460" s="5" t="str">
        <f t="shared" si="32"/>
        <v/>
      </c>
      <c r="C460" s="33" t="str" cm="1">
        <f t="array" ref="C460">IF(ISNUMBER(A460),IF(A460=A459,INDEX(BackgroundCalcs!$AV$2:$AV$500,'Grading Formulas'!$A460),"Question Results"),"")</f>
        <v/>
      </c>
      <c r="D460" s="8" t="str" cm="1">
        <f t="array" ref="D460">IF(ISNUMBER($A460),IF(A460=A459,INDEX(BackgroundCalcs!$AW$2:$AW$500,'Grading Formulas'!$A460),"C"&amp;A460+9),"")</f>
        <v/>
      </c>
      <c r="E460" s="4" t="str" cm="1">
        <f t="array" ref="E460">IF(ISNUMBER($A460),IF(A460=A459,"Reference2(False,True,"&amp;INDEX(BackgroundCalcs!$AX$2:$AX$500,'Grading Formulas'!$A460)&amp;")","MOEValue(.0001)"),"")</f>
        <v/>
      </c>
      <c r="F460" s="4" t="str">
        <f t="shared" si="33"/>
        <v/>
      </c>
      <c r="G460" s="4" t="str">
        <f t="shared" si="34"/>
        <v/>
      </c>
      <c r="H460" s="4" t="str">
        <f t="shared" si="35"/>
        <v/>
      </c>
    </row>
    <row r="461" spans="1:8">
      <c r="A461" s="5" t="str">
        <f t="shared" si="36"/>
        <v/>
      </c>
      <c r="B461" s="5" t="str">
        <f t="shared" si="32"/>
        <v/>
      </c>
      <c r="C461" s="33" t="str" cm="1">
        <f t="array" ref="C461">IF(ISNUMBER(A461),IF(A461=A460,INDEX(BackgroundCalcs!$AV$2:$AV$500,'Grading Formulas'!$A461),"Question Results"),"")</f>
        <v/>
      </c>
      <c r="D461" s="8" t="str" cm="1">
        <f t="array" ref="D461">IF(ISNUMBER($A461),IF(A461=A460,INDEX(BackgroundCalcs!$AW$2:$AW$500,'Grading Formulas'!$A461),"C"&amp;A461+9),"")</f>
        <v/>
      </c>
      <c r="E461" s="4" t="str" cm="1">
        <f t="array" ref="E461">IF(ISNUMBER($A461),IF(A461=A460,"Reference2(False,True,"&amp;INDEX(BackgroundCalcs!$AX$2:$AX$500,'Grading Formulas'!$A461)&amp;")","MOEValue(.0001)"),"")</f>
        <v/>
      </c>
      <c r="F461" s="4" t="str">
        <f t="shared" si="33"/>
        <v/>
      </c>
      <c r="G461" s="4" t="str">
        <f t="shared" si="34"/>
        <v/>
      </c>
      <c r="H461" s="4" t="str">
        <f t="shared" si="35"/>
        <v/>
      </c>
    </row>
    <row r="462" spans="1:8">
      <c r="A462" s="5" t="str">
        <f t="shared" si="36"/>
        <v/>
      </c>
      <c r="B462" s="5" t="str">
        <f t="shared" si="32"/>
        <v/>
      </c>
      <c r="C462" s="33" t="str" cm="1">
        <f t="array" ref="C462">IF(ISNUMBER(A462),IF(A462=A461,INDEX(BackgroundCalcs!$AV$2:$AV$500,'Grading Formulas'!$A462),"Question Results"),"")</f>
        <v/>
      </c>
      <c r="D462" s="8" t="str" cm="1">
        <f t="array" ref="D462">IF(ISNUMBER($A462),IF(A462=A461,INDEX(BackgroundCalcs!$AW$2:$AW$500,'Grading Formulas'!$A462),"C"&amp;A462+9),"")</f>
        <v/>
      </c>
      <c r="E462" s="4" t="str" cm="1">
        <f t="array" ref="E462">IF(ISNUMBER($A462),IF(A462=A461,"Reference2(False,True,"&amp;INDEX(BackgroundCalcs!$AX$2:$AX$500,'Grading Formulas'!$A462)&amp;")","MOEValue(.0001)"),"")</f>
        <v/>
      </c>
      <c r="F462" s="4" t="str">
        <f t="shared" si="33"/>
        <v/>
      </c>
      <c r="G462" s="4" t="str">
        <f t="shared" si="34"/>
        <v/>
      </c>
      <c r="H462" s="4" t="str">
        <f t="shared" si="35"/>
        <v/>
      </c>
    </row>
    <row r="463" spans="1:8">
      <c r="A463" s="5" t="str">
        <f t="shared" si="36"/>
        <v/>
      </c>
      <c r="B463" s="5" t="str">
        <f t="shared" si="32"/>
        <v/>
      </c>
      <c r="C463" s="33" t="str" cm="1">
        <f t="array" ref="C463">IF(ISNUMBER(A463),IF(A463=A462,INDEX(BackgroundCalcs!$AV$2:$AV$500,'Grading Formulas'!$A463),"Question Results"),"")</f>
        <v/>
      </c>
      <c r="D463" s="8" t="str" cm="1">
        <f t="array" ref="D463">IF(ISNUMBER($A463),IF(A463=A462,INDEX(BackgroundCalcs!$AW$2:$AW$500,'Grading Formulas'!$A463),"C"&amp;A463+9),"")</f>
        <v/>
      </c>
      <c r="E463" s="4" t="str" cm="1">
        <f t="array" ref="E463">IF(ISNUMBER($A463),IF(A463=A462,"Reference2(False,True,"&amp;INDEX(BackgroundCalcs!$AX$2:$AX$500,'Grading Formulas'!$A463)&amp;")","MOEValue(.0001)"),"")</f>
        <v/>
      </c>
      <c r="F463" s="4" t="str">
        <f t="shared" si="33"/>
        <v/>
      </c>
      <c r="G463" s="4" t="str">
        <f t="shared" si="34"/>
        <v/>
      </c>
      <c r="H463" s="4" t="str">
        <f t="shared" si="35"/>
        <v/>
      </c>
    </row>
    <row r="464" spans="1:8">
      <c r="A464" s="5" t="str">
        <f t="shared" si="36"/>
        <v/>
      </c>
      <c r="B464" s="5" t="str">
        <f t="shared" si="32"/>
        <v/>
      </c>
      <c r="C464" s="33" t="str" cm="1">
        <f t="array" ref="C464">IF(ISNUMBER(A464),IF(A464=A463,INDEX(BackgroundCalcs!$AV$2:$AV$500,'Grading Formulas'!$A464),"Question Results"),"")</f>
        <v/>
      </c>
      <c r="D464" s="8" t="str" cm="1">
        <f t="array" ref="D464">IF(ISNUMBER($A464),IF(A464=A463,INDEX(BackgroundCalcs!$AW$2:$AW$500,'Grading Formulas'!$A464),"C"&amp;A464+9),"")</f>
        <v/>
      </c>
      <c r="E464" s="4" t="str" cm="1">
        <f t="array" ref="E464">IF(ISNUMBER($A464),IF(A464=A463,"Reference2(False,True,"&amp;INDEX(BackgroundCalcs!$AX$2:$AX$500,'Grading Formulas'!$A464)&amp;")","MOEValue(.0001)"),"")</f>
        <v/>
      </c>
      <c r="F464" s="4" t="str">
        <f t="shared" si="33"/>
        <v/>
      </c>
      <c r="G464" s="4" t="str">
        <f t="shared" si="34"/>
        <v/>
      </c>
      <c r="H464" s="4" t="str">
        <f t="shared" si="35"/>
        <v/>
      </c>
    </row>
    <row r="465" spans="1:8">
      <c r="A465" s="5" t="str">
        <f t="shared" si="36"/>
        <v/>
      </c>
      <c r="B465" s="5" t="str">
        <f t="shared" si="32"/>
        <v/>
      </c>
      <c r="C465" s="33" t="str" cm="1">
        <f t="array" ref="C465">IF(ISNUMBER(A465),IF(A465=A464,INDEX(BackgroundCalcs!$AV$2:$AV$500,'Grading Formulas'!$A465),"Question Results"),"")</f>
        <v/>
      </c>
      <c r="D465" s="8" t="str" cm="1">
        <f t="array" ref="D465">IF(ISNUMBER($A465),IF(A465=A464,INDEX(BackgroundCalcs!$AW$2:$AW$500,'Grading Formulas'!$A465),"C"&amp;A465+9),"")</f>
        <v/>
      </c>
      <c r="E465" s="4" t="str" cm="1">
        <f t="array" ref="E465">IF(ISNUMBER($A465),IF(A465=A464,"Reference2(False,True,"&amp;INDEX(BackgroundCalcs!$AX$2:$AX$500,'Grading Formulas'!$A465)&amp;")","MOEValue(.0001)"),"")</f>
        <v/>
      </c>
      <c r="F465" s="4" t="str">
        <f t="shared" si="33"/>
        <v/>
      </c>
      <c r="G465" s="4" t="str">
        <f t="shared" si="34"/>
        <v/>
      </c>
      <c r="H465" s="4" t="str">
        <f t="shared" si="35"/>
        <v/>
      </c>
    </row>
    <row r="466" spans="1:8">
      <c r="A466" s="5" t="str">
        <f t="shared" si="36"/>
        <v/>
      </c>
      <c r="B466" s="5" t="str">
        <f t="shared" si="32"/>
        <v/>
      </c>
      <c r="C466" s="33" t="str" cm="1">
        <f t="array" ref="C466">IF(ISNUMBER(A466),IF(A466=A465,INDEX(BackgroundCalcs!$AV$2:$AV$500,'Grading Formulas'!$A466),"Question Results"),"")</f>
        <v/>
      </c>
      <c r="D466" s="8" t="str" cm="1">
        <f t="array" ref="D466">IF(ISNUMBER($A466),IF(A466=A465,INDEX(BackgroundCalcs!$AW$2:$AW$500,'Grading Formulas'!$A466),"C"&amp;A466+9),"")</f>
        <v/>
      </c>
      <c r="E466" s="4" t="str" cm="1">
        <f t="array" ref="E466">IF(ISNUMBER($A466),IF(A466=A465,"Reference2(False,True,"&amp;INDEX(BackgroundCalcs!$AX$2:$AX$500,'Grading Formulas'!$A466)&amp;")","MOEValue(.0001)"),"")</f>
        <v/>
      </c>
      <c r="F466" s="4" t="str">
        <f t="shared" si="33"/>
        <v/>
      </c>
      <c r="G466" s="4" t="str">
        <f t="shared" si="34"/>
        <v/>
      </c>
      <c r="H466" s="4" t="str">
        <f t="shared" si="35"/>
        <v/>
      </c>
    </row>
    <row r="467" spans="1:8">
      <c r="A467" s="5" t="str">
        <f t="shared" si="36"/>
        <v/>
      </c>
      <c r="B467" s="5" t="str">
        <f t="shared" si="32"/>
        <v/>
      </c>
      <c r="C467" s="33" t="str" cm="1">
        <f t="array" ref="C467">IF(ISNUMBER(A467),IF(A467=A466,INDEX(BackgroundCalcs!$AV$2:$AV$500,'Grading Formulas'!$A467),"Question Results"),"")</f>
        <v/>
      </c>
      <c r="D467" s="8" t="str" cm="1">
        <f t="array" ref="D467">IF(ISNUMBER($A467),IF(A467=A466,INDEX(BackgroundCalcs!$AW$2:$AW$500,'Grading Formulas'!$A467),"C"&amp;A467+9),"")</f>
        <v/>
      </c>
      <c r="E467" s="4" t="str" cm="1">
        <f t="array" ref="E467">IF(ISNUMBER($A467),IF(A467=A466,"Reference2(False,True,"&amp;INDEX(BackgroundCalcs!$AX$2:$AX$500,'Grading Formulas'!$A467)&amp;")","MOEValue(.0001)"),"")</f>
        <v/>
      </c>
      <c r="F467" s="4" t="str">
        <f t="shared" si="33"/>
        <v/>
      </c>
      <c r="G467" s="4" t="str">
        <f t="shared" si="34"/>
        <v/>
      </c>
      <c r="H467" s="4" t="str">
        <f t="shared" si="35"/>
        <v/>
      </c>
    </row>
    <row r="468" spans="1:8">
      <c r="A468" s="5" t="str">
        <f t="shared" si="36"/>
        <v/>
      </c>
      <c r="B468" s="5" t="str">
        <f t="shared" si="32"/>
        <v/>
      </c>
      <c r="C468" s="33" t="str" cm="1">
        <f t="array" ref="C468">IF(ISNUMBER(A468),IF(A468=A467,INDEX(BackgroundCalcs!$AV$2:$AV$500,'Grading Formulas'!$A468),"Question Results"),"")</f>
        <v/>
      </c>
      <c r="D468" s="8" t="str" cm="1">
        <f t="array" ref="D468">IF(ISNUMBER($A468),IF(A468=A467,INDEX(BackgroundCalcs!$AW$2:$AW$500,'Grading Formulas'!$A468),"C"&amp;A468+9),"")</f>
        <v/>
      </c>
      <c r="E468" s="4" t="str" cm="1">
        <f t="array" ref="E468">IF(ISNUMBER($A468),IF(A468=A467,"Reference2(False,True,"&amp;INDEX(BackgroundCalcs!$AX$2:$AX$500,'Grading Formulas'!$A468)&amp;")","MOEValue(.0001)"),"")</f>
        <v/>
      </c>
      <c r="F468" s="4" t="str">
        <f t="shared" si="33"/>
        <v/>
      </c>
      <c r="G468" s="4" t="str">
        <f t="shared" si="34"/>
        <v/>
      </c>
      <c r="H468" s="4" t="str">
        <f t="shared" si="35"/>
        <v/>
      </c>
    </row>
    <row r="469" spans="1:8">
      <c r="A469" s="5" t="str">
        <f t="shared" si="36"/>
        <v/>
      </c>
      <c r="B469" s="5" t="str">
        <f t="shared" si="32"/>
        <v/>
      </c>
      <c r="C469" s="33" t="str" cm="1">
        <f t="array" ref="C469">IF(ISNUMBER(A469),IF(A469=A468,INDEX(BackgroundCalcs!$AV$2:$AV$500,'Grading Formulas'!$A469),"Question Results"),"")</f>
        <v/>
      </c>
      <c r="D469" s="8" t="str" cm="1">
        <f t="array" ref="D469">IF(ISNUMBER($A469),IF(A469=A468,INDEX(BackgroundCalcs!$AW$2:$AW$500,'Grading Formulas'!$A469),"C"&amp;A469+9),"")</f>
        <v/>
      </c>
      <c r="E469" s="4" t="str" cm="1">
        <f t="array" ref="E469">IF(ISNUMBER($A469),IF(A469=A468,"Reference2(False,True,"&amp;INDEX(BackgroundCalcs!$AX$2:$AX$500,'Grading Formulas'!$A469)&amp;")","MOEValue(.0001)"),"")</f>
        <v/>
      </c>
      <c r="F469" s="4" t="str">
        <f t="shared" si="33"/>
        <v/>
      </c>
      <c r="G469" s="4" t="str">
        <f t="shared" si="34"/>
        <v/>
      </c>
      <c r="H469" s="4" t="str">
        <f t="shared" si="35"/>
        <v/>
      </c>
    </row>
    <row r="470" spans="1:8">
      <c r="A470" s="5" t="str">
        <f t="shared" si="36"/>
        <v/>
      </c>
      <c r="B470" s="5" t="str">
        <f t="shared" si="32"/>
        <v/>
      </c>
      <c r="C470" s="33" t="str" cm="1">
        <f t="array" ref="C470">IF(ISNUMBER(A470),IF(A470=A469,INDEX(BackgroundCalcs!$AV$2:$AV$500,'Grading Formulas'!$A470),"Question Results"),"")</f>
        <v/>
      </c>
      <c r="D470" s="8" t="str" cm="1">
        <f t="array" ref="D470">IF(ISNUMBER($A470),IF(A470=A469,INDEX(BackgroundCalcs!$AW$2:$AW$500,'Grading Formulas'!$A470),"C"&amp;A470+9),"")</f>
        <v/>
      </c>
      <c r="E470" s="4" t="str" cm="1">
        <f t="array" ref="E470">IF(ISNUMBER($A470),IF(A470=A469,"Reference2(False,True,"&amp;INDEX(BackgroundCalcs!$AX$2:$AX$500,'Grading Formulas'!$A470)&amp;")","MOEValue(.0001)"),"")</f>
        <v/>
      </c>
      <c r="F470" s="4" t="str">
        <f t="shared" si="33"/>
        <v/>
      </c>
      <c r="G470" s="4" t="str">
        <f t="shared" si="34"/>
        <v/>
      </c>
      <c r="H470" s="4" t="str">
        <f t="shared" si="35"/>
        <v/>
      </c>
    </row>
    <row r="471" spans="1:8">
      <c r="A471" s="5" t="str">
        <f t="shared" si="36"/>
        <v/>
      </c>
      <c r="B471" s="5" t="str">
        <f t="shared" si="32"/>
        <v/>
      </c>
      <c r="C471" s="33" t="str" cm="1">
        <f t="array" ref="C471">IF(ISNUMBER(A471),IF(A471=A470,INDEX(BackgroundCalcs!$AV$2:$AV$500,'Grading Formulas'!$A471),"Question Results"),"")</f>
        <v/>
      </c>
      <c r="D471" s="8" t="str" cm="1">
        <f t="array" ref="D471">IF(ISNUMBER($A471),IF(A471=A470,INDEX(BackgroundCalcs!$AW$2:$AW$500,'Grading Formulas'!$A471),"C"&amp;A471+9),"")</f>
        <v/>
      </c>
      <c r="E471" s="4" t="str" cm="1">
        <f t="array" ref="E471">IF(ISNUMBER($A471),IF(A471=A470,"Reference2(False,True,"&amp;INDEX(BackgroundCalcs!$AX$2:$AX$500,'Grading Formulas'!$A471)&amp;")","MOEValue(.0001)"),"")</f>
        <v/>
      </c>
      <c r="F471" s="4" t="str">
        <f t="shared" si="33"/>
        <v/>
      </c>
      <c r="G471" s="4" t="str">
        <f t="shared" si="34"/>
        <v/>
      </c>
      <c r="H471" s="4" t="str">
        <f t="shared" si="35"/>
        <v/>
      </c>
    </row>
    <row r="472" spans="1:8">
      <c r="A472" s="5" t="str">
        <f t="shared" si="36"/>
        <v/>
      </c>
      <c r="B472" s="5" t="str">
        <f t="shared" si="32"/>
        <v/>
      </c>
      <c r="C472" s="33" t="str" cm="1">
        <f t="array" ref="C472">IF(ISNUMBER(A472),IF(A472=A471,INDEX(BackgroundCalcs!$AV$2:$AV$500,'Grading Formulas'!$A472),"Question Results"),"")</f>
        <v/>
      </c>
      <c r="D472" s="8" t="str" cm="1">
        <f t="array" ref="D472">IF(ISNUMBER($A472),IF(A472=A471,INDEX(BackgroundCalcs!$AW$2:$AW$500,'Grading Formulas'!$A472),"C"&amp;A472+9),"")</f>
        <v/>
      </c>
      <c r="E472" s="4" t="str" cm="1">
        <f t="array" ref="E472">IF(ISNUMBER($A472),IF(A472=A471,"Reference2(False,True,"&amp;INDEX(BackgroundCalcs!$AX$2:$AX$500,'Grading Formulas'!$A472)&amp;")","MOEValue(.0001)"),"")</f>
        <v/>
      </c>
      <c r="F472" s="4" t="str">
        <f t="shared" si="33"/>
        <v/>
      </c>
      <c r="G472" s="4" t="str">
        <f t="shared" si="34"/>
        <v/>
      </c>
      <c r="H472" s="4" t="str">
        <f t="shared" si="35"/>
        <v/>
      </c>
    </row>
    <row r="473" spans="1:8">
      <c r="A473" s="5" t="str">
        <f t="shared" si="36"/>
        <v/>
      </c>
      <c r="B473" s="5" t="str">
        <f t="shared" si="32"/>
        <v/>
      </c>
      <c r="C473" s="33" t="str" cm="1">
        <f t="array" ref="C473">IF(ISNUMBER(A473),IF(A473=A472,INDEX(BackgroundCalcs!$AV$2:$AV$500,'Grading Formulas'!$A473),"Question Results"),"")</f>
        <v/>
      </c>
      <c r="D473" s="8" t="str" cm="1">
        <f t="array" ref="D473">IF(ISNUMBER($A473),IF(A473=A472,INDEX(BackgroundCalcs!$AW$2:$AW$500,'Grading Formulas'!$A473),"C"&amp;A473+9),"")</f>
        <v/>
      </c>
      <c r="E473" s="4" t="str" cm="1">
        <f t="array" ref="E473">IF(ISNUMBER($A473),IF(A473=A472,"Reference2(False,True,"&amp;INDEX(BackgroundCalcs!$AX$2:$AX$500,'Grading Formulas'!$A473)&amp;")","MOEValue(.0001)"),"")</f>
        <v/>
      </c>
      <c r="F473" s="4" t="str">
        <f t="shared" si="33"/>
        <v/>
      </c>
      <c r="G473" s="4" t="str">
        <f t="shared" si="34"/>
        <v/>
      </c>
      <c r="H473" s="4" t="str">
        <f t="shared" si="35"/>
        <v/>
      </c>
    </row>
    <row r="474" spans="1:8">
      <c r="A474" s="5" t="str">
        <f t="shared" si="36"/>
        <v/>
      </c>
      <c r="B474" s="5" t="str">
        <f t="shared" si="32"/>
        <v/>
      </c>
      <c r="C474" s="33" t="str" cm="1">
        <f t="array" ref="C474">IF(ISNUMBER(A474),IF(A474=A473,INDEX(BackgroundCalcs!$AV$2:$AV$500,'Grading Formulas'!$A474),"Question Results"),"")</f>
        <v/>
      </c>
      <c r="D474" s="8" t="str" cm="1">
        <f t="array" ref="D474">IF(ISNUMBER($A474),IF(A474=A473,INDEX(BackgroundCalcs!$AW$2:$AW$500,'Grading Formulas'!$A474),"C"&amp;A474+9),"")</f>
        <v/>
      </c>
      <c r="E474" s="4" t="str" cm="1">
        <f t="array" ref="E474">IF(ISNUMBER($A474),IF(A474=A473,"Reference2(False,True,"&amp;INDEX(BackgroundCalcs!$AX$2:$AX$500,'Grading Formulas'!$A474)&amp;")","MOEValue(.0001)"),"")</f>
        <v/>
      </c>
      <c r="F474" s="4" t="str">
        <f t="shared" si="33"/>
        <v/>
      </c>
      <c r="G474" s="4" t="str">
        <f t="shared" si="34"/>
        <v/>
      </c>
      <c r="H474" s="4" t="str">
        <f t="shared" si="35"/>
        <v/>
      </c>
    </row>
    <row r="475" spans="1:8">
      <c r="A475" s="5" t="str">
        <f t="shared" si="36"/>
        <v/>
      </c>
      <c r="B475" s="5" t="str">
        <f t="shared" si="32"/>
        <v/>
      </c>
      <c r="C475" s="33" t="str" cm="1">
        <f t="array" ref="C475">IF(ISNUMBER(A475),IF(A475=A474,INDEX(BackgroundCalcs!$AV$2:$AV$500,'Grading Formulas'!$A475),"Question Results"),"")</f>
        <v/>
      </c>
      <c r="D475" s="8" t="str" cm="1">
        <f t="array" ref="D475">IF(ISNUMBER($A475),IF(A475=A474,INDEX(BackgroundCalcs!$AW$2:$AW$500,'Grading Formulas'!$A475),"C"&amp;A475+9),"")</f>
        <v/>
      </c>
      <c r="E475" s="4" t="str" cm="1">
        <f t="array" ref="E475">IF(ISNUMBER($A475),IF(A475=A474,"Reference2(False,True,"&amp;INDEX(BackgroundCalcs!$AX$2:$AX$500,'Grading Formulas'!$A475)&amp;")","MOEValue(.0001)"),"")</f>
        <v/>
      </c>
      <c r="F475" s="4" t="str">
        <f t="shared" si="33"/>
        <v/>
      </c>
      <c r="G475" s="4" t="str">
        <f t="shared" si="34"/>
        <v/>
      </c>
      <c r="H475" s="4" t="str">
        <f t="shared" si="35"/>
        <v/>
      </c>
    </row>
    <row r="476" spans="1:8">
      <c r="A476" s="5" t="str">
        <f t="shared" si="36"/>
        <v/>
      </c>
      <c r="B476" s="5" t="str">
        <f t="shared" si="32"/>
        <v/>
      </c>
      <c r="C476" s="33" t="str" cm="1">
        <f t="array" ref="C476">IF(ISNUMBER(A476),IF(A476=A475,INDEX(BackgroundCalcs!$AV$2:$AV$500,'Grading Formulas'!$A476),"Question Results"),"")</f>
        <v/>
      </c>
      <c r="D476" s="8" t="str" cm="1">
        <f t="array" ref="D476">IF(ISNUMBER($A476),IF(A476=A475,INDEX(BackgroundCalcs!$AW$2:$AW$500,'Grading Formulas'!$A476),"C"&amp;A476+9),"")</f>
        <v/>
      </c>
      <c r="E476" s="4" t="str" cm="1">
        <f t="array" ref="E476">IF(ISNUMBER($A476),IF(A476=A475,"Reference2(False,True,"&amp;INDEX(BackgroundCalcs!$AX$2:$AX$500,'Grading Formulas'!$A476)&amp;")","MOEValue(.0001)"),"")</f>
        <v/>
      </c>
      <c r="F476" s="4" t="str">
        <f t="shared" si="33"/>
        <v/>
      </c>
      <c r="G476" s="4" t="str">
        <f t="shared" si="34"/>
        <v/>
      </c>
      <c r="H476" s="4" t="str">
        <f t="shared" si="35"/>
        <v/>
      </c>
    </row>
    <row r="477" spans="1:8">
      <c r="A477" s="5" t="str">
        <f t="shared" si="36"/>
        <v/>
      </c>
      <c r="B477" s="5" t="str">
        <f t="shared" si="32"/>
        <v/>
      </c>
      <c r="C477" s="33" t="str" cm="1">
        <f t="array" ref="C477">IF(ISNUMBER(A477),IF(A477=A476,INDEX(BackgroundCalcs!$AV$2:$AV$500,'Grading Formulas'!$A477),"Question Results"),"")</f>
        <v/>
      </c>
      <c r="D477" s="8" t="str" cm="1">
        <f t="array" ref="D477">IF(ISNUMBER($A477),IF(A477=A476,INDEX(BackgroundCalcs!$AW$2:$AW$500,'Grading Formulas'!$A477),"C"&amp;A477+9),"")</f>
        <v/>
      </c>
      <c r="E477" s="4" t="str" cm="1">
        <f t="array" ref="E477">IF(ISNUMBER($A477),IF(A477=A476,"Reference2(False,True,"&amp;INDEX(BackgroundCalcs!$AX$2:$AX$500,'Grading Formulas'!$A477)&amp;")","MOEValue(.0001)"),"")</f>
        <v/>
      </c>
      <c r="F477" s="4" t="str">
        <f t="shared" si="33"/>
        <v/>
      </c>
      <c r="G477" s="4" t="str">
        <f t="shared" si="34"/>
        <v/>
      </c>
      <c r="H477" s="4" t="str">
        <f t="shared" si="35"/>
        <v/>
      </c>
    </row>
    <row r="478" spans="1:8">
      <c r="A478" s="5" t="str">
        <f t="shared" si="36"/>
        <v/>
      </c>
      <c r="B478" s="5" t="str">
        <f t="shared" si="32"/>
        <v/>
      </c>
      <c r="C478" s="33" t="str" cm="1">
        <f t="array" ref="C478">IF(ISNUMBER(A478),IF(A478=A477,INDEX(BackgroundCalcs!$AV$2:$AV$500,'Grading Formulas'!$A478),"Question Results"),"")</f>
        <v/>
      </c>
      <c r="D478" s="8" t="str" cm="1">
        <f t="array" ref="D478">IF(ISNUMBER($A478),IF(A478=A477,INDEX(BackgroundCalcs!$AW$2:$AW$500,'Grading Formulas'!$A478),"C"&amp;A478+9),"")</f>
        <v/>
      </c>
      <c r="E478" s="4" t="str" cm="1">
        <f t="array" ref="E478">IF(ISNUMBER($A478),IF(A478=A477,"Reference2(False,True,"&amp;INDEX(BackgroundCalcs!$AX$2:$AX$500,'Grading Formulas'!$A478)&amp;")","MOEValue(.0001)"),"")</f>
        <v/>
      </c>
      <c r="F478" s="4" t="str">
        <f t="shared" si="33"/>
        <v/>
      </c>
      <c r="G478" s="4" t="str">
        <f t="shared" si="34"/>
        <v/>
      </c>
      <c r="H478" s="4" t="str">
        <f t="shared" si="35"/>
        <v/>
      </c>
    </row>
    <row r="479" spans="1:8">
      <c r="A479" s="5" t="str">
        <f t="shared" si="36"/>
        <v/>
      </c>
      <c r="B479" s="5" t="str">
        <f t="shared" si="32"/>
        <v/>
      </c>
      <c r="C479" s="33" t="str" cm="1">
        <f t="array" ref="C479">IF(ISNUMBER(A479),IF(A479=A478,INDEX(BackgroundCalcs!$AV$2:$AV$500,'Grading Formulas'!$A479),"Question Results"),"")</f>
        <v/>
      </c>
      <c r="D479" s="8" t="str" cm="1">
        <f t="array" ref="D479">IF(ISNUMBER($A479),IF(A479=A478,INDEX(BackgroundCalcs!$AW$2:$AW$500,'Grading Formulas'!$A479),"C"&amp;A479+9),"")</f>
        <v/>
      </c>
      <c r="E479" s="4" t="str" cm="1">
        <f t="array" ref="E479">IF(ISNUMBER($A479),IF(A479=A478,"Reference2(False,True,"&amp;INDEX(BackgroundCalcs!$AX$2:$AX$500,'Grading Formulas'!$A479)&amp;")","MOEValue(.0001)"),"")</f>
        <v/>
      </c>
      <c r="F479" s="4" t="str">
        <f t="shared" si="33"/>
        <v/>
      </c>
      <c r="G479" s="4" t="str">
        <f t="shared" si="34"/>
        <v/>
      </c>
      <c r="H479" s="4" t="str">
        <f t="shared" si="35"/>
        <v/>
      </c>
    </row>
    <row r="480" spans="1:8">
      <c r="A480" s="5" t="str">
        <f t="shared" si="36"/>
        <v/>
      </c>
      <c r="B480" s="5" t="str">
        <f t="shared" si="32"/>
        <v/>
      </c>
      <c r="C480" s="33" t="str" cm="1">
        <f t="array" ref="C480">IF(ISNUMBER(A480),IF(A480=A479,INDEX(BackgroundCalcs!$AV$2:$AV$500,'Grading Formulas'!$A480),"Question Results"),"")</f>
        <v/>
      </c>
      <c r="D480" s="8" t="str" cm="1">
        <f t="array" ref="D480">IF(ISNUMBER($A480),IF(A480=A479,INDEX(BackgroundCalcs!$AW$2:$AW$500,'Grading Formulas'!$A480),"C"&amp;A480+9),"")</f>
        <v/>
      </c>
      <c r="E480" s="4" t="str" cm="1">
        <f t="array" ref="E480">IF(ISNUMBER($A480),IF(A480=A479,"Reference2(False,True,"&amp;INDEX(BackgroundCalcs!$AX$2:$AX$500,'Grading Formulas'!$A480)&amp;")","MOEValue(.0001)"),"")</f>
        <v/>
      </c>
      <c r="F480" s="4" t="str">
        <f t="shared" si="33"/>
        <v/>
      </c>
      <c r="G480" s="4" t="str">
        <f t="shared" si="34"/>
        <v/>
      </c>
      <c r="H480" s="4" t="str">
        <f t="shared" si="35"/>
        <v/>
      </c>
    </row>
    <row r="481" spans="1:8">
      <c r="A481" s="5" t="str">
        <f t="shared" si="36"/>
        <v/>
      </c>
      <c r="B481" s="5" t="str">
        <f t="shared" si="32"/>
        <v/>
      </c>
      <c r="C481" s="33" t="str" cm="1">
        <f t="array" ref="C481">IF(ISNUMBER(A481),IF(A481=A480,INDEX(BackgroundCalcs!$AV$2:$AV$500,'Grading Formulas'!$A481),"Question Results"),"")</f>
        <v/>
      </c>
      <c r="D481" s="8" t="str" cm="1">
        <f t="array" ref="D481">IF(ISNUMBER($A481),IF(A481=A480,INDEX(BackgroundCalcs!$AW$2:$AW$500,'Grading Formulas'!$A481),"C"&amp;A481+9),"")</f>
        <v/>
      </c>
      <c r="E481" s="4" t="str" cm="1">
        <f t="array" ref="E481">IF(ISNUMBER($A481),IF(A481=A480,"Reference2(False,True,"&amp;INDEX(BackgroundCalcs!$AX$2:$AX$500,'Grading Formulas'!$A481)&amp;")","MOEValue(.0001)"),"")</f>
        <v/>
      </c>
      <c r="F481" s="4" t="str">
        <f t="shared" si="33"/>
        <v/>
      </c>
      <c r="G481" s="4" t="str">
        <f t="shared" si="34"/>
        <v/>
      </c>
      <c r="H481" s="4" t="str">
        <f t="shared" si="35"/>
        <v/>
      </c>
    </row>
    <row r="482" spans="1:8">
      <c r="A482" s="5" t="str">
        <f t="shared" si="36"/>
        <v/>
      </c>
      <c r="B482" s="5" t="str">
        <f t="shared" si="32"/>
        <v/>
      </c>
      <c r="C482" s="33" t="str" cm="1">
        <f t="array" ref="C482">IF(ISNUMBER(A482),IF(A482=A481,INDEX(BackgroundCalcs!$AV$2:$AV$500,'Grading Formulas'!$A482),"Question Results"),"")</f>
        <v/>
      </c>
      <c r="D482" s="8" t="str" cm="1">
        <f t="array" ref="D482">IF(ISNUMBER($A482),IF(A482=A481,INDEX(BackgroundCalcs!$AW$2:$AW$500,'Grading Formulas'!$A482),"C"&amp;A482+9),"")</f>
        <v/>
      </c>
      <c r="E482" s="4" t="str" cm="1">
        <f t="array" ref="E482">IF(ISNUMBER($A482),IF(A482=A481,"Reference2(False,True,"&amp;INDEX(BackgroundCalcs!$AX$2:$AX$500,'Grading Formulas'!$A482)&amp;")","MOEValue(.0001)"),"")</f>
        <v/>
      </c>
      <c r="F482" s="4" t="str">
        <f t="shared" si="33"/>
        <v/>
      </c>
      <c r="G482" s="4" t="str">
        <f t="shared" si="34"/>
        <v/>
      </c>
      <c r="H482" s="4" t="str">
        <f t="shared" si="35"/>
        <v/>
      </c>
    </row>
    <row r="483" spans="1:8">
      <c r="A483" s="5" t="str">
        <f t="shared" si="36"/>
        <v/>
      </c>
      <c r="B483" s="5" t="str">
        <f t="shared" si="32"/>
        <v/>
      </c>
      <c r="C483" s="33" t="str" cm="1">
        <f t="array" ref="C483">IF(ISNUMBER(A483),IF(A483=A482,INDEX(BackgroundCalcs!$AV$2:$AV$500,'Grading Formulas'!$A483),"Question Results"),"")</f>
        <v/>
      </c>
      <c r="D483" s="8" t="str" cm="1">
        <f t="array" ref="D483">IF(ISNUMBER($A483),IF(A483=A482,INDEX(BackgroundCalcs!$AW$2:$AW$500,'Grading Formulas'!$A483),"C"&amp;A483+9),"")</f>
        <v/>
      </c>
      <c r="E483" s="4" t="str" cm="1">
        <f t="array" ref="E483">IF(ISNUMBER($A483),IF(A483=A482,"Reference2(False,True,"&amp;INDEX(BackgroundCalcs!$AX$2:$AX$500,'Grading Formulas'!$A483)&amp;")","MOEValue(.0001)"),"")</f>
        <v/>
      </c>
      <c r="F483" s="4" t="str">
        <f t="shared" si="33"/>
        <v/>
      </c>
      <c r="G483" s="4" t="str">
        <f t="shared" si="34"/>
        <v/>
      </c>
      <c r="H483" s="4" t="str">
        <f t="shared" si="35"/>
        <v/>
      </c>
    </row>
    <row r="484" spans="1:8">
      <c r="A484" s="5" t="str">
        <f t="shared" si="36"/>
        <v/>
      </c>
      <c r="B484" s="5" t="str">
        <f t="shared" si="32"/>
        <v/>
      </c>
      <c r="C484" s="33" t="str" cm="1">
        <f t="array" ref="C484">IF(ISNUMBER(A484),IF(A484=A483,INDEX(BackgroundCalcs!$AV$2:$AV$500,'Grading Formulas'!$A484),"Question Results"),"")</f>
        <v/>
      </c>
      <c r="D484" s="8" t="str" cm="1">
        <f t="array" ref="D484">IF(ISNUMBER($A484),IF(A484=A483,INDEX(BackgroundCalcs!$AW$2:$AW$500,'Grading Formulas'!$A484),"C"&amp;A484+9),"")</f>
        <v/>
      </c>
      <c r="E484" s="4" t="str" cm="1">
        <f t="array" ref="E484">IF(ISNUMBER($A484),IF(A484=A483,"Reference2(False,True,"&amp;INDEX(BackgroundCalcs!$AX$2:$AX$500,'Grading Formulas'!$A484)&amp;")","MOEValue(.0001)"),"")</f>
        <v/>
      </c>
      <c r="F484" s="4" t="str">
        <f t="shared" si="33"/>
        <v/>
      </c>
      <c r="G484" s="4" t="str">
        <f t="shared" si="34"/>
        <v/>
      </c>
      <c r="H484" s="4" t="str">
        <f t="shared" si="35"/>
        <v/>
      </c>
    </row>
    <row r="485" spans="1:8">
      <c r="A485" s="5" t="str">
        <f t="shared" si="36"/>
        <v/>
      </c>
      <c r="B485" s="5" t="str">
        <f t="shared" si="32"/>
        <v/>
      </c>
      <c r="C485" s="33" t="str" cm="1">
        <f t="array" ref="C485">IF(ISNUMBER(A485),IF(A485=A484,INDEX(BackgroundCalcs!$AV$2:$AV$500,'Grading Formulas'!$A485),"Question Results"),"")</f>
        <v/>
      </c>
      <c r="D485" s="8" t="str" cm="1">
        <f t="array" ref="D485">IF(ISNUMBER($A485),IF(A485=A484,INDEX(BackgroundCalcs!$AW$2:$AW$500,'Grading Formulas'!$A485),"C"&amp;A485+9),"")</f>
        <v/>
      </c>
      <c r="E485" s="4" t="str" cm="1">
        <f t="array" ref="E485">IF(ISNUMBER($A485),IF(A485=A484,"Reference2(False,True,"&amp;INDEX(BackgroundCalcs!$AX$2:$AX$500,'Grading Formulas'!$A485)&amp;")","MOEValue(.0001)"),"")</f>
        <v/>
      </c>
      <c r="F485" s="4" t="str">
        <f t="shared" si="33"/>
        <v/>
      </c>
      <c r="G485" s="4" t="str">
        <f t="shared" si="34"/>
        <v/>
      </c>
      <c r="H485" s="4" t="str">
        <f t="shared" si="35"/>
        <v/>
      </c>
    </row>
    <row r="486" spans="1:8">
      <c r="A486" s="5" t="str">
        <f t="shared" si="36"/>
        <v/>
      </c>
      <c r="B486" s="5" t="str">
        <f t="shared" si="32"/>
        <v/>
      </c>
      <c r="C486" s="33" t="str" cm="1">
        <f t="array" ref="C486">IF(ISNUMBER(A486),IF(A486=A485,INDEX(BackgroundCalcs!$AV$2:$AV$500,'Grading Formulas'!$A486),"Question Results"),"")</f>
        <v/>
      </c>
      <c r="D486" s="8" t="str" cm="1">
        <f t="array" ref="D486">IF(ISNUMBER($A486),IF(A486=A485,INDEX(BackgroundCalcs!$AW$2:$AW$500,'Grading Formulas'!$A486),"C"&amp;A486+9),"")</f>
        <v/>
      </c>
      <c r="E486" s="4" t="str" cm="1">
        <f t="array" ref="E486">IF(ISNUMBER($A486),IF(A486=A485,"Reference2(False,True,"&amp;INDEX(BackgroundCalcs!$AX$2:$AX$500,'Grading Formulas'!$A486)&amp;")","MOEValue(.0001)"),"")</f>
        <v/>
      </c>
      <c r="F486" s="4" t="str">
        <f t="shared" si="33"/>
        <v/>
      </c>
      <c r="G486" s="4" t="str">
        <f t="shared" si="34"/>
        <v/>
      </c>
      <c r="H486" s="4" t="str">
        <f t="shared" si="35"/>
        <v/>
      </c>
    </row>
    <row r="487" spans="1:8">
      <c r="A487" s="5" t="str">
        <f t="shared" si="36"/>
        <v/>
      </c>
      <c r="B487" s="5" t="str">
        <f t="shared" si="32"/>
        <v/>
      </c>
      <c r="C487" s="33" t="str" cm="1">
        <f t="array" ref="C487">IF(ISNUMBER(A487),IF(A487=A486,INDEX(BackgroundCalcs!$AV$2:$AV$500,'Grading Formulas'!$A487),"Question Results"),"")</f>
        <v/>
      </c>
      <c r="D487" s="8" t="str" cm="1">
        <f t="array" ref="D487">IF(ISNUMBER($A487),IF(A487=A486,INDEX(BackgroundCalcs!$AW$2:$AW$500,'Grading Formulas'!$A487),"C"&amp;A487+9),"")</f>
        <v/>
      </c>
      <c r="E487" s="4" t="str" cm="1">
        <f t="array" ref="E487">IF(ISNUMBER($A487),IF(A487=A486,"Reference2(False,True,"&amp;INDEX(BackgroundCalcs!$AX$2:$AX$500,'Grading Formulas'!$A487)&amp;")","MOEValue(.0001)"),"")</f>
        <v/>
      </c>
      <c r="F487" s="4" t="str">
        <f t="shared" si="33"/>
        <v/>
      </c>
      <c r="G487" s="4" t="str">
        <f t="shared" si="34"/>
        <v/>
      </c>
      <c r="H487" s="4" t="str">
        <f t="shared" si="35"/>
        <v/>
      </c>
    </row>
    <row r="488" spans="1:8">
      <c r="A488" s="5" t="str">
        <f t="shared" si="36"/>
        <v/>
      </c>
      <c r="B488" s="5" t="str">
        <f t="shared" si="32"/>
        <v/>
      </c>
      <c r="C488" s="33" t="str" cm="1">
        <f t="array" ref="C488">IF(ISNUMBER(A488),IF(A488=A487,INDEX(BackgroundCalcs!$AV$2:$AV$500,'Grading Formulas'!$A488),"Question Results"),"")</f>
        <v/>
      </c>
      <c r="D488" s="8" t="str" cm="1">
        <f t="array" ref="D488">IF(ISNUMBER($A488),IF(A488=A487,INDEX(BackgroundCalcs!$AW$2:$AW$500,'Grading Formulas'!$A488),"C"&amp;A488+9),"")</f>
        <v/>
      </c>
      <c r="E488" s="4" t="str" cm="1">
        <f t="array" ref="E488">IF(ISNUMBER($A488),IF(A488=A487,"Reference2(False,True,"&amp;INDEX(BackgroundCalcs!$AX$2:$AX$500,'Grading Formulas'!$A488)&amp;")","MOEValue(.0001)"),"")</f>
        <v/>
      </c>
      <c r="F488" s="4" t="str">
        <f t="shared" si="33"/>
        <v/>
      </c>
      <c r="G488" s="4" t="str">
        <f t="shared" si="34"/>
        <v/>
      </c>
      <c r="H488" s="4" t="str">
        <f t="shared" si="35"/>
        <v/>
      </c>
    </row>
    <row r="489" spans="1:8">
      <c r="A489" s="5" t="str">
        <f t="shared" si="36"/>
        <v/>
      </c>
      <c r="B489" s="5" t="str">
        <f t="shared" si="32"/>
        <v/>
      </c>
      <c r="C489" s="33" t="str" cm="1">
        <f t="array" ref="C489">IF(ISNUMBER(A489),IF(A489=A488,INDEX(BackgroundCalcs!$AV$2:$AV$500,'Grading Formulas'!$A489),"Question Results"),"")</f>
        <v/>
      </c>
      <c r="D489" s="8" t="str" cm="1">
        <f t="array" ref="D489">IF(ISNUMBER($A489),IF(A489=A488,INDEX(BackgroundCalcs!$AW$2:$AW$500,'Grading Formulas'!$A489),"C"&amp;A489+9),"")</f>
        <v/>
      </c>
      <c r="E489" s="4" t="str" cm="1">
        <f t="array" ref="E489">IF(ISNUMBER($A489),IF(A489=A488,"Reference2(False,True,"&amp;INDEX(BackgroundCalcs!$AX$2:$AX$500,'Grading Formulas'!$A489)&amp;")","MOEValue(.0001)"),"")</f>
        <v/>
      </c>
      <c r="F489" s="4" t="str">
        <f t="shared" si="33"/>
        <v/>
      </c>
      <c r="G489" s="4" t="str">
        <f t="shared" si="34"/>
        <v/>
      </c>
      <c r="H489" s="4" t="str">
        <f t="shared" si="35"/>
        <v/>
      </c>
    </row>
    <row r="490" spans="1:8">
      <c r="A490" s="5" t="str">
        <f t="shared" si="36"/>
        <v/>
      </c>
      <c r="B490" s="5" t="str">
        <f t="shared" si="32"/>
        <v/>
      </c>
      <c r="C490" s="33" t="str" cm="1">
        <f t="array" ref="C490">IF(ISNUMBER(A490),IF(A490=A489,INDEX(BackgroundCalcs!$AV$2:$AV$500,'Grading Formulas'!$A490),"Question Results"),"")</f>
        <v/>
      </c>
      <c r="D490" s="8" t="str" cm="1">
        <f t="array" ref="D490">IF(ISNUMBER($A490),IF(A490=A489,INDEX(BackgroundCalcs!$AW$2:$AW$500,'Grading Formulas'!$A490),"C"&amp;A490+9),"")</f>
        <v/>
      </c>
      <c r="E490" s="4" t="str" cm="1">
        <f t="array" ref="E490">IF(ISNUMBER($A490),IF(A490=A489,"Reference2(False,True,"&amp;INDEX(BackgroundCalcs!$AX$2:$AX$500,'Grading Formulas'!$A490)&amp;")","MOEValue(.0001)"),"")</f>
        <v/>
      </c>
      <c r="F490" s="4" t="str">
        <f t="shared" si="33"/>
        <v/>
      </c>
      <c r="G490" s="4" t="str">
        <f t="shared" si="34"/>
        <v/>
      </c>
      <c r="H490" s="4" t="str">
        <f t="shared" si="35"/>
        <v/>
      </c>
    </row>
    <row r="491" spans="1:8">
      <c r="A491" s="5" t="str">
        <f t="shared" si="36"/>
        <v/>
      </c>
      <c r="B491" s="5" t="str">
        <f t="shared" si="32"/>
        <v/>
      </c>
      <c r="C491" s="33" t="str" cm="1">
        <f t="array" ref="C491">IF(ISNUMBER(A491),IF(A491=A490,INDEX(BackgroundCalcs!$AV$2:$AV$500,'Grading Formulas'!$A491),"Question Results"),"")</f>
        <v/>
      </c>
      <c r="D491" s="8" t="str" cm="1">
        <f t="array" ref="D491">IF(ISNUMBER($A491),IF(A491=A490,INDEX(BackgroundCalcs!$AW$2:$AW$500,'Grading Formulas'!$A491),"C"&amp;A491+9),"")</f>
        <v/>
      </c>
      <c r="E491" s="4" t="str" cm="1">
        <f t="array" ref="E491">IF(ISNUMBER($A491),IF(A491=A490,"Reference2(False,True,"&amp;INDEX(BackgroundCalcs!$AX$2:$AX$500,'Grading Formulas'!$A491)&amp;")","MOEValue(.0001)"),"")</f>
        <v/>
      </c>
      <c r="F491" s="4" t="str">
        <f t="shared" si="33"/>
        <v/>
      </c>
      <c r="G491" s="4" t="str">
        <f t="shared" si="34"/>
        <v/>
      </c>
      <c r="H491" s="4" t="str">
        <f t="shared" si="35"/>
        <v/>
      </c>
    </row>
    <row r="492" spans="1:8">
      <c r="A492" s="5" t="str">
        <f t="shared" si="36"/>
        <v/>
      </c>
      <c r="B492" s="5" t="str">
        <f t="shared" si="32"/>
        <v/>
      </c>
      <c r="C492" s="33" t="str" cm="1">
        <f t="array" ref="C492">IF(ISNUMBER(A492),IF(A492=A491,INDEX(BackgroundCalcs!$AV$2:$AV$500,'Grading Formulas'!$A492),"Question Results"),"")</f>
        <v/>
      </c>
      <c r="D492" s="8" t="str" cm="1">
        <f t="array" ref="D492">IF(ISNUMBER($A492),IF(A492=A491,INDEX(BackgroundCalcs!$AW$2:$AW$500,'Grading Formulas'!$A492),"C"&amp;A492+9),"")</f>
        <v/>
      </c>
      <c r="E492" s="4" t="str" cm="1">
        <f t="array" ref="E492">IF(ISNUMBER($A492),IF(A492=A491,"Reference2(False,True,"&amp;INDEX(BackgroundCalcs!$AX$2:$AX$500,'Grading Formulas'!$A492)&amp;")","MOEValue(.0001)"),"")</f>
        <v/>
      </c>
      <c r="F492" s="4" t="str">
        <f t="shared" si="33"/>
        <v/>
      </c>
      <c r="G492" s="4" t="str">
        <f t="shared" si="34"/>
        <v/>
      </c>
      <c r="H492" s="4" t="str">
        <f t="shared" si="35"/>
        <v/>
      </c>
    </row>
    <row r="493" spans="1:8">
      <c r="A493" s="5" t="str">
        <f t="shared" si="36"/>
        <v/>
      </c>
      <c r="B493" s="5" t="str">
        <f t="shared" si="32"/>
        <v/>
      </c>
      <c r="C493" s="33" t="str" cm="1">
        <f t="array" ref="C493">IF(ISNUMBER(A493),IF(A493=A492,INDEX(BackgroundCalcs!$AV$2:$AV$500,'Grading Formulas'!$A493),"Question Results"),"")</f>
        <v/>
      </c>
      <c r="D493" s="8" t="str" cm="1">
        <f t="array" ref="D493">IF(ISNUMBER($A493),IF(A493=A492,INDEX(BackgroundCalcs!$AW$2:$AW$500,'Grading Formulas'!$A493),"C"&amp;A493+9),"")</f>
        <v/>
      </c>
      <c r="E493" s="4" t="str" cm="1">
        <f t="array" ref="E493">IF(ISNUMBER($A493),IF(A493=A492,"Reference2(False,True,"&amp;INDEX(BackgroundCalcs!$AX$2:$AX$500,'Grading Formulas'!$A493)&amp;")","MOEValue(.0001)"),"")</f>
        <v/>
      </c>
      <c r="F493" s="4" t="str">
        <f t="shared" si="33"/>
        <v/>
      </c>
      <c r="G493" s="4" t="str">
        <f t="shared" si="34"/>
        <v/>
      </c>
      <c r="H493" s="4" t="str">
        <f t="shared" si="35"/>
        <v/>
      </c>
    </row>
    <row r="494" spans="1:8">
      <c r="A494" s="5" t="str">
        <f t="shared" si="36"/>
        <v/>
      </c>
      <c r="B494" s="5" t="str">
        <f t="shared" si="32"/>
        <v/>
      </c>
      <c r="C494" s="33" t="str" cm="1">
        <f t="array" ref="C494">IF(ISNUMBER(A494),IF(A494=A493,INDEX(BackgroundCalcs!$AV$2:$AV$500,'Grading Formulas'!$A494),"Question Results"),"")</f>
        <v/>
      </c>
      <c r="D494" s="8" t="str" cm="1">
        <f t="array" ref="D494">IF(ISNUMBER($A494),IF(A494=A493,INDEX(BackgroundCalcs!$AW$2:$AW$500,'Grading Formulas'!$A494),"C"&amp;A494+9),"")</f>
        <v/>
      </c>
      <c r="E494" s="4" t="str" cm="1">
        <f t="array" ref="E494">IF(ISNUMBER($A494),IF(A494=A493,"Reference2(False,True,"&amp;INDEX(BackgroundCalcs!$AX$2:$AX$500,'Grading Formulas'!$A494)&amp;")","MOEValue(.0001)"),"")</f>
        <v/>
      </c>
      <c r="F494" s="4" t="str">
        <f t="shared" si="33"/>
        <v/>
      </c>
      <c r="G494" s="4" t="str">
        <f t="shared" si="34"/>
        <v/>
      </c>
      <c r="H494" s="4" t="str">
        <f t="shared" si="35"/>
        <v/>
      </c>
    </row>
    <row r="495" spans="1:8">
      <c r="A495" s="5" t="str">
        <f t="shared" si="36"/>
        <v/>
      </c>
      <c r="B495" s="5" t="str">
        <f t="shared" si="32"/>
        <v/>
      </c>
      <c r="C495" s="33" t="str" cm="1">
        <f t="array" ref="C495">IF(ISNUMBER(A495),IF(A495=A494,INDEX(BackgroundCalcs!$AV$2:$AV$500,'Grading Formulas'!$A495),"Question Results"),"")</f>
        <v/>
      </c>
      <c r="D495" s="8" t="str" cm="1">
        <f t="array" ref="D495">IF(ISNUMBER($A495),IF(A495=A494,INDEX(BackgroundCalcs!$AW$2:$AW$500,'Grading Formulas'!$A495),"C"&amp;A495+9),"")</f>
        <v/>
      </c>
      <c r="E495" s="4" t="str" cm="1">
        <f t="array" ref="E495">IF(ISNUMBER($A495),IF(A495=A494,"Reference2(False,True,"&amp;INDEX(BackgroundCalcs!$AX$2:$AX$500,'Grading Formulas'!$A495)&amp;")","MOEValue(.0001)"),"")</f>
        <v/>
      </c>
      <c r="F495" s="4" t="str">
        <f t="shared" si="33"/>
        <v/>
      </c>
      <c r="G495" s="4" t="str">
        <f t="shared" si="34"/>
        <v/>
      </c>
      <c r="H495" s="4" t="str">
        <f t="shared" si="35"/>
        <v/>
      </c>
    </row>
    <row r="496" spans="1:8">
      <c r="A496" s="5" t="str">
        <f t="shared" si="36"/>
        <v/>
      </c>
      <c r="B496" s="5" t="str">
        <f t="shared" si="32"/>
        <v/>
      </c>
      <c r="C496" s="33" t="str" cm="1">
        <f t="array" ref="C496">IF(ISNUMBER(A496),IF(A496=A495,INDEX(BackgroundCalcs!$AV$2:$AV$500,'Grading Formulas'!$A496),"Question Results"),"")</f>
        <v/>
      </c>
      <c r="D496" s="8" t="str" cm="1">
        <f t="array" ref="D496">IF(ISNUMBER($A496),IF(A496=A495,INDEX(BackgroundCalcs!$AW$2:$AW$500,'Grading Formulas'!$A496),"C"&amp;A496+9),"")</f>
        <v/>
      </c>
      <c r="E496" s="4" t="str" cm="1">
        <f t="array" ref="E496">IF(ISNUMBER($A496),IF(A496=A495,"Reference2(False,True,"&amp;INDEX(BackgroundCalcs!$AX$2:$AX$500,'Grading Formulas'!$A496)&amp;")","MOEValue(.0001)"),"")</f>
        <v/>
      </c>
      <c r="F496" s="4" t="str">
        <f t="shared" si="33"/>
        <v/>
      </c>
      <c r="G496" s="4" t="str">
        <f t="shared" si="34"/>
        <v/>
      </c>
      <c r="H496" s="4" t="str">
        <f t="shared" si="35"/>
        <v/>
      </c>
    </row>
    <row r="497" spans="1:8">
      <c r="A497" s="5" t="str">
        <f t="shared" si="36"/>
        <v/>
      </c>
      <c r="B497" s="5" t="str">
        <f t="shared" si="32"/>
        <v/>
      </c>
      <c r="C497" s="33" t="str" cm="1">
        <f t="array" ref="C497">IF(ISNUMBER(A497),IF(A497=A496,INDEX(BackgroundCalcs!$AV$2:$AV$500,'Grading Formulas'!$A497),"Question Results"),"")</f>
        <v/>
      </c>
      <c r="D497" s="8" t="str" cm="1">
        <f t="array" ref="D497">IF(ISNUMBER($A497),IF(A497=A496,INDEX(BackgroundCalcs!$AW$2:$AW$500,'Grading Formulas'!$A497),"C"&amp;A497+9),"")</f>
        <v/>
      </c>
      <c r="E497" s="4" t="str" cm="1">
        <f t="array" ref="E497">IF(ISNUMBER($A497),IF(A497=A496,"Reference2(False,True,"&amp;INDEX(BackgroundCalcs!$AX$2:$AX$500,'Grading Formulas'!$A497)&amp;")","MOEValue(.0001)"),"")</f>
        <v/>
      </c>
      <c r="F497" s="4" t="str">
        <f t="shared" si="33"/>
        <v/>
      </c>
      <c r="G497" s="4" t="str">
        <f t="shared" si="34"/>
        <v/>
      </c>
      <c r="H497" s="4" t="str">
        <f t="shared" si="35"/>
        <v/>
      </c>
    </row>
    <row r="498" spans="1:8">
      <c r="A498" s="5" t="str">
        <f t="shared" si="36"/>
        <v/>
      </c>
      <c r="B498" s="5" t="str">
        <f t="shared" si="32"/>
        <v/>
      </c>
      <c r="C498" s="33" t="str" cm="1">
        <f t="array" ref="C498">IF(ISNUMBER(A498),IF(A498=A497,INDEX(BackgroundCalcs!$AV$2:$AV$500,'Grading Formulas'!$A498),"Question Results"),"")</f>
        <v/>
      </c>
      <c r="D498" s="8" t="str" cm="1">
        <f t="array" ref="D498">IF(ISNUMBER($A498),IF(A498=A497,INDEX(BackgroundCalcs!$AW$2:$AW$500,'Grading Formulas'!$A498),"C"&amp;A498+9),"")</f>
        <v/>
      </c>
      <c r="E498" s="4" t="str" cm="1">
        <f t="array" ref="E498">IF(ISNUMBER($A498),IF(A498=A497,"Reference2(False,True,"&amp;INDEX(BackgroundCalcs!$AX$2:$AX$500,'Grading Formulas'!$A498)&amp;")","MOEValue(.0001)"),"")</f>
        <v/>
      </c>
      <c r="F498" s="4" t="str">
        <f t="shared" si="33"/>
        <v/>
      </c>
      <c r="G498" s="4" t="str">
        <f t="shared" si="34"/>
        <v/>
      </c>
      <c r="H498" s="4" t="str">
        <f t="shared" si="35"/>
        <v/>
      </c>
    </row>
    <row r="499" spans="1:8">
      <c r="A499" s="5" t="str">
        <f t="shared" si="36"/>
        <v/>
      </c>
      <c r="B499" s="5" t="str">
        <f t="shared" si="32"/>
        <v/>
      </c>
      <c r="C499" s="33" t="str" cm="1">
        <f t="array" ref="C499">IF(ISNUMBER(A499),IF(A499=A498,INDEX(BackgroundCalcs!$AV$2:$AV$500,'Grading Formulas'!$A499),"Question Results"),"")</f>
        <v/>
      </c>
      <c r="D499" s="8" t="str" cm="1">
        <f t="array" ref="D499">IF(ISNUMBER($A499),IF(A499=A498,INDEX(BackgroundCalcs!$AW$2:$AW$500,'Grading Formulas'!$A499),"C"&amp;A499+9),"")</f>
        <v/>
      </c>
      <c r="E499" s="4" t="str" cm="1">
        <f t="array" ref="E499">IF(ISNUMBER($A499),IF(A499=A498,"Reference2(False,True,"&amp;INDEX(BackgroundCalcs!$AX$2:$AX$500,'Grading Formulas'!$A499)&amp;")","MOEValue(.0001)"),"")</f>
        <v/>
      </c>
      <c r="F499" s="4" t="str">
        <f t="shared" si="33"/>
        <v/>
      </c>
      <c r="G499" s="4" t="str">
        <f t="shared" si="34"/>
        <v/>
      </c>
      <c r="H499" s="4" t="str">
        <f t="shared" si="35"/>
        <v/>
      </c>
    </row>
    <row r="500" spans="1:8">
      <c r="A500" s="5" t="str">
        <f t="shared" si="36"/>
        <v/>
      </c>
      <c r="B500" s="5" t="str">
        <f t="shared" si="32"/>
        <v/>
      </c>
      <c r="C500" s="33" t="str" cm="1">
        <f t="array" ref="C500">IF(ISNUMBER(A500),IF(A500=A499,INDEX(BackgroundCalcs!$AV$2:$AV$500,'Grading Formulas'!$A500),"Question Results"),"")</f>
        <v/>
      </c>
      <c r="D500" s="8" t="str" cm="1">
        <f t="array" ref="D500">IF(ISNUMBER($A500),IF(A500=A499,INDEX(BackgroundCalcs!$AW$2:$AW$500,'Grading Formulas'!$A500),"C"&amp;A500+9),"")</f>
        <v/>
      </c>
      <c r="E500" s="4" t="str" cm="1">
        <f t="array" ref="E500">IF(ISNUMBER($A500),IF(A500=A499,"Reference2(False,True,"&amp;INDEX(BackgroundCalcs!$AX$2:$AX$500,'Grading Formulas'!$A500)&amp;")","MOEValue(.0001)"),"")</f>
        <v/>
      </c>
      <c r="F500" s="4" t="str">
        <f t="shared" si="33"/>
        <v/>
      </c>
      <c r="G500" s="4" t="str">
        <f t="shared" si="34"/>
        <v/>
      </c>
      <c r="H500" s="4" t="str">
        <f t="shared" si="35"/>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F44B5-E06D-4E89-B58A-E7B4AE5CBCC3}">
  <sheetPr codeName="Sheet2"/>
  <dimension ref="A1:G55"/>
  <sheetViews>
    <sheetView workbookViewId="0"/>
  </sheetViews>
  <sheetFormatPr defaultRowHeight="14.4"/>
  <cols>
    <col min="1" max="1" width="12.21875" style="4" bestFit="1" customWidth="1"/>
    <col min="2" max="2" width="23" style="4" bestFit="1" customWidth="1"/>
    <col min="3" max="3" width="6" style="4" bestFit="1" customWidth="1"/>
    <col min="4" max="4" width="30.21875" style="4" bestFit="1" customWidth="1"/>
    <col min="5" max="5" width="5.77734375" style="4" bestFit="1" customWidth="1"/>
    <col min="6" max="6" width="41.109375" style="4" bestFit="1" customWidth="1"/>
    <col min="7" max="7" width="16.77734375" style="4" bestFit="1" customWidth="1"/>
    <col min="8" max="16384" width="8.88671875" style="4"/>
  </cols>
  <sheetData>
    <row r="1" spans="1:7">
      <c r="A1" s="4" t="s">
        <v>94</v>
      </c>
      <c r="B1" s="28" t="s">
        <v>95</v>
      </c>
      <c r="C1" s="28" t="s">
        <v>96</v>
      </c>
      <c r="D1" s="28" t="s">
        <v>97</v>
      </c>
      <c r="E1" s="4" t="s">
        <v>98</v>
      </c>
      <c r="F1" s="4" t="s">
        <v>99</v>
      </c>
      <c r="G1" s="4" t="s">
        <v>100</v>
      </c>
    </row>
    <row r="2" spans="1:7">
      <c r="A2" s="4" t="s">
        <v>101</v>
      </c>
      <c r="B2" s="33" t="s">
        <v>117</v>
      </c>
      <c r="C2" s="28" t="s">
        <v>291</v>
      </c>
      <c r="D2" s="28" t="s">
        <v>138</v>
      </c>
      <c r="E2" s="4">
        <v>1</v>
      </c>
      <c r="F2" s="4" t="s">
        <v>113</v>
      </c>
      <c r="G2" s="4" t="s">
        <v>114</v>
      </c>
    </row>
    <row r="3" spans="1:7">
      <c r="A3" s="4" t="s">
        <v>101</v>
      </c>
      <c r="B3" s="33" t="s">
        <v>271</v>
      </c>
      <c r="C3" s="28" t="s">
        <v>274</v>
      </c>
      <c r="D3" s="28" t="s">
        <v>292</v>
      </c>
      <c r="E3" s="4">
        <v>-1000</v>
      </c>
      <c r="F3" s="4" t="s">
        <v>115</v>
      </c>
      <c r="G3" s="4" t="s">
        <v>102</v>
      </c>
    </row>
    <row r="4" spans="1:7">
      <c r="A4" s="4" t="s">
        <v>101</v>
      </c>
      <c r="B4" s="28" t="s">
        <v>117</v>
      </c>
      <c r="C4" s="28" t="s">
        <v>293</v>
      </c>
      <c r="D4" s="28" t="s">
        <v>138</v>
      </c>
      <c r="E4" s="4">
        <v>1</v>
      </c>
      <c r="F4" s="4" t="s">
        <v>113</v>
      </c>
      <c r="G4" s="4" t="s">
        <v>114</v>
      </c>
    </row>
    <row r="5" spans="1:7">
      <c r="A5" s="4" t="s">
        <v>101</v>
      </c>
      <c r="B5" s="28" t="s">
        <v>271</v>
      </c>
      <c r="C5" s="28" t="s">
        <v>275</v>
      </c>
      <c r="D5" s="28" t="s">
        <v>294</v>
      </c>
      <c r="E5" s="4">
        <v>-1000</v>
      </c>
      <c r="F5" s="4" t="s">
        <v>115</v>
      </c>
      <c r="G5" s="4" t="s">
        <v>102</v>
      </c>
    </row>
    <row r="6" spans="1:7">
      <c r="A6" s="4" t="s">
        <v>101</v>
      </c>
      <c r="B6" s="28" t="s">
        <v>117</v>
      </c>
      <c r="C6" s="28" t="s">
        <v>295</v>
      </c>
      <c r="D6" s="28" t="s">
        <v>138</v>
      </c>
      <c r="E6" s="4">
        <v>1</v>
      </c>
      <c r="F6" s="4" t="s">
        <v>113</v>
      </c>
      <c r="G6" s="4" t="s">
        <v>114</v>
      </c>
    </row>
    <row r="7" spans="1:7">
      <c r="A7" s="4" t="s">
        <v>101</v>
      </c>
      <c r="B7" s="28" t="s">
        <v>271</v>
      </c>
      <c r="C7" s="28" t="s">
        <v>276</v>
      </c>
      <c r="D7" s="28" t="s">
        <v>296</v>
      </c>
      <c r="E7" s="4">
        <v>-1000</v>
      </c>
      <c r="F7" s="4" t="s">
        <v>115</v>
      </c>
      <c r="G7" s="4" t="s">
        <v>102</v>
      </c>
    </row>
    <row r="8" spans="1:7">
      <c r="A8" s="4" t="s">
        <v>101</v>
      </c>
      <c r="B8" s="28" t="s">
        <v>117</v>
      </c>
      <c r="C8" s="28" t="s">
        <v>297</v>
      </c>
      <c r="D8" s="28" t="s">
        <v>138</v>
      </c>
      <c r="E8" s="4">
        <v>1</v>
      </c>
      <c r="F8" s="4" t="s">
        <v>113</v>
      </c>
      <c r="G8" s="4" t="s">
        <v>114</v>
      </c>
    </row>
    <row r="9" spans="1:7">
      <c r="A9" s="4" t="s">
        <v>101</v>
      </c>
      <c r="B9" s="28" t="s">
        <v>271</v>
      </c>
      <c r="C9" s="28" t="s">
        <v>277</v>
      </c>
      <c r="D9" s="28" t="s">
        <v>298</v>
      </c>
      <c r="E9" s="4">
        <v>-1000</v>
      </c>
      <c r="F9" s="4" t="s">
        <v>115</v>
      </c>
      <c r="G9" s="4" t="s">
        <v>102</v>
      </c>
    </row>
    <row r="10" spans="1:7">
      <c r="A10" s="4" t="s">
        <v>101</v>
      </c>
      <c r="B10" s="28" t="s">
        <v>117</v>
      </c>
      <c r="C10" s="28" t="s">
        <v>299</v>
      </c>
      <c r="D10" s="28" t="s">
        <v>138</v>
      </c>
      <c r="E10" s="4">
        <v>1</v>
      </c>
      <c r="F10" s="4" t="s">
        <v>113</v>
      </c>
      <c r="G10" s="4" t="s">
        <v>114</v>
      </c>
    </row>
    <row r="11" spans="1:7">
      <c r="A11" s="4" t="s">
        <v>101</v>
      </c>
      <c r="B11" s="28" t="s">
        <v>271</v>
      </c>
      <c r="C11" s="28" t="s">
        <v>278</v>
      </c>
      <c r="D11" s="28" t="s">
        <v>300</v>
      </c>
      <c r="E11" s="4">
        <v>-1000</v>
      </c>
      <c r="F11" s="4" t="s">
        <v>115</v>
      </c>
      <c r="G11" s="4" t="s">
        <v>102</v>
      </c>
    </row>
    <row r="12" spans="1:7">
      <c r="A12" s="4" t="s">
        <v>101</v>
      </c>
      <c r="B12" s="28" t="s">
        <v>117</v>
      </c>
      <c r="C12" s="28" t="s">
        <v>301</v>
      </c>
      <c r="D12" s="28" t="s">
        <v>138</v>
      </c>
      <c r="E12" s="4">
        <v>1</v>
      </c>
      <c r="F12" s="4" t="s">
        <v>113</v>
      </c>
      <c r="G12" s="4" t="s">
        <v>114</v>
      </c>
    </row>
    <row r="13" spans="1:7">
      <c r="A13" s="4" t="s">
        <v>101</v>
      </c>
      <c r="B13" s="28" t="s">
        <v>271</v>
      </c>
      <c r="C13" s="28" t="s">
        <v>279</v>
      </c>
      <c r="D13" s="28" t="s">
        <v>302</v>
      </c>
      <c r="E13" s="4">
        <v>-1000</v>
      </c>
      <c r="F13" s="4" t="s">
        <v>115</v>
      </c>
      <c r="G13" s="4" t="s">
        <v>102</v>
      </c>
    </row>
    <row r="14" spans="1:7">
      <c r="A14" s="4" t="s">
        <v>101</v>
      </c>
      <c r="B14" s="28" t="s">
        <v>117</v>
      </c>
      <c r="C14" s="28" t="s">
        <v>303</v>
      </c>
      <c r="D14" s="28" t="s">
        <v>138</v>
      </c>
      <c r="E14" s="4">
        <v>1</v>
      </c>
      <c r="F14" s="4" t="s">
        <v>113</v>
      </c>
      <c r="G14" s="4" t="s">
        <v>114</v>
      </c>
    </row>
    <row r="15" spans="1:7">
      <c r="A15" s="4" t="s">
        <v>101</v>
      </c>
      <c r="B15" s="28" t="s">
        <v>271</v>
      </c>
      <c r="C15" s="28" t="s">
        <v>280</v>
      </c>
      <c r="D15" s="28" t="s">
        <v>304</v>
      </c>
      <c r="E15" s="4">
        <v>-1000</v>
      </c>
      <c r="F15" s="4" t="s">
        <v>115</v>
      </c>
      <c r="G15" s="4" t="s">
        <v>102</v>
      </c>
    </row>
    <row r="16" spans="1:7">
      <c r="A16" s="4" t="s">
        <v>101</v>
      </c>
      <c r="B16" s="28" t="s">
        <v>117</v>
      </c>
      <c r="C16" s="28" t="s">
        <v>305</v>
      </c>
      <c r="D16" s="28" t="s">
        <v>138</v>
      </c>
      <c r="E16" s="4">
        <v>1</v>
      </c>
      <c r="F16" s="4" t="s">
        <v>113</v>
      </c>
      <c r="G16" s="4" t="s">
        <v>114</v>
      </c>
    </row>
    <row r="17" spans="1:7">
      <c r="A17" s="4" t="s">
        <v>101</v>
      </c>
      <c r="B17" s="28" t="s">
        <v>271</v>
      </c>
      <c r="C17" s="28" t="s">
        <v>281</v>
      </c>
      <c r="D17" s="28" t="s">
        <v>306</v>
      </c>
      <c r="E17" s="4">
        <v>-1000</v>
      </c>
      <c r="F17" s="4" t="s">
        <v>115</v>
      </c>
      <c r="G17" s="4" t="s">
        <v>102</v>
      </c>
    </row>
    <row r="18" spans="1:7">
      <c r="A18" s="4" t="s">
        <v>101</v>
      </c>
      <c r="B18" s="28" t="s">
        <v>117</v>
      </c>
      <c r="C18" s="28" t="s">
        <v>307</v>
      </c>
      <c r="D18" s="28" t="s">
        <v>138</v>
      </c>
      <c r="E18" s="4">
        <v>1</v>
      </c>
      <c r="F18" s="4" t="s">
        <v>113</v>
      </c>
      <c r="G18" s="4" t="s">
        <v>114</v>
      </c>
    </row>
    <row r="19" spans="1:7">
      <c r="A19" s="4" t="s">
        <v>101</v>
      </c>
      <c r="B19" s="28" t="s">
        <v>271</v>
      </c>
      <c r="C19" s="28" t="s">
        <v>282</v>
      </c>
      <c r="D19" s="28" t="s">
        <v>308</v>
      </c>
      <c r="E19" s="4">
        <v>-1000</v>
      </c>
      <c r="F19" s="4" t="s">
        <v>115</v>
      </c>
      <c r="G19" s="4" t="s">
        <v>102</v>
      </c>
    </row>
    <row r="20" spans="1:7">
      <c r="A20" s="4" t="s">
        <v>101</v>
      </c>
      <c r="B20" s="28" t="s">
        <v>117</v>
      </c>
      <c r="C20" s="28" t="s">
        <v>309</v>
      </c>
      <c r="D20" s="28" t="s">
        <v>138</v>
      </c>
      <c r="E20" s="4">
        <v>1</v>
      </c>
      <c r="F20" s="4" t="s">
        <v>113</v>
      </c>
      <c r="G20" s="4" t="s">
        <v>114</v>
      </c>
    </row>
    <row r="21" spans="1:7">
      <c r="A21" s="4" t="s">
        <v>101</v>
      </c>
      <c r="B21" s="28" t="s">
        <v>271</v>
      </c>
      <c r="C21" s="28" t="s">
        <v>283</v>
      </c>
      <c r="D21" s="28" t="s">
        <v>310</v>
      </c>
      <c r="E21" s="4">
        <v>-1000</v>
      </c>
      <c r="F21" s="4" t="s">
        <v>115</v>
      </c>
      <c r="G21" s="4" t="s">
        <v>102</v>
      </c>
    </row>
    <row r="22" spans="1:7">
      <c r="A22" s="4" t="s">
        <v>101</v>
      </c>
      <c r="B22" s="28" t="s">
        <v>117</v>
      </c>
      <c r="C22" s="28" t="s">
        <v>311</v>
      </c>
      <c r="D22" s="28" t="s">
        <v>138</v>
      </c>
      <c r="E22" s="4">
        <v>1</v>
      </c>
      <c r="F22" s="4" t="s">
        <v>113</v>
      </c>
      <c r="G22" s="4" t="s">
        <v>114</v>
      </c>
    </row>
    <row r="23" spans="1:7">
      <c r="A23" s="4" t="s">
        <v>101</v>
      </c>
      <c r="B23" s="28" t="s">
        <v>271</v>
      </c>
      <c r="C23" s="28" t="s">
        <v>366</v>
      </c>
      <c r="D23" s="28" t="s">
        <v>390</v>
      </c>
      <c r="E23" s="4">
        <v>-1000</v>
      </c>
      <c r="F23" s="4" t="s">
        <v>115</v>
      </c>
      <c r="G23" s="4" t="s">
        <v>102</v>
      </c>
    </row>
    <row r="24" spans="1:7">
      <c r="A24" s="4" t="s">
        <v>101</v>
      </c>
      <c r="B24" s="28" t="s">
        <v>117</v>
      </c>
      <c r="C24" s="28" t="s">
        <v>312</v>
      </c>
      <c r="D24" s="28" t="s">
        <v>138</v>
      </c>
      <c r="E24" s="4">
        <v>1</v>
      </c>
      <c r="F24" s="4" t="s">
        <v>113</v>
      </c>
      <c r="G24" s="4" t="s">
        <v>114</v>
      </c>
    </row>
    <row r="25" spans="1:7">
      <c r="A25" s="4" t="s">
        <v>101</v>
      </c>
      <c r="B25" s="28" t="s">
        <v>271</v>
      </c>
      <c r="C25" s="28" t="s">
        <v>367</v>
      </c>
      <c r="D25" s="28" t="s">
        <v>391</v>
      </c>
      <c r="E25" s="4">
        <v>-1000</v>
      </c>
      <c r="F25" s="4" t="s">
        <v>115</v>
      </c>
      <c r="G25" s="4" t="s">
        <v>102</v>
      </c>
    </row>
    <row r="26" spans="1:7">
      <c r="A26" s="4" t="s">
        <v>101</v>
      </c>
      <c r="B26" s="28" t="s">
        <v>117</v>
      </c>
      <c r="C26" s="28" t="s">
        <v>313</v>
      </c>
      <c r="D26" s="28" t="s">
        <v>138</v>
      </c>
      <c r="E26" s="4">
        <v>1</v>
      </c>
      <c r="F26" s="4" t="s">
        <v>113</v>
      </c>
      <c r="G26" s="4" t="s">
        <v>114</v>
      </c>
    </row>
    <row r="27" spans="1:7">
      <c r="A27" s="4" t="s">
        <v>101</v>
      </c>
      <c r="B27" s="28" t="s">
        <v>272</v>
      </c>
      <c r="C27" s="28" t="s">
        <v>278</v>
      </c>
      <c r="D27" s="28" t="s">
        <v>300</v>
      </c>
      <c r="E27" s="4">
        <v>-1000</v>
      </c>
      <c r="F27" s="4" t="s">
        <v>115</v>
      </c>
      <c r="G27" s="4" t="s">
        <v>102</v>
      </c>
    </row>
    <row r="28" spans="1:7">
      <c r="A28" s="4" t="s">
        <v>101</v>
      </c>
      <c r="B28" s="28" t="s">
        <v>117</v>
      </c>
      <c r="C28" s="28" t="s">
        <v>314</v>
      </c>
      <c r="D28" s="28" t="s">
        <v>138</v>
      </c>
      <c r="E28" s="4">
        <v>1</v>
      </c>
      <c r="F28" s="4" t="s">
        <v>113</v>
      </c>
      <c r="G28" s="4" t="s">
        <v>114</v>
      </c>
    </row>
    <row r="29" spans="1:7">
      <c r="A29" s="4" t="s">
        <v>101</v>
      </c>
      <c r="B29" s="28" t="s">
        <v>272</v>
      </c>
      <c r="C29" s="28" t="s">
        <v>279</v>
      </c>
      <c r="D29" s="28" t="s">
        <v>302</v>
      </c>
      <c r="E29" s="4">
        <v>-1000</v>
      </c>
      <c r="F29" s="4" t="s">
        <v>115</v>
      </c>
      <c r="G29" s="4" t="s">
        <v>102</v>
      </c>
    </row>
    <row r="30" spans="1:7">
      <c r="A30" s="4" t="s">
        <v>101</v>
      </c>
      <c r="B30" s="28" t="s">
        <v>117</v>
      </c>
      <c r="C30" s="28" t="s">
        <v>315</v>
      </c>
      <c r="D30" s="28" t="s">
        <v>138</v>
      </c>
      <c r="E30" s="4">
        <v>1</v>
      </c>
      <c r="F30" s="4" t="s">
        <v>113</v>
      </c>
      <c r="G30" s="4" t="s">
        <v>114</v>
      </c>
    </row>
    <row r="31" spans="1:7">
      <c r="A31" s="4" t="s">
        <v>101</v>
      </c>
      <c r="B31" s="28" t="s">
        <v>272</v>
      </c>
      <c r="C31" s="28" t="s">
        <v>280</v>
      </c>
      <c r="D31" s="28" t="s">
        <v>304</v>
      </c>
      <c r="E31" s="4">
        <v>-1000</v>
      </c>
      <c r="F31" s="4" t="s">
        <v>115</v>
      </c>
      <c r="G31" s="4" t="s">
        <v>102</v>
      </c>
    </row>
    <row r="32" spans="1:7">
      <c r="A32" s="4" t="s">
        <v>101</v>
      </c>
      <c r="B32" s="28" t="s">
        <v>117</v>
      </c>
      <c r="C32" s="28" t="s">
        <v>316</v>
      </c>
      <c r="D32" s="28" t="s">
        <v>138</v>
      </c>
      <c r="E32" s="4">
        <v>1</v>
      </c>
      <c r="F32" s="4" t="s">
        <v>113</v>
      </c>
      <c r="G32" s="4" t="s">
        <v>114</v>
      </c>
    </row>
    <row r="33" spans="1:7">
      <c r="A33" s="4" t="s">
        <v>101</v>
      </c>
      <c r="B33" s="28" t="s">
        <v>272</v>
      </c>
      <c r="C33" s="28" t="s">
        <v>281</v>
      </c>
      <c r="D33" s="28" t="s">
        <v>306</v>
      </c>
      <c r="E33" s="4">
        <v>-1000</v>
      </c>
      <c r="F33" s="4" t="s">
        <v>115</v>
      </c>
      <c r="G33" s="4" t="s">
        <v>102</v>
      </c>
    </row>
    <row r="34" spans="1:7">
      <c r="A34" s="4" t="s">
        <v>101</v>
      </c>
      <c r="B34" s="4" t="s">
        <v>117</v>
      </c>
      <c r="C34" s="4" t="s">
        <v>317</v>
      </c>
      <c r="D34" s="4" t="s">
        <v>138</v>
      </c>
      <c r="E34" s="4">
        <v>1</v>
      </c>
      <c r="F34" s="4" t="s">
        <v>113</v>
      </c>
      <c r="G34" s="4" t="s">
        <v>114</v>
      </c>
    </row>
    <row r="35" spans="1:7">
      <c r="A35" s="4" t="s">
        <v>101</v>
      </c>
      <c r="B35" s="4" t="s">
        <v>272</v>
      </c>
      <c r="C35" s="4" t="s">
        <v>282</v>
      </c>
      <c r="D35" s="4" t="s">
        <v>308</v>
      </c>
      <c r="E35" s="4">
        <v>-1000</v>
      </c>
      <c r="F35" s="4" t="s">
        <v>115</v>
      </c>
      <c r="G35" s="4" t="s">
        <v>102</v>
      </c>
    </row>
    <row r="36" spans="1:7">
      <c r="A36" s="4" t="s">
        <v>101</v>
      </c>
      <c r="B36" s="4" t="s">
        <v>117</v>
      </c>
      <c r="C36" s="4" t="s">
        <v>318</v>
      </c>
      <c r="D36" s="4" t="s">
        <v>138</v>
      </c>
      <c r="E36" s="4">
        <v>1</v>
      </c>
      <c r="F36" s="4" t="s">
        <v>113</v>
      </c>
      <c r="G36" s="4" t="s">
        <v>114</v>
      </c>
    </row>
    <row r="37" spans="1:7">
      <c r="A37" s="4" t="s">
        <v>101</v>
      </c>
      <c r="B37" s="4" t="s">
        <v>272</v>
      </c>
      <c r="C37" s="4" t="s">
        <v>283</v>
      </c>
      <c r="D37" s="4" t="s">
        <v>310</v>
      </c>
      <c r="E37" s="4">
        <v>-1000</v>
      </c>
      <c r="F37" s="4" t="s">
        <v>115</v>
      </c>
      <c r="G37" s="4" t="s">
        <v>102</v>
      </c>
    </row>
    <row r="38" spans="1:7">
      <c r="A38" s="4" t="s">
        <v>101</v>
      </c>
      <c r="B38" s="4" t="s">
        <v>117</v>
      </c>
      <c r="C38" s="4" t="s">
        <v>319</v>
      </c>
      <c r="D38" s="4" t="s">
        <v>138</v>
      </c>
      <c r="E38" s="4">
        <v>1</v>
      </c>
      <c r="F38" s="4" t="s">
        <v>113</v>
      </c>
      <c r="G38" s="4" t="s">
        <v>114</v>
      </c>
    </row>
    <row r="39" spans="1:7">
      <c r="A39" s="4" t="s">
        <v>101</v>
      </c>
      <c r="B39" s="4" t="s">
        <v>272</v>
      </c>
      <c r="C39" s="4" t="s">
        <v>366</v>
      </c>
      <c r="D39" s="4" t="s">
        <v>390</v>
      </c>
      <c r="E39" s="4">
        <v>-1000</v>
      </c>
      <c r="F39" s="4" t="s">
        <v>115</v>
      </c>
      <c r="G39" s="4" t="s">
        <v>102</v>
      </c>
    </row>
    <row r="40" spans="1:7">
      <c r="A40" s="4" t="s">
        <v>101</v>
      </c>
      <c r="B40" s="4" t="s">
        <v>117</v>
      </c>
      <c r="C40" s="4" t="s">
        <v>320</v>
      </c>
      <c r="D40" s="4" t="s">
        <v>138</v>
      </c>
      <c r="E40" s="4">
        <v>1</v>
      </c>
      <c r="F40" s="4" t="s">
        <v>113</v>
      </c>
      <c r="G40" s="4" t="s">
        <v>114</v>
      </c>
    </row>
    <row r="41" spans="1:7">
      <c r="A41" s="4" t="s">
        <v>101</v>
      </c>
      <c r="B41" s="4" t="s">
        <v>272</v>
      </c>
      <c r="C41" s="4" t="s">
        <v>367</v>
      </c>
      <c r="D41" s="4" t="s">
        <v>391</v>
      </c>
      <c r="E41" s="4">
        <v>-1000</v>
      </c>
      <c r="F41" s="4" t="s">
        <v>115</v>
      </c>
      <c r="G41" s="4" t="s">
        <v>102</v>
      </c>
    </row>
    <row r="42" spans="1:7">
      <c r="A42" s="4" t="s">
        <v>101</v>
      </c>
      <c r="B42" s="4" t="s">
        <v>117</v>
      </c>
      <c r="C42" s="4" t="s">
        <v>321</v>
      </c>
      <c r="D42" s="4" t="s">
        <v>138</v>
      </c>
      <c r="E42" s="4">
        <v>1</v>
      </c>
      <c r="F42" s="4" t="s">
        <v>113</v>
      </c>
      <c r="G42" s="4" t="s">
        <v>114</v>
      </c>
    </row>
    <row r="43" spans="1:7">
      <c r="A43" s="4" t="s">
        <v>101</v>
      </c>
      <c r="B43" s="4" t="s">
        <v>272</v>
      </c>
      <c r="C43" s="4" t="s">
        <v>370</v>
      </c>
      <c r="D43" s="4" t="s">
        <v>392</v>
      </c>
      <c r="E43" s="4">
        <v>-1000</v>
      </c>
      <c r="F43" s="4" t="s">
        <v>115</v>
      </c>
      <c r="G43" s="4" t="s">
        <v>102</v>
      </c>
    </row>
    <row r="44" spans="1:7">
      <c r="A44" s="4" t="s">
        <v>101</v>
      </c>
      <c r="B44" s="4" t="s">
        <v>117</v>
      </c>
      <c r="C44" s="4" t="s">
        <v>322</v>
      </c>
      <c r="D44" s="4" t="s">
        <v>138</v>
      </c>
      <c r="E44" s="4">
        <v>1</v>
      </c>
      <c r="F44" s="4" t="s">
        <v>113</v>
      </c>
      <c r="G44" s="4" t="s">
        <v>114</v>
      </c>
    </row>
    <row r="45" spans="1:7">
      <c r="A45" s="4" t="s">
        <v>101</v>
      </c>
      <c r="B45" s="4" t="s">
        <v>272</v>
      </c>
      <c r="C45" s="4" t="s">
        <v>372</v>
      </c>
      <c r="D45" s="4" t="s">
        <v>393</v>
      </c>
      <c r="E45" s="4">
        <v>-1000</v>
      </c>
      <c r="F45" s="4" t="s">
        <v>115</v>
      </c>
      <c r="G45" s="4" t="s">
        <v>102</v>
      </c>
    </row>
    <row r="46" spans="1:7">
      <c r="A46" s="4" t="s">
        <v>101</v>
      </c>
      <c r="B46" s="4" t="s">
        <v>117</v>
      </c>
      <c r="C46" s="4" t="s">
        <v>323</v>
      </c>
      <c r="D46" s="4" t="s">
        <v>138</v>
      </c>
      <c r="E46" s="4">
        <v>1</v>
      </c>
      <c r="F46" s="4" t="s">
        <v>113</v>
      </c>
      <c r="G46" s="4" t="s">
        <v>114</v>
      </c>
    </row>
    <row r="47" spans="1:7">
      <c r="A47" s="4" t="s">
        <v>101</v>
      </c>
      <c r="B47" s="4" t="s">
        <v>272</v>
      </c>
      <c r="C47" s="4" t="s">
        <v>374</v>
      </c>
      <c r="D47" s="4" t="s">
        <v>394</v>
      </c>
      <c r="E47" s="4">
        <v>-1000</v>
      </c>
      <c r="F47" s="4" t="s">
        <v>115</v>
      </c>
      <c r="G47" s="4" t="s">
        <v>102</v>
      </c>
    </row>
    <row r="48" spans="1:7">
      <c r="A48" s="4" t="s">
        <v>101</v>
      </c>
      <c r="B48" s="4" t="s">
        <v>117</v>
      </c>
      <c r="C48" s="4" t="s">
        <v>324</v>
      </c>
      <c r="D48" s="4" t="s">
        <v>138</v>
      </c>
      <c r="E48" s="4">
        <v>1</v>
      </c>
      <c r="F48" s="4" t="s">
        <v>113</v>
      </c>
      <c r="G48" s="4" t="s">
        <v>114</v>
      </c>
    </row>
    <row r="49" spans="1:7">
      <c r="A49" s="4" t="s">
        <v>101</v>
      </c>
      <c r="B49" s="4" t="s">
        <v>272</v>
      </c>
      <c r="C49" s="4" t="s">
        <v>376</v>
      </c>
      <c r="D49" s="4" t="s">
        <v>395</v>
      </c>
      <c r="E49" s="4">
        <v>-1000</v>
      </c>
      <c r="F49" s="4" t="s">
        <v>115</v>
      </c>
      <c r="G49" s="4" t="s">
        <v>102</v>
      </c>
    </row>
    <row r="50" spans="1:7">
      <c r="A50" s="4" t="s">
        <v>101</v>
      </c>
      <c r="B50" s="4" t="s">
        <v>117</v>
      </c>
      <c r="C50" s="4" t="s">
        <v>325</v>
      </c>
      <c r="D50" s="4" t="s">
        <v>138</v>
      </c>
      <c r="E50" s="4">
        <v>1</v>
      </c>
      <c r="F50" s="4" t="s">
        <v>113</v>
      </c>
      <c r="G50" s="4" t="s">
        <v>114</v>
      </c>
    </row>
    <row r="51" spans="1:7">
      <c r="A51" s="4" t="s">
        <v>101</v>
      </c>
      <c r="B51" s="4" t="s">
        <v>273</v>
      </c>
      <c r="C51" s="4" t="s">
        <v>278</v>
      </c>
      <c r="D51" s="4" t="s">
        <v>300</v>
      </c>
      <c r="E51" s="4">
        <v>-1000</v>
      </c>
      <c r="F51" s="4" t="s">
        <v>115</v>
      </c>
      <c r="G51" s="4" t="s">
        <v>102</v>
      </c>
    </row>
    <row r="52" spans="1:7">
      <c r="A52" s="4" t="s">
        <v>101</v>
      </c>
      <c r="B52" s="4" t="s">
        <v>117</v>
      </c>
      <c r="C52" s="4" t="s">
        <v>396</v>
      </c>
      <c r="D52" s="4" t="s">
        <v>138</v>
      </c>
      <c r="E52" s="4">
        <v>1</v>
      </c>
      <c r="F52" s="4" t="s">
        <v>113</v>
      </c>
      <c r="G52" s="4" t="s">
        <v>114</v>
      </c>
    </row>
    <row r="53" spans="1:7">
      <c r="A53" s="4" t="s">
        <v>101</v>
      </c>
      <c r="B53" s="4" t="s">
        <v>273</v>
      </c>
      <c r="C53" s="4" t="s">
        <v>279</v>
      </c>
      <c r="D53" s="4" t="s">
        <v>302</v>
      </c>
      <c r="E53" s="4">
        <v>-1000</v>
      </c>
      <c r="F53" s="4" t="s">
        <v>115</v>
      </c>
      <c r="G53" s="4" t="s">
        <v>102</v>
      </c>
    </row>
    <row r="54" spans="1:7">
      <c r="A54" s="4" t="s">
        <v>101</v>
      </c>
      <c r="B54" s="4" t="s">
        <v>117</v>
      </c>
      <c r="C54" s="4" t="s">
        <v>397</v>
      </c>
      <c r="D54" s="4" t="s">
        <v>138</v>
      </c>
      <c r="E54" s="4">
        <v>1</v>
      </c>
      <c r="F54" s="4" t="s">
        <v>113</v>
      </c>
      <c r="G54" s="4" t="s">
        <v>114</v>
      </c>
    </row>
    <row r="55" spans="1:7">
      <c r="A55" s="4" t="s">
        <v>101</v>
      </c>
      <c r="B55" s="4" t="s">
        <v>273</v>
      </c>
      <c r="C55" s="4" t="s">
        <v>280</v>
      </c>
      <c r="D55" s="4" t="s">
        <v>304</v>
      </c>
      <c r="E55" s="4">
        <v>-1000</v>
      </c>
      <c r="F55" s="4" t="s">
        <v>115</v>
      </c>
      <c r="G55" s="4" t="s">
        <v>102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A026A253F9D34418D92E89FCD085A69" ma:contentTypeVersion="2" ma:contentTypeDescription="Create a new document." ma:contentTypeScope="" ma:versionID="077ff3975ed1236d1dc02c54ce8f1bde">
  <xsd:schema xmlns:xsd="http://www.w3.org/2001/XMLSchema" xmlns:xs="http://www.w3.org/2001/XMLSchema" xmlns:p="http://schemas.microsoft.com/office/2006/metadata/properties" xmlns:ns3="53472db5-b091-4940-916c-b6d0a452e361" targetNamespace="http://schemas.microsoft.com/office/2006/metadata/properties" ma:root="true" ma:fieldsID="e12b66e40a6a95a9b2c2f7b1ef847540" ns3:_="">
    <xsd:import namespace="53472db5-b091-4940-916c-b6d0a452e361"/>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72db5-b091-4940-916c-b6d0a452e3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B8CCBBC-73F1-477A-9F49-D95099D43D73}">
  <ds:schemaRefs>
    <ds:schemaRef ds:uri="http://schemas.microsoft.com/office/2006/documentManagement/types"/>
    <ds:schemaRef ds:uri="http://schemas.microsoft.com/office/2006/metadata/properties"/>
    <ds:schemaRef ds:uri="53472db5-b091-4940-916c-b6d0a452e361"/>
    <ds:schemaRef ds:uri="http://www.w3.org/XML/1998/namespace"/>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9327744A-843E-4B2C-839B-A9FB46A0F7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72db5-b091-4940-916c-b6d0a452e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08BB0FD-ED66-4DBA-BE0D-F534C30671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28</vt:i4>
      </vt:variant>
    </vt:vector>
  </HeadingPairs>
  <TitlesOfParts>
    <vt:vector size="36" baseType="lpstr">
      <vt:lpstr>Instructions</vt:lpstr>
      <vt:lpstr>Case Details</vt:lpstr>
      <vt:lpstr>Sales Data</vt:lpstr>
      <vt:lpstr>Commission Calculator 1</vt:lpstr>
      <vt:lpstr>Commission Calculator 2</vt:lpstr>
      <vt:lpstr>Team Commissions</vt:lpstr>
      <vt:lpstr>Timed Results</vt:lpstr>
      <vt:lpstr>Question Results</vt:lpstr>
      <vt:lpstr>activateCount</vt:lpstr>
      <vt:lpstr>AllCorrect</vt:lpstr>
      <vt:lpstr>Answer1</vt:lpstr>
      <vt:lpstr>Answer2</vt:lpstr>
      <vt:lpstr>Answer3</vt:lpstr>
      <vt:lpstr>Answer4</vt:lpstr>
      <vt:lpstr>Answer5</vt:lpstr>
      <vt:lpstr>Answer6</vt:lpstr>
      <vt:lpstr>CurrentScore</vt:lpstr>
      <vt:lpstr>elapsedTime</vt:lpstr>
      <vt:lpstr>endTime</vt:lpstr>
      <vt:lpstr>FileName</vt:lpstr>
      <vt:lpstr>isGameOn</vt:lpstr>
      <vt:lpstr>lastTime</vt:lpstr>
      <vt:lpstr>liveVersion</vt:lpstr>
      <vt:lpstr>mouseMovements</vt:lpstr>
      <vt:lpstr>NumAnswers</vt:lpstr>
      <vt:lpstr>NumberExercises</vt:lpstr>
      <vt:lpstr>numRandomValues</vt:lpstr>
      <vt:lpstr>NumScenarios</vt:lpstr>
      <vt:lpstr>numToProtect</vt:lpstr>
      <vt:lpstr>RandomMethod</vt:lpstr>
      <vt:lpstr>RandomScenarioNumber</vt:lpstr>
      <vt:lpstr>ScenarioUpdate</vt:lpstr>
      <vt:lpstr>startTime</vt:lpstr>
      <vt:lpstr>totalTime</vt:lpstr>
      <vt:lpstr>xPosition</vt:lpstr>
      <vt:lpstr>yPosition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David Brown</cp:lastModifiedBy>
  <dcterms:created xsi:type="dcterms:W3CDTF">2020-11-11T17:31:16Z</dcterms:created>
  <dcterms:modified xsi:type="dcterms:W3CDTF">2023-06-13T17:27:33Z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0x010100AA026A253F9D34418D92E89FCD085A69</vt:lpwstr>
  </property>
</Properties>
</file>