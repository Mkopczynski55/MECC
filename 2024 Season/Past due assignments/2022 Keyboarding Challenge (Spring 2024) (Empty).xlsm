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5601" codeName="{AE6600E7-7A62-396C-DE95-9942FA9DD81E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dcb\Google Drive\UofA Documents\Financial Modeling Competition\Fall 2022\Training Grounds Models\"/>
    </mc:Choice>
  </mc:AlternateContent>
  <xr:revisionPtr revIDLastSave="0" documentId="8_{1E97F7EA-8D92-49B1-AA18-03E2440D4810}" xr6:coauthVersionLast="47" xr6:coauthVersionMax="47" xr10:uidLastSave="{00000000-0000-0000-0000-000000000000}"/>
  <x:bookViews>
    <x:workbookView xWindow="57480" yWindow="-120" windowWidth="38640" windowHeight="16440" tabRatio="753" xr2:uid="{44726D66-EC9A-40E9-A5CD-560EDBDBA120}"/>
  </x:bookViews>
  <x:sheets>
    <x:sheet name="Instructions" sheetId="9" r:id="rId1"/>
    <x:sheet name="Keyboarding Challenge" sheetId="19" state="hidden" r:id="rId2"/>
    <x:sheet name="Results" sheetId="11" r:id="rId3"/>
    <x:sheet name="BackgroundCalcs" sheetId="10" state="hidden" r:id="rId4"/>
    <x:sheet name="Output" sheetId="12" state="veryHidden" r:id="rId5"/>
    <x:sheet name="Grading" sheetId="18" state="hidden" r:id="rId6"/>
  </x:sheets>
  <x:functionGroups builtInGroupCount="19"/>
  <x:externalReferences>
    <x:externalReference r:id="rId7"/>
    <x:externalReference r:id="rId8"/>
    <x:externalReference r:id="rId9"/>
    <x:externalReference r:id="rId10"/>
    <x:externalReference r:id="rId11"/>
    <x:externalReference r:id="rId12"/>
    <x:externalReference r:id="rId13"/>
    <x:externalReference r:id="rId14"/>
  </x:externalReferences>
  <x:definedNames>
    <x:definedName name="activateCount">BackgroundCalcs!$G$23</x:definedName>
    <x:definedName name="AllCorrect">BackgroundCalcs!$F$8</x:definedName>
    <x: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x:definedName>
    <x:definedName name="Answer1">BackgroundCalcs!$R$2</x:definedName>
    <x:definedName name="Answer2">BackgroundCalcs!$R$3</x:definedName>
    <x:definedName name="Answer3">BackgroundCalcs!$R$4</x:definedName>
    <x:definedName name="Answer4">BackgroundCalcs!$R$5</x:definedName>
    <x:definedName name="Answer5">BackgroundCalcs!$R$6</x:definedName>
    <x:definedName name="Answer6">BackgroundCalcs!$R$7</x:definedName>
    <x:definedName name="cellNames">BackgroundCalcs!$Q$2:$Q$34</x:definedName>
    <x:definedName name="cellsInFirst" localSheetId="5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x:definedName>
    <x:definedName name="cellsInFirst">#REF!,#REF!,#REF!,#REF!,#REF!,#REF!,#REF!,#REF!,#REF!,#REF!,#REF!,#REF!</x:definedName>
    <x:definedName name="cellsInSecond" localSheetId="5">[2]Second!$A$1:$H$1,[2]Second!$H$1:$H$26,[2]Second!$H$26:$M$26,[2]Second!$M$26:$M$33,[2]Second!$C$33:$M$33,[2]Second!$C$24:$C$33</x:definedName>
    <x:definedName name="cellsInSecond">#REF!,#REF!,#REF!,#REF!,#REF!,#REF!,#REF!,#REF!,#REF!,#REF!,#REF!,#REF!,#REF!,#REF!,#REF!,#REF!,#REF!,#REF!,#REF!,#REF!</x:definedName>
    <x:definedName name="CheckRange1">BackgroundCalcs!$T$2</x:definedName>
    <x:definedName name="CheckRange2">BackgroundCalcs!$T$3</x:definedName>
    <x:definedName name="CheckRange3">BackgroundCalcs!$T$4</x:definedName>
    <x:definedName name="CheckRange4">BackgroundCalcs!$T$5</x:definedName>
    <x:definedName name="CheckRange5">BackgroundCalcs!$T$6</x:definedName>
    <x:definedName name="CheckRange6">BackgroundCalcs!$T$7</x:definedName>
    <x:definedName name="CurrentSum" localSheetId="5">[3]BackgroundCalcs!$F$20</x:definedName>
    <x:definedName name="CurrentSum">[4]BackgroundCalcs!$F$20</x:definedName>
    <x:definedName name="CurrentTarget" localSheetId="5">[3]BackgroundCalcs!$F$17</x:definedName>
    <x:definedName name="CurrentTarget">[4]BackgroundCalcs!$F$17</x:definedName>
    <x:definedName name="CurrentTargetSum" localSheetId="5">[3]BackgroundCalcs!$G$17</x:definedName>
    <x:definedName name="CurrentTargetSum">[4]BackgroundCalcs!$G$17</x:definedName>
    <x:definedName name="eight">#REF!</x:definedName>
    <x:definedName name="eighth">'Keyboarding Challenge'!$BB$10</x:definedName>
    <x:definedName name="elapsedTime">BackgroundCalcs!$G$5</x:definedName>
    <x:definedName name="eleventh">'Keyboarding Challenge'!$BR$18</x:definedName>
    <x:definedName name="EmptyCell">BackgroundCalcs!$D$50</x:definedName>
    <x:definedName name="endTime" localSheetId="5">[2]calc!$H$3</x:definedName>
    <x:definedName name="endTime">BackgroundCalcs!$G$2</x:definedName>
    <x:definedName name="fifteenth">'Keyboarding Challenge'!$CA$18</x:definedName>
    <x:definedName name="fifth">'Keyboarding Challenge'!$AJ$20</x:definedName>
    <x:definedName name="FileName">[5]BackgroundCalcs!$B$2</x:definedName>
    <x:definedName name="finish1">#REF!</x:definedName>
    <x:definedName name="finish2">#REF!</x:definedName>
    <x:definedName name="first">'Keyboarding Challenge'!$K$11</x:definedName>
    <x:definedName name="firstVisited">BackgroundCalcs!$R$2:$R$34</x:definedName>
    <x:definedName name="five">#REF!</x:definedName>
    <x:definedName name="four">#REF!</x:definedName>
    <x:definedName name="four_2">#REF!</x:definedName>
    <x:definedName name="fourteenth">'Keyboarding Challenge'!$BY$18</x:definedName>
    <x:definedName name="fourth">'Keyboarding Challenge'!$AC$7</x:definedName>
    <x:definedName name="instructionsOn">BackgroundCalcs!$F$46</x:definedName>
    <x:definedName name="Invalid2">BackgroundCalcs!$S$3</x:definedName>
    <x:definedName name="Invalid3">BackgroundCalcs!$S$4</x:definedName>
    <x:definedName name="Invalid4">BackgroundCalcs!$S$5</x:definedName>
    <x:definedName name="Invalid5">BackgroundCalcs!$S$6</x:definedName>
    <x:definedName name="Invalid6">BackgroundCalcs!$S$7</x:definedName>
    <x:definedName name="isGameOn">BackgroundCalcs!$F$5</x:definedName>
    <x:definedName name="lastTime">BackgroundCalcs!$G$26</x:definedName>
    <x:definedName name="liveVersion">BackgroundCalcs!$F$26</x:definedName>
    <x:definedName name="lstVisited" localSheetId="5">[2]calc!$D$4:$D$21</x:definedName>
    <x:definedName name="lstVisited">[6]calc!$D$4:$D$21</x:definedName>
    <x:definedName name="macOn">BackgroundCalcs!$F$52</x:definedName>
    <x:definedName name="mouseMovements">BackgroundCalcs!$F$14</x:definedName>
    <x:definedName name="n">'[7]Dynamic Ranges and Charts'!$D$30</x:definedName>
    <x:definedName name="name" localSheetId="5">#REF!</x:definedName>
    <x:definedName name="name">#REF!</x:definedName>
    <x:definedName name="nine">#REF!</x:definedName>
    <x:definedName name="ninth">'Keyboarding Challenge'!$BF$14</x:definedName>
    <x:definedName name="NumberExercises">[5]BackgroundCalcs!$B$17</x:definedName>
    <x:definedName name="numCorrect">BackgroundCalcs!$G$16</x:definedName>
    <x:definedName name="NumExercises" localSheetId="5">[3]BackgroundCalcs!$D$14</x:definedName>
    <x:definedName name="NumExercises">BackgroundCalcs!$D$14</x:definedName>
    <x:definedName name="numProtectedCells">BackgroundCalcs!$D$17</x:definedName>
    <x:definedName name="numRandomValues">BackgroundCalcs!$D$20</x:definedName>
    <x:definedName name="oldEndTime">[6]calc!$H$3</x:definedName>
    <x:definedName name="oldStartTime">[6]calc!$G$3</x:definedName>
    <x:definedName name="one">#REF!</x:definedName>
    <x:definedName name="one_2">#REF!</x:definedName>
    <x:definedName name="OverrideSave">BackgroundCalcs!$D$2</x:definedName>
    <x:definedName name="passwordOn">BackgroundCalcs!$G$8</x:definedName>
    <x:definedName name="pcOn">BackgroundCalcs!$F$49</x:definedName>
    <x:definedName name="pCount">[2]calc!$F$3</x:definedName>
    <x:definedName name="pCountNew" localSheetId="5">[1]BackgroundCalcs!$S$2</x:definedName>
    <x:definedName name="pCountNew">BackgroundCalcs!$S$2</x:definedName>
    <x:definedName name="RandomMethod">[5]BackgroundCalcs!$B$5</x:definedName>
    <x:definedName name="RandomScenarioNumber">[5]BackgroundCalcs!$B$8</x:definedName>
    <x:definedName name="range1">#REF!</x:definedName>
    <x:definedName name="range2">#REF!</x:definedName>
    <x:definedName name="range3">#REF!</x:definedName>
    <x:definedName name="range4">#REF!</x:definedName>
    <x:definedName name="second">'Keyboarding Challenge'!$Q$11</x:definedName>
    <x:definedName name="seven">#REF!</x:definedName>
    <x:definedName name="seventeenth">'Keyboarding Challenge'!$CR$8</x:definedName>
    <x:definedName name="seventh">'Keyboarding Challenge'!$BA$10</x:definedName>
    <x:definedName name="SheetNameRange">BackgroundCalcs!$I$2:$I$11</x:definedName>
    <x:definedName name="six" localSheetId="5">'[1]Keyboard Warm Up 1'!#REF!</x:definedName>
    <x:definedName name="six">#REF!</x:definedName>
    <x:definedName name="sixteenth">'Keyboarding Challenge'!$CC$18</x:definedName>
    <x:definedName name="sixth">'Keyboarding Challenge'!$AU$20</x:definedName>
    <x:definedName name="SpreadsheetName" localSheetId="5">[3]BackgroundCalcs!$D$5</x:definedName>
    <x:definedName name="SpreadsheetName">BackgroundCalcs!$D$5</x:definedName>
    <x:definedName name="start2">#REF!</x:definedName>
    <x:definedName name="startTime" localSheetId="5">[2]calc!$G$3</x:definedName>
    <x:definedName name="startTime">BackgroundCalcs!$F$2</x:definedName>
    <x:definedName name="StudentIDCell" localSheetId="5">[3]BackgroundCalcs!$D$8</x:definedName>
    <x:definedName name="StudentIDCell">BackgroundCalcs!$D$8</x:definedName>
    <x:definedName name="StudentNameCell" localSheetId="5">[3]BackgroundCalcs!$D$11</x:definedName>
    <x:definedName name="StudentNameCell">BackgroundCalcs!$D$11</x:definedName>
    <x:definedName name="Tab1Answer">BackgroundCalcs!$K$2</x:definedName>
    <x:definedName name="Tab1ClearRange">BackgroundCalcs!$L$2</x:definedName>
    <x:definedName name="Tab1Name">BackgroundCalcs!$I$2</x:definedName>
    <x:definedName name="Tab1Start">BackgroundCalcs!$J$2</x:definedName>
    <x:definedName name="ten" localSheetId="5">'[1]Keyboard Warm Up 1'!#REF!</x:definedName>
    <x:definedName name="ten">#REF!</x:definedName>
    <x:definedName name="tenth">'Keyboarding Challenge'!$BP$18</x:definedName>
    <x:definedName name="third">'Keyboarding Challenge'!$V$7</x:definedName>
    <x:definedName name="thirteenth">'Keyboarding Challenge'!$BW$18</x:definedName>
    <x:definedName name="three">#REF!</x:definedName>
    <x:definedName name="three_2">#REF!</x:definedName>
    <x:definedName name="timeElapsed" localSheetId="5">[2]calc!$G$6</x:definedName>
    <x:definedName name="timeElapsed">[6]calc!$G$6</x:definedName>
    <x:definedName name="totalTime" localSheetId="5">[4]BackgroundCalcs!$F$29</x:definedName>
    <x:definedName name="totalTime">BackgroundCalcs!$F$29</x:definedName>
    <x:definedName name="Track">BackgroundCalcs!$D$51</x:definedName>
    <x:definedName name="twelveth">'Keyboarding Challenge'!$BT$18</x:definedName>
    <x:definedName name="two">#REF!</x:definedName>
    <x:definedName name="two_2">#REF!</x:definedName>
    <x:definedName name="valDuration">[2]calc!$G$7</x:definedName>
    <x:definedName name="Valid1" localSheetId="5">[3]BackgroundCalcs!#REF!</x:definedName>
    <x:definedName name="Valid1">BackgroundCalcs!#REF!</x:definedName>
    <x:definedName name="ValidationCode">[8]calc!$B$11</x:definedName>
    <x:definedName name="xPosition">BackgroundCalcs!$F$11</x:definedName>
    <x:definedName name="yPosition">BackgroundCalcs!$G$11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calcChain xmlns="http://schemas.openxmlformats.org/spreadsheetml/2006/main">
  <c r="BB10" i="19" l="1"/>
  <c r="BA10" i="19"/>
  <c r="AU20" i="19"/>
  <c r="AJ20" i="19"/>
  <c r="AC7" i="19"/>
  <c r="V7" i="19"/>
  <c r="W7" i="19"/>
  <c r="X7" i="19"/>
  <c r="Y7" i="19"/>
  <c r="Z7" i="19"/>
  <c r="AA7" i="19"/>
  <c r="AB7" i="19"/>
  <c r="Q11" i="19"/>
  <c r="K11" i="19"/>
  <c r="D7" i="11" l="1"/>
  <c r="AB8" i="10"/>
  <c r="W8" i="10" s="1"/>
  <c r="Z8" i="10" s="1"/>
  <c r="AB6" i="10"/>
  <c r="W6" i="10" s="1"/>
  <c r="Z6" i="10" s="1"/>
  <c r="AB2" i="10"/>
  <c r="W2" i="10" s="1"/>
  <c r="E16" i="11"/>
  <c r="D65" i="10" s="1"/>
  <c r="C7" i="11" s="1"/>
  <c r="T2" i="10"/>
  <c r="BJ20" i="19"/>
  <c r="W11" i="10"/>
  <c r="Z11" i="10" s="1"/>
  <c r="AB7" i="10"/>
  <c r="W7" i="10" s="1"/>
  <c r="Z7" i="10" s="1"/>
  <c r="AB3" i="10"/>
  <c r="W3" i="10" s="1"/>
  <c r="Z3" i="10" s="1"/>
  <c r="W18" i="10"/>
  <c r="Z18" i="10" s="1"/>
  <c r="W17" i="10"/>
  <c r="Z17" i="10" s="1"/>
  <c r="W16" i="10"/>
  <c r="Z16" i="10" s="1"/>
  <c r="W15" i="10"/>
  <c r="Z15" i="10" s="1"/>
  <c r="W14" i="10"/>
  <c r="Z14" i="10" s="1"/>
  <c r="W13" i="10"/>
  <c r="Z13" i="10" s="1"/>
  <c r="W12" i="10"/>
  <c r="Z12" i="10" s="1"/>
  <c r="V2" i="10" a="1"/>
  <c r="V2" i="10" s="1"/>
  <c r="CY20" i="19"/>
  <c r="CX20" i="19"/>
  <c r="CW20" i="19"/>
  <c r="CV20" i="19"/>
  <c r="CU20" i="19"/>
  <c r="CF20" i="19"/>
  <c r="CE20" i="19"/>
  <c r="CD20" i="19"/>
  <c r="CC20" i="19"/>
  <c r="BP20" i="19"/>
  <c r="BO20" i="19"/>
  <c r="BN20" i="19"/>
  <c r="BM20" i="19"/>
  <c r="BL20" i="19"/>
  <c r="BK20" i="19"/>
  <c r="BC20" i="19"/>
  <c r="BB20" i="19"/>
  <c r="BA20" i="19"/>
  <c r="AZ20" i="19"/>
  <c r="AY20" i="19"/>
  <c r="AX20" i="19"/>
  <c r="AW20" i="19"/>
  <c r="AV20" i="19"/>
  <c r="AT20" i="19"/>
  <c r="AS20" i="19"/>
  <c r="AR20" i="19"/>
  <c r="AQ20" i="19"/>
  <c r="AP20" i="19"/>
  <c r="AO20" i="19"/>
  <c r="AN20" i="19"/>
  <c r="AM20" i="19"/>
  <c r="AL20" i="19"/>
  <c r="AK20" i="19"/>
  <c r="AI20" i="19"/>
  <c r="AH20" i="19"/>
  <c r="AG20" i="19"/>
  <c r="AF20" i="19"/>
  <c r="AE20" i="19"/>
  <c r="AD20" i="19"/>
  <c r="AC20" i="19"/>
  <c r="CF19" i="19"/>
  <c r="CC19" i="19"/>
  <c r="BP19" i="19"/>
  <c r="BD19" i="19"/>
  <c r="BC19" i="19"/>
  <c r="BA19" i="19"/>
  <c r="AU19" i="19"/>
  <c r="AC19" i="19"/>
  <c r="CF18" i="19"/>
  <c r="CC18" i="19"/>
  <c r="CB18" i="19"/>
  <c r="CA18" i="19"/>
  <c r="BZ18" i="19"/>
  <c r="BY18" i="19"/>
  <c r="BX18" i="19"/>
  <c r="BW18" i="19"/>
  <c r="BV18" i="19"/>
  <c r="BU18" i="19"/>
  <c r="BS18" i="19"/>
  <c r="BQ18" i="19"/>
  <c r="BE18" i="19"/>
  <c r="BD18" i="19"/>
  <c r="BA18" i="19"/>
  <c r="AU18" i="19"/>
  <c r="AC18" i="19"/>
  <c r="CI17" i="19"/>
  <c r="CH17" i="19"/>
  <c r="CG17" i="19"/>
  <c r="CF17" i="19"/>
  <c r="BF17" i="19"/>
  <c r="BE17" i="19"/>
  <c r="BA17" i="19"/>
  <c r="AU17" i="19"/>
  <c r="AC17" i="19"/>
  <c r="CI16" i="19"/>
  <c r="BF16" i="19"/>
  <c r="BA16" i="19"/>
  <c r="AU16" i="19"/>
  <c r="AC16" i="19"/>
  <c r="CI15" i="19"/>
  <c r="BF15" i="19"/>
  <c r="AC15" i="19"/>
  <c r="CL14" i="19"/>
  <c r="CK14" i="19"/>
  <c r="CJ14" i="19"/>
  <c r="CI14" i="19"/>
  <c r="BG14" i="19"/>
  <c r="AC14" i="19"/>
  <c r="CL13" i="19"/>
  <c r="AC13" i="19"/>
  <c r="G13" i="19"/>
  <c r="F13" i="19"/>
  <c r="E13" i="19"/>
  <c r="D13" i="19"/>
  <c r="C13" i="19"/>
  <c r="CL12" i="19"/>
  <c r="AC12" i="19"/>
  <c r="H12" i="19"/>
  <c r="G12" i="19"/>
  <c r="CO11" i="19"/>
  <c r="CN11" i="19"/>
  <c r="CM11" i="19"/>
  <c r="CL11" i="19"/>
  <c r="AC11" i="19"/>
  <c r="V11" i="19"/>
  <c r="P11" i="19"/>
  <c r="O11" i="19"/>
  <c r="N11" i="19"/>
  <c r="M11" i="19"/>
  <c r="L11" i="19"/>
  <c r="J11" i="19"/>
  <c r="I11" i="19"/>
  <c r="H11" i="19"/>
  <c r="CO10" i="19"/>
  <c r="AC10" i="19"/>
  <c r="V10" i="19"/>
  <c r="CO9" i="19"/>
  <c r="AC9" i="19"/>
  <c r="V9" i="19"/>
  <c r="CR8" i="19"/>
  <c r="CQ8" i="19"/>
  <c r="CP8" i="19"/>
  <c r="CO8" i="19"/>
  <c r="AC8" i="19"/>
  <c r="V8" i="19"/>
  <c r="G29" i="10"/>
  <c r="D2" i="12" s="1"/>
  <c r="B8" i="9"/>
  <c r="AF2" i="10" a="1"/>
  <c r="AE17" i="10" a="1"/>
  <c r="AF16" i="10" a="1"/>
  <c r="AE10" i="10" a="1"/>
  <c r="AF4" i="10" a="1"/>
  <c r="AE2" i="10" a="1"/>
  <c r="AF14" i="10" a="1"/>
  <c r="AF10" i="10" a="1"/>
  <c r="AF11" i="10" a="1"/>
  <c r="AE4" i="10" a="1"/>
  <c r="AF18" i="10" a="1"/>
  <c r="AE7" i="10" a="1"/>
  <c r="AE15" i="10" a="1"/>
  <c r="AF5" i="10" a="1"/>
  <c r="AE16" i="10" a="1"/>
  <c r="AF3" i="10" a="1"/>
  <c r="AE5" i="10" a="1"/>
  <c r="AE8" i="10" a="1"/>
  <c r="AF13" i="10" a="1"/>
  <c r="AE9" i="10" a="1"/>
  <c r="AF9" i="10" a="1"/>
  <c r="AE12" i="10" a="1"/>
  <c r="AE11" i="10" a="1"/>
  <c r="AE6" i="10" a="1"/>
  <c r="AF6" i="10" a="1"/>
  <c r="AF7" i="10" a="1"/>
  <c r="AE14" i="10" a="1"/>
  <c r="AE18" i="10" a="1"/>
  <c r="AF12" i="10" a="1"/>
  <c r="AF17" i="10" a="1"/>
  <c r="AF15" i="10" a="1"/>
  <c r="AE3" i="10" a="1"/>
  <c r="AE13" i="10" a="1"/>
  <c r="AF8" i="10" a="1"/>
  <c r="D55" i="10" l="1"/>
  <c r="D56" i="10" s="1"/>
  <c r="C2" i="12"/>
  <c r="D69" i="10"/>
  <c r="D16" i="11"/>
  <c r="B2" i="12" s="1"/>
  <c r="C16" i="11"/>
  <c r="A2" i="12" s="1"/>
  <c r="AB9" i="10"/>
  <c r="W9" i="10" s="1"/>
  <c r="Z9" i="10" s="1"/>
  <c r="BG20" i="19"/>
  <c r="BH20" i="19"/>
  <c r="BI20" i="19"/>
  <c r="Z2" i="10"/>
  <c r="AB4" i="10"/>
  <c r="W4" i="10" s="1"/>
  <c r="Z4" i="10" s="1"/>
  <c r="AB5" i="10"/>
  <c r="W5" i="10" s="1"/>
  <c r="Z5" i="10" s="1"/>
  <c r="AF2" i="10"/>
  <c r="AE8" i="10"/>
  <c r="AF14" i="10"/>
  <c r="AE17" i="10"/>
  <c r="AE7" i="10"/>
  <c r="AF9" i="10"/>
  <c r="AE6" i="10"/>
  <c r="AF8" i="10"/>
  <c r="AE12" i="10"/>
  <c r="AF13" i="10"/>
  <c r="AE16" i="10"/>
  <c r="AF17" i="10"/>
  <c r="AE5" i="10"/>
  <c r="AF7" i="10"/>
  <c r="AE11" i="10"/>
  <c r="AF16" i="10"/>
  <c r="AF5" i="10"/>
  <c r="AE2" i="10"/>
  <c r="AE10" i="10"/>
  <c r="AF11" i="10"/>
  <c r="AE14" i="10"/>
  <c r="AF15" i="10"/>
  <c r="AE18" i="10"/>
  <c r="AF10" i="10"/>
  <c r="AE13" i="10"/>
  <c r="AF18" i="10"/>
  <c r="AE4" i="10"/>
  <c r="AF6" i="10"/>
  <c r="AF12" i="10"/>
  <c r="AE15" i="10"/>
  <c r="AE3" i="10"/>
  <c r="AF4" i="10"/>
  <c r="AF3" i="10"/>
  <c r="AE9" i="10"/>
  <c r="B5" i="11" l="1"/>
  <c r="AB10" i="10"/>
  <c r="W10" i="10" s="1"/>
  <c r="G16" i="10" s="1"/>
  <c r="D37" i="10"/>
  <c r="D36" i="10"/>
  <c r="Z10" i="10" l="1"/>
  <c r="F8" i="10"/>
  <c r="B2" i="11" l="1"/>
  <c r="G5" i="10" l="1"/>
  <c r="B16" i="11" l="1"/>
  <c r="D20" i="10" l="1"/>
  <c r="D17" i="10" l="1"/>
  <c r="D14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<sst xmlns="http://schemas.openxmlformats.org/spreadsheetml/2006/main" count="1356" uniqueCount="146">
  <si>
    <t>Name</t>
  </si>
  <si>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</si>
  <si>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</si>
  <si>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</si>
  <si>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</si>
  <si>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</si>
  <si>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</si>
  <si>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</si>
  <si>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</si>
  <si>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</si>
  <si>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</si>
  <si>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</si>
  <si>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</si>
  <si>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Auto Name when Saving?</t>
  </si>
  <si>
    <t>Number of Random Values</t>
  </si>
  <si>
    <t>Current Result:</t>
  </si>
  <si>
    <t>Date and Time</t>
  </si>
  <si>
    <t>All Correct?</t>
  </si>
  <si>
    <t>Results</t>
  </si>
  <si>
    <t>A1:G141</t>
  </si>
  <si>
    <t>Instructions:</t>
  </si>
  <si>
    <t>No</t>
  </si>
  <si>
    <t>Instructions</t>
  </si>
  <si>
    <t>Password On?</t>
  </si>
  <si>
    <t>A1:F30</t>
  </si>
  <si>
    <t>select me!</t>
  </si>
  <si>
    <t>first</t>
  </si>
  <si>
    <t>second</t>
  </si>
  <si>
    <t>third</t>
  </si>
  <si>
    <t>fourth</t>
  </si>
  <si>
    <t>fifth</t>
  </si>
  <si>
    <t>sixth</t>
  </si>
  <si>
    <t>seventh</t>
  </si>
  <si>
    <t>eighth</t>
  </si>
  <si>
    <t>ninth</t>
  </si>
  <si>
    <t>tenth</t>
  </si>
  <si>
    <t>Visited?</t>
  </si>
  <si>
    <t>Penalty count</t>
  </si>
  <si>
    <t>Penalty Count</t>
  </si>
  <si>
    <t>Total Penalty</t>
  </si>
  <si>
    <t>Indirect Name and ID</t>
  </si>
  <si>
    <t>Total Time</t>
  </si>
  <si>
    <t>Spreadsheet Activations</t>
  </si>
  <si>
    <t>Live Version?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</si>
  <si>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</si>
  <si>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</si>
  <si>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</si>
  <si>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</si>
  <si>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</si>
  <si>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</si>
  <si>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</si>
  <si>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</si>
  <si>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</si>
  <si>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</si>
  <si>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A2</t>
  </si>
  <si>
    <t>Value OR Value(Blank) OR Value()</t>
  </si>
  <si>
    <t>Not Graded</t>
  </si>
  <si>
    <t>-------</t>
  </si>
  <si>
    <t>x</t>
  </si>
  <si>
    <t>START</t>
  </si>
  <si>
    <t>FINISH</t>
  </si>
  <si>
    <t>Keyboarding Challenge</t>
  </si>
  <si>
    <t>Controls:</t>
  </si>
  <si>
    <t>Yes</t>
  </si>
  <si>
    <t>Instuctions On?</t>
  </si>
  <si>
    <t>PC Keyboard Hints On?</t>
  </si>
  <si>
    <t>Mac Keyboard Hints On?</t>
  </si>
  <si>
    <t>Instructions On?</t>
  </si>
  <si>
    <t>Button Options</t>
  </si>
  <si>
    <t>Checkpoint</t>
  </si>
  <si>
    <t>Achieved?</t>
  </si>
  <si>
    <t>Hidden?</t>
  </si>
  <si>
    <t>Unhide</t>
  </si>
  <si>
    <t>Answer</t>
  </si>
  <si>
    <t>Value</t>
  </si>
  <si>
    <t>UNHIDE</t>
  </si>
  <si>
    <t>L</t>
  </si>
  <si>
    <t>U</t>
  </si>
  <si>
    <t>V</t>
  </si>
  <si>
    <t>AB</t>
  </si>
  <si>
    <t>AC</t>
  </si>
  <si>
    <t>AD</t>
  </si>
  <si>
    <t>AJ</t>
  </si>
  <si>
    <t>AK</t>
  </si>
  <si>
    <t>AU</t>
  </si>
  <si>
    <t>AV</t>
  </si>
  <si>
    <t>BA</t>
  </si>
  <si>
    <t>BB</t>
  </si>
  <si>
    <t>BC</t>
  </si>
  <si>
    <t>BN</t>
  </si>
  <si>
    <t>BO</t>
  </si>
  <si>
    <t>BQ</t>
  </si>
  <si>
    <t>BR</t>
  </si>
  <si>
    <t>BS</t>
  </si>
  <si>
    <t>BT</t>
  </si>
  <si>
    <t>BU</t>
  </si>
  <si>
    <t>BW</t>
  </si>
  <si>
    <t>BX</t>
  </si>
  <si>
    <t>BY</t>
  </si>
  <si>
    <t>BZ</t>
  </si>
  <si>
    <t>CA</t>
  </si>
  <si>
    <t>CB</t>
  </si>
  <si>
    <t>CC</t>
  </si>
  <si>
    <t>CD</t>
  </si>
  <si>
    <t>CV</t>
  </si>
  <si>
    <t>CW</t>
  </si>
  <si>
    <t>CZ</t>
  </si>
  <si>
    <t>PC Hints On?</t>
  </si>
  <si>
    <t>Mac Hints On?</t>
  </si>
  <si>
    <t>thirteenth</t>
  </si>
  <si>
    <t>fourteenth</t>
  </si>
  <si>
    <t>fifteenth</t>
  </si>
  <si>
    <t>sixteenth</t>
  </si>
  <si>
    <t>seventeenth</t>
  </si>
  <si>
    <t>eleventh</t>
  </si>
  <si>
    <t>twelveth</t>
  </si>
  <si>
    <t>B13</t>
  </si>
  <si>
    <t>A1</t>
  </si>
  <si>
    <t>Cell Types</t>
  </si>
  <si>
    <t>XXXXX</t>
  </si>
  <si>
    <t>Time Elapsed</t>
  </si>
  <si>
    <t>Best Result:</t>
  </si>
  <si>
    <t>All Results:</t>
  </si>
  <si>
    <t>Stay on the path (any cells with values)! Each step off the path adds 10 seconds to your time.</t>
  </si>
  <si>
    <t>Repeat as many times as you would like to improve your time - only your best time counts!</t>
  </si>
  <si>
    <r>
      <t xml:space="preserve">To begin, press the Start button. You will then keyboard to each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cell to complete a task.</t>
    </r>
  </si>
  <si>
    <t>Use the drop down menus below to enable task instructions and keyboard shortcut hints.</t>
  </si>
  <si>
    <t>The instructions and hints will slow you down, so turn them off when you are ready to go fast!</t>
  </si>
  <si>
    <t xml:space="preserve">To improve your speed, and prevent leaving the path, it is strongly suggested that you change </t>
  </si>
  <si>
    <t>your settings so that the cursor does not move down when you hit enter. To do so, go to options</t>
  </si>
  <si>
    <t>and then advanced and uncheck "After pressing enter, move selection"</t>
  </si>
  <si>
    <t>When you complete all the tasks correctly, your total time will be recorded.</t>
  </si>
  <si>
    <t>Best Total Time</t>
  </si>
  <si>
    <t>Best Time Elapsed</t>
  </si>
  <si>
    <t>Best Penalty Count</t>
  </si>
  <si>
    <t>Total Time in Spreadsheet</t>
  </si>
  <si>
    <t>Share your best result!</t>
  </si>
  <si>
    <t>MECC Keyboarding Challenge</t>
  </si>
  <si>
    <t>For shortcuts, you may have to use the Function key with F1, F2, etc. depending on your keyboard settings.</t>
  </si>
  <si>
    <t>https://www.linkedin.com/sharing/share-offsite/?url=https://www.fmworldcup.com/microsoft-excel-collegiate-challenge/</t>
  </si>
  <si>
    <t>https://www.fmworldcup.com/microsoft-excel-collegiate-challenge/</t>
  </si>
  <si>
    <t>http://www.facebook.com/sharer.php?u=http%3A%2F%2Fchandoo.org%2Fwp%2F2012%2F08%2F10%2Fexcel-hurdles%2F&amp;t=I%20finished%20Excel%20Hurdle%20challenge%20in%20$$%20seconds.</t>
  </si>
  <si>
    <t>Case Author: David Brown</t>
  </si>
  <si>
    <t>NumCorrect</t>
  </si>
  <si>
    <t>https://youtu.be/-B6AH9k8OgE</t>
  </si>
  <si>
    <t>For additional instructions and a video walkthrough, go to:</t>
  </si>
</sst>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3">
    <x:numFmt numFmtId="6" formatCode="&quot;$&quot;#,##0_);[Red]\(&quot;$&quot;#,##0\)"/>
    <x:numFmt numFmtId="8" formatCode="&quot;$&quot;#,##0.00_);[Red]\(&quot;$&quot;#,##0.00\)"/>
    <x:numFmt numFmtId="164" formatCode="[$-409]m/d/yy\ h:mm\ AM/PM;@"/>
  </x:numFmts>
  <x:fonts count="17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3"/>
      <x:color rgb="FF242729"/>
      <x:name val="Consolas"/>
      <x:family val="3"/>
    </x:font>
    <x:font>
      <x:sz val="11"/>
      <x:color rgb="FF00007F"/>
      <x:name val="Courier New"/>
      <x:family val="3"/>
    </x:font>
    <x:font>
      <x:sz val="11"/>
      <x:color rgb="FF403F41"/>
      <x:name val="Courier New"/>
      <x:family val="3"/>
    </x:font>
    <x:font>
      <x:sz val="11"/>
      <x:color rgb="FF007F00"/>
      <x:name val="Courier New"/>
      <x:family val="3"/>
    </x:font>
    <x:font>
      <x:sz val="8"/>
      <x:name val="Calibri"/>
      <x:family val="2"/>
      <x:scheme val="minor"/>
    </x:font>
    <x:font>
      <x:sz val="11"/>
      <x:name val="Calibri"/>
      <x:family val="2"/>
      <x:scheme val="minor"/>
    </x:font>
    <x:font>
      <x:b/>
      <x:sz val="14"/>
      <x:color theme="1"/>
      <x:name val="Calibri"/>
      <x:family val="2"/>
      <x:scheme val="minor"/>
    </x:font>
    <x:font>
      <x:sz val="10"/>
      <x:name val="Gill Sans MT"/>
      <x:family val="2"/>
    </x:font>
    <x:font>
      <x:sz val="12"/>
      <x:name val="Calibri"/>
      <x:family val="2"/>
      <x:scheme val="minor"/>
    </x:font>
    <x:font>
      <x:sz val="11"/>
      <x:color rgb="FF00B050"/>
      <x:name val="Calibri"/>
      <x:family val="2"/>
      <x:scheme val="minor"/>
    </x:font>
    <x:font>
      <x:u/>
      <x:sz val="11"/>
      <x:color theme="10"/>
      <x:name val="Calibri"/>
      <x:family val="2"/>
      <x:scheme val="minor"/>
    </x:font>
    <x:font>
      <x:b/>
      <x:sz val="12"/>
      <x:color rgb="FFFF0000"/>
      <x:name val="Calibri"/>
      <x:family val="2"/>
      <x:scheme val="minor"/>
    </x:font>
    <x:font>
      <x:b/>
      <x:u/>
      <x:sz val="11"/>
      <x:color rgb="FFFF0000"/>
      <x:name val="Calibri"/>
      <x:family val="2"/>
      <x:scheme val="minor"/>
    </x:font>
    <x:font>
      <x:sz val="10"/>
      <x:color theme="1"/>
      <x:name val="Var(--ff-mono)"/>
    </x:font>
    <x:font>
      <x:b/>
      <x:sz val="20"/>
      <x:color theme="1"/>
      <x:name val="Calibri"/>
      <x:family val="2"/>
      <x:scheme val="minor"/>
    </x:font>
    <x:font>
      <x:sz val="12"/>
      <x:color rgb="FFFFFF"/>
      <x:name val="Arial"/>
    </x:font>
  </x:fonts>
  <x:fills count="8">
    <x:fill>
      <x:patternFill patternType="none"/>
    </x:fill>
    <x:fill>
      <x:patternFill patternType="gray125"/>
    </x:fill>
    <x:fill>
      <x:patternFill patternType="solid">
        <x:fgColor theme="2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92D050"/>
        <x:bgColor indexed="64"/>
      </x:patternFill>
    </x:fill>
    <x:fill>
      <x:patternFill patternType="solid">
        <x:fgColor rgb="FFF0F0F0"/>
        <x:bgColor indexed="64"/>
      </x:patternFill>
    </x:fill>
    <x:fill>
      <x:patternFill patternType="gray0625">
        <x:bgColor rgb="FF92D050"/>
      </x:patternFill>
    </x:fill>
    <x:fill>
      <x:patternFill patternType="solid">
        <x:fgColor theme="8" tint="0.59999389629810485"/>
        <x:bgColor indexed="64"/>
      </x:patternFill>
    </x:fill>
  </x:fills>
  <x:borders count="18">
    <x:border>
      <x:left/>
      <x:right/>
      <x:top/>
      <x:bottom/>
      <x:diagonal/>
    </x:border>
    <x:border>
      <x:left style="thin">
        <x:color theme="0" tint="-0.249977111117893"/>
      </x:left>
      <x:right style="thin">
        <x:color theme="0" tint="-0.249977111117893"/>
      </x:right>
      <x:top style="thin">
        <x:color theme="0" tint="-0.249977111117893"/>
      </x:top>
      <x:bottom style="thin">
        <x:color theme="0" tint="-0.249977111117893"/>
      </x:bottom>
      <x:diagonal/>
    </x:border>
    <x:border>
      <x:left/>
      <x:right/>
      <x:top/>
      <x:bottom style="medium">
        <x:color indexed="64"/>
      </x:bottom>
      <x:diagonal/>
    </x:border>
    <x:border>
      <x:left style="thin">
        <x:color theme="0" tint="-0.249977111117893"/>
      </x:left>
      <x:right style="thin">
        <x:color theme="0" tint="-0.249977111117893"/>
      </x:right>
      <x:top/>
      <x:bottom/>
      <x:diagonal/>
    </x:border>
    <x:border>
      <x:left style="medium">
        <x:color indexed="64"/>
      </x:left>
      <x:right/>
      <x:top style="medium">
        <x:color indexed="64"/>
      </x:top>
      <x:bottom/>
      <x:diagonal/>
    </x:border>
    <x:border>
      <x:left/>
      <x:right/>
      <x:top style="medium">
        <x:color indexed="64"/>
      </x:top>
      <x:bottom/>
      <x:diagonal/>
    </x:border>
    <x:border>
      <x:left/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/>
      <x:top/>
      <x:bottom/>
      <x:diagonal/>
    </x:border>
    <x:border>
      <x:left/>
      <x:right style="medium">
        <x:color indexed="64"/>
      </x:right>
      <x:top/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/>
      <x:diagonal/>
    </x:border>
    <x:border>
      <x:left style="medium">
        <x:color indexed="64"/>
      </x:left>
      <x:right style="medium">
        <x:color indexed="64"/>
      </x:right>
      <x:top/>
      <x:bottom/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medium">
        <x:color indexed="64"/>
      </x:bottom>
      <x:diagonal/>
    </x:border>
    <x:border>
      <x:left/>
      <x:right/>
      <x:top style="medium">
        <x:color indexed="64"/>
      </x:top>
      <x:bottom style="medium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medium">
        <x:color indexed="64"/>
      </x:bottom>
      <x:diagonal/>
    </x:border>
  </x:borders>
  <x:cellStyleXfs count="3">
    <x:xf numFmtId="0" fontId="0" fillId="0" borderId="0"/>
    <x:xf numFmtId="0" fontId="9" fillId="0" borderId="0"/>
    <x:xf numFmtId="0" fontId="12" fillId="0" borderId="0" applyNumberFormat="0" applyFill="0" applyBorder="0" applyAlignment="0" applyProtection="0"/>
  </x:cellStyleXfs>
  <x:cellXfs count="85">
    <x:xf numFmtId="0" fontId="0" fillId="0" borderId="0" xfId="0"/>
    <x:xf numFmtId="3" fontId="0" fillId="0" borderId="0" xfId="0" applyNumberFormat="1" applyAlignment="1" applyProtection="1">
      <x:alignment horizontal="center"/>
      <x:protection locked="0"/>
    </x:xf>
    <x:xf numFmtId="0" fontId="0" fillId="0" borderId="0" xfId="0" applyProtection="1">
      <x:protection locked="0"/>
    </x:xf>
    <x:xf numFmtId="0" fontId="0" fillId="0" borderId="0" xfId="0" applyAlignment="1" applyProtection="1">
      <x:alignment horizontal="center"/>
      <x:protection locked="0"/>
    </x:xf>
    <x:xf numFmtId="0" fontId="1" fillId="2" borderId="1" xfId="0" applyFont="1" applyFill="1" applyBorder="1" applyAlignment="1" applyProtection="1">
      <x:alignment horizontal="center"/>
      <x:protection locked="0"/>
    </x:xf>
    <x:xf numFmtId="22" fontId="0" fillId="0" borderId="0" xfId="0" applyNumberFormat="1" applyAlignment="1" applyProtection="1">
      <x:alignment horizontal="center"/>
      <x:protection locked="0"/>
    </x:xf>
    <x:xf numFmtId="22" fontId="0" fillId="0" borderId="1" xfId="0" applyNumberFormat="1" applyBorder="1" applyAlignment="1" applyProtection="1">
      <x:alignment horizontal="center"/>
      <x:protection locked="0"/>
    </x:xf>
    <x:xf numFmtId="0" fontId="0" fillId="0" borderId="0" xfId="0" applyAlignment="1" applyProtection="1">
      <x:alignment horizontal="left"/>
      <x:protection locked="0"/>
    </x:xf>
    <x:xf numFmtId="0" fontId="2" fillId="0" borderId="0" xfId="0" applyFont="1" applyAlignment="1" applyProtection="1">
      <x:alignment horizontal="center"/>
      <x:protection locked="0"/>
    </x:xf>
    <x:xf numFmtId="0" fontId="3" fillId="0" borderId="0" xfId="0" applyFont="1" applyProtection="1">
      <x:protection locked="0"/>
    </x:xf>
    <x:xf numFmtId="0" fontId="5" fillId="0" borderId="0" xfId="0" applyFont="1" applyProtection="1">
      <x:protection locked="0"/>
    </x:xf>
    <x:xf numFmtId="0" fontId="0" fillId="0" borderId="0" xfId="0" applyFont="1" applyProtection="1">
      <x:protection locked="0"/>
    </x:xf>
    <x:xf numFmtId="0" fontId="4" fillId="0" borderId="0" xfId="0" applyFont="1" applyProtection="1">
      <x:protection locked="0"/>
    </x:xf>
    <x:xf numFmtId="0" fontId="0" fillId="2" borderId="0" xfId="0" applyFill="1" applyProtection="1">
      <x:protection hidden="1"/>
    </x:xf>
    <x:xf numFmtId="0" fontId="0" fillId="2" borderId="0" xfId="0" applyFill="1" applyBorder="1" applyProtection="1">
      <x:protection hidden="1"/>
    </x:xf>
    <x:xf numFmtId="0" fontId="0" fillId="2" borderId="2" xfId="0" applyFill="1" applyBorder="1" applyAlignment="1" applyProtection="1">
      <x:alignment horizontal="center"/>
      <x:protection hidden="1"/>
    </x:xf>
    <x:xf numFmtId="0" fontId="0" fillId="2" borderId="0" xfId="0" applyNumberFormat="1" applyFill="1" applyAlignment="1" applyProtection="1">
      <x:alignment horizontal="center"/>
      <x:protection hidden="1"/>
    </x:xf>
    <x:xf numFmtId="164" fontId="0" fillId="2" borderId="0" xfId="0" applyNumberFormat="1" applyFill="1" applyAlignment="1" applyProtection="1">
      <x:alignment horizontal="center"/>
      <x:protection hidden="1"/>
    </x:xf>
    <x:xf numFmtId="3" fontId="0" fillId="2" borderId="0" xfId="0" applyNumberFormat="1" applyFill="1" applyAlignment="1" applyProtection="1">
      <x:alignment horizontal="center"/>
      <x:protection hidden="1"/>
    </x:xf>
    <x:xf numFmtId="3" fontId="0" fillId="2" borderId="0" xfId="0" applyNumberFormat="1" applyFill="1" applyBorder="1" applyAlignment="1" applyProtection="1">
      <x:alignment horizontal="center"/>
      <x:protection hidden="1"/>
    </x:xf>
    <x:xf numFmtId="8" fontId="0" fillId="0" borderId="0" xfId="0" applyNumberFormat="1" applyFill="1" applyBorder="1" applyAlignment="1" applyProtection="1">
      <x:alignment horizontal="center"/>
      <x:protection locked="0"/>
    </x:xf>
    <x:xf numFmtId="0" fontId="1" fillId="0" borderId="0" xfId="0" applyFont="1" applyFill="1" applyBorder="1" applyAlignment="1" applyProtection="1">
      <x:alignment horizontal="center"/>
      <x:protection locked="0"/>
    </x:xf>
    <x:xf numFmtId="0" fontId="0" fillId="0" borderId="0" xfId="0" applyFill="1" applyBorder="1" applyAlignment="1" applyProtection="1">
      <x:alignment horizontal="center"/>
      <x:protection locked="0"/>
    </x:xf>
    <x:xf numFmtId="6" fontId="0" fillId="0" borderId="0" xfId="0" applyNumberFormat="1" applyFill="1" applyBorder="1" applyAlignment="1" applyProtection="1">
      <x:alignment horizontal="center"/>
      <x:protection locked="0"/>
    </x:xf>
    <x:xf numFmtId="0" fontId="1" fillId="2" borderId="0" xfId="0" applyFont="1" applyFill="1" applyBorder="1" applyAlignment="1" applyProtection="1">
      <x:alignment horizontal="center"/>
      <x:protection locked="0"/>
    </x:xf>
    <x:xf numFmtId="22" fontId="0" fillId="0" borderId="0" xfId="0" applyNumberFormat="1" applyBorder="1" applyAlignment="1" applyProtection="1">
      <x:alignment horizontal="center"/>
      <x:protection locked="0"/>
    </x:xf>
    <x:xf numFmtId="4" fontId="0" fillId="0" borderId="0" xfId="0" applyNumberFormat="1" applyBorder="1" applyAlignment="1" applyProtection="1">
      <x:alignment horizontal="center"/>
      <x:protection locked="0"/>
    </x:xf>
    <x:xf numFmtId="0" fontId="1" fillId="2" borderId="1" xfId="0" applyFont="1" applyFill="1" applyBorder="1"/>
    <x:xf numFmtId="0" fontId="0" fillId="0" borderId="1" xfId="0" applyBorder="1"/>
    <x:xf numFmtId="0" fontId="0" fillId="0" borderId="3" xfId="0" applyBorder="1"/>
    <x:xf numFmtId="0" fontId="1" fillId="2" borderId="1" xfId="0" applyFont="1" applyFill="1" applyBorder="1" applyAlignment="1">
      <x:alignment horizontal="center"/>
    </x:xf>
    <x:xf numFmtId="0" fontId="0" fillId="0" borderId="1" xfId="0" applyBorder="1" applyAlignment="1">
      <x:alignment horizontal="center"/>
    </x:xf>
    <x:xf numFmtId="0" fontId="0" fillId="2" borderId="0" xfId="0" applyFill="1" applyAlignment="1" applyProtection="1">
      <x:alignment horizontal="left"/>
      <x:protection hidden="1"/>
    </x:xf>
    <x:xf numFmtId="0" fontId="8" fillId="2" borderId="0" xfId="0" applyFont="1" applyFill="1" applyAlignment="1" applyProtection="1">
      <x:alignment horizontal="left"/>
      <x:protection hidden="1"/>
    </x:xf>
    <x:xf numFmtId="0" fontId="1" fillId="2" borderId="0" xfId="0" applyFont="1" applyFill="1" applyAlignment="1" applyProtection="1">
      <x:alignment horizontal="left"/>
      <x:protection hidden="1"/>
    </x:xf>
    <x:xf numFmtId="0" fontId="0" fillId="0" borderId="0" xfId="0" applyFill="1" applyBorder="1" applyAlignment="1" applyProtection="1">
      <x:alignment horizontal="left"/>
      <x:protection locked="0"/>
    </x:xf>
    <x:xf numFmtId="0" fontId="2" fillId="0" borderId="0" xfId="0" applyFont="1" applyFill="1" applyBorder="1" applyAlignment="1" applyProtection="1">
      <x:alignment horizontal="center"/>
      <x:protection locked="0"/>
    </x:xf>
    <x:xf numFmtId="0" fontId="0" fillId="3" borderId="0" xfId="0" applyFill="1" applyProtection="1">
      <x:protection locked="0"/>
    </x:xf>
    <x:xf numFmtId="0" fontId="0" fillId="0" borderId="0" xfId="0" applyNumberFormat="1" applyAlignment="1" applyProtection="1">
      <x:alignment horizontal="center"/>
      <x:protection locked="0"/>
    </x:xf>
    <x:xf numFmtId="0" fontId="0" fillId="0" borderId="0" xfId="0" quotePrefix="1"/>
    <x:xf numFmtId="0" fontId="1" fillId="0" borderId="0" xfId="0" applyFont="1" applyAlignment="1" applyProtection="1">
      <x:alignment horizontal="center"/>
      <x:protection locked="0"/>
    </x:xf>
    <x:xf numFmtId="0" fontId="0" fillId="4" borderId="0" xfId="0" quotePrefix="1" applyFill="1" applyAlignment="1">
      <x:alignment horizontal="center"/>
    </x:xf>
    <x:xf numFmtId="0" fontId="7" fillId="4" borderId="0" xfId="0" quotePrefix="1" applyFont="1" applyFill="1" applyAlignment="1">
      <x:alignment horizontal="center"/>
    </x:xf>
    <x:xf numFmtId="0" fontId="0" fillId="5" borderId="0" xfId="0" applyFill="1" applyProtection="1">
      <x:protection locked="0"/>
    </x:xf>
    <x:xf numFmtId="0" fontId="0" fillId="5" borderId="0" xfId="0" applyFill="1" applyAlignment="1">
      <x:alignment horizontal="center"/>
    </x:xf>
    <x:xf numFmtId="0" fontId="0" fillId="5" borderId="0" xfId="0" applyFill="1" applyAlignment="1">
      <x:alignment horizontal="right"/>
    </x:xf>
    <x:xf numFmtId="0" fontId="0" fillId="5" borderId="12" xfId="0" applyFill="1" applyBorder="1" applyAlignment="1">
      <x:alignment horizontal="center"/>
    </x:xf>
    <x:xf numFmtId="0" fontId="0" fillId="5" borderId="13" xfId="0" applyFill="1" applyBorder="1" applyAlignment="1">
      <x:alignment horizontal="center"/>
    </x:xf>
    <x:xf numFmtId="0" fontId="0" fillId="5" borderId="14" xfId="0" applyFill="1" applyBorder="1" applyAlignment="1">
      <x:alignment horizontal="center"/>
    </x:xf>
    <x:xf numFmtId="0" fontId="0" fillId="5" borderId="4" xfId="0" applyFill="1" applyBorder="1" applyAlignment="1">
      <x:alignment horizontal="center"/>
    </x:xf>
    <x:xf numFmtId="0" fontId="0" fillId="5" borderId="5" xfId="0" applyFill="1" applyBorder="1" applyAlignment="1">
      <x:alignment horizontal="center"/>
    </x:xf>
    <x:xf numFmtId="0" fontId="0" fillId="5" borderId="6" xfId="0" applyFill="1" applyBorder="1" applyAlignment="1">
      <x:alignment horizontal="center"/>
    </x:xf>
    <x:xf numFmtId="0" fontId="0" fillId="5" borderId="7" xfId="0" applyFill="1" applyBorder="1" applyAlignment="1">
      <x:alignment horizontal="center"/>
    </x:xf>
    <x:xf numFmtId="0" fontId="0" fillId="5" borderId="8" xfId="0" applyFill="1" applyBorder="1" applyAlignment="1">
      <x:alignment horizontal="center"/>
    </x:xf>
    <x:xf numFmtId="0" fontId="0" fillId="5" borderId="9" xfId="0" applyFill="1" applyBorder="1" applyAlignment="1">
      <x:alignment horizontal="center"/>
    </x:xf>
    <x:xf numFmtId="0" fontId="0" fillId="5" borderId="2" xfId="0" applyFill="1" applyBorder="1" applyAlignment="1">
      <x:alignment horizontal="center"/>
    </x:xf>
    <x:xf numFmtId="0" fontId="0" fillId="5" borderId="10" xfId="0" applyFill="1" applyBorder="1" applyAlignment="1">
      <x:alignment horizontal="center"/>
    </x:xf>
    <x:xf numFmtId="0" fontId="0" fillId="5" borderId="0" xfId="0" quotePrefix="1" applyFill="1" applyAlignment="1">
      <x:alignment horizontal="center"/>
    </x:xf>
    <x:xf numFmtId="0" fontId="0" fillId="4" borderId="0" xfId="0" applyFill="1" applyAlignment="1">
      <x:alignment horizontal="center"/>
    </x:xf>
    <x:xf numFmtId="4" fontId="0" fillId="4" borderId="0" xfId="0" applyNumberFormat="1" applyFill="1" applyAlignment="1">
      <x:alignment horizontal="center"/>
    </x:xf>
    <x:xf numFmtId="0" fontId="0" fillId="4" borderId="0" xfId="0" applyFill="1" applyBorder="1" applyAlignment="1">
      <x:alignment horizontal="center"/>
    </x:xf>
    <x:xf numFmtId="0" fontId="0" fillId="4" borderId="11" xfId="0" applyFill="1" applyBorder="1" applyAlignment="1">
      <x:alignment horizontal="center"/>
    </x:xf>
    <x:xf numFmtId="0" fontId="10" fillId="5" borderId="0" xfId="0" applyFont="1" applyFill="1" applyBorder="1" applyAlignment="1">
      <x:alignment horizontal="center"/>
    </x:xf>
    <x:xf numFmtId="0" fontId="0" fillId="4" borderId="0" xfId="0" applyFill="1" applyAlignment="1">
      <x:alignment horizontal="left"/>
    </x:xf>
    <x:xf numFmtId="0" fontId="10" fillId="6" borderId="0" xfId="0" applyFont="1" applyFill="1" applyAlignment="1">
      <x:alignment horizontal="center"/>
    </x:xf>
    <x:xf numFmtId="0" fontId="1" fillId="5" borderId="0" xfId="0" applyFont="1" applyFill="1" applyProtection="1">
      <x:protection locked="0"/>
    </x:xf>
    <x:xf numFmtId="0" fontId="13" fillId="2" borderId="0" xfId="0" applyFont="1" applyFill="1" applyProtection="1">
      <x:protection hidden="1"/>
    </x:xf>
    <x:xf numFmtId="0" fontId="15" fillId="0" borderId="0" xfId="0" applyFont="1" applyAlignment="1">
      <x:alignment horizontal="left" vertical="center"/>
    </x:xf>
    <x:xf numFmtId="0" fontId="12" fillId="0" borderId="0" xfId="2" applyAlignment="1">
      <x:alignment horizontal="left" vertical="center"/>
    </x:xf>
    <x:xf numFmtId="0" fontId="12" fillId="0" borderId="0" xfId="2" applyAlignment="1" applyProtection="1">
      <x:alignment horizontal="left"/>
      <x:protection locked="0"/>
    </x:xf>
    <x:xf numFmtId="0" fontId="12" fillId="0" borderId="1" xfId="2" applyBorder="1"/>
    <x:xf numFmtId="0" fontId="16" fillId="5" borderId="0" xfId="0" applyFont="1" applyFill="1" applyProtection="1">
      <x:protection locked="0"/>
    </x:xf>
    <x:xf numFmtId="0" fontId="0" fillId="4" borderId="0" xfId="0" applyFill="1" applyProtection="1">
      <x:protection locked="0"/>
    </x:xf>
    <x:xf numFmtId="4" fontId="0" fillId="4" borderId="0" xfId="0" applyNumberFormat="1" applyFill="1" applyProtection="1">
      <x:protection locked="0"/>
    </x:xf>
    <x:xf numFmtId="0" fontId="0" fillId="4" borderId="0" xfId="0" applyFill="1" applyBorder="1" applyProtection="1">
      <x:protection locked="0"/>
    </x:xf>
    <x:xf numFmtId="0" fontId="0" fillId="4" borderId="11" xfId="0" applyFill="1" applyBorder="1" applyProtection="1">
      <x:protection locked="0"/>
    </x:xf>
    <x:xf numFmtId="0" fontId="0" fillId="5" borderId="0" xfId="0" applyFill="1" applyBorder="1" applyProtection="1">
      <x:protection locked="0"/>
    </x:xf>
    <x:xf numFmtId="0" fontId="12" fillId="5" borderId="0" xfId="2" applyFill="1" applyProtection="1">
      <x:protection locked="0"/>
    </x:xf>
    <x:xf numFmtId="0" fontId="0" fillId="7" borderId="16" xfId="0" applyFill="1" applyBorder="1" applyAlignment="1" applyProtection="1">
      <x:alignment horizontal="centerContinuous"/>
      <x:protection hidden="1"/>
    </x:xf>
    <x:xf numFmtId="0" fontId="0" fillId="7" borderId="17" xfId="0" applyFill="1" applyBorder="1" applyAlignment="1" applyProtection="1">
      <x:alignment horizontal="centerContinuous"/>
      <x:protection hidden="1"/>
    </x:xf>
    <x:xf numFmtId="0" fontId="1" fillId="7" borderId="15" xfId="0" applyFont="1" applyFill="1" applyBorder="1" applyAlignment="1" applyProtection="1">
      <x:alignment horizontal="centerContinuous" vertical="center" wrapText="1"/>
      <x:protection hidden="1"/>
    </x:xf>
    <x:xf numFmtId="0" fontId="12" fillId="7" borderId="12" xfId="2" applyFill="1" applyBorder="1" applyAlignment="1">
      <x:alignment horizontal="center" vertical="center"/>
    </x:xf>
    <x:xf numFmtId="0" fontId="14" fillId="7" borderId="14" xfId="2" applyFont="1" applyFill="1" applyBorder="1" applyAlignment="1">
      <x:alignment horizontal="center" vertical="center"/>
    </x:xf>
    <x:xf numFmtId="19" fontId="0" fillId="0" borderId="0" xfId="0" applyNumberFormat="1" applyAlignment="1" applyProtection="1">
      <x:alignment horizontal="center"/>
      <x:protection locked="0"/>
    </x:xf>
    <x:xf fontId="17" fillId="0" borderId="0"/>
  </x:cellXfs>
  <x:cellStyles count="3">
    <x:cellStyle name="Hyperlink" xfId="2" builtinId="8"/>
    <x:cellStyle name="Normal" xfId="0" builtinId="0"/>
    <x:cellStyle name="Normal 2" xfId="1" xr:uid="{74DEF294-5C40-4DB7-BA01-97D9ADC3A774}"/>
  </x:cellStyles>
  <x:dxfs count="0"/>
  <x:tableStyles count="0" defaultTableStyle="TableStyleMedium2" defaultPivotStyle="PivotStyleLight16"/>
  <x:colors>
    <x:mruColors>
      <x:color rgb="FFF0F0F0"/>
    </x:mru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ctrlProps/ctrlProp1.xml><?xml version="1.0" encoding="utf-8"?>
<formControlPr xmlns="http://schemas.microsoft.com/office/spreadsheetml/2009/9/main" objectType="Drop" dropStyle="combo" dx="68" fmlaLink="BackgroundCalcs!$F$46" fmlaRange="BackgroundCalcs!$D$46:$D$47" noThreeD="1" sel="1" val="0"/>
</file>

<file path=xl/ctrlProps/ctrlProp2.xml><?xml version="1.0" encoding="utf-8"?>
<formControlPr xmlns="http://schemas.microsoft.com/office/spreadsheetml/2009/9/main" objectType="Drop" dropStyle="combo" dx="68" fmlaLink="BackgroundCalcs!$F$49" fmlaRange="BackgroundCalcs!$D$46:$D$47" noThreeD="1" sel="2" val="0"/>
</file>

<file path=xl/ctrlProps/ctrlProp3.xml><?xml version="1.0" encoding="utf-8"?>
<formControlPr xmlns="http://schemas.microsoft.com/office/spreadsheetml/2009/9/main" objectType="Drop" dropStyle="combo" dx="68" fmlaLink="BackgroundCalcs!$F$52" fmlaRange="BackgroundCalcs!$D$46:$D$47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1077912</xdr:colOff>
      <xdr:row>25</xdr:row>
      <xdr:rowOff>161925</xdr:rowOff>
    </xdr:from>
    <xdr:to>
      <xdr:col>4</xdr:col>
      <xdr:colOff>520382</xdr:colOff>
      <xdr:row>28</xdr:row>
      <xdr:rowOff>99061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05287" y="3209925"/>
          <a:ext cx="125603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24</xdr:row>
          <xdr:rowOff>177800</xdr:rowOff>
        </xdr:from>
        <xdr:to>
          <xdr:col>2</xdr:col>
          <xdr:colOff>1784350</xdr:colOff>
          <xdr:row>26</xdr:row>
          <xdr:rowOff>6350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27</xdr:row>
          <xdr:rowOff>0</xdr:rowOff>
        </xdr:from>
        <xdr:to>
          <xdr:col>2</xdr:col>
          <xdr:colOff>1790700</xdr:colOff>
          <xdr:row>28</xdr:row>
          <xdr:rowOff>38100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869950</xdr:colOff>
          <xdr:row>29</xdr:row>
          <xdr:rowOff>6350</xdr:rowOff>
        </xdr:from>
        <xdr:to>
          <xdr:col>2</xdr:col>
          <xdr:colOff>1784350</xdr:colOff>
          <xdr:row>30</xdr:row>
          <xdr:rowOff>44450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196850</xdr:colOff>
      <xdr:row>0</xdr:row>
      <xdr:rowOff>152400</xdr:rowOff>
    </xdr:from>
    <xdr:to>
      <xdr:col>3</xdr:col>
      <xdr:colOff>787276</xdr:colOff>
      <xdr:row>6</xdr:row>
      <xdr:rowOff>56059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663826" cy="99839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250339</xdr:colOff>
      <xdr:row>5</xdr:row>
      <xdr:rowOff>138126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9796" y="203200"/>
          <a:ext cx="3440909" cy="883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196850</xdr:colOff>
      <xdr:row>0</xdr:row>
      <xdr:rowOff>152400</xdr:rowOff>
    </xdr:from>
    <xdr:to>
      <xdr:col>9</xdr:col>
      <xdr:colOff>56515</xdr:colOff>
      <xdr:row>5</xdr:row>
      <xdr:rowOff>150880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361690" cy="909705"/>
        </a:xfrm>
        <a:prstGeom prst="rect">
          <a:avLst/>
        </a:prstGeom>
      </xdr:spPr>
    </xdr:pic>
    <xdr:clientData/>
  </xdr:twoCellAnchor>
  <xdr:twoCellAnchor editAs="oneCell">
    <xdr:from>
      <xdr:col>105</xdr:col>
      <xdr:colOff>14604</xdr:colOff>
      <xdr:row>0</xdr:row>
      <xdr:rowOff>88901</xdr:rowOff>
    </xdr:from>
    <xdr:to>
      <xdr:col>108</xdr:col>
      <xdr:colOff>351154</xdr:colOff>
      <xdr:row>1</xdr:row>
      <xdr:rowOff>161925</xdr:rowOff>
    </xdr:to>
    <xdr:sp macro="[0]!GiveInstruction" textlink="">
      <xdr:nvSpPr>
        <xdr:cNvPr id="3" name="Bevel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280504" y="8890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Instruction</a:t>
          </a:r>
        </a:p>
      </xdr:txBody>
    </xdr:sp>
    <xdr:clientData/>
  </xdr:twoCellAnchor>
  <xdr:twoCellAnchor editAs="oneCell">
    <xdr:from>
      <xdr:col>105</xdr:col>
      <xdr:colOff>8254</xdr:colOff>
      <xdr:row>2</xdr:row>
      <xdr:rowOff>57151</xdr:rowOff>
    </xdr:from>
    <xdr:to>
      <xdr:col>108</xdr:col>
      <xdr:colOff>341629</xdr:colOff>
      <xdr:row>3</xdr:row>
      <xdr:rowOff>133350</xdr:rowOff>
    </xdr:to>
    <xdr:sp macro="[0]!GivePCHint" textlink="">
      <xdr:nvSpPr>
        <xdr:cNvPr id="5" name="Bevel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9274154" y="425451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PC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105</xdr:col>
      <xdr:colOff>0</xdr:colOff>
      <xdr:row>4</xdr:row>
      <xdr:rowOff>25400</xdr:rowOff>
    </xdr:from>
    <xdr:to>
      <xdr:col>108</xdr:col>
      <xdr:colOff>333375</xdr:colOff>
      <xdr:row>5</xdr:row>
      <xdr:rowOff>104774</xdr:rowOff>
    </xdr:to>
    <xdr:sp macro="[0]!GiveMacHint" textlink="">
      <xdr:nvSpPr>
        <xdr:cNvPr id="6" name="Bevel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9265900" y="762000"/>
          <a:ext cx="1628775" cy="260349"/>
        </a:xfrm>
        <a:prstGeom prst="bevel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Give Mac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Hint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1057275</xdr:colOff>
      <xdr:row>0</xdr:row>
      <xdr:rowOff>161925</xdr:rowOff>
    </xdr:from>
    <xdr:to>
      <xdr:col>4</xdr:col>
      <xdr:colOff>1143000</xdr:colOff>
      <xdr:row>2</xdr:row>
      <xdr:rowOff>173990</xdr:rowOff>
    </xdr:to>
    <xdr:sp macro="[0]!startGa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48125" y="161925"/>
          <a:ext cx="1466850" cy="49530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Spring%202022/Class%20Sessions/Class%202%20-%20Shortcuts/Shortcut%20Challenge/ExerciseTemplateV6_ShortcutChalleng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%232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AC7">
            <v>4</v>
          </cell>
          <cell r="BR7">
            <v>17</v>
          </cell>
          <cell r="CQ7">
            <v>18</v>
          </cell>
        </row>
        <row r="12">
          <cell r="BD12">
            <v>11</v>
          </cell>
          <cell r="BN12">
            <v>12</v>
          </cell>
        </row>
        <row r="18">
          <cell r="BN18">
            <v>13</v>
          </cell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BackgroundCalcs"/>
      <sheetName val="Output"/>
      <sheetName val="Grading"/>
    </sheetNames>
    <sheetDataSet>
      <sheetData sheetId="0"/>
      <sheetData sheetId="1"/>
      <sheetData sheetId="2"/>
      <sheetData sheetId="3"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  <row r="29">
          <cell r="F29">
            <v>6.7129629314877093E-4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youtu.be/-B6AH9k8OgE" TargetMode="External"/><Relationship Id="rId1" Type="http://schemas.openxmlformats.org/officeDocument/2006/relationships/hyperlink" Target="https://www.linkedin.com/in/david-brown-5a44751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facebook.com/sharer.php?u=http%3A%2F%2Fchandoo.org%2Fwp%2F2012%2F08%2F10%2Fexcel-hurdles%2F&amp;t=I%20finished%20Excel%20Hurdle%20challenge%20in%20$$%20seconds." TargetMode="External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80866A4F-8D2D-4B6B-A761-2F9C86D09908}" mc:Ignorable="x14ac xr xr2 xr3">
  <x:sheetPr codeName="Sheet1"/>
  <x:dimension ref="A1:O1203"/>
  <x:sheetViews>
    <x:sheetView tabSelected="1" zoomScale="115" zoomScaleNormal="115" workbookViewId="0">
      <x:selection activeCell="D8" sqref="D8"/>
    </x:sheetView>
  </x:sheetViews>
  <x:sheetFormatPr defaultColWidth="0" defaultRowHeight="14.75" zeroHeight="1"/>
  <x:cols>
    <x:col min="1" max="1" width="6.08984375" style="2" customWidth="1"/>
    <x:col min="2" max="2" width="12.81640625" style="2" customWidth="1"/>
    <x:col min="3" max="4" width="25.90625" style="2" customWidth="1"/>
    <x:col min="5" max="5" width="37.08984375" style="2" customWidth="1"/>
    <x:col min="6" max="6" width="8.81640625" style="2" customWidth="1"/>
    <x:col min="7" max="16384" width="8.81640625" style="2" hidden="1"/>
  </x:cols>
  <x:sheetData>
    <x:row r="1" spans="1:15">
      <x:c r="A1" s="43"/>
      <x:c r="B1" s="43"/>
      <x:c r="C1" s="43"/>
      <x:c r="D1" s="43"/>
      <x:c r="E1" s="43"/>
      <x:c r="F1" s="43"/>
    </x:row>
    <x:row r="2" spans="1:15">
      <x:c r="A2" s="43"/>
      <x:c r="B2" s="43"/>
      <x:c r="C2" s="43"/>
      <x:c r="D2" s="43"/>
      <x:c r="E2" s="43"/>
      <x:c r="F2" s="43"/>
    </x:row>
    <x:row r="3" spans="1:15">
      <x:c r="A3" s="43"/>
      <x:c r="B3" s="43"/>
      <x:c r="C3" s="43"/>
      <x:c r="D3" s="43"/>
      <x:c r="E3" s="43"/>
      <x:c r="F3" s="43"/>
    </x:row>
    <x:row r="4" spans="1:15">
      <x:c r="A4" s="43"/>
      <x:c r="B4" s="43"/>
      <x:c r="C4" s="43"/>
      <x:c r="D4" s="43"/>
      <x:c r="E4" s="43"/>
      <x:c r="F4" s="43"/>
    </x:row>
    <x:row r="5" spans="1:15">
      <x:c r="A5" s="43"/>
      <x:c r="B5" s="43"/>
      <x:c r="C5" s="43"/>
      <x:c r="D5" s="43"/>
      <x:c r="E5" s="43"/>
      <x:c r="F5" s="43"/>
    </x:row>
    <x:row r="6" spans="1:15">
      <x:c r="A6" s="43"/>
      <x:c r="B6" s="43"/>
      <x:c r="C6" s="43"/>
      <x:c r="D6" s="43"/>
      <x:c r="E6" s="43"/>
      <x:c r="F6" s="43"/>
    </x:row>
    <x:row r="7" spans="1:15">
      <x:c r="A7" s="43"/>
      <x:c r="B7" s="43"/>
      <x:c r="C7" s="43"/>
      <x:c r="D7" s="43"/>
      <x:c r="E7" s="43"/>
      <x:c r="F7" s="43"/>
    </x:row>
    <x:row r="8" spans="1:15" ht="26">
      <x:c r="A8" s="43"/>
      <x:c r="B8" s="71" t="str">
        <x:f>SpreadsheetName</x:f>
        <x:v>MECC Keyboarding Challenge</x:v>
      </x:c>
      <x:c r="C8" s="43"/>
      <x:c r="D8" s="43"/>
      <x:c r="E8" s="43"/>
      <x:c r="F8" s="43"/>
    </x:row>
    <x:row r="9" spans="1:15">
      <x:c r="A9" s="43"/>
      <x:c r="B9" s="77" t="s">
        <x:v>142</x:v>
      </x:c>
      <x:c r="C9" s="43"/>
      <x:c r="D9" s="43"/>
      <x:c r="E9" s="43"/>
      <x:c r="F9" s="43"/>
    </x:row>
    <x:row r="10" spans="1:15">
      <x:c r="A10" s="43"/>
      <x:c r="B10" s="43"/>
      <x:c r="C10" s="43"/>
      <x:c r="D10" s="43"/>
      <x:c r="E10" s="43"/>
      <x:c r="F10" s="43"/>
    </x:row>
    <x:row r="11" spans="1:15">
      <x:c r="A11" s="43"/>
      <x:c r="B11" s="65" t="s">
        <x:v>20</x:v>
      </x:c>
      <x:c r="C11" s="43"/>
      <x:c r="D11" s="43"/>
      <x:c r="E11" s="43"/>
      <x:c r="F11" s="43"/>
    </x:row>
    <x:row r="12" spans="1:15">
      <x:c r="A12" s="43">
        <x:v>1</x:v>
      </x:c>
      <x:c r="B12" s="43" t="s">
        <x:v>125</x:v>
      </x:c>
      <x:c r="C12" s="43"/>
      <x:c r="D12" s="43"/>
      <x:c r="E12" s="43"/>
      <x:c r="F12" s="43"/>
    </x:row>
    <x:row r="13" spans="1:15">
      <x:c r="A13" s="43">
        <x:v>2</x:v>
      </x:c>
      <x:c r="B13" s="43" t="s">
        <x:v>123</x:v>
      </x:c>
      <x:c r="C13" s="43"/>
      <x:c r="D13" s="43"/>
      <x:c r="E13" s="43"/>
      <x:c r="F13" s="43"/>
    </x:row>
    <x:row r="14" spans="1:15">
      <x:c r="A14" s="43">
        <x:v>3</x:v>
      </x:c>
      <x:c r="B14" s="43" t="s">
        <x:v>131</x:v>
      </x:c>
      <x:c r="C14" s="43"/>
      <x:c r="D14" s="43"/>
      <x:c r="E14" s="43"/>
      <x:c r="F14" s="43"/>
    </x:row>
    <x:row r="15" spans="1:15">
      <x:c r="A15" s="43">
        <x:v>4</x:v>
      </x:c>
      <x:c r="B15" s="43" t="s">
        <x:v>124</x:v>
      </x:c>
      <x:c r="C15" s="43"/>
      <x:c r="D15" s="43"/>
      <x:c r="E15" s="43"/>
      <x:c r="F15" s="43"/>
    </x:row>
    <x:row r="16" spans="1:15">
      <x:c r="A16" s="43">
        <x:v>5</x:v>
      </x:c>
      <x:c r="B16" s="43" t="s">
        <x:v>126</x:v>
      </x:c>
      <x:c r="C16" s="43"/>
      <x:c r="D16" s="43"/>
      <x:c r="E16" s="43"/>
      <x:c r="F16" s="43"/>
      <x:c r="O16" s="37" t="s">
        <x:v>25</x:v>
      </x:c>
    </x:row>
    <x:row r="17" spans="1:15">
      <x:c r="A17" s="43"/>
      <x:c r="B17" s="43" t="s">
        <x:v>127</x:v>
      </x:c>
      <x:c r="C17" s="43"/>
      <x:c r="D17" s="43"/>
      <x:c r="E17" s="43"/>
      <x:c r="F17" s="43"/>
      <x:c r="O17" s="37" t="s">
        <x:v>25</x:v>
      </x:c>
    </x:row>
    <x:row r="18" spans="1:15">
      <x:c r="A18" s="43">
        <x:v>6</x:v>
      </x:c>
      <x:c r="B18" s="43" t="s">
        <x:v>128</x:v>
      </x:c>
      <x:c r="C18" s="43"/>
      <x:c r="D18" s="43"/>
      <x:c r="E18" s="43"/>
      <x:c r="F18" s="43"/>
      <x:c r="O18" s="37" t="s">
        <x:v>25</x:v>
      </x:c>
    </x:row>
    <x:row r="19" spans="1:15">
      <x:c r="A19" s="43"/>
      <x:c r="B19" s="43" t="s">
        <x:v>129</x:v>
      </x:c>
      <x:c r="C19" s="43"/>
      <x:c r="D19" s="43"/>
      <x:c r="E19" s="43"/>
      <x:c r="F19" s="43"/>
      <x:c r="O19" s="37" t="s">
        <x:v>25</x:v>
      </x:c>
    </x:row>
    <x:row r="20" spans="1:15">
      <x:c r="A20" s="43"/>
      <x:c r="B20" s="43" t="s">
        <x:v>130</x:v>
      </x:c>
      <x:c r="C20" s="43"/>
      <x:c r="D20" s="43"/>
      <x:c r="E20" s="43"/>
      <x:c r="F20" s="43"/>
      <x:c r="O20" s="37" t="s">
        <x:v>25</x:v>
      </x:c>
    </x:row>
    <x:row r="21" spans="1:15">
      <x:c r="A21" s="43">
        <x:v>7</x:v>
      </x:c>
      <x:c r="B21" s="43" t="s">
        <x:v>138</x:v>
      </x:c>
      <x:c r="C21" s="43"/>
      <x:c r="D21" s="43"/>
      <x:c r="E21" s="43"/>
      <x:c r="F21" s="43"/>
      <x:c r="O21" s="37"/>
    </x:row>
    <x:row r="22" spans="1:15">
      <x:c r="A22" s="43">
        <x:v>8</x:v>
      </x:c>
      <x:c r="B22" s="43" t="s">
        <x:v>145</x:v>
      </x:c>
      <x:c r="C22" s="43"/>
      <x:c r="D22" s="43"/>
      <x:c r="E22" s="43"/>
      <x:c r="F22" s="43"/>
      <x:c r="O22" s="37" t="s">
        <x:v>25</x:v>
      </x:c>
    </x:row>
    <x:row r="23" spans="1:15">
      <x:c r="A23" s="43"/>
      <x:c r="B23" s="77" t="s">
        <x:v>144</x:v>
      </x:c>
      <x:c r="C23" s="43"/>
      <x:c r="D23" s="43"/>
      <x:c r="E23" s="43"/>
      <x:c r="F23" s="43"/>
      <x:c r="O23" s="37" t="s">
        <x:v>25</x:v>
      </x:c>
    </x:row>
    <x:row r="24" spans="1:15">
      <x:c r="A24" s="43"/>
      <x:c r="B24" s="77"/>
      <x:c r="C24" s="43"/>
      <x:c r="D24" s="43"/>
      <x:c r="E24" s="43"/>
      <x:c r="F24" s="43"/>
      <x:c r="O24" s="37"/>
    </x:row>
    <x:row r="25" spans="1:15">
      <x:c r="A25" s="43"/>
      <x:c r="B25" s="65" t="s">
        <x:v>62</x:v>
      </x:c>
      <x:c r="C25" s="43"/>
      <x:c r="D25" s="43"/>
      <x:c r="E25" s="43"/>
      <x:c r="F25" s="43"/>
      <x:c r="O25" s="37" t="s">
        <x:v>25</x:v>
      </x:c>
    </x:row>
    <x:row r="26" spans="1:15">
      <x:c r="A26" s="43"/>
      <x:c r="B26" s="43" t="s">
        <x:v>64</x:v>
      </x:c>
      <x:c r="C26" s="43"/>
      <x:c r="D26" s="43"/>
      <x:c r="E26" s="43"/>
      <x:c r="F26" s="43"/>
      <x:c r="O26" s="37" t="s">
        <x:v>25</x:v>
      </x:c>
    </x:row>
    <x:row r="27" spans="1:15">
      <x:c r="A27" s="43"/>
      <x:c r="B27" s="43"/>
      <x:c r="C27" s="43"/>
      <x:c r="D27" s="43"/>
      <x:c r="E27" s="43"/>
      <x:c r="F27" s="43"/>
      <x:c r="O27" s="37" t="s">
        <x:v>25</x:v>
      </x:c>
    </x:row>
    <x:row r="28" spans="1:15">
      <x:c r="A28" s="43"/>
      <x:c r="B28" s="43" t="s">
        <x:v>65</x:v>
      </x:c>
      <x:c r="C28" s="43"/>
      <x:c r="D28" s="43"/>
      <x:c r="E28" s="43"/>
      <x:c r="F28" s="43"/>
      <x:c r="O28" s="37" t="s">
        <x:v>25</x:v>
      </x:c>
    </x:row>
    <x:row r="29" spans="1:15">
      <x:c r="A29" s="43"/>
      <x:c r="B29" s="43"/>
      <x:c r="C29" s="43"/>
      <x:c r="D29" s="43"/>
      <x:c r="E29" s="43"/>
      <x:c r="F29" s="43"/>
      <x:c r="O29" s="37" t="s">
        <x:v>25</x:v>
      </x:c>
    </x:row>
    <x:row r="30" spans="1:15">
      <x:c r="A30" s="43"/>
      <x:c r="B30" s="43" t="s">
        <x:v>66</x:v>
      </x:c>
      <x:c r="C30" s="43"/>
      <x:c r="D30" s="43"/>
      <x:c r="E30" s="43"/>
      <x:c r="F30" s="43"/>
      <x:c r="O30" s="37" t="s">
        <x:v>25</x:v>
      </x:c>
    </x:row>
    <x:row r="31" spans="1:15">
      <x:c r="A31" s="43"/>
      <x:c r="B31" s="43"/>
      <x:c r="C31" s="43"/>
      <x:c r="D31" s="43"/>
      <x:c r="E31" s="43"/>
      <x:c r="F31" s="43"/>
      <x:c r="O31" s="37" t="s">
        <x:v>25</x:v>
      </x:c>
    </x:row>
    <x:row r="32" spans="1:15">
      <x:c r="A32" s="43"/>
      <x:c r="B32" s="43"/>
      <x:c r="C32" s="43"/>
      <x:c r="D32" s="43"/>
      <x:c r="E32" s="43"/>
      <x:c r="F32" s="43"/>
      <x:c r="O32" s="37" t="s">
        <x:v>25</x:v>
      </x:c>
    </x:row>
    <x:row r="33" spans="1:15">
      <x:c r="A33" s="43"/>
      <x:c r="B33" s="43"/>
      <x:c r="C33" s="43"/>
      <x:c r="D33" s="43"/>
      <x:c r="E33" s="43"/>
      <x:c r="F33" s="43"/>
      <x:c r="O33" s="37" t="s">
        <x:v>25</x:v>
      </x:c>
    </x:row>
    <x:row r="34" spans="1:15">
      <x:c r="A34" s="43"/>
      <x:c r="B34" s="43"/>
      <x:c r="C34" s="43"/>
      <x:c r="D34" s="43"/>
      <x:c r="E34" s="43"/>
      <x:c r="F34" s="43"/>
      <x:c r="O34" s="37" t="s">
        <x:v>25</x:v>
      </x:c>
    </x:row>
    <x:row r="35" spans="1:15" hidden="1">
      <x:c r="O35" s="37" t="s">
        <x:v>25</x:v>
      </x:c>
    </x:row>
    <x:row r="36" spans="1:15" hidden="1">
      <x:c r="O36" s="37" t="s">
        <x:v>25</x:v>
      </x:c>
    </x:row>
    <x:row r="37" spans="1:15" hidden="1">
      <x:c r="O37" s="37" t="s">
        <x:v>25</x:v>
      </x:c>
    </x:row>
    <x:row r="38" spans="1:15" hidden="1">
      <x:c r="O38" s="37" t="s">
        <x:v>25</x:v>
      </x:c>
    </x:row>
    <x:row r="39" spans="1:15" hidden="1">
      <x:c r="O39" s="37" t="s">
        <x:v>25</x:v>
      </x:c>
    </x:row>
    <x:row r="40" spans="1:15" hidden="1">
      <x:c r="O40" s="37" t="s">
        <x:v>25</x:v>
      </x:c>
    </x:row>
    <x:row r="41" spans="1:15" hidden="1">
      <x:c r="O41" s="37" t="s">
        <x:v>25</x:v>
      </x:c>
    </x:row>
    <x:row r="42" spans="1:15" hidden="1">
      <x:c r="O42" s="37" t="s">
        <x:v>25</x:v>
      </x:c>
    </x:row>
    <x:row r="43" spans="1:15" hidden="1">
      <x:c r="O43" s="37" t="s">
        <x:v>25</x:v>
      </x:c>
    </x:row>
    <x:row r="44" spans="1:15" hidden="1">
      <x:c r="O44" s="37" t="s">
        <x:v>25</x:v>
      </x:c>
    </x:row>
    <x:row r="45" spans="1:15" hidden="1">
      <x:c r="O45" s="37" t="s">
        <x:v>25</x:v>
      </x:c>
    </x:row>
    <x:row r="46" spans="1:15" hidden="1">
      <x:c r="O46" s="37" t="s">
        <x:v>25</x:v>
      </x:c>
    </x:row>
    <x:row r="47" spans="1:15" hidden="1">
      <x:c r="O47" s="37" t="s">
        <x:v>25</x:v>
      </x:c>
    </x:row>
    <x:row r="48" spans="1:15" hidden="1">
      <x:c r="O48" s="37" t="s">
        <x:v>25</x:v>
      </x:c>
    </x:row>
    <x:row r="49" spans="15:15" hidden="1">
      <x:c r="O49" s="37" t="s">
        <x:v>25</x:v>
      </x:c>
    </x:row>
    <x:row r="50" spans="15:15" hidden="1">
      <x:c r="O50" s="37" t="s">
        <x:v>25</x:v>
      </x:c>
    </x:row>
    <x:row r="51" spans="15:15" hidden="1">
      <x:c r="O51" s="37" t="s">
        <x:v>25</x:v>
      </x:c>
    </x:row>
    <x:row r="52" spans="15:15" hidden="1">
      <x:c r="O52" s="37" t="s">
        <x:v>25</x:v>
      </x:c>
    </x:row>
    <x:row r="53" spans="15:15" hidden="1">
      <x:c r="O53" s="37" t="s">
        <x:v>25</x:v>
      </x:c>
    </x:row>
    <x:row r="54" spans="15:15" hidden="1">
      <x:c r="O54" s="37" t="s">
        <x:v>25</x:v>
      </x:c>
    </x:row>
    <x:row r="55" spans="15:15" hidden="1">
      <x:c r="O55" s="37" t="s">
        <x:v>25</x:v>
      </x:c>
    </x:row>
    <x:row r="56" spans="15:15" hidden="1">
      <x:c r="O56" s="37" t="s">
        <x:v>25</x:v>
      </x:c>
    </x:row>
    <x:row r="57" spans="15:15" hidden="1">
      <x:c r="O57" s="37" t="s">
        <x:v>25</x:v>
      </x:c>
    </x:row>
    <x:row r="58" spans="15:15" hidden="1">
      <x:c r="O58" s="37" t="s">
        <x:v>25</x:v>
      </x:c>
    </x:row>
    <x:row r="59" spans="15:15" hidden="1">
      <x:c r="O59" s="37" t="s">
        <x:v>25</x:v>
      </x:c>
    </x:row>
    <x:row r="60" spans="15:15" hidden="1">
      <x:c r="O60" s="37" t="s">
        <x:v>25</x:v>
      </x:c>
    </x:row>
    <x:row r="61" spans="15:15" hidden="1">
      <x:c r="O61" s="37" t="s">
        <x:v>25</x:v>
      </x:c>
    </x:row>
    <x:row r="62" spans="15:15" hidden="1">
      <x:c r="O62" s="37" t="s">
        <x:v>25</x:v>
      </x:c>
    </x:row>
    <x:row r="63" spans="15:15" hidden="1">
      <x:c r="O63" s="37" t="s">
        <x:v>25</x:v>
      </x:c>
    </x:row>
    <x:row r="64" spans="15:15" hidden="1">
      <x:c r="O64" s="37" t="s">
        <x:v>25</x:v>
      </x:c>
    </x:row>
    <x:row r="65" spans="15:15" hidden="1">
      <x:c r="O65" s="37" t="s">
        <x:v>25</x:v>
      </x:c>
    </x:row>
    <x:row r="66" spans="15:15" hidden="1">
      <x:c r="O66" s="37" t="s">
        <x:v>25</x:v>
      </x:c>
    </x:row>
    <x:row r="67" spans="15:15" hidden="1">
      <x:c r="O67" s="37" t="s">
        <x:v>25</x:v>
      </x:c>
    </x:row>
    <x:row r="68" spans="15:15" hidden="1">
      <x:c r="O68" s="37" t="s">
        <x:v>25</x:v>
      </x:c>
    </x:row>
    <x:row r="69" spans="15:15" hidden="1">
      <x:c r="O69" s="37" t="s">
        <x:v>25</x:v>
      </x:c>
    </x:row>
    <x:row r="70" spans="15:15" hidden="1">
      <x:c r="O70" s="37" t="s">
        <x:v>25</x:v>
      </x:c>
    </x:row>
    <x:row r="71" spans="15:15" hidden="1">
      <x:c r="O71" s="37" t="s">
        <x:v>25</x:v>
      </x:c>
    </x:row>
    <x:row r="72" spans="15:15" hidden="1">
      <x:c r="O72" s="37" t="s">
        <x:v>25</x:v>
      </x:c>
    </x:row>
    <x:row r="73" spans="15:15" hidden="1">
      <x:c r="O73" s="37" t="s">
        <x:v>25</x:v>
      </x:c>
    </x:row>
    <x:row r="74" spans="15:15" hidden="1">
      <x:c r="O74" s="37" t="s">
        <x:v>25</x:v>
      </x:c>
    </x:row>
    <x:row r="75" spans="15:15" hidden="1">
      <x:c r="O75" s="37" t="s">
        <x:v>25</x:v>
      </x:c>
    </x:row>
    <x:row r="76" spans="15:15" hidden="1">
      <x:c r="O76" s="37" t="s">
        <x:v>25</x:v>
      </x:c>
    </x:row>
    <x:row r="77" spans="15:15" hidden="1">
      <x:c r="O77" s="37" t="s">
        <x:v>25</x:v>
      </x:c>
    </x:row>
    <x:row r="78" spans="15:15" hidden="1">
      <x:c r="O78" s="37" t="s">
        <x:v>25</x:v>
      </x:c>
    </x:row>
    <x:row r="79" spans="15:15" hidden="1">
      <x:c r="O79" s="37" t="s">
        <x:v>25</x:v>
      </x:c>
    </x:row>
    <x:row r="80" spans="15:15" hidden="1">
      <x:c r="O80" s="37" t="s">
        <x:v>25</x:v>
      </x:c>
    </x:row>
    <x:row r="81" spans="15:15" hidden="1">
      <x:c r="O81" s="37" t="s">
        <x:v>25</x:v>
      </x:c>
    </x:row>
    <x:row r="82" spans="15:15" hidden="1">
      <x:c r="O82" s="37" t="s">
        <x:v>25</x:v>
      </x:c>
    </x:row>
    <x:row r="83" spans="15:15" hidden="1">
      <x:c r="O83" s="37" t="s">
        <x:v>25</x:v>
      </x:c>
    </x:row>
    <x:row r="84" spans="15:15" hidden="1">
      <x:c r="O84" s="37" t="s">
        <x:v>25</x:v>
      </x:c>
    </x:row>
    <x:row r="85" spans="15:15" hidden="1">
      <x:c r="O85" s="37" t="s">
        <x:v>25</x:v>
      </x:c>
    </x:row>
    <x:row r="86" spans="15:15" hidden="1">
      <x:c r="O86" s="37" t="s">
        <x:v>25</x:v>
      </x:c>
    </x:row>
    <x:row r="87" spans="15:15" hidden="1">
      <x:c r="O87" s="37" t="s">
        <x:v>25</x:v>
      </x:c>
    </x:row>
    <x:row r="88" spans="15:15" hidden="1">
      <x:c r="O88" s="37" t="s">
        <x:v>25</x:v>
      </x:c>
    </x:row>
    <x:row r="89" spans="15:15" hidden="1">
      <x:c r="O89" s="37" t="s">
        <x:v>25</x:v>
      </x:c>
    </x:row>
    <x:row r="90" spans="15:15" hidden="1">
      <x:c r="O90" s="37" t="s">
        <x:v>25</x:v>
      </x:c>
    </x:row>
    <x:row r="91" spans="15:15" hidden="1">
      <x:c r="O91" s="37" t="s">
        <x:v>25</x:v>
      </x:c>
    </x:row>
    <x:row r="92" spans="15:15" hidden="1">
      <x:c r="O92" s="37" t="s">
        <x:v>25</x:v>
      </x:c>
    </x:row>
    <x:row r="93" spans="15:15" hidden="1">
      <x:c r="O93" s="37" t="s">
        <x:v>25</x:v>
      </x:c>
    </x:row>
    <x:row r="94" spans="15:15" hidden="1">
      <x:c r="O94" s="37" t="s">
        <x:v>25</x:v>
      </x:c>
    </x:row>
    <x:row r="95" spans="15:15" hidden="1">
      <x:c r="O95" s="37" t="s">
        <x:v>25</x:v>
      </x:c>
    </x:row>
    <x:row r="96" spans="15:15" hidden="1">
      <x:c r="O96" s="37" t="s">
        <x:v>25</x:v>
      </x:c>
    </x:row>
    <x:row r="97" spans="15:15" hidden="1">
      <x:c r="O97" s="37" t="s">
        <x:v>25</x:v>
      </x:c>
    </x:row>
    <x:row r="98" spans="15:15" hidden="1">
      <x:c r="O98" s="37" t="s">
        <x:v>25</x:v>
      </x:c>
    </x:row>
    <x:row r="99" spans="15:15" hidden="1">
      <x:c r="O99" s="37" t="s">
        <x:v>25</x:v>
      </x:c>
    </x:row>
    <x:row r="100" spans="15:15" hidden="1">
      <x:c r="O100" s="37" t="s">
        <x:v>25</x:v>
      </x:c>
    </x:row>
    <x:row r="101" spans="15:15" hidden="1">
      <x:c r="O101" s="37" t="s">
        <x:v>25</x:v>
      </x:c>
    </x:row>
    <x:row r="102" spans="15:15" hidden="1">
      <x:c r="O102" s="37" t="s">
        <x:v>25</x:v>
      </x:c>
    </x:row>
    <x:row r="103" spans="15:15" hidden="1">
      <x:c r="O103" s="37" t="s">
        <x:v>25</x:v>
      </x:c>
    </x:row>
    <x:row r="104" spans="15:15" hidden="1">
      <x:c r="O104" s="37" t="s">
        <x:v>25</x:v>
      </x:c>
    </x:row>
    <x:row r="105" spans="15:15" hidden="1">
      <x:c r="O105" s="37" t="s">
        <x:v>25</x:v>
      </x:c>
    </x:row>
    <x:row r="106" spans="15:15" hidden="1">
      <x:c r="O106" s="37" t="s">
        <x:v>25</x:v>
      </x:c>
    </x:row>
    <x:row r="107" spans="15:15" hidden="1">
      <x:c r="O107" s="37" t="s">
        <x:v>25</x:v>
      </x:c>
    </x:row>
    <x:row r="108" spans="15:15" hidden="1">
      <x:c r="O108" s="37" t="s">
        <x:v>25</x:v>
      </x:c>
    </x:row>
    <x:row r="109" spans="15:15" hidden="1">
      <x:c r="O109" s="37" t="s">
        <x:v>25</x:v>
      </x:c>
    </x:row>
    <x:row r="110" spans="15:15" hidden="1">
      <x:c r="O110" s="37" t="s">
        <x:v>25</x:v>
      </x:c>
    </x:row>
    <x:row r="111" spans="15:15" hidden="1">
      <x:c r="O111" s="37" t="s">
        <x:v>25</x:v>
      </x:c>
    </x:row>
    <x:row r="112" spans="15:15" hidden="1">
      <x:c r="O112" s="37" t="s">
        <x:v>25</x:v>
      </x:c>
    </x:row>
    <x:row r="113" spans="15:15" hidden="1">
      <x:c r="O113" s="37" t="s">
        <x:v>25</x:v>
      </x:c>
    </x:row>
    <x:row r="114" spans="15:15" hidden="1">
      <x:c r="O114" s="37" t="s">
        <x:v>25</x:v>
      </x:c>
    </x:row>
    <x:row r="115" spans="15:15" hidden="1">
      <x:c r="O115" s="37" t="s">
        <x:v>25</x:v>
      </x:c>
    </x:row>
    <x:row r="116" spans="15:15" hidden="1">
      <x:c r="O116" s="37" t="s">
        <x:v>25</x:v>
      </x:c>
    </x:row>
    <x:row r="117" spans="15:15" hidden="1">
      <x:c r="O117" s="37" t="s">
        <x:v>25</x:v>
      </x:c>
    </x:row>
    <x:row r="118" spans="15:15" hidden="1">
      <x:c r="O118" s="37" t="s">
        <x:v>25</x:v>
      </x:c>
    </x:row>
    <x:row r="119" spans="15:15" hidden="1">
      <x:c r="O119" s="37" t="s">
        <x:v>25</x:v>
      </x:c>
    </x:row>
    <x:row r="120" spans="15:15" hidden="1">
      <x:c r="O120" s="37" t="s">
        <x:v>25</x:v>
      </x:c>
    </x:row>
    <x:row r="121" spans="15:15" hidden="1">
      <x:c r="O121" s="37" t="s">
        <x:v>25</x:v>
      </x:c>
    </x:row>
    <x:row r="122" spans="15:15" hidden="1">
      <x:c r="O122" s="37" t="s">
        <x:v>25</x:v>
      </x:c>
    </x:row>
    <x:row r="123" spans="15:15" hidden="1">
      <x:c r="O123" s="37" t="s">
        <x:v>25</x:v>
      </x:c>
    </x:row>
    <x:row r="124" spans="15:15" hidden="1">
      <x:c r="O124" s="37" t="s">
        <x:v>25</x:v>
      </x:c>
    </x:row>
    <x:row r="125" spans="15:15" hidden="1">
      <x:c r="O125" s="37" t="s">
        <x:v>25</x:v>
      </x:c>
    </x:row>
    <x:row r="126" spans="15:15" hidden="1">
      <x:c r="O126" s="37" t="s">
        <x:v>25</x:v>
      </x:c>
    </x:row>
    <x:row r="127" spans="15:15" hidden="1">
      <x:c r="O127" s="37" t="s">
        <x:v>25</x:v>
      </x:c>
    </x:row>
    <x:row r="128" spans="15:15" hidden="1">
      <x:c r="O128" s="37" t="s">
        <x:v>25</x:v>
      </x:c>
    </x:row>
    <x:row r="129" spans="15:15" hidden="1">
      <x:c r="O129" s="37" t="s">
        <x:v>25</x:v>
      </x:c>
    </x:row>
    <x:row r="130" spans="15:15" hidden="1">
      <x:c r="O130" s="37" t="s">
        <x:v>25</x:v>
      </x:c>
    </x:row>
    <x:row r="131" spans="15:15" hidden="1">
      <x:c r="O131" s="37" t="s">
        <x:v>25</x:v>
      </x:c>
    </x:row>
    <x:row r="132" spans="15:15" hidden="1">
      <x:c r="O132" s="37" t="s">
        <x:v>25</x:v>
      </x:c>
    </x:row>
    <x:row r="133" spans="15:15" hidden="1">
      <x:c r="O133" s="37" t="s">
        <x:v>25</x:v>
      </x:c>
    </x:row>
    <x:row r="134" spans="15:15" hidden="1">
      <x:c r="O134" s="37" t="s">
        <x:v>25</x:v>
      </x:c>
    </x:row>
    <x:row r="135" spans="15:15" hidden="1">
      <x:c r="O135" s="37" t="s">
        <x:v>25</x:v>
      </x:c>
    </x:row>
    <x:row r="136" spans="15:15" hidden="1">
      <x:c r="O136" s="37" t="s">
        <x:v>25</x:v>
      </x:c>
    </x:row>
    <x:row r="137" spans="15:15" hidden="1">
      <x:c r="O137" s="37" t="s">
        <x:v>25</x:v>
      </x:c>
    </x:row>
    <x:row r="138" spans="15:15" hidden="1">
      <x:c r="O138" s="37" t="s">
        <x:v>25</x:v>
      </x:c>
    </x:row>
    <x:row r="139" spans="15:15" hidden="1">
      <x:c r="O139" s="37" t="s">
        <x:v>25</x:v>
      </x:c>
    </x:row>
    <x:row r="140" spans="15:15" hidden="1">
      <x:c r="O140" s="37" t="s">
        <x:v>25</x:v>
      </x:c>
    </x:row>
    <x:row r="141" spans="15:15" hidden="1">
      <x:c r="O141" s="37" t="s">
        <x:v>25</x:v>
      </x:c>
    </x:row>
    <x:row r="142" spans="15:15" hidden="1">
      <x:c r="O142" s="37" t="s">
        <x:v>25</x:v>
      </x:c>
    </x:row>
    <x:row r="143" spans="15:15" hidden="1">
      <x:c r="O143" s="37" t="s">
        <x:v>25</x:v>
      </x:c>
    </x:row>
    <x:row r="144" spans="15:15" hidden="1">
      <x:c r="O144" s="37" t="s">
        <x:v>25</x:v>
      </x:c>
    </x:row>
    <x:row r="145" spans="15:15" hidden="1">
      <x:c r="O145" s="37" t="s">
        <x:v>25</x:v>
      </x:c>
    </x:row>
    <x:row r="146" spans="15:15" hidden="1">
      <x:c r="O146" s="37" t="s">
        <x:v>25</x:v>
      </x:c>
    </x:row>
    <x:row r="147" spans="15:15" hidden="1">
      <x:c r="O147" s="37" t="s">
        <x:v>25</x:v>
      </x:c>
    </x:row>
    <x:row r="148" spans="15:15" hidden="1">
      <x:c r="O148" s="37" t="s">
        <x:v>25</x:v>
      </x:c>
    </x:row>
    <x:row r="149" spans="15:15" hidden="1">
      <x:c r="O149" s="37" t="s">
        <x:v>25</x:v>
      </x:c>
    </x:row>
    <x:row r="150" spans="15:15" hidden="1">
      <x:c r="O150" s="37" t="s">
        <x:v>25</x:v>
      </x:c>
    </x:row>
    <x:row r="151" spans="15:15" hidden="1">
      <x:c r="O151" s="37" t="s">
        <x:v>25</x:v>
      </x:c>
    </x:row>
    <x:row r="152" spans="15:15" hidden="1">
      <x:c r="O152" s="37" t="s">
        <x:v>25</x:v>
      </x:c>
    </x:row>
    <x:row r="153" spans="15:15" hidden="1">
      <x:c r="O153" s="37" t="s">
        <x:v>25</x:v>
      </x:c>
    </x:row>
    <x:row r="154" spans="15:15" hidden="1">
      <x:c r="O154" s="37" t="s">
        <x:v>25</x:v>
      </x:c>
    </x:row>
    <x:row r="155" spans="15:15" hidden="1">
      <x:c r="O155" s="37" t="s">
        <x:v>25</x:v>
      </x:c>
    </x:row>
    <x:row r="156" spans="15:15" hidden="1">
      <x:c r="O156" s="37" t="s">
        <x:v>25</x:v>
      </x:c>
    </x:row>
    <x:row r="157" spans="15:15" hidden="1">
      <x:c r="O157" s="37" t="s">
        <x:v>25</x:v>
      </x:c>
    </x:row>
    <x:row r="158" spans="15:15" hidden="1">
      <x:c r="O158" s="37" t="s">
        <x:v>25</x:v>
      </x:c>
    </x:row>
    <x:row r="159" spans="15:15" hidden="1">
      <x:c r="O159" s="37" t="s">
        <x:v>25</x:v>
      </x:c>
    </x:row>
    <x:row r="160" spans="15:15" hidden="1">
      <x:c r="O160" s="37" t="s">
        <x:v>25</x:v>
      </x:c>
    </x:row>
    <x:row r="161" spans="15:15" hidden="1">
      <x:c r="O161" s="37" t="s">
        <x:v>25</x:v>
      </x:c>
    </x:row>
    <x:row r="162" spans="15:15" hidden="1">
      <x:c r="O162" s="37" t="s">
        <x:v>25</x:v>
      </x:c>
    </x:row>
    <x:row r="163" spans="15:15" hidden="1">
      <x:c r="O163" s="37" t="s">
        <x:v>25</x:v>
      </x:c>
    </x:row>
    <x:row r="164" spans="15:15" hidden="1">
      <x:c r="O164" s="37" t="s">
        <x:v>25</x:v>
      </x:c>
    </x:row>
    <x:row r="165" spans="15:15" hidden="1">
      <x:c r="O165" s="37" t="s">
        <x:v>25</x:v>
      </x:c>
    </x:row>
    <x:row r="166" spans="15:15" hidden="1">
      <x:c r="O166" s="37" t="s">
        <x:v>25</x:v>
      </x:c>
    </x:row>
    <x:row r="167" spans="15:15" hidden="1">
      <x:c r="O167" s="37" t="s">
        <x:v>25</x:v>
      </x:c>
    </x:row>
    <x:row r="168" spans="15:15" hidden="1">
      <x:c r="O168" s="37" t="s">
        <x:v>25</x:v>
      </x:c>
    </x:row>
    <x:row r="169" spans="15:15" hidden="1">
      <x:c r="O169" s="37" t="s">
        <x:v>25</x:v>
      </x:c>
    </x:row>
    <x:row r="170" spans="15:15" hidden="1">
      <x:c r="O170" s="37" t="s">
        <x:v>25</x:v>
      </x:c>
    </x:row>
    <x:row r="171" spans="15:15" hidden="1">
      <x:c r="O171" s="37" t="s">
        <x:v>25</x:v>
      </x:c>
    </x:row>
    <x:row r="172" spans="15:15" hidden="1">
      <x:c r="O172" s="37" t="s">
        <x:v>25</x:v>
      </x:c>
    </x:row>
    <x:row r="173" spans="15:15" hidden="1">
      <x:c r="O173" s="37" t="s">
        <x:v>25</x:v>
      </x:c>
    </x:row>
    <x:row r="174" spans="15:15" hidden="1">
      <x:c r="O174" s="37" t="s">
        <x:v>25</x:v>
      </x:c>
    </x:row>
    <x:row r="175" spans="15:15" hidden="1">
      <x:c r="O175" s="37" t="s">
        <x:v>25</x:v>
      </x:c>
    </x:row>
    <x:row r="176" spans="15:15" hidden="1">
      <x:c r="O176" s="37" t="s">
        <x:v>25</x:v>
      </x:c>
    </x:row>
    <x:row r="177" spans="15:15" hidden="1">
      <x:c r="O177" s="37" t="s">
        <x:v>25</x:v>
      </x:c>
    </x:row>
    <x:row r="178" spans="15:15" hidden="1">
      <x:c r="O178" s="37" t="s">
        <x:v>25</x:v>
      </x:c>
    </x:row>
    <x:row r="179" spans="15:15" hidden="1">
      <x:c r="O179" s="37" t="s">
        <x:v>25</x:v>
      </x:c>
    </x:row>
    <x:row r="180" spans="15:15" hidden="1">
      <x:c r="O180" s="37" t="s">
        <x:v>25</x:v>
      </x:c>
    </x:row>
    <x:row r="181" spans="15:15" hidden="1">
      <x:c r="O181" s="37" t="s">
        <x:v>25</x:v>
      </x:c>
    </x:row>
    <x:row r="182" spans="15:15" hidden="1">
      <x:c r="O182" s="37" t="s">
        <x:v>25</x:v>
      </x:c>
    </x:row>
    <x:row r="183" spans="15:15" hidden="1">
      <x:c r="O183" s="37" t="s">
        <x:v>25</x:v>
      </x:c>
    </x:row>
    <x:row r="184" spans="15:15" hidden="1">
      <x:c r="O184" s="37" t="s">
        <x:v>25</x:v>
      </x:c>
    </x:row>
    <x:row r="185" spans="15:15" hidden="1">
      <x:c r="O185" s="37" t="s">
        <x:v>25</x:v>
      </x:c>
    </x:row>
    <x:row r="186" spans="15:15" hidden="1">
      <x:c r="O186" s="37" t="s">
        <x:v>25</x:v>
      </x:c>
    </x:row>
    <x:row r="187" spans="15:15" hidden="1">
      <x:c r="O187" s="37" t="s">
        <x:v>25</x:v>
      </x:c>
    </x:row>
    <x:row r="188" spans="15:15" hidden="1">
      <x:c r="O188" s="37" t="s">
        <x:v>25</x:v>
      </x:c>
    </x:row>
    <x:row r="189" spans="15:15" hidden="1">
      <x:c r="O189" s="37" t="s">
        <x:v>25</x:v>
      </x:c>
    </x:row>
    <x:row r="190" spans="15:15" hidden="1">
      <x:c r="O190" s="37" t="s">
        <x:v>25</x:v>
      </x:c>
    </x:row>
    <x:row r="191" spans="15:15" hidden="1">
      <x:c r="O191" s="37" t="s">
        <x:v>25</x:v>
      </x:c>
    </x:row>
    <x:row r="192" spans="15:15" hidden="1">
      <x:c r="O192" s="37" t="s">
        <x:v>25</x:v>
      </x:c>
    </x:row>
    <x:row r="193" spans="15:15" hidden="1">
      <x:c r="O193" s="37" t="s">
        <x:v>25</x:v>
      </x:c>
    </x:row>
    <x:row r="194" spans="15:15" hidden="1">
      <x:c r="O194" s="37" t="s">
        <x:v>25</x:v>
      </x:c>
    </x:row>
    <x:row r="195" spans="15:15" hidden="1">
      <x:c r="O195" s="37" t="s">
        <x:v>25</x:v>
      </x:c>
    </x:row>
    <x:row r="196" spans="15:15" hidden="1">
      <x:c r="O196" s="37" t="s">
        <x:v>25</x:v>
      </x:c>
    </x:row>
    <x:row r="197" spans="15:15" hidden="1">
      <x:c r="O197" s="37" t="s">
        <x:v>25</x:v>
      </x:c>
    </x:row>
    <x:row r="198" spans="15:15" hidden="1">
      <x:c r="O198" s="37" t="s">
        <x:v>25</x:v>
      </x:c>
    </x:row>
    <x:row r="199" spans="15:15" hidden="1">
      <x:c r="O199" s="37" t="s">
        <x:v>25</x:v>
      </x:c>
    </x:row>
    <x:row r="200" spans="15:15" hidden="1">
      <x:c r="O200" s="37" t="s">
        <x:v>25</x:v>
      </x:c>
    </x:row>
    <x:row r="201" spans="15:15" hidden="1">
      <x:c r="O201" s="37" t="s">
        <x:v>25</x:v>
      </x:c>
    </x:row>
    <x:row r="202" spans="15:15" hidden="1">
      <x:c r="O202" s="37" t="s">
        <x:v>25</x:v>
      </x:c>
    </x:row>
    <x:row r="203" spans="15:15" hidden="1">
      <x:c r="O203" s="37" t="s">
        <x:v>25</x:v>
      </x:c>
    </x:row>
    <x:row r="204" spans="15:15" hidden="1">
      <x:c r="O204" s="37" t="s">
        <x:v>25</x:v>
      </x:c>
    </x:row>
    <x:row r="205" spans="15:15" hidden="1">
      <x:c r="O205" s="37" t="s">
        <x:v>25</x:v>
      </x:c>
    </x:row>
    <x:row r="206" spans="15:15" hidden="1">
      <x:c r="O206" s="37" t="s">
        <x:v>25</x:v>
      </x:c>
    </x:row>
    <x:row r="207" spans="15:15" hidden="1">
      <x:c r="O207" s="37" t="s">
        <x:v>25</x:v>
      </x:c>
    </x:row>
    <x:row r="208" spans="15:15" hidden="1">
      <x:c r="O208" s="37" t="s">
        <x:v>25</x:v>
      </x:c>
    </x:row>
    <x:row r="209" spans="15:15" hidden="1">
      <x:c r="O209" s="37" t="s">
        <x:v>25</x:v>
      </x:c>
    </x:row>
    <x:row r="210" spans="15:15" hidden="1">
      <x:c r="O210" s="37" t="s">
        <x:v>25</x:v>
      </x:c>
    </x:row>
    <x:row r="211" spans="15:15" hidden="1">
      <x:c r="O211" s="37" t="s">
        <x:v>25</x:v>
      </x:c>
    </x:row>
    <x:row r="212" spans="15:15" hidden="1">
      <x:c r="O212" s="37" t="s">
        <x:v>25</x:v>
      </x:c>
    </x:row>
    <x:row r="213" spans="15:15" hidden="1">
      <x:c r="O213" s="37" t="s">
        <x:v>25</x:v>
      </x:c>
    </x:row>
    <x:row r="214" spans="15:15" hidden="1">
      <x:c r="O214" s="37" t="s">
        <x:v>25</x:v>
      </x:c>
    </x:row>
    <x:row r="215" spans="15:15" hidden="1">
      <x:c r="O215" s="37" t="s">
        <x:v>25</x:v>
      </x:c>
    </x:row>
    <x:row r="216" spans="15:15" hidden="1">
      <x:c r="O216" s="37" t="s">
        <x:v>25</x:v>
      </x:c>
    </x:row>
    <x:row r="217" spans="15:15" hidden="1">
      <x:c r="O217" s="37" t="s">
        <x:v>25</x:v>
      </x:c>
    </x:row>
    <x:row r="218" spans="15:15" hidden="1">
      <x:c r="O218" s="37" t="s">
        <x:v>25</x:v>
      </x:c>
    </x:row>
    <x:row r="219" spans="15:15" hidden="1">
      <x:c r="O219" s="37" t="s">
        <x:v>25</x:v>
      </x:c>
    </x:row>
    <x:row r="220" spans="15:15" hidden="1">
      <x:c r="O220" s="37" t="s">
        <x:v>25</x:v>
      </x:c>
    </x:row>
    <x:row r="221" spans="15:15" hidden="1">
      <x:c r="O221" s="37" t="s">
        <x:v>25</x:v>
      </x:c>
    </x:row>
    <x:row r="222" spans="15:15" hidden="1">
      <x:c r="O222" s="37" t="s">
        <x:v>25</x:v>
      </x:c>
    </x:row>
    <x:row r="223" spans="15:15" hidden="1">
      <x:c r="O223" s="37" t="s">
        <x:v>25</x:v>
      </x:c>
    </x:row>
    <x:row r="224" spans="15:15" hidden="1">
      <x:c r="O224" s="37" t="s">
        <x:v>25</x:v>
      </x:c>
    </x:row>
    <x:row r="225" spans="15:15" hidden="1">
      <x:c r="O225" s="37" t="s">
        <x:v>25</x:v>
      </x:c>
    </x:row>
    <x:row r="226" spans="15:15" hidden="1">
      <x:c r="O226" s="37" t="s">
        <x:v>25</x:v>
      </x:c>
    </x:row>
    <x:row r="227" spans="15:15" hidden="1">
      <x:c r="O227" s="37" t="s">
        <x:v>25</x:v>
      </x:c>
    </x:row>
    <x:row r="228" spans="15:15" hidden="1">
      <x:c r="O228" s="37" t="s">
        <x:v>25</x:v>
      </x:c>
    </x:row>
    <x:row r="229" spans="15:15" hidden="1">
      <x:c r="O229" s="37" t="s">
        <x:v>25</x:v>
      </x:c>
    </x:row>
    <x:row r="230" spans="15:15" hidden="1">
      <x:c r="O230" s="37" t="s">
        <x:v>25</x:v>
      </x:c>
    </x:row>
    <x:row r="231" spans="15:15" hidden="1">
      <x:c r="O231" s="37" t="s">
        <x:v>25</x:v>
      </x:c>
    </x:row>
    <x:row r="232" spans="15:15" hidden="1">
      <x:c r="O232" s="37" t="s">
        <x:v>25</x:v>
      </x:c>
    </x:row>
    <x:row r="233" spans="15:15" hidden="1">
      <x:c r="O233" s="37" t="s">
        <x:v>25</x:v>
      </x:c>
    </x:row>
    <x:row r="234" spans="15:15" hidden="1">
      <x:c r="O234" s="37" t="s">
        <x:v>25</x:v>
      </x:c>
    </x:row>
    <x:row r="235" spans="15:15" hidden="1">
      <x:c r="O235" s="37" t="s">
        <x:v>25</x:v>
      </x:c>
    </x:row>
    <x:row r="236" spans="15:15" hidden="1">
      <x:c r="O236" s="37" t="s">
        <x:v>25</x:v>
      </x:c>
    </x:row>
    <x:row r="237" spans="15:15" hidden="1">
      <x:c r="O237" s="37" t="s">
        <x:v>25</x:v>
      </x:c>
    </x:row>
    <x:row r="238" spans="15:15" hidden="1">
      <x:c r="O238" s="37" t="s">
        <x:v>25</x:v>
      </x:c>
    </x:row>
    <x:row r="239" spans="15:15" hidden="1">
      <x:c r="O239" s="37" t="s">
        <x:v>25</x:v>
      </x:c>
    </x:row>
    <x:row r="240" spans="15:15" hidden="1">
      <x:c r="O240" s="37" t="s">
        <x:v>25</x:v>
      </x:c>
    </x:row>
    <x:row r="241" spans="15:15" hidden="1">
      <x:c r="O241" s="37" t="s">
        <x:v>25</x:v>
      </x:c>
    </x:row>
    <x:row r="242" spans="15:15" hidden="1">
      <x:c r="O242" s="37" t="s">
        <x:v>25</x:v>
      </x:c>
    </x:row>
    <x:row r="243" spans="15:15" hidden="1">
      <x:c r="O243" s="37" t="s">
        <x:v>25</x:v>
      </x:c>
    </x:row>
    <x:row r="244" spans="15:15" hidden="1">
      <x:c r="O244" s="37" t="s">
        <x:v>25</x:v>
      </x:c>
    </x:row>
    <x:row r="245" spans="15:15" hidden="1">
      <x:c r="O245" s="37" t="s">
        <x:v>25</x:v>
      </x:c>
    </x:row>
    <x:row r="246" spans="15:15" hidden="1">
      <x:c r="O246" s="37" t="s">
        <x:v>25</x:v>
      </x:c>
    </x:row>
    <x:row r="247" spans="15:15" hidden="1">
      <x:c r="O247" s="37" t="s">
        <x:v>25</x:v>
      </x:c>
    </x:row>
    <x:row r="248" spans="15:15" hidden="1">
      <x:c r="O248" s="37" t="s">
        <x:v>25</x:v>
      </x:c>
    </x:row>
    <x:row r="249" spans="15:15" hidden="1">
      <x:c r="O249" s="37" t="s">
        <x:v>25</x:v>
      </x:c>
    </x:row>
    <x:row r="250" spans="15:15" hidden="1">
      <x:c r="O250" s="37" t="s">
        <x:v>25</x:v>
      </x:c>
    </x:row>
    <x:row r="251" spans="15:15" hidden="1">
      <x:c r="O251" s="37" t="s">
        <x:v>25</x:v>
      </x:c>
    </x:row>
    <x:row r="252" spans="15:15" hidden="1">
      <x:c r="O252" s="37" t="s">
        <x:v>25</x:v>
      </x:c>
    </x:row>
    <x:row r="253" spans="15:15" hidden="1">
      <x:c r="O253" s="37" t="s">
        <x:v>25</x:v>
      </x:c>
    </x:row>
    <x:row r="254" spans="15:15" hidden="1">
      <x:c r="O254" s="37" t="s">
        <x:v>25</x:v>
      </x:c>
    </x:row>
    <x:row r="255" spans="15:15" hidden="1">
      <x:c r="O255" s="37" t="s">
        <x:v>25</x:v>
      </x:c>
    </x:row>
    <x:row r="256" spans="15:15" hidden="1">
      <x:c r="O256" s="37" t="s">
        <x:v>25</x:v>
      </x:c>
    </x:row>
    <x:row r="257" spans="15:15" hidden="1">
      <x:c r="O257" s="37" t="s">
        <x:v>25</x:v>
      </x:c>
    </x:row>
    <x:row r="258" spans="15:15" hidden="1">
      <x:c r="O258" s="37" t="s">
        <x:v>25</x:v>
      </x:c>
    </x:row>
    <x:row r="259" spans="15:15" hidden="1">
      <x:c r="O259" s="37" t="s">
        <x:v>25</x:v>
      </x:c>
    </x:row>
    <x:row r="260" spans="15:15" hidden="1">
      <x:c r="O260" s="37" t="s">
        <x:v>25</x:v>
      </x:c>
    </x:row>
    <x:row r="261" spans="15:15" hidden="1">
      <x:c r="O261" s="37" t="s">
        <x:v>25</x:v>
      </x:c>
    </x:row>
    <x:row r="262" spans="15:15" hidden="1">
      <x:c r="O262" s="37" t="s">
        <x:v>25</x:v>
      </x:c>
    </x:row>
    <x:row r="263" spans="15:15" hidden="1">
      <x:c r="O263" s="37" t="s">
        <x:v>25</x:v>
      </x:c>
    </x:row>
    <x:row r="264" spans="15:15" hidden="1">
      <x:c r="O264" s="37" t="s">
        <x:v>25</x:v>
      </x:c>
    </x:row>
    <x:row r="265" spans="15:15" hidden="1">
      <x:c r="O265" s="37" t="s">
        <x:v>25</x:v>
      </x:c>
    </x:row>
    <x:row r="266" spans="15:15" hidden="1">
      <x:c r="O266" s="37" t="s">
        <x:v>25</x:v>
      </x:c>
    </x:row>
    <x:row r="267" spans="15:15" hidden="1">
      <x:c r="O267" s="37" t="s">
        <x:v>25</x:v>
      </x:c>
    </x:row>
    <x:row r="268" spans="15:15" hidden="1">
      <x:c r="O268" s="37" t="s">
        <x:v>25</x:v>
      </x:c>
    </x:row>
    <x:row r="269" spans="15:15" hidden="1">
      <x:c r="O269" s="37" t="s">
        <x:v>25</x:v>
      </x:c>
    </x:row>
    <x:row r="270" spans="15:15" hidden="1">
      <x:c r="O270" s="37" t="s">
        <x:v>25</x:v>
      </x:c>
    </x:row>
    <x:row r="271" spans="15:15" hidden="1">
      <x:c r="O271" s="37" t="s">
        <x:v>25</x:v>
      </x:c>
    </x:row>
    <x:row r="272" spans="15:15" hidden="1">
      <x:c r="O272" s="37" t="s">
        <x:v>25</x:v>
      </x:c>
    </x:row>
    <x:row r="273" spans="15:15" hidden="1">
      <x:c r="O273" s="37" t="s">
        <x:v>25</x:v>
      </x:c>
    </x:row>
    <x:row r="274" spans="15:15" hidden="1">
      <x:c r="O274" s="37" t="s">
        <x:v>25</x:v>
      </x:c>
    </x:row>
    <x:row r="275" spans="15:15" hidden="1">
      <x:c r="O275" s="37" t="s">
        <x:v>25</x:v>
      </x:c>
    </x:row>
    <x:row r="276" spans="15:15" hidden="1">
      <x:c r="O276" s="37" t="s">
        <x:v>25</x:v>
      </x:c>
    </x:row>
    <x:row r="277" spans="15:15" hidden="1">
      <x:c r="O277" s="37" t="s">
        <x:v>25</x:v>
      </x:c>
    </x:row>
    <x:row r="278" spans="15:15" hidden="1">
      <x:c r="O278" s="37" t="s">
        <x:v>25</x:v>
      </x:c>
    </x:row>
    <x:row r="279" spans="15:15" hidden="1">
      <x:c r="O279" s="37" t="s">
        <x:v>25</x:v>
      </x:c>
    </x:row>
    <x:row r="280" spans="15:15" hidden="1">
      <x:c r="O280" s="37" t="s">
        <x:v>25</x:v>
      </x:c>
    </x:row>
    <x:row r="281" spans="15:15" hidden="1">
      <x:c r="O281" s="37" t="s">
        <x:v>25</x:v>
      </x:c>
    </x:row>
    <x:row r="282" spans="15:15" hidden="1">
      <x:c r="O282" s="37" t="s">
        <x:v>25</x:v>
      </x:c>
    </x:row>
    <x:row r="283" spans="15:15" hidden="1">
      <x:c r="O283" s="37" t="s">
        <x:v>25</x:v>
      </x:c>
    </x:row>
    <x:row r="284" spans="15:15" hidden="1">
      <x:c r="O284" s="37" t="s">
        <x:v>25</x:v>
      </x:c>
    </x:row>
    <x:row r="285" spans="15:15" hidden="1">
      <x:c r="O285" s="37" t="s">
        <x:v>25</x:v>
      </x:c>
    </x:row>
    <x:row r="286" spans="15:15" hidden="1">
      <x:c r="O286" s="37" t="s">
        <x:v>25</x:v>
      </x:c>
    </x:row>
    <x:row r="287" spans="15:15" hidden="1">
      <x:c r="O287" s="37" t="s">
        <x:v>25</x:v>
      </x:c>
    </x:row>
    <x:row r="288" spans="15:15" hidden="1">
      <x:c r="O288" s="37" t="s">
        <x:v>25</x:v>
      </x:c>
    </x:row>
    <x:row r="289" spans="15:15" hidden="1">
      <x:c r="O289" s="37" t="s">
        <x:v>25</x:v>
      </x:c>
    </x:row>
    <x:row r="290" spans="15:15" hidden="1">
      <x:c r="O290" s="37" t="s">
        <x:v>25</x:v>
      </x:c>
    </x:row>
    <x:row r="291" spans="15:15" hidden="1">
      <x:c r="O291" s="37" t="s">
        <x:v>25</x:v>
      </x:c>
    </x:row>
    <x:row r="292" spans="15:15" hidden="1">
      <x:c r="O292" s="37" t="s">
        <x:v>25</x:v>
      </x:c>
    </x:row>
    <x:row r="293" spans="15:15" hidden="1">
      <x:c r="O293" s="37" t="s">
        <x:v>25</x:v>
      </x:c>
    </x:row>
    <x:row r="294" spans="15:15" hidden="1">
      <x:c r="O294" s="37" t="s">
        <x:v>25</x:v>
      </x:c>
    </x:row>
    <x:row r="295" spans="15:15" hidden="1">
      <x:c r="O295" s="37" t="s">
        <x:v>25</x:v>
      </x:c>
    </x:row>
    <x:row r="296" spans="15:15" hidden="1">
      <x:c r="O296" s="37" t="s">
        <x:v>25</x:v>
      </x:c>
    </x:row>
    <x:row r="297" spans="15:15" hidden="1">
      <x:c r="O297" s="37" t="s">
        <x:v>25</x:v>
      </x:c>
    </x:row>
    <x:row r="298" spans="15:15" hidden="1">
      <x:c r="O298" s="37" t="s">
        <x:v>25</x:v>
      </x:c>
    </x:row>
    <x:row r="299" spans="15:15" hidden="1">
      <x:c r="O299" s="37" t="s">
        <x:v>25</x:v>
      </x:c>
    </x:row>
    <x:row r="300" spans="15:15" hidden="1">
      <x:c r="O300" s="37" t="s">
        <x:v>25</x:v>
      </x:c>
    </x:row>
    <x:row r="301" spans="15:15" hidden="1">
      <x:c r="O301" s="37" t="s">
        <x:v>25</x:v>
      </x:c>
    </x:row>
    <x:row r="302" spans="15:15" hidden="1">
      <x:c r="O302" s="37" t="s">
        <x:v>25</x:v>
      </x:c>
    </x:row>
    <x:row r="303" spans="15:15" hidden="1">
      <x:c r="O303" s="37" t="s">
        <x:v>25</x:v>
      </x:c>
    </x:row>
    <x:row r="304" spans="15:15" hidden="1">
      <x:c r="O304" s="37" t="s">
        <x:v>25</x:v>
      </x:c>
    </x:row>
    <x:row r="305" spans="15:15" hidden="1">
      <x:c r="O305" s="37" t="s">
        <x:v>25</x:v>
      </x:c>
    </x:row>
    <x:row r="306" spans="15:15" hidden="1">
      <x:c r="O306" s="37" t="s">
        <x:v>25</x:v>
      </x:c>
    </x:row>
    <x:row r="307" spans="15:15" hidden="1">
      <x:c r="O307" s="37" t="s">
        <x:v>25</x:v>
      </x:c>
    </x:row>
    <x:row r="308" spans="15:15" hidden="1">
      <x:c r="O308" s="37" t="s">
        <x:v>25</x:v>
      </x:c>
    </x:row>
    <x:row r="309" spans="15:15" hidden="1">
      <x:c r="O309" s="37" t="s">
        <x:v>25</x:v>
      </x:c>
    </x:row>
    <x:row r="310" spans="15:15" hidden="1">
      <x:c r="O310" s="37" t="s">
        <x:v>25</x:v>
      </x:c>
    </x:row>
    <x:row r="311" spans="15:15" hidden="1">
      <x:c r="O311" s="37" t="s">
        <x:v>25</x:v>
      </x:c>
    </x:row>
    <x:row r="312" spans="15:15" hidden="1">
      <x:c r="O312" s="37" t="s">
        <x:v>25</x:v>
      </x:c>
    </x:row>
    <x:row r="313" spans="15:15" hidden="1">
      <x:c r="O313" s="37" t="s">
        <x:v>25</x:v>
      </x:c>
    </x:row>
    <x:row r="314" spans="15:15" hidden="1">
      <x:c r="O314" s="37" t="s">
        <x:v>25</x:v>
      </x:c>
    </x:row>
    <x:row r="315" spans="15:15" hidden="1">
      <x:c r="O315" s="37" t="s">
        <x:v>25</x:v>
      </x:c>
    </x:row>
    <x:row r="316" spans="15:15" hidden="1">
      <x:c r="O316" s="37" t="s">
        <x:v>25</x:v>
      </x:c>
    </x:row>
    <x:row r="317" spans="15:15" hidden="1">
      <x:c r="O317" s="37" t="s">
        <x:v>25</x:v>
      </x:c>
    </x:row>
    <x:row r="318" spans="15:15" hidden="1">
      <x:c r="O318" s="37" t="s">
        <x:v>25</x:v>
      </x:c>
    </x:row>
    <x:row r="319" spans="15:15" hidden="1">
      <x:c r="O319" s="37" t="s">
        <x:v>25</x:v>
      </x:c>
    </x:row>
    <x:row r="320" spans="15:15" hidden="1">
      <x:c r="O320" s="37" t="s">
        <x:v>25</x:v>
      </x:c>
    </x:row>
    <x:row r="321" spans="15:15" hidden="1">
      <x:c r="O321" s="37" t="s">
        <x:v>25</x:v>
      </x:c>
    </x:row>
    <x:row r="322" spans="15:15" hidden="1">
      <x:c r="O322" s="37" t="s">
        <x:v>25</x:v>
      </x:c>
    </x:row>
    <x:row r="323" spans="15:15" hidden="1">
      <x:c r="O323" s="37" t="s">
        <x:v>25</x:v>
      </x:c>
    </x:row>
    <x:row r="324" spans="15:15" hidden="1">
      <x:c r="O324" s="37" t="s">
        <x:v>25</x:v>
      </x:c>
    </x:row>
    <x:row r="325" spans="15:15" hidden="1">
      <x:c r="O325" s="37" t="s">
        <x:v>25</x:v>
      </x:c>
    </x:row>
    <x:row r="326" spans="15:15" hidden="1">
      <x:c r="O326" s="37" t="s">
        <x:v>25</x:v>
      </x:c>
    </x:row>
    <x:row r="327" spans="15:15" hidden="1">
      <x:c r="O327" s="37" t="s">
        <x:v>25</x:v>
      </x:c>
    </x:row>
    <x:row r="328" spans="15:15" hidden="1">
      <x:c r="O328" s="37" t="s">
        <x:v>25</x:v>
      </x:c>
    </x:row>
    <x:row r="329" spans="15:15" hidden="1">
      <x:c r="O329" s="37" t="s">
        <x:v>25</x:v>
      </x:c>
    </x:row>
    <x:row r="330" spans="15:15" hidden="1">
      <x:c r="O330" s="37" t="s">
        <x:v>25</x:v>
      </x:c>
    </x:row>
    <x:row r="331" spans="15:15" hidden="1">
      <x:c r="O331" s="37" t="s">
        <x:v>25</x:v>
      </x:c>
    </x:row>
    <x:row r="332" spans="15:15" hidden="1">
      <x:c r="O332" s="37" t="s">
        <x:v>25</x:v>
      </x:c>
    </x:row>
    <x:row r="333" spans="15:15" hidden="1">
      <x:c r="O333" s="37" t="s">
        <x:v>25</x:v>
      </x:c>
    </x:row>
    <x:row r="334" spans="15:15" hidden="1">
      <x:c r="O334" s="37" t="s">
        <x:v>25</x:v>
      </x:c>
    </x:row>
    <x:row r="335" spans="15:15" hidden="1">
      <x:c r="O335" s="37" t="s">
        <x:v>25</x:v>
      </x:c>
    </x:row>
    <x:row r="336" spans="15:15" hidden="1">
      <x:c r="O336" s="37" t="s">
        <x:v>25</x:v>
      </x:c>
    </x:row>
    <x:row r="337" spans="15:15" hidden="1">
      <x:c r="O337" s="37" t="s">
        <x:v>25</x:v>
      </x:c>
    </x:row>
    <x:row r="338" spans="15:15" hidden="1">
      <x:c r="O338" s="37" t="s">
        <x:v>25</x:v>
      </x:c>
    </x:row>
    <x:row r="339" spans="15:15" hidden="1">
      <x:c r="O339" s="37" t="s">
        <x:v>25</x:v>
      </x:c>
    </x:row>
    <x:row r="340" spans="15:15" hidden="1">
      <x:c r="O340" s="37" t="s">
        <x:v>25</x:v>
      </x:c>
    </x:row>
    <x:row r="341" spans="15:15" hidden="1">
      <x:c r="O341" s="37" t="s">
        <x:v>25</x:v>
      </x:c>
    </x:row>
    <x:row r="342" spans="15:15" hidden="1">
      <x:c r="O342" s="37" t="s">
        <x:v>25</x:v>
      </x:c>
    </x:row>
    <x:row r="343" spans="15:15" hidden="1">
      <x:c r="O343" s="37" t="s">
        <x:v>25</x:v>
      </x:c>
    </x:row>
    <x:row r="344" spans="15:15" hidden="1">
      <x:c r="O344" s="37" t="s">
        <x:v>25</x:v>
      </x:c>
    </x:row>
    <x:row r="345" spans="15:15" hidden="1">
      <x:c r="O345" s="37" t="s">
        <x:v>25</x:v>
      </x:c>
    </x:row>
    <x:row r="346" spans="15:15" hidden="1">
      <x:c r="O346" s="37" t="s">
        <x:v>25</x:v>
      </x:c>
    </x:row>
    <x:row r="347" spans="15:15" hidden="1">
      <x:c r="O347" s="37" t="s">
        <x:v>25</x:v>
      </x:c>
    </x:row>
    <x:row r="348" spans="15:15" hidden="1">
      <x:c r="O348" s="37" t="s">
        <x:v>25</x:v>
      </x:c>
    </x:row>
    <x:row r="349" spans="15:15" hidden="1">
      <x:c r="O349" s="37" t="s">
        <x:v>25</x:v>
      </x:c>
    </x:row>
    <x:row r="350" spans="15:15" hidden="1">
      <x:c r="O350" s="37" t="s">
        <x:v>25</x:v>
      </x:c>
    </x:row>
    <x:row r="351" spans="15:15" hidden="1">
      <x:c r="O351" s="37" t="s">
        <x:v>25</x:v>
      </x:c>
    </x:row>
    <x:row r="352" spans="15:15" hidden="1">
      <x:c r="O352" s="37" t="s">
        <x:v>25</x:v>
      </x:c>
    </x:row>
    <x:row r="353" spans="15:15" hidden="1">
      <x:c r="O353" s="37" t="s">
        <x:v>25</x:v>
      </x:c>
    </x:row>
    <x:row r="354" spans="15:15" hidden="1">
      <x:c r="O354" s="37" t="s">
        <x:v>25</x:v>
      </x:c>
    </x:row>
    <x:row r="355" spans="15:15" hidden="1">
      <x:c r="O355" s="37" t="s">
        <x:v>25</x:v>
      </x:c>
    </x:row>
    <x:row r="356" spans="15:15" hidden="1">
      <x:c r="O356" s="37" t="s">
        <x:v>25</x:v>
      </x:c>
    </x:row>
    <x:row r="357" spans="15:15" hidden="1">
      <x:c r="O357" s="37" t="s">
        <x:v>25</x:v>
      </x:c>
    </x:row>
    <x:row r="358" spans="15:15" hidden="1">
      <x:c r="O358" s="37" t="s">
        <x:v>25</x:v>
      </x:c>
    </x:row>
    <x:row r="359" spans="15:15" hidden="1">
      <x:c r="O359" s="37" t="s">
        <x:v>25</x:v>
      </x:c>
    </x:row>
    <x:row r="360" spans="15:15" hidden="1">
      <x:c r="O360" s="37" t="s">
        <x:v>25</x:v>
      </x:c>
    </x:row>
    <x:row r="361" spans="15:15" hidden="1">
      <x:c r="O361" s="37" t="s">
        <x:v>25</x:v>
      </x:c>
    </x:row>
    <x:row r="362" spans="15:15" hidden="1">
      <x:c r="O362" s="37" t="s">
        <x:v>25</x:v>
      </x:c>
    </x:row>
    <x:row r="363" spans="15:15" hidden="1">
      <x:c r="O363" s="37" t="s">
        <x:v>25</x:v>
      </x:c>
    </x:row>
    <x:row r="364" spans="15:15" hidden="1">
      <x:c r="O364" s="37" t="s">
        <x:v>25</x:v>
      </x:c>
    </x:row>
    <x:row r="365" spans="15:15" hidden="1">
      <x:c r="O365" s="37" t="s">
        <x:v>25</x:v>
      </x:c>
    </x:row>
    <x:row r="366" spans="15:15" hidden="1">
      <x:c r="O366" s="37" t="s">
        <x:v>25</x:v>
      </x:c>
    </x:row>
    <x:row r="367" spans="15:15" hidden="1">
      <x:c r="O367" s="37" t="s">
        <x:v>25</x:v>
      </x:c>
    </x:row>
    <x:row r="368" spans="15:15" hidden="1">
      <x:c r="O368" s="37" t="s">
        <x:v>25</x:v>
      </x:c>
    </x:row>
    <x:row r="369" spans="15:15" hidden="1">
      <x:c r="O369" s="37" t="s">
        <x:v>25</x:v>
      </x:c>
    </x:row>
    <x:row r="370" spans="15:15" hidden="1">
      <x:c r="O370" s="37" t="s">
        <x:v>25</x:v>
      </x:c>
    </x:row>
    <x:row r="371" spans="15:15" hidden="1">
      <x:c r="O371" s="37" t="s">
        <x:v>25</x:v>
      </x:c>
    </x:row>
    <x:row r="372" spans="15:15" hidden="1">
      <x:c r="O372" s="37" t="s">
        <x:v>25</x:v>
      </x:c>
    </x:row>
    <x:row r="373" spans="15:15" hidden="1">
      <x:c r="O373" s="37" t="s">
        <x:v>25</x:v>
      </x:c>
    </x:row>
    <x:row r="374" spans="15:15" hidden="1">
      <x:c r="O374" s="37" t="s">
        <x:v>25</x:v>
      </x:c>
    </x:row>
    <x:row r="375" spans="15:15" hidden="1">
      <x:c r="O375" s="37" t="s">
        <x:v>25</x:v>
      </x:c>
    </x:row>
    <x:row r="376" spans="15:15" hidden="1">
      <x:c r="O376" s="37" t="s">
        <x:v>25</x:v>
      </x:c>
    </x:row>
    <x:row r="377" spans="15:15" hidden="1">
      <x:c r="O377" s="37" t="s">
        <x:v>25</x:v>
      </x:c>
    </x:row>
    <x:row r="378" spans="15:15" hidden="1">
      <x:c r="O378" s="37" t="s">
        <x:v>25</x:v>
      </x:c>
    </x:row>
    <x:row r="379" spans="15:15" hidden="1">
      <x:c r="O379" s="37" t="s">
        <x:v>25</x:v>
      </x:c>
    </x:row>
    <x:row r="380" spans="15:15" hidden="1">
      <x:c r="O380" s="37" t="s">
        <x:v>25</x:v>
      </x:c>
    </x:row>
    <x:row r="381" spans="15:15" hidden="1">
      <x:c r="O381" s="37" t="s">
        <x:v>25</x:v>
      </x:c>
    </x:row>
    <x:row r="382" spans="15:15" hidden="1">
      <x:c r="O382" s="37" t="s">
        <x:v>25</x:v>
      </x:c>
    </x:row>
    <x:row r="383" spans="15:15" hidden="1">
      <x:c r="O383" s="37" t="s">
        <x:v>25</x:v>
      </x:c>
    </x:row>
    <x:row r="384" spans="15:15" hidden="1">
      <x:c r="O384" s="37" t="s">
        <x:v>25</x:v>
      </x:c>
    </x:row>
    <x:row r="385" spans="15:15" hidden="1">
      <x:c r="O385" s="37" t="s">
        <x:v>25</x:v>
      </x:c>
    </x:row>
    <x:row r="386" spans="15:15" hidden="1">
      <x:c r="O386" s="37" t="s">
        <x:v>25</x:v>
      </x:c>
    </x:row>
    <x:row r="387" spans="15:15" hidden="1">
      <x:c r="O387" s="37" t="s">
        <x:v>25</x:v>
      </x:c>
    </x:row>
    <x:row r="388" spans="15:15" hidden="1">
      <x:c r="O388" s="37" t="s">
        <x:v>25</x:v>
      </x:c>
    </x:row>
    <x:row r="389" spans="15:15" hidden="1">
      <x:c r="O389" s="37" t="s">
        <x:v>25</x:v>
      </x:c>
    </x:row>
    <x:row r="390" spans="15:15" hidden="1">
      <x:c r="O390" s="37" t="s">
        <x:v>25</x:v>
      </x:c>
    </x:row>
    <x:row r="391" spans="15:15" hidden="1">
      <x:c r="O391" s="37" t="s">
        <x:v>25</x:v>
      </x:c>
    </x:row>
    <x:row r="392" spans="15:15" hidden="1">
      <x:c r="O392" s="37" t="s">
        <x:v>25</x:v>
      </x:c>
    </x:row>
    <x:row r="393" spans="15:15" hidden="1">
      <x:c r="O393" s="37" t="s">
        <x:v>25</x:v>
      </x:c>
    </x:row>
    <x:row r="394" spans="15:15" hidden="1">
      <x:c r="O394" s="37" t="s">
        <x:v>25</x:v>
      </x:c>
    </x:row>
    <x:row r="395" spans="15:15" hidden="1">
      <x:c r="O395" s="37" t="s">
        <x:v>25</x:v>
      </x:c>
    </x:row>
    <x:row r="396" spans="15:15" hidden="1">
      <x:c r="O396" s="37" t="s">
        <x:v>25</x:v>
      </x:c>
    </x:row>
    <x:row r="397" spans="15:15" hidden="1">
      <x:c r="O397" s="37" t="s">
        <x:v>25</x:v>
      </x:c>
    </x:row>
    <x:row r="398" spans="15:15" hidden="1">
      <x:c r="O398" s="37" t="s">
        <x:v>25</x:v>
      </x:c>
    </x:row>
    <x:row r="399" spans="15:15" hidden="1">
      <x:c r="O399" s="37" t="s">
        <x:v>25</x:v>
      </x:c>
    </x:row>
    <x:row r="400" spans="15:15" hidden="1">
      <x:c r="O400" s="37" t="s">
        <x:v>25</x:v>
      </x:c>
    </x:row>
    <x:row r="401" spans="15:15" hidden="1">
      <x:c r="O401" s="37" t="s">
        <x:v>25</x:v>
      </x:c>
    </x:row>
    <x:row r="402" spans="15:15" hidden="1">
      <x:c r="O402" s="37" t="s">
        <x:v>25</x:v>
      </x:c>
    </x:row>
    <x:row r="403" spans="15:15" hidden="1">
      <x:c r="O403" s="37" t="s">
        <x:v>25</x:v>
      </x:c>
    </x:row>
    <x:row r="404" spans="15:15" hidden="1">
      <x:c r="O404" s="37" t="s">
        <x:v>25</x:v>
      </x:c>
    </x:row>
    <x:row r="405" spans="15:15" hidden="1">
      <x:c r="O405" s="37" t="s">
        <x:v>25</x:v>
      </x:c>
    </x:row>
    <x:row r="406" spans="15:15" hidden="1">
      <x:c r="O406" s="37" t="s">
        <x:v>25</x:v>
      </x:c>
    </x:row>
    <x:row r="407" spans="15:15" hidden="1">
      <x:c r="O407" s="37" t="s">
        <x:v>25</x:v>
      </x:c>
    </x:row>
    <x:row r="408" spans="15:15" hidden="1">
      <x:c r="O408" s="37" t="s">
        <x:v>25</x:v>
      </x:c>
    </x:row>
    <x:row r="409" spans="15:15" hidden="1">
      <x:c r="O409" s="37" t="s">
        <x:v>25</x:v>
      </x:c>
    </x:row>
    <x:row r="410" spans="15:15" hidden="1">
      <x:c r="O410" s="37" t="s">
        <x:v>25</x:v>
      </x:c>
    </x:row>
    <x:row r="411" spans="15:15" hidden="1">
      <x:c r="O411" s="37" t="s">
        <x:v>25</x:v>
      </x:c>
    </x:row>
    <x:row r="412" spans="15:15" hidden="1">
      <x:c r="O412" s="37" t="s">
        <x:v>25</x:v>
      </x:c>
    </x:row>
    <x:row r="413" spans="15:15" hidden="1">
      <x:c r="O413" s="37" t="s">
        <x:v>25</x:v>
      </x:c>
    </x:row>
    <x:row r="414" spans="15:15" hidden="1">
      <x:c r="O414" s="37" t="s">
        <x:v>25</x:v>
      </x:c>
    </x:row>
    <x:row r="415" spans="15:15" hidden="1">
      <x:c r="O415" s="37" t="s">
        <x:v>25</x:v>
      </x:c>
    </x:row>
    <x:row r="416" spans="15:15" hidden="1">
      <x:c r="O416" s="37" t="s">
        <x:v>25</x:v>
      </x:c>
    </x:row>
    <x:row r="417" spans="15:15" hidden="1">
      <x:c r="O417" s="37" t="s">
        <x:v>25</x:v>
      </x:c>
    </x:row>
    <x:row r="418" spans="15:15" hidden="1">
      <x:c r="O418" s="37" t="s">
        <x:v>25</x:v>
      </x:c>
    </x:row>
    <x:row r="419" spans="15:15" hidden="1">
      <x:c r="O419" s="37" t="s">
        <x:v>25</x:v>
      </x:c>
    </x:row>
    <x:row r="420" spans="15:15" hidden="1">
      <x:c r="O420" s="37" t="s">
        <x:v>25</x:v>
      </x:c>
    </x:row>
    <x:row r="421" spans="15:15" hidden="1">
      <x:c r="O421" s="37" t="s">
        <x:v>25</x:v>
      </x:c>
    </x:row>
    <x:row r="422" spans="15:15" hidden="1">
      <x:c r="O422" s="37" t="s">
        <x:v>25</x:v>
      </x:c>
    </x:row>
    <x:row r="423" spans="15:15" hidden="1">
      <x:c r="O423" s="37" t="s">
        <x:v>25</x:v>
      </x:c>
    </x:row>
    <x:row r="424" spans="15:15" hidden="1">
      <x:c r="O424" s="37" t="s">
        <x:v>25</x:v>
      </x:c>
    </x:row>
    <x:row r="425" spans="15:15" hidden="1">
      <x:c r="O425" s="37" t="s">
        <x:v>25</x:v>
      </x:c>
    </x:row>
    <x:row r="426" spans="15:15" hidden="1">
      <x:c r="O426" s="37" t="s">
        <x:v>25</x:v>
      </x:c>
    </x:row>
    <x:row r="427" spans="15:15" hidden="1">
      <x:c r="O427" s="37" t="s">
        <x:v>25</x:v>
      </x:c>
    </x:row>
    <x:row r="428" spans="15:15" hidden="1">
      <x:c r="O428" s="37" t="s">
        <x:v>25</x:v>
      </x:c>
    </x:row>
    <x:row r="429" spans="15:15" hidden="1">
      <x:c r="O429" s="37" t="s">
        <x:v>25</x:v>
      </x:c>
    </x:row>
    <x:row r="430" spans="15:15" hidden="1">
      <x:c r="O430" s="37" t="s">
        <x:v>25</x:v>
      </x:c>
    </x:row>
    <x:row r="431" spans="15:15" hidden="1">
      <x:c r="O431" s="37" t="s">
        <x:v>25</x:v>
      </x:c>
    </x:row>
    <x:row r="432" spans="15:15" hidden="1">
      <x:c r="O432" s="37" t="s">
        <x:v>25</x:v>
      </x:c>
    </x:row>
    <x:row r="433" spans="15:15" hidden="1">
      <x:c r="O433" s="37" t="s">
        <x:v>25</x:v>
      </x:c>
    </x:row>
    <x:row r="434" spans="15:15" hidden="1">
      <x:c r="O434" s="37" t="s">
        <x:v>25</x:v>
      </x:c>
    </x:row>
    <x:row r="435" spans="15:15" hidden="1">
      <x:c r="O435" s="37" t="s">
        <x:v>25</x:v>
      </x:c>
    </x:row>
    <x:row r="436" spans="15:15" hidden="1">
      <x:c r="O436" s="37" t="s">
        <x:v>25</x:v>
      </x:c>
    </x:row>
    <x:row r="437" spans="15:15" hidden="1">
      <x:c r="O437" s="37" t="s">
        <x:v>25</x:v>
      </x:c>
    </x:row>
    <x:row r="438" spans="15:15" hidden="1">
      <x:c r="O438" s="37" t="s">
        <x:v>25</x:v>
      </x:c>
    </x:row>
    <x:row r="439" spans="15:15" hidden="1">
      <x:c r="O439" s="37" t="s">
        <x:v>25</x:v>
      </x:c>
    </x:row>
    <x:row r="440" spans="15:15" hidden="1">
      <x:c r="O440" s="37" t="s">
        <x:v>25</x:v>
      </x:c>
    </x:row>
    <x:row r="441" spans="15:15" hidden="1">
      <x:c r="O441" s="37" t="s">
        <x:v>25</x:v>
      </x:c>
    </x:row>
    <x:row r="442" spans="15:15" hidden="1">
      <x:c r="O442" s="37" t="s">
        <x:v>25</x:v>
      </x:c>
    </x:row>
    <x:row r="443" spans="15:15" hidden="1">
      <x:c r="O443" s="37" t="s">
        <x:v>25</x:v>
      </x:c>
    </x:row>
    <x:row r="444" spans="15:15" hidden="1">
      <x:c r="O444" s="37" t="s">
        <x:v>25</x:v>
      </x:c>
    </x:row>
    <x:row r="445" spans="15:15" hidden="1">
      <x:c r="O445" s="37" t="s">
        <x:v>25</x:v>
      </x:c>
    </x:row>
    <x:row r="446" spans="15:15" hidden="1">
      <x:c r="O446" s="37" t="s">
        <x:v>25</x:v>
      </x:c>
    </x:row>
    <x:row r="447" spans="15:15" hidden="1">
      <x:c r="O447" s="37" t="s">
        <x:v>25</x:v>
      </x:c>
    </x:row>
    <x:row r="448" spans="15:15" hidden="1">
      <x:c r="O448" s="37" t="s">
        <x:v>25</x:v>
      </x:c>
    </x:row>
    <x:row r="449" spans="15:15" hidden="1">
      <x:c r="O449" s="37" t="s">
        <x:v>25</x:v>
      </x:c>
    </x:row>
    <x:row r="450" spans="15:15" hidden="1">
      <x:c r="O450" s="37" t="s">
        <x:v>25</x:v>
      </x:c>
    </x:row>
    <x:row r="451" spans="15:15" hidden="1">
      <x:c r="O451" s="37" t="s">
        <x:v>25</x:v>
      </x:c>
    </x:row>
    <x:row r="452" spans="15:15" hidden="1">
      <x:c r="O452" s="37" t="s">
        <x:v>25</x:v>
      </x:c>
    </x:row>
    <x:row r="453" spans="15:15" hidden="1">
      <x:c r="O453" s="37" t="s">
        <x:v>25</x:v>
      </x:c>
    </x:row>
    <x:row r="454" spans="15:15" hidden="1">
      <x:c r="O454" s="37" t="s">
        <x:v>25</x:v>
      </x:c>
    </x:row>
    <x:row r="455" spans="15:15" hidden="1">
      <x:c r="O455" s="37" t="s">
        <x:v>25</x:v>
      </x:c>
    </x:row>
    <x:row r="456" spans="15:15" hidden="1">
      <x:c r="O456" s="37" t="s">
        <x:v>25</x:v>
      </x:c>
    </x:row>
    <x:row r="457" spans="15:15" hidden="1">
      <x:c r="O457" s="37" t="s">
        <x:v>25</x:v>
      </x:c>
    </x:row>
    <x:row r="458" spans="15:15" hidden="1">
      <x:c r="O458" s="37" t="s">
        <x:v>25</x:v>
      </x:c>
    </x:row>
    <x:row r="459" spans="15:15" hidden="1">
      <x:c r="O459" s="37" t="s">
        <x:v>25</x:v>
      </x:c>
    </x:row>
    <x:row r="460" spans="15:15" hidden="1">
      <x:c r="O460" s="37" t="s">
        <x:v>25</x:v>
      </x:c>
    </x:row>
    <x:row r="461" spans="15:15" hidden="1">
      <x:c r="O461" s="37" t="s">
        <x:v>25</x:v>
      </x:c>
    </x:row>
    <x:row r="462" spans="15:15" hidden="1">
      <x:c r="O462" s="37" t="s">
        <x:v>25</x:v>
      </x:c>
    </x:row>
    <x:row r="463" spans="15:15" hidden="1">
      <x:c r="O463" s="37" t="s">
        <x:v>25</x:v>
      </x:c>
    </x:row>
    <x:row r="464" spans="15:15" hidden="1">
      <x:c r="O464" s="37" t="s">
        <x:v>25</x:v>
      </x:c>
    </x:row>
    <x:row r="465" spans="15:15" hidden="1">
      <x:c r="O465" s="37" t="s">
        <x:v>25</x:v>
      </x:c>
    </x:row>
    <x:row r="466" spans="15:15" hidden="1">
      <x:c r="O466" s="37" t="s">
        <x:v>25</x:v>
      </x:c>
    </x:row>
    <x:row r="467" spans="15:15" hidden="1">
      <x:c r="O467" s="37" t="s">
        <x:v>25</x:v>
      </x:c>
    </x:row>
    <x:row r="468" spans="15:15" hidden="1">
      <x:c r="O468" s="37" t="s">
        <x:v>25</x:v>
      </x:c>
    </x:row>
    <x:row r="469" spans="15:15" hidden="1">
      <x:c r="O469" s="37" t="s">
        <x:v>25</x:v>
      </x:c>
    </x:row>
    <x:row r="470" spans="15:15" hidden="1">
      <x:c r="O470" s="37" t="s">
        <x:v>25</x:v>
      </x:c>
    </x:row>
    <x:row r="471" spans="15:15" hidden="1">
      <x:c r="O471" s="37" t="s">
        <x:v>25</x:v>
      </x:c>
    </x:row>
    <x:row r="472" spans="15:15" hidden="1">
      <x:c r="O472" s="37" t="s">
        <x:v>25</x:v>
      </x:c>
    </x:row>
    <x:row r="473" spans="15:15" hidden="1">
      <x:c r="O473" s="37" t="s">
        <x:v>25</x:v>
      </x:c>
    </x:row>
    <x:row r="474" spans="15:15" hidden="1">
      <x:c r="O474" s="37" t="s">
        <x:v>25</x:v>
      </x:c>
    </x:row>
    <x:row r="475" spans="15:15" hidden="1">
      <x:c r="O475" s="37" t="s">
        <x:v>25</x:v>
      </x:c>
    </x:row>
    <x:row r="476" spans="15:15" hidden="1">
      <x:c r="O476" s="37" t="s">
        <x:v>25</x:v>
      </x:c>
    </x:row>
    <x:row r="477" spans="15:15" hidden="1">
      <x:c r="O477" s="37" t="s">
        <x:v>25</x:v>
      </x:c>
    </x:row>
    <x:row r="478" spans="15:15" hidden="1">
      <x:c r="O478" s="37" t="s">
        <x:v>25</x:v>
      </x:c>
    </x:row>
    <x:row r="479" spans="15:15" hidden="1">
      <x:c r="O479" s="37" t="s">
        <x:v>25</x:v>
      </x:c>
    </x:row>
    <x:row r="480" spans="15:15" hidden="1">
      <x:c r="O480" s="37" t="s">
        <x:v>25</x:v>
      </x:c>
    </x:row>
    <x:row r="481" spans="15:15" hidden="1">
      <x:c r="O481" s="37" t="s">
        <x:v>25</x:v>
      </x:c>
    </x:row>
    <x:row r="482" spans="15:15" hidden="1">
      <x:c r="O482" s="37" t="s">
        <x:v>25</x:v>
      </x:c>
    </x:row>
    <x:row r="483" spans="15:15" hidden="1">
      <x:c r="O483" s="37" t="s">
        <x:v>25</x:v>
      </x:c>
    </x:row>
    <x:row r="484" spans="15:15" hidden="1">
      <x:c r="O484" s="37" t="s">
        <x:v>25</x:v>
      </x:c>
    </x:row>
    <x:row r="485" spans="15:15" hidden="1">
      <x:c r="O485" s="37" t="s">
        <x:v>25</x:v>
      </x:c>
    </x:row>
    <x:row r="486" spans="15:15" hidden="1">
      <x:c r="O486" s="37" t="s">
        <x:v>25</x:v>
      </x:c>
    </x:row>
    <x:row r="487" spans="15:15" hidden="1">
      <x:c r="O487" s="37" t="s">
        <x:v>25</x:v>
      </x:c>
    </x:row>
    <x:row r="488" spans="15:15" hidden="1">
      <x:c r="O488" s="37" t="s">
        <x:v>25</x:v>
      </x:c>
    </x:row>
    <x:row r="489" spans="15:15" hidden="1">
      <x:c r="O489" s="37" t="s">
        <x:v>25</x:v>
      </x:c>
    </x:row>
    <x:row r="490" spans="15:15" hidden="1">
      <x:c r="O490" s="37" t="s">
        <x:v>25</x:v>
      </x:c>
    </x:row>
    <x:row r="491" spans="15:15" hidden="1">
      <x:c r="O491" s="37" t="s">
        <x:v>25</x:v>
      </x:c>
    </x:row>
    <x:row r="492" spans="15:15" hidden="1">
      <x:c r="O492" s="37" t="s">
        <x:v>25</x:v>
      </x:c>
    </x:row>
    <x:row r="493" spans="15:15" hidden="1">
      <x:c r="O493" s="37" t="s">
        <x:v>25</x:v>
      </x:c>
    </x:row>
    <x:row r="494" spans="15:15" hidden="1">
      <x:c r="O494" s="37" t="s">
        <x:v>25</x:v>
      </x:c>
    </x:row>
    <x:row r="495" spans="15:15" hidden="1">
      <x:c r="O495" s="37" t="s">
        <x:v>25</x:v>
      </x:c>
    </x:row>
    <x:row r="496" spans="15:15" hidden="1">
      <x:c r="O496" s="37" t="s">
        <x:v>25</x:v>
      </x:c>
    </x:row>
    <x:row r="497" spans="15:15" hidden="1">
      <x:c r="O497" s="37" t="s">
        <x:v>25</x:v>
      </x:c>
    </x:row>
    <x:row r="498" spans="15:15" hidden="1">
      <x:c r="O498" s="37" t="s">
        <x:v>25</x:v>
      </x:c>
    </x:row>
    <x:row r="499" spans="15:15" hidden="1">
      <x:c r="O499" s="37" t="s">
        <x:v>25</x:v>
      </x:c>
    </x:row>
    <x:row r="500" spans="15:15" hidden="1">
      <x:c r="O500" s="37" t="s">
        <x:v>25</x:v>
      </x:c>
    </x:row>
    <x:row r="501" spans="15:15" hidden="1">
      <x:c r="O501" s="37" t="s">
        <x:v>25</x:v>
      </x:c>
    </x:row>
    <x:row r="502" spans="15:15" hidden="1">
      <x:c r="O502" s="37" t="s">
        <x:v>25</x:v>
      </x:c>
    </x:row>
    <x:row r="503" spans="15:15" hidden="1">
      <x:c r="O503" s="37" t="s">
        <x:v>25</x:v>
      </x:c>
    </x:row>
    <x:row r="504" spans="15:15" hidden="1">
      <x:c r="O504" s="37" t="s">
        <x:v>25</x:v>
      </x:c>
    </x:row>
    <x:row r="505" spans="15:15" hidden="1">
      <x:c r="O505" s="37" t="s">
        <x:v>25</x:v>
      </x:c>
    </x:row>
    <x:row r="506" spans="15:15" hidden="1">
      <x:c r="O506" s="37" t="s">
        <x:v>25</x:v>
      </x:c>
    </x:row>
    <x:row r="507" spans="15:15" hidden="1">
      <x:c r="O507" s="37" t="s">
        <x:v>25</x:v>
      </x:c>
    </x:row>
    <x:row r="508" spans="15:15" hidden="1">
      <x:c r="O508" s="37" t="s">
        <x:v>25</x:v>
      </x:c>
    </x:row>
    <x:row r="509" spans="15:15" hidden="1">
      <x:c r="O509" s="37" t="s">
        <x:v>25</x:v>
      </x:c>
    </x:row>
    <x:row r="510" spans="15:15" hidden="1">
      <x:c r="O510" s="37" t="s">
        <x:v>25</x:v>
      </x:c>
    </x:row>
    <x:row r="511" spans="15:15" hidden="1">
      <x:c r="O511" s="37" t="s">
        <x:v>25</x:v>
      </x:c>
    </x:row>
    <x:row r="512" spans="15:15" hidden="1">
      <x:c r="O512" s="37" t="s">
        <x:v>25</x:v>
      </x:c>
    </x:row>
    <x:row r="513" spans="15:15" hidden="1">
      <x:c r="O513" s="37" t="s">
        <x:v>25</x:v>
      </x:c>
    </x:row>
    <x:row r="514" spans="15:15" hidden="1">
      <x:c r="O514" s="37" t="s">
        <x:v>25</x:v>
      </x:c>
    </x:row>
    <x:row r="515" spans="15:15" hidden="1">
      <x:c r="O515" s="37" t="s">
        <x:v>25</x:v>
      </x:c>
    </x:row>
    <x:row r="516" spans="15:15" hidden="1">
      <x:c r="O516" s="37" t="s">
        <x:v>25</x:v>
      </x:c>
    </x:row>
    <x:row r="517" spans="15:15" hidden="1">
      <x:c r="O517" s="37" t="s">
        <x:v>25</x:v>
      </x:c>
    </x:row>
    <x:row r="518" spans="15:15" hidden="1">
      <x:c r="O518" s="37" t="s">
        <x:v>25</x:v>
      </x:c>
    </x:row>
    <x:row r="519" spans="15:15" hidden="1">
      <x:c r="O519" s="37" t="s">
        <x:v>25</x:v>
      </x:c>
    </x:row>
    <x:row r="520" spans="15:15" hidden="1">
      <x:c r="O520" s="37" t="s">
        <x:v>25</x:v>
      </x:c>
    </x:row>
    <x:row r="521" spans="15:15" hidden="1">
      <x:c r="O521" s="37" t="s">
        <x:v>25</x:v>
      </x:c>
    </x:row>
    <x:row r="522" spans="15:15" hidden="1">
      <x:c r="O522" s="37" t="s">
        <x:v>25</x:v>
      </x:c>
    </x:row>
    <x:row r="523" spans="15:15" hidden="1">
      <x:c r="O523" s="37" t="s">
        <x:v>25</x:v>
      </x:c>
    </x:row>
    <x:row r="524" spans="15:15" hidden="1">
      <x:c r="O524" s="37" t="s">
        <x:v>25</x:v>
      </x:c>
    </x:row>
    <x:row r="525" spans="15:15" hidden="1">
      <x:c r="O525" s="37" t="s">
        <x:v>25</x:v>
      </x:c>
    </x:row>
    <x:row r="526" spans="15:15" hidden="1">
      <x:c r="O526" s="37" t="s">
        <x:v>25</x:v>
      </x:c>
    </x:row>
    <x:row r="527" spans="15:15" hidden="1">
      <x:c r="O527" s="37" t="s">
        <x:v>25</x:v>
      </x:c>
    </x:row>
    <x:row r="528" spans="15:15" hidden="1">
      <x:c r="O528" s="37" t="s">
        <x:v>25</x:v>
      </x:c>
    </x:row>
    <x:row r="529" spans="15:15" hidden="1">
      <x:c r="O529" s="37" t="s">
        <x:v>25</x:v>
      </x:c>
    </x:row>
    <x:row r="530" spans="15:15" hidden="1">
      <x:c r="O530" s="37" t="s">
        <x:v>25</x:v>
      </x:c>
    </x:row>
    <x:row r="531" spans="15:15" hidden="1">
      <x:c r="O531" s="37" t="s">
        <x:v>25</x:v>
      </x:c>
    </x:row>
    <x:row r="532" spans="15:15" hidden="1">
      <x:c r="O532" s="37" t="s">
        <x:v>25</x:v>
      </x:c>
    </x:row>
    <x:row r="533" spans="15:15" hidden="1">
      <x:c r="O533" s="37" t="s">
        <x:v>25</x:v>
      </x:c>
    </x:row>
    <x:row r="534" spans="15:15" hidden="1">
      <x:c r="O534" s="37" t="s">
        <x:v>25</x:v>
      </x:c>
    </x:row>
    <x:row r="535" spans="15:15" hidden="1">
      <x:c r="O535" s="37" t="s">
        <x:v>25</x:v>
      </x:c>
    </x:row>
    <x:row r="536" spans="15:15" hidden="1">
      <x:c r="O536" s="37" t="s">
        <x:v>25</x:v>
      </x:c>
    </x:row>
    <x:row r="537" spans="15:15" hidden="1">
      <x:c r="O537" s="37" t="s">
        <x:v>25</x:v>
      </x:c>
    </x:row>
    <x:row r="538" spans="15:15" hidden="1">
      <x:c r="O538" s="37" t="s">
        <x:v>25</x:v>
      </x:c>
    </x:row>
    <x:row r="539" spans="15:15" hidden="1">
      <x:c r="O539" s="37" t="s">
        <x:v>25</x:v>
      </x:c>
    </x:row>
    <x:row r="540" spans="15:15" hidden="1">
      <x:c r="O540" s="37" t="s">
        <x:v>25</x:v>
      </x:c>
    </x:row>
    <x:row r="541" spans="15:15" hidden="1">
      <x:c r="O541" s="37" t="s">
        <x:v>25</x:v>
      </x:c>
    </x:row>
    <x:row r="542" spans="15:15" hidden="1">
      <x:c r="O542" s="37" t="s">
        <x:v>25</x:v>
      </x:c>
    </x:row>
    <x:row r="543" spans="15:15" hidden="1">
      <x:c r="O543" s="37" t="s">
        <x:v>25</x:v>
      </x:c>
    </x:row>
    <x:row r="544" spans="15:15" hidden="1">
      <x:c r="O544" s="37" t="s">
        <x:v>25</x:v>
      </x:c>
    </x:row>
    <x:row r="545" spans="15:15" hidden="1">
      <x:c r="O545" s="37" t="s">
        <x:v>25</x:v>
      </x:c>
    </x:row>
    <x:row r="546" spans="15:15" hidden="1">
      <x:c r="O546" s="37" t="s">
        <x:v>25</x:v>
      </x:c>
    </x:row>
    <x:row r="547" spans="15:15" hidden="1">
      <x:c r="O547" s="37" t="s">
        <x:v>25</x:v>
      </x:c>
    </x:row>
    <x:row r="548" spans="15:15" hidden="1">
      <x:c r="O548" s="37" t="s">
        <x:v>25</x:v>
      </x:c>
    </x:row>
    <x:row r="549" spans="15:15" hidden="1">
      <x:c r="O549" s="37" t="s">
        <x:v>25</x:v>
      </x:c>
    </x:row>
    <x:row r="550" spans="15:15" hidden="1">
      <x:c r="O550" s="37" t="s">
        <x:v>25</x:v>
      </x:c>
    </x:row>
    <x:row r="551" spans="15:15" hidden="1">
      <x:c r="O551" s="37" t="s">
        <x:v>25</x:v>
      </x:c>
    </x:row>
    <x:row r="552" spans="15:15" hidden="1">
      <x:c r="O552" s="37" t="s">
        <x:v>25</x:v>
      </x:c>
    </x:row>
    <x:row r="553" spans="15:15" hidden="1">
      <x:c r="O553" s="37" t="s">
        <x:v>25</x:v>
      </x:c>
    </x:row>
    <x:row r="554" spans="15:15" hidden="1">
      <x:c r="O554" s="37" t="s">
        <x:v>25</x:v>
      </x:c>
    </x:row>
    <x:row r="555" spans="15:15" hidden="1">
      <x:c r="O555" s="37" t="s">
        <x:v>25</x:v>
      </x:c>
    </x:row>
    <x:row r="556" spans="15:15" hidden="1">
      <x:c r="O556" s="37" t="s">
        <x:v>25</x:v>
      </x:c>
    </x:row>
    <x:row r="557" spans="15:15" hidden="1">
      <x:c r="O557" s="37" t="s">
        <x:v>25</x:v>
      </x:c>
    </x:row>
    <x:row r="558" spans="15:15" hidden="1">
      <x:c r="O558" s="37" t="s">
        <x:v>25</x:v>
      </x:c>
    </x:row>
    <x:row r="559" spans="15:15" hidden="1">
      <x:c r="O559" s="37" t="s">
        <x:v>25</x:v>
      </x:c>
    </x:row>
    <x:row r="560" spans="15:15" hidden="1">
      <x:c r="O560" s="37" t="s">
        <x:v>25</x:v>
      </x:c>
    </x:row>
    <x:row r="561" spans="15:15" hidden="1">
      <x:c r="O561" s="37" t="s">
        <x:v>25</x:v>
      </x:c>
    </x:row>
    <x:row r="562" spans="15:15" hidden="1">
      <x:c r="O562" s="37" t="s">
        <x:v>25</x:v>
      </x:c>
    </x:row>
    <x:row r="563" spans="15:15" hidden="1">
      <x:c r="O563" s="37" t="s">
        <x:v>25</x:v>
      </x:c>
    </x:row>
    <x:row r="564" spans="15:15" hidden="1">
      <x:c r="O564" s="37" t="s">
        <x:v>25</x:v>
      </x:c>
    </x:row>
    <x:row r="565" spans="15:15" hidden="1">
      <x:c r="O565" s="37" t="s">
        <x:v>25</x:v>
      </x:c>
    </x:row>
    <x:row r="566" spans="15:15" hidden="1">
      <x:c r="O566" s="37" t="s">
        <x:v>25</x:v>
      </x:c>
    </x:row>
    <x:row r="567" spans="15:15" hidden="1">
      <x:c r="O567" s="37" t="s">
        <x:v>25</x:v>
      </x:c>
    </x:row>
    <x:row r="568" spans="15:15" hidden="1">
      <x:c r="O568" s="37" t="s">
        <x:v>25</x:v>
      </x:c>
    </x:row>
    <x:row r="569" spans="15:15" hidden="1">
      <x:c r="O569" s="37" t="s">
        <x:v>25</x:v>
      </x:c>
    </x:row>
    <x:row r="570" spans="15:15" hidden="1">
      <x:c r="O570" s="37" t="s">
        <x:v>25</x:v>
      </x:c>
    </x:row>
    <x:row r="571" spans="15:15" hidden="1">
      <x:c r="O571" s="37" t="s">
        <x:v>25</x:v>
      </x:c>
    </x:row>
    <x:row r="572" spans="15:15" hidden="1">
      <x:c r="O572" s="37" t="s">
        <x:v>25</x:v>
      </x:c>
    </x:row>
    <x:row r="573" spans="15:15" hidden="1">
      <x:c r="O573" s="37" t="s">
        <x:v>25</x:v>
      </x:c>
    </x:row>
    <x:row r="574" spans="15:15" hidden="1">
      <x:c r="O574" s="37" t="s">
        <x:v>25</x:v>
      </x:c>
    </x:row>
    <x:row r="575" spans="15:15" hidden="1">
      <x:c r="O575" s="37" t="s">
        <x:v>25</x:v>
      </x:c>
    </x:row>
    <x:row r="576" spans="15:15" hidden="1">
      <x:c r="O576" s="37" t="s">
        <x:v>25</x:v>
      </x:c>
    </x:row>
    <x:row r="577" spans="15:15" hidden="1">
      <x:c r="O577" s="37" t="s">
        <x:v>25</x:v>
      </x:c>
    </x:row>
    <x:row r="578" spans="15:15" hidden="1">
      <x:c r="O578" s="37" t="s">
        <x:v>25</x:v>
      </x:c>
    </x:row>
    <x:row r="579" spans="15:15" hidden="1">
      <x:c r="O579" s="37" t="s">
        <x:v>25</x:v>
      </x:c>
    </x:row>
    <x:row r="580" spans="15:15" hidden="1">
      <x:c r="O580" s="37" t="s">
        <x:v>25</x:v>
      </x:c>
    </x:row>
    <x:row r="581" spans="15:15" hidden="1">
      <x:c r="O581" s="37" t="s">
        <x:v>25</x:v>
      </x:c>
    </x:row>
    <x:row r="582" spans="15:15" hidden="1">
      <x:c r="O582" s="37" t="s">
        <x:v>25</x:v>
      </x:c>
    </x:row>
    <x:row r="583" spans="15:15" hidden="1">
      <x:c r="O583" s="37" t="s">
        <x:v>25</x:v>
      </x:c>
    </x:row>
    <x:row r="584" spans="15:15" hidden="1">
      <x:c r="O584" s="37" t="s">
        <x:v>25</x:v>
      </x:c>
    </x:row>
    <x:row r="585" spans="15:15" hidden="1">
      <x:c r="O585" s="37" t="s">
        <x:v>25</x:v>
      </x:c>
    </x:row>
    <x:row r="586" spans="15:15" hidden="1">
      <x:c r="O586" s="37" t="s">
        <x:v>25</x:v>
      </x:c>
    </x:row>
    <x:row r="587" spans="15:15" hidden="1">
      <x:c r="O587" s="37" t="s">
        <x:v>25</x:v>
      </x:c>
    </x:row>
    <x:row r="588" spans="15:15" hidden="1">
      <x:c r="O588" s="37" t="s">
        <x:v>25</x:v>
      </x:c>
    </x:row>
    <x:row r="589" spans="15:15" hidden="1">
      <x:c r="O589" s="37" t="s">
        <x:v>25</x:v>
      </x:c>
    </x:row>
    <x:row r="590" spans="15:15" hidden="1">
      <x:c r="O590" s="37" t="s">
        <x:v>25</x:v>
      </x:c>
    </x:row>
    <x:row r="591" spans="15:15" hidden="1">
      <x:c r="O591" s="37" t="s">
        <x:v>25</x:v>
      </x:c>
    </x:row>
    <x:row r="592" spans="15:15" hidden="1">
      <x:c r="O592" s="37" t="s">
        <x:v>25</x:v>
      </x:c>
    </x:row>
    <x:row r="593" spans="15:15" hidden="1">
      <x:c r="O593" s="37" t="s">
        <x:v>25</x:v>
      </x:c>
    </x:row>
    <x:row r="594" spans="15:15" hidden="1">
      <x:c r="O594" s="37" t="s">
        <x:v>25</x:v>
      </x:c>
    </x:row>
    <x:row r="595" spans="15:15" hidden="1">
      <x:c r="O595" s="37" t="s">
        <x:v>25</x:v>
      </x:c>
    </x:row>
    <x:row r="596" spans="15:15" hidden="1">
      <x:c r="O596" s="37" t="s">
        <x:v>25</x:v>
      </x:c>
    </x:row>
    <x:row r="597" spans="15:15" hidden="1">
      <x:c r="O597" s="37" t="s">
        <x:v>25</x:v>
      </x:c>
    </x:row>
    <x:row r="598" spans="15:15" hidden="1">
      <x:c r="O598" s="37" t="s">
        <x:v>25</x:v>
      </x:c>
    </x:row>
    <x:row r="599" spans="15:15" hidden="1">
      <x:c r="O599" s="37" t="s">
        <x:v>25</x:v>
      </x:c>
    </x:row>
    <x:row r="600" spans="15:15" hidden="1">
      <x:c r="O600" s="37" t="s">
        <x:v>25</x:v>
      </x:c>
    </x:row>
    <x:row r="601" spans="15:15" hidden="1">
      <x:c r="O601" s="37" t="s">
        <x:v>25</x:v>
      </x:c>
    </x:row>
    <x:row r="602" spans="15:15" hidden="1">
      <x:c r="O602" s="37" t="s">
        <x:v>25</x:v>
      </x:c>
    </x:row>
    <x:row r="603" spans="15:15" hidden="1">
      <x:c r="O603" s="37" t="s">
        <x:v>25</x:v>
      </x:c>
    </x:row>
    <x:row r="604" spans="15:15" hidden="1">
      <x:c r="O604" s="37" t="s">
        <x:v>25</x:v>
      </x:c>
    </x:row>
    <x:row r="605" spans="15:15" hidden="1">
      <x:c r="O605" s="37" t="s">
        <x:v>25</x:v>
      </x:c>
    </x:row>
    <x:row r="606" spans="15:15" hidden="1">
      <x:c r="O606" s="37" t="s">
        <x:v>25</x:v>
      </x:c>
    </x:row>
    <x:row r="607" spans="15:15" hidden="1">
      <x:c r="O607" s="37" t="s">
        <x:v>25</x:v>
      </x:c>
    </x:row>
    <x:row r="608" spans="15:15" hidden="1">
      <x:c r="O608" s="37" t="s">
        <x:v>25</x:v>
      </x:c>
    </x:row>
    <x:row r="609" spans="15:15" hidden="1">
      <x:c r="O609" s="37" t="s">
        <x:v>25</x:v>
      </x:c>
    </x:row>
    <x:row r="610" spans="15:15" hidden="1">
      <x:c r="O610" s="37" t="s">
        <x:v>25</x:v>
      </x:c>
    </x:row>
    <x:row r="611" spans="15:15" hidden="1">
      <x:c r="O611" s="37" t="s">
        <x:v>25</x:v>
      </x:c>
    </x:row>
    <x:row r="612" spans="15:15" hidden="1">
      <x:c r="O612" s="37" t="s">
        <x:v>25</x:v>
      </x:c>
    </x:row>
    <x:row r="613" spans="15:15" hidden="1">
      <x:c r="O613" s="37" t="s">
        <x:v>25</x:v>
      </x:c>
    </x:row>
    <x:row r="614" spans="15:15" hidden="1">
      <x:c r="O614" s="37" t="s">
        <x:v>25</x:v>
      </x:c>
    </x:row>
    <x:row r="615" spans="15:15" hidden="1">
      <x:c r="O615" s="37" t="s">
        <x:v>25</x:v>
      </x:c>
    </x:row>
    <x:row r="616" spans="15:15" hidden="1">
      <x:c r="O616" s="37" t="s">
        <x:v>25</x:v>
      </x:c>
    </x:row>
    <x:row r="617" spans="15:15" hidden="1">
      <x:c r="O617" s="37" t="s">
        <x:v>25</x:v>
      </x:c>
    </x:row>
    <x:row r="618" spans="15:15" hidden="1">
      <x:c r="O618" s="37" t="s">
        <x:v>25</x:v>
      </x:c>
    </x:row>
    <x:row r="619" spans="15:15" hidden="1">
      <x:c r="O619" s="37" t="s">
        <x:v>25</x:v>
      </x:c>
    </x:row>
    <x:row r="620" spans="15:15" hidden="1">
      <x:c r="O620" s="37" t="s">
        <x:v>25</x:v>
      </x:c>
    </x:row>
    <x:row r="621" spans="15:15" hidden="1">
      <x:c r="O621" s="37" t="s">
        <x:v>25</x:v>
      </x:c>
    </x:row>
    <x:row r="622" spans="15:15" hidden="1">
      <x:c r="O622" s="37" t="s">
        <x:v>25</x:v>
      </x:c>
    </x:row>
    <x:row r="623" spans="15:15" hidden="1">
      <x:c r="O623" s="37" t="s">
        <x:v>25</x:v>
      </x:c>
    </x:row>
    <x:row r="624" spans="15:15" hidden="1">
      <x:c r="O624" s="37" t="s">
        <x:v>25</x:v>
      </x:c>
    </x:row>
    <x:row r="625" spans="15:15" hidden="1">
      <x:c r="O625" s="37" t="s">
        <x:v>25</x:v>
      </x:c>
    </x:row>
    <x:row r="626" spans="15:15" hidden="1">
      <x:c r="O626" s="37" t="s">
        <x:v>25</x:v>
      </x:c>
    </x:row>
    <x:row r="627" spans="15:15" hidden="1">
      <x:c r="O627" s="37" t="s">
        <x:v>25</x:v>
      </x:c>
    </x:row>
    <x:row r="628" spans="15:15" hidden="1">
      <x:c r="O628" s="37" t="s">
        <x:v>25</x:v>
      </x:c>
    </x:row>
    <x:row r="629" spans="15:15" hidden="1">
      <x:c r="O629" s="37" t="s">
        <x:v>25</x:v>
      </x:c>
    </x:row>
    <x:row r="630" spans="15:15" hidden="1">
      <x:c r="O630" s="37" t="s">
        <x:v>25</x:v>
      </x:c>
    </x:row>
    <x:row r="631" spans="15:15" hidden="1">
      <x:c r="O631" s="37" t="s">
        <x:v>25</x:v>
      </x:c>
    </x:row>
    <x:row r="632" spans="15:15" hidden="1">
      <x:c r="O632" s="37" t="s">
        <x:v>25</x:v>
      </x:c>
    </x:row>
    <x:row r="633" spans="15:15" hidden="1">
      <x:c r="O633" s="37" t="s">
        <x:v>25</x:v>
      </x:c>
    </x:row>
    <x:row r="634" spans="15:15" hidden="1">
      <x:c r="O634" s="37" t="s">
        <x:v>25</x:v>
      </x:c>
    </x:row>
    <x:row r="635" spans="15:15" hidden="1">
      <x:c r="O635" s="37" t="s">
        <x:v>25</x:v>
      </x:c>
    </x:row>
    <x:row r="636" spans="15:15" hidden="1">
      <x:c r="O636" s="37" t="s">
        <x:v>25</x:v>
      </x:c>
    </x:row>
    <x:row r="637" spans="15:15" hidden="1">
      <x:c r="O637" s="37" t="s">
        <x:v>25</x:v>
      </x:c>
    </x:row>
    <x:row r="638" spans="15:15" hidden="1">
      <x:c r="O638" s="37" t="s">
        <x:v>25</x:v>
      </x:c>
    </x:row>
    <x:row r="639" spans="15:15" hidden="1">
      <x:c r="O639" s="37" t="s">
        <x:v>25</x:v>
      </x:c>
    </x:row>
    <x:row r="640" spans="15:15" hidden="1">
      <x:c r="O640" s="37" t="s">
        <x:v>25</x:v>
      </x:c>
    </x:row>
    <x:row r="641" spans="15:15" hidden="1">
      <x:c r="O641" s="37" t="s">
        <x:v>25</x:v>
      </x:c>
    </x:row>
    <x:row r="642" spans="15:15" hidden="1">
      <x:c r="O642" s="37" t="s">
        <x:v>25</x:v>
      </x:c>
    </x:row>
    <x:row r="643" spans="15:15" hidden="1">
      <x:c r="O643" s="37" t="s">
        <x:v>25</x:v>
      </x:c>
    </x:row>
    <x:row r="644" spans="15:15" hidden="1">
      <x:c r="O644" s="37" t="s">
        <x:v>25</x:v>
      </x:c>
    </x:row>
    <x:row r="645" spans="15:15" hidden="1">
      <x:c r="O645" s="37" t="s">
        <x:v>25</x:v>
      </x:c>
    </x:row>
    <x:row r="646" spans="15:15" hidden="1">
      <x:c r="O646" s="37" t="s">
        <x:v>25</x:v>
      </x:c>
    </x:row>
    <x:row r="647" spans="15:15" hidden="1">
      <x:c r="O647" s="37" t="s">
        <x:v>25</x:v>
      </x:c>
    </x:row>
    <x:row r="648" spans="15:15" hidden="1">
      <x:c r="O648" s="37" t="s">
        <x:v>25</x:v>
      </x:c>
    </x:row>
    <x:row r="649" spans="15:15" hidden="1">
      <x:c r="O649" s="37" t="s">
        <x:v>25</x:v>
      </x:c>
    </x:row>
    <x:row r="650" spans="15:15" hidden="1">
      <x:c r="O650" s="37" t="s">
        <x:v>25</x:v>
      </x:c>
    </x:row>
    <x:row r="651" spans="15:15" hidden="1">
      <x:c r="O651" s="37" t="s">
        <x:v>25</x:v>
      </x:c>
    </x:row>
    <x:row r="652" spans="15:15" hidden="1">
      <x:c r="O652" s="37" t="s">
        <x:v>25</x:v>
      </x:c>
    </x:row>
    <x:row r="653" spans="15:15" hidden="1">
      <x:c r="O653" s="37" t="s">
        <x:v>25</x:v>
      </x:c>
    </x:row>
    <x:row r="654" spans="15:15" hidden="1">
      <x:c r="O654" s="37" t="s">
        <x:v>25</x:v>
      </x:c>
    </x:row>
    <x:row r="655" spans="15:15" hidden="1">
      <x:c r="O655" s="37" t="s">
        <x:v>25</x:v>
      </x:c>
    </x:row>
    <x:row r="656" spans="15:15" hidden="1">
      <x:c r="O656" s="37" t="s">
        <x:v>25</x:v>
      </x:c>
    </x:row>
    <x:row r="657" spans="15:15" hidden="1">
      <x:c r="O657" s="37" t="s">
        <x:v>25</x:v>
      </x:c>
    </x:row>
    <x:row r="658" spans="15:15" hidden="1">
      <x:c r="O658" s="37" t="s">
        <x:v>25</x:v>
      </x:c>
    </x:row>
    <x:row r="659" spans="15:15" hidden="1">
      <x:c r="O659" s="37" t="s">
        <x:v>25</x:v>
      </x:c>
    </x:row>
    <x:row r="660" spans="15:15" hidden="1">
      <x:c r="O660" s="37" t="s">
        <x:v>25</x:v>
      </x:c>
    </x:row>
    <x:row r="661" spans="15:15" hidden="1">
      <x:c r="O661" s="37" t="s">
        <x:v>25</x:v>
      </x:c>
    </x:row>
    <x:row r="662" spans="15:15" hidden="1">
      <x:c r="O662" s="37" t="s">
        <x:v>25</x:v>
      </x:c>
    </x:row>
    <x:row r="663" spans="15:15" hidden="1">
      <x:c r="O663" s="37" t="s">
        <x:v>25</x:v>
      </x:c>
    </x:row>
    <x:row r="664" spans="15:15" hidden="1">
      <x:c r="O664" s="37" t="s">
        <x:v>25</x:v>
      </x:c>
    </x:row>
    <x:row r="665" spans="15:15" hidden="1">
      <x:c r="O665" s="37" t="s">
        <x:v>25</x:v>
      </x:c>
    </x:row>
    <x:row r="666" spans="15:15" hidden="1">
      <x:c r="O666" s="37" t="s">
        <x:v>25</x:v>
      </x:c>
    </x:row>
    <x:row r="667" spans="15:15" hidden="1">
      <x:c r="O667" s="37" t="s">
        <x:v>25</x:v>
      </x:c>
    </x:row>
    <x:row r="668" spans="15:15" hidden="1">
      <x:c r="O668" s="37" t="s">
        <x:v>25</x:v>
      </x:c>
    </x:row>
    <x:row r="669" spans="15:15" hidden="1">
      <x:c r="O669" s="37" t="s">
        <x:v>25</x:v>
      </x:c>
    </x:row>
    <x:row r="670" spans="15:15" hidden="1">
      <x:c r="O670" s="37" t="s">
        <x:v>25</x:v>
      </x:c>
    </x:row>
    <x:row r="671" spans="15:15" hidden="1">
      <x:c r="O671" s="37" t="s">
        <x:v>25</x:v>
      </x:c>
    </x:row>
    <x:row r="672" spans="15:15" hidden="1">
      <x:c r="O672" s="37" t="s">
        <x:v>25</x:v>
      </x:c>
    </x:row>
    <x:row r="673" spans="15:15" hidden="1">
      <x:c r="O673" s="37" t="s">
        <x:v>25</x:v>
      </x:c>
    </x:row>
    <x:row r="674" spans="15:15" hidden="1">
      <x:c r="O674" s="37" t="s">
        <x:v>25</x:v>
      </x:c>
    </x:row>
    <x:row r="675" spans="15:15" hidden="1">
      <x:c r="O675" s="37" t="s">
        <x:v>25</x:v>
      </x:c>
    </x:row>
    <x:row r="676" spans="15:15" hidden="1">
      <x:c r="O676" s="37" t="s">
        <x:v>25</x:v>
      </x:c>
    </x:row>
    <x:row r="677" spans="15:15" hidden="1">
      <x:c r="O677" s="37" t="s">
        <x:v>25</x:v>
      </x:c>
    </x:row>
    <x:row r="678" spans="15:15" hidden="1">
      <x:c r="O678" s="37" t="s">
        <x:v>25</x:v>
      </x:c>
    </x:row>
    <x:row r="679" spans="15:15" hidden="1">
      <x:c r="O679" s="37" t="s">
        <x:v>25</x:v>
      </x:c>
    </x:row>
    <x:row r="680" spans="15:15" hidden="1">
      <x:c r="O680" s="37" t="s">
        <x:v>25</x:v>
      </x:c>
    </x:row>
    <x:row r="681" spans="15:15" hidden="1">
      <x:c r="O681" s="37" t="s">
        <x:v>25</x:v>
      </x:c>
    </x:row>
    <x:row r="682" spans="15:15" hidden="1">
      <x:c r="O682" s="37" t="s">
        <x:v>25</x:v>
      </x:c>
    </x:row>
    <x:row r="683" spans="15:15" hidden="1">
      <x:c r="O683" s="37" t="s">
        <x:v>25</x:v>
      </x:c>
    </x:row>
    <x:row r="684" spans="15:15" hidden="1">
      <x:c r="O684" s="37" t="s">
        <x:v>25</x:v>
      </x:c>
    </x:row>
    <x:row r="685" spans="15:15" hidden="1">
      <x:c r="O685" s="37" t="s">
        <x:v>25</x:v>
      </x:c>
    </x:row>
    <x:row r="686" spans="15:15" hidden="1">
      <x:c r="O686" s="37" t="s">
        <x:v>25</x:v>
      </x:c>
    </x:row>
    <x:row r="687" spans="15:15" hidden="1">
      <x:c r="O687" s="37" t="s">
        <x:v>25</x:v>
      </x:c>
    </x:row>
    <x:row r="688" spans="15:15" hidden="1">
      <x:c r="O688" s="37" t="s">
        <x:v>25</x:v>
      </x:c>
    </x:row>
    <x:row r="689" spans="15:15" hidden="1">
      <x:c r="O689" s="37" t="s">
        <x:v>25</x:v>
      </x:c>
    </x:row>
    <x:row r="690" spans="15:15" hidden="1">
      <x:c r="O690" s="37" t="s">
        <x:v>25</x:v>
      </x:c>
    </x:row>
    <x:row r="691" spans="15:15" hidden="1">
      <x:c r="O691" s="37" t="s">
        <x:v>25</x:v>
      </x:c>
    </x:row>
    <x:row r="692" spans="15:15" hidden="1">
      <x:c r="O692" s="37" t="s">
        <x:v>25</x:v>
      </x:c>
    </x:row>
    <x:row r="693" spans="15:15" hidden="1">
      <x:c r="O693" s="37" t="s">
        <x:v>25</x:v>
      </x:c>
    </x:row>
    <x:row r="694" spans="15:15" hidden="1">
      <x:c r="O694" s="37" t="s">
        <x:v>25</x:v>
      </x:c>
    </x:row>
    <x:row r="695" spans="15:15" hidden="1">
      <x:c r="O695" s="37" t="s">
        <x:v>25</x:v>
      </x:c>
    </x:row>
    <x:row r="696" spans="15:15" hidden="1">
      <x:c r="O696" s="37" t="s">
        <x:v>25</x:v>
      </x:c>
    </x:row>
    <x:row r="697" spans="15:15" hidden="1">
      <x:c r="O697" s="37" t="s">
        <x:v>25</x:v>
      </x:c>
    </x:row>
    <x:row r="698" spans="15:15" hidden="1">
      <x:c r="O698" s="37" t="s">
        <x:v>25</x:v>
      </x:c>
    </x:row>
    <x:row r="699" spans="15:15" hidden="1">
      <x:c r="O699" s="37" t="s">
        <x:v>25</x:v>
      </x:c>
    </x:row>
    <x:row r="700" spans="15:15" hidden="1">
      <x:c r="O700" s="37" t="s">
        <x:v>25</x:v>
      </x:c>
    </x:row>
    <x:row r="701" spans="15:15" hidden="1">
      <x:c r="O701" s="37" t="s">
        <x:v>25</x:v>
      </x:c>
    </x:row>
    <x:row r="702" spans="15:15" hidden="1">
      <x:c r="O702" s="37" t="s">
        <x:v>25</x:v>
      </x:c>
    </x:row>
    <x:row r="703" spans="15:15" hidden="1">
      <x:c r="O703" s="37" t="s">
        <x:v>25</x:v>
      </x:c>
    </x:row>
    <x:row r="704" spans="15:15" hidden="1">
      <x:c r="O704" s="37" t="s">
        <x:v>25</x:v>
      </x:c>
    </x:row>
    <x:row r="705" spans="15:15" hidden="1">
      <x:c r="O705" s="37" t="s">
        <x:v>25</x:v>
      </x:c>
    </x:row>
    <x:row r="706" spans="15:15" hidden="1">
      <x:c r="O706" s="37" t="s">
        <x:v>25</x:v>
      </x:c>
    </x:row>
    <x:row r="707" spans="15:15" hidden="1">
      <x:c r="O707" s="37" t="s">
        <x:v>25</x:v>
      </x:c>
    </x:row>
    <x:row r="708" spans="15:15" hidden="1">
      <x:c r="O708" s="37" t="s">
        <x:v>25</x:v>
      </x:c>
    </x:row>
    <x:row r="709" spans="15:15" hidden="1">
      <x:c r="O709" s="37" t="s">
        <x:v>25</x:v>
      </x:c>
    </x:row>
    <x:row r="710" spans="15:15" hidden="1">
      <x:c r="O710" s="37" t="s">
        <x:v>25</x:v>
      </x:c>
    </x:row>
    <x:row r="711" spans="15:15" hidden="1">
      <x:c r="O711" s="37" t="s">
        <x:v>25</x:v>
      </x:c>
    </x:row>
    <x:row r="712" spans="15:15" hidden="1">
      <x:c r="O712" s="37" t="s">
        <x:v>25</x:v>
      </x:c>
    </x:row>
    <x:row r="713" spans="15:15" hidden="1">
      <x:c r="O713" s="37" t="s">
        <x:v>25</x:v>
      </x:c>
    </x:row>
    <x:row r="714" spans="15:15" hidden="1">
      <x:c r="O714" s="37" t="s">
        <x:v>25</x:v>
      </x:c>
    </x:row>
    <x:row r="715" spans="15:15" hidden="1">
      <x:c r="O715" s="37" t="s">
        <x:v>25</x:v>
      </x:c>
    </x:row>
    <x:row r="716" spans="15:15" hidden="1">
      <x:c r="O716" s="37" t="s">
        <x:v>25</x:v>
      </x:c>
    </x:row>
    <x:row r="717" spans="15:15" hidden="1">
      <x:c r="O717" s="37" t="s">
        <x:v>25</x:v>
      </x:c>
    </x:row>
    <x:row r="718" spans="15:15" hidden="1">
      <x:c r="O718" s="37" t="s">
        <x:v>25</x:v>
      </x:c>
    </x:row>
    <x:row r="719" spans="15:15" hidden="1">
      <x:c r="O719" s="37" t="s">
        <x:v>25</x:v>
      </x:c>
    </x:row>
    <x:row r="720" spans="15:15" hidden="1">
      <x:c r="O720" s="37" t="s">
        <x:v>25</x:v>
      </x:c>
    </x:row>
    <x:row r="721" spans="15:15" hidden="1">
      <x:c r="O721" s="37" t="s">
        <x:v>25</x:v>
      </x:c>
    </x:row>
    <x:row r="722" spans="15:15" hidden="1">
      <x:c r="O722" s="37" t="s">
        <x:v>25</x:v>
      </x:c>
    </x:row>
    <x:row r="723" spans="15:15" hidden="1">
      <x:c r="O723" s="37" t="s">
        <x:v>25</x:v>
      </x:c>
    </x:row>
    <x:row r="724" spans="15:15" hidden="1">
      <x:c r="O724" s="37" t="s">
        <x:v>25</x:v>
      </x:c>
    </x:row>
    <x:row r="725" spans="15:15" hidden="1">
      <x:c r="O725" s="37" t="s">
        <x:v>25</x:v>
      </x:c>
    </x:row>
    <x:row r="726" spans="15:15" hidden="1">
      <x:c r="O726" s="37" t="s">
        <x:v>25</x:v>
      </x:c>
    </x:row>
    <x:row r="727" spans="15:15" hidden="1">
      <x:c r="O727" s="37" t="s">
        <x:v>25</x:v>
      </x:c>
    </x:row>
    <x:row r="728" spans="15:15" hidden="1">
      <x:c r="O728" s="37" t="s">
        <x:v>25</x:v>
      </x:c>
    </x:row>
    <x:row r="729" spans="15:15" hidden="1">
      <x:c r="O729" s="37" t="s">
        <x:v>25</x:v>
      </x:c>
    </x:row>
    <x:row r="730" spans="15:15" hidden="1">
      <x:c r="O730" s="37" t="s">
        <x:v>25</x:v>
      </x:c>
    </x:row>
    <x:row r="731" spans="15:15" hidden="1">
      <x:c r="O731" s="37" t="s">
        <x:v>25</x:v>
      </x:c>
    </x:row>
    <x:row r="732" spans="15:15" hidden="1">
      <x:c r="O732" s="37" t="s">
        <x:v>25</x:v>
      </x:c>
    </x:row>
    <x:row r="733" spans="15:15" hidden="1">
      <x:c r="O733" s="37" t="s">
        <x:v>25</x:v>
      </x:c>
    </x:row>
    <x:row r="734" spans="15:15" hidden="1">
      <x:c r="O734" s="37" t="s">
        <x:v>25</x:v>
      </x:c>
    </x:row>
    <x:row r="735" spans="15:15" hidden="1">
      <x:c r="O735" s="37" t="s">
        <x:v>25</x:v>
      </x:c>
    </x:row>
    <x:row r="736" spans="15:15" hidden="1">
      <x:c r="O736" s="37" t="s">
        <x:v>25</x:v>
      </x:c>
    </x:row>
    <x:row r="737" spans="15:15" hidden="1">
      <x:c r="O737" s="37" t="s">
        <x:v>25</x:v>
      </x:c>
    </x:row>
    <x:row r="738" spans="15:15" hidden="1">
      <x:c r="O738" s="37" t="s">
        <x:v>25</x:v>
      </x:c>
    </x:row>
    <x:row r="739" spans="15:15" hidden="1">
      <x:c r="O739" s="37" t="s">
        <x:v>25</x:v>
      </x:c>
    </x:row>
    <x:row r="740" spans="15:15" hidden="1">
      <x:c r="O740" s="37" t="s">
        <x:v>25</x:v>
      </x:c>
    </x:row>
    <x:row r="741" spans="15:15" hidden="1">
      <x:c r="O741" s="37" t="s">
        <x:v>25</x:v>
      </x:c>
    </x:row>
    <x:row r="742" spans="15:15" hidden="1">
      <x:c r="O742" s="37" t="s">
        <x:v>25</x:v>
      </x:c>
    </x:row>
    <x:row r="743" spans="15:15" hidden="1">
      <x:c r="O743" s="37" t="s">
        <x:v>25</x:v>
      </x:c>
    </x:row>
    <x:row r="744" spans="15:15" hidden="1">
      <x:c r="O744" s="37" t="s">
        <x:v>25</x:v>
      </x:c>
    </x:row>
    <x:row r="745" spans="15:15" hidden="1">
      <x:c r="O745" s="37" t="s">
        <x:v>25</x:v>
      </x:c>
    </x:row>
    <x:row r="746" spans="15:15" hidden="1">
      <x:c r="O746" s="37" t="s">
        <x:v>25</x:v>
      </x:c>
    </x:row>
    <x:row r="747" spans="15:15" hidden="1">
      <x:c r="O747" s="37" t="s">
        <x:v>25</x:v>
      </x:c>
    </x:row>
    <x:row r="748" spans="15:15" hidden="1">
      <x:c r="O748" s="37" t="s">
        <x:v>25</x:v>
      </x:c>
    </x:row>
    <x:row r="749" spans="15:15" hidden="1">
      <x:c r="O749" s="37" t="s">
        <x:v>25</x:v>
      </x:c>
    </x:row>
    <x:row r="750" spans="15:15" hidden="1">
      <x:c r="O750" s="37" t="s">
        <x:v>25</x:v>
      </x:c>
    </x:row>
    <x:row r="751" spans="15:15" hidden="1">
      <x:c r="O751" s="37" t="s">
        <x:v>25</x:v>
      </x:c>
    </x:row>
    <x:row r="752" spans="15:15" hidden="1">
      <x:c r="O752" s="37" t="s">
        <x:v>25</x:v>
      </x:c>
    </x:row>
    <x:row r="753" spans="15:15" hidden="1">
      <x:c r="O753" s="37" t="s">
        <x:v>25</x:v>
      </x:c>
    </x:row>
    <x:row r="754" spans="15:15" hidden="1">
      <x:c r="O754" s="37" t="s">
        <x:v>25</x:v>
      </x:c>
    </x:row>
    <x:row r="755" spans="15:15" hidden="1">
      <x:c r="O755" s="37" t="s">
        <x:v>25</x:v>
      </x:c>
    </x:row>
    <x:row r="756" spans="15:15" hidden="1">
      <x:c r="O756" s="37" t="s">
        <x:v>25</x:v>
      </x:c>
    </x:row>
    <x:row r="757" spans="15:15" hidden="1">
      <x:c r="O757" s="37" t="s">
        <x:v>25</x:v>
      </x:c>
    </x:row>
    <x:row r="758" spans="15:15" hidden="1">
      <x:c r="O758" s="37" t="s">
        <x:v>25</x:v>
      </x:c>
    </x:row>
    <x:row r="759" spans="15:15" hidden="1">
      <x:c r="O759" s="37" t="s">
        <x:v>25</x:v>
      </x:c>
    </x:row>
    <x:row r="760" spans="15:15" hidden="1">
      <x:c r="O760" s="37" t="s">
        <x:v>25</x:v>
      </x:c>
    </x:row>
    <x:row r="761" spans="15:15" hidden="1">
      <x:c r="O761" s="37" t="s">
        <x:v>25</x:v>
      </x:c>
    </x:row>
    <x:row r="762" spans="15:15" hidden="1">
      <x:c r="O762" s="37" t="s">
        <x:v>25</x:v>
      </x:c>
    </x:row>
    <x:row r="763" spans="15:15" hidden="1">
      <x:c r="O763" s="37" t="s">
        <x:v>25</x:v>
      </x:c>
    </x:row>
    <x:row r="764" spans="15:15" hidden="1">
      <x:c r="O764" s="37" t="s">
        <x:v>25</x:v>
      </x:c>
    </x:row>
    <x:row r="765" spans="15:15" hidden="1">
      <x:c r="O765" s="37" t="s">
        <x:v>25</x:v>
      </x:c>
    </x:row>
    <x:row r="766" spans="15:15" hidden="1">
      <x:c r="O766" s="37" t="s">
        <x:v>25</x:v>
      </x:c>
    </x:row>
    <x:row r="767" spans="15:15" hidden="1">
      <x:c r="O767" s="37" t="s">
        <x:v>25</x:v>
      </x:c>
    </x:row>
    <x:row r="768" spans="15:15" hidden="1">
      <x:c r="O768" s="37" t="s">
        <x:v>25</x:v>
      </x:c>
    </x:row>
    <x:row r="769" spans="15:15" hidden="1">
      <x:c r="O769" s="37" t="s">
        <x:v>25</x:v>
      </x:c>
    </x:row>
    <x:row r="770" spans="15:15" hidden="1">
      <x:c r="O770" s="37" t="s">
        <x:v>25</x:v>
      </x:c>
    </x:row>
    <x:row r="771" spans="15:15" hidden="1">
      <x:c r="O771" s="37" t="s">
        <x:v>25</x:v>
      </x:c>
    </x:row>
    <x:row r="772" spans="15:15" hidden="1">
      <x:c r="O772" s="37" t="s">
        <x:v>25</x:v>
      </x:c>
    </x:row>
    <x:row r="773" spans="15:15" hidden="1">
      <x:c r="O773" s="37" t="s">
        <x:v>25</x:v>
      </x:c>
    </x:row>
    <x:row r="774" spans="15:15" hidden="1">
      <x:c r="O774" s="37" t="s">
        <x:v>25</x:v>
      </x:c>
    </x:row>
    <x:row r="775" spans="15:15" hidden="1">
      <x:c r="O775" s="37" t="s">
        <x:v>25</x:v>
      </x:c>
    </x:row>
    <x:row r="776" spans="15:15" hidden="1">
      <x:c r="O776" s="37" t="s">
        <x:v>25</x:v>
      </x:c>
    </x:row>
    <x:row r="777" spans="15:15" hidden="1">
      <x:c r="O777" s="37" t="s">
        <x:v>25</x:v>
      </x:c>
    </x:row>
    <x:row r="778" spans="15:15" hidden="1">
      <x:c r="O778" s="37" t="s">
        <x:v>25</x:v>
      </x:c>
    </x:row>
    <x:row r="779" spans="15:15" hidden="1">
      <x:c r="O779" s="37" t="s">
        <x:v>25</x:v>
      </x:c>
    </x:row>
    <x:row r="780" spans="15:15" hidden="1">
      <x:c r="O780" s="37" t="s">
        <x:v>25</x:v>
      </x:c>
    </x:row>
    <x:row r="781" spans="15:15" hidden="1">
      <x:c r="O781" s="37" t="s">
        <x:v>25</x:v>
      </x:c>
    </x:row>
    <x:row r="782" spans="15:15" hidden="1">
      <x:c r="O782" s="37" t="s">
        <x:v>25</x:v>
      </x:c>
    </x:row>
    <x:row r="783" spans="15:15" hidden="1">
      <x:c r="O783" s="37" t="s">
        <x:v>25</x:v>
      </x:c>
    </x:row>
    <x:row r="784" spans="15:15" hidden="1">
      <x:c r="O784" s="37" t="s">
        <x:v>25</x:v>
      </x:c>
    </x:row>
    <x:row r="785" spans="15:15" hidden="1">
      <x:c r="O785" s="37" t="s">
        <x:v>25</x:v>
      </x:c>
    </x:row>
    <x:row r="786" spans="15:15" hidden="1">
      <x:c r="O786" s="37" t="s">
        <x:v>25</x:v>
      </x:c>
    </x:row>
    <x:row r="787" spans="15:15" hidden="1">
      <x:c r="O787" s="37" t="s">
        <x:v>25</x:v>
      </x:c>
    </x:row>
    <x:row r="788" spans="15:15" hidden="1">
      <x:c r="O788" s="37" t="s">
        <x:v>25</x:v>
      </x:c>
    </x:row>
    <x:row r="789" spans="15:15" hidden="1">
      <x:c r="O789" s="37" t="s">
        <x:v>25</x:v>
      </x:c>
    </x:row>
    <x:row r="790" spans="15:15" hidden="1">
      <x:c r="O790" s="37" t="s">
        <x:v>25</x:v>
      </x:c>
    </x:row>
    <x:row r="791" spans="15:15" hidden="1">
      <x:c r="O791" s="37" t="s">
        <x:v>25</x:v>
      </x:c>
    </x:row>
    <x:row r="792" spans="15:15" hidden="1">
      <x:c r="O792" s="37" t="s">
        <x:v>25</x:v>
      </x:c>
    </x:row>
    <x:row r="793" spans="15:15" hidden="1">
      <x:c r="O793" s="37" t="s">
        <x:v>25</x:v>
      </x:c>
    </x:row>
    <x:row r="794" spans="15:15" hidden="1">
      <x:c r="O794" s="37" t="s">
        <x:v>25</x:v>
      </x:c>
    </x:row>
    <x:row r="795" spans="15:15" hidden="1">
      <x:c r="O795" s="37" t="s">
        <x:v>25</x:v>
      </x:c>
    </x:row>
    <x:row r="796" spans="15:15" hidden="1">
      <x:c r="O796" s="37" t="s">
        <x:v>25</x:v>
      </x:c>
    </x:row>
    <x:row r="797" spans="15:15" hidden="1">
      <x:c r="O797" s="37" t="s">
        <x:v>25</x:v>
      </x:c>
    </x:row>
    <x:row r="798" spans="15:15" hidden="1">
      <x:c r="O798" s="37" t="s">
        <x:v>25</x:v>
      </x:c>
    </x:row>
    <x:row r="799" spans="15:15" hidden="1">
      <x:c r="O799" s="37" t="s">
        <x:v>25</x:v>
      </x:c>
    </x:row>
    <x:row r="800" spans="15:15" hidden="1">
      <x:c r="O800" s="37" t="s">
        <x:v>25</x:v>
      </x:c>
    </x:row>
    <x:row r="801" spans="15:15" hidden="1">
      <x:c r="O801" s="37" t="s">
        <x:v>25</x:v>
      </x:c>
    </x:row>
    <x:row r="802" spans="15:15" hidden="1">
      <x:c r="O802" s="37" t="s">
        <x:v>25</x:v>
      </x:c>
    </x:row>
    <x:row r="803" spans="15:15" hidden="1">
      <x:c r="O803" s="37" t="s">
        <x:v>25</x:v>
      </x:c>
    </x:row>
    <x:row r="804" spans="15:15" hidden="1">
      <x:c r="O804" s="37" t="s">
        <x:v>25</x:v>
      </x:c>
    </x:row>
    <x:row r="805" spans="15:15" hidden="1">
      <x:c r="O805" s="37" t="s">
        <x:v>25</x:v>
      </x:c>
    </x:row>
    <x:row r="806" spans="15:15" hidden="1">
      <x:c r="O806" s="37" t="s">
        <x:v>25</x:v>
      </x:c>
    </x:row>
    <x:row r="807" spans="15:15" hidden="1">
      <x:c r="O807" s="37" t="s">
        <x:v>25</x:v>
      </x:c>
    </x:row>
    <x:row r="808" spans="15:15" hidden="1">
      <x:c r="O808" s="37" t="s">
        <x:v>25</x:v>
      </x:c>
    </x:row>
    <x:row r="809" spans="15:15" hidden="1">
      <x:c r="O809" s="37" t="s">
        <x:v>25</x:v>
      </x:c>
    </x:row>
    <x:row r="810" spans="15:15" hidden="1">
      <x:c r="O810" s="37" t="s">
        <x:v>25</x:v>
      </x:c>
    </x:row>
    <x:row r="811" spans="15:15" hidden="1">
      <x:c r="O811" s="37" t="s">
        <x:v>25</x:v>
      </x:c>
    </x:row>
    <x:row r="812" spans="15:15" hidden="1">
      <x:c r="O812" s="37" t="s">
        <x:v>25</x:v>
      </x:c>
    </x:row>
    <x:row r="813" spans="15:15" hidden="1">
      <x:c r="O813" s="37" t="s">
        <x:v>25</x:v>
      </x:c>
    </x:row>
    <x:row r="814" spans="15:15" hidden="1">
      <x:c r="O814" s="37" t="s">
        <x:v>25</x:v>
      </x:c>
    </x:row>
    <x:row r="815" spans="15:15" hidden="1">
      <x:c r="O815" s="37" t="s">
        <x:v>25</x:v>
      </x:c>
    </x:row>
    <x:row r="816" spans="15:15" hidden="1">
      <x:c r="O816" s="37" t="s">
        <x:v>25</x:v>
      </x:c>
    </x:row>
    <x:row r="817" spans="15:15" hidden="1">
      <x:c r="O817" s="37" t="s">
        <x:v>25</x:v>
      </x:c>
    </x:row>
    <x:row r="818" spans="15:15" hidden="1">
      <x:c r="O818" s="37" t="s">
        <x:v>25</x:v>
      </x:c>
    </x:row>
    <x:row r="819" spans="15:15" hidden="1">
      <x:c r="O819" s="37" t="s">
        <x:v>25</x:v>
      </x:c>
    </x:row>
    <x:row r="820" spans="15:15" hidden="1">
      <x:c r="O820" s="37" t="s">
        <x:v>25</x:v>
      </x:c>
    </x:row>
    <x:row r="821" spans="15:15" hidden="1">
      <x:c r="O821" s="37" t="s">
        <x:v>25</x:v>
      </x:c>
    </x:row>
    <x:row r="822" spans="15:15" hidden="1">
      <x:c r="O822" s="37" t="s">
        <x:v>25</x:v>
      </x:c>
    </x:row>
    <x:row r="823" spans="15:15" hidden="1">
      <x:c r="O823" s="37" t="s">
        <x:v>25</x:v>
      </x:c>
    </x:row>
    <x:row r="824" spans="15:15" hidden="1">
      <x:c r="O824" s="37" t="s">
        <x:v>25</x:v>
      </x:c>
    </x:row>
    <x:row r="825" spans="15:15" hidden="1">
      <x:c r="O825" s="37" t="s">
        <x:v>25</x:v>
      </x:c>
    </x:row>
    <x:row r="826" spans="15:15" hidden="1">
      <x:c r="O826" s="37" t="s">
        <x:v>25</x:v>
      </x:c>
    </x:row>
    <x:row r="827" spans="15:15" hidden="1">
      <x:c r="O827" s="37" t="s">
        <x:v>25</x:v>
      </x:c>
    </x:row>
    <x:row r="828" spans="15:15" hidden="1">
      <x:c r="O828" s="37" t="s">
        <x:v>25</x:v>
      </x:c>
    </x:row>
    <x:row r="829" spans="15:15" hidden="1">
      <x:c r="O829" s="37" t="s">
        <x:v>25</x:v>
      </x:c>
    </x:row>
    <x:row r="830" spans="15:15" hidden="1">
      <x:c r="O830" s="37" t="s">
        <x:v>25</x:v>
      </x:c>
    </x:row>
    <x:row r="831" spans="15:15" hidden="1">
      <x:c r="O831" s="37" t="s">
        <x:v>25</x:v>
      </x:c>
    </x:row>
    <x:row r="832" spans="15:15" hidden="1">
      <x:c r="O832" s="37" t="s">
        <x:v>25</x:v>
      </x:c>
    </x:row>
    <x:row r="833" spans="15:15" hidden="1">
      <x:c r="O833" s="37" t="s">
        <x:v>25</x:v>
      </x:c>
    </x:row>
    <x:row r="834" spans="15:15" hidden="1">
      <x:c r="O834" s="37" t="s">
        <x:v>25</x:v>
      </x:c>
    </x:row>
    <x:row r="835" spans="15:15" hidden="1">
      <x:c r="O835" s="37" t="s">
        <x:v>25</x:v>
      </x:c>
    </x:row>
    <x:row r="836" spans="15:15" hidden="1">
      <x:c r="O836" s="37" t="s">
        <x:v>25</x:v>
      </x:c>
    </x:row>
    <x:row r="837" spans="15:15" hidden="1">
      <x:c r="O837" s="37" t="s">
        <x:v>25</x:v>
      </x:c>
    </x:row>
    <x:row r="838" spans="15:15" hidden="1">
      <x:c r="O838" s="37" t="s">
        <x:v>25</x:v>
      </x:c>
    </x:row>
    <x:row r="839" spans="15:15" hidden="1">
      <x:c r="O839" s="37" t="s">
        <x:v>25</x:v>
      </x:c>
    </x:row>
    <x:row r="840" spans="15:15" hidden="1">
      <x:c r="O840" s="37" t="s">
        <x:v>25</x:v>
      </x:c>
    </x:row>
    <x:row r="841" spans="15:15" hidden="1">
      <x:c r="O841" s="37" t="s">
        <x:v>25</x:v>
      </x:c>
    </x:row>
    <x:row r="842" spans="15:15" hidden="1">
      <x:c r="O842" s="37" t="s">
        <x:v>25</x:v>
      </x:c>
    </x:row>
    <x:row r="843" spans="15:15" hidden="1">
      <x:c r="O843" s="37" t="s">
        <x:v>25</x:v>
      </x:c>
    </x:row>
    <x:row r="844" spans="15:15" hidden="1">
      <x:c r="O844" s="37" t="s">
        <x:v>25</x:v>
      </x:c>
    </x:row>
    <x:row r="845" spans="15:15" hidden="1">
      <x:c r="O845" s="37" t="s">
        <x:v>25</x:v>
      </x:c>
    </x:row>
    <x:row r="846" spans="15:15" hidden="1">
      <x:c r="O846" s="37" t="s">
        <x:v>25</x:v>
      </x:c>
    </x:row>
    <x:row r="847" spans="15:15" hidden="1">
      <x:c r="O847" s="37" t="s">
        <x:v>25</x:v>
      </x:c>
    </x:row>
    <x:row r="848" spans="15:15" hidden="1">
      <x:c r="O848" s="37" t="s">
        <x:v>25</x:v>
      </x:c>
    </x:row>
    <x:row r="849" spans="15:15" hidden="1">
      <x:c r="O849" s="37" t="s">
        <x:v>25</x:v>
      </x:c>
    </x:row>
    <x:row r="850" spans="15:15" hidden="1">
      <x:c r="O850" s="37" t="s">
        <x:v>25</x:v>
      </x:c>
    </x:row>
    <x:row r="851" spans="15:15" hidden="1">
      <x:c r="O851" s="37" t="s">
        <x:v>25</x:v>
      </x:c>
    </x:row>
    <x:row r="852" spans="15:15" hidden="1">
      <x:c r="O852" s="37" t="s">
        <x:v>25</x:v>
      </x:c>
    </x:row>
    <x:row r="853" spans="15:15" hidden="1">
      <x:c r="O853" s="37" t="s">
        <x:v>25</x:v>
      </x:c>
    </x:row>
    <x:row r="854" spans="15:15" hidden="1">
      <x:c r="O854" s="37" t="s">
        <x:v>25</x:v>
      </x:c>
    </x:row>
    <x:row r="855" spans="15:15" hidden="1">
      <x:c r="O855" s="37" t="s">
        <x:v>25</x:v>
      </x:c>
    </x:row>
    <x:row r="856" spans="15:15" hidden="1">
      <x:c r="O856" s="37" t="s">
        <x:v>25</x:v>
      </x:c>
    </x:row>
    <x:row r="857" spans="15:15" hidden="1">
      <x:c r="O857" s="37" t="s">
        <x:v>25</x:v>
      </x:c>
    </x:row>
    <x:row r="858" spans="15:15" hidden="1">
      <x:c r="O858" s="37" t="s">
        <x:v>25</x:v>
      </x:c>
    </x:row>
    <x:row r="859" spans="15:15" hidden="1">
      <x:c r="O859" s="37" t="s">
        <x:v>25</x:v>
      </x:c>
    </x:row>
    <x:row r="860" spans="15:15" hidden="1">
      <x:c r="O860" s="37" t="s">
        <x:v>25</x:v>
      </x:c>
    </x:row>
    <x:row r="861" spans="15:15" hidden="1">
      <x:c r="O861" s="37" t="s">
        <x:v>25</x:v>
      </x:c>
    </x:row>
    <x:row r="862" spans="15:15" hidden="1">
      <x:c r="O862" s="37" t="s">
        <x:v>25</x:v>
      </x:c>
    </x:row>
    <x:row r="863" spans="15:15" hidden="1">
      <x:c r="O863" s="37" t="s">
        <x:v>25</x:v>
      </x:c>
    </x:row>
    <x:row r="864" spans="15:15" hidden="1">
      <x:c r="O864" s="37" t="s">
        <x:v>25</x:v>
      </x:c>
    </x:row>
    <x:row r="865" spans="15:15" hidden="1">
      <x:c r="O865" s="37" t="s">
        <x:v>25</x:v>
      </x:c>
    </x:row>
    <x:row r="866" spans="15:15" hidden="1">
      <x:c r="O866" s="37" t="s">
        <x:v>25</x:v>
      </x:c>
    </x:row>
    <x:row r="867" spans="15:15" hidden="1">
      <x:c r="O867" s="37" t="s">
        <x:v>25</x:v>
      </x:c>
    </x:row>
    <x:row r="868" spans="15:15" hidden="1">
      <x:c r="O868" s="37" t="s">
        <x:v>25</x:v>
      </x:c>
    </x:row>
    <x:row r="869" spans="15:15" hidden="1">
      <x:c r="O869" s="37" t="s">
        <x:v>25</x:v>
      </x:c>
    </x:row>
    <x:row r="870" spans="15:15" hidden="1">
      <x:c r="O870" s="37" t="s">
        <x:v>25</x:v>
      </x:c>
    </x:row>
    <x:row r="871" spans="15:15" hidden="1">
      <x:c r="O871" s="37" t="s">
        <x:v>25</x:v>
      </x:c>
    </x:row>
    <x:row r="872" spans="15:15" hidden="1">
      <x:c r="O872" s="37" t="s">
        <x:v>25</x:v>
      </x:c>
    </x:row>
    <x:row r="873" spans="15:15" hidden="1">
      <x:c r="O873" s="37" t="s">
        <x:v>25</x:v>
      </x:c>
    </x:row>
    <x:row r="874" spans="15:15" hidden="1">
      <x:c r="O874" s="37" t="s">
        <x:v>25</x:v>
      </x:c>
    </x:row>
    <x:row r="875" spans="15:15" hidden="1">
      <x:c r="O875" s="37" t="s">
        <x:v>25</x:v>
      </x:c>
    </x:row>
    <x:row r="876" spans="15:15" hidden="1">
      <x:c r="O876" s="37" t="s">
        <x:v>25</x:v>
      </x:c>
    </x:row>
    <x:row r="877" spans="15:15" hidden="1">
      <x:c r="O877" s="37" t="s">
        <x:v>25</x:v>
      </x:c>
    </x:row>
    <x:row r="878" spans="15:15" hidden="1">
      <x:c r="O878" s="37" t="s">
        <x:v>25</x:v>
      </x:c>
    </x:row>
    <x:row r="879" spans="15:15" hidden="1">
      <x:c r="O879" s="37" t="s">
        <x:v>25</x:v>
      </x:c>
    </x:row>
    <x:row r="880" spans="15:15" hidden="1">
      <x:c r="O880" s="37" t="s">
        <x:v>25</x:v>
      </x:c>
    </x:row>
    <x:row r="881" spans="15:15" hidden="1">
      <x:c r="O881" s="37" t="s">
        <x:v>25</x:v>
      </x:c>
    </x:row>
    <x:row r="882" spans="15:15" hidden="1">
      <x:c r="O882" s="37" t="s">
        <x:v>25</x:v>
      </x:c>
    </x:row>
    <x:row r="883" spans="15:15" hidden="1">
      <x:c r="O883" s="37" t="s">
        <x:v>25</x:v>
      </x:c>
    </x:row>
    <x:row r="884" spans="15:15" hidden="1">
      <x:c r="O884" s="37" t="s">
        <x:v>25</x:v>
      </x:c>
    </x:row>
    <x:row r="885" spans="15:15" hidden="1">
      <x:c r="O885" s="37" t="s">
        <x:v>25</x:v>
      </x:c>
    </x:row>
    <x:row r="886" spans="15:15" hidden="1">
      <x:c r="O886" s="37" t="s">
        <x:v>25</x:v>
      </x:c>
    </x:row>
    <x:row r="887" spans="15:15" hidden="1">
      <x:c r="O887" s="37" t="s">
        <x:v>25</x:v>
      </x:c>
    </x:row>
    <x:row r="888" spans="15:15" hidden="1">
      <x:c r="O888" s="37" t="s">
        <x:v>25</x:v>
      </x:c>
    </x:row>
    <x:row r="889" spans="15:15" hidden="1">
      <x:c r="O889" s="37" t="s">
        <x:v>25</x:v>
      </x:c>
    </x:row>
    <x:row r="890" spans="15:15" hidden="1">
      <x:c r="O890" s="37" t="s">
        <x:v>25</x:v>
      </x:c>
    </x:row>
    <x:row r="891" spans="15:15" hidden="1">
      <x:c r="O891" s="37" t="s">
        <x:v>25</x:v>
      </x:c>
    </x:row>
    <x:row r="892" spans="15:15" hidden="1">
      <x:c r="O892" s="37" t="s">
        <x:v>25</x:v>
      </x:c>
    </x:row>
    <x:row r="893" spans="15:15" hidden="1">
      <x:c r="O893" s="37" t="s">
        <x:v>25</x:v>
      </x:c>
    </x:row>
    <x:row r="894" spans="15:15" hidden="1">
      <x:c r="O894" s="37" t="s">
        <x:v>25</x:v>
      </x:c>
    </x:row>
    <x:row r="895" spans="15:15" hidden="1">
      <x:c r="O895" s="37" t="s">
        <x:v>25</x:v>
      </x:c>
    </x:row>
    <x:row r="896" spans="15:15" hidden="1">
      <x:c r="O896" s="37" t="s">
        <x:v>25</x:v>
      </x:c>
    </x:row>
    <x:row r="897" spans="15:15" hidden="1">
      <x:c r="O897" s="37" t="s">
        <x:v>25</x:v>
      </x:c>
    </x:row>
    <x:row r="898" spans="15:15" hidden="1">
      <x:c r="O898" s="37" t="s">
        <x:v>25</x:v>
      </x:c>
    </x:row>
    <x:row r="899" spans="15:15" hidden="1">
      <x:c r="O899" s="37" t="s">
        <x:v>25</x:v>
      </x:c>
    </x:row>
    <x:row r="900" spans="15:15" hidden="1">
      <x:c r="O900" s="37" t="s">
        <x:v>25</x:v>
      </x:c>
    </x:row>
    <x:row r="901" spans="15:15" hidden="1">
      <x:c r="O901" s="37" t="s">
        <x:v>25</x:v>
      </x:c>
    </x:row>
    <x:row r="902" spans="15:15" hidden="1">
      <x:c r="O902" s="37" t="s">
        <x:v>25</x:v>
      </x:c>
    </x:row>
    <x:row r="903" spans="15:15" hidden="1">
      <x:c r="O903" s="37" t="s">
        <x:v>25</x:v>
      </x:c>
    </x:row>
    <x:row r="904" spans="15:15" hidden="1">
      <x:c r="O904" s="37" t="s">
        <x:v>25</x:v>
      </x:c>
    </x:row>
    <x:row r="905" spans="15:15" hidden="1">
      <x:c r="O905" s="37" t="s">
        <x:v>25</x:v>
      </x:c>
    </x:row>
    <x:row r="906" spans="15:15" hidden="1">
      <x:c r="O906" s="37" t="s">
        <x:v>25</x:v>
      </x:c>
    </x:row>
    <x:row r="907" spans="15:15" hidden="1">
      <x:c r="O907" s="37" t="s">
        <x:v>25</x:v>
      </x:c>
    </x:row>
    <x:row r="908" spans="15:15" hidden="1">
      <x:c r="O908" s="37" t="s">
        <x:v>25</x:v>
      </x:c>
    </x:row>
    <x:row r="909" spans="15:15" hidden="1">
      <x:c r="O909" s="37" t="s">
        <x:v>25</x:v>
      </x:c>
    </x:row>
    <x:row r="910" spans="15:15" hidden="1">
      <x:c r="O910" s="37" t="s">
        <x:v>25</x:v>
      </x:c>
    </x:row>
    <x:row r="911" spans="15:15" hidden="1">
      <x:c r="O911" s="37" t="s">
        <x:v>25</x:v>
      </x:c>
    </x:row>
    <x:row r="912" spans="15:15" hidden="1">
      <x:c r="O912" s="37" t="s">
        <x:v>25</x:v>
      </x:c>
    </x:row>
    <x:row r="913" spans="15:15" hidden="1">
      <x:c r="O913" s="37" t="s">
        <x:v>25</x:v>
      </x:c>
    </x:row>
    <x:row r="914" spans="15:15" hidden="1">
      <x:c r="O914" s="37" t="s">
        <x:v>25</x:v>
      </x:c>
    </x:row>
    <x:row r="915" spans="15:15" hidden="1">
      <x:c r="O915" s="37" t="s">
        <x:v>25</x:v>
      </x:c>
    </x:row>
    <x:row r="916" spans="15:15" hidden="1">
      <x:c r="O916" s="37" t="s">
        <x:v>25</x:v>
      </x:c>
    </x:row>
    <x:row r="917" spans="15:15" hidden="1">
      <x:c r="O917" s="37" t="s">
        <x:v>25</x:v>
      </x:c>
    </x:row>
    <x:row r="918" spans="15:15" hidden="1">
      <x:c r="O918" s="37" t="s">
        <x:v>25</x:v>
      </x:c>
    </x:row>
    <x:row r="919" spans="15:15" hidden="1">
      <x:c r="O919" s="37" t="s">
        <x:v>25</x:v>
      </x:c>
    </x:row>
    <x:row r="920" spans="15:15" hidden="1">
      <x:c r="O920" s="37" t="s">
        <x:v>25</x:v>
      </x:c>
    </x:row>
    <x:row r="921" spans="15:15" hidden="1">
      <x:c r="O921" s="37" t="s">
        <x:v>25</x:v>
      </x:c>
    </x:row>
    <x:row r="922" spans="15:15" hidden="1">
      <x:c r="O922" s="37" t="s">
        <x:v>25</x:v>
      </x:c>
    </x:row>
    <x:row r="923" spans="15:15" hidden="1">
      <x:c r="O923" s="37" t="s">
        <x:v>25</x:v>
      </x:c>
    </x:row>
    <x:row r="924" spans="15:15" hidden="1">
      <x:c r="O924" s="37" t="s">
        <x:v>25</x:v>
      </x:c>
    </x:row>
    <x:row r="925" spans="15:15" hidden="1">
      <x:c r="O925" s="37" t="s">
        <x:v>25</x:v>
      </x:c>
    </x:row>
    <x:row r="926" spans="15:15" hidden="1">
      <x:c r="O926" s="37" t="s">
        <x:v>25</x:v>
      </x:c>
    </x:row>
    <x:row r="927" spans="15:15" hidden="1">
      <x:c r="O927" s="37" t="s">
        <x:v>25</x:v>
      </x:c>
    </x:row>
    <x:row r="928" spans="15:15" hidden="1">
      <x:c r="O928" s="37" t="s">
        <x:v>25</x:v>
      </x:c>
    </x:row>
    <x:row r="929" spans="15:15" hidden="1">
      <x:c r="O929" s="37" t="s">
        <x:v>25</x:v>
      </x:c>
    </x:row>
    <x:row r="930" spans="15:15" hidden="1">
      <x:c r="O930" s="37" t="s">
        <x:v>25</x:v>
      </x:c>
    </x:row>
    <x:row r="931" spans="15:15" hidden="1">
      <x:c r="O931" s="37" t="s">
        <x:v>25</x:v>
      </x:c>
    </x:row>
    <x:row r="932" spans="15:15" hidden="1">
      <x:c r="O932" s="37" t="s">
        <x:v>25</x:v>
      </x:c>
    </x:row>
    <x:row r="933" spans="15:15" hidden="1">
      <x:c r="O933" s="37" t="s">
        <x:v>25</x:v>
      </x:c>
    </x:row>
    <x:row r="934" spans="15:15" hidden="1">
      <x:c r="O934" s="37" t="s">
        <x:v>25</x:v>
      </x:c>
    </x:row>
    <x:row r="935" spans="15:15" hidden="1">
      <x:c r="O935" s="37" t="s">
        <x:v>25</x:v>
      </x:c>
    </x:row>
    <x:row r="936" spans="15:15" hidden="1">
      <x:c r="O936" s="37" t="s">
        <x:v>25</x:v>
      </x:c>
    </x:row>
    <x:row r="937" spans="15:15" hidden="1">
      <x:c r="O937" s="37" t="s">
        <x:v>25</x:v>
      </x:c>
    </x:row>
    <x:row r="938" spans="15:15" hidden="1">
      <x:c r="O938" s="37" t="s">
        <x:v>25</x:v>
      </x:c>
    </x:row>
    <x:row r="939" spans="15:15" hidden="1">
      <x:c r="O939" s="37" t="s">
        <x:v>25</x:v>
      </x:c>
    </x:row>
    <x:row r="940" spans="15:15" hidden="1">
      <x:c r="O940" s="37" t="s">
        <x:v>25</x:v>
      </x:c>
    </x:row>
    <x:row r="941" spans="15:15" hidden="1">
      <x:c r="O941" s="37" t="s">
        <x:v>25</x:v>
      </x:c>
    </x:row>
    <x:row r="942" spans="15:15" hidden="1">
      <x:c r="O942" s="37" t="s">
        <x:v>25</x:v>
      </x:c>
    </x:row>
    <x:row r="943" spans="15:15" hidden="1">
      <x:c r="O943" s="37" t="s">
        <x:v>25</x:v>
      </x:c>
    </x:row>
    <x:row r="944" spans="15:15" hidden="1">
      <x:c r="O944" s="37" t="s">
        <x:v>25</x:v>
      </x:c>
    </x:row>
    <x:row r="945" spans="15:15" hidden="1">
      <x:c r="O945" s="37" t="s">
        <x:v>25</x:v>
      </x:c>
    </x:row>
    <x:row r="946" spans="15:15" hidden="1">
      <x:c r="O946" s="37" t="s">
        <x:v>25</x:v>
      </x:c>
    </x:row>
    <x:row r="947" spans="15:15" hidden="1">
      <x:c r="O947" s="37" t="s">
        <x:v>25</x:v>
      </x:c>
    </x:row>
    <x:row r="948" spans="15:15" hidden="1">
      <x:c r="O948" s="37" t="s">
        <x:v>25</x:v>
      </x:c>
    </x:row>
    <x:row r="949" spans="15:15" hidden="1">
      <x:c r="O949" s="37" t="s">
        <x:v>25</x:v>
      </x:c>
    </x:row>
    <x:row r="950" spans="15:15" hidden="1">
      <x:c r="O950" s="37" t="s">
        <x:v>25</x:v>
      </x:c>
    </x:row>
    <x:row r="951" spans="15:15" hidden="1">
      <x:c r="O951" s="37" t="s">
        <x:v>25</x:v>
      </x:c>
    </x:row>
    <x:row r="952" spans="15:15" hidden="1">
      <x:c r="O952" s="37" t="s">
        <x:v>25</x:v>
      </x:c>
    </x:row>
    <x:row r="953" spans="15:15" hidden="1">
      <x:c r="O953" s="37" t="s">
        <x:v>25</x:v>
      </x:c>
    </x:row>
    <x:row r="954" spans="15:15" hidden="1">
      <x:c r="O954" s="37" t="s">
        <x:v>25</x:v>
      </x:c>
    </x:row>
    <x:row r="955" spans="15:15" hidden="1">
      <x:c r="O955" s="37" t="s">
        <x:v>25</x:v>
      </x:c>
    </x:row>
    <x:row r="956" spans="15:15" hidden="1">
      <x:c r="O956" s="37" t="s">
        <x:v>25</x:v>
      </x:c>
    </x:row>
    <x:row r="957" spans="15:15" hidden="1">
      <x:c r="O957" s="37" t="s">
        <x:v>25</x:v>
      </x:c>
    </x:row>
    <x:row r="958" spans="15:15" hidden="1">
      <x:c r="O958" s="37" t="s">
        <x:v>25</x:v>
      </x:c>
    </x:row>
    <x:row r="959" spans="15:15" hidden="1">
      <x:c r="O959" s="37" t="s">
        <x:v>25</x:v>
      </x:c>
    </x:row>
    <x:row r="960" spans="15:15" hidden="1">
      <x:c r="O960" s="37" t="s">
        <x:v>25</x:v>
      </x:c>
    </x:row>
    <x:row r="961" spans="15:15" hidden="1">
      <x:c r="O961" s="37" t="s">
        <x:v>25</x:v>
      </x:c>
    </x:row>
    <x:row r="962" spans="15:15" hidden="1">
      <x:c r="O962" s="37" t="s">
        <x:v>25</x:v>
      </x:c>
    </x:row>
    <x:row r="963" spans="15:15" hidden="1">
      <x:c r="O963" s="37" t="s">
        <x:v>25</x:v>
      </x:c>
    </x:row>
    <x:row r="964" spans="15:15" hidden="1">
      <x:c r="O964" s="37" t="s">
        <x:v>25</x:v>
      </x:c>
    </x:row>
    <x:row r="965" spans="15:15" hidden="1">
      <x:c r="O965" s="37" t="s">
        <x:v>25</x:v>
      </x:c>
    </x:row>
    <x:row r="966" spans="15:15" hidden="1">
      <x:c r="O966" s="37" t="s">
        <x:v>25</x:v>
      </x:c>
    </x:row>
    <x:row r="967" spans="15:15" hidden="1">
      <x:c r="O967" s="37" t="s">
        <x:v>25</x:v>
      </x:c>
    </x:row>
    <x:row r="968" spans="15:15" hidden="1">
      <x:c r="O968" s="37" t="s">
        <x:v>25</x:v>
      </x:c>
    </x:row>
    <x:row r="969" spans="15:15" hidden="1">
      <x:c r="O969" s="37" t="s">
        <x:v>25</x:v>
      </x:c>
    </x:row>
    <x:row r="970" spans="15:15" hidden="1">
      <x:c r="O970" s="37" t="s">
        <x:v>25</x:v>
      </x:c>
    </x:row>
    <x:row r="971" spans="15:15" hidden="1">
      <x:c r="O971" s="37" t="s">
        <x:v>25</x:v>
      </x:c>
    </x:row>
    <x:row r="972" spans="15:15" hidden="1">
      <x:c r="O972" s="37" t="s">
        <x:v>25</x:v>
      </x:c>
    </x:row>
    <x:row r="973" spans="15:15" hidden="1">
      <x:c r="O973" s="37" t="s">
        <x:v>25</x:v>
      </x:c>
    </x:row>
    <x:row r="974" spans="15:15" hidden="1">
      <x:c r="O974" s="37" t="s">
        <x:v>25</x:v>
      </x:c>
    </x:row>
    <x:row r="975" spans="15:15" hidden="1">
      <x:c r="O975" s="37" t="s">
        <x:v>25</x:v>
      </x:c>
    </x:row>
    <x:row r="976" spans="15:15" hidden="1">
      <x:c r="O976" s="37" t="s">
        <x:v>25</x:v>
      </x:c>
    </x:row>
    <x:row r="977" spans="15:15" hidden="1">
      <x:c r="O977" s="37" t="s">
        <x:v>25</x:v>
      </x:c>
    </x:row>
    <x:row r="978" spans="15:15" hidden="1">
      <x:c r="O978" s="37" t="s">
        <x:v>25</x:v>
      </x:c>
    </x:row>
    <x:row r="979" spans="15:15" hidden="1">
      <x:c r="O979" s="37" t="s">
        <x:v>25</x:v>
      </x:c>
    </x:row>
    <x:row r="980" spans="15:15" hidden="1">
      <x:c r="O980" s="37" t="s">
        <x:v>25</x:v>
      </x:c>
    </x:row>
    <x:row r="981" spans="15:15" hidden="1">
      <x:c r="O981" s="37" t="s">
        <x:v>25</x:v>
      </x:c>
    </x:row>
    <x:row r="982" spans="15:15" hidden="1">
      <x:c r="O982" s="37" t="s">
        <x:v>25</x:v>
      </x:c>
    </x:row>
    <x:row r="983" spans="15:15" hidden="1">
      <x:c r="O983" s="37" t="s">
        <x:v>25</x:v>
      </x:c>
    </x:row>
    <x:row r="984" spans="15:15" hidden="1">
      <x:c r="O984" s="37" t="s">
        <x:v>25</x:v>
      </x:c>
    </x:row>
    <x:row r="985" spans="15:15" hidden="1">
      <x:c r="O985" s="37" t="s">
        <x:v>25</x:v>
      </x:c>
    </x:row>
    <x:row r="986" spans="15:15" hidden="1">
      <x:c r="O986" s="37" t="s">
        <x:v>25</x:v>
      </x:c>
    </x:row>
    <x:row r="987" spans="15:15" hidden="1">
      <x:c r="O987" s="37" t="s">
        <x:v>25</x:v>
      </x:c>
    </x:row>
    <x:row r="988" spans="15:15" hidden="1">
      <x:c r="O988" s="37" t="s">
        <x:v>25</x:v>
      </x:c>
    </x:row>
    <x:row r="989" spans="15:15" hidden="1">
      <x:c r="O989" s="37" t="s">
        <x:v>25</x:v>
      </x:c>
    </x:row>
    <x:row r="990" spans="15:15" hidden="1">
      <x:c r="O990" s="37" t="s">
        <x:v>25</x:v>
      </x:c>
    </x:row>
    <x:row r="991" spans="15:15" hidden="1">
      <x:c r="O991" s="37" t="s">
        <x:v>25</x:v>
      </x:c>
    </x:row>
    <x:row r="992" spans="15:15" hidden="1">
      <x:c r="O992" s="37" t="s">
        <x:v>25</x:v>
      </x:c>
    </x:row>
    <x:row r="993" spans="15:15" hidden="1">
      <x:c r="O993" s="37" t="s">
        <x:v>25</x:v>
      </x:c>
    </x:row>
    <x:row r="994" spans="15:15" hidden="1">
      <x:c r="O994" s="37" t="s">
        <x:v>25</x:v>
      </x:c>
    </x:row>
    <x:row r="995" spans="15:15" hidden="1">
      <x:c r="O995" s="37" t="s">
        <x:v>25</x:v>
      </x:c>
    </x:row>
    <x:row r="996" spans="15:15" hidden="1">
      <x:c r="O996" s="37" t="s">
        <x:v>25</x:v>
      </x:c>
    </x:row>
    <x:row r="997" spans="15:15" hidden="1">
      <x:c r="O997" s="37" t="s">
        <x:v>25</x:v>
      </x:c>
    </x:row>
    <x:row r="998" spans="15:15" hidden="1">
      <x:c r="O998" s="37" t="s">
        <x:v>25</x:v>
      </x:c>
    </x:row>
    <x:row r="999" spans="15:15" hidden="1">
      <x:c r="O999" s="37" t="s">
        <x:v>25</x:v>
      </x:c>
    </x:row>
    <x:row r="1000" spans="15:15" hidden="1">
      <x:c r="O1000" s="37" t="s">
        <x:v>25</x:v>
      </x:c>
      <x:c r="XX1000" s="84" t="n">
        <x:v>125713</x:v>
      </x:c>
    </x:row>
    <x:row r="1001" spans="15:15" hidden="1">
      <x:c r="O1001" s="37" t="s">
        <x:v>25</x:v>
      </x:c>
    </x:row>
    <x:row r="1002" spans="15:15" hidden="1">
      <x:c r="O1002" s="37" t="s">
        <x:v>25</x:v>
      </x:c>
    </x:row>
    <x:row r="1003" spans="15:15" hidden="1">
      <x:c r="O1003" s="37" t="s">
        <x:v>25</x:v>
      </x:c>
    </x:row>
    <x:row r="1004" spans="15:15" hidden="1">
      <x:c r="O1004" s="37" t="s">
        <x:v>25</x:v>
      </x:c>
    </x:row>
    <x:row r="1005" spans="15:15" hidden="1">
      <x:c r="O1005" s="37" t="s">
        <x:v>25</x:v>
      </x:c>
    </x:row>
    <x:row r="1006" spans="15:15" hidden="1">
      <x:c r="O1006" s="37" t="s">
        <x:v>25</x:v>
      </x:c>
    </x:row>
    <x:row r="1007" spans="15:15" hidden="1">
      <x:c r="O1007" s="37" t="s">
        <x:v>25</x:v>
      </x:c>
    </x:row>
    <x:row r="1008" spans="15:15" hidden="1">
      <x:c r="O1008" s="37" t="s">
        <x:v>25</x:v>
      </x:c>
    </x:row>
    <x:row r="1009" spans="15:15" hidden="1">
      <x:c r="O1009" s="37" t="s">
        <x:v>25</x:v>
      </x:c>
    </x:row>
    <x:row r="1010" spans="15:15" hidden="1">
      <x:c r="O1010" s="37" t="s">
        <x:v>25</x:v>
      </x:c>
    </x:row>
    <x:row r="1011" spans="15:15" hidden="1">
      <x:c r="O1011" s="37" t="s">
        <x:v>25</x:v>
      </x:c>
    </x:row>
    <x:row r="1012" spans="15:15" hidden="1">
      <x:c r="O1012" s="37" t="s">
        <x:v>25</x:v>
      </x:c>
    </x:row>
    <x:row r="1013" spans="15:15" hidden="1">
      <x:c r="O1013" s="37" t="s">
        <x:v>25</x:v>
      </x:c>
    </x:row>
    <x:row r="1014" spans="15:15" hidden="1">
      <x:c r="O1014" s="37" t="s">
        <x:v>25</x:v>
      </x:c>
    </x:row>
    <x:row r="1015" spans="15:15" hidden="1">
      <x:c r="O1015" s="37" t="s">
        <x:v>25</x:v>
      </x:c>
    </x:row>
    <x:row r="1016" spans="15:15" hidden="1">
      <x:c r="O1016" s="37" t="s">
        <x:v>25</x:v>
      </x:c>
    </x:row>
    <x:row r="1017" spans="15:15" hidden="1">
      <x:c r="O1017" s="37" t="s">
        <x:v>25</x:v>
      </x:c>
    </x:row>
    <x:row r="1018" spans="15:15" hidden="1">
      <x:c r="O1018" s="37" t="s">
        <x:v>25</x:v>
      </x:c>
    </x:row>
    <x:row r="1019" spans="15:15" hidden="1">
      <x:c r="O1019" s="37" t="s">
        <x:v>25</x:v>
      </x:c>
    </x:row>
    <x:row r="1020" spans="15:15" hidden="1">
      <x:c r="O1020" s="37" t="s">
        <x:v>25</x:v>
      </x:c>
    </x:row>
    <x:row r="1021" spans="15:15" hidden="1">
      <x:c r="O1021" s="37" t="s">
        <x:v>25</x:v>
      </x:c>
    </x:row>
    <x:row r="1022" spans="15:15" hidden="1">
      <x:c r="O1022" s="37" t="s">
        <x:v>25</x:v>
      </x:c>
    </x:row>
    <x:row r="1023" spans="15:15" hidden="1">
      <x:c r="O1023" s="37" t="s">
        <x:v>25</x:v>
      </x:c>
    </x:row>
    <x:row r="1024" spans="15:15" hidden="1">
      <x:c r="O1024" s="37" t="s">
        <x:v>25</x:v>
      </x:c>
    </x:row>
    <x:row r="1025" spans="15:15" hidden="1">
      <x:c r="O1025" s="37" t="s">
        <x:v>25</x:v>
      </x:c>
    </x:row>
    <x:row r="1026" spans="15:15" hidden="1">
      <x:c r="O1026" s="37" t="s">
        <x:v>25</x:v>
      </x:c>
    </x:row>
    <x:row r="1027" spans="15:15" hidden="1">
      <x:c r="O1027" s="37" t="s">
        <x:v>25</x:v>
      </x:c>
    </x:row>
    <x:row r="1028" spans="15:15" hidden="1">
      <x:c r="O1028" s="37" t="s">
        <x:v>25</x:v>
      </x:c>
    </x:row>
    <x:row r="1029" spans="15:15" hidden="1">
      <x:c r="O1029" s="37" t="s">
        <x:v>25</x:v>
      </x:c>
    </x:row>
    <x:row r="1030" spans="15:15" hidden="1">
      <x:c r="O1030" s="37" t="s">
        <x:v>25</x:v>
      </x:c>
    </x:row>
    <x:row r="1031" spans="15:15" hidden="1">
      <x:c r="O1031" s="37" t="s">
        <x:v>25</x:v>
      </x:c>
    </x:row>
    <x:row r="1032" spans="15:15" hidden="1">
      <x:c r="O1032" s="37" t="s">
        <x:v>25</x:v>
      </x:c>
    </x:row>
    <x:row r="1033" spans="15:15" hidden="1">
      <x:c r="O1033" s="37" t="s">
        <x:v>25</x:v>
      </x:c>
    </x:row>
    <x:row r="1034" spans="15:15" hidden="1">
      <x:c r="O1034" s="37" t="s">
        <x:v>25</x:v>
      </x:c>
    </x:row>
    <x:row r="1035" spans="15:15" hidden="1">
      <x:c r="O1035" s="37" t="s">
        <x:v>25</x:v>
      </x:c>
    </x:row>
    <x:row r="1036" spans="15:15" hidden="1">
      <x:c r="O1036" s="37" t="s">
        <x:v>25</x:v>
      </x:c>
    </x:row>
    <x:row r="1037" spans="15:15" hidden="1">
      <x:c r="O1037" s="37" t="s">
        <x:v>25</x:v>
      </x:c>
    </x:row>
    <x:row r="1038" spans="15:15" hidden="1">
      <x:c r="O1038" s="37" t="s">
        <x:v>25</x:v>
      </x:c>
    </x:row>
    <x:row r="1039" spans="15:15" hidden="1">
      <x:c r="O1039" s="37" t="s">
        <x:v>25</x:v>
      </x:c>
    </x:row>
    <x:row r="1040" spans="15:15" hidden="1">
      <x:c r="O1040" s="37" t="s">
        <x:v>25</x:v>
      </x:c>
    </x:row>
    <x:row r="1041" spans="15:15" hidden="1">
      <x:c r="O1041" s="37" t="s">
        <x:v>25</x:v>
      </x:c>
    </x:row>
    <x:row r="1042" spans="15:15" hidden="1">
      <x:c r="O1042" s="37" t="s">
        <x:v>25</x:v>
      </x:c>
    </x:row>
    <x:row r="1043" spans="15:15" hidden="1">
      <x:c r="O1043" s="37" t="s">
        <x:v>25</x:v>
      </x:c>
    </x:row>
    <x:row r="1044" spans="15:15" hidden="1">
      <x:c r="O1044" s="37" t="s">
        <x:v>25</x:v>
      </x:c>
    </x:row>
    <x:row r="1045" spans="15:15" hidden="1">
      <x:c r="O1045" s="37" t="s">
        <x:v>25</x:v>
      </x:c>
    </x:row>
    <x:row r="1046" spans="15:15" hidden="1">
      <x:c r="O1046" s="37" t="s">
        <x:v>25</x:v>
      </x:c>
    </x:row>
    <x:row r="1047" spans="15:15" hidden="1">
      <x:c r="O1047" s="37" t="s">
        <x:v>25</x:v>
      </x:c>
    </x:row>
    <x:row r="1048" spans="15:15" hidden="1">
      <x:c r="O1048" s="37" t="s">
        <x:v>25</x:v>
      </x:c>
    </x:row>
    <x:row r="1049" spans="15:15" hidden="1">
      <x:c r="O1049" s="37" t="s">
        <x:v>25</x:v>
      </x:c>
    </x:row>
    <x:row r="1050" spans="15:15" hidden="1">
      <x:c r="O1050" s="37" t="s">
        <x:v>25</x:v>
      </x:c>
    </x:row>
    <x:row r="1051" spans="15:15" hidden="1">
      <x:c r="O1051" s="37" t="s">
        <x:v>25</x:v>
      </x:c>
    </x:row>
    <x:row r="1052" spans="15:15" hidden="1">
      <x:c r="O1052" s="37" t="s">
        <x:v>25</x:v>
      </x:c>
    </x:row>
    <x:row r="1053" spans="15:15" hidden="1">
      <x:c r="O1053" s="37" t="s">
        <x:v>25</x:v>
      </x:c>
    </x:row>
    <x:row r="1054" spans="15:15" hidden="1">
      <x:c r="O1054" s="37" t="s">
        <x:v>25</x:v>
      </x:c>
    </x:row>
    <x:row r="1055" spans="15:15" hidden="1">
      <x:c r="O1055" s="37" t="s">
        <x:v>25</x:v>
      </x:c>
    </x:row>
    <x:row r="1056" spans="15:15" hidden="1">
      <x:c r="O1056" s="37" t="s">
        <x:v>25</x:v>
      </x:c>
    </x:row>
    <x:row r="1057" spans="15:15" hidden="1">
      <x:c r="O1057" s="37" t="s">
        <x:v>25</x:v>
      </x:c>
    </x:row>
    <x:row r="1058" spans="15:15" hidden="1">
      <x:c r="O1058" s="37" t="s">
        <x:v>25</x:v>
      </x:c>
    </x:row>
    <x:row r="1059" spans="15:15" hidden="1">
      <x:c r="O1059" s="37" t="s">
        <x:v>25</x:v>
      </x:c>
    </x:row>
    <x:row r="1060" spans="15:15" hidden="1">
      <x:c r="O1060" s="37" t="s">
        <x:v>25</x:v>
      </x:c>
    </x:row>
    <x:row r="1061" spans="15:15" hidden="1">
      <x:c r="O1061" s="37" t="s">
        <x:v>25</x:v>
      </x:c>
    </x:row>
    <x:row r="1062" spans="15:15" hidden="1">
      <x:c r="O1062" s="37" t="s">
        <x:v>25</x:v>
      </x:c>
    </x:row>
    <x:row r="1063" spans="15:15" hidden="1">
      <x:c r="O1063" s="37" t="s">
        <x:v>25</x:v>
      </x:c>
    </x:row>
    <x:row r="1064" spans="15:15" hidden="1">
      <x:c r="O1064" s="37" t="s">
        <x:v>25</x:v>
      </x:c>
    </x:row>
    <x:row r="1065" spans="15:15" hidden="1">
      <x:c r="O1065" s="37" t="s">
        <x:v>25</x:v>
      </x:c>
    </x:row>
    <x:row r="1066" spans="15:15" hidden="1">
      <x:c r="O1066" s="37" t="s">
        <x:v>25</x:v>
      </x:c>
    </x:row>
    <x:row r="1067" spans="15:15" hidden="1">
      <x:c r="O1067" s="37" t="s">
        <x:v>25</x:v>
      </x:c>
    </x:row>
    <x:row r="1068" spans="15:15" hidden="1">
      <x:c r="O1068" s="37" t="s">
        <x:v>25</x:v>
      </x:c>
    </x:row>
    <x:row r="1069" spans="15:15" hidden="1">
      <x:c r="O1069" s="37" t="s">
        <x:v>25</x:v>
      </x:c>
    </x:row>
    <x:row r="1070" spans="15:15" hidden="1">
      <x:c r="O1070" s="37" t="s">
        <x:v>25</x:v>
      </x:c>
    </x:row>
    <x:row r="1071" spans="15:15" hidden="1">
      <x:c r="O1071" s="37" t="s">
        <x:v>25</x:v>
      </x:c>
    </x:row>
    <x:row r="1072" spans="15:15" hidden="1">
      <x:c r="O1072" s="37" t="s">
        <x:v>25</x:v>
      </x:c>
    </x:row>
    <x:row r="1073" spans="15:15" hidden="1">
      <x:c r="O1073" s="37" t="s">
        <x:v>25</x:v>
      </x:c>
    </x:row>
    <x:row r="1074" spans="15:15" hidden="1">
      <x:c r="O1074" s="37" t="s">
        <x:v>25</x:v>
      </x:c>
    </x:row>
    <x:row r="1075" spans="15:15" hidden="1">
      <x:c r="O1075" s="37" t="s">
        <x:v>25</x:v>
      </x:c>
    </x:row>
    <x:row r="1076" spans="15:15" hidden="1">
      <x:c r="O1076" s="37" t="s">
        <x:v>25</x:v>
      </x:c>
    </x:row>
    <x:row r="1077" spans="15:15" hidden="1">
      <x:c r="O1077" s="37" t="s">
        <x:v>25</x:v>
      </x:c>
    </x:row>
    <x:row r="1078" spans="15:15" hidden="1">
      <x:c r="O1078" s="37" t="s">
        <x:v>25</x:v>
      </x:c>
    </x:row>
    <x:row r="1079" spans="15:15" hidden="1">
      <x:c r="O1079" s="37" t="s">
        <x:v>25</x:v>
      </x:c>
    </x:row>
    <x:row r="1080" spans="15:15" hidden="1">
      <x:c r="O1080" s="37" t="s">
        <x:v>25</x:v>
      </x:c>
    </x:row>
    <x:row r="1081" spans="15:15" hidden="1">
      <x:c r="O1081" s="37" t="s">
        <x:v>25</x:v>
      </x:c>
    </x:row>
    <x:row r="1082" spans="15:15" hidden="1">
      <x:c r="O1082" s="37" t="s">
        <x:v>25</x:v>
      </x:c>
    </x:row>
    <x:row r="1083" spans="15:15" hidden="1">
      <x:c r="O1083" s="37" t="s">
        <x:v>25</x:v>
      </x:c>
    </x:row>
    <x:row r="1084" spans="15:15" hidden="1">
      <x:c r="O1084" s="37" t="s">
        <x:v>25</x:v>
      </x:c>
    </x:row>
    <x:row r="1085" spans="15:15" hidden="1">
      <x:c r="O1085" s="37" t="s">
        <x:v>25</x:v>
      </x:c>
    </x:row>
    <x:row r="1086" spans="15:15" hidden="1">
      <x:c r="O1086" s="37" t="s">
        <x:v>25</x:v>
      </x:c>
    </x:row>
    <x:row r="1087" spans="15:15" hidden="1">
      <x:c r="O1087" s="37" t="s">
        <x:v>25</x:v>
      </x:c>
    </x:row>
    <x:row r="1088" spans="15:15" hidden="1">
      <x:c r="O1088" s="37" t="s">
        <x:v>25</x:v>
      </x:c>
    </x:row>
    <x:row r="1089" spans="15:15" hidden="1">
      <x:c r="O1089" s="37" t="s">
        <x:v>25</x:v>
      </x:c>
    </x:row>
    <x:row r="1090" spans="15:15" hidden="1">
      <x:c r="O1090" s="37" t="s">
        <x:v>25</x:v>
      </x:c>
    </x:row>
    <x:row r="1091" spans="15:15" hidden="1">
      <x:c r="O1091" s="37" t="s">
        <x:v>25</x:v>
      </x:c>
    </x:row>
    <x:row r="1092" spans="15:15" hidden="1">
      <x:c r="O1092" s="37" t="s">
        <x:v>25</x:v>
      </x:c>
    </x:row>
    <x:row r="1093" spans="15:15" hidden="1">
      <x:c r="O1093" s="37" t="s">
        <x:v>25</x:v>
      </x:c>
    </x:row>
    <x:row r="1094" spans="15:15" hidden="1">
      <x:c r="O1094" s="37" t="s">
        <x:v>25</x:v>
      </x:c>
    </x:row>
    <x:row r="1095" spans="15:15" hidden="1">
      <x:c r="O1095" s="37" t="s">
        <x:v>25</x:v>
      </x:c>
    </x:row>
    <x:row r="1096" spans="15:15" hidden="1">
      <x:c r="O1096" s="37" t="s">
        <x:v>25</x:v>
      </x:c>
    </x:row>
    <x:row r="1097" spans="15:15" hidden="1">
      <x:c r="O1097" s="37" t="s">
        <x:v>25</x:v>
      </x:c>
    </x:row>
    <x:row r="1098" spans="15:15" hidden="1">
      <x:c r="O1098" s="37" t="s">
        <x:v>25</x:v>
      </x:c>
    </x:row>
    <x:row r="1099" spans="15:15" hidden="1">
      <x:c r="O1099" s="37" t="s">
        <x:v>25</x:v>
      </x:c>
    </x:row>
    <x:row r="1100" spans="15:15" hidden="1">
      <x:c r="O1100" s="37" t="s">
        <x:v>25</x:v>
      </x:c>
    </x:row>
    <x:row r="1101" spans="15:15" hidden="1">
      <x:c r="O1101" s="37" t="s">
        <x:v>25</x:v>
      </x:c>
    </x:row>
    <x:row r="1102" spans="15:15" hidden="1">
      <x:c r="O1102" s="37" t="s">
        <x:v>25</x:v>
      </x:c>
    </x:row>
    <x:row r="1103" spans="15:15" hidden="1">
      <x:c r="O1103" s="37" t="s">
        <x:v>25</x:v>
      </x:c>
    </x:row>
    <x:row r="1104" spans="15:15" hidden="1">
      <x:c r="O1104" s="37" t="s">
        <x:v>25</x:v>
      </x:c>
    </x:row>
    <x:row r="1105" spans="15:15" hidden="1">
      <x:c r="O1105" s="37" t="s">
        <x:v>25</x:v>
      </x:c>
    </x:row>
    <x:row r="1106" spans="15:15" hidden="1">
      <x:c r="O1106" s="37" t="s">
        <x:v>25</x:v>
      </x:c>
    </x:row>
    <x:row r="1107" spans="15:15" hidden="1">
      <x:c r="O1107" s="37" t="s">
        <x:v>25</x:v>
      </x:c>
    </x:row>
    <x:row r="1108" spans="15:15" hidden="1">
      <x:c r="O1108" s="37" t="s">
        <x:v>25</x:v>
      </x:c>
    </x:row>
    <x:row r="1109" spans="15:15" hidden="1">
      <x:c r="O1109" s="37" t="s">
        <x:v>25</x:v>
      </x:c>
    </x:row>
    <x:row r="1110" spans="15:15" hidden="1">
      <x:c r="O1110" s="37" t="s">
        <x:v>25</x:v>
      </x:c>
    </x:row>
    <x:row r="1111" spans="15:15" hidden="1">
      <x:c r="O1111" s="37" t="s">
        <x:v>25</x:v>
      </x:c>
    </x:row>
    <x:row r="1112" spans="15:15" hidden="1">
      <x:c r="O1112" s="37" t="s">
        <x:v>25</x:v>
      </x:c>
    </x:row>
    <x:row r="1113" spans="15:15" hidden="1">
      <x:c r="O1113" s="37" t="s">
        <x:v>25</x:v>
      </x:c>
    </x:row>
    <x:row r="1114" spans="15:15" hidden="1">
      <x:c r="O1114" s="37" t="s">
        <x:v>25</x:v>
      </x:c>
    </x:row>
    <x:row r="1115" spans="15:15" hidden="1">
      <x:c r="O1115" s="37" t="s">
        <x:v>25</x:v>
      </x:c>
    </x:row>
    <x:row r="1116" spans="15:15" hidden="1">
      <x:c r="O1116" s="37" t="s">
        <x:v>25</x:v>
      </x:c>
    </x:row>
    <x:row r="1117" spans="15:15" hidden="1">
      <x:c r="O1117" s="37" t="s">
        <x:v>25</x:v>
      </x:c>
    </x:row>
    <x:row r="1118" spans="15:15" hidden="1">
      <x:c r="O1118" s="37" t="s">
        <x:v>25</x:v>
      </x:c>
    </x:row>
    <x:row r="1119" spans="15:15" hidden="1">
      <x:c r="O1119" s="37" t="s">
        <x:v>25</x:v>
      </x:c>
    </x:row>
    <x:row r="1120" spans="15:15" hidden="1">
      <x:c r="O1120" s="37" t="s">
        <x:v>25</x:v>
      </x:c>
    </x:row>
    <x:row r="1121" spans="15:15" hidden="1">
      <x:c r="O1121" s="37" t="s">
        <x:v>25</x:v>
      </x:c>
    </x:row>
    <x:row r="1122" spans="15:15" hidden="1">
      <x:c r="O1122" s="37" t="s">
        <x:v>25</x:v>
      </x:c>
    </x:row>
    <x:row r="1123" spans="15:15" hidden="1">
      <x:c r="O1123" s="37" t="s">
        <x:v>25</x:v>
      </x:c>
    </x:row>
    <x:row r="1124" spans="15:15" hidden="1">
      <x:c r="O1124" s="37" t="s">
        <x:v>25</x:v>
      </x:c>
    </x:row>
    <x:row r="1125" spans="15:15" hidden="1">
      <x:c r="O1125" s="37" t="s">
        <x:v>25</x:v>
      </x:c>
    </x:row>
    <x:row r="1126" spans="15:15" hidden="1">
      <x:c r="O1126" s="37" t="s">
        <x:v>25</x:v>
      </x:c>
    </x:row>
    <x:row r="1127" spans="15:15" hidden="1">
      <x:c r="O1127" s="37" t="s">
        <x:v>25</x:v>
      </x:c>
    </x:row>
    <x:row r="1128" spans="15:15" hidden="1">
      <x:c r="O1128" s="37" t="s">
        <x:v>25</x:v>
      </x:c>
    </x:row>
    <x:row r="1129" spans="15:15" hidden="1">
      <x:c r="O1129" s="37" t="s">
        <x:v>25</x:v>
      </x:c>
    </x:row>
    <x:row r="1130" spans="15:15" hidden="1">
      <x:c r="O1130" s="37" t="s">
        <x:v>25</x:v>
      </x:c>
    </x:row>
    <x:row r="1131" spans="15:15" hidden="1">
      <x:c r="O1131" s="37" t="s">
        <x:v>25</x:v>
      </x:c>
    </x:row>
    <x:row r="1132" spans="15:15" hidden="1">
      <x:c r="O1132" s="37" t="s">
        <x:v>25</x:v>
      </x:c>
    </x:row>
    <x:row r="1133" spans="15:15" hidden="1">
      <x:c r="O1133" s="37" t="s">
        <x:v>25</x:v>
      </x:c>
    </x:row>
    <x:row r="1134" spans="15:15" hidden="1">
      <x:c r="O1134" s="37" t="s">
        <x:v>25</x:v>
      </x:c>
    </x:row>
    <x:row r="1135" spans="15:15" hidden="1">
      <x:c r="O1135" s="37" t="s">
        <x:v>25</x:v>
      </x:c>
    </x:row>
    <x:row r="1136" spans="15:15" hidden="1">
      <x:c r="O1136" s="37" t="s">
        <x:v>25</x:v>
      </x:c>
    </x:row>
    <x:row r="1137" spans="15:15" hidden="1">
      <x:c r="O1137" s="37" t="s">
        <x:v>25</x:v>
      </x:c>
    </x:row>
    <x:row r="1138" spans="15:15" hidden="1">
      <x:c r="O1138" s="37" t="s">
        <x:v>25</x:v>
      </x:c>
    </x:row>
    <x:row r="1139" spans="15:15" hidden="1">
      <x:c r="O1139" s="37" t="s">
        <x:v>25</x:v>
      </x:c>
    </x:row>
    <x:row r="1140" spans="15:15" hidden="1">
      <x:c r="O1140" s="37" t="s">
        <x:v>25</x:v>
      </x:c>
    </x:row>
    <x:row r="1141" spans="15:15" hidden="1">
      <x:c r="O1141" s="37" t="s">
        <x:v>25</x:v>
      </x:c>
    </x:row>
    <x:row r="1142" spans="15:15" hidden="1">
      <x:c r="O1142" s="37" t="s">
        <x:v>25</x:v>
      </x:c>
    </x:row>
    <x:row r="1143" spans="15:15" hidden="1">
      <x:c r="O1143" s="37" t="s">
        <x:v>25</x:v>
      </x:c>
    </x:row>
    <x:row r="1144" spans="15:15" hidden="1">
      <x:c r="O1144" s="37" t="s">
        <x:v>25</x:v>
      </x:c>
    </x:row>
    <x:row r="1145" spans="15:15" hidden="1">
      <x:c r="O1145" s="37" t="s">
        <x:v>25</x:v>
      </x:c>
    </x:row>
    <x:row r="1146" spans="15:15" hidden="1">
      <x:c r="O1146" s="37" t="s">
        <x:v>25</x:v>
      </x:c>
    </x:row>
    <x:row r="1147" spans="15:15" hidden="1">
      <x:c r="O1147" s="37" t="s">
        <x:v>25</x:v>
      </x:c>
    </x:row>
    <x:row r="1148" spans="15:15" hidden="1">
      <x:c r="O1148" s="37" t="s">
        <x:v>25</x:v>
      </x:c>
    </x:row>
    <x:row r="1149" spans="15:15" hidden="1">
      <x:c r="O1149" s="37" t="s">
        <x:v>25</x:v>
      </x:c>
    </x:row>
    <x:row r="1150" spans="15:15" hidden="1">
      <x:c r="O1150" s="37" t="s">
        <x:v>25</x:v>
      </x:c>
    </x:row>
    <x:row r="1151" spans="15:15" hidden="1">
      <x:c r="O1151" s="37" t="s">
        <x:v>25</x:v>
      </x:c>
    </x:row>
    <x:row r="1152" spans="15:15" hidden="1">
      <x:c r="O1152" s="37" t="s">
        <x:v>25</x:v>
      </x:c>
    </x:row>
    <x:row r="1153" spans="15:15" hidden="1">
      <x:c r="O1153" s="37" t="s">
        <x:v>25</x:v>
      </x:c>
    </x:row>
    <x:row r="1154" spans="15:15" hidden="1">
      <x:c r="O1154" s="37" t="s">
        <x:v>25</x:v>
      </x:c>
    </x:row>
    <x:row r="1155" spans="15:15" hidden="1">
      <x:c r="O1155" s="37" t="s">
        <x:v>25</x:v>
      </x:c>
    </x:row>
    <x:row r="1156" spans="15:15" hidden="1">
      <x:c r="O1156" s="37" t="s">
        <x:v>25</x:v>
      </x:c>
    </x:row>
    <x:row r="1157" spans="15:15" hidden="1">
      <x:c r="O1157" s="37" t="s">
        <x:v>25</x:v>
      </x:c>
    </x:row>
    <x:row r="1158" spans="15:15" hidden="1">
      <x:c r="O1158" s="37" t="s">
        <x:v>25</x:v>
      </x:c>
    </x:row>
    <x:row r="1159" spans="15:15" hidden="1">
      <x:c r="O1159" s="37" t="s">
        <x:v>25</x:v>
      </x:c>
    </x:row>
    <x:row r="1160" spans="15:15" hidden="1">
      <x:c r="O1160" s="37" t="s">
        <x:v>25</x:v>
      </x:c>
    </x:row>
    <x:row r="1161" spans="15:15" hidden="1">
      <x:c r="O1161" s="37" t="s">
        <x:v>25</x:v>
      </x:c>
    </x:row>
    <x:row r="1162" spans="15:15" hidden="1">
      <x:c r="O1162" s="37" t="s">
        <x:v>25</x:v>
      </x:c>
    </x:row>
    <x:row r="1163" spans="15:15" hidden="1">
      <x:c r="O1163" s="37" t="s">
        <x:v>25</x:v>
      </x:c>
    </x:row>
    <x:row r="1164" spans="15:15" hidden="1">
      <x:c r="O1164" s="37" t="s">
        <x:v>25</x:v>
      </x:c>
    </x:row>
    <x:row r="1165" spans="15:15" hidden="1">
      <x:c r="O1165" s="37" t="s">
        <x:v>25</x:v>
      </x:c>
    </x:row>
    <x:row r="1166" spans="15:15" hidden="1">
      <x:c r="O1166" s="37" t="s">
        <x:v>25</x:v>
      </x:c>
    </x:row>
    <x:row r="1167" spans="15:15" hidden="1">
      <x:c r="O1167" s="37" t="s">
        <x:v>25</x:v>
      </x:c>
    </x:row>
    <x:row r="1168" spans="15:15" hidden="1">
      <x:c r="O1168" s="37" t="s">
        <x:v>25</x:v>
      </x:c>
    </x:row>
    <x:row r="1169" spans="15:15" hidden="1">
      <x:c r="O1169" s="37" t="s">
        <x:v>25</x:v>
      </x:c>
    </x:row>
    <x:row r="1170" spans="15:15" hidden="1">
      <x:c r="O1170" s="37" t="s">
        <x:v>25</x:v>
      </x:c>
    </x:row>
    <x:row r="1171" spans="15:15" hidden="1">
      <x:c r="O1171" s="37" t="s">
        <x:v>25</x:v>
      </x:c>
    </x:row>
    <x:row r="1172" spans="15:15" hidden="1">
      <x:c r="O1172" s="37" t="s">
        <x:v>25</x:v>
      </x:c>
    </x:row>
    <x:row r="1173" spans="15:15" hidden="1">
      <x:c r="O1173" s="37" t="s">
        <x:v>25</x:v>
      </x:c>
    </x:row>
    <x:row r="1174" spans="15:15" hidden="1">
      <x:c r="O1174" s="37" t="s">
        <x:v>25</x:v>
      </x:c>
    </x:row>
    <x:row r="1175" spans="15:15" hidden="1">
      <x:c r="O1175" s="37" t="s">
        <x:v>25</x:v>
      </x:c>
    </x:row>
    <x:row r="1176" spans="15:15" hidden="1">
      <x:c r="O1176" s="37" t="s">
        <x:v>25</x:v>
      </x:c>
    </x:row>
    <x:row r="1177" spans="15:15" hidden="1">
      <x:c r="O1177" s="37" t="s">
        <x:v>25</x:v>
      </x:c>
    </x:row>
    <x:row r="1178" spans="15:15" hidden="1">
      <x:c r="O1178" s="37" t="s">
        <x:v>25</x:v>
      </x:c>
    </x:row>
    <x:row r="1179" spans="15:15" hidden="1">
      <x:c r="O1179" s="37" t="s">
        <x:v>25</x:v>
      </x:c>
    </x:row>
    <x:row r="1180" spans="15:15" hidden="1">
      <x:c r="O1180" s="37" t="s">
        <x:v>25</x:v>
      </x:c>
    </x:row>
    <x:row r="1181" spans="15:15" hidden="1">
      <x:c r="O1181" s="37" t="s">
        <x:v>25</x:v>
      </x:c>
    </x:row>
    <x:row r="1182" spans="15:15" hidden="1">
      <x:c r="O1182" s="37" t="s">
        <x:v>25</x:v>
      </x:c>
    </x:row>
    <x:row r="1183" spans="15:15" hidden="1">
      <x:c r="O1183" s="37" t="s">
        <x:v>25</x:v>
      </x:c>
    </x:row>
    <x:row r="1184" spans="15:15" hidden="1">
      <x:c r="O1184" s="37" t="s">
        <x:v>25</x:v>
      </x:c>
    </x:row>
    <x:row r="1185" spans="15:15" hidden="1">
      <x:c r="O1185" s="37" t="s">
        <x:v>25</x:v>
      </x:c>
    </x:row>
    <x:row r="1186" spans="15:15" hidden="1">
      <x:c r="O1186" s="37" t="s">
        <x:v>25</x:v>
      </x:c>
    </x:row>
    <x:row r="1187" spans="15:15" hidden="1">
      <x:c r="O1187" s="37" t="s">
        <x:v>25</x:v>
      </x:c>
    </x:row>
    <x:row r="1188" spans="15:15" hidden="1">
      <x:c r="O1188" s="37" t="s">
        <x:v>25</x:v>
      </x:c>
    </x:row>
    <x:row r="1189" spans="15:15" hidden="1">
      <x:c r="O1189" s="37" t="s">
        <x:v>25</x:v>
      </x:c>
    </x:row>
    <x:row r="1190" spans="15:15" hidden="1">
      <x:c r="O1190" s="37" t="s">
        <x:v>25</x:v>
      </x:c>
    </x:row>
    <x:row r="1191" spans="15:15" hidden="1">
      <x:c r="O1191" s="37" t="s">
        <x:v>25</x:v>
      </x:c>
    </x:row>
    <x:row r="1192" spans="15:15" hidden="1">
      <x:c r="O1192" s="37" t="s">
        <x:v>25</x:v>
      </x:c>
    </x:row>
    <x:row r="1193" spans="15:15" hidden="1">
      <x:c r="O1193" s="37" t="s">
        <x:v>25</x:v>
      </x:c>
    </x:row>
    <x:row r="1194" spans="15:15" hidden="1">
      <x:c r="O1194" s="37" t="s">
        <x:v>25</x:v>
      </x:c>
    </x:row>
    <x:row r="1195" spans="15:15" hidden="1">
      <x:c r="O1195" s="37" t="s">
        <x:v>25</x:v>
      </x:c>
    </x:row>
    <x:row r="1196" spans="15:15" hidden="1">
      <x:c r="O1196" s="37" t="s">
        <x:v>25</x:v>
      </x:c>
    </x:row>
    <x:row r="1197" spans="15:15" hidden="1">
      <x:c r="O1197" s="37" t="s">
        <x:v>25</x:v>
      </x:c>
    </x:row>
    <x:row r="1198" spans="15:15" hidden="1">
      <x:c r="O1198" s="37" t="s">
        <x:v>25</x:v>
      </x:c>
    </x:row>
    <x:row r="1199" spans="15:15" hidden="1">
      <x:c r="O1199" s="37" t="s">
        <x:v>25</x:v>
      </x:c>
    </x:row>
    <x:row r="1200" spans="15:15" hidden="1">
      <x:c r="O1200" s="37" t="s">
        <x:v>25</x:v>
      </x:c>
    </x:row>
    <x:row r="1201" spans="15:15" hidden="1">
      <x:c r="O1201" s="37" t="s">
        <x:v>25</x:v>
      </x:c>
    </x:row>
    <x:row r="1202" spans="15:15" hidden="1">
      <x:c r="O1202" s="37" t="s">
        <x:v>25</x:v>
      </x:c>
    </x:row>
    <x:row r="1203" spans="15:15" hidden="1">
      <x:c r="O1203" s="37" t="s">
        <x:v>25</x:v>
      </x:c>
    </x:row>
  </x:sheetData>
  <x:hyperlinks>
    <x:hyperlink ref="B9" r:id="rId1" xr:uid="{F788ACD6-056F-4C6C-A1D6-7B12972FF5E3}"/>
    <x:hyperlink ref="B23" r:id="rId2" xr:uid="{E4FB6513-2847-4D27-85E5-E9CA60B65B11}"/>
  </x:hyperlinks>
  <x:pageMargins left="0.7" right="0.7" top="0.75" bottom="0.75" header="0.3" footer="0.3"/>
  <x:pageSetup orientation="portrait" verticalDpi="0" r:id="rId3"/>
  <x:drawing r:id="rId4"/>
  <x:legacyDrawing r:id="rId5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6" r:id="rId6" name="Drop Down 2">
              <x:controlPr defaultSize="0" autoLine="0" autoPict="0">
                <x:anchor moveWithCells="1">
                  <x:from>
                    <xdr:col>2</xdr:col>
                    <xdr:colOff>869950</xdr:colOff>
                    <xdr:row>24</xdr:row>
                    <xdr:rowOff>177800</xdr:rowOff>
                  </x:from>
                  <x:to>
                    <xdr:col>2</xdr:col>
                    <xdr:colOff>1784350</xdr:colOff>
                    <xdr:row>26</xdr:row>
                    <xdr:rowOff>6350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29" r:id="rId7" name="Drop Down 5">
              <x:controlPr defaultSize="0" autoLine="0" autoPict="0">
                <x:anchor moveWithCells="1">
                  <x:from>
                    <xdr:col>2</xdr:col>
                    <xdr:colOff>876300</xdr:colOff>
                    <xdr:row>27</xdr:row>
                    <xdr:rowOff>0</xdr:rowOff>
                  </x:from>
                  <x:to>
                    <xdr:col>2</xdr:col>
                    <xdr:colOff>1790700</xdr:colOff>
                    <xdr:row>28</xdr:row>
                    <xdr:rowOff>38100</xdr:rowOff>
                  </x:to>
                </x:anchor>
              </x:controlPr>
            </x:control>
          </mc:Choice>
        </mc:AlternateContent>
        <mc:AlternateContent xmlns:mc="http://schemas.openxmlformats.org/markup-compatibility/2006">
          <mc:Choice Requires="x14">
            <x:control shapeId="1030" r:id="rId8" name="Drop Down 6">
              <x:controlPr defaultSize="0" autoLine="0" autoPict="0">
                <x:anchor moveWithCells="1">
                  <x:from>
                    <xdr:col>2</xdr:col>
                    <xdr:colOff>869950</xdr:colOff>
                    <xdr:row>29</xdr:row>
                    <xdr:rowOff>6350</xdr:rowOff>
                  </x:from>
                  <x:to>
                    <xdr:col>2</xdr:col>
                    <xdr:colOff>1784350</xdr:colOff>
                    <xdr:row>30</xdr:row>
                    <xdr:rowOff>44450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14FC0-0984-4894-B06A-612EAC82997F}">
  <sheetPr codeName="Sheet3"/>
  <dimension ref="A1:CZ30"/>
  <sheetViews>
    <sheetView workbookViewId="0">
      <selection activeCell="B13" sqref="B13"/>
    </sheetView>
  </sheetViews>
  <sheetFormatPr defaultColWidth="6.1796875" defaultRowHeight="14.75" zeroHeight="1"/>
  <cols>
    <col min="1" max="11" width="5.81640625" style="44" customWidth="1"/>
    <col min="12" max="26" width="5.81640625" style="44" hidden="1" customWidth="1"/>
    <col min="27" max="69" width="5.6796875" style="44" hidden="1" customWidth="1"/>
    <col min="70" max="70" width="8.6796875" style="44" hidden="1" customWidth="1"/>
    <col min="71" max="71" width="5.6796875" style="44" hidden="1" customWidth="1"/>
    <col min="72" max="72" width="8.6796875" style="44" hidden="1" customWidth="1"/>
    <col min="73" max="103" width="5.6796875" style="44" hidden="1" customWidth="1"/>
    <col min="104" max="104" width="8.6796875" style="44" hidden="1" customWidth="1"/>
    <col min="105" max="16384" width="6.1796875" style="44"/>
  </cols>
  <sheetData>
    <row r="1" spans="1:101">
      <c r="A1" s="43"/>
      <c r="B1" s="43"/>
      <c r="C1" s="43"/>
      <c r="D1" s="43"/>
      <c r="E1" s="43"/>
      <c r="F1" s="43"/>
      <c r="T1" s="43"/>
      <c r="U1" s="43"/>
      <c r="V1" s="43"/>
      <c r="W1" s="43"/>
      <c r="X1" s="43"/>
      <c r="Y1" s="43"/>
      <c r="AM1" s="43"/>
      <c r="AN1" s="43"/>
      <c r="AO1" s="43"/>
      <c r="AP1" s="43"/>
      <c r="AQ1" s="43"/>
      <c r="AR1" s="43"/>
      <c r="BF1" s="43"/>
      <c r="BG1" s="43"/>
      <c r="BH1" s="43"/>
      <c r="BI1" s="43"/>
      <c r="BJ1" s="43"/>
      <c r="BK1" s="43"/>
      <c r="BY1" s="43"/>
      <c r="BZ1" s="43"/>
      <c r="CA1" s="43"/>
      <c r="CB1" s="43"/>
      <c r="CC1" s="43"/>
      <c r="CD1" s="43"/>
      <c r="CR1" s="43"/>
      <c r="CS1" s="43"/>
      <c r="CT1" s="43"/>
      <c r="CU1" s="43"/>
      <c r="CV1" s="43"/>
      <c r="CW1" s="43"/>
    </row>
    <row r="2" spans="1:101">
      <c r="A2" s="43"/>
      <c r="B2" s="43"/>
      <c r="C2" s="43"/>
      <c r="D2" s="43"/>
      <c r="E2" s="43"/>
      <c r="F2" s="43"/>
      <c r="T2" s="43"/>
      <c r="U2" s="43"/>
      <c r="V2" s="43"/>
      <c r="W2" s="43"/>
      <c r="X2" s="43"/>
      <c r="Y2" s="43"/>
      <c r="AM2" s="43"/>
      <c r="AN2" s="43"/>
      <c r="AO2" s="43"/>
      <c r="AP2" s="43"/>
      <c r="AQ2" s="43"/>
      <c r="AR2" s="43"/>
      <c r="BF2" s="43"/>
      <c r="BG2" s="43"/>
      <c r="BH2" s="43"/>
      <c r="BI2" s="43"/>
      <c r="BJ2" s="43"/>
      <c r="BK2" s="43"/>
      <c r="BY2" s="43"/>
      <c r="BZ2" s="43"/>
      <c r="CA2" s="43"/>
      <c r="CB2" s="43"/>
      <c r="CC2" s="43"/>
      <c r="CD2" s="43"/>
      <c r="CR2" s="43"/>
      <c r="CS2" s="43"/>
      <c r="CT2" s="43"/>
      <c r="CU2" s="43"/>
      <c r="CV2" s="43"/>
      <c r="CW2" s="43"/>
    </row>
    <row r="3" spans="1:101">
      <c r="A3" s="43"/>
      <c r="B3" s="43"/>
      <c r="C3" s="43"/>
      <c r="D3" s="43"/>
      <c r="E3" s="43"/>
      <c r="F3" s="43"/>
      <c r="T3" s="43"/>
      <c r="U3" s="43"/>
      <c r="V3" s="43"/>
      <c r="W3" s="43"/>
      <c r="X3" s="43"/>
      <c r="Y3" s="43"/>
      <c r="AM3" s="43"/>
      <c r="AN3" s="43"/>
      <c r="AO3" s="43"/>
      <c r="AP3" s="43"/>
      <c r="AQ3" s="43"/>
      <c r="AR3" s="43"/>
      <c r="BF3" s="43"/>
      <c r="BG3" s="43"/>
      <c r="BH3" s="43"/>
      <c r="BI3" s="43"/>
      <c r="BJ3" s="43"/>
      <c r="BK3" s="43"/>
      <c r="BY3" s="43"/>
      <c r="BZ3" s="43"/>
      <c r="CA3" s="43"/>
      <c r="CB3" s="43"/>
      <c r="CC3" s="43"/>
      <c r="CD3" s="43"/>
      <c r="CR3" s="43"/>
      <c r="CS3" s="43"/>
      <c r="CT3" s="43"/>
      <c r="CU3" s="43"/>
      <c r="CV3" s="43"/>
      <c r="CW3" s="43"/>
    </row>
    <row r="4" spans="1:101">
      <c r="A4" s="43"/>
      <c r="B4" s="43"/>
      <c r="C4" s="43"/>
      <c r="D4" s="43"/>
      <c r="E4" s="43"/>
      <c r="F4" s="43"/>
      <c r="T4" s="43"/>
      <c r="U4" s="43"/>
      <c r="V4" s="43"/>
      <c r="W4" s="43"/>
      <c r="X4" s="43"/>
      <c r="Y4" s="43"/>
      <c r="AM4" s="43"/>
      <c r="AN4" s="43"/>
      <c r="AO4" s="43"/>
      <c r="AP4" s="43"/>
      <c r="AQ4" s="43"/>
      <c r="AR4" s="43"/>
      <c r="BF4" s="43"/>
      <c r="BG4" s="43"/>
      <c r="BH4" s="43"/>
      <c r="BI4" s="43"/>
      <c r="BJ4" s="43"/>
      <c r="BK4" s="43"/>
      <c r="BY4" s="43"/>
      <c r="BZ4" s="43"/>
      <c r="CA4" s="43"/>
      <c r="CB4" s="43"/>
      <c r="CC4" s="43"/>
      <c r="CD4" s="43"/>
      <c r="CR4" s="43"/>
      <c r="CS4" s="43"/>
      <c r="CT4" s="43"/>
      <c r="CU4" s="43"/>
      <c r="CV4" s="43"/>
      <c r="CW4" s="43"/>
    </row>
    <row r="5" spans="1:101">
      <c r="A5" s="43"/>
      <c r="B5" s="43"/>
      <c r="C5" s="43"/>
      <c r="D5" s="43"/>
      <c r="E5" s="43"/>
      <c r="F5" s="43"/>
      <c r="T5" s="43"/>
      <c r="U5" s="43"/>
      <c r="V5" s="43"/>
      <c r="W5" s="43"/>
      <c r="X5" s="43"/>
      <c r="Y5" s="43"/>
      <c r="AM5" s="43"/>
      <c r="AN5" s="43"/>
      <c r="AO5" s="43"/>
      <c r="AP5" s="43"/>
      <c r="AQ5" s="43"/>
      <c r="AR5" s="43"/>
      <c r="BF5" s="43"/>
      <c r="BG5" s="43"/>
      <c r="BH5" s="43"/>
      <c r="BI5" s="43"/>
      <c r="BJ5" s="43"/>
      <c r="BK5" s="43"/>
      <c r="BY5" s="43"/>
      <c r="BZ5" s="43"/>
      <c r="CA5" s="43"/>
      <c r="CB5" s="43"/>
      <c r="CC5" s="43"/>
      <c r="CD5" s="43"/>
      <c r="CR5" s="43"/>
      <c r="CS5" s="43"/>
      <c r="CT5" s="43"/>
      <c r="CU5" s="43"/>
      <c r="CV5" s="43"/>
      <c r="CW5" s="43"/>
    </row>
    <row r="6" spans="1:101">
      <c r="A6" s="43"/>
      <c r="B6" s="43"/>
      <c r="C6" s="43"/>
      <c r="D6" s="43"/>
      <c r="E6" s="43"/>
      <c r="F6" s="43"/>
      <c r="T6" s="43"/>
      <c r="U6" s="43"/>
      <c r="V6" s="43"/>
      <c r="W6" s="43"/>
      <c r="X6" s="43"/>
      <c r="Y6" s="43"/>
      <c r="AM6" s="43"/>
      <c r="AN6" s="43"/>
      <c r="AO6" s="43"/>
      <c r="AP6" s="43"/>
      <c r="AQ6" s="43"/>
      <c r="AR6" s="43"/>
      <c r="BF6" s="43"/>
      <c r="BG6" s="43"/>
      <c r="BH6" s="43"/>
      <c r="BI6" s="43"/>
      <c r="BJ6" s="43"/>
      <c r="BK6" s="43"/>
      <c r="BY6" s="43"/>
      <c r="BZ6" s="43"/>
      <c r="CA6" s="43"/>
      <c r="CB6" s="43"/>
      <c r="CC6" s="43"/>
      <c r="CD6" s="43"/>
      <c r="CR6" s="43"/>
      <c r="CS6" s="43"/>
      <c r="CT6" s="43"/>
      <c r="CU6" s="43"/>
      <c r="CV6" s="43"/>
      <c r="CW6" s="43"/>
    </row>
    <row r="7" spans="1:101" ht="15.5" thickBot="1">
      <c r="A7" s="43"/>
      <c r="B7" s="43"/>
      <c r="C7" s="43"/>
      <c r="D7" s="43"/>
      <c r="E7" s="43"/>
      <c r="F7" s="43"/>
      <c r="V7" s="42" t="str">
        <f>EmptyCell</f>
        <v>-------</v>
      </c>
      <c r="W7" s="42" t="str">
        <f>EmptyCell</f>
        <v>-------</v>
      </c>
      <c r="X7" s="42" t="str">
        <f>EmptyCell</f>
        <v>-------</v>
      </c>
      <c r="Y7" s="42" t="str">
        <f>EmptyCell</f>
        <v>-------</v>
      </c>
      <c r="Z7" s="42" t="str">
        <f>EmptyCell</f>
        <v>-------</v>
      </c>
      <c r="AA7" s="42" t="str">
        <f>EmptyCell</f>
        <v>-------</v>
      </c>
      <c r="AB7" s="42" t="str">
        <f>EmptyCell</f>
        <v>-------</v>
      </c>
      <c r="AC7" s="42" t="str">
        <f>EmptyCell</f>
        <v>-------</v>
      </c>
    </row>
    <row r="8" spans="1:101" ht="16">
      <c r="K8" s="46">
        <v>5</v>
      </c>
      <c r="V8" s="44" t="str">
        <f>Track</f>
        <v>XXXXX</v>
      </c>
      <c r="AC8" s="44" t="str">
        <f t="shared" ref="AC8:AC20" si="0">Track</f>
        <v>XXXXX</v>
      </c>
      <c r="CO8" s="44" t="str">
        <f>Track</f>
        <v>XXXXX</v>
      </c>
      <c r="CP8" s="44" t="str">
        <f>Track</f>
        <v>XXXXX</v>
      </c>
      <c r="CQ8" s="44" t="str">
        <f>Track</f>
        <v>XXXXX</v>
      </c>
      <c r="CR8" s="64" t="str">
        <f>EmptyCell</f>
        <v>-------</v>
      </c>
    </row>
    <row r="9" spans="1:101" ht="15.5" thickBot="1">
      <c r="K9" s="47">
        <v>4</v>
      </c>
      <c r="V9" s="44" t="str">
        <f>Track</f>
        <v>XXXXX</v>
      </c>
      <c r="AC9" s="44" t="str">
        <f t="shared" si="0"/>
        <v>XXXXX</v>
      </c>
      <c r="CO9" s="44" t="str">
        <f>Track</f>
        <v>XXXXX</v>
      </c>
    </row>
    <row r="10" spans="1:101" ht="15.5" thickBot="1">
      <c r="K10" s="48">
        <v>3</v>
      </c>
      <c r="V10" s="44" t="str">
        <f>Track</f>
        <v>XXXXX</v>
      </c>
      <c r="AC10" s="44" t="str">
        <f t="shared" si="0"/>
        <v>XXXXX</v>
      </c>
      <c r="AQ10" s="49">
        <v>12</v>
      </c>
      <c r="AR10" s="50">
        <v>16</v>
      </c>
      <c r="AS10" s="50">
        <v>5</v>
      </c>
      <c r="AT10" s="50">
        <v>4</v>
      </c>
      <c r="AU10" s="51">
        <v>9</v>
      </c>
      <c r="AY10" s="44">
        <v>2</v>
      </c>
      <c r="AZ10" s="44">
        <v>2</v>
      </c>
      <c r="BA10" s="41" t="str">
        <f>EmptyCell</f>
        <v>-------</v>
      </c>
      <c r="BB10" s="58" t="str">
        <f>EmptyCell</f>
        <v>-------</v>
      </c>
      <c r="CO10" s="44" t="str">
        <f>Track</f>
        <v>XXXXX</v>
      </c>
    </row>
    <row r="11" spans="1:101" ht="16.75" thickBot="1">
      <c r="H11" s="44" t="str">
        <f>Track</f>
        <v>XXXXX</v>
      </c>
      <c r="I11" s="44" t="str">
        <f>Track</f>
        <v>XXXXX</v>
      </c>
      <c r="J11" s="44" t="str">
        <f>Track</f>
        <v>XXXXX</v>
      </c>
      <c r="K11" s="42" t="str">
        <f>EmptyCell</f>
        <v>-------</v>
      </c>
      <c r="L11" s="44" t="str">
        <f>Track</f>
        <v>XXXXX</v>
      </c>
      <c r="M11" s="44" t="str">
        <f>Track</f>
        <v>XXXXX</v>
      </c>
      <c r="N11" s="44" t="str">
        <f>Track</f>
        <v>XXXXX</v>
      </c>
      <c r="O11" s="44" t="str">
        <f>Track</f>
        <v>XXXXX</v>
      </c>
      <c r="P11" s="44" t="str">
        <f>Track</f>
        <v>XXXXX</v>
      </c>
      <c r="Q11" s="42" t="str">
        <f>EmptyCell</f>
        <v>-------</v>
      </c>
      <c r="V11" s="44" t="str">
        <f>Track</f>
        <v>XXXXX</v>
      </c>
      <c r="AC11" s="44" t="str">
        <f t="shared" si="0"/>
        <v>XXXXX</v>
      </c>
      <c r="AQ11" s="52">
        <v>7</v>
      </c>
      <c r="AR11" s="44">
        <v>17</v>
      </c>
      <c r="AT11" s="44">
        <v>1</v>
      </c>
      <c r="AU11" s="53"/>
      <c r="AY11" s="44">
        <v>2</v>
      </c>
      <c r="AZ11" s="44">
        <v>2</v>
      </c>
      <c r="BA11" s="57"/>
      <c r="CL11" s="44" t="str">
        <f>Track</f>
        <v>XXXXX</v>
      </c>
      <c r="CM11" s="44" t="str">
        <f>Track</f>
        <v>XXXXX</v>
      </c>
      <c r="CN11" s="44" t="str">
        <f>Track</f>
        <v>XXXXX</v>
      </c>
      <c r="CO11" s="44" t="str">
        <f>Track</f>
        <v>XXXXX</v>
      </c>
      <c r="CT11" s="62" t="s">
        <v>57</v>
      </c>
      <c r="CU11" s="62" t="s">
        <v>57</v>
      </c>
    </row>
    <row r="12" spans="1:101">
      <c r="G12" s="44" t="str">
        <f>Track</f>
        <v>XXXXX</v>
      </c>
      <c r="H12" s="44" t="str">
        <f>Track</f>
        <v>XXXXX</v>
      </c>
      <c r="AC12" s="44" t="str">
        <f t="shared" si="0"/>
        <v>XXXXX</v>
      </c>
      <c r="AE12" s="49">
        <v>17</v>
      </c>
      <c r="AF12" s="50">
        <v>12</v>
      </c>
      <c r="AG12" s="50">
        <v>16</v>
      </c>
      <c r="AH12" s="50">
        <v>5</v>
      </c>
      <c r="AI12" s="50">
        <v>4</v>
      </c>
      <c r="AJ12" s="51">
        <v>9</v>
      </c>
      <c r="AQ12" s="52"/>
      <c r="AT12" s="44">
        <v>17</v>
      </c>
      <c r="AU12" s="53"/>
      <c r="AY12" s="44">
        <v>2</v>
      </c>
      <c r="AZ12" s="44">
        <v>2</v>
      </c>
      <c r="BA12" s="57"/>
      <c r="CL12" s="44" t="str">
        <f>Track</f>
        <v>XXXXX</v>
      </c>
      <c r="CU12" s="44" t="s">
        <v>58</v>
      </c>
    </row>
    <row r="13" spans="1:101">
      <c r="B13" s="45" t="s">
        <v>59</v>
      </c>
      <c r="C13" s="44" t="str">
        <f>Track</f>
        <v>XXXXX</v>
      </c>
      <c r="D13" s="44" t="str">
        <f>Track</f>
        <v>XXXXX</v>
      </c>
      <c r="E13" s="44" t="str">
        <f>Track</f>
        <v>XXXXX</v>
      </c>
      <c r="F13" s="44" t="str">
        <f>Track</f>
        <v>XXXXX</v>
      </c>
      <c r="G13" s="44" t="str">
        <f>Track</f>
        <v>XXXXX</v>
      </c>
      <c r="AC13" s="44" t="str">
        <f t="shared" si="0"/>
        <v>XXXXX</v>
      </c>
      <c r="AE13" s="52">
        <v>12</v>
      </c>
      <c r="AF13" s="44">
        <v>7</v>
      </c>
      <c r="AG13" s="44">
        <v>17</v>
      </c>
      <c r="AH13" s="44">
        <v>6</v>
      </c>
      <c r="AI13" s="44">
        <v>1</v>
      </c>
      <c r="AJ13" s="53">
        <v>12</v>
      </c>
      <c r="AQ13" s="52">
        <v>19</v>
      </c>
      <c r="AR13" s="44">
        <v>8</v>
      </c>
      <c r="AS13" s="44">
        <v>12</v>
      </c>
      <c r="AU13" s="53">
        <v>13</v>
      </c>
      <c r="AY13" s="44">
        <v>2</v>
      </c>
      <c r="AZ13" s="44">
        <v>2</v>
      </c>
      <c r="BA13" s="57"/>
      <c r="CL13" s="44" t="str">
        <f>Track</f>
        <v>XXXXX</v>
      </c>
      <c r="CU13" s="44" t="s">
        <v>58</v>
      </c>
    </row>
    <row r="14" spans="1:101">
      <c r="AC14" s="44" t="str">
        <f t="shared" si="0"/>
        <v>XXXXX</v>
      </c>
      <c r="AE14" s="52">
        <v>4</v>
      </c>
      <c r="AF14" s="44">
        <v>5</v>
      </c>
      <c r="AG14" s="44">
        <v>15</v>
      </c>
      <c r="AH14" s="44">
        <v>2</v>
      </c>
      <c r="AI14" s="44">
        <v>17</v>
      </c>
      <c r="AJ14" s="53">
        <v>2</v>
      </c>
      <c r="AQ14" s="52"/>
      <c r="AR14" s="44">
        <v>10</v>
      </c>
      <c r="AS14" s="44">
        <v>4</v>
      </c>
      <c r="AT14" s="44">
        <v>17</v>
      </c>
      <c r="AU14" s="53">
        <v>16</v>
      </c>
      <c r="AY14" s="44">
        <v>2</v>
      </c>
      <c r="AZ14" s="44">
        <v>2</v>
      </c>
      <c r="BA14" s="57"/>
      <c r="BF14" s="41">
        <v>1010</v>
      </c>
      <c r="BG14" s="44" t="str">
        <f>Track</f>
        <v>XXXXX</v>
      </c>
      <c r="CI14" s="44" t="str">
        <f>Track</f>
        <v>XXXXX</v>
      </c>
      <c r="CJ14" s="44" t="str">
        <f>Track</f>
        <v>XXXXX</v>
      </c>
      <c r="CK14" s="44" t="str">
        <f>Track</f>
        <v>XXXXX</v>
      </c>
      <c r="CL14" s="44" t="str">
        <f>Track</f>
        <v>XXXXX</v>
      </c>
      <c r="CU14" s="44" t="s">
        <v>58</v>
      </c>
    </row>
    <row r="15" spans="1:101" ht="15.5" thickBot="1">
      <c r="AC15" s="44" t="str">
        <f t="shared" si="0"/>
        <v>XXXXX</v>
      </c>
      <c r="AE15" s="52">
        <v>20</v>
      </c>
      <c r="AF15" s="44">
        <v>19</v>
      </c>
      <c r="AG15" s="44">
        <v>8</v>
      </c>
      <c r="AH15" s="44">
        <v>12</v>
      </c>
      <c r="AI15" s="44">
        <v>13</v>
      </c>
      <c r="AJ15" s="53">
        <v>13</v>
      </c>
      <c r="AQ15" s="54">
        <v>5</v>
      </c>
      <c r="AR15" s="55">
        <v>8</v>
      </c>
      <c r="AS15" s="55"/>
      <c r="AT15" s="55">
        <v>11</v>
      </c>
      <c r="AU15" s="56">
        <v>7</v>
      </c>
      <c r="AY15" s="44">
        <v>2</v>
      </c>
      <c r="AZ15" s="44">
        <v>2</v>
      </c>
      <c r="BA15" s="57"/>
      <c r="BF15" s="44" t="str">
        <f>Track</f>
        <v>XXXXX</v>
      </c>
      <c r="CI15" s="44" t="str">
        <f>Track</f>
        <v>XXXXX</v>
      </c>
      <c r="CU15" s="44" t="s">
        <v>58</v>
      </c>
    </row>
    <row r="16" spans="1:101">
      <c r="AC16" s="44" t="str">
        <f t="shared" si="0"/>
        <v>XXXXX</v>
      </c>
      <c r="AE16" s="52">
        <v>8</v>
      </c>
      <c r="AF16" s="44">
        <v>14</v>
      </c>
      <c r="AG16" s="44">
        <v>10</v>
      </c>
      <c r="AH16" s="44">
        <v>4</v>
      </c>
      <c r="AI16" s="44">
        <v>17</v>
      </c>
      <c r="AJ16" s="53">
        <v>16</v>
      </c>
      <c r="AU16" s="44" t="str">
        <f>Track</f>
        <v>XXXXX</v>
      </c>
      <c r="BA16" s="44" t="str">
        <f>Track</f>
        <v>XXXXX</v>
      </c>
      <c r="BF16" s="44" t="str">
        <f>Track</f>
        <v>XXXXX</v>
      </c>
      <c r="CI16" s="44" t="str">
        <f>Track</f>
        <v>XXXXX</v>
      </c>
      <c r="CU16" s="44" t="s">
        <v>58</v>
      </c>
    </row>
    <row r="17" spans="29:104" ht="15.5" thickBot="1">
      <c r="AC17" s="44" t="str">
        <f t="shared" si="0"/>
        <v>XXXXX</v>
      </c>
      <c r="AE17" s="54">
        <v>6</v>
      </c>
      <c r="AF17" s="55">
        <v>5</v>
      </c>
      <c r="AG17" s="55">
        <v>8</v>
      </c>
      <c r="AH17" s="55">
        <v>17</v>
      </c>
      <c r="AI17" s="55">
        <v>11</v>
      </c>
      <c r="AJ17" s="56">
        <v>7</v>
      </c>
      <c r="AU17" s="44" t="str">
        <f>Track</f>
        <v>XXXXX</v>
      </c>
      <c r="BA17" s="44" t="str">
        <f>Track</f>
        <v>XXXXX</v>
      </c>
      <c r="BE17" s="44" t="str">
        <f>Track</f>
        <v>XXXXX</v>
      </c>
      <c r="BF17" s="44" t="str">
        <f>Track</f>
        <v>XXXXX</v>
      </c>
      <c r="CF17" s="44" t="str">
        <f>Track</f>
        <v>XXXXX</v>
      </c>
      <c r="CG17" s="44" t="str">
        <f>Track</f>
        <v>XXXXX</v>
      </c>
      <c r="CH17" s="44" t="str">
        <f>Track</f>
        <v>XXXXX</v>
      </c>
      <c r="CI17" s="44" t="str">
        <f>Track</f>
        <v>XXXXX</v>
      </c>
      <c r="CU17" s="44" t="s">
        <v>58</v>
      </c>
    </row>
    <row r="18" spans="29:104" ht="15.5" thickBot="1">
      <c r="AC18" s="44" t="str">
        <f t="shared" si="0"/>
        <v>XXXXX</v>
      </c>
      <c r="AU18" s="44" t="str">
        <f>Track</f>
        <v>XXXXX</v>
      </c>
      <c r="BA18" s="44" t="str">
        <f>Track</f>
        <v>XXXXX</v>
      </c>
      <c r="BD18" s="44" t="str">
        <f>Track</f>
        <v>XXXXX</v>
      </c>
      <c r="BE18" s="44" t="str">
        <f>Track</f>
        <v>XXXXX</v>
      </c>
      <c r="BP18" s="59">
        <v>0.124</v>
      </c>
      <c r="BQ18" s="44" t="str">
        <f>Track</f>
        <v>XXXXX</v>
      </c>
      <c r="BR18" s="59">
        <v>12.4</v>
      </c>
      <c r="BS18" s="44" t="str">
        <f>Track</f>
        <v>XXXXX</v>
      </c>
      <c r="BT18" s="59">
        <v>44348</v>
      </c>
      <c r="BU18" s="44" t="str">
        <f>Track</f>
        <v>XXXXX</v>
      </c>
      <c r="BV18" s="44" t="str">
        <f>Track</f>
        <v>XXXXX</v>
      </c>
      <c r="BW18" s="60" t="str">
        <f>EmptyCell</f>
        <v>-------</v>
      </c>
      <c r="BX18" s="44" t="str">
        <f>Track</f>
        <v>XXXXX</v>
      </c>
      <c r="BY18" s="60" t="str">
        <f>EmptyCell</f>
        <v>-------</v>
      </c>
      <c r="BZ18" s="44" t="str">
        <f>Track</f>
        <v>XXXXX</v>
      </c>
      <c r="CA18" s="60" t="str">
        <f>EmptyCell</f>
        <v>-------</v>
      </c>
      <c r="CB18" s="44" t="str">
        <f>Track</f>
        <v>XXXXX</v>
      </c>
      <c r="CC18" s="61" t="str">
        <f>EmptyCell</f>
        <v>-------</v>
      </c>
      <c r="CF18" s="44" t="str">
        <f>Track</f>
        <v>XXXXX</v>
      </c>
      <c r="CU18" s="44" t="s">
        <v>58</v>
      </c>
    </row>
    <row r="19" spans="29:104">
      <c r="AC19" s="44" t="str">
        <f t="shared" si="0"/>
        <v>XXXXX</v>
      </c>
      <c r="AU19" s="44" t="str">
        <f>Track</f>
        <v>XXXXX</v>
      </c>
      <c r="BA19" s="44" t="str">
        <f>Track</f>
        <v>XXXXX</v>
      </c>
      <c r="BC19" s="44" t="str">
        <f>Track</f>
        <v>XXXXX</v>
      </c>
      <c r="BD19" s="44" t="str">
        <f>Track</f>
        <v>XXXXX</v>
      </c>
      <c r="BP19" s="44" t="str">
        <f>Track</f>
        <v>XXXXX</v>
      </c>
      <c r="CC19" s="44" t="str">
        <f>Track</f>
        <v>XXXXX</v>
      </c>
      <c r="CF19" s="44" t="str">
        <f>Track</f>
        <v>XXXXX</v>
      </c>
      <c r="CU19" s="44" t="s">
        <v>58</v>
      </c>
    </row>
    <row r="20" spans="29:104">
      <c r="AC20" s="44" t="str">
        <f t="shared" si="0"/>
        <v>XXXXX</v>
      </c>
      <c r="AD20" s="44" t="str">
        <f t="shared" ref="AD20:AI20" si="1">Track</f>
        <v>XXXXX</v>
      </c>
      <c r="AE20" s="44" t="str">
        <f t="shared" si="1"/>
        <v>XXXXX</v>
      </c>
      <c r="AF20" s="44" t="str">
        <f t="shared" si="1"/>
        <v>XXXXX</v>
      </c>
      <c r="AG20" s="44" t="str">
        <f t="shared" si="1"/>
        <v>XXXXX</v>
      </c>
      <c r="AH20" s="44" t="str">
        <f t="shared" si="1"/>
        <v>XXXXX</v>
      </c>
      <c r="AI20" s="44" t="str">
        <f t="shared" si="1"/>
        <v>XXXXX</v>
      </c>
      <c r="AJ20" s="41" t="str">
        <f>EmptyCell</f>
        <v>-------</v>
      </c>
      <c r="AK20" s="44" t="str">
        <f t="shared" ref="AK20:AT20" si="2">Track</f>
        <v>XXXXX</v>
      </c>
      <c r="AL20" s="44" t="str">
        <f t="shared" si="2"/>
        <v>XXXXX</v>
      </c>
      <c r="AM20" s="44" t="str">
        <f t="shared" si="2"/>
        <v>XXXXX</v>
      </c>
      <c r="AN20" s="44" t="str">
        <f t="shared" si="2"/>
        <v>XXXXX</v>
      </c>
      <c r="AO20" s="44" t="str">
        <f t="shared" si="2"/>
        <v>XXXXX</v>
      </c>
      <c r="AP20" s="44" t="str">
        <f t="shared" si="2"/>
        <v>XXXXX</v>
      </c>
      <c r="AQ20" s="44" t="str">
        <f t="shared" si="2"/>
        <v>XXXXX</v>
      </c>
      <c r="AR20" s="44" t="str">
        <f t="shared" si="2"/>
        <v>XXXXX</v>
      </c>
      <c r="AS20" s="44" t="str">
        <f t="shared" si="2"/>
        <v>XXXXX</v>
      </c>
      <c r="AT20" s="44" t="str">
        <f t="shared" si="2"/>
        <v>XXXXX</v>
      </c>
      <c r="AU20" s="58" t="str">
        <f>EmptyCell</f>
        <v>-------</v>
      </c>
      <c r="AV20" s="44" t="str">
        <f>Track</f>
        <v>XXXXX</v>
      </c>
      <c r="AW20" s="44" t="str">
        <f>Track</f>
        <v>XXXXX</v>
      </c>
      <c r="AX20" s="44" t="str">
        <f>Track</f>
        <v>XXXXX</v>
      </c>
      <c r="AY20" s="44" t="str">
        <f>Track</f>
        <v>XXXXX</v>
      </c>
      <c r="AZ20" s="44" t="str">
        <f>Track</f>
        <v>XXXXX</v>
      </c>
      <c r="BA20" s="44" t="str">
        <f>Track</f>
        <v>XXXXX</v>
      </c>
      <c r="BB20" s="44" t="str">
        <f>Track</f>
        <v>XXXXX</v>
      </c>
      <c r="BC20" s="44" t="str">
        <f>Track</f>
        <v>XXXXX</v>
      </c>
      <c r="BG20" s="44" t="str">
        <f t="shared" ref="BG20:BN20" si="3">IFERROR(GoExcel,"")</f>
        <v/>
      </c>
      <c r="BH20" s="44" t="str">
        <f t="shared" si="3"/>
        <v/>
      </c>
      <c r="BI20" s="44" t="str">
        <f t="shared" si="3"/>
        <v/>
      </c>
      <c r="BJ20" s="44" t="str">
        <f t="shared" si="3"/>
        <v/>
      </c>
      <c r="BK20" s="44" t="str">
        <f t="shared" si="3"/>
        <v/>
      </c>
      <c r="BL20" s="44" t="str">
        <f t="shared" si="3"/>
        <v/>
      </c>
      <c r="BM20" s="44" t="str">
        <f t="shared" si="3"/>
        <v/>
      </c>
      <c r="BN20" s="44" t="str">
        <f t="shared" si="3"/>
        <v/>
      </c>
      <c r="BO20" s="44" t="str">
        <f>Track</f>
        <v>XXXXX</v>
      </c>
      <c r="BP20" s="44" t="str">
        <f>Track</f>
        <v>XXXXX</v>
      </c>
      <c r="CC20" s="44" t="str">
        <f>Track</f>
        <v>XXXXX</v>
      </c>
      <c r="CD20" s="44" t="str">
        <f>Track</f>
        <v>XXXXX</v>
      </c>
      <c r="CE20" s="44" t="str">
        <f>Track</f>
        <v>XXXXX</v>
      </c>
      <c r="CF20" s="44" t="str">
        <f>Track</f>
        <v>XXXXX</v>
      </c>
      <c r="CU20" s="44" t="str">
        <f>Track</f>
        <v>XXXXX</v>
      </c>
      <c r="CV20" s="44" t="str">
        <f>Track</f>
        <v>XXXXX</v>
      </c>
      <c r="CW20" s="44" t="str">
        <f>Track</f>
        <v>XXXXX</v>
      </c>
      <c r="CX20" s="44" t="str">
        <f>Track</f>
        <v>XXXXX</v>
      </c>
      <c r="CY20" s="44" t="str">
        <f>Track</f>
        <v>XXXXX</v>
      </c>
      <c r="CZ20" s="63" t="s">
        <v>60</v>
      </c>
    </row>
    <row r="21" spans="29:104"/>
    <row r="22" spans="29:104"/>
    <row r="23" spans="29:104"/>
    <row r="24" spans="29:104"/>
    <row r="25" spans="29:104"/>
    <row r="26" spans="29:104"/>
    <row r="27" spans="29:104"/>
    <row r="28" spans="29:104"/>
    <row r="29" spans="29:104"/>
    <row r="30" spans="29:104"/>
  </sheetData>
  <pageMargins left="0.7" right="0.7" top="0.75" bottom="0.75" header="0.3" footer="0.3"/>
  <drawing r:id="rId1"/>
</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E21B03C0-38C8-4BD9-AC7F-4C3A2C189A35}" mc:Ignorable="x14ac xr xr2 xr3">
  <x:sheetPr codeName="Sheet7"/>
  <x:dimension ref="A1:CZ142"/>
  <x:sheetViews>
    <x:sheetView zoomScale="115" zoomScaleNormal="115" workbookViewId="0">
      <x:selection activeCell="B4" sqref="B4"/>
    </x:sheetView>
  </x:sheetViews>
  <x:sheetFormatPr defaultColWidth="0" defaultRowHeight="14.75" zeroHeight="1"/>
  <x:cols>
    <x:col min="1" max="1" width="3.1796875" style="2" customWidth="1"/>
    <x:col min="2" max="2" width="19.81640625" style="7" customWidth="1"/>
    <x:col min="3" max="5" width="19.81640625" style="2" customWidth="1"/>
    <x:col min="6" max="6" width="3.1796875" style="2" customWidth="1"/>
    <x:col min="7" max="8" width="0" style="2" hidden="1" customWidth="1"/>
    <x:col min="9" max="26" width="8.81640625" style="2" hidden="1"/>
    <x:col min="27" max="69" width="5.81640625" style="2" hidden="1" customWidth="1"/>
    <x:col min="70" max="70" width="8.81640625" style="2" hidden="1" customWidth="1"/>
    <x:col min="71" max="71" width="5.81640625" style="2" hidden="1" customWidth="1"/>
    <x:col min="72" max="72" width="8.81640625" style="2" hidden="1" customWidth="1"/>
    <x:col min="73" max="103" width="5.81640625" style="2" hidden="1" customWidth="1"/>
    <x:col min="104" max="104" width="8.81640625" style="2" hidden="1" customWidth="1"/>
    <x:col min="105" max="16384" width="8.81640625" style="2" hidden="1"/>
  </x:cols>
  <x:sheetData>
    <x:row r="1" spans="1:99" ht="18.5">
      <x:c r="A1" s="13"/>
      <x:c r="B1" s="33"/>
      <x:c r="C1" s="13"/>
      <x:c r="D1" s="13"/>
      <x:c r="E1" s="13"/>
      <x:c r="F1" s="13"/>
    </x:row>
    <x:row r="2" spans="1:99" ht="18.5">
      <x:c r="A2" s="13"/>
      <x:c r="B2" s="33" t="str">
        <x:f>"Results for "&amp;SpreadsheetName</x:f>
        <x:v>Results for MECC Keyboarding Challenge</x:v>
      </x:c>
      <x:c r="C2" s="13"/>
      <x:c r="D2" s="13"/>
      <x:c r="E2" s="13"/>
      <x:c r="F2" s="13"/>
    </x:row>
    <x:row r="3" spans="1:99">
      <x:c r="A3" s="13"/>
      <x:c r="B3" s="32"/>
      <x:c r="C3" s="13"/>
      <x:c r="D3" s="13"/>
      <x:c r="E3" s="13"/>
      <x:c r="F3" s="13"/>
    </x:row>
    <x:row r="4" spans="1:99" ht="16.75" thickBot="1">
      <x:c r="A4" s="13"/>
      <x:c r="B4" s="66" t="s">
        <x:v>136</x:v>
      </x:c>
      <x:c r="C4" s="13"/>
      <x:c r="D4" s="13"/>
      <x:c r="E4" s="13"/>
      <x:c r="F4" s="13"/>
    </x:row>
    <x:row r="5" spans="1:99" ht="39.75" customHeight="1" thickBot="1">
      <x:c r="A5" s="13"/>
      <x:c r="B5" s="80" t="str">
        <x:f>BackgroundCalcs!D55</x:f>
        <x:v>I finished the MECC Keyboarding Challenge in  seconds. Sign up for the Microsoft Excel Collegiate Challenge and give it a try! #ExcelEsports #ExcelAtEller</x:v>
      </x:c>
      <x:c r="C5" s="78"/>
      <x:c r="D5" s="78"/>
      <x:c r="E5" s="79"/>
      <x:c r="F5" s="13"/>
    </x:row>
    <x:row r="6" spans="1:99" ht="15.5" thickBot="1">
      <x:c r="A6" s="13"/>
      <x:c r="B6" s="13"/>
      <x:c r="C6" s="13"/>
      <x:c r="D6" s="13"/>
      <x:c r="E6" s="13"/>
      <x:c r="F6" s="13"/>
    </x:row>
    <x:row r="7" spans="1:99">
      <x:c r="A7" s="13"/>
      <x:c r="B7" s="13"/>
      <x:c r="C7" s="81" t="str">
        <x:f>HYPERLINK(BackgroundCalcs!D65,"Post to Twitter")</x:f>
        <x:v>Post to Twitter</x:v>
      </x:c>
      <x:c r="D7" s="81" t="str">
        <x:f>HYPERLINK(BackgroundCalcs!D59,"Post to LinkedIn")</x:f>
        <x:v>Post to LinkedIn</x:v>
      </x:c>
      <x:c r="E7" s="13"/>
      <x:c r="F7" s="13"/>
    </x:row>
    <x:row r="8" spans="1:99" ht="15.5" thickBot="1">
      <x:c r="A8" s="13"/>
      <x:c r="B8" s="13"/>
      <x:c r="C8" s="82"/>
      <x:c r="D8" s="82"/>
      <x:c r="E8" s="13"/>
      <x:c r="F8" s="13"/>
      <x:c r="CT8" s="76"/>
      <x:c r="CU8" s="76"/>
    </x:row>
    <x:row r="9" spans="1:99">
      <x:c r="A9" s="13"/>
      <x:c r="B9" s="13"/>
      <x:c r="C9" s="13"/>
      <x:c r="D9" s="13"/>
      <x:c r="E9" s="13"/>
      <x:c r="F9" s="13"/>
    </x:row>
    <x:row r="10" spans="1:99">
      <x:c r="A10" s="13"/>
      <x:c r="B10" s="34" t="s">
        <x:v>15</x:v>
      </x:c>
      <x:c r="C10" s="13"/>
      <x:c r="D10" s="13"/>
      <x:c r="E10" s="13"/>
      <x:c r="F10" s="13"/>
    </x:row>
    <x:row r="11" spans="1:99" ht="15.5" thickBot="1">
      <x:c r="A11" s="13"/>
      <x:c r="B11" s="15" t="s">
        <x:v>16</x:v>
      </x:c>
      <x:c r="C11" s="15" t="s">
        <x:v>120</x:v>
      </x:c>
      <x:c r="D11" s="15" t="s">
        <x:v>38</x:v>
      </x:c>
      <x:c r="E11" s="15" t="s">
        <x:v>41</x:v>
      </x:c>
      <x:c r="F11" s="13"/>
      <x:c r="BF11" s="72"/>
    </x:row>
    <x:row r="12" spans="1:99">
      <x:c r="A12" s="13"/>
      <x:c r="B12" s="17"/>
      <x:c r="C12" s="16"/>
      <x:c r="D12" s="16"/>
      <x:c r="E12" s="18"/>
      <x:c r="F12" s="13"/>
    </x:row>
    <x:row r="13" spans="1:99">
      <x:c r="A13" s="13"/>
      <x:c r="B13" s="13"/>
      <x:c r="C13" s="13"/>
      <x:c r="D13" s="14"/>
      <x:c r="E13" s="14"/>
      <x:c r="F13" s="13"/>
    </x:row>
    <x:row r="14" spans="1:99" ht="15.5" thickBot="1">
      <x:c r="A14" s="13"/>
      <x:c r="B14" s="34" t="s">
        <x:v>121</x:v>
      </x:c>
      <x:c r="C14" s="13"/>
      <x:c r="D14" s="14"/>
      <x:c r="E14" s="14"/>
      <x:c r="F14" s="13"/>
    </x:row>
    <x:row r="15" spans="1:99" ht="15.5" thickBot="1">
      <x:c r="A15" s="13"/>
      <x:c r="B15" s="15" t="s">
        <x:v>16</x:v>
      </x:c>
      <x:c r="C15" s="15" t="s">
        <x:v>120</x:v>
      </x:c>
      <x:c r="D15" s="15" t="s">
        <x:v>38</x:v>
      </x:c>
      <x:c r="E15" s="15" t="s">
        <x:v>41</x:v>
      </x:c>
      <x:c r="F15" s="13"/>
      <x:c r="BP15" s="73"/>
      <x:c r="BR15" s="73"/>
      <x:c r="BT15" s="73"/>
      <x:c r="BW15" s="74"/>
      <x:c r="BY15" s="74"/>
      <x:c r="CA15" s="74"/>
      <x:c r="CC15" s="75"/>
    </x:row>
    <x:row r="16" spans="1:99">
      <x:c r="A16" s="13"/>
      <x:c r="B16" s="17" t="str">
        <x:f>IF(ISBLANK(B20),"",INDEX(B20:B138,MATCH(C16,C20:C138,0)))</x:f>
        <x:v/>
      </x:c>
      <x:c r="C16" s="16" t="str">
        <x:f>IF(ISBLANK(C20),"",INDEX(C20:C138,MATCH($E$16,$E$20:$E$138,0)))</x:f>
        <x:v/>
      </x:c>
      <x:c r="D16" s="16" t="str">
        <x:f>IF(ISBLANK(D20),"",INDEX(D20:D138,MATCH($E$16,$E$20:$E$138,0)))</x:f>
        <x:v/>
      </x:c>
      <x:c r="E16" s="18" t="str">
        <x:f>IF(ISBLANK(E20),"",MIN(E20:E138))</x:f>
        <x:v/>
      </x:c>
      <x:c r="F16" s="13"/>
    </x:row>
    <x:row r="17" spans="1:104">
      <x:c r="A17" s="13"/>
      <x:c r="B17" s="13"/>
      <x:c r="C17" s="13"/>
      <x:c r="D17" s="14"/>
      <x:c r="E17" s="14"/>
      <x:c r="F17" s="13"/>
      <x:c r="CZ17" s="72"/>
    </x:row>
    <x:row r="18" spans="1:104">
      <x:c r="A18" s="13"/>
      <x:c r="B18" s="34" t="s">
        <x:v>122</x:v>
      </x:c>
      <x:c r="C18" s="13"/>
      <x:c r="D18" s="14"/>
      <x:c r="E18" s="14"/>
      <x:c r="F18" s="13"/>
    </x:row>
    <x:row r="19" spans="1:104" ht="15.5" thickBot="1">
      <x:c r="A19" s="13"/>
      <x:c r="B19" s="15" t="s">
        <x:v>16</x:v>
      </x:c>
      <x:c r="C19" s="15" t="s">
        <x:v>120</x:v>
      </x:c>
      <x:c r="D19" s="15" t="s">
        <x:v>38</x:v>
      </x:c>
      <x:c r="E19" s="15" t="s">
        <x:v>41</x:v>
      </x:c>
      <x:c r="F19" s="13"/>
    </x:row>
    <x:row r="20" spans="1:104">
      <x:c r="A20" s="13"/>
      <x:c r="B20" s="17"/>
      <x:c r="C20" s="18"/>
      <x:c r="D20" s="19"/>
      <x:c r="E20" s="19"/>
      <x:c r="F20" s="13"/>
    </x:row>
    <x:row r="21" spans="1:104">
      <x:c r="A21" s="13"/>
      <x:c r="B21" s="17"/>
      <x:c r="C21" s="18"/>
      <x:c r="D21" s="19"/>
      <x:c r="E21" s="19"/>
      <x:c r="F21" s="13"/>
    </x:row>
    <x:row r="22" spans="1:104">
      <x:c r="A22" s="13"/>
      <x:c r="B22" s="17"/>
      <x:c r="C22" s="18"/>
      <x:c r="D22" s="19"/>
      <x:c r="E22" s="19"/>
      <x:c r="F22" s="13"/>
    </x:row>
    <x:row r="23" spans="1:104">
      <x:c r="A23" s="13"/>
      <x:c r="B23" s="17"/>
      <x:c r="C23" s="18"/>
      <x:c r="D23" s="19"/>
      <x:c r="E23" s="19"/>
      <x:c r="F23" s="13"/>
    </x:row>
    <x:row r="24" spans="1:104">
      <x:c r="A24" s="13"/>
      <x:c r="B24" s="17"/>
      <x:c r="C24" s="18"/>
      <x:c r="D24" s="19"/>
      <x:c r="E24" s="19"/>
      <x:c r="F24" s="13"/>
    </x:row>
    <x:row r="25" spans="1:104">
      <x:c r="A25" s="13"/>
      <x:c r="B25" s="17"/>
      <x:c r="C25" s="18"/>
      <x:c r="D25" s="19"/>
      <x:c r="E25" s="19"/>
      <x:c r="F25" s="13"/>
    </x:row>
    <x:row r="26" spans="1:104">
      <x:c r="A26" s="13"/>
      <x:c r="B26" s="17"/>
      <x:c r="C26" s="18"/>
      <x:c r="D26" s="19"/>
      <x:c r="E26" s="19"/>
      <x:c r="F26" s="13"/>
    </x:row>
    <x:row r="27" spans="1:104">
      <x:c r="A27" s="13"/>
      <x:c r="B27" s="17"/>
      <x:c r="C27" s="18"/>
      <x:c r="D27" s="19"/>
      <x:c r="E27" s="19"/>
      <x:c r="F27" s="13"/>
    </x:row>
    <x:row r="28" spans="1:104">
      <x:c r="A28" s="13"/>
      <x:c r="B28" s="17"/>
      <x:c r="C28" s="18"/>
      <x:c r="D28" s="19"/>
      <x:c r="E28" s="19"/>
      <x:c r="F28" s="13"/>
    </x:row>
    <x:row r="29" spans="1:104">
      <x:c r="A29" s="13"/>
      <x:c r="B29" s="17"/>
      <x:c r="C29" s="18"/>
      <x:c r="D29" s="19"/>
      <x:c r="E29" s="19"/>
      <x:c r="F29" s="13"/>
    </x:row>
    <x:row r="30" spans="1:104">
      <x:c r="A30" s="13"/>
      <x:c r="B30" s="17"/>
      <x:c r="C30" s="18"/>
      <x:c r="D30" s="19"/>
      <x:c r="E30" s="19"/>
      <x:c r="F30" s="13"/>
    </x:row>
    <x:row r="31" spans="1:104">
      <x:c r="A31" s="13"/>
      <x:c r="B31" s="17"/>
      <x:c r="C31" s="18"/>
      <x:c r="D31" s="19"/>
      <x:c r="E31" s="19"/>
      <x:c r="F31" s="13"/>
    </x:row>
    <x:row r="32" spans="1:104">
      <x:c r="A32" s="13"/>
      <x:c r="B32" s="17"/>
      <x:c r="C32" s="18"/>
      <x:c r="D32" s="19"/>
      <x:c r="E32" s="19"/>
      <x:c r="F32" s="13"/>
    </x:row>
    <x:row r="33" spans="1:6">
      <x:c r="A33" s="13"/>
      <x:c r="B33" s="17"/>
      <x:c r="C33" s="18"/>
      <x:c r="D33" s="19"/>
      <x:c r="E33" s="19"/>
      <x:c r="F33" s="13"/>
    </x:row>
    <x:row r="34" spans="1:6">
      <x:c r="A34" s="13"/>
      <x:c r="B34" s="17"/>
      <x:c r="C34" s="18"/>
      <x:c r="D34" s="19"/>
      <x:c r="E34" s="19"/>
      <x:c r="F34" s="13"/>
    </x:row>
    <x:row r="35" spans="1:6">
      <x:c r="A35" s="13"/>
      <x:c r="B35" s="17"/>
      <x:c r="C35" s="18"/>
      <x:c r="D35" s="19"/>
      <x:c r="E35" s="19"/>
      <x:c r="F35" s="13"/>
    </x:row>
    <x:row r="36" spans="1:6">
      <x:c r="A36" s="13"/>
      <x:c r="B36" s="17"/>
      <x:c r="C36" s="18"/>
      <x:c r="D36" s="19"/>
      <x:c r="E36" s="19"/>
      <x:c r="F36" s="13"/>
    </x:row>
    <x:row r="37" spans="1:6">
      <x:c r="A37" s="13"/>
      <x:c r="B37" s="17"/>
      <x:c r="C37" s="18"/>
      <x:c r="D37" s="19"/>
      <x:c r="E37" s="19"/>
      <x:c r="F37" s="13"/>
    </x:row>
    <x:row r="38" spans="1:6">
      <x:c r="A38" s="13"/>
      <x:c r="B38" s="17"/>
      <x:c r="C38" s="18"/>
      <x:c r="D38" s="19"/>
      <x:c r="E38" s="19"/>
      <x:c r="F38" s="13"/>
    </x:row>
    <x:row r="39" spans="1:6">
      <x:c r="A39" s="13"/>
      <x:c r="B39" s="17"/>
      <x:c r="C39" s="18"/>
      <x:c r="D39" s="19"/>
      <x:c r="E39" s="19"/>
      <x:c r="F39" s="13"/>
    </x:row>
    <x:row r="40" spans="1:6">
      <x:c r="A40" s="13"/>
      <x:c r="B40" s="17"/>
      <x:c r="C40" s="18"/>
      <x:c r="D40" s="19"/>
      <x:c r="E40" s="19"/>
      <x:c r="F40" s="13"/>
    </x:row>
    <x:row r="41" spans="1:6">
      <x:c r="A41" s="13"/>
      <x:c r="B41" s="17"/>
      <x:c r="C41" s="18"/>
      <x:c r="D41" s="19"/>
      <x:c r="E41" s="19"/>
      <x:c r="F41" s="13"/>
    </x:row>
    <x:row r="42" spans="1:6">
      <x:c r="A42" s="13"/>
      <x:c r="B42" s="17"/>
      <x:c r="C42" s="18"/>
      <x:c r="D42" s="19"/>
      <x:c r="E42" s="19"/>
      <x:c r="F42" s="13"/>
    </x:row>
    <x:row r="43" spans="1:6">
      <x:c r="A43" s="13"/>
      <x:c r="B43" s="17"/>
      <x:c r="C43" s="18"/>
      <x:c r="D43" s="19"/>
      <x:c r="E43" s="19"/>
      <x:c r="F43" s="13"/>
    </x:row>
    <x:row r="44" spans="1:6">
      <x:c r="A44" s="13"/>
      <x:c r="B44" s="17"/>
      <x:c r="C44" s="18"/>
      <x:c r="D44" s="19"/>
      <x:c r="E44" s="19"/>
      <x:c r="F44" s="13"/>
    </x:row>
    <x:row r="45" spans="1:6">
      <x:c r="A45" s="13"/>
      <x:c r="B45" s="17"/>
      <x:c r="C45" s="18"/>
      <x:c r="D45" s="19"/>
      <x:c r="E45" s="19"/>
      <x:c r="F45" s="13"/>
    </x:row>
    <x:row r="46" spans="1:6">
      <x:c r="A46" s="13"/>
      <x:c r="B46" s="17"/>
      <x:c r="C46" s="18"/>
      <x:c r="D46" s="19"/>
      <x:c r="E46" s="19"/>
      <x:c r="F46" s="13"/>
    </x:row>
    <x:row r="47" spans="1:6">
      <x:c r="A47" s="13"/>
      <x:c r="B47" s="17"/>
      <x:c r="C47" s="18"/>
      <x:c r="D47" s="19"/>
      <x:c r="E47" s="19"/>
      <x:c r="F47" s="13"/>
    </x:row>
    <x:row r="48" spans="1:6">
      <x:c r="A48" s="13"/>
      <x:c r="B48" s="17"/>
      <x:c r="C48" s="18"/>
      <x:c r="D48" s="19"/>
      <x:c r="E48" s="19"/>
      <x:c r="F48" s="13"/>
    </x:row>
    <x:row r="49" spans="1:6">
      <x:c r="A49" s="13"/>
      <x:c r="B49" s="17"/>
      <x:c r="C49" s="18"/>
      <x:c r="D49" s="19"/>
      <x:c r="E49" s="19"/>
      <x:c r="F49" s="13"/>
    </x:row>
    <x:row r="50" spans="1:6">
      <x:c r="A50" s="13"/>
      <x:c r="B50" s="17"/>
      <x:c r="C50" s="18"/>
      <x:c r="D50" s="19"/>
      <x:c r="E50" s="19"/>
      <x:c r="F50" s="13"/>
    </x:row>
    <x:row r="51" spans="1:6">
      <x:c r="A51" s="13"/>
      <x:c r="B51" s="17"/>
      <x:c r="C51" s="18"/>
      <x:c r="D51" s="19"/>
      <x:c r="E51" s="19"/>
      <x:c r="F51" s="13"/>
    </x:row>
    <x:row r="52" spans="1:6">
      <x:c r="A52" s="13"/>
      <x:c r="B52" s="17"/>
      <x:c r="C52" s="18"/>
      <x:c r="D52" s="19"/>
      <x:c r="E52" s="19"/>
      <x:c r="F52" s="13"/>
    </x:row>
    <x:row r="53" spans="1:6">
      <x:c r="A53" s="13"/>
      <x:c r="B53" s="17"/>
      <x:c r="C53" s="18"/>
      <x:c r="D53" s="19"/>
      <x:c r="E53" s="19"/>
      <x:c r="F53" s="13"/>
    </x:row>
    <x:row r="54" spans="1:6">
      <x:c r="A54" s="13"/>
      <x:c r="B54" s="17"/>
      <x:c r="C54" s="18"/>
      <x:c r="D54" s="19"/>
      <x:c r="E54" s="19"/>
      <x:c r="F54" s="13"/>
    </x:row>
    <x:row r="55" spans="1:6">
      <x:c r="A55" s="13"/>
      <x:c r="B55" s="17"/>
      <x:c r="C55" s="18"/>
      <x:c r="D55" s="19"/>
      <x:c r="E55" s="19"/>
      <x:c r="F55" s="13"/>
    </x:row>
    <x:row r="56" spans="1:6">
      <x:c r="A56" s="13"/>
      <x:c r="B56" s="17"/>
      <x:c r="C56" s="18"/>
      <x:c r="D56" s="19"/>
      <x:c r="E56" s="19"/>
      <x:c r="F56" s="13"/>
    </x:row>
    <x:row r="57" spans="1:6">
      <x:c r="A57" s="13"/>
      <x:c r="B57" s="17"/>
      <x:c r="C57" s="18"/>
      <x:c r="D57" s="19"/>
      <x:c r="E57" s="19"/>
      <x:c r="F57" s="13"/>
    </x:row>
    <x:row r="58" spans="1:6">
      <x:c r="A58" s="13"/>
      <x:c r="B58" s="17"/>
      <x:c r="C58" s="18"/>
      <x:c r="D58" s="19"/>
      <x:c r="E58" s="19"/>
      <x:c r="F58" s="13"/>
    </x:row>
    <x:row r="59" spans="1:6">
      <x:c r="A59" s="13"/>
      <x:c r="B59" s="17"/>
      <x:c r="C59" s="18"/>
      <x:c r="D59" s="19"/>
      <x:c r="E59" s="19"/>
      <x:c r="F59" s="13"/>
    </x:row>
    <x:row r="60" spans="1:6">
      <x:c r="A60" s="13"/>
      <x:c r="B60" s="17"/>
      <x:c r="C60" s="18"/>
      <x:c r="D60" s="19"/>
      <x:c r="E60" s="19"/>
      <x:c r="F60" s="13"/>
    </x:row>
    <x:row r="61" spans="1:6">
      <x:c r="A61" s="13"/>
      <x:c r="B61" s="17"/>
      <x:c r="C61" s="18"/>
      <x:c r="D61" s="19"/>
      <x:c r="E61" s="19"/>
      <x:c r="F61" s="13"/>
    </x:row>
    <x:row r="62" spans="1:6">
      <x:c r="A62" s="13"/>
      <x:c r="B62" s="17"/>
      <x:c r="C62" s="18"/>
      <x:c r="D62" s="19"/>
      <x:c r="E62" s="19"/>
      <x:c r="F62" s="13"/>
    </x:row>
    <x:row r="63" spans="1:6">
      <x:c r="A63" s="13"/>
      <x:c r="B63" s="17"/>
      <x:c r="C63" s="18"/>
      <x:c r="D63" s="19"/>
      <x:c r="E63" s="19"/>
      <x:c r="F63" s="13"/>
    </x:row>
    <x:row r="64" spans="1:6">
      <x:c r="A64" s="13"/>
      <x:c r="B64" s="17"/>
      <x:c r="C64" s="18"/>
      <x:c r="D64" s="19"/>
      <x:c r="E64" s="19"/>
      <x:c r="F64" s="13"/>
    </x:row>
    <x:row r="65" spans="1:6">
      <x:c r="A65" s="13"/>
      <x:c r="B65" s="17"/>
      <x:c r="C65" s="18"/>
      <x:c r="D65" s="19"/>
      <x:c r="E65" s="19"/>
      <x:c r="F65" s="13"/>
    </x:row>
    <x:row r="66" spans="1:6">
      <x:c r="A66" s="13"/>
      <x:c r="B66" s="17"/>
      <x:c r="C66" s="18"/>
      <x:c r="D66" s="19"/>
      <x:c r="E66" s="19"/>
      <x:c r="F66" s="13"/>
    </x:row>
    <x:row r="67" spans="1:6">
      <x:c r="A67" s="13"/>
      <x:c r="B67" s="17"/>
      <x:c r="C67" s="18"/>
      <x:c r="D67" s="19"/>
      <x:c r="E67" s="19"/>
      <x:c r="F67" s="13"/>
    </x:row>
    <x:row r="68" spans="1:6">
      <x:c r="A68" s="13"/>
      <x:c r="B68" s="17"/>
      <x:c r="C68" s="18"/>
      <x:c r="D68" s="19"/>
      <x:c r="E68" s="19"/>
      <x:c r="F68" s="13"/>
    </x:row>
    <x:row r="69" spans="1:6">
      <x:c r="A69" s="13"/>
      <x:c r="B69" s="17"/>
      <x:c r="C69" s="18"/>
      <x:c r="D69" s="19"/>
      <x:c r="E69" s="19"/>
      <x:c r="F69" s="13"/>
    </x:row>
    <x:row r="70" spans="1:6">
      <x:c r="A70" s="13"/>
      <x:c r="B70" s="17"/>
      <x:c r="C70" s="18"/>
      <x:c r="D70" s="19"/>
      <x:c r="E70" s="19"/>
      <x:c r="F70" s="13"/>
    </x:row>
    <x:row r="71" spans="1:6">
      <x:c r="A71" s="13"/>
      <x:c r="B71" s="17"/>
      <x:c r="C71" s="18"/>
      <x:c r="D71" s="19"/>
      <x:c r="E71" s="19"/>
      <x:c r="F71" s="13"/>
    </x:row>
    <x:row r="72" spans="1:6">
      <x:c r="A72" s="13"/>
      <x:c r="B72" s="17"/>
      <x:c r="C72" s="18"/>
      <x:c r="D72" s="19"/>
      <x:c r="E72" s="19"/>
      <x:c r="F72" s="13"/>
    </x:row>
    <x:row r="73" spans="1:6">
      <x:c r="A73" s="13"/>
      <x:c r="B73" s="17"/>
      <x:c r="C73" s="18"/>
      <x:c r="D73" s="19"/>
      <x:c r="E73" s="19"/>
      <x:c r="F73" s="13"/>
    </x:row>
    <x:row r="74" spans="1:6">
      <x:c r="A74" s="13"/>
      <x:c r="B74" s="17"/>
      <x:c r="C74" s="18"/>
      <x:c r="D74" s="19"/>
      <x:c r="E74" s="19"/>
      <x:c r="F74" s="13"/>
    </x:row>
    <x:row r="75" spans="1:6">
      <x:c r="A75" s="13"/>
      <x:c r="B75" s="17"/>
      <x:c r="C75" s="18"/>
      <x:c r="D75" s="19"/>
      <x:c r="E75" s="19"/>
      <x:c r="F75" s="13"/>
    </x:row>
    <x:row r="76" spans="1:6">
      <x:c r="A76" s="13"/>
      <x:c r="B76" s="17"/>
      <x:c r="C76" s="18"/>
      <x:c r="D76" s="19"/>
      <x:c r="E76" s="19"/>
      <x:c r="F76" s="13"/>
    </x:row>
    <x:row r="77" spans="1:6">
      <x:c r="A77" s="13"/>
      <x:c r="B77" s="17"/>
      <x:c r="C77" s="18"/>
      <x:c r="D77" s="19"/>
      <x:c r="E77" s="19"/>
      <x:c r="F77" s="13"/>
    </x:row>
    <x:row r="78" spans="1:6">
      <x:c r="A78" s="13"/>
      <x:c r="B78" s="17"/>
      <x:c r="C78" s="18"/>
      <x:c r="D78" s="19"/>
      <x:c r="E78" s="19"/>
      <x:c r="F78" s="13"/>
    </x:row>
    <x:row r="79" spans="1:6">
      <x:c r="A79" s="13"/>
      <x:c r="B79" s="17"/>
      <x:c r="C79" s="18"/>
      <x:c r="D79" s="19"/>
      <x:c r="E79" s="19"/>
      <x:c r="F79" s="13"/>
    </x:row>
    <x:row r="80" spans="1:6">
      <x:c r="A80" s="13"/>
      <x:c r="B80" s="17"/>
      <x:c r="C80" s="18"/>
      <x:c r="D80" s="19"/>
      <x:c r="E80" s="19"/>
      <x:c r="F80" s="13"/>
    </x:row>
    <x:row r="81" spans="1:6">
      <x:c r="A81" s="13"/>
      <x:c r="B81" s="17"/>
      <x:c r="C81" s="18"/>
      <x:c r="D81" s="19"/>
      <x:c r="E81" s="19"/>
      <x:c r="F81" s="13"/>
    </x:row>
    <x:row r="82" spans="1:6">
      <x:c r="A82" s="13"/>
      <x:c r="B82" s="17"/>
      <x:c r="C82" s="18"/>
      <x:c r="D82" s="19"/>
      <x:c r="E82" s="19"/>
      <x:c r="F82" s="13"/>
    </x:row>
    <x:row r="83" spans="1:6">
      <x:c r="A83" s="13"/>
      <x:c r="B83" s="17"/>
      <x:c r="C83" s="18"/>
      <x:c r="D83" s="19"/>
      <x:c r="E83" s="19"/>
      <x:c r="F83" s="13"/>
    </x:row>
    <x:row r="84" spans="1:6">
      <x:c r="A84" s="13"/>
      <x:c r="B84" s="17"/>
      <x:c r="C84" s="18"/>
      <x:c r="D84" s="19"/>
      <x:c r="E84" s="19"/>
      <x:c r="F84" s="13"/>
    </x:row>
    <x:row r="85" spans="1:6">
      <x:c r="A85" s="13"/>
      <x:c r="B85" s="17"/>
      <x:c r="C85" s="18"/>
      <x:c r="D85" s="19"/>
      <x:c r="E85" s="19"/>
      <x:c r="F85" s="13"/>
    </x:row>
    <x:row r="86" spans="1:6">
      <x:c r="A86" s="13"/>
      <x:c r="B86" s="17"/>
      <x:c r="C86" s="18"/>
      <x:c r="D86" s="19"/>
      <x:c r="E86" s="19"/>
      <x:c r="F86" s="13"/>
    </x:row>
    <x:row r="87" spans="1:6">
      <x:c r="A87" s="13"/>
      <x:c r="B87" s="17"/>
      <x:c r="C87" s="18"/>
      <x:c r="D87" s="19"/>
      <x:c r="E87" s="19"/>
      <x:c r="F87" s="13"/>
    </x:row>
    <x:row r="88" spans="1:6">
      <x:c r="A88" s="13"/>
      <x:c r="B88" s="17"/>
      <x:c r="C88" s="18"/>
      <x:c r="D88" s="19"/>
      <x:c r="E88" s="19"/>
      <x:c r="F88" s="13"/>
    </x:row>
    <x:row r="89" spans="1:6">
      <x:c r="A89" s="13"/>
      <x:c r="B89" s="17"/>
      <x:c r="C89" s="18"/>
      <x:c r="D89" s="19"/>
      <x:c r="E89" s="19"/>
      <x:c r="F89" s="13"/>
    </x:row>
    <x:row r="90" spans="1:6">
      <x:c r="A90" s="13"/>
      <x:c r="B90" s="17"/>
      <x:c r="C90" s="18"/>
      <x:c r="D90" s="19"/>
      <x:c r="E90" s="19"/>
      <x:c r="F90" s="13"/>
    </x:row>
    <x:row r="91" spans="1:6">
      <x:c r="A91" s="13"/>
      <x:c r="B91" s="17"/>
      <x:c r="C91" s="18"/>
      <x:c r="D91" s="19"/>
      <x:c r="E91" s="19"/>
      <x:c r="F91" s="13"/>
    </x:row>
    <x:row r="92" spans="1:6">
      <x:c r="A92" s="13"/>
      <x:c r="B92" s="17"/>
      <x:c r="C92" s="18"/>
      <x:c r="D92" s="19"/>
      <x:c r="E92" s="19"/>
      <x:c r="F92" s="13"/>
    </x:row>
    <x:row r="93" spans="1:6">
      <x:c r="A93" s="13"/>
      <x:c r="B93" s="17"/>
      <x:c r="C93" s="18"/>
      <x:c r="D93" s="19"/>
      <x:c r="E93" s="19"/>
      <x:c r="F93" s="13"/>
    </x:row>
    <x:row r="94" spans="1:6">
      <x:c r="A94" s="13"/>
      <x:c r="B94" s="17"/>
      <x:c r="C94" s="18"/>
      <x:c r="D94" s="19"/>
      <x:c r="E94" s="19"/>
      <x:c r="F94" s="13"/>
    </x:row>
    <x:row r="95" spans="1:6">
      <x:c r="A95" s="13"/>
      <x:c r="B95" s="17"/>
      <x:c r="C95" s="18"/>
      <x:c r="D95" s="19"/>
      <x:c r="E95" s="19"/>
      <x:c r="F95" s="13"/>
    </x:row>
    <x:row r="96" spans="1:6">
      <x:c r="A96" s="13"/>
      <x:c r="B96" s="17"/>
      <x:c r="C96" s="18"/>
      <x:c r="D96" s="19"/>
      <x:c r="E96" s="19"/>
      <x:c r="F96" s="13"/>
    </x:row>
    <x:row r="97" spans="1:6">
      <x:c r="A97" s="13"/>
      <x:c r="B97" s="17"/>
      <x:c r="C97" s="18"/>
      <x:c r="D97" s="19"/>
      <x:c r="E97" s="19"/>
      <x:c r="F97" s="13"/>
    </x:row>
    <x:row r="98" spans="1:6">
      <x:c r="A98" s="13"/>
      <x:c r="B98" s="17"/>
      <x:c r="C98" s="18"/>
      <x:c r="D98" s="19"/>
      <x:c r="E98" s="19"/>
      <x:c r="F98" s="13"/>
    </x:row>
    <x:row r="99" spans="1:6">
      <x:c r="A99" s="13"/>
      <x:c r="B99" s="17"/>
      <x:c r="C99" s="18"/>
      <x:c r="D99" s="19"/>
      <x:c r="E99" s="19"/>
      <x:c r="F99" s="13"/>
    </x:row>
    <x:row r="100" spans="1:6">
      <x:c r="A100" s="13"/>
      <x:c r="B100" s="17"/>
      <x:c r="C100" s="18"/>
      <x:c r="D100" s="19"/>
      <x:c r="E100" s="19"/>
      <x:c r="F100" s="13"/>
    </x:row>
    <x:row r="101" spans="1:6">
      <x:c r="A101" s="13"/>
      <x:c r="B101" s="17"/>
      <x:c r="C101" s="18"/>
      <x:c r="D101" s="19"/>
      <x:c r="E101" s="19"/>
      <x:c r="F101" s="13"/>
    </x:row>
    <x:row r="102" spans="1:6">
      <x:c r="A102" s="13"/>
      <x:c r="B102" s="17"/>
      <x:c r="C102" s="18"/>
      <x:c r="D102" s="19"/>
      <x:c r="E102" s="19"/>
      <x:c r="F102" s="13"/>
    </x:row>
    <x:row r="103" spans="1:6">
      <x:c r="A103" s="13"/>
      <x:c r="B103" s="17"/>
      <x:c r="C103" s="18"/>
      <x:c r="D103" s="19"/>
      <x:c r="E103" s="19"/>
      <x:c r="F103" s="13"/>
    </x:row>
    <x:row r="104" spans="1:6">
      <x:c r="A104" s="13"/>
      <x:c r="B104" s="17"/>
      <x:c r="C104" s="18"/>
      <x:c r="D104" s="19"/>
      <x:c r="E104" s="19"/>
      <x:c r="F104" s="13"/>
    </x:row>
    <x:row r="105" spans="1:6">
      <x:c r="A105" s="13"/>
      <x:c r="B105" s="17"/>
      <x:c r="C105" s="18"/>
      <x:c r="D105" s="19"/>
      <x:c r="E105" s="19"/>
      <x:c r="F105" s="13"/>
    </x:row>
    <x:row r="106" spans="1:6">
      <x:c r="A106" s="13"/>
      <x:c r="B106" s="17"/>
      <x:c r="C106" s="18"/>
      <x:c r="D106" s="19"/>
      <x:c r="E106" s="19"/>
      <x:c r="F106" s="13"/>
    </x:row>
    <x:row r="107" spans="1:6">
      <x:c r="A107" s="13"/>
      <x:c r="B107" s="17"/>
      <x:c r="C107" s="18"/>
      <x:c r="D107" s="19"/>
      <x:c r="E107" s="19"/>
      <x:c r="F107" s="13"/>
    </x:row>
    <x:row r="108" spans="1:6">
      <x:c r="A108" s="13"/>
      <x:c r="B108" s="17"/>
      <x:c r="C108" s="18"/>
      <x:c r="D108" s="19"/>
      <x:c r="E108" s="19"/>
      <x:c r="F108" s="13"/>
    </x:row>
    <x:row r="109" spans="1:6">
      <x:c r="A109" s="13"/>
      <x:c r="B109" s="17"/>
      <x:c r="C109" s="18"/>
      <x:c r="D109" s="19"/>
      <x:c r="E109" s="19"/>
      <x:c r="F109" s="13"/>
    </x:row>
    <x:row r="110" spans="1:6">
      <x:c r="A110" s="13"/>
      <x:c r="B110" s="17"/>
      <x:c r="C110" s="18"/>
      <x:c r="D110" s="19"/>
      <x:c r="E110" s="19"/>
      <x:c r="F110" s="13"/>
    </x:row>
    <x:row r="111" spans="1:6">
      <x:c r="A111" s="13"/>
      <x:c r="B111" s="17"/>
      <x:c r="C111" s="18"/>
      <x:c r="D111" s="19"/>
      <x:c r="E111" s="19"/>
      <x:c r="F111" s="13"/>
    </x:row>
    <x:row r="112" spans="1:6">
      <x:c r="A112" s="13"/>
      <x:c r="B112" s="17"/>
      <x:c r="C112" s="18"/>
      <x:c r="D112" s="19"/>
      <x:c r="E112" s="19"/>
      <x:c r="F112" s="13"/>
    </x:row>
    <x:row r="113" spans="1:6">
      <x:c r="A113" s="13"/>
      <x:c r="B113" s="17"/>
      <x:c r="C113" s="18"/>
      <x:c r="D113" s="19"/>
      <x:c r="E113" s="19"/>
      <x:c r="F113" s="13"/>
    </x:row>
    <x:row r="114" spans="1:6">
      <x:c r="A114" s="13"/>
      <x:c r="B114" s="17"/>
      <x:c r="C114" s="18"/>
      <x:c r="D114" s="19"/>
      <x:c r="E114" s="19"/>
      <x:c r="F114" s="13"/>
    </x:row>
    <x:row r="115" spans="1:6">
      <x:c r="A115" s="13"/>
      <x:c r="B115" s="17"/>
      <x:c r="C115" s="18"/>
      <x:c r="D115" s="19"/>
      <x:c r="E115" s="19"/>
      <x:c r="F115" s="13"/>
    </x:row>
    <x:row r="116" spans="1:6">
      <x:c r="A116" s="13"/>
      <x:c r="B116" s="17"/>
      <x:c r="C116" s="18"/>
      <x:c r="D116" s="19"/>
      <x:c r="E116" s="19"/>
      <x:c r="F116" s="13"/>
    </x:row>
    <x:row r="117" spans="1:6">
      <x:c r="A117" s="13"/>
      <x:c r="B117" s="17"/>
      <x:c r="C117" s="18"/>
      <x:c r="D117" s="19"/>
      <x:c r="E117" s="19"/>
      <x:c r="F117" s="13"/>
    </x:row>
    <x:row r="118" spans="1:6">
      <x:c r="A118" s="13"/>
      <x:c r="B118" s="17"/>
      <x:c r="C118" s="18"/>
      <x:c r="D118" s="19"/>
      <x:c r="E118" s="19"/>
      <x:c r="F118" s="13"/>
    </x:row>
    <x:row r="119" spans="1:6">
      <x:c r="A119" s="13"/>
      <x:c r="B119" s="17"/>
      <x:c r="C119" s="18"/>
      <x:c r="D119" s="19"/>
      <x:c r="E119" s="19"/>
      <x:c r="F119" s="13"/>
    </x:row>
    <x:row r="120" spans="1:6">
      <x:c r="A120" s="13"/>
      <x:c r="B120" s="17"/>
      <x:c r="C120" s="18"/>
      <x:c r="D120" s="19"/>
      <x:c r="E120" s="19"/>
      <x:c r="F120" s="13"/>
    </x:row>
    <x:row r="121" spans="1:6">
      <x:c r="A121" s="13"/>
      <x:c r="B121" s="17"/>
      <x:c r="C121" s="18"/>
      <x:c r="D121" s="19"/>
      <x:c r="E121" s="19"/>
      <x:c r="F121" s="13"/>
    </x:row>
    <x:row r="122" spans="1:6">
      <x:c r="A122" s="13"/>
      <x:c r="B122" s="17"/>
      <x:c r="C122" s="18"/>
      <x:c r="D122" s="19"/>
      <x:c r="E122" s="19"/>
      <x:c r="F122" s="13"/>
    </x:row>
    <x:row r="123" spans="1:6">
      <x:c r="A123" s="13"/>
      <x:c r="B123" s="17"/>
      <x:c r="C123" s="18"/>
      <x:c r="D123" s="19"/>
      <x:c r="E123" s="19"/>
      <x:c r="F123" s="13"/>
    </x:row>
    <x:row r="124" spans="1:6">
      <x:c r="A124" s="13"/>
      <x:c r="B124" s="17"/>
      <x:c r="C124" s="18"/>
      <x:c r="D124" s="19"/>
      <x:c r="E124" s="19"/>
      <x:c r="F124" s="13"/>
    </x:row>
    <x:row r="125" spans="1:6">
      <x:c r="A125" s="13"/>
      <x:c r="B125" s="17"/>
      <x:c r="C125" s="18"/>
      <x:c r="D125" s="19"/>
      <x:c r="E125" s="19"/>
      <x:c r="F125" s="13"/>
    </x:row>
    <x:row r="126" spans="1:6">
      <x:c r="A126" s="13"/>
      <x:c r="B126" s="17"/>
      <x:c r="C126" s="18"/>
      <x:c r="D126" s="19"/>
      <x:c r="E126" s="19"/>
      <x:c r="F126" s="13"/>
    </x:row>
    <x:row r="127" spans="1:6">
      <x:c r="A127" s="13"/>
      <x:c r="B127" s="17"/>
      <x:c r="C127" s="18"/>
      <x:c r="D127" s="19"/>
      <x:c r="E127" s="19"/>
      <x:c r="F127" s="13"/>
    </x:row>
    <x:row r="128" spans="1:6">
      <x:c r="A128" s="13"/>
      <x:c r="B128" s="17"/>
      <x:c r="C128" s="18"/>
      <x:c r="D128" s="19"/>
      <x:c r="E128" s="19"/>
      <x:c r="F128" s="13"/>
    </x:row>
    <x:row r="129" spans="1:6">
      <x:c r="A129" s="13"/>
      <x:c r="B129" s="17"/>
      <x:c r="C129" s="18"/>
      <x:c r="D129" s="19"/>
      <x:c r="E129" s="19"/>
      <x:c r="F129" s="13"/>
    </x:row>
    <x:row r="130" spans="1:6">
      <x:c r="A130" s="13"/>
      <x:c r="B130" s="17"/>
      <x:c r="C130" s="18"/>
      <x:c r="D130" s="19"/>
      <x:c r="E130" s="19"/>
      <x:c r="F130" s="13"/>
    </x:row>
    <x:row r="131" spans="1:6">
      <x:c r="A131" s="13"/>
      <x:c r="B131" s="17"/>
      <x:c r="C131" s="18"/>
      <x:c r="D131" s="19"/>
      <x:c r="E131" s="19"/>
      <x:c r="F131" s="13"/>
    </x:row>
    <x:row r="132" spans="1:6">
      <x:c r="A132" s="13"/>
      <x:c r="B132" s="17"/>
      <x:c r="C132" s="18"/>
      <x:c r="D132" s="19"/>
      <x:c r="E132" s="19"/>
      <x:c r="F132" s="13"/>
    </x:row>
    <x:row r="133" spans="1:6">
      <x:c r="A133" s="13"/>
      <x:c r="B133" s="17"/>
      <x:c r="C133" s="18"/>
      <x:c r="D133" s="19"/>
      <x:c r="E133" s="19"/>
      <x:c r="F133" s="13"/>
    </x:row>
    <x:row r="134" spans="1:6">
      <x:c r="A134" s="13"/>
      <x:c r="B134" s="17"/>
      <x:c r="C134" s="18"/>
      <x:c r="D134" s="19"/>
      <x:c r="E134" s="19"/>
      <x:c r="F134" s="13"/>
    </x:row>
    <x:row r="135" spans="1:6">
      <x:c r="A135" s="13"/>
      <x:c r="B135" s="17"/>
      <x:c r="C135" s="18"/>
      <x:c r="D135" s="19"/>
      <x:c r="E135" s="19"/>
      <x:c r="F135" s="13"/>
    </x:row>
    <x:row r="136" spans="1:6">
      <x:c r="A136" s="13"/>
      <x:c r="B136" s="17"/>
      <x:c r="C136" s="18"/>
      <x:c r="D136" s="19"/>
      <x:c r="E136" s="19"/>
      <x:c r="F136" s="13"/>
    </x:row>
    <x:row r="137" spans="1:6">
      <x:c r="A137" s="13"/>
      <x:c r="B137" s="17"/>
      <x:c r="C137" s="18"/>
      <x:c r="D137" s="19"/>
      <x:c r="E137" s="19"/>
      <x:c r="F137" s="13"/>
    </x:row>
    <x:row r="138" spans="1:6">
      <x:c r="A138" s="13"/>
      <x:c r="B138" s="17"/>
      <x:c r="C138" s="18"/>
      <x:c r="D138" s="19"/>
      <x:c r="E138" s="19"/>
      <x:c r="F138" s="13"/>
    </x:row>
    <x:row r="139" spans="1:6"/>
    <x:row r="140" spans="1:6"/>
    <x:row r="141" spans="1:6"/>
    <x:row r="142" spans="1:6"/>
    <x:row r="1000">
      <x:c r="XX1000" s="84" t="n">
        <x:v>125713</x:v>
      </x:c>
    </x:row>
  </x:sheetData>
  <x:mergeCells count="2">
    <x:mergeCell ref="C7:C8"/>
    <x:mergeCell ref="D7:D8"/>
  </x:mergeCells>
  <x:pageMargins left="0.7" right="0.7" top="0.75" bottom="0.75" header="0.3" footer="0.3"/>
  <x:drawing r:id="rId1"/>
</x: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34687-DFFB-41D0-B4E2-8B517011F5D4}">
  <sheetPr codeName="Sheet8"/>
  <dimension ref="A1:AO1483"/>
  <sheetViews>
    <sheetView topLeftCell="A11" workbookViewId="0">
      <selection activeCell="Y2" sqref="Y2:Y18"/>
    </sheetView>
  </sheetViews>
  <sheetFormatPr defaultColWidth="8.81640625" defaultRowHeight="14.75"/>
  <cols>
    <col min="1" max="1" width="8.81640625" style="3"/>
    <col min="2" max="2" width="15.90625" style="3" bestFit="1" customWidth="1"/>
    <col min="3" max="3" width="3.90625" style="3" customWidth="1"/>
    <col min="4" max="4" width="23.54296875" style="3" bestFit="1" customWidth="1"/>
    <col min="5" max="5" width="3.90625" style="3" customWidth="1"/>
    <col min="6" max="6" width="15.453125" style="3" customWidth="1"/>
    <col min="7" max="7" width="21.81640625" style="3" bestFit="1" customWidth="1"/>
    <col min="8" max="8" width="3.90625" style="3" customWidth="1"/>
    <col min="9" max="9" width="17.90625" style="3" bestFit="1" customWidth="1"/>
    <col min="10" max="12" width="15.453125" style="3" customWidth="1"/>
    <col min="13" max="13" width="3.90625" style="3" customWidth="1"/>
    <col min="14" max="15" width="15.453125" style="3" customWidth="1"/>
    <col min="16" max="16" width="3.90625" style="3" customWidth="1"/>
    <col min="17" max="18" width="15.453125" style="3" customWidth="1"/>
    <col min="19" max="19" width="16.90625" style="3" bestFit="1" customWidth="1"/>
    <col min="20" max="20" width="16.90625" style="3" customWidth="1"/>
    <col min="21" max="21" width="3.90625" style="3" customWidth="1"/>
    <col min="22" max="22" width="14.08984375" style="3" bestFit="1" customWidth="1"/>
    <col min="23" max="23" width="13" style="3" customWidth="1"/>
    <col min="24" max="24" width="3.90625" style="3" customWidth="1"/>
    <col min="25" max="28" width="15.1796875" style="3" customWidth="1"/>
    <col min="29" max="29" width="3.90625" style="3" customWidth="1"/>
    <col min="30" max="30" width="9.08984375" style="3" bestFit="1" customWidth="1"/>
    <col min="31" max="31" width="8.453125" style="3" bestFit="1" customWidth="1"/>
    <col min="32" max="32" width="17.453125" style="3" bestFit="1" customWidth="1"/>
    <col min="33" max="33" width="23.1796875" style="3" bestFit="1" customWidth="1"/>
    <col min="34" max="34" width="9.1796875" style="3" bestFit="1" customWidth="1"/>
    <col min="35" max="35" width="3.90625" style="3" customWidth="1"/>
    <col min="36" max="36" width="8.81640625" style="3" customWidth="1"/>
    <col min="37" max="16384" width="8.81640625" style="3"/>
  </cols>
  <sheetData>
    <row r="1" spans="1:41">
      <c r="A1" s="4"/>
      <c r="B1" s="4"/>
      <c r="D1" s="4" t="s">
        <v>13</v>
      </c>
      <c r="F1" s="4" t="s">
        <v>1</v>
      </c>
      <c r="G1" s="4" t="s">
        <v>2</v>
      </c>
      <c r="I1" s="4" t="s">
        <v>6</v>
      </c>
      <c r="J1" s="4" t="s">
        <v>7</v>
      </c>
      <c r="K1" s="4" t="s">
        <v>8</v>
      </c>
      <c r="L1" s="4" t="s">
        <v>9</v>
      </c>
      <c r="N1" s="4" t="s">
        <v>6</v>
      </c>
      <c r="O1" s="4" t="s">
        <v>11</v>
      </c>
      <c r="P1"/>
      <c r="Q1" s="27" t="s">
        <v>0</v>
      </c>
      <c r="R1" s="30" t="s">
        <v>36</v>
      </c>
      <c r="S1" s="30" t="s">
        <v>37</v>
      </c>
      <c r="T1" s="24" t="s">
        <v>39</v>
      </c>
      <c r="V1" t="s">
        <v>69</v>
      </c>
      <c r="W1" t="s">
        <v>70</v>
      </c>
      <c r="X1"/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/>
      <c r="AE1"/>
      <c r="AF1"/>
      <c r="AG1" s="22"/>
      <c r="AH1" s="22"/>
      <c r="AI1" s="22"/>
      <c r="AJ1" s="21"/>
    </row>
    <row r="2" spans="1:41">
      <c r="B2" s="5"/>
      <c r="D2" s="3" t="s">
        <v>21</v>
      </c>
      <c r="F2" s="6"/>
      <c r="G2" s="6"/>
      <c r="I2" s="6" t="s">
        <v>61</v>
      </c>
      <c r="J2" s="6" t="s">
        <v>116</v>
      </c>
      <c r="K2" s="6"/>
      <c r="L2" s="6" t="s">
        <v>117</v>
      </c>
      <c r="N2" s="3" t="s">
        <v>18</v>
      </c>
      <c r="O2" s="3" t="s">
        <v>19</v>
      </c>
      <c r="P2">
        <v>1</v>
      </c>
      <c r="Q2" s="28" t="s">
        <v>26</v>
      </c>
      <c r="R2" s="28" t="b">
        <v>0</v>
      </c>
      <c r="S2" s="31">
        <v>0</v>
      </c>
      <c r="T2" s="31">
        <f>pCountNew+COUNTIF(R2:R18,"&lt;&gt;TRUE")</f>
        <v>17</v>
      </c>
      <c r="V2" cm="1">
        <f t="array" ref="V2:V18">_xlfn.SEQUENCE(17)</f>
        <v>1</v>
      </c>
      <c r="W2">
        <f>IF(AA2=AB2,1,0)</f>
        <v>0</v>
      </c>
      <c r="X2"/>
      <c r="Y2">
        <v>1</v>
      </c>
      <c r="Z2">
        <f>W2*Y2</f>
        <v>0</v>
      </c>
      <c r="AA2">
        <v>12</v>
      </c>
      <c r="AB2" t="str">
        <f>'Keyboarding Challenge'!K11</f>
        <v>-------</v>
      </c>
      <c r="AC2" t="s">
        <v>76</v>
      </c>
      <c r="AD2" t="s">
        <v>77</v>
      </c>
      <c r="AE2" cm="1">
        <f t="array" aca="1" ref="AE2" ca="1">COLUMN(INDIRECT(AC2&amp;"1"))</f>
        <v>12</v>
      </c>
      <c r="AF2" cm="1">
        <f t="array" aca="1" ref="AF2" ca="1">COLUMN(INDIRECT(AD2&amp;"1"))</f>
        <v>21</v>
      </c>
      <c r="AG2" s="21"/>
      <c r="AH2" s="22"/>
      <c r="AI2" s="22"/>
      <c r="AJ2" s="35"/>
    </row>
    <row r="3" spans="1:41">
      <c r="B3" s="5"/>
      <c r="I3" s="6"/>
      <c r="J3" s="6"/>
      <c r="K3" s="6"/>
      <c r="L3" s="6"/>
      <c r="N3" s="3" t="s">
        <v>22</v>
      </c>
      <c r="O3" s="3" t="s">
        <v>24</v>
      </c>
      <c r="P3">
        <v>2</v>
      </c>
      <c r="Q3" s="28" t="s">
        <v>27</v>
      </c>
      <c r="R3" s="28" t="b">
        <v>0</v>
      </c>
      <c r="S3" s="25"/>
      <c r="T3" s="25"/>
      <c r="V3">
        <v>2</v>
      </c>
      <c r="W3">
        <f t="shared" ref="W3:W18" si="0">IF(AA3=AB3,1,0)</f>
        <v>0</v>
      </c>
      <c r="X3"/>
      <c r="Y3">
        <v>1</v>
      </c>
      <c r="Z3">
        <f t="shared" ref="Z3:Z18" si="1">W3*Y3</f>
        <v>0</v>
      </c>
      <c r="AA3">
        <v>5</v>
      </c>
      <c r="AB3">
        <f>'Keyboarding Challenge'!U11</f>
        <v>0</v>
      </c>
      <c r="AC3" t="s">
        <v>78</v>
      </c>
      <c r="AD3" t="s">
        <v>79</v>
      </c>
      <c r="AE3" cm="1">
        <f t="array" aca="1" ref="AE3" ca="1">COLUMN(INDIRECT(AC3&amp;"1"))</f>
        <v>22</v>
      </c>
      <c r="AF3" cm="1">
        <f t="array" aca="1" ref="AF3" ca="1">COLUMN(INDIRECT(AD3&amp;"1"))</f>
        <v>28</v>
      </c>
      <c r="AG3" s="20"/>
      <c r="AH3" s="22"/>
      <c r="AI3" s="22"/>
      <c r="AJ3" s="22"/>
    </row>
    <row r="4" spans="1:41">
      <c r="B4" s="5"/>
      <c r="C4" s="8"/>
      <c r="D4" s="4" t="s">
        <v>3</v>
      </c>
      <c r="F4" s="4" t="s">
        <v>5</v>
      </c>
      <c r="G4" s="4" t="s">
        <v>4</v>
      </c>
      <c r="I4" s="6"/>
      <c r="J4" s="6"/>
      <c r="K4" s="6"/>
      <c r="L4" s="6"/>
      <c r="O4" s="6"/>
      <c r="P4">
        <v>3</v>
      </c>
      <c r="Q4" s="28" t="s">
        <v>28</v>
      </c>
      <c r="R4" s="28" t="b">
        <v>0</v>
      </c>
      <c r="S4" s="25"/>
      <c r="T4" s="25"/>
      <c r="U4" s="8"/>
      <c r="V4">
        <v>3</v>
      </c>
      <c r="W4">
        <f t="shared" si="0"/>
        <v>0</v>
      </c>
      <c r="X4"/>
      <c r="Y4">
        <v>1</v>
      </c>
      <c r="Z4">
        <f t="shared" si="1"/>
        <v>0</v>
      </c>
      <c r="AA4">
        <v>7</v>
      </c>
      <c r="AB4">
        <f>SUM('Keyboarding Challenge'!V7:AB7)</f>
        <v>0</v>
      </c>
      <c r="AC4" t="s">
        <v>80</v>
      </c>
      <c r="AD4" t="s">
        <v>80</v>
      </c>
      <c r="AE4" cm="1">
        <f t="array" aca="1" ref="AE4" ca="1">COLUMN(INDIRECT(AC4&amp;"1"))</f>
        <v>29</v>
      </c>
      <c r="AF4" cm="1">
        <f t="array" aca="1" ref="AF4" ca="1">COLUMN(INDIRECT(AD4&amp;"1"))</f>
        <v>29</v>
      </c>
      <c r="AG4" s="20"/>
      <c r="AH4" s="22"/>
      <c r="AI4" s="36"/>
      <c r="AJ4" s="22"/>
    </row>
    <row r="5" spans="1:41">
      <c r="B5" s="5"/>
      <c r="D5" s="3" t="s">
        <v>137</v>
      </c>
      <c r="F5" s="3" t="b">
        <v>0</v>
      </c>
      <c r="G5" s="3">
        <f>ROUND((endTime-startTime)*3600*24,0)</f>
        <v>0</v>
      </c>
      <c r="I5" s="6"/>
      <c r="J5" s="6"/>
      <c r="K5" s="6"/>
      <c r="L5" s="6"/>
      <c r="P5">
        <v>4</v>
      </c>
      <c r="Q5" s="28" t="s">
        <v>29</v>
      </c>
      <c r="R5" s="28" t="b">
        <v>0</v>
      </c>
      <c r="S5" s="25"/>
      <c r="T5" s="25"/>
      <c r="V5">
        <v>4</v>
      </c>
      <c r="W5">
        <f t="shared" si="0"/>
        <v>0</v>
      </c>
      <c r="X5"/>
      <c r="Y5">
        <v>1</v>
      </c>
      <c r="Z5">
        <f t="shared" si="1"/>
        <v>0</v>
      </c>
      <c r="AA5">
        <v>7</v>
      </c>
      <c r="AB5" t="str">
        <f>'Keyboarding Challenge'!AC7</f>
        <v>-------</v>
      </c>
      <c r="AC5" t="s">
        <v>81</v>
      </c>
      <c r="AD5" t="s">
        <v>82</v>
      </c>
      <c r="AE5" cm="1">
        <f t="array" aca="1" ref="AE5" ca="1">COLUMN(INDIRECT(AC5&amp;"1"))</f>
        <v>30</v>
      </c>
      <c r="AF5" cm="1">
        <f t="array" aca="1" ref="AF5" ca="1">COLUMN(INDIRECT(AD5&amp;"1"))</f>
        <v>36</v>
      </c>
      <c r="AG5" s="20"/>
      <c r="AH5" s="22"/>
      <c r="AI5" s="22"/>
      <c r="AJ5" s="22"/>
    </row>
    <row r="6" spans="1:41">
      <c r="B6" s="5"/>
      <c r="J6" s="6"/>
      <c r="K6" s="6"/>
      <c r="L6" s="6"/>
      <c r="N6" s="6"/>
      <c r="O6" s="6"/>
      <c r="P6">
        <v>5</v>
      </c>
      <c r="Q6" s="28" t="s">
        <v>30</v>
      </c>
      <c r="R6" s="28" t="b">
        <v>0</v>
      </c>
      <c r="S6" s="25"/>
      <c r="T6" s="25"/>
      <c r="V6">
        <v>5</v>
      </c>
      <c r="W6">
        <f t="shared" si="0"/>
        <v>0</v>
      </c>
      <c r="X6"/>
      <c r="Y6">
        <v>1</v>
      </c>
      <c r="Z6">
        <f t="shared" si="1"/>
        <v>0</v>
      </c>
      <c r="AA6">
        <v>371</v>
      </c>
      <c r="AB6" t="str">
        <f>'Keyboarding Challenge'!AJ20</f>
        <v>-------</v>
      </c>
      <c r="AC6" t="s">
        <v>83</v>
      </c>
      <c r="AD6" t="s">
        <v>84</v>
      </c>
      <c r="AE6" cm="1">
        <f t="array" aca="1" ref="AE6" ca="1">COLUMN(INDIRECT(AC6&amp;"1"))</f>
        <v>37</v>
      </c>
      <c r="AF6" cm="1">
        <f t="array" aca="1" ref="AF6" ca="1">COLUMN(INDIRECT(AD6&amp;"1"))</f>
        <v>47</v>
      </c>
      <c r="AG6" s="20"/>
      <c r="AH6" s="22"/>
      <c r="AI6" s="22"/>
      <c r="AJ6" s="22"/>
    </row>
    <row r="7" spans="1:41">
      <c r="B7" s="5"/>
      <c r="D7" s="4"/>
      <c r="F7" s="4" t="s">
        <v>17</v>
      </c>
      <c r="G7" s="4" t="s">
        <v>23</v>
      </c>
      <c r="J7" s="6"/>
      <c r="K7" s="6"/>
      <c r="L7" s="6"/>
      <c r="N7" s="6"/>
      <c r="P7">
        <v>6</v>
      </c>
      <c r="Q7" s="28" t="s">
        <v>31</v>
      </c>
      <c r="R7" s="28" t="b">
        <v>0</v>
      </c>
      <c r="S7" s="25"/>
      <c r="T7" s="25"/>
      <c r="V7">
        <v>6</v>
      </c>
      <c r="W7">
        <f t="shared" si="0"/>
        <v>0</v>
      </c>
      <c r="X7"/>
      <c r="Y7">
        <v>1</v>
      </c>
      <c r="Z7">
        <f t="shared" si="1"/>
        <v>0</v>
      </c>
      <c r="AA7">
        <v>236</v>
      </c>
      <c r="AB7">
        <f>SUM('Keyboarding Challenge'!AQ10:AU15)</f>
        <v>218</v>
      </c>
      <c r="AC7" t="s">
        <v>85</v>
      </c>
      <c r="AD7" t="s">
        <v>86</v>
      </c>
      <c r="AE7" cm="1">
        <f t="array" aca="1" ref="AE7" ca="1">COLUMN(INDIRECT(AC7&amp;"1"))</f>
        <v>48</v>
      </c>
      <c r="AF7" cm="1">
        <f t="array" aca="1" ref="AF7" ca="1">COLUMN(INDIRECT(AD7&amp;"1"))</f>
        <v>53</v>
      </c>
      <c r="AG7" s="20"/>
      <c r="AH7" s="22"/>
      <c r="AI7" s="22"/>
      <c r="AJ7" s="22"/>
    </row>
    <row r="8" spans="1:41">
      <c r="B8" s="5"/>
      <c r="D8" s="38"/>
      <c r="F8" s="3" t="b">
        <f>IF(AND(ISERROR(MATCH(FALSE,R2:R18,0)),PRODUCT(W2:W18)=1),TRUE,FALSE)</f>
        <v>0</v>
      </c>
      <c r="G8" s="3" t="b">
        <v>0</v>
      </c>
      <c r="N8" s="6"/>
      <c r="O8" s="6"/>
      <c r="P8">
        <v>7</v>
      </c>
      <c r="Q8" s="28" t="s">
        <v>32</v>
      </c>
      <c r="R8" s="28" t="b">
        <v>0</v>
      </c>
      <c r="S8" s="26"/>
      <c r="T8" s="26"/>
      <c r="V8">
        <v>7</v>
      </c>
      <c r="W8">
        <f t="shared" si="0"/>
        <v>0</v>
      </c>
      <c r="X8"/>
      <c r="Y8">
        <v>1</v>
      </c>
      <c r="Z8">
        <f t="shared" si="1"/>
        <v>0</v>
      </c>
      <c r="AA8">
        <v>21</v>
      </c>
      <c r="AB8">
        <f>SUM('Keyboarding Challenge'!BA10:BA15)</f>
        <v>0</v>
      </c>
      <c r="AC8" t="s">
        <v>87</v>
      </c>
      <c r="AD8" t="s">
        <v>87</v>
      </c>
      <c r="AE8" cm="1">
        <f t="array" aca="1" ref="AE8" ca="1">COLUMN(INDIRECT(AC8&amp;"1"))</f>
        <v>54</v>
      </c>
      <c r="AF8" cm="1">
        <f t="array" aca="1" ref="AF8" ca="1">COLUMN(INDIRECT(AD8&amp;"1"))</f>
        <v>54</v>
      </c>
      <c r="AG8" s="20"/>
      <c r="AH8" s="22"/>
      <c r="AI8" s="22"/>
      <c r="AJ8" s="22"/>
    </row>
    <row r="9" spans="1:41">
      <c r="B9" s="5"/>
      <c r="N9" s="6"/>
      <c r="P9">
        <v>8</v>
      </c>
      <c r="Q9" s="28" t="s">
        <v>33</v>
      </c>
      <c r="R9" s="28" t="b">
        <v>0</v>
      </c>
      <c r="V9">
        <v>8</v>
      </c>
      <c r="W9">
        <f t="shared" si="0"/>
        <v>0</v>
      </c>
      <c r="X9"/>
      <c r="Y9">
        <v>1</v>
      </c>
      <c r="Z9">
        <f t="shared" si="1"/>
        <v>0</v>
      </c>
      <c r="AA9">
        <v>45</v>
      </c>
      <c r="AB9">
        <f>SUM('Keyboarding Challenge'!BB10:BB15)</f>
        <v>0</v>
      </c>
      <c r="AC9" t="s">
        <v>88</v>
      </c>
      <c r="AD9" t="s">
        <v>89</v>
      </c>
      <c r="AE9" cm="1">
        <f t="array" aca="1" ref="AE9" ca="1">COLUMN(INDIRECT(AC9&amp;"1"))</f>
        <v>55</v>
      </c>
      <c r="AF9" cm="1">
        <f t="array" aca="1" ref="AF9" ca="1">COLUMN(INDIRECT(AD9&amp;"1"))</f>
        <v>66</v>
      </c>
      <c r="AG9" s="20"/>
      <c r="AH9" s="22"/>
      <c r="AI9" s="22"/>
      <c r="AJ9" s="22"/>
    </row>
    <row r="10" spans="1:41">
      <c r="B10" s="5"/>
      <c r="D10" s="4"/>
      <c r="F10" s="4"/>
      <c r="G10" s="4"/>
      <c r="N10" s="6"/>
      <c r="O10" s="6"/>
      <c r="P10">
        <v>9</v>
      </c>
      <c r="Q10" s="28" t="s">
        <v>34</v>
      </c>
      <c r="R10" s="28" t="b">
        <v>0</v>
      </c>
      <c r="S10" s="25"/>
      <c r="T10" s="25"/>
      <c r="V10">
        <v>9</v>
      </c>
      <c r="W10">
        <f t="shared" si="0"/>
        <v>0</v>
      </c>
      <c r="X10"/>
      <c r="Y10">
        <v>1</v>
      </c>
      <c r="Z10">
        <f t="shared" si="1"/>
        <v>0</v>
      </c>
      <c r="AA10">
        <v>8080</v>
      </c>
      <c r="AB10">
        <f>SUM('Keyboarding Challenge'!BG20:BN20)</f>
        <v>0</v>
      </c>
      <c r="AC10" t="s">
        <v>90</v>
      </c>
      <c r="AD10" t="s">
        <v>91</v>
      </c>
      <c r="AE10" cm="1">
        <f t="array" aca="1" ref="AE10" ca="1">COLUMN(INDIRECT(AC10&amp;"1"))</f>
        <v>67</v>
      </c>
      <c r="AF10" cm="1">
        <f t="array" aca="1" ref="AF10" ca="1">COLUMN(INDIRECT(AD10&amp;"1"))</f>
        <v>69</v>
      </c>
      <c r="AG10" s="20"/>
      <c r="AH10" s="22"/>
      <c r="AI10" s="22"/>
      <c r="AJ10" s="22"/>
    </row>
    <row r="11" spans="1:41">
      <c r="B11" s="5"/>
      <c r="N11" s="6"/>
      <c r="P11">
        <v>10</v>
      </c>
      <c r="Q11" s="28" t="s">
        <v>35</v>
      </c>
      <c r="R11" s="28" t="b">
        <v>0</v>
      </c>
      <c r="V11">
        <v>10</v>
      </c>
      <c r="W11">
        <f t="shared" si="0"/>
        <v>0</v>
      </c>
      <c r="X11"/>
      <c r="Y11">
        <v>1</v>
      </c>
      <c r="Z11">
        <f t="shared" si="1"/>
        <v>0</v>
      </c>
      <c r="AA11">
        <v>1</v>
      </c>
      <c r="AB11">
        <v>0</v>
      </c>
      <c r="AC11" t="s">
        <v>92</v>
      </c>
      <c r="AD11" t="s">
        <v>93</v>
      </c>
      <c r="AE11" cm="1">
        <f t="array" aca="1" ref="AE11" ca="1">COLUMN(INDIRECT(AC11&amp;"1"))</f>
        <v>70</v>
      </c>
      <c r="AF11" cm="1">
        <f t="array" aca="1" ref="AF11" ca="1">COLUMN(INDIRECT(AD11&amp;"1"))</f>
        <v>71</v>
      </c>
      <c r="AG11" s="20"/>
      <c r="AH11" s="22"/>
      <c r="AI11" s="22"/>
      <c r="AJ11" s="22"/>
    </row>
    <row r="12" spans="1:41">
      <c r="B12" s="5"/>
      <c r="N12" s="6"/>
      <c r="O12" s="6"/>
      <c r="P12">
        <v>11</v>
      </c>
      <c r="Q12" s="29" t="s">
        <v>114</v>
      </c>
      <c r="R12" s="28" t="b">
        <v>0</v>
      </c>
      <c r="V12">
        <v>11</v>
      </c>
      <c r="W12">
        <f t="shared" si="0"/>
        <v>0</v>
      </c>
      <c r="X12"/>
      <c r="Y12">
        <v>1</v>
      </c>
      <c r="Z12">
        <f t="shared" si="1"/>
        <v>0</v>
      </c>
      <c r="AA12">
        <v>1</v>
      </c>
      <c r="AB12">
        <v>0</v>
      </c>
      <c r="AC12" t="s">
        <v>94</v>
      </c>
      <c r="AD12" t="s">
        <v>95</v>
      </c>
      <c r="AE12" cm="1">
        <f t="array" aca="1" ref="AE12" ca="1">COLUMN(INDIRECT(AC12&amp;"1"))</f>
        <v>72</v>
      </c>
      <c r="AF12" cm="1">
        <f t="array" aca="1" ref="AF12" ca="1">COLUMN(INDIRECT(AD12&amp;"1"))</f>
        <v>73</v>
      </c>
      <c r="AG12" s="20"/>
      <c r="AH12" s="22"/>
      <c r="AI12" s="22"/>
      <c r="AJ12" s="22"/>
      <c r="AL12" s="2"/>
      <c r="AM12" s="2"/>
      <c r="AN12" s="2"/>
      <c r="AO12" s="2"/>
    </row>
    <row r="13" spans="1:41">
      <c r="B13" s="5"/>
      <c r="D13" s="4" t="s">
        <v>10</v>
      </c>
      <c r="F13" s="4"/>
      <c r="N13" s="6"/>
      <c r="P13">
        <v>12</v>
      </c>
      <c r="Q13" s="29" t="s">
        <v>115</v>
      </c>
      <c r="R13" s="28" t="b">
        <v>0</v>
      </c>
      <c r="V13">
        <v>12</v>
      </c>
      <c r="W13">
        <f t="shared" si="0"/>
        <v>0</v>
      </c>
      <c r="X13"/>
      <c r="Y13">
        <v>1</v>
      </c>
      <c r="Z13">
        <f t="shared" si="1"/>
        <v>0</v>
      </c>
      <c r="AA13">
        <v>1</v>
      </c>
      <c r="AB13">
        <v>0</v>
      </c>
      <c r="AC13" t="s">
        <v>96</v>
      </c>
      <c r="AD13" t="s">
        <v>97</v>
      </c>
      <c r="AE13" cm="1">
        <f t="array" aca="1" ref="AE13" ca="1">COLUMN(INDIRECT(AC13&amp;"1"))</f>
        <v>75</v>
      </c>
      <c r="AF13" cm="1">
        <f t="array" aca="1" ref="AF13" ca="1">COLUMN(INDIRECT(AD13&amp;"1"))</f>
        <v>76</v>
      </c>
      <c r="AG13" s="20"/>
      <c r="AH13" s="22"/>
      <c r="AI13" s="22"/>
      <c r="AJ13" s="22"/>
    </row>
    <row r="14" spans="1:41">
      <c r="B14" s="5"/>
      <c r="D14" s="3">
        <f>COUNTA(I2:I26)</f>
        <v>1</v>
      </c>
      <c r="P14">
        <v>13</v>
      </c>
      <c r="Q14" s="28" t="s">
        <v>109</v>
      </c>
      <c r="R14" s="28" t="b">
        <v>0</v>
      </c>
      <c r="V14">
        <v>13</v>
      </c>
      <c r="W14">
        <f t="shared" si="0"/>
        <v>0</v>
      </c>
      <c r="X14"/>
      <c r="Y14">
        <v>1</v>
      </c>
      <c r="Z14">
        <f t="shared" si="1"/>
        <v>0</v>
      </c>
      <c r="AA14">
        <v>1</v>
      </c>
      <c r="AB14">
        <v>0</v>
      </c>
      <c r="AC14" t="s">
        <v>98</v>
      </c>
      <c r="AD14" t="s">
        <v>99</v>
      </c>
      <c r="AE14" cm="1">
        <f t="array" aca="1" ref="AE14" ca="1">COLUMN(INDIRECT(AC14&amp;"1"))</f>
        <v>77</v>
      </c>
      <c r="AF14" cm="1">
        <f t="array" aca="1" ref="AF14" ca="1">COLUMN(INDIRECT(AD14&amp;"1"))</f>
        <v>78</v>
      </c>
      <c r="AG14" s="20"/>
      <c r="AH14" s="22"/>
      <c r="AI14" s="22"/>
      <c r="AJ14" s="22"/>
    </row>
    <row r="15" spans="1:41">
      <c r="B15" s="5"/>
      <c r="G15" s="4" t="s">
        <v>143</v>
      </c>
      <c r="P15">
        <v>14</v>
      </c>
      <c r="Q15" s="28" t="s">
        <v>110</v>
      </c>
      <c r="R15" s="28" t="b">
        <v>0</v>
      </c>
      <c r="V15">
        <v>14</v>
      </c>
      <c r="W15">
        <f t="shared" si="0"/>
        <v>0</v>
      </c>
      <c r="X15"/>
      <c r="Y15">
        <v>1</v>
      </c>
      <c r="Z15">
        <f t="shared" si="1"/>
        <v>0</v>
      </c>
      <c r="AA15">
        <v>1</v>
      </c>
      <c r="AB15">
        <v>0</v>
      </c>
      <c r="AC15" t="s">
        <v>100</v>
      </c>
      <c r="AD15" t="s">
        <v>101</v>
      </c>
      <c r="AE15" cm="1">
        <f t="array" aca="1" ref="AE15" ca="1">COLUMN(INDIRECT(AC15&amp;"1"))</f>
        <v>79</v>
      </c>
      <c r="AF15" cm="1">
        <f t="array" aca="1" ref="AF15" ca="1">COLUMN(INDIRECT(AD15&amp;"1"))</f>
        <v>80</v>
      </c>
      <c r="AG15" s="20"/>
      <c r="AH15" s="22"/>
      <c r="AI15" s="22"/>
      <c r="AJ15" s="22"/>
    </row>
    <row r="16" spans="1:41">
      <c r="B16" s="5"/>
      <c r="D16" s="4" t="s">
        <v>12</v>
      </c>
      <c r="G16" s="3">
        <f>SUM(W2:W18)</f>
        <v>0</v>
      </c>
      <c r="P16">
        <v>15</v>
      </c>
      <c r="Q16" s="29" t="s">
        <v>111</v>
      </c>
      <c r="R16" s="28" t="b">
        <v>0</v>
      </c>
      <c r="V16">
        <v>15</v>
      </c>
      <c r="W16">
        <f t="shared" si="0"/>
        <v>0</v>
      </c>
      <c r="X16"/>
      <c r="Y16">
        <v>1</v>
      </c>
      <c r="Z16">
        <f t="shared" si="1"/>
        <v>0</v>
      </c>
      <c r="AA16">
        <v>1</v>
      </c>
      <c r="AB16">
        <v>0</v>
      </c>
      <c r="AC16" t="s">
        <v>102</v>
      </c>
      <c r="AD16" t="s">
        <v>102</v>
      </c>
      <c r="AE16" cm="1">
        <f t="array" aca="1" ref="AE16" ca="1">COLUMN(INDIRECT(AC16&amp;"1"))</f>
        <v>81</v>
      </c>
      <c r="AF16" cm="1">
        <f t="array" aca="1" ref="AF16" ca="1">COLUMN(INDIRECT(AD16&amp;"1"))</f>
        <v>81</v>
      </c>
      <c r="AG16" s="20"/>
      <c r="AH16" s="22"/>
      <c r="AI16" s="22"/>
      <c r="AJ16" s="22"/>
    </row>
    <row r="17" spans="2:36">
      <c r="B17" s="5"/>
      <c r="D17" s="3">
        <f>COUNTA(N2:N100)</f>
        <v>2</v>
      </c>
      <c r="P17">
        <v>16</v>
      </c>
      <c r="Q17" s="29" t="s">
        <v>112</v>
      </c>
      <c r="R17" s="28" t="b">
        <v>0</v>
      </c>
      <c r="V17">
        <v>16</v>
      </c>
      <c r="W17">
        <f t="shared" si="0"/>
        <v>0</v>
      </c>
      <c r="X17"/>
      <c r="Y17">
        <v>1</v>
      </c>
      <c r="Z17">
        <f t="shared" si="1"/>
        <v>0</v>
      </c>
      <c r="AA17">
        <v>1</v>
      </c>
      <c r="AB17">
        <v>0</v>
      </c>
      <c r="AC17" t="s">
        <v>103</v>
      </c>
      <c r="AD17" t="s">
        <v>104</v>
      </c>
      <c r="AE17" cm="1">
        <f t="array" aca="1" ref="AE17" ca="1">COLUMN(INDIRECT(AC17&amp;"1"))</f>
        <v>82</v>
      </c>
      <c r="AF17" cm="1">
        <f t="array" aca="1" ref="AF17" ca="1">COLUMN(INDIRECT(AD17&amp;"1"))</f>
        <v>100</v>
      </c>
      <c r="AG17" s="20"/>
      <c r="AH17" s="22"/>
      <c r="AI17" s="22"/>
      <c r="AJ17" s="22"/>
    </row>
    <row r="18" spans="2:36">
      <c r="B18" s="5"/>
      <c r="P18">
        <v>17</v>
      </c>
      <c r="Q18" s="29" t="s">
        <v>113</v>
      </c>
      <c r="R18" s="28" t="b">
        <v>0</v>
      </c>
      <c r="V18">
        <v>17</v>
      </c>
      <c r="W18">
        <f t="shared" si="0"/>
        <v>0</v>
      </c>
      <c r="X18"/>
      <c r="Y18">
        <v>1</v>
      </c>
      <c r="Z18">
        <f t="shared" si="1"/>
        <v>0</v>
      </c>
      <c r="AA18">
        <v>1</v>
      </c>
      <c r="AB18">
        <v>0</v>
      </c>
      <c r="AC18" t="s">
        <v>105</v>
      </c>
      <c r="AD18" t="s">
        <v>106</v>
      </c>
      <c r="AE18" cm="1">
        <f t="array" aca="1" ref="AE18" ca="1">COLUMN(INDIRECT(AC18&amp;"1"))</f>
        <v>101</v>
      </c>
      <c r="AF18" cm="1">
        <f t="array" aca="1" ref="AF18" ca="1">COLUMN(INDIRECT(AD18&amp;"1"))</f>
        <v>104</v>
      </c>
      <c r="AG18" s="22"/>
      <c r="AH18" s="20"/>
      <c r="AI18" s="22"/>
      <c r="AJ18" s="22"/>
    </row>
    <row r="19" spans="2:36">
      <c r="B19" s="5"/>
      <c r="D19" s="4" t="s">
        <v>14</v>
      </c>
      <c r="P19"/>
      <c r="Q19" s="29"/>
      <c r="R19" s="28" t="b">
        <v>0</v>
      </c>
      <c r="AD19" s="22"/>
      <c r="AE19" s="23"/>
      <c r="AF19" s="20"/>
      <c r="AG19" s="20"/>
      <c r="AH19" s="22"/>
      <c r="AI19" s="22"/>
      <c r="AJ19" s="22"/>
    </row>
    <row r="20" spans="2:36">
      <c r="B20" s="5"/>
      <c r="D20" s="3">
        <f>COUNTA(AB2:AB100)</f>
        <v>17</v>
      </c>
      <c r="J20" s="2"/>
      <c r="P20"/>
      <c r="Q20" s="29"/>
      <c r="R20" s="28" t="b">
        <v>0</v>
      </c>
      <c r="AD20" s="21"/>
      <c r="AE20" s="23"/>
      <c r="AF20" s="20"/>
      <c r="AG20" s="20"/>
      <c r="AH20" s="22"/>
      <c r="AI20" s="22"/>
      <c r="AJ20" s="22"/>
    </row>
    <row r="21" spans="2:36">
      <c r="B21" s="5"/>
      <c r="J21" s="2"/>
      <c r="P21"/>
      <c r="Q21" s="29"/>
      <c r="R21" t="b">
        <v>0</v>
      </c>
      <c r="AD21" s="21"/>
      <c r="AE21" s="21"/>
      <c r="AF21" s="21"/>
      <c r="AG21" s="21"/>
      <c r="AH21" s="22"/>
      <c r="AI21" s="22"/>
      <c r="AJ21" s="22"/>
    </row>
    <row r="22" spans="2:36">
      <c r="B22" s="5"/>
      <c r="F22" s="4"/>
      <c r="G22" s="4" t="s">
        <v>42</v>
      </c>
      <c r="J22" s="2"/>
      <c r="P22"/>
      <c r="Q22" s="28"/>
      <c r="R22" t="b">
        <v>0</v>
      </c>
      <c r="AD22" s="22"/>
      <c r="AE22" s="23"/>
      <c r="AF22" s="20"/>
      <c r="AG22" s="20"/>
      <c r="AH22" s="22"/>
      <c r="AI22" s="22"/>
      <c r="AJ22" s="22"/>
    </row>
    <row r="23" spans="2:36">
      <c r="B23" s="5"/>
      <c r="G23" s="3">
        <v>0</v>
      </c>
      <c r="J23" s="2"/>
      <c r="P23"/>
      <c r="Q23" s="28"/>
      <c r="R23" t="b">
        <v>0</v>
      </c>
      <c r="AD23" s="22"/>
      <c r="AE23" s="23"/>
      <c r="AF23" s="20"/>
      <c r="AG23" s="20"/>
      <c r="AH23" s="22"/>
      <c r="AI23" s="22"/>
      <c r="AJ23" s="22"/>
    </row>
    <row r="24" spans="2:36">
      <c r="B24" s="5"/>
      <c r="J24" s="2"/>
      <c r="P24"/>
      <c r="Q24" s="28"/>
      <c r="R24" t="b">
        <v>0</v>
      </c>
      <c r="AD24" s="22"/>
      <c r="AE24" s="23"/>
      <c r="AF24" s="20"/>
      <c r="AG24" s="20"/>
      <c r="AH24" s="22"/>
      <c r="AI24" s="22"/>
      <c r="AJ24" s="22"/>
    </row>
    <row r="25" spans="2:36">
      <c r="B25" s="5"/>
      <c r="F25" s="4" t="s">
        <v>43</v>
      </c>
      <c r="G25" s="4" t="s">
        <v>44</v>
      </c>
      <c r="J25" s="2"/>
      <c r="P25"/>
      <c r="Q25" s="28"/>
      <c r="R25" t="b">
        <v>0</v>
      </c>
      <c r="AD25" s="22"/>
      <c r="AE25" s="23"/>
      <c r="AF25" s="20"/>
      <c r="AG25" s="20"/>
      <c r="AH25" s="22"/>
      <c r="AI25" s="22"/>
      <c r="AJ25" s="22"/>
    </row>
    <row r="26" spans="2:36">
      <c r="B26" s="5"/>
      <c r="F26" s="3" t="b">
        <v>1</v>
      </c>
      <c r="G26" s="5">
        <v>44820.404606481483</v>
      </c>
      <c r="J26" s="2"/>
      <c r="P26"/>
      <c r="Q26" s="28"/>
      <c r="R26" t="b">
        <v>0</v>
      </c>
      <c r="AD26" s="22"/>
      <c r="AE26" s="23"/>
      <c r="AF26" s="20"/>
      <c r="AG26" s="20"/>
      <c r="AH26" s="22"/>
      <c r="AI26" s="22"/>
      <c r="AJ26" s="22"/>
    </row>
    <row r="27" spans="2:36">
      <c r="B27" s="5"/>
      <c r="J27" s="2"/>
      <c r="P27"/>
      <c r="Q27" s="29"/>
      <c r="R27" t="b">
        <v>0</v>
      </c>
      <c r="AD27" s="22"/>
      <c r="AE27" s="23"/>
      <c r="AF27" s="20"/>
      <c r="AG27" s="20"/>
      <c r="AH27" s="22"/>
      <c r="AI27" s="22"/>
      <c r="AJ27" s="22"/>
    </row>
    <row r="28" spans="2:36">
      <c r="B28" s="5"/>
      <c r="F28" s="4" t="s">
        <v>41</v>
      </c>
      <c r="G28" s="4" t="s">
        <v>45</v>
      </c>
      <c r="J28" s="2"/>
      <c r="P28"/>
      <c r="Q28" s="29"/>
      <c r="R28" t="b">
        <v>0</v>
      </c>
      <c r="AD28" s="22"/>
      <c r="AE28" s="23"/>
      <c r="AF28" s="20"/>
      <c r="AG28" s="20"/>
      <c r="AH28" s="22"/>
      <c r="AI28" s="22"/>
      <c r="AJ28" s="22"/>
    </row>
    <row r="29" spans="2:36">
      <c r="B29" s="5"/>
      <c r="F29" s="83">
        <v>7.2916666977107525E-4</v>
      </c>
      <c r="G29" s="3">
        <f>totalTime*24*3600</f>
        <v>63.000000268220901</v>
      </c>
      <c r="J29" s="2"/>
      <c r="P29"/>
      <c r="Q29" s="29"/>
      <c r="R29" t="b">
        <v>0</v>
      </c>
      <c r="AD29" s="22"/>
      <c r="AE29" s="23"/>
      <c r="AF29" s="20"/>
      <c r="AG29" s="20"/>
      <c r="AH29" s="22"/>
      <c r="AI29" s="22"/>
      <c r="AJ29" s="22"/>
    </row>
    <row r="30" spans="2:36">
      <c r="B30" s="5"/>
      <c r="J30" s="2"/>
      <c r="P30"/>
      <c r="Q30" s="29"/>
      <c r="R30" t="b">
        <v>0</v>
      </c>
      <c r="AD30" s="22"/>
      <c r="AE30" s="23"/>
      <c r="AF30" s="20"/>
      <c r="AG30" s="20"/>
      <c r="AH30" s="22"/>
      <c r="AI30" s="22"/>
      <c r="AJ30" s="22"/>
    </row>
    <row r="31" spans="2:36">
      <c r="B31" s="5"/>
      <c r="J31" s="2"/>
      <c r="P31"/>
      <c r="Q31" s="29"/>
      <c r="R31" t="b">
        <v>0</v>
      </c>
      <c r="AD31" s="22"/>
      <c r="AE31" s="23"/>
      <c r="AF31" s="20"/>
      <c r="AG31" s="20"/>
      <c r="AH31" s="22"/>
      <c r="AI31" s="22"/>
      <c r="AJ31" s="22"/>
    </row>
    <row r="32" spans="2:36">
      <c r="B32" s="5"/>
      <c r="J32" s="2"/>
      <c r="P32"/>
      <c r="Q32" s="29"/>
      <c r="R32" t="b">
        <v>0</v>
      </c>
      <c r="AD32" s="22"/>
      <c r="AE32" s="23"/>
      <c r="AF32" s="20"/>
      <c r="AG32" s="20"/>
      <c r="AH32" s="22"/>
      <c r="AI32" s="22"/>
      <c r="AJ32" s="22"/>
    </row>
    <row r="33" spans="2:36">
      <c r="B33" s="5"/>
      <c r="P33"/>
      <c r="Q33" s="29"/>
      <c r="R33" t="b">
        <v>0</v>
      </c>
      <c r="AD33" s="22"/>
      <c r="AE33" s="23"/>
      <c r="AF33" s="20"/>
      <c r="AG33" s="20"/>
      <c r="AH33" s="22"/>
      <c r="AI33" s="22"/>
      <c r="AJ33" s="22"/>
    </row>
    <row r="34" spans="2:36">
      <c r="B34" s="5"/>
      <c r="P34"/>
      <c r="Q34" s="29"/>
      <c r="R34" t="b">
        <v>0</v>
      </c>
      <c r="AD34" s="22"/>
      <c r="AE34" s="23"/>
      <c r="AF34" s="20"/>
      <c r="AG34" s="20"/>
      <c r="AH34" s="22"/>
      <c r="AI34" s="22"/>
      <c r="AJ34" s="22"/>
    </row>
    <row r="35" spans="2:36">
      <c r="B35" s="5"/>
      <c r="D35" s="4" t="s">
        <v>40</v>
      </c>
      <c r="AD35" s="22"/>
      <c r="AE35" s="23"/>
      <c r="AF35" s="20"/>
      <c r="AG35" s="20"/>
      <c r="AH35" s="22"/>
      <c r="AI35" s="22"/>
      <c r="AJ35" s="22"/>
    </row>
    <row r="36" spans="2:36">
      <c r="B36" s="5"/>
      <c r="D36" s="3">
        <f>StudentIDCell</f>
        <v>0</v>
      </c>
      <c r="AD36" s="22"/>
      <c r="AE36" s="23"/>
      <c r="AF36" s="20"/>
      <c r="AG36" s="20"/>
      <c r="AH36" s="22"/>
      <c r="AI36" s="22"/>
      <c r="AJ36" s="22"/>
    </row>
    <row r="37" spans="2:36">
      <c r="B37" s="5"/>
      <c r="D37" s="3">
        <f>StudentNameCell</f>
        <v>0</v>
      </c>
      <c r="AD37" s="22"/>
      <c r="AE37" s="23"/>
      <c r="AF37" s="20"/>
      <c r="AG37" s="20"/>
      <c r="AH37" s="22"/>
      <c r="AI37" s="22"/>
      <c r="AJ37" s="22"/>
    </row>
    <row r="38" spans="2:36">
      <c r="B38" s="5"/>
      <c r="AD38" s="22"/>
      <c r="AE38" s="23"/>
      <c r="AF38" s="20"/>
      <c r="AG38" s="22"/>
      <c r="AH38" s="20"/>
      <c r="AI38" s="22"/>
      <c r="AJ38" s="22"/>
    </row>
    <row r="39" spans="2:36">
      <c r="B39" s="5"/>
      <c r="AD39" s="22"/>
      <c r="AE39" s="23"/>
      <c r="AF39" s="20"/>
      <c r="AG39" s="20"/>
      <c r="AH39" s="22"/>
      <c r="AI39" s="22"/>
      <c r="AJ39" s="22"/>
    </row>
    <row r="40" spans="2:36">
      <c r="B40" s="5"/>
      <c r="AD40" s="21"/>
      <c r="AE40" s="23"/>
      <c r="AF40" s="20"/>
      <c r="AG40" s="20"/>
      <c r="AH40" s="22"/>
      <c r="AI40" s="22"/>
      <c r="AJ40" s="22"/>
    </row>
    <row r="41" spans="2:36">
      <c r="B41" s="5"/>
      <c r="AD41" s="21"/>
      <c r="AE41" s="21"/>
      <c r="AF41" s="21"/>
      <c r="AG41" s="21"/>
      <c r="AH41" s="22"/>
      <c r="AI41" s="22"/>
      <c r="AJ41" s="22"/>
    </row>
    <row r="42" spans="2:36">
      <c r="B42" s="5"/>
      <c r="AD42" s="22"/>
      <c r="AE42" s="23"/>
      <c r="AF42" s="20"/>
      <c r="AG42" s="20"/>
      <c r="AH42" s="22"/>
      <c r="AI42" s="22"/>
      <c r="AJ42" s="22"/>
    </row>
    <row r="43" spans="2:36">
      <c r="B43" s="5"/>
      <c r="AD43" s="22"/>
      <c r="AE43" s="23"/>
      <c r="AF43" s="20"/>
      <c r="AG43" s="20"/>
      <c r="AH43" s="22"/>
      <c r="AI43" s="22"/>
      <c r="AJ43" s="22"/>
    </row>
    <row r="44" spans="2:36">
      <c r="B44" s="5"/>
      <c r="AD44" s="22"/>
      <c r="AE44" s="23"/>
      <c r="AF44" s="20"/>
      <c r="AG44" s="20"/>
      <c r="AH44" s="22"/>
      <c r="AI44" s="22"/>
      <c r="AJ44" s="22"/>
    </row>
    <row r="45" spans="2:36">
      <c r="B45" s="5"/>
      <c r="D45" s="40" t="s">
        <v>68</v>
      </c>
      <c r="F45" s="40" t="s">
        <v>67</v>
      </c>
      <c r="AD45" s="22"/>
      <c r="AE45" s="23"/>
      <c r="AF45" s="20"/>
      <c r="AG45" s="20"/>
      <c r="AH45" s="22"/>
      <c r="AI45" s="22"/>
      <c r="AJ45" s="22"/>
    </row>
    <row r="46" spans="2:36">
      <c r="B46" s="5"/>
      <c r="D46" s="3" t="s">
        <v>63</v>
      </c>
      <c r="F46" s="3">
        <v>1</v>
      </c>
      <c r="AD46" s="22"/>
      <c r="AE46" s="23"/>
      <c r="AF46" s="20"/>
      <c r="AG46" s="20"/>
      <c r="AH46" s="22"/>
      <c r="AI46" s="22"/>
      <c r="AJ46" s="22"/>
    </row>
    <row r="47" spans="2:36">
      <c r="B47" s="5"/>
      <c r="D47" s="3" t="s">
        <v>21</v>
      </c>
      <c r="AD47" s="22"/>
      <c r="AE47" s="23"/>
      <c r="AF47" s="20"/>
      <c r="AG47" s="20"/>
      <c r="AH47" s="22"/>
      <c r="AI47" s="22"/>
      <c r="AJ47" s="22"/>
    </row>
    <row r="48" spans="2:36">
      <c r="B48" s="5"/>
      <c r="F48" s="40" t="s">
        <v>107</v>
      </c>
      <c r="AD48" s="22"/>
      <c r="AE48" s="23"/>
      <c r="AF48" s="20"/>
      <c r="AG48" s="20"/>
      <c r="AH48" s="22"/>
      <c r="AI48" s="22"/>
      <c r="AJ48" s="22"/>
    </row>
    <row r="49" spans="2:36">
      <c r="B49" s="5"/>
      <c r="D49" s="40" t="s">
        <v>118</v>
      </c>
      <c r="F49" s="3">
        <v>2</v>
      </c>
      <c r="AD49" s="22"/>
      <c r="AE49" s="23"/>
      <c r="AF49" s="20"/>
      <c r="AG49" s="20"/>
      <c r="AH49" s="22"/>
      <c r="AI49" s="22"/>
      <c r="AJ49" s="22"/>
    </row>
    <row r="50" spans="2:36">
      <c r="B50" s="5"/>
      <c r="D50" s="39" t="s">
        <v>57</v>
      </c>
      <c r="AD50" s="22"/>
      <c r="AE50" s="23"/>
      <c r="AF50" s="20"/>
      <c r="AG50" s="20"/>
      <c r="AH50" s="22"/>
      <c r="AI50" s="22"/>
      <c r="AJ50" s="22"/>
    </row>
    <row r="51" spans="2:36">
      <c r="B51" s="5"/>
      <c r="D51" t="s">
        <v>119</v>
      </c>
      <c r="F51" s="40" t="s">
        <v>108</v>
      </c>
      <c r="AD51" s="22"/>
      <c r="AE51" s="23"/>
      <c r="AF51" s="20"/>
      <c r="AG51" s="20"/>
      <c r="AH51" s="22"/>
      <c r="AI51" s="22"/>
      <c r="AJ51" s="22"/>
    </row>
    <row r="52" spans="2:36">
      <c r="B52" s="5"/>
      <c r="F52" s="3">
        <v>2</v>
      </c>
      <c r="AD52" s="22"/>
      <c r="AE52" s="23"/>
      <c r="AF52" s="20"/>
      <c r="AG52" s="20"/>
      <c r="AH52" s="22"/>
      <c r="AI52" s="22"/>
      <c r="AJ52" s="22"/>
    </row>
    <row r="53" spans="2:36">
      <c r="B53" s="5"/>
      <c r="AD53" s="22"/>
      <c r="AE53" s="23"/>
      <c r="AF53" s="20"/>
      <c r="AG53" s="20"/>
      <c r="AH53" s="22"/>
      <c r="AI53" s="22"/>
      <c r="AJ53" s="22"/>
    </row>
    <row r="54" spans="2:36">
      <c r="B54" s="5"/>
      <c r="AD54" s="22"/>
      <c r="AE54" s="23"/>
      <c r="AF54" s="20"/>
      <c r="AG54" s="20"/>
      <c r="AH54" s="22"/>
      <c r="AI54" s="22"/>
      <c r="AJ54" s="22"/>
    </row>
    <row r="55" spans="2:36">
      <c r="B55" s="5"/>
      <c r="D55" s="28" t="str">
        <f>"I finished the MECC Keyboarding Challenge in "&amp;Results!$E$16&amp;" seconds. Sign up for the Microsoft Excel Collegiate Challenge and give it a try! #ExcelEsports #ExcelAtEller"</f>
        <v>I finished the MECC Keyboarding Challenge in  seconds. Sign up for the Microsoft Excel Collegiate Challenge and give it a try! #ExcelEsports #ExcelAtEller</v>
      </c>
      <c r="AD55" s="22"/>
      <c r="AE55" s="23"/>
      <c r="AF55" s="20"/>
      <c r="AG55" s="20"/>
      <c r="AH55" s="22"/>
      <c r="AI55" s="22"/>
      <c r="AJ55" s="22"/>
    </row>
    <row r="56" spans="2:36">
      <c r="D56" s="3">
        <f>LEN(D55)</f>
        <v>154</v>
      </c>
      <c r="AD56" s="22"/>
      <c r="AE56" s="23"/>
      <c r="AF56" s="20"/>
      <c r="AG56" s="20"/>
      <c r="AH56" s="22"/>
      <c r="AI56" s="22"/>
      <c r="AJ56" s="22"/>
    </row>
    <row r="57" spans="2:36">
      <c r="AD57" s="22"/>
      <c r="AE57" s="23"/>
      <c r="AF57" s="20"/>
      <c r="AG57" s="20"/>
      <c r="AH57" s="22"/>
      <c r="AI57" s="22"/>
      <c r="AJ57" s="22"/>
    </row>
    <row r="58" spans="2:36">
      <c r="D58" s="67"/>
      <c r="AD58" s="21"/>
      <c r="AE58" s="21"/>
      <c r="AF58" s="21"/>
      <c r="AG58" s="22"/>
      <c r="AH58" s="20"/>
      <c r="AI58" s="22"/>
      <c r="AJ58" s="22"/>
    </row>
    <row r="59" spans="2:36">
      <c r="D59" s="68" t="s">
        <v>139</v>
      </c>
      <c r="AD59" s="22"/>
      <c r="AE59" s="23"/>
      <c r="AF59" s="20"/>
      <c r="AG59" s="20"/>
      <c r="AH59" s="22"/>
      <c r="AI59" s="22"/>
      <c r="AJ59" s="22"/>
    </row>
    <row r="60" spans="2:36">
      <c r="AD60" s="21"/>
      <c r="AE60" s="23"/>
      <c r="AF60" s="20"/>
      <c r="AG60" s="20"/>
      <c r="AH60" s="22"/>
      <c r="AI60" s="22"/>
      <c r="AJ60" s="22"/>
    </row>
    <row r="61" spans="2:36">
      <c r="D61" s="7" t="s">
        <v>140</v>
      </c>
      <c r="AD61" s="21"/>
      <c r="AE61" s="21"/>
      <c r="AF61" s="21"/>
      <c r="AG61" s="21"/>
      <c r="AH61" s="22"/>
      <c r="AI61" s="22"/>
      <c r="AJ61" s="22"/>
    </row>
    <row r="62" spans="2:36">
      <c r="AD62" s="22"/>
      <c r="AE62" s="23"/>
      <c r="AF62" s="20"/>
      <c r="AG62" s="20"/>
      <c r="AH62" s="22"/>
      <c r="AI62" s="22"/>
      <c r="AJ62" s="22"/>
    </row>
    <row r="63" spans="2:36">
      <c r="D63" s="69"/>
      <c r="AD63" s="22"/>
      <c r="AE63" s="23"/>
      <c r="AF63" s="20"/>
      <c r="AG63" s="20"/>
      <c r="AH63" s="22"/>
      <c r="AI63" s="22"/>
      <c r="AJ63" s="22"/>
    </row>
    <row r="64" spans="2:36">
      <c r="D64" s="7"/>
      <c r="AD64" s="22"/>
      <c r="AE64" s="23"/>
      <c r="AF64" s="20"/>
      <c r="AG64" s="20"/>
      <c r="AH64" s="22"/>
      <c r="AI64" s="22"/>
      <c r="AJ64" s="22"/>
    </row>
    <row r="65" spans="4:36">
      <c r="D65" s="7" t="str">
        <f>"https://twitter.com/intent/tweet?text=I+finished+the+MECC+Keyboarding+Challenge+in+"&amp;Results!$E$16&amp;"+seconds.+Sign+up+and+give+it+a+try!&amp;hashtags=ExcelEsports,ExcelAtEller"</f>
        <v>https://twitter.com/intent/tweet?text=I+finished+the+MECC+Keyboarding+Challenge+in++seconds.+Sign+up+and+give+it+a+try!&amp;hashtags=ExcelEsports,ExcelAtEller</v>
      </c>
      <c r="AD65" s="22"/>
      <c r="AE65" s="23"/>
      <c r="AF65" s="20"/>
      <c r="AG65" s="20"/>
      <c r="AH65" s="22"/>
      <c r="AI65" s="22"/>
      <c r="AJ65" s="22"/>
    </row>
    <row r="66" spans="4:36">
      <c r="AD66" s="22"/>
      <c r="AE66" s="23"/>
      <c r="AF66" s="20"/>
      <c r="AG66" s="20"/>
      <c r="AH66" s="22"/>
      <c r="AI66" s="22"/>
      <c r="AJ66" s="22"/>
    </row>
    <row r="67" spans="4:36">
      <c r="D67" s="70" t="s">
        <v>141</v>
      </c>
      <c r="AD67" s="22"/>
      <c r="AE67" s="23"/>
      <c r="AF67" s="20"/>
      <c r="AG67" s="20"/>
      <c r="AH67" s="22"/>
      <c r="AI67" s="22"/>
      <c r="AJ67" s="22"/>
    </row>
    <row r="68" spans="4:36">
      <c r="AD68" s="22"/>
      <c r="AE68" s="23"/>
      <c r="AF68" s="20"/>
      <c r="AG68" s="20"/>
      <c r="AH68" s="22"/>
      <c r="AI68" s="22"/>
      <c r="AJ68" s="22"/>
    </row>
    <row r="69" spans="4:36">
      <c r="D69" s="7" t="str">
        <f>"http://www.facebook.com/sharer.php?t=I%20finished%20the%20MECC%20Keyboarding%20Challenge%20in%20"&amp;Results!$E$16&amp;"%20seconds.%20Sign%20up%20for%20the%20Microsoft%20Excel%20Collegiate%20Challenge%20and%20give%20it%20a%20try!"</f>
        <v>http://www.facebook.com/sharer.php?t=I%20finished%20the%20MECC%20Keyboarding%20Challenge%20in%20%20seconds.%20Sign%20up%20for%20the%20Microsoft%20Excel%20Collegiate%20Challenge%20and%20give%20it%20a%20try!</v>
      </c>
      <c r="AD69" s="22"/>
      <c r="AE69" s="23"/>
      <c r="AF69" s="20"/>
      <c r="AG69" s="20"/>
      <c r="AH69" s="22"/>
      <c r="AI69" s="22"/>
      <c r="AJ69" s="22"/>
    </row>
    <row r="70" spans="4:36">
      <c r="AD70" s="22"/>
      <c r="AE70" s="23"/>
      <c r="AF70" s="20"/>
      <c r="AG70" s="20"/>
      <c r="AH70" s="22"/>
      <c r="AI70" s="22"/>
      <c r="AJ70" s="22"/>
    </row>
    <row r="71" spans="4:36">
      <c r="AD71" s="22"/>
      <c r="AE71" s="23"/>
      <c r="AF71" s="20"/>
      <c r="AG71" s="20"/>
      <c r="AH71" s="22"/>
      <c r="AI71" s="22"/>
      <c r="AJ71" s="22"/>
    </row>
    <row r="72" spans="4:36">
      <c r="AD72" s="22"/>
      <c r="AE72" s="23"/>
      <c r="AF72" s="20"/>
      <c r="AG72" s="20"/>
      <c r="AH72" s="22"/>
      <c r="AI72" s="22"/>
      <c r="AJ72" s="22"/>
    </row>
    <row r="73" spans="4:36">
      <c r="AD73" s="22"/>
      <c r="AE73" s="23"/>
      <c r="AF73" s="20"/>
      <c r="AG73" s="20"/>
      <c r="AH73" s="22"/>
      <c r="AI73" s="22"/>
      <c r="AJ73" s="22"/>
    </row>
    <row r="74" spans="4:36">
      <c r="AD74" s="22"/>
      <c r="AE74" s="23"/>
      <c r="AF74" s="20"/>
      <c r="AG74" s="20"/>
      <c r="AH74" s="22"/>
      <c r="AI74" s="22"/>
      <c r="AJ74" s="22"/>
    </row>
    <row r="75" spans="4:36">
      <c r="AD75" s="22"/>
      <c r="AE75" s="23"/>
      <c r="AF75" s="20"/>
      <c r="AG75" s="20"/>
      <c r="AH75" s="22"/>
      <c r="AI75" s="22"/>
      <c r="AJ75" s="22"/>
    </row>
    <row r="76" spans="4:36">
      <c r="AD76" s="22"/>
      <c r="AE76" s="23"/>
      <c r="AF76" s="20"/>
      <c r="AG76" s="20"/>
      <c r="AH76" s="22"/>
      <c r="AI76" s="22"/>
      <c r="AJ76" s="22"/>
    </row>
    <row r="77" spans="4:36">
      <c r="AD77" s="22"/>
      <c r="AE77" s="23"/>
      <c r="AF77" s="20"/>
      <c r="AG77" s="20"/>
      <c r="AH77" s="22"/>
      <c r="AI77" s="22"/>
      <c r="AJ77" s="22"/>
    </row>
    <row r="78" spans="4:36">
      <c r="AD78" s="22"/>
      <c r="AE78" s="23"/>
      <c r="AF78" s="20"/>
      <c r="AG78" s="22"/>
      <c r="AH78" s="20"/>
      <c r="AI78" s="22"/>
      <c r="AJ78" s="22"/>
    </row>
    <row r="79" spans="4:36">
      <c r="AD79" s="22"/>
      <c r="AE79" s="23"/>
      <c r="AF79" s="20"/>
      <c r="AG79" s="20"/>
      <c r="AH79" s="22"/>
      <c r="AI79" s="22"/>
      <c r="AJ79" s="22"/>
    </row>
    <row r="80" spans="4:36">
      <c r="AD80" s="21"/>
      <c r="AE80" s="23"/>
      <c r="AF80" s="20"/>
      <c r="AG80" s="20"/>
      <c r="AH80" s="22"/>
      <c r="AI80" s="22"/>
      <c r="AJ80" s="22"/>
    </row>
    <row r="81" spans="30:36">
      <c r="AD81" s="21"/>
      <c r="AE81" s="21"/>
      <c r="AF81" s="21"/>
      <c r="AG81" s="21"/>
      <c r="AH81" s="22"/>
      <c r="AI81" s="22"/>
      <c r="AJ81" s="22"/>
    </row>
    <row r="82" spans="30:36">
      <c r="AD82" s="22"/>
      <c r="AE82" s="23"/>
      <c r="AF82" s="20"/>
      <c r="AG82" s="20"/>
      <c r="AH82" s="22"/>
      <c r="AI82" s="22"/>
      <c r="AJ82" s="22"/>
    </row>
    <row r="83" spans="30:36">
      <c r="AD83" s="22"/>
      <c r="AE83" s="23"/>
      <c r="AF83" s="20"/>
      <c r="AG83" s="20"/>
      <c r="AH83" s="22"/>
      <c r="AI83" s="22"/>
      <c r="AJ83" s="22"/>
    </row>
    <row r="84" spans="30:36">
      <c r="AD84" s="22"/>
      <c r="AE84" s="23"/>
      <c r="AF84" s="20"/>
      <c r="AG84" s="20"/>
      <c r="AH84" s="22"/>
      <c r="AI84" s="22"/>
      <c r="AJ84" s="22"/>
    </row>
    <row r="85" spans="30:36">
      <c r="AD85" s="22"/>
      <c r="AE85" s="23"/>
      <c r="AF85" s="20"/>
      <c r="AG85" s="20"/>
      <c r="AH85" s="22"/>
      <c r="AI85" s="22"/>
      <c r="AJ85" s="22"/>
    </row>
    <row r="86" spans="30:36">
      <c r="AD86" s="22"/>
      <c r="AE86" s="23"/>
      <c r="AF86" s="20"/>
      <c r="AG86" s="20"/>
      <c r="AH86" s="22"/>
      <c r="AI86" s="22"/>
      <c r="AJ86" s="22"/>
    </row>
    <row r="87" spans="30:36">
      <c r="AD87" s="22"/>
      <c r="AE87" s="23"/>
      <c r="AF87" s="20"/>
      <c r="AG87" s="20"/>
      <c r="AH87" s="22"/>
      <c r="AI87" s="22"/>
      <c r="AJ87" s="22"/>
    </row>
    <row r="88" spans="30:36">
      <c r="AD88" s="22"/>
      <c r="AE88" s="23"/>
      <c r="AF88" s="20"/>
      <c r="AG88" s="20"/>
      <c r="AH88" s="22"/>
      <c r="AI88" s="22"/>
      <c r="AJ88" s="22"/>
    </row>
    <row r="89" spans="30:36">
      <c r="AD89" s="22"/>
      <c r="AE89" s="23"/>
      <c r="AF89" s="20"/>
      <c r="AG89" s="20"/>
      <c r="AH89" s="22"/>
      <c r="AI89" s="22"/>
      <c r="AJ89" s="22"/>
    </row>
    <row r="90" spans="30:36">
      <c r="AD90" s="22"/>
      <c r="AE90" s="23"/>
      <c r="AF90" s="20"/>
      <c r="AG90" s="20"/>
      <c r="AH90" s="22"/>
      <c r="AI90" s="22"/>
      <c r="AJ90" s="22"/>
    </row>
    <row r="91" spans="30:36">
      <c r="AD91" s="22"/>
      <c r="AE91" s="23"/>
      <c r="AF91" s="20"/>
      <c r="AG91" s="20"/>
      <c r="AH91" s="22"/>
      <c r="AI91" s="22"/>
      <c r="AJ91" s="22"/>
    </row>
    <row r="92" spans="30:36">
      <c r="AD92" s="22"/>
      <c r="AE92" s="23"/>
      <c r="AF92" s="20"/>
      <c r="AG92" s="20"/>
      <c r="AH92" s="22"/>
      <c r="AI92" s="22"/>
      <c r="AJ92" s="22"/>
    </row>
    <row r="93" spans="30:36">
      <c r="AD93" s="22"/>
      <c r="AE93" s="23"/>
      <c r="AF93" s="20"/>
      <c r="AG93" s="20"/>
      <c r="AH93" s="22"/>
      <c r="AI93" s="22"/>
      <c r="AJ93" s="22"/>
    </row>
    <row r="94" spans="30:36">
      <c r="AD94" s="22"/>
      <c r="AE94" s="23"/>
      <c r="AF94" s="20"/>
      <c r="AG94" s="20"/>
      <c r="AH94" s="22"/>
      <c r="AI94" s="22"/>
      <c r="AJ94" s="22"/>
    </row>
    <row r="95" spans="30:36">
      <c r="AD95" s="22"/>
      <c r="AE95" s="23"/>
      <c r="AF95" s="20"/>
      <c r="AG95" s="20"/>
      <c r="AH95" s="22"/>
      <c r="AI95" s="22"/>
      <c r="AJ95" s="22"/>
    </row>
    <row r="96" spans="30:36">
      <c r="AD96" s="22"/>
      <c r="AE96" s="23"/>
      <c r="AF96" s="20"/>
      <c r="AG96" s="20"/>
      <c r="AH96" s="22"/>
      <c r="AI96" s="22"/>
      <c r="AJ96" s="22"/>
    </row>
    <row r="97" spans="30:36">
      <c r="AD97" s="22"/>
      <c r="AE97" s="23"/>
      <c r="AF97" s="20"/>
      <c r="AG97" s="20"/>
      <c r="AH97" s="22"/>
      <c r="AI97" s="22"/>
      <c r="AJ97" s="22"/>
    </row>
    <row r="98" spans="30:36">
      <c r="AD98" s="22"/>
      <c r="AE98" s="23"/>
      <c r="AF98" s="20"/>
      <c r="AG98" s="22"/>
      <c r="AH98" s="20"/>
      <c r="AI98" s="22"/>
      <c r="AJ98" s="22"/>
    </row>
    <row r="99" spans="30:36">
      <c r="AD99" s="22"/>
      <c r="AE99" s="23"/>
      <c r="AF99" s="20"/>
      <c r="AG99" s="20"/>
      <c r="AH99" s="22"/>
      <c r="AI99" s="22"/>
      <c r="AJ99" s="22"/>
    </row>
    <row r="100" spans="30:36">
      <c r="AD100" s="21"/>
      <c r="AE100" s="23"/>
      <c r="AF100" s="20"/>
      <c r="AG100" s="22"/>
      <c r="AH100" s="20"/>
      <c r="AI100" s="22"/>
      <c r="AJ100" s="22"/>
    </row>
    <row r="101" spans="30:36">
      <c r="AD101" s="21"/>
      <c r="AE101" s="21"/>
      <c r="AF101" s="21"/>
      <c r="AG101" s="21"/>
      <c r="AH101" s="20"/>
      <c r="AI101" s="22"/>
      <c r="AJ101" s="22"/>
    </row>
    <row r="102" spans="30:36">
      <c r="AD102" s="22"/>
      <c r="AE102" s="23"/>
      <c r="AF102" s="20"/>
      <c r="AG102" s="20"/>
      <c r="AH102" s="20"/>
      <c r="AI102" s="22"/>
      <c r="AJ102" s="22"/>
    </row>
    <row r="103" spans="30:36">
      <c r="AD103" s="22"/>
      <c r="AE103" s="23"/>
      <c r="AF103" s="20"/>
      <c r="AG103" s="20"/>
      <c r="AH103" s="22"/>
      <c r="AI103" s="22"/>
      <c r="AJ103" s="22"/>
    </row>
    <row r="104" spans="30:36">
      <c r="AD104" s="22"/>
      <c r="AE104" s="23"/>
      <c r="AF104" s="20"/>
      <c r="AG104" s="20"/>
      <c r="AH104" s="22"/>
      <c r="AI104" s="22"/>
      <c r="AJ104" s="22"/>
    </row>
    <row r="105" spans="30:36">
      <c r="AD105" s="22"/>
      <c r="AE105" s="23"/>
      <c r="AF105" s="20"/>
      <c r="AG105" s="20"/>
      <c r="AH105" s="22"/>
      <c r="AI105" s="22"/>
      <c r="AJ105" s="22"/>
    </row>
    <row r="106" spans="30:36">
      <c r="AD106" s="22"/>
      <c r="AE106" s="23"/>
      <c r="AF106" s="20"/>
      <c r="AG106" s="20"/>
      <c r="AH106" s="22"/>
      <c r="AI106" s="22"/>
      <c r="AJ106" s="22"/>
    </row>
    <row r="107" spans="30:36">
      <c r="AD107" s="22"/>
      <c r="AE107" s="23"/>
      <c r="AF107" s="20"/>
      <c r="AG107" s="20"/>
      <c r="AH107" s="22"/>
      <c r="AI107" s="22"/>
      <c r="AJ107" s="22"/>
    </row>
    <row r="108" spans="30:36">
      <c r="AD108" s="22"/>
      <c r="AE108" s="23"/>
      <c r="AF108" s="20"/>
      <c r="AG108" s="20"/>
      <c r="AH108" s="22"/>
      <c r="AI108" s="22"/>
      <c r="AJ108" s="22"/>
    </row>
    <row r="109" spans="30:36">
      <c r="AD109" s="22"/>
      <c r="AE109" s="23"/>
      <c r="AF109" s="20"/>
      <c r="AG109" s="20"/>
      <c r="AH109" s="22"/>
      <c r="AI109" s="22"/>
      <c r="AJ109" s="22"/>
    </row>
    <row r="110" spans="30:36">
      <c r="AD110" s="22"/>
      <c r="AE110" s="23"/>
      <c r="AF110" s="20"/>
      <c r="AG110" s="20"/>
      <c r="AH110" s="22"/>
      <c r="AI110" s="22"/>
      <c r="AJ110" s="22"/>
    </row>
    <row r="111" spans="30:36">
      <c r="AD111" s="22"/>
      <c r="AE111" s="23"/>
      <c r="AF111" s="20"/>
      <c r="AG111" s="20"/>
      <c r="AH111" s="22"/>
      <c r="AI111" s="22"/>
      <c r="AJ111" s="22"/>
    </row>
    <row r="112" spans="30:36">
      <c r="AD112" s="22"/>
      <c r="AE112" s="23"/>
      <c r="AF112" s="20"/>
      <c r="AG112" s="20"/>
      <c r="AH112" s="22"/>
      <c r="AI112" s="22"/>
      <c r="AJ112" s="22"/>
    </row>
    <row r="113" spans="30:36">
      <c r="AD113" s="22"/>
      <c r="AE113" s="23"/>
      <c r="AF113" s="20"/>
      <c r="AG113" s="20"/>
      <c r="AH113" s="22"/>
      <c r="AI113" s="22"/>
      <c r="AJ113" s="22"/>
    </row>
    <row r="114" spans="30:36">
      <c r="AD114" s="22"/>
      <c r="AE114" s="23"/>
      <c r="AF114" s="20"/>
      <c r="AG114" s="20"/>
      <c r="AH114" s="22"/>
      <c r="AI114" s="22"/>
      <c r="AJ114" s="22"/>
    </row>
    <row r="115" spans="30:36">
      <c r="AD115" s="22"/>
      <c r="AE115" s="23"/>
      <c r="AF115" s="20"/>
      <c r="AG115" s="20"/>
      <c r="AH115" s="22"/>
      <c r="AI115" s="22"/>
      <c r="AJ115" s="22"/>
    </row>
    <row r="116" spans="30:36">
      <c r="AD116" s="22"/>
      <c r="AE116" s="23"/>
      <c r="AF116" s="20"/>
      <c r="AG116" s="20"/>
      <c r="AH116" s="22"/>
      <c r="AI116" s="22"/>
      <c r="AJ116" s="22"/>
    </row>
    <row r="117" spans="30:36">
      <c r="AD117" s="22"/>
      <c r="AE117" s="23"/>
      <c r="AF117" s="20"/>
      <c r="AG117" s="20"/>
      <c r="AH117" s="22"/>
      <c r="AI117" s="22"/>
      <c r="AJ117" s="22"/>
    </row>
    <row r="118" spans="30:36">
      <c r="AD118" s="22"/>
      <c r="AE118" s="23"/>
      <c r="AF118" s="20"/>
      <c r="AG118" s="20"/>
      <c r="AH118" s="22"/>
      <c r="AI118" s="22"/>
      <c r="AJ118" s="22"/>
    </row>
    <row r="119" spans="30:36">
      <c r="AD119" s="22"/>
      <c r="AE119" s="23"/>
      <c r="AF119" s="20"/>
      <c r="AG119" s="20"/>
      <c r="AH119" s="22"/>
      <c r="AI119" s="22"/>
      <c r="AJ119" s="22"/>
    </row>
    <row r="120" spans="30:36">
      <c r="AD120" s="22"/>
      <c r="AE120" s="23"/>
      <c r="AF120" s="20"/>
      <c r="AG120" s="20"/>
      <c r="AH120" s="22"/>
      <c r="AI120" s="22"/>
      <c r="AJ120" s="22"/>
    </row>
    <row r="121" spans="30:36">
      <c r="AD121" s="22"/>
      <c r="AE121" s="23"/>
      <c r="AF121" s="20"/>
      <c r="AG121" s="20"/>
      <c r="AH121" s="22"/>
      <c r="AI121" s="22"/>
      <c r="AJ121" s="22"/>
    </row>
    <row r="122" spans="30:36">
      <c r="AD122" s="22"/>
      <c r="AE122" s="23"/>
      <c r="AF122" s="20"/>
      <c r="AG122" s="20"/>
      <c r="AH122" s="22"/>
      <c r="AI122" s="22"/>
      <c r="AJ122" s="22"/>
    </row>
    <row r="123" spans="30:36">
      <c r="AD123" s="22"/>
      <c r="AE123" s="23"/>
      <c r="AF123" s="20"/>
      <c r="AG123" s="20"/>
      <c r="AH123" s="22"/>
      <c r="AI123" s="22"/>
      <c r="AJ123" s="22"/>
    </row>
    <row r="124" spans="30:36">
      <c r="AD124" s="22"/>
      <c r="AE124" s="23"/>
      <c r="AF124" s="20"/>
      <c r="AG124" s="20"/>
      <c r="AH124" s="22"/>
      <c r="AI124" s="22"/>
      <c r="AJ124" s="22"/>
    </row>
    <row r="125" spans="30:36">
      <c r="AD125" s="22"/>
      <c r="AE125" s="23"/>
      <c r="AF125" s="20"/>
      <c r="AG125" s="20"/>
      <c r="AH125" s="22"/>
      <c r="AI125" s="22"/>
      <c r="AJ125" s="22"/>
    </row>
    <row r="126" spans="30:36">
      <c r="AD126" s="22"/>
      <c r="AE126" s="23"/>
      <c r="AF126" s="20"/>
      <c r="AG126" s="20"/>
      <c r="AH126" s="22"/>
      <c r="AI126" s="22"/>
      <c r="AJ126" s="22"/>
    </row>
    <row r="127" spans="30:36">
      <c r="AD127" s="22"/>
      <c r="AE127" s="23"/>
      <c r="AF127" s="20"/>
      <c r="AG127" s="20"/>
      <c r="AH127" s="22"/>
      <c r="AI127" s="22"/>
      <c r="AJ127" s="22"/>
    </row>
    <row r="128" spans="30:36">
      <c r="AD128" s="22"/>
      <c r="AE128" s="23"/>
      <c r="AF128" s="20"/>
      <c r="AG128" s="20"/>
      <c r="AH128" s="22"/>
      <c r="AI128" s="22"/>
      <c r="AJ128" s="22"/>
    </row>
    <row r="129" spans="30:36">
      <c r="AD129" s="22"/>
      <c r="AE129" s="23"/>
      <c r="AF129" s="20"/>
      <c r="AG129" s="20"/>
      <c r="AH129" s="22"/>
      <c r="AI129" s="22"/>
      <c r="AJ129" s="22"/>
    </row>
    <row r="130" spans="30:36">
      <c r="AD130" s="22"/>
      <c r="AE130" s="23"/>
      <c r="AF130" s="20"/>
      <c r="AG130" s="20"/>
      <c r="AH130" s="22"/>
      <c r="AI130" s="22"/>
      <c r="AJ130" s="22"/>
    </row>
    <row r="131" spans="30:36">
      <c r="AD131" s="22"/>
      <c r="AE131" s="23"/>
      <c r="AF131" s="20"/>
      <c r="AG131" s="20"/>
      <c r="AH131" s="22"/>
      <c r="AI131" s="22"/>
      <c r="AJ131" s="22"/>
    </row>
    <row r="132" spans="30:36">
      <c r="AD132" s="22"/>
      <c r="AE132" s="23"/>
      <c r="AF132" s="20"/>
      <c r="AG132" s="20"/>
      <c r="AH132" s="22"/>
      <c r="AI132" s="22"/>
      <c r="AJ132" s="22"/>
    </row>
    <row r="133" spans="30:36">
      <c r="AD133" s="22"/>
      <c r="AE133" s="23"/>
      <c r="AF133" s="20"/>
      <c r="AG133" s="20"/>
      <c r="AH133" s="22"/>
      <c r="AI133" s="22"/>
      <c r="AJ133" s="22"/>
    </row>
    <row r="134" spans="30:36">
      <c r="AD134" s="22"/>
      <c r="AE134" s="23"/>
      <c r="AF134" s="20"/>
      <c r="AG134" s="20"/>
      <c r="AH134" s="22"/>
      <c r="AI134" s="22"/>
      <c r="AJ134" s="22"/>
    </row>
    <row r="135" spans="30:36">
      <c r="AD135" s="22"/>
      <c r="AE135" s="23"/>
      <c r="AF135" s="20"/>
      <c r="AG135" s="20"/>
      <c r="AH135" s="22"/>
      <c r="AI135" s="22"/>
      <c r="AJ135" s="22"/>
    </row>
    <row r="136" spans="30:36">
      <c r="AD136" s="22"/>
      <c r="AE136" s="23"/>
      <c r="AF136" s="20"/>
      <c r="AG136" s="20"/>
      <c r="AH136" s="22"/>
      <c r="AI136" s="22"/>
      <c r="AJ136" s="22"/>
    </row>
    <row r="137" spans="30:36">
      <c r="AD137" s="22"/>
      <c r="AE137" s="23"/>
      <c r="AF137" s="20"/>
      <c r="AG137" s="20"/>
      <c r="AH137" s="22"/>
      <c r="AI137" s="22"/>
      <c r="AJ137" s="22"/>
    </row>
    <row r="138" spans="30:36">
      <c r="AD138" s="22"/>
      <c r="AE138" s="23"/>
      <c r="AF138" s="20"/>
      <c r="AG138" s="20"/>
      <c r="AH138" s="22"/>
      <c r="AI138" s="22"/>
      <c r="AJ138" s="22"/>
    </row>
    <row r="139" spans="30:36">
      <c r="AD139" s="22"/>
      <c r="AE139" s="23"/>
      <c r="AF139" s="20"/>
      <c r="AG139" s="20"/>
      <c r="AH139" s="22"/>
      <c r="AI139" s="22"/>
      <c r="AJ139" s="22"/>
    </row>
    <row r="140" spans="30:36">
      <c r="AD140" s="22"/>
      <c r="AE140" s="23"/>
      <c r="AF140" s="20"/>
      <c r="AG140" s="20"/>
      <c r="AH140" s="22"/>
      <c r="AI140" s="22"/>
      <c r="AJ140" s="22"/>
    </row>
    <row r="141" spans="30:36">
      <c r="AD141" s="22"/>
      <c r="AE141" s="23"/>
      <c r="AF141" s="20"/>
      <c r="AG141" s="20"/>
      <c r="AH141" s="22"/>
      <c r="AI141" s="22"/>
      <c r="AJ141" s="22"/>
    </row>
    <row r="142" spans="30:36">
      <c r="AD142" s="22"/>
      <c r="AE142" s="23"/>
      <c r="AF142" s="20"/>
      <c r="AG142" s="20"/>
      <c r="AH142" s="22"/>
      <c r="AI142" s="22"/>
      <c r="AJ142" s="22"/>
    </row>
    <row r="143" spans="30:36">
      <c r="AD143" s="22"/>
      <c r="AE143" s="23"/>
      <c r="AF143" s="20"/>
      <c r="AG143" s="20"/>
      <c r="AH143" s="22"/>
      <c r="AI143" s="22"/>
      <c r="AJ143" s="22"/>
    </row>
    <row r="144" spans="30:36">
      <c r="AD144" s="22"/>
      <c r="AE144" s="23"/>
      <c r="AF144" s="20"/>
      <c r="AG144" s="20"/>
      <c r="AH144" s="22"/>
      <c r="AI144" s="22"/>
      <c r="AJ144" s="22"/>
    </row>
    <row r="145" spans="30:36">
      <c r="AD145" s="22"/>
      <c r="AE145" s="23"/>
      <c r="AF145" s="20"/>
      <c r="AG145" s="20"/>
      <c r="AH145" s="22"/>
      <c r="AI145" s="22"/>
      <c r="AJ145" s="22"/>
    </row>
    <row r="146" spans="30:36">
      <c r="AD146" s="22"/>
      <c r="AE146" s="23"/>
      <c r="AF146" s="20"/>
      <c r="AG146" s="20"/>
      <c r="AH146" s="22"/>
      <c r="AI146" s="22"/>
      <c r="AJ146" s="22"/>
    </row>
    <row r="147" spans="30:36">
      <c r="AD147" s="22"/>
      <c r="AE147" s="23"/>
      <c r="AF147" s="20"/>
      <c r="AG147" s="20"/>
      <c r="AH147" s="22"/>
      <c r="AI147" s="22"/>
      <c r="AJ147" s="22"/>
    </row>
    <row r="148" spans="30:36">
      <c r="AD148" s="22"/>
      <c r="AE148" s="23"/>
      <c r="AF148" s="20"/>
      <c r="AG148" s="20"/>
      <c r="AH148" s="22"/>
      <c r="AI148" s="22"/>
      <c r="AJ148" s="22"/>
    </row>
    <row r="149" spans="30:36">
      <c r="AD149" s="22"/>
      <c r="AE149" s="23"/>
      <c r="AF149" s="20"/>
      <c r="AG149" s="20"/>
      <c r="AH149" s="22"/>
      <c r="AI149" s="22"/>
      <c r="AJ149" s="22"/>
    </row>
    <row r="150" spans="30:36">
      <c r="AD150" s="22"/>
      <c r="AE150" s="23"/>
      <c r="AF150" s="20"/>
      <c r="AG150" s="20"/>
      <c r="AH150" s="22"/>
      <c r="AI150" s="22"/>
      <c r="AJ150" s="22"/>
    </row>
    <row r="151" spans="30:36">
      <c r="AD151" s="22"/>
      <c r="AE151" s="23"/>
      <c r="AF151" s="20"/>
      <c r="AG151" s="20"/>
      <c r="AH151" s="22"/>
      <c r="AI151" s="22"/>
      <c r="AJ151" s="22"/>
    </row>
    <row r="152" spans="30:36">
      <c r="AD152" s="22"/>
      <c r="AE152" s="23"/>
      <c r="AF152" s="20"/>
      <c r="AG152" s="20"/>
      <c r="AH152" s="22"/>
      <c r="AI152" s="22"/>
      <c r="AJ152" s="22"/>
    </row>
    <row r="153" spans="30:36">
      <c r="AD153" s="22"/>
      <c r="AE153" s="23"/>
      <c r="AF153" s="20"/>
      <c r="AG153" s="20"/>
      <c r="AH153" s="22"/>
      <c r="AI153" s="22"/>
      <c r="AJ153" s="22"/>
    </row>
    <row r="154" spans="30:36">
      <c r="AD154" s="22"/>
      <c r="AE154" s="23"/>
      <c r="AF154" s="20"/>
      <c r="AG154" s="20"/>
      <c r="AH154" s="22"/>
      <c r="AI154" s="22"/>
      <c r="AJ154" s="22"/>
    </row>
    <row r="155" spans="30:36">
      <c r="AD155" s="22"/>
      <c r="AE155" s="23"/>
      <c r="AF155" s="20"/>
      <c r="AG155" s="20"/>
      <c r="AH155" s="22"/>
      <c r="AI155" s="22"/>
      <c r="AJ155" s="22"/>
    </row>
    <row r="156" spans="30:36">
      <c r="AD156" s="22"/>
      <c r="AE156" s="23"/>
      <c r="AF156" s="20"/>
      <c r="AG156" s="20"/>
      <c r="AH156" s="22"/>
      <c r="AI156" s="22"/>
      <c r="AJ156" s="22"/>
    </row>
    <row r="157" spans="30:36">
      <c r="AD157" s="22"/>
      <c r="AE157" s="23"/>
      <c r="AF157" s="20"/>
      <c r="AG157" s="20"/>
      <c r="AH157" s="22"/>
      <c r="AI157" s="22"/>
      <c r="AJ157" s="22"/>
    </row>
    <row r="158" spans="30:36">
      <c r="AD158" s="22"/>
      <c r="AE158" s="23"/>
      <c r="AF158" s="20"/>
      <c r="AG158" s="20"/>
      <c r="AH158" s="22"/>
      <c r="AI158" s="22"/>
      <c r="AJ158" s="22"/>
    </row>
    <row r="159" spans="30:36">
      <c r="AD159" s="22"/>
      <c r="AE159" s="23"/>
      <c r="AF159" s="20"/>
      <c r="AG159" s="20"/>
      <c r="AH159" s="22"/>
      <c r="AI159" s="22"/>
      <c r="AJ159" s="22"/>
    </row>
    <row r="160" spans="30:36">
      <c r="AD160" s="22"/>
      <c r="AE160" s="23"/>
      <c r="AF160" s="20"/>
      <c r="AG160" s="20"/>
      <c r="AH160" s="22"/>
      <c r="AI160" s="22"/>
      <c r="AJ160" s="22"/>
    </row>
    <row r="161" spans="30:36">
      <c r="AD161" s="22"/>
      <c r="AE161" s="23"/>
      <c r="AF161" s="20"/>
      <c r="AG161" s="20"/>
      <c r="AH161" s="22"/>
      <c r="AI161" s="22"/>
      <c r="AJ161" s="22"/>
    </row>
    <row r="162" spans="30:36">
      <c r="AD162" s="22"/>
      <c r="AE162" s="23"/>
      <c r="AF162" s="20"/>
      <c r="AG162" s="20"/>
      <c r="AH162" s="22"/>
      <c r="AI162" s="22"/>
      <c r="AJ162" s="22"/>
    </row>
    <row r="163" spans="30:36">
      <c r="AD163" s="22"/>
      <c r="AE163" s="23"/>
      <c r="AF163" s="20"/>
      <c r="AG163" s="20"/>
      <c r="AH163" s="22"/>
      <c r="AI163" s="22"/>
      <c r="AJ163" s="22"/>
    </row>
    <row r="164" spans="30:36">
      <c r="AD164" s="22"/>
      <c r="AE164" s="23"/>
      <c r="AF164" s="20"/>
      <c r="AG164" s="20"/>
      <c r="AH164" s="22"/>
      <c r="AI164" s="22"/>
      <c r="AJ164" s="22"/>
    </row>
    <row r="165" spans="30:36">
      <c r="AD165" s="22"/>
      <c r="AE165" s="23"/>
      <c r="AF165" s="20"/>
      <c r="AG165" s="20"/>
      <c r="AH165" s="22"/>
      <c r="AI165" s="22"/>
      <c r="AJ165" s="22"/>
    </row>
    <row r="166" spans="30:36">
      <c r="AD166" s="22"/>
      <c r="AE166" s="23"/>
      <c r="AF166" s="20"/>
      <c r="AG166" s="20"/>
      <c r="AH166" s="22"/>
      <c r="AI166" s="22"/>
      <c r="AJ166" s="22"/>
    </row>
    <row r="167" spans="30:36">
      <c r="AD167" s="22"/>
      <c r="AE167" s="23"/>
      <c r="AF167" s="20"/>
      <c r="AG167" s="20"/>
      <c r="AH167" s="22"/>
      <c r="AI167" s="22"/>
      <c r="AJ167" s="22"/>
    </row>
    <row r="168" spans="30:36">
      <c r="AD168" s="22"/>
      <c r="AE168" s="23"/>
      <c r="AF168" s="20"/>
      <c r="AG168" s="20"/>
      <c r="AH168" s="22"/>
      <c r="AI168" s="22"/>
      <c r="AJ168" s="22"/>
    </row>
    <row r="169" spans="30:36">
      <c r="AD169" s="22"/>
      <c r="AE169" s="23"/>
      <c r="AF169" s="20"/>
      <c r="AG169" s="20"/>
      <c r="AH169" s="22"/>
      <c r="AI169" s="22"/>
      <c r="AJ169" s="22"/>
    </row>
    <row r="170" spans="30:36">
      <c r="AD170" s="22"/>
      <c r="AE170" s="23"/>
      <c r="AF170" s="20"/>
      <c r="AG170" s="20"/>
      <c r="AH170" s="22"/>
      <c r="AI170" s="22"/>
      <c r="AJ170" s="22"/>
    </row>
    <row r="171" spans="30:36">
      <c r="AD171" s="22"/>
      <c r="AE171" s="23"/>
      <c r="AF171" s="20"/>
      <c r="AG171" s="20"/>
      <c r="AH171" s="22"/>
      <c r="AI171" s="22"/>
      <c r="AJ171" s="22"/>
    </row>
    <row r="172" spans="30:36">
      <c r="AD172" s="22"/>
      <c r="AE172" s="23"/>
      <c r="AF172" s="20"/>
      <c r="AG172" s="20"/>
      <c r="AH172" s="22"/>
      <c r="AI172" s="22"/>
      <c r="AJ172" s="22"/>
    </row>
    <row r="173" spans="30:36">
      <c r="AD173" s="22"/>
      <c r="AE173" s="23"/>
      <c r="AF173" s="20"/>
      <c r="AG173" s="20"/>
      <c r="AH173" s="22"/>
      <c r="AI173" s="22"/>
      <c r="AJ173" s="22"/>
    </row>
    <row r="174" spans="30:36">
      <c r="AD174" s="22"/>
      <c r="AE174" s="23"/>
      <c r="AF174" s="20"/>
      <c r="AG174" s="20"/>
      <c r="AH174" s="22"/>
      <c r="AI174" s="22"/>
      <c r="AJ174" s="22"/>
    </row>
    <row r="175" spans="30:36">
      <c r="AD175" s="22"/>
      <c r="AE175" s="23"/>
      <c r="AF175" s="20"/>
      <c r="AG175" s="20"/>
      <c r="AH175" s="22"/>
      <c r="AI175" s="22"/>
      <c r="AJ175" s="22"/>
    </row>
    <row r="176" spans="30:36">
      <c r="AD176" s="22"/>
      <c r="AE176" s="23"/>
      <c r="AF176" s="20"/>
      <c r="AG176" s="20"/>
      <c r="AH176" s="22"/>
      <c r="AI176" s="22"/>
      <c r="AJ176" s="22"/>
    </row>
    <row r="177" spans="30:36">
      <c r="AD177" s="22"/>
      <c r="AE177" s="23"/>
      <c r="AF177" s="20"/>
      <c r="AG177" s="20"/>
      <c r="AH177" s="22"/>
      <c r="AI177" s="22"/>
      <c r="AJ177" s="22"/>
    </row>
    <row r="178" spans="30:36">
      <c r="AD178" s="22"/>
      <c r="AE178" s="23"/>
      <c r="AF178" s="20"/>
      <c r="AG178" s="20"/>
      <c r="AH178" s="22"/>
      <c r="AI178" s="22"/>
      <c r="AJ178" s="22"/>
    </row>
    <row r="179" spans="30:36">
      <c r="AD179" s="22"/>
      <c r="AE179" s="23"/>
      <c r="AF179" s="20"/>
      <c r="AG179" s="20"/>
      <c r="AH179" s="22"/>
      <c r="AI179" s="22"/>
      <c r="AJ179" s="22"/>
    </row>
    <row r="180" spans="30:36">
      <c r="AD180" s="22"/>
      <c r="AE180" s="23"/>
      <c r="AF180" s="20"/>
      <c r="AG180" s="20"/>
      <c r="AH180" s="22"/>
      <c r="AI180" s="22"/>
      <c r="AJ180" s="22"/>
    </row>
    <row r="181" spans="30:36">
      <c r="AD181" s="22"/>
      <c r="AE181" s="23"/>
      <c r="AF181" s="20"/>
      <c r="AG181" s="20"/>
      <c r="AH181" s="22"/>
      <c r="AI181" s="22"/>
      <c r="AJ181" s="22"/>
    </row>
    <row r="182" spans="30:36">
      <c r="AD182" s="22"/>
      <c r="AE182" s="23"/>
      <c r="AF182" s="20"/>
      <c r="AG182" s="20"/>
      <c r="AH182" s="22"/>
      <c r="AI182" s="22"/>
      <c r="AJ182" s="22"/>
    </row>
    <row r="183" spans="30:36">
      <c r="AD183" s="22"/>
      <c r="AE183" s="23"/>
      <c r="AF183" s="20"/>
      <c r="AG183" s="20"/>
      <c r="AH183" s="22"/>
      <c r="AI183" s="22"/>
      <c r="AJ183" s="22"/>
    </row>
    <row r="184" spans="30:36">
      <c r="AD184" s="22"/>
      <c r="AE184" s="23"/>
      <c r="AF184" s="20"/>
      <c r="AG184" s="20"/>
      <c r="AH184" s="22"/>
      <c r="AI184" s="22"/>
      <c r="AJ184" s="22"/>
    </row>
    <row r="185" spans="30:36">
      <c r="AD185" s="22"/>
      <c r="AE185" s="23"/>
      <c r="AF185" s="20"/>
      <c r="AG185" s="20"/>
      <c r="AH185" s="22"/>
      <c r="AI185" s="22"/>
      <c r="AJ185" s="22"/>
    </row>
    <row r="186" spans="30:36">
      <c r="AD186" s="22"/>
      <c r="AE186" s="23"/>
      <c r="AF186" s="20"/>
      <c r="AG186" s="20"/>
      <c r="AH186" s="22"/>
      <c r="AI186" s="22"/>
      <c r="AJ186" s="22"/>
    </row>
    <row r="187" spans="30:36">
      <c r="AD187" s="22"/>
      <c r="AE187" s="23"/>
      <c r="AF187" s="20"/>
      <c r="AG187" s="20"/>
      <c r="AH187" s="22"/>
      <c r="AI187" s="22"/>
      <c r="AJ187" s="22"/>
    </row>
    <row r="188" spans="30:36">
      <c r="AD188" s="22"/>
      <c r="AE188" s="23"/>
      <c r="AF188" s="20"/>
      <c r="AG188" s="20"/>
      <c r="AH188" s="22"/>
      <c r="AI188" s="22"/>
      <c r="AJ188" s="22"/>
    </row>
    <row r="189" spans="30:36">
      <c r="AD189" s="22"/>
      <c r="AE189" s="23"/>
      <c r="AF189" s="20"/>
      <c r="AG189" s="20"/>
      <c r="AH189" s="22"/>
      <c r="AI189" s="22"/>
      <c r="AJ189" s="22"/>
    </row>
    <row r="190" spans="30:36">
      <c r="AD190" s="22"/>
      <c r="AE190" s="23"/>
      <c r="AF190" s="20"/>
      <c r="AG190" s="20"/>
      <c r="AH190" s="22"/>
      <c r="AI190" s="22"/>
      <c r="AJ190" s="22"/>
    </row>
    <row r="191" spans="30:36">
      <c r="AD191" s="22"/>
      <c r="AE191" s="23"/>
      <c r="AF191" s="20"/>
      <c r="AG191" s="20"/>
      <c r="AH191" s="22"/>
      <c r="AI191" s="22"/>
      <c r="AJ191" s="22"/>
    </row>
    <row r="192" spans="30:36">
      <c r="AD192" s="22"/>
      <c r="AE192" s="23"/>
      <c r="AF192" s="20"/>
      <c r="AG192" s="20"/>
      <c r="AH192" s="22"/>
      <c r="AI192" s="22"/>
      <c r="AJ192" s="22"/>
    </row>
    <row r="193" spans="30:36">
      <c r="AD193" s="22"/>
      <c r="AE193" s="23"/>
      <c r="AF193" s="20"/>
      <c r="AG193" s="20"/>
      <c r="AH193" s="22"/>
      <c r="AI193" s="22"/>
      <c r="AJ193" s="22"/>
    </row>
    <row r="194" spans="30:36">
      <c r="AD194" s="22"/>
      <c r="AE194" s="23"/>
      <c r="AF194" s="20"/>
      <c r="AG194" s="20"/>
      <c r="AH194" s="22"/>
      <c r="AI194" s="22"/>
      <c r="AJ194" s="22"/>
    </row>
    <row r="195" spans="30:36">
      <c r="AD195" s="22"/>
      <c r="AE195" s="23"/>
      <c r="AF195" s="20"/>
      <c r="AG195" s="20"/>
      <c r="AH195" s="22"/>
      <c r="AI195" s="22"/>
      <c r="AJ195" s="22"/>
    </row>
    <row r="196" spans="30:36">
      <c r="AD196" s="22"/>
      <c r="AE196" s="23"/>
      <c r="AF196" s="20"/>
      <c r="AG196" s="20"/>
      <c r="AH196" s="22"/>
      <c r="AI196" s="22"/>
      <c r="AJ196" s="22"/>
    </row>
    <row r="197" spans="30:36">
      <c r="AD197" s="22"/>
      <c r="AE197" s="23"/>
      <c r="AF197" s="20"/>
      <c r="AG197" s="20"/>
      <c r="AH197" s="22"/>
      <c r="AI197" s="22"/>
      <c r="AJ197" s="22"/>
    </row>
    <row r="198" spans="30:36">
      <c r="AD198" s="22"/>
      <c r="AE198" s="23"/>
      <c r="AF198" s="20"/>
      <c r="AG198" s="20"/>
      <c r="AH198" s="22"/>
      <c r="AI198" s="22"/>
      <c r="AJ198" s="22"/>
    </row>
    <row r="199" spans="30:36">
      <c r="AD199" s="22"/>
      <c r="AE199" s="23"/>
      <c r="AF199" s="20"/>
      <c r="AG199" s="20"/>
      <c r="AH199" s="22"/>
      <c r="AI199" s="22"/>
      <c r="AJ199" s="22"/>
    </row>
    <row r="200" spans="30:36">
      <c r="AD200" s="22"/>
      <c r="AE200" s="23"/>
      <c r="AF200" s="20"/>
      <c r="AG200" s="20"/>
      <c r="AH200" s="22"/>
      <c r="AI200" s="22"/>
      <c r="AJ200" s="22"/>
    </row>
    <row r="201" spans="30:36">
      <c r="AD201" s="22"/>
      <c r="AE201" s="23"/>
      <c r="AF201" s="20"/>
      <c r="AG201" s="20"/>
      <c r="AH201" s="22"/>
      <c r="AI201" s="22"/>
      <c r="AJ201" s="22"/>
    </row>
    <row r="202" spans="30:36">
      <c r="AD202" s="22"/>
      <c r="AE202" s="23"/>
      <c r="AF202" s="20"/>
      <c r="AG202" s="20"/>
      <c r="AH202" s="22"/>
      <c r="AI202" s="22"/>
      <c r="AJ202" s="22"/>
    </row>
    <row r="203" spans="30:36">
      <c r="AD203" s="22"/>
      <c r="AE203" s="23"/>
      <c r="AF203" s="20"/>
      <c r="AG203" s="20"/>
      <c r="AH203" s="22"/>
      <c r="AI203" s="22"/>
      <c r="AJ203" s="22"/>
    </row>
    <row r="204" spans="30:36">
      <c r="AD204" s="22"/>
      <c r="AE204" s="23"/>
      <c r="AF204" s="20"/>
      <c r="AG204" s="20"/>
      <c r="AH204" s="22"/>
      <c r="AI204" s="22"/>
      <c r="AJ204" s="22"/>
    </row>
    <row r="205" spans="30:36">
      <c r="AD205" s="22"/>
      <c r="AE205" s="23"/>
      <c r="AF205" s="20"/>
      <c r="AG205" s="20"/>
      <c r="AH205" s="22"/>
      <c r="AI205" s="22"/>
      <c r="AJ205" s="22"/>
    </row>
    <row r="206" spans="30:36">
      <c r="AD206" s="22"/>
      <c r="AE206" s="23"/>
      <c r="AF206" s="20"/>
      <c r="AG206" s="20"/>
      <c r="AH206" s="22"/>
      <c r="AI206" s="22"/>
      <c r="AJ206" s="22"/>
    </row>
    <row r="207" spans="30:36">
      <c r="AD207" s="22"/>
      <c r="AE207" s="23"/>
      <c r="AF207" s="20"/>
      <c r="AG207" s="20"/>
      <c r="AH207" s="22"/>
      <c r="AI207" s="22"/>
      <c r="AJ207" s="22"/>
    </row>
    <row r="208" spans="30:36">
      <c r="AD208" s="22"/>
      <c r="AE208" s="23"/>
      <c r="AF208" s="20"/>
      <c r="AG208" s="20"/>
      <c r="AH208" s="22"/>
      <c r="AI208" s="22"/>
      <c r="AJ208" s="22"/>
    </row>
    <row r="209" spans="30:36">
      <c r="AD209" s="22"/>
      <c r="AE209" s="23"/>
      <c r="AF209" s="20"/>
      <c r="AG209" s="20"/>
      <c r="AH209" s="22"/>
      <c r="AI209" s="22"/>
      <c r="AJ209" s="22"/>
    </row>
    <row r="210" spans="30:36">
      <c r="AD210" s="22"/>
      <c r="AE210" s="23"/>
      <c r="AF210" s="20"/>
      <c r="AG210" s="20"/>
      <c r="AH210" s="22"/>
      <c r="AI210" s="22"/>
      <c r="AJ210" s="22"/>
    </row>
    <row r="211" spans="30:36">
      <c r="AD211" s="22"/>
      <c r="AE211" s="23"/>
      <c r="AF211" s="20"/>
      <c r="AG211" s="20"/>
      <c r="AH211" s="22"/>
      <c r="AI211" s="22"/>
      <c r="AJ211" s="22"/>
    </row>
    <row r="212" spans="30:36">
      <c r="AD212" s="22"/>
      <c r="AE212" s="23"/>
      <c r="AF212" s="20"/>
      <c r="AG212" s="20"/>
      <c r="AH212" s="22"/>
      <c r="AI212" s="22"/>
      <c r="AJ212" s="22"/>
    </row>
    <row r="213" spans="30:36">
      <c r="AD213" s="22"/>
      <c r="AE213" s="23"/>
      <c r="AF213" s="20"/>
      <c r="AG213" s="20"/>
      <c r="AH213" s="22"/>
      <c r="AI213" s="22"/>
      <c r="AJ213" s="22"/>
    </row>
    <row r="214" spans="30:36">
      <c r="AD214" s="22"/>
      <c r="AE214" s="23"/>
      <c r="AF214" s="20"/>
      <c r="AG214" s="20"/>
      <c r="AH214" s="22"/>
      <c r="AI214" s="22"/>
      <c r="AJ214" s="22"/>
    </row>
    <row r="215" spans="30:36">
      <c r="AD215" s="22"/>
      <c r="AE215" s="23"/>
      <c r="AF215" s="20"/>
      <c r="AG215" s="20"/>
      <c r="AH215" s="22"/>
      <c r="AI215" s="22"/>
      <c r="AJ215" s="22"/>
    </row>
    <row r="216" spans="30:36">
      <c r="AD216" s="22"/>
      <c r="AE216" s="23"/>
      <c r="AF216" s="20"/>
      <c r="AG216" s="20"/>
      <c r="AH216" s="22"/>
      <c r="AI216" s="22"/>
      <c r="AJ216" s="22"/>
    </row>
    <row r="217" spans="30:36">
      <c r="AD217" s="22"/>
      <c r="AE217" s="23"/>
      <c r="AF217" s="20"/>
      <c r="AG217" s="20"/>
      <c r="AH217" s="22"/>
      <c r="AI217" s="22"/>
      <c r="AJ217" s="22"/>
    </row>
    <row r="218" spans="30:36">
      <c r="AD218" s="22"/>
      <c r="AE218" s="23"/>
      <c r="AF218" s="20"/>
      <c r="AG218" s="20"/>
      <c r="AH218" s="22"/>
      <c r="AI218" s="22"/>
      <c r="AJ218" s="22"/>
    </row>
    <row r="219" spans="30:36">
      <c r="AD219" s="22"/>
      <c r="AE219" s="23"/>
      <c r="AF219" s="20"/>
      <c r="AG219" s="20"/>
      <c r="AH219" s="22"/>
      <c r="AI219" s="22"/>
      <c r="AJ219" s="22"/>
    </row>
    <row r="220" spans="30:36">
      <c r="AD220" s="22"/>
      <c r="AE220" s="23"/>
      <c r="AF220" s="20"/>
      <c r="AG220" s="20"/>
      <c r="AH220" s="22"/>
      <c r="AI220" s="22"/>
      <c r="AJ220" s="22"/>
    </row>
    <row r="221" spans="30:36">
      <c r="AD221" s="22"/>
      <c r="AE221" s="23"/>
      <c r="AF221" s="20"/>
      <c r="AG221" s="20"/>
      <c r="AH221" s="22"/>
      <c r="AI221" s="22"/>
      <c r="AJ221" s="22"/>
    </row>
    <row r="222" spans="30:36">
      <c r="AD222" s="22"/>
      <c r="AE222" s="23"/>
      <c r="AF222" s="20"/>
      <c r="AG222" s="20"/>
      <c r="AH222" s="22"/>
      <c r="AI222" s="22"/>
      <c r="AJ222" s="22"/>
    </row>
    <row r="223" spans="30:36">
      <c r="AD223" s="22"/>
      <c r="AE223" s="23"/>
      <c r="AF223" s="20"/>
      <c r="AG223" s="20"/>
      <c r="AH223" s="22"/>
      <c r="AI223" s="22"/>
      <c r="AJ223" s="22"/>
    </row>
    <row r="224" spans="30:36">
      <c r="AD224" s="22"/>
      <c r="AE224" s="23"/>
      <c r="AF224" s="20"/>
      <c r="AG224" s="20"/>
      <c r="AH224" s="22"/>
      <c r="AI224" s="22"/>
      <c r="AJ224" s="22"/>
    </row>
    <row r="225" spans="30:36">
      <c r="AD225" s="22"/>
      <c r="AE225" s="23"/>
      <c r="AF225" s="20"/>
      <c r="AG225" s="20"/>
      <c r="AH225" s="22"/>
      <c r="AI225" s="22"/>
      <c r="AJ225" s="22"/>
    </row>
    <row r="226" spans="30:36">
      <c r="AD226" s="22"/>
      <c r="AE226" s="23"/>
      <c r="AF226" s="20"/>
      <c r="AG226" s="20"/>
      <c r="AH226" s="22"/>
      <c r="AI226" s="22"/>
      <c r="AJ226" s="22"/>
    </row>
    <row r="227" spans="30:36">
      <c r="AD227" s="22"/>
      <c r="AE227" s="23"/>
      <c r="AF227" s="20"/>
      <c r="AG227" s="20"/>
      <c r="AH227" s="22"/>
      <c r="AI227" s="22"/>
      <c r="AJ227" s="22"/>
    </row>
    <row r="228" spans="30:36">
      <c r="AD228" s="22"/>
      <c r="AE228" s="23"/>
      <c r="AF228" s="20"/>
      <c r="AG228" s="20"/>
      <c r="AH228" s="22"/>
      <c r="AI228" s="22"/>
      <c r="AJ228" s="22"/>
    </row>
    <row r="229" spans="30:36">
      <c r="AD229" s="22"/>
      <c r="AE229" s="23"/>
      <c r="AF229" s="20"/>
      <c r="AG229" s="20"/>
      <c r="AH229" s="22"/>
      <c r="AI229" s="22"/>
      <c r="AJ229" s="22"/>
    </row>
    <row r="230" spans="30:36">
      <c r="AD230" s="22"/>
      <c r="AE230" s="23"/>
      <c r="AF230" s="20"/>
      <c r="AG230" s="20"/>
      <c r="AH230" s="22"/>
      <c r="AI230" s="22"/>
      <c r="AJ230" s="22"/>
    </row>
    <row r="231" spans="30:36">
      <c r="AD231" s="22"/>
      <c r="AE231" s="23"/>
      <c r="AF231" s="20"/>
      <c r="AG231" s="20"/>
      <c r="AH231" s="22"/>
      <c r="AI231" s="22"/>
      <c r="AJ231" s="22"/>
    </row>
    <row r="232" spans="30:36">
      <c r="AD232" s="22"/>
      <c r="AE232" s="23"/>
      <c r="AF232" s="20"/>
      <c r="AG232" s="20"/>
      <c r="AH232" s="22"/>
      <c r="AI232" s="22"/>
      <c r="AJ232" s="22"/>
    </row>
    <row r="233" spans="30:36">
      <c r="AD233" s="22"/>
      <c r="AE233" s="23"/>
      <c r="AF233" s="20"/>
      <c r="AG233" s="20"/>
      <c r="AH233" s="22"/>
      <c r="AI233" s="22"/>
      <c r="AJ233" s="22"/>
    </row>
    <row r="234" spans="30:36">
      <c r="AD234" s="22"/>
      <c r="AE234" s="23"/>
      <c r="AF234" s="20"/>
      <c r="AG234" s="20"/>
      <c r="AH234" s="22"/>
      <c r="AI234" s="22"/>
      <c r="AJ234" s="22"/>
    </row>
    <row r="235" spans="30:36">
      <c r="AD235" s="22"/>
      <c r="AE235" s="23"/>
      <c r="AF235" s="20"/>
      <c r="AG235" s="20"/>
      <c r="AH235" s="22"/>
      <c r="AI235" s="22"/>
      <c r="AJ235" s="22"/>
    </row>
    <row r="236" spans="30:36">
      <c r="AD236" s="22"/>
      <c r="AE236" s="23"/>
      <c r="AF236" s="20"/>
      <c r="AG236" s="20"/>
      <c r="AH236" s="22"/>
      <c r="AI236" s="22"/>
      <c r="AJ236" s="22"/>
    </row>
    <row r="237" spans="30:36">
      <c r="AD237" s="22"/>
      <c r="AE237" s="23"/>
      <c r="AF237" s="20"/>
      <c r="AG237" s="20"/>
      <c r="AH237" s="22"/>
      <c r="AI237" s="22"/>
      <c r="AJ237" s="22"/>
    </row>
    <row r="238" spans="30:36">
      <c r="AD238" s="22"/>
      <c r="AE238" s="23"/>
      <c r="AF238" s="20"/>
      <c r="AG238" s="20"/>
      <c r="AH238" s="22"/>
      <c r="AI238" s="22"/>
      <c r="AJ238" s="22"/>
    </row>
    <row r="239" spans="30:36">
      <c r="AD239" s="22"/>
      <c r="AE239" s="23"/>
      <c r="AF239" s="20"/>
      <c r="AG239" s="20"/>
      <c r="AH239" s="22"/>
      <c r="AI239" s="22"/>
      <c r="AJ239" s="22"/>
    </row>
    <row r="240" spans="30:36">
      <c r="AD240" s="22"/>
      <c r="AE240" s="23"/>
      <c r="AF240" s="20"/>
      <c r="AG240" s="20"/>
      <c r="AH240" s="22"/>
      <c r="AI240" s="22"/>
      <c r="AJ240" s="22"/>
    </row>
    <row r="241" spans="30:36">
      <c r="AD241" s="22"/>
      <c r="AE241" s="23"/>
      <c r="AF241" s="20"/>
      <c r="AG241" s="20"/>
      <c r="AH241" s="22"/>
      <c r="AI241" s="22"/>
      <c r="AJ241" s="22"/>
    </row>
    <row r="242" spans="30:36">
      <c r="AD242" s="22"/>
      <c r="AE242" s="23"/>
      <c r="AF242" s="20"/>
      <c r="AG242" s="20"/>
      <c r="AH242" s="22"/>
      <c r="AI242" s="22"/>
      <c r="AJ242" s="22"/>
    </row>
    <row r="243" spans="30:36">
      <c r="AD243" s="22"/>
      <c r="AE243" s="23"/>
      <c r="AF243" s="20"/>
      <c r="AG243" s="20"/>
      <c r="AH243" s="22"/>
      <c r="AI243" s="22"/>
      <c r="AJ243" s="22"/>
    </row>
    <row r="244" spans="30:36">
      <c r="AD244" s="22"/>
      <c r="AE244" s="23"/>
      <c r="AF244" s="20"/>
      <c r="AG244" s="20"/>
      <c r="AH244" s="22"/>
      <c r="AI244" s="22"/>
      <c r="AJ244" s="22"/>
    </row>
    <row r="245" spans="30:36">
      <c r="AD245" s="22"/>
      <c r="AE245" s="23"/>
      <c r="AF245" s="20"/>
      <c r="AG245" s="20"/>
      <c r="AH245" s="22"/>
      <c r="AI245" s="22"/>
      <c r="AJ245" s="22"/>
    </row>
    <row r="246" spans="30:36">
      <c r="AD246" s="22"/>
      <c r="AE246" s="23"/>
      <c r="AF246" s="20"/>
      <c r="AG246" s="20"/>
      <c r="AH246" s="22"/>
      <c r="AI246" s="22"/>
      <c r="AJ246" s="22"/>
    </row>
    <row r="247" spans="30:36">
      <c r="AD247" s="22"/>
      <c r="AE247" s="23"/>
      <c r="AF247" s="20"/>
      <c r="AG247" s="20"/>
      <c r="AH247" s="22"/>
      <c r="AI247" s="22"/>
      <c r="AJ247" s="22"/>
    </row>
    <row r="248" spans="30:36">
      <c r="AD248" s="22"/>
      <c r="AE248" s="23"/>
      <c r="AF248" s="20"/>
      <c r="AG248" s="20"/>
      <c r="AH248" s="22"/>
      <c r="AI248" s="22"/>
      <c r="AJ248" s="22"/>
    </row>
    <row r="249" spans="30:36">
      <c r="AD249" s="22"/>
      <c r="AE249" s="23"/>
      <c r="AF249" s="20"/>
      <c r="AG249" s="20"/>
      <c r="AH249" s="22"/>
      <c r="AI249" s="22"/>
      <c r="AJ249" s="22"/>
    </row>
    <row r="250" spans="30:36">
      <c r="AD250" s="22"/>
      <c r="AE250" s="23"/>
      <c r="AF250" s="20"/>
      <c r="AG250" s="20"/>
      <c r="AH250" s="22"/>
      <c r="AI250" s="22"/>
      <c r="AJ250" s="22"/>
    </row>
    <row r="251" spans="30:36">
      <c r="AD251" s="22"/>
      <c r="AE251" s="23"/>
      <c r="AF251" s="20"/>
      <c r="AG251" s="20"/>
      <c r="AH251" s="22"/>
      <c r="AI251" s="22"/>
      <c r="AJ251" s="22"/>
    </row>
    <row r="252" spans="30:36">
      <c r="AD252" s="22"/>
      <c r="AE252" s="23"/>
      <c r="AF252" s="20"/>
      <c r="AG252" s="20"/>
      <c r="AH252" s="22"/>
      <c r="AI252" s="22"/>
      <c r="AJ252" s="22"/>
    </row>
    <row r="253" spans="30:36">
      <c r="AD253" s="22"/>
      <c r="AE253" s="23"/>
      <c r="AF253" s="20"/>
      <c r="AG253" s="20"/>
      <c r="AH253" s="22"/>
      <c r="AI253" s="22"/>
      <c r="AJ253" s="22"/>
    </row>
    <row r="254" spans="30:36">
      <c r="AD254" s="22"/>
      <c r="AE254" s="23"/>
      <c r="AF254" s="20"/>
      <c r="AG254" s="20"/>
      <c r="AH254" s="22"/>
      <c r="AI254" s="22"/>
      <c r="AJ254" s="22"/>
    </row>
    <row r="255" spans="30:36">
      <c r="AD255" s="22"/>
      <c r="AE255" s="23"/>
      <c r="AF255" s="20"/>
      <c r="AG255" s="20"/>
      <c r="AH255" s="22"/>
      <c r="AI255" s="22"/>
      <c r="AJ255" s="22"/>
    </row>
    <row r="256" spans="30:36">
      <c r="AD256" s="22"/>
      <c r="AE256" s="23"/>
      <c r="AF256" s="20"/>
      <c r="AG256" s="20"/>
      <c r="AH256" s="22"/>
      <c r="AI256" s="22"/>
      <c r="AJ256" s="22"/>
    </row>
    <row r="257" spans="30:36">
      <c r="AD257" s="22"/>
      <c r="AE257" s="23"/>
      <c r="AF257" s="20"/>
      <c r="AG257" s="20"/>
      <c r="AH257" s="22"/>
      <c r="AI257" s="22"/>
      <c r="AJ257" s="22"/>
    </row>
    <row r="258" spans="30:36">
      <c r="AD258" s="22"/>
      <c r="AE258" s="23"/>
      <c r="AF258" s="20"/>
      <c r="AG258" s="20"/>
      <c r="AH258" s="22"/>
      <c r="AI258" s="22"/>
      <c r="AJ258" s="22"/>
    </row>
    <row r="259" spans="30:36">
      <c r="AD259" s="22"/>
      <c r="AE259" s="23"/>
      <c r="AF259" s="20"/>
      <c r="AG259" s="20"/>
      <c r="AH259" s="22"/>
      <c r="AI259" s="22"/>
      <c r="AJ259" s="22"/>
    </row>
    <row r="260" spans="30:36">
      <c r="AD260" s="22"/>
      <c r="AE260" s="23"/>
      <c r="AF260" s="20"/>
      <c r="AG260" s="20"/>
      <c r="AH260" s="22"/>
      <c r="AI260" s="22"/>
      <c r="AJ260" s="22"/>
    </row>
    <row r="261" spans="30:36">
      <c r="AD261" s="22"/>
      <c r="AE261" s="23"/>
      <c r="AF261" s="20"/>
      <c r="AG261" s="20"/>
      <c r="AH261" s="22"/>
      <c r="AI261" s="22"/>
      <c r="AJ261" s="22"/>
    </row>
    <row r="262" spans="30:36">
      <c r="AD262" s="22"/>
      <c r="AE262" s="23"/>
      <c r="AF262" s="20"/>
      <c r="AG262" s="20"/>
      <c r="AH262" s="22"/>
      <c r="AI262" s="22"/>
      <c r="AJ262" s="22"/>
    </row>
    <row r="263" spans="30:36">
      <c r="AD263" s="22"/>
      <c r="AE263" s="23"/>
      <c r="AF263" s="20"/>
      <c r="AG263" s="20"/>
      <c r="AH263" s="22"/>
      <c r="AI263" s="22"/>
      <c r="AJ263" s="22"/>
    </row>
    <row r="264" spans="30:36">
      <c r="AD264" s="22"/>
      <c r="AE264" s="23"/>
      <c r="AF264" s="20"/>
      <c r="AG264" s="20"/>
      <c r="AH264" s="22"/>
      <c r="AI264" s="22"/>
      <c r="AJ264" s="22"/>
    </row>
    <row r="265" spans="30:36">
      <c r="AD265" s="22"/>
      <c r="AE265" s="23"/>
      <c r="AF265" s="20"/>
      <c r="AG265" s="20"/>
      <c r="AH265" s="22"/>
      <c r="AI265" s="22"/>
      <c r="AJ265" s="22"/>
    </row>
    <row r="266" spans="30:36">
      <c r="AD266" s="22"/>
      <c r="AE266" s="23"/>
      <c r="AF266" s="20"/>
      <c r="AG266" s="20"/>
      <c r="AH266" s="22"/>
      <c r="AI266" s="22"/>
      <c r="AJ266" s="22"/>
    </row>
    <row r="267" spans="30:36">
      <c r="AD267" s="22"/>
      <c r="AE267" s="23"/>
      <c r="AF267" s="20"/>
      <c r="AG267" s="20"/>
      <c r="AH267" s="22"/>
      <c r="AI267" s="22"/>
      <c r="AJ267" s="22"/>
    </row>
    <row r="268" spans="30:36">
      <c r="AD268" s="22"/>
      <c r="AE268" s="23"/>
      <c r="AF268" s="20"/>
      <c r="AG268" s="20"/>
      <c r="AH268" s="22"/>
      <c r="AI268" s="22"/>
      <c r="AJ268" s="22"/>
    </row>
    <row r="269" spans="30:36">
      <c r="AD269" s="22"/>
      <c r="AE269" s="23"/>
      <c r="AF269" s="20"/>
      <c r="AG269" s="20"/>
      <c r="AH269" s="22"/>
      <c r="AI269" s="22"/>
      <c r="AJ269" s="22"/>
    </row>
    <row r="270" spans="30:36">
      <c r="AD270" s="22"/>
      <c r="AE270" s="23"/>
      <c r="AF270" s="20"/>
      <c r="AG270" s="20"/>
      <c r="AH270" s="22"/>
      <c r="AI270" s="22"/>
      <c r="AJ270" s="22"/>
    </row>
    <row r="271" spans="30:36">
      <c r="AD271" s="22"/>
      <c r="AE271" s="23"/>
      <c r="AF271" s="20"/>
      <c r="AG271" s="20"/>
      <c r="AH271" s="22"/>
      <c r="AI271" s="22"/>
      <c r="AJ271" s="22"/>
    </row>
    <row r="272" spans="30:36">
      <c r="AD272" s="22"/>
      <c r="AE272" s="23"/>
      <c r="AF272" s="20"/>
      <c r="AG272" s="20"/>
      <c r="AH272" s="22"/>
      <c r="AI272" s="22"/>
      <c r="AJ272" s="22"/>
    </row>
    <row r="273" spans="30:36">
      <c r="AD273" s="22"/>
      <c r="AE273" s="23"/>
      <c r="AF273" s="20"/>
      <c r="AG273" s="20"/>
      <c r="AH273" s="22"/>
      <c r="AI273" s="22"/>
      <c r="AJ273" s="22"/>
    </row>
    <row r="274" spans="30:36">
      <c r="AD274" s="22"/>
      <c r="AE274" s="23"/>
      <c r="AF274" s="20"/>
      <c r="AG274" s="20"/>
      <c r="AH274" s="22"/>
      <c r="AI274" s="22"/>
      <c r="AJ274" s="22"/>
    </row>
    <row r="275" spans="30:36">
      <c r="AD275" s="22"/>
      <c r="AE275" s="23"/>
      <c r="AF275" s="20"/>
      <c r="AG275" s="20"/>
      <c r="AH275" s="22"/>
      <c r="AI275" s="22"/>
      <c r="AJ275" s="22"/>
    </row>
    <row r="276" spans="30:36">
      <c r="AD276" s="22"/>
      <c r="AE276" s="23"/>
      <c r="AF276" s="20"/>
      <c r="AG276" s="20"/>
      <c r="AH276" s="22"/>
      <c r="AI276" s="22"/>
      <c r="AJ276" s="22"/>
    </row>
    <row r="277" spans="30:36">
      <c r="AD277" s="22"/>
      <c r="AE277" s="23"/>
      <c r="AF277" s="20"/>
      <c r="AG277" s="20"/>
      <c r="AH277" s="22"/>
      <c r="AI277" s="22"/>
      <c r="AJ277" s="22"/>
    </row>
    <row r="278" spans="30:36">
      <c r="AD278" s="22"/>
      <c r="AE278" s="23"/>
      <c r="AF278" s="20"/>
      <c r="AG278" s="20"/>
      <c r="AH278" s="22"/>
      <c r="AI278" s="22"/>
      <c r="AJ278" s="22"/>
    </row>
    <row r="279" spans="30:36">
      <c r="AD279" s="22"/>
      <c r="AE279" s="23"/>
      <c r="AF279" s="20"/>
      <c r="AG279" s="20"/>
      <c r="AH279" s="22"/>
      <c r="AI279" s="22"/>
      <c r="AJ279" s="22"/>
    </row>
    <row r="280" spans="30:36">
      <c r="AD280" s="22"/>
      <c r="AE280" s="23"/>
      <c r="AF280" s="20"/>
      <c r="AG280" s="20"/>
      <c r="AH280" s="22"/>
      <c r="AI280" s="22"/>
      <c r="AJ280" s="22"/>
    </row>
    <row r="281" spans="30:36">
      <c r="AD281" s="22"/>
      <c r="AE281" s="23"/>
      <c r="AF281" s="20"/>
      <c r="AG281" s="20"/>
      <c r="AH281" s="22"/>
      <c r="AI281" s="22"/>
      <c r="AJ281" s="22"/>
    </row>
    <row r="282" spans="30:36">
      <c r="AD282" s="22"/>
      <c r="AE282" s="23"/>
      <c r="AF282" s="20"/>
      <c r="AG282" s="20"/>
      <c r="AH282" s="22"/>
      <c r="AI282" s="22"/>
      <c r="AJ282" s="22"/>
    </row>
    <row r="283" spans="30:36">
      <c r="AD283" s="22"/>
      <c r="AE283" s="23"/>
      <c r="AF283" s="20"/>
      <c r="AG283" s="20"/>
      <c r="AH283" s="22"/>
      <c r="AI283" s="22"/>
      <c r="AJ283" s="22"/>
    </row>
    <row r="284" spans="30:36">
      <c r="AD284" s="22"/>
      <c r="AE284" s="23"/>
      <c r="AF284" s="20"/>
      <c r="AG284" s="20"/>
      <c r="AH284" s="22"/>
      <c r="AI284" s="22"/>
      <c r="AJ284" s="22"/>
    </row>
    <row r="285" spans="30:36">
      <c r="AD285" s="22"/>
      <c r="AE285" s="23"/>
      <c r="AF285" s="20"/>
      <c r="AG285" s="20"/>
      <c r="AH285" s="22"/>
      <c r="AI285" s="22"/>
      <c r="AJ285" s="22"/>
    </row>
    <row r="286" spans="30:36">
      <c r="AD286" s="22"/>
      <c r="AE286" s="23"/>
      <c r="AF286" s="20"/>
      <c r="AG286" s="20"/>
      <c r="AH286" s="22"/>
      <c r="AI286" s="22"/>
      <c r="AJ286" s="22"/>
    </row>
    <row r="287" spans="30:36">
      <c r="AD287" s="22"/>
      <c r="AE287" s="23"/>
      <c r="AF287" s="20"/>
      <c r="AG287" s="20"/>
      <c r="AH287" s="22"/>
      <c r="AI287" s="22"/>
      <c r="AJ287" s="22"/>
    </row>
    <row r="288" spans="30:36">
      <c r="AD288" s="22"/>
      <c r="AE288" s="23"/>
      <c r="AF288" s="20"/>
      <c r="AG288" s="20"/>
      <c r="AH288" s="22"/>
      <c r="AI288" s="22"/>
      <c r="AJ288" s="22"/>
    </row>
    <row r="289" spans="30:36">
      <c r="AD289" s="22"/>
      <c r="AE289" s="23"/>
      <c r="AF289" s="20"/>
      <c r="AG289" s="20"/>
      <c r="AH289" s="22"/>
      <c r="AI289" s="22"/>
      <c r="AJ289" s="22"/>
    </row>
    <row r="290" spans="30:36">
      <c r="AD290" s="22"/>
      <c r="AE290" s="23"/>
      <c r="AF290" s="20"/>
      <c r="AG290" s="20"/>
      <c r="AH290" s="22"/>
      <c r="AI290" s="22"/>
      <c r="AJ290" s="22"/>
    </row>
    <row r="291" spans="30:36">
      <c r="AD291" s="22"/>
      <c r="AE291" s="23"/>
      <c r="AF291" s="20"/>
      <c r="AG291" s="20"/>
      <c r="AH291" s="22"/>
      <c r="AI291" s="22"/>
      <c r="AJ291" s="22"/>
    </row>
    <row r="292" spans="30:36">
      <c r="AD292" s="22"/>
      <c r="AE292" s="23"/>
      <c r="AF292" s="20"/>
      <c r="AG292" s="20"/>
      <c r="AH292" s="22"/>
      <c r="AI292" s="22"/>
      <c r="AJ292" s="22"/>
    </row>
    <row r="293" spans="30:36">
      <c r="AD293" s="22"/>
      <c r="AE293" s="23"/>
      <c r="AF293" s="20"/>
      <c r="AG293" s="20"/>
      <c r="AH293" s="22"/>
      <c r="AI293" s="22"/>
      <c r="AJ293" s="22"/>
    </row>
    <row r="294" spans="30:36">
      <c r="AD294" s="22"/>
      <c r="AE294" s="23"/>
      <c r="AF294" s="20"/>
      <c r="AG294" s="20"/>
      <c r="AH294" s="22"/>
      <c r="AI294" s="22"/>
      <c r="AJ294" s="22"/>
    </row>
    <row r="295" spans="30:36">
      <c r="AD295" s="22"/>
      <c r="AE295" s="23"/>
      <c r="AF295" s="20"/>
      <c r="AG295" s="20"/>
      <c r="AH295" s="22"/>
      <c r="AI295" s="22"/>
      <c r="AJ295" s="22"/>
    </row>
    <row r="296" spans="30:36">
      <c r="AD296" s="22"/>
      <c r="AE296" s="23"/>
      <c r="AF296" s="20"/>
      <c r="AG296" s="20"/>
      <c r="AH296" s="22"/>
      <c r="AI296" s="22"/>
      <c r="AJ296" s="22"/>
    </row>
    <row r="297" spans="30:36">
      <c r="AD297" s="22"/>
      <c r="AE297" s="23"/>
      <c r="AF297" s="20"/>
      <c r="AG297" s="20"/>
      <c r="AH297" s="22"/>
      <c r="AI297" s="22"/>
      <c r="AJ297" s="22"/>
    </row>
    <row r="298" spans="30:36">
      <c r="AD298" s="22"/>
      <c r="AE298" s="23"/>
      <c r="AF298" s="20"/>
      <c r="AG298" s="20"/>
      <c r="AH298" s="22"/>
      <c r="AI298" s="22"/>
      <c r="AJ298" s="22"/>
    </row>
    <row r="299" spans="30:36">
      <c r="AD299" s="22"/>
      <c r="AE299" s="23"/>
      <c r="AF299" s="20"/>
      <c r="AG299" s="20"/>
      <c r="AH299" s="22"/>
      <c r="AI299" s="22"/>
      <c r="AJ299" s="22"/>
    </row>
    <row r="300" spans="30:36">
      <c r="AD300" s="22"/>
      <c r="AE300" s="23"/>
      <c r="AF300" s="20"/>
      <c r="AG300" s="20"/>
      <c r="AH300" s="22"/>
      <c r="AI300" s="22"/>
      <c r="AJ300" s="22"/>
    </row>
    <row r="301" spans="30:36">
      <c r="AD301" s="22"/>
      <c r="AE301" s="23"/>
      <c r="AF301" s="20"/>
      <c r="AG301" s="20"/>
      <c r="AH301" s="22"/>
      <c r="AI301" s="22"/>
      <c r="AJ301" s="22"/>
    </row>
    <row r="302" spans="30:36">
      <c r="AD302" s="22"/>
      <c r="AE302" s="23"/>
      <c r="AF302" s="20"/>
      <c r="AG302" s="20"/>
      <c r="AH302" s="22"/>
      <c r="AI302" s="22"/>
      <c r="AJ302" s="22"/>
    </row>
    <row r="303" spans="30:36">
      <c r="AD303" s="22"/>
      <c r="AE303" s="23"/>
      <c r="AF303" s="20"/>
      <c r="AG303" s="20"/>
      <c r="AH303" s="22"/>
      <c r="AI303" s="22"/>
      <c r="AJ303" s="22"/>
    </row>
    <row r="304" spans="30:36">
      <c r="AD304" s="22"/>
      <c r="AE304" s="23"/>
      <c r="AF304" s="20"/>
      <c r="AG304" s="20"/>
      <c r="AH304" s="22"/>
      <c r="AI304" s="22"/>
      <c r="AJ304" s="22"/>
    </row>
    <row r="305" spans="30:36">
      <c r="AD305" s="22"/>
      <c r="AE305" s="23"/>
      <c r="AF305" s="20"/>
      <c r="AG305" s="20"/>
      <c r="AH305" s="22"/>
      <c r="AI305" s="22"/>
      <c r="AJ305" s="22"/>
    </row>
    <row r="306" spans="30:36">
      <c r="AD306" s="22"/>
      <c r="AE306" s="23"/>
      <c r="AF306" s="20"/>
      <c r="AG306" s="20"/>
      <c r="AH306" s="22"/>
      <c r="AI306" s="22"/>
      <c r="AJ306" s="22"/>
    </row>
    <row r="307" spans="30:36">
      <c r="AD307" s="22"/>
      <c r="AE307" s="23"/>
      <c r="AF307" s="20"/>
      <c r="AG307" s="20"/>
      <c r="AH307" s="22"/>
      <c r="AI307" s="22"/>
      <c r="AJ307" s="22"/>
    </row>
    <row r="308" spans="30:36">
      <c r="AD308" s="22"/>
      <c r="AE308" s="23"/>
      <c r="AF308" s="20"/>
      <c r="AG308" s="20"/>
      <c r="AH308" s="22"/>
      <c r="AI308" s="22"/>
      <c r="AJ308" s="22"/>
    </row>
    <row r="309" spans="30:36">
      <c r="AD309" s="22"/>
      <c r="AE309" s="23"/>
      <c r="AF309" s="20"/>
      <c r="AG309" s="20"/>
      <c r="AH309" s="22"/>
      <c r="AI309" s="22"/>
      <c r="AJ309" s="22"/>
    </row>
    <row r="310" spans="30:36">
      <c r="AD310" s="22"/>
      <c r="AE310" s="23"/>
      <c r="AF310" s="20"/>
      <c r="AG310" s="20"/>
      <c r="AH310" s="22"/>
      <c r="AI310" s="22"/>
      <c r="AJ310" s="22"/>
    </row>
    <row r="311" spans="30:36">
      <c r="AD311" s="22"/>
      <c r="AE311" s="23"/>
      <c r="AF311" s="20"/>
      <c r="AG311" s="20"/>
      <c r="AH311" s="22"/>
      <c r="AI311" s="22"/>
      <c r="AJ311" s="22"/>
    </row>
    <row r="312" spans="30:36">
      <c r="AD312" s="22"/>
      <c r="AE312" s="23"/>
      <c r="AF312" s="20"/>
      <c r="AG312" s="20"/>
      <c r="AH312" s="22"/>
      <c r="AI312" s="22"/>
      <c r="AJ312" s="22"/>
    </row>
    <row r="313" spans="30:36">
      <c r="AD313" s="22"/>
      <c r="AE313" s="23"/>
      <c r="AF313" s="20"/>
      <c r="AG313" s="20"/>
      <c r="AH313" s="22"/>
      <c r="AI313" s="22"/>
      <c r="AJ313" s="22"/>
    </row>
    <row r="314" spans="30:36">
      <c r="AD314" s="22"/>
      <c r="AE314" s="23"/>
      <c r="AF314" s="20"/>
      <c r="AG314" s="20"/>
      <c r="AH314" s="22"/>
      <c r="AI314" s="22"/>
      <c r="AJ314" s="22"/>
    </row>
    <row r="315" spans="30:36">
      <c r="AD315" s="22"/>
      <c r="AE315" s="23"/>
      <c r="AF315" s="20"/>
      <c r="AG315" s="20"/>
      <c r="AH315" s="22"/>
      <c r="AI315" s="22"/>
      <c r="AJ315" s="22"/>
    </row>
    <row r="316" spans="30:36">
      <c r="AD316" s="22"/>
      <c r="AE316" s="23"/>
      <c r="AF316" s="20"/>
      <c r="AG316" s="20"/>
      <c r="AH316" s="22"/>
      <c r="AI316" s="22"/>
      <c r="AJ316" s="22"/>
    </row>
    <row r="317" spans="30:36">
      <c r="AD317" s="22"/>
      <c r="AE317" s="23"/>
      <c r="AF317" s="20"/>
      <c r="AG317" s="20"/>
      <c r="AH317" s="22"/>
      <c r="AI317" s="22"/>
      <c r="AJ317" s="22"/>
    </row>
    <row r="318" spans="30:36">
      <c r="AD318" s="22"/>
      <c r="AE318" s="23"/>
      <c r="AF318" s="20"/>
      <c r="AG318" s="20"/>
      <c r="AH318" s="22"/>
      <c r="AI318" s="22"/>
      <c r="AJ318" s="22"/>
    </row>
    <row r="319" spans="30:36">
      <c r="AD319" s="22"/>
      <c r="AE319" s="23"/>
      <c r="AF319" s="20"/>
      <c r="AG319" s="20"/>
      <c r="AH319" s="22"/>
      <c r="AI319" s="22"/>
      <c r="AJ319" s="22"/>
    </row>
    <row r="320" spans="30:36">
      <c r="AD320" s="22"/>
      <c r="AE320" s="23"/>
      <c r="AF320" s="20"/>
      <c r="AG320" s="20"/>
      <c r="AH320" s="22"/>
      <c r="AI320" s="22"/>
      <c r="AJ320" s="22"/>
    </row>
    <row r="321" spans="30:36">
      <c r="AD321" s="22"/>
      <c r="AE321" s="23"/>
      <c r="AF321" s="20"/>
      <c r="AG321" s="20"/>
      <c r="AH321" s="22"/>
      <c r="AI321" s="22"/>
      <c r="AJ321" s="22"/>
    </row>
    <row r="322" spans="30:36">
      <c r="AD322" s="22"/>
      <c r="AE322" s="23"/>
      <c r="AF322" s="20"/>
      <c r="AG322" s="20"/>
      <c r="AH322" s="22"/>
      <c r="AI322" s="22"/>
      <c r="AJ322" s="22"/>
    </row>
    <row r="323" spans="30:36">
      <c r="AD323" s="22"/>
      <c r="AE323" s="23"/>
      <c r="AF323" s="20"/>
      <c r="AG323" s="20"/>
      <c r="AH323" s="22"/>
      <c r="AI323" s="22"/>
      <c r="AJ323" s="22"/>
    </row>
    <row r="324" spans="30:36">
      <c r="AD324" s="22"/>
      <c r="AE324" s="23"/>
      <c r="AF324" s="20"/>
      <c r="AG324" s="20"/>
      <c r="AH324" s="22"/>
      <c r="AI324" s="22"/>
      <c r="AJ324" s="22"/>
    </row>
    <row r="325" spans="30:36">
      <c r="AD325" s="22"/>
      <c r="AE325" s="23"/>
      <c r="AF325" s="20"/>
      <c r="AG325" s="20"/>
      <c r="AH325" s="22"/>
      <c r="AI325" s="22"/>
      <c r="AJ325" s="22"/>
    </row>
    <row r="326" spans="30:36">
      <c r="AD326" s="22"/>
      <c r="AE326" s="23"/>
      <c r="AF326" s="20"/>
      <c r="AG326" s="20"/>
      <c r="AH326" s="22"/>
      <c r="AI326" s="22"/>
      <c r="AJ326" s="22"/>
    </row>
    <row r="327" spans="30:36">
      <c r="AD327" s="22"/>
      <c r="AE327" s="23"/>
      <c r="AF327" s="20"/>
      <c r="AG327" s="20"/>
      <c r="AH327" s="22"/>
      <c r="AI327" s="22"/>
      <c r="AJ327" s="22"/>
    </row>
    <row r="328" spans="30:36">
      <c r="AD328" s="22"/>
      <c r="AE328" s="23"/>
      <c r="AF328" s="20"/>
      <c r="AG328" s="20"/>
      <c r="AH328" s="22"/>
      <c r="AI328" s="22"/>
      <c r="AJ328" s="22"/>
    </row>
    <row r="329" spans="30:36">
      <c r="AD329" s="22"/>
      <c r="AE329" s="23"/>
      <c r="AF329" s="20"/>
      <c r="AG329" s="20"/>
      <c r="AH329" s="22"/>
      <c r="AI329" s="22"/>
      <c r="AJ329" s="22"/>
    </row>
    <row r="330" spans="30:36">
      <c r="AD330" s="22"/>
      <c r="AE330" s="23"/>
      <c r="AF330" s="20"/>
      <c r="AG330" s="20"/>
      <c r="AH330" s="22"/>
      <c r="AI330" s="22"/>
      <c r="AJ330" s="22"/>
    </row>
    <row r="331" spans="30:36">
      <c r="AD331" s="22"/>
      <c r="AE331" s="23"/>
      <c r="AF331" s="20"/>
      <c r="AG331" s="20"/>
      <c r="AH331" s="22"/>
      <c r="AI331" s="22"/>
      <c r="AJ331" s="22"/>
    </row>
    <row r="332" spans="30:36">
      <c r="AD332" s="22"/>
      <c r="AE332" s="23"/>
      <c r="AF332" s="20"/>
      <c r="AG332" s="20"/>
      <c r="AH332" s="22"/>
      <c r="AI332" s="22"/>
      <c r="AJ332" s="22"/>
    </row>
    <row r="333" spans="30:36">
      <c r="AD333" s="22"/>
      <c r="AE333" s="23"/>
      <c r="AF333" s="20"/>
      <c r="AG333" s="20"/>
      <c r="AH333" s="22"/>
      <c r="AI333" s="22"/>
      <c r="AJ333" s="22"/>
    </row>
    <row r="334" spans="30:36">
      <c r="AD334" s="22"/>
      <c r="AE334" s="23"/>
      <c r="AF334" s="20"/>
      <c r="AG334" s="20"/>
      <c r="AH334" s="22"/>
      <c r="AI334" s="22"/>
      <c r="AJ334" s="22"/>
    </row>
    <row r="335" spans="30:36">
      <c r="AD335" s="22"/>
      <c r="AE335" s="23"/>
      <c r="AF335" s="20"/>
      <c r="AG335" s="20"/>
      <c r="AH335" s="22"/>
      <c r="AI335" s="22"/>
      <c r="AJ335" s="22"/>
    </row>
    <row r="336" spans="30:36">
      <c r="AD336" s="22"/>
      <c r="AE336" s="23"/>
      <c r="AF336" s="20"/>
      <c r="AG336" s="20"/>
      <c r="AH336" s="22"/>
      <c r="AI336" s="22"/>
      <c r="AJ336" s="22"/>
    </row>
    <row r="337" spans="30:36">
      <c r="AD337" s="22"/>
      <c r="AE337" s="23"/>
      <c r="AF337" s="20"/>
      <c r="AG337" s="20"/>
      <c r="AH337" s="22"/>
      <c r="AI337" s="22"/>
      <c r="AJ337" s="22"/>
    </row>
    <row r="338" spans="30:36">
      <c r="AD338" s="22"/>
      <c r="AE338" s="23"/>
      <c r="AF338" s="20"/>
      <c r="AG338" s="20"/>
      <c r="AH338" s="22"/>
      <c r="AI338" s="22"/>
      <c r="AJ338" s="22"/>
    </row>
    <row r="339" spans="30:36">
      <c r="AD339" s="22"/>
      <c r="AE339" s="23"/>
      <c r="AF339" s="20"/>
      <c r="AG339" s="20"/>
      <c r="AH339" s="22"/>
      <c r="AI339" s="22"/>
      <c r="AJ339" s="22"/>
    </row>
    <row r="340" spans="30:36">
      <c r="AD340" s="22"/>
      <c r="AE340" s="23"/>
      <c r="AF340" s="20"/>
      <c r="AG340" s="20"/>
      <c r="AH340" s="22"/>
      <c r="AI340" s="22"/>
      <c r="AJ340" s="22"/>
    </row>
    <row r="341" spans="30:36">
      <c r="AD341" s="22"/>
      <c r="AE341" s="23"/>
      <c r="AF341" s="20"/>
      <c r="AG341" s="20"/>
      <c r="AH341" s="22"/>
      <c r="AI341" s="22"/>
      <c r="AJ341" s="22"/>
    </row>
    <row r="342" spans="30:36">
      <c r="AD342" s="22"/>
      <c r="AE342" s="23"/>
      <c r="AF342" s="20"/>
      <c r="AG342" s="20"/>
      <c r="AH342" s="22"/>
      <c r="AI342" s="22"/>
      <c r="AJ342" s="22"/>
    </row>
    <row r="343" spans="30:36">
      <c r="AD343" s="22"/>
      <c r="AE343" s="23"/>
      <c r="AF343" s="20"/>
      <c r="AG343" s="20"/>
      <c r="AH343" s="22"/>
      <c r="AI343" s="22"/>
      <c r="AJ343" s="22"/>
    </row>
    <row r="344" spans="30:36">
      <c r="AD344" s="22"/>
      <c r="AE344" s="23"/>
      <c r="AF344" s="20"/>
      <c r="AG344" s="20"/>
      <c r="AH344" s="22"/>
      <c r="AI344" s="22"/>
      <c r="AJ344" s="22"/>
    </row>
    <row r="345" spans="30:36">
      <c r="AD345" s="22"/>
      <c r="AE345" s="23"/>
      <c r="AF345" s="20"/>
      <c r="AG345" s="20"/>
      <c r="AH345" s="22"/>
      <c r="AI345" s="22"/>
      <c r="AJ345" s="22"/>
    </row>
    <row r="346" spans="30:36">
      <c r="AD346" s="22"/>
      <c r="AE346" s="23"/>
      <c r="AF346" s="20"/>
      <c r="AG346" s="20"/>
      <c r="AH346" s="22"/>
      <c r="AI346" s="22"/>
      <c r="AJ346" s="22"/>
    </row>
    <row r="347" spans="30:36">
      <c r="AD347" s="22"/>
      <c r="AE347" s="23"/>
      <c r="AF347" s="20"/>
      <c r="AG347" s="20"/>
      <c r="AH347" s="22"/>
      <c r="AI347" s="22"/>
      <c r="AJ347" s="22"/>
    </row>
    <row r="348" spans="30:36">
      <c r="AD348" s="22"/>
      <c r="AE348" s="23"/>
      <c r="AF348" s="20"/>
      <c r="AG348" s="20"/>
      <c r="AH348" s="22"/>
      <c r="AI348" s="22"/>
      <c r="AJ348" s="22"/>
    </row>
    <row r="349" spans="30:36">
      <c r="AD349" s="22"/>
      <c r="AE349" s="23"/>
      <c r="AF349" s="20"/>
      <c r="AG349" s="20"/>
      <c r="AH349" s="22"/>
      <c r="AI349" s="22"/>
      <c r="AJ349" s="22"/>
    </row>
    <row r="350" spans="30:36">
      <c r="AD350" s="22"/>
      <c r="AE350" s="23"/>
      <c r="AF350" s="20"/>
      <c r="AG350" s="20"/>
      <c r="AH350" s="22"/>
      <c r="AI350" s="22"/>
      <c r="AJ350" s="22"/>
    </row>
    <row r="351" spans="30:36">
      <c r="AD351" s="22"/>
      <c r="AE351" s="23"/>
      <c r="AF351" s="20"/>
      <c r="AG351" s="20"/>
      <c r="AH351" s="22"/>
      <c r="AI351" s="22"/>
      <c r="AJ351" s="22"/>
    </row>
    <row r="352" spans="30:36">
      <c r="AD352" s="22"/>
      <c r="AE352" s="23"/>
      <c r="AF352" s="20"/>
      <c r="AG352" s="20"/>
      <c r="AH352" s="22"/>
      <c r="AI352" s="22"/>
      <c r="AJ352" s="22"/>
    </row>
    <row r="353" spans="30:36">
      <c r="AD353" s="22"/>
      <c r="AE353" s="23"/>
      <c r="AF353" s="20"/>
      <c r="AG353" s="20"/>
      <c r="AH353" s="22"/>
      <c r="AI353" s="22"/>
      <c r="AJ353" s="22"/>
    </row>
    <row r="354" spans="30:36">
      <c r="AD354" s="22"/>
      <c r="AE354" s="23"/>
      <c r="AF354" s="20"/>
      <c r="AG354" s="20"/>
      <c r="AH354" s="22"/>
      <c r="AI354" s="22"/>
      <c r="AJ354" s="22"/>
    </row>
    <row r="355" spans="30:36">
      <c r="AD355" s="22"/>
      <c r="AE355" s="23"/>
      <c r="AF355" s="20"/>
      <c r="AG355" s="20"/>
      <c r="AH355" s="22"/>
      <c r="AI355" s="22"/>
      <c r="AJ355" s="22"/>
    </row>
    <row r="356" spans="30:36">
      <c r="AD356" s="22"/>
      <c r="AE356" s="23"/>
      <c r="AF356" s="20"/>
      <c r="AG356" s="20"/>
      <c r="AH356" s="22"/>
      <c r="AI356" s="22"/>
      <c r="AJ356" s="22"/>
    </row>
    <row r="357" spans="30:36">
      <c r="AD357" s="22"/>
      <c r="AE357" s="23"/>
      <c r="AF357" s="20"/>
      <c r="AG357" s="20"/>
      <c r="AH357" s="22"/>
      <c r="AI357" s="22"/>
      <c r="AJ357" s="22"/>
    </row>
    <row r="358" spans="30:36">
      <c r="AD358" s="22"/>
      <c r="AE358" s="23"/>
      <c r="AF358" s="20"/>
      <c r="AG358" s="20"/>
      <c r="AH358" s="22"/>
      <c r="AI358" s="22"/>
      <c r="AJ358" s="22"/>
    </row>
    <row r="359" spans="30:36">
      <c r="AD359" s="22"/>
      <c r="AE359" s="23"/>
      <c r="AF359" s="20"/>
      <c r="AG359" s="20"/>
      <c r="AH359" s="22"/>
      <c r="AI359" s="22"/>
      <c r="AJ359" s="22"/>
    </row>
    <row r="360" spans="30:36">
      <c r="AD360" s="22"/>
      <c r="AE360" s="23"/>
      <c r="AF360" s="20"/>
      <c r="AG360" s="20"/>
      <c r="AH360" s="22"/>
      <c r="AI360" s="22"/>
      <c r="AJ360" s="22"/>
    </row>
    <row r="361" spans="30:36">
      <c r="AD361" s="22"/>
      <c r="AE361" s="23"/>
      <c r="AF361" s="20"/>
      <c r="AG361" s="20"/>
      <c r="AH361" s="22"/>
      <c r="AI361" s="22"/>
      <c r="AJ361" s="22"/>
    </row>
    <row r="362" spans="30:36">
      <c r="AD362" s="22"/>
      <c r="AE362" s="23"/>
      <c r="AF362" s="20"/>
      <c r="AG362" s="20"/>
      <c r="AH362" s="22"/>
      <c r="AI362" s="22"/>
      <c r="AJ362" s="22"/>
    </row>
    <row r="363" spans="30:36">
      <c r="AD363" s="22"/>
      <c r="AE363" s="23"/>
      <c r="AF363" s="20"/>
      <c r="AG363" s="20"/>
      <c r="AH363" s="22"/>
      <c r="AI363" s="22"/>
      <c r="AJ363" s="22"/>
    </row>
    <row r="364" spans="30:36">
      <c r="AD364" s="22"/>
      <c r="AE364" s="23"/>
      <c r="AF364" s="20"/>
      <c r="AG364" s="20"/>
      <c r="AH364" s="22"/>
      <c r="AI364" s="22"/>
      <c r="AJ364" s="22"/>
    </row>
    <row r="365" spans="30:36">
      <c r="AD365" s="22"/>
      <c r="AE365" s="23"/>
      <c r="AF365" s="20"/>
      <c r="AG365" s="20"/>
      <c r="AH365" s="22"/>
      <c r="AI365" s="22"/>
      <c r="AJ365" s="22"/>
    </row>
    <row r="366" spans="30:36">
      <c r="AD366" s="22"/>
      <c r="AE366" s="23"/>
      <c r="AF366" s="20"/>
      <c r="AG366" s="20"/>
      <c r="AH366" s="22"/>
      <c r="AI366" s="22"/>
      <c r="AJ366" s="22"/>
    </row>
    <row r="367" spans="30:36">
      <c r="AD367" s="22"/>
      <c r="AE367" s="23"/>
      <c r="AF367" s="20"/>
      <c r="AG367" s="20"/>
      <c r="AH367" s="22"/>
      <c r="AI367" s="22"/>
      <c r="AJ367" s="22"/>
    </row>
    <row r="368" spans="30:36">
      <c r="AD368" s="22"/>
      <c r="AE368" s="23"/>
      <c r="AF368" s="20"/>
      <c r="AG368" s="20"/>
      <c r="AH368" s="22"/>
      <c r="AI368" s="22"/>
      <c r="AJ368" s="22"/>
    </row>
    <row r="369" spans="30:36">
      <c r="AD369" s="22"/>
      <c r="AE369" s="23"/>
      <c r="AF369" s="20"/>
      <c r="AG369" s="20"/>
      <c r="AH369" s="22"/>
      <c r="AI369" s="22"/>
      <c r="AJ369" s="22"/>
    </row>
    <row r="370" spans="30:36">
      <c r="AD370" s="22"/>
      <c r="AE370" s="23"/>
      <c r="AF370" s="20"/>
      <c r="AG370" s="20"/>
      <c r="AH370" s="22"/>
      <c r="AI370" s="22"/>
      <c r="AJ370" s="22"/>
    </row>
    <row r="371" spans="30:36">
      <c r="AD371" s="22"/>
      <c r="AE371" s="23"/>
      <c r="AF371" s="20"/>
      <c r="AG371" s="20"/>
      <c r="AH371" s="22"/>
      <c r="AI371" s="22"/>
      <c r="AJ371" s="22"/>
    </row>
    <row r="372" spans="30:36">
      <c r="AD372" s="22"/>
      <c r="AE372" s="23"/>
      <c r="AF372" s="20"/>
      <c r="AG372" s="20"/>
      <c r="AH372" s="22"/>
      <c r="AI372" s="22"/>
      <c r="AJ372" s="22"/>
    </row>
    <row r="373" spans="30:36">
      <c r="AD373" s="22"/>
      <c r="AE373" s="23"/>
      <c r="AF373" s="20"/>
      <c r="AG373" s="20"/>
      <c r="AH373" s="22"/>
      <c r="AI373" s="22"/>
      <c r="AJ373" s="22"/>
    </row>
    <row r="374" spans="30:36">
      <c r="AD374" s="22"/>
      <c r="AE374" s="23"/>
      <c r="AF374" s="20"/>
      <c r="AG374" s="20"/>
      <c r="AH374" s="22"/>
      <c r="AI374" s="22"/>
      <c r="AJ374" s="22"/>
    </row>
    <row r="375" spans="30:36">
      <c r="AD375" s="22"/>
      <c r="AE375" s="23"/>
      <c r="AF375" s="20"/>
      <c r="AG375" s="20"/>
      <c r="AH375" s="22"/>
      <c r="AI375" s="22"/>
      <c r="AJ375" s="22"/>
    </row>
    <row r="376" spans="30:36">
      <c r="AD376" s="22"/>
      <c r="AE376" s="23"/>
      <c r="AF376" s="20"/>
      <c r="AG376" s="20"/>
      <c r="AH376" s="22"/>
      <c r="AI376" s="22"/>
      <c r="AJ376" s="22"/>
    </row>
    <row r="377" spans="30:36">
      <c r="AD377" s="22"/>
      <c r="AE377" s="23"/>
      <c r="AF377" s="20"/>
      <c r="AG377" s="20"/>
      <c r="AH377" s="22"/>
      <c r="AI377" s="22"/>
      <c r="AJ377" s="22"/>
    </row>
    <row r="378" spans="30:36">
      <c r="AD378" s="22"/>
      <c r="AE378" s="23"/>
      <c r="AF378" s="20"/>
      <c r="AG378" s="20"/>
      <c r="AH378" s="22"/>
      <c r="AI378" s="22"/>
      <c r="AJ378" s="22"/>
    </row>
    <row r="379" spans="30:36">
      <c r="AD379" s="22"/>
      <c r="AE379" s="23"/>
      <c r="AF379" s="20"/>
      <c r="AG379" s="20"/>
      <c r="AH379" s="22"/>
      <c r="AI379" s="22"/>
      <c r="AJ379" s="22"/>
    </row>
    <row r="380" spans="30:36">
      <c r="AD380" s="22"/>
      <c r="AE380" s="23"/>
      <c r="AF380" s="20"/>
      <c r="AG380" s="20"/>
      <c r="AH380" s="22"/>
      <c r="AI380" s="22"/>
      <c r="AJ380" s="22"/>
    </row>
    <row r="381" spans="30:36">
      <c r="AD381" s="22"/>
      <c r="AE381" s="23"/>
      <c r="AF381" s="20"/>
      <c r="AG381" s="20"/>
      <c r="AH381" s="22"/>
      <c r="AI381" s="22"/>
      <c r="AJ381" s="22"/>
    </row>
    <row r="382" spans="30:36">
      <c r="AD382" s="22"/>
      <c r="AE382" s="23"/>
      <c r="AF382" s="20"/>
      <c r="AG382" s="20"/>
      <c r="AH382" s="22"/>
      <c r="AI382" s="22"/>
      <c r="AJ382" s="22"/>
    </row>
    <row r="383" spans="30:36">
      <c r="AD383" s="22"/>
      <c r="AE383" s="23"/>
      <c r="AF383" s="20"/>
      <c r="AG383" s="20"/>
      <c r="AH383" s="22"/>
      <c r="AI383" s="22"/>
      <c r="AJ383" s="22"/>
    </row>
    <row r="384" spans="30:36">
      <c r="AD384" s="22"/>
      <c r="AE384" s="23"/>
      <c r="AF384" s="20"/>
      <c r="AG384" s="20"/>
      <c r="AH384" s="22"/>
      <c r="AI384" s="22"/>
      <c r="AJ384" s="22"/>
    </row>
    <row r="385" spans="30:36">
      <c r="AD385" s="22"/>
      <c r="AE385" s="23"/>
      <c r="AF385" s="20"/>
      <c r="AG385" s="20"/>
      <c r="AH385" s="22"/>
      <c r="AI385" s="22"/>
      <c r="AJ385" s="22"/>
    </row>
    <row r="386" spans="30:36">
      <c r="AD386" s="22"/>
      <c r="AE386" s="23"/>
      <c r="AF386" s="20"/>
      <c r="AG386" s="20"/>
      <c r="AH386" s="22"/>
      <c r="AI386" s="22"/>
      <c r="AJ386" s="22"/>
    </row>
    <row r="387" spans="30:36">
      <c r="AD387" s="22"/>
      <c r="AE387" s="23"/>
      <c r="AF387" s="20"/>
      <c r="AG387" s="20"/>
      <c r="AH387" s="22"/>
      <c r="AI387" s="22"/>
      <c r="AJ387" s="22"/>
    </row>
    <row r="388" spans="30:36">
      <c r="AD388" s="22"/>
      <c r="AE388" s="23"/>
      <c r="AF388" s="20"/>
      <c r="AG388" s="20"/>
      <c r="AH388" s="22"/>
      <c r="AI388" s="22"/>
      <c r="AJ388" s="22"/>
    </row>
    <row r="389" spans="30:36">
      <c r="AD389" s="22"/>
      <c r="AE389" s="23"/>
      <c r="AF389" s="20"/>
      <c r="AG389" s="20"/>
      <c r="AH389" s="22"/>
      <c r="AI389" s="22"/>
      <c r="AJ389" s="22"/>
    </row>
    <row r="390" spans="30:36">
      <c r="AD390" s="22"/>
      <c r="AE390" s="23"/>
      <c r="AF390" s="20"/>
      <c r="AG390" s="20"/>
      <c r="AH390" s="22"/>
      <c r="AI390" s="22"/>
      <c r="AJ390" s="22"/>
    </row>
    <row r="391" spans="30:36">
      <c r="AD391" s="22"/>
      <c r="AE391" s="23"/>
      <c r="AF391" s="20"/>
      <c r="AG391" s="20"/>
      <c r="AH391" s="22"/>
      <c r="AI391" s="22"/>
      <c r="AJ391" s="22"/>
    </row>
    <row r="392" spans="30:36">
      <c r="AD392" s="22"/>
      <c r="AE392" s="23"/>
      <c r="AF392" s="20"/>
      <c r="AG392" s="20"/>
      <c r="AH392" s="22"/>
      <c r="AI392" s="22"/>
      <c r="AJ392" s="22"/>
    </row>
    <row r="393" spans="30:36">
      <c r="AD393" s="22"/>
      <c r="AE393" s="23"/>
      <c r="AF393" s="20"/>
      <c r="AG393" s="20"/>
      <c r="AH393" s="22"/>
      <c r="AI393" s="22"/>
      <c r="AJ393" s="22"/>
    </row>
    <row r="394" spans="30:36">
      <c r="AD394" s="22"/>
      <c r="AE394" s="23"/>
      <c r="AF394" s="20"/>
      <c r="AG394" s="20"/>
      <c r="AH394" s="22"/>
      <c r="AI394" s="22"/>
      <c r="AJ394" s="22"/>
    </row>
    <row r="395" spans="30:36">
      <c r="AD395" s="22"/>
      <c r="AE395" s="23"/>
      <c r="AF395" s="20"/>
      <c r="AG395" s="20"/>
      <c r="AH395" s="22"/>
      <c r="AI395" s="22"/>
      <c r="AJ395" s="22"/>
    </row>
    <row r="396" spans="30:36">
      <c r="AD396" s="22"/>
      <c r="AE396" s="23"/>
      <c r="AF396" s="20"/>
      <c r="AG396" s="20"/>
      <c r="AH396" s="22"/>
      <c r="AI396" s="22"/>
      <c r="AJ396" s="22"/>
    </row>
    <row r="397" spans="30:36">
      <c r="AD397" s="22"/>
      <c r="AE397" s="23"/>
      <c r="AF397" s="20"/>
      <c r="AG397" s="20"/>
      <c r="AH397" s="22"/>
      <c r="AI397" s="22"/>
      <c r="AJ397" s="22"/>
    </row>
    <row r="398" spans="30:36">
      <c r="AD398" s="22"/>
      <c r="AE398" s="23"/>
      <c r="AF398" s="20"/>
      <c r="AG398" s="20"/>
      <c r="AH398" s="22"/>
      <c r="AI398" s="22"/>
      <c r="AJ398" s="22"/>
    </row>
    <row r="399" spans="30:36">
      <c r="AD399" s="22"/>
      <c r="AE399" s="23"/>
      <c r="AF399" s="20"/>
      <c r="AG399" s="20"/>
      <c r="AH399" s="22"/>
      <c r="AI399" s="22"/>
      <c r="AJ399" s="22"/>
    </row>
    <row r="400" spans="30:36">
      <c r="AD400" s="22"/>
      <c r="AE400" s="23"/>
      <c r="AF400" s="20"/>
      <c r="AG400" s="20"/>
      <c r="AH400" s="22"/>
      <c r="AI400" s="22"/>
      <c r="AJ400" s="22"/>
    </row>
    <row r="401" spans="30:36">
      <c r="AD401" s="22"/>
      <c r="AE401" s="23"/>
      <c r="AF401" s="20"/>
      <c r="AG401" s="20"/>
      <c r="AH401" s="22"/>
      <c r="AI401" s="22"/>
      <c r="AJ401" s="22"/>
    </row>
    <row r="402" spans="30:36">
      <c r="AD402" s="22"/>
      <c r="AE402" s="23"/>
      <c r="AF402" s="20"/>
      <c r="AG402" s="20"/>
      <c r="AH402" s="22"/>
      <c r="AI402" s="22"/>
      <c r="AJ402" s="22"/>
    </row>
    <row r="403" spans="30:36">
      <c r="AD403" s="22"/>
      <c r="AE403" s="23"/>
      <c r="AF403" s="20"/>
      <c r="AG403" s="20"/>
      <c r="AH403" s="22"/>
      <c r="AI403" s="22"/>
      <c r="AJ403" s="22"/>
    </row>
    <row r="404" spans="30:36">
      <c r="AD404" s="22"/>
      <c r="AE404" s="23"/>
      <c r="AF404" s="20"/>
      <c r="AG404" s="20"/>
      <c r="AH404" s="22"/>
      <c r="AI404" s="22"/>
      <c r="AJ404" s="22"/>
    </row>
    <row r="405" spans="30:36">
      <c r="AD405" s="22"/>
      <c r="AE405" s="23"/>
      <c r="AF405" s="20"/>
      <c r="AG405" s="20"/>
      <c r="AH405" s="22"/>
      <c r="AI405" s="22"/>
      <c r="AJ405" s="22"/>
    </row>
    <row r="406" spans="30:36">
      <c r="AD406" s="22"/>
      <c r="AE406" s="23"/>
      <c r="AF406" s="20"/>
      <c r="AG406" s="20"/>
      <c r="AH406" s="22"/>
      <c r="AI406" s="22"/>
      <c r="AJ406" s="22"/>
    </row>
    <row r="407" spans="30:36">
      <c r="AD407" s="22"/>
      <c r="AE407" s="23"/>
      <c r="AF407" s="20"/>
      <c r="AG407" s="20"/>
      <c r="AH407" s="22"/>
      <c r="AI407" s="22"/>
      <c r="AJ407" s="22"/>
    </row>
    <row r="408" spans="30:36">
      <c r="AD408" s="22"/>
      <c r="AE408" s="23"/>
      <c r="AF408" s="20"/>
      <c r="AG408" s="20"/>
      <c r="AH408" s="22"/>
      <c r="AI408" s="22"/>
      <c r="AJ408" s="22"/>
    </row>
    <row r="409" spans="30:36">
      <c r="AD409" s="22"/>
      <c r="AE409" s="23"/>
      <c r="AF409" s="20"/>
      <c r="AG409" s="20"/>
      <c r="AH409" s="22"/>
      <c r="AI409" s="22"/>
      <c r="AJ409" s="22"/>
    </row>
    <row r="410" spans="30:36">
      <c r="AD410" s="22"/>
      <c r="AE410" s="23"/>
      <c r="AF410" s="20"/>
      <c r="AG410" s="20"/>
      <c r="AH410" s="22"/>
      <c r="AI410" s="22"/>
      <c r="AJ410" s="22"/>
    </row>
    <row r="411" spans="30:36">
      <c r="AD411" s="22"/>
      <c r="AE411" s="23"/>
      <c r="AF411" s="20"/>
      <c r="AG411" s="20"/>
      <c r="AH411" s="22"/>
      <c r="AI411" s="22"/>
      <c r="AJ411" s="22"/>
    </row>
    <row r="412" spans="30:36">
      <c r="AD412" s="22"/>
      <c r="AE412" s="23"/>
      <c r="AF412" s="20"/>
      <c r="AG412" s="20"/>
      <c r="AH412" s="22"/>
      <c r="AI412" s="22"/>
      <c r="AJ412" s="22"/>
    </row>
    <row r="413" spans="30:36">
      <c r="AD413" s="22"/>
      <c r="AE413" s="23"/>
      <c r="AF413" s="20"/>
      <c r="AG413" s="20"/>
      <c r="AH413" s="22"/>
      <c r="AI413" s="22"/>
      <c r="AJ413" s="22"/>
    </row>
    <row r="414" spans="30:36">
      <c r="AD414" s="22"/>
      <c r="AE414" s="23"/>
      <c r="AF414" s="20"/>
      <c r="AG414" s="20"/>
      <c r="AH414" s="22"/>
      <c r="AI414" s="22"/>
      <c r="AJ414" s="22"/>
    </row>
    <row r="415" spans="30:36">
      <c r="AD415" s="22"/>
      <c r="AE415" s="23"/>
      <c r="AF415" s="20"/>
      <c r="AG415" s="20"/>
      <c r="AH415" s="22"/>
      <c r="AI415" s="22"/>
      <c r="AJ415" s="22"/>
    </row>
    <row r="416" spans="30:36">
      <c r="AD416" s="22"/>
      <c r="AE416" s="23"/>
      <c r="AF416" s="20"/>
      <c r="AG416" s="20"/>
      <c r="AH416" s="22"/>
      <c r="AI416" s="22"/>
      <c r="AJ416" s="22"/>
    </row>
    <row r="417" spans="30:36">
      <c r="AD417" s="22"/>
      <c r="AE417" s="23"/>
      <c r="AF417" s="20"/>
      <c r="AG417" s="20"/>
      <c r="AH417" s="22"/>
      <c r="AI417" s="22"/>
      <c r="AJ417" s="22"/>
    </row>
    <row r="418" spans="30:36">
      <c r="AD418" s="22"/>
      <c r="AE418" s="23"/>
      <c r="AF418" s="20"/>
      <c r="AG418" s="20"/>
      <c r="AH418" s="22"/>
      <c r="AI418" s="22"/>
      <c r="AJ418" s="22"/>
    </row>
    <row r="419" spans="30:36">
      <c r="AD419" s="22"/>
      <c r="AE419" s="23"/>
      <c r="AF419" s="20"/>
      <c r="AG419" s="20"/>
      <c r="AH419" s="22"/>
      <c r="AI419" s="22"/>
      <c r="AJ419" s="22"/>
    </row>
    <row r="420" spans="30:36">
      <c r="AD420" s="22"/>
      <c r="AE420" s="23"/>
      <c r="AF420" s="20"/>
      <c r="AG420" s="20"/>
      <c r="AH420" s="22"/>
      <c r="AI420" s="22"/>
      <c r="AJ420" s="22"/>
    </row>
    <row r="421" spans="30:36">
      <c r="AD421" s="22"/>
      <c r="AE421" s="23"/>
      <c r="AF421" s="20"/>
      <c r="AG421" s="20"/>
      <c r="AH421" s="22"/>
      <c r="AI421" s="22"/>
      <c r="AJ421" s="22"/>
    </row>
    <row r="422" spans="30:36">
      <c r="AD422" s="22"/>
      <c r="AE422" s="23"/>
      <c r="AF422" s="20"/>
      <c r="AG422" s="20"/>
      <c r="AH422" s="22"/>
      <c r="AI422" s="22"/>
      <c r="AJ422" s="22"/>
    </row>
    <row r="423" spans="30:36">
      <c r="AD423" s="22"/>
      <c r="AE423" s="23"/>
      <c r="AF423" s="20"/>
      <c r="AG423" s="20"/>
      <c r="AH423" s="22"/>
      <c r="AI423" s="22"/>
      <c r="AJ423" s="22"/>
    </row>
    <row r="424" spans="30:36">
      <c r="AD424" s="22"/>
      <c r="AE424" s="23"/>
      <c r="AF424" s="20"/>
      <c r="AG424" s="20"/>
      <c r="AH424" s="22"/>
      <c r="AI424" s="22"/>
      <c r="AJ424" s="22"/>
    </row>
    <row r="425" spans="30:36">
      <c r="AD425" s="22"/>
      <c r="AE425" s="23"/>
      <c r="AF425" s="20"/>
      <c r="AG425" s="20"/>
      <c r="AH425" s="22"/>
      <c r="AI425" s="22"/>
      <c r="AJ425" s="22"/>
    </row>
    <row r="426" spans="30:36">
      <c r="AD426" s="22"/>
      <c r="AE426" s="23"/>
      <c r="AF426" s="20"/>
      <c r="AG426" s="20"/>
      <c r="AH426" s="22"/>
      <c r="AI426" s="22"/>
      <c r="AJ426" s="22"/>
    </row>
    <row r="427" spans="30:36">
      <c r="AD427" s="22"/>
      <c r="AE427" s="23"/>
      <c r="AF427" s="20"/>
      <c r="AG427" s="20"/>
      <c r="AH427" s="22"/>
      <c r="AI427" s="22"/>
      <c r="AJ427" s="22"/>
    </row>
    <row r="428" spans="30:36">
      <c r="AD428" s="22"/>
      <c r="AE428" s="23"/>
      <c r="AF428" s="20"/>
      <c r="AG428" s="20"/>
      <c r="AH428" s="22"/>
      <c r="AI428" s="22"/>
      <c r="AJ428" s="22"/>
    </row>
    <row r="429" spans="30:36">
      <c r="AD429" s="22"/>
      <c r="AE429" s="23"/>
      <c r="AF429" s="20"/>
      <c r="AG429" s="20"/>
      <c r="AH429" s="22"/>
      <c r="AI429" s="22"/>
      <c r="AJ429" s="22"/>
    </row>
    <row r="430" spans="30:36">
      <c r="AD430" s="22"/>
      <c r="AE430" s="23"/>
      <c r="AF430" s="20"/>
      <c r="AG430" s="20"/>
      <c r="AH430" s="22"/>
      <c r="AI430" s="22"/>
      <c r="AJ430" s="22"/>
    </row>
    <row r="431" spans="30:36">
      <c r="AD431" s="22"/>
      <c r="AE431" s="23"/>
      <c r="AF431" s="20"/>
      <c r="AG431" s="20"/>
      <c r="AH431" s="22"/>
      <c r="AI431" s="22"/>
      <c r="AJ431" s="22"/>
    </row>
    <row r="432" spans="30:36">
      <c r="AD432" s="22"/>
      <c r="AE432" s="23"/>
      <c r="AF432" s="20"/>
      <c r="AG432" s="20"/>
      <c r="AH432" s="22"/>
      <c r="AI432" s="22"/>
      <c r="AJ432" s="22"/>
    </row>
    <row r="433" spans="30:36">
      <c r="AD433" s="22"/>
      <c r="AE433" s="23"/>
      <c r="AF433" s="20"/>
      <c r="AG433" s="20"/>
      <c r="AH433" s="22"/>
      <c r="AI433" s="22"/>
      <c r="AJ433" s="22"/>
    </row>
    <row r="434" spans="30:36">
      <c r="AD434" s="22"/>
      <c r="AE434" s="23"/>
      <c r="AF434" s="20"/>
      <c r="AG434" s="20"/>
      <c r="AH434" s="22"/>
      <c r="AI434" s="22"/>
      <c r="AJ434" s="22"/>
    </row>
    <row r="435" spans="30:36">
      <c r="AD435" s="22"/>
      <c r="AE435" s="23"/>
      <c r="AF435" s="20"/>
      <c r="AG435" s="20"/>
      <c r="AH435" s="22"/>
      <c r="AI435" s="22"/>
      <c r="AJ435" s="22"/>
    </row>
    <row r="436" spans="30:36">
      <c r="AD436" s="22"/>
      <c r="AE436" s="23"/>
      <c r="AF436" s="20"/>
      <c r="AG436" s="20"/>
      <c r="AH436" s="22"/>
      <c r="AI436" s="22"/>
      <c r="AJ436" s="22"/>
    </row>
    <row r="437" spans="30:36">
      <c r="AD437" s="22"/>
      <c r="AE437" s="23"/>
      <c r="AF437" s="20"/>
      <c r="AG437" s="20"/>
      <c r="AH437" s="22"/>
      <c r="AI437" s="22"/>
      <c r="AJ437" s="22"/>
    </row>
    <row r="438" spans="30:36">
      <c r="AD438" s="22"/>
      <c r="AE438" s="23"/>
      <c r="AF438" s="20"/>
      <c r="AG438" s="20"/>
      <c r="AH438" s="22"/>
      <c r="AI438" s="22"/>
      <c r="AJ438" s="22"/>
    </row>
    <row r="439" spans="30:36">
      <c r="AD439" s="22"/>
      <c r="AE439" s="23"/>
      <c r="AF439" s="20"/>
      <c r="AG439" s="20"/>
      <c r="AH439" s="22"/>
      <c r="AI439" s="22"/>
      <c r="AJ439" s="22"/>
    </row>
    <row r="440" spans="30:36">
      <c r="AD440" s="22"/>
      <c r="AE440" s="23"/>
      <c r="AF440" s="20"/>
      <c r="AG440" s="20"/>
      <c r="AH440" s="22"/>
      <c r="AI440" s="22"/>
      <c r="AJ440" s="22"/>
    </row>
    <row r="441" spans="30:36">
      <c r="AD441" s="22"/>
      <c r="AE441" s="23"/>
      <c r="AF441" s="20"/>
      <c r="AG441" s="20"/>
      <c r="AH441" s="22"/>
      <c r="AI441" s="22"/>
      <c r="AJ441" s="22"/>
    </row>
    <row r="442" spans="30:36">
      <c r="AD442" s="22"/>
      <c r="AE442" s="23"/>
      <c r="AF442" s="20"/>
      <c r="AG442" s="20"/>
      <c r="AH442" s="22"/>
      <c r="AI442" s="22"/>
      <c r="AJ442" s="22"/>
    </row>
    <row r="443" spans="30:36">
      <c r="AD443" s="22"/>
      <c r="AE443" s="23"/>
      <c r="AF443" s="20"/>
      <c r="AG443" s="20"/>
      <c r="AH443" s="22"/>
      <c r="AI443" s="22"/>
      <c r="AJ443" s="22"/>
    </row>
    <row r="444" spans="30:36">
      <c r="AD444" s="22"/>
      <c r="AE444" s="23"/>
      <c r="AF444" s="20"/>
      <c r="AG444" s="20"/>
      <c r="AH444" s="22"/>
      <c r="AI444" s="22"/>
      <c r="AJ444" s="22"/>
    </row>
    <row r="445" spans="30:36">
      <c r="AD445" s="22"/>
      <c r="AE445" s="23"/>
      <c r="AF445" s="20"/>
      <c r="AG445" s="20"/>
      <c r="AH445" s="22"/>
      <c r="AI445" s="22"/>
      <c r="AJ445" s="22"/>
    </row>
    <row r="446" spans="30:36">
      <c r="AD446" s="22"/>
      <c r="AE446" s="23"/>
      <c r="AF446" s="20"/>
      <c r="AG446" s="20"/>
      <c r="AH446" s="22"/>
      <c r="AI446" s="22"/>
      <c r="AJ446" s="22"/>
    </row>
    <row r="447" spans="30:36">
      <c r="AD447" s="22"/>
      <c r="AE447" s="23"/>
      <c r="AF447" s="20"/>
      <c r="AG447" s="20"/>
      <c r="AH447" s="22"/>
      <c r="AI447" s="22"/>
      <c r="AJ447" s="22"/>
    </row>
    <row r="448" spans="30:36">
      <c r="AD448" s="22"/>
      <c r="AE448" s="23"/>
      <c r="AF448" s="20"/>
      <c r="AG448" s="20"/>
      <c r="AH448" s="22"/>
      <c r="AI448" s="22"/>
      <c r="AJ448" s="22"/>
    </row>
    <row r="449" spans="30:36">
      <c r="AD449" s="22"/>
      <c r="AE449" s="23"/>
      <c r="AF449" s="20"/>
      <c r="AG449" s="20"/>
      <c r="AH449" s="22"/>
      <c r="AI449" s="22"/>
      <c r="AJ449" s="22"/>
    </row>
    <row r="450" spans="30:36">
      <c r="AD450" s="22"/>
      <c r="AE450" s="23"/>
      <c r="AF450" s="20"/>
      <c r="AG450" s="20"/>
      <c r="AH450" s="22"/>
      <c r="AI450" s="22"/>
      <c r="AJ450" s="22"/>
    </row>
    <row r="451" spans="30:36">
      <c r="AD451" s="22"/>
      <c r="AE451" s="23"/>
      <c r="AF451" s="20"/>
      <c r="AG451" s="20"/>
      <c r="AH451" s="22"/>
      <c r="AI451" s="22"/>
      <c r="AJ451" s="22"/>
    </row>
    <row r="452" spans="30:36">
      <c r="AD452" s="22"/>
      <c r="AE452" s="23"/>
      <c r="AF452" s="20"/>
      <c r="AG452" s="20"/>
      <c r="AH452" s="22"/>
      <c r="AI452" s="22"/>
      <c r="AJ452" s="22"/>
    </row>
    <row r="453" spans="30:36">
      <c r="AD453" s="22"/>
      <c r="AE453" s="23"/>
      <c r="AF453" s="20"/>
      <c r="AG453" s="20"/>
      <c r="AH453" s="22"/>
      <c r="AI453" s="22"/>
      <c r="AJ453" s="22"/>
    </row>
    <row r="454" spans="30:36">
      <c r="AD454" s="22"/>
      <c r="AE454" s="23"/>
      <c r="AF454" s="20"/>
      <c r="AG454" s="20"/>
      <c r="AH454" s="22"/>
      <c r="AI454" s="22"/>
      <c r="AJ454" s="22"/>
    </row>
    <row r="455" spans="30:36">
      <c r="AD455" s="22"/>
      <c r="AE455" s="23"/>
      <c r="AF455" s="20"/>
      <c r="AG455" s="20"/>
      <c r="AH455" s="22"/>
      <c r="AI455" s="22"/>
      <c r="AJ455" s="22"/>
    </row>
    <row r="456" spans="30:36">
      <c r="AD456" s="22"/>
      <c r="AE456" s="23"/>
      <c r="AF456" s="20"/>
      <c r="AG456" s="20"/>
      <c r="AH456" s="22"/>
      <c r="AI456" s="22"/>
      <c r="AJ456" s="22"/>
    </row>
    <row r="457" spans="30:36">
      <c r="AD457" s="22"/>
      <c r="AE457" s="23"/>
      <c r="AF457" s="20"/>
      <c r="AG457" s="20"/>
      <c r="AH457" s="22"/>
      <c r="AI457" s="22"/>
      <c r="AJ457" s="22"/>
    </row>
    <row r="458" spans="30:36">
      <c r="AD458" s="22"/>
      <c r="AE458" s="23"/>
      <c r="AF458" s="20"/>
      <c r="AG458" s="20"/>
      <c r="AH458" s="22"/>
      <c r="AI458" s="22"/>
      <c r="AJ458" s="22"/>
    </row>
    <row r="459" spans="30:36">
      <c r="AD459" s="22"/>
      <c r="AE459" s="23"/>
      <c r="AF459" s="20"/>
      <c r="AG459" s="20"/>
      <c r="AH459" s="22"/>
      <c r="AI459" s="22"/>
      <c r="AJ459" s="22"/>
    </row>
    <row r="460" spans="30:36">
      <c r="AD460" s="22"/>
      <c r="AE460" s="23"/>
      <c r="AF460" s="20"/>
      <c r="AG460" s="20"/>
      <c r="AH460" s="22"/>
      <c r="AI460" s="22"/>
      <c r="AJ460" s="22"/>
    </row>
    <row r="461" spans="30:36">
      <c r="AD461" s="22"/>
      <c r="AE461" s="23"/>
      <c r="AF461" s="20"/>
      <c r="AG461" s="20"/>
      <c r="AH461" s="22"/>
      <c r="AI461" s="22"/>
      <c r="AJ461" s="22"/>
    </row>
    <row r="462" spans="30:36">
      <c r="AD462" s="22"/>
      <c r="AE462" s="23"/>
      <c r="AF462" s="20"/>
      <c r="AG462" s="20"/>
      <c r="AH462" s="22"/>
      <c r="AI462" s="22"/>
      <c r="AJ462" s="22"/>
    </row>
    <row r="463" spans="30:36">
      <c r="AD463" s="22"/>
      <c r="AE463" s="23"/>
      <c r="AF463" s="20"/>
      <c r="AG463" s="20"/>
      <c r="AH463" s="22"/>
      <c r="AI463" s="22"/>
      <c r="AJ463" s="22"/>
    </row>
    <row r="464" spans="30:36">
      <c r="AD464" s="22"/>
      <c r="AE464" s="23"/>
      <c r="AF464" s="20"/>
      <c r="AG464" s="20"/>
      <c r="AH464" s="22"/>
      <c r="AI464" s="22"/>
      <c r="AJ464" s="22"/>
    </row>
    <row r="465" spans="30:36">
      <c r="AD465" s="22"/>
      <c r="AE465" s="23"/>
      <c r="AF465" s="20"/>
      <c r="AG465" s="20"/>
      <c r="AH465" s="22"/>
      <c r="AI465" s="22"/>
      <c r="AJ465" s="22"/>
    </row>
    <row r="466" spans="30:36">
      <c r="AD466" s="22"/>
      <c r="AE466" s="23"/>
      <c r="AF466" s="20"/>
      <c r="AG466" s="20"/>
      <c r="AH466" s="22"/>
      <c r="AI466" s="22"/>
      <c r="AJ466" s="22"/>
    </row>
    <row r="467" spans="30:36">
      <c r="AD467" s="22"/>
      <c r="AE467" s="23"/>
      <c r="AF467" s="20"/>
      <c r="AG467" s="20"/>
      <c r="AH467" s="22"/>
      <c r="AI467" s="22"/>
      <c r="AJ467" s="22"/>
    </row>
    <row r="468" spans="30:36">
      <c r="AD468" s="22"/>
      <c r="AE468" s="23"/>
      <c r="AF468" s="20"/>
      <c r="AG468" s="20"/>
      <c r="AH468" s="22"/>
      <c r="AI468" s="22"/>
      <c r="AJ468" s="22"/>
    </row>
    <row r="469" spans="30:36">
      <c r="AD469" s="22"/>
      <c r="AE469" s="23"/>
      <c r="AF469" s="20"/>
      <c r="AG469" s="20"/>
      <c r="AH469" s="22"/>
      <c r="AI469" s="22"/>
      <c r="AJ469" s="22"/>
    </row>
    <row r="470" spans="30:36">
      <c r="AD470" s="22"/>
      <c r="AE470" s="23"/>
      <c r="AF470" s="20"/>
      <c r="AG470" s="20"/>
      <c r="AH470" s="22"/>
      <c r="AI470" s="22"/>
      <c r="AJ470" s="22"/>
    </row>
    <row r="471" spans="30:36">
      <c r="AD471" s="22"/>
      <c r="AE471" s="23"/>
      <c r="AF471" s="20"/>
      <c r="AG471" s="20"/>
      <c r="AH471" s="22"/>
      <c r="AI471" s="22"/>
      <c r="AJ471" s="22"/>
    </row>
    <row r="472" spans="30:36">
      <c r="AD472" s="22"/>
      <c r="AE472" s="23"/>
      <c r="AF472" s="20"/>
      <c r="AG472" s="20"/>
      <c r="AH472" s="22"/>
      <c r="AI472" s="22"/>
      <c r="AJ472" s="22"/>
    </row>
    <row r="473" spans="30:36">
      <c r="AD473" s="22"/>
      <c r="AE473" s="23"/>
      <c r="AF473" s="20"/>
      <c r="AG473" s="20"/>
      <c r="AH473" s="22"/>
      <c r="AI473" s="22"/>
      <c r="AJ473" s="22"/>
    </row>
    <row r="474" spans="30:36">
      <c r="AD474" s="22"/>
      <c r="AE474" s="23"/>
      <c r="AF474" s="20"/>
      <c r="AG474" s="20"/>
      <c r="AH474" s="22"/>
      <c r="AI474" s="22"/>
      <c r="AJ474" s="22"/>
    </row>
    <row r="475" spans="30:36">
      <c r="AD475" s="22"/>
      <c r="AE475" s="23"/>
      <c r="AF475" s="20"/>
      <c r="AG475" s="20"/>
      <c r="AH475" s="22"/>
      <c r="AI475" s="22"/>
      <c r="AJ475" s="22"/>
    </row>
    <row r="476" spans="30:36">
      <c r="AD476" s="22"/>
      <c r="AE476" s="23"/>
      <c r="AF476" s="20"/>
      <c r="AG476" s="20"/>
      <c r="AH476" s="22"/>
      <c r="AI476" s="22"/>
      <c r="AJ476" s="22"/>
    </row>
    <row r="477" spans="30:36">
      <c r="AD477" s="22"/>
      <c r="AE477" s="23"/>
      <c r="AF477" s="20"/>
      <c r="AG477" s="20"/>
      <c r="AH477" s="22"/>
      <c r="AI477" s="22"/>
      <c r="AJ477" s="22"/>
    </row>
    <row r="478" spans="30:36">
      <c r="AD478" s="22"/>
      <c r="AE478" s="23"/>
      <c r="AF478" s="20"/>
      <c r="AG478" s="20"/>
      <c r="AH478" s="22"/>
      <c r="AI478" s="22"/>
      <c r="AJ478" s="22"/>
    </row>
    <row r="479" spans="30:36">
      <c r="AD479" s="22"/>
      <c r="AE479" s="23"/>
      <c r="AF479" s="20"/>
      <c r="AG479" s="20"/>
      <c r="AH479" s="22"/>
      <c r="AI479" s="22"/>
      <c r="AJ479" s="22"/>
    </row>
    <row r="480" spans="30:36">
      <c r="AD480" s="22"/>
      <c r="AE480" s="23"/>
      <c r="AF480" s="20"/>
      <c r="AG480" s="20"/>
      <c r="AH480" s="22"/>
      <c r="AI480" s="22"/>
      <c r="AJ480" s="22"/>
    </row>
    <row r="481" spans="30:36">
      <c r="AD481" s="22"/>
      <c r="AE481" s="23"/>
      <c r="AF481" s="20"/>
      <c r="AG481" s="20"/>
      <c r="AH481" s="22"/>
      <c r="AI481" s="22"/>
      <c r="AJ481" s="22"/>
    </row>
    <row r="482" spans="30:36">
      <c r="AD482" s="22"/>
      <c r="AE482" s="23"/>
      <c r="AF482" s="20"/>
      <c r="AG482" s="20"/>
      <c r="AH482" s="22"/>
      <c r="AI482" s="22"/>
      <c r="AJ482" s="22"/>
    </row>
    <row r="483" spans="30:36">
      <c r="AD483" s="22"/>
      <c r="AE483" s="23"/>
      <c r="AF483" s="20"/>
      <c r="AG483" s="20"/>
      <c r="AH483" s="22"/>
      <c r="AI483" s="22"/>
      <c r="AJ483" s="22"/>
    </row>
    <row r="484" spans="30:36">
      <c r="AD484" s="22"/>
      <c r="AE484" s="23"/>
      <c r="AF484" s="20"/>
      <c r="AG484" s="20"/>
      <c r="AH484" s="22"/>
      <c r="AI484" s="22"/>
      <c r="AJ484" s="22"/>
    </row>
    <row r="485" spans="30:36">
      <c r="AD485" s="22"/>
      <c r="AE485" s="23"/>
      <c r="AF485" s="20"/>
      <c r="AG485" s="20"/>
      <c r="AH485" s="22"/>
      <c r="AI485" s="22"/>
      <c r="AJ485" s="22"/>
    </row>
    <row r="486" spans="30:36">
      <c r="AD486" s="22"/>
      <c r="AE486" s="23"/>
      <c r="AF486" s="20"/>
      <c r="AG486" s="20"/>
      <c r="AH486" s="22"/>
      <c r="AI486" s="22"/>
      <c r="AJ486" s="22"/>
    </row>
    <row r="487" spans="30:36">
      <c r="AD487" s="22"/>
      <c r="AE487" s="23"/>
      <c r="AF487" s="20"/>
      <c r="AG487" s="20"/>
      <c r="AH487" s="22"/>
      <c r="AI487" s="22"/>
      <c r="AJ487" s="22"/>
    </row>
    <row r="488" spans="30:36">
      <c r="AD488" s="22"/>
      <c r="AE488" s="23"/>
      <c r="AF488" s="20"/>
      <c r="AG488" s="20"/>
      <c r="AH488" s="22"/>
      <c r="AI488" s="22"/>
      <c r="AJ488" s="22"/>
    </row>
    <row r="489" spans="30:36">
      <c r="AD489" s="22"/>
      <c r="AE489" s="23"/>
      <c r="AF489" s="20"/>
      <c r="AG489" s="20"/>
      <c r="AH489" s="22"/>
      <c r="AI489" s="22"/>
      <c r="AJ489" s="22"/>
    </row>
    <row r="490" spans="30:36">
      <c r="AD490" s="22"/>
      <c r="AE490" s="23"/>
      <c r="AF490" s="20"/>
      <c r="AG490" s="20"/>
      <c r="AH490" s="22"/>
      <c r="AI490" s="22"/>
      <c r="AJ490" s="22"/>
    </row>
    <row r="491" spans="30:36">
      <c r="AD491" s="22"/>
      <c r="AE491" s="23"/>
      <c r="AF491" s="20"/>
      <c r="AG491" s="20"/>
      <c r="AH491" s="22"/>
      <c r="AI491" s="22"/>
      <c r="AJ491" s="22"/>
    </row>
    <row r="492" spans="30:36">
      <c r="AD492" s="22"/>
      <c r="AE492" s="23"/>
      <c r="AF492" s="20"/>
      <c r="AG492" s="20"/>
      <c r="AH492" s="22"/>
      <c r="AI492" s="22"/>
      <c r="AJ492" s="22"/>
    </row>
    <row r="493" spans="30:36">
      <c r="AD493" s="22"/>
      <c r="AE493" s="23"/>
      <c r="AF493" s="20"/>
      <c r="AG493" s="20"/>
      <c r="AH493" s="22"/>
      <c r="AI493" s="22"/>
      <c r="AJ493" s="22"/>
    </row>
    <row r="494" spans="30:36">
      <c r="AD494" s="22"/>
      <c r="AE494" s="23"/>
      <c r="AF494" s="20"/>
      <c r="AG494" s="20"/>
      <c r="AH494" s="22"/>
      <c r="AI494" s="22"/>
      <c r="AJ494" s="22"/>
    </row>
    <row r="495" spans="30:36">
      <c r="AD495" s="22"/>
      <c r="AE495" s="23"/>
      <c r="AF495" s="20"/>
      <c r="AG495" s="20"/>
      <c r="AH495" s="22"/>
      <c r="AI495" s="22"/>
      <c r="AJ495" s="22"/>
    </row>
    <row r="496" spans="30:36">
      <c r="AD496" s="22"/>
      <c r="AE496" s="23"/>
      <c r="AF496" s="20"/>
      <c r="AG496" s="20"/>
      <c r="AH496" s="22"/>
      <c r="AI496" s="22"/>
      <c r="AJ496" s="22"/>
    </row>
    <row r="497" spans="30:36">
      <c r="AD497" s="22"/>
      <c r="AE497" s="23"/>
      <c r="AF497" s="20"/>
      <c r="AG497" s="20"/>
      <c r="AH497" s="22"/>
      <c r="AI497" s="22"/>
      <c r="AJ497" s="22"/>
    </row>
    <row r="498" spans="30:36">
      <c r="AD498" s="22"/>
      <c r="AE498" s="23"/>
      <c r="AF498" s="20"/>
      <c r="AG498" s="20"/>
      <c r="AH498" s="22"/>
      <c r="AI498" s="22"/>
      <c r="AJ498" s="22"/>
    </row>
    <row r="499" spans="30:36">
      <c r="AD499" s="22"/>
      <c r="AE499" s="23"/>
      <c r="AF499" s="20"/>
      <c r="AG499" s="20"/>
      <c r="AH499" s="22"/>
      <c r="AI499" s="22"/>
      <c r="AJ499" s="22"/>
    </row>
    <row r="500" spans="30:36">
      <c r="AD500" s="22"/>
      <c r="AE500" s="23"/>
      <c r="AF500" s="20"/>
      <c r="AG500" s="20"/>
      <c r="AH500" s="22"/>
      <c r="AI500" s="22"/>
      <c r="AJ500" s="22"/>
    </row>
    <row r="501" spans="30:36">
      <c r="AD501" s="22"/>
      <c r="AE501" s="23"/>
      <c r="AF501" s="20"/>
      <c r="AG501" s="20"/>
      <c r="AH501" s="22"/>
      <c r="AI501" s="22"/>
      <c r="AJ501" s="22"/>
    </row>
    <row r="502" spans="30:36">
      <c r="AD502" s="22"/>
      <c r="AE502" s="23"/>
      <c r="AF502" s="20"/>
      <c r="AG502" s="20"/>
      <c r="AH502" s="22"/>
      <c r="AI502" s="22"/>
      <c r="AJ502" s="22"/>
    </row>
    <row r="503" spans="30:36">
      <c r="AD503" s="22"/>
      <c r="AE503" s="23"/>
      <c r="AF503" s="20"/>
      <c r="AG503" s="20"/>
      <c r="AH503" s="22"/>
      <c r="AI503" s="22"/>
      <c r="AJ503" s="22"/>
    </row>
    <row r="504" spans="30:36">
      <c r="AD504" s="22"/>
      <c r="AE504" s="23"/>
      <c r="AF504" s="20"/>
      <c r="AG504" s="20"/>
      <c r="AH504" s="22"/>
      <c r="AI504" s="22"/>
      <c r="AJ504" s="22"/>
    </row>
    <row r="505" spans="30:36">
      <c r="AD505" s="22"/>
      <c r="AE505" s="23"/>
      <c r="AF505" s="20"/>
      <c r="AG505" s="20"/>
      <c r="AH505" s="22"/>
      <c r="AI505" s="22"/>
      <c r="AJ505" s="22"/>
    </row>
    <row r="506" spans="30:36">
      <c r="AD506" s="22"/>
      <c r="AE506" s="23"/>
      <c r="AF506" s="20"/>
      <c r="AG506" s="20"/>
      <c r="AH506" s="22"/>
      <c r="AI506" s="22"/>
      <c r="AJ506" s="22"/>
    </row>
    <row r="507" spans="30:36">
      <c r="AD507" s="22"/>
      <c r="AE507" s="23"/>
      <c r="AF507" s="20"/>
      <c r="AG507" s="20"/>
      <c r="AH507" s="22"/>
      <c r="AI507" s="22"/>
      <c r="AJ507" s="22"/>
    </row>
    <row r="508" spans="30:36">
      <c r="AD508" s="22"/>
      <c r="AE508" s="23"/>
      <c r="AF508" s="20"/>
      <c r="AG508" s="20"/>
      <c r="AH508" s="22"/>
      <c r="AI508" s="22"/>
      <c r="AJ508" s="22"/>
    </row>
    <row r="509" spans="30:36">
      <c r="AD509" s="22"/>
      <c r="AE509" s="23"/>
      <c r="AF509" s="20"/>
      <c r="AG509" s="20"/>
      <c r="AH509" s="22"/>
      <c r="AI509" s="22"/>
      <c r="AJ509" s="22"/>
    </row>
    <row r="510" spans="30:36">
      <c r="AD510" s="22"/>
      <c r="AE510" s="23"/>
      <c r="AF510" s="20"/>
      <c r="AG510" s="20"/>
      <c r="AH510" s="22"/>
      <c r="AI510" s="22"/>
      <c r="AJ510" s="22"/>
    </row>
    <row r="511" spans="30:36">
      <c r="AD511" s="22"/>
      <c r="AE511" s="23"/>
      <c r="AF511" s="20"/>
      <c r="AG511" s="20"/>
      <c r="AH511" s="22"/>
      <c r="AI511" s="22"/>
      <c r="AJ511" s="22"/>
    </row>
    <row r="512" spans="30:36">
      <c r="AD512" s="22"/>
      <c r="AE512" s="23"/>
      <c r="AF512" s="20"/>
      <c r="AG512" s="20"/>
      <c r="AH512" s="22"/>
      <c r="AI512" s="22"/>
      <c r="AJ512" s="22"/>
    </row>
    <row r="513" spans="30:36">
      <c r="AD513" s="22"/>
      <c r="AE513" s="23"/>
      <c r="AF513" s="20"/>
      <c r="AG513" s="20"/>
      <c r="AH513" s="22"/>
      <c r="AI513" s="22"/>
      <c r="AJ513" s="22"/>
    </row>
    <row r="514" spans="30:36">
      <c r="AD514" s="22"/>
      <c r="AE514" s="23"/>
      <c r="AF514" s="20"/>
      <c r="AG514" s="20"/>
      <c r="AH514" s="22"/>
      <c r="AI514" s="22"/>
      <c r="AJ514" s="22"/>
    </row>
    <row r="515" spans="30:36">
      <c r="AD515" s="22"/>
      <c r="AE515" s="23"/>
      <c r="AF515" s="20"/>
      <c r="AG515" s="20"/>
      <c r="AH515" s="22"/>
      <c r="AI515" s="22"/>
      <c r="AJ515" s="22"/>
    </row>
    <row r="516" spans="30:36">
      <c r="AD516" s="22"/>
      <c r="AE516" s="23"/>
      <c r="AF516" s="20"/>
      <c r="AG516" s="20"/>
      <c r="AH516" s="22"/>
      <c r="AI516" s="22"/>
      <c r="AJ516" s="22"/>
    </row>
    <row r="517" spans="30:36">
      <c r="AD517" s="22"/>
      <c r="AE517" s="23"/>
      <c r="AF517" s="20"/>
      <c r="AG517" s="20"/>
      <c r="AH517" s="22"/>
      <c r="AI517" s="22"/>
      <c r="AJ517" s="22"/>
    </row>
    <row r="518" spans="30:36">
      <c r="AD518" s="22"/>
      <c r="AE518" s="23"/>
      <c r="AF518" s="20"/>
      <c r="AG518" s="20"/>
      <c r="AH518" s="22"/>
      <c r="AI518" s="22"/>
      <c r="AJ518" s="22"/>
    </row>
    <row r="519" spans="30:36">
      <c r="AD519" s="22"/>
      <c r="AE519" s="23"/>
      <c r="AF519" s="20"/>
      <c r="AG519" s="20"/>
      <c r="AH519" s="22"/>
      <c r="AI519" s="22"/>
      <c r="AJ519" s="22"/>
    </row>
    <row r="520" spans="30:36">
      <c r="AD520" s="22"/>
      <c r="AE520" s="23"/>
      <c r="AF520" s="20"/>
      <c r="AG520" s="20"/>
      <c r="AH520" s="22"/>
      <c r="AI520" s="22"/>
      <c r="AJ520" s="22"/>
    </row>
    <row r="521" spans="30:36">
      <c r="AD521" s="22"/>
      <c r="AE521" s="23"/>
      <c r="AF521" s="20"/>
      <c r="AG521" s="20"/>
      <c r="AH521" s="22"/>
      <c r="AI521" s="22"/>
      <c r="AJ521" s="22"/>
    </row>
    <row r="522" spans="30:36">
      <c r="AD522" s="22"/>
      <c r="AE522" s="23"/>
      <c r="AF522" s="20"/>
      <c r="AG522" s="20"/>
      <c r="AH522" s="22"/>
      <c r="AI522" s="22"/>
      <c r="AJ522" s="22"/>
    </row>
    <row r="523" spans="30:36">
      <c r="AD523" s="22"/>
      <c r="AE523" s="23"/>
      <c r="AF523" s="20"/>
      <c r="AG523" s="20"/>
      <c r="AH523" s="22"/>
      <c r="AI523" s="22"/>
      <c r="AJ523" s="22"/>
    </row>
    <row r="524" spans="30:36">
      <c r="AD524" s="22"/>
      <c r="AE524" s="23"/>
      <c r="AF524" s="20"/>
      <c r="AG524" s="20"/>
      <c r="AH524" s="22"/>
      <c r="AI524" s="22"/>
      <c r="AJ524" s="22"/>
    </row>
    <row r="525" spans="30:36">
      <c r="AD525" s="22"/>
      <c r="AE525" s="23"/>
      <c r="AF525" s="20"/>
      <c r="AG525" s="20"/>
      <c r="AH525" s="22"/>
      <c r="AI525" s="22"/>
      <c r="AJ525" s="22"/>
    </row>
    <row r="526" spans="30:36">
      <c r="AD526" s="22"/>
      <c r="AE526" s="23"/>
      <c r="AF526" s="20"/>
      <c r="AG526" s="20"/>
      <c r="AH526" s="22"/>
      <c r="AI526" s="22"/>
      <c r="AJ526" s="22"/>
    </row>
    <row r="527" spans="30:36">
      <c r="AD527" s="22"/>
      <c r="AE527" s="23"/>
      <c r="AF527" s="20"/>
      <c r="AG527" s="20"/>
      <c r="AH527" s="22"/>
      <c r="AI527" s="22"/>
      <c r="AJ527" s="22"/>
    </row>
    <row r="528" spans="30:36">
      <c r="AD528" s="22"/>
      <c r="AE528" s="23"/>
      <c r="AF528" s="20"/>
      <c r="AG528" s="20"/>
      <c r="AH528" s="22"/>
      <c r="AI528" s="22"/>
      <c r="AJ528" s="22"/>
    </row>
    <row r="529" spans="30:36">
      <c r="AD529" s="22"/>
      <c r="AE529" s="23"/>
      <c r="AF529" s="20"/>
      <c r="AG529" s="20"/>
      <c r="AH529" s="22"/>
      <c r="AI529" s="22"/>
      <c r="AJ529" s="22"/>
    </row>
    <row r="530" spans="30:36">
      <c r="AD530" s="22"/>
      <c r="AE530" s="23"/>
      <c r="AF530" s="20"/>
      <c r="AG530" s="20"/>
      <c r="AH530" s="22"/>
      <c r="AI530" s="22"/>
      <c r="AJ530" s="22"/>
    </row>
    <row r="531" spans="30:36">
      <c r="AD531" s="22"/>
      <c r="AE531" s="23"/>
      <c r="AF531" s="20"/>
      <c r="AG531" s="20"/>
      <c r="AH531" s="22"/>
      <c r="AI531" s="22"/>
      <c r="AJ531" s="22"/>
    </row>
    <row r="532" spans="30:36">
      <c r="AD532" s="22"/>
      <c r="AE532" s="23"/>
      <c r="AF532" s="20"/>
      <c r="AG532" s="20"/>
      <c r="AH532" s="22"/>
      <c r="AI532" s="22"/>
      <c r="AJ532" s="22"/>
    </row>
    <row r="533" spans="30:36">
      <c r="AD533" s="22"/>
      <c r="AE533" s="23"/>
      <c r="AF533" s="20"/>
      <c r="AG533" s="20"/>
      <c r="AH533" s="22"/>
      <c r="AI533" s="22"/>
      <c r="AJ533" s="22"/>
    </row>
    <row r="534" spans="30:36">
      <c r="AD534" s="22"/>
      <c r="AE534" s="23"/>
      <c r="AF534" s="20"/>
      <c r="AG534" s="20"/>
      <c r="AH534" s="22"/>
      <c r="AI534" s="22"/>
      <c r="AJ534" s="22"/>
    </row>
    <row r="535" spans="30:36">
      <c r="AD535" s="22"/>
      <c r="AE535" s="23"/>
      <c r="AF535" s="20"/>
      <c r="AG535" s="20"/>
      <c r="AH535" s="22"/>
      <c r="AI535" s="22"/>
      <c r="AJ535" s="22"/>
    </row>
    <row r="536" spans="30:36">
      <c r="AD536" s="22"/>
      <c r="AE536" s="23"/>
      <c r="AF536" s="20"/>
      <c r="AG536" s="20"/>
      <c r="AH536" s="22"/>
      <c r="AI536" s="22"/>
      <c r="AJ536" s="22"/>
    </row>
    <row r="537" spans="30:36">
      <c r="AD537" s="22"/>
      <c r="AE537" s="23"/>
      <c r="AF537" s="20"/>
      <c r="AG537" s="20"/>
      <c r="AH537" s="22"/>
      <c r="AI537" s="22"/>
      <c r="AJ537" s="22"/>
    </row>
    <row r="538" spans="30:36">
      <c r="AD538" s="22"/>
      <c r="AE538" s="23"/>
      <c r="AF538" s="20"/>
      <c r="AG538" s="20"/>
      <c r="AH538" s="22"/>
      <c r="AI538" s="22"/>
      <c r="AJ538" s="22"/>
    </row>
    <row r="539" spans="30:36">
      <c r="AD539" s="22"/>
      <c r="AE539" s="23"/>
      <c r="AF539" s="20"/>
      <c r="AG539" s="20"/>
      <c r="AH539" s="22"/>
      <c r="AI539" s="22"/>
      <c r="AJ539" s="22"/>
    </row>
    <row r="540" spans="30:36">
      <c r="AD540" s="22"/>
      <c r="AE540" s="23"/>
      <c r="AF540" s="20"/>
      <c r="AG540" s="20"/>
      <c r="AH540" s="22"/>
      <c r="AI540" s="22"/>
      <c r="AJ540" s="22"/>
    </row>
    <row r="541" spans="30:36">
      <c r="AD541" s="22"/>
      <c r="AE541" s="23"/>
      <c r="AF541" s="20"/>
      <c r="AG541" s="20"/>
      <c r="AH541" s="22"/>
      <c r="AI541" s="22"/>
      <c r="AJ541" s="22"/>
    </row>
    <row r="542" spans="30:36">
      <c r="AD542" s="22"/>
      <c r="AE542" s="23"/>
      <c r="AF542" s="20"/>
      <c r="AG542" s="20"/>
      <c r="AH542" s="22"/>
      <c r="AI542" s="22"/>
      <c r="AJ542" s="22"/>
    </row>
    <row r="543" spans="30:36">
      <c r="AD543" s="22"/>
      <c r="AE543" s="23"/>
      <c r="AF543" s="20"/>
      <c r="AG543" s="20"/>
      <c r="AH543" s="22"/>
      <c r="AI543" s="22"/>
      <c r="AJ543" s="22"/>
    </row>
    <row r="544" spans="30:36">
      <c r="AD544" s="22"/>
      <c r="AE544" s="23"/>
      <c r="AF544" s="20"/>
      <c r="AG544" s="20"/>
      <c r="AH544" s="22"/>
      <c r="AI544" s="22"/>
      <c r="AJ544" s="22"/>
    </row>
    <row r="545" spans="30:36">
      <c r="AD545" s="22"/>
      <c r="AE545" s="23"/>
      <c r="AF545" s="20"/>
      <c r="AG545" s="20"/>
      <c r="AH545" s="22"/>
      <c r="AI545" s="22"/>
      <c r="AJ545" s="22"/>
    </row>
    <row r="546" spans="30:36">
      <c r="AD546" s="22"/>
      <c r="AE546" s="23"/>
      <c r="AF546" s="20"/>
      <c r="AG546" s="20"/>
      <c r="AH546" s="22"/>
      <c r="AI546" s="22"/>
      <c r="AJ546" s="22"/>
    </row>
    <row r="547" spans="30:36">
      <c r="AD547" s="22"/>
      <c r="AE547" s="23"/>
      <c r="AF547" s="20"/>
      <c r="AG547" s="20"/>
      <c r="AH547" s="22"/>
      <c r="AI547" s="22"/>
      <c r="AJ547" s="22"/>
    </row>
    <row r="548" spans="30:36">
      <c r="AD548" s="22"/>
      <c r="AE548" s="23"/>
      <c r="AF548" s="20"/>
      <c r="AG548" s="20"/>
      <c r="AH548" s="22"/>
      <c r="AI548" s="22"/>
      <c r="AJ548" s="22"/>
    </row>
    <row r="549" spans="30:36">
      <c r="AD549" s="22"/>
      <c r="AE549" s="23"/>
      <c r="AF549" s="20"/>
      <c r="AG549" s="20"/>
      <c r="AH549" s="22"/>
      <c r="AI549" s="22"/>
      <c r="AJ549" s="22"/>
    </row>
    <row r="550" spans="30:36">
      <c r="AD550" s="22"/>
      <c r="AE550" s="23"/>
      <c r="AF550" s="20"/>
      <c r="AG550" s="20"/>
      <c r="AH550" s="22"/>
      <c r="AI550" s="22"/>
      <c r="AJ550" s="22"/>
    </row>
    <row r="551" spans="30:36">
      <c r="AD551" s="22"/>
      <c r="AE551" s="23"/>
      <c r="AF551" s="20"/>
      <c r="AG551" s="20"/>
      <c r="AH551" s="22"/>
      <c r="AI551" s="22"/>
      <c r="AJ551" s="22"/>
    </row>
    <row r="552" spans="30:36">
      <c r="AD552" s="22"/>
      <c r="AE552" s="23"/>
      <c r="AF552" s="20"/>
      <c r="AG552" s="20"/>
      <c r="AH552" s="22"/>
      <c r="AI552" s="22"/>
      <c r="AJ552" s="22"/>
    </row>
    <row r="553" spans="30:36">
      <c r="AD553" s="22"/>
      <c r="AE553" s="23"/>
      <c r="AF553" s="20"/>
      <c r="AG553" s="20"/>
      <c r="AH553" s="22"/>
      <c r="AI553" s="22"/>
      <c r="AJ553" s="22"/>
    </row>
    <row r="554" spans="30:36">
      <c r="AD554" s="22"/>
      <c r="AE554" s="23"/>
      <c r="AF554" s="20"/>
      <c r="AG554" s="20"/>
      <c r="AH554" s="22"/>
      <c r="AI554" s="22"/>
      <c r="AJ554" s="22"/>
    </row>
    <row r="555" spans="30:36">
      <c r="AD555" s="22"/>
      <c r="AE555" s="23"/>
      <c r="AF555" s="20"/>
      <c r="AG555" s="20"/>
      <c r="AH555" s="22"/>
      <c r="AI555" s="22"/>
      <c r="AJ555" s="22"/>
    </row>
    <row r="556" spans="30:36">
      <c r="AD556" s="22"/>
      <c r="AE556" s="23"/>
      <c r="AF556" s="20"/>
      <c r="AG556" s="20"/>
      <c r="AH556" s="22"/>
      <c r="AI556" s="22"/>
      <c r="AJ556" s="22"/>
    </row>
    <row r="557" spans="30:36">
      <c r="AD557" s="22"/>
      <c r="AE557" s="23"/>
      <c r="AF557" s="20"/>
      <c r="AG557" s="20"/>
      <c r="AH557" s="22"/>
      <c r="AI557" s="22"/>
      <c r="AJ557" s="22"/>
    </row>
    <row r="558" spans="30:36">
      <c r="AD558" s="22"/>
      <c r="AE558" s="23"/>
      <c r="AF558" s="20"/>
      <c r="AG558" s="20"/>
      <c r="AH558" s="22"/>
      <c r="AI558" s="22"/>
      <c r="AJ558" s="22"/>
    </row>
    <row r="559" spans="30:36">
      <c r="AD559" s="22"/>
      <c r="AE559" s="23"/>
      <c r="AF559" s="20"/>
      <c r="AG559" s="20"/>
      <c r="AH559" s="22"/>
      <c r="AI559" s="22"/>
      <c r="AJ559" s="22"/>
    </row>
    <row r="560" spans="30:36">
      <c r="AD560" s="22"/>
      <c r="AE560" s="23"/>
      <c r="AF560" s="20"/>
      <c r="AG560" s="20"/>
      <c r="AH560" s="22"/>
      <c r="AI560" s="22"/>
      <c r="AJ560" s="22"/>
    </row>
    <row r="561" spans="30:36">
      <c r="AD561" s="22"/>
      <c r="AE561" s="23"/>
      <c r="AF561" s="20"/>
      <c r="AG561" s="20"/>
      <c r="AH561" s="22"/>
      <c r="AI561" s="22"/>
      <c r="AJ561" s="22"/>
    </row>
    <row r="562" spans="30:36">
      <c r="AD562" s="22"/>
      <c r="AE562" s="23"/>
      <c r="AF562" s="20"/>
      <c r="AG562" s="20"/>
      <c r="AH562" s="22"/>
      <c r="AI562" s="22"/>
      <c r="AJ562" s="22"/>
    </row>
    <row r="563" spans="30:36">
      <c r="AD563" s="22"/>
      <c r="AE563" s="23"/>
      <c r="AF563" s="20"/>
      <c r="AG563" s="20"/>
      <c r="AH563" s="22"/>
      <c r="AI563" s="22"/>
      <c r="AJ563" s="22"/>
    </row>
    <row r="564" spans="30:36">
      <c r="AD564" s="22"/>
      <c r="AE564" s="23"/>
      <c r="AF564" s="20"/>
      <c r="AG564" s="20"/>
      <c r="AH564" s="22"/>
      <c r="AI564" s="22"/>
      <c r="AJ564" s="22"/>
    </row>
    <row r="565" spans="30:36">
      <c r="AD565" s="22"/>
      <c r="AE565" s="23"/>
      <c r="AF565" s="20"/>
      <c r="AG565" s="20"/>
      <c r="AH565" s="22"/>
      <c r="AI565" s="22"/>
      <c r="AJ565" s="22"/>
    </row>
    <row r="566" spans="30:36">
      <c r="AD566" s="22"/>
      <c r="AE566" s="23"/>
      <c r="AF566" s="20"/>
      <c r="AG566" s="20"/>
      <c r="AH566" s="22"/>
      <c r="AI566" s="22"/>
      <c r="AJ566" s="22"/>
    </row>
    <row r="567" spans="30:36">
      <c r="AD567" s="22"/>
      <c r="AE567" s="23"/>
      <c r="AF567" s="20"/>
      <c r="AG567" s="20"/>
      <c r="AH567" s="22"/>
      <c r="AI567" s="22"/>
      <c r="AJ567" s="22"/>
    </row>
    <row r="568" spans="30:36">
      <c r="AD568" s="22"/>
      <c r="AE568" s="23"/>
      <c r="AF568" s="20"/>
      <c r="AG568" s="20"/>
      <c r="AH568" s="22"/>
      <c r="AI568" s="22"/>
      <c r="AJ568" s="22"/>
    </row>
    <row r="569" spans="30:36">
      <c r="AD569" s="22"/>
      <c r="AE569" s="23"/>
      <c r="AF569" s="20"/>
      <c r="AG569" s="20"/>
      <c r="AH569" s="22"/>
      <c r="AI569" s="22"/>
      <c r="AJ569" s="22"/>
    </row>
    <row r="570" spans="30:36">
      <c r="AD570" s="22"/>
      <c r="AE570" s="23"/>
      <c r="AF570" s="20"/>
      <c r="AG570" s="20"/>
      <c r="AH570" s="22"/>
      <c r="AI570" s="22"/>
      <c r="AJ570" s="22"/>
    </row>
    <row r="571" spans="30:36">
      <c r="AD571" s="22"/>
      <c r="AE571" s="23"/>
      <c r="AF571" s="20"/>
      <c r="AG571" s="20"/>
      <c r="AH571" s="22"/>
      <c r="AI571" s="22"/>
      <c r="AJ571" s="22"/>
    </row>
    <row r="572" spans="30:36">
      <c r="AD572" s="22"/>
      <c r="AE572" s="23"/>
      <c r="AF572" s="20"/>
      <c r="AG572" s="20"/>
      <c r="AH572" s="22"/>
      <c r="AI572" s="22"/>
      <c r="AJ572" s="22"/>
    </row>
    <row r="573" spans="30:36">
      <c r="AD573" s="22"/>
      <c r="AE573" s="23"/>
      <c r="AF573" s="20"/>
      <c r="AG573" s="20"/>
      <c r="AH573" s="22"/>
      <c r="AI573" s="22"/>
      <c r="AJ573" s="22"/>
    </row>
    <row r="574" spans="30:36">
      <c r="AD574" s="22"/>
      <c r="AE574" s="23"/>
      <c r="AF574" s="20"/>
      <c r="AG574" s="20"/>
      <c r="AH574" s="22"/>
      <c r="AI574" s="22"/>
      <c r="AJ574" s="22"/>
    </row>
    <row r="575" spans="30:36">
      <c r="AD575" s="22"/>
      <c r="AE575" s="23"/>
      <c r="AF575" s="20"/>
      <c r="AG575" s="20"/>
      <c r="AH575" s="22"/>
      <c r="AI575" s="22"/>
      <c r="AJ575" s="22"/>
    </row>
    <row r="576" spans="30:36">
      <c r="AD576" s="22"/>
      <c r="AE576" s="23"/>
      <c r="AF576" s="20"/>
      <c r="AG576" s="20"/>
      <c r="AH576" s="22"/>
      <c r="AI576" s="22"/>
      <c r="AJ576" s="22"/>
    </row>
    <row r="577" spans="30:36">
      <c r="AD577" s="22"/>
      <c r="AE577" s="23"/>
      <c r="AF577" s="20"/>
      <c r="AG577" s="20"/>
      <c r="AH577" s="22"/>
      <c r="AI577" s="22"/>
      <c r="AJ577" s="22"/>
    </row>
    <row r="578" spans="30:36">
      <c r="AD578" s="22"/>
      <c r="AE578" s="23"/>
      <c r="AF578" s="20"/>
      <c r="AG578" s="20"/>
      <c r="AH578" s="22"/>
      <c r="AI578" s="22"/>
      <c r="AJ578" s="22"/>
    </row>
    <row r="579" spans="30:36">
      <c r="AD579" s="22"/>
      <c r="AE579" s="23"/>
      <c r="AF579" s="20"/>
      <c r="AG579" s="20"/>
      <c r="AH579" s="22"/>
      <c r="AI579" s="22"/>
      <c r="AJ579" s="22"/>
    </row>
    <row r="580" spans="30:36">
      <c r="AD580" s="22"/>
      <c r="AE580" s="23"/>
      <c r="AF580" s="20"/>
      <c r="AG580" s="20"/>
      <c r="AH580" s="22"/>
      <c r="AI580" s="22"/>
      <c r="AJ580" s="22"/>
    </row>
    <row r="581" spans="30:36">
      <c r="AD581" s="22"/>
      <c r="AE581" s="23"/>
      <c r="AF581" s="20"/>
      <c r="AG581" s="20"/>
      <c r="AH581" s="22"/>
      <c r="AI581" s="22"/>
      <c r="AJ581" s="22"/>
    </row>
    <row r="582" spans="30:36">
      <c r="AD582" s="22"/>
      <c r="AE582" s="23"/>
      <c r="AF582" s="20"/>
      <c r="AG582" s="20"/>
      <c r="AH582" s="22"/>
      <c r="AI582" s="22"/>
      <c r="AJ582" s="22"/>
    </row>
    <row r="583" spans="30:36">
      <c r="AD583" s="22"/>
      <c r="AE583" s="23"/>
      <c r="AF583" s="20"/>
      <c r="AG583" s="20"/>
      <c r="AH583" s="22"/>
      <c r="AI583" s="22"/>
      <c r="AJ583" s="22"/>
    </row>
    <row r="584" spans="30:36">
      <c r="AD584" s="22"/>
      <c r="AE584" s="23"/>
      <c r="AF584" s="20"/>
      <c r="AG584" s="20"/>
      <c r="AH584" s="22"/>
      <c r="AI584" s="22"/>
      <c r="AJ584" s="22"/>
    </row>
    <row r="585" spans="30:36">
      <c r="AD585" s="22"/>
      <c r="AE585" s="23"/>
      <c r="AF585" s="20"/>
      <c r="AG585" s="20"/>
      <c r="AH585" s="22"/>
      <c r="AI585" s="22"/>
      <c r="AJ585" s="22"/>
    </row>
    <row r="586" spans="30:36">
      <c r="AD586" s="22"/>
      <c r="AE586" s="23"/>
      <c r="AF586" s="20"/>
      <c r="AG586" s="20"/>
      <c r="AH586" s="22"/>
      <c r="AI586" s="22"/>
      <c r="AJ586" s="22"/>
    </row>
    <row r="587" spans="30:36">
      <c r="AD587" s="22"/>
      <c r="AE587" s="23"/>
      <c r="AF587" s="20"/>
      <c r="AG587" s="20"/>
      <c r="AH587" s="22"/>
      <c r="AI587" s="22"/>
      <c r="AJ587" s="22"/>
    </row>
    <row r="588" spans="30:36">
      <c r="AD588" s="22"/>
      <c r="AE588" s="23"/>
      <c r="AF588" s="20"/>
      <c r="AG588" s="20"/>
      <c r="AH588" s="22"/>
      <c r="AI588" s="22"/>
      <c r="AJ588" s="22"/>
    </row>
    <row r="589" spans="30:36">
      <c r="AD589" s="22"/>
      <c r="AE589" s="23"/>
      <c r="AF589" s="20"/>
      <c r="AG589" s="20"/>
      <c r="AH589" s="22"/>
      <c r="AI589" s="22"/>
      <c r="AJ589" s="22"/>
    </row>
    <row r="590" spans="30:36">
      <c r="AD590" s="22"/>
      <c r="AE590" s="23"/>
      <c r="AF590" s="20"/>
      <c r="AG590" s="20"/>
      <c r="AH590" s="22"/>
      <c r="AI590" s="22"/>
      <c r="AJ590" s="22"/>
    </row>
    <row r="591" spans="30:36">
      <c r="AD591" s="22"/>
      <c r="AE591" s="23"/>
      <c r="AF591" s="20"/>
      <c r="AG591" s="20"/>
      <c r="AH591" s="22"/>
      <c r="AI591" s="22"/>
      <c r="AJ591" s="22"/>
    </row>
    <row r="592" spans="30:36">
      <c r="AD592" s="22"/>
      <c r="AE592" s="23"/>
      <c r="AF592" s="20"/>
      <c r="AG592" s="20"/>
      <c r="AH592" s="22"/>
      <c r="AI592" s="22"/>
      <c r="AJ592" s="22"/>
    </row>
    <row r="593" spans="30:36">
      <c r="AD593" s="22"/>
      <c r="AE593" s="23"/>
      <c r="AF593" s="20"/>
      <c r="AG593" s="20"/>
      <c r="AH593" s="22"/>
      <c r="AI593" s="22"/>
      <c r="AJ593" s="22"/>
    </row>
    <row r="594" spans="30:36">
      <c r="AD594" s="22"/>
      <c r="AE594" s="23"/>
      <c r="AF594" s="20"/>
      <c r="AG594" s="20"/>
      <c r="AH594" s="22"/>
      <c r="AI594" s="22"/>
      <c r="AJ594" s="22"/>
    </row>
    <row r="595" spans="30:36">
      <c r="AD595" s="22"/>
      <c r="AE595" s="23"/>
      <c r="AF595" s="20"/>
      <c r="AG595" s="20"/>
      <c r="AH595" s="22"/>
      <c r="AI595" s="22"/>
      <c r="AJ595" s="22"/>
    </row>
    <row r="596" spans="30:36">
      <c r="AD596" s="22"/>
      <c r="AE596" s="23"/>
      <c r="AF596" s="20"/>
      <c r="AG596" s="20"/>
      <c r="AH596" s="22"/>
      <c r="AI596" s="22"/>
      <c r="AJ596" s="22"/>
    </row>
    <row r="597" spans="30:36">
      <c r="AD597" s="22"/>
      <c r="AE597" s="23"/>
      <c r="AF597" s="20"/>
      <c r="AG597" s="20"/>
      <c r="AH597" s="22"/>
      <c r="AI597" s="22"/>
      <c r="AJ597" s="22"/>
    </row>
    <row r="598" spans="30:36">
      <c r="AD598" s="22"/>
      <c r="AE598" s="23"/>
      <c r="AF598" s="20"/>
      <c r="AG598" s="20"/>
      <c r="AH598" s="22"/>
      <c r="AI598" s="22"/>
      <c r="AJ598" s="22"/>
    </row>
    <row r="599" spans="30:36">
      <c r="AD599" s="22"/>
      <c r="AE599" s="23"/>
      <c r="AF599" s="20"/>
      <c r="AG599" s="20"/>
      <c r="AH599" s="22"/>
      <c r="AI599" s="22"/>
      <c r="AJ599" s="22"/>
    </row>
    <row r="600" spans="30:36">
      <c r="AD600" s="22"/>
      <c r="AE600" s="23"/>
      <c r="AF600" s="20"/>
      <c r="AG600" s="20"/>
      <c r="AH600" s="22"/>
      <c r="AI600" s="22"/>
      <c r="AJ600" s="22"/>
    </row>
    <row r="601" spans="30:36">
      <c r="AD601" s="22"/>
      <c r="AE601" s="23"/>
      <c r="AF601" s="20"/>
      <c r="AG601" s="20"/>
      <c r="AH601" s="22"/>
      <c r="AI601" s="22"/>
      <c r="AJ601" s="22"/>
    </row>
    <row r="602" spans="30:36">
      <c r="AD602" s="22"/>
      <c r="AE602" s="23"/>
      <c r="AF602" s="20"/>
      <c r="AG602" s="20"/>
      <c r="AH602" s="22"/>
      <c r="AI602" s="22"/>
      <c r="AJ602" s="22"/>
    </row>
    <row r="603" spans="30:36">
      <c r="AD603" s="22"/>
      <c r="AE603" s="23"/>
      <c r="AF603" s="20"/>
      <c r="AG603" s="20"/>
      <c r="AH603" s="22"/>
      <c r="AI603" s="22"/>
      <c r="AJ603" s="22"/>
    </row>
    <row r="604" spans="30:36">
      <c r="AD604" s="22"/>
      <c r="AE604" s="23"/>
      <c r="AF604" s="20"/>
      <c r="AG604" s="20"/>
      <c r="AH604" s="22"/>
      <c r="AI604" s="22"/>
      <c r="AJ604" s="22"/>
    </row>
    <row r="605" spans="30:36">
      <c r="AD605" s="22"/>
      <c r="AE605" s="23"/>
      <c r="AF605" s="20"/>
      <c r="AG605" s="20"/>
      <c r="AH605" s="22"/>
      <c r="AI605" s="22"/>
      <c r="AJ605" s="22"/>
    </row>
    <row r="606" spans="30:36">
      <c r="AD606" s="22"/>
      <c r="AE606" s="23"/>
      <c r="AF606" s="20"/>
      <c r="AG606" s="20"/>
      <c r="AH606" s="22"/>
      <c r="AI606" s="22"/>
      <c r="AJ606" s="22"/>
    </row>
    <row r="607" spans="30:36">
      <c r="AD607" s="22"/>
      <c r="AE607" s="23"/>
      <c r="AF607" s="20"/>
      <c r="AG607" s="20"/>
      <c r="AH607" s="22"/>
      <c r="AI607" s="22"/>
      <c r="AJ607" s="22"/>
    </row>
    <row r="608" spans="30:36">
      <c r="AD608" s="22"/>
      <c r="AE608" s="23"/>
      <c r="AF608" s="20"/>
      <c r="AG608" s="20"/>
      <c r="AH608" s="22"/>
      <c r="AI608" s="22"/>
      <c r="AJ608" s="22"/>
    </row>
    <row r="609" spans="30:36">
      <c r="AD609" s="22"/>
      <c r="AE609" s="23"/>
      <c r="AF609" s="20"/>
      <c r="AG609" s="20"/>
      <c r="AH609" s="22"/>
      <c r="AI609" s="22"/>
      <c r="AJ609" s="22"/>
    </row>
    <row r="610" spans="30:36">
      <c r="AD610" s="22"/>
      <c r="AE610" s="23"/>
      <c r="AF610" s="20"/>
      <c r="AG610" s="20"/>
      <c r="AH610" s="22"/>
      <c r="AI610" s="22"/>
      <c r="AJ610" s="22"/>
    </row>
    <row r="611" spans="30:36">
      <c r="AD611" s="22"/>
      <c r="AE611" s="23"/>
      <c r="AF611" s="20"/>
      <c r="AG611" s="20"/>
      <c r="AH611" s="22"/>
      <c r="AI611" s="22"/>
      <c r="AJ611" s="22"/>
    </row>
    <row r="612" spans="30:36">
      <c r="AD612" s="22"/>
      <c r="AE612" s="23"/>
      <c r="AF612" s="20"/>
      <c r="AG612" s="20"/>
      <c r="AH612" s="22"/>
      <c r="AI612" s="22"/>
      <c r="AJ612" s="22"/>
    </row>
    <row r="613" spans="30:36">
      <c r="AD613" s="22"/>
      <c r="AE613" s="23"/>
      <c r="AF613" s="20"/>
      <c r="AG613" s="20"/>
      <c r="AH613" s="22"/>
      <c r="AI613" s="22"/>
      <c r="AJ613" s="22"/>
    </row>
    <row r="614" spans="30:36">
      <c r="AD614" s="22"/>
      <c r="AE614" s="23"/>
      <c r="AF614" s="20"/>
      <c r="AG614" s="20"/>
      <c r="AH614" s="22"/>
      <c r="AI614" s="22"/>
      <c r="AJ614" s="22"/>
    </row>
    <row r="615" spans="30:36">
      <c r="AD615" s="22"/>
      <c r="AE615" s="23"/>
      <c r="AF615" s="20"/>
      <c r="AG615" s="20"/>
      <c r="AH615" s="22"/>
      <c r="AI615" s="22"/>
      <c r="AJ615" s="22"/>
    </row>
    <row r="616" spans="30:36">
      <c r="AD616" s="22"/>
      <c r="AE616" s="23"/>
      <c r="AF616" s="20"/>
      <c r="AG616" s="20"/>
      <c r="AH616" s="22"/>
      <c r="AI616" s="22"/>
      <c r="AJ616" s="22"/>
    </row>
    <row r="617" spans="30:36">
      <c r="AD617" s="22"/>
      <c r="AE617" s="23"/>
      <c r="AF617" s="20"/>
      <c r="AG617" s="20"/>
      <c r="AH617" s="22"/>
      <c r="AI617" s="22"/>
      <c r="AJ617" s="22"/>
    </row>
    <row r="618" spans="30:36">
      <c r="AD618" s="22"/>
      <c r="AE618" s="23"/>
      <c r="AF618" s="20"/>
      <c r="AG618" s="20"/>
      <c r="AH618" s="22"/>
      <c r="AI618" s="22"/>
      <c r="AJ618" s="22"/>
    </row>
    <row r="619" spans="30:36">
      <c r="AD619" s="22"/>
      <c r="AE619" s="23"/>
      <c r="AF619" s="20"/>
      <c r="AG619" s="20"/>
      <c r="AH619" s="22"/>
      <c r="AI619" s="22"/>
      <c r="AJ619" s="22"/>
    </row>
    <row r="620" spans="30:36">
      <c r="AD620" s="22"/>
      <c r="AE620" s="23"/>
      <c r="AF620" s="20"/>
      <c r="AG620" s="20"/>
      <c r="AH620" s="22"/>
      <c r="AI620" s="22"/>
      <c r="AJ620" s="22"/>
    </row>
    <row r="621" spans="30:36">
      <c r="AD621" s="22"/>
      <c r="AE621" s="23"/>
      <c r="AF621" s="20"/>
      <c r="AG621" s="20"/>
      <c r="AH621" s="22"/>
      <c r="AI621" s="22"/>
      <c r="AJ621" s="22"/>
    </row>
    <row r="622" spans="30:36">
      <c r="AD622" s="22"/>
      <c r="AE622" s="23"/>
      <c r="AF622" s="20"/>
      <c r="AG622" s="20"/>
      <c r="AH622" s="22"/>
      <c r="AI622" s="22"/>
      <c r="AJ622" s="22"/>
    </row>
    <row r="623" spans="30:36">
      <c r="AD623" s="22"/>
      <c r="AE623" s="23"/>
      <c r="AF623" s="20"/>
      <c r="AG623" s="20"/>
      <c r="AH623" s="22"/>
      <c r="AI623" s="22"/>
      <c r="AJ623" s="22"/>
    </row>
    <row r="624" spans="30:36">
      <c r="AD624" s="22"/>
      <c r="AE624" s="23"/>
      <c r="AF624" s="20"/>
      <c r="AG624" s="20"/>
      <c r="AH624" s="22"/>
      <c r="AI624" s="22"/>
      <c r="AJ624" s="22"/>
    </row>
    <row r="625" spans="30:36">
      <c r="AD625" s="22"/>
      <c r="AE625" s="23"/>
      <c r="AF625" s="20"/>
      <c r="AG625" s="20"/>
      <c r="AH625" s="22"/>
      <c r="AI625" s="22"/>
      <c r="AJ625" s="22"/>
    </row>
    <row r="626" spans="30:36">
      <c r="AD626" s="22"/>
      <c r="AE626" s="23"/>
      <c r="AF626" s="20"/>
      <c r="AG626" s="20"/>
      <c r="AH626" s="22"/>
      <c r="AI626" s="22"/>
      <c r="AJ626" s="22"/>
    </row>
    <row r="627" spans="30:36">
      <c r="AD627" s="22"/>
      <c r="AE627" s="23"/>
      <c r="AF627" s="20"/>
      <c r="AG627" s="20"/>
      <c r="AH627" s="22"/>
      <c r="AI627" s="22"/>
      <c r="AJ627" s="22"/>
    </row>
    <row r="628" spans="30:36">
      <c r="AD628" s="22"/>
      <c r="AE628" s="23"/>
      <c r="AF628" s="20"/>
      <c r="AG628" s="20"/>
      <c r="AH628" s="22"/>
      <c r="AI628" s="22"/>
      <c r="AJ628" s="22"/>
    </row>
    <row r="629" spans="30:36">
      <c r="AD629" s="22"/>
      <c r="AE629" s="23"/>
      <c r="AF629" s="20"/>
      <c r="AG629" s="20"/>
      <c r="AH629" s="22"/>
      <c r="AI629" s="22"/>
      <c r="AJ629" s="22"/>
    </row>
    <row r="630" spans="30:36">
      <c r="AD630" s="22"/>
      <c r="AE630" s="23"/>
      <c r="AF630" s="20"/>
      <c r="AG630" s="20"/>
      <c r="AH630" s="22"/>
      <c r="AI630" s="22"/>
      <c r="AJ630" s="22"/>
    </row>
    <row r="631" spans="30:36">
      <c r="AD631" s="22"/>
      <c r="AE631" s="23"/>
      <c r="AF631" s="20"/>
      <c r="AG631" s="20"/>
      <c r="AH631" s="22"/>
      <c r="AI631" s="22"/>
      <c r="AJ631" s="22"/>
    </row>
    <row r="632" spans="30:36">
      <c r="AD632" s="22"/>
      <c r="AE632" s="23"/>
      <c r="AF632" s="20"/>
      <c r="AG632" s="20"/>
      <c r="AH632" s="22"/>
      <c r="AI632" s="22"/>
      <c r="AJ632" s="22"/>
    </row>
    <row r="633" spans="30:36">
      <c r="AD633" s="22"/>
      <c r="AE633" s="23"/>
      <c r="AF633" s="20"/>
      <c r="AG633" s="20"/>
      <c r="AH633" s="22"/>
      <c r="AI633" s="22"/>
      <c r="AJ633" s="22"/>
    </row>
    <row r="634" spans="30:36">
      <c r="AD634" s="22"/>
      <c r="AE634" s="23"/>
      <c r="AF634" s="20"/>
      <c r="AG634" s="20"/>
      <c r="AH634" s="22"/>
      <c r="AI634" s="22"/>
      <c r="AJ634" s="22"/>
    </row>
    <row r="635" spans="30:36">
      <c r="AD635" s="22"/>
      <c r="AE635" s="23"/>
      <c r="AF635" s="20"/>
      <c r="AG635" s="20"/>
      <c r="AH635" s="22"/>
      <c r="AI635" s="22"/>
      <c r="AJ635" s="22"/>
    </row>
    <row r="636" spans="30:36">
      <c r="AD636" s="22"/>
      <c r="AE636" s="23"/>
      <c r="AF636" s="20"/>
      <c r="AG636" s="20"/>
      <c r="AH636" s="22"/>
      <c r="AI636" s="22"/>
      <c r="AJ636" s="22"/>
    </row>
    <row r="637" spans="30:36">
      <c r="AD637" s="22"/>
      <c r="AE637" s="23"/>
      <c r="AF637" s="20"/>
      <c r="AG637" s="20"/>
      <c r="AH637" s="22"/>
      <c r="AI637" s="22"/>
      <c r="AJ637" s="22"/>
    </row>
    <row r="638" spans="30:36">
      <c r="AD638" s="22"/>
      <c r="AE638" s="23"/>
      <c r="AF638" s="20"/>
      <c r="AG638" s="20"/>
      <c r="AH638" s="22"/>
      <c r="AI638" s="22"/>
      <c r="AJ638" s="22"/>
    </row>
    <row r="639" spans="30:36">
      <c r="AD639" s="22"/>
      <c r="AE639" s="23"/>
      <c r="AF639" s="20"/>
      <c r="AG639" s="20"/>
      <c r="AH639" s="22"/>
      <c r="AI639" s="22"/>
      <c r="AJ639" s="22"/>
    </row>
    <row r="640" spans="30:36">
      <c r="AD640" s="22"/>
      <c r="AE640" s="23"/>
      <c r="AF640" s="20"/>
      <c r="AG640" s="20"/>
      <c r="AH640" s="22"/>
      <c r="AI640" s="22"/>
      <c r="AJ640" s="22"/>
    </row>
    <row r="641" spans="30:36">
      <c r="AD641" s="22"/>
      <c r="AE641" s="23"/>
      <c r="AF641" s="20"/>
      <c r="AG641" s="20"/>
      <c r="AH641" s="22"/>
      <c r="AI641" s="22"/>
      <c r="AJ641" s="22"/>
    </row>
    <row r="642" spans="30:36">
      <c r="AD642" s="22"/>
      <c r="AE642" s="23"/>
      <c r="AF642" s="20"/>
      <c r="AG642" s="20"/>
      <c r="AH642" s="22"/>
      <c r="AI642" s="22"/>
      <c r="AJ642" s="22"/>
    </row>
    <row r="643" spans="30:36">
      <c r="AD643" s="22"/>
      <c r="AE643" s="23"/>
      <c r="AF643" s="20"/>
      <c r="AG643" s="20"/>
      <c r="AH643" s="22"/>
      <c r="AI643" s="22"/>
      <c r="AJ643" s="22"/>
    </row>
    <row r="644" spans="30:36">
      <c r="AD644" s="22"/>
      <c r="AE644" s="23"/>
      <c r="AF644" s="20"/>
      <c r="AG644" s="20"/>
      <c r="AH644" s="22"/>
      <c r="AI644" s="22"/>
      <c r="AJ644" s="22"/>
    </row>
    <row r="645" spans="30:36">
      <c r="AD645" s="22"/>
      <c r="AE645" s="23"/>
      <c r="AF645" s="20"/>
      <c r="AG645" s="20"/>
      <c r="AH645" s="22"/>
      <c r="AI645" s="22"/>
      <c r="AJ645" s="22"/>
    </row>
    <row r="646" spans="30:36">
      <c r="AD646" s="22"/>
      <c r="AE646" s="23"/>
      <c r="AF646" s="20"/>
      <c r="AG646" s="20"/>
      <c r="AH646" s="22"/>
      <c r="AI646" s="22"/>
      <c r="AJ646" s="22"/>
    </row>
    <row r="647" spans="30:36">
      <c r="AD647" s="22"/>
      <c r="AE647" s="23"/>
      <c r="AF647" s="20"/>
      <c r="AG647" s="20"/>
      <c r="AH647" s="22"/>
      <c r="AI647" s="22"/>
      <c r="AJ647" s="22"/>
    </row>
    <row r="648" spans="30:36">
      <c r="AD648" s="22"/>
      <c r="AE648" s="23"/>
      <c r="AF648" s="20"/>
      <c r="AG648" s="20"/>
      <c r="AH648" s="22"/>
      <c r="AI648" s="22"/>
      <c r="AJ648" s="22"/>
    </row>
    <row r="649" spans="30:36">
      <c r="AD649" s="22"/>
      <c r="AE649" s="23"/>
      <c r="AF649" s="20"/>
      <c r="AG649" s="20"/>
      <c r="AH649" s="22"/>
      <c r="AI649" s="22"/>
      <c r="AJ649" s="22"/>
    </row>
    <row r="650" spans="30:36">
      <c r="AD650" s="22"/>
      <c r="AE650" s="23"/>
      <c r="AF650" s="20"/>
      <c r="AG650" s="20"/>
      <c r="AH650" s="22"/>
      <c r="AI650" s="22"/>
      <c r="AJ650" s="22"/>
    </row>
    <row r="651" spans="30:36">
      <c r="AD651" s="22"/>
      <c r="AE651" s="23"/>
      <c r="AF651" s="20"/>
      <c r="AG651" s="20"/>
      <c r="AH651" s="22"/>
      <c r="AI651" s="22"/>
      <c r="AJ651" s="22"/>
    </row>
    <row r="652" spans="30:36">
      <c r="AD652" s="22"/>
      <c r="AE652" s="23"/>
      <c r="AF652" s="20"/>
      <c r="AG652" s="20"/>
      <c r="AH652" s="22"/>
      <c r="AI652" s="22"/>
      <c r="AJ652" s="22"/>
    </row>
    <row r="653" spans="30:36">
      <c r="AD653" s="22"/>
      <c r="AE653" s="23"/>
      <c r="AF653" s="20"/>
      <c r="AG653" s="20"/>
      <c r="AH653" s="22"/>
      <c r="AI653" s="22"/>
      <c r="AJ653" s="22"/>
    </row>
    <row r="654" spans="30:36">
      <c r="AD654" s="22"/>
      <c r="AE654" s="23"/>
      <c r="AF654" s="20"/>
      <c r="AG654" s="20"/>
      <c r="AH654" s="22"/>
      <c r="AI654" s="22"/>
      <c r="AJ654" s="22"/>
    </row>
    <row r="655" spans="30:36">
      <c r="AD655" s="22"/>
      <c r="AE655" s="23"/>
      <c r="AF655" s="20"/>
      <c r="AG655" s="20"/>
      <c r="AH655" s="22"/>
      <c r="AI655" s="22"/>
      <c r="AJ655" s="22"/>
    </row>
    <row r="656" spans="30:36">
      <c r="AD656" s="22"/>
      <c r="AE656" s="23"/>
      <c r="AF656" s="20"/>
      <c r="AG656" s="20"/>
      <c r="AH656" s="22"/>
      <c r="AI656" s="22"/>
      <c r="AJ656" s="22"/>
    </row>
    <row r="657" spans="30:36">
      <c r="AD657" s="22"/>
      <c r="AE657" s="23"/>
      <c r="AF657" s="20"/>
      <c r="AG657" s="20"/>
      <c r="AH657" s="22"/>
      <c r="AI657" s="22"/>
      <c r="AJ657" s="22"/>
    </row>
    <row r="658" spans="30:36">
      <c r="AD658" s="22"/>
      <c r="AE658" s="23"/>
      <c r="AF658" s="20"/>
      <c r="AG658" s="20"/>
      <c r="AH658" s="22"/>
      <c r="AI658" s="22"/>
      <c r="AJ658" s="22"/>
    </row>
    <row r="659" spans="30:36">
      <c r="AD659" s="22"/>
      <c r="AE659" s="23"/>
      <c r="AF659" s="20"/>
      <c r="AG659" s="20"/>
      <c r="AH659" s="22"/>
      <c r="AI659" s="22"/>
      <c r="AJ659" s="22"/>
    </row>
    <row r="660" spans="30:36">
      <c r="AD660" s="22"/>
      <c r="AE660" s="23"/>
      <c r="AF660" s="20"/>
      <c r="AG660" s="20"/>
      <c r="AH660" s="22"/>
      <c r="AI660" s="22"/>
      <c r="AJ660" s="22"/>
    </row>
    <row r="661" spans="30:36">
      <c r="AD661" s="22"/>
      <c r="AE661" s="23"/>
      <c r="AF661" s="20"/>
      <c r="AG661" s="20"/>
      <c r="AH661" s="22"/>
      <c r="AI661" s="22"/>
      <c r="AJ661" s="22"/>
    </row>
    <row r="662" spans="30:36">
      <c r="AD662" s="22"/>
      <c r="AE662" s="23"/>
      <c r="AF662" s="20"/>
      <c r="AG662" s="20"/>
      <c r="AH662" s="22"/>
      <c r="AI662" s="22"/>
      <c r="AJ662" s="22"/>
    </row>
    <row r="663" spans="30:36">
      <c r="AD663" s="22"/>
      <c r="AE663" s="23"/>
      <c r="AF663" s="20"/>
      <c r="AG663" s="20"/>
      <c r="AH663" s="22"/>
      <c r="AI663" s="22"/>
      <c r="AJ663" s="22"/>
    </row>
    <row r="664" spans="30:36">
      <c r="AD664" s="22"/>
      <c r="AE664" s="23"/>
      <c r="AF664" s="20"/>
      <c r="AG664" s="20"/>
      <c r="AH664" s="22"/>
      <c r="AI664" s="22"/>
      <c r="AJ664" s="22"/>
    </row>
    <row r="665" spans="30:36">
      <c r="AD665" s="22"/>
      <c r="AE665" s="23"/>
      <c r="AF665" s="20"/>
      <c r="AG665" s="20"/>
      <c r="AH665" s="22"/>
      <c r="AI665" s="22"/>
      <c r="AJ665" s="22"/>
    </row>
    <row r="666" spans="30:36">
      <c r="AD666" s="22"/>
      <c r="AE666" s="23"/>
      <c r="AF666" s="20"/>
      <c r="AG666" s="20"/>
      <c r="AH666" s="22"/>
      <c r="AI666" s="22"/>
      <c r="AJ666" s="22"/>
    </row>
    <row r="667" spans="30:36">
      <c r="AD667" s="22"/>
      <c r="AE667" s="23"/>
      <c r="AF667" s="20"/>
      <c r="AG667" s="20"/>
      <c r="AH667" s="22"/>
      <c r="AI667" s="22"/>
      <c r="AJ667" s="22"/>
    </row>
    <row r="668" spans="30:36">
      <c r="AD668" s="22"/>
      <c r="AE668" s="23"/>
      <c r="AF668" s="20"/>
      <c r="AG668" s="20"/>
      <c r="AH668" s="22"/>
      <c r="AI668" s="22"/>
      <c r="AJ668" s="22"/>
    </row>
    <row r="669" spans="30:36">
      <c r="AD669" s="22"/>
      <c r="AE669" s="23"/>
      <c r="AF669" s="20"/>
      <c r="AG669" s="20"/>
      <c r="AH669" s="22"/>
      <c r="AI669" s="22"/>
      <c r="AJ669" s="22"/>
    </row>
    <row r="670" spans="30:36">
      <c r="AD670" s="22"/>
      <c r="AE670" s="23"/>
      <c r="AF670" s="20"/>
      <c r="AG670" s="20"/>
      <c r="AH670" s="22"/>
      <c r="AI670" s="22"/>
      <c r="AJ670" s="22"/>
    </row>
    <row r="671" spans="30:36">
      <c r="AD671" s="22"/>
      <c r="AE671" s="23"/>
      <c r="AF671" s="20"/>
      <c r="AG671" s="20"/>
      <c r="AH671" s="22"/>
      <c r="AI671" s="22"/>
      <c r="AJ671" s="22"/>
    </row>
    <row r="672" spans="30:36">
      <c r="AD672" s="22"/>
      <c r="AE672" s="23"/>
      <c r="AF672" s="20"/>
      <c r="AG672" s="20"/>
      <c r="AH672" s="22"/>
      <c r="AI672" s="22"/>
      <c r="AJ672" s="22"/>
    </row>
    <row r="673" spans="30:36">
      <c r="AD673" s="22"/>
      <c r="AE673" s="23"/>
      <c r="AF673" s="20"/>
      <c r="AG673" s="20"/>
      <c r="AH673" s="22"/>
      <c r="AI673" s="22"/>
      <c r="AJ673" s="22"/>
    </row>
    <row r="674" spans="30:36">
      <c r="AD674" s="22"/>
      <c r="AE674" s="23"/>
      <c r="AF674" s="20"/>
      <c r="AG674" s="20"/>
      <c r="AH674" s="22"/>
      <c r="AI674" s="22"/>
      <c r="AJ674" s="22"/>
    </row>
    <row r="675" spans="30:36">
      <c r="AD675" s="22"/>
      <c r="AE675" s="23"/>
      <c r="AF675" s="20"/>
      <c r="AG675" s="20"/>
      <c r="AH675" s="22"/>
      <c r="AI675" s="22"/>
      <c r="AJ675" s="22"/>
    </row>
    <row r="676" spans="30:36">
      <c r="AD676" s="22"/>
      <c r="AE676" s="23"/>
      <c r="AF676" s="20"/>
      <c r="AG676" s="20"/>
      <c r="AH676" s="22"/>
      <c r="AI676" s="22"/>
      <c r="AJ676" s="22"/>
    </row>
    <row r="677" spans="30:36">
      <c r="AD677" s="22"/>
      <c r="AE677" s="23"/>
      <c r="AF677" s="20"/>
      <c r="AG677" s="20"/>
      <c r="AH677" s="22"/>
      <c r="AI677" s="22"/>
      <c r="AJ677" s="22"/>
    </row>
    <row r="678" spans="30:36">
      <c r="AD678" s="22"/>
      <c r="AE678" s="23"/>
      <c r="AF678" s="20"/>
      <c r="AG678" s="20"/>
      <c r="AH678" s="22"/>
      <c r="AI678" s="22"/>
      <c r="AJ678" s="22"/>
    </row>
    <row r="679" spans="30:36">
      <c r="AD679" s="22"/>
      <c r="AE679" s="23"/>
      <c r="AF679" s="20"/>
      <c r="AG679" s="20"/>
      <c r="AH679" s="22"/>
      <c r="AI679" s="22"/>
      <c r="AJ679" s="22"/>
    </row>
    <row r="680" spans="30:36">
      <c r="AD680" s="22"/>
      <c r="AE680" s="23"/>
      <c r="AF680" s="20"/>
      <c r="AG680" s="20"/>
      <c r="AH680" s="22"/>
      <c r="AI680" s="22"/>
      <c r="AJ680" s="22"/>
    </row>
    <row r="681" spans="30:36">
      <c r="AD681" s="22"/>
      <c r="AE681" s="23"/>
      <c r="AF681" s="20"/>
      <c r="AG681" s="20"/>
      <c r="AH681" s="22"/>
      <c r="AI681" s="22"/>
      <c r="AJ681" s="22"/>
    </row>
    <row r="682" spans="30:36">
      <c r="AD682" s="22"/>
      <c r="AE682" s="23"/>
      <c r="AF682" s="20"/>
      <c r="AG682" s="20"/>
      <c r="AH682" s="22"/>
      <c r="AI682" s="22"/>
      <c r="AJ682" s="22"/>
    </row>
    <row r="683" spans="30:36">
      <c r="AD683" s="22"/>
      <c r="AE683" s="23"/>
      <c r="AF683" s="20"/>
      <c r="AG683" s="20"/>
      <c r="AH683" s="22"/>
      <c r="AI683" s="22"/>
      <c r="AJ683" s="22"/>
    </row>
    <row r="684" spans="30:36">
      <c r="AD684" s="22"/>
      <c r="AE684" s="23"/>
      <c r="AF684" s="20"/>
      <c r="AG684" s="20"/>
      <c r="AH684" s="22"/>
      <c r="AI684" s="22"/>
      <c r="AJ684" s="22"/>
    </row>
    <row r="685" spans="30:36">
      <c r="AD685" s="22"/>
      <c r="AE685" s="23"/>
      <c r="AF685" s="20"/>
      <c r="AG685" s="20"/>
      <c r="AH685" s="22"/>
      <c r="AI685" s="22"/>
      <c r="AJ685" s="22"/>
    </row>
    <row r="686" spans="30:36">
      <c r="AD686" s="22"/>
      <c r="AE686" s="23"/>
      <c r="AF686" s="20"/>
      <c r="AG686" s="20"/>
      <c r="AH686" s="22"/>
      <c r="AI686" s="22"/>
      <c r="AJ686" s="22"/>
    </row>
    <row r="687" spans="30:36">
      <c r="AD687" s="22"/>
      <c r="AE687" s="23"/>
      <c r="AF687" s="20"/>
      <c r="AG687" s="20"/>
      <c r="AH687" s="22"/>
      <c r="AI687" s="22"/>
      <c r="AJ687" s="22"/>
    </row>
    <row r="688" spans="30:36">
      <c r="AD688" s="22"/>
      <c r="AE688" s="23"/>
      <c r="AF688" s="20"/>
      <c r="AG688" s="20"/>
      <c r="AH688" s="22"/>
      <c r="AI688" s="22"/>
      <c r="AJ688" s="22"/>
    </row>
    <row r="689" spans="30:36">
      <c r="AD689" s="22"/>
      <c r="AE689" s="23"/>
      <c r="AF689" s="20"/>
      <c r="AG689" s="20"/>
      <c r="AH689" s="22"/>
      <c r="AI689" s="22"/>
      <c r="AJ689" s="22"/>
    </row>
    <row r="690" spans="30:36">
      <c r="AD690" s="22"/>
      <c r="AE690" s="23"/>
      <c r="AF690" s="20"/>
      <c r="AG690" s="20"/>
      <c r="AH690" s="22"/>
      <c r="AI690" s="22"/>
      <c r="AJ690" s="22"/>
    </row>
    <row r="691" spans="30:36">
      <c r="AD691" s="22"/>
      <c r="AE691" s="23"/>
      <c r="AF691" s="20"/>
      <c r="AG691" s="20"/>
      <c r="AH691" s="22"/>
      <c r="AI691" s="22"/>
      <c r="AJ691" s="22"/>
    </row>
    <row r="692" spans="30:36">
      <c r="AD692" s="22"/>
      <c r="AE692" s="23"/>
      <c r="AF692" s="20"/>
      <c r="AG692" s="20"/>
      <c r="AH692" s="22"/>
      <c r="AI692" s="22"/>
      <c r="AJ692" s="22"/>
    </row>
    <row r="693" spans="30:36">
      <c r="AD693" s="22"/>
      <c r="AE693" s="23"/>
      <c r="AF693" s="20"/>
      <c r="AG693" s="20"/>
      <c r="AH693" s="22"/>
      <c r="AI693" s="22"/>
      <c r="AJ693" s="22"/>
    </row>
    <row r="694" spans="30:36">
      <c r="AD694" s="22"/>
      <c r="AE694" s="23"/>
      <c r="AF694" s="20"/>
      <c r="AG694" s="20"/>
      <c r="AH694" s="22"/>
      <c r="AI694" s="22"/>
      <c r="AJ694" s="22"/>
    </row>
    <row r="695" spans="30:36">
      <c r="AD695" s="22"/>
      <c r="AE695" s="23"/>
      <c r="AF695" s="20"/>
      <c r="AG695" s="20"/>
      <c r="AH695" s="22"/>
      <c r="AI695" s="22"/>
      <c r="AJ695" s="22"/>
    </row>
    <row r="696" spans="30:36">
      <c r="AD696" s="22"/>
      <c r="AE696" s="23"/>
      <c r="AF696" s="20"/>
      <c r="AG696" s="20"/>
      <c r="AH696" s="22"/>
      <c r="AI696" s="22"/>
      <c r="AJ696" s="22"/>
    </row>
    <row r="697" spans="30:36">
      <c r="AD697" s="22"/>
      <c r="AE697" s="23"/>
      <c r="AF697" s="20"/>
      <c r="AG697" s="20"/>
      <c r="AH697" s="22"/>
      <c r="AI697" s="22"/>
      <c r="AJ697" s="22"/>
    </row>
    <row r="698" spans="30:36">
      <c r="AD698" s="22"/>
      <c r="AE698" s="23"/>
      <c r="AF698" s="20"/>
      <c r="AG698" s="20"/>
      <c r="AH698" s="22"/>
      <c r="AI698" s="22"/>
      <c r="AJ698" s="22"/>
    </row>
    <row r="699" spans="30:36">
      <c r="AD699" s="22"/>
      <c r="AE699" s="23"/>
      <c r="AF699" s="20"/>
      <c r="AG699" s="20"/>
      <c r="AH699" s="22"/>
      <c r="AI699" s="22"/>
      <c r="AJ699" s="22"/>
    </row>
    <row r="700" spans="30:36">
      <c r="AD700" s="22"/>
      <c r="AE700" s="23"/>
      <c r="AF700" s="20"/>
      <c r="AG700" s="20"/>
      <c r="AH700" s="22"/>
      <c r="AI700" s="22"/>
      <c r="AJ700" s="22"/>
    </row>
    <row r="701" spans="30:36">
      <c r="AD701" s="22"/>
      <c r="AE701" s="23"/>
      <c r="AF701" s="20"/>
      <c r="AG701" s="20"/>
      <c r="AH701" s="22"/>
      <c r="AI701" s="22"/>
      <c r="AJ701" s="22"/>
    </row>
    <row r="702" spans="30:36">
      <c r="AD702" s="22"/>
      <c r="AE702" s="23"/>
      <c r="AF702" s="20"/>
      <c r="AG702" s="20"/>
      <c r="AH702" s="22"/>
      <c r="AI702" s="22"/>
      <c r="AJ702" s="22"/>
    </row>
    <row r="703" spans="30:36">
      <c r="AD703" s="22"/>
      <c r="AE703" s="23"/>
      <c r="AF703" s="20"/>
      <c r="AG703" s="20"/>
      <c r="AH703" s="22"/>
      <c r="AI703" s="22"/>
      <c r="AJ703" s="22"/>
    </row>
    <row r="704" spans="30:36">
      <c r="AD704" s="22"/>
      <c r="AE704" s="23"/>
      <c r="AF704" s="20"/>
      <c r="AG704" s="20"/>
      <c r="AH704" s="22"/>
      <c r="AI704" s="22"/>
      <c r="AJ704" s="22"/>
    </row>
    <row r="705" spans="30:36">
      <c r="AD705" s="22"/>
      <c r="AE705" s="23"/>
      <c r="AF705" s="20"/>
      <c r="AG705" s="20"/>
      <c r="AH705" s="22"/>
      <c r="AI705" s="22"/>
      <c r="AJ705" s="22"/>
    </row>
    <row r="706" spans="30:36">
      <c r="AD706" s="22"/>
      <c r="AE706" s="23"/>
      <c r="AF706" s="20"/>
      <c r="AG706" s="20"/>
      <c r="AH706" s="22"/>
      <c r="AI706" s="22"/>
      <c r="AJ706" s="22"/>
    </row>
    <row r="707" spans="30:36">
      <c r="AD707" s="22"/>
      <c r="AE707" s="23"/>
      <c r="AF707" s="20"/>
      <c r="AG707" s="20"/>
      <c r="AH707" s="22"/>
      <c r="AI707" s="22"/>
      <c r="AJ707" s="22"/>
    </row>
    <row r="708" spans="30:36">
      <c r="AD708" s="22"/>
      <c r="AE708" s="23"/>
      <c r="AF708" s="20"/>
      <c r="AG708" s="20"/>
      <c r="AH708" s="22"/>
      <c r="AI708" s="22"/>
      <c r="AJ708" s="22"/>
    </row>
    <row r="709" spans="30:36">
      <c r="AD709" s="22"/>
      <c r="AE709" s="23"/>
      <c r="AF709" s="20"/>
      <c r="AG709" s="20"/>
      <c r="AH709" s="22"/>
      <c r="AI709" s="22"/>
      <c r="AJ709" s="22"/>
    </row>
    <row r="710" spans="30:36">
      <c r="AD710" s="22"/>
      <c r="AE710" s="23"/>
      <c r="AF710" s="20"/>
      <c r="AG710" s="20"/>
      <c r="AH710" s="22"/>
      <c r="AI710" s="22"/>
      <c r="AJ710" s="22"/>
    </row>
    <row r="711" spans="30:36">
      <c r="AD711" s="22"/>
      <c r="AE711" s="23"/>
      <c r="AF711" s="20"/>
      <c r="AG711" s="20"/>
      <c r="AH711" s="22"/>
      <c r="AI711" s="22"/>
      <c r="AJ711" s="22"/>
    </row>
    <row r="712" spans="30:36">
      <c r="AD712" s="22"/>
      <c r="AE712" s="23"/>
      <c r="AF712" s="20"/>
      <c r="AG712" s="20"/>
      <c r="AH712" s="22"/>
      <c r="AI712" s="22"/>
      <c r="AJ712" s="22"/>
    </row>
    <row r="713" spans="30:36">
      <c r="AD713" s="22"/>
      <c r="AE713" s="23"/>
      <c r="AF713" s="20"/>
      <c r="AG713" s="20"/>
      <c r="AH713" s="22"/>
      <c r="AI713" s="22"/>
      <c r="AJ713" s="22"/>
    </row>
    <row r="714" spans="30:36">
      <c r="AD714" s="22"/>
      <c r="AE714" s="23"/>
      <c r="AF714" s="20"/>
      <c r="AG714" s="20"/>
      <c r="AH714" s="22"/>
      <c r="AI714" s="22"/>
      <c r="AJ714" s="22"/>
    </row>
    <row r="715" spans="30:36">
      <c r="AD715" s="22"/>
      <c r="AE715" s="23"/>
      <c r="AF715" s="20"/>
      <c r="AG715" s="20"/>
      <c r="AH715" s="22"/>
      <c r="AI715" s="22"/>
      <c r="AJ715" s="22"/>
    </row>
    <row r="716" spans="30:36">
      <c r="AD716" s="22"/>
      <c r="AE716" s="23"/>
      <c r="AF716" s="20"/>
      <c r="AG716" s="20"/>
      <c r="AH716" s="22"/>
      <c r="AI716" s="22"/>
      <c r="AJ716" s="22"/>
    </row>
    <row r="717" spans="30:36">
      <c r="AD717" s="22"/>
      <c r="AE717" s="23"/>
      <c r="AF717" s="20"/>
      <c r="AG717" s="20"/>
      <c r="AH717" s="22"/>
      <c r="AI717" s="22"/>
      <c r="AJ717" s="22"/>
    </row>
    <row r="718" spans="30:36">
      <c r="AD718" s="22"/>
      <c r="AE718" s="23"/>
      <c r="AF718" s="20"/>
      <c r="AG718" s="20"/>
      <c r="AH718" s="22"/>
      <c r="AI718" s="22"/>
      <c r="AJ718" s="22"/>
    </row>
    <row r="719" spans="30:36">
      <c r="AD719" s="22"/>
      <c r="AE719" s="23"/>
      <c r="AF719" s="20"/>
      <c r="AG719" s="20"/>
      <c r="AH719" s="22"/>
      <c r="AI719" s="22"/>
      <c r="AJ719" s="22"/>
    </row>
    <row r="720" spans="30:36">
      <c r="AD720" s="22"/>
      <c r="AE720" s="23"/>
      <c r="AF720" s="20"/>
      <c r="AG720" s="20"/>
      <c r="AH720" s="22"/>
      <c r="AI720" s="22"/>
      <c r="AJ720" s="22"/>
    </row>
    <row r="721" spans="30:36">
      <c r="AD721" s="22"/>
      <c r="AE721" s="23"/>
      <c r="AF721" s="20"/>
      <c r="AG721" s="20"/>
      <c r="AH721" s="22"/>
      <c r="AI721" s="22"/>
      <c r="AJ721" s="22"/>
    </row>
    <row r="722" spans="30:36">
      <c r="AD722" s="22"/>
      <c r="AE722" s="23"/>
      <c r="AF722" s="20"/>
      <c r="AG722" s="20"/>
      <c r="AH722" s="22"/>
      <c r="AI722" s="22"/>
      <c r="AJ722" s="22"/>
    </row>
    <row r="723" spans="30:36">
      <c r="AD723" s="22"/>
      <c r="AE723" s="23"/>
      <c r="AF723" s="20"/>
      <c r="AG723" s="20"/>
      <c r="AH723" s="22"/>
      <c r="AI723" s="22"/>
      <c r="AJ723" s="22"/>
    </row>
    <row r="724" spans="30:36">
      <c r="AD724" s="22"/>
      <c r="AE724" s="23"/>
      <c r="AF724" s="20"/>
      <c r="AG724" s="20"/>
      <c r="AH724" s="22"/>
      <c r="AI724" s="22"/>
      <c r="AJ724" s="22"/>
    </row>
    <row r="725" spans="30:36">
      <c r="AD725" s="22"/>
      <c r="AE725" s="23"/>
      <c r="AF725" s="20"/>
      <c r="AG725" s="20"/>
      <c r="AH725" s="22"/>
      <c r="AI725" s="22"/>
      <c r="AJ725" s="22"/>
    </row>
    <row r="726" spans="30:36">
      <c r="AD726" s="22"/>
      <c r="AE726" s="23"/>
      <c r="AF726" s="20"/>
      <c r="AG726" s="20"/>
      <c r="AH726" s="22"/>
      <c r="AI726" s="22"/>
      <c r="AJ726" s="22"/>
    </row>
    <row r="727" spans="30:36">
      <c r="AD727" s="22"/>
      <c r="AE727" s="23"/>
      <c r="AF727" s="20"/>
      <c r="AG727" s="20"/>
      <c r="AH727" s="22"/>
      <c r="AI727" s="22"/>
      <c r="AJ727" s="22"/>
    </row>
    <row r="728" spans="30:36">
      <c r="AD728" s="22"/>
      <c r="AE728" s="23"/>
      <c r="AF728" s="20"/>
      <c r="AG728" s="20"/>
      <c r="AH728" s="22"/>
      <c r="AI728" s="22"/>
      <c r="AJ728" s="22"/>
    </row>
    <row r="729" spans="30:36">
      <c r="AD729" s="22"/>
      <c r="AE729" s="23"/>
      <c r="AF729" s="20"/>
      <c r="AG729" s="20"/>
      <c r="AH729" s="22"/>
      <c r="AI729" s="22"/>
      <c r="AJ729" s="22"/>
    </row>
    <row r="730" spans="30:36">
      <c r="AD730" s="22"/>
      <c r="AE730" s="23"/>
      <c r="AF730" s="20"/>
      <c r="AG730" s="20"/>
      <c r="AH730" s="22"/>
      <c r="AI730" s="22"/>
      <c r="AJ730" s="22"/>
    </row>
    <row r="731" spans="30:36">
      <c r="AD731" s="22"/>
      <c r="AE731" s="23"/>
      <c r="AF731" s="20"/>
      <c r="AG731" s="20"/>
      <c r="AH731" s="22"/>
      <c r="AI731" s="22"/>
      <c r="AJ731" s="22"/>
    </row>
    <row r="732" spans="30:36">
      <c r="AD732" s="22"/>
      <c r="AE732" s="23"/>
      <c r="AF732" s="20"/>
      <c r="AG732" s="20"/>
      <c r="AH732" s="22"/>
      <c r="AI732" s="22"/>
      <c r="AJ732" s="22"/>
    </row>
    <row r="733" spans="30:36">
      <c r="AD733" s="22"/>
      <c r="AE733" s="23"/>
      <c r="AF733" s="20"/>
      <c r="AG733" s="20"/>
      <c r="AH733" s="22"/>
      <c r="AI733" s="22"/>
      <c r="AJ733" s="22"/>
    </row>
    <row r="734" spans="30:36">
      <c r="AD734" s="22"/>
      <c r="AE734" s="23"/>
      <c r="AF734" s="20"/>
      <c r="AG734" s="20"/>
      <c r="AH734" s="22"/>
      <c r="AI734" s="22"/>
      <c r="AJ734" s="22"/>
    </row>
    <row r="735" spans="30:36">
      <c r="AD735" s="22"/>
      <c r="AE735" s="23"/>
      <c r="AF735" s="20"/>
      <c r="AG735" s="20"/>
      <c r="AH735" s="22"/>
      <c r="AI735" s="22"/>
      <c r="AJ735" s="22"/>
    </row>
    <row r="736" spans="30:36">
      <c r="AD736" s="22"/>
      <c r="AE736" s="23"/>
      <c r="AF736" s="20"/>
      <c r="AG736" s="20"/>
      <c r="AH736" s="22"/>
      <c r="AI736" s="22"/>
      <c r="AJ736" s="22"/>
    </row>
    <row r="737" spans="30:36">
      <c r="AD737" s="22"/>
      <c r="AE737" s="23"/>
      <c r="AF737" s="20"/>
      <c r="AG737" s="20"/>
      <c r="AH737" s="22"/>
      <c r="AI737" s="22"/>
      <c r="AJ737" s="22"/>
    </row>
    <row r="738" spans="30:36">
      <c r="AD738" s="22"/>
      <c r="AE738" s="23"/>
      <c r="AF738" s="20"/>
      <c r="AG738" s="20"/>
      <c r="AH738" s="22"/>
      <c r="AI738" s="22"/>
      <c r="AJ738" s="22"/>
    </row>
    <row r="739" spans="30:36">
      <c r="AD739" s="22"/>
      <c r="AE739" s="23"/>
      <c r="AF739" s="20"/>
      <c r="AG739" s="20"/>
      <c r="AH739" s="22"/>
      <c r="AI739" s="22"/>
      <c r="AJ739" s="22"/>
    </row>
    <row r="740" spans="30:36">
      <c r="AD740" s="22"/>
      <c r="AE740" s="23"/>
      <c r="AF740" s="20"/>
      <c r="AG740" s="20"/>
      <c r="AH740" s="22"/>
      <c r="AI740" s="22"/>
      <c r="AJ740" s="22"/>
    </row>
    <row r="741" spans="30:36">
      <c r="AD741" s="22"/>
      <c r="AE741" s="23"/>
      <c r="AF741" s="20"/>
      <c r="AG741" s="20"/>
      <c r="AH741" s="22"/>
      <c r="AI741" s="22"/>
      <c r="AJ741" s="22"/>
    </row>
    <row r="742" spans="30:36">
      <c r="AD742" s="22"/>
      <c r="AE742" s="23"/>
      <c r="AF742" s="20"/>
      <c r="AG742" s="20"/>
      <c r="AH742" s="22"/>
      <c r="AI742" s="22"/>
      <c r="AJ742" s="22"/>
    </row>
    <row r="743" spans="30:36">
      <c r="AD743" s="22"/>
      <c r="AE743" s="23"/>
      <c r="AF743" s="20"/>
      <c r="AG743" s="20"/>
      <c r="AH743" s="22"/>
      <c r="AI743" s="22"/>
      <c r="AJ743" s="22"/>
    </row>
    <row r="744" spans="30:36">
      <c r="AD744" s="22"/>
      <c r="AE744" s="23"/>
      <c r="AF744" s="20"/>
      <c r="AG744" s="20"/>
      <c r="AH744" s="22"/>
      <c r="AI744" s="22"/>
      <c r="AJ744" s="22"/>
    </row>
    <row r="745" spans="30:36">
      <c r="AD745" s="22"/>
      <c r="AE745" s="23"/>
      <c r="AF745" s="20"/>
      <c r="AG745" s="20"/>
      <c r="AH745" s="22"/>
      <c r="AI745" s="22"/>
      <c r="AJ745" s="22"/>
    </row>
    <row r="746" spans="30:36">
      <c r="AD746" s="22"/>
      <c r="AE746" s="23"/>
      <c r="AF746" s="20"/>
      <c r="AG746" s="20"/>
      <c r="AH746" s="22"/>
      <c r="AI746" s="22"/>
      <c r="AJ746" s="22"/>
    </row>
    <row r="747" spans="30:36">
      <c r="AD747" s="22"/>
      <c r="AE747" s="23"/>
      <c r="AF747" s="20"/>
      <c r="AG747" s="20"/>
      <c r="AH747" s="22"/>
      <c r="AI747" s="22"/>
      <c r="AJ747" s="22"/>
    </row>
    <row r="748" spans="30:36">
      <c r="AD748" s="22"/>
      <c r="AE748" s="23"/>
      <c r="AF748" s="20"/>
      <c r="AG748" s="20"/>
      <c r="AH748" s="22"/>
      <c r="AI748" s="22"/>
      <c r="AJ748" s="22"/>
    </row>
    <row r="749" spans="30:36">
      <c r="AD749" s="22"/>
      <c r="AE749" s="23"/>
      <c r="AF749" s="20"/>
      <c r="AG749" s="20"/>
      <c r="AH749" s="22"/>
      <c r="AI749" s="22"/>
      <c r="AJ749" s="22"/>
    </row>
    <row r="750" spans="30:36">
      <c r="AD750" s="22"/>
      <c r="AE750" s="23"/>
      <c r="AF750" s="20"/>
      <c r="AG750" s="20"/>
      <c r="AH750" s="22"/>
      <c r="AI750" s="22"/>
      <c r="AJ750" s="22"/>
    </row>
    <row r="751" spans="30:36">
      <c r="AD751" s="22"/>
      <c r="AE751" s="23"/>
      <c r="AF751" s="20"/>
      <c r="AG751" s="20"/>
      <c r="AH751" s="22"/>
      <c r="AI751" s="22"/>
      <c r="AJ751" s="22"/>
    </row>
    <row r="752" spans="30:36">
      <c r="AD752" s="22"/>
      <c r="AE752" s="23"/>
      <c r="AF752" s="20"/>
      <c r="AG752" s="20"/>
      <c r="AH752" s="22"/>
      <c r="AI752" s="22"/>
      <c r="AJ752" s="22"/>
    </row>
    <row r="753" spans="30:36">
      <c r="AD753" s="22"/>
      <c r="AE753" s="23"/>
      <c r="AF753" s="20"/>
      <c r="AG753" s="20"/>
      <c r="AH753" s="22"/>
      <c r="AI753" s="22"/>
      <c r="AJ753" s="22"/>
    </row>
    <row r="754" spans="30:36">
      <c r="AD754" s="22"/>
      <c r="AE754" s="23"/>
      <c r="AF754" s="20"/>
      <c r="AG754" s="20"/>
      <c r="AH754" s="22"/>
      <c r="AI754" s="22"/>
      <c r="AJ754" s="22"/>
    </row>
    <row r="755" spans="30:36">
      <c r="AD755" s="22"/>
      <c r="AE755" s="23"/>
      <c r="AF755" s="20"/>
      <c r="AG755" s="20"/>
      <c r="AH755" s="22"/>
      <c r="AI755" s="22"/>
      <c r="AJ755" s="22"/>
    </row>
    <row r="756" spans="30:36">
      <c r="AD756" s="22"/>
      <c r="AE756" s="23"/>
      <c r="AF756" s="20"/>
      <c r="AG756" s="20"/>
      <c r="AH756" s="22"/>
      <c r="AI756" s="22"/>
      <c r="AJ756" s="22"/>
    </row>
    <row r="757" spans="30:36">
      <c r="AD757" s="22"/>
      <c r="AE757" s="23"/>
      <c r="AF757" s="20"/>
      <c r="AG757" s="20"/>
      <c r="AH757" s="22"/>
      <c r="AI757" s="22"/>
      <c r="AJ757" s="22"/>
    </row>
    <row r="758" spans="30:36">
      <c r="AD758" s="22"/>
      <c r="AE758" s="23"/>
      <c r="AF758" s="20"/>
      <c r="AG758" s="20"/>
      <c r="AH758" s="22"/>
      <c r="AI758" s="22"/>
      <c r="AJ758" s="22"/>
    </row>
    <row r="759" spans="30:36">
      <c r="AD759" s="22"/>
      <c r="AE759" s="23"/>
      <c r="AF759" s="20"/>
      <c r="AG759" s="20"/>
      <c r="AH759" s="22"/>
      <c r="AI759" s="22"/>
      <c r="AJ759" s="22"/>
    </row>
    <row r="760" spans="30:36">
      <c r="AD760" s="22"/>
      <c r="AE760" s="23"/>
      <c r="AF760" s="20"/>
      <c r="AG760" s="20"/>
      <c r="AH760" s="22"/>
      <c r="AI760" s="22"/>
      <c r="AJ760" s="22"/>
    </row>
    <row r="761" spans="30:36">
      <c r="AD761" s="22"/>
      <c r="AE761" s="23"/>
      <c r="AF761" s="20"/>
      <c r="AG761" s="20"/>
      <c r="AH761" s="22"/>
      <c r="AI761" s="22"/>
      <c r="AJ761" s="22"/>
    </row>
    <row r="762" spans="30:36">
      <c r="AD762" s="22"/>
      <c r="AE762" s="23"/>
      <c r="AF762" s="20"/>
      <c r="AG762" s="20"/>
      <c r="AH762" s="22"/>
      <c r="AI762" s="22"/>
      <c r="AJ762" s="22"/>
    </row>
    <row r="763" spans="30:36">
      <c r="AD763" s="22"/>
      <c r="AE763" s="23"/>
      <c r="AF763" s="20"/>
      <c r="AG763" s="20"/>
      <c r="AH763" s="22"/>
      <c r="AI763" s="22"/>
      <c r="AJ763" s="22"/>
    </row>
    <row r="764" spans="30:36">
      <c r="AD764" s="22"/>
      <c r="AE764" s="23"/>
      <c r="AF764" s="20"/>
      <c r="AG764" s="20"/>
      <c r="AH764" s="22"/>
      <c r="AI764" s="22"/>
      <c r="AJ764" s="22"/>
    </row>
    <row r="765" spans="30:36">
      <c r="AD765" s="22"/>
      <c r="AE765" s="23"/>
      <c r="AF765" s="20"/>
      <c r="AG765" s="20"/>
      <c r="AH765" s="22"/>
      <c r="AI765" s="22"/>
      <c r="AJ765" s="22"/>
    </row>
    <row r="766" spans="30:36">
      <c r="AD766" s="22"/>
      <c r="AE766" s="23"/>
      <c r="AF766" s="20"/>
      <c r="AG766" s="20"/>
      <c r="AH766" s="22"/>
      <c r="AI766" s="22"/>
      <c r="AJ766" s="22"/>
    </row>
    <row r="767" spans="30:36">
      <c r="AD767" s="22"/>
      <c r="AE767" s="23"/>
      <c r="AF767" s="20"/>
      <c r="AG767" s="20"/>
      <c r="AH767" s="22"/>
      <c r="AI767" s="22"/>
      <c r="AJ767" s="22"/>
    </row>
    <row r="768" spans="30:36">
      <c r="AD768" s="22"/>
      <c r="AE768" s="23"/>
      <c r="AF768" s="20"/>
      <c r="AG768" s="20"/>
      <c r="AH768" s="22"/>
      <c r="AI768" s="22"/>
      <c r="AJ768" s="22"/>
    </row>
    <row r="769" spans="30:36">
      <c r="AD769" s="22"/>
      <c r="AE769" s="23"/>
      <c r="AF769" s="20"/>
      <c r="AG769" s="20"/>
      <c r="AH769" s="22"/>
      <c r="AI769" s="22"/>
      <c r="AJ769" s="22"/>
    </row>
    <row r="770" spans="30:36">
      <c r="AD770" s="22"/>
      <c r="AE770" s="23"/>
      <c r="AF770" s="20"/>
      <c r="AG770" s="20"/>
      <c r="AH770" s="22"/>
      <c r="AI770" s="22"/>
      <c r="AJ770" s="22"/>
    </row>
    <row r="771" spans="30:36">
      <c r="AD771" s="22"/>
      <c r="AE771" s="23"/>
      <c r="AF771" s="20"/>
      <c r="AG771" s="20"/>
      <c r="AH771" s="22"/>
      <c r="AI771" s="22"/>
      <c r="AJ771" s="22"/>
    </row>
    <row r="772" spans="30:36">
      <c r="AD772" s="22"/>
      <c r="AE772" s="23"/>
      <c r="AF772" s="20"/>
      <c r="AG772" s="20"/>
      <c r="AH772" s="22"/>
      <c r="AI772" s="22"/>
      <c r="AJ772" s="22"/>
    </row>
    <row r="773" spans="30:36">
      <c r="AD773" s="22"/>
      <c r="AE773" s="23"/>
      <c r="AF773" s="20"/>
      <c r="AG773" s="20"/>
      <c r="AH773" s="22"/>
      <c r="AI773" s="22"/>
      <c r="AJ773" s="22"/>
    </row>
    <row r="774" spans="30:36">
      <c r="AD774" s="22"/>
      <c r="AE774" s="23"/>
      <c r="AF774" s="20"/>
      <c r="AG774" s="20"/>
      <c r="AH774" s="22"/>
      <c r="AI774" s="22"/>
      <c r="AJ774" s="22"/>
    </row>
    <row r="775" spans="30:36">
      <c r="AD775" s="22"/>
      <c r="AE775" s="23"/>
      <c r="AF775" s="20"/>
      <c r="AG775" s="20"/>
      <c r="AH775" s="22"/>
      <c r="AI775" s="22"/>
      <c r="AJ775" s="22"/>
    </row>
    <row r="776" spans="30:36">
      <c r="AD776" s="22"/>
      <c r="AE776" s="23"/>
      <c r="AF776" s="20"/>
      <c r="AG776" s="20"/>
      <c r="AH776" s="22"/>
      <c r="AI776" s="22"/>
      <c r="AJ776" s="22"/>
    </row>
    <row r="777" spans="30:36">
      <c r="AD777" s="22"/>
      <c r="AE777" s="23"/>
      <c r="AF777" s="20"/>
      <c r="AG777" s="20"/>
      <c r="AH777" s="22"/>
      <c r="AI777" s="22"/>
      <c r="AJ777" s="22"/>
    </row>
    <row r="778" spans="30:36">
      <c r="AD778" s="22"/>
      <c r="AE778" s="23"/>
      <c r="AF778" s="20"/>
      <c r="AG778" s="20"/>
      <c r="AH778" s="22"/>
      <c r="AI778" s="22"/>
      <c r="AJ778" s="22"/>
    </row>
    <row r="779" spans="30:36">
      <c r="AD779" s="22"/>
      <c r="AE779" s="23"/>
      <c r="AF779" s="20"/>
      <c r="AG779" s="20"/>
      <c r="AH779" s="22"/>
      <c r="AI779" s="22"/>
      <c r="AJ779" s="22"/>
    </row>
    <row r="780" spans="30:36">
      <c r="AD780" s="22"/>
      <c r="AE780" s="23"/>
      <c r="AF780" s="20"/>
      <c r="AG780" s="20"/>
      <c r="AH780" s="22"/>
      <c r="AI780" s="22"/>
      <c r="AJ780" s="22"/>
    </row>
    <row r="781" spans="30:36">
      <c r="AD781" s="22"/>
      <c r="AE781" s="23"/>
      <c r="AF781" s="20"/>
      <c r="AG781" s="20"/>
      <c r="AH781" s="22"/>
      <c r="AI781" s="22"/>
      <c r="AJ781" s="22"/>
    </row>
    <row r="782" spans="30:36">
      <c r="AD782" s="22"/>
      <c r="AE782" s="23"/>
      <c r="AF782" s="20"/>
      <c r="AG782" s="20"/>
      <c r="AH782" s="22"/>
      <c r="AI782" s="22"/>
      <c r="AJ782" s="22"/>
    </row>
    <row r="783" spans="30:36">
      <c r="AD783" s="22"/>
      <c r="AE783" s="23"/>
      <c r="AF783" s="20"/>
      <c r="AG783" s="20"/>
      <c r="AH783" s="22"/>
      <c r="AI783" s="22"/>
      <c r="AJ783" s="22"/>
    </row>
    <row r="784" spans="30:36">
      <c r="AD784" s="22"/>
      <c r="AE784" s="23"/>
      <c r="AF784" s="20"/>
      <c r="AG784" s="20"/>
      <c r="AH784" s="22"/>
      <c r="AI784" s="22"/>
      <c r="AJ784" s="22"/>
    </row>
    <row r="785" spans="30:36">
      <c r="AD785" s="22"/>
      <c r="AE785" s="23"/>
      <c r="AF785" s="20"/>
      <c r="AG785" s="20"/>
      <c r="AH785" s="22"/>
      <c r="AI785" s="22"/>
      <c r="AJ785" s="22"/>
    </row>
    <row r="786" spans="30:36">
      <c r="AD786" s="22"/>
      <c r="AE786" s="23"/>
      <c r="AF786" s="20"/>
      <c r="AG786" s="20"/>
      <c r="AH786" s="22"/>
      <c r="AI786" s="22"/>
      <c r="AJ786" s="22"/>
    </row>
    <row r="787" spans="30:36">
      <c r="AD787" s="22"/>
      <c r="AE787" s="23"/>
      <c r="AF787" s="20"/>
      <c r="AG787" s="20"/>
      <c r="AH787" s="22"/>
      <c r="AI787" s="22"/>
      <c r="AJ787" s="22"/>
    </row>
    <row r="788" spans="30:36">
      <c r="AD788" s="22"/>
      <c r="AE788" s="23"/>
      <c r="AF788" s="20"/>
      <c r="AG788" s="20"/>
      <c r="AH788" s="22"/>
      <c r="AI788" s="22"/>
      <c r="AJ788" s="22"/>
    </row>
    <row r="789" spans="30:36">
      <c r="AD789" s="22"/>
      <c r="AE789" s="23"/>
      <c r="AF789" s="20"/>
      <c r="AG789" s="20"/>
      <c r="AH789" s="22"/>
      <c r="AI789" s="22"/>
      <c r="AJ789" s="22"/>
    </row>
    <row r="790" spans="30:36">
      <c r="AD790" s="22"/>
      <c r="AE790" s="23"/>
      <c r="AF790" s="20"/>
      <c r="AG790" s="20"/>
      <c r="AH790" s="22"/>
      <c r="AI790" s="22"/>
      <c r="AJ790" s="22"/>
    </row>
    <row r="791" spans="30:36">
      <c r="AD791" s="22"/>
      <c r="AE791" s="23"/>
      <c r="AF791" s="20"/>
      <c r="AG791" s="20"/>
      <c r="AH791" s="22"/>
      <c r="AI791" s="22"/>
      <c r="AJ791" s="22"/>
    </row>
    <row r="792" spans="30:36">
      <c r="AD792" s="22"/>
      <c r="AE792" s="23"/>
      <c r="AF792" s="20"/>
      <c r="AG792" s="20"/>
      <c r="AH792" s="22"/>
      <c r="AI792" s="22"/>
      <c r="AJ792" s="22"/>
    </row>
    <row r="793" spans="30:36">
      <c r="AD793" s="22"/>
      <c r="AE793" s="23"/>
      <c r="AF793" s="20"/>
      <c r="AG793" s="20"/>
      <c r="AH793" s="22"/>
      <c r="AI793" s="22"/>
      <c r="AJ793" s="22"/>
    </row>
    <row r="794" spans="30:36">
      <c r="AD794" s="22"/>
      <c r="AE794" s="23"/>
      <c r="AF794" s="20"/>
      <c r="AG794" s="20"/>
      <c r="AH794" s="22"/>
      <c r="AI794" s="22"/>
      <c r="AJ794" s="22"/>
    </row>
    <row r="795" spans="30:36">
      <c r="AD795" s="22"/>
      <c r="AE795" s="23"/>
      <c r="AF795" s="20"/>
      <c r="AG795" s="20"/>
      <c r="AH795" s="22"/>
      <c r="AI795" s="22"/>
      <c r="AJ795" s="22"/>
    </row>
    <row r="796" spans="30:36">
      <c r="AD796" s="22"/>
      <c r="AE796" s="23"/>
      <c r="AF796" s="20"/>
      <c r="AG796" s="20"/>
      <c r="AH796" s="22"/>
      <c r="AI796" s="22"/>
      <c r="AJ796" s="22"/>
    </row>
    <row r="797" spans="30:36">
      <c r="AD797" s="22"/>
      <c r="AE797" s="23"/>
      <c r="AF797" s="20"/>
      <c r="AG797" s="20"/>
      <c r="AH797" s="22"/>
      <c r="AI797" s="22"/>
      <c r="AJ797" s="22"/>
    </row>
    <row r="798" spans="30:36">
      <c r="AD798" s="22"/>
      <c r="AE798" s="23"/>
      <c r="AF798" s="20"/>
      <c r="AG798" s="20"/>
      <c r="AH798" s="22"/>
      <c r="AI798" s="22"/>
      <c r="AJ798" s="22"/>
    </row>
    <row r="799" spans="30:36">
      <c r="AD799" s="22"/>
      <c r="AE799" s="23"/>
      <c r="AF799" s="20"/>
      <c r="AG799" s="20"/>
      <c r="AH799" s="22"/>
      <c r="AI799" s="22"/>
      <c r="AJ799" s="22"/>
    </row>
    <row r="800" spans="30:36">
      <c r="AD800" s="22"/>
      <c r="AE800" s="23"/>
      <c r="AF800" s="20"/>
      <c r="AG800" s="20"/>
      <c r="AH800" s="22"/>
      <c r="AI800" s="22"/>
      <c r="AJ800" s="22"/>
    </row>
    <row r="801" spans="30:36">
      <c r="AD801" s="22"/>
      <c r="AE801" s="23"/>
      <c r="AF801" s="20"/>
      <c r="AG801" s="20"/>
      <c r="AH801" s="22"/>
      <c r="AI801" s="22"/>
      <c r="AJ801" s="22"/>
    </row>
    <row r="802" spans="30:36">
      <c r="AD802" s="22"/>
      <c r="AE802" s="23"/>
      <c r="AF802" s="20"/>
      <c r="AG802" s="20"/>
      <c r="AH802" s="22"/>
      <c r="AI802" s="22"/>
      <c r="AJ802" s="22"/>
    </row>
    <row r="803" spans="30:36">
      <c r="AD803" s="22"/>
      <c r="AE803" s="23"/>
      <c r="AF803" s="20"/>
      <c r="AG803" s="20"/>
      <c r="AH803" s="22"/>
      <c r="AI803" s="22"/>
      <c r="AJ803" s="22"/>
    </row>
    <row r="804" spans="30:36">
      <c r="AD804" s="22"/>
      <c r="AE804" s="23"/>
      <c r="AF804" s="20"/>
      <c r="AG804" s="20"/>
      <c r="AH804" s="22"/>
      <c r="AI804" s="22"/>
      <c r="AJ804" s="22"/>
    </row>
    <row r="805" spans="30:36">
      <c r="AD805" s="22"/>
      <c r="AE805" s="23"/>
      <c r="AF805" s="20"/>
      <c r="AG805" s="20"/>
      <c r="AH805" s="22"/>
      <c r="AI805" s="22"/>
      <c r="AJ805" s="22"/>
    </row>
    <row r="806" spans="30:36">
      <c r="AD806" s="22"/>
      <c r="AE806" s="23"/>
      <c r="AF806" s="20"/>
      <c r="AG806" s="20"/>
      <c r="AH806" s="22"/>
      <c r="AI806" s="22"/>
      <c r="AJ806" s="22"/>
    </row>
    <row r="807" spans="30:36">
      <c r="AD807" s="22"/>
      <c r="AE807" s="23"/>
      <c r="AF807" s="20"/>
      <c r="AG807" s="20"/>
      <c r="AH807" s="22"/>
      <c r="AI807" s="22"/>
      <c r="AJ807" s="22"/>
    </row>
    <row r="808" spans="30:36">
      <c r="AD808" s="22"/>
      <c r="AE808" s="23"/>
      <c r="AF808" s="20"/>
      <c r="AG808" s="20"/>
      <c r="AH808" s="22"/>
      <c r="AI808" s="22"/>
      <c r="AJ808" s="22"/>
    </row>
    <row r="809" spans="30:36">
      <c r="AD809" s="22"/>
      <c r="AE809" s="23"/>
      <c r="AF809" s="20"/>
      <c r="AG809" s="20"/>
      <c r="AH809" s="22"/>
      <c r="AI809" s="22"/>
      <c r="AJ809" s="22"/>
    </row>
    <row r="810" spans="30:36">
      <c r="AD810" s="22"/>
      <c r="AE810" s="23"/>
      <c r="AF810" s="20"/>
      <c r="AG810" s="20"/>
      <c r="AH810" s="22"/>
      <c r="AI810" s="22"/>
      <c r="AJ810" s="22"/>
    </row>
    <row r="811" spans="30:36">
      <c r="AD811" s="22"/>
      <c r="AE811" s="23"/>
      <c r="AF811" s="20"/>
      <c r="AG811" s="20"/>
      <c r="AH811" s="22"/>
      <c r="AI811" s="22"/>
      <c r="AJ811" s="22"/>
    </row>
    <row r="812" spans="30:36">
      <c r="AD812" s="22"/>
      <c r="AE812" s="23"/>
      <c r="AF812" s="20"/>
      <c r="AG812" s="20"/>
      <c r="AH812" s="22"/>
      <c r="AI812" s="22"/>
      <c r="AJ812" s="22"/>
    </row>
    <row r="813" spans="30:36">
      <c r="AD813" s="22"/>
      <c r="AE813" s="23"/>
      <c r="AF813" s="20"/>
      <c r="AG813" s="20"/>
      <c r="AH813" s="22"/>
      <c r="AI813" s="22"/>
      <c r="AJ813" s="22"/>
    </row>
    <row r="814" spans="30:36">
      <c r="AD814" s="22"/>
      <c r="AE814" s="23"/>
      <c r="AF814" s="20"/>
      <c r="AG814" s="20"/>
      <c r="AH814" s="22"/>
      <c r="AI814" s="22"/>
      <c r="AJ814" s="22"/>
    </row>
    <row r="815" spans="30:36">
      <c r="AD815" s="22"/>
      <c r="AE815" s="23"/>
      <c r="AF815" s="20"/>
      <c r="AG815" s="20"/>
      <c r="AH815" s="22"/>
      <c r="AI815" s="22"/>
      <c r="AJ815" s="22"/>
    </row>
    <row r="816" spans="30:36">
      <c r="AD816" s="22"/>
      <c r="AE816" s="23"/>
      <c r="AF816" s="20"/>
      <c r="AG816" s="20"/>
      <c r="AH816" s="22"/>
      <c r="AI816" s="22"/>
      <c r="AJ816" s="22"/>
    </row>
    <row r="817" spans="30:36">
      <c r="AD817" s="22"/>
      <c r="AE817" s="23"/>
      <c r="AF817" s="20"/>
      <c r="AG817" s="20"/>
      <c r="AH817" s="22"/>
      <c r="AI817" s="22"/>
      <c r="AJ817" s="22"/>
    </row>
    <row r="818" spans="30:36">
      <c r="AD818" s="22"/>
      <c r="AE818" s="23"/>
      <c r="AF818" s="20"/>
      <c r="AG818" s="20"/>
      <c r="AH818" s="22"/>
      <c r="AI818" s="22"/>
      <c r="AJ818" s="22"/>
    </row>
    <row r="819" spans="30:36">
      <c r="AD819" s="22"/>
      <c r="AE819" s="23"/>
      <c r="AF819" s="20"/>
      <c r="AG819" s="20"/>
      <c r="AH819" s="22"/>
      <c r="AI819" s="22"/>
      <c r="AJ819" s="22"/>
    </row>
    <row r="820" spans="30:36">
      <c r="AD820" s="22"/>
      <c r="AE820" s="23"/>
      <c r="AF820" s="20"/>
      <c r="AG820" s="20"/>
      <c r="AH820" s="22"/>
      <c r="AI820" s="22"/>
      <c r="AJ820" s="22"/>
    </row>
    <row r="821" spans="30:36">
      <c r="AD821" s="22"/>
      <c r="AE821" s="23"/>
      <c r="AF821" s="20"/>
      <c r="AG821" s="20"/>
      <c r="AH821" s="22"/>
      <c r="AI821" s="22"/>
      <c r="AJ821" s="22"/>
    </row>
    <row r="822" spans="30:36">
      <c r="AD822" s="22"/>
      <c r="AE822" s="23"/>
      <c r="AF822" s="20"/>
      <c r="AG822" s="20"/>
      <c r="AH822" s="22"/>
      <c r="AI822" s="22"/>
      <c r="AJ822" s="22"/>
    </row>
    <row r="823" spans="30:36">
      <c r="AD823" s="22"/>
      <c r="AE823" s="23"/>
      <c r="AF823" s="20"/>
      <c r="AG823" s="20"/>
      <c r="AH823" s="22"/>
      <c r="AI823" s="22"/>
      <c r="AJ823" s="22"/>
    </row>
    <row r="824" spans="30:36">
      <c r="AD824" s="22"/>
      <c r="AE824" s="23"/>
      <c r="AF824" s="20"/>
      <c r="AG824" s="20"/>
      <c r="AH824" s="22"/>
      <c r="AI824" s="22"/>
      <c r="AJ824" s="22"/>
    </row>
    <row r="825" spans="30:36">
      <c r="AD825" s="22"/>
      <c r="AE825" s="23"/>
      <c r="AF825" s="20"/>
      <c r="AG825" s="20"/>
      <c r="AH825" s="22"/>
      <c r="AI825" s="22"/>
      <c r="AJ825" s="22"/>
    </row>
    <row r="826" spans="30:36">
      <c r="AD826" s="22"/>
      <c r="AE826" s="23"/>
      <c r="AF826" s="20"/>
      <c r="AG826" s="20"/>
      <c r="AH826" s="22"/>
      <c r="AI826" s="22"/>
      <c r="AJ826" s="22"/>
    </row>
    <row r="827" spans="30:36">
      <c r="AD827" s="22"/>
      <c r="AE827" s="23"/>
      <c r="AF827" s="20"/>
      <c r="AG827" s="20"/>
      <c r="AH827" s="22"/>
      <c r="AI827" s="22"/>
      <c r="AJ827" s="22"/>
    </row>
    <row r="828" spans="30:36">
      <c r="AD828" s="22"/>
      <c r="AE828" s="23"/>
      <c r="AF828" s="20"/>
      <c r="AG828" s="20"/>
      <c r="AH828" s="22"/>
      <c r="AI828" s="22"/>
      <c r="AJ828" s="22"/>
    </row>
    <row r="829" spans="30:36">
      <c r="AD829" s="22"/>
      <c r="AE829" s="23"/>
      <c r="AF829" s="20"/>
      <c r="AG829" s="20"/>
      <c r="AH829" s="22"/>
      <c r="AI829" s="22"/>
      <c r="AJ829" s="22"/>
    </row>
    <row r="830" spans="30:36">
      <c r="AD830" s="22"/>
      <c r="AE830" s="23"/>
      <c r="AF830" s="20"/>
      <c r="AG830" s="20"/>
      <c r="AH830" s="22"/>
      <c r="AI830" s="22"/>
      <c r="AJ830" s="22"/>
    </row>
    <row r="831" spans="30:36">
      <c r="AD831" s="22"/>
      <c r="AE831" s="23"/>
      <c r="AF831" s="20"/>
      <c r="AG831" s="20"/>
      <c r="AH831" s="22"/>
      <c r="AI831" s="22"/>
      <c r="AJ831" s="22"/>
    </row>
    <row r="832" spans="30:36">
      <c r="AD832" s="22"/>
      <c r="AE832" s="23"/>
      <c r="AF832" s="20"/>
      <c r="AG832" s="20"/>
      <c r="AH832" s="22"/>
      <c r="AI832" s="22"/>
      <c r="AJ832" s="22"/>
    </row>
    <row r="833" spans="30:36">
      <c r="AD833" s="22"/>
      <c r="AE833" s="23"/>
      <c r="AF833" s="20"/>
      <c r="AG833" s="20"/>
      <c r="AH833" s="22"/>
      <c r="AI833" s="22"/>
      <c r="AJ833" s="22"/>
    </row>
    <row r="834" spans="30:36">
      <c r="AD834" s="22"/>
      <c r="AE834" s="23"/>
      <c r="AF834" s="20"/>
      <c r="AG834" s="20"/>
      <c r="AH834" s="22"/>
      <c r="AI834" s="22"/>
      <c r="AJ834" s="22"/>
    </row>
    <row r="835" spans="30:36">
      <c r="AD835" s="22"/>
      <c r="AE835" s="23"/>
      <c r="AF835" s="20"/>
      <c r="AG835" s="20"/>
      <c r="AH835" s="22"/>
      <c r="AI835" s="22"/>
      <c r="AJ835" s="22"/>
    </row>
    <row r="836" spans="30:36">
      <c r="AD836" s="22"/>
      <c r="AE836" s="23"/>
      <c r="AF836" s="20"/>
      <c r="AG836" s="20"/>
      <c r="AH836" s="22"/>
      <c r="AI836" s="22"/>
      <c r="AJ836" s="22"/>
    </row>
    <row r="837" spans="30:36">
      <c r="AD837" s="22"/>
      <c r="AE837" s="23"/>
      <c r="AF837" s="20"/>
      <c r="AG837" s="20"/>
      <c r="AH837" s="22"/>
      <c r="AI837" s="22"/>
      <c r="AJ837" s="22"/>
    </row>
    <row r="838" spans="30:36">
      <c r="AD838" s="22"/>
      <c r="AE838" s="23"/>
      <c r="AF838" s="20"/>
      <c r="AG838" s="20"/>
      <c r="AH838" s="22"/>
      <c r="AI838" s="22"/>
      <c r="AJ838" s="22"/>
    </row>
    <row r="839" spans="30:36">
      <c r="AD839" s="22"/>
      <c r="AE839" s="23"/>
      <c r="AF839" s="20"/>
      <c r="AG839" s="20"/>
      <c r="AH839" s="22"/>
      <c r="AI839" s="22"/>
      <c r="AJ839" s="22"/>
    </row>
    <row r="840" spans="30:36">
      <c r="AD840" s="22"/>
      <c r="AE840" s="23"/>
      <c r="AF840" s="20"/>
      <c r="AG840" s="20"/>
      <c r="AH840" s="22"/>
      <c r="AI840" s="22"/>
      <c r="AJ840" s="22"/>
    </row>
    <row r="841" spans="30:36">
      <c r="AD841" s="22"/>
      <c r="AE841" s="23"/>
      <c r="AF841" s="20"/>
      <c r="AG841" s="20"/>
      <c r="AH841" s="22"/>
      <c r="AI841" s="22"/>
      <c r="AJ841" s="22"/>
    </row>
    <row r="842" spans="30:36">
      <c r="AD842" s="22"/>
      <c r="AE842" s="23"/>
      <c r="AF842" s="20"/>
      <c r="AG842" s="20"/>
      <c r="AH842" s="22"/>
      <c r="AI842" s="22"/>
      <c r="AJ842" s="22"/>
    </row>
    <row r="843" spans="30:36">
      <c r="AD843" s="22"/>
      <c r="AE843" s="23"/>
      <c r="AF843" s="20"/>
      <c r="AG843" s="20"/>
      <c r="AH843" s="22"/>
      <c r="AI843" s="22"/>
      <c r="AJ843" s="22"/>
    </row>
    <row r="844" spans="30:36">
      <c r="AD844" s="22"/>
      <c r="AE844" s="23"/>
      <c r="AF844" s="20"/>
      <c r="AG844" s="20"/>
      <c r="AH844" s="22"/>
      <c r="AI844" s="22"/>
      <c r="AJ844" s="22"/>
    </row>
    <row r="845" spans="30:36">
      <c r="AD845" s="22"/>
      <c r="AE845" s="23"/>
      <c r="AF845" s="20"/>
      <c r="AG845" s="20"/>
      <c r="AH845" s="22"/>
      <c r="AI845" s="22"/>
      <c r="AJ845" s="22"/>
    </row>
    <row r="846" spans="30:36">
      <c r="AD846" s="22"/>
      <c r="AE846" s="23"/>
      <c r="AF846" s="20"/>
      <c r="AG846" s="20"/>
      <c r="AH846" s="22"/>
      <c r="AI846" s="22"/>
      <c r="AJ846" s="22"/>
    </row>
    <row r="847" spans="30:36">
      <c r="AD847" s="22"/>
      <c r="AE847" s="23"/>
      <c r="AF847" s="20"/>
      <c r="AG847" s="20"/>
      <c r="AH847" s="22"/>
      <c r="AI847" s="22"/>
      <c r="AJ847" s="22"/>
    </row>
    <row r="848" spans="30:36">
      <c r="AD848" s="22"/>
      <c r="AE848" s="23"/>
      <c r="AF848" s="20"/>
      <c r="AG848" s="20"/>
      <c r="AH848" s="22"/>
      <c r="AI848" s="22"/>
      <c r="AJ848" s="22"/>
    </row>
    <row r="849" spans="30:36">
      <c r="AD849" s="22"/>
      <c r="AE849" s="23"/>
      <c r="AF849" s="20"/>
      <c r="AG849" s="20"/>
      <c r="AH849" s="22"/>
      <c r="AI849" s="22"/>
      <c r="AJ849" s="22"/>
    </row>
    <row r="850" spans="30:36">
      <c r="AD850" s="22"/>
      <c r="AE850" s="23"/>
      <c r="AF850" s="20"/>
      <c r="AG850" s="20"/>
      <c r="AH850" s="22"/>
      <c r="AI850" s="22"/>
      <c r="AJ850" s="22"/>
    </row>
    <row r="851" spans="30:36">
      <c r="AD851" s="22"/>
      <c r="AE851" s="23"/>
      <c r="AF851" s="20"/>
      <c r="AG851" s="20"/>
      <c r="AH851" s="22"/>
      <c r="AI851" s="22"/>
      <c r="AJ851" s="22"/>
    </row>
    <row r="852" spans="30:36">
      <c r="AD852" s="22"/>
      <c r="AE852" s="23"/>
      <c r="AF852" s="20"/>
      <c r="AG852" s="20"/>
      <c r="AH852" s="22"/>
      <c r="AI852" s="22"/>
      <c r="AJ852" s="22"/>
    </row>
    <row r="853" spans="30:36">
      <c r="AD853" s="22"/>
      <c r="AE853" s="23"/>
      <c r="AF853" s="20"/>
      <c r="AG853" s="20"/>
      <c r="AH853" s="22"/>
      <c r="AI853" s="22"/>
      <c r="AJ853" s="22"/>
    </row>
    <row r="854" spans="30:36">
      <c r="AD854" s="22"/>
      <c r="AE854" s="23"/>
      <c r="AF854" s="20"/>
      <c r="AG854" s="20"/>
      <c r="AH854" s="22"/>
      <c r="AI854" s="22"/>
      <c r="AJ854" s="22"/>
    </row>
    <row r="855" spans="30:36">
      <c r="AD855" s="22"/>
      <c r="AE855" s="23"/>
      <c r="AF855" s="20"/>
      <c r="AG855" s="20"/>
      <c r="AH855" s="22"/>
      <c r="AI855" s="22"/>
      <c r="AJ855" s="22"/>
    </row>
    <row r="856" spans="30:36">
      <c r="AD856" s="22"/>
      <c r="AE856" s="23"/>
      <c r="AF856" s="20"/>
      <c r="AG856" s="20"/>
      <c r="AH856" s="22"/>
      <c r="AI856" s="22"/>
      <c r="AJ856" s="22"/>
    </row>
    <row r="857" spans="30:36">
      <c r="AD857" s="22"/>
      <c r="AE857" s="23"/>
      <c r="AF857" s="20"/>
      <c r="AG857" s="20"/>
      <c r="AH857" s="22"/>
      <c r="AI857" s="22"/>
      <c r="AJ857" s="22"/>
    </row>
    <row r="858" spans="30:36">
      <c r="AD858" s="22"/>
      <c r="AE858" s="23"/>
      <c r="AF858" s="20"/>
      <c r="AG858" s="20"/>
      <c r="AH858" s="22"/>
      <c r="AI858" s="22"/>
      <c r="AJ858" s="22"/>
    </row>
    <row r="859" spans="30:36">
      <c r="AD859" s="22"/>
      <c r="AE859" s="23"/>
      <c r="AF859" s="20"/>
      <c r="AG859" s="20"/>
      <c r="AH859" s="22"/>
      <c r="AI859" s="22"/>
      <c r="AJ859" s="22"/>
    </row>
    <row r="860" spans="30:36">
      <c r="AD860" s="22"/>
      <c r="AE860" s="23"/>
      <c r="AF860" s="20"/>
      <c r="AG860" s="20"/>
      <c r="AH860" s="22"/>
      <c r="AI860" s="22"/>
      <c r="AJ860" s="22"/>
    </row>
    <row r="861" spans="30:36">
      <c r="AD861" s="22"/>
      <c r="AE861" s="23"/>
      <c r="AF861" s="20"/>
      <c r="AG861" s="20"/>
      <c r="AH861" s="22"/>
      <c r="AI861" s="22"/>
      <c r="AJ861" s="22"/>
    </row>
    <row r="862" spans="30:36">
      <c r="AD862" s="22"/>
      <c r="AE862" s="23"/>
      <c r="AF862" s="20"/>
      <c r="AG862" s="20"/>
      <c r="AH862" s="22"/>
      <c r="AI862" s="22"/>
      <c r="AJ862" s="22"/>
    </row>
    <row r="863" spans="30:36">
      <c r="AD863" s="22"/>
      <c r="AE863" s="23"/>
      <c r="AF863" s="20"/>
      <c r="AG863" s="20"/>
      <c r="AH863" s="22"/>
      <c r="AI863" s="22"/>
      <c r="AJ863" s="22"/>
    </row>
    <row r="864" spans="30:36">
      <c r="AD864" s="22"/>
      <c r="AE864" s="23"/>
      <c r="AF864" s="20"/>
      <c r="AG864" s="20"/>
      <c r="AH864" s="22"/>
      <c r="AI864" s="22"/>
      <c r="AJ864" s="22"/>
    </row>
    <row r="865" spans="30:36">
      <c r="AD865" s="22"/>
      <c r="AE865" s="23"/>
      <c r="AF865" s="20"/>
      <c r="AG865" s="20"/>
      <c r="AH865" s="22"/>
      <c r="AI865" s="22"/>
      <c r="AJ865" s="22"/>
    </row>
    <row r="866" spans="30:36">
      <c r="AD866" s="22"/>
      <c r="AE866" s="23"/>
      <c r="AF866" s="20"/>
      <c r="AG866" s="20"/>
      <c r="AH866" s="22"/>
      <c r="AI866" s="22"/>
      <c r="AJ866" s="22"/>
    </row>
    <row r="867" spans="30:36">
      <c r="AD867" s="22"/>
      <c r="AE867" s="23"/>
      <c r="AF867" s="20"/>
      <c r="AG867" s="20"/>
      <c r="AH867" s="22"/>
      <c r="AI867" s="22"/>
      <c r="AJ867" s="22"/>
    </row>
    <row r="868" spans="30:36">
      <c r="AD868" s="22"/>
      <c r="AE868" s="23"/>
      <c r="AF868" s="20"/>
      <c r="AG868" s="20"/>
      <c r="AH868" s="22"/>
      <c r="AI868" s="22"/>
      <c r="AJ868" s="22"/>
    </row>
    <row r="869" spans="30:36">
      <c r="AD869" s="22"/>
      <c r="AE869" s="23"/>
      <c r="AF869" s="20"/>
      <c r="AG869" s="20"/>
      <c r="AH869" s="22"/>
      <c r="AI869" s="22"/>
      <c r="AJ869" s="22"/>
    </row>
    <row r="870" spans="30:36">
      <c r="AD870" s="22"/>
      <c r="AE870" s="23"/>
      <c r="AF870" s="20"/>
      <c r="AG870" s="20"/>
      <c r="AH870" s="22"/>
      <c r="AI870" s="22"/>
      <c r="AJ870" s="22"/>
    </row>
    <row r="871" spans="30:36">
      <c r="AD871" s="22"/>
      <c r="AE871" s="23"/>
      <c r="AF871" s="20"/>
      <c r="AG871" s="20"/>
      <c r="AH871" s="22"/>
      <c r="AI871" s="22"/>
      <c r="AJ871" s="22"/>
    </row>
    <row r="872" spans="30:36">
      <c r="AD872" s="22"/>
      <c r="AE872" s="23"/>
      <c r="AF872" s="20"/>
      <c r="AG872" s="20"/>
      <c r="AH872" s="22"/>
      <c r="AI872" s="22"/>
      <c r="AJ872" s="22"/>
    </row>
    <row r="873" spans="30:36">
      <c r="AD873" s="22"/>
      <c r="AE873" s="23"/>
      <c r="AF873" s="20"/>
      <c r="AG873" s="20"/>
      <c r="AH873" s="22"/>
      <c r="AI873" s="22"/>
      <c r="AJ873" s="22"/>
    </row>
    <row r="874" spans="30:36">
      <c r="AD874" s="22"/>
      <c r="AE874" s="23"/>
      <c r="AF874" s="20"/>
      <c r="AG874" s="20"/>
      <c r="AH874" s="22"/>
      <c r="AI874" s="22"/>
      <c r="AJ874" s="22"/>
    </row>
    <row r="875" spans="30:36">
      <c r="AD875" s="22"/>
      <c r="AE875" s="23"/>
      <c r="AF875" s="20"/>
      <c r="AG875" s="20"/>
      <c r="AH875" s="22"/>
      <c r="AI875" s="22"/>
      <c r="AJ875" s="22"/>
    </row>
    <row r="876" spans="30:36">
      <c r="AD876" s="22"/>
      <c r="AE876" s="23"/>
      <c r="AF876" s="20"/>
      <c r="AG876" s="20"/>
      <c r="AH876" s="22"/>
      <c r="AI876" s="22"/>
      <c r="AJ876" s="22"/>
    </row>
    <row r="877" spans="30:36">
      <c r="AD877" s="22"/>
      <c r="AE877" s="23"/>
      <c r="AF877" s="20"/>
      <c r="AG877" s="20"/>
      <c r="AH877" s="22"/>
      <c r="AI877" s="22"/>
      <c r="AJ877" s="22"/>
    </row>
    <row r="878" spans="30:36">
      <c r="AD878" s="22"/>
      <c r="AE878" s="23"/>
      <c r="AF878" s="20"/>
      <c r="AG878" s="20"/>
      <c r="AH878" s="22"/>
      <c r="AI878" s="22"/>
      <c r="AJ878" s="22"/>
    </row>
    <row r="879" spans="30:36">
      <c r="AD879" s="22"/>
      <c r="AE879" s="23"/>
      <c r="AF879" s="20"/>
      <c r="AG879" s="20"/>
      <c r="AH879" s="22"/>
      <c r="AI879" s="22"/>
      <c r="AJ879" s="22"/>
    </row>
    <row r="880" spans="30:36">
      <c r="AD880" s="22"/>
      <c r="AE880" s="23"/>
      <c r="AF880" s="20"/>
      <c r="AG880" s="20"/>
      <c r="AH880" s="22"/>
      <c r="AI880" s="22"/>
      <c r="AJ880" s="22"/>
    </row>
    <row r="881" spans="30:36">
      <c r="AD881" s="22"/>
      <c r="AE881" s="23"/>
      <c r="AF881" s="20"/>
      <c r="AG881" s="20"/>
      <c r="AH881" s="22"/>
      <c r="AI881" s="22"/>
      <c r="AJ881" s="22"/>
    </row>
    <row r="882" spans="30:36">
      <c r="AD882" s="22"/>
      <c r="AE882" s="23"/>
      <c r="AF882" s="20"/>
      <c r="AG882" s="20"/>
      <c r="AH882" s="22"/>
      <c r="AI882" s="22"/>
      <c r="AJ882" s="22"/>
    </row>
    <row r="883" spans="30:36">
      <c r="AD883" s="22"/>
      <c r="AE883" s="23"/>
      <c r="AF883" s="20"/>
      <c r="AG883" s="20"/>
      <c r="AH883" s="22"/>
      <c r="AI883" s="22"/>
      <c r="AJ883" s="22"/>
    </row>
    <row r="884" spans="30:36">
      <c r="AD884" s="22"/>
      <c r="AE884" s="23"/>
      <c r="AF884" s="20"/>
      <c r="AG884" s="20"/>
      <c r="AH884" s="22"/>
      <c r="AI884" s="22"/>
      <c r="AJ884" s="22"/>
    </row>
    <row r="885" spans="30:36">
      <c r="AD885" s="22"/>
      <c r="AE885" s="23"/>
      <c r="AF885" s="20"/>
      <c r="AG885" s="20"/>
      <c r="AH885" s="22"/>
      <c r="AI885" s="22"/>
      <c r="AJ885" s="22"/>
    </row>
    <row r="886" spans="30:36">
      <c r="AD886" s="22"/>
      <c r="AE886" s="23"/>
      <c r="AF886" s="20"/>
      <c r="AG886" s="20"/>
      <c r="AH886" s="22"/>
      <c r="AI886" s="22"/>
      <c r="AJ886" s="22"/>
    </row>
    <row r="887" spans="30:36">
      <c r="AD887" s="22"/>
      <c r="AE887" s="23"/>
      <c r="AF887" s="20"/>
      <c r="AG887" s="20"/>
      <c r="AH887" s="22"/>
      <c r="AI887" s="22"/>
      <c r="AJ887" s="22"/>
    </row>
    <row r="888" spans="30:36">
      <c r="AD888" s="22"/>
      <c r="AE888" s="23"/>
      <c r="AF888" s="20"/>
      <c r="AG888" s="20"/>
      <c r="AH888" s="22"/>
      <c r="AI888" s="22"/>
      <c r="AJ888" s="22"/>
    </row>
    <row r="889" spans="30:36">
      <c r="AD889" s="22"/>
      <c r="AE889" s="23"/>
      <c r="AF889" s="20"/>
      <c r="AG889" s="20"/>
      <c r="AH889" s="22"/>
      <c r="AI889" s="22"/>
      <c r="AJ889" s="22"/>
    </row>
    <row r="890" spans="30:36">
      <c r="AD890" s="22"/>
      <c r="AE890" s="23"/>
      <c r="AF890" s="20"/>
      <c r="AG890" s="20"/>
      <c r="AH890" s="22"/>
      <c r="AI890" s="22"/>
      <c r="AJ890" s="22"/>
    </row>
    <row r="891" spans="30:36">
      <c r="AD891" s="22"/>
      <c r="AE891" s="23"/>
      <c r="AF891" s="20"/>
      <c r="AG891" s="20"/>
      <c r="AH891" s="22"/>
      <c r="AI891" s="22"/>
      <c r="AJ891" s="22"/>
    </row>
    <row r="892" spans="30:36">
      <c r="AD892" s="22"/>
      <c r="AE892" s="23"/>
      <c r="AF892" s="20"/>
      <c r="AG892" s="20"/>
      <c r="AH892" s="22"/>
      <c r="AI892" s="22"/>
      <c r="AJ892" s="22"/>
    </row>
    <row r="893" spans="30:36">
      <c r="AD893" s="22"/>
      <c r="AE893" s="23"/>
      <c r="AF893" s="20"/>
      <c r="AG893" s="20"/>
      <c r="AH893" s="22"/>
      <c r="AI893" s="22"/>
      <c r="AJ893" s="22"/>
    </row>
    <row r="894" spans="30:36">
      <c r="AD894" s="22"/>
      <c r="AE894" s="23"/>
      <c r="AF894" s="20"/>
      <c r="AG894" s="20"/>
      <c r="AH894" s="22"/>
      <c r="AI894" s="22"/>
      <c r="AJ894" s="22"/>
    </row>
    <row r="895" spans="30:36">
      <c r="AD895" s="22"/>
      <c r="AE895" s="23"/>
      <c r="AF895" s="20"/>
      <c r="AG895" s="20"/>
      <c r="AH895" s="22"/>
      <c r="AI895" s="22"/>
      <c r="AJ895" s="22"/>
    </row>
    <row r="896" spans="30:36">
      <c r="AD896" s="22"/>
      <c r="AE896" s="23"/>
      <c r="AF896" s="20"/>
      <c r="AG896" s="20"/>
      <c r="AH896" s="22"/>
      <c r="AI896" s="22"/>
      <c r="AJ896" s="22"/>
    </row>
    <row r="897" spans="30:36">
      <c r="AD897" s="22"/>
      <c r="AE897" s="23"/>
      <c r="AF897" s="20"/>
      <c r="AG897" s="20"/>
      <c r="AH897" s="22"/>
      <c r="AI897" s="22"/>
      <c r="AJ897" s="22"/>
    </row>
    <row r="898" spans="30:36">
      <c r="AD898" s="22"/>
      <c r="AE898" s="23"/>
      <c r="AF898" s="20"/>
      <c r="AG898" s="20"/>
      <c r="AH898" s="22"/>
      <c r="AI898" s="22"/>
      <c r="AJ898" s="22"/>
    </row>
    <row r="899" spans="30:36">
      <c r="AD899" s="22"/>
      <c r="AE899" s="23"/>
      <c r="AF899" s="20"/>
      <c r="AG899" s="20"/>
      <c r="AH899" s="22"/>
      <c r="AI899" s="22"/>
      <c r="AJ899" s="22"/>
    </row>
    <row r="900" spans="30:36">
      <c r="AD900" s="22"/>
      <c r="AE900" s="23"/>
      <c r="AF900" s="20"/>
      <c r="AG900" s="20"/>
      <c r="AH900" s="22"/>
      <c r="AI900" s="22"/>
      <c r="AJ900" s="22"/>
    </row>
    <row r="901" spans="30:36">
      <c r="AD901" s="22"/>
      <c r="AE901" s="23"/>
      <c r="AF901" s="20"/>
      <c r="AG901" s="20"/>
      <c r="AH901" s="22"/>
      <c r="AI901" s="22"/>
      <c r="AJ901" s="22"/>
    </row>
    <row r="902" spans="30:36">
      <c r="AD902" s="22"/>
      <c r="AE902" s="23"/>
      <c r="AF902" s="20"/>
      <c r="AG902" s="20"/>
      <c r="AH902" s="22"/>
      <c r="AI902" s="22"/>
      <c r="AJ902" s="22"/>
    </row>
    <row r="903" spans="30:36">
      <c r="AD903" s="22"/>
      <c r="AE903" s="23"/>
      <c r="AF903" s="20"/>
      <c r="AG903" s="20"/>
      <c r="AH903" s="22"/>
      <c r="AI903" s="22"/>
      <c r="AJ903" s="22"/>
    </row>
    <row r="904" spans="30:36">
      <c r="AD904" s="22"/>
      <c r="AE904" s="23"/>
      <c r="AF904" s="20"/>
      <c r="AG904" s="20"/>
      <c r="AH904" s="22"/>
      <c r="AI904" s="22"/>
      <c r="AJ904" s="22"/>
    </row>
    <row r="905" spans="30:36">
      <c r="AD905" s="22"/>
      <c r="AE905" s="23"/>
      <c r="AF905" s="20"/>
      <c r="AG905" s="20"/>
      <c r="AH905" s="22"/>
      <c r="AI905" s="22"/>
      <c r="AJ905" s="22"/>
    </row>
    <row r="906" spans="30:36">
      <c r="AD906" s="22"/>
      <c r="AE906" s="23"/>
      <c r="AF906" s="20"/>
      <c r="AG906" s="20"/>
      <c r="AH906" s="22"/>
      <c r="AI906" s="22"/>
      <c r="AJ906" s="22"/>
    </row>
    <row r="907" spans="30:36">
      <c r="AD907" s="22"/>
      <c r="AE907" s="23"/>
      <c r="AF907" s="20"/>
      <c r="AG907" s="20"/>
      <c r="AH907" s="22"/>
      <c r="AI907" s="22"/>
      <c r="AJ907" s="22"/>
    </row>
    <row r="908" spans="30:36">
      <c r="AD908" s="22"/>
      <c r="AE908" s="23"/>
      <c r="AF908" s="20"/>
      <c r="AG908" s="20"/>
      <c r="AH908" s="22"/>
      <c r="AI908" s="22"/>
      <c r="AJ908" s="22"/>
    </row>
    <row r="909" spans="30:36">
      <c r="AD909" s="22"/>
      <c r="AE909" s="23"/>
      <c r="AF909" s="20"/>
      <c r="AG909" s="20"/>
      <c r="AH909" s="22"/>
      <c r="AI909" s="22"/>
      <c r="AJ909" s="22"/>
    </row>
    <row r="910" spans="30:36">
      <c r="AD910" s="22"/>
      <c r="AE910" s="23"/>
      <c r="AF910" s="20"/>
      <c r="AG910" s="20"/>
      <c r="AH910" s="22"/>
      <c r="AI910" s="22"/>
      <c r="AJ910" s="22"/>
    </row>
    <row r="911" spans="30:36">
      <c r="AD911" s="22"/>
      <c r="AE911" s="23"/>
      <c r="AF911" s="20"/>
      <c r="AG911" s="20"/>
      <c r="AH911" s="22"/>
      <c r="AI911" s="22"/>
      <c r="AJ911" s="22"/>
    </row>
    <row r="912" spans="30:36">
      <c r="AD912" s="22"/>
      <c r="AE912" s="23"/>
      <c r="AF912" s="20"/>
      <c r="AG912" s="20"/>
      <c r="AH912" s="22"/>
      <c r="AI912" s="22"/>
      <c r="AJ912" s="22"/>
    </row>
    <row r="913" spans="30:36">
      <c r="AD913" s="22"/>
      <c r="AE913" s="23"/>
      <c r="AF913" s="20"/>
      <c r="AG913" s="20"/>
      <c r="AH913" s="22"/>
      <c r="AI913" s="22"/>
      <c r="AJ913" s="22"/>
    </row>
    <row r="914" spans="30:36">
      <c r="AD914" s="22"/>
      <c r="AE914" s="23"/>
      <c r="AF914" s="20"/>
      <c r="AG914" s="20"/>
      <c r="AH914" s="22"/>
      <c r="AI914" s="22"/>
      <c r="AJ914" s="22"/>
    </row>
    <row r="915" spans="30:36">
      <c r="AD915" s="22"/>
      <c r="AE915" s="23"/>
      <c r="AF915" s="20"/>
      <c r="AG915" s="20"/>
      <c r="AH915" s="22"/>
      <c r="AI915" s="22"/>
      <c r="AJ915" s="22"/>
    </row>
    <row r="916" spans="30:36">
      <c r="AD916" s="22"/>
      <c r="AE916" s="23"/>
      <c r="AF916" s="20"/>
      <c r="AG916" s="20"/>
      <c r="AH916" s="22"/>
      <c r="AI916" s="22"/>
      <c r="AJ916" s="22"/>
    </row>
    <row r="917" spans="30:36">
      <c r="AD917" s="22"/>
      <c r="AE917" s="23"/>
      <c r="AF917" s="20"/>
      <c r="AG917" s="20"/>
      <c r="AH917" s="22"/>
      <c r="AI917" s="22"/>
      <c r="AJ917" s="22"/>
    </row>
    <row r="918" spans="30:36">
      <c r="AD918" s="22"/>
      <c r="AE918" s="23"/>
      <c r="AF918" s="20"/>
      <c r="AG918" s="20"/>
      <c r="AH918" s="22"/>
      <c r="AI918" s="22"/>
      <c r="AJ918" s="22"/>
    </row>
    <row r="919" spans="30:36">
      <c r="AD919" s="22"/>
      <c r="AE919" s="23"/>
      <c r="AF919" s="20"/>
      <c r="AG919" s="20"/>
      <c r="AH919" s="22"/>
      <c r="AI919" s="22"/>
      <c r="AJ919" s="22"/>
    </row>
    <row r="920" spans="30:36">
      <c r="AD920" s="22"/>
      <c r="AE920" s="23"/>
      <c r="AF920" s="20"/>
      <c r="AG920" s="20"/>
      <c r="AH920" s="22"/>
      <c r="AI920" s="22"/>
      <c r="AJ920" s="22"/>
    </row>
    <row r="921" spans="30:36">
      <c r="AD921" s="22"/>
      <c r="AE921" s="23"/>
      <c r="AF921" s="20"/>
      <c r="AG921" s="20"/>
      <c r="AH921" s="22"/>
      <c r="AI921" s="22"/>
      <c r="AJ921" s="22"/>
    </row>
    <row r="922" spans="30:36">
      <c r="AD922" s="22"/>
      <c r="AE922" s="23"/>
      <c r="AF922" s="20"/>
      <c r="AG922" s="20"/>
      <c r="AH922" s="22"/>
      <c r="AI922" s="22"/>
      <c r="AJ922" s="22"/>
    </row>
    <row r="923" spans="30:36">
      <c r="AD923" s="22"/>
      <c r="AE923" s="23"/>
      <c r="AF923" s="20"/>
      <c r="AG923" s="20"/>
      <c r="AH923" s="22"/>
      <c r="AI923" s="22"/>
      <c r="AJ923" s="22"/>
    </row>
    <row r="924" spans="30:36">
      <c r="AD924" s="22"/>
      <c r="AE924" s="23"/>
      <c r="AF924" s="20"/>
      <c r="AG924" s="20"/>
      <c r="AH924" s="22"/>
      <c r="AI924" s="22"/>
      <c r="AJ924" s="22"/>
    </row>
    <row r="925" spans="30:36">
      <c r="AD925" s="22"/>
      <c r="AE925" s="23"/>
      <c r="AF925" s="20"/>
      <c r="AG925" s="20"/>
      <c r="AH925" s="22"/>
      <c r="AI925" s="22"/>
      <c r="AJ925" s="22"/>
    </row>
    <row r="926" spans="30:36">
      <c r="AD926" s="22"/>
      <c r="AE926" s="23"/>
      <c r="AF926" s="20"/>
      <c r="AG926" s="20"/>
      <c r="AH926" s="22"/>
      <c r="AI926" s="22"/>
      <c r="AJ926" s="22"/>
    </row>
    <row r="927" spans="30:36">
      <c r="AD927" s="22"/>
      <c r="AE927" s="23"/>
      <c r="AF927" s="20"/>
      <c r="AG927" s="20"/>
      <c r="AH927" s="22"/>
      <c r="AI927" s="22"/>
      <c r="AJ927" s="22"/>
    </row>
    <row r="928" spans="30:36">
      <c r="AD928" s="22"/>
      <c r="AE928" s="23"/>
      <c r="AF928" s="20"/>
      <c r="AG928" s="20"/>
      <c r="AH928" s="22"/>
      <c r="AI928" s="22"/>
      <c r="AJ928" s="22"/>
    </row>
    <row r="929" spans="30:36">
      <c r="AD929" s="22"/>
      <c r="AE929" s="23"/>
      <c r="AF929" s="20"/>
      <c r="AG929" s="20"/>
      <c r="AH929" s="22"/>
      <c r="AI929" s="22"/>
      <c r="AJ929" s="22"/>
    </row>
    <row r="930" spans="30:36">
      <c r="AD930" s="22"/>
      <c r="AE930" s="23"/>
      <c r="AF930" s="20"/>
      <c r="AG930" s="20"/>
      <c r="AH930" s="22"/>
      <c r="AI930" s="22"/>
      <c r="AJ930" s="22"/>
    </row>
    <row r="931" spans="30:36">
      <c r="AD931" s="22"/>
      <c r="AE931" s="23"/>
      <c r="AF931" s="20"/>
      <c r="AG931" s="20"/>
      <c r="AH931" s="22"/>
      <c r="AI931" s="22"/>
      <c r="AJ931" s="22"/>
    </row>
    <row r="932" spans="30:36">
      <c r="AD932" s="22"/>
      <c r="AE932" s="23"/>
      <c r="AF932" s="20"/>
      <c r="AG932" s="20"/>
      <c r="AH932" s="22"/>
      <c r="AI932" s="22"/>
      <c r="AJ932" s="22"/>
    </row>
    <row r="933" spans="30:36">
      <c r="AD933" s="22"/>
      <c r="AE933" s="23"/>
      <c r="AF933" s="20"/>
      <c r="AG933" s="20"/>
      <c r="AH933" s="22"/>
      <c r="AI933" s="22"/>
      <c r="AJ933" s="22"/>
    </row>
    <row r="934" spans="30:36">
      <c r="AD934" s="22"/>
      <c r="AE934" s="23"/>
      <c r="AF934" s="20"/>
      <c r="AG934" s="20"/>
      <c r="AH934" s="22"/>
      <c r="AI934" s="22"/>
      <c r="AJ934" s="22"/>
    </row>
    <row r="935" spans="30:36">
      <c r="AD935" s="22"/>
      <c r="AE935" s="23"/>
      <c r="AF935" s="20"/>
      <c r="AG935" s="20"/>
      <c r="AH935" s="22"/>
      <c r="AI935" s="22"/>
      <c r="AJ935" s="22"/>
    </row>
    <row r="936" spans="30:36">
      <c r="AD936" s="22"/>
      <c r="AE936" s="23"/>
      <c r="AF936" s="20"/>
      <c r="AG936" s="20"/>
      <c r="AH936" s="22"/>
      <c r="AI936" s="22"/>
      <c r="AJ936" s="22"/>
    </row>
    <row r="937" spans="30:36">
      <c r="AD937" s="22"/>
      <c r="AE937" s="23"/>
      <c r="AF937" s="20"/>
      <c r="AG937" s="20"/>
      <c r="AH937" s="22"/>
      <c r="AI937" s="22"/>
      <c r="AJ937" s="22"/>
    </row>
    <row r="938" spans="30:36">
      <c r="AD938" s="22"/>
      <c r="AE938" s="23"/>
      <c r="AF938" s="20"/>
      <c r="AG938" s="20"/>
      <c r="AH938" s="22"/>
      <c r="AI938" s="22"/>
      <c r="AJ938" s="22"/>
    </row>
    <row r="939" spans="30:36">
      <c r="AD939" s="22"/>
      <c r="AE939" s="23"/>
      <c r="AF939" s="20"/>
      <c r="AG939" s="20"/>
      <c r="AH939" s="22"/>
      <c r="AI939" s="22"/>
      <c r="AJ939" s="22"/>
    </row>
    <row r="940" spans="30:36">
      <c r="AD940" s="22"/>
      <c r="AE940" s="23"/>
      <c r="AF940" s="20"/>
      <c r="AG940" s="20"/>
      <c r="AH940" s="22"/>
      <c r="AI940" s="22"/>
      <c r="AJ940" s="22"/>
    </row>
    <row r="941" spans="30:36">
      <c r="AD941" s="22"/>
      <c r="AE941" s="23"/>
      <c r="AF941" s="20"/>
      <c r="AG941" s="20"/>
      <c r="AH941" s="22"/>
      <c r="AI941" s="22"/>
      <c r="AJ941" s="22"/>
    </row>
    <row r="942" spans="30:36">
      <c r="AD942" s="22"/>
      <c r="AE942" s="23"/>
      <c r="AF942" s="20"/>
      <c r="AG942" s="20"/>
      <c r="AH942" s="22"/>
      <c r="AI942" s="22"/>
      <c r="AJ942" s="22"/>
    </row>
    <row r="943" spans="30:36">
      <c r="AD943" s="22"/>
      <c r="AE943" s="23"/>
      <c r="AF943" s="20"/>
      <c r="AG943" s="20"/>
      <c r="AH943" s="22"/>
      <c r="AI943" s="22"/>
      <c r="AJ943" s="22"/>
    </row>
    <row r="944" spans="30:36">
      <c r="AD944" s="22"/>
      <c r="AE944" s="23"/>
      <c r="AF944" s="20"/>
      <c r="AG944" s="20"/>
      <c r="AH944" s="22"/>
      <c r="AI944" s="22"/>
      <c r="AJ944" s="22"/>
    </row>
    <row r="945" spans="30:36">
      <c r="AD945" s="22"/>
      <c r="AE945" s="23"/>
      <c r="AF945" s="20"/>
      <c r="AG945" s="20"/>
      <c r="AH945" s="22"/>
      <c r="AI945" s="22"/>
      <c r="AJ945" s="22"/>
    </row>
    <row r="946" spans="30:36">
      <c r="AD946" s="22"/>
      <c r="AE946" s="23"/>
      <c r="AF946" s="20"/>
      <c r="AG946" s="20"/>
      <c r="AH946" s="22"/>
      <c r="AI946" s="22"/>
      <c r="AJ946" s="22"/>
    </row>
    <row r="947" spans="30:36">
      <c r="AD947" s="22"/>
      <c r="AE947" s="23"/>
      <c r="AF947" s="20"/>
      <c r="AG947" s="20"/>
      <c r="AH947" s="22"/>
      <c r="AI947" s="22"/>
      <c r="AJ947" s="22"/>
    </row>
    <row r="948" spans="30:36">
      <c r="AD948" s="22"/>
      <c r="AE948" s="23"/>
      <c r="AF948" s="20"/>
      <c r="AG948" s="20"/>
      <c r="AH948" s="22"/>
      <c r="AI948" s="22"/>
      <c r="AJ948" s="22"/>
    </row>
    <row r="949" spans="30:36">
      <c r="AD949" s="22"/>
      <c r="AE949" s="23"/>
      <c r="AF949" s="20"/>
      <c r="AG949" s="20"/>
      <c r="AH949" s="22"/>
      <c r="AI949" s="22"/>
      <c r="AJ949" s="22"/>
    </row>
    <row r="950" spans="30:36">
      <c r="AD950" s="22"/>
      <c r="AE950" s="23"/>
      <c r="AF950" s="20"/>
      <c r="AG950" s="20"/>
      <c r="AH950" s="22"/>
      <c r="AI950" s="22"/>
      <c r="AJ950" s="22"/>
    </row>
    <row r="951" spans="30:36">
      <c r="AD951" s="22"/>
      <c r="AE951" s="23"/>
      <c r="AF951" s="20"/>
      <c r="AG951" s="20"/>
      <c r="AH951" s="22"/>
      <c r="AI951" s="22"/>
      <c r="AJ951" s="22"/>
    </row>
    <row r="952" spans="30:36">
      <c r="AD952" s="22"/>
      <c r="AE952" s="23"/>
      <c r="AF952" s="20"/>
      <c r="AG952" s="20"/>
      <c r="AH952" s="22"/>
      <c r="AI952" s="22"/>
      <c r="AJ952" s="22"/>
    </row>
    <row r="953" spans="30:36">
      <c r="AD953" s="22"/>
      <c r="AE953" s="23"/>
      <c r="AF953" s="20"/>
      <c r="AG953" s="20"/>
      <c r="AH953" s="22"/>
      <c r="AI953" s="22"/>
      <c r="AJ953" s="22"/>
    </row>
    <row r="954" spans="30:36">
      <c r="AD954" s="22"/>
      <c r="AE954" s="23"/>
      <c r="AF954" s="20"/>
      <c r="AG954" s="20"/>
      <c r="AH954" s="22"/>
      <c r="AI954" s="22"/>
      <c r="AJ954" s="22"/>
    </row>
    <row r="955" spans="30:36">
      <c r="AD955" s="22"/>
      <c r="AE955" s="23"/>
      <c r="AF955" s="20"/>
      <c r="AG955" s="20"/>
      <c r="AH955" s="22"/>
      <c r="AI955" s="22"/>
      <c r="AJ955" s="22"/>
    </row>
    <row r="956" spans="30:36">
      <c r="AD956" s="22"/>
      <c r="AE956" s="23"/>
      <c r="AF956" s="20"/>
      <c r="AG956" s="20"/>
      <c r="AH956" s="22"/>
      <c r="AI956" s="22"/>
      <c r="AJ956" s="22"/>
    </row>
    <row r="957" spans="30:36">
      <c r="AD957" s="22"/>
      <c r="AE957" s="23"/>
      <c r="AF957" s="20"/>
      <c r="AG957" s="20"/>
      <c r="AH957" s="22"/>
      <c r="AI957" s="22"/>
      <c r="AJ957" s="22"/>
    </row>
    <row r="958" spans="30:36">
      <c r="AD958" s="22"/>
      <c r="AE958" s="23"/>
      <c r="AF958" s="20"/>
      <c r="AG958" s="20"/>
      <c r="AH958" s="22"/>
      <c r="AI958" s="22"/>
      <c r="AJ958" s="22"/>
    </row>
    <row r="959" spans="30:36">
      <c r="AD959" s="22"/>
      <c r="AE959" s="23"/>
      <c r="AF959" s="20"/>
      <c r="AG959" s="20"/>
      <c r="AH959" s="22"/>
      <c r="AI959" s="22"/>
      <c r="AJ959" s="22"/>
    </row>
    <row r="960" spans="30:36">
      <c r="AD960" s="22"/>
      <c r="AE960" s="23"/>
      <c r="AF960" s="20"/>
      <c r="AG960" s="20"/>
      <c r="AH960" s="22"/>
      <c r="AI960" s="22"/>
      <c r="AJ960" s="22"/>
    </row>
    <row r="961" spans="30:36">
      <c r="AD961" s="22"/>
      <c r="AE961" s="23"/>
      <c r="AF961" s="20"/>
      <c r="AG961" s="20"/>
      <c r="AH961" s="22"/>
      <c r="AI961" s="22"/>
      <c r="AJ961" s="22"/>
    </row>
    <row r="962" spans="30:36">
      <c r="AD962" s="22"/>
      <c r="AE962" s="23"/>
      <c r="AF962" s="20"/>
      <c r="AG962" s="20"/>
      <c r="AH962" s="22"/>
      <c r="AI962" s="22"/>
      <c r="AJ962" s="22"/>
    </row>
    <row r="963" spans="30:36">
      <c r="AD963" s="22"/>
      <c r="AE963" s="23"/>
      <c r="AF963" s="20"/>
      <c r="AG963" s="20"/>
      <c r="AH963" s="22"/>
      <c r="AI963" s="22"/>
      <c r="AJ963" s="22"/>
    </row>
    <row r="964" spans="30:36">
      <c r="AD964" s="22"/>
      <c r="AE964" s="23"/>
      <c r="AF964" s="20"/>
      <c r="AG964" s="20"/>
      <c r="AH964" s="22"/>
      <c r="AI964" s="22"/>
      <c r="AJ964" s="22"/>
    </row>
    <row r="965" spans="30:36">
      <c r="AD965" s="22"/>
      <c r="AE965" s="23"/>
      <c r="AF965" s="20"/>
      <c r="AG965" s="20"/>
      <c r="AH965" s="22"/>
      <c r="AI965" s="22"/>
      <c r="AJ965" s="22"/>
    </row>
    <row r="966" spans="30:36">
      <c r="AD966" s="22"/>
      <c r="AE966" s="23"/>
      <c r="AF966" s="20"/>
      <c r="AG966" s="20"/>
      <c r="AH966" s="22"/>
      <c r="AI966" s="22"/>
      <c r="AJ966" s="22"/>
    </row>
    <row r="967" spans="30:36">
      <c r="AD967" s="22"/>
      <c r="AE967" s="23"/>
      <c r="AF967" s="20"/>
      <c r="AG967" s="20"/>
      <c r="AH967" s="22"/>
      <c r="AI967" s="22"/>
      <c r="AJ967" s="22"/>
    </row>
    <row r="968" spans="30:36">
      <c r="AD968" s="22"/>
      <c r="AE968" s="23"/>
      <c r="AF968" s="20"/>
      <c r="AG968" s="20"/>
      <c r="AH968" s="22"/>
      <c r="AI968" s="22"/>
      <c r="AJ968" s="22"/>
    </row>
    <row r="969" spans="30:36">
      <c r="AD969" s="22"/>
      <c r="AE969" s="23"/>
      <c r="AF969" s="20"/>
      <c r="AG969" s="20"/>
      <c r="AH969" s="22"/>
      <c r="AI969" s="22"/>
      <c r="AJ969" s="22"/>
    </row>
    <row r="970" spans="30:36">
      <c r="AD970" s="22"/>
      <c r="AE970" s="23"/>
      <c r="AF970" s="20"/>
      <c r="AG970" s="20"/>
      <c r="AH970" s="22"/>
      <c r="AI970" s="22"/>
      <c r="AJ970" s="22"/>
    </row>
    <row r="971" spans="30:36">
      <c r="AD971" s="22"/>
      <c r="AE971" s="23"/>
      <c r="AF971" s="20"/>
      <c r="AG971" s="20"/>
      <c r="AH971" s="22"/>
      <c r="AI971" s="22"/>
      <c r="AJ971" s="22"/>
    </row>
    <row r="972" spans="30:36">
      <c r="AD972" s="22"/>
      <c r="AE972" s="23"/>
      <c r="AF972" s="20"/>
      <c r="AG972" s="20"/>
      <c r="AH972" s="22"/>
      <c r="AI972" s="22"/>
      <c r="AJ972" s="22"/>
    </row>
    <row r="973" spans="30:36">
      <c r="AD973" s="22"/>
      <c r="AE973" s="23"/>
      <c r="AF973" s="20"/>
      <c r="AG973" s="20"/>
      <c r="AH973" s="22"/>
      <c r="AI973" s="22"/>
      <c r="AJ973" s="22"/>
    </row>
    <row r="974" spans="30:36">
      <c r="AD974" s="22"/>
      <c r="AE974" s="23"/>
      <c r="AF974" s="20"/>
      <c r="AG974" s="20"/>
      <c r="AH974" s="22"/>
      <c r="AI974" s="22"/>
      <c r="AJ974" s="22"/>
    </row>
    <row r="975" spans="30:36">
      <c r="AD975" s="22"/>
      <c r="AE975" s="23"/>
      <c r="AF975" s="20"/>
      <c r="AG975" s="20"/>
      <c r="AH975" s="22"/>
      <c r="AI975" s="22"/>
      <c r="AJ975" s="22"/>
    </row>
    <row r="976" spans="30:36">
      <c r="AD976" s="22"/>
      <c r="AE976" s="23"/>
      <c r="AF976" s="20"/>
      <c r="AG976" s="20"/>
      <c r="AH976" s="22"/>
      <c r="AI976" s="22"/>
      <c r="AJ976" s="22"/>
    </row>
    <row r="977" spans="30:36">
      <c r="AD977" s="22"/>
      <c r="AE977" s="23"/>
      <c r="AF977" s="20"/>
      <c r="AG977" s="20"/>
      <c r="AH977" s="22"/>
      <c r="AI977" s="22"/>
      <c r="AJ977" s="22"/>
    </row>
    <row r="978" spans="30:36">
      <c r="AD978" s="22"/>
      <c r="AE978" s="23"/>
      <c r="AF978" s="20"/>
      <c r="AG978" s="20"/>
      <c r="AH978" s="22"/>
      <c r="AI978" s="22"/>
      <c r="AJ978" s="22"/>
    </row>
    <row r="979" spans="30:36">
      <c r="AD979" s="22"/>
      <c r="AE979" s="23"/>
      <c r="AF979" s="20"/>
      <c r="AG979" s="20"/>
      <c r="AH979" s="22"/>
      <c r="AI979" s="22"/>
      <c r="AJ979" s="22"/>
    </row>
    <row r="980" spans="30:36">
      <c r="AD980" s="22"/>
      <c r="AE980" s="23"/>
      <c r="AF980" s="20"/>
      <c r="AG980" s="20"/>
      <c r="AH980" s="22"/>
      <c r="AI980" s="22"/>
      <c r="AJ980" s="22"/>
    </row>
    <row r="981" spans="30:36">
      <c r="AD981" s="22"/>
      <c r="AE981" s="23"/>
      <c r="AF981" s="20"/>
      <c r="AG981" s="20"/>
      <c r="AH981" s="22"/>
      <c r="AI981" s="22"/>
      <c r="AJ981" s="22"/>
    </row>
    <row r="982" spans="30:36">
      <c r="AD982" s="22"/>
      <c r="AE982" s="23"/>
      <c r="AF982" s="20"/>
      <c r="AG982" s="20"/>
      <c r="AH982" s="22"/>
      <c r="AI982" s="22"/>
      <c r="AJ982" s="22"/>
    </row>
    <row r="983" spans="30:36">
      <c r="AD983" s="22"/>
      <c r="AE983" s="23"/>
      <c r="AF983" s="20"/>
      <c r="AG983" s="20"/>
      <c r="AH983" s="22"/>
      <c r="AI983" s="22"/>
      <c r="AJ983" s="22"/>
    </row>
    <row r="984" spans="30:36">
      <c r="AD984" s="22"/>
      <c r="AE984" s="23"/>
      <c r="AF984" s="20"/>
      <c r="AG984" s="20"/>
      <c r="AH984" s="22"/>
      <c r="AI984" s="22"/>
      <c r="AJ984" s="22"/>
    </row>
    <row r="985" spans="30:36">
      <c r="AD985" s="22"/>
      <c r="AE985" s="23"/>
      <c r="AF985" s="20"/>
      <c r="AG985" s="20"/>
      <c r="AH985" s="22"/>
      <c r="AI985" s="22"/>
      <c r="AJ985" s="22"/>
    </row>
    <row r="986" spans="30:36">
      <c r="AD986" s="22"/>
      <c r="AE986" s="23"/>
      <c r="AF986" s="20"/>
      <c r="AG986" s="20"/>
      <c r="AH986" s="22"/>
      <c r="AI986" s="22"/>
      <c r="AJ986" s="22"/>
    </row>
    <row r="987" spans="30:36">
      <c r="AD987" s="22"/>
      <c r="AE987" s="23"/>
      <c r="AF987" s="20"/>
      <c r="AG987" s="20"/>
      <c r="AH987" s="22"/>
      <c r="AI987" s="22"/>
      <c r="AJ987" s="22"/>
    </row>
    <row r="988" spans="30:36">
      <c r="AD988" s="22"/>
      <c r="AE988" s="23"/>
      <c r="AF988" s="20"/>
      <c r="AG988" s="20"/>
      <c r="AH988" s="22"/>
      <c r="AI988" s="22"/>
      <c r="AJ988" s="22"/>
    </row>
    <row r="989" spans="30:36">
      <c r="AD989" s="22"/>
      <c r="AE989" s="23"/>
      <c r="AF989" s="20"/>
      <c r="AG989" s="20"/>
      <c r="AH989" s="22"/>
      <c r="AI989" s="22"/>
      <c r="AJ989" s="22"/>
    </row>
    <row r="990" spans="30:36">
      <c r="AD990" s="22"/>
      <c r="AE990" s="23"/>
      <c r="AF990" s="20"/>
      <c r="AG990" s="20"/>
      <c r="AH990" s="22"/>
      <c r="AI990" s="22"/>
      <c r="AJ990" s="22"/>
    </row>
    <row r="991" spans="30:36">
      <c r="AD991" s="22"/>
      <c r="AE991" s="23"/>
      <c r="AF991" s="20"/>
      <c r="AG991" s="20"/>
      <c r="AH991" s="22"/>
      <c r="AI991" s="22"/>
      <c r="AJ991" s="22"/>
    </row>
    <row r="992" spans="30:36">
      <c r="AD992" s="22"/>
      <c r="AE992" s="23"/>
      <c r="AF992" s="20"/>
      <c r="AG992" s="20"/>
      <c r="AH992" s="22"/>
      <c r="AI992" s="22"/>
      <c r="AJ992" s="22"/>
    </row>
    <row r="993" spans="30:36">
      <c r="AD993" s="22"/>
      <c r="AE993" s="23"/>
      <c r="AF993" s="20"/>
      <c r="AG993" s="20"/>
      <c r="AH993" s="22"/>
      <c r="AI993" s="22"/>
      <c r="AJ993" s="22"/>
    </row>
    <row r="994" spans="30:36">
      <c r="AD994" s="22"/>
      <c r="AE994" s="23"/>
      <c r="AF994" s="20"/>
      <c r="AG994" s="20"/>
      <c r="AH994" s="22"/>
      <c r="AI994" s="22"/>
      <c r="AJ994" s="22"/>
    </row>
    <row r="995" spans="30:36">
      <c r="AD995" s="22"/>
      <c r="AE995" s="23"/>
      <c r="AF995" s="20"/>
      <c r="AG995" s="20"/>
      <c r="AH995" s="22"/>
      <c r="AI995" s="22"/>
      <c r="AJ995" s="22"/>
    </row>
    <row r="996" spans="30:36">
      <c r="AD996" s="22"/>
      <c r="AE996" s="23"/>
      <c r="AF996" s="20"/>
      <c r="AG996" s="20"/>
      <c r="AH996" s="22"/>
      <c r="AI996" s="22"/>
      <c r="AJ996" s="22"/>
    </row>
    <row r="997" spans="30:36">
      <c r="AD997" s="22"/>
      <c r="AE997" s="23"/>
      <c r="AF997" s="20"/>
      <c r="AG997" s="20"/>
      <c r="AH997" s="22"/>
      <c r="AI997" s="22"/>
      <c r="AJ997" s="22"/>
    </row>
    <row r="998" spans="30:36">
      <c r="AD998" s="22"/>
      <c r="AE998" s="23"/>
      <c r="AF998" s="20"/>
      <c r="AG998" s="20"/>
      <c r="AH998" s="22"/>
      <c r="AI998" s="22"/>
      <c r="AJ998" s="22"/>
    </row>
    <row r="999" spans="30:36">
      <c r="AD999" s="22"/>
      <c r="AE999" s="23"/>
      <c r="AF999" s="20"/>
      <c r="AG999" s="20"/>
      <c r="AH999" s="22"/>
      <c r="AI999" s="22"/>
      <c r="AJ999" s="22"/>
    </row>
    <row r="1000" spans="30:36">
      <c r="AD1000" s="22"/>
      <c r="AE1000" s="23"/>
      <c r="AF1000" s="20"/>
      <c r="AG1000" s="20"/>
      <c r="AH1000" s="22"/>
      <c r="AI1000" s="22"/>
      <c r="AJ1000" s="22"/>
    </row>
    <row r="1001" spans="30:36">
      <c r="AD1001" s="22"/>
      <c r="AE1001" s="23"/>
      <c r="AF1001" s="20"/>
      <c r="AG1001" s="20"/>
      <c r="AH1001" s="22"/>
      <c r="AI1001" s="22"/>
      <c r="AJ1001" s="22"/>
    </row>
    <row r="1002" spans="30:36">
      <c r="AD1002" s="22"/>
      <c r="AE1002" s="23"/>
      <c r="AF1002" s="20"/>
      <c r="AG1002" s="20"/>
      <c r="AH1002" s="22"/>
      <c r="AI1002" s="22"/>
      <c r="AJ1002" s="22"/>
    </row>
    <row r="1003" spans="30:36">
      <c r="AD1003" s="22"/>
      <c r="AE1003" s="23"/>
      <c r="AF1003" s="20"/>
      <c r="AG1003" s="20"/>
      <c r="AH1003" s="22"/>
      <c r="AI1003" s="22"/>
      <c r="AJ1003" s="22"/>
    </row>
    <row r="1004" spans="30:36">
      <c r="AD1004" s="22"/>
      <c r="AE1004" s="23"/>
      <c r="AF1004" s="20"/>
      <c r="AG1004" s="20"/>
      <c r="AH1004" s="22"/>
      <c r="AI1004" s="22"/>
      <c r="AJ1004" s="22"/>
    </row>
    <row r="1005" spans="30:36">
      <c r="AD1005" s="22"/>
      <c r="AE1005" s="23"/>
      <c r="AF1005" s="20"/>
      <c r="AG1005" s="20"/>
      <c r="AH1005" s="22"/>
      <c r="AI1005" s="22"/>
      <c r="AJ1005" s="22"/>
    </row>
    <row r="1006" spans="30:36">
      <c r="AD1006" s="22"/>
      <c r="AE1006" s="23"/>
      <c r="AF1006" s="20"/>
      <c r="AG1006" s="20"/>
      <c r="AH1006" s="22"/>
      <c r="AI1006" s="22"/>
      <c r="AJ1006" s="22"/>
    </row>
    <row r="1007" spans="30:36">
      <c r="AD1007" s="22"/>
      <c r="AE1007" s="23"/>
      <c r="AF1007" s="20"/>
      <c r="AG1007" s="20"/>
      <c r="AH1007" s="22"/>
      <c r="AI1007" s="22"/>
      <c r="AJ1007" s="22"/>
    </row>
    <row r="1008" spans="30:36">
      <c r="AD1008" s="22"/>
      <c r="AE1008" s="23"/>
      <c r="AF1008" s="20"/>
      <c r="AG1008" s="20"/>
      <c r="AH1008" s="22"/>
      <c r="AI1008" s="22"/>
      <c r="AJ1008" s="22"/>
    </row>
    <row r="1009" spans="30:36">
      <c r="AD1009" s="22"/>
      <c r="AE1009" s="23"/>
      <c r="AF1009" s="20"/>
      <c r="AG1009" s="20"/>
      <c r="AH1009" s="22"/>
      <c r="AI1009" s="22"/>
      <c r="AJ1009" s="22"/>
    </row>
    <row r="1010" spans="30:36">
      <c r="AD1010" s="22"/>
      <c r="AE1010" s="23"/>
      <c r="AF1010" s="20"/>
      <c r="AG1010" s="20"/>
      <c r="AH1010" s="22"/>
      <c r="AI1010" s="22"/>
      <c r="AJ1010" s="22"/>
    </row>
    <row r="1011" spans="30:36">
      <c r="AD1011" s="22"/>
      <c r="AE1011" s="23"/>
      <c r="AF1011" s="20"/>
      <c r="AG1011" s="20"/>
      <c r="AH1011" s="22"/>
      <c r="AI1011" s="22"/>
      <c r="AJ1011" s="22"/>
    </row>
    <row r="1012" spans="30:36">
      <c r="AD1012" s="22"/>
      <c r="AE1012" s="23"/>
      <c r="AF1012" s="20"/>
      <c r="AG1012" s="20"/>
      <c r="AH1012" s="22"/>
      <c r="AI1012" s="22"/>
      <c r="AJ1012" s="22"/>
    </row>
    <row r="1013" spans="30:36">
      <c r="AD1013" s="22"/>
      <c r="AE1013" s="23"/>
      <c r="AF1013" s="20"/>
      <c r="AG1013" s="20"/>
      <c r="AH1013" s="22"/>
      <c r="AI1013" s="22"/>
      <c r="AJ1013" s="22"/>
    </row>
    <row r="1014" spans="30:36">
      <c r="AD1014" s="22"/>
      <c r="AE1014" s="23"/>
      <c r="AF1014" s="20"/>
      <c r="AG1014" s="20"/>
      <c r="AH1014" s="22"/>
      <c r="AI1014" s="22"/>
      <c r="AJ1014" s="22"/>
    </row>
    <row r="1015" spans="30:36">
      <c r="AD1015" s="22"/>
      <c r="AE1015" s="23"/>
      <c r="AF1015" s="20"/>
      <c r="AG1015" s="20"/>
      <c r="AH1015" s="22"/>
      <c r="AI1015" s="22"/>
      <c r="AJ1015" s="22"/>
    </row>
    <row r="1016" spans="30:36">
      <c r="AD1016" s="22"/>
      <c r="AE1016" s="23"/>
      <c r="AF1016" s="20"/>
      <c r="AG1016" s="20"/>
      <c r="AH1016" s="22"/>
      <c r="AI1016" s="22"/>
      <c r="AJ1016" s="22"/>
    </row>
    <row r="1017" spans="30:36">
      <c r="AD1017" s="22"/>
      <c r="AE1017" s="23"/>
      <c r="AF1017" s="20"/>
      <c r="AG1017" s="20"/>
      <c r="AH1017" s="22"/>
      <c r="AI1017" s="22"/>
      <c r="AJ1017" s="22"/>
    </row>
    <row r="1018" spans="30:36">
      <c r="AD1018" s="22"/>
      <c r="AE1018" s="23"/>
      <c r="AF1018" s="20"/>
      <c r="AG1018" s="20"/>
      <c r="AH1018" s="22"/>
      <c r="AI1018" s="22"/>
      <c r="AJ1018" s="22"/>
    </row>
    <row r="1019" spans="30:36">
      <c r="AD1019" s="22"/>
      <c r="AE1019" s="23"/>
      <c r="AF1019" s="20"/>
      <c r="AG1019" s="20"/>
      <c r="AH1019" s="22"/>
      <c r="AI1019" s="22"/>
      <c r="AJ1019" s="22"/>
    </row>
    <row r="1020" spans="30:36">
      <c r="AD1020" s="22"/>
      <c r="AE1020" s="23"/>
      <c r="AF1020" s="20"/>
      <c r="AG1020" s="20"/>
      <c r="AH1020" s="22"/>
      <c r="AI1020" s="22"/>
      <c r="AJ1020" s="22"/>
    </row>
    <row r="1021" spans="30:36">
      <c r="AD1021" s="22"/>
      <c r="AE1021" s="23"/>
      <c r="AF1021" s="20"/>
      <c r="AG1021" s="20"/>
      <c r="AH1021" s="22"/>
      <c r="AI1021" s="22"/>
      <c r="AJ1021" s="22"/>
    </row>
    <row r="1022" spans="30:36">
      <c r="AD1022" s="22"/>
      <c r="AE1022" s="23"/>
      <c r="AF1022" s="20"/>
      <c r="AG1022" s="20"/>
      <c r="AH1022" s="22"/>
      <c r="AI1022" s="22"/>
      <c r="AJ1022" s="22"/>
    </row>
    <row r="1023" spans="30:36">
      <c r="AD1023" s="22"/>
      <c r="AE1023" s="23"/>
      <c r="AF1023" s="20"/>
      <c r="AG1023" s="20"/>
      <c r="AH1023" s="22"/>
      <c r="AI1023" s="22"/>
      <c r="AJ1023" s="22"/>
    </row>
    <row r="1024" spans="30:36">
      <c r="AD1024" s="22"/>
      <c r="AE1024" s="23"/>
      <c r="AF1024" s="20"/>
      <c r="AG1024" s="20"/>
      <c r="AH1024" s="22"/>
      <c r="AI1024" s="22"/>
      <c r="AJ1024" s="22"/>
    </row>
    <row r="1025" spans="30:36">
      <c r="AD1025" s="22"/>
      <c r="AE1025" s="23"/>
      <c r="AF1025" s="20"/>
      <c r="AG1025" s="20"/>
      <c r="AH1025" s="22"/>
      <c r="AI1025" s="22"/>
      <c r="AJ1025" s="22"/>
    </row>
    <row r="1026" spans="30:36">
      <c r="AD1026" s="22"/>
      <c r="AE1026" s="23"/>
      <c r="AF1026" s="20"/>
      <c r="AG1026" s="20"/>
      <c r="AH1026" s="22"/>
      <c r="AI1026" s="22"/>
      <c r="AJ1026" s="22"/>
    </row>
    <row r="1027" spans="30:36">
      <c r="AD1027" s="22"/>
      <c r="AE1027" s="23"/>
      <c r="AF1027" s="20"/>
      <c r="AG1027" s="20"/>
      <c r="AH1027" s="22"/>
      <c r="AI1027" s="22"/>
      <c r="AJ1027" s="22"/>
    </row>
    <row r="1028" spans="30:36">
      <c r="AD1028" s="22"/>
      <c r="AE1028" s="23"/>
      <c r="AF1028" s="20"/>
      <c r="AG1028" s="20"/>
      <c r="AH1028" s="22"/>
      <c r="AI1028" s="22"/>
      <c r="AJ1028" s="22"/>
    </row>
    <row r="1029" spans="30:36">
      <c r="AD1029" s="22"/>
      <c r="AE1029" s="23"/>
      <c r="AF1029" s="20"/>
      <c r="AG1029" s="20"/>
      <c r="AH1029" s="22"/>
      <c r="AI1029" s="22"/>
      <c r="AJ1029" s="22"/>
    </row>
    <row r="1030" spans="30:36">
      <c r="AD1030" s="22"/>
      <c r="AE1030" s="23"/>
      <c r="AF1030" s="20"/>
      <c r="AG1030" s="20"/>
      <c r="AH1030" s="22"/>
      <c r="AI1030" s="22"/>
      <c r="AJ1030" s="22"/>
    </row>
    <row r="1031" spans="30:36">
      <c r="AD1031" s="22"/>
      <c r="AE1031" s="23"/>
      <c r="AF1031" s="20"/>
      <c r="AG1031" s="20"/>
      <c r="AH1031" s="22"/>
      <c r="AI1031" s="22"/>
      <c r="AJ1031" s="22"/>
    </row>
    <row r="1032" spans="30:36">
      <c r="AD1032" s="22"/>
      <c r="AE1032" s="23"/>
      <c r="AF1032" s="20"/>
      <c r="AG1032" s="20"/>
      <c r="AH1032" s="22"/>
      <c r="AI1032" s="22"/>
      <c r="AJ1032" s="22"/>
    </row>
    <row r="1033" spans="30:36">
      <c r="AD1033" s="22"/>
      <c r="AE1033" s="23"/>
      <c r="AF1033" s="20"/>
      <c r="AG1033" s="20"/>
      <c r="AH1033" s="22"/>
      <c r="AI1033" s="22"/>
      <c r="AJ1033" s="22"/>
    </row>
    <row r="1034" spans="30:36">
      <c r="AD1034" s="22"/>
      <c r="AE1034" s="23"/>
      <c r="AF1034" s="20"/>
      <c r="AG1034" s="20"/>
      <c r="AH1034" s="22"/>
      <c r="AI1034" s="22"/>
      <c r="AJ1034" s="22"/>
    </row>
    <row r="1035" spans="30:36">
      <c r="AD1035" s="22"/>
      <c r="AE1035" s="23"/>
      <c r="AF1035" s="20"/>
      <c r="AG1035" s="20"/>
      <c r="AH1035" s="22"/>
      <c r="AI1035" s="22"/>
      <c r="AJ1035" s="22"/>
    </row>
    <row r="1036" spans="30:36">
      <c r="AD1036" s="22"/>
      <c r="AE1036" s="23"/>
      <c r="AF1036" s="20"/>
      <c r="AG1036" s="20"/>
      <c r="AH1036" s="22"/>
      <c r="AI1036" s="22"/>
      <c r="AJ1036" s="22"/>
    </row>
    <row r="1037" spans="30:36">
      <c r="AD1037" s="22"/>
      <c r="AE1037" s="23"/>
      <c r="AF1037" s="20"/>
      <c r="AG1037" s="20"/>
      <c r="AH1037" s="22"/>
      <c r="AI1037" s="22"/>
      <c r="AJ1037" s="22"/>
    </row>
    <row r="1038" spans="30:36">
      <c r="AD1038" s="22"/>
      <c r="AE1038" s="23"/>
      <c r="AF1038" s="20"/>
      <c r="AG1038" s="20"/>
      <c r="AH1038" s="22"/>
      <c r="AI1038" s="22"/>
      <c r="AJ1038" s="22"/>
    </row>
    <row r="1039" spans="30:36">
      <c r="AD1039" s="22"/>
      <c r="AE1039" s="23"/>
      <c r="AF1039" s="20"/>
      <c r="AG1039" s="20"/>
      <c r="AH1039" s="22"/>
      <c r="AI1039" s="22"/>
      <c r="AJ1039" s="22"/>
    </row>
    <row r="1040" spans="30:36">
      <c r="AD1040" s="22"/>
      <c r="AE1040" s="23"/>
      <c r="AF1040" s="20"/>
      <c r="AG1040" s="20"/>
      <c r="AH1040" s="22"/>
      <c r="AI1040" s="22"/>
      <c r="AJ1040" s="22"/>
    </row>
    <row r="1041" spans="30:36">
      <c r="AD1041" s="22"/>
      <c r="AE1041" s="23"/>
      <c r="AF1041" s="20"/>
      <c r="AG1041" s="20"/>
      <c r="AH1041" s="22"/>
      <c r="AI1041" s="22"/>
      <c r="AJ1041" s="22"/>
    </row>
    <row r="1042" spans="30:36">
      <c r="AD1042" s="22"/>
      <c r="AE1042" s="23"/>
      <c r="AF1042" s="20"/>
      <c r="AG1042" s="20"/>
      <c r="AH1042" s="22"/>
      <c r="AI1042" s="22"/>
      <c r="AJ1042" s="22"/>
    </row>
    <row r="1043" spans="30:36">
      <c r="AD1043" s="22"/>
      <c r="AE1043" s="23"/>
      <c r="AF1043" s="20"/>
      <c r="AG1043" s="20"/>
      <c r="AH1043" s="22"/>
      <c r="AI1043" s="22"/>
      <c r="AJ1043" s="22"/>
    </row>
    <row r="1044" spans="30:36">
      <c r="AD1044" s="22"/>
      <c r="AE1044" s="23"/>
      <c r="AF1044" s="20"/>
      <c r="AG1044" s="20"/>
      <c r="AH1044" s="22"/>
      <c r="AI1044" s="22"/>
      <c r="AJ1044" s="22"/>
    </row>
    <row r="1045" spans="30:36">
      <c r="AD1045" s="22"/>
      <c r="AE1045" s="23"/>
      <c r="AF1045" s="20"/>
      <c r="AG1045" s="20"/>
      <c r="AH1045" s="22"/>
      <c r="AI1045" s="22"/>
      <c r="AJ1045" s="22"/>
    </row>
    <row r="1046" spans="30:36">
      <c r="AD1046" s="22"/>
      <c r="AE1046" s="23"/>
      <c r="AF1046" s="20"/>
      <c r="AG1046" s="20"/>
      <c r="AH1046" s="22"/>
      <c r="AI1046" s="22"/>
      <c r="AJ1046" s="22"/>
    </row>
    <row r="1047" spans="30:36">
      <c r="AD1047" s="22"/>
      <c r="AE1047" s="23"/>
      <c r="AF1047" s="20"/>
      <c r="AG1047" s="20"/>
      <c r="AH1047" s="22"/>
      <c r="AI1047" s="22"/>
      <c r="AJ1047" s="22"/>
    </row>
    <row r="1048" spans="30:36">
      <c r="AD1048" s="22"/>
      <c r="AE1048" s="23"/>
      <c r="AF1048" s="20"/>
      <c r="AG1048" s="20"/>
      <c r="AH1048" s="22"/>
      <c r="AI1048" s="22"/>
      <c r="AJ1048" s="22"/>
    </row>
    <row r="1049" spans="30:36">
      <c r="AD1049" s="22"/>
      <c r="AE1049" s="23"/>
      <c r="AF1049" s="20"/>
      <c r="AG1049" s="20"/>
      <c r="AH1049" s="22"/>
      <c r="AI1049" s="22"/>
      <c r="AJ1049" s="22"/>
    </row>
    <row r="1050" spans="30:36">
      <c r="AD1050" s="22"/>
      <c r="AE1050" s="23"/>
      <c r="AF1050" s="20"/>
      <c r="AG1050" s="20"/>
      <c r="AH1050" s="22"/>
      <c r="AI1050" s="22"/>
      <c r="AJ1050" s="22"/>
    </row>
    <row r="1051" spans="30:36">
      <c r="AD1051" s="22"/>
      <c r="AE1051" s="23"/>
      <c r="AF1051" s="20"/>
      <c r="AG1051" s="20"/>
      <c r="AH1051" s="22"/>
      <c r="AI1051" s="22"/>
      <c r="AJ1051" s="22"/>
    </row>
    <row r="1052" spans="30:36">
      <c r="AD1052" s="22"/>
      <c r="AE1052" s="23"/>
      <c r="AF1052" s="20"/>
      <c r="AG1052" s="20"/>
      <c r="AH1052" s="22"/>
      <c r="AI1052" s="22"/>
      <c r="AJ1052" s="22"/>
    </row>
    <row r="1053" spans="30:36">
      <c r="AD1053" s="22"/>
      <c r="AE1053" s="23"/>
      <c r="AF1053" s="20"/>
      <c r="AG1053" s="20"/>
      <c r="AH1053" s="22"/>
      <c r="AI1053" s="22"/>
      <c r="AJ1053" s="22"/>
    </row>
    <row r="1054" spans="30:36">
      <c r="AD1054" s="22"/>
      <c r="AE1054" s="23"/>
      <c r="AF1054" s="20"/>
      <c r="AG1054" s="20"/>
      <c r="AH1054" s="22"/>
      <c r="AI1054" s="22"/>
      <c r="AJ1054" s="22"/>
    </row>
    <row r="1055" spans="30:36">
      <c r="AD1055" s="22"/>
      <c r="AE1055" s="23"/>
      <c r="AF1055" s="20"/>
      <c r="AG1055" s="20"/>
      <c r="AH1055" s="22"/>
      <c r="AI1055" s="22"/>
      <c r="AJ1055" s="22"/>
    </row>
    <row r="1056" spans="30:36">
      <c r="AD1056" s="22"/>
      <c r="AE1056" s="23"/>
      <c r="AF1056" s="20"/>
      <c r="AG1056" s="20"/>
      <c r="AH1056" s="22"/>
      <c r="AI1056" s="22"/>
      <c r="AJ1056" s="22"/>
    </row>
    <row r="1057" spans="30:36">
      <c r="AD1057" s="22"/>
      <c r="AE1057" s="23"/>
      <c r="AF1057" s="20"/>
      <c r="AG1057" s="20"/>
      <c r="AH1057" s="22"/>
      <c r="AI1057" s="22"/>
      <c r="AJ1057" s="22"/>
    </row>
    <row r="1058" spans="30:36">
      <c r="AD1058" s="22"/>
      <c r="AE1058" s="23"/>
      <c r="AF1058" s="20"/>
      <c r="AG1058" s="20"/>
      <c r="AH1058" s="22"/>
      <c r="AI1058" s="22"/>
      <c r="AJ1058" s="22"/>
    </row>
    <row r="1059" spans="30:36">
      <c r="AD1059" s="22"/>
      <c r="AE1059" s="23"/>
      <c r="AF1059" s="20"/>
      <c r="AG1059" s="20"/>
      <c r="AH1059" s="22"/>
      <c r="AI1059" s="22"/>
      <c r="AJ1059" s="22"/>
    </row>
    <row r="1060" spans="30:36">
      <c r="AD1060" s="22"/>
      <c r="AE1060" s="23"/>
      <c r="AF1060" s="20"/>
      <c r="AG1060" s="20"/>
      <c r="AH1060" s="22"/>
      <c r="AI1060" s="22"/>
      <c r="AJ1060" s="22"/>
    </row>
    <row r="1061" spans="30:36">
      <c r="AD1061" s="22"/>
      <c r="AE1061" s="23"/>
      <c r="AF1061" s="20"/>
      <c r="AG1061" s="20"/>
      <c r="AH1061" s="22"/>
      <c r="AI1061" s="22"/>
      <c r="AJ1061" s="22"/>
    </row>
    <row r="1062" spans="30:36">
      <c r="AD1062" s="22"/>
      <c r="AE1062" s="23"/>
      <c r="AF1062" s="20"/>
      <c r="AG1062" s="20"/>
      <c r="AH1062" s="22"/>
      <c r="AI1062" s="22"/>
      <c r="AJ1062" s="22"/>
    </row>
    <row r="1063" spans="30:36">
      <c r="AD1063" s="22"/>
      <c r="AE1063" s="23"/>
      <c r="AF1063" s="20"/>
      <c r="AG1063" s="20"/>
      <c r="AH1063" s="22"/>
      <c r="AI1063" s="22"/>
      <c r="AJ1063" s="22"/>
    </row>
    <row r="1064" spans="30:36">
      <c r="AD1064" s="22"/>
      <c r="AE1064" s="23"/>
      <c r="AF1064" s="20"/>
      <c r="AG1064" s="20"/>
      <c r="AH1064" s="22"/>
      <c r="AI1064" s="22"/>
      <c r="AJ1064" s="22"/>
    </row>
    <row r="1065" spans="30:36">
      <c r="AD1065" s="22"/>
      <c r="AE1065" s="23"/>
      <c r="AF1065" s="20"/>
      <c r="AG1065" s="20"/>
      <c r="AH1065" s="22"/>
      <c r="AI1065" s="22"/>
      <c r="AJ1065" s="22"/>
    </row>
    <row r="1066" spans="30:36">
      <c r="AD1066" s="22"/>
      <c r="AE1066" s="23"/>
      <c r="AF1066" s="20"/>
      <c r="AG1066" s="20"/>
      <c r="AH1066" s="22"/>
      <c r="AI1066" s="22"/>
      <c r="AJ1066" s="22"/>
    </row>
    <row r="1067" spans="30:36">
      <c r="AD1067" s="22"/>
      <c r="AE1067" s="23"/>
      <c r="AF1067" s="20"/>
      <c r="AG1067" s="20"/>
      <c r="AH1067" s="22"/>
      <c r="AI1067" s="22"/>
      <c r="AJ1067" s="22"/>
    </row>
    <row r="1068" spans="30:36">
      <c r="AD1068" s="22"/>
      <c r="AE1068" s="23"/>
      <c r="AF1068" s="20"/>
      <c r="AG1068" s="20"/>
      <c r="AH1068" s="22"/>
      <c r="AI1068" s="22"/>
      <c r="AJ1068" s="22"/>
    </row>
    <row r="1069" spans="30:36">
      <c r="AD1069" s="22"/>
      <c r="AE1069" s="23"/>
      <c r="AF1069" s="20"/>
      <c r="AG1069" s="20"/>
      <c r="AH1069" s="22"/>
      <c r="AI1069" s="22"/>
      <c r="AJ1069" s="22"/>
    </row>
    <row r="1070" spans="30:36">
      <c r="AD1070" s="22"/>
      <c r="AE1070" s="23"/>
      <c r="AF1070" s="20"/>
      <c r="AG1070" s="20"/>
      <c r="AH1070" s="22"/>
      <c r="AI1070" s="22"/>
      <c r="AJ1070" s="22"/>
    </row>
    <row r="1071" spans="30:36">
      <c r="AD1071" s="22"/>
      <c r="AE1071" s="23"/>
      <c r="AF1071" s="20"/>
      <c r="AG1071" s="20"/>
      <c r="AH1071" s="22"/>
      <c r="AI1071" s="22"/>
      <c r="AJ1071" s="22"/>
    </row>
    <row r="1072" spans="30:36">
      <c r="AD1072" s="22"/>
      <c r="AE1072" s="23"/>
      <c r="AF1072" s="20"/>
      <c r="AG1072" s="20"/>
      <c r="AH1072" s="22"/>
      <c r="AI1072" s="22"/>
      <c r="AJ1072" s="22"/>
    </row>
    <row r="1073" spans="30:36">
      <c r="AD1073" s="22"/>
      <c r="AE1073" s="23"/>
      <c r="AF1073" s="20"/>
      <c r="AG1073" s="20"/>
      <c r="AH1073" s="22"/>
      <c r="AI1073" s="22"/>
      <c r="AJ1073" s="22"/>
    </row>
    <row r="1074" spans="30:36">
      <c r="AD1074" s="22"/>
      <c r="AE1074" s="23"/>
      <c r="AF1074" s="20"/>
      <c r="AG1074" s="20"/>
      <c r="AH1074" s="22"/>
      <c r="AI1074" s="22"/>
      <c r="AJ1074" s="22"/>
    </row>
    <row r="1075" spans="30:36">
      <c r="AD1075" s="22"/>
      <c r="AE1075" s="23"/>
      <c r="AF1075" s="20"/>
      <c r="AG1075" s="20"/>
      <c r="AH1075" s="22"/>
      <c r="AI1075" s="22"/>
      <c r="AJ1075" s="22"/>
    </row>
    <row r="1076" spans="30:36">
      <c r="AD1076" s="22"/>
      <c r="AE1076" s="23"/>
      <c r="AF1076" s="20"/>
      <c r="AG1076" s="20"/>
      <c r="AH1076" s="22"/>
      <c r="AI1076" s="22"/>
      <c r="AJ1076" s="22"/>
    </row>
    <row r="1077" spans="30:36">
      <c r="AD1077" s="22"/>
      <c r="AE1077" s="23"/>
      <c r="AF1077" s="20"/>
      <c r="AG1077" s="20"/>
      <c r="AH1077" s="22"/>
      <c r="AI1077" s="22"/>
      <c r="AJ1077" s="22"/>
    </row>
    <row r="1078" spans="30:36">
      <c r="AD1078" s="22"/>
      <c r="AE1078" s="23"/>
      <c r="AF1078" s="20"/>
      <c r="AG1078" s="20"/>
      <c r="AH1078" s="22"/>
      <c r="AI1078" s="22"/>
      <c r="AJ1078" s="22"/>
    </row>
    <row r="1079" spans="30:36">
      <c r="AD1079" s="22"/>
      <c r="AE1079" s="23"/>
      <c r="AF1079" s="20"/>
      <c r="AG1079" s="20"/>
      <c r="AH1079" s="22"/>
      <c r="AI1079" s="22"/>
      <c r="AJ1079" s="22"/>
    </row>
    <row r="1080" spans="30:36">
      <c r="AD1080" s="22"/>
      <c r="AE1080" s="23"/>
      <c r="AF1080" s="20"/>
      <c r="AG1080" s="20"/>
      <c r="AH1080" s="22"/>
      <c r="AI1080" s="22"/>
      <c r="AJ1080" s="22"/>
    </row>
    <row r="1081" spans="30:36">
      <c r="AD1081" s="22"/>
      <c r="AE1081" s="23"/>
      <c r="AF1081" s="20"/>
      <c r="AG1081" s="20"/>
      <c r="AH1081" s="22"/>
      <c r="AI1081" s="22"/>
      <c r="AJ1081" s="22"/>
    </row>
    <row r="1082" spans="30:36">
      <c r="AD1082" s="22"/>
      <c r="AE1082" s="23"/>
      <c r="AF1082" s="20"/>
      <c r="AG1082" s="20"/>
      <c r="AH1082" s="22"/>
      <c r="AI1082" s="22"/>
      <c r="AJ1082" s="22"/>
    </row>
    <row r="1083" spans="30:36">
      <c r="AD1083" s="22"/>
      <c r="AE1083" s="23"/>
      <c r="AF1083" s="20"/>
      <c r="AG1083" s="20"/>
      <c r="AH1083" s="22"/>
      <c r="AI1083" s="22"/>
      <c r="AJ1083" s="22"/>
    </row>
    <row r="1084" spans="30:36">
      <c r="AD1084" s="22"/>
      <c r="AE1084" s="23"/>
      <c r="AF1084" s="20"/>
      <c r="AG1084" s="20"/>
      <c r="AH1084" s="22"/>
      <c r="AI1084" s="22"/>
      <c r="AJ1084" s="22"/>
    </row>
    <row r="1085" spans="30:36">
      <c r="AD1085" s="22"/>
      <c r="AE1085" s="23"/>
      <c r="AF1085" s="20"/>
      <c r="AG1085" s="20"/>
      <c r="AH1085" s="22"/>
      <c r="AI1085" s="22"/>
      <c r="AJ1085" s="22"/>
    </row>
    <row r="1086" spans="30:36">
      <c r="AD1086" s="22"/>
      <c r="AE1086" s="23"/>
      <c r="AF1086" s="20"/>
      <c r="AG1086" s="20"/>
      <c r="AH1086" s="22"/>
      <c r="AI1086" s="22"/>
      <c r="AJ1086" s="22"/>
    </row>
    <row r="1087" spans="30:36">
      <c r="AD1087" s="22"/>
      <c r="AE1087" s="23"/>
      <c r="AF1087" s="20"/>
      <c r="AG1087" s="20"/>
      <c r="AH1087" s="22"/>
      <c r="AI1087" s="22"/>
      <c r="AJ1087" s="22"/>
    </row>
    <row r="1088" spans="30:36">
      <c r="AD1088" s="22"/>
      <c r="AE1088" s="23"/>
      <c r="AF1088" s="20"/>
      <c r="AG1088" s="20"/>
      <c r="AH1088" s="22"/>
      <c r="AI1088" s="22"/>
      <c r="AJ1088" s="22"/>
    </row>
    <row r="1089" spans="30:36">
      <c r="AD1089" s="22"/>
      <c r="AE1089" s="23"/>
      <c r="AF1089" s="20"/>
      <c r="AG1089" s="20"/>
      <c r="AH1089" s="22"/>
      <c r="AI1089" s="22"/>
      <c r="AJ1089" s="22"/>
    </row>
    <row r="1090" spans="30:36">
      <c r="AD1090" s="22"/>
      <c r="AE1090" s="23"/>
      <c r="AF1090" s="20"/>
      <c r="AG1090" s="20"/>
      <c r="AH1090" s="22"/>
      <c r="AI1090" s="22"/>
      <c r="AJ1090" s="22"/>
    </row>
    <row r="1091" spans="30:36">
      <c r="AD1091" s="22"/>
      <c r="AE1091" s="23"/>
      <c r="AF1091" s="20"/>
      <c r="AG1091" s="20"/>
      <c r="AH1091" s="22"/>
      <c r="AI1091" s="22"/>
      <c r="AJ1091" s="22"/>
    </row>
    <row r="1092" spans="30:36">
      <c r="AD1092" s="22"/>
      <c r="AE1092" s="23"/>
      <c r="AF1092" s="20"/>
      <c r="AG1092" s="20"/>
      <c r="AH1092" s="22"/>
      <c r="AI1092" s="22"/>
      <c r="AJ1092" s="22"/>
    </row>
    <row r="1093" spans="30:36">
      <c r="AD1093" s="22"/>
      <c r="AE1093" s="23"/>
      <c r="AF1093" s="20"/>
      <c r="AG1093" s="20"/>
      <c r="AH1093" s="22"/>
      <c r="AI1093" s="22"/>
      <c r="AJ1093" s="22"/>
    </row>
    <row r="1094" spans="30:36">
      <c r="AD1094" s="22"/>
      <c r="AE1094" s="23"/>
      <c r="AF1094" s="20"/>
      <c r="AG1094" s="20"/>
      <c r="AH1094" s="22"/>
      <c r="AI1094" s="22"/>
      <c r="AJ1094" s="22"/>
    </row>
    <row r="1095" spans="30:36">
      <c r="AD1095" s="22"/>
      <c r="AE1095" s="23"/>
      <c r="AF1095" s="20"/>
      <c r="AG1095" s="20"/>
      <c r="AH1095" s="22"/>
      <c r="AI1095" s="22"/>
      <c r="AJ1095" s="22"/>
    </row>
    <row r="1096" spans="30:36">
      <c r="AD1096" s="22"/>
      <c r="AE1096" s="23"/>
      <c r="AF1096" s="20"/>
      <c r="AG1096" s="20"/>
      <c r="AH1096" s="22"/>
      <c r="AI1096" s="22"/>
      <c r="AJ1096" s="22"/>
    </row>
    <row r="1097" spans="30:36">
      <c r="AD1097" s="22"/>
      <c r="AE1097" s="23"/>
      <c r="AF1097" s="20"/>
      <c r="AG1097" s="20"/>
      <c r="AH1097" s="22"/>
      <c r="AI1097" s="22"/>
      <c r="AJ1097" s="22"/>
    </row>
    <row r="1098" spans="30:36">
      <c r="AD1098" s="22"/>
      <c r="AE1098" s="23"/>
      <c r="AF1098" s="20"/>
      <c r="AG1098" s="20"/>
      <c r="AH1098" s="22"/>
      <c r="AI1098" s="22"/>
      <c r="AJ1098" s="22"/>
    </row>
    <row r="1099" spans="30:36">
      <c r="AD1099" s="22"/>
      <c r="AE1099" s="23"/>
      <c r="AF1099" s="20"/>
      <c r="AG1099" s="20"/>
      <c r="AH1099" s="22"/>
      <c r="AI1099" s="22"/>
      <c r="AJ1099" s="22"/>
    </row>
    <row r="1100" spans="30:36">
      <c r="AD1100" s="22"/>
      <c r="AE1100" s="23"/>
      <c r="AF1100" s="20"/>
      <c r="AG1100" s="20"/>
      <c r="AH1100" s="22"/>
      <c r="AI1100" s="22"/>
      <c r="AJ1100" s="22"/>
    </row>
    <row r="1101" spans="30:36">
      <c r="AD1101" s="22"/>
      <c r="AE1101" s="23"/>
      <c r="AF1101" s="20"/>
      <c r="AG1101" s="20"/>
      <c r="AH1101" s="22"/>
      <c r="AI1101" s="22"/>
      <c r="AJ1101" s="22"/>
    </row>
    <row r="1102" spans="30:36">
      <c r="AD1102" s="22"/>
      <c r="AE1102" s="23"/>
      <c r="AF1102" s="20"/>
      <c r="AG1102" s="20"/>
      <c r="AH1102" s="22"/>
      <c r="AI1102" s="22"/>
      <c r="AJ1102" s="22"/>
    </row>
    <row r="1103" spans="30:36">
      <c r="AD1103" s="22"/>
      <c r="AE1103" s="22"/>
      <c r="AF1103" s="22"/>
      <c r="AG1103" s="22"/>
      <c r="AH1103" s="22"/>
      <c r="AI1103" s="22"/>
      <c r="AJ1103" s="22"/>
    </row>
    <row r="1104" spans="30:36">
      <c r="AD1104" s="22"/>
      <c r="AE1104" s="22"/>
      <c r="AF1104" s="22"/>
      <c r="AG1104" s="22"/>
      <c r="AH1104" s="22"/>
      <c r="AI1104" s="22"/>
      <c r="AJ1104" s="22"/>
    </row>
    <row r="1105" spans="30:36">
      <c r="AD1105" s="22"/>
      <c r="AE1105" s="22"/>
      <c r="AF1105" s="22"/>
      <c r="AG1105" s="22"/>
      <c r="AH1105" s="22"/>
      <c r="AI1105" s="22"/>
      <c r="AJ1105" s="22"/>
    </row>
    <row r="1106" spans="30:36">
      <c r="AD1106" s="22"/>
      <c r="AE1106" s="22"/>
      <c r="AF1106" s="22"/>
      <c r="AG1106" s="22"/>
      <c r="AH1106" s="22"/>
      <c r="AI1106" s="22"/>
      <c r="AJ1106" s="22"/>
    </row>
    <row r="1107" spans="30:36">
      <c r="AD1107" s="22"/>
      <c r="AE1107" s="22"/>
      <c r="AF1107" s="22"/>
      <c r="AG1107" s="22"/>
      <c r="AH1107" s="22"/>
      <c r="AI1107" s="22"/>
      <c r="AJ1107" s="22"/>
    </row>
    <row r="1108" spans="30:36">
      <c r="AD1108" s="22"/>
      <c r="AE1108" s="22"/>
      <c r="AF1108" s="22"/>
      <c r="AG1108" s="22"/>
      <c r="AH1108" s="22"/>
      <c r="AI1108" s="22"/>
      <c r="AJ1108" s="22"/>
    </row>
    <row r="1109" spans="30:36">
      <c r="AD1109" s="22"/>
      <c r="AE1109" s="22"/>
      <c r="AF1109" s="22"/>
      <c r="AG1109" s="22"/>
      <c r="AH1109" s="22"/>
      <c r="AI1109" s="22"/>
      <c r="AJ1109" s="22"/>
    </row>
    <row r="1110" spans="30:36">
      <c r="AD1110" s="22"/>
      <c r="AE1110" s="22"/>
      <c r="AF1110" s="22"/>
      <c r="AG1110" s="22"/>
      <c r="AH1110" s="22"/>
      <c r="AI1110" s="22"/>
      <c r="AJ1110" s="22"/>
    </row>
    <row r="1111" spans="30:36">
      <c r="AD1111" s="22"/>
      <c r="AE1111" s="22"/>
      <c r="AF1111" s="22"/>
      <c r="AG1111" s="22"/>
      <c r="AH1111" s="22"/>
      <c r="AI1111" s="22"/>
      <c r="AJ1111" s="22"/>
    </row>
    <row r="1112" spans="30:36">
      <c r="AD1112" s="22"/>
      <c r="AE1112" s="22"/>
      <c r="AF1112" s="22"/>
      <c r="AG1112" s="22"/>
      <c r="AH1112" s="22"/>
      <c r="AI1112" s="22"/>
      <c r="AJ1112" s="22"/>
    </row>
    <row r="1113" spans="30:36">
      <c r="AD1113" s="22"/>
      <c r="AE1113" s="22"/>
      <c r="AF1113" s="22"/>
      <c r="AG1113" s="22"/>
      <c r="AH1113" s="22"/>
      <c r="AI1113" s="22"/>
      <c r="AJ1113" s="22"/>
    </row>
    <row r="1114" spans="30:36">
      <c r="AD1114" s="22"/>
      <c r="AE1114" s="22"/>
      <c r="AF1114" s="22"/>
      <c r="AG1114" s="22"/>
      <c r="AH1114" s="22"/>
      <c r="AI1114" s="22"/>
      <c r="AJ1114" s="22"/>
    </row>
    <row r="1115" spans="30:36">
      <c r="AD1115" s="22"/>
      <c r="AE1115" s="22"/>
      <c r="AF1115" s="22"/>
      <c r="AG1115" s="22"/>
      <c r="AH1115" s="22"/>
      <c r="AI1115" s="22"/>
      <c r="AJ1115" s="22"/>
    </row>
    <row r="1116" spans="30:36">
      <c r="AD1116" s="22"/>
      <c r="AE1116" s="22"/>
      <c r="AF1116" s="22"/>
      <c r="AG1116" s="22"/>
      <c r="AH1116" s="22"/>
      <c r="AI1116" s="22"/>
      <c r="AJ1116" s="22"/>
    </row>
    <row r="1117" spans="30:36">
      <c r="AD1117" s="22"/>
      <c r="AE1117" s="22"/>
      <c r="AF1117" s="22"/>
      <c r="AG1117" s="22"/>
      <c r="AH1117" s="22"/>
      <c r="AI1117" s="22"/>
      <c r="AJ1117" s="22"/>
    </row>
    <row r="1118" spans="30:36">
      <c r="AD1118" s="22"/>
      <c r="AE1118" s="22"/>
      <c r="AF1118" s="22"/>
      <c r="AG1118" s="22"/>
      <c r="AH1118" s="22"/>
      <c r="AI1118" s="22"/>
      <c r="AJ1118" s="22"/>
    </row>
    <row r="1119" spans="30:36">
      <c r="AD1119" s="22"/>
      <c r="AE1119" s="22"/>
      <c r="AF1119" s="22"/>
      <c r="AG1119" s="22"/>
      <c r="AH1119" s="22"/>
      <c r="AI1119" s="22"/>
      <c r="AJ1119" s="22"/>
    </row>
    <row r="1120" spans="30:36">
      <c r="AD1120" s="22"/>
      <c r="AE1120" s="22"/>
      <c r="AF1120" s="22"/>
      <c r="AG1120" s="22"/>
      <c r="AH1120" s="22"/>
      <c r="AI1120" s="22"/>
      <c r="AJ1120" s="22"/>
    </row>
    <row r="1121" spans="30:36">
      <c r="AD1121" s="22"/>
      <c r="AE1121" s="22"/>
      <c r="AF1121" s="22"/>
      <c r="AG1121" s="22"/>
      <c r="AH1121" s="22"/>
      <c r="AI1121" s="22"/>
      <c r="AJ1121" s="22"/>
    </row>
    <row r="1122" spans="30:36">
      <c r="AD1122" s="22"/>
      <c r="AE1122" s="22"/>
      <c r="AF1122" s="22"/>
      <c r="AG1122" s="22"/>
      <c r="AH1122" s="22"/>
      <c r="AI1122" s="22"/>
      <c r="AJ1122" s="22"/>
    </row>
    <row r="1123" spans="30:36">
      <c r="AD1123" s="22"/>
      <c r="AE1123" s="22"/>
      <c r="AF1123" s="22"/>
      <c r="AG1123" s="22"/>
      <c r="AH1123" s="22"/>
      <c r="AI1123" s="22"/>
      <c r="AJ1123" s="22"/>
    </row>
    <row r="1124" spans="30:36">
      <c r="AD1124" s="22"/>
      <c r="AE1124" s="22"/>
      <c r="AF1124" s="22"/>
      <c r="AG1124" s="22"/>
      <c r="AH1124" s="22"/>
      <c r="AI1124" s="22"/>
      <c r="AJ1124" s="22"/>
    </row>
    <row r="1125" spans="30:36">
      <c r="AD1125" s="22"/>
      <c r="AE1125" s="22"/>
      <c r="AF1125" s="22"/>
      <c r="AG1125" s="22"/>
      <c r="AH1125" s="22"/>
      <c r="AI1125" s="22"/>
      <c r="AJ1125" s="22"/>
    </row>
    <row r="1126" spans="30:36">
      <c r="AD1126" s="22"/>
      <c r="AE1126" s="22"/>
      <c r="AF1126" s="22"/>
      <c r="AG1126" s="22"/>
      <c r="AH1126" s="22"/>
      <c r="AI1126" s="22"/>
      <c r="AJ1126" s="22"/>
    </row>
    <row r="1127" spans="30:36">
      <c r="AD1127" s="22"/>
      <c r="AE1127" s="22"/>
      <c r="AF1127" s="22"/>
      <c r="AG1127" s="22"/>
      <c r="AH1127" s="22"/>
      <c r="AI1127" s="22"/>
      <c r="AJ1127" s="22"/>
    </row>
    <row r="1128" spans="30:36">
      <c r="AD1128" s="22"/>
      <c r="AE1128" s="22"/>
      <c r="AF1128" s="22"/>
      <c r="AG1128" s="22"/>
      <c r="AH1128" s="22"/>
      <c r="AI1128" s="22"/>
      <c r="AJ1128" s="22"/>
    </row>
    <row r="1129" spans="30:36">
      <c r="AD1129" s="22"/>
      <c r="AE1129" s="22"/>
      <c r="AF1129" s="22"/>
      <c r="AG1129" s="22"/>
      <c r="AH1129" s="22"/>
      <c r="AI1129" s="22"/>
      <c r="AJ1129" s="22"/>
    </row>
    <row r="1130" spans="30:36">
      <c r="AD1130" s="22"/>
      <c r="AE1130" s="22"/>
      <c r="AF1130" s="22"/>
      <c r="AG1130" s="22"/>
      <c r="AH1130" s="22"/>
      <c r="AI1130" s="22"/>
      <c r="AJ1130" s="22"/>
    </row>
    <row r="1131" spans="30:36">
      <c r="AD1131" s="22"/>
      <c r="AE1131" s="22"/>
      <c r="AF1131" s="22"/>
      <c r="AG1131" s="22"/>
      <c r="AH1131" s="22"/>
      <c r="AI1131" s="22"/>
      <c r="AJ1131" s="22"/>
    </row>
    <row r="1132" spans="30:36">
      <c r="AD1132" s="22"/>
      <c r="AE1132" s="22"/>
      <c r="AF1132" s="22"/>
      <c r="AG1132" s="22"/>
      <c r="AH1132" s="22"/>
      <c r="AI1132" s="22"/>
      <c r="AJ1132" s="22"/>
    </row>
    <row r="1133" spans="30:36">
      <c r="AD1133" s="22"/>
      <c r="AE1133" s="22"/>
      <c r="AF1133" s="22"/>
      <c r="AG1133" s="22"/>
      <c r="AH1133" s="22"/>
      <c r="AI1133" s="22"/>
      <c r="AJ1133" s="22"/>
    </row>
    <row r="1134" spans="30:36">
      <c r="AD1134" s="22"/>
      <c r="AE1134" s="22"/>
      <c r="AF1134" s="22"/>
      <c r="AG1134" s="22"/>
      <c r="AH1134" s="22"/>
      <c r="AI1134" s="22"/>
      <c r="AJ1134" s="22"/>
    </row>
    <row r="1135" spans="30:36">
      <c r="AD1135" s="22"/>
      <c r="AE1135" s="22"/>
      <c r="AF1135" s="22"/>
      <c r="AG1135" s="22"/>
      <c r="AH1135" s="22"/>
      <c r="AI1135" s="22"/>
      <c r="AJ1135" s="22"/>
    </row>
    <row r="1136" spans="30:36">
      <c r="AD1136" s="22"/>
      <c r="AE1136" s="22"/>
      <c r="AF1136" s="22"/>
      <c r="AG1136" s="22"/>
      <c r="AH1136" s="22"/>
      <c r="AI1136" s="22"/>
      <c r="AJ1136" s="22"/>
    </row>
    <row r="1137" spans="30:36">
      <c r="AD1137" s="22"/>
      <c r="AE1137" s="22"/>
      <c r="AF1137" s="22"/>
      <c r="AG1137" s="22"/>
      <c r="AH1137" s="22"/>
      <c r="AI1137" s="22"/>
      <c r="AJ1137" s="22"/>
    </row>
    <row r="1138" spans="30:36">
      <c r="AD1138" s="22"/>
      <c r="AE1138" s="22"/>
      <c r="AF1138" s="22"/>
      <c r="AG1138" s="22"/>
      <c r="AH1138" s="22"/>
      <c r="AI1138" s="22"/>
      <c r="AJ1138" s="22"/>
    </row>
    <row r="1139" spans="30:36">
      <c r="AD1139" s="22"/>
      <c r="AE1139" s="22"/>
      <c r="AF1139" s="22"/>
      <c r="AG1139" s="22"/>
      <c r="AH1139" s="22"/>
      <c r="AI1139" s="22"/>
      <c r="AJ1139" s="22"/>
    </row>
    <row r="1140" spans="30:36">
      <c r="AD1140" s="22"/>
      <c r="AE1140" s="22"/>
      <c r="AF1140" s="22"/>
      <c r="AG1140" s="22"/>
      <c r="AH1140" s="22"/>
      <c r="AI1140" s="22"/>
      <c r="AJ1140" s="22"/>
    </row>
    <row r="1141" spans="30:36">
      <c r="AD1141" s="22"/>
      <c r="AE1141" s="22"/>
      <c r="AF1141" s="22"/>
      <c r="AG1141" s="22"/>
      <c r="AH1141" s="22"/>
      <c r="AI1141" s="22"/>
      <c r="AJ1141" s="22"/>
    </row>
    <row r="1142" spans="30:36">
      <c r="AD1142" s="22"/>
      <c r="AE1142" s="22"/>
      <c r="AF1142" s="22"/>
      <c r="AG1142" s="22"/>
      <c r="AH1142" s="22"/>
      <c r="AI1142" s="22"/>
      <c r="AJ1142" s="22"/>
    </row>
    <row r="1143" spans="30:36">
      <c r="AD1143" s="22"/>
      <c r="AE1143" s="22"/>
      <c r="AF1143" s="22"/>
      <c r="AG1143" s="22"/>
      <c r="AH1143" s="22"/>
      <c r="AI1143" s="22"/>
      <c r="AJ1143" s="22"/>
    </row>
    <row r="1144" spans="30:36">
      <c r="AD1144" s="22"/>
      <c r="AE1144" s="22"/>
      <c r="AF1144" s="22"/>
      <c r="AG1144" s="22"/>
      <c r="AH1144" s="22"/>
      <c r="AI1144" s="22"/>
      <c r="AJ1144" s="22"/>
    </row>
    <row r="1145" spans="30:36">
      <c r="AD1145" s="22"/>
      <c r="AE1145" s="22"/>
      <c r="AF1145" s="22"/>
      <c r="AG1145" s="22"/>
      <c r="AH1145" s="22"/>
      <c r="AI1145" s="22"/>
      <c r="AJ1145" s="22"/>
    </row>
    <row r="1146" spans="30:36">
      <c r="AD1146" s="22"/>
      <c r="AE1146" s="22"/>
      <c r="AF1146" s="22"/>
      <c r="AG1146" s="22"/>
      <c r="AH1146" s="22"/>
      <c r="AI1146" s="22"/>
      <c r="AJ1146" s="22"/>
    </row>
    <row r="1147" spans="30:36">
      <c r="AD1147" s="22"/>
      <c r="AE1147" s="22"/>
      <c r="AF1147" s="22"/>
      <c r="AG1147" s="22"/>
      <c r="AH1147" s="22"/>
      <c r="AI1147" s="22"/>
      <c r="AJ1147" s="22"/>
    </row>
    <row r="1148" spans="30:36">
      <c r="AD1148" s="22"/>
      <c r="AE1148" s="22"/>
      <c r="AF1148" s="22"/>
      <c r="AG1148" s="22"/>
      <c r="AH1148" s="22"/>
      <c r="AI1148" s="22"/>
      <c r="AJ1148" s="22"/>
    </row>
    <row r="1149" spans="30:36">
      <c r="AD1149" s="22"/>
      <c r="AE1149" s="22"/>
      <c r="AF1149" s="22"/>
      <c r="AG1149" s="22"/>
      <c r="AH1149" s="22"/>
      <c r="AI1149" s="22"/>
      <c r="AJ1149" s="22"/>
    </row>
    <row r="1150" spans="30:36">
      <c r="AD1150" s="22"/>
      <c r="AE1150" s="22"/>
      <c r="AF1150" s="22"/>
      <c r="AG1150" s="22"/>
      <c r="AH1150" s="22"/>
      <c r="AI1150" s="22"/>
      <c r="AJ1150" s="22"/>
    </row>
    <row r="1151" spans="30:36">
      <c r="AD1151" s="22"/>
      <c r="AE1151" s="22"/>
      <c r="AF1151" s="22"/>
      <c r="AG1151" s="22"/>
      <c r="AH1151" s="22"/>
      <c r="AI1151" s="22"/>
      <c r="AJ1151" s="22"/>
    </row>
    <row r="1152" spans="30:36">
      <c r="AD1152" s="22"/>
      <c r="AE1152" s="22"/>
      <c r="AF1152" s="22"/>
      <c r="AG1152" s="22"/>
      <c r="AH1152" s="22"/>
      <c r="AI1152" s="22"/>
      <c r="AJ1152" s="22"/>
    </row>
    <row r="1153" spans="30:36">
      <c r="AD1153" s="22"/>
      <c r="AE1153" s="22"/>
      <c r="AF1153" s="22"/>
      <c r="AG1153" s="22"/>
      <c r="AH1153" s="22"/>
      <c r="AI1153" s="22"/>
      <c r="AJ1153" s="22"/>
    </row>
    <row r="1154" spans="30:36">
      <c r="AD1154" s="22"/>
      <c r="AE1154" s="22"/>
      <c r="AF1154" s="22"/>
      <c r="AG1154" s="22"/>
      <c r="AH1154" s="22"/>
      <c r="AI1154" s="22"/>
      <c r="AJ1154" s="22"/>
    </row>
    <row r="1155" spans="30:36">
      <c r="AD1155" s="22"/>
      <c r="AE1155" s="22"/>
      <c r="AF1155" s="22"/>
      <c r="AG1155" s="22"/>
      <c r="AH1155" s="22"/>
      <c r="AI1155" s="22"/>
      <c r="AJ1155" s="22"/>
    </row>
    <row r="1156" spans="30:36">
      <c r="AD1156" s="22"/>
      <c r="AE1156" s="22"/>
      <c r="AF1156" s="22"/>
      <c r="AG1156" s="22"/>
      <c r="AH1156" s="22"/>
      <c r="AI1156" s="22"/>
      <c r="AJ1156" s="22"/>
    </row>
    <row r="1157" spans="30:36">
      <c r="AD1157" s="22"/>
      <c r="AE1157" s="22"/>
      <c r="AF1157" s="22"/>
      <c r="AG1157" s="22"/>
      <c r="AH1157" s="22"/>
      <c r="AI1157" s="22"/>
      <c r="AJ1157" s="22"/>
    </row>
    <row r="1158" spans="30:36">
      <c r="AD1158" s="22"/>
      <c r="AE1158" s="22"/>
      <c r="AF1158" s="22"/>
      <c r="AG1158" s="22"/>
      <c r="AH1158" s="22"/>
      <c r="AI1158" s="22"/>
      <c r="AJ1158" s="22"/>
    </row>
    <row r="1159" spans="30:36">
      <c r="AD1159" s="22"/>
      <c r="AE1159" s="22"/>
      <c r="AF1159" s="22"/>
      <c r="AG1159" s="22"/>
      <c r="AH1159" s="22"/>
      <c r="AI1159" s="22"/>
      <c r="AJ1159" s="22"/>
    </row>
    <row r="1160" spans="30:36">
      <c r="AD1160" s="22"/>
      <c r="AE1160" s="22"/>
      <c r="AF1160" s="22"/>
      <c r="AG1160" s="22"/>
      <c r="AH1160" s="22"/>
      <c r="AI1160" s="22"/>
      <c r="AJ1160" s="22"/>
    </row>
    <row r="1161" spans="30:36">
      <c r="AD1161" s="22"/>
      <c r="AE1161" s="22"/>
      <c r="AF1161" s="22"/>
      <c r="AG1161" s="22"/>
      <c r="AH1161" s="22"/>
      <c r="AI1161" s="22"/>
      <c r="AJ1161" s="22"/>
    </row>
    <row r="1162" spans="30:36">
      <c r="AD1162" s="22"/>
      <c r="AE1162" s="22"/>
      <c r="AF1162" s="22"/>
      <c r="AG1162" s="22"/>
      <c r="AH1162" s="22"/>
      <c r="AI1162" s="22"/>
      <c r="AJ1162" s="22"/>
    </row>
    <row r="1163" spans="30:36">
      <c r="AD1163" s="22"/>
      <c r="AE1163" s="22"/>
      <c r="AF1163" s="22"/>
      <c r="AG1163" s="22"/>
      <c r="AH1163" s="22"/>
      <c r="AI1163" s="22"/>
      <c r="AJ1163" s="22"/>
    </row>
    <row r="1164" spans="30:36">
      <c r="AD1164" s="22"/>
      <c r="AE1164" s="22"/>
      <c r="AF1164" s="22"/>
      <c r="AG1164" s="22"/>
      <c r="AH1164" s="22"/>
      <c r="AI1164" s="22"/>
      <c r="AJ1164" s="22"/>
    </row>
    <row r="1165" spans="30:36">
      <c r="AD1165" s="22"/>
      <c r="AE1165" s="22"/>
      <c r="AF1165" s="22"/>
      <c r="AG1165" s="22"/>
      <c r="AH1165" s="22"/>
      <c r="AI1165" s="22"/>
      <c r="AJ1165" s="22"/>
    </row>
    <row r="1166" spans="30:36">
      <c r="AD1166" s="22"/>
      <c r="AE1166" s="22"/>
      <c r="AF1166" s="22"/>
      <c r="AG1166" s="22"/>
      <c r="AH1166" s="22"/>
      <c r="AI1166" s="22"/>
      <c r="AJ1166" s="22"/>
    </row>
    <row r="1167" spans="30:36">
      <c r="AD1167" s="22"/>
      <c r="AE1167" s="22"/>
      <c r="AF1167" s="22"/>
      <c r="AG1167" s="22"/>
      <c r="AH1167" s="22"/>
      <c r="AI1167" s="22"/>
      <c r="AJ1167" s="22"/>
    </row>
    <row r="1168" spans="30:36">
      <c r="AD1168" s="22"/>
      <c r="AE1168" s="22"/>
      <c r="AF1168" s="22"/>
      <c r="AG1168" s="22"/>
      <c r="AH1168" s="22"/>
      <c r="AI1168" s="22"/>
      <c r="AJ1168" s="22"/>
    </row>
    <row r="1169" spans="30:36">
      <c r="AD1169" s="22"/>
      <c r="AE1169" s="22"/>
      <c r="AF1169" s="22"/>
      <c r="AG1169" s="22"/>
      <c r="AH1169" s="22"/>
      <c r="AI1169" s="22"/>
      <c r="AJ1169" s="22"/>
    </row>
    <row r="1170" spans="30:36">
      <c r="AD1170" s="22"/>
      <c r="AE1170" s="22"/>
      <c r="AF1170" s="22"/>
      <c r="AG1170" s="22"/>
      <c r="AH1170" s="22"/>
      <c r="AI1170" s="22"/>
      <c r="AJ1170" s="22"/>
    </row>
    <row r="1171" spans="30:36">
      <c r="AD1171" s="22"/>
      <c r="AE1171" s="22"/>
      <c r="AF1171" s="22"/>
      <c r="AG1171" s="22"/>
      <c r="AH1171" s="22"/>
      <c r="AI1171" s="22"/>
      <c r="AJ1171" s="22"/>
    </row>
    <row r="1172" spans="30:36">
      <c r="AD1172" s="22"/>
      <c r="AE1172" s="22"/>
      <c r="AF1172" s="22"/>
      <c r="AG1172" s="22"/>
      <c r="AH1172" s="22"/>
      <c r="AI1172" s="22"/>
      <c r="AJ1172" s="22"/>
    </row>
    <row r="1173" spans="30:36">
      <c r="AD1173" s="22"/>
      <c r="AE1173" s="22"/>
      <c r="AF1173" s="22"/>
      <c r="AG1173" s="22"/>
      <c r="AH1173" s="22"/>
      <c r="AI1173" s="22"/>
      <c r="AJ1173" s="22"/>
    </row>
    <row r="1174" spans="30:36">
      <c r="AD1174" s="22"/>
      <c r="AE1174" s="22"/>
      <c r="AF1174" s="22"/>
      <c r="AG1174" s="22"/>
      <c r="AH1174" s="22"/>
      <c r="AI1174" s="22"/>
      <c r="AJ1174" s="22"/>
    </row>
    <row r="1175" spans="30:36">
      <c r="AD1175" s="22"/>
      <c r="AE1175" s="22"/>
      <c r="AF1175" s="22"/>
      <c r="AG1175" s="22"/>
      <c r="AH1175" s="22"/>
      <c r="AI1175" s="22"/>
      <c r="AJ1175" s="22"/>
    </row>
    <row r="1176" spans="30:36">
      <c r="AD1176" s="22"/>
      <c r="AE1176" s="22"/>
      <c r="AF1176" s="22"/>
      <c r="AG1176" s="22"/>
      <c r="AH1176" s="22"/>
      <c r="AI1176" s="22"/>
      <c r="AJ1176" s="22"/>
    </row>
    <row r="1177" spans="30:36">
      <c r="AD1177" s="22"/>
      <c r="AE1177" s="22"/>
      <c r="AF1177" s="22"/>
      <c r="AG1177" s="22"/>
      <c r="AH1177" s="22"/>
      <c r="AI1177" s="22"/>
      <c r="AJ1177" s="22"/>
    </row>
    <row r="1178" spans="30:36">
      <c r="AD1178" s="22"/>
      <c r="AE1178" s="22"/>
      <c r="AF1178" s="22"/>
      <c r="AG1178" s="22"/>
      <c r="AH1178" s="22"/>
      <c r="AI1178" s="22"/>
      <c r="AJ1178" s="22"/>
    </row>
    <row r="1179" spans="30:36">
      <c r="AD1179" s="22"/>
      <c r="AE1179" s="22"/>
      <c r="AF1179" s="22"/>
      <c r="AG1179" s="22"/>
      <c r="AH1179" s="22"/>
      <c r="AI1179" s="22"/>
      <c r="AJ1179" s="22"/>
    </row>
    <row r="1180" spans="30:36">
      <c r="AD1180" s="22"/>
      <c r="AE1180" s="22"/>
      <c r="AF1180" s="22"/>
      <c r="AG1180" s="22"/>
      <c r="AH1180" s="22"/>
      <c r="AI1180" s="22"/>
      <c r="AJ1180" s="22"/>
    </row>
    <row r="1181" spans="30:36">
      <c r="AD1181" s="22"/>
      <c r="AE1181" s="22"/>
      <c r="AF1181" s="22"/>
      <c r="AG1181" s="22"/>
      <c r="AH1181" s="22"/>
      <c r="AI1181" s="22"/>
      <c r="AJ1181" s="22"/>
    </row>
    <row r="1182" spans="30:36">
      <c r="AD1182" s="22"/>
      <c r="AE1182" s="22"/>
      <c r="AF1182" s="22"/>
      <c r="AG1182" s="22"/>
      <c r="AH1182" s="22"/>
      <c r="AI1182" s="22"/>
      <c r="AJ1182" s="22"/>
    </row>
    <row r="1183" spans="30:36">
      <c r="AD1183" s="22"/>
      <c r="AE1183" s="22"/>
      <c r="AF1183" s="22"/>
      <c r="AG1183" s="22"/>
      <c r="AH1183" s="22"/>
      <c r="AI1183" s="22"/>
      <c r="AJ1183" s="22"/>
    </row>
    <row r="1184" spans="30:36">
      <c r="AD1184" s="22"/>
      <c r="AE1184" s="22"/>
      <c r="AF1184" s="22"/>
      <c r="AG1184" s="22"/>
      <c r="AH1184" s="22"/>
      <c r="AI1184" s="22"/>
      <c r="AJ1184" s="22"/>
    </row>
    <row r="1185" spans="30:36">
      <c r="AD1185" s="22"/>
      <c r="AE1185" s="22"/>
      <c r="AF1185" s="22"/>
      <c r="AG1185" s="22"/>
      <c r="AH1185" s="22"/>
      <c r="AI1185" s="22"/>
      <c r="AJ1185" s="22"/>
    </row>
    <row r="1186" spans="30:36">
      <c r="AD1186" s="22"/>
      <c r="AE1186" s="22"/>
      <c r="AF1186" s="22"/>
      <c r="AG1186" s="22"/>
      <c r="AH1186" s="22"/>
      <c r="AI1186" s="22"/>
      <c r="AJ1186" s="22"/>
    </row>
    <row r="1187" spans="30:36">
      <c r="AD1187" s="22"/>
      <c r="AE1187" s="22"/>
      <c r="AF1187" s="22"/>
      <c r="AG1187" s="22"/>
      <c r="AH1187" s="22"/>
      <c r="AI1187" s="22"/>
      <c r="AJ1187" s="22"/>
    </row>
    <row r="1188" spans="30:36">
      <c r="AD1188" s="22"/>
      <c r="AE1188" s="22"/>
      <c r="AF1188" s="22"/>
      <c r="AG1188" s="22"/>
      <c r="AH1188" s="22"/>
      <c r="AI1188" s="22"/>
      <c r="AJ1188" s="22"/>
    </row>
    <row r="1189" spans="30:36">
      <c r="AD1189" s="22"/>
      <c r="AE1189" s="22"/>
      <c r="AF1189" s="22"/>
      <c r="AG1189" s="22"/>
      <c r="AH1189" s="22"/>
      <c r="AI1189" s="22"/>
      <c r="AJ1189" s="22"/>
    </row>
    <row r="1190" spans="30:36">
      <c r="AD1190" s="22"/>
      <c r="AE1190" s="22"/>
      <c r="AF1190" s="22"/>
      <c r="AG1190" s="22"/>
      <c r="AH1190" s="22"/>
      <c r="AI1190" s="22"/>
      <c r="AJ1190" s="22"/>
    </row>
    <row r="1191" spans="30:36">
      <c r="AD1191" s="22"/>
      <c r="AE1191" s="22"/>
      <c r="AF1191" s="22"/>
      <c r="AG1191" s="22"/>
      <c r="AH1191" s="22"/>
      <c r="AI1191" s="22"/>
      <c r="AJ1191" s="22"/>
    </row>
    <row r="1192" spans="30:36">
      <c r="AD1192" s="22"/>
      <c r="AE1192" s="22"/>
      <c r="AF1192" s="22"/>
      <c r="AG1192" s="22"/>
      <c r="AH1192" s="22"/>
      <c r="AI1192" s="22"/>
      <c r="AJ1192" s="22"/>
    </row>
    <row r="1193" spans="30:36">
      <c r="AD1193" s="22"/>
      <c r="AE1193" s="22"/>
      <c r="AF1193" s="22"/>
      <c r="AG1193" s="22"/>
      <c r="AH1193" s="22"/>
      <c r="AI1193" s="22"/>
      <c r="AJ1193" s="22"/>
    </row>
    <row r="1194" spans="30:36">
      <c r="AD1194" s="22"/>
      <c r="AE1194" s="22"/>
      <c r="AF1194" s="22"/>
      <c r="AG1194" s="22"/>
      <c r="AH1194" s="22"/>
      <c r="AI1194" s="22"/>
      <c r="AJ1194" s="22"/>
    </row>
    <row r="1195" spans="30:36">
      <c r="AD1195" s="22"/>
      <c r="AE1195" s="22"/>
      <c r="AF1195" s="22"/>
      <c r="AG1195" s="22"/>
      <c r="AH1195" s="22"/>
      <c r="AI1195" s="22"/>
      <c r="AJ1195" s="22"/>
    </row>
    <row r="1196" spans="30:36">
      <c r="AD1196" s="22"/>
      <c r="AE1196" s="22"/>
      <c r="AF1196" s="22"/>
      <c r="AG1196" s="22"/>
      <c r="AH1196" s="22"/>
      <c r="AI1196" s="22"/>
      <c r="AJ1196" s="22"/>
    </row>
    <row r="1197" spans="30:36">
      <c r="AD1197" s="22"/>
      <c r="AE1197" s="22"/>
      <c r="AF1197" s="22"/>
      <c r="AG1197" s="22"/>
      <c r="AH1197" s="22"/>
      <c r="AI1197" s="22"/>
      <c r="AJ1197" s="22"/>
    </row>
    <row r="1198" spans="30:36">
      <c r="AD1198" s="22"/>
      <c r="AE1198" s="22"/>
      <c r="AF1198" s="22"/>
      <c r="AG1198" s="22"/>
      <c r="AH1198" s="22"/>
      <c r="AI1198" s="22"/>
      <c r="AJ1198" s="22"/>
    </row>
    <row r="1199" spans="30:36">
      <c r="AD1199" s="22"/>
      <c r="AE1199" s="22"/>
      <c r="AF1199" s="22"/>
      <c r="AG1199" s="22"/>
      <c r="AH1199" s="22"/>
      <c r="AI1199" s="22"/>
      <c r="AJ1199" s="22"/>
    </row>
    <row r="1200" spans="30:36">
      <c r="AD1200" s="22"/>
      <c r="AE1200" s="22"/>
      <c r="AF1200" s="22"/>
      <c r="AG1200" s="22"/>
      <c r="AH1200" s="22"/>
      <c r="AI1200" s="22"/>
      <c r="AJ1200" s="22"/>
    </row>
    <row r="1201" spans="30:36">
      <c r="AD1201" s="22"/>
      <c r="AE1201" s="22"/>
      <c r="AF1201" s="22"/>
      <c r="AG1201" s="22"/>
      <c r="AH1201" s="22"/>
      <c r="AI1201" s="22"/>
      <c r="AJ1201" s="22"/>
    </row>
    <row r="1202" spans="30:36">
      <c r="AD1202" s="22"/>
      <c r="AE1202" s="22"/>
      <c r="AF1202" s="22"/>
      <c r="AG1202" s="22"/>
      <c r="AH1202" s="22"/>
      <c r="AI1202" s="22"/>
      <c r="AJ1202" s="22"/>
    </row>
    <row r="1203" spans="30:36">
      <c r="AD1203" s="22"/>
      <c r="AE1203" s="22"/>
      <c r="AF1203" s="22"/>
      <c r="AG1203" s="22"/>
      <c r="AH1203" s="22"/>
      <c r="AI1203" s="22"/>
      <c r="AJ1203" s="22"/>
    </row>
    <row r="1204" spans="30:36">
      <c r="AD1204" s="22"/>
      <c r="AE1204" s="22"/>
      <c r="AF1204" s="22"/>
      <c r="AG1204" s="22"/>
      <c r="AH1204" s="22"/>
      <c r="AI1204" s="22"/>
      <c r="AJ1204" s="22"/>
    </row>
    <row r="1205" spans="30:36">
      <c r="AD1205" s="22"/>
      <c r="AE1205" s="22"/>
      <c r="AF1205" s="22"/>
      <c r="AG1205" s="22"/>
      <c r="AH1205" s="22"/>
      <c r="AI1205" s="22"/>
      <c r="AJ1205" s="22"/>
    </row>
    <row r="1206" spans="30:36">
      <c r="AD1206" s="22"/>
      <c r="AE1206" s="22"/>
      <c r="AF1206" s="22"/>
      <c r="AG1206" s="22"/>
      <c r="AH1206" s="22"/>
      <c r="AI1206" s="22"/>
      <c r="AJ1206" s="22"/>
    </row>
    <row r="1207" spans="30:36">
      <c r="AD1207" s="22"/>
      <c r="AE1207" s="22"/>
      <c r="AF1207" s="22"/>
      <c r="AG1207" s="22"/>
      <c r="AH1207" s="22"/>
      <c r="AI1207" s="22"/>
      <c r="AJ1207" s="22"/>
    </row>
    <row r="1208" spans="30:36">
      <c r="AD1208" s="22"/>
      <c r="AE1208" s="22"/>
      <c r="AF1208" s="22"/>
      <c r="AG1208" s="22"/>
      <c r="AH1208" s="22"/>
      <c r="AI1208" s="22"/>
      <c r="AJ1208" s="22"/>
    </row>
    <row r="1209" spans="30:36">
      <c r="AD1209" s="22"/>
      <c r="AE1209" s="22"/>
      <c r="AF1209" s="22"/>
      <c r="AG1209" s="22"/>
      <c r="AH1209" s="22"/>
      <c r="AI1209" s="22"/>
      <c r="AJ1209" s="22"/>
    </row>
    <row r="1210" spans="30:36">
      <c r="AD1210" s="22"/>
      <c r="AE1210" s="22"/>
      <c r="AF1210" s="22"/>
      <c r="AG1210" s="22"/>
      <c r="AH1210" s="22"/>
      <c r="AI1210" s="22"/>
      <c r="AJ1210" s="22"/>
    </row>
    <row r="1211" spans="30:36">
      <c r="AD1211" s="22"/>
      <c r="AE1211" s="22"/>
      <c r="AF1211" s="22"/>
      <c r="AG1211" s="22"/>
      <c r="AH1211" s="22"/>
      <c r="AI1211" s="22"/>
      <c r="AJ1211" s="22"/>
    </row>
    <row r="1212" spans="30:36">
      <c r="AD1212" s="22"/>
      <c r="AE1212" s="22"/>
      <c r="AF1212" s="22"/>
      <c r="AG1212" s="22"/>
      <c r="AH1212" s="22"/>
      <c r="AI1212" s="22"/>
      <c r="AJ1212" s="22"/>
    </row>
    <row r="1213" spans="30:36">
      <c r="AD1213" s="22"/>
      <c r="AE1213" s="22"/>
      <c r="AF1213" s="22"/>
      <c r="AG1213" s="22"/>
      <c r="AH1213" s="22"/>
      <c r="AI1213" s="22"/>
      <c r="AJ1213" s="22"/>
    </row>
    <row r="1214" spans="30:36">
      <c r="AD1214" s="22"/>
      <c r="AE1214" s="22"/>
      <c r="AF1214" s="22"/>
      <c r="AG1214" s="22"/>
      <c r="AH1214" s="22"/>
      <c r="AI1214" s="22"/>
      <c r="AJ1214" s="22"/>
    </row>
    <row r="1215" spans="30:36">
      <c r="AD1215" s="22"/>
      <c r="AE1215" s="22"/>
      <c r="AF1215" s="22"/>
      <c r="AG1215" s="22"/>
      <c r="AH1215" s="22"/>
      <c r="AI1215" s="22"/>
      <c r="AJ1215" s="22"/>
    </row>
    <row r="1216" spans="30:36">
      <c r="AD1216" s="22"/>
      <c r="AE1216" s="22"/>
      <c r="AF1216" s="22"/>
      <c r="AG1216" s="22"/>
      <c r="AH1216" s="22"/>
      <c r="AI1216" s="22"/>
      <c r="AJ1216" s="22"/>
    </row>
    <row r="1217" spans="30:36">
      <c r="AD1217" s="22"/>
      <c r="AE1217" s="22"/>
      <c r="AF1217" s="22"/>
      <c r="AG1217" s="22"/>
      <c r="AH1217" s="22"/>
      <c r="AI1217" s="22"/>
      <c r="AJ1217" s="22"/>
    </row>
    <row r="1218" spans="30:36">
      <c r="AD1218" s="22"/>
      <c r="AE1218" s="22"/>
      <c r="AF1218" s="22"/>
      <c r="AG1218" s="22"/>
      <c r="AH1218" s="22"/>
      <c r="AI1218" s="22"/>
      <c r="AJ1218" s="22"/>
    </row>
    <row r="1219" spans="30:36">
      <c r="AD1219" s="22"/>
      <c r="AE1219" s="22"/>
      <c r="AF1219" s="22"/>
      <c r="AG1219" s="22"/>
      <c r="AH1219" s="22"/>
      <c r="AI1219" s="22"/>
      <c r="AJ1219" s="22"/>
    </row>
    <row r="1220" spans="30:36">
      <c r="AD1220" s="22"/>
      <c r="AE1220" s="22"/>
      <c r="AF1220" s="22"/>
      <c r="AG1220" s="22"/>
      <c r="AH1220" s="22"/>
      <c r="AI1220" s="22"/>
      <c r="AJ1220" s="22"/>
    </row>
    <row r="1221" spans="30:36">
      <c r="AD1221" s="22"/>
      <c r="AE1221" s="22"/>
      <c r="AF1221" s="22"/>
      <c r="AG1221" s="22"/>
      <c r="AH1221" s="22"/>
      <c r="AI1221" s="22"/>
      <c r="AJ1221" s="22"/>
    </row>
    <row r="1222" spans="30:36">
      <c r="AD1222" s="22"/>
      <c r="AE1222" s="22"/>
      <c r="AF1222" s="22"/>
      <c r="AG1222" s="22"/>
      <c r="AH1222" s="22"/>
      <c r="AI1222" s="22"/>
      <c r="AJ1222" s="22"/>
    </row>
    <row r="1223" spans="30:36">
      <c r="AD1223" s="22"/>
      <c r="AE1223" s="22"/>
      <c r="AF1223" s="22"/>
      <c r="AG1223" s="22"/>
      <c r="AH1223" s="22"/>
      <c r="AI1223" s="22"/>
      <c r="AJ1223" s="22"/>
    </row>
    <row r="1224" spans="30:36">
      <c r="AD1224" s="22"/>
      <c r="AE1224" s="22"/>
      <c r="AF1224" s="22"/>
      <c r="AG1224" s="22"/>
      <c r="AH1224" s="22"/>
      <c r="AI1224" s="22"/>
      <c r="AJ1224" s="22"/>
    </row>
    <row r="1225" spans="30:36">
      <c r="AD1225" s="22"/>
      <c r="AE1225" s="22"/>
      <c r="AF1225" s="22"/>
      <c r="AG1225" s="22"/>
      <c r="AH1225" s="22"/>
      <c r="AI1225" s="22"/>
      <c r="AJ1225" s="22"/>
    </row>
    <row r="1226" spans="30:36">
      <c r="AD1226" s="22"/>
      <c r="AE1226" s="22"/>
      <c r="AF1226" s="22"/>
      <c r="AG1226" s="22"/>
      <c r="AH1226" s="22"/>
      <c r="AI1226" s="22"/>
      <c r="AJ1226" s="22"/>
    </row>
    <row r="1227" spans="30:36">
      <c r="AD1227" s="22"/>
      <c r="AE1227" s="22"/>
      <c r="AF1227" s="22"/>
      <c r="AG1227" s="22"/>
      <c r="AH1227" s="22"/>
      <c r="AI1227" s="22"/>
      <c r="AJ1227" s="22"/>
    </row>
    <row r="1228" spans="30:36">
      <c r="AD1228" s="22"/>
      <c r="AE1228" s="22"/>
      <c r="AF1228" s="22"/>
      <c r="AG1228" s="22"/>
      <c r="AH1228" s="22"/>
      <c r="AI1228" s="22"/>
      <c r="AJ1228" s="22"/>
    </row>
    <row r="1229" spans="30:36">
      <c r="AD1229" s="22"/>
      <c r="AE1229" s="22"/>
      <c r="AF1229" s="22"/>
      <c r="AG1229" s="22"/>
      <c r="AH1229" s="22"/>
      <c r="AI1229" s="22"/>
      <c r="AJ1229" s="22"/>
    </row>
    <row r="1230" spans="30:36">
      <c r="AD1230" s="22"/>
      <c r="AE1230" s="22"/>
      <c r="AF1230" s="22"/>
      <c r="AG1230" s="22"/>
      <c r="AH1230" s="22"/>
      <c r="AI1230" s="22"/>
      <c r="AJ1230" s="22"/>
    </row>
    <row r="1231" spans="30:36">
      <c r="AD1231" s="22"/>
      <c r="AE1231" s="22"/>
      <c r="AF1231" s="22"/>
      <c r="AG1231" s="22"/>
      <c r="AH1231" s="22"/>
      <c r="AI1231" s="22"/>
      <c r="AJ1231" s="22"/>
    </row>
    <row r="1232" spans="30:36">
      <c r="AD1232" s="22"/>
      <c r="AE1232" s="22"/>
      <c r="AF1232" s="22"/>
      <c r="AG1232" s="22"/>
      <c r="AH1232" s="22"/>
      <c r="AI1232" s="22"/>
      <c r="AJ1232" s="22"/>
    </row>
    <row r="1233" spans="30:36">
      <c r="AD1233" s="22"/>
      <c r="AE1233" s="22"/>
      <c r="AF1233" s="22"/>
      <c r="AG1233" s="22"/>
      <c r="AH1233" s="22"/>
      <c r="AI1233" s="22"/>
      <c r="AJ1233" s="22"/>
    </row>
    <row r="1234" spans="30:36">
      <c r="AD1234" s="22"/>
      <c r="AE1234" s="22"/>
      <c r="AF1234" s="22"/>
      <c r="AG1234" s="22"/>
      <c r="AH1234" s="22"/>
      <c r="AI1234" s="22"/>
      <c r="AJ1234" s="22"/>
    </row>
    <row r="1235" spans="30:36">
      <c r="AD1235" s="22"/>
      <c r="AE1235" s="22"/>
      <c r="AF1235" s="22"/>
      <c r="AG1235" s="22"/>
      <c r="AH1235" s="22"/>
      <c r="AI1235" s="22"/>
      <c r="AJ1235" s="22"/>
    </row>
    <row r="1236" spans="30:36">
      <c r="AD1236" s="22"/>
      <c r="AE1236" s="22"/>
      <c r="AF1236" s="22"/>
      <c r="AG1236" s="22"/>
      <c r="AH1236" s="22"/>
      <c r="AI1236" s="22"/>
      <c r="AJ1236" s="22"/>
    </row>
    <row r="1237" spans="30:36">
      <c r="AD1237" s="22"/>
      <c r="AE1237" s="22"/>
      <c r="AF1237" s="22"/>
      <c r="AG1237" s="22"/>
      <c r="AH1237" s="22"/>
      <c r="AI1237" s="22"/>
      <c r="AJ1237" s="22"/>
    </row>
    <row r="1238" spans="30:36">
      <c r="AD1238" s="22"/>
      <c r="AE1238" s="22"/>
      <c r="AF1238" s="22"/>
      <c r="AG1238" s="22"/>
      <c r="AH1238" s="22"/>
      <c r="AI1238" s="22"/>
      <c r="AJ1238" s="22"/>
    </row>
    <row r="1239" spans="30:36">
      <c r="AD1239" s="22"/>
      <c r="AE1239" s="22"/>
      <c r="AF1239" s="22"/>
      <c r="AG1239" s="22"/>
      <c r="AH1239" s="22"/>
      <c r="AI1239" s="22"/>
      <c r="AJ1239" s="22"/>
    </row>
    <row r="1240" spans="30:36">
      <c r="AD1240" s="22"/>
      <c r="AE1240" s="22"/>
      <c r="AF1240" s="22"/>
      <c r="AG1240" s="22"/>
      <c r="AH1240" s="22"/>
      <c r="AI1240" s="22"/>
      <c r="AJ1240" s="22"/>
    </row>
    <row r="1241" spans="30:36">
      <c r="AD1241" s="22"/>
      <c r="AE1241" s="22"/>
      <c r="AF1241" s="22"/>
      <c r="AG1241" s="22"/>
      <c r="AH1241" s="22"/>
      <c r="AI1241" s="22"/>
      <c r="AJ1241" s="22"/>
    </row>
    <row r="1242" spans="30:36">
      <c r="AD1242" s="22"/>
      <c r="AE1242" s="22"/>
      <c r="AF1242" s="22"/>
      <c r="AG1242" s="22"/>
      <c r="AH1242" s="22"/>
      <c r="AI1242" s="22"/>
      <c r="AJ1242" s="22"/>
    </row>
    <row r="1243" spans="30:36">
      <c r="AD1243" s="22"/>
      <c r="AE1243" s="22"/>
      <c r="AF1243" s="22"/>
      <c r="AG1243" s="22"/>
      <c r="AH1243" s="22"/>
      <c r="AI1243" s="22"/>
      <c r="AJ1243" s="22"/>
    </row>
    <row r="1244" spans="30:36">
      <c r="AD1244" s="22"/>
      <c r="AE1244" s="22"/>
      <c r="AF1244" s="22"/>
      <c r="AG1244" s="22"/>
      <c r="AH1244" s="22"/>
      <c r="AI1244" s="22"/>
      <c r="AJ1244" s="22"/>
    </row>
    <row r="1245" spans="30:36">
      <c r="AD1245" s="22"/>
      <c r="AE1245" s="22"/>
      <c r="AF1245" s="22"/>
      <c r="AG1245" s="22"/>
      <c r="AH1245" s="22"/>
      <c r="AI1245" s="22"/>
      <c r="AJ1245" s="22"/>
    </row>
    <row r="1246" spans="30:36">
      <c r="AD1246" s="22"/>
      <c r="AE1246" s="22"/>
      <c r="AF1246" s="22"/>
      <c r="AG1246" s="22"/>
      <c r="AH1246" s="22"/>
      <c r="AI1246" s="22"/>
      <c r="AJ1246" s="22"/>
    </row>
    <row r="1247" spans="30:36">
      <c r="AD1247" s="22"/>
      <c r="AE1247" s="22"/>
      <c r="AF1247" s="22"/>
      <c r="AG1247" s="22"/>
      <c r="AH1247" s="22"/>
      <c r="AI1247" s="22"/>
      <c r="AJ1247" s="22"/>
    </row>
    <row r="1248" spans="30:36">
      <c r="AD1248" s="22"/>
      <c r="AE1248" s="22"/>
      <c r="AF1248" s="22"/>
      <c r="AG1248" s="22"/>
      <c r="AH1248" s="22"/>
      <c r="AI1248" s="22"/>
      <c r="AJ1248" s="22"/>
    </row>
    <row r="1249" spans="30:36">
      <c r="AD1249" s="22"/>
      <c r="AE1249" s="22"/>
      <c r="AF1249" s="22"/>
      <c r="AG1249" s="22"/>
      <c r="AH1249" s="22"/>
      <c r="AI1249" s="22"/>
      <c r="AJ1249" s="22"/>
    </row>
    <row r="1250" spans="30:36">
      <c r="AD1250" s="22"/>
      <c r="AE1250" s="22"/>
      <c r="AF1250" s="22"/>
      <c r="AG1250" s="22"/>
      <c r="AH1250" s="22"/>
      <c r="AI1250" s="22"/>
      <c r="AJ1250" s="22"/>
    </row>
    <row r="1251" spans="30:36">
      <c r="AD1251" s="22"/>
      <c r="AE1251" s="22"/>
      <c r="AF1251" s="22"/>
      <c r="AG1251" s="22"/>
      <c r="AH1251" s="22"/>
      <c r="AI1251" s="22"/>
      <c r="AJ1251" s="22"/>
    </row>
    <row r="1252" spans="30:36">
      <c r="AD1252" s="22"/>
      <c r="AE1252" s="22"/>
      <c r="AF1252" s="22"/>
      <c r="AG1252" s="22"/>
      <c r="AH1252" s="22"/>
      <c r="AI1252" s="22"/>
      <c r="AJ1252" s="22"/>
    </row>
    <row r="1253" spans="30:36">
      <c r="AD1253" s="22"/>
      <c r="AE1253" s="22"/>
      <c r="AF1253" s="22"/>
      <c r="AG1253" s="22"/>
      <c r="AH1253" s="22"/>
      <c r="AI1253" s="22"/>
      <c r="AJ1253" s="22"/>
    </row>
    <row r="1254" spans="30:36">
      <c r="AD1254" s="22"/>
      <c r="AE1254" s="22"/>
      <c r="AF1254" s="22"/>
      <c r="AG1254" s="22"/>
      <c r="AH1254" s="22"/>
      <c r="AI1254" s="22"/>
      <c r="AJ1254" s="22"/>
    </row>
    <row r="1255" spans="30:36">
      <c r="AD1255" s="22"/>
      <c r="AE1255" s="22"/>
      <c r="AF1255" s="22"/>
      <c r="AG1255" s="22"/>
      <c r="AH1255" s="22"/>
      <c r="AI1255" s="22"/>
      <c r="AJ1255" s="22"/>
    </row>
    <row r="1256" spans="30:36">
      <c r="AD1256" s="22"/>
      <c r="AE1256" s="22"/>
      <c r="AF1256" s="22"/>
      <c r="AG1256" s="22"/>
      <c r="AH1256" s="22"/>
      <c r="AI1256" s="22"/>
      <c r="AJ1256" s="22"/>
    </row>
    <row r="1257" spans="30:36">
      <c r="AD1257" s="22"/>
      <c r="AE1257" s="22"/>
      <c r="AF1257" s="22"/>
      <c r="AG1257" s="22"/>
      <c r="AH1257" s="22"/>
      <c r="AI1257" s="22"/>
      <c r="AJ1257" s="22"/>
    </row>
    <row r="1258" spans="30:36">
      <c r="AD1258" s="22"/>
      <c r="AE1258" s="22"/>
      <c r="AF1258" s="22"/>
      <c r="AG1258" s="22"/>
      <c r="AH1258" s="22"/>
      <c r="AI1258" s="22"/>
      <c r="AJ1258" s="22"/>
    </row>
    <row r="1259" spans="30:36">
      <c r="AD1259" s="22"/>
      <c r="AE1259" s="22"/>
      <c r="AF1259" s="22"/>
      <c r="AG1259" s="22"/>
      <c r="AH1259" s="22"/>
      <c r="AI1259" s="22"/>
      <c r="AJ1259" s="22"/>
    </row>
    <row r="1260" spans="30:36">
      <c r="AD1260" s="22"/>
      <c r="AE1260" s="22"/>
      <c r="AF1260" s="22"/>
      <c r="AG1260" s="22"/>
      <c r="AH1260" s="22"/>
      <c r="AI1260" s="22"/>
      <c r="AJ1260" s="22"/>
    </row>
    <row r="1261" spans="30:36">
      <c r="AD1261" s="22"/>
      <c r="AE1261" s="22"/>
      <c r="AF1261" s="22"/>
      <c r="AG1261" s="22"/>
      <c r="AH1261" s="22"/>
      <c r="AI1261" s="22"/>
      <c r="AJ1261" s="22"/>
    </row>
    <row r="1262" spans="30:36">
      <c r="AD1262" s="22"/>
      <c r="AE1262" s="22"/>
      <c r="AF1262" s="22"/>
      <c r="AG1262" s="22"/>
      <c r="AH1262" s="22"/>
      <c r="AI1262" s="22"/>
      <c r="AJ1262" s="22"/>
    </row>
    <row r="1263" spans="30:36">
      <c r="AD1263" s="22"/>
      <c r="AE1263" s="22"/>
      <c r="AF1263" s="22"/>
      <c r="AG1263" s="22"/>
      <c r="AH1263" s="22"/>
      <c r="AI1263" s="22"/>
      <c r="AJ1263" s="22"/>
    </row>
    <row r="1264" spans="30:36">
      <c r="AD1264" s="22"/>
      <c r="AE1264" s="22"/>
      <c r="AF1264" s="22"/>
      <c r="AG1264" s="22"/>
      <c r="AH1264" s="22"/>
      <c r="AI1264" s="22"/>
      <c r="AJ1264" s="22"/>
    </row>
    <row r="1265" spans="30:36">
      <c r="AD1265" s="22"/>
      <c r="AE1265" s="22"/>
      <c r="AF1265" s="22"/>
      <c r="AG1265" s="22"/>
      <c r="AH1265" s="22"/>
      <c r="AI1265" s="22"/>
      <c r="AJ1265" s="22"/>
    </row>
    <row r="1266" spans="30:36">
      <c r="AD1266" s="22"/>
      <c r="AE1266" s="22"/>
      <c r="AF1266" s="22"/>
      <c r="AG1266" s="22"/>
      <c r="AH1266" s="22"/>
      <c r="AI1266" s="22"/>
      <c r="AJ1266" s="22"/>
    </row>
    <row r="1267" spans="30:36">
      <c r="AD1267" s="22"/>
      <c r="AE1267" s="22"/>
      <c r="AF1267" s="22"/>
      <c r="AG1267" s="22"/>
      <c r="AH1267" s="22"/>
      <c r="AI1267" s="22"/>
      <c r="AJ1267" s="22"/>
    </row>
    <row r="1268" spans="30:36">
      <c r="AD1268" s="22"/>
      <c r="AE1268" s="22"/>
      <c r="AF1268" s="22"/>
      <c r="AG1268" s="22"/>
      <c r="AH1268" s="22"/>
      <c r="AI1268" s="22"/>
      <c r="AJ1268" s="22"/>
    </row>
    <row r="1269" spans="30:36">
      <c r="AD1269" s="22"/>
      <c r="AE1269" s="22"/>
      <c r="AF1269" s="22"/>
      <c r="AG1269" s="22"/>
      <c r="AH1269" s="22"/>
      <c r="AI1269" s="22"/>
      <c r="AJ1269" s="22"/>
    </row>
    <row r="1270" spans="30:36">
      <c r="AD1270" s="22"/>
      <c r="AE1270" s="22"/>
      <c r="AF1270" s="22"/>
      <c r="AG1270" s="22"/>
      <c r="AH1270" s="22"/>
      <c r="AI1270" s="22"/>
      <c r="AJ1270" s="22"/>
    </row>
    <row r="1271" spans="30:36">
      <c r="AD1271" s="22"/>
      <c r="AE1271" s="22"/>
      <c r="AF1271" s="22"/>
      <c r="AG1271" s="22"/>
      <c r="AH1271" s="22"/>
      <c r="AI1271" s="22"/>
      <c r="AJ1271" s="22"/>
    </row>
    <row r="1272" spans="30:36">
      <c r="AD1272" s="22"/>
      <c r="AE1272" s="22"/>
      <c r="AF1272" s="22"/>
      <c r="AG1272" s="22"/>
      <c r="AH1272" s="22"/>
      <c r="AI1272" s="22"/>
      <c r="AJ1272" s="22"/>
    </row>
    <row r="1273" spans="30:36">
      <c r="AD1273" s="22"/>
      <c r="AE1273" s="22"/>
      <c r="AF1273" s="22"/>
      <c r="AG1273" s="22"/>
      <c r="AH1273" s="22"/>
      <c r="AI1273" s="22"/>
      <c r="AJ1273" s="22"/>
    </row>
    <row r="1274" spans="30:36">
      <c r="AD1274" s="22"/>
      <c r="AE1274" s="22"/>
      <c r="AF1274" s="22"/>
      <c r="AG1274" s="22"/>
      <c r="AH1274" s="22"/>
      <c r="AI1274" s="22"/>
      <c r="AJ1274" s="22"/>
    </row>
    <row r="1275" spans="30:36">
      <c r="AD1275" s="22"/>
      <c r="AE1275" s="22"/>
      <c r="AF1275" s="22"/>
      <c r="AG1275" s="22"/>
      <c r="AH1275" s="22"/>
      <c r="AI1275" s="22"/>
      <c r="AJ1275" s="22"/>
    </row>
    <row r="1276" spans="30:36">
      <c r="AD1276" s="22"/>
      <c r="AE1276" s="22"/>
      <c r="AF1276" s="22"/>
      <c r="AG1276" s="22"/>
      <c r="AH1276" s="22"/>
      <c r="AI1276" s="22"/>
      <c r="AJ1276" s="22"/>
    </row>
    <row r="1277" spans="30:36">
      <c r="AD1277" s="22"/>
      <c r="AE1277" s="22"/>
      <c r="AF1277" s="22"/>
      <c r="AG1277" s="22"/>
      <c r="AH1277" s="22"/>
      <c r="AI1277" s="22"/>
      <c r="AJ1277" s="22"/>
    </row>
    <row r="1278" spans="30:36">
      <c r="AD1278" s="22"/>
      <c r="AE1278" s="22"/>
      <c r="AF1278" s="22"/>
      <c r="AG1278" s="22"/>
      <c r="AH1278" s="22"/>
      <c r="AI1278" s="22"/>
      <c r="AJ1278" s="22"/>
    </row>
    <row r="1279" spans="30:36">
      <c r="AD1279" s="22"/>
      <c r="AE1279" s="22"/>
      <c r="AF1279" s="22"/>
      <c r="AG1279" s="22"/>
      <c r="AH1279" s="22"/>
      <c r="AI1279" s="22"/>
      <c r="AJ1279" s="22"/>
    </row>
    <row r="1280" spans="30:36">
      <c r="AD1280" s="22"/>
      <c r="AE1280" s="22"/>
      <c r="AF1280" s="22"/>
      <c r="AG1280" s="22"/>
      <c r="AH1280" s="22"/>
      <c r="AI1280" s="22"/>
      <c r="AJ1280" s="22"/>
    </row>
    <row r="1281" spans="30:36">
      <c r="AD1281" s="22"/>
      <c r="AE1281" s="22"/>
      <c r="AF1281" s="22"/>
      <c r="AG1281" s="22"/>
      <c r="AH1281" s="22"/>
      <c r="AI1281" s="22"/>
      <c r="AJ1281" s="22"/>
    </row>
    <row r="1282" spans="30:36">
      <c r="AD1282" s="22"/>
      <c r="AE1282" s="22"/>
      <c r="AF1282" s="22"/>
      <c r="AG1282" s="22"/>
      <c r="AH1282" s="22"/>
      <c r="AI1282" s="22"/>
      <c r="AJ1282" s="22"/>
    </row>
    <row r="1283" spans="30:36">
      <c r="AD1283" s="22"/>
      <c r="AE1283" s="22"/>
      <c r="AF1283" s="22"/>
      <c r="AG1283" s="22"/>
      <c r="AH1283" s="22"/>
      <c r="AI1283" s="22"/>
      <c r="AJ1283" s="22"/>
    </row>
    <row r="1284" spans="30:36">
      <c r="AD1284" s="22"/>
      <c r="AE1284" s="22"/>
      <c r="AF1284" s="22"/>
      <c r="AG1284" s="22"/>
      <c r="AH1284" s="22"/>
      <c r="AI1284" s="22"/>
      <c r="AJ1284" s="22"/>
    </row>
    <row r="1285" spans="30:36">
      <c r="AD1285" s="22"/>
      <c r="AE1285" s="22"/>
      <c r="AF1285" s="22"/>
      <c r="AG1285" s="22"/>
      <c r="AH1285" s="22"/>
      <c r="AI1285" s="22"/>
      <c r="AJ1285" s="22"/>
    </row>
    <row r="1286" spans="30:36">
      <c r="AD1286" s="22"/>
      <c r="AE1286" s="22"/>
      <c r="AF1286" s="22"/>
      <c r="AG1286" s="22"/>
      <c r="AH1286" s="22"/>
      <c r="AI1286" s="22"/>
      <c r="AJ1286" s="22"/>
    </row>
    <row r="1287" spans="30:36">
      <c r="AD1287" s="22"/>
      <c r="AE1287" s="22"/>
      <c r="AF1287" s="22"/>
      <c r="AG1287" s="22"/>
      <c r="AH1287" s="22"/>
      <c r="AI1287" s="22"/>
      <c r="AJ1287" s="22"/>
    </row>
    <row r="1288" spans="30:36">
      <c r="AD1288" s="22"/>
      <c r="AE1288" s="22"/>
      <c r="AF1288" s="22"/>
      <c r="AG1288" s="22"/>
      <c r="AH1288" s="22"/>
      <c r="AI1288" s="22"/>
      <c r="AJ1288" s="22"/>
    </row>
    <row r="1289" spans="30:36">
      <c r="AD1289" s="22"/>
      <c r="AE1289" s="22"/>
      <c r="AF1289" s="22"/>
      <c r="AG1289" s="22"/>
      <c r="AH1289" s="22"/>
      <c r="AI1289" s="22"/>
      <c r="AJ1289" s="22"/>
    </row>
    <row r="1290" spans="30:36">
      <c r="AD1290" s="22"/>
      <c r="AE1290" s="22"/>
      <c r="AF1290" s="22"/>
      <c r="AG1290" s="22"/>
      <c r="AH1290" s="22"/>
      <c r="AI1290" s="22"/>
      <c r="AJ1290" s="22"/>
    </row>
    <row r="1291" spans="30:36">
      <c r="AD1291" s="22"/>
      <c r="AE1291" s="22"/>
      <c r="AF1291" s="22"/>
      <c r="AG1291" s="22"/>
      <c r="AH1291" s="22"/>
      <c r="AI1291" s="22"/>
      <c r="AJ1291" s="22"/>
    </row>
    <row r="1292" spans="30:36">
      <c r="AD1292" s="22"/>
      <c r="AE1292" s="22"/>
      <c r="AF1292" s="22"/>
      <c r="AG1292" s="22"/>
      <c r="AH1292" s="22"/>
      <c r="AI1292" s="22"/>
      <c r="AJ1292" s="22"/>
    </row>
    <row r="1293" spans="30:36">
      <c r="AD1293" s="22"/>
      <c r="AE1293" s="22"/>
      <c r="AF1293" s="22"/>
      <c r="AG1293" s="22"/>
      <c r="AH1293" s="22"/>
      <c r="AI1293" s="22"/>
      <c r="AJ1293" s="22"/>
    </row>
    <row r="1294" spans="30:36">
      <c r="AD1294" s="22"/>
      <c r="AE1294" s="22"/>
      <c r="AF1294" s="22"/>
      <c r="AG1294" s="22"/>
      <c r="AH1294" s="22"/>
      <c r="AI1294" s="22"/>
      <c r="AJ1294" s="22"/>
    </row>
    <row r="1295" spans="30:36">
      <c r="AD1295" s="22"/>
      <c r="AE1295" s="22"/>
      <c r="AF1295" s="22"/>
      <c r="AG1295" s="22"/>
      <c r="AH1295" s="22"/>
      <c r="AI1295" s="22"/>
      <c r="AJ1295" s="22"/>
    </row>
    <row r="1296" spans="30:36">
      <c r="AD1296" s="22"/>
      <c r="AE1296" s="22"/>
      <c r="AF1296" s="22"/>
      <c r="AG1296" s="22"/>
      <c r="AH1296" s="22"/>
      <c r="AI1296" s="22"/>
      <c r="AJ1296" s="22"/>
    </row>
    <row r="1297" spans="30:36">
      <c r="AD1297" s="22"/>
      <c r="AE1297" s="22"/>
      <c r="AF1297" s="22"/>
      <c r="AG1297" s="22"/>
      <c r="AH1297" s="22"/>
      <c r="AI1297" s="22"/>
      <c r="AJ1297" s="22"/>
    </row>
    <row r="1298" spans="30:36">
      <c r="AD1298" s="22"/>
      <c r="AE1298" s="22"/>
      <c r="AF1298" s="22"/>
      <c r="AG1298" s="22"/>
      <c r="AH1298" s="22"/>
      <c r="AI1298" s="22"/>
      <c r="AJ1298" s="22"/>
    </row>
    <row r="1299" spans="30:36">
      <c r="AD1299" s="22"/>
      <c r="AE1299" s="22"/>
      <c r="AF1299" s="22"/>
      <c r="AG1299" s="22"/>
      <c r="AH1299" s="22"/>
      <c r="AI1299" s="22"/>
      <c r="AJ1299" s="22"/>
    </row>
    <row r="1300" spans="30:36">
      <c r="AD1300" s="22"/>
      <c r="AE1300" s="22"/>
      <c r="AF1300" s="22"/>
      <c r="AG1300" s="22"/>
      <c r="AH1300" s="22"/>
      <c r="AI1300" s="22"/>
      <c r="AJ1300" s="22"/>
    </row>
    <row r="1301" spans="30:36">
      <c r="AD1301" s="22"/>
      <c r="AE1301" s="22"/>
      <c r="AF1301" s="22"/>
      <c r="AG1301" s="22"/>
      <c r="AH1301" s="22"/>
      <c r="AI1301" s="22"/>
      <c r="AJ1301" s="22"/>
    </row>
    <row r="1302" spans="30:36">
      <c r="AD1302" s="22"/>
      <c r="AE1302" s="22"/>
      <c r="AF1302" s="22"/>
      <c r="AG1302" s="22"/>
      <c r="AH1302" s="22"/>
      <c r="AI1302" s="22"/>
      <c r="AJ1302" s="22"/>
    </row>
    <row r="1303" spans="30:36">
      <c r="AD1303" s="22"/>
      <c r="AE1303" s="22"/>
      <c r="AF1303" s="22"/>
      <c r="AG1303" s="22"/>
      <c r="AH1303" s="22"/>
      <c r="AI1303" s="22"/>
      <c r="AJ1303" s="22"/>
    </row>
    <row r="1304" spans="30:36">
      <c r="AD1304" s="22"/>
      <c r="AE1304" s="22"/>
      <c r="AF1304" s="22"/>
      <c r="AG1304" s="22"/>
      <c r="AH1304" s="22"/>
      <c r="AI1304" s="22"/>
      <c r="AJ1304" s="22"/>
    </row>
    <row r="1305" spans="30:36">
      <c r="AD1305" s="22"/>
      <c r="AE1305" s="22"/>
      <c r="AF1305" s="22"/>
      <c r="AG1305" s="22"/>
      <c r="AH1305" s="22"/>
      <c r="AI1305" s="22"/>
      <c r="AJ1305" s="22"/>
    </row>
    <row r="1306" spans="30:36">
      <c r="AD1306" s="22"/>
      <c r="AE1306" s="22"/>
      <c r="AF1306" s="22"/>
      <c r="AG1306" s="22"/>
      <c r="AH1306" s="22"/>
      <c r="AI1306" s="22"/>
      <c r="AJ1306" s="22"/>
    </row>
    <row r="1307" spans="30:36">
      <c r="AD1307" s="22"/>
      <c r="AE1307" s="22"/>
      <c r="AF1307" s="22"/>
      <c r="AG1307" s="22"/>
      <c r="AH1307" s="22"/>
      <c r="AI1307" s="22"/>
      <c r="AJ1307" s="22"/>
    </row>
    <row r="1308" spans="30:36">
      <c r="AD1308" s="22"/>
      <c r="AE1308" s="22"/>
      <c r="AF1308" s="22"/>
      <c r="AG1308" s="22"/>
      <c r="AH1308" s="22"/>
      <c r="AI1308" s="22"/>
      <c r="AJ1308" s="22"/>
    </row>
    <row r="1309" spans="30:36">
      <c r="AD1309" s="22"/>
      <c r="AE1309" s="22"/>
      <c r="AF1309" s="22"/>
      <c r="AG1309" s="22"/>
      <c r="AH1309" s="22"/>
      <c r="AI1309" s="22"/>
      <c r="AJ1309" s="22"/>
    </row>
    <row r="1310" spans="30:36">
      <c r="AD1310" s="22"/>
      <c r="AE1310" s="22"/>
      <c r="AF1310" s="22"/>
      <c r="AG1310" s="22"/>
      <c r="AH1310" s="22"/>
      <c r="AI1310" s="22"/>
      <c r="AJ1310" s="22"/>
    </row>
    <row r="1311" spans="30:36">
      <c r="AD1311" s="22"/>
      <c r="AE1311" s="22"/>
      <c r="AF1311" s="22"/>
      <c r="AG1311" s="22"/>
      <c r="AH1311" s="22"/>
      <c r="AI1311" s="22"/>
      <c r="AJ1311" s="22"/>
    </row>
    <row r="1312" spans="30:36">
      <c r="AD1312" s="22"/>
      <c r="AE1312" s="22"/>
      <c r="AF1312" s="22"/>
      <c r="AG1312" s="22"/>
      <c r="AH1312" s="22"/>
      <c r="AI1312" s="22"/>
      <c r="AJ1312" s="22"/>
    </row>
    <row r="1313" spans="30:36">
      <c r="AD1313" s="22"/>
      <c r="AE1313" s="22"/>
      <c r="AF1313" s="22"/>
      <c r="AG1313" s="22"/>
      <c r="AH1313" s="22"/>
      <c r="AI1313" s="22"/>
      <c r="AJ1313" s="22"/>
    </row>
    <row r="1314" spans="30:36">
      <c r="AD1314" s="22"/>
      <c r="AE1314" s="22"/>
      <c r="AF1314" s="22"/>
      <c r="AG1314" s="22"/>
      <c r="AH1314" s="22"/>
      <c r="AI1314" s="22"/>
      <c r="AJ1314" s="22"/>
    </row>
    <row r="1315" spans="30:36">
      <c r="AD1315" s="22"/>
      <c r="AE1315" s="22"/>
      <c r="AF1315" s="22"/>
      <c r="AG1315" s="22"/>
      <c r="AH1315" s="22"/>
      <c r="AI1315" s="22"/>
      <c r="AJ1315" s="22"/>
    </row>
    <row r="1316" spans="30:36">
      <c r="AD1316" s="22"/>
      <c r="AE1316" s="22"/>
      <c r="AF1316" s="22"/>
      <c r="AG1316" s="22"/>
      <c r="AH1316" s="22"/>
      <c r="AI1316" s="22"/>
      <c r="AJ1316" s="22"/>
    </row>
    <row r="1317" spans="30:36">
      <c r="AD1317" s="22"/>
      <c r="AE1317" s="22"/>
      <c r="AF1317" s="22"/>
      <c r="AG1317" s="22"/>
      <c r="AH1317" s="22"/>
      <c r="AI1317" s="22"/>
      <c r="AJ1317" s="22"/>
    </row>
    <row r="1318" spans="30:36">
      <c r="AD1318" s="22"/>
      <c r="AE1318" s="22"/>
      <c r="AF1318" s="22"/>
      <c r="AG1318" s="22"/>
      <c r="AH1318" s="22"/>
      <c r="AI1318" s="22"/>
      <c r="AJ1318" s="22"/>
    </row>
    <row r="1319" spans="30:36">
      <c r="AD1319" s="22"/>
      <c r="AE1319" s="22"/>
      <c r="AF1319" s="22"/>
      <c r="AG1319" s="22"/>
      <c r="AH1319" s="22"/>
      <c r="AI1319" s="22"/>
      <c r="AJ1319" s="22"/>
    </row>
    <row r="1320" spans="30:36">
      <c r="AD1320" s="22"/>
      <c r="AE1320" s="22"/>
      <c r="AF1320" s="22"/>
      <c r="AG1320" s="22"/>
      <c r="AH1320" s="22"/>
      <c r="AI1320" s="22"/>
      <c r="AJ1320" s="22"/>
    </row>
    <row r="1321" spans="30:36">
      <c r="AD1321" s="22"/>
      <c r="AE1321" s="22"/>
      <c r="AF1321" s="22"/>
      <c r="AG1321" s="22"/>
      <c r="AH1321" s="22"/>
      <c r="AI1321" s="22"/>
      <c r="AJ1321" s="22"/>
    </row>
    <row r="1322" spans="30:36">
      <c r="AD1322" s="22"/>
      <c r="AE1322" s="22"/>
      <c r="AF1322" s="22"/>
      <c r="AG1322" s="22"/>
      <c r="AH1322" s="22"/>
      <c r="AI1322" s="22"/>
      <c r="AJ1322" s="22"/>
    </row>
    <row r="1323" spans="30:36">
      <c r="AD1323" s="22"/>
      <c r="AE1323" s="22"/>
      <c r="AF1323" s="22"/>
      <c r="AG1323" s="22"/>
      <c r="AH1323" s="22"/>
      <c r="AI1323" s="22"/>
      <c r="AJ1323" s="22"/>
    </row>
    <row r="1324" spans="30:36">
      <c r="AD1324" s="22"/>
      <c r="AE1324" s="22"/>
      <c r="AF1324" s="22"/>
      <c r="AG1324" s="22"/>
      <c r="AH1324" s="22"/>
      <c r="AI1324" s="22"/>
      <c r="AJ1324" s="22"/>
    </row>
    <row r="1325" spans="30:36">
      <c r="AD1325" s="22"/>
      <c r="AE1325" s="22"/>
      <c r="AF1325" s="22"/>
      <c r="AG1325" s="22"/>
      <c r="AH1325" s="22"/>
      <c r="AI1325" s="22"/>
      <c r="AJ1325" s="22"/>
    </row>
    <row r="1326" spans="30:36">
      <c r="AD1326" s="22"/>
      <c r="AE1326" s="22"/>
      <c r="AF1326" s="22"/>
      <c r="AG1326" s="22"/>
      <c r="AH1326" s="22"/>
      <c r="AI1326" s="22"/>
      <c r="AJ1326" s="22"/>
    </row>
    <row r="1327" spans="30:36">
      <c r="AD1327" s="22"/>
      <c r="AE1327" s="22"/>
      <c r="AF1327" s="22"/>
      <c r="AG1327" s="22"/>
      <c r="AH1327" s="22"/>
      <c r="AI1327" s="22"/>
      <c r="AJ1327" s="22"/>
    </row>
    <row r="1328" spans="30:36">
      <c r="AD1328" s="22"/>
      <c r="AE1328" s="22"/>
      <c r="AF1328" s="22"/>
      <c r="AG1328" s="22"/>
      <c r="AH1328" s="22"/>
      <c r="AI1328" s="22"/>
      <c r="AJ1328" s="22"/>
    </row>
    <row r="1329" spans="30:36">
      <c r="AD1329" s="22"/>
      <c r="AE1329" s="22"/>
      <c r="AF1329" s="22"/>
      <c r="AG1329" s="22"/>
      <c r="AH1329" s="22"/>
      <c r="AI1329" s="22"/>
      <c r="AJ1329" s="22"/>
    </row>
    <row r="1330" spans="30:36">
      <c r="AD1330" s="22"/>
      <c r="AE1330" s="22"/>
      <c r="AF1330" s="22"/>
      <c r="AG1330" s="22"/>
      <c r="AH1330" s="22"/>
      <c r="AI1330" s="22"/>
      <c r="AJ1330" s="22"/>
    </row>
    <row r="1331" spans="30:36">
      <c r="AD1331" s="22"/>
      <c r="AE1331" s="22"/>
      <c r="AF1331" s="22"/>
      <c r="AG1331" s="22"/>
      <c r="AH1331" s="22"/>
      <c r="AI1331" s="22"/>
      <c r="AJ1331" s="22"/>
    </row>
    <row r="1332" spans="30:36">
      <c r="AD1332" s="22"/>
      <c r="AE1332" s="22"/>
      <c r="AF1332" s="22"/>
      <c r="AG1332" s="22"/>
      <c r="AH1332" s="22"/>
      <c r="AI1332" s="22"/>
      <c r="AJ1332" s="22"/>
    </row>
    <row r="1333" spans="30:36">
      <c r="AD1333" s="22"/>
      <c r="AE1333" s="22"/>
      <c r="AF1333" s="22"/>
      <c r="AG1333" s="22"/>
      <c r="AH1333" s="22"/>
      <c r="AI1333" s="22"/>
      <c r="AJ1333" s="22"/>
    </row>
    <row r="1334" spans="30:36">
      <c r="AD1334" s="22"/>
      <c r="AE1334" s="22"/>
      <c r="AF1334" s="22"/>
      <c r="AG1334" s="22"/>
      <c r="AH1334" s="22"/>
      <c r="AI1334" s="22"/>
      <c r="AJ1334" s="22"/>
    </row>
    <row r="1335" spans="30:36">
      <c r="AD1335" s="22"/>
      <c r="AE1335" s="22"/>
      <c r="AF1335" s="22"/>
      <c r="AG1335" s="22"/>
      <c r="AH1335" s="22"/>
      <c r="AI1335" s="22"/>
      <c r="AJ1335" s="22"/>
    </row>
    <row r="1336" spans="30:36">
      <c r="AD1336" s="22"/>
      <c r="AE1336" s="22"/>
      <c r="AF1336" s="22"/>
      <c r="AG1336" s="22"/>
      <c r="AH1336" s="22"/>
      <c r="AI1336" s="22"/>
      <c r="AJ1336" s="22"/>
    </row>
    <row r="1337" spans="30:36">
      <c r="AD1337" s="22"/>
      <c r="AE1337" s="22"/>
      <c r="AF1337" s="22"/>
      <c r="AG1337" s="22"/>
      <c r="AH1337" s="22"/>
      <c r="AI1337" s="22"/>
      <c r="AJ1337" s="22"/>
    </row>
    <row r="1338" spans="30:36">
      <c r="AD1338" s="22"/>
      <c r="AE1338" s="22"/>
      <c r="AF1338" s="22"/>
      <c r="AG1338" s="22"/>
      <c r="AH1338" s="22"/>
      <c r="AI1338" s="22"/>
      <c r="AJ1338" s="22"/>
    </row>
    <row r="1339" spans="30:36">
      <c r="AD1339" s="22"/>
      <c r="AE1339" s="22"/>
      <c r="AF1339" s="22"/>
      <c r="AG1339" s="22"/>
      <c r="AH1339" s="22"/>
      <c r="AI1339" s="22"/>
      <c r="AJ1339" s="22"/>
    </row>
    <row r="1340" spans="30:36">
      <c r="AD1340" s="22"/>
      <c r="AE1340" s="22"/>
      <c r="AF1340" s="22"/>
      <c r="AG1340" s="22"/>
      <c r="AH1340" s="22"/>
      <c r="AI1340" s="22"/>
      <c r="AJ1340" s="22"/>
    </row>
    <row r="1341" spans="30:36">
      <c r="AD1341" s="22"/>
      <c r="AE1341" s="22"/>
      <c r="AF1341" s="22"/>
      <c r="AG1341" s="22"/>
      <c r="AH1341" s="22"/>
      <c r="AI1341" s="22"/>
      <c r="AJ1341" s="22"/>
    </row>
    <row r="1342" spans="30:36">
      <c r="AD1342" s="22"/>
      <c r="AE1342" s="22"/>
      <c r="AF1342" s="22"/>
      <c r="AG1342" s="22"/>
      <c r="AH1342" s="22"/>
      <c r="AI1342" s="22"/>
      <c r="AJ1342" s="22"/>
    </row>
    <row r="1343" spans="30:36">
      <c r="AD1343" s="22"/>
      <c r="AE1343" s="22"/>
      <c r="AF1343" s="22"/>
      <c r="AG1343" s="22"/>
      <c r="AH1343" s="22"/>
      <c r="AI1343" s="22"/>
      <c r="AJ1343" s="22"/>
    </row>
    <row r="1344" spans="30:36">
      <c r="AD1344" s="22"/>
      <c r="AE1344" s="22"/>
      <c r="AF1344" s="22"/>
      <c r="AG1344" s="22"/>
      <c r="AH1344" s="22"/>
      <c r="AI1344" s="22"/>
      <c r="AJ1344" s="22"/>
    </row>
    <row r="1345" spans="30:36">
      <c r="AD1345" s="22"/>
      <c r="AE1345" s="22"/>
      <c r="AF1345" s="22"/>
      <c r="AG1345" s="22"/>
      <c r="AH1345" s="22"/>
      <c r="AI1345" s="22"/>
      <c r="AJ1345" s="22"/>
    </row>
    <row r="1346" spans="30:36">
      <c r="AD1346" s="22"/>
      <c r="AE1346" s="22"/>
      <c r="AF1346" s="22"/>
      <c r="AG1346" s="22"/>
      <c r="AH1346" s="22"/>
      <c r="AI1346" s="22"/>
      <c r="AJ1346" s="22"/>
    </row>
    <row r="1347" spans="30:36">
      <c r="AD1347" s="22"/>
      <c r="AE1347" s="22"/>
      <c r="AF1347" s="22"/>
      <c r="AG1347" s="22"/>
      <c r="AH1347" s="22"/>
      <c r="AI1347" s="22"/>
      <c r="AJ1347" s="22"/>
    </row>
    <row r="1348" spans="30:36">
      <c r="AD1348" s="22"/>
      <c r="AE1348" s="22"/>
      <c r="AF1348" s="22"/>
      <c r="AG1348" s="22"/>
      <c r="AH1348" s="22"/>
      <c r="AI1348" s="22"/>
      <c r="AJ1348" s="22"/>
    </row>
    <row r="1349" spans="30:36">
      <c r="AD1349" s="22"/>
      <c r="AE1349" s="22"/>
      <c r="AF1349" s="22"/>
      <c r="AG1349" s="22"/>
      <c r="AH1349" s="22"/>
      <c r="AI1349" s="22"/>
      <c r="AJ1349" s="22"/>
    </row>
    <row r="1350" spans="30:36">
      <c r="AD1350" s="22"/>
      <c r="AE1350" s="22"/>
      <c r="AF1350" s="22"/>
      <c r="AG1350" s="22"/>
      <c r="AH1350" s="22"/>
      <c r="AI1350" s="22"/>
      <c r="AJ1350" s="22"/>
    </row>
    <row r="1351" spans="30:36">
      <c r="AD1351" s="22"/>
      <c r="AE1351" s="22"/>
      <c r="AF1351" s="22"/>
      <c r="AG1351" s="22"/>
      <c r="AH1351" s="22"/>
      <c r="AI1351" s="22"/>
      <c r="AJ1351" s="22"/>
    </row>
    <row r="1352" spans="30:36">
      <c r="AD1352" s="22"/>
      <c r="AE1352" s="22"/>
      <c r="AF1352" s="22"/>
      <c r="AG1352" s="22"/>
      <c r="AH1352" s="22"/>
      <c r="AI1352" s="22"/>
      <c r="AJ1352" s="22"/>
    </row>
    <row r="1353" spans="30:36">
      <c r="AD1353" s="22"/>
      <c r="AE1353" s="22"/>
      <c r="AF1353" s="22"/>
      <c r="AG1353" s="22"/>
      <c r="AH1353" s="22"/>
      <c r="AI1353" s="22"/>
      <c r="AJ1353" s="22"/>
    </row>
    <row r="1354" spans="30:36">
      <c r="AD1354" s="22"/>
      <c r="AE1354" s="22"/>
      <c r="AF1354" s="22"/>
      <c r="AG1354" s="22"/>
      <c r="AH1354" s="22"/>
      <c r="AI1354" s="22"/>
      <c r="AJ1354" s="22"/>
    </row>
    <row r="1355" spans="30:36">
      <c r="AD1355" s="22"/>
      <c r="AE1355" s="22"/>
      <c r="AF1355" s="22"/>
      <c r="AG1355" s="22"/>
      <c r="AH1355" s="22"/>
      <c r="AI1355" s="22"/>
      <c r="AJ1355" s="22"/>
    </row>
    <row r="1356" spans="30:36">
      <c r="AD1356" s="22"/>
      <c r="AE1356" s="22"/>
      <c r="AF1356" s="22"/>
      <c r="AG1356" s="22"/>
      <c r="AH1356" s="22"/>
      <c r="AI1356" s="22"/>
      <c r="AJ1356" s="22"/>
    </row>
    <row r="1357" spans="30:36">
      <c r="AD1357" s="22"/>
      <c r="AE1357" s="22"/>
      <c r="AF1357" s="22"/>
      <c r="AG1357" s="22"/>
      <c r="AH1357" s="22"/>
      <c r="AI1357" s="22"/>
      <c r="AJ1357" s="22"/>
    </row>
    <row r="1358" spans="30:36">
      <c r="AD1358" s="22"/>
      <c r="AE1358" s="22"/>
      <c r="AF1358" s="22"/>
      <c r="AG1358" s="22"/>
      <c r="AH1358" s="22"/>
      <c r="AI1358" s="22"/>
      <c r="AJ1358" s="22"/>
    </row>
    <row r="1359" spans="30:36">
      <c r="AD1359" s="22"/>
      <c r="AE1359" s="22"/>
      <c r="AF1359" s="22"/>
      <c r="AG1359" s="22"/>
      <c r="AH1359" s="22"/>
      <c r="AI1359" s="22"/>
      <c r="AJ1359" s="22"/>
    </row>
    <row r="1360" spans="30:36">
      <c r="AD1360" s="22"/>
      <c r="AE1360" s="22"/>
      <c r="AF1360" s="22"/>
      <c r="AG1360" s="22"/>
      <c r="AH1360" s="22"/>
      <c r="AI1360" s="22"/>
      <c r="AJ1360" s="22"/>
    </row>
    <row r="1361" spans="30:36">
      <c r="AD1361" s="22"/>
      <c r="AE1361" s="22"/>
      <c r="AF1361" s="22"/>
      <c r="AG1361" s="22"/>
      <c r="AH1361" s="22"/>
      <c r="AI1361" s="22"/>
      <c r="AJ1361" s="22"/>
    </row>
    <row r="1362" spans="30:36">
      <c r="AD1362" s="22"/>
      <c r="AE1362" s="22"/>
      <c r="AF1362" s="22"/>
      <c r="AG1362" s="22"/>
      <c r="AH1362" s="22"/>
      <c r="AI1362" s="22"/>
      <c r="AJ1362" s="22"/>
    </row>
    <row r="1363" spans="30:36">
      <c r="AD1363" s="22"/>
      <c r="AE1363" s="22"/>
      <c r="AF1363" s="22"/>
      <c r="AG1363" s="22"/>
      <c r="AH1363" s="22"/>
      <c r="AI1363" s="22"/>
      <c r="AJ1363" s="22"/>
    </row>
    <row r="1364" spans="30:36">
      <c r="AD1364" s="22"/>
      <c r="AE1364" s="22"/>
      <c r="AF1364" s="22"/>
      <c r="AG1364" s="22"/>
      <c r="AH1364" s="22"/>
      <c r="AI1364" s="22"/>
      <c r="AJ1364" s="22"/>
    </row>
    <row r="1365" spans="30:36">
      <c r="AD1365" s="22"/>
      <c r="AE1365" s="22"/>
      <c r="AF1365" s="22"/>
      <c r="AG1365" s="22"/>
      <c r="AH1365" s="22"/>
      <c r="AI1365" s="22"/>
      <c r="AJ1365" s="22"/>
    </row>
    <row r="1366" spans="30:36">
      <c r="AD1366" s="22"/>
      <c r="AE1366" s="22"/>
      <c r="AF1366" s="22"/>
      <c r="AG1366" s="22"/>
      <c r="AH1366" s="22"/>
      <c r="AI1366" s="22"/>
      <c r="AJ1366" s="22"/>
    </row>
    <row r="1367" spans="30:36">
      <c r="AD1367" s="22"/>
      <c r="AE1367" s="22"/>
      <c r="AF1367" s="22"/>
      <c r="AG1367" s="22"/>
      <c r="AH1367" s="22"/>
      <c r="AI1367" s="22"/>
      <c r="AJ1367" s="22"/>
    </row>
    <row r="1368" spans="30:36">
      <c r="AD1368" s="22"/>
      <c r="AE1368" s="22"/>
      <c r="AF1368" s="22"/>
      <c r="AG1368" s="22"/>
      <c r="AH1368" s="22"/>
      <c r="AI1368" s="22"/>
      <c r="AJ1368" s="22"/>
    </row>
    <row r="1369" spans="30:36">
      <c r="AD1369" s="22"/>
      <c r="AE1369" s="22"/>
      <c r="AF1369" s="22"/>
      <c r="AG1369" s="22"/>
      <c r="AH1369" s="22"/>
      <c r="AI1369" s="22"/>
      <c r="AJ1369" s="22"/>
    </row>
    <row r="1370" spans="30:36">
      <c r="AD1370" s="22"/>
      <c r="AE1370" s="22"/>
      <c r="AF1370" s="22"/>
      <c r="AG1370" s="22"/>
      <c r="AH1370" s="22"/>
      <c r="AI1370" s="22"/>
      <c r="AJ1370" s="22"/>
    </row>
    <row r="1371" spans="30:36">
      <c r="AD1371" s="22"/>
      <c r="AE1371" s="22"/>
      <c r="AF1371" s="22"/>
      <c r="AG1371" s="22"/>
      <c r="AH1371" s="22"/>
      <c r="AI1371" s="22"/>
      <c r="AJ1371" s="22"/>
    </row>
    <row r="1372" spans="30:36">
      <c r="AD1372" s="22"/>
      <c r="AE1372" s="22"/>
      <c r="AF1372" s="22"/>
      <c r="AG1372" s="22"/>
      <c r="AH1372" s="22"/>
      <c r="AI1372" s="22"/>
      <c r="AJ1372" s="22"/>
    </row>
    <row r="1373" spans="30:36">
      <c r="AD1373" s="22"/>
      <c r="AE1373" s="22"/>
      <c r="AF1373" s="22"/>
      <c r="AG1373" s="22"/>
      <c r="AH1373" s="22"/>
      <c r="AI1373" s="22"/>
      <c r="AJ1373" s="22"/>
    </row>
    <row r="1374" spans="30:36">
      <c r="AD1374" s="22"/>
      <c r="AE1374" s="22"/>
      <c r="AF1374" s="22"/>
      <c r="AG1374" s="22"/>
      <c r="AH1374" s="22"/>
      <c r="AI1374" s="22"/>
      <c r="AJ1374" s="22"/>
    </row>
    <row r="1375" spans="30:36">
      <c r="AD1375" s="22"/>
      <c r="AE1375" s="22"/>
      <c r="AF1375" s="22"/>
      <c r="AG1375" s="22"/>
      <c r="AH1375" s="22"/>
      <c r="AI1375" s="22"/>
      <c r="AJ1375" s="22"/>
    </row>
    <row r="1376" spans="30:36">
      <c r="AD1376" s="22"/>
      <c r="AE1376" s="22"/>
      <c r="AF1376" s="22"/>
      <c r="AG1376" s="22"/>
      <c r="AH1376" s="22"/>
      <c r="AI1376" s="22"/>
      <c r="AJ1376" s="22"/>
    </row>
    <row r="1377" spans="30:36">
      <c r="AD1377" s="22"/>
      <c r="AE1377" s="22"/>
      <c r="AF1377" s="22"/>
      <c r="AG1377" s="22"/>
      <c r="AH1377" s="22"/>
      <c r="AI1377" s="22"/>
      <c r="AJ1377" s="22"/>
    </row>
    <row r="1378" spans="30:36">
      <c r="AD1378" s="22"/>
      <c r="AE1378" s="22"/>
      <c r="AF1378" s="22"/>
      <c r="AG1378" s="22"/>
      <c r="AH1378" s="22"/>
      <c r="AI1378" s="22"/>
      <c r="AJ1378" s="22"/>
    </row>
    <row r="1379" spans="30:36">
      <c r="AD1379" s="22"/>
      <c r="AE1379" s="22"/>
      <c r="AF1379" s="22"/>
      <c r="AG1379" s="22"/>
      <c r="AH1379" s="22"/>
      <c r="AI1379" s="22"/>
      <c r="AJ1379" s="22"/>
    </row>
    <row r="1380" spans="30:36">
      <c r="AD1380" s="22"/>
      <c r="AE1380" s="22"/>
      <c r="AF1380" s="22"/>
      <c r="AG1380" s="22"/>
      <c r="AH1380" s="22"/>
      <c r="AI1380" s="22"/>
      <c r="AJ1380" s="22"/>
    </row>
    <row r="1381" spans="30:36">
      <c r="AD1381" s="22"/>
      <c r="AE1381" s="22"/>
      <c r="AF1381" s="22"/>
      <c r="AG1381" s="22"/>
      <c r="AH1381" s="22"/>
      <c r="AI1381" s="22"/>
      <c r="AJ1381" s="22"/>
    </row>
    <row r="1382" spans="30:36">
      <c r="AD1382" s="22"/>
      <c r="AE1382" s="22"/>
      <c r="AF1382" s="22"/>
      <c r="AG1382" s="22"/>
      <c r="AH1382" s="22"/>
      <c r="AI1382" s="22"/>
      <c r="AJ1382" s="22"/>
    </row>
    <row r="1383" spans="30:36">
      <c r="AD1383" s="22"/>
      <c r="AE1383" s="22"/>
      <c r="AF1383" s="22"/>
      <c r="AG1383" s="22"/>
      <c r="AH1383" s="22"/>
      <c r="AI1383" s="22"/>
      <c r="AJ1383" s="22"/>
    </row>
    <row r="1384" spans="30:36">
      <c r="AD1384" s="22"/>
      <c r="AE1384" s="22"/>
      <c r="AF1384" s="22"/>
      <c r="AG1384" s="22"/>
      <c r="AH1384" s="22"/>
      <c r="AI1384" s="22"/>
      <c r="AJ1384" s="22"/>
    </row>
    <row r="1385" spans="30:36">
      <c r="AD1385" s="22"/>
      <c r="AE1385" s="22"/>
      <c r="AF1385" s="22"/>
      <c r="AG1385" s="22"/>
      <c r="AH1385" s="22"/>
      <c r="AI1385" s="22"/>
      <c r="AJ1385" s="22"/>
    </row>
    <row r="1386" spans="30:36">
      <c r="AD1386" s="22"/>
      <c r="AE1386" s="22"/>
      <c r="AF1386" s="22"/>
      <c r="AG1386" s="22"/>
      <c r="AH1386" s="22"/>
      <c r="AI1386" s="22"/>
      <c r="AJ1386" s="22"/>
    </row>
    <row r="1387" spans="30:36">
      <c r="AD1387" s="22"/>
      <c r="AE1387" s="22"/>
      <c r="AF1387" s="22"/>
      <c r="AG1387" s="22"/>
      <c r="AH1387" s="22"/>
      <c r="AI1387" s="22"/>
      <c r="AJ1387" s="22"/>
    </row>
    <row r="1388" spans="30:36">
      <c r="AD1388" s="22"/>
      <c r="AE1388" s="22"/>
      <c r="AF1388" s="22"/>
      <c r="AG1388" s="22"/>
      <c r="AH1388" s="22"/>
      <c r="AI1388" s="22"/>
      <c r="AJ1388" s="22"/>
    </row>
    <row r="1389" spans="30:36">
      <c r="AD1389" s="22"/>
      <c r="AE1389" s="22"/>
      <c r="AF1389" s="22"/>
      <c r="AG1389" s="22"/>
      <c r="AH1389" s="22"/>
      <c r="AI1389" s="22"/>
      <c r="AJ1389" s="22"/>
    </row>
    <row r="1390" spans="30:36">
      <c r="AD1390" s="22"/>
      <c r="AE1390" s="22"/>
      <c r="AF1390" s="22"/>
      <c r="AG1390" s="22"/>
      <c r="AH1390" s="22"/>
      <c r="AI1390" s="22"/>
      <c r="AJ1390" s="22"/>
    </row>
    <row r="1391" spans="30:36">
      <c r="AD1391" s="22"/>
      <c r="AE1391" s="22"/>
      <c r="AF1391" s="22"/>
      <c r="AG1391" s="22"/>
      <c r="AH1391" s="22"/>
      <c r="AI1391" s="22"/>
      <c r="AJ1391" s="22"/>
    </row>
    <row r="1392" spans="30:36">
      <c r="AD1392" s="22"/>
      <c r="AE1392" s="22"/>
      <c r="AF1392" s="22"/>
      <c r="AG1392" s="22"/>
      <c r="AH1392" s="22"/>
      <c r="AI1392" s="22"/>
      <c r="AJ1392" s="22"/>
    </row>
    <row r="1393" spans="30:36">
      <c r="AD1393" s="22"/>
      <c r="AE1393" s="22"/>
      <c r="AF1393" s="22"/>
      <c r="AG1393" s="22"/>
      <c r="AH1393" s="22"/>
      <c r="AI1393" s="22"/>
      <c r="AJ1393" s="22"/>
    </row>
    <row r="1394" spans="30:36">
      <c r="AD1394" s="22"/>
      <c r="AE1394" s="22"/>
      <c r="AF1394" s="22"/>
      <c r="AG1394" s="22"/>
      <c r="AH1394" s="22"/>
      <c r="AI1394" s="22"/>
      <c r="AJ1394" s="22"/>
    </row>
    <row r="1395" spans="30:36">
      <c r="AD1395" s="22"/>
      <c r="AE1395" s="22"/>
      <c r="AF1395" s="22"/>
      <c r="AG1395" s="22"/>
      <c r="AH1395" s="22"/>
      <c r="AI1395" s="22"/>
      <c r="AJ1395" s="22"/>
    </row>
    <row r="1396" spans="30:36">
      <c r="AD1396" s="22"/>
      <c r="AE1396" s="22"/>
      <c r="AF1396" s="22"/>
      <c r="AG1396" s="22"/>
      <c r="AH1396" s="22"/>
      <c r="AI1396" s="22"/>
      <c r="AJ1396" s="22"/>
    </row>
    <row r="1397" spans="30:36">
      <c r="AD1397" s="22"/>
      <c r="AE1397" s="22"/>
      <c r="AF1397" s="22"/>
      <c r="AG1397" s="22"/>
      <c r="AH1397" s="22"/>
      <c r="AI1397" s="22"/>
      <c r="AJ1397" s="22"/>
    </row>
    <row r="1398" spans="30:36">
      <c r="AD1398" s="22"/>
      <c r="AE1398" s="22"/>
      <c r="AF1398" s="22"/>
      <c r="AG1398" s="22"/>
      <c r="AH1398" s="22"/>
      <c r="AI1398" s="22"/>
      <c r="AJ1398" s="22"/>
    </row>
    <row r="1399" spans="30:36">
      <c r="AD1399" s="22"/>
      <c r="AE1399" s="22"/>
      <c r="AF1399" s="22"/>
      <c r="AG1399" s="22"/>
      <c r="AH1399" s="22"/>
      <c r="AI1399" s="22"/>
      <c r="AJ1399" s="22"/>
    </row>
    <row r="1400" spans="30:36">
      <c r="AD1400" s="22"/>
      <c r="AE1400" s="22"/>
      <c r="AF1400" s="22"/>
      <c r="AG1400" s="22"/>
      <c r="AH1400" s="22"/>
      <c r="AI1400" s="22"/>
      <c r="AJ1400" s="22"/>
    </row>
    <row r="1401" spans="30:36">
      <c r="AD1401" s="22"/>
      <c r="AE1401" s="22"/>
      <c r="AF1401" s="22"/>
      <c r="AG1401" s="22"/>
      <c r="AH1401" s="22"/>
      <c r="AI1401" s="22"/>
      <c r="AJ1401" s="22"/>
    </row>
    <row r="1402" spans="30:36">
      <c r="AD1402" s="22"/>
      <c r="AE1402" s="22"/>
      <c r="AF1402" s="22"/>
      <c r="AG1402" s="22"/>
      <c r="AH1402" s="22"/>
      <c r="AI1402" s="22"/>
      <c r="AJ1402" s="22"/>
    </row>
    <row r="1403" spans="30:36">
      <c r="AD1403" s="22"/>
      <c r="AE1403" s="22"/>
      <c r="AF1403" s="22"/>
      <c r="AG1403" s="22"/>
      <c r="AH1403" s="22"/>
      <c r="AI1403" s="22"/>
      <c r="AJ1403" s="22"/>
    </row>
    <row r="1404" spans="30:36">
      <c r="AD1404" s="22"/>
      <c r="AE1404" s="22"/>
      <c r="AF1404" s="22"/>
      <c r="AG1404" s="22"/>
      <c r="AH1404" s="22"/>
      <c r="AI1404" s="22"/>
      <c r="AJ1404" s="22"/>
    </row>
    <row r="1405" spans="30:36">
      <c r="AD1405" s="22"/>
      <c r="AE1405" s="22"/>
      <c r="AF1405" s="22"/>
      <c r="AG1405" s="22"/>
      <c r="AH1405" s="22"/>
      <c r="AI1405" s="22"/>
      <c r="AJ1405" s="22"/>
    </row>
    <row r="1406" spans="30:36">
      <c r="AD1406" s="22"/>
      <c r="AE1406" s="22"/>
      <c r="AF1406" s="22"/>
      <c r="AG1406" s="22"/>
      <c r="AH1406" s="22"/>
      <c r="AI1406" s="22"/>
      <c r="AJ1406" s="22"/>
    </row>
    <row r="1407" spans="30:36">
      <c r="AD1407" s="22"/>
      <c r="AE1407" s="22"/>
      <c r="AF1407" s="22"/>
      <c r="AG1407" s="22"/>
      <c r="AH1407" s="22"/>
      <c r="AI1407" s="22"/>
      <c r="AJ1407" s="22"/>
    </row>
    <row r="1408" spans="30:36">
      <c r="AD1408" s="22"/>
      <c r="AE1408" s="22"/>
      <c r="AF1408" s="22"/>
      <c r="AG1408" s="22"/>
      <c r="AH1408" s="22"/>
      <c r="AI1408" s="22"/>
      <c r="AJ1408" s="22"/>
    </row>
    <row r="1409" spans="30:36">
      <c r="AD1409" s="22"/>
      <c r="AE1409" s="22"/>
      <c r="AF1409" s="22"/>
      <c r="AG1409" s="22"/>
      <c r="AH1409" s="22"/>
      <c r="AI1409" s="22"/>
      <c r="AJ1409" s="22"/>
    </row>
    <row r="1410" spans="30:36">
      <c r="AD1410" s="22"/>
      <c r="AE1410" s="22"/>
      <c r="AF1410" s="22"/>
      <c r="AG1410" s="22"/>
      <c r="AH1410" s="22"/>
      <c r="AI1410" s="22"/>
      <c r="AJ1410" s="22"/>
    </row>
    <row r="1411" spans="30:36">
      <c r="AD1411" s="22"/>
      <c r="AE1411" s="22"/>
      <c r="AF1411" s="22"/>
      <c r="AG1411" s="22"/>
      <c r="AH1411" s="22"/>
      <c r="AI1411" s="22"/>
      <c r="AJ1411" s="22"/>
    </row>
    <row r="1412" spans="30:36">
      <c r="AD1412" s="22"/>
      <c r="AE1412" s="22"/>
      <c r="AF1412" s="22"/>
      <c r="AG1412" s="22"/>
      <c r="AH1412" s="22"/>
      <c r="AI1412" s="22"/>
      <c r="AJ1412" s="22"/>
    </row>
    <row r="1413" spans="30:36">
      <c r="AD1413" s="22"/>
      <c r="AE1413" s="22"/>
      <c r="AF1413" s="22"/>
      <c r="AG1413" s="22"/>
      <c r="AH1413" s="22"/>
      <c r="AI1413" s="22"/>
      <c r="AJ1413" s="22"/>
    </row>
    <row r="1414" spans="30:36">
      <c r="AD1414" s="22"/>
      <c r="AE1414" s="22"/>
      <c r="AF1414" s="22"/>
      <c r="AG1414" s="22"/>
      <c r="AH1414" s="22"/>
      <c r="AI1414" s="22"/>
      <c r="AJ1414" s="22"/>
    </row>
    <row r="1415" spans="30:36">
      <c r="AD1415" s="22"/>
      <c r="AE1415" s="22"/>
      <c r="AF1415" s="22"/>
      <c r="AG1415" s="22"/>
      <c r="AH1415" s="22"/>
      <c r="AI1415" s="22"/>
      <c r="AJ1415" s="22"/>
    </row>
    <row r="1416" spans="30:36">
      <c r="AD1416" s="22"/>
      <c r="AE1416" s="22"/>
      <c r="AF1416" s="22"/>
      <c r="AG1416" s="22"/>
      <c r="AH1416" s="22"/>
      <c r="AI1416" s="22"/>
      <c r="AJ1416" s="22"/>
    </row>
    <row r="1417" spans="30:36">
      <c r="AD1417" s="22"/>
      <c r="AE1417" s="22"/>
      <c r="AF1417" s="22"/>
      <c r="AG1417" s="22"/>
      <c r="AH1417" s="22"/>
      <c r="AI1417" s="22"/>
      <c r="AJ1417" s="22"/>
    </row>
    <row r="1418" spans="30:36">
      <c r="AD1418" s="22"/>
      <c r="AE1418" s="22"/>
      <c r="AF1418" s="22"/>
      <c r="AG1418" s="22"/>
      <c r="AH1418" s="22"/>
      <c r="AI1418" s="22"/>
      <c r="AJ1418" s="22"/>
    </row>
    <row r="1419" spans="30:36">
      <c r="AD1419" s="22"/>
      <c r="AE1419" s="22"/>
      <c r="AF1419" s="22"/>
      <c r="AG1419" s="22"/>
      <c r="AH1419" s="22"/>
      <c r="AI1419" s="22"/>
      <c r="AJ1419" s="22"/>
    </row>
    <row r="1420" spans="30:36">
      <c r="AD1420" s="22"/>
      <c r="AE1420" s="22"/>
      <c r="AF1420" s="22"/>
      <c r="AG1420" s="22"/>
      <c r="AH1420" s="22"/>
      <c r="AI1420" s="22"/>
      <c r="AJ1420" s="22"/>
    </row>
    <row r="1421" spans="30:36">
      <c r="AD1421" s="22"/>
      <c r="AE1421" s="22"/>
      <c r="AF1421" s="22"/>
      <c r="AG1421" s="22"/>
      <c r="AH1421" s="22"/>
      <c r="AI1421" s="22"/>
      <c r="AJ1421" s="22"/>
    </row>
    <row r="1422" spans="30:36">
      <c r="AD1422" s="22"/>
      <c r="AE1422" s="22"/>
      <c r="AF1422" s="22"/>
      <c r="AG1422" s="22"/>
      <c r="AH1422" s="22"/>
      <c r="AI1422" s="22"/>
      <c r="AJ1422" s="22"/>
    </row>
    <row r="1423" spans="30:36">
      <c r="AD1423" s="22"/>
      <c r="AE1423" s="22"/>
      <c r="AF1423" s="22"/>
      <c r="AG1423" s="22"/>
      <c r="AH1423" s="22"/>
      <c r="AI1423" s="22"/>
      <c r="AJ1423" s="22"/>
    </row>
    <row r="1424" spans="30:36">
      <c r="AD1424" s="22"/>
      <c r="AE1424" s="22"/>
      <c r="AF1424" s="22"/>
      <c r="AG1424" s="22"/>
      <c r="AH1424" s="22"/>
      <c r="AI1424" s="22"/>
      <c r="AJ1424" s="22"/>
    </row>
    <row r="1425" spans="30:36">
      <c r="AD1425" s="22"/>
      <c r="AE1425" s="22"/>
      <c r="AF1425" s="22"/>
      <c r="AG1425" s="22"/>
      <c r="AH1425" s="22"/>
      <c r="AI1425" s="22"/>
      <c r="AJ1425" s="22"/>
    </row>
    <row r="1426" spans="30:36">
      <c r="AD1426" s="22"/>
      <c r="AE1426" s="22"/>
      <c r="AF1426" s="22"/>
      <c r="AG1426" s="22"/>
      <c r="AH1426" s="22"/>
      <c r="AI1426" s="22"/>
      <c r="AJ1426" s="22"/>
    </row>
    <row r="1427" spans="30:36">
      <c r="AD1427" s="22"/>
      <c r="AE1427" s="22"/>
      <c r="AF1427" s="22"/>
      <c r="AG1427" s="22"/>
      <c r="AH1427" s="22"/>
      <c r="AI1427" s="22"/>
      <c r="AJ1427" s="22"/>
    </row>
    <row r="1428" spans="30:36">
      <c r="AD1428" s="22"/>
      <c r="AE1428" s="22"/>
      <c r="AF1428" s="22"/>
      <c r="AG1428" s="22"/>
      <c r="AH1428" s="22"/>
      <c r="AI1428" s="22"/>
      <c r="AJ1428" s="22"/>
    </row>
    <row r="1429" spans="30:36">
      <c r="AD1429" s="22"/>
      <c r="AE1429" s="22"/>
      <c r="AF1429" s="22"/>
      <c r="AG1429" s="22"/>
      <c r="AH1429" s="22"/>
      <c r="AI1429" s="22"/>
      <c r="AJ1429" s="22"/>
    </row>
    <row r="1430" spans="30:36">
      <c r="AD1430" s="22"/>
      <c r="AE1430" s="22"/>
      <c r="AF1430" s="22"/>
      <c r="AG1430" s="22"/>
      <c r="AH1430" s="22"/>
      <c r="AI1430" s="22"/>
      <c r="AJ1430" s="22"/>
    </row>
    <row r="1431" spans="30:36">
      <c r="AD1431" s="22"/>
      <c r="AE1431" s="22"/>
      <c r="AF1431" s="22"/>
      <c r="AG1431" s="22"/>
      <c r="AH1431" s="22"/>
      <c r="AI1431" s="22"/>
      <c r="AJ1431" s="22"/>
    </row>
    <row r="1432" spans="30:36">
      <c r="AD1432" s="22"/>
      <c r="AE1432" s="22"/>
      <c r="AF1432" s="22"/>
      <c r="AG1432" s="22"/>
      <c r="AH1432" s="22"/>
      <c r="AI1432" s="22"/>
      <c r="AJ1432" s="22"/>
    </row>
    <row r="1433" spans="30:36">
      <c r="AD1433" s="22"/>
      <c r="AE1433" s="22"/>
      <c r="AF1433" s="22"/>
      <c r="AG1433" s="22"/>
      <c r="AH1433" s="22"/>
      <c r="AI1433" s="22"/>
      <c r="AJ1433" s="22"/>
    </row>
    <row r="1434" spans="30:36">
      <c r="AD1434" s="22"/>
      <c r="AE1434" s="22"/>
      <c r="AF1434" s="22"/>
      <c r="AG1434" s="22"/>
      <c r="AH1434" s="22"/>
      <c r="AI1434" s="22"/>
      <c r="AJ1434" s="22"/>
    </row>
    <row r="1435" spans="30:36">
      <c r="AD1435" s="22"/>
      <c r="AE1435" s="22"/>
      <c r="AF1435" s="22"/>
      <c r="AG1435" s="22"/>
      <c r="AH1435" s="22"/>
      <c r="AI1435" s="22"/>
      <c r="AJ1435" s="22"/>
    </row>
    <row r="1436" spans="30:36">
      <c r="AD1436" s="22"/>
      <c r="AE1436" s="22"/>
      <c r="AF1436" s="22"/>
      <c r="AG1436" s="22"/>
      <c r="AH1436" s="22"/>
      <c r="AI1436" s="22"/>
      <c r="AJ1436" s="22"/>
    </row>
    <row r="1437" spans="30:36">
      <c r="AD1437" s="22"/>
      <c r="AE1437" s="22"/>
      <c r="AF1437" s="22"/>
      <c r="AG1437" s="22"/>
      <c r="AH1437" s="22"/>
      <c r="AI1437" s="22"/>
      <c r="AJ1437" s="22"/>
    </row>
    <row r="1438" spans="30:36">
      <c r="AD1438" s="22"/>
      <c r="AE1438" s="22"/>
      <c r="AF1438" s="22"/>
      <c r="AG1438" s="22"/>
      <c r="AH1438" s="22"/>
      <c r="AI1438" s="22"/>
      <c r="AJ1438" s="22"/>
    </row>
    <row r="1439" spans="30:36">
      <c r="AD1439" s="22"/>
      <c r="AE1439" s="22"/>
      <c r="AF1439" s="22"/>
      <c r="AG1439" s="22"/>
      <c r="AH1439" s="22"/>
      <c r="AI1439" s="22"/>
      <c r="AJ1439" s="22"/>
    </row>
    <row r="1440" spans="30:36">
      <c r="AD1440" s="22"/>
      <c r="AE1440" s="22"/>
      <c r="AF1440" s="22"/>
      <c r="AG1440" s="22"/>
      <c r="AH1440" s="22"/>
      <c r="AI1440" s="22"/>
      <c r="AJ1440" s="22"/>
    </row>
    <row r="1441" spans="30:36">
      <c r="AD1441" s="22"/>
      <c r="AE1441" s="22"/>
      <c r="AF1441" s="22"/>
      <c r="AG1441" s="22"/>
      <c r="AH1441" s="22"/>
      <c r="AI1441" s="22"/>
      <c r="AJ1441" s="22"/>
    </row>
    <row r="1442" spans="30:36">
      <c r="AD1442" s="22"/>
      <c r="AE1442" s="22"/>
      <c r="AF1442" s="22"/>
      <c r="AG1442" s="22"/>
      <c r="AH1442" s="22"/>
      <c r="AI1442" s="22"/>
      <c r="AJ1442" s="22"/>
    </row>
    <row r="1443" spans="30:36">
      <c r="AD1443" s="22"/>
      <c r="AE1443" s="22"/>
      <c r="AF1443" s="22"/>
      <c r="AG1443" s="22"/>
      <c r="AH1443" s="22"/>
      <c r="AI1443" s="22"/>
      <c r="AJ1443" s="22"/>
    </row>
    <row r="1444" spans="30:36">
      <c r="AD1444" s="22"/>
      <c r="AE1444" s="22"/>
      <c r="AF1444" s="22"/>
      <c r="AG1444" s="22"/>
      <c r="AH1444" s="22"/>
      <c r="AI1444" s="22"/>
      <c r="AJ1444" s="22"/>
    </row>
    <row r="1445" spans="30:36">
      <c r="AD1445" s="22"/>
      <c r="AE1445" s="22"/>
      <c r="AF1445" s="22"/>
      <c r="AG1445" s="22"/>
      <c r="AH1445" s="22"/>
      <c r="AI1445" s="22"/>
      <c r="AJ1445" s="22"/>
    </row>
    <row r="1446" spans="30:36">
      <c r="AD1446" s="22"/>
      <c r="AE1446" s="22"/>
      <c r="AF1446" s="22"/>
      <c r="AG1446" s="22"/>
      <c r="AH1446" s="22"/>
      <c r="AI1446" s="22"/>
      <c r="AJ1446" s="22"/>
    </row>
    <row r="1447" spans="30:36">
      <c r="AD1447" s="22"/>
      <c r="AE1447" s="22"/>
      <c r="AF1447" s="22"/>
      <c r="AG1447" s="22"/>
      <c r="AH1447" s="22"/>
      <c r="AI1447" s="22"/>
      <c r="AJ1447" s="22"/>
    </row>
    <row r="1448" spans="30:36">
      <c r="AD1448" s="22"/>
      <c r="AE1448" s="22"/>
      <c r="AF1448" s="22"/>
      <c r="AG1448" s="22"/>
      <c r="AH1448" s="22"/>
      <c r="AI1448" s="22"/>
      <c r="AJ1448" s="22"/>
    </row>
    <row r="1449" spans="30:36">
      <c r="AD1449" s="22"/>
      <c r="AE1449" s="22"/>
      <c r="AF1449" s="22"/>
      <c r="AG1449" s="22"/>
      <c r="AH1449" s="22"/>
      <c r="AI1449" s="22"/>
      <c r="AJ1449" s="22"/>
    </row>
    <row r="1450" spans="30:36">
      <c r="AD1450" s="22"/>
      <c r="AE1450" s="22"/>
      <c r="AF1450" s="22"/>
      <c r="AG1450" s="22"/>
      <c r="AH1450" s="22"/>
      <c r="AI1450" s="22"/>
      <c r="AJ1450" s="22"/>
    </row>
    <row r="1451" spans="30:36">
      <c r="AD1451" s="22"/>
      <c r="AE1451" s="22"/>
      <c r="AF1451" s="22"/>
      <c r="AG1451" s="22"/>
      <c r="AH1451" s="22"/>
      <c r="AI1451" s="22"/>
      <c r="AJ1451" s="22"/>
    </row>
    <row r="1452" spans="30:36">
      <c r="AD1452" s="22"/>
      <c r="AE1452" s="22"/>
      <c r="AF1452" s="22"/>
      <c r="AG1452" s="22"/>
      <c r="AH1452" s="22"/>
      <c r="AI1452" s="22"/>
      <c r="AJ1452" s="22"/>
    </row>
    <row r="1453" spans="30:36">
      <c r="AD1453" s="22"/>
      <c r="AE1453" s="22"/>
      <c r="AF1453" s="22"/>
      <c r="AG1453" s="22"/>
      <c r="AH1453" s="22"/>
      <c r="AI1453" s="22"/>
      <c r="AJ1453" s="22"/>
    </row>
    <row r="1454" spans="30:36">
      <c r="AD1454" s="22"/>
      <c r="AE1454" s="22"/>
      <c r="AF1454" s="22"/>
      <c r="AG1454" s="22"/>
      <c r="AH1454" s="22"/>
      <c r="AI1454" s="22"/>
      <c r="AJ1454" s="22"/>
    </row>
    <row r="1455" spans="30:36">
      <c r="AD1455" s="22"/>
      <c r="AE1455" s="22"/>
      <c r="AF1455" s="22"/>
      <c r="AG1455" s="22"/>
      <c r="AH1455" s="22"/>
      <c r="AI1455" s="22"/>
      <c r="AJ1455" s="22"/>
    </row>
    <row r="1456" spans="30:36">
      <c r="AD1456" s="22"/>
      <c r="AE1456" s="22"/>
      <c r="AF1456" s="22"/>
      <c r="AG1456" s="22"/>
      <c r="AH1456" s="22"/>
      <c r="AI1456" s="22"/>
      <c r="AJ1456" s="22"/>
    </row>
    <row r="1457" spans="30:36">
      <c r="AD1457" s="22"/>
      <c r="AE1457" s="22"/>
      <c r="AF1457" s="22"/>
      <c r="AG1457" s="22"/>
      <c r="AH1457" s="22"/>
      <c r="AI1457" s="22"/>
      <c r="AJ1457" s="22"/>
    </row>
    <row r="1458" spans="30:36">
      <c r="AD1458" s="22"/>
      <c r="AE1458" s="22"/>
      <c r="AF1458" s="22"/>
      <c r="AG1458" s="22"/>
      <c r="AH1458" s="22"/>
      <c r="AI1458" s="22"/>
      <c r="AJ1458" s="22"/>
    </row>
    <row r="1459" spans="30:36">
      <c r="AD1459" s="22"/>
      <c r="AE1459" s="22"/>
      <c r="AF1459" s="22"/>
      <c r="AG1459" s="22"/>
      <c r="AH1459" s="22"/>
      <c r="AI1459" s="22"/>
      <c r="AJ1459" s="22"/>
    </row>
    <row r="1460" spans="30:36">
      <c r="AD1460" s="22"/>
      <c r="AE1460" s="22"/>
      <c r="AF1460" s="22"/>
      <c r="AG1460" s="22"/>
      <c r="AH1460" s="22"/>
      <c r="AI1460" s="22"/>
      <c r="AJ1460" s="22"/>
    </row>
    <row r="1461" spans="30:36">
      <c r="AD1461" s="22"/>
      <c r="AE1461" s="22"/>
      <c r="AF1461" s="22"/>
      <c r="AG1461" s="22"/>
      <c r="AH1461" s="22"/>
      <c r="AI1461" s="22"/>
      <c r="AJ1461" s="22"/>
    </row>
    <row r="1462" spans="30:36">
      <c r="AD1462" s="22"/>
      <c r="AE1462" s="22"/>
      <c r="AF1462" s="22"/>
      <c r="AG1462" s="22"/>
      <c r="AH1462" s="22"/>
      <c r="AI1462" s="22"/>
      <c r="AJ1462" s="22"/>
    </row>
    <row r="1463" spans="30:36">
      <c r="AD1463" s="22"/>
      <c r="AE1463" s="22"/>
      <c r="AF1463" s="22"/>
      <c r="AG1463" s="22"/>
      <c r="AH1463" s="22"/>
      <c r="AI1463" s="22"/>
      <c r="AJ1463" s="22"/>
    </row>
    <row r="1464" spans="30:36">
      <c r="AD1464" s="22"/>
      <c r="AE1464" s="22"/>
      <c r="AF1464" s="22"/>
      <c r="AG1464" s="22"/>
      <c r="AH1464" s="22"/>
      <c r="AI1464" s="22"/>
      <c r="AJ1464" s="22"/>
    </row>
    <row r="1465" spans="30:36">
      <c r="AD1465" s="22"/>
      <c r="AE1465" s="22"/>
      <c r="AF1465" s="22"/>
      <c r="AG1465" s="22"/>
      <c r="AH1465" s="22"/>
      <c r="AI1465" s="22"/>
      <c r="AJ1465" s="22"/>
    </row>
    <row r="1466" spans="30:36">
      <c r="AD1466" s="22"/>
      <c r="AE1466" s="22"/>
      <c r="AF1466" s="22"/>
      <c r="AG1466" s="22"/>
      <c r="AH1466" s="22"/>
      <c r="AI1466" s="22"/>
      <c r="AJ1466" s="22"/>
    </row>
    <row r="1467" spans="30:36">
      <c r="AD1467" s="22"/>
      <c r="AE1467" s="22"/>
      <c r="AF1467" s="22"/>
      <c r="AG1467" s="22"/>
      <c r="AH1467" s="22"/>
      <c r="AI1467" s="22"/>
      <c r="AJ1467" s="22"/>
    </row>
    <row r="1468" spans="30:36">
      <c r="AD1468" s="22"/>
      <c r="AE1468" s="22"/>
      <c r="AF1468" s="22"/>
      <c r="AG1468" s="22"/>
      <c r="AH1468" s="22"/>
      <c r="AI1468" s="22"/>
      <c r="AJ1468" s="22"/>
    </row>
    <row r="1469" spans="30:36">
      <c r="AD1469" s="22"/>
      <c r="AE1469" s="22"/>
      <c r="AF1469" s="22"/>
      <c r="AG1469" s="22"/>
      <c r="AH1469" s="22"/>
      <c r="AI1469" s="22"/>
      <c r="AJ1469" s="22"/>
    </row>
    <row r="1470" spans="30:36">
      <c r="AD1470" s="22"/>
      <c r="AE1470" s="22"/>
      <c r="AF1470" s="22"/>
      <c r="AG1470" s="22"/>
      <c r="AH1470" s="22"/>
      <c r="AI1470" s="22"/>
      <c r="AJ1470" s="22"/>
    </row>
    <row r="1471" spans="30:36">
      <c r="AD1471" s="22"/>
      <c r="AE1471" s="22"/>
      <c r="AF1471" s="22"/>
      <c r="AG1471" s="22"/>
      <c r="AH1471" s="22"/>
      <c r="AI1471" s="22"/>
      <c r="AJ1471" s="22"/>
    </row>
    <row r="1472" spans="30:36">
      <c r="AD1472" s="22"/>
      <c r="AE1472" s="22"/>
      <c r="AF1472" s="22"/>
      <c r="AG1472" s="22"/>
      <c r="AH1472" s="22"/>
      <c r="AI1472" s="22"/>
      <c r="AJ1472" s="22"/>
    </row>
    <row r="1473" spans="30:36">
      <c r="AD1473" s="22"/>
      <c r="AE1473" s="22"/>
      <c r="AF1473" s="22"/>
      <c r="AG1473" s="22"/>
      <c r="AH1473" s="22"/>
      <c r="AI1473" s="22"/>
      <c r="AJ1473" s="22"/>
    </row>
    <row r="1474" spans="30:36">
      <c r="AD1474" s="22"/>
      <c r="AE1474" s="22"/>
      <c r="AF1474" s="22"/>
      <c r="AG1474" s="22"/>
      <c r="AH1474" s="22"/>
      <c r="AI1474" s="22"/>
      <c r="AJ1474" s="22"/>
    </row>
    <row r="1475" spans="30:36">
      <c r="AD1475" s="22"/>
      <c r="AE1475" s="22"/>
      <c r="AF1475" s="22"/>
      <c r="AG1475" s="22"/>
      <c r="AH1475" s="22"/>
      <c r="AI1475" s="22"/>
      <c r="AJ1475" s="22"/>
    </row>
    <row r="1476" spans="30:36">
      <c r="AD1476" s="22"/>
      <c r="AE1476" s="22"/>
      <c r="AF1476" s="22"/>
      <c r="AG1476" s="22"/>
      <c r="AH1476" s="22"/>
      <c r="AI1476" s="22"/>
      <c r="AJ1476" s="22"/>
    </row>
    <row r="1477" spans="30:36">
      <c r="AD1477" s="22"/>
      <c r="AE1477" s="22"/>
      <c r="AF1477" s="22"/>
      <c r="AG1477" s="22"/>
      <c r="AH1477" s="22"/>
      <c r="AI1477" s="22"/>
      <c r="AJ1477" s="22"/>
    </row>
    <row r="1478" spans="30:36">
      <c r="AD1478" s="22"/>
      <c r="AE1478" s="22"/>
      <c r="AF1478" s="22"/>
      <c r="AG1478" s="22"/>
      <c r="AH1478" s="22"/>
      <c r="AI1478" s="22"/>
      <c r="AJ1478" s="22"/>
    </row>
    <row r="1479" spans="30:36">
      <c r="AD1479" s="22"/>
      <c r="AE1479" s="22"/>
      <c r="AF1479" s="22"/>
      <c r="AG1479" s="22"/>
      <c r="AH1479" s="22"/>
      <c r="AI1479" s="22"/>
      <c r="AJ1479" s="22"/>
    </row>
    <row r="1480" spans="30:36">
      <c r="AD1480" s="22"/>
      <c r="AE1480" s="22"/>
      <c r="AF1480" s="22"/>
      <c r="AG1480" s="22"/>
      <c r="AH1480" s="22"/>
      <c r="AI1480" s="22"/>
      <c r="AJ1480" s="22"/>
    </row>
    <row r="1481" spans="30:36">
      <c r="AD1481" s="22"/>
      <c r="AE1481" s="22"/>
      <c r="AF1481" s="22"/>
      <c r="AG1481" s="22"/>
      <c r="AH1481" s="22"/>
      <c r="AI1481" s="22"/>
      <c r="AJ1481" s="22"/>
    </row>
    <row r="1482" spans="30:36">
      <c r="AD1482" s="22"/>
      <c r="AE1482" s="22"/>
      <c r="AF1482" s="22"/>
      <c r="AG1482" s="22"/>
      <c r="AH1482" s="22"/>
      <c r="AI1482" s="22"/>
      <c r="AJ1482" s="22"/>
    </row>
    <row r="1483" spans="30:36">
      <c r="AD1483" s="22"/>
      <c r="AE1483" s="22"/>
      <c r="AF1483" s="22"/>
      <c r="AG1483" s="22"/>
      <c r="AH1483" s="22"/>
      <c r="AI1483" s="22"/>
      <c r="AJ1483" s="22"/>
    </row>
  </sheetData>
  <phoneticPr fontId="6" type="noConversion"/>
  <hyperlinks>
    <hyperlink ref="D59" r:id="rId1" xr:uid="{81A8801A-C111-4F51-A6E8-E6D9CD535D62}"/>
    <hyperlink ref="D67" r:id="rId2" xr:uid="{F88D0B65-A436-4E7E-AB05-6FF30AF2AFCC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G76"/>
  <sheetViews>
    <sheetView workbookViewId="0">
      <selection activeCell="D2" sqref="D2"/>
    </sheetView>
  </sheetViews>
  <sheetFormatPr defaultColWidth="8.81640625" defaultRowHeight="14.75"/>
  <cols>
    <col min="1" max="3" width="21" style="3" customWidth="1"/>
    <col min="4" max="4" width="23.1796875" style="3" bestFit="1" customWidth="1"/>
    <col min="5" max="16384" width="8.81640625" style="2"/>
  </cols>
  <sheetData>
    <row r="1" spans="1:7">
      <c r="A1" s="4" t="s">
        <v>133</v>
      </c>
      <c r="B1" s="4" t="s">
        <v>134</v>
      </c>
      <c r="C1" s="4" t="s">
        <v>132</v>
      </c>
      <c r="D1" s="4" t="s">
        <v>135</v>
      </c>
    </row>
    <row r="2" spans="1:7">
      <c r="A2" s="1" t="str">
        <f>Results!C16</f>
        <v/>
      </c>
      <c r="B2" s="1" t="str">
        <f>Results!D16</f>
        <v/>
      </c>
      <c r="C2" s="1" t="str">
        <f>Results!E16</f>
        <v/>
      </c>
      <c r="D2" s="1">
        <f>ROUND(BackgroundCalcs!G29,0)</f>
        <v>63</v>
      </c>
    </row>
    <row r="10" spans="1:7">
      <c r="G10" s="9"/>
    </row>
    <row r="11" spans="1:7">
      <c r="G11" s="10"/>
    </row>
    <row r="12" spans="1:7">
      <c r="G12" s="10"/>
    </row>
    <row r="13" spans="1:7">
      <c r="G13" s="11"/>
    </row>
    <row r="14" spans="1:7">
      <c r="G14" s="9"/>
    </row>
    <row r="15" spans="1:7">
      <c r="G15" s="9"/>
    </row>
    <row r="16" spans="1:7">
      <c r="G16" s="9"/>
    </row>
    <row r="17" spans="7:7">
      <c r="G17" s="9"/>
    </row>
    <row r="18" spans="7:7">
      <c r="G18" s="9"/>
    </row>
    <row r="19" spans="7:7">
      <c r="G19" s="11"/>
    </row>
    <row r="20" spans="7:7">
      <c r="G20" s="10"/>
    </row>
    <row r="21" spans="7:7">
      <c r="G21" s="12"/>
    </row>
    <row r="22" spans="7:7">
      <c r="G22" s="12"/>
    </row>
    <row r="23" spans="7:7">
      <c r="G23" s="12"/>
    </row>
    <row r="24" spans="7:7">
      <c r="G24" s="11"/>
    </row>
    <row r="25" spans="7:7">
      <c r="G25" s="10"/>
    </row>
    <row r="26" spans="7:7">
      <c r="G26" s="12"/>
    </row>
    <row r="27" spans="7:7">
      <c r="G27" s="11"/>
    </row>
    <row r="28" spans="7:7">
      <c r="G28" s="12"/>
    </row>
    <row r="29" spans="7:7">
      <c r="G29" s="12"/>
    </row>
    <row r="30" spans="7:7">
      <c r="G30" s="12"/>
    </row>
    <row r="31" spans="7:7">
      <c r="G31" s="12"/>
    </row>
    <row r="32" spans="7:7">
      <c r="G32" s="12"/>
    </row>
    <row r="33" spans="7:7">
      <c r="G33" s="12"/>
    </row>
    <row r="34" spans="7:7">
      <c r="G34" s="11"/>
    </row>
    <row r="35" spans="7:7">
      <c r="G35" s="10"/>
    </row>
    <row r="36" spans="7:7">
      <c r="G36" s="12"/>
    </row>
    <row r="37" spans="7:7">
      <c r="G37" s="12"/>
    </row>
    <row r="38" spans="7:7">
      <c r="G38" s="12"/>
    </row>
    <row r="39" spans="7:7">
      <c r="G39" s="11"/>
    </row>
    <row r="40" spans="7:7">
      <c r="G40" s="10"/>
    </row>
    <row r="41" spans="7:7">
      <c r="G41" s="12"/>
    </row>
    <row r="42" spans="7:7">
      <c r="G42" s="11"/>
    </row>
    <row r="43" spans="7:7">
      <c r="G43" s="10"/>
    </row>
    <row r="44" spans="7:7">
      <c r="G44" s="12"/>
    </row>
    <row r="45" spans="7:7">
      <c r="G45" s="11"/>
    </row>
    <row r="46" spans="7:7">
      <c r="G46" s="10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1"/>
    </row>
    <row r="63" spans="7:7">
      <c r="G63" s="12"/>
    </row>
    <row r="64" spans="7:7">
      <c r="G64" s="12"/>
    </row>
    <row r="65" spans="7:7">
      <c r="G65" s="12"/>
    </row>
    <row r="66" spans="7:7">
      <c r="G66" s="11"/>
    </row>
    <row r="67" spans="7:7">
      <c r="G67" s="10"/>
    </row>
    <row r="68" spans="7:7">
      <c r="G68" s="12"/>
    </row>
    <row r="69" spans="7:7">
      <c r="G69" s="11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9"/>
    </row>
    <row r="76" spans="7:7">
      <c r="G76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FD53-D0D8-40F7-8AEC-F4E700E6273E}">
  <sheetPr codeName="Sheet2"/>
  <dimension ref="A1:G2"/>
  <sheetViews>
    <sheetView workbookViewId="0">
      <selection activeCell="D5" sqref="D5"/>
    </sheetView>
  </sheetViews>
  <sheetFormatPr defaultRowHeight="14.75"/>
  <cols>
    <col min="1" max="1" width="12.1796875" bestFit="1" customWidth="1"/>
    <col min="2" max="2" width="15.1796875" bestFit="1" customWidth="1"/>
    <col min="3" max="3" width="6" bestFit="1" customWidth="1"/>
    <col min="4" max="4" width="30.1796875" bestFit="1" customWidth="1"/>
    <col min="5" max="5" width="5.90625" bestFit="1" customWidth="1"/>
    <col min="6" max="6" width="15.1796875" bestFit="1" customWidth="1"/>
    <col min="7" max="7" width="16.81640625" bestFit="1" customWidth="1"/>
  </cols>
  <sheetData>
    <row r="1" spans="1:7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</row>
    <row r="2" spans="1:7">
      <c r="A2" t="s">
        <v>53</v>
      </c>
      <c r="B2" t="s">
        <v>18</v>
      </c>
      <c r="C2" t="s">
        <v>54</v>
      </c>
      <c r="D2" t="s">
        <v>55</v>
      </c>
      <c r="E2">
        <v>1</v>
      </c>
      <c r="F2" t="s">
        <v>56</v>
      </c>
      <c r="G2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68</vt:i4>
      </vt:variant>
    </vt:vector>
  </HeadingPairs>
  <TitlesOfParts>
    <vt:vector size="73" baseType="lpstr">
      <vt:lpstr>Instructions</vt:lpstr>
      <vt:lpstr>Keyboarding Challenge</vt:lpstr>
      <vt:lpstr>Results</vt:lpstr>
      <vt:lpstr>BackgroundCalcs</vt:lpstr>
      <vt:lpstr>Grading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cellNames</vt:lpstr>
      <vt:lpstr>CheckRange1</vt:lpstr>
      <vt:lpstr>CheckRange2</vt:lpstr>
      <vt:lpstr>CheckRange3</vt:lpstr>
      <vt:lpstr>CheckRange4</vt:lpstr>
      <vt:lpstr>CheckRange5</vt:lpstr>
      <vt:lpstr>CheckRange6</vt:lpstr>
      <vt:lpstr>eighth</vt:lpstr>
      <vt:lpstr>elapsedTime</vt:lpstr>
      <vt:lpstr>eleventh</vt:lpstr>
      <vt:lpstr>EmptyCell</vt:lpstr>
      <vt:lpstr>endTime</vt:lpstr>
      <vt:lpstr>fifteenth</vt:lpstr>
      <vt:lpstr>fifth</vt:lpstr>
      <vt:lpstr>first</vt:lpstr>
      <vt:lpstr>firstVisited</vt:lpstr>
      <vt:lpstr>fourteenth</vt:lpstr>
      <vt:lpstr>fourth</vt:lpstr>
      <vt:lpstr>instructionsOn</vt:lpstr>
      <vt:lpstr>Invalid2</vt:lpstr>
      <vt:lpstr>Invalid3</vt:lpstr>
      <vt:lpstr>Invalid4</vt:lpstr>
      <vt:lpstr>Invalid5</vt:lpstr>
      <vt:lpstr>Invalid6</vt:lpstr>
      <vt:lpstr>isGameOn</vt:lpstr>
      <vt:lpstr>lastTime</vt:lpstr>
      <vt:lpstr>liveVersion</vt:lpstr>
      <vt:lpstr>macOn</vt:lpstr>
      <vt:lpstr>mouseMovements</vt:lpstr>
      <vt:lpstr>ninth</vt:lpstr>
      <vt:lpstr>numCorrect</vt:lpstr>
      <vt:lpstr>NumExercises</vt:lpstr>
      <vt:lpstr>numProtectedCells</vt:lpstr>
      <vt:lpstr>numRandomValues</vt:lpstr>
      <vt:lpstr>OverrideSave</vt:lpstr>
      <vt:lpstr>passwordOn</vt:lpstr>
      <vt:lpstr>pcOn</vt:lpstr>
      <vt:lpstr>pCountNew</vt:lpstr>
      <vt:lpstr>second</vt:lpstr>
      <vt:lpstr>seventeenth</vt:lpstr>
      <vt:lpstr>seventh</vt:lpstr>
      <vt:lpstr>SheetNameRange</vt:lpstr>
      <vt:lpstr>sixteenth</vt:lpstr>
      <vt:lpstr>sixth</vt:lpstr>
      <vt:lpstr>SpreadsheetName</vt:lpstr>
      <vt:lpstr>startTime</vt:lpstr>
      <vt:lpstr>StudentIDCell</vt:lpstr>
      <vt:lpstr>StudentNameCell</vt:lpstr>
      <vt:lpstr>Tab1Answer</vt:lpstr>
      <vt:lpstr>Tab1ClearRange</vt:lpstr>
      <vt:lpstr>Tab1Name</vt:lpstr>
      <vt:lpstr>Tab1Start</vt:lpstr>
      <vt:lpstr>tenth</vt:lpstr>
      <vt:lpstr>third</vt:lpstr>
      <vt:lpstr>thirteenth</vt:lpstr>
      <vt:lpstr>totalTime</vt:lpstr>
      <vt:lpstr>Track</vt:lpstr>
      <vt:lpstr>twelveth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David Brown</cp:lastModifiedBy>
  <dcterms:created xsi:type="dcterms:W3CDTF">2020-11-11T17:31:16Z</dcterms:created>
  <dcterms:modified xsi:type="dcterms:W3CDTF">2022-09-16T16:43:04Z</dcterms:modified>
</cp:coreProperties>
</file>