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6227" codeName="{37A63EE7-654F-3FA9-A528-636911D70600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David Brown\Box\MECC\MECC 2023\Case Development\April Keyboarding\Excel Files\"/>
    </mc:Choice>
  </mc:AlternateContent>
  <xr:revisionPtr revIDLastSave="0" documentId="13_ncr:1_{B3DA189E-76E5-414F-9FDA-90A0E733CB9A}" xr6:coauthVersionLast="47" xr6:coauthVersionMax="47" xr10:uidLastSave="{00000000-0000-0000-0000-000000000000}"/>
  <x:bookViews>
    <x:workbookView xWindow="28680" yWindow="-120" windowWidth="38640" windowHeight="15840" xr2:uid="{00000000-000D-0000-FFFF-FFFF00000000}"/>
  </x:bookViews>
  <x:sheets>
    <x:sheet name="Instructions" sheetId="6" r:id="rId1"/>
    <x:sheet name="Unblock Guide" sheetId="12" r:id="rId2"/>
    <x:sheet name="Keyboarding Challenge" sheetId="10" r:id="rId3"/>
    <x:sheet name="BackgroundCalcs" sheetId="3" state="hidden" r:id="rId4"/>
    <x:sheet name="Results" sheetId="8" r:id="rId5"/>
    <x:sheet name="Grading" sheetId="4" state="hidden" r:id="rId6"/>
    <x:sheet name="Output" sheetId="9" state="hidden" r:id="rId7"/>
    <x:sheet name="Sheet4" sheetId="7" state="hidden" r:id="rId8"/>
  </x:sheets>
  <x:functionGroups builtInGroupCount="19"/>
  <x:definedNames>
    <x:definedName name="activateCount">BackgroundCalcs!$G$23</x:definedName>
    <x:definedName name="AllCorrect">BackgroundCalcs!$F$8</x:definedName>
    <x:definedName name="Answer1">BackgroundCalcs!$R$2</x:definedName>
    <x:definedName name="Answer2">BackgroundCalcs!$R$3</x:definedName>
    <x:definedName name="Answer3">BackgroundCalcs!$R$5</x:definedName>
    <x:definedName name="Answer4">BackgroundCalcs!$R$6</x:definedName>
    <x:definedName name="Answer5">BackgroundCalcs!$R$7</x:definedName>
    <x:definedName name="Answer6">BackgroundCalcs!$R$8</x:definedName>
    <x:definedName name="cellNames">BackgroundCalcs!$Q$2:$Q$15</x:definedName>
    <x:definedName name="CheckRange1">BackgroundCalcs!$T$2</x:definedName>
    <x:definedName name="CheckRange2">BackgroundCalcs!$T$3</x:definedName>
    <x:definedName name="CheckRange3">BackgroundCalcs!$T$5</x:definedName>
    <x:definedName name="CheckRange4">BackgroundCalcs!$T$6</x:definedName>
    <x:definedName name="CheckRange5">BackgroundCalcs!$T$7</x:definedName>
    <x:definedName name="CheckRange6">BackgroundCalcs!$T$8</x:definedName>
    <x:definedName name="Documents">'Keyboarding Challenge'!$F$110</x:definedName>
    <x:definedName name="eighth">'Keyboarding Challenge'!$N$119</x:definedName>
    <x:definedName name="elapsedTime">BackgroundCalcs!$G$5</x:definedName>
    <x:definedName name="eleventh">'Keyboarding Challenge'!$T$106</x:definedName>
    <x:definedName name="EmptyCell">BackgroundCalcs!$D$50</x:definedName>
    <x:definedName name="endTime">BackgroundCalcs!$G$2</x:definedName>
    <x:definedName name="Excel_Reception">'Keyboarding Challenge'!$F$9</x:definedName>
    <x:definedName name="fifth">'Keyboarding Challenge'!$G$115</x:definedName>
    <x:definedName name="first">'Keyboarding Challenge'!$B$10</x:definedName>
    <x:definedName name="firstVisited">BackgroundCalcs!$R$2:$R$15</x:definedName>
    <x:definedName name="fourteenth">'Keyboarding Challenge'!$AA$99</x:definedName>
    <x:definedName name="fourth">'Keyboarding Challenge'!$G$113</x:definedName>
    <x:definedName name="instructionsOn">BackgroundCalcs!$F$46</x:definedName>
    <x:definedName name="Invalid2">BackgroundCalcs!$S$3</x:definedName>
    <x:definedName name="Invalid3">BackgroundCalcs!$S$5</x:definedName>
    <x:definedName name="Invalid4">BackgroundCalcs!$S$6</x:definedName>
    <x:definedName name="Invalid5">BackgroundCalcs!$S$7</x:definedName>
    <x:definedName name="Invalid6">BackgroundCalcs!$S$8</x:definedName>
    <x:definedName name="isGameOn">BackgroundCalcs!$F$5</x:definedName>
    <x:definedName name="lastTime">BackgroundCalcs!$G$26</x:definedName>
    <x:definedName name="liveVersion">BackgroundCalcs!$F$26</x:definedName>
    <x:definedName name="macOn">BackgroundCalcs!$F$52</x:definedName>
    <x:definedName name="mouseMovements">BackgroundCalcs!$F$14</x:definedName>
    <x:definedName name="ninth">'Keyboarding Challenge'!$P$108</x:definedName>
    <x:definedName name="numCorrect">BackgroundCalcs!$G$16</x:definedName>
    <x:definedName name="NumExercises">BackgroundCalcs!$D$14</x:definedName>
    <x:definedName name="numProtectedCells">BackgroundCalcs!$D$17</x:definedName>
    <x:definedName name="numRandomValues">BackgroundCalcs!$D$20</x:definedName>
    <x:definedName name="OverrideSave">BackgroundCalcs!$D$2</x:definedName>
    <x:definedName name="passwordOn">BackgroundCalcs!$G$8</x:definedName>
    <x:definedName name="pcOn">BackgroundCalcs!$F$49</x:definedName>
    <x:definedName name="pCountNew">BackgroundCalcs!$S$2</x:definedName>
    <x:definedName name="seventh">'Keyboarding Challenge'!$G$119</x:definedName>
    <x:definedName name="SheetNameRange">BackgroundCalcs!$I$2:$I$11</x:definedName>
    <x:definedName name="sixth">'Keyboarding Challenge'!$G$117</x:definedName>
    <x:definedName name="SpreadsheetName">BackgroundCalcs!$D$5</x:definedName>
    <x:definedName name="startTime">BackgroundCalcs!$F$2</x:definedName>
    <x:definedName name="StudentIDCell">BackgroundCalcs!$D$8</x:definedName>
    <x:definedName name="StudentNameCell">BackgroundCalcs!$D$11</x:definedName>
    <x:definedName name="Tab1Answer">BackgroundCalcs!$K$2</x:definedName>
    <x:definedName name="Tab1ClearRange">BackgroundCalcs!$L$2</x:definedName>
    <x:definedName name="Tab1Name">BackgroundCalcs!$I$2</x:definedName>
    <x:definedName name="Tab1Start">BackgroundCalcs!$J$2</x:definedName>
    <x:definedName name="tenth">'Keyboarding Challenge'!$R$106</x:definedName>
    <x:definedName name="thirteenth">'Keyboarding Challenge'!$X$103</x:definedName>
    <x:definedName name="totalTime">BackgroundCalcs!$F$29</x:definedName>
    <x:definedName name="Track">BackgroundCalcs!$D$51</x:definedName>
    <x:definedName name="twelveth">'Keyboarding Challenge'!$V$103</x:definedName>
    <x:definedName name="twelvth">'Keyboarding Challenge'!$V$103</x:definedName>
    <x:definedName name="xPosition">BackgroundCalcs!$F$11</x:definedName>
    <x:definedName name="yPosition">BackgroundCalcs!$G$11</x:definedName>
  </x:definedName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calcChain xmlns="http://schemas.openxmlformats.org/spreadsheetml/2006/main">
  <c r="G113" i="10" l="1"/>
  <c r="F11" i="10"/>
  <c r="F12" i="10" s="1"/>
  <c r="F13" i="10" s="1"/>
  <c r="F14" i="10" s="1"/>
  <c r="F15" i="10" s="1"/>
  <c r="F16" i="10" s="1"/>
  <c r="F17" i="10" s="1"/>
  <c r="F18" i="10" s="1"/>
  <c r="F19" i="10" s="1"/>
  <c r="F20" i="10" s="1"/>
  <c r="F21" i="10" s="1"/>
  <c r="F22" i="10" s="1"/>
  <c r="F23" i="10" s="1"/>
  <c r="F24" i="10" s="1"/>
  <c r="F25" i="10" s="1"/>
  <c r="F26" i="10" s="1"/>
  <c r="F27" i="10" s="1"/>
  <c r="F28" i="10" s="1"/>
  <c r="F29" i="10" s="1"/>
  <c r="F30" i="10" s="1"/>
  <c r="F31" i="10" s="1"/>
  <c r="F32" i="10" s="1"/>
  <c r="F33" i="10" s="1"/>
  <c r="F34" i="10" s="1"/>
  <c r="F35" i="10" s="1"/>
  <c r="F36" i="10" s="1"/>
  <c r="F37" i="10" s="1"/>
  <c r="F38" i="10" s="1"/>
  <c r="F39" i="10" s="1"/>
  <c r="F40" i="10" s="1"/>
  <c r="F41" i="10" s="1"/>
  <c r="F42" i="10" s="1"/>
  <c r="F43" i="10" s="1"/>
  <c r="F44" i="10" s="1"/>
  <c r="F45" i="10" s="1"/>
  <c r="F46" i="10" s="1"/>
  <c r="F47" i="10" s="1"/>
  <c r="F48" i="10" s="1"/>
  <c r="F49" i="10" s="1"/>
  <c r="F50" i="10" s="1"/>
  <c r="F51" i="10" s="1"/>
  <c r="F52" i="10" s="1"/>
  <c r="F53" i="10" s="1"/>
  <c r="F54" i="10" s="1"/>
  <c r="F55" i="10" s="1"/>
  <c r="F56" i="10" s="1"/>
  <c r="F57" i="10" s="1"/>
  <c r="F58" i="10" s="1"/>
  <c r="F59" i="10" s="1"/>
  <c r="F60" i="10" s="1"/>
  <c r="F61" i="10" s="1"/>
  <c r="F62" i="10" s="1"/>
  <c r="F63" i="10" s="1"/>
  <c r="F64" i="10" s="1"/>
  <c r="F65" i="10" s="1"/>
  <c r="F66" i="10" s="1"/>
  <c r="F67" i="10" s="1"/>
  <c r="F68" i="10" s="1"/>
  <c r="F69" i="10" s="1"/>
  <c r="F70" i="10" s="1"/>
  <c r="F71" i="10" s="1"/>
  <c r="F72" i="10" s="1"/>
  <c r="F73" i="10" s="1"/>
  <c r="F74" i="10" s="1"/>
  <c r="F75" i="10" s="1"/>
  <c r="F76" i="10" s="1"/>
  <c r="F77" i="10" s="1"/>
  <c r="F78" i="10" s="1"/>
  <c r="F79" i="10" s="1"/>
  <c r="F80" i="10" s="1"/>
  <c r="F81" i="10" s="1"/>
  <c r="F82" i="10" s="1"/>
  <c r="F83" i="10" s="1"/>
  <c r="F84" i="10" s="1"/>
  <c r="F85" i="10" s="1"/>
  <c r="F86" i="10" s="1"/>
  <c r="F87" i="10" s="1"/>
  <c r="F88" i="10" s="1"/>
  <c r="F89" i="10" s="1"/>
  <c r="F90" i="10" s="1"/>
  <c r="F91" i="10" s="1"/>
  <c r="F92" i="10" s="1"/>
  <c r="F93" i="10" s="1"/>
  <c r="F94" i="10" s="1"/>
  <c r="F95" i="10" s="1"/>
  <c r="F96" i="10" s="1"/>
  <c r="F97" i="10" s="1"/>
  <c r="F98" i="10" s="1"/>
  <c r="F99" i="10" s="1"/>
  <c r="F100" i="10" s="1"/>
  <c r="F101" i="10" s="1"/>
  <c r="F102" i="10" s="1"/>
  <c r="F103" i="10" s="1"/>
  <c r="F104" i="10" s="1"/>
  <c r="F105" i="10" s="1"/>
  <c r="F106" i="10" s="1"/>
  <c r="F107" i="10" s="1"/>
  <c r="F108" i="10" s="1"/>
  <c r="F109" i="10"/>
  <c r="F10" i="10"/>
  <c r="L9" i="10"/>
  <c r="X103" i="10"/>
  <c r="V103" i="10"/>
  <c r="R106" i="10"/>
  <c r="P108" i="10"/>
  <c r="N119" i="10"/>
  <c r="G119" i="10"/>
  <c r="G117" i="10"/>
  <c r="G115" i="10"/>
  <c r="B10" i="10"/>
  <c r="AB9" i="3"/>
  <c r="AB8" i="3"/>
  <c r="AA97" i="10"/>
  <c r="AE15" i="3" a="1"/>
  <c r="AF15" i="3" a="1"/>
  <c r="AF15" i="3" l="1"/>
  <c r="AE15" i="3"/>
  <c r="AQ101" i="3" l="1" a="1"/>
  <c r="AQ101" i="3" s="1"/>
  <c r="AQ100" i="3" a="1"/>
  <c r="AQ100" i="3" s="1"/>
  <c r="AQ99" i="3" a="1"/>
  <c r="AQ99" i="3" s="1"/>
  <c r="AQ88" i="3" a="1"/>
  <c r="AQ88" i="3" s="1"/>
  <c r="AQ87" i="3" a="1"/>
  <c r="AQ87" i="3" s="1"/>
  <c r="AQ86" i="3" a="1"/>
  <c r="AQ86" i="3" s="1"/>
  <c r="AQ85" i="3" a="1"/>
  <c r="AQ85" i="3" s="1"/>
  <c r="AQ84" i="3" a="1"/>
  <c r="AQ84" i="3" s="1"/>
  <c r="AQ83" i="3" a="1"/>
  <c r="AQ83" i="3" s="1"/>
  <c r="AQ82" i="3" a="1"/>
  <c r="AQ82" i="3" s="1"/>
  <c r="AQ81" i="3" a="1"/>
  <c r="AQ81" i="3" s="1"/>
  <c r="AQ80" i="3" a="1"/>
  <c r="AQ80" i="3" s="1"/>
  <c r="AQ79" i="3" a="1"/>
  <c r="AQ79" i="3" s="1"/>
  <c r="AQ78" i="3" a="1"/>
  <c r="AQ78" i="3" s="1"/>
  <c r="AQ77" i="3" a="1"/>
  <c r="AQ77" i="3" s="1"/>
  <c r="AQ76" i="3" a="1"/>
  <c r="AQ76" i="3" s="1"/>
  <c r="AQ75" i="3" a="1"/>
  <c r="AQ75" i="3" s="1"/>
  <c r="AQ63" i="3" a="1"/>
  <c r="AQ63" i="3" s="1"/>
  <c r="AQ62" i="3" a="1"/>
  <c r="AQ62" i="3" s="1"/>
  <c r="AQ61" i="3" a="1"/>
  <c r="AQ61" i="3" s="1"/>
  <c r="AQ60" i="3" a="1"/>
  <c r="AQ60" i="3" s="1"/>
  <c r="AQ59" i="3" a="1"/>
  <c r="AQ59" i="3" s="1"/>
  <c r="AQ58" i="3" a="1"/>
  <c r="AQ58" i="3" s="1"/>
  <c r="AQ57" i="3" a="1"/>
  <c r="AQ57" i="3" s="1"/>
  <c r="AQ56" i="3" a="1"/>
  <c r="AQ56" i="3" s="1"/>
  <c r="AQ55" i="3" a="1"/>
  <c r="AQ55" i="3" s="1"/>
  <c r="AQ54" i="3" a="1"/>
  <c r="AQ54" i="3" s="1"/>
  <c r="AQ44" i="3" a="1"/>
  <c r="AQ44" i="3" s="1"/>
  <c r="AQ43" i="3" a="1"/>
  <c r="AQ43" i="3" s="1"/>
  <c r="AQ42" i="3" a="1"/>
  <c r="AQ42" i="3" s="1"/>
  <c r="AQ41" i="3" a="1"/>
  <c r="AQ41" i="3" s="1"/>
  <c r="AQ40" i="3" a="1"/>
  <c r="AQ40" i="3" s="1"/>
  <c r="AQ39" i="3" a="1"/>
  <c r="AQ39" i="3" s="1"/>
  <c r="AQ38" i="3" a="1"/>
  <c r="AQ38" i="3" s="1"/>
  <c r="AQ37" i="3" a="1"/>
  <c r="AQ37" i="3" s="1"/>
  <c r="AQ36" i="3" a="1"/>
  <c r="AQ36" i="3" s="1"/>
  <c r="AQ35" i="3" a="1"/>
  <c r="AQ35" i="3" s="1"/>
  <c r="AQ34" i="3" a="1"/>
  <c r="AQ34" i="3" s="1"/>
  <c r="AQ33" i="3" a="1"/>
  <c r="AQ33" i="3" s="1"/>
  <c r="AQ19" i="3" a="1"/>
  <c r="AQ19" i="3" s="1"/>
  <c r="AQ18" i="3" a="1"/>
  <c r="AQ18" i="3" s="1"/>
  <c r="AQ17" i="3" a="1"/>
  <c r="AQ17" i="3" s="1"/>
  <c r="AQ16" i="3" a="1"/>
  <c r="AQ16" i="3" s="1"/>
  <c r="AQ15" i="3" a="1"/>
  <c r="AQ15" i="3" s="1"/>
  <c r="AQ14" i="3" a="1"/>
  <c r="AQ14" i="3" s="1"/>
  <c r="AQ13" i="3" a="1"/>
  <c r="AQ13" i="3" s="1"/>
  <c r="AQ12" i="3" a="1"/>
  <c r="AQ12" i="3" s="1"/>
  <c r="AQ3" i="3" a="1"/>
  <c r="AQ3" i="3" s="1"/>
  <c r="AO3" i="3" a="1"/>
  <c r="AO3" i="3" s="1"/>
  <c r="H10" i="10" s="1"/>
  <c r="AP3" i="3" a="1"/>
  <c r="AP3" i="3" s="1"/>
  <c r="AO4" i="3" a="1"/>
  <c r="AO4" i="3" s="1"/>
  <c r="AP4" i="3" a="1"/>
  <c r="AP4" i="3" s="1"/>
  <c r="I11" i="10" s="1"/>
  <c r="AO5" i="3" a="1"/>
  <c r="AO5" i="3" s="1"/>
  <c r="H12" i="10" s="1"/>
  <c r="AP5" i="3" a="1"/>
  <c r="AP5" i="3" s="1"/>
  <c r="I12" i="10" s="1"/>
  <c r="AO6" i="3" a="1"/>
  <c r="AO6" i="3" s="1"/>
  <c r="H13" i="10" s="1"/>
  <c r="AP6" i="3" a="1"/>
  <c r="AP6" i="3" s="1"/>
  <c r="I13" i="10" s="1"/>
  <c r="AO7" i="3" a="1"/>
  <c r="AO7" i="3" s="1"/>
  <c r="H14" i="10" s="1"/>
  <c r="AP7" i="3" a="1"/>
  <c r="AP7" i="3" s="1"/>
  <c r="I14" i="10" s="1"/>
  <c r="AO8" i="3" a="1"/>
  <c r="AO8" i="3" s="1"/>
  <c r="H15" i="10" s="1"/>
  <c r="AP8" i="3" a="1"/>
  <c r="AP8" i="3" s="1"/>
  <c r="I15" i="10" s="1"/>
  <c r="AO9" i="3" a="1"/>
  <c r="AO9" i="3" s="1"/>
  <c r="H16" i="10" s="1"/>
  <c r="AP9" i="3" a="1"/>
  <c r="AP9" i="3" s="1"/>
  <c r="I16" i="10" s="1"/>
  <c r="AO10" i="3" a="1"/>
  <c r="AO10" i="3" s="1"/>
  <c r="H17" i="10" s="1"/>
  <c r="AP10" i="3" a="1"/>
  <c r="AP10" i="3" s="1"/>
  <c r="I17" i="10" s="1"/>
  <c r="AO11" i="3" a="1"/>
  <c r="AO11" i="3" s="1"/>
  <c r="H18" i="10" s="1"/>
  <c r="AP11" i="3" a="1"/>
  <c r="AP11" i="3" s="1"/>
  <c r="AO12" i="3" a="1"/>
  <c r="AO12" i="3" s="1"/>
  <c r="AP12" i="3" a="1"/>
  <c r="AP12" i="3" s="1"/>
  <c r="I19" i="10" s="1"/>
  <c r="AO13" i="3" a="1"/>
  <c r="AO13" i="3" s="1"/>
  <c r="H20" i="10" s="1"/>
  <c r="AP13" i="3" a="1"/>
  <c r="AP13" i="3" s="1"/>
  <c r="I20" i="10" s="1"/>
  <c r="AO14" i="3" a="1"/>
  <c r="AO14" i="3" s="1"/>
  <c r="H21" i="10" s="1"/>
  <c r="AP14" i="3" a="1"/>
  <c r="AP14" i="3" s="1"/>
  <c r="I21" i="10" s="1"/>
  <c r="AO15" i="3" a="1"/>
  <c r="AO15" i="3" s="1"/>
  <c r="H22" i="10" s="1"/>
  <c r="AP15" i="3" a="1"/>
  <c r="AP15" i="3" s="1"/>
  <c r="I22" i="10" s="1"/>
  <c r="AO16" i="3" a="1"/>
  <c r="AO16" i="3" s="1"/>
  <c r="H23" i="10" s="1"/>
  <c r="AP16" i="3" a="1"/>
  <c r="AP16" i="3" s="1"/>
  <c r="I23" i="10" s="1"/>
  <c r="AO17" i="3" a="1"/>
  <c r="AO17" i="3" s="1"/>
  <c r="H24" i="10" s="1"/>
  <c r="AP17" i="3" a="1"/>
  <c r="AP17" i="3" s="1"/>
  <c r="I24" i="10" s="1"/>
  <c r="AO18" i="3" a="1"/>
  <c r="AO18" i="3" s="1"/>
  <c r="AP18" i="3" a="1"/>
  <c r="AP18" i="3" s="1"/>
  <c r="I25" i="10" s="1"/>
  <c r="AO19" i="3" a="1"/>
  <c r="AO19" i="3" s="1"/>
  <c r="H26" i="10" s="1"/>
  <c r="AP19" i="3" a="1"/>
  <c r="AP19" i="3" s="1"/>
  <c r="I26" i="10" s="1"/>
  <c r="AO20" i="3" a="1"/>
  <c r="AO20" i="3" s="1"/>
  <c r="AP20" i="3" a="1"/>
  <c r="AP20" i="3" s="1"/>
  <c r="I27" i="10" s="1"/>
  <c r="AO21" i="3" a="1"/>
  <c r="AO21" i="3" s="1"/>
  <c r="H28" i="10" s="1"/>
  <c r="AP21" i="3" a="1"/>
  <c r="AP21" i="3" s="1"/>
  <c r="I28" i="10" s="1"/>
  <c r="AO22" i="3" a="1"/>
  <c r="AO22" i="3" s="1"/>
  <c r="H29" i="10" s="1"/>
  <c r="AP22" i="3" a="1"/>
  <c r="AP22" i="3" s="1"/>
  <c r="I29" i="10" s="1"/>
  <c r="AO23" i="3" a="1"/>
  <c r="AO23" i="3" s="1"/>
  <c r="H30" i="10" s="1"/>
  <c r="AP23" i="3" a="1"/>
  <c r="AP23" i="3" s="1"/>
  <c r="I30" i="10" s="1"/>
  <c r="AO24" i="3" a="1"/>
  <c r="AO24" i="3" s="1"/>
  <c r="H31" i="10" s="1"/>
  <c r="AP24" i="3" a="1"/>
  <c r="AP24" i="3" s="1"/>
  <c r="I31" i="10" s="1"/>
  <c r="AO25" i="3" a="1"/>
  <c r="AO25" i="3" s="1"/>
  <c r="H32" i="10" s="1"/>
  <c r="AP25" i="3" a="1"/>
  <c r="AP25" i="3" s="1"/>
  <c r="I32" i="10" s="1"/>
  <c r="AO26" i="3" a="1"/>
  <c r="AO26" i="3" s="1"/>
  <c r="H33" i="10" s="1"/>
  <c r="AP26" i="3" a="1"/>
  <c r="AP26" i="3" s="1"/>
  <c r="I33" i="10" s="1"/>
  <c r="AO27" i="3" a="1"/>
  <c r="AO27" i="3" s="1"/>
  <c r="H34" i="10" s="1"/>
  <c r="AP27" i="3" a="1"/>
  <c r="AP27" i="3" s="1"/>
  <c r="AO28" i="3" a="1"/>
  <c r="AO28" i="3" s="1"/>
  <c r="AP28" i="3" a="1"/>
  <c r="AP28" i="3" s="1"/>
  <c r="I35" i="10" s="1"/>
  <c r="AO29" i="3" a="1"/>
  <c r="AO29" i="3" s="1"/>
  <c r="H36" i="10" s="1"/>
  <c r="AP29" i="3" a="1"/>
  <c r="AP29" i="3" s="1"/>
  <c r="I36" i="10" s="1"/>
  <c r="AO30" i="3" a="1"/>
  <c r="AO30" i="3" s="1"/>
  <c r="H37" i="10" s="1"/>
  <c r="AP30" i="3" a="1"/>
  <c r="AP30" i="3" s="1"/>
  <c r="I37" i="10" s="1"/>
  <c r="AO31" i="3" a="1"/>
  <c r="AO31" i="3" s="1"/>
  <c r="H38" i="10" s="1"/>
  <c r="AP31" i="3" a="1"/>
  <c r="AP31" i="3" s="1"/>
  <c r="I38" i="10" s="1"/>
  <c r="AO32" i="3" a="1"/>
  <c r="AO32" i="3" s="1"/>
  <c r="H39" i="10" s="1"/>
  <c r="AP32" i="3" a="1"/>
  <c r="AP32" i="3" s="1"/>
  <c r="I39" i="10" s="1"/>
  <c r="AO33" i="3" a="1"/>
  <c r="AO33" i="3" s="1"/>
  <c r="H40" i="10" s="1"/>
  <c r="AP33" i="3" a="1"/>
  <c r="AP33" i="3" s="1"/>
  <c r="I40" i="10" s="1"/>
  <c r="AO34" i="3" a="1"/>
  <c r="AO34" i="3" s="1"/>
  <c r="H41" i="10" s="1"/>
  <c r="AP34" i="3" a="1"/>
  <c r="AP34" i="3" s="1"/>
  <c r="I41" i="10" s="1"/>
  <c r="AO35" i="3" a="1"/>
  <c r="AO35" i="3" s="1"/>
  <c r="H42" i="10" s="1"/>
  <c r="AP35" i="3" a="1"/>
  <c r="AP35" i="3" s="1"/>
  <c r="AO36" i="3" a="1"/>
  <c r="AO36" i="3" s="1"/>
  <c r="AP36" i="3" a="1"/>
  <c r="AP36" i="3" s="1"/>
  <c r="I43" i="10" s="1"/>
  <c r="AO37" i="3" a="1"/>
  <c r="AO37" i="3" s="1"/>
  <c r="H44" i="10" s="1"/>
  <c r="AP37" i="3" a="1"/>
  <c r="AP37" i="3" s="1"/>
  <c r="I44" i="10" s="1"/>
  <c r="AO38" i="3" a="1"/>
  <c r="AO38" i="3" s="1"/>
  <c r="H45" i="10" s="1"/>
  <c r="AP38" i="3" a="1"/>
  <c r="AP38" i="3" s="1"/>
  <c r="I45" i="10" s="1"/>
  <c r="AO39" i="3" a="1"/>
  <c r="AO39" i="3" s="1"/>
  <c r="H46" i="10" s="1"/>
  <c r="AP39" i="3" a="1"/>
  <c r="AP39" i="3" s="1"/>
  <c r="I46" i="10" s="1"/>
  <c r="AO40" i="3" a="1"/>
  <c r="AO40" i="3" s="1"/>
  <c r="H47" i="10" s="1"/>
  <c r="AP40" i="3" a="1"/>
  <c r="AP40" i="3" s="1"/>
  <c r="I47" i="10" s="1"/>
  <c r="AO41" i="3" a="1"/>
  <c r="AO41" i="3" s="1"/>
  <c r="H48" i="10" s="1"/>
  <c r="AP41" i="3" a="1"/>
  <c r="AP41" i="3" s="1"/>
  <c r="I48" i="10" s="1"/>
  <c r="AO42" i="3" a="1"/>
  <c r="AO42" i="3" s="1"/>
  <c r="H49" i="10" s="1"/>
  <c r="AP42" i="3" a="1"/>
  <c r="AP42" i="3" s="1"/>
  <c r="I49" i="10" s="1"/>
  <c r="AO43" i="3" a="1"/>
  <c r="AO43" i="3" s="1"/>
  <c r="H50" i="10" s="1"/>
  <c r="AP43" i="3" a="1"/>
  <c r="AP43" i="3" s="1"/>
  <c r="AO44" i="3" a="1"/>
  <c r="AO44" i="3" s="1"/>
  <c r="AP44" i="3" a="1"/>
  <c r="AP44" i="3" s="1"/>
  <c r="I51" i="10" s="1"/>
  <c r="AO45" i="3" a="1"/>
  <c r="AO45" i="3" s="1"/>
  <c r="H52" i="10" s="1"/>
  <c r="AP45" i="3" a="1"/>
  <c r="AP45" i="3" s="1"/>
  <c r="I52" i="10" s="1"/>
  <c r="AO46" i="3" a="1"/>
  <c r="AO46" i="3" s="1"/>
  <c r="H53" i="10" s="1"/>
  <c r="AP46" i="3" a="1"/>
  <c r="AP46" i="3" s="1"/>
  <c r="I53" i="10" s="1"/>
  <c r="AO47" i="3" a="1"/>
  <c r="AO47" i="3" s="1"/>
  <c r="H54" i="10" s="1"/>
  <c r="AP47" i="3" a="1"/>
  <c r="AP47" i="3" s="1"/>
  <c r="I54" i="10" s="1"/>
  <c r="AO48" i="3" a="1"/>
  <c r="AO48" i="3" s="1"/>
  <c r="AP48" i="3" a="1"/>
  <c r="AP48" i="3" s="1"/>
  <c r="I55" i="10" s="1"/>
  <c r="AO49" i="3" a="1"/>
  <c r="AO49" i="3" s="1"/>
  <c r="H56" i="10" s="1"/>
  <c r="AP49" i="3" a="1"/>
  <c r="AP49" i="3" s="1"/>
  <c r="I56" i="10" s="1"/>
  <c r="AO50" i="3" a="1"/>
  <c r="AO50" i="3" s="1"/>
  <c r="H57" i="10" s="1"/>
  <c r="AP50" i="3" a="1"/>
  <c r="AP50" i="3" s="1"/>
  <c r="I57" i="10" s="1"/>
  <c r="AO51" i="3" a="1"/>
  <c r="AO51" i="3" s="1"/>
  <c r="H58" i="10" s="1"/>
  <c r="AP51" i="3" a="1"/>
  <c r="AP51" i="3" s="1"/>
  <c r="I58" i="10" s="1"/>
  <c r="AO52" i="3" a="1"/>
  <c r="AO52" i="3" s="1"/>
  <c r="AP52" i="3" a="1"/>
  <c r="AP52" i="3" s="1"/>
  <c r="I59" i="10" s="1"/>
  <c r="AO53" i="3" a="1"/>
  <c r="AO53" i="3" s="1"/>
  <c r="H60" i="10" s="1"/>
  <c r="AP53" i="3" a="1"/>
  <c r="AP53" i="3" s="1"/>
  <c r="I60" i="10" s="1"/>
  <c r="AO54" i="3" a="1"/>
  <c r="AO54" i="3" s="1"/>
  <c r="H61" i="10" s="1"/>
  <c r="AP54" i="3" a="1"/>
  <c r="AP54" i="3" s="1"/>
  <c r="I61" i="10" s="1"/>
  <c r="AO55" i="3" a="1"/>
  <c r="AO55" i="3" s="1"/>
  <c r="H62" i="10" s="1"/>
  <c r="AP55" i="3" a="1"/>
  <c r="AP55" i="3" s="1"/>
  <c r="I62" i="10" s="1"/>
  <c r="AO56" i="3" a="1"/>
  <c r="AO56" i="3" s="1"/>
  <c r="H63" i="10" s="1"/>
  <c r="AP56" i="3" a="1"/>
  <c r="AP56" i="3" s="1"/>
  <c r="I63" i="10" s="1"/>
  <c r="AO57" i="3" a="1"/>
  <c r="AO57" i="3" s="1"/>
  <c r="H64" i="10" s="1"/>
  <c r="AP57" i="3" a="1"/>
  <c r="AP57" i="3" s="1"/>
  <c r="I64" i="10" s="1"/>
  <c r="AO58" i="3" a="1"/>
  <c r="AO58" i="3" s="1"/>
  <c r="H65" i="10" s="1"/>
  <c r="AP58" i="3" a="1"/>
  <c r="AP58" i="3" s="1"/>
  <c r="I65" i="10" s="1"/>
  <c r="AO59" i="3" a="1"/>
  <c r="AO59" i="3" s="1"/>
  <c r="H66" i="10" s="1"/>
  <c r="AP59" i="3" a="1"/>
  <c r="AP59" i="3" s="1"/>
  <c r="AO60" i="3" a="1"/>
  <c r="AO60" i="3" s="1"/>
  <c r="AP60" i="3" a="1"/>
  <c r="AP60" i="3" s="1"/>
  <c r="I67" i="10" s="1"/>
  <c r="AO61" i="3" a="1"/>
  <c r="AO61" i="3" s="1"/>
  <c r="H68" i="10" s="1"/>
  <c r="AP61" i="3" a="1"/>
  <c r="AP61" i="3" s="1"/>
  <c r="I68" i="10" s="1"/>
  <c r="AO62" i="3" a="1"/>
  <c r="AO62" i="3" s="1"/>
  <c r="H69" i="10" s="1"/>
  <c r="AP62" i="3" a="1"/>
  <c r="AP62" i="3" s="1"/>
  <c r="I69" i="10" s="1"/>
  <c r="AO63" i="3" a="1"/>
  <c r="AO63" i="3" s="1"/>
  <c r="H70" i="10" s="1"/>
  <c r="AP63" i="3" a="1"/>
  <c r="AP63" i="3" s="1"/>
  <c r="I70" i="10" s="1"/>
  <c r="AO64" i="3" a="1"/>
  <c r="AO64" i="3" s="1"/>
  <c r="H71" i="10" s="1"/>
  <c r="AP64" i="3" a="1"/>
  <c r="AP64" i="3" s="1"/>
  <c r="I71" i="10" s="1"/>
  <c r="AO65" i="3" a="1"/>
  <c r="AO65" i="3" s="1"/>
  <c r="H72" i="10" s="1"/>
  <c r="AP65" i="3" a="1"/>
  <c r="AP65" i="3" s="1"/>
  <c r="I72" i="10" s="1"/>
  <c r="AO66" i="3" a="1"/>
  <c r="AO66" i="3" s="1"/>
  <c r="H73" i="10" s="1"/>
  <c r="AP66" i="3" a="1"/>
  <c r="AP66" i="3" s="1"/>
  <c r="I73" i="10" s="1"/>
  <c r="AO67" i="3" a="1"/>
  <c r="AO67" i="3" s="1"/>
  <c r="H74" i="10" s="1"/>
  <c r="AP67" i="3" a="1"/>
  <c r="AP67" i="3" s="1"/>
  <c r="I74" i="10" s="1"/>
  <c r="AO68" i="3" a="1"/>
  <c r="AO68" i="3" s="1"/>
  <c r="AP68" i="3" a="1"/>
  <c r="AP68" i="3" s="1"/>
  <c r="I75" i="10" s="1"/>
  <c r="AO69" i="3" a="1"/>
  <c r="AO69" i="3" s="1"/>
  <c r="H76" i="10" s="1"/>
  <c r="AP69" i="3" a="1"/>
  <c r="AP69" i="3" s="1"/>
  <c r="I76" i="10" s="1"/>
  <c r="AO70" i="3" a="1"/>
  <c r="AO70" i="3" s="1"/>
  <c r="H77" i="10" s="1"/>
  <c r="AP70" i="3" a="1"/>
  <c r="AP70" i="3" s="1"/>
  <c r="I77" i="10" s="1"/>
  <c r="AO71" i="3" a="1"/>
  <c r="AO71" i="3" s="1"/>
  <c r="H78" i="10" s="1"/>
  <c r="AP71" i="3" a="1"/>
  <c r="AP71" i="3" s="1"/>
  <c r="I78" i="10" s="1"/>
  <c r="AO72" i="3" a="1"/>
  <c r="AO72" i="3" s="1"/>
  <c r="AP72" i="3" a="1"/>
  <c r="AP72" i="3" s="1"/>
  <c r="I79" i="10" s="1"/>
  <c r="AO73" i="3" a="1"/>
  <c r="AO73" i="3" s="1"/>
  <c r="H80" i="10" s="1"/>
  <c r="AP73" i="3" a="1"/>
  <c r="AP73" i="3" s="1"/>
  <c r="I80" i="10" s="1"/>
  <c r="AO74" i="3" a="1"/>
  <c r="AO74" i="3" s="1"/>
  <c r="H81" i="10" s="1"/>
  <c r="AP74" i="3" a="1"/>
  <c r="AP74" i="3" s="1"/>
  <c r="I81" i="10" s="1"/>
  <c r="AO75" i="3" a="1"/>
  <c r="AO75" i="3" s="1"/>
  <c r="H82" i="10" s="1"/>
  <c r="AP75" i="3" a="1"/>
  <c r="AP75" i="3" s="1"/>
  <c r="AO76" i="3" a="1"/>
  <c r="AO76" i="3" s="1"/>
  <c r="AP76" i="3" a="1"/>
  <c r="AP76" i="3" s="1"/>
  <c r="I83" i="10" s="1"/>
  <c r="AO77" i="3" a="1"/>
  <c r="AO77" i="3" s="1"/>
  <c r="H84" i="10" s="1"/>
  <c r="AP77" i="3" a="1"/>
  <c r="AP77" i="3" s="1"/>
  <c r="I84" i="10" s="1"/>
  <c r="AO78" i="3" a="1"/>
  <c r="AO78" i="3" s="1"/>
  <c r="H85" i="10" s="1"/>
  <c r="AP78" i="3" a="1"/>
  <c r="AP78" i="3" s="1"/>
  <c r="I85" i="10" s="1"/>
  <c r="AO79" i="3" a="1"/>
  <c r="AO79" i="3" s="1"/>
  <c r="H86" i="10" s="1"/>
  <c r="AP79" i="3" a="1"/>
  <c r="AP79" i="3" s="1"/>
  <c r="I86" i="10" s="1"/>
  <c r="AO80" i="3" a="1"/>
  <c r="AO80" i="3" s="1"/>
  <c r="H87" i="10" s="1"/>
  <c r="AP80" i="3" a="1"/>
  <c r="AP80" i="3" s="1"/>
  <c r="I87" i="10" s="1"/>
  <c r="AO81" i="3" a="1"/>
  <c r="AO81" i="3" s="1"/>
  <c r="H88" i="10" s="1"/>
  <c r="AP81" i="3" a="1"/>
  <c r="AP81" i="3" s="1"/>
  <c r="I88" i="10" s="1"/>
  <c r="AO82" i="3" a="1"/>
  <c r="AO82" i="3" s="1"/>
  <c r="H89" i="10" s="1"/>
  <c r="AP82" i="3" a="1"/>
  <c r="AP82" i="3" s="1"/>
  <c r="I89" i="10" s="1"/>
  <c r="AO83" i="3" a="1"/>
  <c r="AO83" i="3" s="1"/>
  <c r="H90" i="10" s="1"/>
  <c r="AP83" i="3" a="1"/>
  <c r="AP83" i="3" s="1"/>
  <c r="I90" i="10" s="1"/>
  <c r="AO84" i="3" a="1"/>
  <c r="AO84" i="3" s="1"/>
  <c r="AP84" i="3" a="1"/>
  <c r="AP84" i="3" s="1"/>
  <c r="I91" i="10" s="1"/>
  <c r="AO85" i="3" a="1"/>
  <c r="AO85" i="3" s="1"/>
  <c r="H92" i="10" s="1"/>
  <c r="AP85" i="3" a="1"/>
  <c r="AP85" i="3" s="1"/>
  <c r="I92" i="10" s="1"/>
  <c r="AO86" i="3" a="1"/>
  <c r="AO86" i="3" s="1"/>
  <c r="H93" i="10" s="1"/>
  <c r="AP86" i="3" a="1"/>
  <c r="AP86" i="3" s="1"/>
  <c r="I93" i="10" s="1"/>
  <c r="AO87" i="3" a="1"/>
  <c r="AO87" i="3" s="1"/>
  <c r="H94" i="10" s="1"/>
  <c r="AP87" i="3" a="1"/>
  <c r="AP87" i="3" s="1"/>
  <c r="I94" i="10" s="1"/>
  <c r="AO88" i="3" a="1"/>
  <c r="AO88" i="3" s="1"/>
  <c r="H95" i="10" s="1"/>
  <c r="AP88" i="3" a="1"/>
  <c r="AP88" i="3" s="1"/>
  <c r="I95" i="10" s="1"/>
  <c r="AO89" i="3" a="1"/>
  <c r="AO89" i="3" s="1"/>
  <c r="H96" i="10" s="1"/>
  <c r="AP89" i="3" a="1"/>
  <c r="AP89" i="3" s="1"/>
  <c r="I96" i="10" s="1"/>
  <c r="AO90" i="3" a="1"/>
  <c r="AO90" i="3" s="1"/>
  <c r="H97" i="10" s="1"/>
  <c r="AP90" i="3" a="1"/>
  <c r="AP90" i="3" s="1"/>
  <c r="I97" i="10" s="1"/>
  <c r="AO91" i="3" a="1"/>
  <c r="AO91" i="3" s="1"/>
  <c r="H98" i="10" s="1"/>
  <c r="AP91" i="3" a="1"/>
  <c r="AP91" i="3" s="1"/>
  <c r="I98" i="10" s="1"/>
  <c r="AO92" i="3" a="1"/>
  <c r="AO92" i="3" s="1"/>
  <c r="AP92" i="3" a="1"/>
  <c r="AP92" i="3" s="1"/>
  <c r="I99" i="10" s="1"/>
  <c r="AO93" i="3" a="1"/>
  <c r="AO93" i="3" s="1"/>
  <c r="H100" i="10" s="1"/>
  <c r="AP93" i="3" a="1"/>
  <c r="AP93" i="3" s="1"/>
  <c r="I100" i="10" s="1"/>
  <c r="AO94" i="3" a="1"/>
  <c r="AO94" i="3" s="1"/>
  <c r="H101" i="10" s="1"/>
  <c r="AP94" i="3" a="1"/>
  <c r="AP94" i="3" s="1"/>
  <c r="I101" i="10" s="1"/>
  <c r="AO95" i="3" a="1"/>
  <c r="AO95" i="3" s="1"/>
  <c r="H102" i="10" s="1"/>
  <c r="AP95" i="3" a="1"/>
  <c r="AP95" i="3" s="1"/>
  <c r="I102" i="10" s="1"/>
  <c r="AO96" i="3" a="1"/>
  <c r="AO96" i="3" s="1"/>
  <c r="H103" i="10" s="1"/>
  <c r="AP96" i="3" a="1"/>
  <c r="AP96" i="3" s="1"/>
  <c r="I103" i="10" s="1"/>
  <c r="AO97" i="3" a="1"/>
  <c r="AO97" i="3" s="1"/>
  <c r="H104" i="10" s="1"/>
  <c r="AP97" i="3" a="1"/>
  <c r="AP97" i="3" s="1"/>
  <c r="I104" i="10" s="1"/>
  <c r="AO98" i="3" a="1"/>
  <c r="AO98" i="3" s="1"/>
  <c r="H105" i="10" s="1"/>
  <c r="AP98" i="3" a="1"/>
  <c r="AP98" i="3" s="1"/>
  <c r="I105" i="10" s="1"/>
  <c r="AO99" i="3" a="1"/>
  <c r="AO99" i="3" s="1"/>
  <c r="H106" i="10" s="1"/>
  <c r="AP99" i="3" a="1"/>
  <c r="AP99" i="3" s="1"/>
  <c r="AO100" i="3" a="1"/>
  <c r="AO100" i="3" s="1"/>
  <c r="H107" i="10" s="1"/>
  <c r="AP100" i="3" a="1"/>
  <c r="AP100" i="3" s="1"/>
  <c r="I107" i="10" s="1"/>
  <c r="AO101" i="3" a="1"/>
  <c r="AO101" i="3" s="1"/>
  <c r="H108" i="10" s="1"/>
  <c r="AP101" i="3" a="1"/>
  <c r="AP101" i="3" s="1"/>
  <c r="I108" i="10" s="1"/>
  <c r="AS3" i="3" a="1"/>
  <c r="AS3" i="3" s="1"/>
  <c r="K10" i="10" s="1"/>
  <c r="AS4" i="3" a="1"/>
  <c r="AS4" i="3" s="1"/>
  <c r="K11" i="10" s="1"/>
  <c r="AS5" i="3" a="1"/>
  <c r="AS5" i="3" s="1"/>
  <c r="K12" i="10" s="1"/>
  <c r="AS6" i="3" a="1"/>
  <c r="AS6" i="3" s="1"/>
  <c r="K13" i="10" s="1"/>
  <c r="AS7" i="3" a="1"/>
  <c r="AS7" i="3" s="1"/>
  <c r="K14" i="10" s="1"/>
  <c r="AS8" i="3" a="1"/>
  <c r="AS8" i="3" s="1"/>
  <c r="K15" i="10" s="1"/>
  <c r="AS9" i="3" a="1"/>
  <c r="AS9" i="3" s="1"/>
  <c r="K16" i="10" s="1"/>
  <c r="AS10" i="3" a="1"/>
  <c r="AS10" i="3" s="1"/>
  <c r="K17" i="10" s="1"/>
  <c r="AS11" i="3" a="1"/>
  <c r="AS11" i="3" s="1"/>
  <c r="K18" i="10" s="1"/>
  <c r="AS12" i="3" a="1"/>
  <c r="AS12" i="3" s="1"/>
  <c r="K19" i="10" s="1"/>
  <c r="AS13" i="3" a="1"/>
  <c r="AS13" i="3" s="1"/>
  <c r="K20" i="10" s="1"/>
  <c r="AS14" i="3" a="1"/>
  <c r="AS14" i="3" s="1"/>
  <c r="K21" i="10" s="1"/>
  <c r="AS15" i="3" a="1"/>
  <c r="AS15" i="3" s="1"/>
  <c r="K22" i="10" s="1"/>
  <c r="AS16" i="3" a="1"/>
  <c r="AS16" i="3" s="1"/>
  <c r="K23" i="10" s="1"/>
  <c r="AS17" i="3" a="1"/>
  <c r="AS17" i="3" s="1"/>
  <c r="K24" i="10" s="1"/>
  <c r="AS18" i="3" a="1"/>
  <c r="AS18" i="3" s="1"/>
  <c r="K25" i="10" s="1"/>
  <c r="AS19" i="3" a="1"/>
  <c r="AS19" i="3" s="1"/>
  <c r="K26" i="10" s="1"/>
  <c r="AS20" i="3" a="1"/>
  <c r="AS20" i="3" s="1"/>
  <c r="K27" i="10" s="1"/>
  <c r="AS21" i="3" a="1"/>
  <c r="AS21" i="3" s="1"/>
  <c r="K28" i="10" s="1"/>
  <c r="AS22" i="3" a="1"/>
  <c r="AS22" i="3" s="1"/>
  <c r="K29" i="10" s="1"/>
  <c r="AS23" i="3" a="1"/>
  <c r="AS23" i="3" s="1"/>
  <c r="K30" i="10" s="1"/>
  <c r="AS24" i="3" a="1"/>
  <c r="AS24" i="3" s="1"/>
  <c r="K31" i="10" s="1"/>
  <c r="AS25" i="3" a="1"/>
  <c r="AS25" i="3" s="1"/>
  <c r="K32" i="10" s="1"/>
  <c r="AS26" i="3" a="1"/>
  <c r="AS26" i="3" s="1"/>
  <c r="K33" i="10" s="1"/>
  <c r="AS27" i="3" a="1"/>
  <c r="AS27" i="3" s="1"/>
  <c r="K34" i="10" s="1"/>
  <c r="AS28" i="3" a="1"/>
  <c r="AS28" i="3" s="1"/>
  <c r="K35" i="10" s="1"/>
  <c r="AS29" i="3" a="1"/>
  <c r="AS29" i="3" s="1"/>
  <c r="K36" i="10" s="1"/>
  <c r="AS30" i="3" a="1"/>
  <c r="AS30" i="3" s="1"/>
  <c r="K37" i="10" s="1"/>
  <c r="AS31" i="3" a="1"/>
  <c r="AS31" i="3" s="1"/>
  <c r="K38" i="10" s="1"/>
  <c r="AS32" i="3" a="1"/>
  <c r="AS32" i="3" s="1"/>
  <c r="K39" i="10" s="1"/>
  <c r="AS33" i="3" a="1"/>
  <c r="AS33" i="3" s="1"/>
  <c r="K40" i="10" s="1"/>
  <c r="AS34" i="3" a="1"/>
  <c r="AS34" i="3" s="1"/>
  <c r="K41" i="10" s="1"/>
  <c r="AS35" i="3" a="1"/>
  <c r="AS35" i="3" s="1"/>
  <c r="K42" i="10" s="1"/>
  <c r="AS36" i="3" a="1"/>
  <c r="AS36" i="3" s="1"/>
  <c r="K43" i="10" s="1"/>
  <c r="AS37" i="3" a="1"/>
  <c r="AS37" i="3" s="1"/>
  <c r="K44" i="10" s="1"/>
  <c r="AS38" i="3" a="1"/>
  <c r="AS38" i="3" s="1"/>
  <c r="K45" i="10" s="1"/>
  <c r="AS39" i="3" a="1"/>
  <c r="AS39" i="3" s="1"/>
  <c r="K46" i="10" s="1"/>
  <c r="AS40" i="3" a="1"/>
  <c r="AS40" i="3" s="1"/>
  <c r="K47" i="10" s="1"/>
  <c r="AS41" i="3" a="1"/>
  <c r="AS41" i="3" s="1"/>
  <c r="K48" i="10" s="1"/>
  <c r="AS42" i="3" a="1"/>
  <c r="AS42" i="3" s="1"/>
  <c r="K49" i="10" s="1"/>
  <c r="AS43" i="3" a="1"/>
  <c r="AS43" i="3" s="1"/>
  <c r="K50" i="10" s="1"/>
  <c r="AS44" i="3" a="1"/>
  <c r="AS44" i="3" s="1"/>
  <c r="K51" i="10" s="1"/>
  <c r="AS45" i="3" a="1"/>
  <c r="AS45" i="3" s="1"/>
  <c r="K52" i="10" s="1"/>
  <c r="AS46" i="3" a="1"/>
  <c r="AS46" i="3" s="1"/>
  <c r="K53" i="10" s="1"/>
  <c r="AS47" i="3" a="1"/>
  <c r="AS47" i="3" s="1"/>
  <c r="K54" i="10" s="1"/>
  <c r="AS48" i="3" a="1"/>
  <c r="AS48" i="3" s="1"/>
  <c r="K55" i="10" s="1"/>
  <c r="AS49" i="3" a="1"/>
  <c r="AS49" i="3" s="1"/>
  <c r="K56" i="10" s="1"/>
  <c r="AS50" i="3" a="1"/>
  <c r="AS50" i="3" s="1"/>
  <c r="K57" i="10" s="1"/>
  <c r="AS51" i="3" a="1"/>
  <c r="AS51" i="3" s="1"/>
  <c r="K58" i="10" s="1"/>
  <c r="AS52" i="3" a="1"/>
  <c r="AS52" i="3" s="1"/>
  <c r="K59" i="10" s="1"/>
  <c r="AS53" i="3" a="1"/>
  <c r="AS53" i="3" s="1"/>
  <c r="K60" i="10" s="1"/>
  <c r="AS54" i="3" a="1"/>
  <c r="AS54" i="3" s="1"/>
  <c r="K61" i="10" s="1"/>
  <c r="AS55" i="3" a="1"/>
  <c r="AS55" i="3" s="1"/>
  <c r="K62" i="10" s="1"/>
  <c r="AS56" i="3" a="1"/>
  <c r="AS56" i="3" s="1"/>
  <c r="K63" i="10" s="1"/>
  <c r="AS57" i="3" a="1"/>
  <c r="AS57" i="3" s="1"/>
  <c r="K64" i="10" s="1"/>
  <c r="AS58" i="3" a="1"/>
  <c r="AS58" i="3" s="1"/>
  <c r="K65" i="10" s="1"/>
  <c r="AS59" i="3" a="1"/>
  <c r="AS59" i="3" s="1"/>
  <c r="K66" i="10" s="1"/>
  <c r="AS60" i="3" a="1"/>
  <c r="AS60" i="3" s="1"/>
  <c r="K67" i="10" s="1"/>
  <c r="AS61" i="3" a="1"/>
  <c r="AS61" i="3" s="1"/>
  <c r="K68" i="10" s="1"/>
  <c r="AS62" i="3" a="1"/>
  <c r="AS62" i="3" s="1"/>
  <c r="K69" i="10" s="1"/>
  <c r="AS63" i="3" a="1"/>
  <c r="AS63" i="3" s="1"/>
  <c r="K70" i="10" s="1"/>
  <c r="AS64" i="3" a="1"/>
  <c r="AS64" i="3" s="1"/>
  <c r="K71" i="10" s="1"/>
  <c r="AS65" i="3" a="1"/>
  <c r="AS65" i="3" s="1"/>
  <c r="K72" i="10" s="1"/>
  <c r="AS66" i="3" a="1"/>
  <c r="AS66" i="3" s="1"/>
  <c r="K73" i="10" s="1"/>
  <c r="AS67" i="3" a="1"/>
  <c r="AS67" i="3" s="1"/>
  <c r="K74" i="10" s="1"/>
  <c r="AS68" i="3" a="1"/>
  <c r="AS68" i="3" s="1"/>
  <c r="K75" i="10" s="1"/>
  <c r="AS69" i="3" a="1"/>
  <c r="AS69" i="3" s="1"/>
  <c r="K76" i="10" s="1"/>
  <c r="AS70" i="3" a="1"/>
  <c r="AS70" i="3" s="1"/>
  <c r="K77" i="10" s="1"/>
  <c r="AS71" i="3" a="1"/>
  <c r="AS71" i="3" s="1"/>
  <c r="K78" i="10" s="1"/>
  <c r="AS72" i="3" a="1"/>
  <c r="AS72" i="3" s="1"/>
  <c r="K79" i="10" s="1"/>
  <c r="AS73" i="3" a="1"/>
  <c r="AS73" i="3" s="1"/>
  <c r="K80" i="10" s="1"/>
  <c r="AS74" i="3" a="1"/>
  <c r="AS74" i="3" s="1"/>
  <c r="K81" i="10" s="1"/>
  <c r="AS75" i="3" a="1"/>
  <c r="AS75" i="3" s="1"/>
  <c r="K82" i="10" s="1"/>
  <c r="AS76" i="3" a="1"/>
  <c r="AS76" i="3" s="1"/>
  <c r="K83" i="10" s="1"/>
  <c r="AS77" i="3" a="1"/>
  <c r="AS77" i="3" s="1"/>
  <c r="K84" i="10" s="1"/>
  <c r="AS78" i="3" a="1"/>
  <c r="AS78" i="3" s="1"/>
  <c r="K85" i="10" s="1"/>
  <c r="AS79" i="3" a="1"/>
  <c r="AS79" i="3" s="1"/>
  <c r="K86" i="10" s="1"/>
  <c r="AS80" i="3" a="1"/>
  <c r="AS80" i="3" s="1"/>
  <c r="K87" i="10" s="1"/>
  <c r="AS81" i="3" a="1"/>
  <c r="AS81" i="3" s="1"/>
  <c r="K88" i="10" s="1"/>
  <c r="AS82" i="3" a="1"/>
  <c r="AS82" i="3" s="1"/>
  <c r="K89" i="10" s="1"/>
  <c r="AS83" i="3" a="1"/>
  <c r="AS83" i="3" s="1"/>
  <c r="K90" i="10" s="1"/>
  <c r="AS84" i="3" a="1"/>
  <c r="AS84" i="3" s="1"/>
  <c r="K91" i="10" s="1"/>
  <c r="AS85" i="3" a="1"/>
  <c r="AS85" i="3" s="1"/>
  <c r="K92" i="10" s="1"/>
  <c r="AS86" i="3" a="1"/>
  <c r="AS86" i="3" s="1"/>
  <c r="K93" i="10" s="1"/>
  <c r="AS87" i="3" a="1"/>
  <c r="AS87" i="3" s="1"/>
  <c r="K94" i="10" s="1"/>
  <c r="AS88" i="3" a="1"/>
  <c r="AS88" i="3" s="1"/>
  <c r="K95" i="10" s="1"/>
  <c r="AS89" i="3" a="1"/>
  <c r="AS89" i="3" s="1"/>
  <c r="K96" i="10" s="1"/>
  <c r="AS90" i="3" a="1"/>
  <c r="AS90" i="3" s="1"/>
  <c r="K97" i="10" s="1"/>
  <c r="AS91" i="3" a="1"/>
  <c r="AS91" i="3" s="1"/>
  <c r="K98" i="10" s="1"/>
  <c r="AS92" i="3" a="1"/>
  <c r="AS92" i="3" s="1"/>
  <c r="K99" i="10" s="1"/>
  <c r="AS93" i="3" a="1"/>
  <c r="AS93" i="3" s="1"/>
  <c r="K100" i="10" s="1"/>
  <c r="AS94" i="3" a="1"/>
  <c r="AS94" i="3" s="1"/>
  <c r="K101" i="10" s="1"/>
  <c r="AS95" i="3" a="1"/>
  <c r="AS95" i="3" s="1"/>
  <c r="K102" i="10" s="1"/>
  <c r="AS96" i="3" a="1"/>
  <c r="AS96" i="3" s="1"/>
  <c r="K103" i="10" s="1"/>
  <c r="AS97" i="3" a="1"/>
  <c r="AS97" i="3" s="1"/>
  <c r="K104" i="10" s="1"/>
  <c r="AS98" i="3" a="1"/>
  <c r="AS98" i="3" s="1"/>
  <c r="K105" i="10" s="1"/>
  <c r="AS99" i="3" a="1"/>
  <c r="AS99" i="3" s="1"/>
  <c r="K106" i="10" s="1"/>
  <c r="AS100" i="3" a="1"/>
  <c r="AS100" i="3" s="1"/>
  <c r="K107" i="10" s="1"/>
  <c r="AS101" i="3" a="1"/>
  <c r="AS101" i="3" s="1"/>
  <c r="K108" i="10" s="1"/>
  <c r="AS2" i="3" a="1"/>
  <c r="AS2" i="3" s="1"/>
  <c r="K9" i="10" s="1"/>
  <c r="AQ2" i="3" a="1"/>
  <c r="AQ2" i="3" s="1"/>
  <c r="AP2" i="3" a="1"/>
  <c r="AP2" i="3" s="1"/>
  <c r="I9" i="10" s="1"/>
  <c r="H11" i="10"/>
  <c r="H19" i="10"/>
  <c r="H25" i="10"/>
  <c r="H27" i="10"/>
  <c r="H35" i="10"/>
  <c r="H43" i="10"/>
  <c r="H51" i="10"/>
  <c r="H55" i="10"/>
  <c r="H59" i="10"/>
  <c r="H67" i="10"/>
  <c r="H75" i="10"/>
  <c r="H79" i="10"/>
  <c r="H83" i="10"/>
  <c r="H91" i="10"/>
  <c r="H99" i="10"/>
  <c r="AO2" i="3" a="1"/>
  <c r="AO2" i="3" s="1"/>
  <c r="H9" i="10" s="1"/>
  <c r="I10" i="10"/>
  <c r="I18" i="10"/>
  <c r="I34" i="10"/>
  <c r="I42" i="10"/>
  <c r="I50" i="10"/>
  <c r="I66" i="10"/>
  <c r="I82" i="10"/>
  <c r="I106" i="10"/>
  <c r="D7" i="8"/>
  <c r="AB3" i="3"/>
  <c r="O119" i="10"/>
  <c r="M119" i="10"/>
  <c r="L119" i="10"/>
  <c r="K119" i="10"/>
  <c r="J119" i="10"/>
  <c r="I119" i="10"/>
  <c r="H119" i="10"/>
  <c r="O118" i="10"/>
  <c r="G118" i="10"/>
  <c r="O117" i="10"/>
  <c r="O116" i="10"/>
  <c r="G116" i="10"/>
  <c r="O115" i="10"/>
  <c r="O114" i="10"/>
  <c r="G114" i="10"/>
  <c r="O113" i="10"/>
  <c r="O112" i="10"/>
  <c r="G112" i="10"/>
  <c r="O111" i="10"/>
  <c r="G111" i="10"/>
  <c r="O110" i="10"/>
  <c r="G110" i="10"/>
  <c r="O109" i="10"/>
  <c r="Q108" i="10"/>
  <c r="O108" i="10"/>
  <c r="Q107" i="10"/>
  <c r="V106" i="10"/>
  <c r="U106" i="10"/>
  <c r="S106" i="10"/>
  <c r="Q106" i="10"/>
  <c r="V105" i="10"/>
  <c r="V104" i="10"/>
  <c r="AA103" i="10"/>
  <c r="Z103" i="10"/>
  <c r="Y103" i="10"/>
  <c r="W103" i="10"/>
  <c r="AA102" i="10"/>
  <c r="X102" i="10"/>
  <c r="AA101" i="10"/>
  <c r="X101" i="10"/>
  <c r="AA100" i="10"/>
  <c r="X100" i="10"/>
  <c r="X99" i="10"/>
  <c r="AA98" i="10"/>
  <c r="Z97" i="10"/>
  <c r="Y97" i="10"/>
  <c r="X97" i="10"/>
  <c r="AR2" i="3" l="1"/>
  <c r="AA8" i="3"/>
  <c r="W8" i="3" s="1"/>
  <c r="J10" i="10"/>
  <c r="AR3" i="3"/>
  <c r="J26" i="10"/>
  <c r="AR19" i="3"/>
  <c r="J47" i="10"/>
  <c r="AR40" i="3"/>
  <c r="J64" i="10"/>
  <c r="AR57" i="3"/>
  <c r="J83" i="10"/>
  <c r="AR76" i="3"/>
  <c r="J91" i="10"/>
  <c r="AR84" i="3"/>
  <c r="J19" i="10"/>
  <c r="AR12" i="3"/>
  <c r="J40" i="10"/>
  <c r="AR33" i="3"/>
  <c r="J48" i="10"/>
  <c r="AR41" i="3"/>
  <c r="J65" i="10"/>
  <c r="AR58" i="3"/>
  <c r="J84" i="10"/>
  <c r="AR77" i="3"/>
  <c r="J92" i="10"/>
  <c r="AR85" i="3"/>
  <c r="J20" i="10"/>
  <c r="AR13" i="3"/>
  <c r="J41" i="10"/>
  <c r="AR34" i="3"/>
  <c r="J49" i="10"/>
  <c r="AR42" i="3"/>
  <c r="J66" i="10"/>
  <c r="AR59" i="3"/>
  <c r="J85" i="10"/>
  <c r="AR78" i="3"/>
  <c r="J93" i="10"/>
  <c r="AR86" i="3"/>
  <c r="J21" i="10"/>
  <c r="AR14" i="3"/>
  <c r="J42" i="10"/>
  <c r="AR35" i="3"/>
  <c r="J50" i="10"/>
  <c r="AR43" i="3"/>
  <c r="J67" i="10"/>
  <c r="AR60" i="3"/>
  <c r="J86" i="10"/>
  <c r="AR79" i="3"/>
  <c r="J94" i="10"/>
  <c r="AR87" i="3"/>
  <c r="J22" i="10"/>
  <c r="AR15" i="3"/>
  <c r="J43" i="10"/>
  <c r="AR36" i="3"/>
  <c r="J51" i="10"/>
  <c r="AR44" i="3"/>
  <c r="J68" i="10"/>
  <c r="AR61" i="3"/>
  <c r="J87" i="10"/>
  <c r="AR80" i="3"/>
  <c r="J95" i="10"/>
  <c r="AR88" i="3"/>
  <c r="J23" i="10"/>
  <c r="AR16" i="3"/>
  <c r="J44" i="10"/>
  <c r="AR37" i="3"/>
  <c r="J61" i="10"/>
  <c r="AR54" i="3"/>
  <c r="J69" i="10"/>
  <c r="AR62" i="3"/>
  <c r="J88" i="10"/>
  <c r="AR81" i="3"/>
  <c r="J106" i="10"/>
  <c r="AR99" i="3"/>
  <c r="J24" i="10"/>
  <c r="AR17" i="3"/>
  <c r="J45" i="10"/>
  <c r="AR38" i="3"/>
  <c r="J62" i="10"/>
  <c r="AR55" i="3"/>
  <c r="J70" i="10"/>
  <c r="AR63" i="3"/>
  <c r="J89" i="10"/>
  <c r="AR82" i="3"/>
  <c r="J107" i="10"/>
  <c r="AR100" i="3"/>
  <c r="J25" i="10"/>
  <c r="AR18" i="3"/>
  <c r="J46" i="10"/>
  <c r="AR39" i="3"/>
  <c r="J63" i="10"/>
  <c r="AR56" i="3"/>
  <c r="J82" i="10"/>
  <c r="AR75" i="3"/>
  <c r="J90" i="10"/>
  <c r="AR83" i="3"/>
  <c r="J108" i="10"/>
  <c r="AR101" i="3"/>
  <c r="AR91" i="3"/>
  <c r="AR69" i="3"/>
  <c r="AR51" i="3"/>
  <c r="AR31" i="3"/>
  <c r="AR23" i="3"/>
  <c r="AR9" i="3"/>
  <c r="AR92" i="3"/>
  <c r="AR98" i="3"/>
  <c r="AR90" i="3"/>
  <c r="AR68" i="3"/>
  <c r="AR50" i="3"/>
  <c r="AR30" i="3"/>
  <c r="AR22" i="3"/>
  <c r="AR10" i="3"/>
  <c r="J9" i="10"/>
  <c r="AR32" i="3"/>
  <c r="AR97" i="3"/>
  <c r="AR89" i="3"/>
  <c r="AR67" i="3"/>
  <c r="AR49" i="3"/>
  <c r="AR29" i="3"/>
  <c r="AR21" i="3"/>
  <c r="AR11" i="3"/>
  <c r="AR52" i="3"/>
  <c r="AR96" i="3"/>
  <c r="AR74" i="3"/>
  <c r="AR66" i="3"/>
  <c r="AR48" i="3"/>
  <c r="AR28" i="3"/>
  <c r="AR20" i="3"/>
  <c r="AR4" i="3"/>
  <c r="AR95" i="3"/>
  <c r="AR73" i="3"/>
  <c r="AR65" i="3"/>
  <c r="AR47" i="3"/>
  <c r="AR27" i="3"/>
  <c r="AR5" i="3"/>
  <c r="AR8" i="3"/>
  <c r="AR94" i="3"/>
  <c r="AR72" i="3"/>
  <c r="AR64" i="3"/>
  <c r="AR46" i="3"/>
  <c r="AR26" i="3"/>
  <c r="AR6" i="3"/>
  <c r="AR70" i="3"/>
  <c r="AR93" i="3"/>
  <c r="AR71" i="3"/>
  <c r="AR53" i="3"/>
  <c r="AR45" i="3"/>
  <c r="AR25" i="3"/>
  <c r="AR7" i="3"/>
  <c r="AR24" i="3"/>
  <c r="AB6" i="3"/>
  <c r="AB7" i="3"/>
  <c r="AB5" i="3"/>
  <c r="AB10" i="3"/>
  <c r="Z23" i="3"/>
  <c r="AA23" i="3" s="1"/>
  <c r="AE14" i="3" a="1"/>
  <c r="AA9" i="3" l="1"/>
  <c r="W9" i="3" s="1"/>
  <c r="AE14" i="3"/>
  <c r="AT101" i="3"/>
  <c r="AT100" i="3"/>
  <c r="AT99" i="3"/>
  <c r="AT98" i="3"/>
  <c r="AT97" i="3"/>
  <c r="AT96" i="3"/>
  <c r="AT95" i="3"/>
  <c r="AT94" i="3"/>
  <c r="AT93" i="3"/>
  <c r="AT92" i="3"/>
  <c r="AT91" i="3"/>
  <c r="AT90" i="3"/>
  <c r="AT89" i="3"/>
  <c r="AT88" i="3"/>
  <c r="AT87" i="3"/>
  <c r="AT86" i="3"/>
  <c r="AT85" i="3"/>
  <c r="AT84" i="3"/>
  <c r="AT83" i="3"/>
  <c r="AT82" i="3"/>
  <c r="AT81" i="3"/>
  <c r="AT80" i="3"/>
  <c r="AT79" i="3"/>
  <c r="AT78" i="3"/>
  <c r="AT77" i="3"/>
  <c r="AT76" i="3"/>
  <c r="AT75" i="3"/>
  <c r="AT74" i="3"/>
  <c r="AT73" i="3"/>
  <c r="AT72" i="3"/>
  <c r="AT71" i="3"/>
  <c r="AT70" i="3"/>
  <c r="AT69" i="3"/>
  <c r="AT68" i="3"/>
  <c r="AT67" i="3"/>
  <c r="AT66" i="3"/>
  <c r="AT65" i="3"/>
  <c r="AT64" i="3"/>
  <c r="AT63" i="3"/>
  <c r="AT62" i="3"/>
  <c r="AT61" i="3"/>
  <c r="AT60" i="3"/>
  <c r="AT59" i="3"/>
  <c r="AT58" i="3"/>
  <c r="AT57" i="3"/>
  <c r="AT56" i="3"/>
  <c r="AT55" i="3"/>
  <c r="AT54" i="3"/>
  <c r="AT53" i="3"/>
  <c r="AT52" i="3"/>
  <c r="AT51" i="3"/>
  <c r="AT50" i="3"/>
  <c r="AT49" i="3"/>
  <c r="AT48" i="3"/>
  <c r="AT47" i="3"/>
  <c r="AT46" i="3"/>
  <c r="AT45" i="3"/>
  <c r="AT44" i="3"/>
  <c r="AT43" i="3"/>
  <c r="AT42" i="3"/>
  <c r="AT41" i="3"/>
  <c r="AT40" i="3"/>
  <c r="AT39" i="3"/>
  <c r="AT38" i="3"/>
  <c r="AT37" i="3"/>
  <c r="AT36" i="3"/>
  <c r="AT35" i="3"/>
  <c r="AT34" i="3"/>
  <c r="AT33" i="3"/>
  <c r="AT32" i="3"/>
  <c r="AT31" i="3"/>
  <c r="AT30" i="3"/>
  <c r="AT29" i="3"/>
  <c r="AT28" i="3"/>
  <c r="AT27" i="3"/>
  <c r="AT26" i="3"/>
  <c r="AT25" i="3"/>
  <c r="AT24" i="3"/>
  <c r="AT23" i="3"/>
  <c r="AT22" i="3"/>
  <c r="AT21" i="3"/>
  <c r="AT20" i="3"/>
  <c r="AT19" i="3"/>
  <c r="AT18" i="3"/>
  <c r="AT17" i="3"/>
  <c r="AT16" i="3"/>
  <c r="AT15" i="3"/>
  <c r="AT14" i="3"/>
  <c r="AT13" i="3"/>
  <c r="AT12" i="3"/>
  <c r="AT11" i="3"/>
  <c r="AT10" i="3"/>
  <c r="AT9" i="3"/>
  <c r="AT8" i="3"/>
  <c r="AT7" i="3"/>
  <c r="AT6" i="3"/>
  <c r="AT5" i="3"/>
  <c r="AT4" i="3"/>
  <c r="AT3" i="3"/>
  <c r="AT2" i="3"/>
  <c r="AA10" i="3" l="1"/>
  <c r="W10" i="3" s="1"/>
  <c r="AA7" i="3"/>
  <c r="AA6" i="3"/>
  <c r="AA5" i="3"/>
  <c r="AB4" i="3"/>
  <c r="W4" i="3" l="1"/>
  <c r="Z4" i="3" s="1"/>
  <c r="V2" i="3" a="1"/>
  <c r="V2" i="3" s="1"/>
  <c r="AB2" i="3"/>
  <c r="W15" i="3" l="1"/>
  <c r="Z15" i="3" s="1"/>
  <c r="AF4" i="3" a="1"/>
  <c r="AE4" i="3" a="1"/>
  <c r="AE4" i="3" l="1"/>
  <c r="AF4" i="3"/>
  <c r="E16" i="8"/>
  <c r="B2" i="8"/>
  <c r="D69" i="3" l="1"/>
  <c r="D65" i="3"/>
  <c r="C7" i="8" s="1"/>
  <c r="D55" i="3"/>
  <c r="B5" i="8" s="1"/>
  <c r="D16" i="8"/>
  <c r="B2" i="9" s="1"/>
  <c r="C2" i="9"/>
  <c r="C16" i="8"/>
  <c r="B16" i="8" l="1"/>
  <c r="A2" i="9"/>
  <c r="P2" i="7" a="1"/>
  <c r="P2" i="7" s="1"/>
  <c r="O2" i="7" s="1"/>
  <c r="G3" i="7" a="1"/>
  <c r="G3" i="7" s="1"/>
  <c r="G4" i="7" a="1"/>
  <c r="G4" i="7" s="1"/>
  <c r="G5" i="7" a="1"/>
  <c r="G5" i="7" s="1"/>
  <c r="G6" i="7" a="1"/>
  <c r="G6" i="7" s="1"/>
  <c r="G7" i="7" a="1"/>
  <c r="G7" i="7" s="1"/>
  <c r="G8" i="7" a="1"/>
  <c r="G8" i="7" s="1"/>
  <c r="G9" i="7" a="1"/>
  <c r="G9" i="7" s="1"/>
  <c r="G10" i="7" a="1"/>
  <c r="G10" i="7" s="1"/>
  <c r="G11" i="7" a="1"/>
  <c r="G11" i="7" s="1"/>
  <c r="G12" i="7" a="1"/>
  <c r="G12" i="7" s="1"/>
  <c r="G13" i="7" a="1"/>
  <c r="G13" i="7" s="1"/>
  <c r="G14" i="7" a="1"/>
  <c r="G14" i="7" s="1"/>
  <c r="G15" i="7" a="1"/>
  <c r="G15" i="7" s="1"/>
  <c r="G16" i="7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G43" i="7" a="1"/>
  <c r="G43" i="7" s="1"/>
  <c r="G44" i="7" a="1"/>
  <c r="G44" i="7" s="1"/>
  <c r="G45" i="7" a="1"/>
  <c r="G45" i="7" s="1"/>
  <c r="G46" i="7" a="1"/>
  <c r="G46" i="7" s="1"/>
  <c r="G47" i="7" a="1"/>
  <c r="G47" i="7" s="1"/>
  <c r="G48" i="7" a="1"/>
  <c r="G48" i="7" s="1"/>
  <c r="G49" i="7" a="1"/>
  <c r="G49" i="7" s="1"/>
  <c r="G50" i="7" a="1"/>
  <c r="G50" i="7" s="1"/>
  <c r="G51" i="7" a="1"/>
  <c r="G51" i="7" s="1"/>
  <c r="G52" i="7" a="1"/>
  <c r="G52" i="7" s="1"/>
  <c r="G53" i="7" a="1"/>
  <c r="G53" i="7" s="1"/>
  <c r="G54" i="7" a="1"/>
  <c r="G54" i="7" s="1"/>
  <c r="G55" i="7" a="1"/>
  <c r="G55" i="7" s="1"/>
  <c r="G56" i="7" a="1"/>
  <c r="G56" i="7" s="1"/>
  <c r="G57" i="7" a="1"/>
  <c r="G57" i="7" s="1"/>
  <c r="G58" i="7" a="1"/>
  <c r="G58" i="7" s="1"/>
  <c r="G59" i="7" a="1"/>
  <c r="G59" i="7" s="1"/>
  <c r="G60" i="7" a="1"/>
  <c r="G60" i="7" s="1"/>
  <c r="G61" i="7" a="1"/>
  <c r="G61" i="7" s="1"/>
  <c r="G62" i="7" a="1"/>
  <c r="G62" i="7" s="1"/>
  <c r="G63" i="7" a="1"/>
  <c r="G63" i="7" s="1"/>
  <c r="G64" i="7" a="1"/>
  <c r="G64" i="7" s="1"/>
  <c r="G65" i="7" a="1"/>
  <c r="G65" i="7" s="1"/>
  <c r="G66" i="7" a="1"/>
  <c r="G66" i="7" s="1"/>
  <c r="G67" i="7" a="1"/>
  <c r="G67" i="7" s="1"/>
  <c r="G68" i="7" a="1"/>
  <c r="G68" i="7" s="1"/>
  <c r="G69" i="7" a="1"/>
  <c r="G69" i="7" s="1"/>
  <c r="G70" i="7" a="1"/>
  <c r="G70" i="7" s="1"/>
  <c r="G71" i="7" a="1"/>
  <c r="G71" i="7" s="1"/>
  <c r="G72" i="7" a="1"/>
  <c r="G72" i="7" s="1"/>
  <c r="G73" i="7" a="1"/>
  <c r="G73" i="7" s="1"/>
  <c r="G74" i="7" a="1"/>
  <c r="G74" i="7" s="1"/>
  <c r="G75" i="7" a="1"/>
  <c r="G75" i="7" s="1"/>
  <c r="G76" i="7" a="1"/>
  <c r="G76" i="7" s="1"/>
  <c r="G77" i="7" a="1"/>
  <c r="G77" i="7" s="1"/>
  <c r="G78" i="7" a="1"/>
  <c r="G78" i="7" s="1"/>
  <c r="G79" i="7" a="1"/>
  <c r="G79" i="7" s="1"/>
  <c r="G80" i="7" a="1"/>
  <c r="G80" i="7" s="1"/>
  <c r="G81" i="7" a="1"/>
  <c r="G81" i="7" s="1"/>
  <c r="G82" i="7" a="1"/>
  <c r="G82" i="7" s="1"/>
  <c r="G83" i="7" a="1"/>
  <c r="G83" i="7" s="1"/>
  <c r="G84" i="7" a="1"/>
  <c r="G84" i="7" s="1"/>
  <c r="G85" i="7" a="1"/>
  <c r="G85" i="7" s="1"/>
  <c r="G86" i="7" a="1"/>
  <c r="G86" i="7" s="1"/>
  <c r="G87" i="7" a="1"/>
  <c r="G87" i="7" s="1"/>
  <c r="G88" i="7" a="1"/>
  <c r="G88" i="7" s="1"/>
  <c r="G89" i="7" a="1"/>
  <c r="G89" i="7" s="1"/>
  <c r="G90" i="7" a="1"/>
  <c r="G90" i="7" s="1"/>
  <c r="G91" i="7" a="1"/>
  <c r="G91" i="7" s="1"/>
  <c r="G92" i="7" a="1"/>
  <c r="G92" i="7" s="1"/>
  <c r="G93" i="7" a="1"/>
  <c r="G93" i="7" s="1"/>
  <c r="G94" i="7" a="1"/>
  <c r="G94" i="7" s="1"/>
  <c r="G95" i="7" a="1"/>
  <c r="G95" i="7" s="1"/>
  <c r="G96" i="7" a="1"/>
  <c r="G96" i="7" s="1"/>
  <c r="G97" i="7" a="1"/>
  <c r="G97" i="7" s="1"/>
  <c r="G98" i="7" a="1"/>
  <c r="G98" i="7" s="1"/>
  <c r="G99" i="7" a="1"/>
  <c r="G99" i="7" s="1"/>
  <c r="G100" i="7" a="1"/>
  <c r="G100" i="7" s="1"/>
  <c r="G101" i="7" a="1"/>
  <c r="G101" i="7" s="1"/>
  <c r="G2" i="7" a="1"/>
  <c r="G2" i="7" s="1"/>
  <c r="AK2" i="3" a="1"/>
  <c r="AK2" i="3" s="1"/>
  <c r="B8" i="6"/>
  <c r="D56" i="3"/>
  <c r="D37" i="3"/>
  <c r="D36" i="3"/>
  <c r="G29" i="3"/>
  <c r="D2" i="9" s="1"/>
  <c r="D17" i="3"/>
  <c r="D14" i="3"/>
  <c r="W14" i="3"/>
  <c r="Z14" i="3" s="1"/>
  <c r="W12" i="3"/>
  <c r="Z12" i="3" s="1"/>
  <c r="Z8" i="3"/>
  <c r="G5" i="3"/>
  <c r="W3" i="3"/>
  <c r="W2" i="3"/>
  <c r="T2" i="3"/>
  <c r="AF10" i="3" a="1"/>
  <c r="AE11" i="3" a="1"/>
  <c r="AE8" i="3" a="1"/>
  <c r="AF11" i="3" a="1"/>
  <c r="AF14" i="3" a="1"/>
  <c r="AE10" i="3" a="1"/>
  <c r="AE13" i="3" a="1"/>
  <c r="AF12" i="3" a="1"/>
  <c r="AF9" i="3" a="1"/>
  <c r="AF13" i="3" a="1"/>
  <c r="AF8" i="3" a="1"/>
  <c r="AE12" i="3" a="1"/>
  <c r="AE9" i="3" a="1"/>
  <c r="Z9" i="3" l="1"/>
  <c r="AN2" i="3"/>
  <c r="G9" i="10" s="1"/>
  <c r="AN86" i="3"/>
  <c r="G93" i="10" s="1"/>
  <c r="AN74" i="3"/>
  <c r="G81" i="10" s="1"/>
  <c r="AN73" i="3"/>
  <c r="G80" i="10" s="1"/>
  <c r="AN14" i="3"/>
  <c r="G21" i="10" s="1"/>
  <c r="AN62" i="3"/>
  <c r="G69" i="10" s="1"/>
  <c r="AN61" i="3"/>
  <c r="G68" i="10" s="1"/>
  <c r="AN50" i="3"/>
  <c r="G57" i="10" s="1"/>
  <c r="AN49" i="3"/>
  <c r="G56" i="10" s="1"/>
  <c r="AN38" i="3"/>
  <c r="G45" i="10" s="1"/>
  <c r="AN37" i="3"/>
  <c r="G44" i="10" s="1"/>
  <c r="AN98" i="3"/>
  <c r="G105" i="10" s="1"/>
  <c r="AN26" i="3"/>
  <c r="G33" i="10" s="1"/>
  <c r="AN97" i="3"/>
  <c r="G104" i="10" s="1"/>
  <c r="AN25" i="3"/>
  <c r="G32" i="10" s="1"/>
  <c r="AN85" i="3"/>
  <c r="G92" i="10" s="1"/>
  <c r="AN13" i="3"/>
  <c r="G20" i="10" s="1"/>
  <c r="AN96" i="3"/>
  <c r="G103" i="10" s="1"/>
  <c r="AN84" i="3"/>
  <c r="G91" i="10" s="1"/>
  <c r="AN72" i="3"/>
  <c r="G79" i="10" s="1"/>
  <c r="AN60" i="3"/>
  <c r="G67" i="10" s="1"/>
  <c r="AN48" i="3"/>
  <c r="G55" i="10" s="1"/>
  <c r="AN36" i="3"/>
  <c r="G43" i="10" s="1"/>
  <c r="AN24" i="3"/>
  <c r="G31" i="10" s="1"/>
  <c r="AN12" i="3"/>
  <c r="G19" i="10" s="1"/>
  <c r="AN95" i="3"/>
  <c r="G102" i="10" s="1"/>
  <c r="AN83" i="3"/>
  <c r="G90" i="10" s="1"/>
  <c r="AN71" i="3"/>
  <c r="G78" i="10" s="1"/>
  <c r="AN59" i="3"/>
  <c r="G66" i="10" s="1"/>
  <c r="AN47" i="3"/>
  <c r="G54" i="10" s="1"/>
  <c r="AN35" i="3"/>
  <c r="G42" i="10" s="1"/>
  <c r="AN23" i="3"/>
  <c r="G30" i="10" s="1"/>
  <c r="AN11" i="3"/>
  <c r="G18" i="10" s="1"/>
  <c r="AN94" i="3"/>
  <c r="G101" i="10" s="1"/>
  <c r="AN82" i="3"/>
  <c r="G89" i="10" s="1"/>
  <c r="AN70" i="3"/>
  <c r="G77" i="10" s="1"/>
  <c r="AN58" i="3"/>
  <c r="G65" i="10" s="1"/>
  <c r="AN46" i="3"/>
  <c r="G53" i="10" s="1"/>
  <c r="AN34" i="3"/>
  <c r="G41" i="10" s="1"/>
  <c r="AN22" i="3"/>
  <c r="G29" i="10" s="1"/>
  <c r="AN10" i="3"/>
  <c r="G17" i="10" s="1"/>
  <c r="AN93" i="3"/>
  <c r="G100" i="10" s="1"/>
  <c r="AN81" i="3"/>
  <c r="G88" i="10" s="1"/>
  <c r="AN69" i="3"/>
  <c r="G76" i="10" s="1"/>
  <c r="AN57" i="3"/>
  <c r="G64" i="10" s="1"/>
  <c r="AN45" i="3"/>
  <c r="G52" i="10" s="1"/>
  <c r="AN33" i="3"/>
  <c r="G40" i="10" s="1"/>
  <c r="AN21" i="3"/>
  <c r="G28" i="10" s="1"/>
  <c r="AN9" i="3"/>
  <c r="G16" i="10" s="1"/>
  <c r="AN92" i="3"/>
  <c r="G99" i="10" s="1"/>
  <c r="AN80" i="3"/>
  <c r="G87" i="10" s="1"/>
  <c r="AN68" i="3"/>
  <c r="G75" i="10" s="1"/>
  <c r="AN56" i="3"/>
  <c r="G63" i="10" s="1"/>
  <c r="AN44" i="3"/>
  <c r="G51" i="10" s="1"/>
  <c r="AN32" i="3"/>
  <c r="G39" i="10" s="1"/>
  <c r="AN20" i="3"/>
  <c r="G27" i="10" s="1"/>
  <c r="AN8" i="3"/>
  <c r="G15" i="10" s="1"/>
  <c r="AN91" i="3"/>
  <c r="G98" i="10" s="1"/>
  <c r="AN79" i="3"/>
  <c r="G86" i="10" s="1"/>
  <c r="AN67" i="3"/>
  <c r="G74" i="10" s="1"/>
  <c r="AN55" i="3"/>
  <c r="G62" i="10" s="1"/>
  <c r="AN43" i="3"/>
  <c r="G50" i="10" s="1"/>
  <c r="AN31" i="3"/>
  <c r="G38" i="10" s="1"/>
  <c r="AN19" i="3"/>
  <c r="G26" i="10" s="1"/>
  <c r="AN7" i="3"/>
  <c r="G14" i="10" s="1"/>
  <c r="AN90" i="3"/>
  <c r="G97" i="10" s="1"/>
  <c r="AN78" i="3"/>
  <c r="G85" i="10" s="1"/>
  <c r="AN66" i="3"/>
  <c r="G73" i="10" s="1"/>
  <c r="AN54" i="3"/>
  <c r="G61" i="10" s="1"/>
  <c r="AN42" i="3"/>
  <c r="G49" i="10" s="1"/>
  <c r="AN30" i="3"/>
  <c r="G37" i="10" s="1"/>
  <c r="AN18" i="3"/>
  <c r="G25" i="10" s="1"/>
  <c r="AN6" i="3"/>
  <c r="G13" i="10" s="1"/>
  <c r="AN101" i="3"/>
  <c r="G108" i="10" s="1"/>
  <c r="AN89" i="3"/>
  <c r="G96" i="10" s="1"/>
  <c r="AN77" i="3"/>
  <c r="G84" i="10" s="1"/>
  <c r="AN65" i="3"/>
  <c r="G72" i="10" s="1"/>
  <c r="AN53" i="3"/>
  <c r="G60" i="10" s="1"/>
  <c r="AN41" i="3"/>
  <c r="G48" i="10" s="1"/>
  <c r="AN29" i="3"/>
  <c r="G36" i="10" s="1"/>
  <c r="AN17" i="3"/>
  <c r="G24" i="10" s="1"/>
  <c r="AN5" i="3"/>
  <c r="G12" i="10" s="1"/>
  <c r="AN100" i="3"/>
  <c r="G107" i="10" s="1"/>
  <c r="AN88" i="3"/>
  <c r="G95" i="10" s="1"/>
  <c r="AN76" i="3"/>
  <c r="G83" i="10" s="1"/>
  <c r="AN64" i="3"/>
  <c r="G71" i="10" s="1"/>
  <c r="AN52" i="3"/>
  <c r="G59" i="10" s="1"/>
  <c r="AN40" i="3"/>
  <c r="G47" i="10" s="1"/>
  <c r="AN28" i="3"/>
  <c r="G35" i="10" s="1"/>
  <c r="AN16" i="3"/>
  <c r="G23" i="10" s="1"/>
  <c r="AN4" i="3"/>
  <c r="G11" i="10" s="1"/>
  <c r="AN99" i="3"/>
  <c r="G106" i="10" s="1"/>
  <c r="AN87" i="3"/>
  <c r="G94" i="10" s="1"/>
  <c r="AN75" i="3"/>
  <c r="G82" i="10" s="1"/>
  <c r="AN63" i="3"/>
  <c r="G70" i="10" s="1"/>
  <c r="AN51" i="3"/>
  <c r="AN39" i="3"/>
  <c r="G46" i="10" s="1"/>
  <c r="AN27" i="3"/>
  <c r="G34" i="10" s="1"/>
  <c r="AN15" i="3"/>
  <c r="G22" i="10" s="1"/>
  <c r="AN3" i="3"/>
  <c r="G10" i="10" s="1"/>
  <c r="O89" i="7"/>
  <c r="O73" i="7"/>
  <c r="O53" i="7"/>
  <c r="O37" i="7"/>
  <c r="O17" i="7"/>
  <c r="O88" i="7"/>
  <c r="O71" i="7"/>
  <c r="O52" i="7"/>
  <c r="O35" i="7"/>
  <c r="O16" i="7"/>
  <c r="O87" i="7"/>
  <c r="O69" i="7"/>
  <c r="O51" i="7"/>
  <c r="O33" i="7"/>
  <c r="O15" i="7"/>
  <c r="O86" i="7"/>
  <c r="O67" i="7"/>
  <c r="O50" i="7"/>
  <c r="O31" i="7"/>
  <c r="O14" i="7"/>
  <c r="O101" i="7"/>
  <c r="O85" i="7"/>
  <c r="O65" i="7"/>
  <c r="O49" i="7"/>
  <c r="O29" i="7"/>
  <c r="O13" i="7"/>
  <c r="O100" i="7"/>
  <c r="O83" i="7"/>
  <c r="O64" i="7"/>
  <c r="O47" i="7"/>
  <c r="O28" i="7"/>
  <c r="O11" i="7"/>
  <c r="O99" i="7"/>
  <c r="O81" i="7"/>
  <c r="O63" i="7"/>
  <c r="O45" i="7"/>
  <c r="O27" i="7"/>
  <c r="O9" i="7"/>
  <c r="O98" i="7"/>
  <c r="O79" i="7"/>
  <c r="O62" i="7"/>
  <c r="O43" i="7"/>
  <c r="O26" i="7"/>
  <c r="O7" i="7"/>
  <c r="O97" i="7"/>
  <c r="O77" i="7"/>
  <c r="O61" i="7"/>
  <c r="O41" i="7"/>
  <c r="O25" i="7"/>
  <c r="O5" i="7"/>
  <c r="O95" i="7"/>
  <c r="O76" i="7"/>
  <c r="O59" i="7"/>
  <c r="O40" i="7"/>
  <c r="O23" i="7"/>
  <c r="O4" i="7"/>
  <c r="O93" i="7"/>
  <c r="O75" i="7"/>
  <c r="O57" i="7"/>
  <c r="O39" i="7"/>
  <c r="O21" i="7"/>
  <c r="O3" i="7"/>
  <c r="O91" i="7"/>
  <c r="O74" i="7"/>
  <c r="O55" i="7"/>
  <c r="O38" i="7"/>
  <c r="O19" i="7"/>
  <c r="O96" i="7"/>
  <c r="O84" i="7"/>
  <c r="O72" i="7"/>
  <c r="O60" i="7"/>
  <c r="O48" i="7"/>
  <c r="O36" i="7"/>
  <c r="O24" i="7"/>
  <c r="O12" i="7"/>
  <c r="O94" i="7"/>
  <c r="O82" i="7"/>
  <c r="O70" i="7"/>
  <c r="O58" i="7"/>
  <c r="O46" i="7"/>
  <c r="O34" i="7"/>
  <c r="O22" i="7"/>
  <c r="O10" i="7"/>
  <c r="O92" i="7"/>
  <c r="O80" i="7"/>
  <c r="O68" i="7"/>
  <c r="O56" i="7"/>
  <c r="O44" i="7"/>
  <c r="O32" i="7"/>
  <c r="O20" i="7"/>
  <c r="O8" i="7"/>
  <c r="O90" i="7"/>
  <c r="O78" i="7"/>
  <c r="O66" i="7"/>
  <c r="O54" i="7"/>
  <c r="O42" i="7"/>
  <c r="O30" i="7"/>
  <c r="O18" i="7"/>
  <c r="O6" i="7"/>
  <c r="AF8" i="3"/>
  <c r="AE10" i="3"/>
  <c r="AE12" i="3"/>
  <c r="AF10" i="3"/>
  <c r="AF14" i="3"/>
  <c r="AF12" i="3"/>
  <c r="AE9" i="3"/>
  <c r="AF9" i="3"/>
  <c r="AE11" i="3"/>
  <c r="AE13" i="3"/>
  <c r="AE8" i="3"/>
  <c r="AF11" i="3"/>
  <c r="AF13" i="3"/>
  <c r="G58" i="10" l="1"/>
  <c r="AB18" i="3" a="1"/>
  <c r="AB18" i="3" s="1"/>
  <c r="AB19" i="3" s="1"/>
  <c r="W6" i="3"/>
  <c r="Z6" i="3" s="1"/>
  <c r="W5" i="3"/>
  <c r="Z5" i="3" s="1"/>
  <c r="W7" i="3"/>
  <c r="Z7" i="3" s="1"/>
  <c r="T106" i="10" l="1"/>
  <c r="Z10" i="3"/>
  <c r="AB13" i="3" l="1"/>
  <c r="AA13" i="3"/>
  <c r="W13" i="3" l="1"/>
  <c r="Z13" i="3" s="1"/>
  <c r="W11" i="3" l="1"/>
  <c r="F8" i="3" s="1"/>
  <c r="D20" i="3"/>
  <c r="Z11" i="3" l="1"/>
  <c r="G1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<sst xmlns="http://schemas.openxmlformats.org/spreadsheetml/2006/main" count="2083" uniqueCount="554">
  <si>
    <t>Man</t>
  </si>
  <si>
    <t>Blue shirt</t>
  </si>
  <si>
    <t>ID</t>
  </si>
  <si>
    <t>XXXXX</t>
  </si>
  <si>
    <t>Name</t>
  </si>
  <si>
    <t>Mark</t>
  </si>
  <si>
    <t>David</t>
  </si>
  <si>
    <t>Scott</t>
  </si>
  <si>
    <t>Jennifer</t>
  </si>
  <si>
    <t>Linda</t>
  </si>
  <si>
    <t>Lisa</t>
  </si>
  <si>
    <t>Emma</t>
  </si>
  <si>
    <t>Carol</t>
  </si>
  <si>
    <t>Amanda</t>
  </si>
  <si>
    <t>Mary</t>
  </si>
  <si>
    <t>GPA</t>
  </si>
  <si>
    <t>Documents</t>
  </si>
  <si>
    <t>James</t>
  </si>
  <si>
    <t>Robert</t>
  </si>
  <si>
    <t>John</t>
  </si>
  <si>
    <t>Michael</t>
  </si>
  <si>
    <t>William</t>
  </si>
  <si>
    <t>Barbara</t>
  </si>
  <si>
    <t>Richard</t>
  </si>
  <si>
    <t>Susan</t>
  </si>
  <si>
    <t>Joseph</t>
  </si>
  <si>
    <t>Jessica</t>
  </si>
  <si>
    <t>Thomas</t>
  </si>
  <si>
    <t>Sarah</t>
  </si>
  <si>
    <t>Charles</t>
  </si>
  <si>
    <t>Daniel</t>
  </si>
  <si>
    <t>Nancy</t>
  </si>
  <si>
    <t>Matthew</t>
  </si>
  <si>
    <t>Betty</t>
  </si>
  <si>
    <t>Anthony</t>
  </si>
  <si>
    <t>Sandra</t>
  </si>
  <si>
    <t>Donald</t>
  </si>
  <si>
    <t>Ashley</t>
  </si>
  <si>
    <t>Steven</t>
  </si>
  <si>
    <t>Paul</t>
  </si>
  <si>
    <t>Emily</t>
  </si>
  <si>
    <t>Andrew</t>
  </si>
  <si>
    <t>Donna</t>
  </si>
  <si>
    <t>Joshua</t>
  </si>
  <si>
    <t>Michelle</t>
  </si>
  <si>
    <t>Kenneth</t>
  </si>
  <si>
    <t>Kevin</t>
  </si>
  <si>
    <t>Brian</t>
  </si>
  <si>
    <t>George</t>
  </si>
  <si>
    <t>Melissa</t>
  </si>
  <si>
    <t>Timothy</t>
  </si>
  <si>
    <t>Ronald</t>
  </si>
  <si>
    <t>Edward</t>
  </si>
  <si>
    <t>Rebecca</t>
  </si>
  <si>
    <t>Jason</t>
  </si>
  <si>
    <t>Sharon</t>
  </si>
  <si>
    <t>Jeffrey</t>
  </si>
  <si>
    <t>Laura</t>
  </si>
  <si>
    <t>Ryan</t>
  </si>
  <si>
    <t>Jacob</t>
  </si>
  <si>
    <t>Kathleen</t>
  </si>
  <si>
    <t>Gary</t>
  </si>
  <si>
    <t>Amy</t>
  </si>
  <si>
    <t>Nicholas</t>
  </si>
  <si>
    <t>Angela</t>
  </si>
  <si>
    <t>Eric</t>
  </si>
  <si>
    <t>Shirley</t>
  </si>
  <si>
    <t>Jonathan</t>
  </si>
  <si>
    <t>Anna</t>
  </si>
  <si>
    <t>Stephen</t>
  </si>
  <si>
    <t>Brenda</t>
  </si>
  <si>
    <t>Larry</t>
  </si>
  <si>
    <t>Pamela</t>
  </si>
  <si>
    <t>Justin</t>
  </si>
  <si>
    <t>Nicole</t>
  </si>
  <si>
    <t>Brandon</t>
  </si>
  <si>
    <t>Helen</t>
  </si>
  <si>
    <t>Benjamin</t>
  </si>
  <si>
    <t>Samantha</t>
  </si>
  <si>
    <t>Samuel</t>
  </si>
  <si>
    <t>Gregory</t>
  </si>
  <si>
    <t>Christine</t>
  </si>
  <si>
    <t>Alexander</t>
  </si>
  <si>
    <t>Frank</t>
  </si>
  <si>
    <t>Rachel</t>
  </si>
  <si>
    <t>Patrick</t>
  </si>
  <si>
    <t>Carolyn</t>
  </si>
  <si>
    <t>Raymond</t>
  </si>
  <si>
    <t>Jack</t>
  </si>
  <si>
    <t>Dennis</t>
  </si>
  <si>
    <t>Maria</t>
  </si>
  <si>
    <t>Jerry</t>
  </si>
  <si>
    <t>Heather</t>
  </si>
  <si>
    <t>man</t>
  </si>
  <si>
    <t>name</t>
  </si>
  <si>
    <t>row</t>
  </si>
  <si>
    <t>Brad</t>
  </si>
  <si>
    <t>Kyle</t>
  </si>
  <si>
    <t>Zed</t>
  </si>
  <si>
    <t>Tyler</t>
  </si>
  <si>
    <t>Aaron</t>
  </si>
  <si>
    <t>Peter</t>
  </si>
  <si>
    <t>Last 3 digits</t>
  </si>
  <si>
    <t>Luna</t>
  </si>
  <si>
    <t>Violet</t>
  </si>
  <si>
    <t>Ava</t>
  </si>
  <si>
    <t>Declan</t>
  </si>
  <si>
    <t>Scarlett</t>
  </si>
  <si>
    <t>Ella</t>
  </si>
  <si>
    <t>Rose</t>
  </si>
  <si>
    <t>Zoe</t>
  </si>
  <si>
    <t xml:space="preserve"> </t>
  </si>
  <si>
    <t xml:space="preserve">  </t>
  </si>
  <si>
    <t>This challenge was long!</t>
  </si>
  <si>
    <t>Auto Name when Saving?</t>
  </si>
  <si>
    <t>Start Time</t>
  </si>
  <si>
    <t>End Time</t>
  </si>
  <si>
    <t>Sheet</t>
  </si>
  <si>
    <t>Starting Position</t>
  </si>
  <si>
    <t>Answer Cell</t>
  </si>
  <si>
    <t>Clear Range</t>
  </si>
  <si>
    <t>Protected Range</t>
  </si>
  <si>
    <t>Visited?</t>
  </si>
  <si>
    <t>Penalty count</t>
  </si>
  <si>
    <t>Total Penalty</t>
  </si>
  <si>
    <t>Checkpoint</t>
  </si>
  <si>
    <t>Achieved?</t>
  </si>
  <si>
    <t>Hidden?</t>
  </si>
  <si>
    <t>Unhide</t>
  </si>
  <si>
    <t>Answer</t>
  </si>
  <si>
    <t>Value</t>
  </si>
  <si>
    <t>UNHIDE</t>
  </si>
  <si>
    <t>No</t>
  </si>
  <si>
    <t>Keyboarding Challenge</t>
  </si>
  <si>
    <t>A1</t>
  </si>
  <si>
    <t>Results</t>
  </si>
  <si>
    <t>A1:G141</t>
  </si>
  <si>
    <t>first</t>
  </si>
  <si>
    <t>Instructions</t>
  </si>
  <si>
    <t>A1:F30</t>
  </si>
  <si>
    <t>Spreadsheet Name</t>
  </si>
  <si>
    <t>Is Game On?</t>
  </si>
  <si>
    <t>Elapsed Time</t>
  </si>
  <si>
    <t>fourth</t>
  </si>
  <si>
    <t>fifth</t>
  </si>
  <si>
    <t>All Correct?</t>
  </si>
  <si>
    <t>Password On?</t>
  </si>
  <si>
    <t>sixth</t>
  </si>
  <si>
    <t>seventh</t>
  </si>
  <si>
    <t>eighth</t>
  </si>
  <si>
    <t>ninth</t>
  </si>
  <si>
    <t>tenth</t>
  </si>
  <si>
    <t>eleventh</t>
  </si>
  <si>
    <t>Number of Exercises</t>
  </si>
  <si>
    <t>twelveth</t>
  </si>
  <si>
    <t>thirteenth</t>
  </si>
  <si>
    <t>NumCorrect</t>
  </si>
  <si>
    <t>Number of Protected Cells</t>
  </si>
  <si>
    <t>Number of Random Values</t>
  </si>
  <si>
    <t>Spreadsheet Activations</t>
  </si>
  <si>
    <t>Live Version?</t>
  </si>
  <si>
    <t>Last Time</t>
  </si>
  <si>
    <t>Total Time</t>
  </si>
  <si>
    <t>Total Time (seconds)</t>
  </si>
  <si>
    <t>Indirect Name and ID</t>
  </si>
  <si>
    <t>Button Options</t>
  </si>
  <si>
    <t>Instructions On?</t>
  </si>
  <si>
    <t>Yes</t>
  </si>
  <si>
    <t>PC Hints On?</t>
  </si>
  <si>
    <t>Cell Types</t>
  </si>
  <si>
    <t>-------</t>
  </si>
  <si>
    <t>Mac Hints On?</t>
  </si>
  <si>
    <t>https://www.linkedin.com/sharing/share-offsite/?url=https://www.fmworldcup.com/microsoft-excel-collegiate-challenge/</t>
  </si>
  <si>
    <t>https://www.fmworldcup.com/microsoft-excel-collegiate-challenge/</t>
  </si>
  <si>
    <t>http://www.facebook.com/sharer.php?u=http%3A%2F%2Fchandoo.org%2Fwp%2F2012%2F08%2F10%2Fexcel-hurdles%2F&amp;t=I%20finished%20Excel%20Hurdle%20challenge%20in%20$$%20seconds.</t>
  </si>
  <si>
    <t>ProblemType</t>
  </si>
  <si>
    <t>WorksheetName</t>
  </si>
  <si>
    <t>Range</t>
  </si>
  <si>
    <t>Comparison</t>
  </si>
  <si>
    <t>Grade</t>
  </si>
  <si>
    <t>CorrectFeedback</t>
  </si>
  <si>
    <t>IncorrectFeedback</t>
  </si>
  <si>
    <t>CELL</t>
  </si>
  <si>
    <t>A2</t>
  </si>
  <si>
    <t>Value OR Value(Blank) OR Value()</t>
  </si>
  <si>
    <t>Not Graded</t>
  </si>
  <si>
    <t>Instructions:</t>
  </si>
  <si>
    <r>
      <t xml:space="preserve">To begin, press the Start button. You will then keyboard to each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cell to complete a task.</t>
    </r>
  </si>
  <si>
    <t>Stay on the path (any cells with values)! Each step off the path adds 10 seconds to your time.</t>
  </si>
  <si>
    <t>When you complete all the tasks correctly, your total time will be recorded.</t>
  </si>
  <si>
    <t>Repeat as many times as you would like to improve your time - only your best time counts!</t>
  </si>
  <si>
    <t>Use the drop down menus below to enable task instructions and keyboard shortcut hints.</t>
  </si>
  <si>
    <t>select me!</t>
  </si>
  <si>
    <t>The instructions and hints will slow you down, so turn them off when you are ready to go fast!</t>
  </si>
  <si>
    <t xml:space="preserve">To improve your speed, and prevent leaving the path, it is strongly suggested that you change </t>
  </si>
  <si>
    <t>your settings so that the cursor does not move down when you hit enter. To do so, go to options</t>
  </si>
  <si>
    <t>and then advanced and uncheck "After pressing enter, move selection"</t>
  </si>
  <si>
    <t>For shortcuts, you may have to use the Function key with F1, F2, etc. depending on your keyboard settings.</t>
  </si>
  <si>
    <t>For additional instructions and a video walkthrough, go to:</t>
  </si>
  <si>
    <t>Controls:</t>
  </si>
  <si>
    <t>Instuctions On?</t>
  </si>
  <si>
    <t>PC Keyboard Hints On?</t>
  </si>
  <si>
    <t>Mac Keyboard Hints On?</t>
  </si>
  <si>
    <t>Hazel</t>
  </si>
  <si>
    <t>Asher</t>
  </si>
  <si>
    <t> Rowan</t>
  </si>
  <si>
    <t>Theodore</t>
  </si>
  <si>
    <t> Willow</t>
  </si>
  <si>
    <t>Oliver</t>
  </si>
  <si>
    <t> Avery</t>
  </si>
  <si>
    <t>Noah</t>
  </si>
  <si>
    <t> Ezra</t>
  </si>
  <si>
    <t>Henry</t>
  </si>
  <si>
    <t> Quinn</t>
  </si>
  <si>
    <t> Sage</t>
  </si>
  <si>
    <t> Kai</t>
  </si>
  <si>
    <t>Silas</t>
  </si>
  <si>
    <t>Liam</t>
  </si>
  <si>
    <t> Riley</t>
  </si>
  <si>
    <t>Gabriel</t>
  </si>
  <si>
    <t> River</t>
  </si>
  <si>
    <t> Genevieve</t>
  </si>
  <si>
    <t>Jasper</t>
  </si>
  <si>
    <t> Maeve</t>
  </si>
  <si>
    <t> Orion</t>
  </si>
  <si>
    <t>Felix</t>
  </si>
  <si>
    <t> Luna</t>
  </si>
  <si>
    <t> Rory</t>
  </si>
  <si>
    <t> Ava</t>
  </si>
  <si>
    <t> Harper</t>
  </si>
  <si>
    <t>Owen</t>
  </si>
  <si>
    <t> Scarlett</t>
  </si>
  <si>
    <t> Ember</t>
  </si>
  <si>
    <t> Eleanor</t>
  </si>
  <si>
    <t> Logan</t>
  </si>
  <si>
    <t> Audrey</t>
  </si>
  <si>
    <t> Briar</t>
  </si>
  <si>
    <t>Ethan</t>
  </si>
  <si>
    <t> Iris</t>
  </si>
  <si>
    <t> Eden</t>
  </si>
  <si>
    <t>Sebastian</t>
  </si>
  <si>
    <t> Wren</t>
  </si>
  <si>
    <t> Jude</t>
  </si>
  <si>
    <t>Elijah</t>
  </si>
  <si>
    <t> Isla</t>
  </si>
  <si>
    <t> Indigo</t>
  </si>
  <si>
    <t>Atticus</t>
  </si>
  <si>
    <t> Adelaide</t>
  </si>
  <si>
    <t> Harlow</t>
  </si>
  <si>
    <t>Archer</t>
  </si>
  <si>
    <t> Adeline</t>
  </si>
  <si>
    <t> Artemis</t>
  </si>
  <si>
    <t>Atlas</t>
  </si>
  <si>
    <t> James</t>
  </si>
  <si>
    <t>Everett</t>
  </si>
  <si>
    <t> Vivienne</t>
  </si>
  <si>
    <t> Blair</t>
  </si>
  <si>
    <t>Milo</t>
  </si>
  <si>
    <t> Eloise</t>
  </si>
  <si>
    <t> Darcy</t>
  </si>
  <si>
    <t>August</t>
  </si>
  <si>
    <t> Elizabeth</t>
  </si>
  <si>
    <t> Lux</t>
  </si>
  <si>
    <t>Leo</t>
  </si>
  <si>
    <t> Alice</t>
  </si>
  <si>
    <t>Levi</t>
  </si>
  <si>
    <t> Grace</t>
  </si>
  <si>
    <t> Flynn</t>
  </si>
  <si>
    <t>Isaac</t>
  </si>
  <si>
    <t> Rain</t>
  </si>
  <si>
    <t>Emmett</t>
  </si>
  <si>
    <t> Ophelia</t>
  </si>
  <si>
    <t> Morgan</t>
  </si>
  <si>
    <t> Naomi</t>
  </si>
  <si>
    <t> Emerson</t>
  </si>
  <si>
    <t>Arthur</t>
  </si>
  <si>
    <t> Evangeline</t>
  </si>
  <si>
    <t> Addison</t>
  </si>
  <si>
    <t> Emma</t>
  </si>
  <si>
    <t> Dakota</t>
  </si>
  <si>
    <t>Elliott</t>
  </si>
  <si>
    <t> Ella</t>
  </si>
  <si>
    <t> Aspen</t>
  </si>
  <si>
    <t>Theo</t>
  </si>
  <si>
    <t> Penelope</t>
  </si>
  <si>
    <t> Aubrey</t>
  </si>
  <si>
    <t>Ronan</t>
  </si>
  <si>
    <t> Clara</t>
  </si>
  <si>
    <t> Raine</t>
  </si>
  <si>
    <t>Evander</t>
  </si>
  <si>
    <t> Ellis</t>
  </si>
  <si>
    <t>Caleb</t>
  </si>
  <si>
    <t> Anastasia</t>
  </si>
  <si>
    <t> Jade</t>
  </si>
  <si>
    <t> Beckett</t>
  </si>
  <si>
    <t>Elias</t>
  </si>
  <si>
    <t> Chloe</t>
  </si>
  <si>
    <t> Raven</t>
  </si>
  <si>
    <t> Cora</t>
  </si>
  <si>
    <t>Arlo</t>
  </si>
  <si>
    <t> Rose</t>
  </si>
  <si>
    <t> Poppy</t>
  </si>
  <si>
    <t>Malachi</t>
  </si>
  <si>
    <t> Stella</t>
  </si>
  <si>
    <t> Julian</t>
  </si>
  <si>
    <t>Hudson</t>
  </si>
  <si>
    <t> Cameron</t>
  </si>
  <si>
    <t> Athena</t>
  </si>
  <si>
    <t> Charlie</t>
  </si>
  <si>
    <t> Phoebe</t>
  </si>
  <si>
    <t> Fallon</t>
  </si>
  <si>
    <t>Micah</t>
  </si>
  <si>
    <t> Greer</t>
  </si>
  <si>
    <t>Rhys</t>
  </si>
  <si>
    <t> Piper</t>
  </si>
  <si>
    <t> Sawyer</t>
  </si>
  <si>
    <t>Wesley</t>
  </si>
  <si>
    <t> Echo</t>
  </si>
  <si>
    <t> Alex</t>
  </si>
  <si>
    <t>Cole</t>
  </si>
  <si>
    <t> Bennett</t>
  </si>
  <si>
    <t> Skye</t>
  </si>
  <si>
    <t>Wyatt</t>
  </si>
  <si>
    <t> Jordan</t>
  </si>
  <si>
    <t>Lucien</t>
  </si>
  <si>
    <t> Evan</t>
  </si>
  <si>
    <t>Simon</t>
  </si>
  <si>
    <t> Thea</t>
  </si>
  <si>
    <t> Parker</t>
  </si>
  <si>
    <t>Soren</t>
  </si>
  <si>
    <t> Robin</t>
  </si>
  <si>
    <t>Beau</t>
  </si>
  <si>
    <t> Dylan</t>
  </si>
  <si>
    <t>Axel</t>
  </si>
  <si>
    <t> Remi</t>
  </si>
  <si>
    <t> Zephyr</t>
  </si>
  <si>
    <t>Nathaniel</t>
  </si>
  <si>
    <t> Amethyst</t>
  </si>
  <si>
    <t> Brooks</t>
  </si>
  <si>
    <t>Holden</t>
  </si>
  <si>
    <t> Arden</t>
  </si>
  <si>
    <t> Hayden</t>
  </si>
  <si>
    <t>Harrison</t>
  </si>
  <si>
    <t> Blake</t>
  </si>
  <si>
    <t>Luke</t>
  </si>
  <si>
    <t>Vincent</t>
  </si>
  <si>
    <t> Hunter</t>
  </si>
  <si>
    <t>Calix</t>
  </si>
  <si>
    <t> Phoenix</t>
  </si>
  <si>
    <t>Ezra</t>
  </si>
  <si>
    <t> Spencer</t>
  </si>
  <si>
    <t> Shiloh</t>
  </si>
  <si>
    <t>Isaiah</t>
  </si>
  <si>
    <t> Ashton</t>
  </si>
  <si>
    <t>Callum</t>
  </si>
  <si>
    <t> Lennox</t>
  </si>
  <si>
    <t>Landon</t>
  </si>
  <si>
    <t> Salem</t>
  </si>
  <si>
    <t>Dante</t>
  </si>
  <si>
    <t> Nova</t>
  </si>
  <si>
    <t>Hugo</t>
  </si>
  <si>
    <t> Hadley</t>
  </si>
  <si>
    <t>Tobias</t>
  </si>
  <si>
    <t> Reese</t>
  </si>
  <si>
    <t> Aero</t>
  </si>
  <si>
    <t>Rowan</t>
  </si>
  <si>
    <t> Akira</t>
  </si>
  <si>
    <t>Jonah</t>
  </si>
  <si>
    <t> Cassidy</t>
  </si>
  <si>
    <t>Dominic</t>
  </si>
  <si>
    <t> Avalon</t>
  </si>
  <si>
    <t>Cyrus</t>
  </si>
  <si>
    <t> Dorian</t>
  </si>
  <si>
    <t>Nolan</t>
  </si>
  <si>
    <t> Oakley</t>
  </si>
  <si>
    <t>Gideon</t>
  </si>
  <si>
    <t> Remy</t>
  </si>
  <si>
    <t> Bailey</t>
  </si>
  <si>
    <t>Alaric</t>
  </si>
  <si>
    <t> Alexis</t>
  </si>
  <si>
    <t>Keiran</t>
  </si>
  <si>
    <t> Sasha</t>
  </si>
  <si>
    <t> Adalia</t>
  </si>
  <si>
    <t> Serena</t>
  </si>
  <si>
    <t> Ariel</t>
  </si>
  <si>
    <t>Caspian</t>
  </si>
  <si>
    <t> Kieran</t>
  </si>
  <si>
    <t>Lincoln</t>
  </si>
  <si>
    <t> Cedar</t>
  </si>
  <si>
    <t> Clove</t>
  </si>
  <si>
    <t>Rhett</t>
  </si>
  <si>
    <t> Ares</t>
  </si>
  <si>
    <t>Roman</t>
  </si>
  <si>
    <t>Nathan</t>
  </si>
  <si>
    <t> Ash</t>
  </si>
  <si>
    <t>Zachary</t>
  </si>
  <si>
    <t> Cade</t>
  </si>
  <si>
    <t>Mateo</t>
  </si>
  <si>
    <t>Apollo</t>
  </si>
  <si>
    <t> Forest</t>
  </si>
  <si>
    <t>Chase</t>
  </si>
  <si>
    <t> Valentine</t>
  </si>
  <si>
    <t> Lily</t>
  </si>
  <si>
    <t> Aail</t>
  </si>
  <si>
    <t> Reagan</t>
  </si>
  <si>
    <t> Everly</t>
  </si>
  <si>
    <t> Claire</t>
  </si>
  <si>
    <t>Jackson</t>
  </si>
  <si>
    <t>Hanna</t>
  </si>
  <si>
    <t>Adrien</t>
  </si>
  <si>
    <t>Juliette</t>
  </si>
  <si>
    <t>Zander</t>
  </si>
  <si>
    <t>Arya</t>
  </si>
  <si>
    <t>Maia</t>
  </si>
  <si>
    <t>Rider</t>
  </si>
  <si>
    <t>Lilah</t>
  </si>
  <si>
    <t>Margo</t>
  </si>
  <si>
    <t>Adalynn</t>
  </si>
  <si>
    <t>Damien</t>
  </si>
  <si>
    <t>Kaya</t>
  </si>
  <si>
    <t>Skyler</t>
  </si>
  <si>
    <t>Tegan</t>
  </si>
  <si>
    <t>Fynn</t>
  </si>
  <si>
    <t>Sofia</t>
  </si>
  <si>
    <t>Finlay</t>
  </si>
  <si>
    <t>Freja</t>
  </si>
  <si>
    <t>Luka</t>
  </si>
  <si>
    <t>Aiden</t>
  </si>
  <si>
    <t>Greyson</t>
  </si>
  <si>
    <t>Alistair</t>
  </si>
  <si>
    <t>Alivia</t>
  </si>
  <si>
    <t>Norah</t>
  </si>
  <si>
    <t>Lukas</t>
  </si>
  <si>
    <t>Lidia</t>
  </si>
  <si>
    <t>Myles</t>
  </si>
  <si>
    <t>Daisy</t>
  </si>
  <si>
    <t>Vera</t>
  </si>
  <si>
    <t>Sienna</t>
  </si>
  <si>
    <t>Calliope</t>
  </si>
  <si>
    <t>male</t>
  </si>
  <si>
    <t>female</t>
  </si>
  <si>
    <t>Aurora</t>
  </si>
  <si>
    <t>Charlotte</t>
  </si>
  <si>
    <t>Amelia</t>
  </si>
  <si>
    <t>Evelyn</t>
  </si>
  <si>
    <t>Ivy</t>
  </si>
  <si>
    <t>Elise</t>
  </si>
  <si>
    <t>Natalie</t>
  </si>
  <si>
    <t>Sophie</t>
  </si>
  <si>
    <t>Nyx</t>
  </si>
  <si>
    <t>Willow</t>
  </si>
  <si>
    <t>Florence</t>
  </si>
  <si>
    <t>Victoria</t>
  </si>
  <si>
    <t>Aaliyah</t>
  </si>
  <si>
    <t>Elodie</t>
  </si>
  <si>
    <t>Delilah</t>
  </si>
  <si>
    <t>Arabella</t>
  </si>
  <si>
    <t>Imogen</t>
  </si>
  <si>
    <t>Mabel</t>
  </si>
  <si>
    <t>Olive</t>
  </si>
  <si>
    <t>Daphne</t>
  </si>
  <si>
    <t>Eliza</t>
  </si>
  <si>
    <t>Clementine</t>
  </si>
  <si>
    <t>Matilda</t>
  </si>
  <si>
    <t>Mia</t>
  </si>
  <si>
    <t>Autumn</t>
  </si>
  <si>
    <t>Dahlia</t>
  </si>
  <si>
    <t>Mila</t>
  </si>
  <si>
    <t>Lorelei</t>
  </si>
  <si>
    <t>Celeste</t>
  </si>
  <si>
    <t>Eliana</t>
  </si>
  <si>
    <t>Saoirse</t>
  </si>
  <si>
    <t>Josephine</t>
  </si>
  <si>
    <t>Sadie</t>
  </si>
  <si>
    <t>Esme</t>
  </si>
  <si>
    <t>Aurelia</t>
  </si>
  <si>
    <t>Ada</t>
  </si>
  <si>
    <t>Lilith</t>
  </si>
  <si>
    <t>Isabella</t>
  </si>
  <si>
    <t>Rosalie</t>
  </si>
  <si>
    <t>Ruby</t>
  </si>
  <si>
    <t>Lucy</t>
  </si>
  <si>
    <t>Astrid</t>
  </si>
  <si>
    <t>Juniper</t>
  </si>
  <si>
    <t>NAMES</t>
  </si>
  <si>
    <t>MAN</t>
  </si>
  <si>
    <t>Name2</t>
  </si>
  <si>
    <t>Rory</t>
  </si>
  <si>
    <t>Harper</t>
  </si>
  <si>
    <t>Logan</t>
  </si>
  <si>
    <t>Eden</t>
  </si>
  <si>
    <t>Quinn</t>
  </si>
  <si>
    <t>Jade</t>
  </si>
  <si>
    <t>Alex</t>
  </si>
  <si>
    <t>Fallon</t>
  </si>
  <si>
    <t>Jordan</t>
  </si>
  <si>
    <t>Remi</t>
  </si>
  <si>
    <t>Girls name</t>
  </si>
  <si>
    <t>Boys name</t>
  </si>
  <si>
    <t>Share your best result!</t>
  </si>
  <si>
    <t>Current Result:</t>
  </si>
  <si>
    <t>Date and Time</t>
  </si>
  <si>
    <t>Time Elapsed</t>
  </si>
  <si>
    <t>Penalty Count</t>
  </si>
  <si>
    <t>Best Result:</t>
  </si>
  <si>
    <t>All Results:</t>
  </si>
  <si>
    <t>Best Time Elapsed</t>
  </si>
  <si>
    <t>Best Penalty Count</t>
  </si>
  <si>
    <t>Best Total Time</t>
  </si>
  <si>
    <t>Total Time in Spreadsheet</t>
  </si>
  <si>
    <t>M</t>
  </si>
  <si>
    <t>G</t>
  </si>
  <si>
    <t>N</t>
  </si>
  <si>
    <t>O</t>
  </si>
  <si>
    <t>P</t>
  </si>
  <si>
    <t>R</t>
  </si>
  <si>
    <t>S</t>
  </si>
  <si>
    <t>U</t>
  </si>
  <si>
    <t>V</t>
  </si>
  <si>
    <t>AA</t>
  </si>
  <si>
    <t>START</t>
  </si>
  <si>
    <t>GPA (filled)</t>
  </si>
  <si>
    <t>Winner</t>
  </si>
  <si>
    <t>B10</t>
  </si>
  <si>
    <t>Excel_Reception</t>
  </si>
  <si>
    <t>fourteenth</t>
  </si>
  <si>
    <t>L</t>
  </si>
  <si>
    <t>Q</t>
  </si>
  <si>
    <t>W</t>
  </si>
  <si>
    <t>X</t>
  </si>
  <si>
    <t>Y</t>
  </si>
  <si>
    <t>FINISH</t>
  </si>
  <si>
    <t>Case Authors:</t>
  </si>
  <si>
    <t>Poorya Mehrabinia</t>
  </si>
  <si>
    <t>David Brown</t>
  </si>
  <si>
    <t>MECC 2023: April Keyboarding Challenge</t>
  </si>
  <si>
    <t>Random Controls</t>
  </si>
  <si>
    <t>https://youtu.be/A2U12-ptHGc</t>
  </si>
  <si>
    <t>AB</t>
  </si>
  <si>
    <t>https://youtu.be/5w2lF7K7nT4</t>
  </si>
  <si>
    <t>You have to click on enable content, to begin editing in your file.</t>
  </si>
  <si>
    <t>After enabling you would see an error like this:</t>
  </si>
  <si>
    <t>This error often occurs when you download a macro-enabled excel workbook.</t>
  </si>
  <si>
    <t>To cater this error:</t>
  </si>
  <si>
    <t>1. Go on file location where you have saved the file.</t>
  </si>
  <si>
    <t>2. Right click on the file and open properties</t>
  </si>
  <si>
    <t>3. In properties section, click on general setting:</t>
  </si>
  <si>
    <t>4. In general setting, look at the bottom at security column and select Unblock.</t>
  </si>
  <si>
    <t>5. Then click apply and open your workbook.</t>
  </si>
  <si>
    <t>Now error would be removed from the workbook.</t>
  </si>
  <si>
    <t>When you download this file, you may see an instruction like this on your worksheet:</t>
  </si>
  <si>
    <t>How to disable Macro Security and Unblock Macros:</t>
  </si>
  <si>
    <t>To make the spreadsheet work, you will have to enable macros by checking "Unblock" under the security</t>
  </si>
  <si>
    <t>security settings of the file's properties. See the next tab or watch this video:</t>
  </si>
</sst>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5">
    <x:numFmt numFmtId="6" formatCode="&quot;$&quot;#,##0_);[Red]\(&quot;$&quot;#,##0\)"/>
    <x:numFmt numFmtId="8" formatCode="&quot;$&quot;#,##0.00_);[Red]\(&quot;$&quot;#,##0.00\)"/>
    <x:numFmt numFmtId="164" formatCode="[$-409]m/d/yy\ h:mm\ AM/PM;@"/>
    <x:numFmt numFmtId="165" formatCode="0.00;\-0.00;;@"/>
    <x:numFmt numFmtId="166" formatCode="0.0000"/>
  </x:numFmts>
  <x:fonts count="16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u/>
      <x:sz val="11"/>
      <x:color theme="10"/>
      <x:name val="Calibri"/>
      <x:family val="2"/>
      <x:scheme val="minor"/>
    </x:font>
    <x:font>
      <x:sz val="3"/>
      <x:color rgb="FF242729"/>
      <x:name val="Consolas"/>
      <x:family val="3"/>
    </x:font>
    <x:font>
      <x:sz val="10"/>
      <x:color theme="1"/>
      <x:name val="Var(--ff-mono)"/>
    </x:font>
    <x:font>
      <x:b/>
      <x:sz val="20"/>
      <x:color theme="1"/>
      <x:name val="Calibri"/>
      <x:family val="2"/>
      <x:scheme val="minor"/>
    </x:font>
    <x:font>
      <x:sz val="11"/>
      <x:color rgb="FF00B050"/>
      <x:name val="Calibri"/>
      <x:family val="2"/>
      <x:scheme val="minor"/>
    </x:font>
    <x:font>
      <x:b/>
      <x:sz val="14"/>
      <x:color theme="1"/>
      <x:name val="Calibri"/>
      <x:family val="2"/>
      <x:scheme val="minor"/>
    </x:font>
    <x:font>
      <x:b/>
      <x:sz val="12"/>
      <x:color rgb="FFFF0000"/>
      <x:name val="Calibri"/>
      <x:family val="2"/>
      <x:scheme val="minor"/>
    </x:font>
    <x:font>
      <x:b/>
      <x:u/>
      <x:sz val="11"/>
      <x:color rgb="FFFF0000"/>
      <x:name val="Calibri"/>
      <x:family val="2"/>
      <x:scheme val="minor"/>
    </x:font>
    <x:font>
      <x:sz val="11"/>
      <x:color rgb="FF00007F"/>
      <x:name val="Courier New"/>
      <x:family val="3"/>
    </x:font>
    <x:font>
      <x:sz val="11"/>
      <x:color rgb="FF007F00"/>
      <x:name val="Courier New"/>
      <x:family val="3"/>
    </x:font>
    <x:font>
      <x:sz val="11"/>
      <x:color rgb="FF403F41"/>
      <x:name val="Courier New"/>
      <x:family val="3"/>
    </x:font>
    <x:font>
      <x:sz val="11"/>
      <x:color theme="0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sz val="12"/>
      <x:color rgb="FFFFFF"/>
      <x:name val="Arial"/>
    </x:font>
  </x:fonts>
  <x:fills count="8">
    <x:fill>
      <x:patternFill patternType="none"/>
    </x:fill>
    <x:fill>
      <x:patternFill patternType="gray125"/>
    </x:fill>
    <x:fill>
      <x:patternFill patternType="solid">
        <x:fgColor rgb="FF92D050"/>
        <x:bgColor indexed="64"/>
      </x:patternFill>
    </x:fill>
    <x:fill>
      <x:patternFill patternType="solid">
        <x:fgColor theme="2"/>
        <x:bgColor indexed="64"/>
      </x:patternFill>
    </x:fill>
    <x:fill>
      <x:patternFill patternType="solid">
        <x:fgColor rgb="FFF0F0F0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theme="8" tint="0.59999389629810485"/>
        <x:bgColor indexed="64"/>
      </x:patternFill>
    </x:fill>
    <x:fill>
      <x:patternFill patternType="solid">
        <x:fgColor rgb="FF00BFFF"/>
        <x:bgColor indexed="64"/>
      </x:patternFill>
    </x:fill>
  </x:fills>
  <x:borders count="12">
    <x:border>
      <x:left/>
      <x:right/>
      <x:top/>
      <x:bottom/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theme="0" tint="-0.249977111117893"/>
      </x:left>
      <x:right style="thin">
        <x:color theme="0" tint="-0.249977111117893"/>
      </x:right>
      <x:top style="thin">
        <x:color theme="0" tint="-0.249977111117893"/>
      </x:top>
      <x:bottom style="thin">
        <x:color theme="0" tint="-0.249977111117893"/>
      </x:bottom>
      <x:diagonal/>
    </x:border>
    <x:border>
      <x:left style="thin">
        <x:color theme="0" tint="-0.249977111117893"/>
      </x:left>
      <x:right style="thin">
        <x:color theme="0" tint="-0.249977111117893"/>
      </x:right>
      <x:top/>
      <x:bottom/>
      <x:diagonal/>
    </x:border>
    <x:border>
      <x:left style="medium">
        <x:color indexed="64"/>
      </x:left>
      <x:right/>
      <x:top style="medium">
        <x:color indexed="64"/>
      </x:top>
      <x:bottom style="medium">
        <x:color indexed="64"/>
      </x:bottom>
      <x:diagonal/>
    </x:border>
    <x:border>
      <x:left/>
      <x:right/>
      <x:top style="medium">
        <x:color indexed="64"/>
      </x:top>
      <x:bottom style="medium">
        <x:color indexed="64"/>
      </x:bottom>
      <x:diagonal/>
    </x:border>
    <x:border>
      <x:left/>
      <x:right style="medium">
        <x:color indexed="64"/>
      </x:right>
      <x:top style="medium">
        <x:color indexed="64"/>
      </x:top>
      <x:bottom style="medium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/>
      <x:diagonal/>
    </x:border>
    <x:border>
      <x:left style="medium">
        <x:color indexed="64"/>
      </x:left>
      <x:right style="medium">
        <x:color indexed="64"/>
      </x:right>
      <x:top/>
      <x:bottom style="medium">
        <x:color indexed="64"/>
      </x:bottom>
      <x:diagonal/>
    </x:border>
    <x:border>
      <x:left/>
      <x:right/>
      <x:top/>
      <x:bottom style="medium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</x:borders>
  <x:cellStyleXfs count="3">
    <x:xf numFmtId="0" fontId="0" fillId="0" borderId="0"/>
    <x:xf numFmtId="0" fontId="2" fillId="0" borderId="0" applyNumberFormat="0" applyFill="0" applyBorder="0" applyAlignment="0" applyProtection="0"/>
    <x:xf numFmtId="9" fontId="14" fillId="0" borderId="0" applyFont="0" applyFill="0" applyBorder="0" applyAlignment="0" applyProtection="0"/>
  </x:cellStyleXfs>
  <x:cellXfs count="79">
    <x:xf numFmtId="0" fontId="0" fillId="0" borderId="0" xfId="0"/>
    <x:xf numFmtId="2" fontId="0" fillId="0" borderId="0" xfId="0" applyNumberFormat="1"/>
    <x:xf numFmtId="0" fontId="1" fillId="3" borderId="3" xfId="0" applyFont="1" applyFill="1" applyBorder="1" applyAlignment="1" applyProtection="1">
      <x:alignment horizontal="center"/>
      <x:protection locked="0"/>
    </x:xf>
    <x:xf numFmtId="0" fontId="0" fillId="0" borderId="0" xfId="0" applyAlignment="1" applyProtection="1">
      <x:alignment horizontal="center"/>
      <x:protection locked="0"/>
    </x:xf>
    <x:xf numFmtId="0" fontId="1" fillId="3" borderId="3" xfId="0" applyFont="1" applyFill="1" applyBorder="1"/>
    <x:xf numFmtId="0" fontId="1" fillId="3" borderId="3" xfId="0" applyFont="1" applyFill="1" applyBorder="1" applyAlignment="1">
      <x:alignment horizontal="center"/>
    </x:xf>
    <x:xf numFmtId="0" fontId="1" fillId="3" borderId="0" xfId="0" applyFont="1" applyFill="1" applyAlignment="1" applyProtection="1">
      <x:alignment horizontal="center"/>
      <x:protection locked="0"/>
    </x:xf>
    <x:xf numFmtId="0" fontId="1" fillId="0" borderId="0" xfId="0" applyFont="1" applyAlignment="1" applyProtection="1">
      <x:alignment horizontal="center"/>
      <x:protection locked="0"/>
    </x:xf>
    <x:xf numFmtId="22" fontId="0" fillId="0" borderId="0" xfId="0" applyNumberFormat="1" applyAlignment="1" applyProtection="1">
      <x:alignment horizontal="center"/>
      <x:protection locked="0"/>
    </x:xf>
    <x:xf numFmtId="22" fontId="0" fillId="0" borderId="3" xfId="0" applyNumberFormat="1" applyBorder="1" applyAlignment="1" applyProtection="1">
      <x:alignment horizontal="center"/>
      <x:protection locked="0"/>
    </x:xf>
    <x:xf numFmtId="0" fontId="0" fillId="0" borderId="3" xfId="0" applyBorder="1"/>
    <x:xf numFmtId="0" fontId="0" fillId="0" borderId="3" xfId="0" applyBorder="1" applyAlignment="1">
      <x:alignment horizontal="center"/>
    </x:xf>
    <x:xf numFmtId="0" fontId="0" fillId="0" borderId="0" xfId="0" applyAlignment="1" applyProtection="1">
      <x:alignment horizontal="left"/>
      <x:protection locked="0"/>
    </x:xf>
    <x:xf numFmtId="8" fontId="0" fillId="0" borderId="0" xfId="0" applyNumberFormat="1" applyAlignment="1" applyProtection="1">
      <x:alignment horizontal="center"/>
      <x:protection locked="0"/>
    </x:xf>
    <x:xf numFmtId="0" fontId="3" fillId="0" borderId="0" xfId="0" applyFont="1" applyAlignment="1" applyProtection="1">
      <x:alignment horizontal="center"/>
      <x:protection locked="0"/>
    </x:xf>
    <x:xf numFmtId="4" fontId="0" fillId="0" borderId="0" xfId="0" applyNumberFormat="1" applyAlignment="1" applyProtection="1">
      <x:alignment horizontal="center"/>
      <x:protection locked="0"/>
    </x:xf>
    <x:xf numFmtId="0" fontId="0" fillId="0" borderId="4" xfId="0" applyBorder="1"/>
    <x:xf numFmtId="0" fontId="0" fillId="0" borderId="0" xfId="0" applyProtection="1">
      <x:protection locked="0"/>
    </x:xf>
    <x:xf numFmtId="6" fontId="0" fillId="0" borderId="0" xfId="0" applyNumberFormat="1" applyAlignment="1" applyProtection="1">
      <x:alignment horizontal="center"/>
      <x:protection locked="0"/>
    </x:xf>
    <x:xf numFmtId="19" fontId="0" fillId="0" borderId="0" xfId="0" applyNumberFormat="1" applyAlignment="1" applyProtection="1">
      <x:alignment horizontal="center"/>
      <x:protection locked="0"/>
    </x:xf>
    <x:xf numFmtId="0" fontId="0" fillId="0" borderId="0" xfId="0" quotePrefix="1"/>
    <x:xf numFmtId="0" fontId="4" fillId="0" borderId="0" xfId="0" applyFont="1" applyAlignment="1">
      <x:alignment horizontal="left" vertical="center"/>
    </x:xf>
    <x:xf numFmtId="0" fontId="2" fillId="0" borderId="0" xfId="1" applyAlignment="1">
      <x:alignment horizontal="left" vertical="center"/>
    </x:xf>
    <x:xf numFmtId="0" fontId="2" fillId="0" borderId="0" xfId="1" applyAlignment="1" applyProtection="1">
      <x:alignment horizontal="left"/>
      <x:protection locked="0"/>
    </x:xf>
    <x:xf numFmtId="0" fontId="2" fillId="0" borderId="3" xfId="1" applyBorder="1"/>
    <x:xf numFmtId="0" fontId="0" fillId="4" borderId="0" xfId="0" applyFill="1" applyProtection="1">
      <x:protection locked="0"/>
    </x:xf>
    <x:xf numFmtId="0" fontId="5" fillId="4" borderId="0" xfId="0" applyFont="1" applyFill="1" applyProtection="1">
      <x:protection locked="0"/>
    </x:xf>
    <x:xf numFmtId="0" fontId="2" fillId="4" borderId="0" xfId="1" applyFill="1" applyProtection="1">
      <x:protection locked="0"/>
    </x:xf>
    <x:xf numFmtId="0" fontId="1" fillId="4" borderId="0" xfId="0" applyFont="1" applyFill="1" applyProtection="1">
      <x:protection locked="0"/>
    </x:xf>
    <x:xf numFmtId="0" fontId="0" fillId="5" borderId="0" xfId="0" applyFill="1" applyProtection="1">
      <x:protection locked="0"/>
    </x:xf>
    <x:xf numFmtId="0" fontId="0" fillId="3" borderId="0" xfId="0" applyFill="1" applyProtection="1">
      <x:protection hidden="1"/>
    </x:xf>
    <x:xf numFmtId="0" fontId="7" fillId="3" borderId="0" xfId="0" applyFont="1" applyFill="1" applyAlignment="1" applyProtection="1">
      <x:alignment horizontal="left"/>
      <x:protection hidden="1"/>
    </x:xf>
    <x:xf numFmtId="0" fontId="0" fillId="3" borderId="0" xfId="0" applyFill="1" applyAlignment="1" applyProtection="1">
      <x:alignment horizontal="left"/>
      <x:protection hidden="1"/>
    </x:xf>
    <x:xf numFmtId="0" fontId="8" fillId="3" borderId="0" xfId="0" applyFont="1" applyFill="1" applyProtection="1">
      <x:protection hidden="1"/>
    </x:xf>
    <x:xf numFmtId="0" fontId="1" fillId="6" borderId="5" xfId="0" applyFont="1" applyFill="1" applyBorder="1" applyAlignment="1" applyProtection="1">
      <x:alignment horizontal="centerContinuous" vertical="center" wrapText="1"/>
      <x:protection hidden="1"/>
    </x:xf>
    <x:xf numFmtId="0" fontId="0" fillId="6" borderId="6" xfId="0" applyFill="1" applyBorder="1" applyAlignment="1" applyProtection="1">
      <x:alignment horizontal="centerContinuous"/>
      <x:protection hidden="1"/>
    </x:xf>
    <x:xf numFmtId="0" fontId="0" fillId="6" borderId="7" xfId="0" applyFill="1" applyBorder="1" applyAlignment="1" applyProtection="1">
      <x:alignment horizontal="centerContinuous"/>
      <x:protection hidden="1"/>
    </x:xf>
    <x:xf numFmtId="0" fontId="1" fillId="3" borderId="0" xfId="0" applyFont="1" applyFill="1" applyAlignment="1" applyProtection="1">
      <x:alignment horizontal="left"/>
      <x:protection hidden="1"/>
    </x:xf>
    <x:xf numFmtId="0" fontId="0" fillId="3" borderId="10" xfId="0" applyFill="1" applyBorder="1" applyAlignment="1" applyProtection="1">
      <x:alignment horizontal="center"/>
      <x:protection hidden="1"/>
    </x:xf>
    <x:xf numFmtId="0" fontId="0" fillId="2" borderId="0" xfId="0" applyFill="1" applyProtection="1">
      <x:protection locked="0"/>
    </x:xf>
    <x:xf numFmtId="164" fontId="0" fillId="3" borderId="0" xfId="0" applyNumberFormat="1" applyFill="1" applyAlignment="1" applyProtection="1">
      <x:alignment horizontal="center"/>
      <x:protection hidden="1"/>
    </x:xf>
    <x:xf numFmtId="0" fontId="0" fillId="3" borderId="0" xfId="0" applyFill="1" applyAlignment="1" applyProtection="1">
      <x:alignment horizontal="center"/>
      <x:protection hidden="1"/>
    </x:xf>
    <x:xf numFmtId="3" fontId="0" fillId="3" borderId="0" xfId="0" applyNumberFormat="1" applyFill="1" applyAlignment="1" applyProtection="1">
      <x:alignment horizontal="center"/>
      <x:protection hidden="1"/>
    </x:xf>
    <x:xf numFmtId="4" fontId="0" fillId="2" borderId="0" xfId="0" applyNumberFormat="1" applyFill="1" applyProtection="1">
      <x:protection locked="0"/>
    </x:xf>
    <x:xf numFmtId="0" fontId="0" fillId="2" borderId="1" xfId="0" applyFill="1" applyBorder="1" applyProtection="1">
      <x:protection locked="0"/>
    </x:xf>
    <x:xf numFmtId="3" fontId="0" fillId="0" borderId="0" xfId="0" applyNumberFormat="1" applyAlignment="1" applyProtection="1">
      <x:alignment horizontal="center"/>
      <x:protection locked="0"/>
    </x:xf>
    <x:xf numFmtId="0" fontId="10" fillId="0" borderId="0" xfId="0" applyFont="1" applyProtection="1">
      <x:protection locked="0"/>
    </x:xf>
    <x:xf numFmtId="0" fontId="11" fillId="0" borderId="0" xfId="0" applyFont="1" applyProtection="1">
      <x:protection locked="0"/>
    </x:xf>
    <x:xf numFmtId="0" fontId="12" fillId="0" borderId="0" xfId="0" applyFont="1" applyProtection="1">
      <x:protection locked="0"/>
    </x:xf>
    <x:xf numFmtId="9" fontId="0" fillId="0" borderId="0" xfId="0" applyNumberFormat="1"/>
    <x:xf numFmtId="165" fontId="0" fillId="0" borderId="0" xfId="0" applyNumberFormat="1"/>
    <x:xf numFmtId="1" fontId="0" fillId="0" borderId="0" xfId="0" applyNumberFormat="1"/>
    <x:xf numFmtId="0" fontId="0" fillId="0" borderId="0" xfId="0" applyAlignment="1" applyProtection="1">
      <x:alignment horizontal="right"/>
      <x:protection locked="0"/>
    </x:xf>
    <x:xf numFmtId="2" fontId="0" fillId="0" borderId="0" xfId="0" applyNumberFormat="1" applyAlignment="1" applyProtection="1">
      <x:alignment horizontal="center"/>
      <x:protection locked="0"/>
    </x:xf>
    <x:xf numFmtId="0" fontId="0" fillId="3" borderId="2" xfId="0" applyFill="1" applyBorder="1"/>
    <x:xf numFmtId="0" fontId="0" fillId="3" borderId="2" xfId="0" applyFill="1" applyBorder="1" applyAlignment="1" applyProtection="1">
      <x:alignment horizontal="center"/>
      <x:protection locked="0"/>
    </x:xf>
    <x:xf numFmtId="0" fontId="0" fillId="0" borderId="0" xfId="0" applyAlignment="1">
      <x:alignment horizontal="center"/>
    </x:xf>
    <x:xf numFmtId="0" fontId="13" fillId="7" borderId="0" xfId="0" applyFont="1" applyFill="1" applyAlignment="1">
      <x:alignment horizontal="center"/>
    </x:xf>
    <x:xf numFmtId="0" fontId="1" fillId="0" borderId="0" xfId="0" applyFont="1" applyAlignment="1">
      <x:alignment horizontal="center"/>
    </x:xf>
    <x:xf numFmtId="165" fontId="0" fillId="0" borderId="0" xfId="0" applyNumberFormat="1" applyAlignment="1">
      <x:alignment horizontal="center"/>
    </x:xf>
    <x:xf numFmtId="0" fontId="1" fillId="0" borderId="0" xfId="0" applyFont="1" applyAlignment="1">
      <x:alignment horizontal="left"/>
    </x:xf>
    <x:xf numFmtId="0" fontId="0" fillId="0" borderId="0" xfId="0" applyAlignment="1">
      <x:alignment horizontal="left"/>
    </x:xf>
    <x:xf numFmtId="0" fontId="15" fillId="0" borderId="0" xfId="0" applyFont="1"/>
    <x:xf numFmtId="0" fontId="0" fillId="2" borderId="0" xfId="0" applyFill="1" applyAlignment="1">
      <x:alignment horizontal="center"/>
    </x:xf>
    <x:xf numFmtId="1" fontId="0" fillId="0" borderId="0" xfId="0" applyNumberFormat="1" applyAlignment="1" applyProtection="1">
      <x:alignment horizontal="center"/>
      <x:protection locked="0"/>
    </x:xf>
    <x:xf numFmtId="1" fontId="0" fillId="0" borderId="0" xfId="0" applyNumberFormat="1" applyAlignment="1">
      <x:alignment horizontal="center"/>
    </x:xf>
    <x:xf numFmtId="2" fontId="0" fillId="0" borderId="0" xfId="0" applyNumberFormat="1" applyAlignment="1">
      <x:alignment horizontal="center"/>
    </x:xf>
    <x:xf numFmtId="0" fontId="0" fillId="4" borderId="2" xfId="0" applyFill="1" applyBorder="1" applyAlignment="1">
      <x:alignment horizontal="center"/>
    </x:xf>
    <x:xf numFmtId="166" fontId="0" fillId="0" borderId="0" xfId="0" applyNumberFormat="1" applyAlignment="1">
      <x:alignment horizontal="center"/>
    </x:xf>
    <x:xf numFmtId="0" fontId="0" fillId="4" borderId="11" xfId="0" applyFill="1" applyBorder="1" applyAlignment="1">
      <x:alignment horizontal="center"/>
    </x:xf>
    <x:xf numFmtId="0" fontId="1" fillId="0" borderId="1" xfId="0" applyFont="1" applyBorder="1" applyAlignment="1">
      <x:alignment horizontal="center"/>
    </x:xf>
    <x:xf numFmtId="0" fontId="0" fillId="2" borderId="2" xfId="0" applyFill="1" applyBorder="1" applyAlignment="1">
      <x:alignment horizontal="center"/>
    </x:xf>
    <x:xf numFmtId="9" fontId="0" fillId="2" borderId="2" xfId="2" applyFont="1" applyFill="1" applyBorder="1" applyAlignment="1">
      <x:alignment horizontal="center"/>
    </x:xf>
    <x:xf numFmtId="2" fontId="0" fillId="2" borderId="2" xfId="0" applyNumberFormat="1" applyFill="1" applyBorder="1" applyAlignment="1">
      <x:alignment horizontal="center"/>
    </x:xf>
    <x:xf numFmtId="1" fontId="0" fillId="2" borderId="2" xfId="0" applyNumberFormat="1" applyFill="1" applyBorder="1" applyAlignment="1">
      <x:alignment horizontal="center"/>
    </x:xf>
    <x:xf numFmtId="0" fontId="2" fillId="6" borderId="8" xfId="1" applyFill="1" applyBorder="1" applyAlignment="1">
      <x:alignment horizontal="center" vertical="center"/>
    </x:xf>
    <x:xf numFmtId="0" fontId="9" fillId="6" borderId="9" xfId="1" applyFont="1" applyFill="1" applyBorder="1" applyAlignment="1">
      <x:alignment horizontal="center" vertical="center"/>
    </x:xf>
    <x:xf numFmtId="0" fontId="1" fillId="0" borderId="0" xfId="0" applyFont="1"/>
    <x:xf fontId="16" fillId="0" borderId="0"/>
  </x:cellXfs>
  <x:cellStyles count="3">
    <x:cellStyle name="Hyperlink" xfId="1" builtinId="8"/>
    <x:cellStyle name="Normal" xfId="0" builtinId="0"/>
    <x:cellStyle name="Percent" xfId="2" builtinId="5"/>
  </x:cellStyles>
  <x:dxfs count="2">
    <x:dxf>
      <x:font>
        <x:color rgb="FF9C0006"/>
      </x:font>
      <x:fill>
        <x:patternFill>
          <x:bgColor rgb="FFFFC7CE"/>
        </x:patternFill>
      </x:fill>
    </x:dxf>
    <x:dxf>
      <x:font>
        <x:color rgb="FF9C0006"/>
      </x:font>
      <x:fill>
        <x:patternFill>
          <x:bgColor rgb="FFFFC7CE"/>
        </x:patternFill>
      </x:fill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68" fmlaLink="BackgroundCalcs!$F$46" fmlaRange="BackgroundCalcs!$D$46:$D$47" noThreeD="1" sel="1" val="0"/>
</file>

<file path=xl/ctrlProps/ctrlProp2.xml><?xml version="1.0" encoding="utf-8"?>
<formControlPr xmlns="http://schemas.microsoft.com/office/spreadsheetml/2009/9/main" objectType="Drop" dropStyle="combo" dx="68" fmlaLink="BackgroundCalcs!$F$49" fmlaRange="BackgroundCalcs!$D$46:$D$47" noThreeD="1" sel="2" val="0"/>
</file>

<file path=xl/ctrlProps/ctrlProp3.xml><?xml version="1.0" encoding="utf-8"?>
<formControlPr xmlns="http://schemas.microsoft.com/office/spreadsheetml/2009/9/main" objectType="Drop" dropStyle="combo" dx="68" fmlaLink="BackgroundCalcs!$F$52" fmlaRange="BackgroundCalcs!$D$46:$D$47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mworldcup.com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eller.arizona.edu/" TargetMode="Externa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mworldcup.com/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eller.arizona.edu/" TargetMode="External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1077912</xdr:colOff>
      <xdr:row>27</xdr:row>
      <xdr:rowOff>161925</xdr:rowOff>
    </xdr:from>
    <xdr:to>
      <xdr:col>4</xdr:col>
      <xdr:colOff>523557</xdr:colOff>
      <xdr:row>30</xdr:row>
      <xdr:rowOff>102236</xdr:rowOff>
    </xdr:to>
    <xdr:sp macro="[0]!startGame" textlink="">
      <xdr:nvSpPr>
        <xdr:cNvPr id="2" name="Bevel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68762" y="5067300"/>
          <a:ext cx="1166495" cy="508636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869950</xdr:colOff>
          <xdr:row>26</xdr:row>
          <xdr:rowOff>184150</xdr:rowOff>
        </xdr:from>
        <xdr:to>
          <xdr:col>3</xdr:col>
          <xdr:colOff>0</xdr:colOff>
          <xdr:row>28</xdr:row>
          <xdr:rowOff>12700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29</xdr:row>
          <xdr:rowOff>0</xdr:rowOff>
        </xdr:from>
        <xdr:to>
          <xdr:col>3</xdr:col>
          <xdr:colOff>0</xdr:colOff>
          <xdr:row>30</xdr:row>
          <xdr:rowOff>38100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869950</xdr:colOff>
          <xdr:row>31</xdr:row>
          <xdr:rowOff>12700</xdr:rowOff>
        </xdr:from>
        <xdr:to>
          <xdr:col>3</xdr:col>
          <xdr:colOff>0</xdr:colOff>
          <xdr:row>32</xdr:row>
          <xdr:rowOff>50800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196850</xdr:colOff>
      <xdr:row>0</xdr:row>
      <xdr:rowOff>152400</xdr:rowOff>
    </xdr:from>
    <xdr:to>
      <xdr:col>3</xdr:col>
      <xdr:colOff>790451</xdr:colOff>
      <xdr:row>6</xdr:row>
      <xdr:rowOff>56059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52400"/>
          <a:ext cx="3581276" cy="1046659"/>
        </a:xfrm>
        <a:prstGeom prst="rect">
          <a:avLst/>
        </a:prstGeom>
      </xdr:spPr>
    </xdr:pic>
    <xdr:clientData/>
  </xdr:twoCellAnchor>
  <xdr:twoCellAnchor editAs="oneCell">
    <xdr:from>
      <xdr:col>3</xdr:col>
      <xdr:colOff>1007825</xdr:colOff>
      <xdr:row>1</xdr:row>
      <xdr:rowOff>12700</xdr:rowOff>
    </xdr:from>
    <xdr:to>
      <xdr:col>5</xdr:col>
      <xdr:colOff>250339</xdr:colOff>
      <xdr:row>5</xdr:row>
      <xdr:rowOff>141301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8675" y="203200"/>
          <a:ext cx="3443039" cy="8874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66675</xdr:rowOff>
    </xdr:from>
    <xdr:to>
      <xdr:col>8</xdr:col>
      <xdr:colOff>419100</xdr:colOff>
      <xdr:row>19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4C3487-3DA4-6B2A-277A-15A03A866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28625"/>
          <a:ext cx="5200650" cy="310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85726</xdr:colOff>
      <xdr:row>22</xdr:row>
      <xdr:rowOff>47626</xdr:rowOff>
    </xdr:from>
    <xdr:to>
      <xdr:col>8</xdr:col>
      <xdr:colOff>463551</xdr:colOff>
      <xdr:row>40</xdr:row>
      <xdr:rowOff>130374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4CE3AA-5A87-67E5-AB22-170DAB382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6" y="4029076"/>
          <a:ext cx="5257800" cy="33402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114301</xdr:colOff>
      <xdr:row>49</xdr:row>
      <xdr:rowOff>95250</xdr:rowOff>
    </xdr:from>
    <xdr:to>
      <xdr:col>8</xdr:col>
      <xdr:colOff>502186</xdr:colOff>
      <xdr:row>68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08A21B-1049-AC0D-5BD2-2AEFE0FC16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1" y="8963025"/>
          <a:ext cx="5267860" cy="3476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215900</xdr:colOff>
      <xdr:row>0</xdr:row>
      <xdr:rowOff>73026</xdr:rowOff>
    </xdr:from>
    <xdr:to>
      <xdr:col>3</xdr:col>
      <xdr:colOff>508000</xdr:colOff>
      <xdr:row>3</xdr:row>
      <xdr:rowOff>163823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73026"/>
          <a:ext cx="2120900" cy="643247"/>
        </a:xfrm>
        <a:prstGeom prst="rect">
          <a:avLst/>
        </a:prstGeom>
      </xdr:spPr>
    </xdr:pic>
    <xdr:clientData/>
  </xdr:twoCellAnchor>
  <xdr:twoCellAnchor editAs="oneCell">
    <xdr:from>
      <xdr:col>5</xdr:col>
      <xdr:colOff>755650</xdr:colOff>
      <xdr:row>2</xdr:row>
      <xdr:rowOff>95250</xdr:rowOff>
    </xdr:from>
    <xdr:to>
      <xdr:col>8</xdr:col>
      <xdr:colOff>391523</xdr:colOff>
      <xdr:row>4</xdr:row>
      <xdr:rowOff>1269</xdr:rowOff>
    </xdr:to>
    <xdr:sp macro="[0]!GivePCHint" textlink="">
      <xdr:nvSpPr>
        <xdr:cNvPr id="3" name="Bevel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803650" y="463550"/>
          <a:ext cx="1624693" cy="273049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Give PC</a:t>
          </a:r>
          <a:r>
            <a:rPr lang="en-US" sz="16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Hint</a:t>
          </a:r>
          <a:endParaRPr lang="en-US" sz="16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5</xdr:col>
      <xdr:colOff>752475</xdr:colOff>
      <xdr:row>4</xdr:row>
      <xdr:rowOff>88900</xdr:rowOff>
    </xdr:from>
    <xdr:to>
      <xdr:col>8</xdr:col>
      <xdr:colOff>381998</xdr:colOff>
      <xdr:row>5</xdr:row>
      <xdr:rowOff>168274</xdr:rowOff>
    </xdr:to>
    <xdr:sp macro="[0]!GiveMacHint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00475" y="825500"/>
          <a:ext cx="1618343" cy="263524"/>
        </a:xfrm>
        <a:prstGeom prst="bevel">
          <a:avLst/>
        </a:prstGeom>
        <a:solidFill>
          <a:srgbClr val="4472C4">
            <a:lumMod val="40000"/>
            <a:lumOff val="60000"/>
          </a:srgbClr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5400000" algn="t" rotWithShape="0">
                  <a:sysClr val="window" lastClr="FFFFFF">
                    <a:lumMod val="95000"/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Give Mac Hint</a:t>
          </a:r>
        </a:p>
      </xdr:txBody>
    </xdr:sp>
    <xdr:clientData/>
  </xdr:twoCellAnchor>
  <xdr:twoCellAnchor editAs="oneCell">
    <xdr:from>
      <xdr:col>6</xdr:col>
      <xdr:colOff>0</xdr:colOff>
      <xdr:row>0</xdr:row>
      <xdr:rowOff>114300</xdr:rowOff>
    </xdr:from>
    <xdr:to>
      <xdr:col>8</xdr:col>
      <xdr:colOff>399143</xdr:colOff>
      <xdr:row>2</xdr:row>
      <xdr:rowOff>2721</xdr:rowOff>
    </xdr:to>
    <xdr:sp macro="[0]!GiveInstruction" textlink="">
      <xdr:nvSpPr>
        <xdr:cNvPr id="5" name="Bevel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10000" y="114300"/>
          <a:ext cx="1618343" cy="256721"/>
        </a:xfrm>
        <a:prstGeom prst="bevel">
          <a:avLst/>
        </a:prstGeom>
        <a:solidFill>
          <a:srgbClr val="4472C4">
            <a:lumMod val="40000"/>
            <a:lumOff val="60000"/>
          </a:srgbClr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>
                <a:outerShdw blurRad="50800" dist="38100" dir="5400000" algn="t" rotWithShape="0">
                  <a:sysClr val="window" lastClr="FFFFFF">
                    <a:lumMod val="95000"/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Give Instruction</a:t>
          </a:r>
        </a:p>
      </xdr:txBody>
    </xdr:sp>
    <xdr:clientData/>
  </xdr:twoCellAnchor>
  <xdr:twoCellAnchor editAs="oneCell">
    <xdr:from>
      <xdr:col>0</xdr:col>
      <xdr:colOff>196850</xdr:colOff>
      <xdr:row>4</xdr:row>
      <xdr:rowOff>78389</xdr:rowOff>
    </xdr:from>
    <xdr:to>
      <xdr:col>3</xdr:col>
      <xdr:colOff>601690</xdr:colOff>
      <xdr:row>7</xdr:row>
      <xdr:rowOff>41845</xdr:rowOff>
    </xdr:to>
    <xdr:pic>
      <xdr:nvPicPr>
        <xdr:cNvPr id="6" name="Pictur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814989"/>
          <a:ext cx="2233640" cy="5159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1267101</xdr:colOff>
      <xdr:row>0</xdr:row>
      <xdr:rowOff>128795</xdr:rowOff>
    </xdr:from>
    <xdr:to>
      <xdr:col>4</xdr:col>
      <xdr:colOff>1352826</xdr:colOff>
      <xdr:row>2</xdr:row>
      <xdr:rowOff>140860</xdr:rowOff>
    </xdr:to>
    <xdr:sp macro="[0]!startGame" textlink="">
      <xdr:nvSpPr>
        <xdr:cNvPr id="2" name="Bevel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259884" y="128795"/>
          <a:ext cx="1471681" cy="486935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 Again!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linkedin.com/in/pooryamehrabinia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linkedin.com/in/david-brown-5a44751/" TargetMode="External"/><Relationship Id="rId1" Type="http://schemas.openxmlformats.org/officeDocument/2006/relationships/hyperlink" Target="https://youtu.be/5w2lF7K7nT4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youtu.be/A2U12-ptHGc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facebook.com/sharer.php?u=http%3A%2F%2Fchandoo.org%2Fwp%2F2012%2F08%2F10%2Fexcel-hurdles%2F&amp;t=I%20finished%20Excel%20Hurdle%20challenge%20in%20$$%20seconds." TargetMode="External"/><Relationship Id="rId1" Type="http://schemas.openxmlformats.org/officeDocument/2006/relationships/hyperlink" Target="https://www.linkedin.com/sharing/share-offsite/?url=https://www.fmworldcup.com/microsoft-excel-collegiate-challeng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CB3A1695-2BD9-45F7-A8A1-72A24160420F}" mc:Ignorable="x14ac xr xr2 xr3">
  <x:sheetPr codeName="Sheet1"/>
  <x:dimension ref="A1:O1205"/>
  <x:sheetViews>
    <x:sheetView tabSelected="1" zoomScale="115" zoomScaleNormal="115" workbookViewId="0">
      <x:selection activeCell="B23" sqref="B23"/>
    </x:sheetView>
  </x:sheetViews>
  <x:sheetFormatPr defaultColWidth="0" defaultRowHeight="15" customHeight="1" zeroHeight="1"/>
  <x:cols>
    <x:col min="1" max="1" width="6.1796875" style="17" customWidth="1"/>
    <x:col min="2" max="2" width="12.81640625" style="17" customWidth="1"/>
    <x:col min="3" max="4" width="25.81640625" style="17" customWidth="1"/>
    <x:col min="5" max="5" width="37.1796875" style="17" customWidth="1"/>
    <x:col min="6" max="6" width="8.81640625" style="17" customWidth="1"/>
    <x:col min="7" max="16384" width="8.81640625" style="17" hidden="1"/>
  </x:cols>
  <x:sheetData>
    <x:row r="1" spans="1:15" ht="14.5">
      <x:c r="A1" s="25"/>
      <x:c r="B1" s="25"/>
      <x:c r="C1" s="25"/>
      <x:c r="D1" s="25"/>
      <x:c r="E1" s="25"/>
      <x:c r="F1" s="25"/>
    </x:row>
    <x:row r="2" spans="1:15" ht="14.5">
      <x:c r="A2" s="25"/>
      <x:c r="B2" s="25"/>
      <x:c r="C2" s="25"/>
      <x:c r="D2" s="25"/>
      <x:c r="E2" s="25"/>
      <x:c r="F2" s="25"/>
    </x:row>
    <x:row r="3" spans="1:15" ht="14.5">
      <x:c r="A3" s="25"/>
      <x:c r="B3" s="25"/>
      <x:c r="C3" s="25"/>
      <x:c r="D3" s="25"/>
      <x:c r="E3" s="25"/>
      <x:c r="F3" s="25"/>
    </x:row>
    <x:row r="4" spans="1:15" ht="14.5">
      <x:c r="A4" s="25"/>
      <x:c r="B4" s="25"/>
      <x:c r="C4" s="25"/>
      <x:c r="D4" s="25"/>
      <x:c r="E4" s="25"/>
      <x:c r="F4" s="25"/>
    </x:row>
    <x:row r="5" spans="1:15" ht="14.5">
      <x:c r="A5" s="25"/>
      <x:c r="B5" s="25"/>
      <x:c r="C5" s="25"/>
      <x:c r="D5" s="25"/>
      <x:c r="E5" s="25"/>
      <x:c r="F5" s="25"/>
    </x:row>
    <x:row r="6" spans="1:15" ht="14.5">
      <x:c r="A6" s="25"/>
      <x:c r="B6" s="25"/>
      <x:c r="C6" s="25"/>
      <x:c r="D6" s="25"/>
      <x:c r="E6" s="25"/>
      <x:c r="F6" s="25"/>
    </x:row>
    <x:row r="7" spans="1:15" ht="14.5">
      <x:c r="A7" s="25"/>
      <x:c r="B7" s="25"/>
      <x:c r="C7" s="25"/>
      <x:c r="D7" s="25"/>
      <x:c r="E7" s="25"/>
      <x:c r="F7" s="25"/>
    </x:row>
    <x:row r="8" spans="1:15" ht="26">
      <x:c r="A8" s="25"/>
      <x:c r="B8" s="26" t="str">
        <x:f>SpreadsheetName</x:f>
        <x:v>MECC 2023: April Keyboarding Challenge</x:v>
      </x:c>
      <x:c r="C8" s="25"/>
      <x:c r="D8" s="25"/>
      <x:c r="E8" s="25"/>
      <x:c r="F8" s="25"/>
    </x:row>
    <x:row r="9" spans="1:15" ht="14.5">
      <x:c r="A9" s="25"/>
      <x:c r="B9" s="25" t="s">
        <x:v>532</x:v>
      </x:c>
      <x:c r="C9" s="27" t="s">
        <x:v>533</x:v>
      </x:c>
      <x:c r="D9" s="27" t="s">
        <x:v>534</x:v>
      </x:c>
      <x:c r="E9" s="25"/>
      <x:c r="F9" s="25"/>
    </x:row>
    <x:row r="10" spans="1:15" ht="14.5">
      <x:c r="A10" s="25"/>
      <x:c r="B10" s="25"/>
      <x:c r="C10" s="25"/>
      <x:c r="D10" s="25"/>
      <x:c r="E10" s="25"/>
      <x:c r="F10" s="25"/>
    </x:row>
    <x:row r="11" spans="1:15" ht="14.5">
      <x:c r="A11" s="25"/>
      <x:c r="B11" s="28" t="s">
        <x:v>186</x:v>
      </x:c>
      <x:c r="C11" s="25"/>
      <x:c r="D11" s="25"/>
      <x:c r="E11" s="25"/>
      <x:c r="F11" s="25"/>
    </x:row>
    <x:row r="12" spans="1:15" ht="14.5">
      <x:c r="A12" s="25">
        <x:v>1</x:v>
      </x:c>
      <x:c r="B12" s="25" t="s">
        <x:v>187</x:v>
      </x:c>
      <x:c r="C12" s="25"/>
      <x:c r="D12" s="25"/>
      <x:c r="E12" s="25"/>
      <x:c r="F12" s="25"/>
    </x:row>
    <x:row r="13" spans="1:15" ht="14.5">
      <x:c r="A13" s="25">
        <x:v>2</x:v>
      </x:c>
      <x:c r="B13" s="25" t="s">
        <x:v>188</x:v>
      </x:c>
      <x:c r="C13" s="25"/>
      <x:c r="D13" s="25"/>
      <x:c r="E13" s="25"/>
      <x:c r="F13" s="25"/>
    </x:row>
    <x:row r="14" spans="1:15" ht="14.5">
      <x:c r="A14" s="25">
        <x:v>3</x:v>
      </x:c>
      <x:c r="B14" s="25" t="s">
        <x:v>189</x:v>
      </x:c>
      <x:c r="C14" s="25"/>
      <x:c r="D14" s="25"/>
      <x:c r="E14" s="25"/>
      <x:c r="F14" s="25"/>
    </x:row>
    <x:row r="15" spans="1:15" ht="14.5">
      <x:c r="A15" s="25">
        <x:v>4</x:v>
      </x:c>
      <x:c r="B15" s="25" t="s">
        <x:v>190</x:v>
      </x:c>
      <x:c r="C15" s="25"/>
      <x:c r="D15" s="25"/>
      <x:c r="E15" s="25"/>
      <x:c r="F15" s="25"/>
    </x:row>
    <x:row r="16" spans="1:15" ht="14.5">
      <x:c r="A16" s="25">
        <x:v>5</x:v>
      </x:c>
      <x:c r="B16" s="25" t="s">
        <x:v>191</x:v>
      </x:c>
      <x:c r="C16" s="25"/>
      <x:c r="D16" s="25"/>
      <x:c r="E16" s="25"/>
      <x:c r="F16" s="25"/>
      <x:c r="O16" s="29" t="s">
        <x:v>192</x:v>
      </x:c>
    </x:row>
    <x:row r="17" spans="1:15" ht="14.5">
      <x:c r="A17" s="25"/>
      <x:c r="B17" s="25" t="s">
        <x:v>193</x:v>
      </x:c>
      <x:c r="C17" s="25"/>
      <x:c r="D17" s="25"/>
      <x:c r="E17" s="25"/>
      <x:c r="F17" s="25"/>
      <x:c r="O17" s="29" t="s">
        <x:v>192</x:v>
      </x:c>
    </x:row>
    <x:row r="18" spans="1:15" ht="14.5">
      <x:c r="A18" s="25">
        <x:v>6</x:v>
      </x:c>
      <x:c r="B18" s="25" t="s">
        <x:v>194</x:v>
      </x:c>
      <x:c r="C18" s="25"/>
      <x:c r="D18" s="25"/>
      <x:c r="E18" s="25"/>
      <x:c r="F18" s="25"/>
      <x:c r="O18" s="29" t="s">
        <x:v>192</x:v>
      </x:c>
    </x:row>
    <x:row r="19" spans="1:15" ht="14.5">
      <x:c r="A19" s="25"/>
      <x:c r="B19" s="25" t="s">
        <x:v>195</x:v>
      </x:c>
      <x:c r="C19" s="25"/>
      <x:c r="D19" s="25"/>
      <x:c r="E19" s="25"/>
      <x:c r="F19" s="25"/>
      <x:c r="O19" s="29" t="s">
        <x:v>192</x:v>
      </x:c>
    </x:row>
    <x:row r="20" spans="1:15" ht="14.5">
      <x:c r="A20" s="25"/>
      <x:c r="B20" s="25" t="s">
        <x:v>196</x:v>
      </x:c>
      <x:c r="C20" s="25"/>
      <x:c r="D20" s="25"/>
      <x:c r="E20" s="25"/>
      <x:c r="F20" s="25"/>
      <x:c r="O20" s="29" t="s">
        <x:v>192</x:v>
      </x:c>
    </x:row>
    <x:row r="21" spans="1:15" ht="14.5">
      <x:c r="A21" s="25">
        <x:v>7</x:v>
      </x:c>
      <x:c r="B21" s="25" t="s">
        <x:v>197</x:v>
      </x:c>
      <x:c r="C21" s="25"/>
      <x:c r="D21" s="25"/>
      <x:c r="E21" s="25"/>
      <x:c r="F21" s="25"/>
      <x:c r="O21" s="29"/>
    </x:row>
    <x:row r="22" spans="1:15" ht="14.5">
      <x:c r="A22" s="25">
        <x:v>8</x:v>
      </x:c>
      <x:c r="B22" s="25" t="s">
        <x:v>552</x:v>
      </x:c>
      <x:c r="C22" s="25"/>
      <x:c r="D22" s="25"/>
      <x:c r="E22" s="25"/>
      <x:c r="F22" s="25"/>
      <x:c r="O22" s="29"/>
    </x:row>
    <x:row r="23" spans="1:15" ht="14.5">
      <x:c r="A23" s="25"/>
      <x:c r="B23" s="25" t="s">
        <x:v>553</x:v>
      </x:c>
      <x:c r="C23" s="25"/>
      <x:c r="D23" s="25"/>
      <x:c r="E23" s="27" t="s">
        <x:v>537</x:v>
      </x:c>
      <x:c r="F23" s="25"/>
      <x:c r="O23" s="29"/>
    </x:row>
    <x:row r="24" spans="1:15" ht="14.5">
      <x:c r="A24" s="25">
        <x:v>9</x:v>
      </x:c>
      <x:c r="B24" s="25" t="s">
        <x:v>198</x:v>
      </x:c>
      <x:c r="C24" s="25"/>
      <x:c r="D24" s="25"/>
      <x:c r="E24" s="25"/>
      <x:c r="F24" s="25"/>
      <x:c r="O24" s="29" t="s">
        <x:v>192</x:v>
      </x:c>
    </x:row>
    <x:row r="25" spans="1:15" ht="14.5">
      <x:c r="A25" s="25"/>
      <x:c r="B25" s="27" t="s">
        <x:v>539</x:v>
      </x:c>
      <x:c r="C25" s="25"/>
      <x:c r="D25" s="27"/>
      <x:c r="E25" s="25"/>
      <x:c r="F25" s="25"/>
      <x:c r="O25" s="29" t="s">
        <x:v>192</x:v>
      </x:c>
    </x:row>
    <x:row r="26" spans="1:15" ht="14.5">
      <x:c r="A26" s="25"/>
      <x:c r="B26" s="27"/>
      <x:c r="C26" s="25"/>
      <x:c r="D26" s="25"/>
      <x:c r="E26" s="25"/>
      <x:c r="F26" s="25"/>
      <x:c r="O26" s="29"/>
    </x:row>
    <x:row r="27" spans="1:15" ht="14.5">
      <x:c r="A27" s="25"/>
      <x:c r="B27" s="28" t="s">
        <x:v>199</x:v>
      </x:c>
      <x:c r="C27" s="25"/>
      <x:c r="D27" s="25"/>
      <x:c r="E27" s="25"/>
      <x:c r="F27" s="25"/>
      <x:c r="O27" s="29" t="s">
        <x:v>192</x:v>
      </x:c>
    </x:row>
    <x:row r="28" spans="1:15" ht="14.5">
      <x:c r="A28" s="25"/>
      <x:c r="B28" s="25" t="s">
        <x:v>200</x:v>
      </x:c>
      <x:c r="C28" s="25"/>
      <x:c r="D28" s="25"/>
      <x:c r="E28" s="25"/>
      <x:c r="F28" s="25"/>
      <x:c r="O28" s="29" t="s">
        <x:v>192</x:v>
      </x:c>
    </x:row>
    <x:row r="29" spans="1:15" ht="14.5">
      <x:c r="A29" s="25"/>
      <x:c r="B29" s="25"/>
      <x:c r="C29" s="25"/>
      <x:c r="D29" s="25"/>
      <x:c r="E29" s="25"/>
      <x:c r="F29" s="25"/>
      <x:c r="O29" s="29" t="s">
        <x:v>192</x:v>
      </x:c>
    </x:row>
    <x:row r="30" spans="1:15" ht="14.5">
      <x:c r="A30" s="25"/>
      <x:c r="B30" s="25" t="s">
        <x:v>201</x:v>
      </x:c>
      <x:c r="C30" s="25"/>
      <x:c r="D30" s="25"/>
      <x:c r="E30" s="25"/>
      <x:c r="F30" s="25"/>
      <x:c r="O30" s="29" t="s">
        <x:v>192</x:v>
      </x:c>
    </x:row>
    <x:row r="31" spans="1:15" ht="14.5">
      <x:c r="A31" s="25"/>
      <x:c r="B31" s="25"/>
      <x:c r="C31" s="25"/>
      <x:c r="D31" s="25"/>
      <x:c r="E31" s="25"/>
      <x:c r="F31" s="25"/>
      <x:c r="O31" s="29" t="s">
        <x:v>192</x:v>
      </x:c>
    </x:row>
    <x:row r="32" spans="1:15" ht="14.5">
      <x:c r="A32" s="25"/>
      <x:c r="B32" s="25" t="s">
        <x:v>202</x:v>
      </x:c>
      <x:c r="C32" s="25"/>
      <x:c r="D32" s="25"/>
      <x:c r="E32" s="25"/>
      <x:c r="F32" s="25"/>
      <x:c r="O32" s="29" t="s">
        <x:v>192</x:v>
      </x:c>
    </x:row>
    <x:row r="33" spans="1:15" ht="14.5">
      <x:c r="A33" s="25"/>
      <x:c r="B33" s="25"/>
      <x:c r="C33" s="25"/>
      <x:c r="D33" s="25"/>
      <x:c r="E33" s="25"/>
      <x:c r="F33" s="25"/>
      <x:c r="O33" s="29" t="s">
        <x:v>192</x:v>
      </x:c>
    </x:row>
    <x:row r="34" spans="1:15" ht="14.5">
      <x:c r="A34" s="25"/>
      <x:c r="B34" s="25"/>
      <x:c r="C34" s="25"/>
      <x:c r="D34" s="25"/>
      <x:c r="E34" s="25"/>
      <x:c r="F34" s="25"/>
      <x:c r="O34" s="29" t="s">
        <x:v>192</x:v>
      </x:c>
    </x:row>
    <x:row r="35" spans="1:15" ht="14.5">
      <x:c r="A35" s="25"/>
      <x:c r="B35" s="25"/>
      <x:c r="C35" s="25"/>
      <x:c r="D35" s="25"/>
      <x:c r="E35" s="25"/>
      <x:c r="F35" s="25"/>
      <x:c r="O35" s="29" t="s">
        <x:v>192</x:v>
      </x:c>
    </x:row>
    <x:row r="36" spans="1:15" ht="14.5">
      <x:c r="A36" s="25"/>
      <x:c r="B36" s="25"/>
      <x:c r="C36" s="25"/>
      <x:c r="D36" s="25"/>
      <x:c r="E36" s="25"/>
      <x:c r="F36" s="25"/>
      <x:c r="O36" s="29" t="s">
        <x:v>192</x:v>
      </x:c>
    </x:row>
    <x:row r="37" spans="1:15" ht="14.5" hidden="1">
      <x:c r="O37" s="29" t="s">
        <x:v>192</x:v>
      </x:c>
    </x:row>
    <x:row r="38" spans="1:15" ht="14.5" hidden="1">
      <x:c r="O38" s="29" t="s">
        <x:v>192</x:v>
      </x:c>
    </x:row>
    <x:row r="39" spans="1:15" ht="14.5" hidden="1">
      <x:c r="O39" s="29" t="s">
        <x:v>192</x:v>
      </x:c>
    </x:row>
    <x:row r="40" spans="1:15" ht="14.5" hidden="1">
      <x:c r="O40" s="29" t="s">
        <x:v>192</x:v>
      </x:c>
    </x:row>
    <x:row r="41" spans="1:15" ht="14.5" hidden="1">
      <x:c r="O41" s="29" t="s">
        <x:v>192</x:v>
      </x:c>
    </x:row>
    <x:row r="42" spans="1:15" ht="14.5" hidden="1">
      <x:c r="O42" s="29" t="s">
        <x:v>192</x:v>
      </x:c>
    </x:row>
    <x:row r="43" spans="1:15" ht="14.5" hidden="1">
      <x:c r="O43" s="29" t="s">
        <x:v>192</x:v>
      </x:c>
    </x:row>
    <x:row r="44" spans="1:15" ht="14.5" hidden="1">
      <x:c r="O44" s="29" t="s">
        <x:v>192</x:v>
      </x:c>
    </x:row>
    <x:row r="45" spans="1:15" ht="14.5" hidden="1">
      <x:c r="O45" s="29" t="s">
        <x:v>192</x:v>
      </x:c>
    </x:row>
    <x:row r="46" spans="1:15" ht="14.5" hidden="1">
      <x:c r="O46" s="29" t="s">
        <x:v>192</x:v>
      </x:c>
    </x:row>
    <x:row r="47" spans="1:15" ht="14.5" hidden="1">
      <x:c r="O47" s="29" t="s">
        <x:v>192</x:v>
      </x:c>
    </x:row>
    <x:row r="48" spans="1:15" ht="14.5" hidden="1">
      <x:c r="O48" s="29" t="s">
        <x:v>192</x:v>
      </x:c>
    </x:row>
    <x:row r="49" spans="15:15" ht="14.5" hidden="1">
      <x:c r="O49" s="29" t="s">
        <x:v>192</x:v>
      </x:c>
    </x:row>
    <x:row r="50" spans="15:15" ht="14.5" hidden="1">
      <x:c r="O50" s="29" t="s">
        <x:v>192</x:v>
      </x:c>
    </x:row>
    <x:row r="51" spans="15:15" ht="14.5" hidden="1">
      <x:c r="O51" s="29" t="s">
        <x:v>192</x:v>
      </x:c>
    </x:row>
    <x:row r="52" spans="15:15" ht="14.5" hidden="1">
      <x:c r="O52" s="29" t="s">
        <x:v>192</x:v>
      </x:c>
    </x:row>
    <x:row r="53" spans="15:15" ht="14.5" hidden="1">
      <x:c r="O53" s="29" t="s">
        <x:v>192</x:v>
      </x:c>
    </x:row>
    <x:row r="54" spans="15:15" ht="14.5" hidden="1">
      <x:c r="O54" s="29" t="s">
        <x:v>192</x:v>
      </x:c>
    </x:row>
    <x:row r="55" spans="15:15" ht="14.5" hidden="1">
      <x:c r="O55" s="29" t="s">
        <x:v>192</x:v>
      </x:c>
    </x:row>
    <x:row r="56" spans="15:15" ht="14.5" hidden="1">
      <x:c r="O56" s="29" t="s">
        <x:v>192</x:v>
      </x:c>
    </x:row>
    <x:row r="57" spans="15:15" ht="14.5" hidden="1">
      <x:c r="O57" s="29" t="s">
        <x:v>192</x:v>
      </x:c>
    </x:row>
    <x:row r="58" spans="15:15" ht="14.5" hidden="1">
      <x:c r="O58" s="29" t="s">
        <x:v>192</x:v>
      </x:c>
    </x:row>
    <x:row r="59" spans="15:15" ht="14.5" hidden="1">
      <x:c r="O59" s="29" t="s">
        <x:v>192</x:v>
      </x:c>
    </x:row>
    <x:row r="60" spans="15:15" ht="14.5" hidden="1">
      <x:c r="O60" s="29" t="s">
        <x:v>192</x:v>
      </x:c>
    </x:row>
    <x:row r="61" spans="15:15" ht="14.5" hidden="1">
      <x:c r="O61" s="29" t="s">
        <x:v>192</x:v>
      </x:c>
    </x:row>
    <x:row r="62" spans="15:15" ht="14.5" hidden="1">
      <x:c r="O62" s="29" t="s">
        <x:v>192</x:v>
      </x:c>
    </x:row>
    <x:row r="63" spans="15:15" ht="14.5" hidden="1">
      <x:c r="O63" s="29" t="s">
        <x:v>192</x:v>
      </x:c>
    </x:row>
    <x:row r="64" spans="15:15" ht="14.5" hidden="1">
      <x:c r="O64" s="29" t="s">
        <x:v>192</x:v>
      </x:c>
    </x:row>
    <x:row r="65" spans="15:15" ht="14.5" hidden="1">
      <x:c r="O65" s="29" t="s">
        <x:v>192</x:v>
      </x:c>
    </x:row>
    <x:row r="66" spans="15:15" ht="14.5" hidden="1">
      <x:c r="O66" s="29" t="s">
        <x:v>192</x:v>
      </x:c>
    </x:row>
    <x:row r="67" spans="15:15" ht="14.5" hidden="1">
      <x:c r="O67" s="29" t="s">
        <x:v>192</x:v>
      </x:c>
    </x:row>
    <x:row r="68" spans="15:15" ht="14.5" hidden="1">
      <x:c r="O68" s="29" t="s">
        <x:v>192</x:v>
      </x:c>
    </x:row>
    <x:row r="69" spans="15:15" ht="14.5" hidden="1">
      <x:c r="O69" s="29" t="s">
        <x:v>192</x:v>
      </x:c>
    </x:row>
    <x:row r="70" spans="15:15" ht="14.5" hidden="1">
      <x:c r="O70" s="29" t="s">
        <x:v>192</x:v>
      </x:c>
    </x:row>
    <x:row r="71" spans="15:15" ht="14.5" hidden="1">
      <x:c r="O71" s="29" t="s">
        <x:v>192</x:v>
      </x:c>
    </x:row>
    <x:row r="72" spans="15:15" ht="14.5" hidden="1">
      <x:c r="O72" s="29" t="s">
        <x:v>192</x:v>
      </x:c>
    </x:row>
    <x:row r="73" spans="15:15" ht="14.5" hidden="1">
      <x:c r="O73" s="29" t="s">
        <x:v>192</x:v>
      </x:c>
    </x:row>
    <x:row r="74" spans="15:15" ht="14.5" hidden="1">
      <x:c r="O74" s="29" t="s">
        <x:v>192</x:v>
      </x:c>
    </x:row>
    <x:row r="75" spans="15:15" ht="14.5" hidden="1">
      <x:c r="O75" s="29" t="s">
        <x:v>192</x:v>
      </x:c>
    </x:row>
    <x:row r="76" spans="15:15" ht="14.5" hidden="1">
      <x:c r="O76" s="29" t="s">
        <x:v>192</x:v>
      </x:c>
    </x:row>
    <x:row r="77" spans="15:15" ht="14.5" hidden="1">
      <x:c r="O77" s="29" t="s">
        <x:v>192</x:v>
      </x:c>
    </x:row>
    <x:row r="78" spans="15:15" ht="14.5" hidden="1">
      <x:c r="O78" s="29" t="s">
        <x:v>192</x:v>
      </x:c>
    </x:row>
    <x:row r="79" spans="15:15" ht="14.5" hidden="1">
      <x:c r="O79" s="29" t="s">
        <x:v>192</x:v>
      </x:c>
    </x:row>
    <x:row r="80" spans="15:15" ht="14.5" hidden="1">
      <x:c r="O80" s="29" t="s">
        <x:v>192</x:v>
      </x:c>
    </x:row>
    <x:row r="81" spans="15:15" ht="14.5" hidden="1">
      <x:c r="O81" s="29" t="s">
        <x:v>192</x:v>
      </x:c>
    </x:row>
    <x:row r="82" spans="15:15" ht="14.5" hidden="1">
      <x:c r="O82" s="29" t="s">
        <x:v>192</x:v>
      </x:c>
    </x:row>
    <x:row r="83" spans="15:15" ht="14.5" hidden="1">
      <x:c r="O83" s="29" t="s">
        <x:v>192</x:v>
      </x:c>
    </x:row>
    <x:row r="84" spans="15:15" ht="14.5" hidden="1">
      <x:c r="O84" s="29" t="s">
        <x:v>192</x:v>
      </x:c>
    </x:row>
    <x:row r="85" spans="15:15" ht="14.5" hidden="1">
      <x:c r="O85" s="29" t="s">
        <x:v>192</x:v>
      </x:c>
    </x:row>
    <x:row r="86" spans="15:15" ht="14.5" hidden="1">
      <x:c r="O86" s="29" t="s">
        <x:v>192</x:v>
      </x:c>
    </x:row>
    <x:row r="87" spans="15:15" ht="14.5" hidden="1">
      <x:c r="O87" s="29" t="s">
        <x:v>192</x:v>
      </x:c>
    </x:row>
    <x:row r="88" spans="15:15" ht="14.5" hidden="1">
      <x:c r="O88" s="29" t="s">
        <x:v>192</x:v>
      </x:c>
    </x:row>
    <x:row r="89" spans="15:15" ht="14.5" hidden="1">
      <x:c r="O89" s="29" t="s">
        <x:v>192</x:v>
      </x:c>
    </x:row>
    <x:row r="90" spans="15:15" ht="14.5" hidden="1">
      <x:c r="O90" s="29" t="s">
        <x:v>192</x:v>
      </x:c>
    </x:row>
    <x:row r="91" spans="15:15" ht="14.5" hidden="1">
      <x:c r="O91" s="29" t="s">
        <x:v>192</x:v>
      </x:c>
    </x:row>
    <x:row r="92" spans="15:15" ht="14.5" hidden="1">
      <x:c r="O92" s="29" t="s">
        <x:v>192</x:v>
      </x:c>
    </x:row>
    <x:row r="93" spans="15:15" ht="14.5" hidden="1">
      <x:c r="O93" s="29" t="s">
        <x:v>192</x:v>
      </x:c>
    </x:row>
    <x:row r="94" spans="15:15" ht="14.5" hidden="1">
      <x:c r="O94" s="29" t="s">
        <x:v>192</x:v>
      </x:c>
    </x:row>
    <x:row r="95" spans="15:15" ht="14.5" hidden="1">
      <x:c r="O95" s="29" t="s">
        <x:v>192</x:v>
      </x:c>
    </x:row>
    <x:row r="96" spans="15:15" ht="14.5" hidden="1">
      <x:c r="O96" s="29" t="s">
        <x:v>192</x:v>
      </x:c>
    </x:row>
    <x:row r="97" spans="15:15" ht="14.5" hidden="1">
      <x:c r="O97" s="29" t="s">
        <x:v>192</x:v>
      </x:c>
    </x:row>
    <x:row r="98" spans="15:15" ht="14.5" hidden="1">
      <x:c r="O98" s="29" t="s">
        <x:v>192</x:v>
      </x:c>
    </x:row>
    <x:row r="99" spans="15:15" ht="14.5" hidden="1">
      <x:c r="O99" s="29" t="s">
        <x:v>192</x:v>
      </x:c>
    </x:row>
    <x:row r="100" spans="15:15" ht="14.5" hidden="1">
      <x:c r="O100" s="29" t="s">
        <x:v>192</x:v>
      </x:c>
    </x:row>
    <x:row r="101" spans="15:15" ht="14.5" hidden="1">
      <x:c r="O101" s="29" t="s">
        <x:v>192</x:v>
      </x:c>
    </x:row>
    <x:row r="102" spans="15:15" ht="14.5" hidden="1">
      <x:c r="O102" s="29" t="s">
        <x:v>192</x:v>
      </x:c>
    </x:row>
    <x:row r="103" spans="15:15" ht="14.5" hidden="1">
      <x:c r="O103" s="29" t="s">
        <x:v>192</x:v>
      </x:c>
    </x:row>
    <x:row r="104" spans="15:15" ht="14.5" hidden="1">
      <x:c r="O104" s="29" t="s">
        <x:v>192</x:v>
      </x:c>
    </x:row>
    <x:row r="105" spans="15:15" ht="14.5" hidden="1">
      <x:c r="O105" s="29" t="s">
        <x:v>192</x:v>
      </x:c>
    </x:row>
    <x:row r="106" spans="15:15" ht="14.5" hidden="1">
      <x:c r="O106" s="29" t="s">
        <x:v>192</x:v>
      </x:c>
    </x:row>
    <x:row r="107" spans="15:15" ht="14.5" hidden="1">
      <x:c r="O107" s="29" t="s">
        <x:v>192</x:v>
      </x:c>
    </x:row>
    <x:row r="108" spans="15:15" ht="14.5" hidden="1">
      <x:c r="O108" s="29" t="s">
        <x:v>192</x:v>
      </x:c>
    </x:row>
    <x:row r="109" spans="15:15" ht="14.5" hidden="1">
      <x:c r="O109" s="29" t="s">
        <x:v>192</x:v>
      </x:c>
    </x:row>
    <x:row r="110" spans="15:15" ht="14.5" hidden="1">
      <x:c r="O110" s="29" t="s">
        <x:v>192</x:v>
      </x:c>
    </x:row>
    <x:row r="111" spans="15:15" ht="14.5" hidden="1">
      <x:c r="O111" s="29" t="s">
        <x:v>192</x:v>
      </x:c>
    </x:row>
    <x:row r="112" spans="15:15" ht="14.5" hidden="1">
      <x:c r="O112" s="29" t="s">
        <x:v>192</x:v>
      </x:c>
    </x:row>
    <x:row r="113" spans="15:15" ht="14.5" hidden="1">
      <x:c r="O113" s="29" t="s">
        <x:v>192</x:v>
      </x:c>
    </x:row>
    <x:row r="114" spans="15:15" ht="14.5" hidden="1">
      <x:c r="O114" s="29" t="s">
        <x:v>192</x:v>
      </x:c>
    </x:row>
    <x:row r="115" spans="15:15" ht="14.5" hidden="1">
      <x:c r="O115" s="29" t="s">
        <x:v>192</x:v>
      </x:c>
    </x:row>
    <x:row r="116" spans="15:15" ht="14.5" hidden="1">
      <x:c r="O116" s="29" t="s">
        <x:v>192</x:v>
      </x:c>
    </x:row>
    <x:row r="117" spans="15:15" ht="14.5" hidden="1">
      <x:c r="O117" s="29" t="s">
        <x:v>192</x:v>
      </x:c>
    </x:row>
    <x:row r="118" spans="15:15" ht="14.5" hidden="1">
      <x:c r="O118" s="29" t="s">
        <x:v>192</x:v>
      </x:c>
    </x:row>
    <x:row r="119" spans="15:15" ht="14.5" hidden="1">
      <x:c r="O119" s="29" t="s">
        <x:v>192</x:v>
      </x:c>
    </x:row>
    <x:row r="120" spans="15:15" ht="14.5" hidden="1">
      <x:c r="O120" s="29" t="s">
        <x:v>192</x:v>
      </x:c>
    </x:row>
    <x:row r="121" spans="15:15" ht="14.5" hidden="1">
      <x:c r="O121" s="29" t="s">
        <x:v>192</x:v>
      </x:c>
    </x:row>
    <x:row r="122" spans="15:15" ht="14.5" hidden="1">
      <x:c r="O122" s="29" t="s">
        <x:v>192</x:v>
      </x:c>
    </x:row>
    <x:row r="123" spans="15:15" ht="14.5" hidden="1">
      <x:c r="O123" s="29" t="s">
        <x:v>192</x:v>
      </x:c>
    </x:row>
    <x:row r="124" spans="15:15" ht="14.5" hidden="1">
      <x:c r="O124" s="29" t="s">
        <x:v>192</x:v>
      </x:c>
    </x:row>
    <x:row r="125" spans="15:15" ht="14.5" hidden="1">
      <x:c r="O125" s="29" t="s">
        <x:v>192</x:v>
      </x:c>
    </x:row>
    <x:row r="126" spans="15:15" ht="14.5" hidden="1">
      <x:c r="O126" s="29" t="s">
        <x:v>192</x:v>
      </x:c>
    </x:row>
    <x:row r="127" spans="15:15" ht="14.5" hidden="1">
      <x:c r="O127" s="29" t="s">
        <x:v>192</x:v>
      </x:c>
    </x:row>
    <x:row r="128" spans="15:15" ht="14.5" hidden="1">
      <x:c r="O128" s="29" t="s">
        <x:v>192</x:v>
      </x:c>
    </x:row>
    <x:row r="129" spans="15:15" ht="14.5" hidden="1">
      <x:c r="O129" s="29" t="s">
        <x:v>192</x:v>
      </x:c>
    </x:row>
    <x:row r="130" spans="15:15" ht="14.5" hidden="1">
      <x:c r="O130" s="29" t="s">
        <x:v>192</x:v>
      </x:c>
    </x:row>
    <x:row r="131" spans="15:15" ht="14.5" hidden="1">
      <x:c r="O131" s="29" t="s">
        <x:v>192</x:v>
      </x:c>
    </x:row>
    <x:row r="132" spans="15:15" ht="14.5" hidden="1">
      <x:c r="O132" s="29" t="s">
        <x:v>192</x:v>
      </x:c>
    </x:row>
    <x:row r="133" spans="15:15" ht="14.5" hidden="1">
      <x:c r="O133" s="29" t="s">
        <x:v>192</x:v>
      </x:c>
    </x:row>
    <x:row r="134" spans="15:15" ht="14.5" hidden="1">
      <x:c r="O134" s="29" t="s">
        <x:v>192</x:v>
      </x:c>
    </x:row>
    <x:row r="135" spans="15:15" ht="14.5" hidden="1">
      <x:c r="O135" s="29" t="s">
        <x:v>192</x:v>
      </x:c>
    </x:row>
    <x:row r="136" spans="15:15" ht="14.5" hidden="1">
      <x:c r="O136" s="29" t="s">
        <x:v>192</x:v>
      </x:c>
    </x:row>
    <x:row r="137" spans="15:15" ht="14.5" hidden="1">
      <x:c r="O137" s="29" t="s">
        <x:v>192</x:v>
      </x:c>
    </x:row>
    <x:row r="138" spans="15:15" ht="14.5" hidden="1">
      <x:c r="O138" s="29" t="s">
        <x:v>192</x:v>
      </x:c>
    </x:row>
    <x:row r="139" spans="15:15" ht="14.5" hidden="1">
      <x:c r="O139" s="29" t="s">
        <x:v>192</x:v>
      </x:c>
    </x:row>
    <x:row r="140" spans="15:15" ht="14.5" hidden="1">
      <x:c r="O140" s="29" t="s">
        <x:v>192</x:v>
      </x:c>
    </x:row>
    <x:row r="141" spans="15:15" ht="14.5" hidden="1">
      <x:c r="O141" s="29" t="s">
        <x:v>192</x:v>
      </x:c>
    </x:row>
    <x:row r="142" spans="15:15" ht="14.5" hidden="1">
      <x:c r="O142" s="29" t="s">
        <x:v>192</x:v>
      </x:c>
    </x:row>
    <x:row r="143" spans="15:15" ht="14.5" hidden="1">
      <x:c r="O143" s="29" t="s">
        <x:v>192</x:v>
      </x:c>
    </x:row>
    <x:row r="144" spans="15:15" ht="14.5" hidden="1">
      <x:c r="O144" s="29" t="s">
        <x:v>192</x:v>
      </x:c>
    </x:row>
    <x:row r="145" spans="15:15" ht="14.5" hidden="1">
      <x:c r="O145" s="29" t="s">
        <x:v>192</x:v>
      </x:c>
    </x:row>
    <x:row r="146" spans="15:15" ht="14.5" hidden="1">
      <x:c r="O146" s="29" t="s">
        <x:v>192</x:v>
      </x:c>
    </x:row>
    <x:row r="147" spans="15:15" ht="14.5" hidden="1">
      <x:c r="O147" s="29" t="s">
        <x:v>192</x:v>
      </x:c>
    </x:row>
    <x:row r="148" spans="15:15" ht="14.5" hidden="1">
      <x:c r="O148" s="29" t="s">
        <x:v>192</x:v>
      </x:c>
    </x:row>
    <x:row r="149" spans="15:15" ht="14.5" hidden="1">
      <x:c r="O149" s="29" t="s">
        <x:v>192</x:v>
      </x:c>
    </x:row>
    <x:row r="150" spans="15:15" ht="14.5" hidden="1">
      <x:c r="O150" s="29" t="s">
        <x:v>192</x:v>
      </x:c>
    </x:row>
    <x:row r="151" spans="15:15" ht="14.5" hidden="1">
      <x:c r="O151" s="29" t="s">
        <x:v>192</x:v>
      </x:c>
    </x:row>
    <x:row r="152" spans="15:15" ht="14.5" hidden="1">
      <x:c r="O152" s="29" t="s">
        <x:v>192</x:v>
      </x:c>
    </x:row>
    <x:row r="153" spans="15:15" ht="14.5" hidden="1">
      <x:c r="O153" s="29" t="s">
        <x:v>192</x:v>
      </x:c>
    </x:row>
    <x:row r="154" spans="15:15" ht="14.5" hidden="1">
      <x:c r="O154" s="29" t="s">
        <x:v>192</x:v>
      </x:c>
    </x:row>
    <x:row r="155" spans="15:15" ht="14.5" hidden="1">
      <x:c r="O155" s="29" t="s">
        <x:v>192</x:v>
      </x:c>
    </x:row>
    <x:row r="156" spans="15:15" ht="14.5" hidden="1">
      <x:c r="O156" s="29" t="s">
        <x:v>192</x:v>
      </x:c>
    </x:row>
    <x:row r="157" spans="15:15" ht="14.5" hidden="1">
      <x:c r="O157" s="29" t="s">
        <x:v>192</x:v>
      </x:c>
    </x:row>
    <x:row r="158" spans="15:15" ht="14.5" hidden="1">
      <x:c r="O158" s="29" t="s">
        <x:v>192</x:v>
      </x:c>
    </x:row>
    <x:row r="159" spans="15:15" ht="14.5" hidden="1">
      <x:c r="O159" s="29" t="s">
        <x:v>192</x:v>
      </x:c>
    </x:row>
    <x:row r="160" spans="15:15" ht="14.5" hidden="1">
      <x:c r="O160" s="29" t="s">
        <x:v>192</x:v>
      </x:c>
    </x:row>
    <x:row r="161" spans="15:15" ht="14.5" hidden="1">
      <x:c r="O161" s="29" t="s">
        <x:v>192</x:v>
      </x:c>
    </x:row>
    <x:row r="162" spans="15:15" ht="14.5" hidden="1">
      <x:c r="O162" s="29" t="s">
        <x:v>192</x:v>
      </x:c>
    </x:row>
    <x:row r="163" spans="15:15" ht="14.5" hidden="1">
      <x:c r="O163" s="29" t="s">
        <x:v>192</x:v>
      </x:c>
    </x:row>
    <x:row r="164" spans="15:15" ht="14.5" hidden="1">
      <x:c r="O164" s="29" t="s">
        <x:v>192</x:v>
      </x:c>
    </x:row>
    <x:row r="165" spans="15:15" ht="14.5" hidden="1">
      <x:c r="O165" s="29" t="s">
        <x:v>192</x:v>
      </x:c>
    </x:row>
    <x:row r="166" spans="15:15" ht="14.5" hidden="1">
      <x:c r="O166" s="29" t="s">
        <x:v>192</x:v>
      </x:c>
    </x:row>
    <x:row r="167" spans="15:15" ht="14.5" hidden="1">
      <x:c r="O167" s="29" t="s">
        <x:v>192</x:v>
      </x:c>
    </x:row>
    <x:row r="168" spans="15:15" ht="14.5" hidden="1">
      <x:c r="O168" s="29" t="s">
        <x:v>192</x:v>
      </x:c>
    </x:row>
    <x:row r="169" spans="15:15" ht="14.5" hidden="1">
      <x:c r="O169" s="29" t="s">
        <x:v>192</x:v>
      </x:c>
    </x:row>
    <x:row r="170" spans="15:15" ht="14.5" hidden="1">
      <x:c r="O170" s="29" t="s">
        <x:v>192</x:v>
      </x:c>
    </x:row>
    <x:row r="171" spans="15:15" ht="14.5" hidden="1">
      <x:c r="O171" s="29" t="s">
        <x:v>192</x:v>
      </x:c>
    </x:row>
    <x:row r="172" spans="15:15" ht="14.5" hidden="1">
      <x:c r="O172" s="29" t="s">
        <x:v>192</x:v>
      </x:c>
    </x:row>
    <x:row r="173" spans="15:15" ht="14.5" hidden="1">
      <x:c r="O173" s="29" t="s">
        <x:v>192</x:v>
      </x:c>
    </x:row>
    <x:row r="174" spans="15:15" ht="14.5" hidden="1">
      <x:c r="O174" s="29" t="s">
        <x:v>192</x:v>
      </x:c>
    </x:row>
    <x:row r="175" spans="15:15" ht="14.5" hidden="1">
      <x:c r="O175" s="29" t="s">
        <x:v>192</x:v>
      </x:c>
    </x:row>
    <x:row r="176" spans="15:15" ht="14.5" hidden="1">
      <x:c r="O176" s="29" t="s">
        <x:v>192</x:v>
      </x:c>
    </x:row>
    <x:row r="177" spans="15:15" ht="14.5" hidden="1">
      <x:c r="O177" s="29" t="s">
        <x:v>192</x:v>
      </x:c>
    </x:row>
    <x:row r="178" spans="15:15" ht="14.5" hidden="1">
      <x:c r="O178" s="29" t="s">
        <x:v>192</x:v>
      </x:c>
    </x:row>
    <x:row r="179" spans="15:15" ht="14.5" hidden="1">
      <x:c r="O179" s="29" t="s">
        <x:v>192</x:v>
      </x:c>
    </x:row>
    <x:row r="180" spans="15:15" ht="14.5" hidden="1">
      <x:c r="O180" s="29" t="s">
        <x:v>192</x:v>
      </x:c>
    </x:row>
    <x:row r="181" spans="15:15" ht="14.5" hidden="1">
      <x:c r="O181" s="29" t="s">
        <x:v>192</x:v>
      </x:c>
    </x:row>
    <x:row r="182" spans="15:15" ht="14.5" hidden="1">
      <x:c r="O182" s="29" t="s">
        <x:v>192</x:v>
      </x:c>
    </x:row>
    <x:row r="183" spans="15:15" ht="14.5" hidden="1">
      <x:c r="O183" s="29" t="s">
        <x:v>192</x:v>
      </x:c>
    </x:row>
    <x:row r="184" spans="15:15" ht="14.5" hidden="1">
      <x:c r="O184" s="29" t="s">
        <x:v>192</x:v>
      </x:c>
    </x:row>
    <x:row r="185" spans="15:15" ht="14.5" hidden="1">
      <x:c r="O185" s="29" t="s">
        <x:v>192</x:v>
      </x:c>
    </x:row>
    <x:row r="186" spans="15:15" ht="14.5" hidden="1">
      <x:c r="O186" s="29" t="s">
        <x:v>192</x:v>
      </x:c>
    </x:row>
    <x:row r="187" spans="15:15" ht="14.5" hidden="1">
      <x:c r="O187" s="29" t="s">
        <x:v>192</x:v>
      </x:c>
    </x:row>
    <x:row r="188" spans="15:15" ht="14.5" hidden="1">
      <x:c r="O188" s="29" t="s">
        <x:v>192</x:v>
      </x:c>
    </x:row>
    <x:row r="189" spans="15:15" ht="14.5" hidden="1">
      <x:c r="O189" s="29" t="s">
        <x:v>192</x:v>
      </x:c>
    </x:row>
    <x:row r="190" spans="15:15" ht="14.5" hidden="1">
      <x:c r="O190" s="29" t="s">
        <x:v>192</x:v>
      </x:c>
    </x:row>
    <x:row r="191" spans="15:15" ht="14.5" hidden="1">
      <x:c r="O191" s="29" t="s">
        <x:v>192</x:v>
      </x:c>
    </x:row>
    <x:row r="192" spans="15:15" ht="14.5" hidden="1">
      <x:c r="O192" s="29" t="s">
        <x:v>192</x:v>
      </x:c>
    </x:row>
    <x:row r="193" spans="15:15" ht="14.5" hidden="1">
      <x:c r="O193" s="29" t="s">
        <x:v>192</x:v>
      </x:c>
    </x:row>
    <x:row r="194" spans="15:15" ht="14.5" hidden="1">
      <x:c r="O194" s="29" t="s">
        <x:v>192</x:v>
      </x:c>
    </x:row>
    <x:row r="195" spans="15:15" ht="14.5" hidden="1">
      <x:c r="O195" s="29" t="s">
        <x:v>192</x:v>
      </x:c>
    </x:row>
    <x:row r="196" spans="15:15" ht="14.5" hidden="1">
      <x:c r="O196" s="29" t="s">
        <x:v>192</x:v>
      </x:c>
    </x:row>
    <x:row r="197" spans="15:15" ht="14.5" hidden="1">
      <x:c r="O197" s="29" t="s">
        <x:v>192</x:v>
      </x:c>
    </x:row>
    <x:row r="198" spans="15:15" ht="14.5" hidden="1">
      <x:c r="O198" s="29" t="s">
        <x:v>192</x:v>
      </x:c>
    </x:row>
    <x:row r="199" spans="15:15" ht="14.5" hidden="1">
      <x:c r="O199" s="29" t="s">
        <x:v>192</x:v>
      </x:c>
    </x:row>
    <x:row r="200" spans="15:15" ht="14.5" hidden="1">
      <x:c r="O200" s="29" t="s">
        <x:v>192</x:v>
      </x:c>
    </x:row>
    <x:row r="201" spans="15:15" ht="14.5" hidden="1">
      <x:c r="O201" s="29" t="s">
        <x:v>192</x:v>
      </x:c>
    </x:row>
    <x:row r="202" spans="15:15" ht="14.5" hidden="1">
      <x:c r="O202" s="29" t="s">
        <x:v>192</x:v>
      </x:c>
    </x:row>
    <x:row r="203" spans="15:15" ht="14.5" hidden="1">
      <x:c r="O203" s="29" t="s">
        <x:v>192</x:v>
      </x:c>
    </x:row>
    <x:row r="204" spans="15:15" ht="14.5" hidden="1">
      <x:c r="O204" s="29" t="s">
        <x:v>192</x:v>
      </x:c>
    </x:row>
    <x:row r="205" spans="15:15" ht="14.5" hidden="1">
      <x:c r="O205" s="29" t="s">
        <x:v>192</x:v>
      </x:c>
    </x:row>
    <x:row r="206" spans="15:15" ht="14.5" hidden="1">
      <x:c r="O206" s="29" t="s">
        <x:v>192</x:v>
      </x:c>
    </x:row>
    <x:row r="207" spans="15:15" ht="14.5" hidden="1">
      <x:c r="O207" s="29" t="s">
        <x:v>192</x:v>
      </x:c>
    </x:row>
    <x:row r="208" spans="15:15" ht="14.5" hidden="1">
      <x:c r="O208" s="29" t="s">
        <x:v>192</x:v>
      </x:c>
    </x:row>
    <x:row r="209" spans="15:15" ht="14.5" hidden="1">
      <x:c r="O209" s="29" t="s">
        <x:v>192</x:v>
      </x:c>
    </x:row>
    <x:row r="210" spans="15:15" ht="14.5" hidden="1">
      <x:c r="O210" s="29" t="s">
        <x:v>192</x:v>
      </x:c>
    </x:row>
    <x:row r="211" spans="15:15" ht="14.5" hidden="1">
      <x:c r="O211" s="29" t="s">
        <x:v>192</x:v>
      </x:c>
    </x:row>
    <x:row r="212" spans="15:15" ht="14.5" hidden="1">
      <x:c r="O212" s="29" t="s">
        <x:v>192</x:v>
      </x:c>
    </x:row>
    <x:row r="213" spans="15:15" ht="14.5" hidden="1">
      <x:c r="O213" s="29" t="s">
        <x:v>192</x:v>
      </x:c>
    </x:row>
    <x:row r="214" spans="15:15" ht="14.5" hidden="1">
      <x:c r="O214" s="29" t="s">
        <x:v>192</x:v>
      </x:c>
    </x:row>
    <x:row r="215" spans="15:15" ht="14.5" hidden="1">
      <x:c r="O215" s="29" t="s">
        <x:v>192</x:v>
      </x:c>
    </x:row>
    <x:row r="216" spans="15:15" ht="14.5" hidden="1">
      <x:c r="O216" s="29" t="s">
        <x:v>192</x:v>
      </x:c>
    </x:row>
    <x:row r="217" spans="15:15" ht="14.5" hidden="1">
      <x:c r="O217" s="29" t="s">
        <x:v>192</x:v>
      </x:c>
    </x:row>
    <x:row r="218" spans="15:15" ht="14.5" hidden="1">
      <x:c r="O218" s="29" t="s">
        <x:v>192</x:v>
      </x:c>
    </x:row>
    <x:row r="219" spans="15:15" ht="14.5" hidden="1">
      <x:c r="O219" s="29" t="s">
        <x:v>192</x:v>
      </x:c>
    </x:row>
    <x:row r="220" spans="15:15" ht="14.5" hidden="1">
      <x:c r="O220" s="29" t="s">
        <x:v>192</x:v>
      </x:c>
    </x:row>
    <x:row r="221" spans="15:15" ht="14.5" hidden="1">
      <x:c r="O221" s="29" t="s">
        <x:v>192</x:v>
      </x:c>
    </x:row>
    <x:row r="222" spans="15:15" ht="14.5" hidden="1">
      <x:c r="O222" s="29" t="s">
        <x:v>192</x:v>
      </x:c>
    </x:row>
    <x:row r="223" spans="15:15" ht="14.5" hidden="1">
      <x:c r="O223" s="29" t="s">
        <x:v>192</x:v>
      </x:c>
    </x:row>
    <x:row r="224" spans="15:15" ht="14.5" hidden="1">
      <x:c r="O224" s="29" t="s">
        <x:v>192</x:v>
      </x:c>
    </x:row>
    <x:row r="225" spans="15:15" ht="14.5" hidden="1">
      <x:c r="O225" s="29" t="s">
        <x:v>192</x:v>
      </x:c>
    </x:row>
    <x:row r="226" spans="15:15" ht="14.5" hidden="1">
      <x:c r="O226" s="29" t="s">
        <x:v>192</x:v>
      </x:c>
    </x:row>
    <x:row r="227" spans="15:15" ht="14.5" hidden="1">
      <x:c r="O227" s="29" t="s">
        <x:v>192</x:v>
      </x:c>
    </x:row>
    <x:row r="228" spans="15:15" ht="14.5" hidden="1">
      <x:c r="O228" s="29" t="s">
        <x:v>192</x:v>
      </x:c>
    </x:row>
    <x:row r="229" spans="15:15" ht="14.5" hidden="1">
      <x:c r="O229" s="29" t="s">
        <x:v>192</x:v>
      </x:c>
    </x:row>
    <x:row r="230" spans="15:15" ht="14.5" hidden="1">
      <x:c r="O230" s="29" t="s">
        <x:v>192</x:v>
      </x:c>
    </x:row>
    <x:row r="231" spans="15:15" ht="14.5" hidden="1">
      <x:c r="O231" s="29" t="s">
        <x:v>192</x:v>
      </x:c>
    </x:row>
    <x:row r="232" spans="15:15" ht="14.5" hidden="1">
      <x:c r="O232" s="29" t="s">
        <x:v>192</x:v>
      </x:c>
    </x:row>
    <x:row r="233" spans="15:15" ht="14.5" hidden="1">
      <x:c r="O233" s="29" t="s">
        <x:v>192</x:v>
      </x:c>
    </x:row>
    <x:row r="234" spans="15:15" ht="14.5" hidden="1">
      <x:c r="O234" s="29" t="s">
        <x:v>192</x:v>
      </x:c>
    </x:row>
    <x:row r="235" spans="15:15" ht="14.5" hidden="1">
      <x:c r="O235" s="29" t="s">
        <x:v>192</x:v>
      </x:c>
    </x:row>
    <x:row r="236" spans="15:15" ht="14.5" hidden="1">
      <x:c r="O236" s="29" t="s">
        <x:v>192</x:v>
      </x:c>
    </x:row>
    <x:row r="237" spans="15:15" ht="14.5" hidden="1">
      <x:c r="O237" s="29" t="s">
        <x:v>192</x:v>
      </x:c>
    </x:row>
    <x:row r="238" spans="15:15" ht="14.5" hidden="1">
      <x:c r="O238" s="29" t="s">
        <x:v>192</x:v>
      </x:c>
    </x:row>
    <x:row r="239" spans="15:15" ht="14.5" hidden="1">
      <x:c r="O239" s="29" t="s">
        <x:v>192</x:v>
      </x:c>
    </x:row>
    <x:row r="240" spans="15:15" ht="14.5" hidden="1">
      <x:c r="O240" s="29" t="s">
        <x:v>192</x:v>
      </x:c>
    </x:row>
    <x:row r="241" spans="15:15" ht="14.5" hidden="1">
      <x:c r="O241" s="29" t="s">
        <x:v>192</x:v>
      </x:c>
    </x:row>
    <x:row r="242" spans="15:15" ht="14.5" hidden="1">
      <x:c r="O242" s="29" t="s">
        <x:v>192</x:v>
      </x:c>
    </x:row>
    <x:row r="243" spans="15:15" ht="14.5" hidden="1">
      <x:c r="O243" s="29" t="s">
        <x:v>192</x:v>
      </x:c>
    </x:row>
    <x:row r="244" spans="15:15" ht="14.5" hidden="1">
      <x:c r="O244" s="29" t="s">
        <x:v>192</x:v>
      </x:c>
    </x:row>
    <x:row r="245" spans="15:15" ht="14.5" hidden="1">
      <x:c r="O245" s="29" t="s">
        <x:v>192</x:v>
      </x:c>
    </x:row>
    <x:row r="246" spans="15:15" ht="14.5" hidden="1">
      <x:c r="O246" s="29" t="s">
        <x:v>192</x:v>
      </x:c>
    </x:row>
    <x:row r="247" spans="15:15" ht="14.5" hidden="1">
      <x:c r="O247" s="29" t="s">
        <x:v>192</x:v>
      </x:c>
    </x:row>
    <x:row r="248" spans="15:15" ht="14.5" hidden="1">
      <x:c r="O248" s="29" t="s">
        <x:v>192</x:v>
      </x:c>
    </x:row>
    <x:row r="249" spans="15:15" ht="14.5" hidden="1">
      <x:c r="O249" s="29" t="s">
        <x:v>192</x:v>
      </x:c>
    </x:row>
    <x:row r="250" spans="15:15" ht="14.5" hidden="1">
      <x:c r="O250" s="29" t="s">
        <x:v>192</x:v>
      </x:c>
    </x:row>
    <x:row r="251" spans="15:15" ht="14.5" hidden="1">
      <x:c r="O251" s="29" t="s">
        <x:v>192</x:v>
      </x:c>
    </x:row>
    <x:row r="252" spans="15:15" ht="14.5" hidden="1">
      <x:c r="O252" s="29" t="s">
        <x:v>192</x:v>
      </x:c>
    </x:row>
    <x:row r="253" spans="15:15" ht="14.5" hidden="1">
      <x:c r="O253" s="29" t="s">
        <x:v>192</x:v>
      </x:c>
    </x:row>
    <x:row r="254" spans="15:15" ht="14.5" hidden="1">
      <x:c r="O254" s="29" t="s">
        <x:v>192</x:v>
      </x:c>
    </x:row>
    <x:row r="255" spans="15:15" ht="14.5" hidden="1">
      <x:c r="O255" s="29" t="s">
        <x:v>192</x:v>
      </x:c>
    </x:row>
    <x:row r="256" spans="15:15" ht="14.5" hidden="1">
      <x:c r="O256" s="29" t="s">
        <x:v>192</x:v>
      </x:c>
    </x:row>
    <x:row r="257" spans="15:15" ht="14.5" hidden="1">
      <x:c r="O257" s="29" t="s">
        <x:v>192</x:v>
      </x:c>
    </x:row>
    <x:row r="258" spans="15:15" ht="14.5" hidden="1">
      <x:c r="O258" s="29" t="s">
        <x:v>192</x:v>
      </x:c>
    </x:row>
    <x:row r="259" spans="15:15" ht="14.5" hidden="1">
      <x:c r="O259" s="29" t="s">
        <x:v>192</x:v>
      </x:c>
    </x:row>
    <x:row r="260" spans="15:15" ht="14.5" hidden="1">
      <x:c r="O260" s="29" t="s">
        <x:v>192</x:v>
      </x:c>
    </x:row>
    <x:row r="261" spans="15:15" ht="14.5" hidden="1">
      <x:c r="O261" s="29" t="s">
        <x:v>192</x:v>
      </x:c>
    </x:row>
    <x:row r="262" spans="15:15" ht="14.5" hidden="1">
      <x:c r="O262" s="29" t="s">
        <x:v>192</x:v>
      </x:c>
    </x:row>
    <x:row r="263" spans="15:15" ht="14.5" hidden="1">
      <x:c r="O263" s="29" t="s">
        <x:v>192</x:v>
      </x:c>
    </x:row>
    <x:row r="264" spans="15:15" ht="14.5" hidden="1">
      <x:c r="O264" s="29" t="s">
        <x:v>192</x:v>
      </x:c>
    </x:row>
    <x:row r="265" spans="15:15" ht="14.5" hidden="1">
      <x:c r="O265" s="29" t="s">
        <x:v>192</x:v>
      </x:c>
    </x:row>
    <x:row r="266" spans="15:15" ht="14.5" hidden="1">
      <x:c r="O266" s="29" t="s">
        <x:v>192</x:v>
      </x:c>
    </x:row>
    <x:row r="267" spans="15:15" ht="14.5" hidden="1">
      <x:c r="O267" s="29" t="s">
        <x:v>192</x:v>
      </x:c>
    </x:row>
    <x:row r="268" spans="15:15" ht="14.5" hidden="1">
      <x:c r="O268" s="29" t="s">
        <x:v>192</x:v>
      </x:c>
    </x:row>
    <x:row r="269" spans="15:15" ht="14.5" hidden="1">
      <x:c r="O269" s="29" t="s">
        <x:v>192</x:v>
      </x:c>
    </x:row>
    <x:row r="270" spans="15:15" ht="14.5" hidden="1">
      <x:c r="O270" s="29" t="s">
        <x:v>192</x:v>
      </x:c>
    </x:row>
    <x:row r="271" spans="15:15" ht="14.5" hidden="1">
      <x:c r="O271" s="29" t="s">
        <x:v>192</x:v>
      </x:c>
    </x:row>
    <x:row r="272" spans="15:15" ht="14.5" hidden="1">
      <x:c r="O272" s="29" t="s">
        <x:v>192</x:v>
      </x:c>
    </x:row>
    <x:row r="273" spans="15:15" ht="14.5" hidden="1">
      <x:c r="O273" s="29" t="s">
        <x:v>192</x:v>
      </x:c>
    </x:row>
    <x:row r="274" spans="15:15" ht="14.5" hidden="1">
      <x:c r="O274" s="29" t="s">
        <x:v>192</x:v>
      </x:c>
    </x:row>
    <x:row r="275" spans="15:15" ht="14.5" hidden="1">
      <x:c r="O275" s="29" t="s">
        <x:v>192</x:v>
      </x:c>
    </x:row>
    <x:row r="276" spans="15:15" ht="14.5" hidden="1">
      <x:c r="O276" s="29" t="s">
        <x:v>192</x:v>
      </x:c>
    </x:row>
    <x:row r="277" spans="15:15" ht="14.5" hidden="1">
      <x:c r="O277" s="29" t="s">
        <x:v>192</x:v>
      </x:c>
    </x:row>
    <x:row r="278" spans="15:15" ht="14.5" hidden="1">
      <x:c r="O278" s="29" t="s">
        <x:v>192</x:v>
      </x:c>
    </x:row>
    <x:row r="279" spans="15:15" ht="14.5" hidden="1">
      <x:c r="O279" s="29" t="s">
        <x:v>192</x:v>
      </x:c>
    </x:row>
    <x:row r="280" spans="15:15" ht="14.5" hidden="1">
      <x:c r="O280" s="29" t="s">
        <x:v>192</x:v>
      </x:c>
    </x:row>
    <x:row r="281" spans="15:15" ht="14.5" hidden="1">
      <x:c r="O281" s="29" t="s">
        <x:v>192</x:v>
      </x:c>
    </x:row>
    <x:row r="282" spans="15:15" ht="14.5" hidden="1">
      <x:c r="O282" s="29" t="s">
        <x:v>192</x:v>
      </x:c>
    </x:row>
    <x:row r="283" spans="15:15" ht="14.5" hidden="1">
      <x:c r="O283" s="29" t="s">
        <x:v>192</x:v>
      </x:c>
    </x:row>
    <x:row r="284" spans="15:15" ht="14.5" hidden="1">
      <x:c r="O284" s="29" t="s">
        <x:v>192</x:v>
      </x:c>
    </x:row>
    <x:row r="285" spans="15:15" ht="14.5" hidden="1">
      <x:c r="O285" s="29" t="s">
        <x:v>192</x:v>
      </x:c>
    </x:row>
    <x:row r="286" spans="15:15" ht="14.5" hidden="1">
      <x:c r="O286" s="29" t="s">
        <x:v>192</x:v>
      </x:c>
    </x:row>
    <x:row r="287" spans="15:15" ht="14.5" hidden="1">
      <x:c r="O287" s="29" t="s">
        <x:v>192</x:v>
      </x:c>
    </x:row>
    <x:row r="288" spans="15:15" ht="14.5" hidden="1">
      <x:c r="O288" s="29" t="s">
        <x:v>192</x:v>
      </x:c>
    </x:row>
    <x:row r="289" spans="15:15" ht="14.5" hidden="1">
      <x:c r="O289" s="29" t="s">
        <x:v>192</x:v>
      </x:c>
    </x:row>
    <x:row r="290" spans="15:15" ht="14.5" hidden="1">
      <x:c r="O290" s="29" t="s">
        <x:v>192</x:v>
      </x:c>
    </x:row>
    <x:row r="291" spans="15:15" ht="14.5" hidden="1">
      <x:c r="O291" s="29" t="s">
        <x:v>192</x:v>
      </x:c>
    </x:row>
    <x:row r="292" spans="15:15" ht="14.5" hidden="1">
      <x:c r="O292" s="29" t="s">
        <x:v>192</x:v>
      </x:c>
    </x:row>
    <x:row r="293" spans="15:15" ht="14.5" hidden="1">
      <x:c r="O293" s="29" t="s">
        <x:v>192</x:v>
      </x:c>
    </x:row>
    <x:row r="294" spans="15:15" ht="14.5" hidden="1">
      <x:c r="O294" s="29" t="s">
        <x:v>192</x:v>
      </x:c>
    </x:row>
    <x:row r="295" spans="15:15" ht="14.5" hidden="1">
      <x:c r="O295" s="29" t="s">
        <x:v>192</x:v>
      </x:c>
    </x:row>
    <x:row r="296" spans="15:15" ht="14.5" hidden="1">
      <x:c r="O296" s="29" t="s">
        <x:v>192</x:v>
      </x:c>
    </x:row>
    <x:row r="297" spans="15:15" ht="14.5" hidden="1">
      <x:c r="O297" s="29" t="s">
        <x:v>192</x:v>
      </x:c>
    </x:row>
    <x:row r="298" spans="15:15" ht="14.5" hidden="1">
      <x:c r="O298" s="29" t="s">
        <x:v>192</x:v>
      </x:c>
    </x:row>
    <x:row r="299" spans="15:15" ht="14.5" hidden="1">
      <x:c r="O299" s="29" t="s">
        <x:v>192</x:v>
      </x:c>
    </x:row>
    <x:row r="300" spans="15:15" ht="14.5" hidden="1">
      <x:c r="O300" s="29" t="s">
        <x:v>192</x:v>
      </x:c>
    </x:row>
    <x:row r="301" spans="15:15" ht="14.5" hidden="1">
      <x:c r="O301" s="29" t="s">
        <x:v>192</x:v>
      </x:c>
    </x:row>
    <x:row r="302" spans="15:15" ht="14.5" hidden="1">
      <x:c r="O302" s="29" t="s">
        <x:v>192</x:v>
      </x:c>
    </x:row>
    <x:row r="303" spans="15:15" ht="14.5" hidden="1">
      <x:c r="O303" s="29" t="s">
        <x:v>192</x:v>
      </x:c>
    </x:row>
    <x:row r="304" spans="15:15" ht="14.5" hidden="1">
      <x:c r="O304" s="29" t="s">
        <x:v>192</x:v>
      </x:c>
    </x:row>
    <x:row r="305" spans="15:15" ht="14.5" hidden="1">
      <x:c r="O305" s="29" t="s">
        <x:v>192</x:v>
      </x:c>
    </x:row>
    <x:row r="306" spans="15:15" ht="14.5" hidden="1">
      <x:c r="O306" s="29" t="s">
        <x:v>192</x:v>
      </x:c>
    </x:row>
    <x:row r="307" spans="15:15" ht="14.5" hidden="1">
      <x:c r="O307" s="29" t="s">
        <x:v>192</x:v>
      </x:c>
    </x:row>
    <x:row r="308" spans="15:15" ht="14.5" hidden="1">
      <x:c r="O308" s="29" t="s">
        <x:v>192</x:v>
      </x:c>
    </x:row>
    <x:row r="309" spans="15:15" ht="14.5" hidden="1">
      <x:c r="O309" s="29" t="s">
        <x:v>192</x:v>
      </x:c>
    </x:row>
    <x:row r="310" spans="15:15" ht="14.5" hidden="1">
      <x:c r="O310" s="29" t="s">
        <x:v>192</x:v>
      </x:c>
    </x:row>
    <x:row r="311" spans="15:15" ht="14.5" hidden="1">
      <x:c r="O311" s="29" t="s">
        <x:v>192</x:v>
      </x:c>
    </x:row>
    <x:row r="312" spans="15:15" ht="14.5" hidden="1">
      <x:c r="O312" s="29" t="s">
        <x:v>192</x:v>
      </x:c>
    </x:row>
    <x:row r="313" spans="15:15" ht="14.5" hidden="1">
      <x:c r="O313" s="29" t="s">
        <x:v>192</x:v>
      </x:c>
    </x:row>
    <x:row r="314" spans="15:15" ht="14.5" hidden="1">
      <x:c r="O314" s="29" t="s">
        <x:v>192</x:v>
      </x:c>
    </x:row>
    <x:row r="315" spans="15:15" ht="14.5" hidden="1">
      <x:c r="O315" s="29" t="s">
        <x:v>192</x:v>
      </x:c>
    </x:row>
    <x:row r="316" spans="15:15" ht="14.5" hidden="1">
      <x:c r="O316" s="29" t="s">
        <x:v>192</x:v>
      </x:c>
    </x:row>
    <x:row r="317" spans="15:15" ht="14.5" hidden="1">
      <x:c r="O317" s="29" t="s">
        <x:v>192</x:v>
      </x:c>
    </x:row>
    <x:row r="318" spans="15:15" ht="14.5" hidden="1">
      <x:c r="O318" s="29" t="s">
        <x:v>192</x:v>
      </x:c>
    </x:row>
    <x:row r="319" spans="15:15" ht="14.5" hidden="1">
      <x:c r="O319" s="29" t="s">
        <x:v>192</x:v>
      </x:c>
    </x:row>
    <x:row r="320" spans="15:15" ht="14.5" hidden="1">
      <x:c r="O320" s="29" t="s">
        <x:v>192</x:v>
      </x:c>
    </x:row>
    <x:row r="321" spans="15:15" ht="14.5" hidden="1">
      <x:c r="O321" s="29" t="s">
        <x:v>192</x:v>
      </x:c>
    </x:row>
    <x:row r="322" spans="15:15" ht="14.5" hidden="1">
      <x:c r="O322" s="29" t="s">
        <x:v>192</x:v>
      </x:c>
    </x:row>
    <x:row r="323" spans="15:15" ht="14.5" hidden="1">
      <x:c r="O323" s="29" t="s">
        <x:v>192</x:v>
      </x:c>
    </x:row>
    <x:row r="324" spans="15:15" ht="14.5" hidden="1">
      <x:c r="O324" s="29" t="s">
        <x:v>192</x:v>
      </x:c>
    </x:row>
    <x:row r="325" spans="15:15" ht="14.5" hidden="1">
      <x:c r="O325" s="29" t="s">
        <x:v>192</x:v>
      </x:c>
    </x:row>
    <x:row r="326" spans="15:15" ht="14.5" hidden="1">
      <x:c r="O326" s="29" t="s">
        <x:v>192</x:v>
      </x:c>
    </x:row>
    <x:row r="327" spans="15:15" ht="14.5" hidden="1">
      <x:c r="O327" s="29" t="s">
        <x:v>192</x:v>
      </x:c>
    </x:row>
    <x:row r="328" spans="15:15" ht="14.5" hidden="1">
      <x:c r="O328" s="29" t="s">
        <x:v>192</x:v>
      </x:c>
    </x:row>
    <x:row r="329" spans="15:15" ht="14.5" hidden="1">
      <x:c r="O329" s="29" t="s">
        <x:v>192</x:v>
      </x:c>
    </x:row>
    <x:row r="330" spans="15:15" ht="14.5" hidden="1">
      <x:c r="O330" s="29" t="s">
        <x:v>192</x:v>
      </x:c>
    </x:row>
    <x:row r="331" spans="15:15" ht="14.5" hidden="1">
      <x:c r="O331" s="29" t="s">
        <x:v>192</x:v>
      </x:c>
    </x:row>
    <x:row r="332" spans="15:15" ht="14.5" hidden="1">
      <x:c r="O332" s="29" t="s">
        <x:v>192</x:v>
      </x:c>
    </x:row>
    <x:row r="333" spans="15:15" ht="14.5" hidden="1">
      <x:c r="O333" s="29" t="s">
        <x:v>192</x:v>
      </x:c>
    </x:row>
    <x:row r="334" spans="15:15" ht="14.5" hidden="1">
      <x:c r="O334" s="29" t="s">
        <x:v>192</x:v>
      </x:c>
    </x:row>
    <x:row r="335" spans="15:15" ht="14.5" hidden="1">
      <x:c r="O335" s="29" t="s">
        <x:v>192</x:v>
      </x:c>
    </x:row>
    <x:row r="336" spans="15:15" ht="14.5" hidden="1">
      <x:c r="O336" s="29" t="s">
        <x:v>192</x:v>
      </x:c>
    </x:row>
    <x:row r="337" spans="15:15" ht="14.5" hidden="1">
      <x:c r="O337" s="29" t="s">
        <x:v>192</x:v>
      </x:c>
    </x:row>
    <x:row r="338" spans="15:15" ht="14.5" hidden="1">
      <x:c r="O338" s="29" t="s">
        <x:v>192</x:v>
      </x:c>
    </x:row>
    <x:row r="339" spans="15:15" ht="14.5" hidden="1">
      <x:c r="O339" s="29" t="s">
        <x:v>192</x:v>
      </x:c>
    </x:row>
    <x:row r="340" spans="15:15" ht="14.5" hidden="1">
      <x:c r="O340" s="29" t="s">
        <x:v>192</x:v>
      </x:c>
    </x:row>
    <x:row r="341" spans="15:15" ht="14.5" hidden="1">
      <x:c r="O341" s="29" t="s">
        <x:v>192</x:v>
      </x:c>
    </x:row>
    <x:row r="342" spans="15:15" ht="14.5" hidden="1">
      <x:c r="O342" s="29" t="s">
        <x:v>192</x:v>
      </x:c>
    </x:row>
    <x:row r="343" spans="15:15" ht="14.5" hidden="1">
      <x:c r="O343" s="29" t="s">
        <x:v>192</x:v>
      </x:c>
    </x:row>
    <x:row r="344" spans="15:15" ht="14.5" hidden="1">
      <x:c r="O344" s="29" t="s">
        <x:v>192</x:v>
      </x:c>
    </x:row>
    <x:row r="345" spans="15:15" ht="14.5" hidden="1">
      <x:c r="O345" s="29" t="s">
        <x:v>192</x:v>
      </x:c>
    </x:row>
    <x:row r="346" spans="15:15" ht="14.5" hidden="1">
      <x:c r="O346" s="29" t="s">
        <x:v>192</x:v>
      </x:c>
    </x:row>
    <x:row r="347" spans="15:15" ht="14.5" hidden="1">
      <x:c r="O347" s="29" t="s">
        <x:v>192</x:v>
      </x:c>
    </x:row>
    <x:row r="348" spans="15:15" ht="14.5" hidden="1">
      <x:c r="O348" s="29" t="s">
        <x:v>192</x:v>
      </x:c>
    </x:row>
    <x:row r="349" spans="15:15" ht="14.5" hidden="1">
      <x:c r="O349" s="29" t="s">
        <x:v>192</x:v>
      </x:c>
    </x:row>
    <x:row r="350" spans="15:15" ht="14.5" hidden="1">
      <x:c r="O350" s="29" t="s">
        <x:v>192</x:v>
      </x:c>
    </x:row>
    <x:row r="351" spans="15:15" ht="14.5" hidden="1">
      <x:c r="O351" s="29" t="s">
        <x:v>192</x:v>
      </x:c>
    </x:row>
    <x:row r="352" spans="15:15" ht="14.5" hidden="1">
      <x:c r="O352" s="29" t="s">
        <x:v>192</x:v>
      </x:c>
    </x:row>
    <x:row r="353" spans="15:15" ht="14.5" hidden="1">
      <x:c r="O353" s="29" t="s">
        <x:v>192</x:v>
      </x:c>
    </x:row>
    <x:row r="354" spans="15:15" ht="14.5" hidden="1">
      <x:c r="O354" s="29" t="s">
        <x:v>192</x:v>
      </x:c>
    </x:row>
    <x:row r="355" spans="15:15" ht="14.5" hidden="1">
      <x:c r="O355" s="29" t="s">
        <x:v>192</x:v>
      </x:c>
    </x:row>
    <x:row r="356" spans="15:15" ht="14.5" hidden="1">
      <x:c r="O356" s="29" t="s">
        <x:v>192</x:v>
      </x:c>
    </x:row>
    <x:row r="357" spans="15:15" ht="14.5" hidden="1">
      <x:c r="O357" s="29" t="s">
        <x:v>192</x:v>
      </x:c>
    </x:row>
    <x:row r="358" spans="15:15" ht="14.5" hidden="1">
      <x:c r="O358" s="29" t="s">
        <x:v>192</x:v>
      </x:c>
    </x:row>
    <x:row r="359" spans="15:15" ht="14.5" hidden="1">
      <x:c r="O359" s="29" t="s">
        <x:v>192</x:v>
      </x:c>
    </x:row>
    <x:row r="360" spans="15:15" ht="14.5" hidden="1">
      <x:c r="O360" s="29" t="s">
        <x:v>192</x:v>
      </x:c>
    </x:row>
    <x:row r="361" spans="15:15" ht="14.5" hidden="1">
      <x:c r="O361" s="29" t="s">
        <x:v>192</x:v>
      </x:c>
    </x:row>
    <x:row r="362" spans="15:15" ht="14.5" hidden="1">
      <x:c r="O362" s="29" t="s">
        <x:v>192</x:v>
      </x:c>
    </x:row>
    <x:row r="363" spans="15:15" ht="14.5" hidden="1">
      <x:c r="O363" s="29" t="s">
        <x:v>192</x:v>
      </x:c>
    </x:row>
    <x:row r="364" spans="15:15" ht="14.5" hidden="1">
      <x:c r="O364" s="29" t="s">
        <x:v>192</x:v>
      </x:c>
    </x:row>
    <x:row r="365" spans="15:15" ht="14.5" hidden="1">
      <x:c r="O365" s="29" t="s">
        <x:v>192</x:v>
      </x:c>
    </x:row>
    <x:row r="366" spans="15:15" ht="14.5" hidden="1">
      <x:c r="O366" s="29" t="s">
        <x:v>192</x:v>
      </x:c>
    </x:row>
    <x:row r="367" spans="15:15" ht="14.5" hidden="1">
      <x:c r="O367" s="29" t="s">
        <x:v>192</x:v>
      </x:c>
    </x:row>
    <x:row r="368" spans="15:15" ht="14.5" hidden="1">
      <x:c r="O368" s="29" t="s">
        <x:v>192</x:v>
      </x:c>
    </x:row>
    <x:row r="369" spans="15:15" ht="14.5" hidden="1">
      <x:c r="O369" s="29" t="s">
        <x:v>192</x:v>
      </x:c>
    </x:row>
    <x:row r="370" spans="15:15" ht="14.5" hidden="1">
      <x:c r="O370" s="29" t="s">
        <x:v>192</x:v>
      </x:c>
    </x:row>
    <x:row r="371" spans="15:15" ht="14.5" hidden="1">
      <x:c r="O371" s="29" t="s">
        <x:v>192</x:v>
      </x:c>
    </x:row>
    <x:row r="372" spans="15:15" ht="14.5" hidden="1">
      <x:c r="O372" s="29" t="s">
        <x:v>192</x:v>
      </x:c>
    </x:row>
    <x:row r="373" spans="15:15" ht="14.5" hidden="1">
      <x:c r="O373" s="29" t="s">
        <x:v>192</x:v>
      </x:c>
    </x:row>
    <x:row r="374" spans="15:15" ht="14.5" hidden="1">
      <x:c r="O374" s="29" t="s">
        <x:v>192</x:v>
      </x:c>
    </x:row>
    <x:row r="375" spans="15:15" ht="14.5" hidden="1">
      <x:c r="O375" s="29" t="s">
        <x:v>192</x:v>
      </x:c>
    </x:row>
    <x:row r="376" spans="15:15" ht="14.5" hidden="1">
      <x:c r="O376" s="29" t="s">
        <x:v>192</x:v>
      </x:c>
    </x:row>
    <x:row r="377" spans="15:15" ht="14.5" hidden="1">
      <x:c r="O377" s="29" t="s">
        <x:v>192</x:v>
      </x:c>
    </x:row>
    <x:row r="378" spans="15:15" ht="14.5" hidden="1">
      <x:c r="O378" s="29" t="s">
        <x:v>192</x:v>
      </x:c>
    </x:row>
    <x:row r="379" spans="15:15" ht="14.5" hidden="1">
      <x:c r="O379" s="29" t="s">
        <x:v>192</x:v>
      </x:c>
    </x:row>
    <x:row r="380" spans="15:15" ht="14.5" hidden="1">
      <x:c r="O380" s="29" t="s">
        <x:v>192</x:v>
      </x:c>
    </x:row>
    <x:row r="381" spans="15:15" ht="14.5" hidden="1">
      <x:c r="O381" s="29" t="s">
        <x:v>192</x:v>
      </x:c>
    </x:row>
    <x:row r="382" spans="15:15" ht="14.5" hidden="1">
      <x:c r="O382" s="29" t="s">
        <x:v>192</x:v>
      </x:c>
    </x:row>
    <x:row r="383" spans="15:15" ht="14.5" hidden="1">
      <x:c r="O383" s="29" t="s">
        <x:v>192</x:v>
      </x:c>
    </x:row>
    <x:row r="384" spans="15:15" ht="14.5" hidden="1">
      <x:c r="O384" s="29" t="s">
        <x:v>192</x:v>
      </x:c>
    </x:row>
    <x:row r="385" spans="15:15" ht="14.5" hidden="1">
      <x:c r="O385" s="29" t="s">
        <x:v>192</x:v>
      </x:c>
    </x:row>
    <x:row r="386" spans="15:15" ht="14.5" hidden="1">
      <x:c r="O386" s="29" t="s">
        <x:v>192</x:v>
      </x:c>
    </x:row>
    <x:row r="387" spans="15:15" ht="14.5" hidden="1">
      <x:c r="O387" s="29" t="s">
        <x:v>192</x:v>
      </x:c>
    </x:row>
    <x:row r="388" spans="15:15" ht="14.5" hidden="1">
      <x:c r="O388" s="29" t="s">
        <x:v>192</x:v>
      </x:c>
    </x:row>
    <x:row r="389" spans="15:15" ht="14.5" hidden="1">
      <x:c r="O389" s="29" t="s">
        <x:v>192</x:v>
      </x:c>
    </x:row>
    <x:row r="390" spans="15:15" ht="14.5" hidden="1">
      <x:c r="O390" s="29" t="s">
        <x:v>192</x:v>
      </x:c>
    </x:row>
    <x:row r="391" spans="15:15" ht="14.5" hidden="1">
      <x:c r="O391" s="29" t="s">
        <x:v>192</x:v>
      </x:c>
    </x:row>
    <x:row r="392" spans="15:15" ht="14.5" hidden="1">
      <x:c r="O392" s="29" t="s">
        <x:v>192</x:v>
      </x:c>
    </x:row>
    <x:row r="393" spans="15:15" ht="14.5" hidden="1">
      <x:c r="O393" s="29" t="s">
        <x:v>192</x:v>
      </x:c>
    </x:row>
    <x:row r="394" spans="15:15" ht="14.5" hidden="1">
      <x:c r="O394" s="29" t="s">
        <x:v>192</x:v>
      </x:c>
    </x:row>
    <x:row r="395" spans="15:15" ht="14.5" hidden="1">
      <x:c r="O395" s="29" t="s">
        <x:v>192</x:v>
      </x:c>
    </x:row>
    <x:row r="396" spans="15:15" ht="14.5" hidden="1">
      <x:c r="O396" s="29" t="s">
        <x:v>192</x:v>
      </x:c>
    </x:row>
    <x:row r="397" spans="15:15" ht="14.5" hidden="1">
      <x:c r="O397" s="29" t="s">
        <x:v>192</x:v>
      </x:c>
    </x:row>
    <x:row r="398" spans="15:15" ht="14.5" hidden="1">
      <x:c r="O398" s="29" t="s">
        <x:v>192</x:v>
      </x:c>
    </x:row>
    <x:row r="399" spans="15:15" ht="14.5" hidden="1">
      <x:c r="O399" s="29" t="s">
        <x:v>192</x:v>
      </x:c>
    </x:row>
    <x:row r="400" spans="15:15" ht="14.5" hidden="1">
      <x:c r="O400" s="29" t="s">
        <x:v>192</x:v>
      </x:c>
    </x:row>
    <x:row r="401" spans="15:15" ht="14.5" hidden="1">
      <x:c r="O401" s="29" t="s">
        <x:v>192</x:v>
      </x:c>
    </x:row>
    <x:row r="402" spans="15:15" ht="14.5" hidden="1">
      <x:c r="O402" s="29" t="s">
        <x:v>192</x:v>
      </x:c>
    </x:row>
    <x:row r="403" spans="15:15" ht="14.5" hidden="1">
      <x:c r="O403" s="29" t="s">
        <x:v>192</x:v>
      </x:c>
    </x:row>
    <x:row r="404" spans="15:15" ht="14.5" hidden="1">
      <x:c r="O404" s="29" t="s">
        <x:v>192</x:v>
      </x:c>
    </x:row>
    <x:row r="405" spans="15:15" ht="14.5" hidden="1">
      <x:c r="O405" s="29" t="s">
        <x:v>192</x:v>
      </x:c>
    </x:row>
    <x:row r="406" spans="15:15" ht="14.5" hidden="1">
      <x:c r="O406" s="29" t="s">
        <x:v>192</x:v>
      </x:c>
    </x:row>
    <x:row r="407" spans="15:15" ht="14.5" hidden="1">
      <x:c r="O407" s="29" t="s">
        <x:v>192</x:v>
      </x:c>
    </x:row>
    <x:row r="408" spans="15:15" ht="14.5" hidden="1">
      <x:c r="O408" s="29" t="s">
        <x:v>192</x:v>
      </x:c>
    </x:row>
    <x:row r="409" spans="15:15" ht="14.5" hidden="1">
      <x:c r="O409" s="29" t="s">
        <x:v>192</x:v>
      </x:c>
    </x:row>
    <x:row r="410" spans="15:15" ht="14.5" hidden="1">
      <x:c r="O410" s="29" t="s">
        <x:v>192</x:v>
      </x:c>
    </x:row>
    <x:row r="411" spans="15:15" ht="14.5" hidden="1">
      <x:c r="O411" s="29" t="s">
        <x:v>192</x:v>
      </x:c>
    </x:row>
    <x:row r="412" spans="15:15" ht="14.5" hidden="1">
      <x:c r="O412" s="29" t="s">
        <x:v>192</x:v>
      </x:c>
    </x:row>
    <x:row r="413" spans="15:15" ht="14.5" hidden="1">
      <x:c r="O413" s="29" t="s">
        <x:v>192</x:v>
      </x:c>
    </x:row>
    <x:row r="414" spans="15:15" ht="14.5" hidden="1">
      <x:c r="O414" s="29" t="s">
        <x:v>192</x:v>
      </x:c>
    </x:row>
    <x:row r="415" spans="15:15" ht="14.5" hidden="1">
      <x:c r="O415" s="29" t="s">
        <x:v>192</x:v>
      </x:c>
    </x:row>
    <x:row r="416" spans="15:15" ht="14.5" hidden="1">
      <x:c r="O416" s="29" t="s">
        <x:v>192</x:v>
      </x:c>
    </x:row>
    <x:row r="417" spans="15:15" ht="14.5" hidden="1">
      <x:c r="O417" s="29" t="s">
        <x:v>192</x:v>
      </x:c>
    </x:row>
    <x:row r="418" spans="15:15" ht="14.5" hidden="1">
      <x:c r="O418" s="29" t="s">
        <x:v>192</x:v>
      </x:c>
    </x:row>
    <x:row r="419" spans="15:15" ht="14.5" hidden="1">
      <x:c r="O419" s="29" t="s">
        <x:v>192</x:v>
      </x:c>
    </x:row>
    <x:row r="420" spans="15:15" ht="14.5" hidden="1">
      <x:c r="O420" s="29" t="s">
        <x:v>192</x:v>
      </x:c>
    </x:row>
    <x:row r="421" spans="15:15" ht="14.5" hidden="1">
      <x:c r="O421" s="29" t="s">
        <x:v>192</x:v>
      </x:c>
    </x:row>
    <x:row r="422" spans="15:15" ht="14.5" hidden="1">
      <x:c r="O422" s="29" t="s">
        <x:v>192</x:v>
      </x:c>
    </x:row>
    <x:row r="423" spans="15:15" ht="14.5" hidden="1">
      <x:c r="O423" s="29" t="s">
        <x:v>192</x:v>
      </x:c>
    </x:row>
    <x:row r="424" spans="15:15" ht="14.5" hidden="1">
      <x:c r="O424" s="29" t="s">
        <x:v>192</x:v>
      </x:c>
    </x:row>
    <x:row r="425" spans="15:15" ht="14.5" hidden="1">
      <x:c r="O425" s="29" t="s">
        <x:v>192</x:v>
      </x:c>
    </x:row>
    <x:row r="426" spans="15:15" ht="14.5" hidden="1">
      <x:c r="O426" s="29" t="s">
        <x:v>192</x:v>
      </x:c>
    </x:row>
    <x:row r="427" spans="15:15" ht="14.5" hidden="1">
      <x:c r="O427" s="29" t="s">
        <x:v>192</x:v>
      </x:c>
    </x:row>
    <x:row r="428" spans="15:15" ht="14.5" hidden="1">
      <x:c r="O428" s="29" t="s">
        <x:v>192</x:v>
      </x:c>
    </x:row>
    <x:row r="429" spans="15:15" ht="14.5" hidden="1">
      <x:c r="O429" s="29" t="s">
        <x:v>192</x:v>
      </x:c>
    </x:row>
    <x:row r="430" spans="15:15" ht="14.5" hidden="1">
      <x:c r="O430" s="29" t="s">
        <x:v>192</x:v>
      </x:c>
    </x:row>
    <x:row r="431" spans="15:15" ht="14.5" hidden="1">
      <x:c r="O431" s="29" t="s">
        <x:v>192</x:v>
      </x:c>
    </x:row>
    <x:row r="432" spans="15:15" ht="14.5" hidden="1">
      <x:c r="O432" s="29" t="s">
        <x:v>192</x:v>
      </x:c>
    </x:row>
    <x:row r="433" spans="15:15" ht="14.5" hidden="1">
      <x:c r="O433" s="29" t="s">
        <x:v>192</x:v>
      </x:c>
    </x:row>
    <x:row r="434" spans="15:15" ht="14.5" hidden="1">
      <x:c r="O434" s="29" t="s">
        <x:v>192</x:v>
      </x:c>
    </x:row>
    <x:row r="435" spans="15:15" ht="14.5" hidden="1">
      <x:c r="O435" s="29" t="s">
        <x:v>192</x:v>
      </x:c>
    </x:row>
    <x:row r="436" spans="15:15" ht="14.5" hidden="1">
      <x:c r="O436" s="29" t="s">
        <x:v>192</x:v>
      </x:c>
    </x:row>
    <x:row r="437" spans="15:15" ht="14.5" hidden="1">
      <x:c r="O437" s="29" t="s">
        <x:v>192</x:v>
      </x:c>
    </x:row>
    <x:row r="438" spans="15:15" ht="14.5" hidden="1">
      <x:c r="O438" s="29" t="s">
        <x:v>192</x:v>
      </x:c>
    </x:row>
    <x:row r="439" spans="15:15" ht="14.5" hidden="1">
      <x:c r="O439" s="29" t="s">
        <x:v>192</x:v>
      </x:c>
    </x:row>
    <x:row r="440" spans="15:15" ht="14.5" hidden="1">
      <x:c r="O440" s="29" t="s">
        <x:v>192</x:v>
      </x:c>
    </x:row>
    <x:row r="441" spans="15:15" ht="14.5" hidden="1">
      <x:c r="O441" s="29" t="s">
        <x:v>192</x:v>
      </x:c>
    </x:row>
    <x:row r="442" spans="15:15" ht="14.5" hidden="1">
      <x:c r="O442" s="29" t="s">
        <x:v>192</x:v>
      </x:c>
    </x:row>
    <x:row r="443" spans="15:15" ht="14.5" hidden="1">
      <x:c r="O443" s="29" t="s">
        <x:v>192</x:v>
      </x:c>
    </x:row>
    <x:row r="444" spans="15:15" ht="14.5" hidden="1">
      <x:c r="O444" s="29" t="s">
        <x:v>192</x:v>
      </x:c>
    </x:row>
    <x:row r="445" spans="15:15" ht="14.5" hidden="1">
      <x:c r="O445" s="29" t="s">
        <x:v>192</x:v>
      </x:c>
    </x:row>
    <x:row r="446" spans="15:15" ht="14.5" hidden="1">
      <x:c r="O446" s="29" t="s">
        <x:v>192</x:v>
      </x:c>
    </x:row>
    <x:row r="447" spans="15:15" ht="14.5" hidden="1">
      <x:c r="O447" s="29" t="s">
        <x:v>192</x:v>
      </x:c>
    </x:row>
    <x:row r="448" spans="15:15" ht="14.5" hidden="1">
      <x:c r="O448" s="29" t="s">
        <x:v>192</x:v>
      </x:c>
    </x:row>
    <x:row r="449" spans="15:15" ht="14.5" hidden="1">
      <x:c r="O449" s="29" t="s">
        <x:v>192</x:v>
      </x:c>
    </x:row>
    <x:row r="450" spans="15:15" ht="14.5" hidden="1">
      <x:c r="O450" s="29" t="s">
        <x:v>192</x:v>
      </x:c>
    </x:row>
    <x:row r="451" spans="15:15" ht="14.5" hidden="1">
      <x:c r="O451" s="29" t="s">
        <x:v>192</x:v>
      </x:c>
    </x:row>
    <x:row r="452" spans="15:15" ht="14.5" hidden="1">
      <x:c r="O452" s="29" t="s">
        <x:v>192</x:v>
      </x:c>
    </x:row>
    <x:row r="453" spans="15:15" ht="14.5" hidden="1">
      <x:c r="O453" s="29" t="s">
        <x:v>192</x:v>
      </x:c>
    </x:row>
    <x:row r="454" spans="15:15" ht="14.5" hidden="1">
      <x:c r="O454" s="29" t="s">
        <x:v>192</x:v>
      </x:c>
    </x:row>
    <x:row r="455" spans="15:15" ht="14.5" hidden="1">
      <x:c r="O455" s="29" t="s">
        <x:v>192</x:v>
      </x:c>
    </x:row>
    <x:row r="456" spans="15:15" ht="14.5" hidden="1">
      <x:c r="O456" s="29" t="s">
        <x:v>192</x:v>
      </x:c>
    </x:row>
    <x:row r="457" spans="15:15" ht="14.5" hidden="1">
      <x:c r="O457" s="29" t="s">
        <x:v>192</x:v>
      </x:c>
    </x:row>
    <x:row r="458" spans="15:15" ht="14.5" hidden="1">
      <x:c r="O458" s="29" t="s">
        <x:v>192</x:v>
      </x:c>
    </x:row>
    <x:row r="459" spans="15:15" ht="14.5" hidden="1">
      <x:c r="O459" s="29" t="s">
        <x:v>192</x:v>
      </x:c>
    </x:row>
    <x:row r="460" spans="15:15" ht="14.5" hidden="1">
      <x:c r="O460" s="29" t="s">
        <x:v>192</x:v>
      </x:c>
    </x:row>
    <x:row r="461" spans="15:15" ht="14.5" hidden="1">
      <x:c r="O461" s="29" t="s">
        <x:v>192</x:v>
      </x:c>
    </x:row>
    <x:row r="462" spans="15:15" ht="14.5" hidden="1">
      <x:c r="O462" s="29" t="s">
        <x:v>192</x:v>
      </x:c>
    </x:row>
    <x:row r="463" spans="15:15" ht="14.5" hidden="1">
      <x:c r="O463" s="29" t="s">
        <x:v>192</x:v>
      </x:c>
    </x:row>
    <x:row r="464" spans="15:15" ht="14.5" hidden="1">
      <x:c r="O464" s="29" t="s">
        <x:v>192</x:v>
      </x:c>
    </x:row>
    <x:row r="465" spans="15:15" ht="14.5" hidden="1">
      <x:c r="O465" s="29" t="s">
        <x:v>192</x:v>
      </x:c>
    </x:row>
    <x:row r="466" spans="15:15" ht="14.5" hidden="1">
      <x:c r="O466" s="29" t="s">
        <x:v>192</x:v>
      </x:c>
    </x:row>
    <x:row r="467" spans="15:15" ht="14.5" hidden="1">
      <x:c r="O467" s="29" t="s">
        <x:v>192</x:v>
      </x:c>
    </x:row>
    <x:row r="468" spans="15:15" ht="14.5" hidden="1">
      <x:c r="O468" s="29" t="s">
        <x:v>192</x:v>
      </x:c>
    </x:row>
    <x:row r="469" spans="15:15" ht="14.5" hidden="1">
      <x:c r="O469" s="29" t="s">
        <x:v>192</x:v>
      </x:c>
    </x:row>
    <x:row r="470" spans="15:15" ht="14.5" hidden="1">
      <x:c r="O470" s="29" t="s">
        <x:v>192</x:v>
      </x:c>
    </x:row>
    <x:row r="471" spans="15:15" ht="14.5" hidden="1">
      <x:c r="O471" s="29" t="s">
        <x:v>192</x:v>
      </x:c>
    </x:row>
    <x:row r="472" spans="15:15" ht="14.5" hidden="1">
      <x:c r="O472" s="29" t="s">
        <x:v>192</x:v>
      </x:c>
    </x:row>
    <x:row r="473" spans="15:15" ht="14.5" hidden="1">
      <x:c r="O473" s="29" t="s">
        <x:v>192</x:v>
      </x:c>
    </x:row>
    <x:row r="474" spans="15:15" ht="14.5" hidden="1">
      <x:c r="O474" s="29" t="s">
        <x:v>192</x:v>
      </x:c>
    </x:row>
    <x:row r="475" spans="15:15" ht="14.5" hidden="1">
      <x:c r="O475" s="29" t="s">
        <x:v>192</x:v>
      </x:c>
    </x:row>
    <x:row r="476" spans="15:15" ht="14.5" hidden="1">
      <x:c r="O476" s="29" t="s">
        <x:v>192</x:v>
      </x:c>
    </x:row>
    <x:row r="477" spans="15:15" ht="14.5" hidden="1">
      <x:c r="O477" s="29" t="s">
        <x:v>192</x:v>
      </x:c>
    </x:row>
    <x:row r="478" spans="15:15" ht="14.5" hidden="1">
      <x:c r="O478" s="29" t="s">
        <x:v>192</x:v>
      </x:c>
    </x:row>
    <x:row r="479" spans="15:15" ht="14.5" hidden="1">
      <x:c r="O479" s="29" t="s">
        <x:v>192</x:v>
      </x:c>
    </x:row>
    <x:row r="480" spans="15:15" ht="14.5" hidden="1">
      <x:c r="O480" s="29" t="s">
        <x:v>192</x:v>
      </x:c>
    </x:row>
    <x:row r="481" spans="15:15" ht="14.5" hidden="1">
      <x:c r="O481" s="29" t="s">
        <x:v>192</x:v>
      </x:c>
    </x:row>
    <x:row r="482" spans="15:15" ht="14.5" hidden="1">
      <x:c r="O482" s="29" t="s">
        <x:v>192</x:v>
      </x:c>
    </x:row>
    <x:row r="483" spans="15:15" ht="14.5" hidden="1">
      <x:c r="O483" s="29" t="s">
        <x:v>192</x:v>
      </x:c>
    </x:row>
    <x:row r="484" spans="15:15" ht="14.5" hidden="1">
      <x:c r="O484" s="29" t="s">
        <x:v>192</x:v>
      </x:c>
    </x:row>
    <x:row r="485" spans="15:15" ht="14.5" hidden="1">
      <x:c r="O485" s="29" t="s">
        <x:v>192</x:v>
      </x:c>
    </x:row>
    <x:row r="486" spans="15:15" ht="14.5" hidden="1">
      <x:c r="O486" s="29" t="s">
        <x:v>192</x:v>
      </x:c>
    </x:row>
    <x:row r="487" spans="15:15" ht="14.5" hidden="1">
      <x:c r="O487" s="29" t="s">
        <x:v>192</x:v>
      </x:c>
    </x:row>
    <x:row r="488" spans="15:15" ht="14.5" hidden="1">
      <x:c r="O488" s="29" t="s">
        <x:v>192</x:v>
      </x:c>
    </x:row>
    <x:row r="489" spans="15:15" ht="14.5" hidden="1">
      <x:c r="O489" s="29" t="s">
        <x:v>192</x:v>
      </x:c>
    </x:row>
    <x:row r="490" spans="15:15" ht="14.5" hidden="1">
      <x:c r="O490" s="29" t="s">
        <x:v>192</x:v>
      </x:c>
    </x:row>
    <x:row r="491" spans="15:15" ht="14.5" hidden="1">
      <x:c r="O491" s="29" t="s">
        <x:v>192</x:v>
      </x:c>
    </x:row>
    <x:row r="492" spans="15:15" ht="14.5" hidden="1">
      <x:c r="O492" s="29" t="s">
        <x:v>192</x:v>
      </x:c>
    </x:row>
    <x:row r="493" spans="15:15" ht="14.5" hidden="1">
      <x:c r="O493" s="29" t="s">
        <x:v>192</x:v>
      </x:c>
    </x:row>
    <x:row r="494" spans="15:15" ht="14.5" hidden="1">
      <x:c r="O494" s="29" t="s">
        <x:v>192</x:v>
      </x:c>
    </x:row>
    <x:row r="495" spans="15:15" ht="14.5" hidden="1">
      <x:c r="O495" s="29" t="s">
        <x:v>192</x:v>
      </x:c>
    </x:row>
    <x:row r="496" spans="15:15" ht="14.5" hidden="1">
      <x:c r="O496" s="29" t="s">
        <x:v>192</x:v>
      </x:c>
    </x:row>
    <x:row r="497" spans="15:15" ht="14.5" hidden="1">
      <x:c r="O497" s="29" t="s">
        <x:v>192</x:v>
      </x:c>
    </x:row>
    <x:row r="498" spans="15:15" ht="14.5" hidden="1">
      <x:c r="O498" s="29" t="s">
        <x:v>192</x:v>
      </x:c>
    </x:row>
    <x:row r="499" spans="15:15" ht="14.5" hidden="1">
      <x:c r="O499" s="29" t="s">
        <x:v>192</x:v>
      </x:c>
    </x:row>
    <x:row r="500" spans="15:15" ht="14.5" hidden="1">
      <x:c r="O500" s="29" t="s">
        <x:v>192</x:v>
      </x:c>
    </x:row>
    <x:row r="501" spans="15:15" ht="14.5" hidden="1">
      <x:c r="O501" s="29" t="s">
        <x:v>192</x:v>
      </x:c>
    </x:row>
    <x:row r="502" spans="15:15" ht="14.5" hidden="1">
      <x:c r="O502" s="29" t="s">
        <x:v>192</x:v>
      </x:c>
    </x:row>
    <x:row r="503" spans="15:15" ht="14.5" hidden="1">
      <x:c r="O503" s="29" t="s">
        <x:v>192</x:v>
      </x:c>
    </x:row>
    <x:row r="504" spans="15:15" ht="14.5" hidden="1">
      <x:c r="O504" s="29" t="s">
        <x:v>192</x:v>
      </x:c>
    </x:row>
    <x:row r="505" spans="15:15" ht="14.5" hidden="1">
      <x:c r="O505" s="29" t="s">
        <x:v>192</x:v>
      </x:c>
    </x:row>
    <x:row r="506" spans="15:15" ht="14.5" hidden="1">
      <x:c r="O506" s="29" t="s">
        <x:v>192</x:v>
      </x:c>
    </x:row>
    <x:row r="507" spans="15:15" ht="14.5" hidden="1">
      <x:c r="O507" s="29" t="s">
        <x:v>192</x:v>
      </x:c>
    </x:row>
    <x:row r="508" spans="15:15" ht="14.5" hidden="1">
      <x:c r="O508" s="29" t="s">
        <x:v>192</x:v>
      </x:c>
    </x:row>
    <x:row r="509" spans="15:15" ht="14.5" hidden="1">
      <x:c r="O509" s="29" t="s">
        <x:v>192</x:v>
      </x:c>
    </x:row>
    <x:row r="510" spans="15:15" ht="14.5" hidden="1">
      <x:c r="O510" s="29" t="s">
        <x:v>192</x:v>
      </x:c>
    </x:row>
    <x:row r="511" spans="15:15" ht="14.5" hidden="1">
      <x:c r="O511" s="29" t="s">
        <x:v>192</x:v>
      </x:c>
    </x:row>
    <x:row r="512" spans="15:15" ht="14.5" hidden="1">
      <x:c r="O512" s="29" t="s">
        <x:v>192</x:v>
      </x:c>
    </x:row>
    <x:row r="513" spans="15:15" ht="14.5" hidden="1">
      <x:c r="O513" s="29" t="s">
        <x:v>192</x:v>
      </x:c>
    </x:row>
    <x:row r="514" spans="15:15" ht="14.5" hidden="1">
      <x:c r="O514" s="29" t="s">
        <x:v>192</x:v>
      </x:c>
    </x:row>
    <x:row r="515" spans="15:15" ht="14.5" hidden="1">
      <x:c r="O515" s="29" t="s">
        <x:v>192</x:v>
      </x:c>
    </x:row>
    <x:row r="516" spans="15:15" ht="14.5" hidden="1">
      <x:c r="O516" s="29" t="s">
        <x:v>192</x:v>
      </x:c>
    </x:row>
    <x:row r="517" spans="15:15" ht="14.5" hidden="1">
      <x:c r="O517" s="29" t="s">
        <x:v>192</x:v>
      </x:c>
    </x:row>
    <x:row r="518" spans="15:15" ht="14.5" hidden="1">
      <x:c r="O518" s="29" t="s">
        <x:v>192</x:v>
      </x:c>
    </x:row>
    <x:row r="519" spans="15:15" ht="14.5" hidden="1">
      <x:c r="O519" s="29" t="s">
        <x:v>192</x:v>
      </x:c>
    </x:row>
    <x:row r="520" spans="15:15" ht="14.5" hidden="1">
      <x:c r="O520" s="29" t="s">
        <x:v>192</x:v>
      </x:c>
    </x:row>
    <x:row r="521" spans="15:15" ht="14.5" hidden="1">
      <x:c r="O521" s="29" t="s">
        <x:v>192</x:v>
      </x:c>
    </x:row>
    <x:row r="522" spans="15:15" ht="14.5" hidden="1">
      <x:c r="O522" s="29" t="s">
        <x:v>192</x:v>
      </x:c>
    </x:row>
    <x:row r="523" spans="15:15" ht="14.5" hidden="1">
      <x:c r="O523" s="29" t="s">
        <x:v>192</x:v>
      </x:c>
    </x:row>
    <x:row r="524" spans="15:15" ht="14.5" hidden="1">
      <x:c r="O524" s="29" t="s">
        <x:v>192</x:v>
      </x:c>
    </x:row>
    <x:row r="525" spans="15:15" ht="14.5" hidden="1">
      <x:c r="O525" s="29" t="s">
        <x:v>192</x:v>
      </x:c>
    </x:row>
    <x:row r="526" spans="15:15" ht="14.5" hidden="1">
      <x:c r="O526" s="29" t="s">
        <x:v>192</x:v>
      </x:c>
    </x:row>
    <x:row r="527" spans="15:15" ht="14.5" hidden="1">
      <x:c r="O527" s="29" t="s">
        <x:v>192</x:v>
      </x:c>
    </x:row>
    <x:row r="528" spans="15:15" ht="14.5" hidden="1">
      <x:c r="O528" s="29" t="s">
        <x:v>192</x:v>
      </x:c>
    </x:row>
    <x:row r="529" spans="15:15" ht="14.5" hidden="1">
      <x:c r="O529" s="29" t="s">
        <x:v>192</x:v>
      </x:c>
    </x:row>
    <x:row r="530" spans="15:15" ht="14.5" hidden="1">
      <x:c r="O530" s="29" t="s">
        <x:v>192</x:v>
      </x:c>
    </x:row>
    <x:row r="531" spans="15:15" ht="14.5" hidden="1">
      <x:c r="O531" s="29" t="s">
        <x:v>192</x:v>
      </x:c>
    </x:row>
    <x:row r="532" spans="15:15" ht="14.5" hidden="1">
      <x:c r="O532" s="29" t="s">
        <x:v>192</x:v>
      </x:c>
    </x:row>
    <x:row r="533" spans="15:15" ht="14.5" hidden="1">
      <x:c r="O533" s="29" t="s">
        <x:v>192</x:v>
      </x:c>
    </x:row>
    <x:row r="534" spans="15:15" ht="14.5" hidden="1">
      <x:c r="O534" s="29" t="s">
        <x:v>192</x:v>
      </x:c>
    </x:row>
    <x:row r="535" spans="15:15" ht="14.5" hidden="1">
      <x:c r="O535" s="29" t="s">
        <x:v>192</x:v>
      </x:c>
    </x:row>
    <x:row r="536" spans="15:15" ht="14.5" hidden="1">
      <x:c r="O536" s="29" t="s">
        <x:v>192</x:v>
      </x:c>
    </x:row>
    <x:row r="537" spans="15:15" ht="14.5" hidden="1">
      <x:c r="O537" s="29" t="s">
        <x:v>192</x:v>
      </x:c>
    </x:row>
    <x:row r="538" spans="15:15" ht="14.5" hidden="1">
      <x:c r="O538" s="29" t="s">
        <x:v>192</x:v>
      </x:c>
    </x:row>
    <x:row r="539" spans="15:15" ht="14.5" hidden="1">
      <x:c r="O539" s="29" t="s">
        <x:v>192</x:v>
      </x:c>
    </x:row>
    <x:row r="540" spans="15:15" ht="14.5" hidden="1">
      <x:c r="O540" s="29" t="s">
        <x:v>192</x:v>
      </x:c>
    </x:row>
    <x:row r="541" spans="15:15" ht="14.5" hidden="1">
      <x:c r="O541" s="29" t="s">
        <x:v>192</x:v>
      </x:c>
    </x:row>
    <x:row r="542" spans="15:15" ht="14.5" hidden="1">
      <x:c r="O542" s="29" t="s">
        <x:v>192</x:v>
      </x:c>
    </x:row>
    <x:row r="543" spans="15:15" ht="14.5" hidden="1">
      <x:c r="O543" s="29" t="s">
        <x:v>192</x:v>
      </x:c>
    </x:row>
    <x:row r="544" spans="15:15" ht="14.5" hidden="1">
      <x:c r="O544" s="29" t="s">
        <x:v>192</x:v>
      </x:c>
    </x:row>
    <x:row r="545" spans="15:15" ht="14.5" hidden="1">
      <x:c r="O545" s="29" t="s">
        <x:v>192</x:v>
      </x:c>
    </x:row>
    <x:row r="546" spans="15:15" ht="14.5" hidden="1">
      <x:c r="O546" s="29" t="s">
        <x:v>192</x:v>
      </x:c>
    </x:row>
    <x:row r="547" spans="15:15" ht="14.5" hidden="1">
      <x:c r="O547" s="29" t="s">
        <x:v>192</x:v>
      </x:c>
    </x:row>
    <x:row r="548" spans="15:15" ht="14.5" hidden="1">
      <x:c r="O548" s="29" t="s">
        <x:v>192</x:v>
      </x:c>
    </x:row>
    <x:row r="549" spans="15:15" ht="14.5" hidden="1">
      <x:c r="O549" s="29" t="s">
        <x:v>192</x:v>
      </x:c>
    </x:row>
    <x:row r="550" spans="15:15" ht="14.5" hidden="1">
      <x:c r="O550" s="29" t="s">
        <x:v>192</x:v>
      </x:c>
    </x:row>
    <x:row r="551" spans="15:15" ht="14.5" hidden="1">
      <x:c r="O551" s="29" t="s">
        <x:v>192</x:v>
      </x:c>
    </x:row>
    <x:row r="552" spans="15:15" ht="14.5" hidden="1">
      <x:c r="O552" s="29" t="s">
        <x:v>192</x:v>
      </x:c>
    </x:row>
    <x:row r="553" spans="15:15" ht="14.5" hidden="1">
      <x:c r="O553" s="29" t="s">
        <x:v>192</x:v>
      </x:c>
    </x:row>
    <x:row r="554" spans="15:15" ht="14.5" hidden="1">
      <x:c r="O554" s="29" t="s">
        <x:v>192</x:v>
      </x:c>
    </x:row>
    <x:row r="555" spans="15:15" ht="14.5" hidden="1">
      <x:c r="O555" s="29" t="s">
        <x:v>192</x:v>
      </x:c>
    </x:row>
    <x:row r="556" spans="15:15" ht="14.5" hidden="1">
      <x:c r="O556" s="29" t="s">
        <x:v>192</x:v>
      </x:c>
    </x:row>
    <x:row r="557" spans="15:15" ht="14.5" hidden="1">
      <x:c r="O557" s="29" t="s">
        <x:v>192</x:v>
      </x:c>
    </x:row>
    <x:row r="558" spans="15:15" ht="14.5" hidden="1">
      <x:c r="O558" s="29" t="s">
        <x:v>192</x:v>
      </x:c>
    </x:row>
    <x:row r="559" spans="15:15" ht="14.5" hidden="1">
      <x:c r="O559" s="29" t="s">
        <x:v>192</x:v>
      </x:c>
    </x:row>
    <x:row r="560" spans="15:15" ht="14.5" hidden="1">
      <x:c r="O560" s="29" t="s">
        <x:v>192</x:v>
      </x:c>
    </x:row>
    <x:row r="561" spans="15:15" ht="14.5" hidden="1">
      <x:c r="O561" s="29" t="s">
        <x:v>192</x:v>
      </x:c>
    </x:row>
    <x:row r="562" spans="15:15" ht="14.5" hidden="1">
      <x:c r="O562" s="29" t="s">
        <x:v>192</x:v>
      </x:c>
    </x:row>
    <x:row r="563" spans="15:15" ht="14.5" hidden="1">
      <x:c r="O563" s="29" t="s">
        <x:v>192</x:v>
      </x:c>
    </x:row>
    <x:row r="564" spans="15:15" ht="14.5" hidden="1">
      <x:c r="O564" s="29" t="s">
        <x:v>192</x:v>
      </x:c>
    </x:row>
    <x:row r="565" spans="15:15" ht="14.5" hidden="1">
      <x:c r="O565" s="29" t="s">
        <x:v>192</x:v>
      </x:c>
    </x:row>
    <x:row r="566" spans="15:15" ht="14.5" hidden="1">
      <x:c r="O566" s="29" t="s">
        <x:v>192</x:v>
      </x:c>
    </x:row>
    <x:row r="567" spans="15:15" ht="14.5" hidden="1">
      <x:c r="O567" s="29" t="s">
        <x:v>192</x:v>
      </x:c>
    </x:row>
    <x:row r="568" spans="15:15" ht="14.5" hidden="1">
      <x:c r="O568" s="29" t="s">
        <x:v>192</x:v>
      </x:c>
    </x:row>
    <x:row r="569" spans="15:15" ht="14.5" hidden="1">
      <x:c r="O569" s="29" t="s">
        <x:v>192</x:v>
      </x:c>
    </x:row>
    <x:row r="570" spans="15:15" ht="14.5" hidden="1">
      <x:c r="O570" s="29" t="s">
        <x:v>192</x:v>
      </x:c>
    </x:row>
    <x:row r="571" spans="15:15" ht="14.5" hidden="1">
      <x:c r="O571" s="29" t="s">
        <x:v>192</x:v>
      </x:c>
    </x:row>
    <x:row r="572" spans="15:15" ht="14.5" hidden="1">
      <x:c r="O572" s="29" t="s">
        <x:v>192</x:v>
      </x:c>
    </x:row>
    <x:row r="573" spans="15:15" ht="14.5" hidden="1">
      <x:c r="O573" s="29" t="s">
        <x:v>192</x:v>
      </x:c>
    </x:row>
    <x:row r="574" spans="15:15" ht="14.5" hidden="1">
      <x:c r="O574" s="29" t="s">
        <x:v>192</x:v>
      </x:c>
    </x:row>
    <x:row r="575" spans="15:15" ht="14.5" hidden="1">
      <x:c r="O575" s="29" t="s">
        <x:v>192</x:v>
      </x:c>
    </x:row>
    <x:row r="576" spans="15:15" ht="14.5" hidden="1">
      <x:c r="O576" s="29" t="s">
        <x:v>192</x:v>
      </x:c>
    </x:row>
    <x:row r="577" spans="15:15" ht="14.5" hidden="1">
      <x:c r="O577" s="29" t="s">
        <x:v>192</x:v>
      </x:c>
    </x:row>
    <x:row r="578" spans="15:15" ht="14.5" hidden="1">
      <x:c r="O578" s="29" t="s">
        <x:v>192</x:v>
      </x:c>
    </x:row>
    <x:row r="579" spans="15:15" ht="14.5" hidden="1">
      <x:c r="O579" s="29" t="s">
        <x:v>192</x:v>
      </x:c>
    </x:row>
    <x:row r="580" spans="15:15" ht="14.5" hidden="1">
      <x:c r="O580" s="29" t="s">
        <x:v>192</x:v>
      </x:c>
    </x:row>
    <x:row r="581" spans="15:15" ht="14.5" hidden="1">
      <x:c r="O581" s="29" t="s">
        <x:v>192</x:v>
      </x:c>
    </x:row>
    <x:row r="582" spans="15:15" ht="14.5" hidden="1">
      <x:c r="O582" s="29" t="s">
        <x:v>192</x:v>
      </x:c>
    </x:row>
    <x:row r="583" spans="15:15" ht="14.5" hidden="1">
      <x:c r="O583" s="29" t="s">
        <x:v>192</x:v>
      </x:c>
    </x:row>
    <x:row r="584" spans="15:15" ht="14.5" hidden="1">
      <x:c r="O584" s="29" t="s">
        <x:v>192</x:v>
      </x:c>
    </x:row>
    <x:row r="585" spans="15:15" ht="14.5" hidden="1">
      <x:c r="O585" s="29" t="s">
        <x:v>192</x:v>
      </x:c>
    </x:row>
    <x:row r="586" spans="15:15" ht="14.5" hidden="1">
      <x:c r="O586" s="29" t="s">
        <x:v>192</x:v>
      </x:c>
    </x:row>
    <x:row r="587" spans="15:15" ht="14.5" hidden="1">
      <x:c r="O587" s="29" t="s">
        <x:v>192</x:v>
      </x:c>
    </x:row>
    <x:row r="588" spans="15:15" ht="14.5" hidden="1">
      <x:c r="O588" s="29" t="s">
        <x:v>192</x:v>
      </x:c>
    </x:row>
    <x:row r="589" spans="15:15" ht="14.5" hidden="1">
      <x:c r="O589" s="29" t="s">
        <x:v>192</x:v>
      </x:c>
    </x:row>
    <x:row r="590" spans="15:15" ht="14.5" hidden="1">
      <x:c r="O590" s="29" t="s">
        <x:v>192</x:v>
      </x:c>
    </x:row>
    <x:row r="591" spans="15:15" ht="14.5" hidden="1">
      <x:c r="O591" s="29" t="s">
        <x:v>192</x:v>
      </x:c>
    </x:row>
    <x:row r="592" spans="15:15" ht="14.5" hidden="1">
      <x:c r="O592" s="29" t="s">
        <x:v>192</x:v>
      </x:c>
    </x:row>
    <x:row r="593" spans="15:15" ht="14.5" hidden="1">
      <x:c r="O593" s="29" t="s">
        <x:v>192</x:v>
      </x:c>
    </x:row>
    <x:row r="594" spans="15:15" ht="14.5" hidden="1">
      <x:c r="O594" s="29" t="s">
        <x:v>192</x:v>
      </x:c>
    </x:row>
    <x:row r="595" spans="15:15" ht="14.5" hidden="1">
      <x:c r="O595" s="29" t="s">
        <x:v>192</x:v>
      </x:c>
    </x:row>
    <x:row r="596" spans="15:15" ht="14.5" hidden="1">
      <x:c r="O596" s="29" t="s">
        <x:v>192</x:v>
      </x:c>
    </x:row>
    <x:row r="597" spans="15:15" ht="14.5" hidden="1">
      <x:c r="O597" s="29" t="s">
        <x:v>192</x:v>
      </x:c>
    </x:row>
    <x:row r="598" spans="15:15" ht="14.5" hidden="1">
      <x:c r="O598" s="29" t="s">
        <x:v>192</x:v>
      </x:c>
    </x:row>
    <x:row r="599" spans="15:15" ht="14.5" hidden="1">
      <x:c r="O599" s="29" t="s">
        <x:v>192</x:v>
      </x:c>
    </x:row>
    <x:row r="600" spans="15:15" ht="14.5" hidden="1">
      <x:c r="O600" s="29" t="s">
        <x:v>192</x:v>
      </x:c>
    </x:row>
    <x:row r="601" spans="15:15" ht="14.5" hidden="1">
      <x:c r="O601" s="29" t="s">
        <x:v>192</x:v>
      </x:c>
    </x:row>
    <x:row r="602" spans="15:15" ht="14.5" hidden="1">
      <x:c r="O602" s="29" t="s">
        <x:v>192</x:v>
      </x:c>
    </x:row>
    <x:row r="603" spans="15:15" ht="14.5" hidden="1">
      <x:c r="O603" s="29" t="s">
        <x:v>192</x:v>
      </x:c>
    </x:row>
    <x:row r="604" spans="15:15" ht="14.5" hidden="1">
      <x:c r="O604" s="29" t="s">
        <x:v>192</x:v>
      </x:c>
    </x:row>
    <x:row r="605" spans="15:15" ht="14.5" hidden="1">
      <x:c r="O605" s="29" t="s">
        <x:v>192</x:v>
      </x:c>
    </x:row>
    <x:row r="606" spans="15:15" ht="14.5" hidden="1">
      <x:c r="O606" s="29" t="s">
        <x:v>192</x:v>
      </x:c>
    </x:row>
    <x:row r="607" spans="15:15" ht="14.5" hidden="1">
      <x:c r="O607" s="29" t="s">
        <x:v>192</x:v>
      </x:c>
    </x:row>
    <x:row r="608" spans="15:15" ht="14.5" hidden="1">
      <x:c r="O608" s="29" t="s">
        <x:v>192</x:v>
      </x:c>
    </x:row>
    <x:row r="609" spans="15:15" ht="14.5" hidden="1">
      <x:c r="O609" s="29" t="s">
        <x:v>192</x:v>
      </x:c>
    </x:row>
    <x:row r="610" spans="15:15" ht="14.5" hidden="1">
      <x:c r="O610" s="29" t="s">
        <x:v>192</x:v>
      </x:c>
    </x:row>
    <x:row r="611" spans="15:15" ht="14.5" hidden="1">
      <x:c r="O611" s="29" t="s">
        <x:v>192</x:v>
      </x:c>
    </x:row>
    <x:row r="612" spans="15:15" ht="14.5" hidden="1">
      <x:c r="O612" s="29" t="s">
        <x:v>192</x:v>
      </x:c>
    </x:row>
    <x:row r="613" spans="15:15" ht="14.5" hidden="1">
      <x:c r="O613" s="29" t="s">
        <x:v>192</x:v>
      </x:c>
    </x:row>
    <x:row r="614" spans="15:15" ht="14.5" hidden="1">
      <x:c r="O614" s="29" t="s">
        <x:v>192</x:v>
      </x:c>
    </x:row>
    <x:row r="615" spans="15:15" ht="14.5" hidden="1">
      <x:c r="O615" s="29" t="s">
        <x:v>192</x:v>
      </x:c>
    </x:row>
    <x:row r="616" spans="15:15" ht="14.5" hidden="1">
      <x:c r="O616" s="29" t="s">
        <x:v>192</x:v>
      </x:c>
    </x:row>
    <x:row r="617" spans="15:15" ht="14.5" hidden="1">
      <x:c r="O617" s="29" t="s">
        <x:v>192</x:v>
      </x:c>
    </x:row>
    <x:row r="618" spans="15:15" ht="14.5" hidden="1">
      <x:c r="O618" s="29" t="s">
        <x:v>192</x:v>
      </x:c>
    </x:row>
    <x:row r="619" spans="15:15" ht="14.5" hidden="1">
      <x:c r="O619" s="29" t="s">
        <x:v>192</x:v>
      </x:c>
    </x:row>
    <x:row r="620" spans="15:15" ht="14.5" hidden="1">
      <x:c r="O620" s="29" t="s">
        <x:v>192</x:v>
      </x:c>
    </x:row>
    <x:row r="621" spans="15:15" ht="14.5" hidden="1">
      <x:c r="O621" s="29" t="s">
        <x:v>192</x:v>
      </x:c>
    </x:row>
    <x:row r="622" spans="15:15" ht="14.5" hidden="1">
      <x:c r="O622" s="29" t="s">
        <x:v>192</x:v>
      </x:c>
    </x:row>
    <x:row r="623" spans="15:15" ht="14.5" hidden="1">
      <x:c r="O623" s="29" t="s">
        <x:v>192</x:v>
      </x:c>
    </x:row>
    <x:row r="624" spans="15:15" ht="14.5" hidden="1">
      <x:c r="O624" s="29" t="s">
        <x:v>192</x:v>
      </x:c>
    </x:row>
    <x:row r="625" spans="15:15" ht="14.5" hidden="1">
      <x:c r="O625" s="29" t="s">
        <x:v>192</x:v>
      </x:c>
    </x:row>
    <x:row r="626" spans="15:15" ht="14.5" hidden="1">
      <x:c r="O626" s="29" t="s">
        <x:v>192</x:v>
      </x:c>
    </x:row>
    <x:row r="627" spans="15:15" ht="14.5" hidden="1">
      <x:c r="O627" s="29" t="s">
        <x:v>192</x:v>
      </x:c>
    </x:row>
    <x:row r="628" spans="15:15" ht="14.5" hidden="1">
      <x:c r="O628" s="29" t="s">
        <x:v>192</x:v>
      </x:c>
    </x:row>
    <x:row r="629" spans="15:15" ht="14.5" hidden="1">
      <x:c r="O629" s="29" t="s">
        <x:v>192</x:v>
      </x:c>
    </x:row>
    <x:row r="630" spans="15:15" ht="14.5" hidden="1">
      <x:c r="O630" s="29" t="s">
        <x:v>192</x:v>
      </x:c>
    </x:row>
    <x:row r="631" spans="15:15" ht="14.5" hidden="1">
      <x:c r="O631" s="29" t="s">
        <x:v>192</x:v>
      </x:c>
    </x:row>
    <x:row r="632" spans="15:15" ht="14.5" hidden="1">
      <x:c r="O632" s="29" t="s">
        <x:v>192</x:v>
      </x:c>
    </x:row>
    <x:row r="633" spans="15:15" ht="14.5" hidden="1">
      <x:c r="O633" s="29" t="s">
        <x:v>192</x:v>
      </x:c>
    </x:row>
    <x:row r="634" spans="15:15" ht="14.5" hidden="1">
      <x:c r="O634" s="29" t="s">
        <x:v>192</x:v>
      </x:c>
    </x:row>
    <x:row r="635" spans="15:15" ht="14.5" hidden="1">
      <x:c r="O635" s="29" t="s">
        <x:v>192</x:v>
      </x:c>
    </x:row>
    <x:row r="636" spans="15:15" ht="14.5" hidden="1">
      <x:c r="O636" s="29" t="s">
        <x:v>192</x:v>
      </x:c>
    </x:row>
    <x:row r="637" spans="15:15" ht="14.5" hidden="1">
      <x:c r="O637" s="29" t="s">
        <x:v>192</x:v>
      </x:c>
    </x:row>
    <x:row r="638" spans="15:15" ht="14.5" hidden="1">
      <x:c r="O638" s="29" t="s">
        <x:v>192</x:v>
      </x:c>
    </x:row>
    <x:row r="639" spans="15:15" ht="14.5" hidden="1">
      <x:c r="O639" s="29" t="s">
        <x:v>192</x:v>
      </x:c>
    </x:row>
    <x:row r="640" spans="15:15" ht="14.5" hidden="1">
      <x:c r="O640" s="29" t="s">
        <x:v>192</x:v>
      </x:c>
    </x:row>
    <x:row r="641" spans="15:15" ht="14.5" hidden="1">
      <x:c r="O641" s="29" t="s">
        <x:v>192</x:v>
      </x:c>
    </x:row>
    <x:row r="642" spans="15:15" ht="14.5" hidden="1">
      <x:c r="O642" s="29" t="s">
        <x:v>192</x:v>
      </x:c>
    </x:row>
    <x:row r="643" spans="15:15" ht="14.5" hidden="1">
      <x:c r="O643" s="29" t="s">
        <x:v>192</x:v>
      </x:c>
    </x:row>
    <x:row r="644" spans="15:15" ht="14.5" hidden="1">
      <x:c r="O644" s="29" t="s">
        <x:v>192</x:v>
      </x:c>
    </x:row>
    <x:row r="645" spans="15:15" ht="14.5" hidden="1">
      <x:c r="O645" s="29" t="s">
        <x:v>192</x:v>
      </x:c>
    </x:row>
    <x:row r="646" spans="15:15" ht="14.5" hidden="1">
      <x:c r="O646" s="29" t="s">
        <x:v>192</x:v>
      </x:c>
    </x:row>
    <x:row r="647" spans="15:15" ht="14.5" hidden="1">
      <x:c r="O647" s="29" t="s">
        <x:v>192</x:v>
      </x:c>
    </x:row>
    <x:row r="648" spans="15:15" ht="14.5" hidden="1">
      <x:c r="O648" s="29" t="s">
        <x:v>192</x:v>
      </x:c>
    </x:row>
    <x:row r="649" spans="15:15" ht="14.5" hidden="1">
      <x:c r="O649" s="29" t="s">
        <x:v>192</x:v>
      </x:c>
    </x:row>
    <x:row r="650" spans="15:15" ht="14.5" hidden="1">
      <x:c r="O650" s="29" t="s">
        <x:v>192</x:v>
      </x:c>
    </x:row>
    <x:row r="651" spans="15:15" ht="14.5" hidden="1">
      <x:c r="O651" s="29" t="s">
        <x:v>192</x:v>
      </x:c>
    </x:row>
    <x:row r="652" spans="15:15" ht="14.5" hidden="1">
      <x:c r="O652" s="29" t="s">
        <x:v>192</x:v>
      </x:c>
    </x:row>
    <x:row r="653" spans="15:15" ht="14.5" hidden="1">
      <x:c r="O653" s="29" t="s">
        <x:v>192</x:v>
      </x:c>
    </x:row>
    <x:row r="654" spans="15:15" ht="14.5" hidden="1">
      <x:c r="O654" s="29" t="s">
        <x:v>192</x:v>
      </x:c>
    </x:row>
    <x:row r="655" spans="15:15" ht="14.5" hidden="1">
      <x:c r="O655" s="29" t="s">
        <x:v>192</x:v>
      </x:c>
    </x:row>
    <x:row r="656" spans="15:15" ht="14.5" hidden="1">
      <x:c r="O656" s="29" t="s">
        <x:v>192</x:v>
      </x:c>
    </x:row>
    <x:row r="657" spans="15:15" ht="14.5" hidden="1">
      <x:c r="O657" s="29" t="s">
        <x:v>192</x:v>
      </x:c>
    </x:row>
    <x:row r="658" spans="15:15" ht="14.5" hidden="1">
      <x:c r="O658" s="29" t="s">
        <x:v>192</x:v>
      </x:c>
    </x:row>
    <x:row r="659" spans="15:15" ht="14.5" hidden="1">
      <x:c r="O659" s="29" t="s">
        <x:v>192</x:v>
      </x:c>
    </x:row>
    <x:row r="660" spans="15:15" ht="14.5" hidden="1">
      <x:c r="O660" s="29" t="s">
        <x:v>192</x:v>
      </x:c>
    </x:row>
    <x:row r="661" spans="15:15" ht="14.5" hidden="1">
      <x:c r="O661" s="29" t="s">
        <x:v>192</x:v>
      </x:c>
    </x:row>
    <x:row r="662" spans="15:15" ht="14.5" hidden="1">
      <x:c r="O662" s="29" t="s">
        <x:v>192</x:v>
      </x:c>
    </x:row>
    <x:row r="663" spans="15:15" ht="14.5" hidden="1">
      <x:c r="O663" s="29" t="s">
        <x:v>192</x:v>
      </x:c>
    </x:row>
    <x:row r="664" spans="15:15" ht="14.5" hidden="1">
      <x:c r="O664" s="29" t="s">
        <x:v>192</x:v>
      </x:c>
    </x:row>
    <x:row r="665" spans="15:15" ht="14.5" hidden="1">
      <x:c r="O665" s="29" t="s">
        <x:v>192</x:v>
      </x:c>
    </x:row>
    <x:row r="666" spans="15:15" ht="14.5" hidden="1">
      <x:c r="O666" s="29" t="s">
        <x:v>192</x:v>
      </x:c>
    </x:row>
    <x:row r="667" spans="15:15" ht="14.5" hidden="1">
      <x:c r="O667" s="29" t="s">
        <x:v>192</x:v>
      </x:c>
    </x:row>
    <x:row r="668" spans="15:15" ht="14.5" hidden="1">
      <x:c r="O668" s="29" t="s">
        <x:v>192</x:v>
      </x:c>
    </x:row>
    <x:row r="669" spans="15:15" ht="14.5" hidden="1">
      <x:c r="O669" s="29" t="s">
        <x:v>192</x:v>
      </x:c>
    </x:row>
    <x:row r="670" spans="15:15" ht="14.5" hidden="1">
      <x:c r="O670" s="29" t="s">
        <x:v>192</x:v>
      </x:c>
    </x:row>
    <x:row r="671" spans="15:15" ht="14.5" hidden="1">
      <x:c r="O671" s="29" t="s">
        <x:v>192</x:v>
      </x:c>
    </x:row>
    <x:row r="672" spans="15:15" ht="14.5" hidden="1">
      <x:c r="O672" s="29" t="s">
        <x:v>192</x:v>
      </x:c>
    </x:row>
    <x:row r="673" spans="15:15" ht="14.5" hidden="1">
      <x:c r="O673" s="29" t="s">
        <x:v>192</x:v>
      </x:c>
    </x:row>
    <x:row r="674" spans="15:15" ht="14.5" hidden="1">
      <x:c r="O674" s="29" t="s">
        <x:v>192</x:v>
      </x:c>
    </x:row>
    <x:row r="675" spans="15:15" ht="14.5" hidden="1">
      <x:c r="O675" s="29" t="s">
        <x:v>192</x:v>
      </x:c>
    </x:row>
    <x:row r="676" spans="15:15" ht="14.5" hidden="1">
      <x:c r="O676" s="29" t="s">
        <x:v>192</x:v>
      </x:c>
    </x:row>
    <x:row r="677" spans="15:15" ht="14.5" hidden="1">
      <x:c r="O677" s="29" t="s">
        <x:v>192</x:v>
      </x:c>
    </x:row>
    <x:row r="678" spans="15:15" ht="14.5" hidden="1">
      <x:c r="O678" s="29" t="s">
        <x:v>192</x:v>
      </x:c>
    </x:row>
    <x:row r="679" spans="15:15" ht="14.5" hidden="1">
      <x:c r="O679" s="29" t="s">
        <x:v>192</x:v>
      </x:c>
    </x:row>
    <x:row r="680" spans="15:15" ht="14.5" hidden="1">
      <x:c r="O680" s="29" t="s">
        <x:v>192</x:v>
      </x:c>
    </x:row>
    <x:row r="681" spans="15:15" ht="14.5" hidden="1">
      <x:c r="O681" s="29" t="s">
        <x:v>192</x:v>
      </x:c>
    </x:row>
    <x:row r="682" spans="15:15" ht="14.5" hidden="1">
      <x:c r="O682" s="29" t="s">
        <x:v>192</x:v>
      </x:c>
    </x:row>
    <x:row r="683" spans="15:15" ht="14.5" hidden="1">
      <x:c r="O683" s="29" t="s">
        <x:v>192</x:v>
      </x:c>
    </x:row>
    <x:row r="684" spans="15:15" ht="14.5" hidden="1">
      <x:c r="O684" s="29" t="s">
        <x:v>192</x:v>
      </x:c>
    </x:row>
    <x:row r="685" spans="15:15" ht="14.5" hidden="1">
      <x:c r="O685" s="29" t="s">
        <x:v>192</x:v>
      </x:c>
    </x:row>
    <x:row r="686" spans="15:15" ht="14.5" hidden="1">
      <x:c r="O686" s="29" t="s">
        <x:v>192</x:v>
      </x:c>
    </x:row>
    <x:row r="687" spans="15:15" ht="14.5" hidden="1">
      <x:c r="O687" s="29" t="s">
        <x:v>192</x:v>
      </x:c>
    </x:row>
    <x:row r="688" spans="15:15" ht="14.5" hidden="1">
      <x:c r="O688" s="29" t="s">
        <x:v>192</x:v>
      </x:c>
    </x:row>
    <x:row r="689" spans="15:15" ht="14.5" hidden="1">
      <x:c r="O689" s="29" t="s">
        <x:v>192</x:v>
      </x:c>
    </x:row>
    <x:row r="690" spans="15:15" ht="14.5" hidden="1">
      <x:c r="O690" s="29" t="s">
        <x:v>192</x:v>
      </x:c>
    </x:row>
    <x:row r="691" spans="15:15" ht="14.5" hidden="1">
      <x:c r="O691" s="29" t="s">
        <x:v>192</x:v>
      </x:c>
    </x:row>
    <x:row r="692" spans="15:15" ht="14.5" hidden="1">
      <x:c r="O692" s="29" t="s">
        <x:v>192</x:v>
      </x:c>
    </x:row>
    <x:row r="693" spans="15:15" ht="14.5" hidden="1">
      <x:c r="O693" s="29" t="s">
        <x:v>192</x:v>
      </x:c>
    </x:row>
    <x:row r="694" spans="15:15" ht="14.5" hidden="1">
      <x:c r="O694" s="29" t="s">
        <x:v>192</x:v>
      </x:c>
    </x:row>
    <x:row r="695" spans="15:15" ht="14.5" hidden="1">
      <x:c r="O695" s="29" t="s">
        <x:v>192</x:v>
      </x:c>
    </x:row>
    <x:row r="696" spans="15:15" ht="14.5" hidden="1">
      <x:c r="O696" s="29" t="s">
        <x:v>192</x:v>
      </x:c>
    </x:row>
    <x:row r="697" spans="15:15" ht="14.5" hidden="1">
      <x:c r="O697" s="29" t="s">
        <x:v>192</x:v>
      </x:c>
    </x:row>
    <x:row r="698" spans="15:15" ht="14.5" hidden="1">
      <x:c r="O698" s="29" t="s">
        <x:v>192</x:v>
      </x:c>
    </x:row>
    <x:row r="699" spans="15:15" ht="14.5" hidden="1">
      <x:c r="O699" s="29" t="s">
        <x:v>192</x:v>
      </x:c>
    </x:row>
    <x:row r="700" spans="15:15" ht="14.5" hidden="1">
      <x:c r="O700" s="29" t="s">
        <x:v>192</x:v>
      </x:c>
    </x:row>
    <x:row r="701" spans="15:15" ht="14.5" hidden="1">
      <x:c r="O701" s="29" t="s">
        <x:v>192</x:v>
      </x:c>
    </x:row>
    <x:row r="702" spans="15:15" ht="14.5" hidden="1">
      <x:c r="O702" s="29" t="s">
        <x:v>192</x:v>
      </x:c>
    </x:row>
    <x:row r="703" spans="15:15" ht="14.5" hidden="1">
      <x:c r="O703" s="29" t="s">
        <x:v>192</x:v>
      </x:c>
    </x:row>
    <x:row r="704" spans="15:15" ht="14.5" hidden="1">
      <x:c r="O704" s="29" t="s">
        <x:v>192</x:v>
      </x:c>
    </x:row>
    <x:row r="705" spans="15:15" ht="14.5" hidden="1">
      <x:c r="O705" s="29" t="s">
        <x:v>192</x:v>
      </x:c>
    </x:row>
    <x:row r="706" spans="15:15" ht="14.5" hidden="1">
      <x:c r="O706" s="29" t="s">
        <x:v>192</x:v>
      </x:c>
    </x:row>
    <x:row r="707" spans="15:15" ht="14.5" hidden="1">
      <x:c r="O707" s="29" t="s">
        <x:v>192</x:v>
      </x:c>
    </x:row>
    <x:row r="708" spans="15:15" ht="14.5" hidden="1">
      <x:c r="O708" s="29" t="s">
        <x:v>192</x:v>
      </x:c>
    </x:row>
    <x:row r="709" spans="15:15" ht="14.5" hidden="1">
      <x:c r="O709" s="29" t="s">
        <x:v>192</x:v>
      </x:c>
    </x:row>
    <x:row r="710" spans="15:15" ht="14.5" hidden="1">
      <x:c r="O710" s="29" t="s">
        <x:v>192</x:v>
      </x:c>
    </x:row>
    <x:row r="711" spans="15:15" ht="14.5" hidden="1">
      <x:c r="O711" s="29" t="s">
        <x:v>192</x:v>
      </x:c>
    </x:row>
    <x:row r="712" spans="15:15" ht="14.5" hidden="1">
      <x:c r="O712" s="29" t="s">
        <x:v>192</x:v>
      </x:c>
    </x:row>
    <x:row r="713" spans="15:15" ht="14.5" hidden="1">
      <x:c r="O713" s="29" t="s">
        <x:v>192</x:v>
      </x:c>
    </x:row>
    <x:row r="714" spans="15:15" ht="14.5" hidden="1">
      <x:c r="O714" s="29" t="s">
        <x:v>192</x:v>
      </x:c>
    </x:row>
    <x:row r="715" spans="15:15" ht="14.5" hidden="1">
      <x:c r="O715" s="29" t="s">
        <x:v>192</x:v>
      </x:c>
    </x:row>
    <x:row r="716" spans="15:15" ht="14.5" hidden="1">
      <x:c r="O716" s="29" t="s">
        <x:v>192</x:v>
      </x:c>
    </x:row>
    <x:row r="717" spans="15:15" ht="14.5" hidden="1">
      <x:c r="O717" s="29" t="s">
        <x:v>192</x:v>
      </x:c>
    </x:row>
    <x:row r="718" spans="15:15" ht="14.5" hidden="1">
      <x:c r="O718" s="29" t="s">
        <x:v>192</x:v>
      </x:c>
    </x:row>
    <x:row r="719" spans="15:15" ht="14.5" hidden="1">
      <x:c r="O719" s="29" t="s">
        <x:v>192</x:v>
      </x:c>
    </x:row>
    <x:row r="720" spans="15:15" ht="14.5" hidden="1">
      <x:c r="O720" s="29" t="s">
        <x:v>192</x:v>
      </x:c>
    </x:row>
    <x:row r="721" spans="15:15" ht="14.5" hidden="1">
      <x:c r="O721" s="29" t="s">
        <x:v>192</x:v>
      </x:c>
    </x:row>
    <x:row r="722" spans="15:15" ht="14.5" hidden="1">
      <x:c r="O722" s="29" t="s">
        <x:v>192</x:v>
      </x:c>
    </x:row>
    <x:row r="723" spans="15:15" ht="14.5" hidden="1">
      <x:c r="O723" s="29" t="s">
        <x:v>192</x:v>
      </x:c>
    </x:row>
    <x:row r="724" spans="15:15" ht="14.5" hidden="1">
      <x:c r="O724" s="29" t="s">
        <x:v>192</x:v>
      </x:c>
    </x:row>
    <x:row r="725" spans="15:15" ht="14.5" hidden="1">
      <x:c r="O725" s="29" t="s">
        <x:v>192</x:v>
      </x:c>
    </x:row>
    <x:row r="726" spans="15:15" ht="14.5" hidden="1">
      <x:c r="O726" s="29" t="s">
        <x:v>192</x:v>
      </x:c>
    </x:row>
    <x:row r="727" spans="15:15" ht="14.5" hidden="1">
      <x:c r="O727" s="29" t="s">
        <x:v>192</x:v>
      </x:c>
    </x:row>
    <x:row r="728" spans="15:15" ht="14.5" hidden="1">
      <x:c r="O728" s="29" t="s">
        <x:v>192</x:v>
      </x:c>
    </x:row>
    <x:row r="729" spans="15:15" ht="14.5" hidden="1">
      <x:c r="O729" s="29" t="s">
        <x:v>192</x:v>
      </x:c>
    </x:row>
    <x:row r="730" spans="15:15" ht="14.5" hidden="1">
      <x:c r="O730" s="29" t="s">
        <x:v>192</x:v>
      </x:c>
    </x:row>
    <x:row r="731" spans="15:15" ht="14.5" hidden="1">
      <x:c r="O731" s="29" t="s">
        <x:v>192</x:v>
      </x:c>
    </x:row>
    <x:row r="732" spans="15:15" ht="14.5" hidden="1">
      <x:c r="O732" s="29" t="s">
        <x:v>192</x:v>
      </x:c>
    </x:row>
    <x:row r="733" spans="15:15" ht="14.5" hidden="1">
      <x:c r="O733" s="29" t="s">
        <x:v>192</x:v>
      </x:c>
    </x:row>
    <x:row r="734" spans="15:15" ht="14.5" hidden="1">
      <x:c r="O734" s="29" t="s">
        <x:v>192</x:v>
      </x:c>
    </x:row>
    <x:row r="735" spans="15:15" ht="14.5" hidden="1">
      <x:c r="O735" s="29" t="s">
        <x:v>192</x:v>
      </x:c>
    </x:row>
    <x:row r="736" spans="15:15" ht="14.5" hidden="1">
      <x:c r="O736" s="29" t="s">
        <x:v>192</x:v>
      </x:c>
    </x:row>
    <x:row r="737" spans="15:15" ht="14.5" hidden="1">
      <x:c r="O737" s="29" t="s">
        <x:v>192</x:v>
      </x:c>
    </x:row>
    <x:row r="738" spans="15:15" ht="14.5" hidden="1">
      <x:c r="O738" s="29" t="s">
        <x:v>192</x:v>
      </x:c>
    </x:row>
    <x:row r="739" spans="15:15" ht="14.5" hidden="1">
      <x:c r="O739" s="29" t="s">
        <x:v>192</x:v>
      </x:c>
    </x:row>
    <x:row r="740" spans="15:15" ht="14.5" hidden="1">
      <x:c r="O740" s="29" t="s">
        <x:v>192</x:v>
      </x:c>
    </x:row>
    <x:row r="741" spans="15:15" ht="14.5" hidden="1">
      <x:c r="O741" s="29" t="s">
        <x:v>192</x:v>
      </x:c>
    </x:row>
    <x:row r="742" spans="15:15" ht="14.5" hidden="1">
      <x:c r="O742" s="29" t="s">
        <x:v>192</x:v>
      </x:c>
    </x:row>
    <x:row r="743" spans="15:15" ht="14.5" hidden="1">
      <x:c r="O743" s="29" t="s">
        <x:v>192</x:v>
      </x:c>
    </x:row>
    <x:row r="744" spans="15:15" ht="14.5" hidden="1">
      <x:c r="O744" s="29" t="s">
        <x:v>192</x:v>
      </x:c>
    </x:row>
    <x:row r="745" spans="15:15" ht="14.5" hidden="1">
      <x:c r="O745" s="29" t="s">
        <x:v>192</x:v>
      </x:c>
    </x:row>
    <x:row r="746" spans="15:15" ht="14.5" hidden="1">
      <x:c r="O746" s="29" t="s">
        <x:v>192</x:v>
      </x:c>
    </x:row>
    <x:row r="747" spans="15:15" ht="14.5" hidden="1">
      <x:c r="O747" s="29" t="s">
        <x:v>192</x:v>
      </x:c>
    </x:row>
    <x:row r="748" spans="15:15" ht="14.5" hidden="1">
      <x:c r="O748" s="29" t="s">
        <x:v>192</x:v>
      </x:c>
    </x:row>
    <x:row r="749" spans="15:15" ht="14.5" hidden="1">
      <x:c r="O749" s="29" t="s">
        <x:v>192</x:v>
      </x:c>
    </x:row>
    <x:row r="750" spans="15:15" ht="14.5" hidden="1">
      <x:c r="O750" s="29" t="s">
        <x:v>192</x:v>
      </x:c>
    </x:row>
    <x:row r="751" spans="15:15" ht="14.5" hidden="1">
      <x:c r="O751" s="29" t="s">
        <x:v>192</x:v>
      </x:c>
    </x:row>
    <x:row r="752" spans="15:15" ht="14.5" hidden="1">
      <x:c r="O752" s="29" t="s">
        <x:v>192</x:v>
      </x:c>
    </x:row>
    <x:row r="753" spans="15:15" ht="14.5" hidden="1">
      <x:c r="O753" s="29" t="s">
        <x:v>192</x:v>
      </x:c>
    </x:row>
    <x:row r="754" spans="15:15" ht="14.5" hidden="1">
      <x:c r="O754" s="29" t="s">
        <x:v>192</x:v>
      </x:c>
    </x:row>
    <x:row r="755" spans="15:15" ht="14.5" hidden="1">
      <x:c r="O755" s="29" t="s">
        <x:v>192</x:v>
      </x:c>
    </x:row>
    <x:row r="756" spans="15:15" ht="14.5" hidden="1">
      <x:c r="O756" s="29" t="s">
        <x:v>192</x:v>
      </x:c>
    </x:row>
    <x:row r="757" spans="15:15" ht="14.5" hidden="1">
      <x:c r="O757" s="29" t="s">
        <x:v>192</x:v>
      </x:c>
    </x:row>
    <x:row r="758" spans="15:15" ht="14.5" hidden="1">
      <x:c r="O758" s="29" t="s">
        <x:v>192</x:v>
      </x:c>
    </x:row>
    <x:row r="759" spans="15:15" ht="14.5" hidden="1">
      <x:c r="O759" s="29" t="s">
        <x:v>192</x:v>
      </x:c>
    </x:row>
    <x:row r="760" spans="15:15" ht="14.5" hidden="1">
      <x:c r="O760" s="29" t="s">
        <x:v>192</x:v>
      </x:c>
    </x:row>
    <x:row r="761" spans="15:15" ht="14.5" hidden="1">
      <x:c r="O761" s="29" t="s">
        <x:v>192</x:v>
      </x:c>
    </x:row>
    <x:row r="762" spans="15:15" ht="14.5" hidden="1">
      <x:c r="O762" s="29" t="s">
        <x:v>192</x:v>
      </x:c>
    </x:row>
    <x:row r="763" spans="15:15" ht="14.5" hidden="1">
      <x:c r="O763" s="29" t="s">
        <x:v>192</x:v>
      </x:c>
    </x:row>
    <x:row r="764" spans="15:15" ht="14.5" hidden="1">
      <x:c r="O764" s="29" t="s">
        <x:v>192</x:v>
      </x:c>
    </x:row>
    <x:row r="765" spans="15:15" ht="14.5" hidden="1">
      <x:c r="O765" s="29" t="s">
        <x:v>192</x:v>
      </x:c>
    </x:row>
    <x:row r="766" spans="15:15" ht="14.5" hidden="1">
      <x:c r="O766" s="29" t="s">
        <x:v>192</x:v>
      </x:c>
    </x:row>
    <x:row r="767" spans="15:15" ht="14.5" hidden="1">
      <x:c r="O767" s="29" t="s">
        <x:v>192</x:v>
      </x:c>
    </x:row>
    <x:row r="768" spans="15:15" ht="14.5" hidden="1">
      <x:c r="O768" s="29" t="s">
        <x:v>192</x:v>
      </x:c>
    </x:row>
    <x:row r="769" spans="15:15" ht="14.5" hidden="1">
      <x:c r="O769" s="29" t="s">
        <x:v>192</x:v>
      </x:c>
    </x:row>
    <x:row r="770" spans="15:15" ht="14.5" hidden="1">
      <x:c r="O770" s="29" t="s">
        <x:v>192</x:v>
      </x:c>
    </x:row>
    <x:row r="771" spans="15:15" ht="14.5" hidden="1">
      <x:c r="O771" s="29" t="s">
        <x:v>192</x:v>
      </x:c>
    </x:row>
    <x:row r="772" spans="15:15" ht="14.5" hidden="1">
      <x:c r="O772" s="29" t="s">
        <x:v>192</x:v>
      </x:c>
    </x:row>
    <x:row r="773" spans="15:15" ht="14.5" hidden="1">
      <x:c r="O773" s="29" t="s">
        <x:v>192</x:v>
      </x:c>
    </x:row>
    <x:row r="774" spans="15:15" ht="14.5" hidden="1">
      <x:c r="O774" s="29" t="s">
        <x:v>192</x:v>
      </x:c>
    </x:row>
    <x:row r="775" spans="15:15" ht="14.5" hidden="1">
      <x:c r="O775" s="29" t="s">
        <x:v>192</x:v>
      </x:c>
    </x:row>
    <x:row r="776" spans="15:15" ht="14.5" hidden="1">
      <x:c r="O776" s="29" t="s">
        <x:v>192</x:v>
      </x:c>
    </x:row>
    <x:row r="777" spans="15:15" ht="14.5" hidden="1">
      <x:c r="O777" s="29" t="s">
        <x:v>192</x:v>
      </x:c>
    </x:row>
    <x:row r="778" spans="15:15" ht="14.5" hidden="1">
      <x:c r="O778" s="29" t="s">
        <x:v>192</x:v>
      </x:c>
    </x:row>
    <x:row r="779" spans="15:15" ht="14.5" hidden="1">
      <x:c r="O779" s="29" t="s">
        <x:v>192</x:v>
      </x:c>
    </x:row>
    <x:row r="780" spans="15:15" ht="14.5" hidden="1">
      <x:c r="O780" s="29" t="s">
        <x:v>192</x:v>
      </x:c>
    </x:row>
    <x:row r="781" spans="15:15" ht="14.5" hidden="1">
      <x:c r="O781" s="29" t="s">
        <x:v>192</x:v>
      </x:c>
    </x:row>
    <x:row r="782" spans="15:15" ht="14.5" hidden="1">
      <x:c r="O782" s="29" t="s">
        <x:v>192</x:v>
      </x:c>
    </x:row>
    <x:row r="783" spans="15:15" ht="14.5" hidden="1">
      <x:c r="O783" s="29" t="s">
        <x:v>192</x:v>
      </x:c>
    </x:row>
    <x:row r="784" spans="15:15" ht="14.5" hidden="1">
      <x:c r="O784" s="29" t="s">
        <x:v>192</x:v>
      </x:c>
    </x:row>
    <x:row r="785" spans="15:15" ht="14.5" hidden="1">
      <x:c r="O785" s="29" t="s">
        <x:v>192</x:v>
      </x:c>
    </x:row>
    <x:row r="786" spans="15:15" ht="14.5" hidden="1">
      <x:c r="O786" s="29" t="s">
        <x:v>192</x:v>
      </x:c>
    </x:row>
    <x:row r="787" spans="15:15" ht="14.5" hidden="1">
      <x:c r="O787" s="29" t="s">
        <x:v>192</x:v>
      </x:c>
    </x:row>
    <x:row r="788" spans="15:15" ht="14.5" hidden="1">
      <x:c r="O788" s="29" t="s">
        <x:v>192</x:v>
      </x:c>
    </x:row>
    <x:row r="789" spans="15:15" ht="14.5" hidden="1">
      <x:c r="O789" s="29" t="s">
        <x:v>192</x:v>
      </x:c>
    </x:row>
    <x:row r="790" spans="15:15" ht="14.5" hidden="1">
      <x:c r="O790" s="29" t="s">
        <x:v>192</x:v>
      </x:c>
    </x:row>
    <x:row r="791" spans="15:15" ht="14.5" hidden="1">
      <x:c r="O791" s="29" t="s">
        <x:v>192</x:v>
      </x:c>
    </x:row>
    <x:row r="792" spans="15:15" ht="14.5" hidden="1">
      <x:c r="O792" s="29" t="s">
        <x:v>192</x:v>
      </x:c>
    </x:row>
    <x:row r="793" spans="15:15" ht="14.5" hidden="1">
      <x:c r="O793" s="29" t="s">
        <x:v>192</x:v>
      </x:c>
    </x:row>
    <x:row r="794" spans="15:15" ht="14.5" hidden="1">
      <x:c r="O794" s="29" t="s">
        <x:v>192</x:v>
      </x:c>
    </x:row>
    <x:row r="795" spans="15:15" ht="14.5" hidden="1">
      <x:c r="O795" s="29" t="s">
        <x:v>192</x:v>
      </x:c>
    </x:row>
    <x:row r="796" spans="15:15" ht="14.5" hidden="1">
      <x:c r="O796" s="29" t="s">
        <x:v>192</x:v>
      </x:c>
    </x:row>
    <x:row r="797" spans="15:15" ht="14.5" hidden="1">
      <x:c r="O797" s="29" t="s">
        <x:v>192</x:v>
      </x:c>
    </x:row>
    <x:row r="798" spans="15:15" ht="14.5" hidden="1">
      <x:c r="O798" s="29" t="s">
        <x:v>192</x:v>
      </x:c>
    </x:row>
    <x:row r="799" spans="15:15" ht="14.5" hidden="1">
      <x:c r="O799" s="29" t="s">
        <x:v>192</x:v>
      </x:c>
    </x:row>
    <x:row r="800" spans="15:15" ht="14.5" hidden="1">
      <x:c r="O800" s="29" t="s">
        <x:v>192</x:v>
      </x:c>
    </x:row>
    <x:row r="801" spans="15:15" ht="14.5" hidden="1">
      <x:c r="O801" s="29" t="s">
        <x:v>192</x:v>
      </x:c>
    </x:row>
    <x:row r="802" spans="15:15" ht="14.5" hidden="1">
      <x:c r="O802" s="29" t="s">
        <x:v>192</x:v>
      </x:c>
    </x:row>
    <x:row r="803" spans="15:15" ht="14.5" hidden="1">
      <x:c r="O803" s="29" t="s">
        <x:v>192</x:v>
      </x:c>
    </x:row>
    <x:row r="804" spans="15:15" ht="14.5" hidden="1">
      <x:c r="O804" s="29" t="s">
        <x:v>192</x:v>
      </x:c>
    </x:row>
    <x:row r="805" spans="15:15" ht="14.5" hidden="1">
      <x:c r="O805" s="29" t="s">
        <x:v>192</x:v>
      </x:c>
    </x:row>
    <x:row r="806" spans="15:15" ht="14.5" hidden="1">
      <x:c r="O806" s="29" t="s">
        <x:v>192</x:v>
      </x:c>
    </x:row>
    <x:row r="807" spans="15:15" ht="14.5" hidden="1">
      <x:c r="O807" s="29" t="s">
        <x:v>192</x:v>
      </x:c>
    </x:row>
    <x:row r="808" spans="15:15" ht="14.5" hidden="1">
      <x:c r="O808" s="29" t="s">
        <x:v>192</x:v>
      </x:c>
    </x:row>
    <x:row r="809" spans="15:15" ht="14.5" hidden="1">
      <x:c r="O809" s="29" t="s">
        <x:v>192</x:v>
      </x:c>
    </x:row>
    <x:row r="810" spans="15:15" ht="14.5" hidden="1">
      <x:c r="O810" s="29" t="s">
        <x:v>192</x:v>
      </x:c>
    </x:row>
    <x:row r="811" spans="15:15" ht="14.5" hidden="1">
      <x:c r="O811" s="29" t="s">
        <x:v>192</x:v>
      </x:c>
    </x:row>
    <x:row r="812" spans="15:15" ht="14.5" hidden="1">
      <x:c r="O812" s="29" t="s">
        <x:v>192</x:v>
      </x:c>
    </x:row>
    <x:row r="813" spans="15:15" ht="14.5" hidden="1">
      <x:c r="O813" s="29" t="s">
        <x:v>192</x:v>
      </x:c>
    </x:row>
    <x:row r="814" spans="15:15" ht="14.5" hidden="1">
      <x:c r="O814" s="29" t="s">
        <x:v>192</x:v>
      </x:c>
    </x:row>
    <x:row r="815" spans="15:15" ht="14.5" hidden="1">
      <x:c r="O815" s="29" t="s">
        <x:v>192</x:v>
      </x:c>
    </x:row>
    <x:row r="816" spans="15:15" ht="14.5" hidden="1">
      <x:c r="O816" s="29" t="s">
        <x:v>192</x:v>
      </x:c>
    </x:row>
    <x:row r="817" spans="15:15" ht="14.5" hidden="1">
      <x:c r="O817" s="29" t="s">
        <x:v>192</x:v>
      </x:c>
    </x:row>
    <x:row r="818" spans="15:15" ht="14.5" hidden="1">
      <x:c r="O818" s="29" t="s">
        <x:v>192</x:v>
      </x:c>
    </x:row>
    <x:row r="819" spans="15:15" ht="14.5" hidden="1">
      <x:c r="O819" s="29" t="s">
        <x:v>192</x:v>
      </x:c>
    </x:row>
    <x:row r="820" spans="15:15" ht="14.5" hidden="1">
      <x:c r="O820" s="29" t="s">
        <x:v>192</x:v>
      </x:c>
    </x:row>
    <x:row r="821" spans="15:15" ht="14.5" hidden="1">
      <x:c r="O821" s="29" t="s">
        <x:v>192</x:v>
      </x:c>
    </x:row>
    <x:row r="822" spans="15:15" ht="14.5" hidden="1">
      <x:c r="O822" s="29" t="s">
        <x:v>192</x:v>
      </x:c>
    </x:row>
    <x:row r="823" spans="15:15" ht="14.5" hidden="1">
      <x:c r="O823" s="29" t="s">
        <x:v>192</x:v>
      </x:c>
    </x:row>
    <x:row r="824" spans="15:15" ht="14.5" hidden="1">
      <x:c r="O824" s="29" t="s">
        <x:v>192</x:v>
      </x:c>
    </x:row>
    <x:row r="825" spans="15:15" ht="14.5" hidden="1">
      <x:c r="O825" s="29" t="s">
        <x:v>192</x:v>
      </x:c>
    </x:row>
    <x:row r="826" spans="15:15" ht="14.5" hidden="1">
      <x:c r="O826" s="29" t="s">
        <x:v>192</x:v>
      </x:c>
    </x:row>
    <x:row r="827" spans="15:15" ht="14.5" hidden="1">
      <x:c r="O827" s="29" t="s">
        <x:v>192</x:v>
      </x:c>
    </x:row>
    <x:row r="828" spans="15:15" ht="14.5" hidden="1">
      <x:c r="O828" s="29" t="s">
        <x:v>192</x:v>
      </x:c>
    </x:row>
    <x:row r="829" spans="15:15" ht="14.5" hidden="1">
      <x:c r="O829" s="29" t="s">
        <x:v>192</x:v>
      </x:c>
    </x:row>
    <x:row r="830" spans="15:15" ht="14.5" hidden="1">
      <x:c r="O830" s="29" t="s">
        <x:v>192</x:v>
      </x:c>
    </x:row>
    <x:row r="831" spans="15:15" ht="14.5" hidden="1">
      <x:c r="O831" s="29" t="s">
        <x:v>192</x:v>
      </x:c>
    </x:row>
    <x:row r="832" spans="15:15" ht="14.5" hidden="1">
      <x:c r="O832" s="29" t="s">
        <x:v>192</x:v>
      </x:c>
    </x:row>
    <x:row r="833" spans="15:15" ht="14.5" hidden="1">
      <x:c r="O833" s="29" t="s">
        <x:v>192</x:v>
      </x:c>
    </x:row>
    <x:row r="834" spans="15:15" ht="14.5" hidden="1">
      <x:c r="O834" s="29" t="s">
        <x:v>192</x:v>
      </x:c>
    </x:row>
    <x:row r="835" spans="15:15" ht="14.5" hidden="1">
      <x:c r="O835" s="29" t="s">
        <x:v>192</x:v>
      </x:c>
    </x:row>
    <x:row r="836" spans="15:15" ht="14.5" hidden="1">
      <x:c r="O836" s="29" t="s">
        <x:v>192</x:v>
      </x:c>
    </x:row>
    <x:row r="837" spans="15:15" ht="14.5" hidden="1">
      <x:c r="O837" s="29" t="s">
        <x:v>192</x:v>
      </x:c>
    </x:row>
    <x:row r="838" spans="15:15" ht="14.5" hidden="1">
      <x:c r="O838" s="29" t="s">
        <x:v>192</x:v>
      </x:c>
    </x:row>
    <x:row r="839" spans="15:15" ht="14.5" hidden="1">
      <x:c r="O839" s="29" t="s">
        <x:v>192</x:v>
      </x:c>
    </x:row>
    <x:row r="840" spans="15:15" ht="14.5" hidden="1">
      <x:c r="O840" s="29" t="s">
        <x:v>192</x:v>
      </x:c>
    </x:row>
    <x:row r="841" spans="15:15" ht="14.5" hidden="1">
      <x:c r="O841" s="29" t="s">
        <x:v>192</x:v>
      </x:c>
    </x:row>
    <x:row r="842" spans="15:15" ht="14.5" hidden="1">
      <x:c r="O842" s="29" t="s">
        <x:v>192</x:v>
      </x:c>
    </x:row>
    <x:row r="843" spans="15:15" ht="14.5" hidden="1">
      <x:c r="O843" s="29" t="s">
        <x:v>192</x:v>
      </x:c>
    </x:row>
    <x:row r="844" spans="15:15" ht="14.5" hidden="1">
      <x:c r="O844" s="29" t="s">
        <x:v>192</x:v>
      </x:c>
    </x:row>
    <x:row r="845" spans="15:15" ht="14.5" hidden="1">
      <x:c r="O845" s="29" t="s">
        <x:v>192</x:v>
      </x:c>
    </x:row>
    <x:row r="846" spans="15:15" ht="14.5" hidden="1">
      <x:c r="O846" s="29" t="s">
        <x:v>192</x:v>
      </x:c>
    </x:row>
    <x:row r="847" spans="15:15" ht="14.5" hidden="1">
      <x:c r="O847" s="29" t="s">
        <x:v>192</x:v>
      </x:c>
    </x:row>
    <x:row r="848" spans="15:15" ht="14.5" hidden="1">
      <x:c r="O848" s="29" t="s">
        <x:v>192</x:v>
      </x:c>
    </x:row>
    <x:row r="849" spans="15:15" ht="14.5" hidden="1">
      <x:c r="O849" s="29" t="s">
        <x:v>192</x:v>
      </x:c>
    </x:row>
    <x:row r="850" spans="15:15" ht="14.5" hidden="1">
      <x:c r="O850" s="29" t="s">
        <x:v>192</x:v>
      </x:c>
    </x:row>
    <x:row r="851" spans="15:15" ht="14.5" hidden="1">
      <x:c r="O851" s="29" t="s">
        <x:v>192</x:v>
      </x:c>
    </x:row>
    <x:row r="852" spans="15:15" ht="14.5" hidden="1">
      <x:c r="O852" s="29" t="s">
        <x:v>192</x:v>
      </x:c>
    </x:row>
    <x:row r="853" spans="15:15" ht="14.5" hidden="1">
      <x:c r="O853" s="29" t="s">
        <x:v>192</x:v>
      </x:c>
    </x:row>
    <x:row r="854" spans="15:15" ht="14.5" hidden="1">
      <x:c r="O854" s="29" t="s">
        <x:v>192</x:v>
      </x:c>
    </x:row>
    <x:row r="855" spans="15:15" ht="14.5" hidden="1">
      <x:c r="O855" s="29" t="s">
        <x:v>192</x:v>
      </x:c>
    </x:row>
    <x:row r="856" spans="15:15" ht="14.5" hidden="1">
      <x:c r="O856" s="29" t="s">
        <x:v>192</x:v>
      </x:c>
    </x:row>
    <x:row r="857" spans="15:15" ht="14.5" hidden="1">
      <x:c r="O857" s="29" t="s">
        <x:v>192</x:v>
      </x:c>
    </x:row>
    <x:row r="858" spans="15:15" ht="14.5" hidden="1">
      <x:c r="O858" s="29" t="s">
        <x:v>192</x:v>
      </x:c>
    </x:row>
    <x:row r="859" spans="15:15" ht="14.5" hidden="1">
      <x:c r="O859" s="29" t="s">
        <x:v>192</x:v>
      </x:c>
    </x:row>
    <x:row r="860" spans="15:15" ht="14.5" hidden="1">
      <x:c r="O860" s="29" t="s">
        <x:v>192</x:v>
      </x:c>
    </x:row>
    <x:row r="861" spans="15:15" ht="14.5" hidden="1">
      <x:c r="O861" s="29" t="s">
        <x:v>192</x:v>
      </x:c>
    </x:row>
    <x:row r="862" spans="15:15" ht="14.5" hidden="1">
      <x:c r="O862" s="29" t="s">
        <x:v>192</x:v>
      </x:c>
    </x:row>
    <x:row r="863" spans="15:15" ht="14.5" hidden="1">
      <x:c r="O863" s="29" t="s">
        <x:v>192</x:v>
      </x:c>
    </x:row>
    <x:row r="864" spans="15:15" ht="14.5" hidden="1">
      <x:c r="O864" s="29" t="s">
        <x:v>192</x:v>
      </x:c>
    </x:row>
    <x:row r="865" spans="15:15" ht="14.5" hidden="1">
      <x:c r="O865" s="29" t="s">
        <x:v>192</x:v>
      </x:c>
    </x:row>
    <x:row r="866" spans="15:15" ht="14.5" hidden="1">
      <x:c r="O866" s="29" t="s">
        <x:v>192</x:v>
      </x:c>
    </x:row>
    <x:row r="867" spans="15:15" ht="14.5" hidden="1">
      <x:c r="O867" s="29" t="s">
        <x:v>192</x:v>
      </x:c>
    </x:row>
    <x:row r="868" spans="15:15" ht="14.5" hidden="1">
      <x:c r="O868" s="29" t="s">
        <x:v>192</x:v>
      </x:c>
    </x:row>
    <x:row r="869" spans="15:15" ht="14.5" hidden="1">
      <x:c r="O869" s="29" t="s">
        <x:v>192</x:v>
      </x:c>
    </x:row>
    <x:row r="870" spans="15:15" ht="14.5" hidden="1">
      <x:c r="O870" s="29" t="s">
        <x:v>192</x:v>
      </x:c>
    </x:row>
    <x:row r="871" spans="15:15" ht="14.5" hidden="1">
      <x:c r="O871" s="29" t="s">
        <x:v>192</x:v>
      </x:c>
    </x:row>
    <x:row r="872" spans="15:15" ht="14.5" hidden="1">
      <x:c r="O872" s="29" t="s">
        <x:v>192</x:v>
      </x:c>
    </x:row>
    <x:row r="873" spans="15:15" ht="14.5" hidden="1">
      <x:c r="O873" s="29" t="s">
        <x:v>192</x:v>
      </x:c>
    </x:row>
    <x:row r="874" spans="15:15" ht="14.5" hidden="1">
      <x:c r="O874" s="29" t="s">
        <x:v>192</x:v>
      </x:c>
    </x:row>
    <x:row r="875" spans="15:15" ht="14.5" hidden="1">
      <x:c r="O875" s="29" t="s">
        <x:v>192</x:v>
      </x:c>
    </x:row>
    <x:row r="876" spans="15:15" ht="14.5" hidden="1">
      <x:c r="O876" s="29" t="s">
        <x:v>192</x:v>
      </x:c>
    </x:row>
    <x:row r="877" spans="15:15" ht="14.5" hidden="1">
      <x:c r="O877" s="29" t="s">
        <x:v>192</x:v>
      </x:c>
    </x:row>
    <x:row r="878" spans="15:15" ht="14.5" hidden="1">
      <x:c r="O878" s="29" t="s">
        <x:v>192</x:v>
      </x:c>
    </x:row>
    <x:row r="879" spans="15:15" ht="14.5" hidden="1">
      <x:c r="O879" s="29" t="s">
        <x:v>192</x:v>
      </x:c>
    </x:row>
    <x:row r="880" spans="15:15" ht="14.5" hidden="1">
      <x:c r="O880" s="29" t="s">
        <x:v>192</x:v>
      </x:c>
    </x:row>
    <x:row r="881" spans="15:15" ht="14.5" hidden="1">
      <x:c r="O881" s="29" t="s">
        <x:v>192</x:v>
      </x:c>
    </x:row>
    <x:row r="882" spans="15:15" ht="14.5" hidden="1">
      <x:c r="O882" s="29" t="s">
        <x:v>192</x:v>
      </x:c>
    </x:row>
    <x:row r="883" spans="15:15" ht="14.5" hidden="1">
      <x:c r="O883" s="29" t="s">
        <x:v>192</x:v>
      </x:c>
    </x:row>
    <x:row r="884" spans="15:15" ht="14.5" hidden="1">
      <x:c r="O884" s="29" t="s">
        <x:v>192</x:v>
      </x:c>
    </x:row>
    <x:row r="885" spans="15:15" ht="14.5" hidden="1">
      <x:c r="O885" s="29" t="s">
        <x:v>192</x:v>
      </x:c>
    </x:row>
    <x:row r="886" spans="15:15" ht="14.5" hidden="1">
      <x:c r="O886" s="29" t="s">
        <x:v>192</x:v>
      </x:c>
    </x:row>
    <x:row r="887" spans="15:15" ht="14.5" hidden="1">
      <x:c r="O887" s="29" t="s">
        <x:v>192</x:v>
      </x:c>
    </x:row>
    <x:row r="888" spans="15:15" ht="14.5" hidden="1">
      <x:c r="O888" s="29" t="s">
        <x:v>192</x:v>
      </x:c>
    </x:row>
    <x:row r="889" spans="15:15" ht="14.5" hidden="1">
      <x:c r="O889" s="29" t="s">
        <x:v>192</x:v>
      </x:c>
    </x:row>
    <x:row r="890" spans="15:15" ht="14.5" hidden="1">
      <x:c r="O890" s="29" t="s">
        <x:v>192</x:v>
      </x:c>
    </x:row>
    <x:row r="891" spans="15:15" ht="14.5" hidden="1">
      <x:c r="O891" s="29" t="s">
        <x:v>192</x:v>
      </x:c>
    </x:row>
    <x:row r="892" spans="15:15" ht="14.5" hidden="1">
      <x:c r="O892" s="29" t="s">
        <x:v>192</x:v>
      </x:c>
    </x:row>
    <x:row r="893" spans="15:15" ht="14.5" hidden="1">
      <x:c r="O893" s="29" t="s">
        <x:v>192</x:v>
      </x:c>
    </x:row>
    <x:row r="894" spans="15:15" ht="14.5" hidden="1">
      <x:c r="O894" s="29" t="s">
        <x:v>192</x:v>
      </x:c>
    </x:row>
    <x:row r="895" spans="15:15" ht="14.5" hidden="1">
      <x:c r="O895" s="29" t="s">
        <x:v>192</x:v>
      </x:c>
    </x:row>
    <x:row r="896" spans="15:15" ht="14.5" hidden="1">
      <x:c r="O896" s="29" t="s">
        <x:v>192</x:v>
      </x:c>
    </x:row>
    <x:row r="897" spans="15:15" ht="14.5" hidden="1">
      <x:c r="O897" s="29" t="s">
        <x:v>192</x:v>
      </x:c>
    </x:row>
    <x:row r="898" spans="15:15" ht="14.5" hidden="1">
      <x:c r="O898" s="29" t="s">
        <x:v>192</x:v>
      </x:c>
    </x:row>
    <x:row r="899" spans="15:15" ht="14.5" hidden="1">
      <x:c r="O899" s="29" t="s">
        <x:v>192</x:v>
      </x:c>
    </x:row>
    <x:row r="900" spans="15:15" ht="14.5" hidden="1">
      <x:c r="O900" s="29" t="s">
        <x:v>192</x:v>
      </x:c>
    </x:row>
    <x:row r="901" spans="15:15" ht="14.5" hidden="1">
      <x:c r="O901" s="29" t="s">
        <x:v>192</x:v>
      </x:c>
    </x:row>
    <x:row r="902" spans="15:15" ht="14.5" hidden="1">
      <x:c r="O902" s="29" t="s">
        <x:v>192</x:v>
      </x:c>
    </x:row>
    <x:row r="903" spans="15:15" ht="14.5" hidden="1">
      <x:c r="O903" s="29" t="s">
        <x:v>192</x:v>
      </x:c>
    </x:row>
    <x:row r="904" spans="15:15" ht="14.5" hidden="1">
      <x:c r="O904" s="29" t="s">
        <x:v>192</x:v>
      </x:c>
    </x:row>
    <x:row r="905" spans="15:15" ht="14.5" hidden="1">
      <x:c r="O905" s="29" t="s">
        <x:v>192</x:v>
      </x:c>
    </x:row>
    <x:row r="906" spans="15:15" ht="14.5" hidden="1">
      <x:c r="O906" s="29" t="s">
        <x:v>192</x:v>
      </x:c>
    </x:row>
    <x:row r="907" spans="15:15" ht="14.5" hidden="1">
      <x:c r="O907" s="29" t="s">
        <x:v>192</x:v>
      </x:c>
    </x:row>
    <x:row r="908" spans="15:15" ht="14.5" hidden="1">
      <x:c r="O908" s="29" t="s">
        <x:v>192</x:v>
      </x:c>
    </x:row>
    <x:row r="909" spans="15:15" ht="14.5" hidden="1">
      <x:c r="O909" s="29" t="s">
        <x:v>192</x:v>
      </x:c>
    </x:row>
    <x:row r="910" spans="15:15" ht="14.5" hidden="1">
      <x:c r="O910" s="29" t="s">
        <x:v>192</x:v>
      </x:c>
    </x:row>
    <x:row r="911" spans="15:15" ht="14.5" hidden="1">
      <x:c r="O911" s="29" t="s">
        <x:v>192</x:v>
      </x:c>
    </x:row>
    <x:row r="912" spans="15:15" ht="14.5" hidden="1">
      <x:c r="O912" s="29" t="s">
        <x:v>192</x:v>
      </x:c>
    </x:row>
    <x:row r="913" spans="15:15" ht="14.5" hidden="1">
      <x:c r="O913" s="29" t="s">
        <x:v>192</x:v>
      </x:c>
    </x:row>
    <x:row r="914" spans="15:15" ht="14.5" hidden="1">
      <x:c r="O914" s="29" t="s">
        <x:v>192</x:v>
      </x:c>
    </x:row>
    <x:row r="915" spans="15:15" ht="14.5" hidden="1">
      <x:c r="O915" s="29" t="s">
        <x:v>192</x:v>
      </x:c>
    </x:row>
    <x:row r="916" spans="15:15" ht="14.5" hidden="1">
      <x:c r="O916" s="29" t="s">
        <x:v>192</x:v>
      </x:c>
    </x:row>
    <x:row r="917" spans="15:15" ht="14.5" hidden="1">
      <x:c r="O917" s="29" t="s">
        <x:v>192</x:v>
      </x:c>
    </x:row>
    <x:row r="918" spans="15:15" ht="14.5" hidden="1">
      <x:c r="O918" s="29" t="s">
        <x:v>192</x:v>
      </x:c>
    </x:row>
    <x:row r="919" spans="15:15" ht="14.5" hidden="1">
      <x:c r="O919" s="29" t="s">
        <x:v>192</x:v>
      </x:c>
    </x:row>
    <x:row r="920" spans="15:15" ht="14.5" hidden="1">
      <x:c r="O920" s="29" t="s">
        <x:v>192</x:v>
      </x:c>
    </x:row>
    <x:row r="921" spans="15:15" ht="14.5" hidden="1">
      <x:c r="O921" s="29" t="s">
        <x:v>192</x:v>
      </x:c>
    </x:row>
    <x:row r="922" spans="15:15" ht="14.5" hidden="1">
      <x:c r="O922" s="29" t="s">
        <x:v>192</x:v>
      </x:c>
    </x:row>
    <x:row r="923" spans="15:15" ht="14.5" hidden="1">
      <x:c r="O923" s="29" t="s">
        <x:v>192</x:v>
      </x:c>
    </x:row>
    <x:row r="924" spans="15:15" ht="14.5" hidden="1">
      <x:c r="O924" s="29" t="s">
        <x:v>192</x:v>
      </x:c>
    </x:row>
    <x:row r="925" spans="15:15" ht="14.5" hidden="1">
      <x:c r="O925" s="29" t="s">
        <x:v>192</x:v>
      </x:c>
    </x:row>
    <x:row r="926" spans="15:15" ht="14.5" hidden="1">
      <x:c r="O926" s="29" t="s">
        <x:v>192</x:v>
      </x:c>
    </x:row>
    <x:row r="927" spans="15:15" ht="14.5" hidden="1">
      <x:c r="O927" s="29" t="s">
        <x:v>192</x:v>
      </x:c>
    </x:row>
    <x:row r="928" spans="15:15" ht="14.5" hidden="1">
      <x:c r="O928" s="29" t="s">
        <x:v>192</x:v>
      </x:c>
    </x:row>
    <x:row r="929" spans="15:15" ht="14.5" hidden="1">
      <x:c r="O929" s="29" t="s">
        <x:v>192</x:v>
      </x:c>
    </x:row>
    <x:row r="930" spans="15:15" ht="14.5" hidden="1">
      <x:c r="O930" s="29" t="s">
        <x:v>192</x:v>
      </x:c>
    </x:row>
    <x:row r="931" spans="15:15" ht="14.5" hidden="1">
      <x:c r="O931" s="29" t="s">
        <x:v>192</x:v>
      </x:c>
    </x:row>
    <x:row r="932" spans="15:15" ht="14.5" hidden="1">
      <x:c r="O932" s="29" t="s">
        <x:v>192</x:v>
      </x:c>
    </x:row>
    <x:row r="933" spans="15:15" ht="14.5" hidden="1">
      <x:c r="O933" s="29" t="s">
        <x:v>192</x:v>
      </x:c>
    </x:row>
    <x:row r="934" spans="15:15" ht="14.5" hidden="1">
      <x:c r="O934" s="29" t="s">
        <x:v>192</x:v>
      </x:c>
    </x:row>
    <x:row r="935" spans="15:15" ht="14.5" hidden="1">
      <x:c r="O935" s="29" t="s">
        <x:v>192</x:v>
      </x:c>
    </x:row>
    <x:row r="936" spans="15:15" ht="14.5" hidden="1">
      <x:c r="O936" s="29" t="s">
        <x:v>192</x:v>
      </x:c>
    </x:row>
    <x:row r="937" spans="15:15" ht="14.5" hidden="1">
      <x:c r="O937" s="29" t="s">
        <x:v>192</x:v>
      </x:c>
    </x:row>
    <x:row r="938" spans="15:15" ht="14.5" hidden="1">
      <x:c r="O938" s="29" t="s">
        <x:v>192</x:v>
      </x:c>
    </x:row>
    <x:row r="939" spans="15:15" ht="14.5" hidden="1">
      <x:c r="O939" s="29" t="s">
        <x:v>192</x:v>
      </x:c>
    </x:row>
    <x:row r="940" spans="15:15" ht="14.5" hidden="1">
      <x:c r="O940" s="29" t="s">
        <x:v>192</x:v>
      </x:c>
    </x:row>
    <x:row r="941" spans="15:15" ht="14.5" hidden="1">
      <x:c r="O941" s="29" t="s">
        <x:v>192</x:v>
      </x:c>
    </x:row>
    <x:row r="942" spans="15:15" ht="14.5" hidden="1">
      <x:c r="O942" s="29" t="s">
        <x:v>192</x:v>
      </x:c>
    </x:row>
    <x:row r="943" spans="15:15" ht="14.5" hidden="1">
      <x:c r="O943" s="29" t="s">
        <x:v>192</x:v>
      </x:c>
    </x:row>
    <x:row r="944" spans="15:15" ht="14.5" hidden="1">
      <x:c r="O944" s="29" t="s">
        <x:v>192</x:v>
      </x:c>
    </x:row>
    <x:row r="945" spans="15:15" ht="14.5" hidden="1">
      <x:c r="O945" s="29" t="s">
        <x:v>192</x:v>
      </x:c>
    </x:row>
    <x:row r="946" spans="15:15" ht="14.5" hidden="1">
      <x:c r="O946" s="29" t="s">
        <x:v>192</x:v>
      </x:c>
    </x:row>
    <x:row r="947" spans="15:15" ht="14.5" hidden="1">
      <x:c r="O947" s="29" t="s">
        <x:v>192</x:v>
      </x:c>
    </x:row>
    <x:row r="948" spans="15:15" ht="14.5" hidden="1">
      <x:c r="O948" s="29" t="s">
        <x:v>192</x:v>
      </x:c>
    </x:row>
    <x:row r="949" spans="15:15" ht="14.5" hidden="1">
      <x:c r="O949" s="29" t="s">
        <x:v>192</x:v>
      </x:c>
    </x:row>
    <x:row r="950" spans="15:15" ht="14.5" hidden="1">
      <x:c r="O950" s="29" t="s">
        <x:v>192</x:v>
      </x:c>
    </x:row>
    <x:row r="951" spans="15:15" ht="14.5" hidden="1">
      <x:c r="O951" s="29" t="s">
        <x:v>192</x:v>
      </x:c>
    </x:row>
    <x:row r="952" spans="15:15" ht="14.5" hidden="1">
      <x:c r="O952" s="29" t="s">
        <x:v>192</x:v>
      </x:c>
    </x:row>
    <x:row r="953" spans="15:15" ht="14.5" hidden="1">
      <x:c r="O953" s="29" t="s">
        <x:v>192</x:v>
      </x:c>
    </x:row>
    <x:row r="954" spans="15:15" ht="14.5" hidden="1">
      <x:c r="O954" s="29" t="s">
        <x:v>192</x:v>
      </x:c>
    </x:row>
    <x:row r="955" spans="15:15" ht="14.5" hidden="1">
      <x:c r="O955" s="29" t="s">
        <x:v>192</x:v>
      </x:c>
    </x:row>
    <x:row r="956" spans="15:15" ht="14.5" hidden="1">
      <x:c r="O956" s="29" t="s">
        <x:v>192</x:v>
      </x:c>
    </x:row>
    <x:row r="957" spans="15:15" ht="14.5" hidden="1">
      <x:c r="O957" s="29" t="s">
        <x:v>192</x:v>
      </x:c>
    </x:row>
    <x:row r="958" spans="15:15" ht="14.5" hidden="1">
      <x:c r="O958" s="29" t="s">
        <x:v>192</x:v>
      </x:c>
    </x:row>
    <x:row r="959" spans="15:15" ht="14.5" hidden="1">
      <x:c r="O959" s="29" t="s">
        <x:v>192</x:v>
      </x:c>
    </x:row>
    <x:row r="960" spans="15:15" ht="14.5" hidden="1">
      <x:c r="O960" s="29" t="s">
        <x:v>192</x:v>
      </x:c>
    </x:row>
    <x:row r="961" spans="15:15" ht="14.5" hidden="1">
      <x:c r="O961" s="29" t="s">
        <x:v>192</x:v>
      </x:c>
    </x:row>
    <x:row r="962" spans="15:15" ht="14.5" hidden="1">
      <x:c r="O962" s="29" t="s">
        <x:v>192</x:v>
      </x:c>
    </x:row>
    <x:row r="963" spans="15:15" ht="14.5" hidden="1">
      <x:c r="O963" s="29" t="s">
        <x:v>192</x:v>
      </x:c>
    </x:row>
    <x:row r="964" spans="15:15" ht="14.5" hidden="1">
      <x:c r="O964" s="29" t="s">
        <x:v>192</x:v>
      </x:c>
    </x:row>
    <x:row r="965" spans="15:15" ht="14.5" hidden="1">
      <x:c r="O965" s="29" t="s">
        <x:v>192</x:v>
      </x:c>
    </x:row>
    <x:row r="966" spans="15:15" ht="14.5" hidden="1">
      <x:c r="O966" s="29" t="s">
        <x:v>192</x:v>
      </x:c>
    </x:row>
    <x:row r="967" spans="15:15" ht="14.5" hidden="1">
      <x:c r="O967" s="29" t="s">
        <x:v>192</x:v>
      </x:c>
    </x:row>
    <x:row r="968" spans="15:15" ht="14.5" hidden="1">
      <x:c r="O968" s="29" t="s">
        <x:v>192</x:v>
      </x:c>
    </x:row>
    <x:row r="969" spans="15:15" ht="14.5" hidden="1">
      <x:c r="O969" s="29" t="s">
        <x:v>192</x:v>
      </x:c>
    </x:row>
    <x:row r="970" spans="15:15" ht="14.5" hidden="1">
      <x:c r="O970" s="29" t="s">
        <x:v>192</x:v>
      </x:c>
    </x:row>
    <x:row r="971" spans="15:15" ht="14.5" hidden="1">
      <x:c r="O971" s="29" t="s">
        <x:v>192</x:v>
      </x:c>
    </x:row>
    <x:row r="972" spans="15:15" ht="14.5" hidden="1">
      <x:c r="O972" s="29" t="s">
        <x:v>192</x:v>
      </x:c>
    </x:row>
    <x:row r="973" spans="15:15" ht="14.5" hidden="1">
      <x:c r="O973" s="29" t="s">
        <x:v>192</x:v>
      </x:c>
    </x:row>
    <x:row r="974" spans="15:15" ht="14.5" hidden="1">
      <x:c r="O974" s="29" t="s">
        <x:v>192</x:v>
      </x:c>
    </x:row>
    <x:row r="975" spans="15:15" ht="14.5" hidden="1">
      <x:c r="O975" s="29" t="s">
        <x:v>192</x:v>
      </x:c>
    </x:row>
    <x:row r="976" spans="15:15" ht="14.5" hidden="1">
      <x:c r="O976" s="29" t="s">
        <x:v>192</x:v>
      </x:c>
    </x:row>
    <x:row r="977" spans="15:15" ht="14.5" hidden="1">
      <x:c r="O977" s="29" t="s">
        <x:v>192</x:v>
      </x:c>
    </x:row>
    <x:row r="978" spans="15:15" ht="14.5" hidden="1">
      <x:c r="O978" s="29" t="s">
        <x:v>192</x:v>
      </x:c>
    </x:row>
    <x:row r="979" spans="15:15" ht="14.5" hidden="1">
      <x:c r="O979" s="29" t="s">
        <x:v>192</x:v>
      </x:c>
    </x:row>
    <x:row r="980" spans="15:15" ht="14.5" hidden="1">
      <x:c r="O980" s="29" t="s">
        <x:v>192</x:v>
      </x:c>
    </x:row>
    <x:row r="981" spans="15:15" ht="14.5" hidden="1">
      <x:c r="O981" s="29" t="s">
        <x:v>192</x:v>
      </x:c>
    </x:row>
    <x:row r="982" spans="15:15" ht="14.5" hidden="1">
      <x:c r="O982" s="29" t="s">
        <x:v>192</x:v>
      </x:c>
    </x:row>
    <x:row r="983" spans="15:15" ht="14.5" hidden="1">
      <x:c r="O983" s="29" t="s">
        <x:v>192</x:v>
      </x:c>
    </x:row>
    <x:row r="984" spans="15:15" ht="14.5" hidden="1">
      <x:c r="O984" s="29" t="s">
        <x:v>192</x:v>
      </x:c>
    </x:row>
    <x:row r="985" spans="15:15" ht="14.5" hidden="1">
      <x:c r="O985" s="29" t="s">
        <x:v>192</x:v>
      </x:c>
    </x:row>
    <x:row r="986" spans="15:15" ht="14.5" hidden="1">
      <x:c r="O986" s="29" t="s">
        <x:v>192</x:v>
      </x:c>
    </x:row>
    <x:row r="987" spans="15:15" ht="14.5" hidden="1">
      <x:c r="O987" s="29" t="s">
        <x:v>192</x:v>
      </x:c>
    </x:row>
    <x:row r="988" spans="15:15" ht="14.5" hidden="1">
      <x:c r="O988" s="29" t="s">
        <x:v>192</x:v>
      </x:c>
    </x:row>
    <x:row r="989" spans="15:15" ht="14.5" hidden="1">
      <x:c r="O989" s="29" t="s">
        <x:v>192</x:v>
      </x:c>
    </x:row>
    <x:row r="990" spans="15:15" ht="14.5" hidden="1">
      <x:c r="O990" s="29" t="s">
        <x:v>192</x:v>
      </x:c>
    </x:row>
    <x:row r="991" spans="15:15" ht="14.5" hidden="1">
      <x:c r="O991" s="29" t="s">
        <x:v>192</x:v>
      </x:c>
    </x:row>
    <x:row r="992" spans="15:15" ht="14.5" hidden="1">
      <x:c r="O992" s="29" t="s">
        <x:v>192</x:v>
      </x:c>
    </x:row>
    <x:row r="993" spans="15:15" ht="14.5" hidden="1">
      <x:c r="O993" s="29" t="s">
        <x:v>192</x:v>
      </x:c>
    </x:row>
    <x:row r="994" spans="15:15" ht="14.5" hidden="1">
      <x:c r="O994" s="29" t="s">
        <x:v>192</x:v>
      </x:c>
    </x:row>
    <x:row r="995" spans="15:15" ht="14.5" hidden="1">
      <x:c r="O995" s="29" t="s">
        <x:v>192</x:v>
      </x:c>
    </x:row>
    <x:row r="996" spans="15:15" ht="14.5" hidden="1">
      <x:c r="O996" s="29" t="s">
        <x:v>192</x:v>
      </x:c>
    </x:row>
    <x:row r="997" spans="15:15" ht="14.5" hidden="1">
      <x:c r="O997" s="29" t="s">
        <x:v>192</x:v>
      </x:c>
    </x:row>
    <x:row r="998" spans="15:15" ht="14.5" hidden="1">
      <x:c r="O998" s="29" t="s">
        <x:v>192</x:v>
      </x:c>
    </x:row>
    <x:row r="999" spans="15:15" ht="14.5" hidden="1">
      <x:c r="O999" s="29" t="s">
        <x:v>192</x:v>
      </x:c>
    </x:row>
    <x:row r="1000" spans="15:15" ht="14.5" hidden="1">
      <x:c r="O1000" s="29" t="s">
        <x:v>192</x:v>
      </x:c>
      <x:c r="XX1000" s="78" t="n">
        <x:v>125713</x:v>
      </x:c>
    </x:row>
    <x:row r="1001" spans="15:15" ht="14.5" hidden="1">
      <x:c r="O1001" s="29" t="s">
        <x:v>192</x:v>
      </x:c>
    </x:row>
    <x:row r="1002" spans="15:15" ht="14.5" hidden="1">
      <x:c r="O1002" s="29" t="s">
        <x:v>192</x:v>
      </x:c>
    </x:row>
    <x:row r="1003" spans="15:15" ht="14.5" hidden="1">
      <x:c r="O1003" s="29" t="s">
        <x:v>192</x:v>
      </x:c>
    </x:row>
    <x:row r="1004" spans="15:15" ht="14.5" hidden="1">
      <x:c r="O1004" s="29" t="s">
        <x:v>192</x:v>
      </x:c>
    </x:row>
    <x:row r="1005" spans="15:15" ht="14.5" hidden="1">
      <x:c r="O1005" s="29" t="s">
        <x:v>192</x:v>
      </x:c>
    </x:row>
    <x:row r="1006" spans="15:15" ht="14.5" hidden="1">
      <x:c r="O1006" s="29" t="s">
        <x:v>192</x:v>
      </x:c>
    </x:row>
    <x:row r="1007" spans="15:15" ht="14.5" hidden="1">
      <x:c r="O1007" s="29" t="s">
        <x:v>192</x:v>
      </x:c>
    </x:row>
    <x:row r="1008" spans="15:15" ht="14.5" hidden="1">
      <x:c r="O1008" s="29" t="s">
        <x:v>192</x:v>
      </x:c>
    </x:row>
    <x:row r="1009" spans="15:15" ht="14.5" hidden="1">
      <x:c r="O1009" s="29" t="s">
        <x:v>192</x:v>
      </x:c>
    </x:row>
    <x:row r="1010" spans="15:15" ht="14.5" hidden="1">
      <x:c r="O1010" s="29" t="s">
        <x:v>192</x:v>
      </x:c>
    </x:row>
    <x:row r="1011" spans="15:15" ht="14.5" hidden="1">
      <x:c r="O1011" s="29" t="s">
        <x:v>192</x:v>
      </x:c>
    </x:row>
    <x:row r="1012" spans="15:15" ht="14.5" hidden="1">
      <x:c r="O1012" s="29" t="s">
        <x:v>192</x:v>
      </x:c>
    </x:row>
    <x:row r="1013" spans="15:15" ht="14.5" hidden="1">
      <x:c r="O1013" s="29" t="s">
        <x:v>192</x:v>
      </x:c>
    </x:row>
    <x:row r="1014" spans="15:15" ht="14.5" hidden="1">
      <x:c r="O1014" s="29" t="s">
        <x:v>192</x:v>
      </x:c>
    </x:row>
    <x:row r="1015" spans="15:15" ht="14.5" hidden="1">
      <x:c r="O1015" s="29" t="s">
        <x:v>192</x:v>
      </x:c>
    </x:row>
    <x:row r="1016" spans="15:15" ht="14.5" hidden="1">
      <x:c r="O1016" s="29" t="s">
        <x:v>192</x:v>
      </x:c>
    </x:row>
    <x:row r="1017" spans="15:15" ht="14.5" hidden="1">
      <x:c r="O1017" s="29" t="s">
        <x:v>192</x:v>
      </x:c>
    </x:row>
    <x:row r="1018" spans="15:15" ht="14.5" hidden="1">
      <x:c r="O1018" s="29" t="s">
        <x:v>192</x:v>
      </x:c>
    </x:row>
    <x:row r="1019" spans="15:15" ht="14.5" hidden="1">
      <x:c r="O1019" s="29" t="s">
        <x:v>192</x:v>
      </x:c>
    </x:row>
    <x:row r="1020" spans="15:15" ht="14.5" hidden="1">
      <x:c r="O1020" s="29" t="s">
        <x:v>192</x:v>
      </x:c>
    </x:row>
    <x:row r="1021" spans="15:15" ht="14.5" hidden="1">
      <x:c r="O1021" s="29" t="s">
        <x:v>192</x:v>
      </x:c>
    </x:row>
    <x:row r="1022" spans="15:15" ht="14.5" hidden="1">
      <x:c r="O1022" s="29" t="s">
        <x:v>192</x:v>
      </x:c>
    </x:row>
    <x:row r="1023" spans="15:15" ht="14.5" hidden="1">
      <x:c r="O1023" s="29" t="s">
        <x:v>192</x:v>
      </x:c>
    </x:row>
    <x:row r="1024" spans="15:15" ht="14.5" hidden="1">
      <x:c r="O1024" s="29" t="s">
        <x:v>192</x:v>
      </x:c>
    </x:row>
    <x:row r="1025" spans="15:15" ht="14.5" hidden="1">
      <x:c r="O1025" s="29" t="s">
        <x:v>192</x:v>
      </x:c>
    </x:row>
    <x:row r="1026" spans="15:15" ht="14.5" hidden="1">
      <x:c r="O1026" s="29" t="s">
        <x:v>192</x:v>
      </x:c>
    </x:row>
    <x:row r="1027" spans="15:15" ht="14.5" hidden="1">
      <x:c r="O1027" s="29" t="s">
        <x:v>192</x:v>
      </x:c>
    </x:row>
    <x:row r="1028" spans="15:15" ht="14.5" hidden="1">
      <x:c r="O1028" s="29" t="s">
        <x:v>192</x:v>
      </x:c>
    </x:row>
    <x:row r="1029" spans="15:15" ht="14.5" hidden="1">
      <x:c r="O1029" s="29" t="s">
        <x:v>192</x:v>
      </x:c>
    </x:row>
    <x:row r="1030" spans="15:15" ht="14.5" hidden="1">
      <x:c r="O1030" s="29" t="s">
        <x:v>192</x:v>
      </x:c>
    </x:row>
    <x:row r="1031" spans="15:15" ht="14.5" hidden="1">
      <x:c r="O1031" s="29" t="s">
        <x:v>192</x:v>
      </x:c>
    </x:row>
    <x:row r="1032" spans="15:15" ht="14.5" hidden="1">
      <x:c r="O1032" s="29" t="s">
        <x:v>192</x:v>
      </x:c>
    </x:row>
    <x:row r="1033" spans="15:15" ht="14.5" hidden="1">
      <x:c r="O1033" s="29" t="s">
        <x:v>192</x:v>
      </x:c>
    </x:row>
    <x:row r="1034" spans="15:15" ht="14.5" hidden="1">
      <x:c r="O1034" s="29" t="s">
        <x:v>192</x:v>
      </x:c>
    </x:row>
    <x:row r="1035" spans="15:15" ht="14.5" hidden="1">
      <x:c r="O1035" s="29" t="s">
        <x:v>192</x:v>
      </x:c>
    </x:row>
    <x:row r="1036" spans="15:15" ht="14.5" hidden="1">
      <x:c r="O1036" s="29" t="s">
        <x:v>192</x:v>
      </x:c>
    </x:row>
    <x:row r="1037" spans="15:15" ht="14.5" hidden="1">
      <x:c r="O1037" s="29" t="s">
        <x:v>192</x:v>
      </x:c>
    </x:row>
    <x:row r="1038" spans="15:15" ht="14.5" hidden="1">
      <x:c r="O1038" s="29" t="s">
        <x:v>192</x:v>
      </x:c>
    </x:row>
    <x:row r="1039" spans="15:15" ht="14.5" hidden="1">
      <x:c r="O1039" s="29" t="s">
        <x:v>192</x:v>
      </x:c>
    </x:row>
    <x:row r="1040" spans="15:15" ht="14.5" hidden="1">
      <x:c r="O1040" s="29" t="s">
        <x:v>192</x:v>
      </x:c>
    </x:row>
    <x:row r="1041" spans="15:15" ht="14.5" hidden="1">
      <x:c r="O1041" s="29" t="s">
        <x:v>192</x:v>
      </x:c>
    </x:row>
    <x:row r="1042" spans="15:15" ht="14.5" hidden="1">
      <x:c r="O1042" s="29" t="s">
        <x:v>192</x:v>
      </x:c>
    </x:row>
    <x:row r="1043" spans="15:15" ht="14.5" hidden="1">
      <x:c r="O1043" s="29" t="s">
        <x:v>192</x:v>
      </x:c>
    </x:row>
    <x:row r="1044" spans="15:15" ht="14.5" hidden="1">
      <x:c r="O1044" s="29" t="s">
        <x:v>192</x:v>
      </x:c>
    </x:row>
    <x:row r="1045" spans="15:15" ht="14.5" hidden="1">
      <x:c r="O1045" s="29" t="s">
        <x:v>192</x:v>
      </x:c>
    </x:row>
    <x:row r="1046" spans="15:15" ht="14.5" hidden="1">
      <x:c r="O1046" s="29" t="s">
        <x:v>192</x:v>
      </x:c>
    </x:row>
    <x:row r="1047" spans="15:15" ht="14.5" hidden="1">
      <x:c r="O1047" s="29" t="s">
        <x:v>192</x:v>
      </x:c>
    </x:row>
    <x:row r="1048" spans="15:15" ht="14.5" hidden="1">
      <x:c r="O1048" s="29" t="s">
        <x:v>192</x:v>
      </x:c>
    </x:row>
    <x:row r="1049" spans="15:15" ht="14.5" hidden="1">
      <x:c r="O1049" s="29" t="s">
        <x:v>192</x:v>
      </x:c>
    </x:row>
    <x:row r="1050" spans="15:15" ht="14.5" hidden="1">
      <x:c r="O1050" s="29" t="s">
        <x:v>192</x:v>
      </x:c>
    </x:row>
    <x:row r="1051" spans="15:15" ht="14.5" hidden="1">
      <x:c r="O1051" s="29" t="s">
        <x:v>192</x:v>
      </x:c>
    </x:row>
    <x:row r="1052" spans="15:15" ht="14.5" hidden="1">
      <x:c r="O1052" s="29" t="s">
        <x:v>192</x:v>
      </x:c>
    </x:row>
    <x:row r="1053" spans="15:15" ht="14.5" hidden="1">
      <x:c r="O1053" s="29" t="s">
        <x:v>192</x:v>
      </x:c>
    </x:row>
    <x:row r="1054" spans="15:15" ht="14.5" hidden="1">
      <x:c r="O1054" s="29" t="s">
        <x:v>192</x:v>
      </x:c>
    </x:row>
    <x:row r="1055" spans="15:15" ht="14.5" hidden="1">
      <x:c r="O1055" s="29" t="s">
        <x:v>192</x:v>
      </x:c>
    </x:row>
    <x:row r="1056" spans="15:15" ht="14.5" hidden="1">
      <x:c r="O1056" s="29" t="s">
        <x:v>192</x:v>
      </x:c>
    </x:row>
    <x:row r="1057" spans="15:15" ht="14.5" hidden="1">
      <x:c r="O1057" s="29" t="s">
        <x:v>192</x:v>
      </x:c>
    </x:row>
    <x:row r="1058" spans="15:15" ht="14.5" hidden="1">
      <x:c r="O1058" s="29" t="s">
        <x:v>192</x:v>
      </x:c>
    </x:row>
    <x:row r="1059" spans="15:15" ht="14.5" hidden="1">
      <x:c r="O1059" s="29" t="s">
        <x:v>192</x:v>
      </x:c>
    </x:row>
    <x:row r="1060" spans="15:15" ht="14.5" hidden="1">
      <x:c r="O1060" s="29" t="s">
        <x:v>192</x:v>
      </x:c>
    </x:row>
    <x:row r="1061" spans="15:15" ht="14.5" hidden="1">
      <x:c r="O1061" s="29" t="s">
        <x:v>192</x:v>
      </x:c>
    </x:row>
    <x:row r="1062" spans="15:15" ht="14.5" hidden="1">
      <x:c r="O1062" s="29" t="s">
        <x:v>192</x:v>
      </x:c>
    </x:row>
    <x:row r="1063" spans="15:15" ht="14.5" hidden="1">
      <x:c r="O1063" s="29" t="s">
        <x:v>192</x:v>
      </x:c>
    </x:row>
    <x:row r="1064" spans="15:15" ht="14.5" hidden="1">
      <x:c r="O1064" s="29" t="s">
        <x:v>192</x:v>
      </x:c>
    </x:row>
    <x:row r="1065" spans="15:15" ht="14.5" hidden="1">
      <x:c r="O1065" s="29" t="s">
        <x:v>192</x:v>
      </x:c>
    </x:row>
    <x:row r="1066" spans="15:15" ht="14.5" hidden="1">
      <x:c r="O1066" s="29" t="s">
        <x:v>192</x:v>
      </x:c>
    </x:row>
    <x:row r="1067" spans="15:15" ht="14.5" hidden="1">
      <x:c r="O1067" s="29" t="s">
        <x:v>192</x:v>
      </x:c>
    </x:row>
    <x:row r="1068" spans="15:15" ht="14.5" hidden="1">
      <x:c r="O1068" s="29" t="s">
        <x:v>192</x:v>
      </x:c>
    </x:row>
    <x:row r="1069" spans="15:15" ht="14.5" hidden="1">
      <x:c r="O1069" s="29" t="s">
        <x:v>192</x:v>
      </x:c>
    </x:row>
    <x:row r="1070" spans="15:15" ht="14.5" hidden="1">
      <x:c r="O1070" s="29" t="s">
        <x:v>192</x:v>
      </x:c>
    </x:row>
    <x:row r="1071" spans="15:15" ht="14.5" hidden="1">
      <x:c r="O1071" s="29" t="s">
        <x:v>192</x:v>
      </x:c>
    </x:row>
    <x:row r="1072" spans="15:15" ht="14.5" hidden="1">
      <x:c r="O1072" s="29" t="s">
        <x:v>192</x:v>
      </x:c>
    </x:row>
    <x:row r="1073" spans="15:15" ht="14.5" hidden="1">
      <x:c r="O1073" s="29" t="s">
        <x:v>192</x:v>
      </x:c>
    </x:row>
    <x:row r="1074" spans="15:15" ht="14.5" hidden="1">
      <x:c r="O1074" s="29" t="s">
        <x:v>192</x:v>
      </x:c>
    </x:row>
    <x:row r="1075" spans="15:15" ht="14.5" hidden="1">
      <x:c r="O1075" s="29" t="s">
        <x:v>192</x:v>
      </x:c>
    </x:row>
    <x:row r="1076" spans="15:15" ht="14.5" hidden="1">
      <x:c r="O1076" s="29" t="s">
        <x:v>192</x:v>
      </x:c>
    </x:row>
    <x:row r="1077" spans="15:15" ht="14.5" hidden="1">
      <x:c r="O1077" s="29" t="s">
        <x:v>192</x:v>
      </x:c>
    </x:row>
    <x:row r="1078" spans="15:15" ht="14.5" hidden="1">
      <x:c r="O1078" s="29" t="s">
        <x:v>192</x:v>
      </x:c>
    </x:row>
    <x:row r="1079" spans="15:15" ht="14.5" hidden="1">
      <x:c r="O1079" s="29" t="s">
        <x:v>192</x:v>
      </x:c>
    </x:row>
    <x:row r="1080" spans="15:15" ht="14.5" hidden="1">
      <x:c r="O1080" s="29" t="s">
        <x:v>192</x:v>
      </x:c>
    </x:row>
    <x:row r="1081" spans="15:15" ht="14.5" hidden="1">
      <x:c r="O1081" s="29" t="s">
        <x:v>192</x:v>
      </x:c>
    </x:row>
    <x:row r="1082" spans="15:15" ht="14.5" hidden="1">
      <x:c r="O1082" s="29" t="s">
        <x:v>192</x:v>
      </x:c>
    </x:row>
    <x:row r="1083" spans="15:15" ht="14.5" hidden="1">
      <x:c r="O1083" s="29" t="s">
        <x:v>192</x:v>
      </x:c>
    </x:row>
    <x:row r="1084" spans="15:15" ht="14.5" hidden="1">
      <x:c r="O1084" s="29" t="s">
        <x:v>192</x:v>
      </x:c>
    </x:row>
    <x:row r="1085" spans="15:15" ht="14.5" hidden="1">
      <x:c r="O1085" s="29" t="s">
        <x:v>192</x:v>
      </x:c>
    </x:row>
    <x:row r="1086" spans="15:15" ht="14.5" hidden="1">
      <x:c r="O1086" s="29" t="s">
        <x:v>192</x:v>
      </x:c>
    </x:row>
    <x:row r="1087" spans="15:15" ht="14.5" hidden="1">
      <x:c r="O1087" s="29" t="s">
        <x:v>192</x:v>
      </x:c>
    </x:row>
    <x:row r="1088" spans="15:15" ht="14.5" hidden="1">
      <x:c r="O1088" s="29" t="s">
        <x:v>192</x:v>
      </x:c>
    </x:row>
    <x:row r="1089" spans="15:15" ht="14.5" hidden="1">
      <x:c r="O1089" s="29" t="s">
        <x:v>192</x:v>
      </x:c>
    </x:row>
    <x:row r="1090" spans="15:15" ht="14.5" hidden="1">
      <x:c r="O1090" s="29" t="s">
        <x:v>192</x:v>
      </x:c>
    </x:row>
    <x:row r="1091" spans="15:15" ht="14.5" hidden="1">
      <x:c r="O1091" s="29" t="s">
        <x:v>192</x:v>
      </x:c>
    </x:row>
    <x:row r="1092" spans="15:15" ht="14.5" hidden="1">
      <x:c r="O1092" s="29" t="s">
        <x:v>192</x:v>
      </x:c>
    </x:row>
    <x:row r="1093" spans="15:15" ht="14.5" hidden="1">
      <x:c r="O1093" s="29" t="s">
        <x:v>192</x:v>
      </x:c>
    </x:row>
    <x:row r="1094" spans="15:15" ht="14.5" hidden="1">
      <x:c r="O1094" s="29" t="s">
        <x:v>192</x:v>
      </x:c>
    </x:row>
    <x:row r="1095" spans="15:15" ht="14.5" hidden="1">
      <x:c r="O1095" s="29" t="s">
        <x:v>192</x:v>
      </x:c>
    </x:row>
    <x:row r="1096" spans="15:15" ht="14.5" hidden="1">
      <x:c r="O1096" s="29" t="s">
        <x:v>192</x:v>
      </x:c>
    </x:row>
    <x:row r="1097" spans="15:15" ht="14.5" hidden="1">
      <x:c r="O1097" s="29" t="s">
        <x:v>192</x:v>
      </x:c>
    </x:row>
    <x:row r="1098" spans="15:15" ht="14.5" hidden="1">
      <x:c r="O1098" s="29" t="s">
        <x:v>192</x:v>
      </x:c>
    </x:row>
    <x:row r="1099" spans="15:15" ht="14.5" hidden="1">
      <x:c r="O1099" s="29" t="s">
        <x:v>192</x:v>
      </x:c>
    </x:row>
    <x:row r="1100" spans="15:15" ht="14.5" hidden="1">
      <x:c r="O1100" s="29" t="s">
        <x:v>192</x:v>
      </x:c>
    </x:row>
    <x:row r="1101" spans="15:15" ht="14.5" hidden="1">
      <x:c r="O1101" s="29" t="s">
        <x:v>192</x:v>
      </x:c>
    </x:row>
    <x:row r="1102" spans="15:15" ht="14.5" hidden="1">
      <x:c r="O1102" s="29" t="s">
        <x:v>192</x:v>
      </x:c>
    </x:row>
    <x:row r="1103" spans="15:15" ht="14.5" hidden="1">
      <x:c r="O1103" s="29" t="s">
        <x:v>192</x:v>
      </x:c>
    </x:row>
    <x:row r="1104" spans="15:15" ht="14.5" hidden="1">
      <x:c r="O1104" s="29" t="s">
        <x:v>192</x:v>
      </x:c>
    </x:row>
    <x:row r="1105" spans="15:15" ht="14.5" hidden="1">
      <x:c r="O1105" s="29" t="s">
        <x:v>192</x:v>
      </x:c>
    </x:row>
    <x:row r="1106" spans="15:15" ht="14.5" hidden="1">
      <x:c r="O1106" s="29" t="s">
        <x:v>192</x:v>
      </x:c>
    </x:row>
    <x:row r="1107" spans="15:15" ht="14.5" hidden="1">
      <x:c r="O1107" s="29" t="s">
        <x:v>192</x:v>
      </x:c>
    </x:row>
    <x:row r="1108" spans="15:15" ht="14.5" hidden="1">
      <x:c r="O1108" s="29" t="s">
        <x:v>192</x:v>
      </x:c>
    </x:row>
    <x:row r="1109" spans="15:15" ht="14.5" hidden="1">
      <x:c r="O1109" s="29" t="s">
        <x:v>192</x:v>
      </x:c>
    </x:row>
    <x:row r="1110" spans="15:15" ht="14.5" hidden="1">
      <x:c r="O1110" s="29" t="s">
        <x:v>192</x:v>
      </x:c>
    </x:row>
    <x:row r="1111" spans="15:15" ht="14.5" hidden="1">
      <x:c r="O1111" s="29" t="s">
        <x:v>192</x:v>
      </x:c>
    </x:row>
    <x:row r="1112" spans="15:15" ht="14.5" hidden="1">
      <x:c r="O1112" s="29" t="s">
        <x:v>192</x:v>
      </x:c>
    </x:row>
    <x:row r="1113" spans="15:15" ht="14.5" hidden="1">
      <x:c r="O1113" s="29" t="s">
        <x:v>192</x:v>
      </x:c>
    </x:row>
    <x:row r="1114" spans="15:15" ht="14.5" hidden="1">
      <x:c r="O1114" s="29" t="s">
        <x:v>192</x:v>
      </x:c>
    </x:row>
    <x:row r="1115" spans="15:15" ht="14.5" hidden="1">
      <x:c r="O1115" s="29" t="s">
        <x:v>192</x:v>
      </x:c>
    </x:row>
    <x:row r="1116" spans="15:15" ht="14.5" hidden="1">
      <x:c r="O1116" s="29" t="s">
        <x:v>192</x:v>
      </x:c>
    </x:row>
    <x:row r="1117" spans="15:15" ht="14.5" hidden="1">
      <x:c r="O1117" s="29" t="s">
        <x:v>192</x:v>
      </x:c>
    </x:row>
    <x:row r="1118" spans="15:15" ht="14.5" hidden="1">
      <x:c r="O1118" s="29" t="s">
        <x:v>192</x:v>
      </x:c>
    </x:row>
    <x:row r="1119" spans="15:15" ht="14.5" hidden="1">
      <x:c r="O1119" s="29" t="s">
        <x:v>192</x:v>
      </x:c>
    </x:row>
    <x:row r="1120" spans="15:15" ht="14.5" hidden="1">
      <x:c r="O1120" s="29" t="s">
        <x:v>192</x:v>
      </x:c>
    </x:row>
    <x:row r="1121" spans="15:15" ht="14.5" hidden="1">
      <x:c r="O1121" s="29" t="s">
        <x:v>192</x:v>
      </x:c>
    </x:row>
    <x:row r="1122" spans="15:15" ht="14.5" hidden="1">
      <x:c r="O1122" s="29" t="s">
        <x:v>192</x:v>
      </x:c>
    </x:row>
    <x:row r="1123" spans="15:15" ht="14.5" hidden="1">
      <x:c r="O1123" s="29" t="s">
        <x:v>192</x:v>
      </x:c>
    </x:row>
    <x:row r="1124" spans="15:15" ht="14.5" hidden="1">
      <x:c r="O1124" s="29" t="s">
        <x:v>192</x:v>
      </x:c>
    </x:row>
    <x:row r="1125" spans="15:15" ht="14.5" hidden="1">
      <x:c r="O1125" s="29" t="s">
        <x:v>192</x:v>
      </x:c>
    </x:row>
    <x:row r="1126" spans="15:15" ht="14.5" hidden="1">
      <x:c r="O1126" s="29" t="s">
        <x:v>192</x:v>
      </x:c>
    </x:row>
    <x:row r="1127" spans="15:15" ht="14.5" hidden="1">
      <x:c r="O1127" s="29" t="s">
        <x:v>192</x:v>
      </x:c>
    </x:row>
    <x:row r="1128" spans="15:15" ht="14.5" hidden="1">
      <x:c r="O1128" s="29" t="s">
        <x:v>192</x:v>
      </x:c>
    </x:row>
    <x:row r="1129" spans="15:15" ht="14.5" hidden="1">
      <x:c r="O1129" s="29" t="s">
        <x:v>192</x:v>
      </x:c>
    </x:row>
    <x:row r="1130" spans="15:15" ht="14.5" hidden="1">
      <x:c r="O1130" s="29" t="s">
        <x:v>192</x:v>
      </x:c>
    </x:row>
    <x:row r="1131" spans="15:15" ht="14.5" hidden="1">
      <x:c r="O1131" s="29" t="s">
        <x:v>192</x:v>
      </x:c>
    </x:row>
    <x:row r="1132" spans="15:15" ht="14.5" hidden="1">
      <x:c r="O1132" s="29" t="s">
        <x:v>192</x:v>
      </x:c>
    </x:row>
    <x:row r="1133" spans="15:15" ht="14.5" hidden="1">
      <x:c r="O1133" s="29" t="s">
        <x:v>192</x:v>
      </x:c>
    </x:row>
    <x:row r="1134" spans="15:15" ht="14.5" hidden="1">
      <x:c r="O1134" s="29" t="s">
        <x:v>192</x:v>
      </x:c>
    </x:row>
    <x:row r="1135" spans="15:15" ht="14.5" hidden="1">
      <x:c r="O1135" s="29" t="s">
        <x:v>192</x:v>
      </x:c>
    </x:row>
    <x:row r="1136" spans="15:15" ht="14.5" hidden="1">
      <x:c r="O1136" s="29" t="s">
        <x:v>192</x:v>
      </x:c>
    </x:row>
    <x:row r="1137" spans="15:15" ht="14.5" hidden="1">
      <x:c r="O1137" s="29" t="s">
        <x:v>192</x:v>
      </x:c>
    </x:row>
    <x:row r="1138" spans="15:15" ht="14.5" hidden="1">
      <x:c r="O1138" s="29" t="s">
        <x:v>192</x:v>
      </x:c>
    </x:row>
    <x:row r="1139" spans="15:15" ht="14.5" hidden="1">
      <x:c r="O1139" s="29" t="s">
        <x:v>192</x:v>
      </x:c>
    </x:row>
    <x:row r="1140" spans="15:15" ht="14.5" hidden="1">
      <x:c r="O1140" s="29" t="s">
        <x:v>192</x:v>
      </x:c>
    </x:row>
    <x:row r="1141" spans="15:15" ht="14.5" hidden="1">
      <x:c r="O1141" s="29" t="s">
        <x:v>192</x:v>
      </x:c>
    </x:row>
    <x:row r="1142" spans="15:15" ht="14.5" hidden="1">
      <x:c r="O1142" s="29" t="s">
        <x:v>192</x:v>
      </x:c>
    </x:row>
    <x:row r="1143" spans="15:15" ht="14.5" hidden="1">
      <x:c r="O1143" s="29" t="s">
        <x:v>192</x:v>
      </x:c>
    </x:row>
    <x:row r="1144" spans="15:15" ht="14.5" hidden="1">
      <x:c r="O1144" s="29" t="s">
        <x:v>192</x:v>
      </x:c>
    </x:row>
    <x:row r="1145" spans="15:15" ht="14.5" hidden="1">
      <x:c r="O1145" s="29" t="s">
        <x:v>192</x:v>
      </x:c>
    </x:row>
    <x:row r="1146" spans="15:15" ht="14.5" hidden="1">
      <x:c r="O1146" s="29" t="s">
        <x:v>192</x:v>
      </x:c>
    </x:row>
    <x:row r="1147" spans="15:15" ht="14.5" hidden="1">
      <x:c r="O1147" s="29" t="s">
        <x:v>192</x:v>
      </x:c>
    </x:row>
    <x:row r="1148" spans="15:15" ht="14.5" hidden="1">
      <x:c r="O1148" s="29" t="s">
        <x:v>192</x:v>
      </x:c>
    </x:row>
    <x:row r="1149" spans="15:15" ht="14.5" hidden="1">
      <x:c r="O1149" s="29" t="s">
        <x:v>192</x:v>
      </x:c>
    </x:row>
    <x:row r="1150" spans="15:15" ht="14.5" hidden="1">
      <x:c r="O1150" s="29" t="s">
        <x:v>192</x:v>
      </x:c>
    </x:row>
    <x:row r="1151" spans="15:15" ht="14.5" hidden="1">
      <x:c r="O1151" s="29" t="s">
        <x:v>192</x:v>
      </x:c>
    </x:row>
    <x:row r="1152" spans="15:15" ht="14.5" hidden="1">
      <x:c r="O1152" s="29" t="s">
        <x:v>192</x:v>
      </x:c>
    </x:row>
    <x:row r="1153" spans="15:15" ht="14.5" hidden="1">
      <x:c r="O1153" s="29" t="s">
        <x:v>192</x:v>
      </x:c>
    </x:row>
    <x:row r="1154" spans="15:15" ht="14.5" hidden="1">
      <x:c r="O1154" s="29" t="s">
        <x:v>192</x:v>
      </x:c>
    </x:row>
    <x:row r="1155" spans="15:15" ht="14.5" hidden="1">
      <x:c r="O1155" s="29" t="s">
        <x:v>192</x:v>
      </x:c>
    </x:row>
    <x:row r="1156" spans="15:15" ht="14.5" hidden="1">
      <x:c r="O1156" s="29" t="s">
        <x:v>192</x:v>
      </x:c>
    </x:row>
    <x:row r="1157" spans="15:15" ht="14.5" hidden="1">
      <x:c r="O1157" s="29" t="s">
        <x:v>192</x:v>
      </x:c>
    </x:row>
    <x:row r="1158" spans="15:15" ht="14.5" hidden="1">
      <x:c r="O1158" s="29" t="s">
        <x:v>192</x:v>
      </x:c>
    </x:row>
    <x:row r="1159" spans="15:15" ht="14.5" hidden="1">
      <x:c r="O1159" s="29" t="s">
        <x:v>192</x:v>
      </x:c>
    </x:row>
    <x:row r="1160" spans="15:15" ht="14.5" hidden="1">
      <x:c r="O1160" s="29" t="s">
        <x:v>192</x:v>
      </x:c>
    </x:row>
    <x:row r="1161" spans="15:15" ht="14.5" hidden="1">
      <x:c r="O1161" s="29" t="s">
        <x:v>192</x:v>
      </x:c>
    </x:row>
    <x:row r="1162" spans="15:15" ht="14.5" hidden="1">
      <x:c r="O1162" s="29" t="s">
        <x:v>192</x:v>
      </x:c>
    </x:row>
    <x:row r="1163" spans="15:15" ht="14.5" hidden="1">
      <x:c r="O1163" s="29" t="s">
        <x:v>192</x:v>
      </x:c>
    </x:row>
    <x:row r="1164" spans="15:15" ht="14.5" hidden="1">
      <x:c r="O1164" s="29" t="s">
        <x:v>192</x:v>
      </x:c>
    </x:row>
    <x:row r="1165" spans="15:15" ht="14.5" hidden="1">
      <x:c r="O1165" s="29" t="s">
        <x:v>192</x:v>
      </x:c>
    </x:row>
    <x:row r="1166" spans="15:15" ht="14.5" hidden="1">
      <x:c r="O1166" s="29" t="s">
        <x:v>192</x:v>
      </x:c>
    </x:row>
    <x:row r="1167" spans="15:15" ht="14.5" hidden="1">
      <x:c r="O1167" s="29" t="s">
        <x:v>192</x:v>
      </x:c>
    </x:row>
    <x:row r="1168" spans="15:15" ht="14.5" hidden="1">
      <x:c r="O1168" s="29" t="s">
        <x:v>192</x:v>
      </x:c>
    </x:row>
    <x:row r="1169" spans="15:15" ht="14.5" hidden="1">
      <x:c r="O1169" s="29" t="s">
        <x:v>192</x:v>
      </x:c>
    </x:row>
    <x:row r="1170" spans="15:15" ht="14.5" hidden="1">
      <x:c r="O1170" s="29" t="s">
        <x:v>192</x:v>
      </x:c>
    </x:row>
    <x:row r="1171" spans="15:15" ht="14.5" hidden="1">
      <x:c r="O1171" s="29" t="s">
        <x:v>192</x:v>
      </x:c>
    </x:row>
    <x:row r="1172" spans="15:15" ht="14.5" hidden="1">
      <x:c r="O1172" s="29" t="s">
        <x:v>192</x:v>
      </x:c>
    </x:row>
    <x:row r="1173" spans="15:15" ht="14.5" hidden="1">
      <x:c r="O1173" s="29" t="s">
        <x:v>192</x:v>
      </x:c>
    </x:row>
    <x:row r="1174" spans="15:15" ht="14.5" hidden="1">
      <x:c r="O1174" s="29" t="s">
        <x:v>192</x:v>
      </x:c>
    </x:row>
    <x:row r="1175" spans="15:15" ht="14.5" hidden="1">
      <x:c r="O1175" s="29" t="s">
        <x:v>192</x:v>
      </x:c>
    </x:row>
    <x:row r="1176" spans="15:15" ht="14.5" hidden="1">
      <x:c r="O1176" s="29" t="s">
        <x:v>192</x:v>
      </x:c>
    </x:row>
    <x:row r="1177" spans="15:15" ht="14.5" hidden="1">
      <x:c r="O1177" s="29" t="s">
        <x:v>192</x:v>
      </x:c>
    </x:row>
    <x:row r="1178" spans="15:15" ht="14.5" hidden="1">
      <x:c r="O1178" s="29" t="s">
        <x:v>192</x:v>
      </x:c>
    </x:row>
    <x:row r="1179" spans="15:15" ht="14.5" hidden="1">
      <x:c r="O1179" s="29" t="s">
        <x:v>192</x:v>
      </x:c>
    </x:row>
    <x:row r="1180" spans="15:15" ht="14.5" hidden="1">
      <x:c r="O1180" s="29" t="s">
        <x:v>192</x:v>
      </x:c>
    </x:row>
    <x:row r="1181" spans="15:15" ht="14.5" hidden="1">
      <x:c r="O1181" s="29" t="s">
        <x:v>192</x:v>
      </x:c>
    </x:row>
    <x:row r="1182" spans="15:15" ht="14.5" hidden="1">
      <x:c r="O1182" s="29" t="s">
        <x:v>192</x:v>
      </x:c>
    </x:row>
    <x:row r="1183" spans="15:15" ht="14.5" hidden="1">
      <x:c r="O1183" s="29" t="s">
        <x:v>192</x:v>
      </x:c>
    </x:row>
    <x:row r="1184" spans="15:15" ht="14.5" hidden="1">
      <x:c r="O1184" s="29" t="s">
        <x:v>192</x:v>
      </x:c>
    </x:row>
    <x:row r="1185" spans="15:15" ht="14.5" hidden="1">
      <x:c r="O1185" s="29" t="s">
        <x:v>192</x:v>
      </x:c>
    </x:row>
    <x:row r="1186" spans="15:15" ht="14.5" hidden="1">
      <x:c r="O1186" s="29" t="s">
        <x:v>192</x:v>
      </x:c>
    </x:row>
    <x:row r="1187" spans="15:15" ht="14.5" hidden="1">
      <x:c r="O1187" s="29" t="s">
        <x:v>192</x:v>
      </x:c>
    </x:row>
    <x:row r="1188" spans="15:15" ht="14.5" hidden="1">
      <x:c r="O1188" s="29" t="s">
        <x:v>192</x:v>
      </x:c>
    </x:row>
    <x:row r="1189" spans="15:15" ht="14.5" hidden="1">
      <x:c r="O1189" s="29" t="s">
        <x:v>192</x:v>
      </x:c>
    </x:row>
    <x:row r="1190" spans="15:15" ht="14.5" hidden="1">
      <x:c r="O1190" s="29" t="s">
        <x:v>192</x:v>
      </x:c>
    </x:row>
    <x:row r="1191" spans="15:15" ht="14.5" hidden="1">
      <x:c r="O1191" s="29" t="s">
        <x:v>192</x:v>
      </x:c>
    </x:row>
    <x:row r="1192" spans="15:15" ht="14.5" hidden="1">
      <x:c r="O1192" s="29" t="s">
        <x:v>192</x:v>
      </x:c>
    </x:row>
    <x:row r="1193" spans="15:15" ht="14.5" hidden="1">
      <x:c r="O1193" s="29" t="s">
        <x:v>192</x:v>
      </x:c>
    </x:row>
    <x:row r="1194" spans="15:15" ht="14.5" hidden="1">
      <x:c r="O1194" s="29" t="s">
        <x:v>192</x:v>
      </x:c>
    </x:row>
    <x:row r="1195" spans="15:15" ht="14.5" hidden="1">
      <x:c r="O1195" s="29" t="s">
        <x:v>192</x:v>
      </x:c>
    </x:row>
    <x:row r="1196" spans="15:15" ht="14.5" hidden="1">
      <x:c r="O1196" s="29" t="s">
        <x:v>192</x:v>
      </x:c>
    </x:row>
    <x:row r="1197" spans="15:15" ht="14.5" hidden="1">
      <x:c r="O1197" s="29" t="s">
        <x:v>192</x:v>
      </x:c>
    </x:row>
    <x:row r="1198" spans="15:15" ht="14.5" hidden="1">
      <x:c r="O1198" s="29" t="s">
        <x:v>192</x:v>
      </x:c>
    </x:row>
    <x:row r="1199" spans="15:15" ht="14.5" hidden="1">
      <x:c r="O1199" s="29" t="s">
        <x:v>192</x:v>
      </x:c>
    </x:row>
    <x:row r="1200" spans="15:15" ht="14.5" hidden="1">
      <x:c r="O1200" s="29" t="s">
        <x:v>192</x:v>
      </x:c>
    </x:row>
    <x:row r="1201" spans="15:15" ht="14.5" hidden="1">
      <x:c r="O1201" s="29" t="s">
        <x:v>192</x:v>
      </x:c>
    </x:row>
    <x:row r="1202" spans="15:15" ht="14.5" hidden="1">
      <x:c r="O1202" s="29" t="s">
        <x:v>192</x:v>
      </x:c>
    </x:row>
    <x:row r="1203" spans="15:15" ht="14.5" hidden="1">
      <x:c r="O1203" s="29" t="s">
        <x:v>192</x:v>
      </x:c>
    </x:row>
    <x:row r="1204" spans="15:15" ht="14.5" hidden="1">
      <x:c r="O1204" s="29" t="s">
        <x:v>192</x:v>
      </x:c>
    </x:row>
    <x:row r="1205" spans="15:15" ht="14.5" hidden="1">
      <x:c r="O1205" s="29" t="s">
        <x:v>192</x:v>
      </x:c>
    </x:row>
  </x:sheetData>
  <x:hyperlinks>
    <x:hyperlink ref="B25" r:id="rId1" xr:uid="{A38E8369-D0AB-4C0E-B504-B7A8F266362F}"/>
    <x:hyperlink ref="D9" r:id="rId2" display="Case Author: David Brown" xr:uid="{139794EF-DB32-40D7-886B-07682D0A7849}"/>
    <x:hyperlink ref="C9" r:id="rId3" xr:uid="{71B45F9B-46B8-440E-9D5C-4C4046AD0326}"/>
    <x:hyperlink ref="E23" r:id="rId4" xr:uid="{7FC3EBB6-D0E6-4E53-AB5E-9042D67FFF9F}"/>
  </x:hyperlinks>
  <x:pageMargins left="0.7" right="0.7" top="0.75" bottom="0.75" header="0.3" footer="0.3"/>
  <x:pageSetup orientation="portrait" r:id="rId5"/>
  <x:ignoredErrors>
    <x:ignoredError sqref="B8" unlockedFormula="1"/>
  </x:ignoredErrors>
  <x:drawing r:id="rId6"/>
  <x:legacyDrawing r:id="rId7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2049" r:id="rId8" name="Drop Down 1">
              <x:controlPr defaultSize="0" autoLine="0" autoPict="0">
                <x:anchor moveWithCells="1">
                  <x:from>
                    <xdr:col>2</xdr:col>
                    <xdr:colOff>869950</xdr:colOff>
                    <xdr:row>26</xdr:row>
                    <xdr:rowOff>184150</xdr:rowOff>
                  </x:from>
                  <x:to>
                    <xdr:col>3</xdr:col>
                    <xdr:colOff>0</xdr:colOff>
                    <xdr:row>28</xdr:row>
                    <xdr:rowOff>12700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2050" r:id="rId9" name="Drop Down 2">
              <x:controlPr defaultSize="0" autoLine="0" autoPict="0">
                <x:anchor moveWithCells="1">
                  <x:from>
                    <xdr:col>2</xdr:col>
                    <xdr:colOff>876300</xdr:colOff>
                    <xdr:row>29</xdr:row>
                    <xdr:rowOff>0</xdr:rowOff>
                  </x:from>
                  <x:to>
                    <xdr:col>3</xdr:col>
                    <xdr:colOff>0</xdr:colOff>
                    <xdr:row>30</xdr:row>
                    <xdr:rowOff>38100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2051" r:id="rId10" name="Drop Down 3">
              <x:controlPr defaultSize="0" autoLine="0" autoPict="0">
                <x:anchor moveWithCells="1">
                  <x:from>
                    <xdr:col>2</xdr:col>
                    <xdr:colOff>869950</xdr:colOff>
                    <xdr:row>31</xdr:row>
                    <xdr:rowOff>12700</xdr:rowOff>
                  </x:from>
                  <x:to>
                    <xdr:col>3</xdr:col>
                    <xdr:colOff>0</xdr:colOff>
                    <xdr:row>32</xdr:row>
                    <xdr:rowOff>50800</xdr:rowOff>
                  </x:to>
                </x:anchor>
              </x:controlPr>
            </x:control>
          </mc:Choice>
        </mc:AlternateContent>
      </x:controls>
    </mc:Choice>
  </mc:AlternateConten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B0CAF54B-B6E7-4F91-B9A4-3A2EAD7278F3}" mc:Ignorable="x14ac xr xr2 xr3">
  <x:dimension ref="A1:A71"/>
  <x:sheetViews>
    <x:sheetView showGridLines="0" workbookViewId="0">
      <x:selection activeCell="B75" sqref="B75"/>
    </x:sheetView>
  </x:sheetViews>
  <x:sheetFormatPr defaultRowHeight="14.5"/>
  <x:sheetData>
    <x:row r="1" spans="1:1">
      <x:c r="A1" s="77" t="s">
        <x:v>551</x:v>
      </x:c>
    </x:row>
    <x:row r="2" spans="1:1">
      <x:c r="A2" t="s">
        <x:v>550</x:v>
      </x:c>
    </x:row>
    <x:row r="21" spans="1:1">
      <x:c r="A21" t="s">
        <x:v>540</x:v>
      </x:c>
    </x:row>
    <x:row r="22" spans="1:1">
      <x:c r="A22" t="s">
        <x:v>541</x:v>
      </x:c>
    </x:row>
    <x:row r="43" spans="1:1">
      <x:c r="A43" t="s">
        <x:v>542</x:v>
      </x:c>
    </x:row>
    <x:row r="44" spans="1:1">
      <x:c r="A44" t="s">
        <x:v>543</x:v>
      </x:c>
    </x:row>
    <x:row r="45" spans="1:1">
      <x:c r="A45" t="s">
        <x:v>544</x:v>
      </x:c>
    </x:row>
    <x:row r="46" spans="1:1">
      <x:c r="A46" t="s">
        <x:v>545</x:v>
      </x:c>
    </x:row>
    <x:row r="47" spans="1:1">
      <x:c r="A47" t="s">
        <x:v>546</x:v>
      </x:c>
    </x:row>
    <x:row r="48" spans="1:1">
      <x:c r="A48" t="s">
        <x:v>547</x:v>
      </x:c>
    </x:row>
    <x:row r="49" spans="1:1">
      <x:c r="A49" t="s">
        <x:v>548</x:v>
      </x:c>
    </x:row>
    <x:row r="71" spans="1:1">
      <x:c r="A71" t="s">
        <x:v>549</x:v>
      </x:c>
    </x:row>
    <x:row r="1000">
      <x:c r="XX1000" s="78" t="n">
        <x:v>125713</x:v>
      </x:c>
    </x:row>
  </x:sheetData>
  <x:pageMargins left="0.7" right="0.7" top="0.75" bottom="0.75" header="0.3" footer="0.3"/>
  <x:drawing r:id="rId1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147B5F31-016B-48F5-8443-F9B9689193E6}" mc:Ignorable="x14ac xr xr2 xr3">
  <x:sheetPr codeName="Sheet4"/>
  <x:dimension ref="A1:AB120"/>
  <x:sheetViews>
    <x:sheetView showGridLines="0" workbookViewId="0">
      <x:pane ySplit="8" topLeftCell="A9" activePane="bottomLeft" state="frozen"/>
      <x:selection pane="bottomLeft" activeCell="E11" sqref="E11"/>
    </x:sheetView>
  </x:sheetViews>
  <x:sheetFormatPr defaultRowHeight="14.5"/>
  <x:cols>
    <x:col min="6" max="6" width="11.08984375" customWidth="1"/>
    <x:col min="7" max="11" width="8.81640625" customWidth="1"/>
    <x:col min="12" max="12" width="11.1796875" customWidth="1"/>
    <x:col min="13" max="19" width="8.81640625" hidden="1" customWidth="1"/>
    <x:col min="20" max="20" width="15.81640625" hidden="1" customWidth="1"/>
    <x:col min="21" max="23" width="8.81640625" hidden="1" customWidth="1"/>
    <x:col min="24" max="24" width="10.36328125" hidden="1" customWidth="1"/>
    <x:col min="25" max="26" width="8.81640625" hidden="1" customWidth="1"/>
    <x:col min="27" max="27" width="45.81640625" hidden="1" customWidth="1"/>
    <x:col min="28" max="28" width="8.81640625" hidden="1" customWidth="1"/>
  </x:cols>
  <x:sheetData>
    <x:row r="1" spans="1:12">
      <x:c r="F1" s="56"/>
    </x:row>
    <x:row r="2" spans="1:12">
      <x:c r="F2" s="56"/>
    </x:row>
    <x:row r="3" spans="1:12">
      <x:c r="F3" s="56"/>
    </x:row>
    <x:row r="4" spans="1:12">
      <x:c r="F4" s="56"/>
    </x:row>
    <x:row r="5" spans="1:12">
      <x:c r="F5" s="56"/>
    </x:row>
    <x:row r="6" spans="1:12">
      <x:c r="F6" s="56"/>
    </x:row>
    <x:row r="7" spans="1:12">
      <x:c r="F7" s="56"/>
    </x:row>
    <x:row r="8" spans="1:12">
      <x:c r="F8" s="56"/>
      <x:c r="G8" s="60" t="s">
        <x:v>4</x:v>
      </x:c>
      <x:c r="H8" s="58" t="s">
        <x:v>0</x:v>
      </x:c>
      <x:c r="I8" s="58" t="s">
        <x:v>1</x:v>
      </x:c>
      <x:c r="J8" s="58" t="s">
        <x:v>15</x:v>
      </x:c>
      <x:c r="K8" s="58" t="s">
        <x:v>2</x:v>
      </x:c>
      <x:c r="L8" s="58" t="s">
        <x:v>102</x:v>
      </x:c>
    </x:row>
    <x:row r="9" spans="1:12" ht="15" thickBot="1">
      <x:c r="F9" s="67">
        <x:v>1</x:v>
      </x:c>
      <x:c r="G9" s="61" t="str">
        <x:f>BackgroundCalcs!AN2</x:f>
        <x:v>Rory</x:v>
      </x:c>
      <x:c r="H9" s="56">
        <x:f>BackgroundCalcs!AO2</x:f>
        <x:v>0</x:v>
      </x:c>
      <x:c r="I9" s="56">
        <x:f>BackgroundCalcs!AP2</x:f>
        <x:v>1</x:v>
      </x:c>
      <x:c r="J9" s="59">
        <x:f>BackgroundCalcs!AQ2</x:f>
        <x:v>3.4109551015872084</x:v>
      </x:c>
      <x:c r="K9" s="56">
        <x:f>BackgroundCalcs!AS2</x:f>
        <x:v>38426</x:v>
      </x:c>
      <x:c r="L9" s="56" t="str">
        <x:f>EmptyCell</x:f>
        <x:v>-------</x:v>
      </x:c>
    </x:row>
    <x:row r="10" spans="1:12" ht="15" thickBot="1">
      <x:c r="A10" s="70" t="s">
        <x:v>520</x:v>
      </x:c>
      <x:c r="B10" s="69" t="str">
        <x:f>EmptyCell</x:f>
        <x:v>-------</x:v>
      </x:c>
      <x:c r="F10" s="56">
        <x:f>F9+1</x:f>
        <x:v>2</x:v>
      </x:c>
      <x:c r="G10" s="61" t="str">
        <x:f>BackgroundCalcs!AN3</x:f>
        <x:v>Adrien</x:v>
      </x:c>
      <x:c r="H10" s="56">
        <x:f>BackgroundCalcs!AO3</x:f>
        <x:v>1</x:v>
      </x:c>
      <x:c r="I10" s="56">
        <x:f>BackgroundCalcs!AP3</x:f>
        <x:v>1</x:v>
      </x:c>
      <x:c r="J10" s="59">
        <x:f>BackgroundCalcs!AQ3</x:f>
        <x:v>2.8811058170623181</x:v>
      </x:c>
      <x:c r="K10" s="56">
        <x:f>BackgroundCalcs!AS3</x:f>
        <x:v>36156</x:v>
      </x:c>
      <x:c r="L10" s="56"/>
    </x:row>
    <x:row r="11" spans="1:12">
      <x:c r="F11" s="56">
        <x:f t="shared" ref="F11:F74" si="0">F10+1</x:f>
        <x:v>3</x:v>
      </x:c>
      <x:c r="G11" s="61" t="str">
        <x:f>BackgroundCalcs!AN4</x:f>
        <x:v>Jessica</x:v>
      </x:c>
      <x:c r="H11" s="56">
        <x:f>BackgroundCalcs!AO4</x:f>
        <x:v>0</x:v>
      </x:c>
      <x:c r="I11" s="56">
        <x:f>BackgroundCalcs!AP4</x:f>
        <x:v>0</x:v>
      </x:c>
      <x:c r="J11" s="66"/>
      <x:c r="K11" s="56">
        <x:f>BackgroundCalcs!AS4</x:f>
        <x:v>37774</x:v>
      </x:c>
      <x:c r="L11" s="56"/>
    </x:row>
    <x:row r="12" spans="1:12">
      <x:c r="F12" s="56">
        <x:f t="shared" si="0"/>
        <x:v>4</x:v>
      </x:c>
      <x:c r="G12" s="61" t="str">
        <x:f>BackgroundCalcs!AN5</x:f>
        <x:v>Luka</x:v>
      </x:c>
      <x:c r="H12" s="56">
        <x:f>BackgroundCalcs!AO5</x:f>
        <x:v>1</x:v>
      </x:c>
      <x:c r="I12" s="56">
        <x:f>BackgroundCalcs!AP5</x:f>
        <x:v>1</x:v>
      </x:c>
      <x:c r="J12" s="66"/>
      <x:c r="K12" s="56">
        <x:f>BackgroundCalcs!AS5</x:f>
        <x:v>37981</x:v>
      </x:c>
      <x:c r="L12" s="56"/>
    </x:row>
    <x:row r="13" spans="1:12">
      <x:c r="F13" s="56">
        <x:f t="shared" si="0"/>
        <x:v>5</x:v>
      </x:c>
      <x:c r="G13" s="61" t="str">
        <x:f>BackgroundCalcs!AN6</x:f>
        <x:v>Jennifer</x:v>
      </x:c>
      <x:c r="H13" s="56">
        <x:f>BackgroundCalcs!AO6</x:f>
        <x:v>0</x:v>
      </x:c>
      <x:c r="I13" s="56">
        <x:f>BackgroundCalcs!AP6</x:f>
        <x:v>0</x:v>
      </x:c>
      <x:c r="J13" s="66"/>
      <x:c r="K13" s="56">
        <x:f>BackgroundCalcs!AS6</x:f>
        <x:v>38050</x:v>
      </x:c>
      <x:c r="L13" s="56"/>
    </x:row>
    <x:row r="14" spans="1:12">
      <x:c r="F14" s="56">
        <x:f t="shared" si="0"/>
        <x:v>6</x:v>
      </x:c>
      <x:c r="G14" s="61" t="str">
        <x:f>BackgroundCalcs!AN7</x:f>
        <x:v>Lucien</x:v>
      </x:c>
      <x:c r="H14" s="56">
        <x:f>BackgroundCalcs!AO7</x:f>
        <x:v>1</x:v>
      </x:c>
      <x:c r="I14" s="56">
        <x:f>BackgroundCalcs!AP7</x:f>
        <x:v>1</x:v>
      </x:c>
      <x:c r="J14" s="66"/>
      <x:c r="K14" s="56">
        <x:f>BackgroundCalcs!AS7</x:f>
        <x:v>36721</x:v>
      </x:c>
      <x:c r="L14" s="56"/>
    </x:row>
    <x:row r="15" spans="1:12">
      <x:c r="F15" s="56">
        <x:f t="shared" si="0"/>
        <x:v>7</x:v>
      </x:c>
      <x:c r="G15" s="61" t="str">
        <x:f>BackgroundCalcs!AN8</x:f>
        <x:v>Simon</x:v>
      </x:c>
      <x:c r="H15" s="56">
        <x:f>BackgroundCalcs!AO8</x:f>
        <x:v>1</x:v>
      </x:c>
      <x:c r="I15" s="56">
        <x:f>BackgroundCalcs!AP8</x:f>
        <x:v>1</x:v>
      </x:c>
      <x:c r="J15" s="66"/>
      <x:c r="K15" s="56">
        <x:f>BackgroundCalcs!AS8</x:f>
        <x:v>38441</x:v>
      </x:c>
      <x:c r="L15" s="56"/>
    </x:row>
    <x:row r="16" spans="1:12">
      <x:c r="F16" s="56">
        <x:f t="shared" si="0"/>
        <x:v>8</x:v>
      </x:c>
      <x:c r="G16" s="61" t="str">
        <x:f>BackgroundCalcs!AN9</x:f>
        <x:v>Samantha</x:v>
      </x:c>
      <x:c r="H16" s="56">
        <x:f>BackgroundCalcs!AO9</x:f>
        <x:v>0</x:v>
      </x:c>
      <x:c r="I16" s="56">
        <x:f>BackgroundCalcs!AP9</x:f>
        <x:v>1</x:v>
      </x:c>
      <x:c r="J16" s="66"/>
      <x:c r="K16" s="56">
        <x:f>BackgroundCalcs!AS9</x:f>
        <x:v>36363</x:v>
      </x:c>
      <x:c r="L16" s="56"/>
    </x:row>
    <x:row r="17" spans="6:16">
      <x:c r="F17" s="56">
        <x:f t="shared" si="0"/>
        <x:v>9</x:v>
      </x:c>
      <x:c r="G17" s="61" t="str">
        <x:f>BackgroundCalcs!AN10</x:f>
        <x:v>Beau</x:v>
      </x:c>
      <x:c r="H17" s="56">
        <x:f>BackgroundCalcs!AO10</x:f>
        <x:v>1</x:v>
      </x:c>
      <x:c r="I17" s="56">
        <x:f>BackgroundCalcs!AP10</x:f>
        <x:v>1</x:v>
      </x:c>
      <x:c r="J17" s="66"/>
      <x:c r="K17" s="56">
        <x:f>BackgroundCalcs!AS10</x:f>
        <x:v>37858</x:v>
      </x:c>
      <x:c r="L17" s="56"/>
    </x:row>
    <x:row r="18" spans="6:16">
      <x:c r="F18" s="56">
        <x:f t="shared" si="0"/>
        <x:v>10</x:v>
      </x:c>
      <x:c r="G18" s="61" t="str">
        <x:f>BackgroundCalcs!AN11</x:f>
        <x:v>Violet</x:v>
      </x:c>
      <x:c r="H18" s="56">
        <x:f>BackgroundCalcs!AO11</x:f>
        <x:v>0</x:v>
      </x:c>
      <x:c r="I18" s="56">
        <x:f>BackgroundCalcs!AP11</x:f>
        <x:v>0</x:v>
      </x:c>
      <x:c r="J18" s="66"/>
      <x:c r="K18" s="56">
        <x:f>BackgroundCalcs!AS11</x:f>
        <x:v>38488</x:v>
      </x:c>
      <x:c r="L18" s="56"/>
    </x:row>
    <x:row r="19" spans="6:16">
      <x:c r="F19" s="56">
        <x:f t="shared" si="0"/>
        <x:v>11</x:v>
      </x:c>
      <x:c r="G19" s="61" t="str">
        <x:f>BackgroundCalcs!AN12</x:f>
        <x:v>Harper</x:v>
      </x:c>
      <x:c r="H19" s="56">
        <x:f>BackgroundCalcs!AO12</x:f>
        <x:v>1</x:v>
      </x:c>
      <x:c r="I19" s="56">
        <x:f>BackgroundCalcs!AP12</x:f>
        <x:v>0</x:v>
      </x:c>
      <x:c r="J19" s="59">
        <x:f>BackgroundCalcs!AQ12</x:f>
        <x:v>2.4839885309031819</x:v>
      </x:c>
      <x:c r="K19" s="56">
        <x:f>BackgroundCalcs!AS12</x:f>
        <x:v>37838</x:v>
      </x:c>
      <x:c r="L19" s="56"/>
    </x:row>
    <x:row r="20" spans="6:16">
      <x:c r="F20" s="56">
        <x:f t="shared" si="0"/>
        <x:v>12</x:v>
      </x:c>
      <x:c r="G20" s="61" t="str">
        <x:f>BackgroundCalcs!AN13</x:f>
        <x:v>Sharon</x:v>
      </x:c>
      <x:c r="H20" s="56">
        <x:f>BackgroundCalcs!AO13</x:f>
        <x:v>0</x:v>
      </x:c>
      <x:c r="I20" s="56">
        <x:f>BackgroundCalcs!AP13</x:f>
        <x:v>1</x:v>
      </x:c>
      <x:c r="J20" s="59">
        <x:f>BackgroundCalcs!AQ13</x:f>
        <x:v>2.8811058170623181</x:v>
      </x:c>
      <x:c r="K20" s="56">
        <x:f>BackgroundCalcs!AS13</x:f>
        <x:v>36719</x:v>
      </x:c>
      <x:c r="L20" s="56"/>
    </x:row>
    <x:row r="21" spans="6:16">
      <x:c r="F21" s="56">
        <x:f t="shared" si="0"/>
        <x:v>13</x:v>
      </x:c>
      <x:c r="G21" s="61" t="str">
        <x:f>BackgroundCalcs!AN14</x:f>
        <x:v>Zander</x:v>
      </x:c>
      <x:c r="H21" s="56">
        <x:f>BackgroundCalcs!AO14</x:f>
        <x:v>1</x:v>
      </x:c>
      <x:c r="I21" s="56">
        <x:f>BackgroundCalcs!AP14</x:f>
        <x:v>0</x:v>
      </x:c>
      <x:c r="J21" s="59">
        <x:f>BackgroundCalcs!AQ14</x:f>
        <x:v>3.1866701423738428</x:v>
      </x:c>
      <x:c r="K21" s="56">
        <x:f>BackgroundCalcs!AS14</x:f>
        <x:v>36975</x:v>
      </x:c>
      <x:c r="L21" s="56"/>
    </x:row>
    <x:row r="22" spans="6:16">
      <x:c r="F22" s="56">
        <x:f t="shared" si="0"/>
        <x:v>14</x:v>
      </x:c>
      <x:c r="G22" s="61" t="str">
        <x:f>BackgroundCalcs!AN15</x:f>
        <x:v>Ella</x:v>
      </x:c>
      <x:c r="H22" s="56">
        <x:f>BackgroundCalcs!AO15</x:f>
        <x:v>0</x:v>
      </x:c>
      <x:c r="I22" s="56">
        <x:f>BackgroundCalcs!AP15</x:f>
        <x:v>1</x:v>
      </x:c>
      <x:c r="J22" s="59">
        <x:f>BackgroundCalcs!AQ15</x:f>
        <x:v>2.8811058170623181</x:v>
      </x:c>
      <x:c r="K22" s="56">
        <x:f>BackgroundCalcs!AS15</x:f>
        <x:v>35737</x:v>
      </x:c>
      <x:c r="L22" s="56"/>
      <x:c r="P22" s="1"/>
    </x:row>
    <x:row r="23" spans="6:16">
      <x:c r="F23" s="56">
        <x:f t="shared" si="0"/>
        <x:v>15</x:v>
      </x:c>
      <x:c r="G23" s="61" t="str">
        <x:f>BackgroundCalcs!AN16</x:f>
        <x:v>Laura</x:v>
      </x:c>
      <x:c r="H23" s="56">
        <x:f>BackgroundCalcs!AO16</x:f>
        <x:v>0</x:v>
      </x:c>
      <x:c r="I23" s="56">
        <x:f>BackgroundCalcs!AP16</x:f>
        <x:v>1</x:v>
      </x:c>
      <x:c r="J23" s="59">
        <x:f>BackgroundCalcs!AQ16</x:f>
        <x:v>2.8804878920260966</x:v>
      </x:c>
      <x:c r="K23" s="56">
        <x:f>BackgroundCalcs!AS16</x:f>
        <x:v>38416</x:v>
      </x:c>
      <x:c r="L23" s="56"/>
    </x:row>
    <x:row r="24" spans="6:16">
      <x:c r="F24" s="56">
        <x:f t="shared" si="0"/>
        <x:v>16</x:v>
      </x:c>
      <x:c r="G24" s="61" t="str">
        <x:f>BackgroundCalcs!AN17</x:f>
        <x:v>Harrison</x:v>
      </x:c>
      <x:c r="H24" s="56">
        <x:f>BackgroundCalcs!AO17</x:f>
        <x:v>1</x:v>
      </x:c>
      <x:c r="I24" s="56">
        <x:f>BackgroundCalcs!AP17</x:f>
        <x:v>0</x:v>
      </x:c>
      <x:c r="J24" s="59">
        <x:f>BackgroundCalcs!AQ17</x:f>
        <x:v>2.8811058170623181</x:v>
      </x:c>
      <x:c r="K24" s="56">
        <x:f>BackgroundCalcs!AS17</x:f>
        <x:v>37756</x:v>
      </x:c>
      <x:c r="L24" s="56"/>
    </x:row>
    <x:row r="25" spans="6:16">
      <x:c r="F25" s="56">
        <x:f t="shared" si="0"/>
        <x:v>17</x:v>
      </x:c>
      <x:c r="G25" s="61" t="str">
        <x:f>BackgroundCalcs!AN18</x:f>
        <x:v>Luke</x:v>
      </x:c>
      <x:c r="H25" s="56">
        <x:f>BackgroundCalcs!AO18</x:f>
        <x:v>1</x:v>
      </x:c>
      <x:c r="I25" s="56">
        <x:f>BackgroundCalcs!AP18</x:f>
        <x:v>1</x:v>
      </x:c>
      <x:c r="J25" s="59">
        <x:f>BackgroundCalcs!AQ18</x:f>
        <x:v>3.6425070066574081</x:v>
      </x:c>
      <x:c r="K25" s="56">
        <x:f>BackgroundCalcs!AS18</x:f>
        <x:v>37689</x:v>
      </x:c>
      <x:c r="L25" s="56"/>
    </x:row>
    <x:row r="26" spans="6:16">
      <x:c r="F26" s="56">
        <x:f t="shared" si="0"/>
        <x:v>18</x:v>
      </x:c>
      <x:c r="G26" s="61" t="str">
        <x:f>BackgroundCalcs!AN19</x:f>
        <x:v>Rebecca</x:v>
      </x:c>
      <x:c r="H26" s="56">
        <x:f>BackgroundCalcs!AO19</x:f>
        <x:v>0</x:v>
      </x:c>
      <x:c r="I26" s="56">
        <x:f>BackgroundCalcs!AP19</x:f>
        <x:v>1</x:v>
      </x:c>
      <x:c r="J26" s="59">
        <x:f>BackgroundCalcs!AQ19</x:f>
        <x:v>2.8811058170623181</x:v>
      </x:c>
      <x:c r="K26" s="56">
        <x:f>BackgroundCalcs!AS19</x:f>
        <x:v>37270</x:v>
      </x:c>
      <x:c r="L26" s="56"/>
    </x:row>
    <x:row r="27" spans="6:16">
      <x:c r="F27" s="56">
        <x:f t="shared" si="0"/>
        <x:v>19</x:v>
      </x:c>
      <x:c r="G27" s="61" t="str">
        <x:f>BackgroundCalcs!AN20</x:f>
        <x:v>Vincent</x:v>
      </x:c>
      <x:c r="H27" s="56">
        <x:f>BackgroundCalcs!AO20</x:f>
        <x:v>1</x:v>
      </x:c>
      <x:c r="I27" s="56">
        <x:f>BackgroundCalcs!AP20</x:f>
        <x:v>1</x:v>
      </x:c>
      <x:c r="J27" s="66"/>
      <x:c r="K27" s="56">
        <x:f>BackgroundCalcs!AS20</x:f>
        <x:v>37113</x:v>
      </x:c>
      <x:c r="L27" s="56"/>
    </x:row>
    <x:row r="28" spans="6:16">
      <x:c r="F28" s="56">
        <x:f t="shared" si="0"/>
        <x:v>20</x:v>
      </x:c>
      <x:c r="G28" s="61" t="str">
        <x:f>BackgroundCalcs!AN21</x:f>
        <x:v>Ava</x:v>
      </x:c>
      <x:c r="H28" s="56">
        <x:f>BackgroundCalcs!AO21</x:f>
        <x:v>0</x:v>
      </x:c>
      <x:c r="I28" s="56">
        <x:f>BackgroundCalcs!AP21</x:f>
        <x:v>0</x:v>
      </x:c>
      <x:c r="J28" s="66"/>
      <x:c r="K28" s="56">
        <x:f>BackgroundCalcs!AS21</x:f>
        <x:v>36335</x:v>
      </x:c>
      <x:c r="L28" s="56"/>
    </x:row>
    <x:row r="29" spans="6:16">
      <x:c r="F29" s="56">
        <x:f t="shared" si="0"/>
        <x:v>21</x:v>
      </x:c>
      <x:c r="G29" s="61" t="str">
        <x:f>BackgroundCalcs!AN22</x:f>
        <x:v>Sandra</x:v>
      </x:c>
      <x:c r="H29" s="56">
        <x:f>BackgroundCalcs!AO22</x:f>
        <x:v>0</x:v>
      </x:c>
      <x:c r="I29" s="56">
        <x:f>BackgroundCalcs!AP22</x:f>
        <x:v>1</x:v>
      </x:c>
      <x:c r="J29" s="66"/>
      <x:c r="K29" s="56">
        <x:f>BackgroundCalcs!AS22</x:f>
        <x:v>37520</x:v>
      </x:c>
      <x:c r="L29" s="56"/>
    </x:row>
    <x:row r="30" spans="6:16">
      <x:c r="F30" s="56">
        <x:f t="shared" si="0"/>
        <x:v>22</x:v>
      </x:c>
      <x:c r="G30" s="61" t="str">
        <x:f>BackgroundCalcs!AN23</x:f>
        <x:v>Helen</x:v>
      </x:c>
      <x:c r="H30" s="56">
        <x:f>BackgroundCalcs!AO23</x:f>
        <x:v>0</x:v>
      </x:c>
      <x:c r="I30" s="56">
        <x:f>BackgroundCalcs!AP23</x:f>
        <x:v>1</x:v>
      </x:c>
      <x:c r="J30" s="66"/>
      <x:c r="K30" s="56">
        <x:f>BackgroundCalcs!AS23</x:f>
        <x:v>37881</x:v>
      </x:c>
      <x:c r="L30" s="56"/>
    </x:row>
    <x:row r="31" spans="6:16">
      <x:c r="F31" s="56">
        <x:f t="shared" si="0"/>
        <x:v>23</x:v>
      </x:c>
      <x:c r="G31" s="61" t="str">
        <x:f>BackgroundCalcs!AN24</x:f>
        <x:v>Isaiah</x:v>
      </x:c>
      <x:c r="H31" s="56">
        <x:f>BackgroundCalcs!AO24</x:f>
        <x:v>1</x:v>
      </x:c>
      <x:c r="I31" s="56">
        <x:f>BackgroundCalcs!AP24</x:f>
        <x:v>0</x:v>
      </x:c>
      <x:c r="J31" s="66"/>
      <x:c r="K31" s="56">
        <x:f>BackgroundCalcs!AS24</x:f>
        <x:v>38049</x:v>
      </x:c>
      <x:c r="L31" s="56"/>
    </x:row>
    <x:row r="32" spans="6:16">
      <x:c r="F32" s="56">
        <x:f t="shared" si="0"/>
        <x:v>24</x:v>
      </x:c>
      <x:c r="G32" s="61" t="str">
        <x:f>BackgroundCalcs!AN25</x:f>
        <x:v>Callum</x:v>
      </x:c>
      <x:c r="H32" s="56">
        <x:f>BackgroundCalcs!AO25</x:f>
        <x:v>1</x:v>
      </x:c>
      <x:c r="I32" s="56">
        <x:f>BackgroundCalcs!AP25</x:f>
        <x:v>0</x:v>
      </x:c>
      <x:c r="J32" s="66"/>
      <x:c r="K32" s="56">
        <x:f>BackgroundCalcs!AS25</x:f>
        <x:v>36950</x:v>
      </x:c>
      <x:c r="L32" s="56"/>
    </x:row>
    <x:row r="33" spans="6:25">
      <x:c r="F33" s="56">
        <x:f t="shared" si="0"/>
        <x:v>25</x:v>
      </x:c>
      <x:c r="G33" s="61" t="str">
        <x:f>BackgroundCalcs!AN26</x:f>
        <x:v>Landon</x:v>
      </x:c>
      <x:c r="H33" s="56">
        <x:f>BackgroundCalcs!AO26</x:f>
        <x:v>1</x:v>
      </x:c>
      <x:c r="I33" s="56">
        <x:f>BackgroundCalcs!AP26</x:f>
        <x:v>0</x:v>
      </x:c>
      <x:c r="J33" s="66"/>
      <x:c r="K33" s="56">
        <x:f>BackgroundCalcs!AS26</x:f>
        <x:v>35827</x:v>
      </x:c>
      <x:c r="L33" s="56"/>
    </x:row>
    <x:row r="34" spans="6:25">
      <x:c r="F34" s="56">
        <x:f t="shared" si="0"/>
        <x:v>26</x:v>
      </x:c>
      <x:c r="G34" s="61" t="str">
        <x:f>BackgroundCalcs!AN27</x:f>
        <x:v>Dante</x:v>
      </x:c>
      <x:c r="H34" s="56">
        <x:f>BackgroundCalcs!AO27</x:f>
        <x:v>1</x:v>
      </x:c>
      <x:c r="I34" s="56">
        <x:f>BackgroundCalcs!AP27</x:f>
        <x:v>0</x:v>
      </x:c>
      <x:c r="J34" s="66"/>
      <x:c r="K34" s="56">
        <x:f>BackgroundCalcs!AS27</x:f>
        <x:v>38114</x:v>
      </x:c>
      <x:c r="L34" s="56"/>
    </x:row>
    <x:row r="35" spans="6:25">
      <x:c r="F35" s="56">
        <x:f t="shared" si="0"/>
        <x:v>27</x:v>
      </x:c>
      <x:c r="G35" s="61" t="str">
        <x:f>BackgroundCalcs!AN28</x:f>
        <x:v>Hugo</x:v>
      </x:c>
      <x:c r="H35" s="56">
        <x:f>BackgroundCalcs!AO28</x:f>
        <x:v>1</x:v>
      </x:c>
      <x:c r="I35" s="56">
        <x:f>BackgroundCalcs!AP28</x:f>
        <x:v>1</x:v>
      </x:c>
      <x:c r="J35" s="66"/>
      <x:c r="K35" s="56">
        <x:f>BackgroundCalcs!AS28</x:f>
        <x:v>38421</x:v>
      </x:c>
      <x:c r="L35" s="56"/>
    </x:row>
    <x:row r="36" spans="6:25">
      <x:c r="F36" s="56">
        <x:f t="shared" si="0"/>
        <x:v>28</x:v>
      </x:c>
      <x:c r="G36" s="61" t="str">
        <x:f>BackgroundCalcs!AN29</x:f>
        <x:v>Tobias</x:v>
      </x:c>
      <x:c r="H36" s="56">
        <x:f>BackgroundCalcs!AO29</x:f>
        <x:v>1</x:v>
      </x:c>
      <x:c r="I36" s="56">
        <x:f>BackgroundCalcs!AP29</x:f>
        <x:v>0</x:v>
      </x:c>
      <x:c r="J36" s="66"/>
      <x:c r="K36" s="56">
        <x:f>BackgroundCalcs!AS29</x:f>
        <x:v>35971</x:v>
      </x:c>
      <x:c r="L36" s="56"/>
    </x:row>
    <x:row r="37" spans="6:25">
      <x:c r="F37" s="56">
        <x:f t="shared" si="0"/>
        <x:v>29</x:v>
      </x:c>
      <x:c r="G37" s="61" t="str">
        <x:f>BackgroundCalcs!AN30</x:f>
        <x:v>Brenda</x:v>
      </x:c>
      <x:c r="H37" s="56">
        <x:f>BackgroundCalcs!AO30</x:f>
        <x:v>0</x:v>
      </x:c>
      <x:c r="I37" s="56">
        <x:f>BackgroundCalcs!AP30</x:f>
        <x:v>1</x:v>
      </x:c>
      <x:c r="J37" s="66"/>
      <x:c r="K37" s="56">
        <x:f>BackgroundCalcs!AS30</x:f>
        <x:v>36715</x:v>
      </x:c>
      <x:c r="L37" s="56"/>
    </x:row>
    <x:row r="38" spans="6:25">
      <x:c r="F38" s="56">
        <x:f t="shared" si="0"/>
        <x:v>30</x:v>
      </x:c>
      <x:c r="G38" s="61" t="str">
        <x:f>BackgroundCalcs!AN31</x:f>
        <x:v>Rowan</x:v>
      </x:c>
      <x:c r="H38" s="56">
        <x:f>BackgroundCalcs!AO31</x:f>
        <x:v>1</x:v>
      </x:c>
      <x:c r="I38" s="56">
        <x:f>BackgroundCalcs!AP31</x:f>
        <x:v>0</x:v>
      </x:c>
      <x:c r="J38" s="66"/>
      <x:c r="K38" s="56">
        <x:f>BackgroundCalcs!AS31</x:f>
        <x:v>38170</x:v>
      </x:c>
      <x:c r="L38" s="56"/>
    </x:row>
    <x:row r="39" spans="6:25">
      <x:c r="F39" s="56">
        <x:f t="shared" si="0"/>
        <x:v>31</x:v>
      </x:c>
      <x:c r="G39" s="61" t="str">
        <x:f>BackgroundCalcs!AN32</x:f>
        <x:v>Jonah</x:v>
      </x:c>
      <x:c r="H39" s="56">
        <x:f>BackgroundCalcs!AO32</x:f>
        <x:v>1</x:v>
      </x:c>
      <x:c r="I39" s="56">
        <x:f>BackgroundCalcs!AP32</x:f>
        <x:v>1</x:v>
      </x:c>
      <x:c r="J39" s="66"/>
      <x:c r="K39" s="56">
        <x:f>BackgroundCalcs!AS32</x:f>
        <x:v>35721</x:v>
      </x:c>
      <x:c r="L39" s="56"/>
    </x:row>
    <x:row r="40" spans="6:25">
      <x:c r="F40" s="56">
        <x:f t="shared" si="0"/>
        <x:v>32</x:v>
      </x:c>
      <x:c r="G40" s="61" t="str">
        <x:f>BackgroundCalcs!AN33</x:f>
        <x:v>Alex</x:v>
      </x:c>
      <x:c r="H40" s="56">
        <x:f>BackgroundCalcs!AO33</x:f>
        <x:v>0</x:v>
      </x:c>
      <x:c r="I40" s="56">
        <x:f>BackgroundCalcs!AP33</x:f>
        <x:v>0</x:v>
      </x:c>
      <x:c r="J40" s="59">
        <x:f>BackgroundCalcs!AQ33</x:f>
        <x:v>2.5429971503273778</x:v>
      </x:c>
      <x:c r="K40" s="56">
        <x:f>BackgroundCalcs!AS33</x:f>
        <x:v>36498</x:v>
      </x:c>
      <x:c r="L40" s="56"/>
    </x:row>
    <x:row r="41" spans="6:25">
      <x:c r="F41" s="56">
        <x:f t="shared" si="0"/>
        <x:v>33</x:v>
      </x:c>
      <x:c r="G41" s="61" t="str">
        <x:f>BackgroundCalcs!AN34</x:f>
        <x:v>Carolyn</x:v>
      </x:c>
      <x:c r="H41" s="56">
        <x:f>BackgroundCalcs!AO34</x:f>
        <x:v>0</x:v>
      </x:c>
      <x:c r="I41" s="56">
        <x:f>BackgroundCalcs!AP34</x:f>
        <x:v>1</x:v>
      </x:c>
      <x:c r="J41" s="59">
        <x:f>BackgroundCalcs!AQ34</x:f>
        <x:v>2.8811058170623181</x:v>
      </x:c>
      <x:c r="K41" s="56">
        <x:f>BackgroundCalcs!AS34</x:f>
        <x:v>36367</x:v>
      </x:c>
      <x:c r="L41" s="56"/>
      <x:c r="Y41" t="s">
        <x:v>111</x:v>
      </x:c>
    </x:row>
    <x:row r="42" spans="6:25">
      <x:c r="F42" s="56">
        <x:f t="shared" si="0"/>
        <x:v>34</x:v>
      </x:c>
      <x:c r="G42" s="61" t="str">
        <x:f>BackgroundCalcs!AN35</x:f>
        <x:v>Susan</x:v>
      </x:c>
      <x:c r="H42" s="56">
        <x:f>BackgroundCalcs!AO35</x:f>
        <x:v>0</x:v>
      </x:c>
      <x:c r="I42" s="56">
        <x:f>BackgroundCalcs!AP35</x:f>
        <x:v>0</x:v>
      </x:c>
      <x:c r="J42" s="59">
        <x:f>BackgroundCalcs!AQ35</x:f>
        <x:v>2.4827514447143866</x:v>
      </x:c>
      <x:c r="K42" s="56">
        <x:f>BackgroundCalcs!AS35</x:f>
        <x:v>37297</x:v>
      </x:c>
      <x:c r="L42" s="56"/>
      <x:c r="Y42" t="s">
        <x:v>112</x:v>
      </x:c>
    </x:row>
    <x:row r="43" spans="6:25">
      <x:c r="F43" s="56">
        <x:f t="shared" si="0"/>
        <x:v>35</x:v>
      </x:c>
      <x:c r="G43" s="61" t="str">
        <x:f>BackgroundCalcs!AN36</x:f>
        <x:v>Gideon</x:v>
      </x:c>
      <x:c r="H43" s="56">
        <x:f>BackgroundCalcs!AO36</x:f>
        <x:v>1</x:v>
      </x:c>
      <x:c r="I43" s="56">
        <x:f>BackgroundCalcs!AP36</x:f>
        <x:v>1</x:v>
      </x:c>
      <x:c r="J43" s="59">
        <x:f>BackgroundCalcs!AQ36</x:f>
        <x:v>2.8811058170623181</x:v>
      </x:c>
      <x:c r="K43" s="56">
        <x:f>BackgroundCalcs!AS36</x:f>
        <x:v>36789</x:v>
      </x:c>
      <x:c r="L43" s="56"/>
      <x:c r="Y43" t="s">
        <x:v>111</x:v>
      </x:c>
    </x:row>
    <x:row r="44" spans="6:25">
      <x:c r="F44" s="56">
        <x:f t="shared" si="0"/>
        <x:v>36</x:v>
      </x:c>
      <x:c r="G44" s="61" t="str">
        <x:f>BackgroundCalcs!AN37</x:f>
        <x:v>Damien</x:v>
      </x:c>
      <x:c r="H44" s="56">
        <x:f>BackgroundCalcs!AO37</x:f>
        <x:v>1</x:v>
      </x:c>
      <x:c r="I44" s="56">
        <x:f>BackgroundCalcs!AP37</x:f>
        <x:v>0</x:v>
      </x:c>
      <x:c r="J44" s="59">
        <x:f>BackgroundCalcs!AQ37</x:f>
        <x:v>2.893357690944911</x:v>
      </x:c>
      <x:c r="K44" s="56">
        <x:f>BackgroundCalcs!AS37</x:f>
        <x:v>36063</x:v>
      </x:c>
      <x:c r="L44" s="56"/>
      <x:c r="Y44" t="s">
        <x:v>112</x:v>
      </x:c>
    </x:row>
    <x:row r="45" spans="6:25">
      <x:c r="F45" s="56">
        <x:f t="shared" si="0"/>
        <x:v>37</x:v>
      </x:c>
      <x:c r="G45" s="61" t="str">
        <x:f>BackgroundCalcs!AN38</x:f>
        <x:v>Alaric</x:v>
      </x:c>
      <x:c r="H45" s="56">
        <x:f>BackgroundCalcs!AO38</x:f>
        <x:v>1</x:v>
      </x:c>
      <x:c r="I45" s="56">
        <x:f>BackgroundCalcs!AP38</x:f>
        <x:v>0</x:v>
      </x:c>
      <x:c r="J45" s="59">
        <x:f>BackgroundCalcs!AQ38</x:f>
        <x:v>2.8811058170623181</x:v>
      </x:c>
      <x:c r="K45" s="56">
        <x:f>BackgroundCalcs!AS38</x:f>
        <x:v>37372</x:v>
      </x:c>
      <x:c r="L45" s="56"/>
      <x:c r="Y45" t="s">
        <x:v>111</x:v>
      </x:c>
    </x:row>
    <x:row r="46" spans="6:25">
      <x:c r="F46" s="56">
        <x:f t="shared" si="0"/>
        <x:v>38</x:v>
      </x:c>
      <x:c r="G46" s="61" t="str">
        <x:f>BackgroundCalcs!AN39</x:f>
        <x:v>Heather</x:v>
      </x:c>
      <x:c r="H46" s="56">
        <x:f>BackgroundCalcs!AO39</x:f>
        <x:v>0</x:v>
      </x:c>
      <x:c r="I46" s="56">
        <x:f>BackgroundCalcs!AP39</x:f>
        <x:v>0</x:v>
      </x:c>
      <x:c r="J46" s="59">
        <x:f>BackgroundCalcs!AQ39</x:f>
        <x:v>2.6942621009319101</x:v>
      </x:c>
      <x:c r="K46" s="56">
        <x:f>BackgroundCalcs!AS39</x:f>
        <x:v>36622</x:v>
      </x:c>
      <x:c r="L46" s="56"/>
    </x:row>
    <x:row r="47" spans="6:25">
      <x:c r="F47" s="56">
        <x:f t="shared" si="0"/>
        <x:v>39</x:v>
      </x:c>
      <x:c r="G47" s="61" t="str">
        <x:f>BackgroundCalcs!AN40</x:f>
        <x:v>Shirley</x:v>
      </x:c>
      <x:c r="H47" s="56">
        <x:f>BackgroundCalcs!AO40</x:f>
        <x:v>0</x:v>
      </x:c>
      <x:c r="I47" s="56">
        <x:f>BackgroundCalcs!AP40</x:f>
        <x:v>1</x:v>
      </x:c>
      <x:c r="J47" s="59">
        <x:f>BackgroundCalcs!AQ40</x:f>
        <x:v>2.8811058170623181</x:v>
      </x:c>
      <x:c r="K47" s="56">
        <x:f>BackgroundCalcs!AS40</x:f>
        <x:v>36991</x:v>
      </x:c>
      <x:c r="L47" s="56"/>
    </x:row>
    <x:row r="48" spans="6:25">
      <x:c r="F48" s="56">
        <x:f t="shared" si="0"/>
        <x:v>40</x:v>
      </x:c>
      <x:c r="G48" s="61" t="str">
        <x:f>BackgroundCalcs!AN41</x:f>
        <x:v>Angela</x:v>
      </x:c>
      <x:c r="H48" s="56">
        <x:f>BackgroundCalcs!AO41</x:f>
        <x:v>0</x:v>
      </x:c>
      <x:c r="I48" s="56">
        <x:f>BackgroundCalcs!AP41</x:f>
        <x:v>1</x:v>
      </x:c>
      <x:c r="J48" s="59">
        <x:f>BackgroundCalcs!AQ41</x:f>
        <x:v>2.2754752200513284</x:v>
      </x:c>
      <x:c r="K48" s="56">
        <x:f>BackgroundCalcs!AS41</x:f>
        <x:v>35546</x:v>
      </x:c>
      <x:c r="L48" s="56"/>
    </x:row>
    <x:row r="49" spans="6:12">
      <x:c r="F49" s="56">
        <x:f t="shared" si="0"/>
        <x:v>41</x:v>
      </x:c>
      <x:c r="G49" s="61" t="str">
        <x:f>BackgroundCalcs!AN42</x:f>
        <x:v>Linda</x:v>
      </x:c>
      <x:c r="H49" s="56">
        <x:f>BackgroundCalcs!AO42</x:f>
        <x:v>0</x:v>
      </x:c>
      <x:c r="I49" s="56">
        <x:f>BackgroundCalcs!AP42</x:f>
        <x:v>1</x:v>
      </x:c>
      <x:c r="J49" s="59">
        <x:f>BackgroundCalcs!AQ42</x:f>
        <x:v>2.8811058170623181</x:v>
      </x:c>
      <x:c r="K49" s="56">
        <x:f>BackgroundCalcs!AS42</x:f>
        <x:v>38365</x:v>
      </x:c>
      <x:c r="L49" s="56"/>
    </x:row>
    <x:row r="50" spans="6:12">
      <x:c r="F50" s="56">
        <x:f t="shared" si="0"/>
        <x:v>42</x:v>
      </x:c>
      <x:c r="G50" s="61" t="str">
        <x:f>BackgroundCalcs!AN43</x:f>
        <x:v>Donna</x:v>
      </x:c>
      <x:c r="H50" s="56">
        <x:f>BackgroundCalcs!AO43</x:f>
        <x:v>0</x:v>
      </x:c>
      <x:c r="I50" s="56">
        <x:f>BackgroundCalcs!AP43</x:f>
        <x:v>1</x:v>
      </x:c>
      <x:c r="J50" s="59">
        <x:f>BackgroundCalcs!AQ43</x:f>
        <x:v>3.5599579413533977</x:v>
      </x:c>
      <x:c r="K50" s="56">
        <x:f>BackgroundCalcs!AS43</x:f>
        <x:v>36720</x:v>
      </x:c>
      <x:c r="L50" s="56"/>
    </x:row>
    <x:row r="51" spans="6:12">
      <x:c r="F51" s="56">
        <x:f t="shared" si="0"/>
        <x:v>43</x:v>
      </x:c>
      <x:c r="G51" s="61" t="str">
        <x:f>BackgroundCalcs!AN44</x:f>
        <x:v>Remi</x:v>
      </x:c>
      <x:c r="H51" s="56">
        <x:f>BackgroundCalcs!AO44</x:f>
        <x:v>1</x:v>
      </x:c>
      <x:c r="I51" s="56">
        <x:f>BackgroundCalcs!AP44</x:f>
        <x:v>1</x:v>
      </x:c>
      <x:c r="J51" s="59">
        <x:f>BackgroundCalcs!AQ44</x:f>
        <x:v>2.8811058170623181</x:v>
      </x:c>
      <x:c r="K51" s="56">
        <x:f>BackgroundCalcs!AS44</x:f>
        <x:v>37613</x:v>
      </x:c>
      <x:c r="L51" s="56"/>
    </x:row>
    <x:row r="52" spans="6:12">
      <x:c r="F52" s="56">
        <x:f t="shared" si="0"/>
        <x:v>44</x:v>
      </x:c>
      <x:c r="G52" s="61" t="str">
        <x:f>BackgroundCalcs!AN45</x:f>
        <x:v>Rhett</x:v>
      </x:c>
      <x:c r="H52" s="56">
        <x:f>BackgroundCalcs!AO45</x:f>
        <x:v>1</x:v>
      </x:c>
      <x:c r="I52" s="56">
        <x:f>BackgroundCalcs!AP45</x:f>
        <x:v>0</x:v>
      </x:c>
      <x:c r="J52" s="66"/>
      <x:c r="K52" s="56">
        <x:f>BackgroundCalcs!AS45</x:f>
        <x:v>37892</x:v>
      </x:c>
      <x:c r="L52" s="56"/>
    </x:row>
    <x:row r="53" spans="6:12">
      <x:c r="F53" s="56">
        <x:f t="shared" si="0"/>
        <x:v>45</x:v>
      </x:c>
      <x:c r="G53" s="61" t="str">
        <x:f>BackgroundCalcs!AN46</x:f>
        <x:v>Roman</x:v>
      </x:c>
      <x:c r="H53" s="56">
        <x:f>BackgroundCalcs!AO46</x:f>
        <x:v>1</x:v>
      </x:c>
      <x:c r="I53" s="56">
        <x:f>BackgroundCalcs!AP46</x:f>
        <x:v>0</x:v>
      </x:c>
      <x:c r="J53" s="66"/>
      <x:c r="K53" s="56">
        <x:f>BackgroundCalcs!AS46</x:f>
        <x:v>35721</x:v>
      </x:c>
      <x:c r="L53" s="56"/>
    </x:row>
    <x:row r="54" spans="6:12">
      <x:c r="F54" s="56">
        <x:f t="shared" si="0"/>
        <x:v>46</x:v>
      </x:c>
      <x:c r="G54" s="61" t="str">
        <x:f>BackgroundCalcs!AN47</x:f>
        <x:v>Nathan</x:v>
      </x:c>
      <x:c r="H54" s="56">
        <x:f>BackgroundCalcs!AO47</x:f>
        <x:v>1</x:v>
      </x:c>
      <x:c r="I54" s="56">
        <x:f>BackgroundCalcs!AP47</x:f>
        <x:v>1</x:v>
      </x:c>
      <x:c r="J54" s="66"/>
      <x:c r="K54" s="56">
        <x:f>BackgroundCalcs!AS47</x:f>
        <x:v>35719</x:v>
      </x:c>
      <x:c r="L54" s="56"/>
    </x:row>
    <x:row r="55" spans="6:12">
      <x:c r="F55" s="56">
        <x:f t="shared" si="0"/>
        <x:v>47</x:v>
      </x:c>
      <x:c r="G55" s="61" t="str">
        <x:f>BackgroundCalcs!AN48</x:f>
        <x:v>Zachary</x:v>
      </x:c>
      <x:c r="H55" s="56">
        <x:f>BackgroundCalcs!AO48</x:f>
        <x:v>1</x:v>
      </x:c>
      <x:c r="I55" s="56">
        <x:f>BackgroundCalcs!AP48</x:f>
        <x:v>0</x:v>
      </x:c>
      <x:c r="J55" s="66"/>
      <x:c r="K55" s="56">
        <x:f>BackgroundCalcs!AS48</x:f>
        <x:v>37773</x:v>
      </x:c>
      <x:c r="L55" s="56"/>
    </x:row>
    <x:row r="56" spans="6:12">
      <x:c r="F56" s="56">
        <x:f t="shared" si="0"/>
        <x:v>48</x:v>
      </x:c>
      <x:c r="G56" s="61" t="str">
        <x:f>BackgroundCalcs!AN49</x:f>
        <x:v>Mateo</x:v>
      </x:c>
      <x:c r="H56" s="56">
        <x:f>BackgroundCalcs!AO49</x:f>
        <x:v>1</x:v>
      </x:c>
      <x:c r="I56" s="56">
        <x:f>BackgroundCalcs!AP49</x:f>
        <x:v>0</x:v>
      </x:c>
      <x:c r="J56" s="66"/>
      <x:c r="K56" s="56">
        <x:f>BackgroundCalcs!AS49</x:f>
        <x:v>36276</x:v>
      </x:c>
      <x:c r="L56" s="56"/>
    </x:row>
    <x:row r="57" spans="6:12">
      <x:c r="F57" s="56">
        <x:f t="shared" si="0"/>
        <x:v>49</x:v>
      </x:c>
      <x:c r="G57" s="61" t="str">
        <x:f>BackgroundCalcs!AN50</x:f>
        <x:v>Matthew</x:v>
      </x:c>
      <x:c r="H57" s="56">
        <x:f>BackgroundCalcs!AO50</x:f>
        <x:v>0</x:v>
      </x:c>
      <x:c r="I57" s="56">
        <x:f>BackgroundCalcs!AP50</x:f>
        <x:v>0</x:v>
      </x:c>
      <x:c r="J57" s="66"/>
      <x:c r="K57" s="56">
        <x:f>BackgroundCalcs!AS50</x:f>
        <x:v>35530</x:v>
      </x:c>
      <x:c r="L57" s="56"/>
    </x:row>
    <x:row r="58" spans="6:12">
      <x:c r="F58" s="56">
        <x:f t="shared" si="0"/>
        <x:v>50</x:v>
      </x:c>
      <x:c r="G58" s="61" t="str">
        <x:f>BackgroundCalcs!AN51</x:f>
        <x:v>Steven</x:v>
      </x:c>
      <x:c r="H58" s="56">
        <x:f>BackgroundCalcs!AO51</x:f>
        <x:v>0</x:v>
      </x:c>
      <x:c r="I58" s="56">
        <x:f>BackgroundCalcs!AP51</x:f>
        <x:v>0</x:v>
      </x:c>
      <x:c r="J58" s="66"/>
      <x:c r="K58" s="56">
        <x:f>BackgroundCalcs!AS51</x:f>
        <x:v>35525</x:v>
      </x:c>
      <x:c r="L58" s="56"/>
    </x:row>
    <x:row r="59" spans="6:12">
      <x:c r="F59" s="56">
        <x:f t="shared" si="0"/>
        <x:v>51</x:v>
      </x:c>
      <x:c r="G59" s="61" t="str">
        <x:f>BackgroundCalcs!AN52</x:f>
        <x:v>Thomas</x:v>
      </x:c>
      <x:c r="H59" s="56">
        <x:f>BackgroundCalcs!AO52</x:f>
        <x:v>0</x:v>
      </x:c>
      <x:c r="I59" s="56">
        <x:f>BackgroundCalcs!AP52</x:f>
        <x:v>1</x:v>
      </x:c>
      <x:c r="J59" s="66"/>
      <x:c r="K59" s="56">
        <x:f>BackgroundCalcs!AS52</x:f>
        <x:v>35912</x:v>
      </x:c>
      <x:c r="L59" s="56"/>
    </x:row>
    <x:row r="60" spans="6:12">
      <x:c r="F60" s="56">
        <x:f t="shared" si="0"/>
        <x:v>52</x:v>
      </x:c>
      <x:c r="G60" s="61" t="str">
        <x:f>BackgroundCalcs!AN53</x:f>
        <x:v>Brad</x:v>
      </x:c>
      <x:c r="H60" s="56">
        <x:f>BackgroundCalcs!AO53</x:f>
        <x:v>0</x:v>
      </x:c>
      <x:c r="I60" s="56">
        <x:f>BackgroundCalcs!AP53</x:f>
        <x:v>0</x:v>
      </x:c>
      <x:c r="J60" s="66"/>
      <x:c r="K60" s="56">
        <x:f>BackgroundCalcs!AS53</x:f>
        <x:v>36714</x:v>
      </x:c>
      <x:c r="L60" s="56"/>
    </x:row>
    <x:row r="61" spans="6:12">
      <x:c r="F61" s="56">
        <x:f t="shared" si="0"/>
        <x:v>53</x:v>
      </x:c>
      <x:c r="G61" s="61" t="str">
        <x:f>BackgroundCalcs!AN54</x:f>
        <x:v>Astrid</x:v>
      </x:c>
      <x:c r="H61" s="56">
        <x:f>BackgroundCalcs!AO54</x:f>
        <x:v>1</x:v>
      </x:c>
      <x:c r="I61" s="56">
        <x:f>BackgroundCalcs!AP54</x:f>
        <x:v>0</x:v>
      </x:c>
      <x:c r="J61" s="59">
        <x:f>BackgroundCalcs!AQ54</x:f>
        <x:v>2.0879233750209183</x:v>
      </x:c>
      <x:c r="K61" s="56">
        <x:f>BackgroundCalcs!AS54</x:f>
        <x:v>37770</x:v>
      </x:c>
      <x:c r="L61" s="56"/>
    </x:row>
    <x:row r="62" spans="6:12">
      <x:c r="F62" s="56">
        <x:f t="shared" si="0"/>
        <x:v>54</x:v>
      </x:c>
      <x:c r="G62" s="61" t="str">
        <x:f>BackgroundCalcs!AN55</x:f>
        <x:v>Lucy</x:v>
      </x:c>
      <x:c r="H62" s="56">
        <x:f>BackgroundCalcs!AO55</x:f>
        <x:v>1</x:v>
      </x:c>
      <x:c r="I62" s="56">
        <x:f>BackgroundCalcs!AP55</x:f>
        <x:v>1</x:v>
      </x:c>
      <x:c r="J62" s="59">
        <x:f>BackgroundCalcs!AQ55</x:f>
        <x:v>2.8811058170623181</x:v>
      </x:c>
      <x:c r="K62" s="56">
        <x:f>BackgroundCalcs!AS55</x:f>
        <x:v>35902</x:v>
      </x:c>
      <x:c r="L62" s="56"/>
    </x:row>
    <x:row r="63" spans="6:12">
      <x:c r="F63" s="56">
        <x:f t="shared" si="0"/>
        <x:v>55</x:v>
      </x:c>
      <x:c r="G63" s="61" t="str">
        <x:f>BackgroundCalcs!AN56</x:f>
        <x:v>Ruby</x:v>
      </x:c>
      <x:c r="H63" s="56">
        <x:f>BackgroundCalcs!AO56</x:f>
        <x:v>1</x:v>
      </x:c>
      <x:c r="I63" s="56">
        <x:f>BackgroundCalcs!AP56</x:f>
        <x:v>0</x:v>
      </x:c>
      <x:c r="J63" s="59">
        <x:f>BackgroundCalcs!AQ56</x:f>
        <x:v>2.8562887469916536</x:v>
      </x:c>
      <x:c r="K63" s="56">
        <x:f>BackgroundCalcs!AS56</x:f>
        <x:v>36882</x:v>
      </x:c>
      <x:c r="L63" s="56"/>
    </x:row>
    <x:row r="64" spans="6:12">
      <x:c r="F64" s="56">
        <x:f t="shared" si="0"/>
        <x:v>56</x:v>
      </x:c>
      <x:c r="G64" s="61" t="str">
        <x:f>BackgroundCalcs!AN57</x:f>
        <x:v>James</x:v>
      </x:c>
      <x:c r="H64" s="56">
        <x:f>BackgroundCalcs!AO57</x:f>
        <x:v>0</x:v>
      </x:c>
      <x:c r="I64" s="56">
        <x:f>BackgroundCalcs!AP57</x:f>
        <x:v>0</x:v>
      </x:c>
      <x:c r="J64" s="59">
        <x:f>BackgroundCalcs!AQ57</x:f>
        <x:v>2.8811058170623181</x:v>
      </x:c>
      <x:c r="K64" s="56">
        <x:f>BackgroundCalcs!AS57</x:f>
        <x:v>37507</x:v>
      </x:c>
      <x:c r="L64" s="56"/>
    </x:row>
    <x:row r="65" spans="6:12">
      <x:c r="F65" s="56">
        <x:f t="shared" si="0"/>
        <x:v>57</x:v>
      </x:c>
      <x:c r="G65" s="61" t="str">
        <x:f>BackgroundCalcs!AN58</x:f>
        <x:v>Peter</x:v>
      </x:c>
      <x:c r="H65" s="56">
        <x:f>BackgroundCalcs!AO58</x:f>
        <x:v>0</x:v>
      </x:c>
      <x:c r="I65" s="56">
        <x:f>BackgroundCalcs!AP58</x:f>
        <x:v>0</x:v>
      </x:c>
      <x:c r="J65" s="59">
        <x:f>BackgroundCalcs!AQ58</x:f>
        <x:v>3.4033570169070293</x:v>
      </x:c>
      <x:c r="K65" s="56">
        <x:f>BackgroundCalcs!AS58</x:f>
        <x:v>37344</x:v>
      </x:c>
      <x:c r="L65" s="56"/>
    </x:row>
    <x:row r="66" spans="6:12">
      <x:c r="F66" s="56">
        <x:f t="shared" si="0"/>
        <x:v>58</x:v>
      </x:c>
      <x:c r="G66" s="61" t="str">
        <x:f>BackgroundCalcs!AN59</x:f>
        <x:v>Brian</x:v>
      </x:c>
      <x:c r="H66" s="56">
        <x:f>BackgroundCalcs!AO59</x:f>
        <x:v>0</x:v>
      </x:c>
      <x:c r="I66" s="56">
        <x:f>BackgroundCalcs!AP59</x:f>
        <x:v>1</x:v>
      </x:c>
      <x:c r="J66" s="59">
        <x:f>BackgroundCalcs!AQ59</x:f>
        <x:v>2.8811058170623181</x:v>
      </x:c>
      <x:c r="K66" s="56">
        <x:f>BackgroundCalcs!AS59</x:f>
        <x:v>37674</x:v>
      </x:c>
      <x:c r="L66" s="56"/>
    </x:row>
    <x:row r="67" spans="6:12">
      <x:c r="F67" s="56">
        <x:f t="shared" si="0"/>
        <x:v>59</x:v>
      </x:c>
      <x:c r="G67" s="61" t="str">
        <x:f>BackgroundCalcs!AN60</x:f>
        <x:v>Ada</x:v>
      </x:c>
      <x:c r="H67" s="56">
        <x:f>BackgroundCalcs!AO60</x:f>
        <x:v>1</x:v>
      </x:c>
      <x:c r="I67" s="56">
        <x:f>BackgroundCalcs!AP60</x:f>
        <x:v>1</x:v>
      </x:c>
      <x:c r="J67" s="59">
        <x:f>BackgroundCalcs!AQ60</x:f>
        <x:v>2.7691156054136226</x:v>
      </x:c>
      <x:c r="K67" s="56">
        <x:f>BackgroundCalcs!AS60</x:f>
        <x:v>36452</x:v>
      </x:c>
      <x:c r="L67" s="56"/>
    </x:row>
    <x:row r="68" spans="6:12">
      <x:c r="F68" s="56">
        <x:f t="shared" si="0"/>
        <x:v>60</x:v>
      </x:c>
      <x:c r="G68" s="61" t="str">
        <x:f>BackgroundCalcs!AN61</x:f>
        <x:v> Thea</x:v>
      </x:c>
      <x:c r="H68" s="56">
        <x:f>BackgroundCalcs!AO61</x:f>
        <x:v>1</x:v>
      </x:c>
      <x:c r="I68" s="56">
        <x:f>BackgroundCalcs!AP61</x:f>
        <x:v>0</x:v>
      </x:c>
      <x:c r="J68" s="59">
        <x:f>BackgroundCalcs!AQ61</x:f>
        <x:v>2.8811058170623181</x:v>
      </x:c>
      <x:c r="K68" s="56">
        <x:f>BackgroundCalcs!AS61</x:f>
        <x:v>36509</x:v>
      </x:c>
      <x:c r="L68" s="56"/>
    </x:row>
    <x:row r="69" spans="6:12">
      <x:c r="F69" s="56">
        <x:f t="shared" si="0"/>
        <x:v>61</x:v>
      </x:c>
      <x:c r="G69" s="61" t="str">
        <x:f>BackgroundCalcs!AN62</x:f>
        <x:v>Aurelia</x:v>
      </x:c>
      <x:c r="H69" s="56">
        <x:f>BackgroundCalcs!AO62</x:f>
        <x:v>1</x:v>
      </x:c>
      <x:c r="I69" s="56">
        <x:f>BackgroundCalcs!AP62</x:f>
        <x:v>0</x:v>
      </x:c>
      <x:c r="J69" s="59">
        <x:f>BackgroundCalcs!AQ62</x:f>
        <x:v>3.4201394689987183</x:v>
      </x:c>
      <x:c r="K69" s="56">
        <x:f>BackgroundCalcs!AS62</x:f>
        <x:v>36861</x:v>
      </x:c>
      <x:c r="L69" s="56"/>
    </x:row>
    <x:row r="70" spans="6:12">
      <x:c r="F70" s="56">
        <x:f t="shared" si="0"/>
        <x:v>62</x:v>
      </x:c>
      <x:c r="G70" s="61" t="str">
        <x:f>BackgroundCalcs!AN63</x:f>
        <x:v>Esme</x:v>
      </x:c>
      <x:c r="H70" s="56">
        <x:f>BackgroundCalcs!AO63</x:f>
        <x:v>1</x:v>
      </x:c>
      <x:c r="I70" s="56">
        <x:f>BackgroundCalcs!AP63</x:f>
        <x:v>1</x:v>
      </x:c>
      <x:c r="J70" s="59">
        <x:f>BackgroundCalcs!AQ63</x:f>
        <x:v>2.8811058170623181</x:v>
      </x:c>
      <x:c r="K70" s="56">
        <x:f>BackgroundCalcs!AS63</x:f>
        <x:v>37015</x:v>
      </x:c>
      <x:c r="L70" s="56"/>
    </x:row>
    <x:row r="71" spans="6:12">
      <x:c r="F71" s="56">
        <x:f t="shared" si="0"/>
        <x:v>63</x:v>
      </x:c>
      <x:c r="G71" s="61" t="str">
        <x:f>BackgroundCalcs!AN64</x:f>
        <x:v>Sadie</x:v>
      </x:c>
      <x:c r="H71" s="56">
        <x:f>BackgroundCalcs!AO64</x:f>
        <x:v>1</x:v>
      </x:c>
      <x:c r="I71" s="56">
        <x:f>BackgroundCalcs!AP64</x:f>
        <x:v>0</x:v>
      </x:c>
      <x:c r="J71" s="66"/>
      <x:c r="K71" s="56">
        <x:f>BackgroundCalcs!AS64</x:f>
        <x:v>35508</x:v>
      </x:c>
      <x:c r="L71" s="56"/>
    </x:row>
    <x:row r="72" spans="6:12">
      <x:c r="F72" s="56">
        <x:f t="shared" si="0"/>
        <x:v>64</x:v>
      </x:c>
      <x:c r="G72" s="61" t="str">
        <x:f>BackgroundCalcs!AN65</x:f>
        <x:v>Josephine</x:v>
      </x:c>
      <x:c r="H72" s="56">
        <x:f>BackgroundCalcs!AO65</x:f>
        <x:v>1</x:v>
      </x:c>
      <x:c r="I72" s="56">
        <x:f>BackgroundCalcs!AP65</x:f>
        <x:v>0</x:v>
      </x:c>
      <x:c r="J72" s="66"/>
      <x:c r="K72" s="56">
        <x:f>BackgroundCalcs!AS65</x:f>
        <x:v>35764</x:v>
      </x:c>
      <x:c r="L72" s="56"/>
    </x:row>
    <x:row r="73" spans="6:12">
      <x:c r="F73" s="56">
        <x:f t="shared" si="0"/>
        <x:v>65</x:v>
      </x:c>
      <x:c r="G73" s="61" t="str">
        <x:f>BackgroundCalcs!AN66</x:f>
        <x:v>William</x:v>
      </x:c>
      <x:c r="H73" s="56">
        <x:f>BackgroundCalcs!AO66</x:f>
        <x:v>0</x:v>
      </x:c>
      <x:c r="I73" s="56">
        <x:f>BackgroundCalcs!AP66</x:f>
        <x:v>1</x:v>
      </x:c>
      <x:c r="J73" s="66"/>
      <x:c r="K73" s="56">
        <x:f>BackgroundCalcs!AS66</x:f>
        <x:v>37995</x:v>
      </x:c>
      <x:c r="L73" s="56"/>
    </x:row>
    <x:row r="74" spans="6:12">
      <x:c r="F74" s="56">
        <x:f t="shared" si="0"/>
        <x:v>66</x:v>
      </x:c>
      <x:c r="G74" s="61" t="str">
        <x:f>BackgroundCalcs!AN67</x:f>
        <x:v>Benjamin</x:v>
      </x:c>
      <x:c r="H74" s="56">
        <x:f>BackgroundCalcs!AO67</x:f>
        <x:v>0</x:v>
      </x:c>
      <x:c r="I74" s="56">
        <x:f>BackgroundCalcs!AP67</x:f>
        <x:v>0</x:v>
      </x:c>
      <x:c r="J74" s="66"/>
      <x:c r="K74" s="56">
        <x:f>BackgroundCalcs!AS67</x:f>
        <x:v>37931</x:v>
      </x:c>
      <x:c r="L74" s="56"/>
    </x:row>
    <x:row r="75" spans="6:12">
      <x:c r="F75" s="56">
        <x:f t="shared" ref="F75:F108" si="1">F74+1</x:f>
        <x:v>67</x:v>
      </x:c>
      <x:c r="G75" s="61" t="str">
        <x:f>BackgroundCalcs!AN68</x:f>
        <x:v>John</x:v>
      </x:c>
      <x:c r="H75" s="56">
        <x:f>BackgroundCalcs!AO68</x:f>
        <x:v>0</x:v>
      </x:c>
      <x:c r="I75" s="56">
        <x:f>BackgroundCalcs!AP68</x:f>
        <x:v>0</x:v>
      </x:c>
      <x:c r="J75" s="66"/>
      <x:c r="K75" s="56">
        <x:f>BackgroundCalcs!AS68</x:f>
        <x:v>35933</x:v>
      </x:c>
      <x:c r="L75" s="56"/>
    </x:row>
    <x:row r="76" spans="6:12">
      <x:c r="F76" s="56">
        <x:f t="shared" si="1"/>
        <x:v>68</x:v>
      </x:c>
      <x:c r="G76" s="61" t="str">
        <x:f>BackgroundCalcs!AN69</x:f>
        <x:v>Michael</x:v>
      </x:c>
      <x:c r="H76" s="56">
        <x:f>BackgroundCalcs!AO69</x:f>
        <x:v>0</x:v>
      </x:c>
      <x:c r="I76" s="56">
        <x:f>BackgroundCalcs!AP69</x:f>
        <x:v>1</x:v>
      </x:c>
      <x:c r="J76" s="66"/>
      <x:c r="K76" s="56">
        <x:f>BackgroundCalcs!AS69</x:f>
        <x:v>36220</x:v>
      </x:c>
      <x:c r="L76" s="56"/>
    </x:row>
    <x:row r="77" spans="6:12">
      <x:c r="F77" s="56">
        <x:f t="shared" si="1"/>
        <x:v>69</x:v>
      </x:c>
      <x:c r="G77" s="61" t="str">
        <x:f>BackgroundCalcs!AN70</x:f>
        <x:v>Lorelei</x:v>
      </x:c>
      <x:c r="H77" s="56">
        <x:f>BackgroundCalcs!AO70</x:f>
        <x:v>1</x:v>
      </x:c>
      <x:c r="I77" s="56">
        <x:f>BackgroundCalcs!AP70</x:f>
        <x:v>1</x:v>
      </x:c>
      <x:c r="J77" s="66"/>
      <x:c r="K77" s="56">
        <x:f>BackgroundCalcs!AS70</x:f>
        <x:v>37273</x:v>
      </x:c>
      <x:c r="L77" s="56"/>
    </x:row>
    <x:row r="78" spans="6:12">
      <x:c r="F78" s="56">
        <x:f t="shared" si="1"/>
        <x:v>70</x:v>
      </x:c>
      <x:c r="G78" s="61" t="str">
        <x:f>BackgroundCalcs!AN71</x:f>
        <x:v>Jacob</x:v>
      </x:c>
      <x:c r="H78" s="56">
        <x:f>BackgroundCalcs!AO71</x:f>
        <x:v>0</x:v>
      </x:c>
      <x:c r="I78" s="56">
        <x:f>BackgroundCalcs!AP71</x:f>
        <x:v>1</x:v>
      </x:c>
      <x:c r="J78" s="66"/>
      <x:c r="K78" s="56">
        <x:f>BackgroundCalcs!AS71</x:f>
        <x:v>38481</x:v>
      </x:c>
      <x:c r="L78" s="56"/>
    </x:row>
    <x:row r="79" spans="6:12">
      <x:c r="F79" s="56">
        <x:f t="shared" si="1"/>
        <x:v>71</x:v>
      </x:c>
      <x:c r="G79" s="61" t="str">
        <x:f>BackgroundCalcs!AN72</x:f>
        <x:v>Edward</x:v>
      </x:c>
      <x:c r="H79" s="56">
        <x:f>BackgroundCalcs!AO72</x:f>
        <x:v>0</x:v>
      </x:c>
      <x:c r="I79" s="56">
        <x:f>BackgroundCalcs!AP72</x:f>
        <x:v>0</x:v>
      </x:c>
      <x:c r="J79" s="66"/>
      <x:c r="K79" s="56">
        <x:f>BackgroundCalcs!AS72</x:f>
        <x:v>36013</x:v>
      </x:c>
      <x:c r="L79" s="56"/>
    </x:row>
    <x:row r="80" spans="6:12">
      <x:c r="F80" s="56">
        <x:f t="shared" si="1"/>
        <x:v>72</x:v>
      </x:c>
      <x:c r="G80" s="61" t="str">
        <x:f>BackgroundCalcs!AN73</x:f>
        <x:v>Raymond</x:v>
      </x:c>
      <x:c r="H80" s="56">
        <x:f>BackgroundCalcs!AO73</x:f>
        <x:v>0</x:v>
      </x:c>
      <x:c r="I80" s="56">
        <x:f>BackgroundCalcs!AP73</x:f>
        <x:v>1</x:v>
      </x:c>
      <x:c r="J80" s="66"/>
      <x:c r="K80" s="56">
        <x:f>BackgroundCalcs!AS73</x:f>
        <x:v>35757</x:v>
      </x:c>
      <x:c r="L80" s="56"/>
    </x:row>
    <x:row r="81" spans="6:27">
      <x:c r="F81" s="56">
        <x:f t="shared" si="1"/>
        <x:v>73</x:v>
      </x:c>
      <x:c r="G81" s="61" t="str">
        <x:f>BackgroundCalcs!AN74</x:f>
        <x:v>Dahlia</x:v>
      </x:c>
      <x:c r="H81" s="56">
        <x:f>BackgroundCalcs!AO74</x:f>
        <x:v>1</x:v>
      </x:c>
      <x:c r="I81" s="56">
        <x:f>BackgroundCalcs!AP74</x:f>
        <x:v>0</x:v>
      </x:c>
      <x:c r="J81" s="66"/>
      <x:c r="K81" s="56">
        <x:f>BackgroundCalcs!AS74</x:f>
        <x:v>37952</x:v>
      </x:c>
      <x:c r="L81" s="56"/>
    </x:row>
    <x:row r="82" spans="6:27">
      <x:c r="F82" s="56">
        <x:f t="shared" si="1"/>
        <x:v>74</x:v>
      </x:c>
      <x:c r="G82" s="61" t="str">
        <x:f>BackgroundCalcs!AN75</x:f>
        <x:v>Paul</x:v>
      </x:c>
      <x:c r="H82" s="56">
        <x:f>BackgroundCalcs!AO75</x:f>
        <x:v>0</x:v>
      </x:c>
      <x:c r="I82" s="56">
        <x:f>BackgroundCalcs!AP75</x:f>
        <x:v>1</x:v>
      </x:c>
      <x:c r="J82" s="59">
        <x:f>BackgroundCalcs!AQ75</x:f>
        <x:v>3.7551999999999999</x:v>
      </x:c>
      <x:c r="K82" s="56">
        <x:f>BackgroundCalcs!AS75</x:f>
        <x:v>36443</x:v>
      </x:c>
      <x:c r="L82" s="56"/>
    </x:row>
    <x:row r="83" spans="6:27">
      <x:c r="F83" s="56">
        <x:f t="shared" si="1"/>
        <x:v>75</x:v>
      </x:c>
      <x:c r="G83" s="61" t="str">
        <x:f>BackgroundCalcs!AN76</x:f>
        <x:v>Andrew</x:v>
      </x:c>
      <x:c r="H83" s="56">
        <x:f>BackgroundCalcs!AO76</x:f>
        <x:v>0</x:v>
      </x:c>
      <x:c r="I83" s="56">
        <x:f>BackgroundCalcs!AP76</x:f>
        <x:v>1</x:v>
      </x:c>
      <x:c r="J83" s="59">
        <x:f>BackgroundCalcs!AQ76</x:f>
        <x:v>2.8811058170623181</x:v>
      </x:c>
      <x:c r="K83" s="56">
        <x:f>BackgroundCalcs!AS76</x:f>
        <x:v>35983</x:v>
      </x:c>
      <x:c r="L83" s="56"/>
    </x:row>
    <x:row r="84" spans="6:27">
      <x:c r="F84" s="56">
        <x:f t="shared" si="1"/>
        <x:v>76</x:v>
      </x:c>
      <x:c r="G84" s="61" t="str">
        <x:f>BackgroundCalcs!AN77</x:f>
        <x:v>Mia</x:v>
      </x:c>
      <x:c r="H84" s="56">
        <x:f>BackgroundCalcs!AO77</x:f>
        <x:v>1</x:v>
      </x:c>
      <x:c r="I84" s="56">
        <x:f>BackgroundCalcs!AP77</x:f>
        <x:v>1</x:v>
      </x:c>
      <x:c r="J84" s="59">
        <x:f>BackgroundCalcs!AQ77</x:f>
        <x:v>2.7367459856746654</x:v>
      </x:c>
      <x:c r="K84" s="56">
        <x:f>BackgroundCalcs!AS77</x:f>
        <x:v>37333</x:v>
      </x:c>
      <x:c r="L84" s="56"/>
    </x:row>
    <x:row r="85" spans="6:27">
      <x:c r="F85" s="56">
        <x:f t="shared" si="1"/>
        <x:v>77</x:v>
      </x:c>
      <x:c r="G85" s="61" t="str">
        <x:f>BackgroundCalcs!AN78</x:f>
        <x:v>Gregory</x:v>
      </x:c>
      <x:c r="H85" s="56">
        <x:f>BackgroundCalcs!AO78</x:f>
        <x:v>0</x:v>
      </x:c>
      <x:c r="I85" s="56">
        <x:f>BackgroundCalcs!AP78</x:f>
        <x:v>0</x:v>
      </x:c>
      <x:c r="J85" s="59">
        <x:f>BackgroundCalcs!AQ78</x:f>
        <x:v>2.8811058170623181</x:v>
      </x:c>
      <x:c r="K85" s="56">
        <x:f>BackgroundCalcs!AS78</x:f>
        <x:v>36631</x:v>
      </x:c>
      <x:c r="L85" s="56"/>
    </x:row>
    <x:row r="86" spans="6:27">
      <x:c r="F86" s="56">
        <x:f t="shared" si="1"/>
        <x:v>78</x:v>
      </x:c>
      <x:c r="G86" s="61" t="str">
        <x:f>BackgroundCalcs!AN79</x:f>
        <x:v>Matilda</x:v>
      </x:c>
      <x:c r="H86" s="56">
        <x:f>BackgroundCalcs!AO79</x:f>
        <x:v>1</x:v>
      </x:c>
      <x:c r="I86" s="56">
        <x:f>BackgroundCalcs!AP79</x:f>
        <x:v>0</x:v>
      </x:c>
      <x:c r="J86" s="59">
        <x:f>BackgroundCalcs!AQ79</x:f>
        <x:v>2.3690177738703708</x:v>
      </x:c>
      <x:c r="K86" s="56">
        <x:f>BackgroundCalcs!AS79</x:f>
        <x:v>37072</x:v>
      </x:c>
      <x:c r="L86" s="56"/>
    </x:row>
    <x:row r="87" spans="6:27">
      <x:c r="F87" s="56">
        <x:f t="shared" si="1"/>
        <x:v>79</x:v>
      </x:c>
      <x:c r="G87" s="61" t="str">
        <x:f>BackgroundCalcs!AN80</x:f>
        <x:v>Zed</x:v>
      </x:c>
      <x:c r="H87" s="56">
        <x:f>BackgroundCalcs!AO80</x:f>
        <x:v>0</x:v>
      </x:c>
      <x:c r="I87" s="56">
        <x:f>BackgroundCalcs!AP80</x:f>
        <x:v>1</x:v>
      </x:c>
      <x:c r="J87" s="59">
        <x:f>BackgroundCalcs!AQ80</x:f>
        <x:v>2.8811058170623181</x:v>
      </x:c>
      <x:c r="K87" s="56">
        <x:f>BackgroundCalcs!AS80</x:f>
        <x:v>38247</x:v>
      </x:c>
      <x:c r="L87" s="56"/>
    </x:row>
    <x:row r="88" spans="6:27">
      <x:c r="F88" s="56">
        <x:f t="shared" si="1"/>
        <x:v>80</x:v>
      </x:c>
      <x:c r="G88" s="61" t="str">
        <x:f>BackgroundCalcs!AN81</x:f>
        <x:v>Frank</x:v>
      </x:c>
      <x:c r="H88" s="56">
        <x:f>BackgroundCalcs!AO81</x:f>
        <x:v>0</x:v>
      </x:c>
      <x:c r="I88" s="56">
        <x:f>BackgroundCalcs!AP81</x:f>
        <x:v>0</x:v>
      </x:c>
      <x:c r="J88" s="59">
        <x:f>BackgroundCalcs!AQ81</x:f>
        <x:v>2.5534410580862286</x:v>
      </x:c>
      <x:c r="K88" s="56">
        <x:f>BackgroundCalcs!AS81</x:f>
        <x:v>36497</x:v>
      </x:c>
      <x:c r="L88" s="56"/>
    </x:row>
    <x:row r="89" spans="6:27">
      <x:c r="F89" s="56">
        <x:f t="shared" si="1"/>
        <x:v>81</x:v>
      </x:c>
      <x:c r="G89" s="61" t="str">
        <x:f>BackgroundCalcs!AN82</x:f>
        <x:v>Daphne</x:v>
      </x:c>
      <x:c r="H89" s="56">
        <x:f>BackgroundCalcs!AO82</x:f>
        <x:v>1</x:v>
      </x:c>
      <x:c r="I89" s="56">
        <x:f>BackgroundCalcs!AP82</x:f>
        <x:v>1</x:v>
      </x:c>
      <x:c r="J89" s="59">
        <x:f>BackgroundCalcs!AQ82</x:f>
        <x:v>2.8811058170623181</x:v>
      </x:c>
      <x:c r="K89" s="56">
        <x:f>BackgroundCalcs!AS82</x:f>
        <x:v>36126</x:v>
      </x:c>
      <x:c r="L89" s="56"/>
    </x:row>
    <x:row r="90" spans="6:27">
      <x:c r="F90" s="56">
        <x:f t="shared" si="1"/>
        <x:v>82</x:v>
      </x:c>
      <x:c r="G90" s="61" t="str">
        <x:f>BackgroundCalcs!AN83</x:f>
        <x:v>Olive</x:v>
      </x:c>
      <x:c r="H90" s="56">
        <x:f>BackgroundCalcs!AO83</x:f>
        <x:v>1</x:v>
      </x:c>
      <x:c r="I90" s="56">
        <x:f>BackgroundCalcs!AP83</x:f>
        <x:v>1</x:v>
      </x:c>
      <x:c r="J90" s="59">
        <x:f>BackgroundCalcs!AQ83</x:f>
        <x:v>3.2885555465684826</x:v>
      </x:c>
      <x:c r="K90" s="56">
        <x:f>BackgroundCalcs!AS83</x:f>
        <x:v>36083</x:v>
      </x:c>
      <x:c r="L90" s="56"/>
    </x:row>
    <x:row r="91" spans="6:27">
      <x:c r="F91" s="56">
        <x:f t="shared" si="1"/>
        <x:v>83</x:v>
      </x:c>
      <x:c r="G91" s="61" t="str">
        <x:f>BackgroundCalcs!AN84</x:f>
        <x:v>Mabel</x:v>
      </x:c>
      <x:c r="H91" s="56">
        <x:f>BackgroundCalcs!AO84</x:f>
        <x:v>1</x:v>
      </x:c>
      <x:c r="I91" s="56">
        <x:f>BackgroundCalcs!AP84</x:f>
        <x:v>1</x:v>
      </x:c>
      <x:c r="J91" s="59">
        <x:f>BackgroundCalcs!AQ84</x:f>
        <x:v>2.8811058170623181</x:v>
      </x:c>
      <x:c r="K91" s="56">
        <x:f>BackgroundCalcs!AS84</x:f>
        <x:v>36716</x:v>
      </x:c>
      <x:c r="L91" s="56"/>
    </x:row>
    <x:row r="92" spans="6:27">
      <x:c r="F92" s="56">
        <x:f t="shared" si="1"/>
        <x:v>84</x:v>
      </x:c>
      <x:c r="G92" s="61" t="str">
        <x:f>BackgroundCalcs!AN85</x:f>
        <x:v>Imogen</x:v>
      </x:c>
      <x:c r="H92" s="56">
        <x:f>BackgroundCalcs!AO85</x:f>
        <x:v>1</x:v>
      </x:c>
      <x:c r="I92" s="56">
        <x:f>BackgroundCalcs!AP85</x:f>
        <x:v>0</x:v>
      </x:c>
      <x:c r="J92" s="59">
        <x:f>BackgroundCalcs!AQ85</x:f>
        <x:v>3.0116582151255238</x:v>
      </x:c>
      <x:c r="K92" s="56">
        <x:f>BackgroundCalcs!AS85</x:f>
        <x:v>37834</x:v>
      </x:c>
      <x:c r="L92" s="56"/>
    </x:row>
    <x:row r="93" spans="6:27">
      <x:c r="F93" s="56">
        <x:f t="shared" si="1"/>
        <x:v>85</x:v>
      </x:c>
      <x:c r="G93" s="61" t="str">
        <x:f>BackgroundCalcs!AN86</x:f>
        <x:v>Larry</x:v>
      </x:c>
      <x:c r="H93" s="56">
        <x:f>BackgroundCalcs!AO86</x:f>
        <x:v>0</x:v>
      </x:c>
      <x:c r="I93" s="56">
        <x:f>BackgroundCalcs!AP86</x:f>
        <x:v>0</x:v>
      </x:c>
      <x:c r="J93" s="59">
        <x:f>BackgroundCalcs!AQ86</x:f>
        <x:v>2.8811058170623181</x:v>
      </x:c>
      <x:c r="K93" s="56">
        <x:f>BackgroundCalcs!AS86</x:f>
        <x:v>38070</x:v>
      </x:c>
      <x:c r="L93" s="56"/>
      <x:c r="O93" s="56"/>
      <x:c r="P93" s="56"/>
      <x:c r="Q93" s="56"/>
      <x:c r="R93" s="56"/>
      <x:c r="S93" s="56"/>
      <x:c r="T93" s="56"/>
      <x:c r="U93" s="56"/>
      <x:c r="V93" s="56"/>
      <x:c r="W93" s="56"/>
      <x:c r="X93" s="56"/>
      <x:c r="Y93" s="56"/>
      <x:c r="Z93" s="56"/>
      <x:c r="AA93" s="56"/>
    </x:row>
    <x:row r="94" spans="6:27">
      <x:c r="F94" s="56">
        <x:f t="shared" si="1"/>
        <x:v>86</x:v>
      </x:c>
      <x:c r="G94" s="61" t="str">
        <x:f>BackgroundCalcs!AN87</x:f>
        <x:v>Delilah</x:v>
      </x:c>
      <x:c r="H94" s="56">
        <x:f>BackgroundCalcs!AO87</x:f>
        <x:v>1</x:v>
      </x:c>
      <x:c r="I94" s="56">
        <x:f>BackgroundCalcs!AP87</x:f>
        <x:v>0</x:v>
      </x:c>
      <x:c r="J94" s="59">
        <x:f>BackgroundCalcs!AQ87</x:f>
        <x:v>3.8893647798133331</x:v>
      </x:c>
      <x:c r="K94" s="56">
        <x:f>BackgroundCalcs!AS87</x:f>
        <x:v>37541</x:v>
      </x:c>
      <x:c r="L94" s="56"/>
      <x:c r="O94" s="56"/>
      <x:c r="P94" s="56"/>
      <x:c r="Q94" s="56"/>
      <x:c r="R94" s="56"/>
      <x:c r="S94" s="56"/>
      <x:c r="T94" s="56"/>
      <x:c r="U94" s="56"/>
      <x:c r="V94" s="56"/>
      <x:c r="W94" s="56"/>
      <x:c r="X94" s="56"/>
      <x:c r="Y94" s="56"/>
      <x:c r="Z94" s="56"/>
      <x:c r="AA94" s="56"/>
    </x:row>
    <x:row r="95" spans="6:27">
      <x:c r="F95" s="56">
        <x:f t="shared" si="1"/>
        <x:v>87</x:v>
      </x:c>
      <x:c r="G95" s="61" t="str">
        <x:f>BackgroundCalcs!AN88</x:f>
        <x:v>Ryan</x:v>
      </x:c>
      <x:c r="H95" s="56">
        <x:f>BackgroundCalcs!AO88</x:f>
        <x:v>0</x:v>
      </x:c>
      <x:c r="I95" s="56">
        <x:f>BackgroundCalcs!AP88</x:f>
        <x:v>0</x:v>
      </x:c>
      <x:c r="J95" s="59">
        <x:f>BackgroundCalcs!AQ88</x:f>
        <x:v>2.8811058170623181</x:v>
      </x:c>
      <x:c r="K95" s="56">
        <x:f>BackgroundCalcs!AS88</x:f>
        <x:v>35829</x:v>
      </x:c>
      <x:c r="L95" s="56"/>
      <x:c r="O95" s="56"/>
      <x:c r="P95" s="56"/>
      <x:c r="Q95" s="56"/>
      <x:c r="R95" s="56"/>
      <x:c r="S95" s="56"/>
      <x:c r="T95" s="56"/>
      <x:c r="U95" s="56"/>
      <x:c r="V95" s="56"/>
      <x:c r="W95" s="56"/>
      <x:c r="X95" s="56"/>
      <x:c r="Y95" s="56"/>
      <x:c r="Z95" s="56"/>
      <x:c r="AA95" s="56"/>
    </x:row>
    <x:row r="96" spans="6:27">
      <x:c r="F96" s="56">
        <x:f t="shared" si="1"/>
        <x:v>88</x:v>
      </x:c>
      <x:c r="G96" s="61" t="str">
        <x:f>BackgroundCalcs!AN89</x:f>
        <x:v>Stephen</x:v>
      </x:c>
      <x:c r="H96" s="56">
        <x:f>BackgroundCalcs!AO89</x:f>
        <x:v>0</x:v>
      </x:c>
      <x:c r="I96" s="56">
        <x:f>BackgroundCalcs!AP89</x:f>
        <x:v>0</x:v>
      </x:c>
      <x:c r="J96" s="66"/>
      <x:c r="K96" s="56">
        <x:f>BackgroundCalcs!AS89</x:f>
        <x:v>37105</x:v>
      </x:c>
      <x:c r="L96" s="56"/>
      <x:c r="O96" s="56"/>
      <x:c r="P96" s="56"/>
      <x:c r="Q96" s="56"/>
      <x:c r="R96" s="56"/>
      <x:c r="S96" s="56"/>
      <x:c r="T96" s="56"/>
      <x:c r="U96" s="56"/>
      <x:c r="V96" s="56"/>
      <x:c r="W96" s="56"/>
      <x:c r="X96" s="56"/>
      <x:c r="Y96" s="56"/>
      <x:c r="Z96" s="56"/>
      <x:c r="AA96" s="56"/>
    </x:row>
    <x:row r="97" spans="6:28">
      <x:c r="F97" s="56">
        <x:f t="shared" si="1"/>
        <x:v>89</x:v>
      </x:c>
      <x:c r="G97" s="61" t="str">
        <x:f>BackgroundCalcs!AN90</x:f>
        <x:v>Robert</x:v>
      </x:c>
      <x:c r="H97" s="56">
        <x:f>BackgroundCalcs!AO90</x:f>
        <x:v>0</x:v>
      </x:c>
      <x:c r="I97" s="56">
        <x:f>BackgroundCalcs!AP90</x:f>
        <x:v>0</x:v>
      </x:c>
      <x:c r="J97" s="66"/>
      <x:c r="K97" s="56">
        <x:f>BackgroundCalcs!AS90</x:f>
        <x:v>35781</x:v>
      </x:c>
      <x:c r="L97" s="56"/>
      <x:c r="O97" s="56"/>
      <x:c r="P97" s="56"/>
      <x:c r="Q97" s="56"/>
      <x:c r="R97" s="56"/>
      <x:c r="S97" s="56"/>
      <x:c r="T97" s="56"/>
      <x:c r="U97" s="56"/>
      <x:c r="V97" s="56"/>
      <x:c r="W97" s="56"/>
      <x:c r="X97" s="56" t="str">
        <x:f>Track</x:f>
        <x:v>XXXXX</x:v>
      </x:c>
      <x:c r="Y97" s="56" t="str">
        <x:f>Track</x:f>
        <x:v>XXXXX</x:v>
      </x:c>
      <x:c r="Z97" s="56" t="str">
        <x:f>Track</x:f>
        <x:v>XXXXX</x:v>
      </x:c>
      <x:c r="AA97" s="56" t="str">
        <x:f>Track</x:f>
        <x:v>XXXXX</x:v>
      </x:c>
      <x:c r="AB97" s="63" t="s">
        <x:v>531</x:v>
      </x:c>
    </x:row>
    <x:row r="98" spans="6:28">
      <x:c r="F98" s="56">
        <x:f t="shared" si="1"/>
        <x:v>90</x:v>
      </x:c>
      <x:c r="G98" s="61" t="str">
        <x:f>BackgroundCalcs!AN91</x:f>
        <x:v>Anthony</x:v>
      </x:c>
      <x:c r="H98" s="56">
        <x:f>BackgroundCalcs!AO91</x:f>
        <x:v>0</x:v>
      </x:c>
      <x:c r="I98" s="56">
        <x:f>BackgroundCalcs!AP91</x:f>
        <x:v>1</x:v>
      </x:c>
      <x:c r="J98" s="66"/>
      <x:c r="K98" s="56">
        <x:f>BackgroundCalcs!AS91</x:f>
        <x:v>37063</x:v>
      </x:c>
      <x:c r="L98" s="56"/>
      <x:c r="O98" s="56"/>
      <x:c r="P98" s="56"/>
      <x:c r="Q98" s="56"/>
      <x:c r="R98" s="56"/>
      <x:c r="S98" s="56"/>
      <x:c r="T98" s="56"/>
      <x:c r="U98" s="56"/>
      <x:c r="V98" s="56"/>
      <x:c r="W98" s="56"/>
      <x:c r="X98" s="56"/>
      <x:c r="Y98" s="56"/>
      <x:c r="Z98" s="56"/>
      <x:c r="AA98" s="56" t="str">
        <x:f>Track</x:f>
        <x:v>XXXXX</x:v>
      </x:c>
    </x:row>
    <x:row r="99" spans="6:28">
      <x:c r="F99" s="56">
        <x:f t="shared" si="1"/>
        <x:v>91</x:v>
      </x:c>
      <x:c r="G99" s="61" t="str">
        <x:f>BackgroundCalcs!AN92</x:f>
        <x:v>Vera</x:v>
      </x:c>
      <x:c r="H99" s="56">
        <x:f>BackgroundCalcs!AO92</x:f>
        <x:v>1</x:v>
      </x:c>
      <x:c r="I99" s="56">
        <x:f>BackgroundCalcs!AP92</x:f>
        <x:v>1</x:v>
      </x:c>
      <x:c r="J99" s="66"/>
      <x:c r="K99" s="56">
        <x:f>BackgroundCalcs!AS92</x:f>
        <x:v>36951</x:v>
      </x:c>
      <x:c r="L99" s="56"/>
      <x:c r="O99" s="56"/>
      <x:c r="P99" s="56"/>
      <x:c r="Q99" s="56"/>
      <x:c r="R99" s="56"/>
      <x:c r="S99" s="56"/>
      <x:c r="T99" s="56"/>
      <x:c r="U99" s="56"/>
      <x:c r="V99" s="56"/>
      <x:c r="W99" s="56"/>
      <x:c r="X99" s="56" t="str">
        <x:f>Track</x:f>
        <x:v>XXXXX</x:v>
      </x:c>
      <x:c r="Y99" s="56"/>
      <x:c r="Z99" s="56"/>
      <x:c r="AA99" s="74" t="s">
        <x:v>113</x:v>
      </x:c>
    </x:row>
    <x:row r="100" spans="6:28">
      <x:c r="F100" s="56">
        <x:f t="shared" si="1"/>
        <x:v>92</x:v>
      </x:c>
      <x:c r="G100" s="61" t="str">
        <x:f>BackgroundCalcs!AN93</x:f>
        <x:v>Sienna</x:v>
      </x:c>
      <x:c r="H100" s="56">
        <x:f>BackgroundCalcs!AO93</x:f>
        <x:v>1</x:v>
      </x:c>
      <x:c r="I100" s="56">
        <x:f>BackgroundCalcs!AP93</x:f>
        <x:v>0</x:v>
      </x:c>
      <x:c r="J100" s="66"/>
      <x:c r="K100" s="56">
        <x:f>BackgroundCalcs!AS93</x:f>
        <x:v>35553</x:v>
      </x:c>
      <x:c r="L100" s="56"/>
      <x:c r="O100" s="56"/>
      <x:c r="P100" s="56"/>
      <x:c r="Q100" s="56"/>
      <x:c r="R100" s="56"/>
      <x:c r="S100" s="56"/>
      <x:c r="T100" s="56"/>
      <x:c r="U100" s="56"/>
      <x:c r="V100" s="56"/>
      <x:c r="W100" s="56"/>
      <x:c r="X100" s="56" t="str">
        <x:f>Track</x:f>
        <x:v>XXXXX</x:v>
      </x:c>
      <x:c r="Y100" s="56"/>
      <x:c r="Z100" s="56"/>
      <x:c r="AA100" s="56" t="str">
        <x:f>Track</x:f>
        <x:v>XXXXX</x:v>
      </x:c>
    </x:row>
    <x:row r="101" spans="6:28">
      <x:c r="F101" s="56">
        <x:f t="shared" si="1"/>
        <x:v>93</x:v>
      </x:c>
      <x:c r="G101" s="61" t="str">
        <x:f>BackgroundCalcs!AN94</x:f>
        <x:v> Serena</x:v>
      </x:c>
      <x:c r="H101" s="56">
        <x:f>BackgroundCalcs!AO94</x:f>
        <x:v>1</x:v>
      </x:c>
      <x:c r="I101" s="56">
        <x:f>BackgroundCalcs!AP94</x:f>
        <x:v>1</x:v>
      </x:c>
      <x:c r="J101" s="66"/>
      <x:c r="K101" s="56">
        <x:f>BackgroundCalcs!AS94</x:f>
        <x:v>37364</x:v>
      </x:c>
      <x:c r="L101" s="56"/>
      <x:c r="O101" s="56"/>
      <x:c r="P101" s="56"/>
      <x:c r="Q101" s="56"/>
      <x:c r="R101" s="56"/>
      <x:c r="S101" s="56"/>
      <x:c r="T101" s="56"/>
      <x:c r="U101" s="56"/>
      <x:c r="V101" s="56"/>
      <x:c r="W101" s="56"/>
      <x:c r="X101" s="56" t="str">
        <x:f>Track</x:f>
        <x:v>XXXXX</x:v>
      </x:c>
      <x:c r="Y101" s="56"/>
      <x:c r="Z101" s="56"/>
      <x:c r="AA101" s="56" t="str">
        <x:f>Track</x:f>
        <x:v>XXXXX</x:v>
      </x:c>
    </x:row>
    <x:row r="102" spans="6:28">
      <x:c r="F102" s="56">
        <x:f t="shared" si="1"/>
        <x:v>94</x:v>
      </x:c>
      <x:c r="G102" s="61" t="str">
        <x:f>BackgroundCalcs!AN95</x:f>
        <x:v>Elise</x:v>
      </x:c>
      <x:c r="H102" s="56">
        <x:f>BackgroundCalcs!AO95</x:f>
        <x:v>1</x:v>
      </x:c>
      <x:c r="I102" s="56">
        <x:f>BackgroundCalcs!AP95</x:f>
        <x:v>1</x:v>
      </x:c>
      <x:c r="J102" s="66"/>
      <x:c r="K102" s="56">
        <x:f>BackgroundCalcs!AS95</x:f>
        <x:v>37824</x:v>
      </x:c>
      <x:c r="L102" s="56"/>
      <x:c r="O102" s="56"/>
      <x:c r="P102" s="56"/>
      <x:c r="Q102" s="56"/>
      <x:c r="R102" s="56"/>
      <x:c r="S102" s="56"/>
      <x:c r="T102" s="56"/>
      <x:c r="U102" s="56"/>
      <x:c r="V102" s="56"/>
      <x:c r="W102" s="56"/>
      <x:c r="X102" s="56" t="str">
        <x:f>Track</x:f>
        <x:v>XXXXX</x:v>
      </x:c>
      <x:c r="Y102" s="56"/>
      <x:c r="Z102" s="56"/>
      <x:c r="AA102" s="56" t="str">
        <x:f>Track</x:f>
        <x:v>XXXXX</x:v>
      </x:c>
    </x:row>
    <x:row r="103" spans="6:28">
      <x:c r="F103" s="56">
        <x:f t="shared" si="1"/>
        <x:v>95</x:v>
      </x:c>
      <x:c r="G103" s="61" t="str">
        <x:f>BackgroundCalcs!AN96</x:f>
        <x:v>Brandon</x:v>
      </x:c>
      <x:c r="H103" s="56">
        <x:f>BackgroundCalcs!AO96</x:f>
        <x:v>0</x:v>
      </x:c>
      <x:c r="I103" s="56">
        <x:f>BackgroundCalcs!AP96</x:f>
        <x:v>0</x:v>
      </x:c>
      <x:c r="J103" s="66"/>
      <x:c r="K103" s="56">
        <x:f>BackgroundCalcs!AS96</x:f>
        <x:v>37560</x:v>
      </x:c>
      <x:c r="L103" s="56"/>
      <x:c r="O103" s="56"/>
      <x:c r="P103" s="56"/>
      <x:c r="Q103" s="56"/>
      <x:c r="R103" s="56"/>
      <x:c r="S103" s="56"/>
      <x:c r="T103" s="56"/>
      <x:c r="U103" s="56"/>
      <x:c r="V103" s="74" t="str">
        <x:f>EmptyCell</x:f>
        <x:v>-------</x:v>
      </x:c>
      <x:c r="W103" s="56" t="str">
        <x:f>Track</x:f>
        <x:v>XXXXX</x:v>
      </x:c>
      <x:c r="X103" s="74" t="str">
        <x:f>V103</x:f>
        <x:v>-------</x:v>
      </x:c>
      <x:c r="Y103" s="56" t="str">
        <x:f>Track</x:f>
        <x:v>XXXXX</x:v>
      </x:c>
      <x:c r="Z103" s="56" t="str">
        <x:f>Track</x:f>
        <x:v>XXXXX</x:v>
      </x:c>
      <x:c r="AA103" s="56" t="str">
        <x:f>Track</x:f>
        <x:v>XXXXX</x:v>
      </x:c>
    </x:row>
    <x:row r="104" spans="6:28">
      <x:c r="F104" s="56">
        <x:f t="shared" si="1"/>
        <x:v>96</x:v>
      </x:c>
      <x:c r="G104" s="61" t="str">
        <x:f>BackgroundCalcs!AN97</x:f>
        <x:v>Natalie</x:v>
      </x:c>
      <x:c r="H104" s="56">
        <x:f>BackgroundCalcs!AO97</x:f>
        <x:v>1</x:v>
      </x:c>
      <x:c r="I104" s="56">
        <x:f>BackgroundCalcs!AP97</x:f>
        <x:v>0</x:v>
      </x:c>
      <x:c r="J104" s="66"/>
      <x:c r="K104" s="56">
        <x:f>BackgroundCalcs!AS97</x:f>
        <x:v>36343</x:v>
      </x:c>
      <x:c r="L104" s="56"/>
      <x:c r="O104" s="56"/>
      <x:c r="P104" s="56"/>
      <x:c r="Q104" s="56"/>
      <x:c r="R104" s="56"/>
      <x:c r="S104" s="56"/>
      <x:c r="T104" s="56"/>
      <x:c r="U104" s="56"/>
      <x:c r="V104" s="56" t="str">
        <x:f>Track</x:f>
        <x:v>XXXXX</x:v>
      </x:c>
      <x:c r="W104" s="56"/>
      <x:c r="X104" s="56"/>
      <x:c r="Y104" s="56"/>
      <x:c r="Z104" s="56"/>
      <x:c r="AA104" s="56"/>
    </x:row>
    <x:row r="105" spans="6:28">
      <x:c r="F105" s="56">
        <x:f t="shared" si="1"/>
        <x:v>97</x:v>
      </x:c>
      <x:c r="G105" s="61" t="str">
        <x:f>BackgroundCalcs!AN98</x:f>
        <x:v>Joseph</x:v>
      </x:c>
      <x:c r="H105" s="56">
        <x:f>BackgroundCalcs!AO98</x:f>
        <x:v>0</x:v>
      </x:c>
      <x:c r="I105" s="56">
        <x:f>BackgroundCalcs!AP98</x:f>
        <x:v>0</x:v>
      </x:c>
      <x:c r="J105" s="66"/>
      <x:c r="K105" s="56">
        <x:f>BackgroundCalcs!AS98</x:f>
        <x:v>37052</x:v>
      </x:c>
      <x:c r="L105" s="56"/>
      <x:c r="O105" s="56"/>
      <x:c r="P105" s="56"/>
      <x:c r="Q105" s="56"/>
      <x:c r="R105" s="56"/>
      <x:c r="S105" s="56"/>
      <x:c r="T105" s="56"/>
      <x:c r="U105" s="56"/>
      <x:c r="V105" s="56" t="str">
        <x:f>Track</x:f>
        <x:v>XXXXX</x:v>
      </x:c>
      <x:c r="W105" s="56"/>
      <x:c r="X105" s="56"/>
      <x:c r="Y105" s="56"/>
      <x:c r="Z105" s="56"/>
      <x:c r="AA105" s="56"/>
    </x:row>
    <x:row r="106" spans="6:28">
      <x:c r="F106" s="56">
        <x:f t="shared" si="1"/>
        <x:v>98</x:v>
      </x:c>
      <x:c r="G106" s="61" t="str">
        <x:f>BackgroundCalcs!AN99</x:f>
        <x:v>Willow</x:v>
      </x:c>
      <x:c r="H106" s="56">
        <x:f>BackgroundCalcs!AO99</x:f>
        <x:v>1</x:v>
      </x:c>
      <x:c r="I106" s="56">
        <x:f>BackgroundCalcs!AP99</x:f>
        <x:v>1</x:v>
      </x:c>
      <x:c r="J106" s="59">
        <x:f>BackgroundCalcs!AQ99</x:f>
        <x:v>2.2789033978472908</x:v>
      </x:c>
      <x:c r="K106" s="56">
        <x:f>BackgroundCalcs!AS99</x:f>
        <x:v>35783</x:v>
      </x:c>
      <x:c r="L106" s="56"/>
      <x:c r="O106" s="56"/>
      <x:c r="P106" s="56"/>
      <x:c r="Q106" s="56" t="str">
        <x:f>Track</x:f>
        <x:v>XXXXX</x:v>
      </x:c>
      <x:c r="R106" s="73" t="str">
        <x:f>EmptyCell</x:f>
        <x:v>-------</x:v>
      </x:c>
      <x:c r="S106" s="56" t="str">
        <x:f>Track</x:f>
        <x:v>XXXXX</x:v>
      </x:c>
      <x:c r="T106" s="73" t="str">
        <x:f>BackgroundCalcs!AB18</x:f>
        <x:v>Stephen</x:v>
      </x:c>
      <x:c r="U106" s="56" t="str">
        <x:f>Track</x:f>
        <x:v>XXXXX</x:v>
      </x:c>
      <x:c r="V106" s="56" t="str">
        <x:f>Track</x:f>
        <x:v>XXXXX</x:v>
      </x:c>
      <x:c r="W106" s="56"/>
      <x:c r="X106" s="56"/>
      <x:c r="Y106" s="56"/>
      <x:c r="Z106" s="56"/>
      <x:c r="AA106" s="56"/>
    </x:row>
    <x:row r="107" spans="6:28">
      <x:c r="F107" s="56">
        <x:f t="shared" si="1"/>
        <x:v>99</x:v>
      </x:c>
      <x:c r="G107" s="61" t="str">
        <x:f>BackgroundCalcs!AN100</x:f>
        <x:v>Nyx</x:v>
      </x:c>
      <x:c r="H107" s="56">
        <x:f>BackgroundCalcs!AO100</x:f>
        <x:v>1</x:v>
      </x:c>
      <x:c r="I107" s="56">
        <x:f>BackgroundCalcs!AP100</x:f>
        <x:v>0</x:v>
      </x:c>
      <x:c r="J107" s="59">
        <x:f>BackgroundCalcs!AQ100</x:f>
        <x:v>2.8811058170623181</x:v>
      </x:c>
      <x:c r="K107" s="56">
        <x:f>BackgroundCalcs!AS100</x:f>
        <x:v>38375</x:v>
      </x:c>
      <x:c r="L107" s="56"/>
      <x:c r="O107" s="56"/>
      <x:c r="P107" s="56"/>
      <x:c r="Q107" s="56" t="str">
        <x:f>Track</x:f>
        <x:v>XXXXX</x:v>
      </x:c>
      <x:c r="R107" s="56"/>
      <x:c r="S107" s="56"/>
      <x:c r="T107" s="56"/>
      <x:c r="U107" s="56"/>
      <x:c r="V107" s="56"/>
      <x:c r="W107" s="56"/>
      <x:c r="X107" s="56"/>
      <x:c r="Y107" s="56"/>
      <x:c r="Z107" s="56"/>
      <x:c r="AA107" s="56"/>
    </x:row>
    <x:row r="108" spans="6:28">
      <x:c r="F108" s="56">
        <x:f t="shared" si="1"/>
        <x:v>100</x:v>
      </x:c>
      <x:c r="G108" s="61" t="str">
        <x:f>BackgroundCalcs!AN101</x:f>
        <x:v>Gary</x:v>
      </x:c>
      <x:c r="H108" s="56">
        <x:f>BackgroundCalcs!AO101</x:f>
        <x:v>0</x:v>
      </x:c>
      <x:c r="I108" s="56">
        <x:f>BackgroundCalcs!AP101</x:f>
        <x:v>0</x:v>
      </x:c>
      <x:c r="J108" s="59">
        <x:f>BackgroundCalcs!AQ101</x:f>
        <x:v>2.6975670152408044</x:v>
      </x:c>
      <x:c r="K108" s="56">
        <x:f>BackgroundCalcs!AS101</x:f>
        <x:v>38095</x:v>
      </x:c>
      <x:c r="L108" s="56"/>
      <x:c r="O108" s="56" t="str">
        <x:f t="shared" ref="O108:O119" si="2">Track</x:f>
        <x:v>XXXXX</x:v>
      </x:c>
      <x:c r="P108" s="73" t="str">
        <x:f>EmptyCell</x:f>
        <x:v>-------</x:v>
      </x:c>
      <x:c r="Q108" s="56" t="str">
        <x:f>Track</x:f>
        <x:v>XXXXX</x:v>
      </x:c>
      <x:c r="R108" s="56"/>
      <x:c r="S108" s="56"/>
      <x:c r="T108" s="56"/>
      <x:c r="U108" s="56"/>
      <x:c r="V108" s="56"/>
      <x:c r="W108" s="56"/>
      <x:c r="X108" s="56"/>
      <x:c r="Y108" s="56"/>
      <x:c r="Z108" s="56"/>
      <x:c r="AA108" s="56"/>
    </x:row>
    <x:row r="109" spans="6:28">
      <x:c r="F109" s="56" t="str">
        <x:f>Track</x:f>
        <x:v>XXXXX</x:v>
      </x:c>
      <x:c r="O109" s="56" t="str">
        <x:f t="shared" si="2"/>
        <x:v>XXXXX</x:v>
      </x:c>
      <x:c r="P109" s="56"/>
      <x:c r="Q109" s="56"/>
      <x:c r="R109" s="56"/>
      <x:c r="S109" s="56"/>
      <x:c r="T109" s="56"/>
      <x:c r="U109" s="56"/>
      <x:c r="V109" s="56"/>
      <x:c r="W109" s="56"/>
      <x:c r="X109" s="56"/>
      <x:c r="Y109" s="56"/>
      <x:c r="Z109" s="56"/>
      <x:c r="AA109" s="56"/>
    </x:row>
    <x:row r="110" spans="6:28">
      <x:c r="F110" s="57" t="s">
        <x:v>16</x:v>
      </x:c>
      <x:c r="G110" s="56" t="str">
        <x:f t="shared" ref="G110:G112" si="3">Track</x:f>
        <x:v>XXXXX</x:v>
      </x:c>
      <x:c r="H110" s="56"/>
      <x:c r="I110" s="56"/>
      <x:c r="J110" s="56"/>
      <x:c r="K110" s="56"/>
      <x:c r="L110" s="56"/>
      <x:c r="M110" s="56"/>
      <x:c r="N110" s="56"/>
      <x:c r="O110" s="56" t="str">
        <x:f t="shared" si="2"/>
        <x:v>XXXXX</x:v>
      </x:c>
    </x:row>
    <x:row r="111" spans="6:28">
      <x:c r="F111" s="56"/>
      <x:c r="G111" s="56" t="str">
        <x:f t="shared" si="3"/>
        <x:v>XXXXX</x:v>
      </x:c>
      <x:c r="H111" s="56"/>
      <x:c r="I111" s="56"/>
      <x:c r="J111" s="56"/>
      <x:c r="K111" s="56"/>
      <x:c r="L111" s="56"/>
      <x:c r="M111" s="56"/>
      <x:c r="N111" s="56"/>
      <x:c r="O111" s="56" t="str">
        <x:f t="shared" si="2"/>
        <x:v>XXXXX</x:v>
      </x:c>
    </x:row>
    <x:row r="112" spans="6:28">
      <x:c r="F112" s="56"/>
      <x:c r="G112" s="56" t="str">
        <x:f t="shared" si="3"/>
        <x:v>XXXXX</x:v>
      </x:c>
      <x:c r="H112" s="56"/>
      <x:c r="I112" s="56"/>
      <x:c r="J112" s="56"/>
      <x:c r="K112" s="56"/>
      <x:c r="L112" s="56"/>
      <x:c r="M112" s="56"/>
      <x:c r="N112" s="56"/>
      <x:c r="O112" s="56" t="str">
        <x:f t="shared" si="2"/>
        <x:v>XXXXX</x:v>
      </x:c>
    </x:row>
    <x:row r="113" spans="6:15">
      <x:c r="F113" s="56"/>
      <x:c r="G113" s="67">
        <x:f>SUM(H8:H108)</x:f>
        <x:v>52</x:v>
      </x:c>
      <x:c r="H113" s="56"/>
      <x:c r="I113" s="56"/>
      <x:c r="J113" s="56"/>
      <x:c r="K113" s="56"/>
      <x:c r="L113" s="56"/>
      <x:c r="M113" s="56"/>
      <x:c r="N113" s="56"/>
      <x:c r="O113" s="56" t="str">
        <x:f t="shared" si="2"/>
        <x:v>XXXXX</x:v>
      </x:c>
    </x:row>
    <x:row r="114" spans="6:15">
      <x:c r="F114" s="56"/>
      <x:c r="G114" s="56" t="str">
        <x:f>Track</x:f>
        <x:v>XXXXX</x:v>
      </x:c>
      <x:c r="H114" s="56"/>
      <x:c r="I114" s="56"/>
      <x:c r="J114" s="56"/>
      <x:c r="K114" s="56"/>
      <x:c r="L114" s="56"/>
      <x:c r="M114" s="56"/>
      <x:c r="N114" s="56"/>
      <x:c r="O114" s="56" t="str">
        <x:f t="shared" si="2"/>
        <x:v>XXXXX</x:v>
      </x:c>
    </x:row>
    <x:row r="115" spans="6:15">
      <x:c r="F115" s="56"/>
      <x:c r="G115" s="72" t="str">
        <x:f>EmptyCell</x:f>
        <x:v>-------</x:v>
      </x:c>
      <x:c r="H115" s="56"/>
      <x:c r="I115" s="56"/>
      <x:c r="J115" s="56"/>
      <x:c r="K115" s="56"/>
      <x:c r="L115" s="56"/>
      <x:c r="M115" s="56"/>
      <x:c r="N115" s="56"/>
      <x:c r="O115" s="56" t="str">
        <x:f t="shared" si="2"/>
        <x:v>XXXXX</x:v>
      </x:c>
    </x:row>
    <x:row r="116" spans="6:15" hidden="1">
      <x:c r="F116" s="56"/>
      <x:c r="G116" s="56" t="str">
        <x:f>Track</x:f>
        <x:v>XXXXX</x:v>
      </x:c>
      <x:c r="H116" s="56"/>
      <x:c r="I116" s="56"/>
      <x:c r="J116" s="56"/>
      <x:c r="K116" s="56"/>
      <x:c r="L116" s="56"/>
      <x:c r="M116" s="56"/>
      <x:c r="N116" s="56"/>
      <x:c r="O116" s="56" t="str">
        <x:f t="shared" si="2"/>
        <x:v>XXXXX</x:v>
      </x:c>
    </x:row>
    <x:row r="117" spans="6:15" hidden="1">
      <x:c r="F117" s="56"/>
      <x:c r="G117" s="71" t="str">
        <x:f>EmptyCell</x:f>
        <x:v>-------</x:v>
      </x:c>
      <x:c r="H117" s="56"/>
      <x:c r="I117" s="56"/>
      <x:c r="J117" s="56"/>
      <x:c r="K117" s="56"/>
      <x:c r="L117" s="56"/>
      <x:c r="M117" s="56"/>
      <x:c r="N117" s="56"/>
      <x:c r="O117" s="56" t="str">
        <x:f t="shared" si="2"/>
        <x:v>XXXXX</x:v>
      </x:c>
    </x:row>
    <x:row r="118" spans="6:15" hidden="1">
      <x:c r="F118" s="56"/>
      <x:c r="G118" s="56" t="str">
        <x:f>Track</x:f>
        <x:v>XXXXX</x:v>
      </x:c>
      <x:c r="H118" s="56"/>
      <x:c r="I118" s="56"/>
      <x:c r="J118" s="56"/>
      <x:c r="K118" s="56"/>
      <x:c r="L118" s="56"/>
      <x:c r="M118" s="56"/>
      <x:c r="N118" s="56"/>
      <x:c r="O118" s="56" t="str">
        <x:f t="shared" si="2"/>
        <x:v>XXXXX</x:v>
      </x:c>
    </x:row>
    <x:row r="119" spans="6:15" hidden="1">
      <x:c r="F119" s="56"/>
      <x:c r="G119" s="73" t="str">
        <x:f>EmptyCell</x:f>
        <x:v>-------</x:v>
      </x:c>
      <x:c r="H119" s="56" t="str">
        <x:f t="shared" ref="H119:M119" si="4">Track</x:f>
        <x:v>XXXXX</x:v>
      </x:c>
      <x:c r="I119" s="56" t="str">
        <x:f t="shared" si="4"/>
        <x:v>XXXXX</x:v>
      </x:c>
      <x:c r="J119" s="56" t="str">
        <x:f t="shared" si="4"/>
        <x:v>XXXXX</x:v>
      </x:c>
      <x:c r="K119" s="56" t="str">
        <x:f t="shared" si="4"/>
        <x:v>XXXXX</x:v>
      </x:c>
      <x:c r="L119" s="56" t="str">
        <x:f t="shared" si="4"/>
        <x:v>XXXXX</x:v>
      </x:c>
      <x:c r="M119" s="56" t="str">
        <x:f t="shared" si="4"/>
        <x:v>XXXXX</x:v>
      </x:c>
      <x:c r="N119" s="73" t="str">
        <x:f>EmptyCell</x:f>
        <x:v>-------</x:v>
      </x:c>
      <x:c r="O119" s="56" t="str">
        <x:f t="shared" si="2"/>
        <x:v>XXXXX</x:v>
      </x:c>
    </x:row>
    <x:row r="120" spans="6:15">
      <x:c r="F120" s="56"/>
    </x:row>
    <x:row r="1000">
      <x:c r="XX1000" s="78" t="n">
        <x:v>125713</x:v>
      </x:c>
    </x:row>
  </x:sheetData>
  <x:pageMargins left="0.7" right="0.7" top="0.75" bottom="0.75" header="0.3" footer="0.3"/>
  <x:pageSetup orientation="portrait" r:id="rId1"/>
  <x:drawing r:id="rId2"/>
</x: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990BC-4AE1-4C7A-BFAD-2951B480B74B}">
  <sheetPr codeName="Sheet8"/>
  <dimension ref="A1:CL1102"/>
  <sheetViews>
    <sheetView zoomScale="90" zoomScaleNormal="90" workbookViewId="0">
      <selection activeCell="AB11" sqref="AB11:AB12 AB14:AB15"/>
    </sheetView>
  </sheetViews>
  <sheetFormatPr defaultColWidth="8.81640625" defaultRowHeight="14.5"/>
  <cols>
    <col min="1" max="1" width="8.81640625" style="3"/>
    <col min="2" max="2" width="22.81640625" style="3" bestFit="1" customWidth="1"/>
    <col min="3" max="3" width="3.81640625" style="3" customWidth="1"/>
    <col min="4" max="4" width="23.54296875" style="3" customWidth="1"/>
    <col min="5" max="5" width="3.81640625" style="3" customWidth="1"/>
    <col min="6" max="6" width="17.81640625" style="3" customWidth="1"/>
    <col min="7" max="7" width="21.81640625" style="3" bestFit="1" customWidth="1"/>
    <col min="8" max="8" width="3.81640625" style="3" customWidth="1"/>
    <col min="9" max="9" width="17.81640625" style="3" bestFit="1" customWidth="1"/>
    <col min="10" max="12" width="15.453125" style="3" customWidth="1"/>
    <col min="13" max="13" width="3.81640625" style="3" customWidth="1"/>
    <col min="14" max="15" width="15.453125" style="3" customWidth="1"/>
    <col min="16" max="16" width="3.81640625" style="3" customWidth="1"/>
    <col min="17" max="18" width="15.453125" style="3" customWidth="1"/>
    <col min="19" max="19" width="16.81640625" style="3" bestFit="1" customWidth="1"/>
    <col min="20" max="20" width="16.81640625" style="3" customWidth="1"/>
    <col min="21" max="21" width="3.81640625" style="3" customWidth="1"/>
    <col min="22" max="22" width="14.1796875" style="3" bestFit="1" customWidth="1"/>
    <col min="23" max="23" width="13" style="3" customWidth="1"/>
    <col min="24" max="24" width="3.81640625" style="3" customWidth="1"/>
    <col min="25" max="28" width="15.1796875" style="3" customWidth="1"/>
    <col min="29" max="29" width="3.81640625" style="3" customWidth="1"/>
    <col min="30" max="30" width="11.453125" style="3" bestFit="1" customWidth="1"/>
    <col min="31" max="31" width="8.453125" style="3" bestFit="1" customWidth="1"/>
    <col min="32" max="32" width="17.453125" style="3" bestFit="1" customWidth="1"/>
    <col min="33" max="34" width="17.453125" style="3" customWidth="1"/>
    <col min="35" max="35" width="23.1796875" style="3" bestFit="1" customWidth="1"/>
    <col min="36" max="36" width="9.1796875" style="3" bestFit="1" customWidth="1"/>
    <col min="37" max="37" width="3.81640625" style="3" customWidth="1"/>
    <col min="38" max="38" width="10.1796875" style="3" bestFit="1" customWidth="1"/>
    <col min="39" max="39" width="11.453125" style="3" bestFit="1" customWidth="1"/>
    <col min="40" max="40" width="8.81640625" style="3" customWidth="1"/>
    <col min="41" max="42" width="8.81640625" style="3"/>
    <col min="43" max="44" width="8.81640625" style="3" customWidth="1"/>
    <col min="45" max="45" width="9.453125" style="3" bestFit="1" customWidth="1"/>
    <col min="46" max="46" width="11.54296875" style="3" bestFit="1" customWidth="1"/>
    <col min="47" max="16384" width="8.81640625" style="3"/>
  </cols>
  <sheetData>
    <row r="1" spans="1:90">
      <c r="A1" s="2"/>
      <c r="B1" s="2"/>
      <c r="D1" s="2" t="s">
        <v>114</v>
      </c>
      <c r="F1" s="2" t="s">
        <v>115</v>
      </c>
      <c r="G1" s="2" t="s">
        <v>116</v>
      </c>
      <c r="I1" s="2" t="s">
        <v>117</v>
      </c>
      <c r="J1" s="2" t="s">
        <v>118</v>
      </c>
      <c r="K1" s="2" t="s">
        <v>119</v>
      </c>
      <c r="L1" s="2" t="s">
        <v>120</v>
      </c>
      <c r="N1" s="2" t="s">
        <v>117</v>
      </c>
      <c r="O1" s="2" t="s">
        <v>121</v>
      </c>
      <c r="P1"/>
      <c r="Q1" s="4" t="s">
        <v>4</v>
      </c>
      <c r="R1" s="5" t="s">
        <v>122</v>
      </c>
      <c r="S1" s="5" t="s">
        <v>123</v>
      </c>
      <c r="T1" s="6" t="s">
        <v>124</v>
      </c>
      <c r="V1" t="s">
        <v>125</v>
      </c>
      <c r="W1" t="s">
        <v>126</v>
      </c>
      <c r="X1"/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/>
      <c r="AE1"/>
      <c r="AF1"/>
      <c r="AG1"/>
      <c r="AH1"/>
      <c r="AK1" t="s">
        <v>95</v>
      </c>
      <c r="AL1" t="s">
        <v>497</v>
      </c>
      <c r="AM1" t="s">
        <v>498</v>
      </c>
      <c r="AN1" t="s">
        <v>4</v>
      </c>
      <c r="AO1" t="s">
        <v>93</v>
      </c>
      <c r="AP1" t="s">
        <v>1</v>
      </c>
      <c r="AQ1" t="s">
        <v>15</v>
      </c>
      <c r="AR1" t="s">
        <v>521</v>
      </c>
      <c r="AS1" t="s">
        <v>2</v>
      </c>
      <c r="AT1" s="3" t="s">
        <v>102</v>
      </c>
      <c r="AV1" s="7" t="s">
        <v>536</v>
      </c>
      <c r="AY1" s="3">
        <v>1</v>
      </c>
      <c r="BC1" s="3">
        <v>2</v>
      </c>
      <c r="BG1" s="3">
        <v>3</v>
      </c>
      <c r="BK1" s="3">
        <v>4</v>
      </c>
      <c r="BO1" s="3">
        <v>5</v>
      </c>
      <c r="BS1" s="3">
        <v>6</v>
      </c>
      <c r="BW1" s="3">
        <v>7</v>
      </c>
      <c r="CA1" s="3">
        <v>8</v>
      </c>
      <c r="CE1" s="3">
        <v>9</v>
      </c>
      <c r="CI1" s="3">
        <v>10</v>
      </c>
    </row>
    <row r="2" spans="1:90">
      <c r="B2" s="8"/>
      <c r="D2" s="3" t="s">
        <v>132</v>
      </c>
      <c r="F2" s="9">
        <v>45029.411990740744</v>
      </c>
      <c r="G2" s="9"/>
      <c r="I2" s="9" t="s">
        <v>133</v>
      </c>
      <c r="J2" s="9" t="s">
        <v>523</v>
      </c>
      <c r="K2" s="9"/>
      <c r="L2" s="9" t="s">
        <v>134</v>
      </c>
      <c r="N2" s="3" t="s">
        <v>135</v>
      </c>
      <c r="O2" s="3" t="s">
        <v>136</v>
      </c>
      <c r="P2">
        <v>1</v>
      </c>
      <c r="Q2" s="10" t="s">
        <v>137</v>
      </c>
      <c r="R2" s="10" t="b">
        <v>1</v>
      </c>
      <c r="S2" s="11">
        <v>8</v>
      </c>
      <c r="T2" s="11">
        <f>pCountNew+COUNTIF(R2:R18,"&lt;&gt;TRUE")</f>
        <v>21</v>
      </c>
      <c r="V2" cm="1">
        <f t="array" ref="V2:V15">_xlfn.SEQUENCE(14)</f>
        <v>1</v>
      </c>
      <c r="W2">
        <f>IF(AA2=AB2,1,0)</f>
        <v>1</v>
      </c>
      <c r="X2"/>
      <c r="Y2">
        <v>1</v>
      </c>
      <c r="Z2" s="62">
        <v>0</v>
      </c>
      <c r="AA2" t="b">
        <v>1</v>
      </c>
      <c r="AB2" t="b">
        <f>Answer2</f>
        <v>1</v>
      </c>
      <c r="AC2" s="54"/>
      <c r="AD2" s="54"/>
      <c r="AE2" s="54"/>
      <c r="AF2" s="54"/>
      <c r="AG2" s="7"/>
      <c r="AH2" s="7"/>
      <c r="AI2" s="7"/>
      <c r="AK2" cm="1">
        <f t="array" ref="AK2:AK101">_xlfn.SEQUENCE(100)</f>
        <v>1</v>
      </c>
      <c r="AL2" t="s">
        <v>487</v>
      </c>
      <c r="AM2" t="s">
        <v>316</v>
      </c>
      <c r="AN2" t="str">
        <f>IF(AO2,AM2,AL2)</f>
        <v>Rory</v>
      </c>
      <c r="AO2" cm="1">
        <f t="array" ref="AO2">INDEX($AY$2:$CL$101,$AK2,($AV$2-1)*4+1)</f>
        <v>0</v>
      </c>
      <c r="AP2" cm="1">
        <f t="array" ref="AP2">INDEX($AY$2:$CL$101,$AK2,($AV$2-1)*4+2)</f>
        <v>1</v>
      </c>
      <c r="AQ2" cm="1">
        <f t="array" ref="AQ2">INDEX($AY$2:$CL$101,$AK2,($AV$2-1)*4+3)</f>
        <v>3.4109551015872084</v>
      </c>
      <c r="AR2" s="1">
        <f>AQ2</f>
        <v>3.4109551015872084</v>
      </c>
      <c r="AS2" cm="1">
        <f t="array" ref="AS2">INDEX($AY$2:$CL$101,$AK2,($AV$2-1)*4+4)</f>
        <v>38426</v>
      </c>
      <c r="AT2" s="53" t="str">
        <f>RIGHT(AS2,3)</f>
        <v>426</v>
      </c>
      <c r="AU2" s="53"/>
      <c r="AV2" s="7">
        <v>5</v>
      </c>
      <c r="AY2" s="56">
        <v>1</v>
      </c>
      <c r="AZ2" s="56">
        <v>1</v>
      </c>
      <c r="BA2" s="56">
        <v>3.1058220132713821</v>
      </c>
      <c r="BB2" s="65">
        <v>38341</v>
      </c>
      <c r="BC2" s="56">
        <v>0</v>
      </c>
      <c r="BD2" s="56">
        <v>0</v>
      </c>
      <c r="BE2" s="56">
        <v>3.4521788414004533</v>
      </c>
      <c r="BF2" s="65">
        <v>36831</v>
      </c>
      <c r="BG2" s="56">
        <v>0</v>
      </c>
      <c r="BH2" s="56">
        <v>0</v>
      </c>
      <c r="BI2" s="56">
        <v>2.1792748462990637</v>
      </c>
      <c r="BJ2" s="65">
        <v>36534</v>
      </c>
      <c r="BK2" s="56">
        <v>0</v>
      </c>
      <c r="BL2" s="56">
        <v>1</v>
      </c>
      <c r="BM2" s="56">
        <v>2.9616941454430288</v>
      </c>
      <c r="BN2" s="65">
        <v>36589</v>
      </c>
      <c r="BO2" s="56">
        <v>0</v>
      </c>
      <c r="BP2" s="56">
        <v>1</v>
      </c>
      <c r="BQ2" s="56">
        <v>3.4109551015872084</v>
      </c>
      <c r="BR2" s="65">
        <v>38426</v>
      </c>
      <c r="BS2" s="56">
        <v>1</v>
      </c>
      <c r="BT2" s="56">
        <v>1</v>
      </c>
      <c r="BU2" s="56">
        <v>2.076613068893864</v>
      </c>
      <c r="BV2" s="65">
        <v>37184</v>
      </c>
      <c r="BW2" s="56">
        <v>0</v>
      </c>
      <c r="BX2" s="56">
        <v>0</v>
      </c>
      <c r="BY2" s="56">
        <v>2.1764370358311931</v>
      </c>
      <c r="BZ2" s="65">
        <v>38467</v>
      </c>
      <c r="CA2" s="56">
        <v>1</v>
      </c>
      <c r="CB2" s="56">
        <v>1</v>
      </c>
      <c r="CC2" s="56">
        <v>2.603018512869014</v>
      </c>
      <c r="CD2" s="65">
        <v>38211</v>
      </c>
      <c r="CE2" s="56">
        <v>0</v>
      </c>
      <c r="CF2" s="56">
        <v>1</v>
      </c>
      <c r="CG2" s="56">
        <v>2.3092481578375192</v>
      </c>
      <c r="CH2" s="65">
        <v>35666</v>
      </c>
      <c r="CI2" s="56">
        <v>1</v>
      </c>
      <c r="CJ2" s="56">
        <v>0</v>
      </c>
      <c r="CK2" s="56">
        <v>3.2842452986216397</v>
      </c>
      <c r="CL2" s="65">
        <v>37736</v>
      </c>
    </row>
    <row r="3" spans="1:90">
      <c r="B3" s="8"/>
      <c r="I3" s="9"/>
      <c r="J3" s="9"/>
      <c r="K3" s="9"/>
      <c r="L3" s="9"/>
      <c r="N3" s="3" t="s">
        <v>138</v>
      </c>
      <c r="O3" s="3" t="s">
        <v>139</v>
      </c>
      <c r="P3">
        <v>2</v>
      </c>
      <c r="Q3" s="10" t="s">
        <v>524</v>
      </c>
      <c r="R3" s="10" t="b">
        <v>1</v>
      </c>
      <c r="S3" s="8"/>
      <c r="T3" s="8"/>
      <c r="V3">
        <v>2</v>
      </c>
      <c r="W3">
        <f t="shared" ref="W3:W4" si="0">IF(AA3=AB3,1,0)</f>
        <v>1</v>
      </c>
      <c r="X3"/>
      <c r="Y3">
        <v>1</v>
      </c>
      <c r="Z3" s="62">
        <v>0</v>
      </c>
      <c r="AA3">
        <v>100</v>
      </c>
      <c r="AB3">
        <f>IFERROR('Keyboarding Challenge'!$F$108, 0)</f>
        <v>100</v>
      </c>
      <c r="AC3" s="55"/>
      <c r="AD3" s="55"/>
      <c r="AE3" s="55"/>
      <c r="AF3" s="55"/>
      <c r="AG3" s="13"/>
      <c r="AH3" s="13"/>
      <c r="AI3" s="13"/>
      <c r="AK3">
        <v>2</v>
      </c>
      <c r="AL3" t="s">
        <v>107</v>
      </c>
      <c r="AM3" t="s">
        <v>409</v>
      </c>
      <c r="AN3" t="str">
        <f t="shared" ref="AN3:AN66" si="1">IF(AO3,AM3,AL3)</f>
        <v>Adrien</v>
      </c>
      <c r="AO3" cm="1">
        <f t="array" ref="AO3">INDEX($AY$2:$CL$101,$AK3,($AV$2-1)*4+1)</f>
        <v>1</v>
      </c>
      <c r="AP3" cm="1">
        <f t="array" ref="AP3">INDEX($AY$2:$CL$101,$AK3,($AV$2-1)*4+2)</f>
        <v>1</v>
      </c>
      <c r="AQ3" cm="1">
        <f t="array" ref="AQ3">INDEX($AY$2:$CL$101,$AK3,($AV$2-1)*4+3)</f>
        <v>2.8811058170623181</v>
      </c>
      <c r="AR3" s="1">
        <f>AQ3</f>
        <v>2.8811058170623181</v>
      </c>
      <c r="AS3" cm="1">
        <f t="array" ref="AS3">INDEX($AY$2:$CL$101,$AK3,($AV$2-1)*4+4)</f>
        <v>36156</v>
      </c>
      <c r="AT3" s="53" t="str">
        <f t="shared" ref="AT3:AT66" si="2">RIGHT(AS3,3)</f>
        <v>156</v>
      </c>
      <c r="AU3" s="64"/>
      <c r="AV3" s="7">
        <v>88</v>
      </c>
      <c r="AY3" s="56">
        <v>1</v>
      </c>
      <c r="AZ3" s="56">
        <v>0</v>
      </c>
      <c r="BA3" s="56">
        <v>2.8811058170623181</v>
      </c>
      <c r="BB3" s="65">
        <v>35908</v>
      </c>
      <c r="BC3" s="56">
        <v>1</v>
      </c>
      <c r="BD3" s="56">
        <v>1</v>
      </c>
      <c r="BE3" s="56">
        <v>2.8811058170623181</v>
      </c>
      <c r="BF3" s="65">
        <v>36795</v>
      </c>
      <c r="BG3" s="56">
        <v>1</v>
      </c>
      <c r="BH3" s="56">
        <v>1</v>
      </c>
      <c r="BI3" s="56">
        <v>2.8811058170623181</v>
      </c>
      <c r="BJ3" s="65">
        <v>38455</v>
      </c>
      <c r="BK3" s="56">
        <v>1</v>
      </c>
      <c r="BL3" s="56">
        <v>1</v>
      </c>
      <c r="BM3" s="56">
        <v>2.8811058170623181</v>
      </c>
      <c r="BN3" s="65">
        <v>35749</v>
      </c>
      <c r="BO3" s="56">
        <v>1</v>
      </c>
      <c r="BP3" s="56">
        <v>1</v>
      </c>
      <c r="BQ3" s="56">
        <v>2.8811058170623181</v>
      </c>
      <c r="BR3" s="65">
        <v>36156</v>
      </c>
      <c r="BS3" s="56">
        <v>0</v>
      </c>
      <c r="BT3" s="56">
        <v>1</v>
      </c>
      <c r="BU3" s="56">
        <v>2.8811058170623181</v>
      </c>
      <c r="BV3" s="65">
        <v>37208</v>
      </c>
      <c r="BW3" s="56">
        <v>1</v>
      </c>
      <c r="BX3" s="56">
        <v>0</v>
      </c>
      <c r="BY3" s="56">
        <v>2.8811058170623181</v>
      </c>
      <c r="BZ3" s="65">
        <v>37653</v>
      </c>
      <c r="CA3" s="56">
        <v>1</v>
      </c>
      <c r="CB3" s="56">
        <v>1</v>
      </c>
      <c r="CC3" s="56">
        <v>2.8811058170623181</v>
      </c>
      <c r="CD3" s="65">
        <v>35542</v>
      </c>
      <c r="CE3" s="56">
        <v>0</v>
      </c>
      <c r="CF3" s="56">
        <v>0</v>
      </c>
      <c r="CG3" s="56">
        <v>2.8811058170623181</v>
      </c>
      <c r="CH3" s="65">
        <v>36655</v>
      </c>
      <c r="CI3" s="56">
        <v>1</v>
      </c>
      <c r="CJ3" s="56">
        <v>1</v>
      </c>
      <c r="CK3" s="56">
        <v>2.8811058170623181</v>
      </c>
      <c r="CL3" s="65">
        <v>36461</v>
      </c>
    </row>
    <row r="4" spans="1:90">
      <c r="B4" s="8"/>
      <c r="C4" s="14"/>
      <c r="D4" s="2" t="s">
        <v>140</v>
      </c>
      <c r="F4" s="2" t="s">
        <v>141</v>
      </c>
      <c r="G4" s="2" t="s">
        <v>142</v>
      </c>
      <c r="I4" s="9"/>
      <c r="J4" s="9"/>
      <c r="K4" s="9"/>
      <c r="L4" s="9"/>
      <c r="O4" s="9"/>
      <c r="P4" s="52">
        <v>3</v>
      </c>
      <c r="Q4" s="12" t="s">
        <v>16</v>
      </c>
      <c r="R4" s="3" t="b">
        <v>1</v>
      </c>
      <c r="U4" s="52"/>
      <c r="V4" s="52">
        <v>3</v>
      </c>
      <c r="W4">
        <f t="shared" si="0"/>
        <v>1</v>
      </c>
      <c r="Y4" s="52">
        <v>0</v>
      </c>
      <c r="Z4">
        <f t="shared" ref="Z4:Z7" si="3">W4*Y4</f>
        <v>0</v>
      </c>
      <c r="AA4" s="3" t="b">
        <v>1</v>
      </c>
      <c r="AB4" s="3" t="b">
        <f>$R$4</f>
        <v>1</v>
      </c>
      <c r="AC4" t="s">
        <v>511</v>
      </c>
      <c r="AD4" t="s">
        <v>526</v>
      </c>
      <c r="AE4" cm="1">
        <f t="array" aca="1" ref="AE4" ca="1">COLUMN(INDIRECT(AC4&amp;"1"))</f>
        <v>7</v>
      </c>
      <c r="AF4" cm="1">
        <f t="array" aca="1" ref="AF4" ca="1">COLUMN(INDIRECT(AD4&amp;"1"))</f>
        <v>12</v>
      </c>
      <c r="AG4" s="13"/>
      <c r="AH4" s="13"/>
      <c r="AI4" s="13"/>
      <c r="AK4">
        <v>3</v>
      </c>
      <c r="AL4" t="s">
        <v>26</v>
      </c>
      <c r="AM4" t="s">
        <v>319</v>
      </c>
      <c r="AN4" t="str">
        <f t="shared" si="1"/>
        <v>Jessica</v>
      </c>
      <c r="AO4" cm="1">
        <f t="array" ref="AO4">INDEX($AY$2:$CL$101,$AK4,($AV$2-1)*4+1)</f>
        <v>0</v>
      </c>
      <c r="AP4" cm="1">
        <f t="array" ref="AP4">INDEX($AY$2:$CL$101,$AK4,($AV$2-1)*4+2)</f>
        <v>0</v>
      </c>
      <c r="AQ4"/>
      <c r="AR4" s="1">
        <f>AVERAGE($AQ$2:$AQ$101)</f>
        <v>2.9044332207535777</v>
      </c>
      <c r="AS4" cm="1">
        <f t="array" ref="AS4">INDEX($AY$2:$CL$101,$AK4,($AV$2-1)*4+4)</f>
        <v>37774</v>
      </c>
      <c r="AT4" s="53" t="str">
        <f t="shared" si="2"/>
        <v>774</v>
      </c>
      <c r="AY4" s="56">
        <v>0</v>
      </c>
      <c r="AZ4" s="56">
        <v>1</v>
      </c>
      <c r="BA4" s="56"/>
      <c r="BB4" s="65">
        <v>36516</v>
      </c>
      <c r="BC4" s="56">
        <v>0</v>
      </c>
      <c r="BD4" s="56">
        <v>1</v>
      </c>
      <c r="BE4" s="56"/>
      <c r="BF4" s="65">
        <v>36261</v>
      </c>
      <c r="BG4" s="56">
        <v>0</v>
      </c>
      <c r="BH4" s="56">
        <v>0</v>
      </c>
      <c r="BI4" s="56"/>
      <c r="BJ4" s="65">
        <v>38094</v>
      </c>
      <c r="BK4" s="56">
        <v>0</v>
      </c>
      <c r="BL4" s="56">
        <v>1</v>
      </c>
      <c r="BM4" s="56"/>
      <c r="BN4" s="65">
        <v>37541</v>
      </c>
      <c r="BO4" s="56">
        <v>0</v>
      </c>
      <c r="BP4" s="56">
        <v>0</v>
      </c>
      <c r="BQ4" s="56"/>
      <c r="BR4" s="65">
        <v>37774</v>
      </c>
      <c r="BS4" s="56">
        <v>0</v>
      </c>
      <c r="BT4" s="56">
        <v>1</v>
      </c>
      <c r="BU4" s="56"/>
      <c r="BV4" s="65">
        <v>38028</v>
      </c>
      <c r="BW4" s="56">
        <v>0</v>
      </c>
      <c r="BX4" s="56">
        <v>1</v>
      </c>
      <c r="BY4" s="56"/>
      <c r="BZ4" s="65">
        <v>36228</v>
      </c>
      <c r="CA4" s="56">
        <v>0</v>
      </c>
      <c r="CB4" s="56">
        <v>0</v>
      </c>
      <c r="CC4" s="56"/>
      <c r="CD4" s="65">
        <v>35734</v>
      </c>
      <c r="CE4" s="56">
        <v>0</v>
      </c>
      <c r="CF4" s="56">
        <v>0</v>
      </c>
      <c r="CG4" s="56"/>
      <c r="CH4" s="65">
        <v>38408</v>
      </c>
      <c r="CI4" s="56">
        <v>1</v>
      </c>
      <c r="CJ4" s="56">
        <v>0</v>
      </c>
      <c r="CK4" s="56"/>
      <c r="CL4" s="65">
        <v>37060</v>
      </c>
    </row>
    <row r="5" spans="1:90">
      <c r="B5" s="8"/>
      <c r="D5" s="3" t="s">
        <v>535</v>
      </c>
      <c r="F5" s="3" t="b">
        <v>1</v>
      </c>
      <c r="G5" s="3">
        <f>ROUND((endTime-startTime)*3600*24,0)</f>
        <v>-3890541196</v>
      </c>
      <c r="I5" s="9"/>
      <c r="J5" s="9"/>
      <c r="K5" s="9"/>
      <c r="L5" s="9"/>
      <c r="P5">
        <v>4</v>
      </c>
      <c r="Q5" s="10" t="s">
        <v>143</v>
      </c>
      <c r="R5" s="10" t="b">
        <v>1</v>
      </c>
      <c r="S5" s="8"/>
      <c r="T5" s="8"/>
      <c r="U5" s="14"/>
      <c r="V5">
        <v>4</v>
      </c>
      <c r="W5">
        <f t="shared" ref="W5:W15" si="4">IF(AA5=AB5,1,0)</f>
        <v>1</v>
      </c>
      <c r="X5"/>
      <c r="Y5">
        <v>0</v>
      </c>
      <c r="Z5">
        <f t="shared" si="3"/>
        <v>0</v>
      </c>
      <c r="AA5">
        <f>SUM(AO2:AO101)</f>
        <v>52</v>
      </c>
      <c r="AB5">
        <f>IFERROR('Keyboarding Challenge'!$G$113, 0)</f>
        <v>52</v>
      </c>
      <c r="AC5" s="54"/>
      <c r="AD5" s="54"/>
      <c r="AE5" s="54"/>
      <c r="AF5" s="54"/>
      <c r="AG5" s="45">
        <v>114</v>
      </c>
      <c r="AH5" s="45">
        <v>115</v>
      </c>
      <c r="AI5" s="13"/>
      <c r="AK5">
        <v>4</v>
      </c>
      <c r="AL5" t="s">
        <v>72</v>
      </c>
      <c r="AM5" t="s">
        <v>426</v>
      </c>
      <c r="AN5" t="str">
        <f t="shared" si="1"/>
        <v>Luka</v>
      </c>
      <c r="AO5" cm="1">
        <f t="array" ref="AO5">INDEX($AY$2:$CL$101,$AK5,($AV$2-1)*4+1)</f>
        <v>1</v>
      </c>
      <c r="AP5" cm="1">
        <f t="array" ref="AP5">INDEX($AY$2:$CL$101,$AK5,($AV$2-1)*4+2)</f>
        <v>1</v>
      </c>
      <c r="AQ5"/>
      <c r="AR5" s="1">
        <f t="shared" ref="AR5:AR11" si="5">AVERAGE($AQ$2:$AQ$101)</f>
        <v>2.9044332207535777</v>
      </c>
      <c r="AS5" cm="1">
        <f t="array" ref="AS5">INDEX($AY$2:$CL$101,$AK5,($AV$2-1)*4+4)</f>
        <v>37981</v>
      </c>
      <c r="AT5" s="53" t="str">
        <f t="shared" si="2"/>
        <v>981</v>
      </c>
      <c r="AY5" s="56">
        <v>0</v>
      </c>
      <c r="AZ5" s="56">
        <v>0</v>
      </c>
      <c r="BA5" s="56"/>
      <c r="BB5" s="65">
        <v>37254</v>
      </c>
      <c r="BC5" s="56">
        <v>0</v>
      </c>
      <c r="BD5" s="56">
        <v>1</v>
      </c>
      <c r="BE5" s="56"/>
      <c r="BF5" s="65">
        <v>36618</v>
      </c>
      <c r="BG5" s="56">
        <v>0</v>
      </c>
      <c r="BH5" s="56">
        <v>0</v>
      </c>
      <c r="BI5" s="56"/>
      <c r="BJ5" s="65">
        <v>38131</v>
      </c>
      <c r="BK5" s="56">
        <v>0</v>
      </c>
      <c r="BL5" s="56">
        <v>1</v>
      </c>
      <c r="BM5" s="56"/>
      <c r="BN5" s="65">
        <v>36562</v>
      </c>
      <c r="BO5" s="56">
        <v>1</v>
      </c>
      <c r="BP5" s="56">
        <v>1</v>
      </c>
      <c r="BQ5" s="56"/>
      <c r="BR5" s="65">
        <v>37981</v>
      </c>
      <c r="BS5" s="56">
        <v>0</v>
      </c>
      <c r="BT5" s="56">
        <v>0</v>
      </c>
      <c r="BU5" s="56"/>
      <c r="BV5" s="65">
        <v>37784</v>
      </c>
      <c r="BW5" s="56">
        <v>1</v>
      </c>
      <c r="BX5" s="56">
        <v>0</v>
      </c>
      <c r="BY5" s="56"/>
      <c r="BZ5" s="65">
        <v>37455</v>
      </c>
      <c r="CA5" s="56">
        <v>0</v>
      </c>
      <c r="CB5" s="56">
        <v>1</v>
      </c>
      <c r="CC5" s="56"/>
      <c r="CD5" s="65">
        <v>37750</v>
      </c>
      <c r="CE5" s="56">
        <v>1</v>
      </c>
      <c r="CF5" s="56">
        <v>0</v>
      </c>
      <c r="CG5" s="56"/>
      <c r="CH5" s="65">
        <v>38318</v>
      </c>
      <c r="CI5" s="56">
        <v>1</v>
      </c>
      <c r="CJ5" s="56">
        <v>0</v>
      </c>
      <c r="CK5" s="56"/>
      <c r="CL5" s="65">
        <v>36213</v>
      </c>
    </row>
    <row r="6" spans="1:90">
      <c r="B6" s="8"/>
      <c r="J6" s="9"/>
      <c r="K6" s="9"/>
      <c r="L6" s="9"/>
      <c r="N6" s="9"/>
      <c r="O6" s="9"/>
      <c r="P6">
        <v>5</v>
      </c>
      <c r="Q6" s="10" t="s">
        <v>144</v>
      </c>
      <c r="R6" s="10" t="b">
        <v>0</v>
      </c>
      <c r="S6" s="8"/>
      <c r="T6" s="8"/>
      <c r="V6">
        <v>5</v>
      </c>
      <c r="W6">
        <f>IF(OR(AA6=AB6,AA6/100=AB6),1,0)</f>
        <v>0</v>
      </c>
      <c r="X6"/>
      <c r="Y6">
        <v>1</v>
      </c>
      <c r="Z6">
        <f t="shared" si="3"/>
        <v>0</v>
      </c>
      <c r="AA6">
        <f>100-SUM(AP2:AP101)</f>
        <v>52</v>
      </c>
      <c r="AB6" s="49" t="str">
        <f>IFERROR('Keyboarding Challenge'!$G$115, 0)</f>
        <v>-------</v>
      </c>
      <c r="AC6" s="54"/>
      <c r="AD6" s="54"/>
      <c r="AE6" s="54"/>
      <c r="AF6" s="54"/>
      <c r="AG6" s="45">
        <v>116</v>
      </c>
      <c r="AH6" s="45">
        <v>117</v>
      </c>
      <c r="AI6" s="13"/>
      <c r="AK6">
        <v>5</v>
      </c>
      <c r="AL6" t="s">
        <v>8</v>
      </c>
      <c r="AM6" t="s">
        <v>322</v>
      </c>
      <c r="AN6" t="str">
        <f t="shared" si="1"/>
        <v>Jennifer</v>
      </c>
      <c r="AO6" cm="1">
        <f t="array" ref="AO6">INDEX($AY$2:$CL$101,$AK6,($AV$2-1)*4+1)</f>
        <v>0</v>
      </c>
      <c r="AP6" cm="1">
        <f t="array" ref="AP6">INDEX($AY$2:$CL$101,$AK6,($AV$2-1)*4+2)</f>
        <v>0</v>
      </c>
      <c r="AQ6"/>
      <c r="AR6" s="1">
        <f t="shared" si="5"/>
        <v>2.9044332207535777</v>
      </c>
      <c r="AS6" cm="1">
        <f t="array" ref="AS6">INDEX($AY$2:$CL$101,$AK6,($AV$2-1)*4+4)</f>
        <v>38050</v>
      </c>
      <c r="AT6" s="53" t="str">
        <f t="shared" si="2"/>
        <v>050</v>
      </c>
      <c r="AY6" s="56">
        <v>1</v>
      </c>
      <c r="AZ6" s="56">
        <v>0</v>
      </c>
      <c r="BA6" s="56"/>
      <c r="BB6" s="65">
        <v>38109</v>
      </c>
      <c r="BC6" s="56">
        <v>1</v>
      </c>
      <c r="BD6" s="56">
        <v>1</v>
      </c>
      <c r="BE6" s="56"/>
      <c r="BF6" s="65">
        <v>35612</v>
      </c>
      <c r="BG6" s="56">
        <v>1</v>
      </c>
      <c r="BH6" s="56">
        <v>0</v>
      </c>
      <c r="BI6" s="56"/>
      <c r="BJ6" s="65">
        <v>37426</v>
      </c>
      <c r="BK6" s="56">
        <v>1</v>
      </c>
      <c r="BL6" s="56">
        <v>0</v>
      </c>
      <c r="BM6" s="56"/>
      <c r="BN6" s="65">
        <v>37287</v>
      </c>
      <c r="BO6" s="56">
        <v>0</v>
      </c>
      <c r="BP6" s="56">
        <v>0</v>
      </c>
      <c r="BQ6" s="56"/>
      <c r="BR6" s="65">
        <v>38050</v>
      </c>
      <c r="BS6" s="56">
        <v>1</v>
      </c>
      <c r="BT6" s="56">
        <v>1</v>
      </c>
      <c r="BU6" s="56"/>
      <c r="BV6" s="65">
        <v>36277</v>
      </c>
      <c r="BW6" s="56">
        <v>1</v>
      </c>
      <c r="BX6" s="56">
        <v>1</v>
      </c>
      <c r="BY6" s="56"/>
      <c r="BZ6" s="65">
        <v>36793</v>
      </c>
      <c r="CA6" s="56">
        <v>1</v>
      </c>
      <c r="CB6" s="56">
        <v>0</v>
      </c>
      <c r="CC6" s="56"/>
      <c r="CD6" s="65">
        <v>36073</v>
      </c>
      <c r="CE6" s="56">
        <v>0</v>
      </c>
      <c r="CF6" s="56">
        <v>0</v>
      </c>
      <c r="CG6" s="56"/>
      <c r="CH6" s="65">
        <v>36042</v>
      </c>
      <c r="CI6" s="56">
        <v>1</v>
      </c>
      <c r="CJ6" s="56">
        <v>1</v>
      </c>
      <c r="CK6" s="56"/>
      <c r="CL6" s="65">
        <v>36764</v>
      </c>
    </row>
    <row r="7" spans="1:90">
      <c r="B7" s="8"/>
      <c r="D7" s="2"/>
      <c r="F7" s="2" t="s">
        <v>145</v>
      </c>
      <c r="G7" s="2" t="s">
        <v>146</v>
      </c>
      <c r="J7" s="9"/>
      <c r="K7" s="9"/>
      <c r="L7" s="9"/>
      <c r="N7" s="9"/>
      <c r="P7">
        <v>6</v>
      </c>
      <c r="Q7" s="10" t="s">
        <v>147</v>
      </c>
      <c r="R7" s="10" t="b">
        <v>0</v>
      </c>
      <c r="S7" s="8"/>
      <c r="T7" s="8"/>
      <c r="V7">
        <v>6</v>
      </c>
      <c r="W7">
        <f t="shared" si="4"/>
        <v>0</v>
      </c>
      <c r="X7"/>
      <c r="Y7">
        <v>1</v>
      </c>
      <c r="Z7">
        <f t="shared" si="3"/>
        <v>0</v>
      </c>
      <c r="AA7">
        <f>SUMPRODUCT(AO2:AO101,AP2:AP101)</f>
        <v>24</v>
      </c>
      <c r="AB7" t="str">
        <f>IFERROR('Keyboarding Challenge'!$G$117, 0)</f>
        <v>-------</v>
      </c>
      <c r="AC7" s="54"/>
      <c r="AD7" s="54"/>
      <c r="AE7" s="54"/>
      <c r="AF7" s="54"/>
      <c r="AG7" s="45">
        <v>118</v>
      </c>
      <c r="AH7" s="45">
        <v>119</v>
      </c>
      <c r="AI7" s="13"/>
      <c r="AK7">
        <v>6</v>
      </c>
      <c r="AL7" t="s">
        <v>109</v>
      </c>
      <c r="AM7" t="s">
        <v>324</v>
      </c>
      <c r="AN7" t="str">
        <f t="shared" si="1"/>
        <v>Lucien</v>
      </c>
      <c r="AO7" cm="1">
        <f t="array" ref="AO7">INDEX($AY$2:$CL$101,$AK7,($AV$2-1)*4+1)</f>
        <v>1</v>
      </c>
      <c r="AP7" cm="1">
        <f t="array" ref="AP7">INDEX($AY$2:$CL$101,$AK7,($AV$2-1)*4+2)</f>
        <v>1</v>
      </c>
      <c r="AQ7"/>
      <c r="AR7" s="1">
        <f t="shared" si="5"/>
        <v>2.9044332207535777</v>
      </c>
      <c r="AS7" cm="1">
        <f t="array" ref="AS7">INDEX($AY$2:$CL$101,$AK7,($AV$2-1)*4+4)</f>
        <v>36721</v>
      </c>
      <c r="AT7" s="53" t="str">
        <f t="shared" si="2"/>
        <v>721</v>
      </c>
      <c r="AY7" s="56">
        <v>1</v>
      </c>
      <c r="AZ7" s="56">
        <v>1</v>
      </c>
      <c r="BA7" s="56"/>
      <c r="BB7" s="65">
        <v>37810</v>
      </c>
      <c r="BC7" s="56">
        <v>0</v>
      </c>
      <c r="BD7" s="56">
        <v>1</v>
      </c>
      <c r="BE7" s="56"/>
      <c r="BF7" s="65">
        <v>38408</v>
      </c>
      <c r="BG7" s="56">
        <v>0</v>
      </c>
      <c r="BH7" s="56">
        <v>1</v>
      </c>
      <c r="BI7" s="56"/>
      <c r="BJ7" s="65">
        <v>38277</v>
      </c>
      <c r="BK7" s="56">
        <v>1</v>
      </c>
      <c r="BL7" s="56">
        <v>0</v>
      </c>
      <c r="BM7" s="56"/>
      <c r="BN7" s="65">
        <v>35636</v>
      </c>
      <c r="BO7" s="56">
        <v>1</v>
      </c>
      <c r="BP7" s="56">
        <v>1</v>
      </c>
      <c r="BQ7" s="56"/>
      <c r="BR7" s="65">
        <v>36721</v>
      </c>
      <c r="BS7" s="56">
        <v>0</v>
      </c>
      <c r="BT7" s="56">
        <v>0</v>
      </c>
      <c r="BU7" s="56"/>
      <c r="BV7" s="65">
        <v>37078</v>
      </c>
      <c r="BW7" s="56">
        <v>1</v>
      </c>
      <c r="BX7" s="56">
        <v>0</v>
      </c>
      <c r="BY7" s="56"/>
      <c r="BZ7" s="65">
        <v>38390</v>
      </c>
      <c r="CA7" s="56">
        <v>1</v>
      </c>
      <c r="CB7" s="56">
        <v>0</v>
      </c>
      <c r="CC7" s="56"/>
      <c r="CD7" s="65">
        <v>36406</v>
      </c>
      <c r="CE7" s="56">
        <v>0</v>
      </c>
      <c r="CF7" s="56">
        <v>1</v>
      </c>
      <c r="CG7" s="56"/>
      <c r="CH7" s="65">
        <v>35956</v>
      </c>
      <c r="CI7" s="56">
        <v>1</v>
      </c>
      <c r="CJ7" s="56">
        <v>0</v>
      </c>
      <c r="CK7" s="56"/>
      <c r="CL7" s="65">
        <v>38266</v>
      </c>
    </row>
    <row r="8" spans="1:90">
      <c r="B8" s="8"/>
      <c r="F8" s="3" t="b">
        <f>IF(AND(ISERROR(MATCH(FALSE,R2:R15,0)),PRODUCT(W2:W15)=1),TRUE,FALSE)</f>
        <v>0</v>
      </c>
      <c r="G8" s="3" t="b">
        <v>0</v>
      </c>
      <c r="N8" s="9"/>
      <c r="O8" s="9"/>
      <c r="P8">
        <v>7</v>
      </c>
      <c r="Q8" s="10" t="s">
        <v>148</v>
      </c>
      <c r="R8" s="10" t="b">
        <v>0</v>
      </c>
      <c r="S8" s="8"/>
      <c r="T8" s="8"/>
      <c r="V8">
        <v>7</v>
      </c>
      <c r="W8">
        <f t="shared" si="4"/>
        <v>0</v>
      </c>
      <c r="X8"/>
      <c r="Y8">
        <v>1</v>
      </c>
      <c r="Z8">
        <f t="shared" ref="Z8:Z15" si="6">W8*Y8</f>
        <v>0</v>
      </c>
      <c r="AA8" s="50">
        <f>ROUND(AVERAGE(AQ2:AQ101),6)</f>
        <v>2.904433</v>
      </c>
      <c r="AB8" s="1">
        <f>IFERROR(ROUND('Keyboarding Challenge'!$G$119,6), 0)</f>
        <v>0</v>
      </c>
      <c r="AC8" t="s">
        <v>510</v>
      </c>
      <c r="AD8" t="s">
        <v>512</v>
      </c>
      <c r="AE8" cm="1">
        <f t="array" aca="1" ref="AE8" ca="1">COLUMN(INDIRECT(AC8&amp;"1"))</f>
        <v>13</v>
      </c>
      <c r="AF8" cm="1">
        <f t="array" aca="1" ref="AF8" ca="1">COLUMN(INDIRECT(AD8&amp;"1"))</f>
        <v>14</v>
      </c>
      <c r="AG8"/>
      <c r="AH8"/>
      <c r="AI8" s="13"/>
      <c r="AK8">
        <v>7</v>
      </c>
      <c r="AL8" t="s">
        <v>103</v>
      </c>
      <c r="AM8" t="s">
        <v>326</v>
      </c>
      <c r="AN8" t="str">
        <f t="shared" si="1"/>
        <v>Simon</v>
      </c>
      <c r="AO8" cm="1">
        <f t="array" ref="AO8">INDEX($AY$2:$CL$101,$AK8,($AV$2-1)*4+1)</f>
        <v>1</v>
      </c>
      <c r="AP8" cm="1">
        <f t="array" ref="AP8">INDEX($AY$2:$CL$101,$AK8,($AV$2-1)*4+2)</f>
        <v>1</v>
      </c>
      <c r="AQ8"/>
      <c r="AR8" s="1">
        <f t="shared" si="5"/>
        <v>2.9044332207535777</v>
      </c>
      <c r="AS8" cm="1">
        <f t="array" ref="AS8">INDEX($AY$2:$CL$101,$AK8,($AV$2-1)*4+4)</f>
        <v>38441</v>
      </c>
      <c r="AT8" s="53" t="str">
        <f t="shared" si="2"/>
        <v>441</v>
      </c>
      <c r="AY8" s="56">
        <v>0</v>
      </c>
      <c r="AZ8" s="56">
        <v>0</v>
      </c>
      <c r="BA8" s="56"/>
      <c r="BB8" s="65">
        <v>38183</v>
      </c>
      <c r="BC8" s="56">
        <v>0</v>
      </c>
      <c r="BD8" s="56">
        <v>1</v>
      </c>
      <c r="BE8" s="56"/>
      <c r="BF8" s="65">
        <v>36690</v>
      </c>
      <c r="BG8" s="56">
        <v>1</v>
      </c>
      <c r="BH8" s="56">
        <v>1</v>
      </c>
      <c r="BI8" s="56"/>
      <c r="BJ8" s="65">
        <v>37511</v>
      </c>
      <c r="BK8" s="56">
        <v>1</v>
      </c>
      <c r="BL8" s="56">
        <v>0</v>
      </c>
      <c r="BM8" s="56"/>
      <c r="BN8" s="65">
        <v>36761</v>
      </c>
      <c r="BO8" s="56">
        <v>1</v>
      </c>
      <c r="BP8" s="56">
        <v>1</v>
      </c>
      <c r="BQ8" s="56"/>
      <c r="BR8" s="65">
        <v>38441</v>
      </c>
      <c r="BS8" s="56">
        <v>1</v>
      </c>
      <c r="BT8" s="56">
        <v>0</v>
      </c>
      <c r="BU8" s="56"/>
      <c r="BV8" s="65">
        <v>37946</v>
      </c>
      <c r="BW8" s="56">
        <v>0</v>
      </c>
      <c r="BX8" s="56">
        <v>1</v>
      </c>
      <c r="BY8" s="56"/>
      <c r="BZ8" s="65">
        <v>36451</v>
      </c>
      <c r="CA8" s="56">
        <v>0</v>
      </c>
      <c r="CB8" s="56">
        <v>1</v>
      </c>
      <c r="CC8" s="56"/>
      <c r="CD8" s="65">
        <v>37295</v>
      </c>
      <c r="CE8" s="56">
        <v>0</v>
      </c>
      <c r="CF8" s="56">
        <v>0</v>
      </c>
      <c r="CG8" s="56"/>
      <c r="CH8" s="65">
        <v>35949</v>
      </c>
      <c r="CI8" s="56">
        <v>1</v>
      </c>
      <c r="CJ8" s="56">
        <v>0</v>
      </c>
      <c r="CK8" s="56"/>
      <c r="CL8" s="65">
        <v>36847</v>
      </c>
    </row>
    <row r="9" spans="1:90">
      <c r="B9" s="8"/>
      <c r="N9" s="9"/>
      <c r="P9">
        <v>8</v>
      </c>
      <c r="Q9" s="10" t="s">
        <v>149</v>
      </c>
      <c r="R9" s="10" t="b">
        <v>0</v>
      </c>
      <c r="S9" s="15"/>
      <c r="T9" s="15"/>
      <c r="V9">
        <v>8</v>
      </c>
      <c r="W9">
        <f t="shared" si="4"/>
        <v>0</v>
      </c>
      <c r="X9"/>
      <c r="Y9">
        <v>1</v>
      </c>
      <c r="Z9">
        <f t="shared" si="6"/>
        <v>0</v>
      </c>
      <c r="AA9" s="1">
        <f>ROUND(SUM(AR2:AR101),6)</f>
        <v>290.44332200000002</v>
      </c>
      <c r="AB9" s="1">
        <f>IFERROR(ROUND('Keyboarding Challenge'!$N$119,6), 0)</f>
        <v>0</v>
      </c>
      <c r="AC9" t="s">
        <v>513</v>
      </c>
      <c r="AD9" t="s">
        <v>514</v>
      </c>
      <c r="AE9" cm="1">
        <f t="array" aca="1" ref="AE9" ca="1">COLUMN(INDIRECT(AC9&amp;"1"))</f>
        <v>15</v>
      </c>
      <c r="AF9" cm="1">
        <f t="array" aca="1" ref="AF9" ca="1">COLUMN(INDIRECT(AD9&amp;"1"))</f>
        <v>16</v>
      </c>
      <c r="AG9"/>
      <c r="AH9"/>
      <c r="AI9" s="13"/>
      <c r="AK9">
        <v>8</v>
      </c>
      <c r="AL9" t="s">
        <v>78</v>
      </c>
      <c r="AM9" t="s">
        <v>329</v>
      </c>
      <c r="AN9" t="str">
        <f t="shared" si="1"/>
        <v>Samantha</v>
      </c>
      <c r="AO9" cm="1">
        <f t="array" ref="AO9">INDEX($AY$2:$CL$101,$AK9,($AV$2-1)*4+1)</f>
        <v>0</v>
      </c>
      <c r="AP9" cm="1">
        <f t="array" ref="AP9">INDEX($AY$2:$CL$101,$AK9,($AV$2-1)*4+2)</f>
        <v>1</v>
      </c>
      <c r="AQ9"/>
      <c r="AR9" s="1">
        <f t="shared" si="5"/>
        <v>2.9044332207535777</v>
      </c>
      <c r="AS9" cm="1">
        <f t="array" ref="AS9">INDEX($AY$2:$CL$101,$AK9,($AV$2-1)*4+4)</f>
        <v>36363</v>
      </c>
      <c r="AT9" s="53" t="str">
        <f t="shared" si="2"/>
        <v>363</v>
      </c>
      <c r="AY9" s="56">
        <v>0</v>
      </c>
      <c r="AZ9" s="56">
        <v>1</v>
      </c>
      <c r="BA9" s="56"/>
      <c r="BB9" s="65">
        <v>36601</v>
      </c>
      <c r="BC9" s="56">
        <v>1</v>
      </c>
      <c r="BD9" s="56">
        <v>0</v>
      </c>
      <c r="BE9" s="56"/>
      <c r="BF9" s="65">
        <v>37159</v>
      </c>
      <c r="BG9" s="56">
        <v>0</v>
      </c>
      <c r="BH9" s="56">
        <v>1</v>
      </c>
      <c r="BI9" s="56"/>
      <c r="BJ9" s="65">
        <v>38300</v>
      </c>
      <c r="BK9" s="56">
        <v>0</v>
      </c>
      <c r="BL9" s="56">
        <v>1</v>
      </c>
      <c r="BM9" s="56"/>
      <c r="BN9" s="65">
        <v>38067</v>
      </c>
      <c r="BO9" s="56">
        <v>0</v>
      </c>
      <c r="BP9" s="56">
        <v>1</v>
      </c>
      <c r="BQ9" s="56"/>
      <c r="BR9" s="65">
        <v>36363</v>
      </c>
      <c r="BS9" s="56">
        <v>1</v>
      </c>
      <c r="BT9" s="56">
        <v>0</v>
      </c>
      <c r="BU9" s="56"/>
      <c r="BV9" s="65">
        <v>36817</v>
      </c>
      <c r="BW9" s="56">
        <v>1</v>
      </c>
      <c r="BX9" s="56">
        <v>0</v>
      </c>
      <c r="BY9" s="56"/>
      <c r="BZ9" s="65">
        <v>36342</v>
      </c>
      <c r="CA9" s="56">
        <v>0</v>
      </c>
      <c r="CB9" s="56">
        <v>1</v>
      </c>
      <c r="CC9" s="56"/>
      <c r="CD9" s="65">
        <v>38049</v>
      </c>
      <c r="CE9" s="56">
        <v>0</v>
      </c>
      <c r="CF9" s="56">
        <v>0</v>
      </c>
      <c r="CG9" s="56"/>
      <c r="CH9" s="65">
        <v>38028</v>
      </c>
      <c r="CI9" s="56">
        <v>0</v>
      </c>
      <c r="CJ9" s="56">
        <v>1</v>
      </c>
      <c r="CK9" s="56"/>
      <c r="CL9" s="65">
        <v>36484</v>
      </c>
    </row>
    <row r="10" spans="1:90">
      <c r="B10" s="8"/>
      <c r="D10" s="2"/>
      <c r="F10" s="2"/>
      <c r="G10" s="2"/>
      <c r="N10" s="9"/>
      <c r="O10" s="9"/>
      <c r="P10">
        <v>9</v>
      </c>
      <c r="Q10" s="10" t="s">
        <v>150</v>
      </c>
      <c r="R10" s="10" t="b">
        <v>0</v>
      </c>
      <c r="V10">
        <v>9</v>
      </c>
      <c r="W10">
        <f t="shared" si="4"/>
        <v>0</v>
      </c>
      <c r="X10"/>
      <c r="Y10">
        <v>1</v>
      </c>
      <c r="Z10">
        <f t="shared" si="6"/>
        <v>0</v>
      </c>
      <c r="AA10" s="1">
        <f>AT2+AT101</f>
        <v>521</v>
      </c>
      <c r="AB10">
        <f>IFERROR('Keyboarding Challenge'!L9+'Keyboarding Challenge'!L108, 0)</f>
        <v>0</v>
      </c>
      <c r="AC10" t="s">
        <v>527</v>
      </c>
      <c r="AD10" t="s">
        <v>515</v>
      </c>
      <c r="AE10" cm="1">
        <f t="array" aca="1" ref="AE10" ca="1">COLUMN(INDIRECT(AC10&amp;"1"))</f>
        <v>17</v>
      </c>
      <c r="AF10" cm="1">
        <f t="array" aca="1" ref="AF10" ca="1">COLUMN(INDIRECT(AD10&amp;"1"))</f>
        <v>18</v>
      </c>
      <c r="AG10"/>
      <c r="AH10"/>
      <c r="AI10" s="13"/>
      <c r="AK10">
        <v>9</v>
      </c>
      <c r="AL10" t="s">
        <v>44</v>
      </c>
      <c r="AM10" t="s">
        <v>331</v>
      </c>
      <c r="AN10" t="str">
        <f t="shared" si="1"/>
        <v>Beau</v>
      </c>
      <c r="AO10" cm="1">
        <f t="array" ref="AO10">INDEX($AY$2:$CL$101,$AK10,($AV$2-1)*4+1)</f>
        <v>1</v>
      </c>
      <c r="AP10" cm="1">
        <f t="array" ref="AP10">INDEX($AY$2:$CL$101,$AK10,($AV$2-1)*4+2)</f>
        <v>1</v>
      </c>
      <c r="AQ10"/>
      <c r="AR10" s="1">
        <f t="shared" si="5"/>
        <v>2.9044332207535777</v>
      </c>
      <c r="AS10" cm="1">
        <f t="array" ref="AS10">INDEX($AY$2:$CL$101,$AK10,($AV$2-1)*4+4)</f>
        <v>37858</v>
      </c>
      <c r="AT10" s="53" t="str">
        <f t="shared" si="2"/>
        <v>858</v>
      </c>
      <c r="AY10" s="56">
        <v>1</v>
      </c>
      <c r="AZ10" s="56">
        <v>1</v>
      </c>
      <c r="BA10" s="56"/>
      <c r="BB10" s="65">
        <v>35647</v>
      </c>
      <c r="BC10" s="56">
        <v>1</v>
      </c>
      <c r="BD10" s="56">
        <v>1</v>
      </c>
      <c r="BE10" s="56"/>
      <c r="BF10" s="65">
        <v>36183</v>
      </c>
      <c r="BG10" s="56">
        <v>0</v>
      </c>
      <c r="BH10" s="56">
        <v>1</v>
      </c>
      <c r="BI10" s="56"/>
      <c r="BJ10" s="65">
        <v>38047</v>
      </c>
      <c r="BK10" s="56">
        <v>1</v>
      </c>
      <c r="BL10" s="56">
        <v>0</v>
      </c>
      <c r="BM10" s="56"/>
      <c r="BN10" s="65">
        <v>36551</v>
      </c>
      <c r="BO10" s="56">
        <v>1</v>
      </c>
      <c r="BP10" s="56">
        <v>1</v>
      </c>
      <c r="BQ10" s="56"/>
      <c r="BR10" s="65">
        <v>37858</v>
      </c>
      <c r="BS10" s="56">
        <v>1</v>
      </c>
      <c r="BT10" s="56">
        <v>1</v>
      </c>
      <c r="BU10" s="56"/>
      <c r="BV10" s="65">
        <v>37213</v>
      </c>
      <c r="BW10" s="56">
        <v>1</v>
      </c>
      <c r="BX10" s="56">
        <v>0</v>
      </c>
      <c r="BY10" s="56"/>
      <c r="BZ10" s="65">
        <v>35747</v>
      </c>
      <c r="CA10" s="56">
        <v>1</v>
      </c>
      <c r="CB10" s="56">
        <v>0</v>
      </c>
      <c r="CC10" s="56"/>
      <c r="CD10" s="65">
        <v>35871</v>
      </c>
      <c r="CE10" s="56">
        <v>0</v>
      </c>
      <c r="CF10" s="56">
        <v>1</v>
      </c>
      <c r="CG10" s="56"/>
      <c r="CH10" s="65">
        <v>38393</v>
      </c>
      <c r="CI10" s="56">
        <v>0</v>
      </c>
      <c r="CJ10" s="56">
        <v>0</v>
      </c>
      <c r="CK10" s="56"/>
      <c r="CL10" s="65">
        <v>35647</v>
      </c>
    </row>
    <row r="11" spans="1:90">
      <c r="B11" s="8"/>
      <c r="N11" s="9"/>
      <c r="P11">
        <v>10</v>
      </c>
      <c r="Q11" s="10" t="s">
        <v>151</v>
      </c>
      <c r="R11" s="10" t="b">
        <v>0</v>
      </c>
      <c r="S11" s="8"/>
      <c r="T11" s="8"/>
      <c r="V11">
        <v>10</v>
      </c>
      <c r="W11">
        <f t="shared" si="4"/>
        <v>0</v>
      </c>
      <c r="X11"/>
      <c r="Y11">
        <v>1</v>
      </c>
      <c r="Z11">
        <f t="shared" si="6"/>
        <v>0</v>
      </c>
      <c r="AA11">
        <v>1</v>
      </c>
      <c r="AB11" s="51">
        <v>0</v>
      </c>
      <c r="AC11" t="s">
        <v>516</v>
      </c>
      <c r="AD11" t="s">
        <v>517</v>
      </c>
      <c r="AE11" cm="1">
        <f t="array" aca="1" ref="AE11" ca="1">COLUMN(INDIRECT(AC11&amp;"1"))</f>
        <v>19</v>
      </c>
      <c r="AF11" cm="1">
        <f t="array" aca="1" ref="AF11" ca="1">COLUMN(INDIRECT(AD11&amp;"1"))</f>
        <v>21</v>
      </c>
      <c r="AG11"/>
      <c r="AH11"/>
      <c r="AI11" s="13"/>
      <c r="AK11">
        <v>10</v>
      </c>
      <c r="AL11" t="s">
        <v>104</v>
      </c>
      <c r="AM11" t="s">
        <v>333</v>
      </c>
      <c r="AN11" t="str">
        <f t="shared" si="1"/>
        <v>Violet</v>
      </c>
      <c r="AO11" cm="1">
        <f t="array" ref="AO11">INDEX($AY$2:$CL$101,$AK11,($AV$2-1)*4+1)</f>
        <v>0</v>
      </c>
      <c r="AP11" cm="1">
        <f t="array" ref="AP11">INDEX($AY$2:$CL$101,$AK11,($AV$2-1)*4+2)</f>
        <v>0</v>
      </c>
      <c r="AQ11"/>
      <c r="AR11" s="1">
        <f t="shared" si="5"/>
        <v>2.9044332207535777</v>
      </c>
      <c r="AS11" cm="1">
        <f t="array" ref="AS11">INDEX($AY$2:$CL$101,$AK11,($AV$2-1)*4+4)</f>
        <v>38488</v>
      </c>
      <c r="AT11" s="53" t="str">
        <f t="shared" si="2"/>
        <v>488</v>
      </c>
      <c r="AY11" s="56">
        <v>0</v>
      </c>
      <c r="AZ11" s="56">
        <v>0</v>
      </c>
      <c r="BA11" s="56"/>
      <c r="BB11" s="65">
        <v>37412</v>
      </c>
      <c r="BC11" s="56">
        <v>0</v>
      </c>
      <c r="BD11" s="56">
        <v>1</v>
      </c>
      <c r="BE11" s="56"/>
      <c r="BF11" s="65">
        <v>38249</v>
      </c>
      <c r="BG11" s="56">
        <v>0</v>
      </c>
      <c r="BH11" s="56">
        <v>0</v>
      </c>
      <c r="BI11" s="56"/>
      <c r="BJ11" s="65">
        <v>36243</v>
      </c>
      <c r="BK11" s="56">
        <v>0</v>
      </c>
      <c r="BL11" s="56">
        <v>0</v>
      </c>
      <c r="BM11" s="56"/>
      <c r="BN11" s="65">
        <v>35662</v>
      </c>
      <c r="BO11" s="56">
        <v>0</v>
      </c>
      <c r="BP11" s="56">
        <v>0</v>
      </c>
      <c r="BQ11" s="56"/>
      <c r="BR11" s="65">
        <v>38488</v>
      </c>
      <c r="BS11" s="56">
        <v>0</v>
      </c>
      <c r="BT11" s="56">
        <v>0</v>
      </c>
      <c r="BU11" s="56"/>
      <c r="BV11" s="65">
        <v>37558</v>
      </c>
      <c r="BW11" s="56">
        <v>0</v>
      </c>
      <c r="BX11" s="56">
        <v>0</v>
      </c>
      <c r="BY11" s="56"/>
      <c r="BZ11" s="65">
        <v>35531</v>
      </c>
      <c r="CA11" s="56">
        <v>1</v>
      </c>
      <c r="CB11" s="56">
        <v>1</v>
      </c>
      <c r="CC11" s="56"/>
      <c r="CD11" s="65">
        <v>36348</v>
      </c>
      <c r="CE11" s="56">
        <v>1</v>
      </c>
      <c r="CF11" s="56">
        <v>0</v>
      </c>
      <c r="CG11" s="56"/>
      <c r="CH11" s="65">
        <v>38291</v>
      </c>
      <c r="CI11" s="56">
        <v>1</v>
      </c>
      <c r="CJ11" s="56">
        <v>0</v>
      </c>
      <c r="CK11" s="56"/>
      <c r="CL11" s="65">
        <v>36300</v>
      </c>
    </row>
    <row r="12" spans="1:90">
      <c r="B12" s="8"/>
      <c r="N12" s="9"/>
      <c r="O12" s="9"/>
      <c r="P12">
        <v>11</v>
      </c>
      <c r="Q12" s="16" t="s">
        <v>152</v>
      </c>
      <c r="R12" s="10" t="b">
        <v>0</v>
      </c>
      <c r="V12">
        <v>11</v>
      </c>
      <c r="W12">
        <f t="shared" si="4"/>
        <v>0</v>
      </c>
      <c r="X12"/>
      <c r="Y12">
        <v>1</v>
      </c>
      <c r="Z12">
        <f t="shared" si="6"/>
        <v>0</v>
      </c>
      <c r="AA12">
        <v>1</v>
      </c>
      <c r="AB12">
        <v>0</v>
      </c>
      <c r="AC12" t="s">
        <v>518</v>
      </c>
      <c r="AD12" t="s">
        <v>518</v>
      </c>
      <c r="AE12" cm="1">
        <f t="array" aca="1" ref="AE12" ca="1">COLUMN(INDIRECT(AC12&amp;"1"))</f>
        <v>22</v>
      </c>
      <c r="AF12" cm="1">
        <f t="array" aca="1" ref="AF12" ca="1">COLUMN(INDIRECT(AD12&amp;"1"))</f>
        <v>22</v>
      </c>
      <c r="AG12"/>
      <c r="AH12"/>
      <c r="AI12" s="13"/>
      <c r="AK12">
        <v>11</v>
      </c>
      <c r="AL12" t="s">
        <v>33</v>
      </c>
      <c r="AM12" t="s">
        <v>488</v>
      </c>
      <c r="AN12" t="str">
        <f t="shared" si="1"/>
        <v>Harper</v>
      </c>
      <c r="AO12" cm="1">
        <f t="array" ref="AO12">INDEX($AY$2:$CL$101,$AK12,($AV$2-1)*4+1)</f>
        <v>1</v>
      </c>
      <c r="AP12" cm="1">
        <f t="array" ref="AP12">INDEX($AY$2:$CL$101,$AK12,($AV$2-1)*4+2)</f>
        <v>0</v>
      </c>
      <c r="AQ12" cm="1">
        <f t="array" ref="AQ12">INDEX($AY$2:$CL$101,$AK12,($AV$2-1)*4+3)</f>
        <v>2.4839885309031819</v>
      </c>
      <c r="AR12" s="1">
        <f t="shared" ref="AR12:AR19" si="7">AQ12</f>
        <v>2.4839885309031819</v>
      </c>
      <c r="AS12" cm="1">
        <f t="array" ref="AS12">INDEX($AY$2:$CL$101,$AK12,($AV$2-1)*4+4)</f>
        <v>37838</v>
      </c>
      <c r="AT12" s="53" t="str">
        <f t="shared" si="2"/>
        <v>838</v>
      </c>
      <c r="AY12" s="56">
        <v>1</v>
      </c>
      <c r="AZ12" s="56">
        <v>0</v>
      </c>
      <c r="BA12" s="56">
        <v>3.7301009335816842</v>
      </c>
      <c r="BB12" s="65">
        <v>35667</v>
      </c>
      <c r="BC12" s="56">
        <v>0</v>
      </c>
      <c r="BD12" s="56">
        <v>0</v>
      </c>
      <c r="BE12" s="56">
        <v>3.4317445514322698</v>
      </c>
      <c r="BF12" s="65">
        <v>38330</v>
      </c>
      <c r="BG12" s="56">
        <v>1</v>
      </c>
      <c r="BH12" s="56">
        <v>1</v>
      </c>
      <c r="BI12" s="56">
        <v>3.7054252434261548</v>
      </c>
      <c r="BJ12" s="65">
        <v>37875</v>
      </c>
      <c r="BK12" s="56">
        <v>0</v>
      </c>
      <c r="BL12" s="56">
        <v>1</v>
      </c>
      <c r="BM12" s="56">
        <v>3.5163921251078469</v>
      </c>
      <c r="BN12" s="65">
        <v>37165</v>
      </c>
      <c r="BO12" s="56">
        <v>1</v>
      </c>
      <c r="BP12" s="56">
        <v>0</v>
      </c>
      <c r="BQ12" s="56">
        <v>2.4839885309031819</v>
      </c>
      <c r="BR12" s="65">
        <v>37838</v>
      </c>
      <c r="BS12" s="56">
        <v>1</v>
      </c>
      <c r="BT12" s="56">
        <v>0</v>
      </c>
      <c r="BU12" s="56">
        <v>2.9025143097574073</v>
      </c>
      <c r="BV12" s="65">
        <v>35821</v>
      </c>
      <c r="BW12" s="56">
        <v>0</v>
      </c>
      <c r="BX12" s="56">
        <v>0</v>
      </c>
      <c r="BY12" s="56">
        <v>2.4474036986162466</v>
      </c>
      <c r="BZ12" s="65">
        <v>36351</v>
      </c>
      <c r="CA12" s="56">
        <v>0</v>
      </c>
      <c r="CB12" s="56">
        <v>0</v>
      </c>
      <c r="CC12" s="56">
        <v>3.1710363431274953</v>
      </c>
      <c r="CD12" s="65">
        <v>37905</v>
      </c>
      <c r="CE12" s="56">
        <v>1</v>
      </c>
      <c r="CF12" s="56">
        <v>1</v>
      </c>
      <c r="CG12" s="56">
        <v>2.0017992445550155</v>
      </c>
      <c r="CH12" s="65">
        <v>37451</v>
      </c>
      <c r="CI12" s="56">
        <v>1</v>
      </c>
      <c r="CJ12" s="56">
        <v>1</v>
      </c>
      <c r="CK12" s="56">
        <v>2.3794779966183128</v>
      </c>
      <c r="CL12" s="65">
        <v>35635</v>
      </c>
    </row>
    <row r="13" spans="1:90">
      <c r="B13" s="8"/>
      <c r="D13" s="2" t="s">
        <v>153</v>
      </c>
      <c r="F13" s="2"/>
      <c r="N13" s="9"/>
      <c r="P13">
        <v>12</v>
      </c>
      <c r="Q13" s="16" t="s">
        <v>154</v>
      </c>
      <c r="R13" s="10" t="b">
        <v>0</v>
      </c>
      <c r="V13">
        <v>12</v>
      </c>
      <c r="W13">
        <f t="shared" si="4"/>
        <v>0</v>
      </c>
      <c r="X13"/>
      <c r="Y13">
        <v>1</v>
      </c>
      <c r="Z13">
        <f t="shared" si="6"/>
        <v>0</v>
      </c>
      <c r="AA13">
        <f>AB19</f>
        <v>37105</v>
      </c>
      <c r="AB13" s="51" t="str">
        <f>IFERROR(twelveth, 0)</f>
        <v>-------</v>
      </c>
      <c r="AC13" t="s">
        <v>528</v>
      </c>
      <c r="AD13" t="s">
        <v>529</v>
      </c>
      <c r="AE13" cm="1">
        <f t="array" aca="1" ref="AE13" ca="1">COLUMN(INDIRECT(AC13&amp;"1"))</f>
        <v>23</v>
      </c>
      <c r="AF13" cm="1">
        <f t="array" aca="1" ref="AF13" ca="1">COLUMN(INDIRECT(AD13&amp;"1"))</f>
        <v>24</v>
      </c>
      <c r="AG13"/>
      <c r="AH13"/>
      <c r="AI13" s="13"/>
      <c r="AK13">
        <v>12</v>
      </c>
      <c r="AL13" t="s">
        <v>55</v>
      </c>
      <c r="AM13" t="s">
        <v>336</v>
      </c>
      <c r="AN13" t="str">
        <f t="shared" si="1"/>
        <v>Sharon</v>
      </c>
      <c r="AO13" cm="1">
        <f t="array" ref="AO13">INDEX($AY$2:$CL$101,$AK13,($AV$2-1)*4+1)</f>
        <v>0</v>
      </c>
      <c r="AP13" cm="1">
        <f t="array" ref="AP13">INDEX($AY$2:$CL$101,$AK13,($AV$2-1)*4+2)</f>
        <v>1</v>
      </c>
      <c r="AQ13" cm="1">
        <f t="array" ref="AQ13">INDEX($AY$2:$CL$101,$AK13,($AV$2-1)*4+3)</f>
        <v>2.8811058170623181</v>
      </c>
      <c r="AR13" s="1">
        <f t="shared" si="7"/>
        <v>2.8811058170623181</v>
      </c>
      <c r="AS13" cm="1">
        <f t="array" ref="AS13">INDEX($AY$2:$CL$101,$AK13,($AV$2-1)*4+4)</f>
        <v>36719</v>
      </c>
      <c r="AT13" s="53" t="str">
        <f t="shared" si="2"/>
        <v>719</v>
      </c>
      <c r="AY13" s="56">
        <v>1</v>
      </c>
      <c r="AZ13" s="56">
        <v>0</v>
      </c>
      <c r="BA13" s="56">
        <v>2.8811058170623181</v>
      </c>
      <c r="BB13" s="65">
        <v>36123</v>
      </c>
      <c r="BC13" s="56">
        <v>0</v>
      </c>
      <c r="BD13" s="56">
        <v>1</v>
      </c>
      <c r="BE13" s="56">
        <v>2.8811058170623181</v>
      </c>
      <c r="BF13" s="65">
        <v>37536</v>
      </c>
      <c r="BG13" s="56">
        <v>1</v>
      </c>
      <c r="BH13" s="56">
        <v>1</v>
      </c>
      <c r="BI13" s="56">
        <v>2.8811058170623181</v>
      </c>
      <c r="BJ13" s="65">
        <v>35893</v>
      </c>
      <c r="BK13" s="56">
        <v>1</v>
      </c>
      <c r="BL13" s="56">
        <v>1</v>
      </c>
      <c r="BM13" s="56">
        <v>2.8811058170623181</v>
      </c>
      <c r="BN13" s="65">
        <v>36348</v>
      </c>
      <c r="BO13" s="56">
        <v>0</v>
      </c>
      <c r="BP13" s="56">
        <v>1</v>
      </c>
      <c r="BQ13" s="56">
        <v>2.8811058170623181</v>
      </c>
      <c r="BR13" s="65">
        <v>36719</v>
      </c>
      <c r="BS13" s="56">
        <v>1</v>
      </c>
      <c r="BT13" s="56">
        <v>1</v>
      </c>
      <c r="BU13" s="56">
        <v>2.8811058170623181</v>
      </c>
      <c r="BV13" s="65">
        <v>37571</v>
      </c>
      <c r="BW13" s="56">
        <v>0</v>
      </c>
      <c r="BX13" s="56">
        <v>1</v>
      </c>
      <c r="BY13" s="56">
        <v>2.8811058170623181</v>
      </c>
      <c r="BZ13" s="65">
        <v>37167</v>
      </c>
      <c r="CA13" s="56">
        <v>0</v>
      </c>
      <c r="CB13" s="56">
        <v>1</v>
      </c>
      <c r="CC13" s="56">
        <v>2.8811058170623181</v>
      </c>
      <c r="CD13" s="65">
        <v>38038</v>
      </c>
      <c r="CE13" s="56">
        <v>0</v>
      </c>
      <c r="CF13" s="56">
        <v>1</v>
      </c>
      <c r="CG13" s="56">
        <v>2.8811058170623181</v>
      </c>
      <c r="CH13" s="65">
        <v>35874</v>
      </c>
      <c r="CI13" s="56">
        <v>1</v>
      </c>
      <c r="CJ13" s="56">
        <v>1</v>
      </c>
      <c r="CK13" s="56">
        <v>2.8811058170623181</v>
      </c>
      <c r="CL13" s="65">
        <v>38025</v>
      </c>
    </row>
    <row r="14" spans="1:90">
      <c r="B14" s="8"/>
      <c r="D14" s="3">
        <f>COUNTA(I2:I26)</f>
        <v>1</v>
      </c>
      <c r="P14">
        <v>13</v>
      </c>
      <c r="Q14" s="10" t="s">
        <v>155</v>
      </c>
      <c r="R14" s="10" t="b">
        <v>0</v>
      </c>
      <c r="V14">
        <v>13</v>
      </c>
      <c r="W14">
        <f t="shared" si="4"/>
        <v>0</v>
      </c>
      <c r="X14"/>
      <c r="Y14">
        <v>1</v>
      </c>
      <c r="Z14">
        <f t="shared" si="6"/>
        <v>0</v>
      </c>
      <c r="AA14">
        <v>1</v>
      </c>
      <c r="AB14">
        <v>0</v>
      </c>
      <c r="AC14" t="s">
        <v>530</v>
      </c>
      <c r="AD14" t="s">
        <v>519</v>
      </c>
      <c r="AE14" cm="1">
        <f t="array" aca="1" ref="AE14" ca="1">COLUMN(INDIRECT(AC14&amp;"1"))</f>
        <v>25</v>
      </c>
      <c r="AF14" cm="1">
        <f t="array" aca="1" ref="AF14" ca="1">COLUMN(INDIRECT(AD14&amp;"1"))</f>
        <v>27</v>
      </c>
      <c r="AG14"/>
      <c r="AH14"/>
      <c r="AI14" s="13"/>
      <c r="AK14">
        <v>13</v>
      </c>
      <c r="AL14" t="s">
        <v>74</v>
      </c>
      <c r="AM14" t="s">
        <v>411</v>
      </c>
      <c r="AN14" t="str">
        <f t="shared" si="1"/>
        <v>Zander</v>
      </c>
      <c r="AO14" cm="1">
        <f t="array" ref="AO14">INDEX($AY$2:$CL$101,$AK14,($AV$2-1)*4+1)</f>
        <v>1</v>
      </c>
      <c r="AP14" cm="1">
        <f t="array" ref="AP14">INDEX($AY$2:$CL$101,$AK14,($AV$2-1)*4+2)</f>
        <v>0</v>
      </c>
      <c r="AQ14" cm="1">
        <f t="array" ref="AQ14">INDEX($AY$2:$CL$101,$AK14,($AV$2-1)*4+3)</f>
        <v>3.1866701423738428</v>
      </c>
      <c r="AR14" s="1">
        <f t="shared" si="7"/>
        <v>3.1866701423738428</v>
      </c>
      <c r="AS14" cm="1">
        <f t="array" ref="AS14">INDEX($AY$2:$CL$101,$AK14,($AV$2-1)*4+4)</f>
        <v>36975</v>
      </c>
      <c r="AT14" s="53" t="str">
        <f t="shared" si="2"/>
        <v>975</v>
      </c>
      <c r="AY14" s="56">
        <v>1</v>
      </c>
      <c r="AZ14" s="56">
        <v>1</v>
      </c>
      <c r="BA14" s="56">
        <v>3.8015784380038458</v>
      </c>
      <c r="BB14" s="65">
        <v>37372</v>
      </c>
      <c r="BC14" s="56">
        <v>0</v>
      </c>
      <c r="BD14" s="56">
        <v>1</v>
      </c>
      <c r="BE14" s="56">
        <v>2.2885477124078371</v>
      </c>
      <c r="BF14" s="65">
        <v>36096</v>
      </c>
      <c r="BG14" s="56">
        <v>1</v>
      </c>
      <c r="BH14" s="56">
        <v>1</v>
      </c>
      <c r="BI14" s="56">
        <v>2.0254404927823502</v>
      </c>
      <c r="BJ14" s="65">
        <v>37476</v>
      </c>
      <c r="BK14" s="56">
        <v>0</v>
      </c>
      <c r="BL14" s="56">
        <v>1</v>
      </c>
      <c r="BM14" s="56">
        <v>3.1087597698478882</v>
      </c>
      <c r="BN14" s="65">
        <v>36598</v>
      </c>
      <c r="BO14" s="56">
        <v>1</v>
      </c>
      <c r="BP14" s="56">
        <v>0</v>
      </c>
      <c r="BQ14" s="56">
        <v>3.1866701423738428</v>
      </c>
      <c r="BR14" s="65">
        <v>36975</v>
      </c>
      <c r="BS14" s="56">
        <v>1</v>
      </c>
      <c r="BT14" s="56">
        <v>0</v>
      </c>
      <c r="BU14" s="56">
        <v>3.4949358630437839</v>
      </c>
      <c r="BV14" s="65">
        <v>37742</v>
      </c>
      <c r="BW14" s="56">
        <v>0</v>
      </c>
      <c r="BX14" s="56">
        <v>1</v>
      </c>
      <c r="BY14" s="56">
        <v>2.3151137854016501</v>
      </c>
      <c r="BZ14" s="65">
        <v>37384</v>
      </c>
      <c r="CA14" s="56">
        <v>1</v>
      </c>
      <c r="CB14" s="56">
        <v>0</v>
      </c>
      <c r="CC14" s="56">
        <v>3.1340359648488532</v>
      </c>
      <c r="CD14" s="65">
        <v>35607</v>
      </c>
      <c r="CE14" s="56">
        <v>1</v>
      </c>
      <c r="CF14" s="56">
        <v>0</v>
      </c>
      <c r="CG14" s="56">
        <v>2.3100218646725375</v>
      </c>
      <c r="CH14" s="65">
        <v>36658</v>
      </c>
      <c r="CI14" s="56">
        <v>1</v>
      </c>
      <c r="CJ14" s="56">
        <v>1</v>
      </c>
      <c r="CK14" s="56">
        <v>2.5889045150281111</v>
      </c>
      <c r="CL14" s="65">
        <v>36854</v>
      </c>
    </row>
    <row r="15" spans="1:90">
      <c r="B15" s="8"/>
      <c r="G15" s="2" t="s">
        <v>156</v>
      </c>
      <c r="P15" s="3">
        <v>14</v>
      </c>
      <c r="Q15" s="12" t="s">
        <v>525</v>
      </c>
      <c r="R15" s="10" t="b">
        <v>0</v>
      </c>
      <c r="V15">
        <v>14</v>
      </c>
      <c r="W15">
        <f t="shared" si="4"/>
        <v>0</v>
      </c>
      <c r="X15"/>
      <c r="Y15">
        <v>1</v>
      </c>
      <c r="Z15">
        <f t="shared" si="6"/>
        <v>0</v>
      </c>
      <c r="AA15">
        <v>1</v>
      </c>
      <c r="AB15">
        <v>0</v>
      </c>
      <c r="AC15" t="s">
        <v>538</v>
      </c>
      <c r="AD15" t="s">
        <v>538</v>
      </c>
      <c r="AE15" cm="1">
        <f t="array" aca="1" ref="AE15" ca="1">COLUMN(INDIRECT(AC15&amp;"1"))</f>
        <v>28</v>
      </c>
      <c r="AF15" cm="1">
        <f t="array" aca="1" ref="AF15" ca="1">COLUMN(INDIRECT(AD15&amp;"1"))</f>
        <v>28</v>
      </c>
      <c r="AG15"/>
      <c r="AH15"/>
      <c r="AI15" s="13"/>
      <c r="AK15">
        <v>14</v>
      </c>
      <c r="AL15" t="s">
        <v>108</v>
      </c>
      <c r="AM15" t="s">
        <v>339</v>
      </c>
      <c r="AN15" t="str">
        <f t="shared" si="1"/>
        <v>Ella</v>
      </c>
      <c r="AO15" cm="1">
        <f t="array" ref="AO15">INDEX($AY$2:$CL$101,$AK15,($AV$2-1)*4+1)</f>
        <v>0</v>
      </c>
      <c r="AP15" cm="1">
        <f t="array" ref="AP15">INDEX($AY$2:$CL$101,$AK15,($AV$2-1)*4+2)</f>
        <v>1</v>
      </c>
      <c r="AQ15" cm="1">
        <f t="array" ref="AQ15">INDEX($AY$2:$CL$101,$AK15,($AV$2-1)*4+3)</f>
        <v>2.8811058170623181</v>
      </c>
      <c r="AR15" s="1">
        <f t="shared" si="7"/>
        <v>2.8811058170623181</v>
      </c>
      <c r="AS15" cm="1">
        <f t="array" ref="AS15">INDEX($AY$2:$CL$101,$AK15,($AV$2-1)*4+4)</f>
        <v>35737</v>
      </c>
      <c r="AT15" s="53" t="str">
        <f t="shared" si="2"/>
        <v>737</v>
      </c>
      <c r="AY15" s="56">
        <v>0</v>
      </c>
      <c r="AZ15" s="56">
        <v>0</v>
      </c>
      <c r="BA15" s="56">
        <v>2.8811058170623181</v>
      </c>
      <c r="BB15" s="65">
        <v>35711</v>
      </c>
      <c r="BC15" s="56">
        <v>0</v>
      </c>
      <c r="BD15" s="56">
        <v>1</v>
      </c>
      <c r="BE15" s="56">
        <v>2.8811058170623181</v>
      </c>
      <c r="BF15" s="65">
        <v>35687</v>
      </c>
      <c r="BG15" s="56">
        <v>0</v>
      </c>
      <c r="BH15" s="56">
        <v>1</v>
      </c>
      <c r="BI15" s="56">
        <v>2.8811058170623181</v>
      </c>
      <c r="BJ15" s="65">
        <v>35581</v>
      </c>
      <c r="BK15" s="56">
        <v>0</v>
      </c>
      <c r="BL15" s="56">
        <v>1</v>
      </c>
      <c r="BM15" s="56">
        <v>2.8811058170623181</v>
      </c>
      <c r="BN15" s="65">
        <v>36710</v>
      </c>
      <c r="BO15" s="56">
        <v>0</v>
      </c>
      <c r="BP15" s="56">
        <v>1</v>
      </c>
      <c r="BQ15" s="56">
        <v>2.8811058170623181</v>
      </c>
      <c r="BR15" s="65">
        <v>35737</v>
      </c>
      <c r="BS15" s="56">
        <v>0</v>
      </c>
      <c r="BT15" s="56">
        <v>1</v>
      </c>
      <c r="BU15" s="56">
        <v>2.8811058170623181</v>
      </c>
      <c r="BV15" s="65">
        <v>36725</v>
      </c>
      <c r="BW15" s="56">
        <v>0</v>
      </c>
      <c r="BX15" s="56">
        <v>0</v>
      </c>
      <c r="BY15" s="56">
        <v>2.8811058170623181</v>
      </c>
      <c r="BZ15" s="65">
        <v>37230</v>
      </c>
      <c r="CA15" s="56">
        <v>1</v>
      </c>
      <c r="CB15" s="56">
        <v>1</v>
      </c>
      <c r="CC15" s="56">
        <v>2.8811058170623181</v>
      </c>
      <c r="CD15" s="65">
        <v>37570</v>
      </c>
      <c r="CE15" s="56">
        <v>0</v>
      </c>
      <c r="CF15" s="56">
        <v>0</v>
      </c>
      <c r="CG15" s="56">
        <v>2.8811058170623181</v>
      </c>
      <c r="CH15" s="65">
        <v>37122</v>
      </c>
      <c r="CI15" s="56">
        <v>1</v>
      </c>
      <c r="CJ15" s="56">
        <v>1</v>
      </c>
      <c r="CK15" s="56">
        <v>2.8811058170623181</v>
      </c>
      <c r="CL15" s="65">
        <v>37765</v>
      </c>
    </row>
    <row r="16" spans="1:90">
      <c r="B16" s="8"/>
      <c r="D16" s="2" t="s">
        <v>157</v>
      </c>
      <c r="G16" s="3">
        <f>SUM(W2:W18)</f>
        <v>4</v>
      </c>
      <c r="P16"/>
      <c r="Q16" s="16"/>
      <c r="R16" s="10"/>
      <c r="V16"/>
      <c r="W16"/>
      <c r="X16"/>
      <c r="Y16">
        <v>1</v>
      </c>
      <c r="Z16"/>
      <c r="AA16"/>
      <c r="AB16"/>
      <c r="AC16"/>
      <c r="AD16"/>
      <c r="AE16"/>
      <c r="AF16"/>
      <c r="AG16"/>
      <c r="AH16"/>
      <c r="AI16" s="13"/>
      <c r="AK16">
        <v>15</v>
      </c>
      <c r="AL16" t="s">
        <v>57</v>
      </c>
      <c r="AM16" t="s">
        <v>489</v>
      </c>
      <c r="AN16" t="str">
        <f t="shared" si="1"/>
        <v>Laura</v>
      </c>
      <c r="AO16" cm="1">
        <f t="array" ref="AO16">INDEX($AY$2:$CL$101,$AK16,($AV$2-1)*4+1)</f>
        <v>0</v>
      </c>
      <c r="AP16" cm="1">
        <f t="array" ref="AP16">INDEX($AY$2:$CL$101,$AK16,($AV$2-1)*4+2)</f>
        <v>1</v>
      </c>
      <c r="AQ16" cm="1">
        <f t="array" ref="AQ16">INDEX($AY$2:$CL$101,$AK16,($AV$2-1)*4+3)</f>
        <v>2.8804878920260966</v>
      </c>
      <c r="AR16" s="1">
        <f t="shared" si="7"/>
        <v>2.8804878920260966</v>
      </c>
      <c r="AS16" cm="1">
        <f t="array" ref="AS16">INDEX($AY$2:$CL$101,$AK16,($AV$2-1)*4+4)</f>
        <v>38416</v>
      </c>
      <c r="AT16" s="53" t="str">
        <f t="shared" si="2"/>
        <v>416</v>
      </c>
      <c r="AY16" s="56">
        <v>1</v>
      </c>
      <c r="AZ16" s="56">
        <v>0</v>
      </c>
      <c r="BA16" s="56">
        <v>2.5782243864508061</v>
      </c>
      <c r="BB16" s="65">
        <v>35682</v>
      </c>
      <c r="BC16" s="56">
        <v>1</v>
      </c>
      <c r="BD16" s="56">
        <v>0</v>
      </c>
      <c r="BE16" s="56">
        <v>2.3129105077352672</v>
      </c>
      <c r="BF16" s="65">
        <v>37222</v>
      </c>
      <c r="BG16" s="56">
        <v>1</v>
      </c>
      <c r="BH16" s="56">
        <v>0</v>
      </c>
      <c r="BI16" s="56">
        <v>3.6086993843856847</v>
      </c>
      <c r="BJ16" s="65">
        <v>36944</v>
      </c>
      <c r="BK16" s="56">
        <v>1</v>
      </c>
      <c r="BL16" s="56">
        <v>0</v>
      </c>
      <c r="BM16" s="56">
        <v>3.3067015087814027</v>
      </c>
      <c r="BN16" s="65">
        <v>37518</v>
      </c>
      <c r="BO16" s="56">
        <v>0</v>
      </c>
      <c r="BP16" s="56">
        <v>1</v>
      </c>
      <c r="BQ16" s="56">
        <v>2.8804878920260966</v>
      </c>
      <c r="BR16" s="65">
        <v>38416</v>
      </c>
      <c r="BS16" s="56">
        <v>1</v>
      </c>
      <c r="BT16" s="56">
        <v>0</v>
      </c>
      <c r="BU16" s="56">
        <v>3.0525146669486487</v>
      </c>
      <c r="BV16" s="65">
        <v>35595</v>
      </c>
      <c r="BW16" s="56">
        <v>1</v>
      </c>
      <c r="BX16" s="56">
        <v>1</v>
      </c>
      <c r="BY16" s="56">
        <v>3.8904396796824372</v>
      </c>
      <c r="BZ16" s="65">
        <v>37135</v>
      </c>
      <c r="CA16" s="56">
        <v>0</v>
      </c>
      <c r="CB16" s="56">
        <v>0</v>
      </c>
      <c r="CC16" s="56">
        <v>3.1305694025760467</v>
      </c>
      <c r="CD16" s="65">
        <v>36904</v>
      </c>
      <c r="CE16" s="56">
        <v>1</v>
      </c>
      <c r="CF16" s="56">
        <v>0</v>
      </c>
      <c r="CG16" s="56">
        <v>3.3055317564603586</v>
      </c>
      <c r="CH16" s="65">
        <v>35977</v>
      </c>
      <c r="CI16" s="56">
        <v>0</v>
      </c>
      <c r="CJ16" s="56">
        <v>1</v>
      </c>
      <c r="CK16" s="56">
        <v>2.6343547701462695</v>
      </c>
      <c r="CL16" s="65">
        <v>37584</v>
      </c>
    </row>
    <row r="17" spans="2:90">
      <c r="B17" s="8"/>
      <c r="D17" s="3">
        <f>COUNTA(N2:N100)</f>
        <v>2</v>
      </c>
      <c r="P17"/>
      <c r="Q17" s="16"/>
      <c r="R17" s="10"/>
      <c r="V17"/>
      <c r="W17"/>
      <c r="X17"/>
      <c r="Y17">
        <v>1</v>
      </c>
      <c r="Z17"/>
      <c r="AA17"/>
      <c r="AB17"/>
      <c r="AC17"/>
      <c r="AD17"/>
      <c r="AE17"/>
      <c r="AF17"/>
      <c r="AG17"/>
      <c r="AH17"/>
      <c r="AI17" s="13"/>
      <c r="AK17">
        <v>16</v>
      </c>
      <c r="AL17" t="s">
        <v>62</v>
      </c>
      <c r="AM17" t="s">
        <v>342</v>
      </c>
      <c r="AN17" t="str">
        <f t="shared" si="1"/>
        <v>Harrison</v>
      </c>
      <c r="AO17" cm="1">
        <f t="array" ref="AO17">INDEX($AY$2:$CL$101,$AK17,($AV$2-1)*4+1)</f>
        <v>1</v>
      </c>
      <c r="AP17" cm="1">
        <f t="array" ref="AP17">INDEX($AY$2:$CL$101,$AK17,($AV$2-1)*4+2)</f>
        <v>0</v>
      </c>
      <c r="AQ17" cm="1">
        <f t="array" ref="AQ17">INDEX($AY$2:$CL$101,$AK17,($AV$2-1)*4+3)</f>
        <v>2.8811058170623181</v>
      </c>
      <c r="AR17" s="1">
        <f t="shared" si="7"/>
        <v>2.8811058170623181</v>
      </c>
      <c r="AS17" cm="1">
        <f t="array" ref="AS17">INDEX($AY$2:$CL$101,$AK17,($AV$2-1)*4+4)</f>
        <v>37756</v>
      </c>
      <c r="AT17" s="53" t="str">
        <f t="shared" si="2"/>
        <v>756</v>
      </c>
      <c r="AY17" s="56">
        <v>0</v>
      </c>
      <c r="AZ17" s="56">
        <v>1</v>
      </c>
      <c r="BA17" s="56">
        <v>2.8811058170623181</v>
      </c>
      <c r="BB17" s="65">
        <v>38355</v>
      </c>
      <c r="BC17" s="56">
        <v>1</v>
      </c>
      <c r="BD17" s="56">
        <v>0</v>
      </c>
      <c r="BE17" s="56">
        <v>2.8811058170623181</v>
      </c>
      <c r="BF17" s="65">
        <v>36166</v>
      </c>
      <c r="BG17" s="56">
        <v>0</v>
      </c>
      <c r="BH17" s="56">
        <v>0</v>
      </c>
      <c r="BI17" s="56">
        <v>2.8811058170623181</v>
      </c>
      <c r="BJ17" s="65">
        <v>37290</v>
      </c>
      <c r="BK17" s="56">
        <v>0</v>
      </c>
      <c r="BL17" s="56">
        <v>0</v>
      </c>
      <c r="BM17" s="56">
        <v>2.8811058170623181</v>
      </c>
      <c r="BN17" s="65">
        <v>38124</v>
      </c>
      <c r="BO17" s="56">
        <v>1</v>
      </c>
      <c r="BP17" s="56">
        <v>0</v>
      </c>
      <c r="BQ17" s="56">
        <v>2.8811058170623181</v>
      </c>
      <c r="BR17" s="65">
        <v>37756</v>
      </c>
      <c r="BS17" s="56">
        <v>1</v>
      </c>
      <c r="BT17" s="56">
        <v>0</v>
      </c>
      <c r="BU17" s="56">
        <v>2.8811058170623181</v>
      </c>
      <c r="BV17" s="65">
        <v>38493</v>
      </c>
      <c r="BW17" s="56">
        <v>1</v>
      </c>
      <c r="BX17" s="56">
        <v>1</v>
      </c>
      <c r="BY17" s="56">
        <v>2.8811058170623181</v>
      </c>
      <c r="BZ17" s="65">
        <v>36356</v>
      </c>
      <c r="CA17" s="56">
        <v>0</v>
      </c>
      <c r="CB17" s="56">
        <v>0</v>
      </c>
      <c r="CC17" s="56">
        <v>2.8811058170623181</v>
      </c>
      <c r="CD17" s="65">
        <v>37521</v>
      </c>
      <c r="CE17" s="56">
        <v>0</v>
      </c>
      <c r="CF17" s="56">
        <v>0</v>
      </c>
      <c r="CG17" s="56">
        <v>2.8811058170623181</v>
      </c>
      <c r="CH17" s="65">
        <v>38495</v>
      </c>
      <c r="CI17" s="56">
        <v>1</v>
      </c>
      <c r="CJ17" s="56">
        <v>0</v>
      </c>
      <c r="CK17" s="56">
        <v>2.8811058170623181</v>
      </c>
      <c r="CL17" s="65">
        <v>35894</v>
      </c>
    </row>
    <row r="18" spans="2:90">
      <c r="B18" s="8"/>
      <c r="P18"/>
      <c r="Q18" s="16"/>
      <c r="R18" s="10"/>
      <c r="V18"/>
      <c r="W18"/>
      <c r="X18"/>
      <c r="Y18">
        <v>1</v>
      </c>
      <c r="Z18"/>
      <c r="AA18" t="s">
        <v>522</v>
      </c>
      <c r="AB18" t="str" cm="1">
        <f t="array" ref="AB18">INDEX(AN2:AN101,AV3)</f>
        <v>Stephen</v>
      </c>
      <c r="AC18"/>
      <c r="AD18"/>
      <c r="AE18"/>
      <c r="AF18"/>
      <c r="AG18"/>
      <c r="AH18"/>
      <c r="AJ18" s="13"/>
      <c r="AK18">
        <v>17</v>
      </c>
      <c r="AL18" t="s">
        <v>49</v>
      </c>
      <c r="AM18" t="s">
        <v>344</v>
      </c>
      <c r="AN18" t="str">
        <f t="shared" si="1"/>
        <v>Luke</v>
      </c>
      <c r="AO18" cm="1">
        <f t="array" ref="AO18">INDEX($AY$2:$CL$101,$AK18,($AV$2-1)*4+1)</f>
        <v>1</v>
      </c>
      <c r="AP18" cm="1">
        <f t="array" ref="AP18">INDEX($AY$2:$CL$101,$AK18,($AV$2-1)*4+2)</f>
        <v>1</v>
      </c>
      <c r="AQ18" cm="1">
        <f t="array" ref="AQ18">INDEX($AY$2:$CL$101,$AK18,($AV$2-1)*4+3)</f>
        <v>3.6425070066574081</v>
      </c>
      <c r="AR18" s="1">
        <f t="shared" si="7"/>
        <v>3.6425070066574081</v>
      </c>
      <c r="AS18" cm="1">
        <f t="array" ref="AS18">INDEX($AY$2:$CL$101,$AK18,($AV$2-1)*4+4)</f>
        <v>37689</v>
      </c>
      <c r="AT18" s="53" t="str">
        <f t="shared" si="2"/>
        <v>689</v>
      </c>
      <c r="AY18" s="56">
        <v>1</v>
      </c>
      <c r="AZ18" s="56">
        <v>0</v>
      </c>
      <c r="BA18" s="56">
        <v>3.4089689855564576</v>
      </c>
      <c r="BB18" s="65">
        <v>37772</v>
      </c>
      <c r="BC18" s="56">
        <v>1</v>
      </c>
      <c r="BD18" s="56">
        <v>0</v>
      </c>
      <c r="BE18" s="56">
        <v>3.5923856852698375</v>
      </c>
      <c r="BF18" s="65">
        <v>36918</v>
      </c>
      <c r="BG18" s="56">
        <v>0</v>
      </c>
      <c r="BH18" s="56">
        <v>1</v>
      </c>
      <c r="BI18" s="56">
        <v>3.4891776608594065</v>
      </c>
      <c r="BJ18" s="65">
        <v>37602</v>
      </c>
      <c r="BK18" s="56">
        <v>1</v>
      </c>
      <c r="BL18" s="56">
        <v>0</v>
      </c>
      <c r="BM18" s="56">
        <v>3.5101967238531451</v>
      </c>
      <c r="BN18" s="65">
        <v>35807</v>
      </c>
      <c r="BO18" s="56">
        <v>1</v>
      </c>
      <c r="BP18" s="56">
        <v>1</v>
      </c>
      <c r="BQ18" s="56">
        <v>3.6425070066574081</v>
      </c>
      <c r="BR18" s="65">
        <v>37689</v>
      </c>
      <c r="BS18" s="56">
        <v>1</v>
      </c>
      <c r="BT18" s="56">
        <v>1</v>
      </c>
      <c r="BU18" s="56">
        <v>3.911345566109413</v>
      </c>
      <c r="BV18" s="65">
        <v>37039</v>
      </c>
      <c r="BW18" s="56">
        <v>0</v>
      </c>
      <c r="BX18" s="56">
        <v>1</v>
      </c>
      <c r="BY18" s="56">
        <v>2.9010154412734552</v>
      </c>
      <c r="BZ18" s="65">
        <v>36215</v>
      </c>
      <c r="CA18" s="56">
        <v>1</v>
      </c>
      <c r="CB18" s="56">
        <v>0</v>
      </c>
      <c r="CC18" s="56">
        <v>3.2073562901977306</v>
      </c>
      <c r="CD18" s="65">
        <v>38332</v>
      </c>
      <c r="CE18" s="56">
        <v>1</v>
      </c>
      <c r="CF18" s="56">
        <v>0</v>
      </c>
      <c r="CG18" s="56">
        <v>2.3331054925339396</v>
      </c>
      <c r="CH18" s="65">
        <v>37742</v>
      </c>
      <c r="CI18" s="56">
        <v>1</v>
      </c>
      <c r="CJ18" s="56">
        <v>1</v>
      </c>
      <c r="CK18" s="56">
        <v>2.8717633872599304</v>
      </c>
      <c r="CL18" s="65">
        <v>36529</v>
      </c>
    </row>
    <row r="19" spans="2:90">
      <c r="B19" s="8"/>
      <c r="D19" s="2" t="s">
        <v>158</v>
      </c>
      <c r="P19"/>
      <c r="Q19" s="16"/>
      <c r="R19" s="10"/>
      <c r="AA19" s="3" t="s">
        <v>2</v>
      </c>
      <c r="AB19" s="3">
        <f>_xlfn.XLOOKUP(AB18,AN2:AN101,AS2:AS101)</f>
        <v>37105</v>
      </c>
      <c r="AE19" s="18"/>
      <c r="AF19" s="13"/>
      <c r="AG19" s="13"/>
      <c r="AH19" s="13"/>
      <c r="AI19" s="13"/>
      <c r="AK19">
        <v>18</v>
      </c>
      <c r="AL19" t="s">
        <v>53</v>
      </c>
      <c r="AM19" t="s">
        <v>490</v>
      </c>
      <c r="AN19" t="str">
        <f t="shared" si="1"/>
        <v>Rebecca</v>
      </c>
      <c r="AO19" cm="1">
        <f t="array" ref="AO19">INDEX($AY$2:$CL$101,$AK19,($AV$2-1)*4+1)</f>
        <v>0</v>
      </c>
      <c r="AP19" cm="1">
        <f t="array" ref="AP19">INDEX($AY$2:$CL$101,$AK19,($AV$2-1)*4+2)</f>
        <v>1</v>
      </c>
      <c r="AQ19" cm="1">
        <f t="array" ref="AQ19">INDEX($AY$2:$CL$101,$AK19,($AV$2-1)*4+3)</f>
        <v>2.8811058170623181</v>
      </c>
      <c r="AR19" s="1">
        <f t="shared" si="7"/>
        <v>2.8811058170623181</v>
      </c>
      <c r="AS19" cm="1">
        <f t="array" ref="AS19">INDEX($AY$2:$CL$101,$AK19,($AV$2-1)*4+4)</f>
        <v>37270</v>
      </c>
      <c r="AT19" s="53" t="str">
        <f t="shared" si="2"/>
        <v>270</v>
      </c>
      <c r="AY19" s="56">
        <v>1</v>
      </c>
      <c r="AZ19" s="56">
        <v>0</v>
      </c>
      <c r="BA19" s="56">
        <v>2.8811058170623181</v>
      </c>
      <c r="BB19" s="65">
        <v>38222</v>
      </c>
      <c r="BC19" s="56">
        <v>1</v>
      </c>
      <c r="BD19" s="56">
        <v>1</v>
      </c>
      <c r="BE19" s="56">
        <v>2.8811058170623181</v>
      </c>
      <c r="BF19" s="65">
        <v>37870</v>
      </c>
      <c r="BG19" s="56">
        <v>0</v>
      </c>
      <c r="BH19" s="56">
        <v>1</v>
      </c>
      <c r="BI19" s="56">
        <v>2.8811058170623181</v>
      </c>
      <c r="BJ19" s="65">
        <v>36482</v>
      </c>
      <c r="BK19" s="56">
        <v>1</v>
      </c>
      <c r="BL19" s="56">
        <v>1</v>
      </c>
      <c r="BM19" s="56">
        <v>2.8811058170623181</v>
      </c>
      <c r="BN19" s="65">
        <v>37709</v>
      </c>
      <c r="BO19" s="56">
        <v>0</v>
      </c>
      <c r="BP19" s="56">
        <v>1</v>
      </c>
      <c r="BQ19" s="56">
        <v>2.8811058170623181</v>
      </c>
      <c r="BR19" s="65">
        <v>37270</v>
      </c>
      <c r="BS19" s="56">
        <v>0</v>
      </c>
      <c r="BT19" s="56">
        <v>1</v>
      </c>
      <c r="BU19" s="56">
        <v>2.8811058170623181</v>
      </c>
      <c r="BV19" s="65">
        <v>37839</v>
      </c>
      <c r="BW19" s="56">
        <v>1</v>
      </c>
      <c r="BX19" s="56">
        <v>1</v>
      </c>
      <c r="BY19" s="56">
        <v>2.8811058170623181</v>
      </c>
      <c r="BZ19" s="65">
        <v>37499</v>
      </c>
      <c r="CA19" s="56">
        <v>0</v>
      </c>
      <c r="CB19" s="56">
        <v>1</v>
      </c>
      <c r="CC19" s="56">
        <v>2.8811058170623181</v>
      </c>
      <c r="CD19" s="65">
        <v>36373</v>
      </c>
      <c r="CE19" s="56">
        <v>0</v>
      </c>
      <c r="CF19" s="56">
        <v>0</v>
      </c>
      <c r="CG19" s="56">
        <v>2.8811058170623181</v>
      </c>
      <c r="CH19" s="65">
        <v>37751</v>
      </c>
      <c r="CI19" s="56">
        <v>1</v>
      </c>
      <c r="CJ19" s="56">
        <v>0</v>
      </c>
      <c r="CK19" s="56">
        <v>2.8811058170623181</v>
      </c>
      <c r="CL19" s="65">
        <v>35562</v>
      </c>
    </row>
    <row r="20" spans="2:90">
      <c r="B20" s="8"/>
      <c r="D20" s="3">
        <f>COUNTA(AB2:AB100)</f>
        <v>16</v>
      </c>
      <c r="J20" s="17"/>
      <c r="P20"/>
      <c r="Q20" s="16"/>
      <c r="R20" s="10"/>
      <c r="AD20" s="7"/>
      <c r="AE20" s="18"/>
      <c r="AF20" s="13"/>
      <c r="AG20" s="13"/>
      <c r="AH20" s="13"/>
      <c r="AI20" s="13"/>
      <c r="AK20">
        <v>19</v>
      </c>
      <c r="AL20" t="s">
        <v>28</v>
      </c>
      <c r="AM20" t="s">
        <v>345</v>
      </c>
      <c r="AN20" t="str">
        <f t="shared" si="1"/>
        <v>Vincent</v>
      </c>
      <c r="AO20" cm="1">
        <f t="array" ref="AO20">INDEX($AY$2:$CL$101,$AK20,($AV$2-1)*4+1)</f>
        <v>1</v>
      </c>
      <c r="AP20" cm="1">
        <f t="array" ref="AP20">INDEX($AY$2:$CL$101,$AK20,($AV$2-1)*4+2)</f>
        <v>1</v>
      </c>
      <c r="AQ20"/>
      <c r="AR20" s="1">
        <f t="shared" ref="AR20:AR32" si="8">AVERAGE($AQ$2:$AQ$101)</f>
        <v>2.9044332207535777</v>
      </c>
      <c r="AS20" cm="1">
        <f t="array" ref="AS20">INDEX($AY$2:$CL$101,$AK20,($AV$2-1)*4+4)</f>
        <v>37113</v>
      </c>
      <c r="AT20" s="53" t="str">
        <f t="shared" si="2"/>
        <v>113</v>
      </c>
      <c r="AY20" s="56">
        <v>1</v>
      </c>
      <c r="AZ20" s="56">
        <v>0</v>
      </c>
      <c r="BA20" s="56"/>
      <c r="BB20" s="65">
        <v>36050</v>
      </c>
      <c r="BC20" s="56">
        <v>1</v>
      </c>
      <c r="BD20" s="56">
        <v>0</v>
      </c>
      <c r="BE20" s="56"/>
      <c r="BF20" s="65">
        <v>35831</v>
      </c>
      <c r="BG20" s="56">
        <v>0</v>
      </c>
      <c r="BH20" s="56">
        <v>1</v>
      </c>
      <c r="BI20" s="56"/>
      <c r="BJ20" s="65">
        <v>35943</v>
      </c>
      <c r="BK20" s="56">
        <v>1</v>
      </c>
      <c r="BL20" s="56">
        <v>0</v>
      </c>
      <c r="BM20" s="56"/>
      <c r="BN20" s="65">
        <v>37610</v>
      </c>
      <c r="BO20" s="56">
        <v>1</v>
      </c>
      <c r="BP20" s="56">
        <v>1</v>
      </c>
      <c r="BQ20" s="56"/>
      <c r="BR20" s="65">
        <v>37113</v>
      </c>
      <c r="BS20" s="56">
        <v>1</v>
      </c>
      <c r="BT20" s="56">
        <v>1</v>
      </c>
      <c r="BU20" s="56"/>
      <c r="BV20" s="65">
        <v>38132</v>
      </c>
      <c r="BW20" s="56">
        <v>1</v>
      </c>
      <c r="BX20" s="56">
        <v>0</v>
      </c>
      <c r="BY20" s="56"/>
      <c r="BZ20" s="65">
        <v>37460</v>
      </c>
      <c r="CA20" s="56">
        <v>0</v>
      </c>
      <c r="CB20" s="56">
        <v>0</v>
      </c>
      <c r="CC20" s="56"/>
      <c r="CD20" s="65">
        <v>36112</v>
      </c>
      <c r="CE20" s="56">
        <v>0</v>
      </c>
      <c r="CF20" s="56">
        <v>0</v>
      </c>
      <c r="CG20" s="56"/>
      <c r="CH20" s="65">
        <v>38353</v>
      </c>
      <c r="CI20" s="56">
        <v>0</v>
      </c>
      <c r="CJ20" s="56">
        <v>1</v>
      </c>
      <c r="CK20" s="56"/>
      <c r="CL20" s="65">
        <v>37418</v>
      </c>
    </row>
    <row r="21" spans="2:90">
      <c r="B21" s="8"/>
      <c r="J21" s="17"/>
      <c r="P21"/>
      <c r="Q21" s="16"/>
      <c r="R21"/>
      <c r="AD21" s="7"/>
      <c r="AE21" s="7"/>
      <c r="AF21" s="7"/>
      <c r="AG21" s="7"/>
      <c r="AH21" s="7"/>
      <c r="AI21" s="7"/>
      <c r="AK21">
        <v>20</v>
      </c>
      <c r="AL21" t="s">
        <v>105</v>
      </c>
      <c r="AM21" t="s">
        <v>347</v>
      </c>
      <c r="AN21" t="str">
        <f t="shared" si="1"/>
        <v>Ava</v>
      </c>
      <c r="AO21" cm="1">
        <f t="array" ref="AO21">INDEX($AY$2:$CL$101,$AK21,($AV$2-1)*4+1)</f>
        <v>0</v>
      </c>
      <c r="AP21" cm="1">
        <f t="array" ref="AP21">INDEX($AY$2:$CL$101,$AK21,($AV$2-1)*4+2)</f>
        <v>0</v>
      </c>
      <c r="AQ21"/>
      <c r="AR21" s="1">
        <f t="shared" si="8"/>
        <v>2.9044332207535777</v>
      </c>
      <c r="AS21" cm="1">
        <f t="array" ref="AS21">INDEX($AY$2:$CL$101,$AK21,($AV$2-1)*4+4)</f>
        <v>36335</v>
      </c>
      <c r="AT21" s="53" t="str">
        <f t="shared" si="2"/>
        <v>335</v>
      </c>
      <c r="AY21" s="56">
        <v>1</v>
      </c>
      <c r="AZ21" s="56">
        <v>0</v>
      </c>
      <c r="BA21" s="56"/>
      <c r="BB21" s="65">
        <v>37589</v>
      </c>
      <c r="BC21" s="56">
        <v>0</v>
      </c>
      <c r="BD21" s="56">
        <v>1</v>
      </c>
      <c r="BE21" s="56"/>
      <c r="BF21" s="65">
        <v>38235</v>
      </c>
      <c r="BG21" s="56">
        <v>0</v>
      </c>
      <c r="BH21" s="56">
        <v>0</v>
      </c>
      <c r="BI21" s="56"/>
      <c r="BJ21" s="65">
        <v>37608</v>
      </c>
      <c r="BK21" s="56">
        <v>0</v>
      </c>
      <c r="BL21" s="56">
        <v>0</v>
      </c>
      <c r="BM21" s="56"/>
      <c r="BN21" s="65">
        <v>35655</v>
      </c>
      <c r="BO21" s="56">
        <v>0</v>
      </c>
      <c r="BP21" s="56">
        <v>0</v>
      </c>
      <c r="BQ21" s="56"/>
      <c r="BR21" s="65">
        <v>36335</v>
      </c>
      <c r="BS21" s="56">
        <v>1</v>
      </c>
      <c r="BT21" s="56">
        <v>0</v>
      </c>
      <c r="BU21" s="56"/>
      <c r="BV21" s="65">
        <v>35775</v>
      </c>
      <c r="BW21" s="56">
        <v>0</v>
      </c>
      <c r="BX21" s="56">
        <v>1</v>
      </c>
      <c r="BY21" s="56"/>
      <c r="BZ21" s="65">
        <v>36710</v>
      </c>
      <c r="CA21" s="56">
        <v>1</v>
      </c>
      <c r="CB21" s="56">
        <v>1</v>
      </c>
      <c r="CC21" s="56"/>
      <c r="CD21" s="65">
        <v>37483</v>
      </c>
      <c r="CE21" s="56">
        <v>0</v>
      </c>
      <c r="CF21" s="56">
        <v>0</v>
      </c>
      <c r="CG21" s="56"/>
      <c r="CH21" s="65">
        <v>37844</v>
      </c>
      <c r="CI21" s="56">
        <v>0</v>
      </c>
      <c r="CJ21" s="56">
        <v>1</v>
      </c>
      <c r="CK21" s="56"/>
      <c r="CL21" s="65">
        <v>36196</v>
      </c>
    </row>
    <row r="22" spans="2:90">
      <c r="B22" s="8"/>
      <c r="F22" s="2"/>
      <c r="G22" s="2" t="s">
        <v>159</v>
      </c>
      <c r="J22" s="17"/>
      <c r="P22"/>
      <c r="Q22" s="16"/>
      <c r="R22"/>
      <c r="AE22" s="18"/>
      <c r="AF22" s="13"/>
      <c r="AG22" s="13"/>
      <c r="AH22" s="13"/>
      <c r="AI22" s="13"/>
      <c r="AK22">
        <v>21</v>
      </c>
      <c r="AL22" t="s">
        <v>35</v>
      </c>
      <c r="AM22" t="s">
        <v>349</v>
      </c>
      <c r="AN22" t="str">
        <f t="shared" si="1"/>
        <v>Sandra</v>
      </c>
      <c r="AO22" cm="1">
        <f t="array" ref="AO22">INDEX($AY$2:$CL$101,$AK22,($AV$2-1)*4+1)</f>
        <v>0</v>
      </c>
      <c r="AP22" cm="1">
        <f t="array" ref="AP22">INDEX($AY$2:$CL$101,$AK22,($AV$2-1)*4+2)</f>
        <v>1</v>
      </c>
      <c r="AQ22"/>
      <c r="AR22" s="1">
        <f t="shared" si="8"/>
        <v>2.9044332207535777</v>
      </c>
      <c r="AS22" cm="1">
        <f t="array" ref="AS22">INDEX($AY$2:$CL$101,$AK22,($AV$2-1)*4+4)</f>
        <v>37520</v>
      </c>
      <c r="AT22" s="53" t="str">
        <f t="shared" si="2"/>
        <v>520</v>
      </c>
      <c r="AY22" s="56">
        <v>1</v>
      </c>
      <c r="AZ22" s="56">
        <v>1</v>
      </c>
      <c r="BA22" s="56"/>
      <c r="BB22" s="65">
        <v>36324</v>
      </c>
      <c r="BC22" s="56">
        <v>1</v>
      </c>
      <c r="BD22" s="56">
        <v>0</v>
      </c>
      <c r="BE22" s="56"/>
      <c r="BF22" s="65">
        <v>37570</v>
      </c>
      <c r="BG22" s="56">
        <v>1</v>
      </c>
      <c r="BH22" s="56">
        <v>0</v>
      </c>
      <c r="BI22" s="56"/>
      <c r="BJ22" s="65">
        <v>38176</v>
      </c>
      <c r="BK22" s="56">
        <v>1</v>
      </c>
      <c r="BL22" s="56">
        <v>0</v>
      </c>
      <c r="BM22" s="56"/>
      <c r="BN22" s="65">
        <v>38217</v>
      </c>
      <c r="BO22" s="56">
        <v>0</v>
      </c>
      <c r="BP22" s="56">
        <v>1</v>
      </c>
      <c r="BQ22" s="56"/>
      <c r="BR22" s="65">
        <v>37520</v>
      </c>
      <c r="BS22" s="56">
        <v>0</v>
      </c>
      <c r="BT22" s="56">
        <v>1</v>
      </c>
      <c r="BU22" s="56"/>
      <c r="BV22" s="65">
        <v>37872</v>
      </c>
      <c r="BW22" s="56">
        <v>1</v>
      </c>
      <c r="BX22" s="56">
        <v>0</v>
      </c>
      <c r="BY22" s="56"/>
      <c r="BZ22" s="65">
        <v>38027</v>
      </c>
      <c r="CA22" s="56">
        <v>1</v>
      </c>
      <c r="CB22" s="56">
        <v>1</v>
      </c>
      <c r="CC22" s="56"/>
      <c r="CD22" s="65">
        <v>38096</v>
      </c>
      <c r="CE22" s="56">
        <v>0</v>
      </c>
      <c r="CF22" s="56">
        <v>0</v>
      </c>
      <c r="CG22" s="56"/>
      <c r="CH22" s="65">
        <v>37877</v>
      </c>
      <c r="CI22" s="56">
        <v>1</v>
      </c>
      <c r="CJ22" s="56">
        <v>1</v>
      </c>
      <c r="CK22" s="56"/>
      <c r="CL22" s="65">
        <v>35537</v>
      </c>
    </row>
    <row r="23" spans="2:90">
      <c r="B23" s="8"/>
      <c r="G23" s="3">
        <v>0</v>
      </c>
      <c r="J23" s="17"/>
      <c r="P23"/>
      <c r="Q23" s="10"/>
      <c r="R23"/>
      <c r="X23" s="3">
        <v>0.01</v>
      </c>
      <c r="Y23" s="3">
        <v>1</v>
      </c>
      <c r="Z23" s="3">
        <f>1/100</f>
        <v>0.01</v>
      </c>
      <c r="AA23" s="3">
        <f>IF(OR(X23=Y23,X23=Z23),1)</f>
        <v>1</v>
      </c>
      <c r="AE23" s="18"/>
      <c r="AF23" s="13"/>
      <c r="AG23" s="13"/>
      <c r="AH23" s="13"/>
      <c r="AI23" s="13"/>
      <c r="AK23">
        <v>22</v>
      </c>
      <c r="AL23" t="s">
        <v>76</v>
      </c>
      <c r="AM23" t="s">
        <v>491</v>
      </c>
      <c r="AN23" t="str">
        <f t="shared" si="1"/>
        <v>Helen</v>
      </c>
      <c r="AO23" cm="1">
        <f t="array" ref="AO23">INDEX($AY$2:$CL$101,$AK23,($AV$2-1)*4+1)</f>
        <v>0</v>
      </c>
      <c r="AP23" cm="1">
        <f t="array" ref="AP23">INDEX($AY$2:$CL$101,$AK23,($AV$2-1)*4+2)</f>
        <v>1</v>
      </c>
      <c r="AQ23"/>
      <c r="AR23" s="1">
        <f t="shared" si="8"/>
        <v>2.9044332207535777</v>
      </c>
      <c r="AS23" cm="1">
        <f t="array" ref="AS23">INDEX($AY$2:$CL$101,$AK23,($AV$2-1)*4+4)</f>
        <v>37881</v>
      </c>
      <c r="AT23" s="53" t="str">
        <f t="shared" si="2"/>
        <v>881</v>
      </c>
      <c r="AY23" s="56">
        <v>0</v>
      </c>
      <c r="AZ23" s="56">
        <v>1</v>
      </c>
      <c r="BA23" s="56"/>
      <c r="BB23" s="65">
        <v>36453</v>
      </c>
      <c r="BC23" s="56">
        <v>1</v>
      </c>
      <c r="BD23" s="56">
        <v>1</v>
      </c>
      <c r="BE23" s="56"/>
      <c r="BF23" s="65">
        <v>37374</v>
      </c>
      <c r="BG23" s="56">
        <v>0</v>
      </c>
      <c r="BH23" s="56">
        <v>0</v>
      </c>
      <c r="BI23" s="56"/>
      <c r="BJ23" s="65">
        <v>38174</v>
      </c>
      <c r="BK23" s="56">
        <v>1</v>
      </c>
      <c r="BL23" s="56">
        <v>0</v>
      </c>
      <c r="BM23" s="56"/>
      <c r="BN23" s="65">
        <v>37383</v>
      </c>
      <c r="BO23" s="56">
        <v>0</v>
      </c>
      <c r="BP23" s="56">
        <v>1</v>
      </c>
      <c r="BQ23" s="56"/>
      <c r="BR23" s="65">
        <v>37881</v>
      </c>
      <c r="BS23" s="56">
        <v>1</v>
      </c>
      <c r="BT23" s="56">
        <v>0</v>
      </c>
      <c r="BU23" s="56"/>
      <c r="BV23" s="65">
        <v>36287</v>
      </c>
      <c r="BW23" s="56">
        <v>0</v>
      </c>
      <c r="BX23" s="56">
        <v>1</v>
      </c>
      <c r="BY23" s="56"/>
      <c r="BZ23" s="65">
        <v>37387</v>
      </c>
      <c r="CA23" s="56">
        <v>0</v>
      </c>
      <c r="CB23" s="56">
        <v>1</v>
      </c>
      <c r="CC23" s="56"/>
      <c r="CD23" s="65">
        <v>36586</v>
      </c>
      <c r="CE23" s="56">
        <v>1</v>
      </c>
      <c r="CF23" s="56">
        <v>0</v>
      </c>
      <c r="CG23" s="56"/>
      <c r="CH23" s="65">
        <v>36967</v>
      </c>
      <c r="CI23" s="56">
        <v>1</v>
      </c>
      <c r="CJ23" s="56">
        <v>1</v>
      </c>
      <c r="CK23" s="56"/>
      <c r="CL23" s="65">
        <v>37261</v>
      </c>
    </row>
    <row r="24" spans="2:90">
      <c r="B24" s="8"/>
      <c r="J24" s="17"/>
      <c r="P24"/>
      <c r="Q24" s="10"/>
      <c r="R24"/>
      <c r="AE24" s="18"/>
      <c r="AF24" s="13"/>
      <c r="AG24" s="13"/>
      <c r="AH24" s="13"/>
      <c r="AI24" s="13"/>
      <c r="AK24">
        <v>23</v>
      </c>
      <c r="AL24" t="s">
        <v>22</v>
      </c>
      <c r="AM24" t="s">
        <v>352</v>
      </c>
      <c r="AN24" t="str">
        <f t="shared" si="1"/>
        <v>Isaiah</v>
      </c>
      <c r="AO24" cm="1">
        <f t="array" ref="AO24">INDEX($AY$2:$CL$101,$AK24,($AV$2-1)*4+1)</f>
        <v>1</v>
      </c>
      <c r="AP24" cm="1">
        <f t="array" ref="AP24">INDEX($AY$2:$CL$101,$AK24,($AV$2-1)*4+2)</f>
        <v>0</v>
      </c>
      <c r="AQ24"/>
      <c r="AR24" s="1">
        <f t="shared" si="8"/>
        <v>2.9044332207535777</v>
      </c>
      <c r="AS24" cm="1">
        <f t="array" ref="AS24">INDEX($AY$2:$CL$101,$AK24,($AV$2-1)*4+4)</f>
        <v>38049</v>
      </c>
      <c r="AT24" s="53" t="str">
        <f t="shared" si="2"/>
        <v>049</v>
      </c>
      <c r="AY24" s="56">
        <v>1</v>
      </c>
      <c r="AZ24" s="56">
        <v>1</v>
      </c>
      <c r="BA24" s="56"/>
      <c r="BB24" s="65">
        <v>37597</v>
      </c>
      <c r="BC24" s="56">
        <v>0</v>
      </c>
      <c r="BD24" s="56">
        <v>1</v>
      </c>
      <c r="BE24" s="56"/>
      <c r="BF24" s="65">
        <v>38060</v>
      </c>
      <c r="BG24" s="56">
        <v>1</v>
      </c>
      <c r="BH24" s="56">
        <v>0</v>
      </c>
      <c r="BI24" s="56"/>
      <c r="BJ24" s="65">
        <v>35734</v>
      </c>
      <c r="BK24" s="56">
        <v>0</v>
      </c>
      <c r="BL24" s="56">
        <v>1</v>
      </c>
      <c r="BM24" s="56"/>
      <c r="BN24" s="65">
        <v>38008</v>
      </c>
      <c r="BO24" s="56">
        <v>1</v>
      </c>
      <c r="BP24" s="56">
        <v>0</v>
      </c>
      <c r="BQ24" s="56"/>
      <c r="BR24" s="65">
        <v>38049</v>
      </c>
      <c r="BS24" s="56">
        <v>1</v>
      </c>
      <c r="BT24" s="56">
        <v>1</v>
      </c>
      <c r="BU24" s="56"/>
      <c r="BV24" s="65">
        <v>37856</v>
      </c>
      <c r="BW24" s="56">
        <v>1</v>
      </c>
      <c r="BX24" s="56">
        <v>0</v>
      </c>
      <c r="BY24" s="56"/>
      <c r="BZ24" s="65">
        <v>36408</v>
      </c>
      <c r="CA24" s="56">
        <v>0</v>
      </c>
      <c r="CB24" s="56">
        <v>1</v>
      </c>
      <c r="CC24" s="56"/>
      <c r="CD24" s="65">
        <v>37970</v>
      </c>
      <c r="CE24" s="56">
        <v>1</v>
      </c>
      <c r="CF24" s="56">
        <v>1</v>
      </c>
      <c r="CG24" s="56"/>
      <c r="CH24" s="65">
        <v>37075</v>
      </c>
      <c r="CI24" s="56">
        <v>0</v>
      </c>
      <c r="CJ24" s="56">
        <v>1</v>
      </c>
      <c r="CK24" s="56"/>
      <c r="CL24" s="65">
        <v>38046</v>
      </c>
    </row>
    <row r="25" spans="2:90">
      <c r="B25" s="8"/>
      <c r="F25" s="2" t="s">
        <v>160</v>
      </c>
      <c r="G25" s="2" t="s">
        <v>161</v>
      </c>
      <c r="J25" s="17"/>
      <c r="P25"/>
      <c r="Q25" s="10"/>
      <c r="R25"/>
      <c r="AE25" s="18"/>
      <c r="AF25" s="13"/>
      <c r="AG25" s="13"/>
      <c r="AH25" s="13"/>
      <c r="AI25" s="13"/>
      <c r="AK25">
        <v>24</v>
      </c>
      <c r="AL25" t="s">
        <v>11</v>
      </c>
      <c r="AM25" t="s">
        <v>354</v>
      </c>
      <c r="AN25" t="str">
        <f t="shared" si="1"/>
        <v>Callum</v>
      </c>
      <c r="AO25" cm="1">
        <f t="array" ref="AO25">INDEX($AY$2:$CL$101,$AK25,($AV$2-1)*4+1)</f>
        <v>1</v>
      </c>
      <c r="AP25" cm="1">
        <f t="array" ref="AP25">INDEX($AY$2:$CL$101,$AK25,($AV$2-1)*4+2)</f>
        <v>0</v>
      </c>
      <c r="AQ25"/>
      <c r="AR25" s="1">
        <f t="shared" si="8"/>
        <v>2.9044332207535777</v>
      </c>
      <c r="AS25" cm="1">
        <f t="array" ref="AS25">INDEX($AY$2:$CL$101,$AK25,($AV$2-1)*4+4)</f>
        <v>36950</v>
      </c>
      <c r="AT25" s="53" t="str">
        <f t="shared" si="2"/>
        <v>950</v>
      </c>
      <c r="AY25" s="56">
        <v>1</v>
      </c>
      <c r="AZ25" s="56">
        <v>0</v>
      </c>
      <c r="BA25" s="56"/>
      <c r="BB25" s="65">
        <v>36653</v>
      </c>
      <c r="BC25" s="56">
        <v>0</v>
      </c>
      <c r="BD25" s="56">
        <v>1</v>
      </c>
      <c r="BE25" s="56"/>
      <c r="BF25" s="65">
        <v>36238</v>
      </c>
      <c r="BG25" s="56">
        <v>0</v>
      </c>
      <c r="BH25" s="56">
        <v>0</v>
      </c>
      <c r="BI25" s="56"/>
      <c r="BJ25" s="65">
        <v>37299</v>
      </c>
      <c r="BK25" s="56">
        <v>1</v>
      </c>
      <c r="BL25" s="56">
        <v>0</v>
      </c>
      <c r="BM25" s="56"/>
      <c r="BN25" s="65">
        <v>38017</v>
      </c>
      <c r="BO25" s="56">
        <v>1</v>
      </c>
      <c r="BP25" s="56">
        <v>0</v>
      </c>
      <c r="BQ25" s="56"/>
      <c r="BR25" s="65">
        <v>36950</v>
      </c>
      <c r="BS25" s="56">
        <v>1</v>
      </c>
      <c r="BT25" s="56">
        <v>0</v>
      </c>
      <c r="BU25" s="56"/>
      <c r="BV25" s="65">
        <v>36102</v>
      </c>
      <c r="BW25" s="56">
        <v>1</v>
      </c>
      <c r="BX25" s="56">
        <v>1</v>
      </c>
      <c r="BY25" s="56"/>
      <c r="BZ25" s="65">
        <v>36677</v>
      </c>
      <c r="CA25" s="56">
        <v>0</v>
      </c>
      <c r="CB25" s="56">
        <v>1</v>
      </c>
      <c r="CC25" s="56"/>
      <c r="CD25" s="65">
        <v>36766</v>
      </c>
      <c r="CE25" s="56">
        <v>0</v>
      </c>
      <c r="CF25" s="56">
        <v>0</v>
      </c>
      <c r="CG25" s="56"/>
      <c r="CH25" s="65">
        <v>36121</v>
      </c>
      <c r="CI25" s="56">
        <v>0</v>
      </c>
      <c r="CJ25" s="56">
        <v>1</v>
      </c>
      <c r="CK25" s="56"/>
      <c r="CL25" s="65">
        <v>35589</v>
      </c>
    </row>
    <row r="26" spans="2:90">
      <c r="B26" s="8"/>
      <c r="F26" s="3" t="b">
        <v>1</v>
      </c>
      <c r="G26" s="8">
        <v>45029.412488425929</v>
      </c>
      <c r="J26" s="17"/>
      <c r="P26"/>
      <c r="Q26" s="10"/>
      <c r="R26"/>
      <c r="AE26" s="18"/>
      <c r="AF26" s="13"/>
      <c r="AG26" s="13"/>
      <c r="AH26" s="13"/>
      <c r="AI26" s="13"/>
      <c r="AK26">
        <v>25</v>
      </c>
      <c r="AL26" t="s">
        <v>13</v>
      </c>
      <c r="AM26" t="s">
        <v>356</v>
      </c>
      <c r="AN26" t="str">
        <f t="shared" si="1"/>
        <v>Landon</v>
      </c>
      <c r="AO26" cm="1">
        <f t="array" ref="AO26">INDEX($AY$2:$CL$101,$AK26,($AV$2-1)*4+1)</f>
        <v>1</v>
      </c>
      <c r="AP26" cm="1">
        <f t="array" ref="AP26">INDEX($AY$2:$CL$101,$AK26,($AV$2-1)*4+2)</f>
        <v>0</v>
      </c>
      <c r="AQ26"/>
      <c r="AR26" s="1">
        <f t="shared" si="8"/>
        <v>2.9044332207535777</v>
      </c>
      <c r="AS26" cm="1">
        <f t="array" ref="AS26">INDEX($AY$2:$CL$101,$AK26,($AV$2-1)*4+4)</f>
        <v>35827</v>
      </c>
      <c r="AT26" s="53" t="str">
        <f t="shared" si="2"/>
        <v>827</v>
      </c>
      <c r="AY26" s="56">
        <v>1</v>
      </c>
      <c r="AZ26" s="56">
        <v>0</v>
      </c>
      <c r="BA26" s="56"/>
      <c r="BB26" s="65">
        <v>38267</v>
      </c>
      <c r="BC26" s="56">
        <v>0</v>
      </c>
      <c r="BD26" s="56">
        <v>0</v>
      </c>
      <c r="BE26" s="56"/>
      <c r="BF26" s="65">
        <v>38469</v>
      </c>
      <c r="BG26" s="56">
        <v>1</v>
      </c>
      <c r="BH26" s="56">
        <v>1</v>
      </c>
      <c r="BI26" s="56"/>
      <c r="BJ26" s="65">
        <v>37593</v>
      </c>
      <c r="BK26" s="56">
        <v>0</v>
      </c>
      <c r="BL26" s="56">
        <v>1</v>
      </c>
      <c r="BM26" s="56"/>
      <c r="BN26" s="65">
        <v>36174</v>
      </c>
      <c r="BO26" s="56">
        <v>1</v>
      </c>
      <c r="BP26" s="56">
        <v>0</v>
      </c>
      <c r="BQ26" s="56"/>
      <c r="BR26" s="65">
        <v>35827</v>
      </c>
      <c r="BS26" s="56">
        <v>0</v>
      </c>
      <c r="BT26" s="56">
        <v>1</v>
      </c>
      <c r="BU26" s="56"/>
      <c r="BV26" s="65">
        <v>37201</v>
      </c>
      <c r="BW26" s="56">
        <v>0</v>
      </c>
      <c r="BX26" s="56">
        <v>1</v>
      </c>
      <c r="BY26" s="56"/>
      <c r="BZ26" s="65">
        <v>36595</v>
      </c>
      <c r="CA26" s="56">
        <v>1</v>
      </c>
      <c r="CB26" s="56">
        <v>0</v>
      </c>
      <c r="CC26" s="56"/>
      <c r="CD26" s="65">
        <v>36606</v>
      </c>
      <c r="CE26" s="56">
        <v>0</v>
      </c>
      <c r="CF26" s="56">
        <v>1</v>
      </c>
      <c r="CG26" s="56"/>
      <c r="CH26" s="65">
        <v>36406</v>
      </c>
      <c r="CI26" s="56">
        <v>1</v>
      </c>
      <c r="CJ26" s="56">
        <v>1</v>
      </c>
      <c r="CK26" s="56"/>
      <c r="CL26" s="65">
        <v>35634</v>
      </c>
    </row>
    <row r="27" spans="2:90">
      <c r="B27" s="8"/>
      <c r="J27" s="17"/>
      <c r="P27"/>
      <c r="Q27" s="16"/>
      <c r="R27"/>
      <c r="AE27" s="18"/>
      <c r="AF27" s="13"/>
      <c r="AG27" s="13"/>
      <c r="AH27" s="13"/>
      <c r="AI27" s="13"/>
      <c r="AK27">
        <v>26</v>
      </c>
      <c r="AL27" t="s">
        <v>31</v>
      </c>
      <c r="AM27" t="s">
        <v>358</v>
      </c>
      <c r="AN27" t="str">
        <f t="shared" si="1"/>
        <v>Dante</v>
      </c>
      <c r="AO27" cm="1">
        <f t="array" ref="AO27">INDEX($AY$2:$CL$101,$AK27,($AV$2-1)*4+1)</f>
        <v>1</v>
      </c>
      <c r="AP27" cm="1">
        <f t="array" ref="AP27">INDEX($AY$2:$CL$101,$AK27,($AV$2-1)*4+2)</f>
        <v>0</v>
      </c>
      <c r="AQ27"/>
      <c r="AR27" s="1">
        <f t="shared" si="8"/>
        <v>2.9044332207535777</v>
      </c>
      <c r="AS27" cm="1">
        <f t="array" ref="AS27">INDEX($AY$2:$CL$101,$AK27,($AV$2-1)*4+4)</f>
        <v>38114</v>
      </c>
      <c r="AT27" s="53" t="str">
        <f t="shared" si="2"/>
        <v>114</v>
      </c>
      <c r="AY27" s="56">
        <v>1</v>
      </c>
      <c r="AZ27" s="56">
        <v>0</v>
      </c>
      <c r="BA27" s="56"/>
      <c r="BB27" s="65">
        <v>36602</v>
      </c>
      <c r="BC27" s="56">
        <v>0</v>
      </c>
      <c r="BD27" s="56">
        <v>0</v>
      </c>
      <c r="BE27" s="56"/>
      <c r="BF27" s="65">
        <v>36802</v>
      </c>
      <c r="BG27" s="56">
        <v>1</v>
      </c>
      <c r="BH27" s="56">
        <v>1</v>
      </c>
      <c r="BI27" s="56"/>
      <c r="BJ27" s="65">
        <v>36436</v>
      </c>
      <c r="BK27" s="56">
        <v>0</v>
      </c>
      <c r="BL27" s="56">
        <v>1</v>
      </c>
      <c r="BM27" s="56"/>
      <c r="BN27" s="65">
        <v>37713</v>
      </c>
      <c r="BO27" s="56">
        <v>1</v>
      </c>
      <c r="BP27" s="56">
        <v>0</v>
      </c>
      <c r="BQ27" s="56"/>
      <c r="BR27" s="65">
        <v>38114</v>
      </c>
      <c r="BS27" s="56">
        <v>1</v>
      </c>
      <c r="BT27" s="56">
        <v>1</v>
      </c>
      <c r="BU27" s="56"/>
      <c r="BV27" s="65">
        <v>37335</v>
      </c>
      <c r="BW27" s="56">
        <v>0</v>
      </c>
      <c r="BX27" s="56">
        <v>0</v>
      </c>
      <c r="BY27" s="56"/>
      <c r="BZ27" s="65">
        <v>37359</v>
      </c>
      <c r="CA27" s="56">
        <v>0</v>
      </c>
      <c r="CB27" s="56">
        <v>0</v>
      </c>
      <c r="CC27" s="56"/>
      <c r="CD27" s="65">
        <v>37080</v>
      </c>
      <c r="CE27" s="56">
        <v>0</v>
      </c>
      <c r="CF27" s="56">
        <v>0</v>
      </c>
      <c r="CG27" s="56"/>
      <c r="CH27" s="65">
        <v>35811</v>
      </c>
      <c r="CI27" s="56">
        <v>0</v>
      </c>
      <c r="CJ27" s="56">
        <v>0</v>
      </c>
      <c r="CK27" s="56"/>
      <c r="CL27" s="65">
        <v>37004</v>
      </c>
    </row>
    <row r="28" spans="2:90">
      <c r="B28" s="8"/>
      <c r="F28" s="2" t="s">
        <v>162</v>
      </c>
      <c r="G28" s="2" t="s">
        <v>163</v>
      </c>
      <c r="J28" s="17"/>
      <c r="P28"/>
      <c r="Q28" s="16"/>
      <c r="R28"/>
      <c r="AE28" s="18"/>
      <c r="AF28" s="13"/>
      <c r="AG28" s="13"/>
      <c r="AH28" s="13"/>
      <c r="AI28" s="13"/>
      <c r="AK28">
        <v>27</v>
      </c>
      <c r="AL28" t="s">
        <v>68</v>
      </c>
      <c r="AM28" t="s">
        <v>360</v>
      </c>
      <c r="AN28" t="str">
        <f t="shared" si="1"/>
        <v>Hugo</v>
      </c>
      <c r="AO28" cm="1">
        <f t="array" ref="AO28">INDEX($AY$2:$CL$101,$AK28,($AV$2-1)*4+1)</f>
        <v>1</v>
      </c>
      <c r="AP28" cm="1">
        <f t="array" ref="AP28">INDEX($AY$2:$CL$101,$AK28,($AV$2-1)*4+2)</f>
        <v>1</v>
      </c>
      <c r="AQ28"/>
      <c r="AR28" s="1">
        <f t="shared" si="8"/>
        <v>2.9044332207535777</v>
      </c>
      <c r="AS28" cm="1">
        <f t="array" ref="AS28">INDEX($AY$2:$CL$101,$AK28,($AV$2-1)*4+4)</f>
        <v>38421</v>
      </c>
      <c r="AT28" s="53" t="str">
        <f t="shared" si="2"/>
        <v>421</v>
      </c>
      <c r="AY28" s="56">
        <v>0</v>
      </c>
      <c r="AZ28" s="56">
        <v>0</v>
      </c>
      <c r="BA28" s="56"/>
      <c r="BB28" s="65">
        <v>37987</v>
      </c>
      <c r="BC28" s="56">
        <v>0</v>
      </c>
      <c r="BD28" s="56">
        <v>1</v>
      </c>
      <c r="BE28" s="56"/>
      <c r="BF28" s="65">
        <v>35745</v>
      </c>
      <c r="BG28" s="56">
        <v>1</v>
      </c>
      <c r="BH28" s="56">
        <v>0</v>
      </c>
      <c r="BI28" s="56"/>
      <c r="BJ28" s="65">
        <v>38182</v>
      </c>
      <c r="BK28" s="56">
        <v>0</v>
      </c>
      <c r="BL28" s="56">
        <v>0</v>
      </c>
      <c r="BM28" s="56"/>
      <c r="BN28" s="65">
        <v>38418</v>
      </c>
      <c r="BO28" s="56">
        <v>1</v>
      </c>
      <c r="BP28" s="56">
        <v>1</v>
      </c>
      <c r="BQ28" s="56"/>
      <c r="BR28" s="65">
        <v>38421</v>
      </c>
      <c r="BS28" s="56">
        <v>1</v>
      </c>
      <c r="BT28" s="56">
        <v>0</v>
      </c>
      <c r="BU28" s="56"/>
      <c r="BV28" s="65">
        <v>36790</v>
      </c>
      <c r="BW28" s="56">
        <v>1</v>
      </c>
      <c r="BX28" s="56">
        <v>1</v>
      </c>
      <c r="BY28" s="56"/>
      <c r="BZ28" s="65">
        <v>37618</v>
      </c>
      <c r="CA28" s="56">
        <v>0</v>
      </c>
      <c r="CB28" s="56">
        <v>0</v>
      </c>
      <c r="CC28" s="56"/>
      <c r="CD28" s="65">
        <v>37075</v>
      </c>
      <c r="CE28" s="56">
        <v>1</v>
      </c>
      <c r="CF28" s="56">
        <v>1</v>
      </c>
      <c r="CG28" s="56"/>
      <c r="CH28" s="65">
        <v>36831</v>
      </c>
      <c r="CI28" s="56">
        <v>0</v>
      </c>
      <c r="CJ28" s="56">
        <v>1</v>
      </c>
      <c r="CK28" s="56"/>
      <c r="CL28" s="65">
        <v>36944</v>
      </c>
    </row>
    <row r="29" spans="2:90">
      <c r="B29" s="8"/>
      <c r="F29" s="19">
        <v>0.39888888887071516</v>
      </c>
      <c r="G29" s="3">
        <f>totalTime*24*3600</f>
        <v>34463.99999842979</v>
      </c>
      <c r="J29" s="17"/>
      <c r="P29"/>
      <c r="Q29" s="16"/>
      <c r="R29"/>
      <c r="AE29" s="18"/>
      <c r="AF29" s="13"/>
      <c r="AG29" s="13"/>
      <c r="AH29" s="13"/>
      <c r="AI29" s="13"/>
      <c r="AK29">
        <v>28</v>
      </c>
      <c r="AL29" t="s">
        <v>60</v>
      </c>
      <c r="AM29" t="s">
        <v>362</v>
      </c>
      <c r="AN29" t="str">
        <f t="shared" si="1"/>
        <v>Tobias</v>
      </c>
      <c r="AO29" cm="1">
        <f t="array" ref="AO29">INDEX($AY$2:$CL$101,$AK29,($AV$2-1)*4+1)</f>
        <v>1</v>
      </c>
      <c r="AP29" cm="1">
        <f t="array" ref="AP29">INDEX($AY$2:$CL$101,$AK29,($AV$2-1)*4+2)</f>
        <v>0</v>
      </c>
      <c r="AQ29"/>
      <c r="AR29" s="1">
        <f t="shared" si="8"/>
        <v>2.9044332207535777</v>
      </c>
      <c r="AS29" cm="1">
        <f t="array" ref="AS29">INDEX($AY$2:$CL$101,$AK29,($AV$2-1)*4+4)</f>
        <v>35971</v>
      </c>
      <c r="AT29" s="53" t="str">
        <f t="shared" si="2"/>
        <v>971</v>
      </c>
      <c r="AY29" s="56">
        <v>1</v>
      </c>
      <c r="AZ29" s="56">
        <v>1</v>
      </c>
      <c r="BA29" s="56"/>
      <c r="BB29" s="65">
        <v>38175</v>
      </c>
      <c r="BC29" s="56">
        <v>0</v>
      </c>
      <c r="BD29" s="56">
        <v>0</v>
      </c>
      <c r="BE29" s="56"/>
      <c r="BF29" s="65">
        <v>37132</v>
      </c>
      <c r="BG29" s="56">
        <v>1</v>
      </c>
      <c r="BH29" s="56">
        <v>0</v>
      </c>
      <c r="BI29" s="56"/>
      <c r="BJ29" s="65">
        <v>38255</v>
      </c>
      <c r="BK29" s="56">
        <v>0</v>
      </c>
      <c r="BL29" s="56">
        <v>1</v>
      </c>
      <c r="BM29" s="56"/>
      <c r="BN29" s="65">
        <v>35931</v>
      </c>
      <c r="BO29" s="56">
        <v>1</v>
      </c>
      <c r="BP29" s="56">
        <v>0</v>
      </c>
      <c r="BQ29" s="56"/>
      <c r="BR29" s="65">
        <v>35971</v>
      </c>
      <c r="BS29" s="56">
        <v>0</v>
      </c>
      <c r="BT29" s="56">
        <v>1</v>
      </c>
      <c r="BU29" s="56"/>
      <c r="BV29" s="65">
        <v>36009</v>
      </c>
      <c r="BW29" s="56">
        <v>1</v>
      </c>
      <c r="BX29" s="56">
        <v>1</v>
      </c>
      <c r="BY29" s="56"/>
      <c r="BZ29" s="65">
        <v>37305</v>
      </c>
      <c r="CA29" s="56">
        <v>1</v>
      </c>
      <c r="CB29" s="56">
        <v>0</v>
      </c>
      <c r="CC29" s="56"/>
      <c r="CD29" s="65">
        <v>36126</v>
      </c>
      <c r="CE29" s="56">
        <v>0</v>
      </c>
      <c r="CF29" s="56">
        <v>0</v>
      </c>
      <c r="CG29" s="56"/>
      <c r="CH29" s="65">
        <v>37454</v>
      </c>
      <c r="CI29" s="56">
        <v>0</v>
      </c>
      <c r="CJ29" s="56">
        <v>1</v>
      </c>
      <c r="CK29" s="56"/>
      <c r="CL29" s="65">
        <v>37229</v>
      </c>
    </row>
    <row r="30" spans="2:90">
      <c r="B30" s="8"/>
      <c r="J30" s="17"/>
      <c r="P30"/>
      <c r="Q30" s="16"/>
      <c r="R30"/>
      <c r="AE30" s="18"/>
      <c r="AF30" s="13"/>
      <c r="AG30" s="13"/>
      <c r="AH30" s="13"/>
      <c r="AI30" s="13"/>
      <c r="AK30">
        <v>29</v>
      </c>
      <c r="AL30" t="s">
        <v>70</v>
      </c>
      <c r="AM30" t="s">
        <v>492</v>
      </c>
      <c r="AN30" t="str">
        <f t="shared" si="1"/>
        <v>Brenda</v>
      </c>
      <c r="AO30" cm="1">
        <f t="array" ref="AO30">INDEX($AY$2:$CL$101,$AK30,($AV$2-1)*4+1)</f>
        <v>0</v>
      </c>
      <c r="AP30" cm="1">
        <f t="array" ref="AP30">INDEX($AY$2:$CL$101,$AK30,($AV$2-1)*4+2)</f>
        <v>1</v>
      </c>
      <c r="AQ30"/>
      <c r="AR30" s="1">
        <f t="shared" si="8"/>
        <v>2.9044332207535777</v>
      </c>
      <c r="AS30" cm="1">
        <f t="array" ref="AS30">INDEX($AY$2:$CL$101,$AK30,($AV$2-1)*4+4)</f>
        <v>36715</v>
      </c>
      <c r="AT30" s="53" t="str">
        <f t="shared" si="2"/>
        <v>715</v>
      </c>
      <c r="AY30" s="56">
        <v>1</v>
      </c>
      <c r="AZ30" s="56">
        <v>1</v>
      </c>
      <c r="BA30" s="56"/>
      <c r="BB30" s="65">
        <v>37689</v>
      </c>
      <c r="BC30" s="56">
        <v>0</v>
      </c>
      <c r="BD30" s="56">
        <v>1</v>
      </c>
      <c r="BE30" s="56"/>
      <c r="BF30" s="65">
        <v>35625</v>
      </c>
      <c r="BG30" s="56">
        <v>1</v>
      </c>
      <c r="BH30" s="56">
        <v>1</v>
      </c>
      <c r="BI30" s="56"/>
      <c r="BJ30" s="65">
        <v>38215</v>
      </c>
      <c r="BK30" s="56">
        <v>0</v>
      </c>
      <c r="BL30" s="56">
        <v>1</v>
      </c>
      <c r="BM30" s="56"/>
      <c r="BN30" s="65">
        <v>37275</v>
      </c>
      <c r="BO30" s="56">
        <v>0</v>
      </c>
      <c r="BP30" s="56">
        <v>1</v>
      </c>
      <c r="BQ30" s="56"/>
      <c r="BR30" s="65">
        <v>36715</v>
      </c>
      <c r="BS30" s="56">
        <v>0</v>
      </c>
      <c r="BT30" s="56">
        <v>0</v>
      </c>
      <c r="BU30" s="56"/>
      <c r="BV30" s="65">
        <v>36072</v>
      </c>
      <c r="BW30" s="56">
        <v>0</v>
      </c>
      <c r="BX30" s="56">
        <v>0</v>
      </c>
      <c r="BY30" s="56"/>
      <c r="BZ30" s="65">
        <v>37947</v>
      </c>
      <c r="CA30" s="56">
        <v>0</v>
      </c>
      <c r="CB30" s="56">
        <v>1</v>
      </c>
      <c r="CC30" s="56"/>
      <c r="CD30" s="65">
        <v>35777</v>
      </c>
      <c r="CE30" s="56">
        <v>0</v>
      </c>
      <c r="CF30" s="56">
        <v>1</v>
      </c>
      <c r="CG30" s="56"/>
      <c r="CH30" s="65">
        <v>38217</v>
      </c>
      <c r="CI30" s="56">
        <v>1</v>
      </c>
      <c r="CJ30" s="56">
        <v>0</v>
      </c>
      <c r="CK30" s="56"/>
      <c r="CL30" s="65">
        <v>38270</v>
      </c>
    </row>
    <row r="31" spans="2:90">
      <c r="B31" s="8"/>
      <c r="J31" s="17"/>
      <c r="P31"/>
      <c r="Q31" s="16"/>
      <c r="R31"/>
      <c r="AE31" s="18"/>
      <c r="AF31" s="13"/>
      <c r="AG31" s="13"/>
      <c r="AH31" s="13"/>
      <c r="AI31" s="13"/>
      <c r="AK31">
        <v>30</v>
      </c>
      <c r="AL31" t="s">
        <v>37</v>
      </c>
      <c r="AM31" t="s">
        <v>365</v>
      </c>
      <c r="AN31" t="str">
        <f t="shared" si="1"/>
        <v>Rowan</v>
      </c>
      <c r="AO31" cm="1">
        <f t="array" ref="AO31">INDEX($AY$2:$CL$101,$AK31,($AV$2-1)*4+1)</f>
        <v>1</v>
      </c>
      <c r="AP31" cm="1">
        <f t="array" ref="AP31">INDEX($AY$2:$CL$101,$AK31,($AV$2-1)*4+2)</f>
        <v>0</v>
      </c>
      <c r="AQ31"/>
      <c r="AR31" s="1">
        <f t="shared" si="8"/>
        <v>2.9044332207535777</v>
      </c>
      <c r="AS31" cm="1">
        <f t="array" ref="AS31">INDEX($AY$2:$CL$101,$AK31,($AV$2-1)*4+4)</f>
        <v>38170</v>
      </c>
      <c r="AT31" s="53" t="str">
        <f t="shared" si="2"/>
        <v>170</v>
      </c>
      <c r="AY31" s="56">
        <v>1</v>
      </c>
      <c r="AZ31" s="56">
        <v>1</v>
      </c>
      <c r="BA31" s="56"/>
      <c r="BB31" s="65">
        <v>38265</v>
      </c>
      <c r="BC31" s="56">
        <v>0</v>
      </c>
      <c r="BD31" s="56">
        <v>1</v>
      </c>
      <c r="BE31" s="56"/>
      <c r="BF31" s="65">
        <v>36413</v>
      </c>
      <c r="BG31" s="56">
        <v>1</v>
      </c>
      <c r="BH31" s="56">
        <v>0</v>
      </c>
      <c r="BI31" s="56"/>
      <c r="BJ31" s="65">
        <v>35817</v>
      </c>
      <c r="BK31" s="56">
        <v>0</v>
      </c>
      <c r="BL31" s="56">
        <v>1</v>
      </c>
      <c r="BM31" s="56"/>
      <c r="BN31" s="65">
        <v>36870</v>
      </c>
      <c r="BO31" s="56">
        <v>1</v>
      </c>
      <c r="BP31" s="56">
        <v>0</v>
      </c>
      <c r="BQ31" s="56"/>
      <c r="BR31" s="65">
        <v>38170</v>
      </c>
      <c r="BS31" s="56">
        <v>1</v>
      </c>
      <c r="BT31" s="56">
        <v>0</v>
      </c>
      <c r="BU31" s="56"/>
      <c r="BV31" s="65">
        <v>36834</v>
      </c>
      <c r="BW31" s="56">
        <v>0</v>
      </c>
      <c r="BX31" s="56">
        <v>1</v>
      </c>
      <c r="BY31" s="56"/>
      <c r="BZ31" s="65">
        <v>37566</v>
      </c>
      <c r="CA31" s="56">
        <v>0</v>
      </c>
      <c r="CB31" s="56">
        <v>0</v>
      </c>
      <c r="CC31" s="56"/>
      <c r="CD31" s="65">
        <v>37560</v>
      </c>
      <c r="CE31" s="56">
        <v>1</v>
      </c>
      <c r="CF31" s="56">
        <v>1</v>
      </c>
      <c r="CG31" s="56"/>
      <c r="CH31" s="65">
        <v>38210</v>
      </c>
      <c r="CI31" s="56">
        <v>1</v>
      </c>
      <c r="CJ31" s="56">
        <v>1</v>
      </c>
      <c r="CK31" s="56"/>
      <c r="CL31" s="65">
        <v>35685</v>
      </c>
    </row>
    <row r="32" spans="2:90">
      <c r="B32" s="8"/>
      <c r="J32" s="17"/>
      <c r="P32"/>
      <c r="Q32" s="16"/>
      <c r="R32"/>
      <c r="AE32" s="18"/>
      <c r="AF32" s="13"/>
      <c r="AG32" s="13"/>
      <c r="AH32" s="13"/>
      <c r="AI32" s="13"/>
      <c r="AK32">
        <v>31</v>
      </c>
      <c r="AL32" t="s">
        <v>81</v>
      </c>
      <c r="AM32" t="s">
        <v>367</v>
      </c>
      <c r="AN32" t="str">
        <f t="shared" si="1"/>
        <v>Jonah</v>
      </c>
      <c r="AO32" cm="1">
        <f t="array" ref="AO32">INDEX($AY$2:$CL$101,$AK32,($AV$2-1)*4+1)</f>
        <v>1</v>
      </c>
      <c r="AP32" cm="1">
        <f t="array" ref="AP32">INDEX($AY$2:$CL$101,$AK32,($AV$2-1)*4+2)</f>
        <v>1</v>
      </c>
      <c r="AQ32"/>
      <c r="AR32" s="1">
        <f t="shared" si="8"/>
        <v>2.9044332207535777</v>
      </c>
      <c r="AS32" cm="1">
        <f t="array" ref="AS32">INDEX($AY$2:$CL$101,$AK32,($AV$2-1)*4+4)</f>
        <v>35721</v>
      </c>
      <c r="AT32" s="53" t="str">
        <f t="shared" si="2"/>
        <v>721</v>
      </c>
      <c r="AY32" s="56">
        <v>1</v>
      </c>
      <c r="AZ32" s="56">
        <v>0</v>
      </c>
      <c r="BA32" s="56"/>
      <c r="BB32" s="65">
        <v>36191</v>
      </c>
      <c r="BC32" s="56">
        <v>0</v>
      </c>
      <c r="BD32" s="56">
        <v>0</v>
      </c>
      <c r="BE32" s="56"/>
      <c r="BF32" s="65">
        <v>38134</v>
      </c>
      <c r="BG32" s="56">
        <v>1</v>
      </c>
      <c r="BH32" s="56">
        <v>1</v>
      </c>
      <c r="BI32" s="56"/>
      <c r="BJ32" s="65">
        <v>36011</v>
      </c>
      <c r="BK32" s="56">
        <v>1</v>
      </c>
      <c r="BL32" s="56">
        <v>1</v>
      </c>
      <c r="BM32" s="56"/>
      <c r="BN32" s="65">
        <v>37031</v>
      </c>
      <c r="BO32" s="56">
        <v>1</v>
      </c>
      <c r="BP32" s="56">
        <v>1</v>
      </c>
      <c r="BQ32" s="56"/>
      <c r="BR32" s="65">
        <v>35721</v>
      </c>
      <c r="BS32" s="56">
        <v>0</v>
      </c>
      <c r="BT32" s="56">
        <v>0</v>
      </c>
      <c r="BU32" s="56"/>
      <c r="BV32" s="65">
        <v>35962</v>
      </c>
      <c r="BW32" s="56">
        <v>1</v>
      </c>
      <c r="BX32" s="56">
        <v>1</v>
      </c>
      <c r="BY32" s="56"/>
      <c r="BZ32" s="65">
        <v>36007</v>
      </c>
      <c r="CA32" s="56">
        <v>1</v>
      </c>
      <c r="CB32" s="56">
        <v>1</v>
      </c>
      <c r="CC32" s="56"/>
      <c r="CD32" s="65">
        <v>36743</v>
      </c>
      <c r="CE32" s="56">
        <v>1</v>
      </c>
      <c r="CF32" s="56">
        <v>1</v>
      </c>
      <c r="CG32" s="56"/>
      <c r="CH32" s="65">
        <v>35933</v>
      </c>
      <c r="CI32" s="56">
        <v>1</v>
      </c>
      <c r="CJ32" s="56">
        <v>1</v>
      </c>
      <c r="CK32" s="56"/>
      <c r="CL32" s="65">
        <v>36391</v>
      </c>
    </row>
    <row r="33" spans="2:90">
      <c r="B33" s="8"/>
      <c r="P33"/>
      <c r="Q33" s="16"/>
      <c r="R33"/>
      <c r="AE33" s="18"/>
      <c r="AF33" s="13"/>
      <c r="AG33" s="13"/>
      <c r="AH33" s="13"/>
      <c r="AI33" s="13"/>
      <c r="AK33">
        <v>32</v>
      </c>
      <c r="AL33" t="s">
        <v>493</v>
      </c>
      <c r="AM33" t="s">
        <v>369</v>
      </c>
      <c r="AN33" t="str">
        <f t="shared" si="1"/>
        <v>Alex</v>
      </c>
      <c r="AO33" cm="1">
        <f t="array" ref="AO33">INDEX($AY$2:$CL$101,$AK33,($AV$2-1)*4+1)</f>
        <v>0</v>
      </c>
      <c r="AP33" cm="1">
        <f t="array" ref="AP33">INDEX($AY$2:$CL$101,$AK33,($AV$2-1)*4+2)</f>
        <v>0</v>
      </c>
      <c r="AQ33" cm="1">
        <f t="array" ref="AQ33">INDEX($AY$2:$CL$101,$AK33,($AV$2-1)*4+3)</f>
        <v>2.5429971503273778</v>
      </c>
      <c r="AR33" s="1">
        <f t="shared" ref="AR33:AR44" si="9">AQ33</f>
        <v>2.5429971503273778</v>
      </c>
      <c r="AS33" cm="1">
        <f t="array" ref="AS33">INDEX($AY$2:$CL$101,$AK33,($AV$2-1)*4+4)</f>
        <v>36498</v>
      </c>
      <c r="AT33" s="53" t="str">
        <f t="shared" si="2"/>
        <v>498</v>
      </c>
      <c r="AY33" s="56">
        <v>1</v>
      </c>
      <c r="AZ33" s="56">
        <v>0</v>
      </c>
      <c r="BA33" s="56">
        <v>3.4148123623931705</v>
      </c>
      <c r="BB33" s="65">
        <v>37432</v>
      </c>
      <c r="BC33" s="56">
        <v>0</v>
      </c>
      <c r="BD33" s="56">
        <v>1</v>
      </c>
      <c r="BE33" s="56">
        <v>2.7894540016586094</v>
      </c>
      <c r="BF33" s="65">
        <v>37599</v>
      </c>
      <c r="BG33" s="56">
        <v>0</v>
      </c>
      <c r="BH33" s="56">
        <v>1</v>
      </c>
      <c r="BI33" s="56">
        <v>3.3791395086228353</v>
      </c>
      <c r="BJ33" s="65">
        <v>35627</v>
      </c>
      <c r="BK33" s="56">
        <v>0</v>
      </c>
      <c r="BL33" s="56">
        <v>1</v>
      </c>
      <c r="BM33" s="56">
        <v>2.5688960456101064</v>
      </c>
      <c r="BN33" s="65">
        <v>36157</v>
      </c>
      <c r="BO33" s="56">
        <v>0</v>
      </c>
      <c r="BP33" s="56">
        <v>0</v>
      </c>
      <c r="BQ33" s="56">
        <v>2.5429971503273778</v>
      </c>
      <c r="BR33" s="65">
        <v>36498</v>
      </c>
      <c r="BS33" s="56">
        <v>0</v>
      </c>
      <c r="BT33" s="56">
        <v>0</v>
      </c>
      <c r="BU33" s="56">
        <v>3.3023656908748062</v>
      </c>
      <c r="BV33" s="65">
        <v>38340</v>
      </c>
      <c r="BW33" s="56">
        <v>0</v>
      </c>
      <c r="BX33" s="56">
        <v>1</v>
      </c>
      <c r="BY33" s="56">
        <v>3.7771907005421315</v>
      </c>
      <c r="BZ33" s="65">
        <v>36316</v>
      </c>
      <c r="CA33" s="56">
        <v>0</v>
      </c>
      <c r="CB33" s="56">
        <v>1</v>
      </c>
      <c r="CC33" s="56">
        <v>2.3911367224829165</v>
      </c>
      <c r="CD33" s="65">
        <v>37465</v>
      </c>
      <c r="CE33" s="56">
        <v>1</v>
      </c>
      <c r="CF33" s="56">
        <v>0</v>
      </c>
      <c r="CG33" s="56">
        <v>2.5231341875990689</v>
      </c>
      <c r="CH33" s="65">
        <v>37497</v>
      </c>
      <c r="CI33" s="56">
        <v>0</v>
      </c>
      <c r="CJ33" s="56">
        <v>1</v>
      </c>
      <c r="CK33" s="56">
        <v>3.4371220080850997</v>
      </c>
      <c r="CL33" s="65">
        <v>38457</v>
      </c>
    </row>
    <row r="34" spans="2:90">
      <c r="B34" s="8"/>
      <c r="P34"/>
      <c r="Q34" s="16"/>
      <c r="R34"/>
      <c r="AE34" s="18"/>
      <c r="AF34" s="13"/>
      <c r="AG34" s="13"/>
      <c r="AH34" s="13"/>
      <c r="AI34" s="13"/>
      <c r="AK34">
        <v>33</v>
      </c>
      <c r="AL34" t="s">
        <v>86</v>
      </c>
      <c r="AM34" t="s">
        <v>371</v>
      </c>
      <c r="AN34" t="str">
        <f t="shared" si="1"/>
        <v>Carolyn</v>
      </c>
      <c r="AO34" cm="1">
        <f t="array" ref="AO34">INDEX($AY$2:$CL$101,$AK34,($AV$2-1)*4+1)</f>
        <v>0</v>
      </c>
      <c r="AP34" cm="1">
        <f t="array" ref="AP34">INDEX($AY$2:$CL$101,$AK34,($AV$2-1)*4+2)</f>
        <v>1</v>
      </c>
      <c r="AQ34" cm="1">
        <f t="array" ref="AQ34">INDEX($AY$2:$CL$101,$AK34,($AV$2-1)*4+3)</f>
        <v>2.8811058170623181</v>
      </c>
      <c r="AR34" s="1">
        <f t="shared" si="9"/>
        <v>2.8811058170623181</v>
      </c>
      <c r="AS34" cm="1">
        <f t="array" ref="AS34">INDEX($AY$2:$CL$101,$AK34,($AV$2-1)*4+4)</f>
        <v>36367</v>
      </c>
      <c r="AT34" s="53" t="str">
        <f t="shared" si="2"/>
        <v>367</v>
      </c>
      <c r="AY34" s="56">
        <v>1</v>
      </c>
      <c r="AZ34" s="56">
        <v>0</v>
      </c>
      <c r="BA34" s="56">
        <v>2.8811058170623181</v>
      </c>
      <c r="BB34" s="65">
        <v>37102</v>
      </c>
      <c r="BC34" s="56">
        <v>0</v>
      </c>
      <c r="BD34" s="56">
        <v>0</v>
      </c>
      <c r="BE34" s="56">
        <v>2.8811058170623181</v>
      </c>
      <c r="BF34" s="65">
        <v>35585</v>
      </c>
      <c r="BG34" s="56">
        <v>1</v>
      </c>
      <c r="BH34" s="56">
        <v>0</v>
      </c>
      <c r="BI34" s="56">
        <v>2.8811058170623181</v>
      </c>
      <c r="BJ34" s="65">
        <v>37940</v>
      </c>
      <c r="BK34" s="56">
        <v>0</v>
      </c>
      <c r="BL34" s="56">
        <v>0</v>
      </c>
      <c r="BM34" s="56">
        <v>2.8811058170623181</v>
      </c>
      <c r="BN34" s="65">
        <v>36382</v>
      </c>
      <c r="BO34" s="56">
        <v>0</v>
      </c>
      <c r="BP34" s="56">
        <v>1</v>
      </c>
      <c r="BQ34" s="56">
        <v>2.8811058170623181</v>
      </c>
      <c r="BR34" s="65">
        <v>36367</v>
      </c>
      <c r="BS34" s="56">
        <v>1</v>
      </c>
      <c r="BT34" s="56">
        <v>1</v>
      </c>
      <c r="BU34" s="56">
        <v>2.8811058170623181</v>
      </c>
      <c r="BV34" s="65">
        <v>35513</v>
      </c>
      <c r="BW34" s="56">
        <v>0</v>
      </c>
      <c r="BX34" s="56">
        <v>1</v>
      </c>
      <c r="BY34" s="56">
        <v>2.8811058170623181</v>
      </c>
      <c r="BZ34" s="65">
        <v>36700</v>
      </c>
      <c r="CA34" s="56">
        <v>1</v>
      </c>
      <c r="CB34" s="56">
        <v>1</v>
      </c>
      <c r="CC34" s="56">
        <v>2.8811058170623181</v>
      </c>
      <c r="CD34" s="65">
        <v>37959</v>
      </c>
      <c r="CE34" s="56">
        <v>1</v>
      </c>
      <c r="CF34" s="56">
        <v>0</v>
      </c>
      <c r="CG34" s="56">
        <v>2.8811058170623181</v>
      </c>
      <c r="CH34" s="65">
        <v>37503</v>
      </c>
      <c r="CI34" s="56">
        <v>1</v>
      </c>
      <c r="CJ34" s="56">
        <v>1</v>
      </c>
      <c r="CK34" s="56">
        <v>2.8811058170623181</v>
      </c>
      <c r="CL34" s="65">
        <v>36010</v>
      </c>
    </row>
    <row r="35" spans="2:90">
      <c r="B35" s="8"/>
      <c r="D35" s="2" t="s">
        <v>164</v>
      </c>
      <c r="AE35" s="18"/>
      <c r="AF35" s="13"/>
      <c r="AG35" s="13"/>
      <c r="AH35" s="13"/>
      <c r="AI35" s="13"/>
      <c r="AK35">
        <v>34</v>
      </c>
      <c r="AL35" t="s">
        <v>24</v>
      </c>
      <c r="AM35" t="s">
        <v>373</v>
      </c>
      <c r="AN35" t="str">
        <f t="shared" si="1"/>
        <v>Susan</v>
      </c>
      <c r="AO35" cm="1">
        <f t="array" ref="AO35">INDEX($AY$2:$CL$101,$AK35,($AV$2-1)*4+1)</f>
        <v>0</v>
      </c>
      <c r="AP35" cm="1">
        <f t="array" ref="AP35">INDEX($AY$2:$CL$101,$AK35,($AV$2-1)*4+2)</f>
        <v>0</v>
      </c>
      <c r="AQ35" cm="1">
        <f t="array" ref="AQ35">INDEX($AY$2:$CL$101,$AK35,($AV$2-1)*4+3)</f>
        <v>2.4827514447143866</v>
      </c>
      <c r="AR35" s="1">
        <f t="shared" si="9"/>
        <v>2.4827514447143866</v>
      </c>
      <c r="AS35" cm="1">
        <f t="array" ref="AS35">INDEX($AY$2:$CL$101,$AK35,($AV$2-1)*4+4)</f>
        <v>37297</v>
      </c>
      <c r="AT35" s="53" t="str">
        <f t="shared" si="2"/>
        <v>297</v>
      </c>
      <c r="AY35" s="56">
        <v>0</v>
      </c>
      <c r="AZ35" s="56">
        <v>0</v>
      </c>
      <c r="BA35" s="56">
        <v>2.501484019080535</v>
      </c>
      <c r="BB35" s="65">
        <v>36528</v>
      </c>
      <c r="BC35" s="56">
        <v>1</v>
      </c>
      <c r="BD35" s="56">
        <v>0</v>
      </c>
      <c r="BE35" s="56">
        <v>2.4670644753208331</v>
      </c>
      <c r="BF35" s="65">
        <v>35886</v>
      </c>
      <c r="BG35" s="56">
        <v>0</v>
      </c>
      <c r="BH35" s="56">
        <v>1</v>
      </c>
      <c r="BI35" s="56">
        <v>2.0095683994568088</v>
      </c>
      <c r="BJ35" s="65">
        <v>36023</v>
      </c>
      <c r="BK35" s="56">
        <v>0</v>
      </c>
      <c r="BL35" s="56">
        <v>1</v>
      </c>
      <c r="BM35" s="56">
        <v>3.5803204547538989</v>
      </c>
      <c r="BN35" s="65">
        <v>38367</v>
      </c>
      <c r="BO35" s="56">
        <v>0</v>
      </c>
      <c r="BP35" s="56">
        <v>0</v>
      </c>
      <c r="BQ35" s="56">
        <v>2.4827514447143866</v>
      </c>
      <c r="BR35" s="65">
        <v>37297</v>
      </c>
      <c r="BS35" s="56">
        <v>1</v>
      </c>
      <c r="BT35" s="56">
        <v>1</v>
      </c>
      <c r="BU35" s="56">
        <v>3.7015417552268151</v>
      </c>
      <c r="BV35" s="65">
        <v>37354</v>
      </c>
      <c r="BW35" s="56">
        <v>0</v>
      </c>
      <c r="BX35" s="56">
        <v>1</v>
      </c>
      <c r="BY35" s="56">
        <v>2.9984919966379833</v>
      </c>
      <c r="BZ35" s="65">
        <v>36809</v>
      </c>
      <c r="CA35" s="56">
        <v>1</v>
      </c>
      <c r="CB35" s="56">
        <v>1</v>
      </c>
      <c r="CC35" s="56">
        <v>3.3489811361293436</v>
      </c>
      <c r="CD35" s="65">
        <v>37037</v>
      </c>
      <c r="CE35" s="56">
        <v>0</v>
      </c>
      <c r="CF35" s="56">
        <v>0</v>
      </c>
      <c r="CG35" s="56">
        <v>2.5674753165581281</v>
      </c>
      <c r="CH35" s="65">
        <v>35573</v>
      </c>
      <c r="CI35" s="56">
        <v>0</v>
      </c>
      <c r="CJ35" s="56">
        <v>0</v>
      </c>
      <c r="CK35" s="56">
        <v>3.6984589121839555</v>
      </c>
      <c r="CL35" s="65">
        <v>37385</v>
      </c>
    </row>
    <row r="36" spans="2:90">
      <c r="B36" s="8"/>
      <c r="D36" s="3">
        <f>StudentIDCell</f>
        <v>0</v>
      </c>
      <c r="AE36" s="18"/>
      <c r="AF36" s="13"/>
      <c r="AG36" s="13"/>
      <c r="AH36" s="13"/>
      <c r="AI36" s="13"/>
      <c r="AK36">
        <v>35</v>
      </c>
      <c r="AL36" t="s">
        <v>10</v>
      </c>
      <c r="AM36" t="s">
        <v>375</v>
      </c>
      <c r="AN36" t="str">
        <f t="shared" si="1"/>
        <v>Gideon</v>
      </c>
      <c r="AO36" cm="1">
        <f t="array" ref="AO36">INDEX($AY$2:$CL$101,$AK36,($AV$2-1)*4+1)</f>
        <v>1</v>
      </c>
      <c r="AP36" cm="1">
        <f t="array" ref="AP36">INDEX($AY$2:$CL$101,$AK36,($AV$2-1)*4+2)</f>
        <v>1</v>
      </c>
      <c r="AQ36" cm="1">
        <f t="array" ref="AQ36">INDEX($AY$2:$CL$101,$AK36,($AV$2-1)*4+3)</f>
        <v>2.8811058170623181</v>
      </c>
      <c r="AR36" s="1">
        <f t="shared" si="9"/>
        <v>2.8811058170623181</v>
      </c>
      <c r="AS36" cm="1">
        <f t="array" ref="AS36">INDEX($AY$2:$CL$101,$AK36,($AV$2-1)*4+4)</f>
        <v>36789</v>
      </c>
      <c r="AT36" s="53" t="str">
        <f t="shared" si="2"/>
        <v>789</v>
      </c>
      <c r="AY36" s="56">
        <v>1</v>
      </c>
      <c r="AZ36" s="56">
        <v>1</v>
      </c>
      <c r="BA36" s="56">
        <v>2.8811058170623181</v>
      </c>
      <c r="BB36" s="65">
        <v>36819</v>
      </c>
      <c r="BC36" s="56">
        <v>0</v>
      </c>
      <c r="BD36" s="56">
        <v>1</v>
      </c>
      <c r="BE36" s="56">
        <v>2.8811058170623181</v>
      </c>
      <c r="BF36" s="65">
        <v>37162</v>
      </c>
      <c r="BG36" s="56">
        <v>1</v>
      </c>
      <c r="BH36" s="56">
        <v>0</v>
      </c>
      <c r="BI36" s="56">
        <v>2.8811058170623181</v>
      </c>
      <c r="BJ36" s="65">
        <v>37797</v>
      </c>
      <c r="BK36" s="56">
        <v>0</v>
      </c>
      <c r="BL36" s="56">
        <v>0</v>
      </c>
      <c r="BM36" s="56">
        <v>2.8811058170623181</v>
      </c>
      <c r="BN36" s="65">
        <v>36764</v>
      </c>
      <c r="BO36" s="56">
        <v>1</v>
      </c>
      <c r="BP36" s="56">
        <v>1</v>
      </c>
      <c r="BQ36" s="56">
        <v>2.8811058170623181</v>
      </c>
      <c r="BR36" s="65">
        <v>36789</v>
      </c>
      <c r="BS36" s="56">
        <v>1</v>
      </c>
      <c r="BT36" s="56">
        <v>0</v>
      </c>
      <c r="BU36" s="56">
        <v>2.8811058170623181</v>
      </c>
      <c r="BV36" s="65">
        <v>36605</v>
      </c>
      <c r="BW36" s="56">
        <v>0</v>
      </c>
      <c r="BX36" s="56">
        <v>1</v>
      </c>
      <c r="BY36" s="56">
        <v>2.8811058170623181</v>
      </c>
      <c r="BZ36" s="65">
        <v>38060</v>
      </c>
      <c r="CA36" s="56">
        <v>1</v>
      </c>
      <c r="CB36" s="56">
        <v>1</v>
      </c>
      <c r="CC36" s="56">
        <v>2.8811058170623181</v>
      </c>
      <c r="CD36" s="65">
        <v>37886</v>
      </c>
      <c r="CE36" s="56">
        <v>0</v>
      </c>
      <c r="CF36" s="56">
        <v>1</v>
      </c>
      <c r="CG36" s="56">
        <v>2.8811058170623181</v>
      </c>
      <c r="CH36" s="65">
        <v>38349</v>
      </c>
      <c r="CI36" s="56">
        <v>1</v>
      </c>
      <c r="CJ36" s="56">
        <v>1</v>
      </c>
      <c r="CK36" s="56">
        <v>2.8811058170623181</v>
      </c>
      <c r="CL36" s="65">
        <v>36746</v>
      </c>
    </row>
    <row r="37" spans="2:90">
      <c r="B37" s="8"/>
      <c r="D37" s="3">
        <f>StudentNameCell</f>
        <v>0</v>
      </c>
      <c r="AE37" s="18"/>
      <c r="AF37" s="13"/>
      <c r="AG37" s="13"/>
      <c r="AH37" s="13"/>
      <c r="AI37" s="13"/>
      <c r="AK37">
        <v>36</v>
      </c>
      <c r="AL37" t="s">
        <v>12</v>
      </c>
      <c r="AM37" t="s">
        <v>418</v>
      </c>
      <c r="AN37" t="str">
        <f t="shared" si="1"/>
        <v>Damien</v>
      </c>
      <c r="AO37" cm="1">
        <f t="array" ref="AO37">INDEX($AY$2:$CL$101,$AK37,($AV$2-1)*4+1)</f>
        <v>1</v>
      </c>
      <c r="AP37" cm="1">
        <f t="array" ref="AP37">INDEX($AY$2:$CL$101,$AK37,($AV$2-1)*4+2)</f>
        <v>0</v>
      </c>
      <c r="AQ37" cm="1">
        <f t="array" ref="AQ37">INDEX($AY$2:$CL$101,$AK37,($AV$2-1)*4+3)</f>
        <v>2.893357690944911</v>
      </c>
      <c r="AR37" s="1">
        <f t="shared" si="9"/>
        <v>2.893357690944911</v>
      </c>
      <c r="AS37" cm="1">
        <f t="array" ref="AS37">INDEX($AY$2:$CL$101,$AK37,($AV$2-1)*4+4)</f>
        <v>36063</v>
      </c>
      <c r="AT37" s="53" t="str">
        <f t="shared" si="2"/>
        <v>063</v>
      </c>
      <c r="AY37" s="56">
        <v>0</v>
      </c>
      <c r="AZ37" s="56">
        <v>1</v>
      </c>
      <c r="BA37" s="56">
        <v>3.2796748436769603</v>
      </c>
      <c r="BB37" s="65">
        <v>38341</v>
      </c>
      <c r="BC37" s="56">
        <v>1</v>
      </c>
      <c r="BD37" s="56">
        <v>0</v>
      </c>
      <c r="BE37" s="56">
        <v>3.4050863831337868</v>
      </c>
      <c r="BF37" s="65">
        <v>37137</v>
      </c>
      <c r="BG37" s="56">
        <v>1</v>
      </c>
      <c r="BH37" s="56">
        <v>1</v>
      </c>
      <c r="BI37" s="56">
        <v>2.4398493260184835</v>
      </c>
      <c r="BJ37" s="65">
        <v>35619</v>
      </c>
      <c r="BK37" s="56">
        <v>1</v>
      </c>
      <c r="BL37" s="56">
        <v>0</v>
      </c>
      <c r="BM37" s="56">
        <v>2.7511374159189841</v>
      </c>
      <c r="BN37" s="65">
        <v>37919</v>
      </c>
      <c r="BO37" s="56">
        <v>1</v>
      </c>
      <c r="BP37" s="56">
        <v>0</v>
      </c>
      <c r="BQ37" s="56">
        <v>2.893357690944911</v>
      </c>
      <c r="BR37" s="65">
        <v>36063</v>
      </c>
      <c r="BS37" s="56">
        <v>0</v>
      </c>
      <c r="BT37" s="56">
        <v>0</v>
      </c>
      <c r="BU37" s="56">
        <v>2.6986565335338639</v>
      </c>
      <c r="BV37" s="65">
        <v>38271</v>
      </c>
      <c r="BW37" s="56">
        <v>0</v>
      </c>
      <c r="BX37" s="56">
        <v>1</v>
      </c>
      <c r="BY37" s="56">
        <v>2.5874465795518589</v>
      </c>
      <c r="BZ37" s="65">
        <v>35932</v>
      </c>
      <c r="CA37" s="56">
        <v>1</v>
      </c>
      <c r="CB37" s="56">
        <v>1</v>
      </c>
      <c r="CC37" s="56">
        <v>3.0948801054316948</v>
      </c>
      <c r="CD37" s="65">
        <v>36366</v>
      </c>
      <c r="CE37" s="56">
        <v>1</v>
      </c>
      <c r="CF37" s="56">
        <v>0</v>
      </c>
      <c r="CG37" s="56">
        <v>3.7965809337954743</v>
      </c>
      <c r="CH37" s="65">
        <v>36789</v>
      </c>
      <c r="CI37" s="56">
        <v>1</v>
      </c>
      <c r="CJ37" s="56">
        <v>0</v>
      </c>
      <c r="CK37" s="56">
        <v>2.4042448280023678</v>
      </c>
      <c r="CL37" s="65">
        <v>36478</v>
      </c>
    </row>
    <row r="38" spans="2:90">
      <c r="B38" s="8"/>
      <c r="AE38" s="18"/>
      <c r="AF38" s="13"/>
      <c r="AG38" s="13"/>
      <c r="AH38" s="13"/>
      <c r="AJ38" s="13"/>
      <c r="AK38">
        <v>37</v>
      </c>
      <c r="AL38" t="s">
        <v>84</v>
      </c>
      <c r="AM38" t="s">
        <v>378</v>
      </c>
      <c r="AN38" t="str">
        <f t="shared" si="1"/>
        <v>Alaric</v>
      </c>
      <c r="AO38" cm="1">
        <f t="array" ref="AO38">INDEX($AY$2:$CL$101,$AK38,($AV$2-1)*4+1)</f>
        <v>1</v>
      </c>
      <c r="AP38" cm="1">
        <f t="array" ref="AP38">INDEX($AY$2:$CL$101,$AK38,($AV$2-1)*4+2)</f>
        <v>0</v>
      </c>
      <c r="AQ38" cm="1">
        <f t="array" ref="AQ38">INDEX($AY$2:$CL$101,$AK38,($AV$2-1)*4+3)</f>
        <v>2.8811058170623181</v>
      </c>
      <c r="AR38" s="1">
        <f t="shared" si="9"/>
        <v>2.8811058170623181</v>
      </c>
      <c r="AS38" cm="1">
        <f t="array" ref="AS38">INDEX($AY$2:$CL$101,$AK38,($AV$2-1)*4+4)</f>
        <v>37372</v>
      </c>
      <c r="AT38" s="53" t="str">
        <f t="shared" si="2"/>
        <v>372</v>
      </c>
      <c r="AY38" s="56">
        <v>1</v>
      </c>
      <c r="AZ38" s="56">
        <v>1</v>
      </c>
      <c r="BA38" s="56">
        <v>2.8811058170623181</v>
      </c>
      <c r="BB38" s="65">
        <v>36392</v>
      </c>
      <c r="BC38" s="56">
        <v>0</v>
      </c>
      <c r="BD38" s="56">
        <v>0</v>
      </c>
      <c r="BE38" s="56">
        <v>2.8811058170623181</v>
      </c>
      <c r="BF38" s="65">
        <v>38016</v>
      </c>
      <c r="BG38" s="56">
        <v>0</v>
      </c>
      <c r="BH38" s="56">
        <v>0</v>
      </c>
      <c r="BI38" s="56">
        <v>2.8811058170623181</v>
      </c>
      <c r="BJ38" s="65">
        <v>36706</v>
      </c>
      <c r="BK38" s="56">
        <v>1</v>
      </c>
      <c r="BL38" s="56">
        <v>1</v>
      </c>
      <c r="BM38" s="56">
        <v>2.8811058170623181</v>
      </c>
      <c r="BN38" s="65">
        <v>36808</v>
      </c>
      <c r="BO38" s="56">
        <v>1</v>
      </c>
      <c r="BP38" s="56">
        <v>0</v>
      </c>
      <c r="BQ38" s="56">
        <v>2.8811058170623181</v>
      </c>
      <c r="BR38" s="65">
        <v>37372</v>
      </c>
      <c r="BS38" s="56">
        <v>1</v>
      </c>
      <c r="BT38" s="56">
        <v>0</v>
      </c>
      <c r="BU38" s="56">
        <v>2.8811058170623181</v>
      </c>
      <c r="BV38" s="65">
        <v>37643</v>
      </c>
      <c r="BW38" s="56">
        <v>0</v>
      </c>
      <c r="BX38" s="56">
        <v>1</v>
      </c>
      <c r="BY38" s="56">
        <v>2.8811058170623181</v>
      </c>
      <c r="BZ38" s="65">
        <v>38169</v>
      </c>
      <c r="CA38" s="56">
        <v>0</v>
      </c>
      <c r="CB38" s="56">
        <v>1</v>
      </c>
      <c r="CC38" s="56">
        <v>2.8811058170623181</v>
      </c>
      <c r="CD38" s="65">
        <v>37720</v>
      </c>
      <c r="CE38" s="56">
        <v>1</v>
      </c>
      <c r="CF38" s="56">
        <v>0</v>
      </c>
      <c r="CG38" s="56">
        <v>2.8811058170623181</v>
      </c>
      <c r="CH38" s="65">
        <v>37313</v>
      </c>
      <c r="CI38" s="56">
        <v>1</v>
      </c>
      <c r="CJ38" s="56">
        <v>0</v>
      </c>
      <c r="CK38" s="56">
        <v>2.8811058170623181</v>
      </c>
      <c r="CL38" s="65">
        <v>37046</v>
      </c>
    </row>
    <row r="39" spans="2:90">
      <c r="B39" s="8"/>
      <c r="AE39" s="18"/>
      <c r="AF39" s="13"/>
      <c r="AG39" s="13"/>
      <c r="AH39" s="13"/>
      <c r="AI39" s="13"/>
      <c r="AK39">
        <v>38</v>
      </c>
      <c r="AL39" t="s">
        <v>92</v>
      </c>
      <c r="AM39" t="s">
        <v>380</v>
      </c>
      <c r="AN39" t="str">
        <f t="shared" si="1"/>
        <v>Heather</v>
      </c>
      <c r="AO39" cm="1">
        <f t="array" ref="AO39">INDEX($AY$2:$CL$101,$AK39,($AV$2-1)*4+1)</f>
        <v>0</v>
      </c>
      <c r="AP39" cm="1">
        <f t="array" ref="AP39">INDEX($AY$2:$CL$101,$AK39,($AV$2-1)*4+2)</f>
        <v>0</v>
      </c>
      <c r="AQ39" cm="1">
        <f t="array" ref="AQ39">INDEX($AY$2:$CL$101,$AK39,($AV$2-1)*4+3)</f>
        <v>2.6942621009319101</v>
      </c>
      <c r="AR39" s="1">
        <f t="shared" si="9"/>
        <v>2.6942621009319101</v>
      </c>
      <c r="AS39" cm="1">
        <f t="array" ref="AS39">INDEX($AY$2:$CL$101,$AK39,($AV$2-1)*4+4)</f>
        <v>36622</v>
      </c>
      <c r="AT39" s="53" t="str">
        <f t="shared" si="2"/>
        <v>622</v>
      </c>
      <c r="AY39" s="56">
        <v>1</v>
      </c>
      <c r="AZ39" s="56">
        <v>0</v>
      </c>
      <c r="BA39" s="56">
        <v>2.3946968033593663</v>
      </c>
      <c r="BB39" s="65">
        <v>35829</v>
      </c>
      <c r="BC39" s="56">
        <v>0</v>
      </c>
      <c r="BD39" s="56">
        <v>1</v>
      </c>
      <c r="BE39" s="56">
        <v>3.3690580135985186</v>
      </c>
      <c r="BF39" s="65">
        <v>36727</v>
      </c>
      <c r="BG39" s="56">
        <v>1</v>
      </c>
      <c r="BH39" s="56">
        <v>1</v>
      </c>
      <c r="BI39" s="56">
        <v>3.5959943732092849</v>
      </c>
      <c r="BJ39" s="65">
        <v>37419</v>
      </c>
      <c r="BK39" s="56">
        <v>1</v>
      </c>
      <c r="BL39" s="56">
        <v>0</v>
      </c>
      <c r="BM39" s="56">
        <v>3.9720715439154439</v>
      </c>
      <c r="BN39" s="65">
        <v>37782</v>
      </c>
      <c r="BO39" s="56">
        <v>0</v>
      </c>
      <c r="BP39" s="56">
        <v>0</v>
      </c>
      <c r="BQ39" s="56">
        <v>2.6942621009319101</v>
      </c>
      <c r="BR39" s="65">
        <v>36622</v>
      </c>
      <c r="BS39" s="56">
        <v>0</v>
      </c>
      <c r="BT39" s="56">
        <v>0</v>
      </c>
      <c r="BU39" s="56">
        <v>2.5880321433372093</v>
      </c>
      <c r="BV39" s="65">
        <v>35545</v>
      </c>
      <c r="BW39" s="56">
        <v>0</v>
      </c>
      <c r="BX39" s="56">
        <v>1</v>
      </c>
      <c r="BY39" s="56">
        <v>2.9315846861845842</v>
      </c>
      <c r="BZ39" s="65">
        <v>38267</v>
      </c>
      <c r="CA39" s="56">
        <v>0</v>
      </c>
      <c r="CB39" s="56">
        <v>0</v>
      </c>
      <c r="CC39" s="56">
        <v>2.11073959701453</v>
      </c>
      <c r="CD39" s="65">
        <v>37669</v>
      </c>
      <c r="CE39" s="56">
        <v>1</v>
      </c>
      <c r="CF39" s="56">
        <v>1</v>
      </c>
      <c r="CG39" s="56">
        <v>2.8776636075760633</v>
      </c>
      <c r="CH39" s="65">
        <v>37959</v>
      </c>
      <c r="CI39" s="56">
        <v>1</v>
      </c>
      <c r="CJ39" s="56">
        <v>0</v>
      </c>
      <c r="CK39" s="56">
        <v>2.3362747291502779</v>
      </c>
      <c r="CL39" s="65">
        <v>36557</v>
      </c>
    </row>
    <row r="40" spans="2:90">
      <c r="B40" s="8"/>
      <c r="AD40" s="7"/>
      <c r="AE40" s="18"/>
      <c r="AF40" s="13"/>
      <c r="AG40" s="13"/>
      <c r="AH40" s="13"/>
      <c r="AI40" s="13"/>
      <c r="AK40">
        <v>39</v>
      </c>
      <c r="AL40" t="s">
        <v>66</v>
      </c>
      <c r="AM40" t="s">
        <v>494</v>
      </c>
      <c r="AN40" t="str">
        <f t="shared" si="1"/>
        <v>Shirley</v>
      </c>
      <c r="AO40" cm="1">
        <f t="array" ref="AO40">INDEX($AY$2:$CL$101,$AK40,($AV$2-1)*4+1)</f>
        <v>0</v>
      </c>
      <c r="AP40" cm="1">
        <f t="array" ref="AP40">INDEX($AY$2:$CL$101,$AK40,($AV$2-1)*4+2)</f>
        <v>1</v>
      </c>
      <c r="AQ40" cm="1">
        <f t="array" ref="AQ40">INDEX($AY$2:$CL$101,$AK40,($AV$2-1)*4+3)</f>
        <v>2.8811058170623181</v>
      </c>
      <c r="AR40" s="1">
        <f t="shared" si="9"/>
        <v>2.8811058170623181</v>
      </c>
      <c r="AS40" cm="1">
        <f t="array" ref="AS40">INDEX($AY$2:$CL$101,$AK40,($AV$2-1)*4+4)</f>
        <v>36991</v>
      </c>
      <c r="AT40" s="53" t="str">
        <f t="shared" si="2"/>
        <v>991</v>
      </c>
      <c r="AY40" s="56">
        <v>0</v>
      </c>
      <c r="AZ40" s="56">
        <v>0</v>
      </c>
      <c r="BA40" s="56">
        <v>2.8811058170623181</v>
      </c>
      <c r="BB40" s="65">
        <v>37294</v>
      </c>
      <c r="BC40" s="56">
        <v>0</v>
      </c>
      <c r="BD40" s="56">
        <v>1</v>
      </c>
      <c r="BE40" s="56">
        <v>2.8811058170623181</v>
      </c>
      <c r="BF40" s="65">
        <v>37399</v>
      </c>
      <c r="BG40" s="56">
        <v>0</v>
      </c>
      <c r="BH40" s="56">
        <v>0</v>
      </c>
      <c r="BI40" s="56">
        <v>2.8811058170623181</v>
      </c>
      <c r="BJ40" s="65">
        <v>36400</v>
      </c>
      <c r="BK40" s="56">
        <v>1</v>
      </c>
      <c r="BL40" s="56">
        <v>0</v>
      </c>
      <c r="BM40" s="56">
        <v>2.8811058170623181</v>
      </c>
      <c r="BN40" s="65">
        <v>38301</v>
      </c>
      <c r="BO40" s="56">
        <v>0</v>
      </c>
      <c r="BP40" s="56">
        <v>1</v>
      </c>
      <c r="BQ40" s="56">
        <v>2.8811058170623181</v>
      </c>
      <c r="BR40" s="65">
        <v>36991</v>
      </c>
      <c r="BS40" s="56">
        <v>0</v>
      </c>
      <c r="BT40" s="56">
        <v>1</v>
      </c>
      <c r="BU40" s="56">
        <v>2.8811058170623181</v>
      </c>
      <c r="BV40" s="65">
        <v>36220</v>
      </c>
      <c r="BW40" s="56">
        <v>1</v>
      </c>
      <c r="BX40" s="56">
        <v>0</v>
      </c>
      <c r="BY40" s="56">
        <v>2.8811058170623181</v>
      </c>
      <c r="BZ40" s="65">
        <v>36496</v>
      </c>
      <c r="CA40" s="56">
        <v>1</v>
      </c>
      <c r="CB40" s="56">
        <v>0</v>
      </c>
      <c r="CC40" s="56">
        <v>2.8811058170623181</v>
      </c>
      <c r="CD40" s="65">
        <v>37772</v>
      </c>
      <c r="CE40" s="56">
        <v>1</v>
      </c>
      <c r="CF40" s="56">
        <v>0</v>
      </c>
      <c r="CG40" s="56">
        <v>2.8811058170623181</v>
      </c>
      <c r="CH40" s="65">
        <v>35912</v>
      </c>
      <c r="CI40" s="56">
        <v>0</v>
      </c>
      <c r="CJ40" s="56">
        <v>0</v>
      </c>
      <c r="CK40" s="56">
        <v>2.8811058170623181</v>
      </c>
      <c r="CL40" s="65">
        <v>37368</v>
      </c>
    </row>
    <row r="41" spans="2:90">
      <c r="B41" s="8"/>
      <c r="AD41" s="7"/>
      <c r="AE41" s="7"/>
      <c r="AF41" s="7"/>
      <c r="AG41" s="7"/>
      <c r="AH41" s="7"/>
      <c r="AI41" s="7"/>
      <c r="AK41">
        <v>40</v>
      </c>
      <c r="AL41" t="s">
        <v>64</v>
      </c>
      <c r="AM41" t="s">
        <v>495</v>
      </c>
      <c r="AN41" t="str">
        <f t="shared" si="1"/>
        <v>Angela</v>
      </c>
      <c r="AO41" cm="1">
        <f t="array" ref="AO41">INDEX($AY$2:$CL$101,$AK41,($AV$2-1)*4+1)</f>
        <v>0</v>
      </c>
      <c r="AP41" cm="1">
        <f t="array" ref="AP41">INDEX($AY$2:$CL$101,$AK41,($AV$2-1)*4+2)</f>
        <v>1</v>
      </c>
      <c r="AQ41" cm="1">
        <f t="array" ref="AQ41">INDEX($AY$2:$CL$101,$AK41,($AV$2-1)*4+3)</f>
        <v>2.2754752200513284</v>
      </c>
      <c r="AR41" s="1">
        <f t="shared" si="9"/>
        <v>2.2754752200513284</v>
      </c>
      <c r="AS41" cm="1">
        <f t="array" ref="AS41">INDEX($AY$2:$CL$101,$AK41,($AV$2-1)*4+4)</f>
        <v>35546</v>
      </c>
      <c r="AT41" s="53" t="str">
        <f t="shared" si="2"/>
        <v>546</v>
      </c>
      <c r="AY41" s="56">
        <v>0</v>
      </c>
      <c r="AZ41" s="56">
        <v>1</v>
      </c>
      <c r="BA41" s="56">
        <v>3.7102958035199807</v>
      </c>
      <c r="BB41" s="65">
        <v>37929</v>
      </c>
      <c r="BC41" s="56">
        <v>0</v>
      </c>
      <c r="BD41" s="56">
        <v>0</v>
      </c>
      <c r="BE41" s="56">
        <v>3.7501726271741607</v>
      </c>
      <c r="BF41" s="65">
        <v>37532</v>
      </c>
      <c r="BG41" s="56">
        <v>0</v>
      </c>
      <c r="BH41" s="56">
        <v>1</v>
      </c>
      <c r="BI41" s="56">
        <v>2.4558119378042704</v>
      </c>
      <c r="BJ41" s="65">
        <v>37809</v>
      </c>
      <c r="BK41" s="56">
        <v>1</v>
      </c>
      <c r="BL41" s="56">
        <v>1</v>
      </c>
      <c r="BM41" s="56">
        <v>3.0948455527390593</v>
      </c>
      <c r="BN41" s="65">
        <v>36204</v>
      </c>
      <c r="BO41" s="56">
        <v>0</v>
      </c>
      <c r="BP41" s="56">
        <v>1</v>
      </c>
      <c r="BQ41" s="56">
        <v>2.2754752200513284</v>
      </c>
      <c r="BR41" s="65">
        <v>35546</v>
      </c>
      <c r="BS41" s="56">
        <v>1</v>
      </c>
      <c r="BT41" s="56">
        <v>0</v>
      </c>
      <c r="BU41" s="56">
        <v>2.5514152039479847</v>
      </c>
      <c r="BV41" s="65">
        <v>36924</v>
      </c>
      <c r="BW41" s="56">
        <v>1</v>
      </c>
      <c r="BX41" s="56">
        <v>0</v>
      </c>
      <c r="BY41" s="56">
        <v>2.8702141030237565</v>
      </c>
      <c r="BZ41" s="65">
        <v>36771</v>
      </c>
      <c r="CA41" s="56">
        <v>0</v>
      </c>
      <c r="CB41" s="56">
        <v>1</v>
      </c>
      <c r="CC41" s="56">
        <v>2.2046027333211078</v>
      </c>
      <c r="CD41" s="65">
        <v>37788</v>
      </c>
      <c r="CE41" s="56">
        <v>0</v>
      </c>
      <c r="CF41" s="56">
        <v>0</v>
      </c>
      <c r="CG41" s="56">
        <v>3.5369630576931312</v>
      </c>
      <c r="CH41" s="65">
        <v>38332</v>
      </c>
      <c r="CI41" s="56">
        <v>1</v>
      </c>
      <c r="CJ41" s="56">
        <v>0</v>
      </c>
      <c r="CK41" s="56">
        <v>2.8220655416848643</v>
      </c>
      <c r="CL41" s="65">
        <v>36212</v>
      </c>
    </row>
    <row r="42" spans="2:90">
      <c r="B42" s="8"/>
      <c r="AE42" s="18"/>
      <c r="AF42" s="13"/>
      <c r="AG42" s="13"/>
      <c r="AH42" s="13"/>
      <c r="AI42" s="13"/>
      <c r="AK42">
        <v>41</v>
      </c>
      <c r="AL42" t="s">
        <v>9</v>
      </c>
      <c r="AM42" t="s">
        <v>385</v>
      </c>
      <c r="AN42" t="str">
        <f t="shared" si="1"/>
        <v>Linda</v>
      </c>
      <c r="AO42" cm="1">
        <f t="array" ref="AO42">INDEX($AY$2:$CL$101,$AK42,($AV$2-1)*4+1)</f>
        <v>0</v>
      </c>
      <c r="AP42" cm="1">
        <f t="array" ref="AP42">INDEX($AY$2:$CL$101,$AK42,($AV$2-1)*4+2)</f>
        <v>1</v>
      </c>
      <c r="AQ42" cm="1">
        <f t="array" ref="AQ42">INDEX($AY$2:$CL$101,$AK42,($AV$2-1)*4+3)</f>
        <v>2.8811058170623181</v>
      </c>
      <c r="AR42" s="1">
        <f t="shared" si="9"/>
        <v>2.8811058170623181</v>
      </c>
      <c r="AS42" cm="1">
        <f t="array" ref="AS42">INDEX($AY$2:$CL$101,$AK42,($AV$2-1)*4+4)</f>
        <v>38365</v>
      </c>
      <c r="AT42" s="53" t="str">
        <f t="shared" si="2"/>
        <v>365</v>
      </c>
      <c r="AY42" s="56">
        <v>0</v>
      </c>
      <c r="AZ42" s="56">
        <v>1</v>
      </c>
      <c r="BA42" s="56">
        <v>2.8811058170623181</v>
      </c>
      <c r="BB42" s="65">
        <v>36060</v>
      </c>
      <c r="BC42" s="56">
        <v>0</v>
      </c>
      <c r="BD42" s="56">
        <v>0</v>
      </c>
      <c r="BE42" s="56">
        <v>2.8811058170623181</v>
      </c>
      <c r="BF42" s="65">
        <v>37774</v>
      </c>
      <c r="BG42" s="56">
        <v>0</v>
      </c>
      <c r="BH42" s="56">
        <v>0</v>
      </c>
      <c r="BI42" s="56">
        <v>2.8811058170623181</v>
      </c>
      <c r="BJ42" s="65">
        <v>37437</v>
      </c>
      <c r="BK42" s="56">
        <v>0</v>
      </c>
      <c r="BL42" s="56">
        <v>0</v>
      </c>
      <c r="BM42" s="56">
        <v>2.8811058170623181</v>
      </c>
      <c r="BN42" s="65">
        <v>36833</v>
      </c>
      <c r="BO42" s="56">
        <v>0</v>
      </c>
      <c r="BP42" s="56">
        <v>1</v>
      </c>
      <c r="BQ42" s="56">
        <v>2.8811058170623181</v>
      </c>
      <c r="BR42" s="65">
        <v>38365</v>
      </c>
      <c r="BS42" s="56">
        <v>0</v>
      </c>
      <c r="BT42" s="56">
        <v>1</v>
      </c>
      <c r="BU42" s="56">
        <v>2.8811058170623181</v>
      </c>
      <c r="BV42" s="65">
        <v>35922</v>
      </c>
      <c r="BW42" s="56">
        <v>1</v>
      </c>
      <c r="BX42" s="56">
        <v>1</v>
      </c>
      <c r="BY42" s="56">
        <v>2.8811058170623181</v>
      </c>
      <c r="BZ42" s="65">
        <v>37187</v>
      </c>
      <c r="CA42" s="56">
        <v>0</v>
      </c>
      <c r="CB42" s="56">
        <v>1</v>
      </c>
      <c r="CC42" s="56">
        <v>2.8811058170623181</v>
      </c>
      <c r="CD42" s="65">
        <v>36179</v>
      </c>
      <c r="CE42" s="56">
        <v>0</v>
      </c>
      <c r="CF42" s="56">
        <v>1</v>
      </c>
      <c r="CG42" s="56">
        <v>2.8811058170623181</v>
      </c>
      <c r="CH42" s="65">
        <v>36937</v>
      </c>
      <c r="CI42" s="56">
        <v>1</v>
      </c>
      <c r="CJ42" s="56">
        <v>1</v>
      </c>
      <c r="CK42" s="56">
        <v>2.8811058170623181</v>
      </c>
      <c r="CL42" s="65">
        <v>36539</v>
      </c>
    </row>
    <row r="43" spans="2:90">
      <c r="B43" s="8"/>
      <c r="AE43" s="18"/>
      <c r="AF43" s="13"/>
      <c r="AG43" s="13"/>
      <c r="AH43" s="13"/>
      <c r="AI43" s="13"/>
      <c r="AK43">
        <v>42</v>
      </c>
      <c r="AL43" t="s">
        <v>42</v>
      </c>
      <c r="AM43" t="s">
        <v>387</v>
      </c>
      <c r="AN43" t="str">
        <f t="shared" si="1"/>
        <v>Donna</v>
      </c>
      <c r="AO43" cm="1">
        <f t="array" ref="AO43">INDEX($AY$2:$CL$101,$AK43,($AV$2-1)*4+1)</f>
        <v>0</v>
      </c>
      <c r="AP43" cm="1">
        <f t="array" ref="AP43">INDEX($AY$2:$CL$101,$AK43,($AV$2-1)*4+2)</f>
        <v>1</v>
      </c>
      <c r="AQ43" cm="1">
        <f t="array" ref="AQ43">INDEX($AY$2:$CL$101,$AK43,($AV$2-1)*4+3)</f>
        <v>3.5599579413533977</v>
      </c>
      <c r="AR43" s="1">
        <f t="shared" si="9"/>
        <v>3.5599579413533977</v>
      </c>
      <c r="AS43" cm="1">
        <f t="array" ref="AS43">INDEX($AY$2:$CL$101,$AK43,($AV$2-1)*4+4)</f>
        <v>36720</v>
      </c>
      <c r="AT43" s="53" t="str">
        <f t="shared" si="2"/>
        <v>720</v>
      </c>
      <c r="AY43" s="56">
        <v>0</v>
      </c>
      <c r="AZ43" s="56">
        <v>1</v>
      </c>
      <c r="BA43" s="56">
        <v>2.2891800011098313</v>
      </c>
      <c r="BB43" s="65">
        <v>37323</v>
      </c>
      <c r="BC43" s="56">
        <v>1</v>
      </c>
      <c r="BD43" s="56">
        <v>1</v>
      </c>
      <c r="BE43" s="56">
        <v>2.9217767636304885</v>
      </c>
      <c r="BF43" s="65">
        <v>37638</v>
      </c>
      <c r="BG43" s="56">
        <v>1</v>
      </c>
      <c r="BH43" s="56">
        <v>1</v>
      </c>
      <c r="BI43" s="56">
        <v>2.5966168471996829</v>
      </c>
      <c r="BJ43" s="65">
        <v>37176</v>
      </c>
      <c r="BK43" s="56">
        <v>0</v>
      </c>
      <c r="BL43" s="56">
        <v>1</v>
      </c>
      <c r="BM43" s="56">
        <v>2.600398896742492</v>
      </c>
      <c r="BN43" s="65">
        <v>35556</v>
      </c>
      <c r="BO43" s="56">
        <v>0</v>
      </c>
      <c r="BP43" s="56">
        <v>1</v>
      </c>
      <c r="BQ43" s="56">
        <v>3.5599579413533977</v>
      </c>
      <c r="BR43" s="65">
        <v>36720</v>
      </c>
      <c r="BS43" s="56">
        <v>0</v>
      </c>
      <c r="BT43" s="56">
        <v>1</v>
      </c>
      <c r="BU43" s="56">
        <v>2.0788918298282479</v>
      </c>
      <c r="BV43" s="65">
        <v>36391</v>
      </c>
      <c r="BW43" s="56">
        <v>1</v>
      </c>
      <c r="BX43" s="56">
        <v>0</v>
      </c>
      <c r="BY43" s="56">
        <v>3.9867813740752642</v>
      </c>
      <c r="BZ43" s="65">
        <v>37732</v>
      </c>
      <c r="CA43" s="56">
        <v>1</v>
      </c>
      <c r="CB43" s="56">
        <v>0</v>
      </c>
      <c r="CC43" s="56">
        <v>2.148324088250023</v>
      </c>
      <c r="CD43" s="65">
        <v>36878</v>
      </c>
      <c r="CE43" s="56">
        <v>0</v>
      </c>
      <c r="CF43" s="56">
        <v>0</v>
      </c>
      <c r="CG43" s="56">
        <v>3.2947954236397652</v>
      </c>
      <c r="CH43" s="65">
        <v>36432</v>
      </c>
      <c r="CI43" s="56">
        <v>0</v>
      </c>
      <c r="CJ43" s="56">
        <v>0</v>
      </c>
      <c r="CK43" s="56">
        <v>2.0796389251376945</v>
      </c>
      <c r="CL43" s="65">
        <v>36938</v>
      </c>
    </row>
    <row r="44" spans="2:90">
      <c r="B44" s="8"/>
      <c r="AE44" s="18"/>
      <c r="AF44" s="13"/>
      <c r="AG44" s="13"/>
      <c r="AH44" s="13"/>
      <c r="AI44" s="13"/>
      <c r="AK44">
        <v>43</v>
      </c>
      <c r="AL44" t="s">
        <v>90</v>
      </c>
      <c r="AM44" t="s">
        <v>496</v>
      </c>
      <c r="AN44" t="str">
        <f t="shared" si="1"/>
        <v>Remi</v>
      </c>
      <c r="AO44" cm="1">
        <f t="array" ref="AO44">INDEX($AY$2:$CL$101,$AK44,($AV$2-1)*4+1)</f>
        <v>1</v>
      </c>
      <c r="AP44" cm="1">
        <f t="array" ref="AP44">INDEX($AY$2:$CL$101,$AK44,($AV$2-1)*4+2)</f>
        <v>1</v>
      </c>
      <c r="AQ44" cm="1">
        <f t="array" ref="AQ44">INDEX($AY$2:$CL$101,$AK44,($AV$2-1)*4+3)</f>
        <v>2.8811058170623181</v>
      </c>
      <c r="AR44" s="1">
        <f t="shared" si="9"/>
        <v>2.8811058170623181</v>
      </c>
      <c r="AS44" cm="1">
        <f t="array" ref="AS44">INDEX($AY$2:$CL$101,$AK44,($AV$2-1)*4+4)</f>
        <v>37613</v>
      </c>
      <c r="AT44" s="53" t="str">
        <f t="shared" si="2"/>
        <v>613</v>
      </c>
      <c r="AY44" s="56">
        <v>0</v>
      </c>
      <c r="AZ44" s="56">
        <v>0</v>
      </c>
      <c r="BA44" s="56">
        <v>2.8811058170623181</v>
      </c>
      <c r="BB44" s="65">
        <v>37191</v>
      </c>
      <c r="BC44" s="56">
        <v>0</v>
      </c>
      <c r="BD44" s="56">
        <v>1</v>
      </c>
      <c r="BE44" s="56">
        <v>2.8811058170623181</v>
      </c>
      <c r="BF44" s="65">
        <v>35883</v>
      </c>
      <c r="BG44" s="56">
        <v>0</v>
      </c>
      <c r="BH44" s="56">
        <v>0</v>
      </c>
      <c r="BI44" s="56">
        <v>2.8811058170623181</v>
      </c>
      <c r="BJ44" s="65">
        <v>36686</v>
      </c>
      <c r="BK44" s="56">
        <v>1</v>
      </c>
      <c r="BL44" s="56">
        <v>0</v>
      </c>
      <c r="BM44" s="56">
        <v>2.8811058170623181</v>
      </c>
      <c r="BN44" s="65">
        <v>38000</v>
      </c>
      <c r="BO44" s="56">
        <v>1</v>
      </c>
      <c r="BP44" s="56">
        <v>1</v>
      </c>
      <c r="BQ44" s="56">
        <v>2.8811058170623181</v>
      </c>
      <c r="BR44" s="65">
        <v>37613</v>
      </c>
      <c r="BS44" s="56">
        <v>0</v>
      </c>
      <c r="BT44" s="56">
        <v>1</v>
      </c>
      <c r="BU44" s="56">
        <v>2.8811058170623181</v>
      </c>
      <c r="BV44" s="65">
        <v>36022</v>
      </c>
      <c r="BW44" s="56">
        <v>0</v>
      </c>
      <c r="BX44" s="56">
        <v>1</v>
      </c>
      <c r="BY44" s="56">
        <v>2.8811058170623181</v>
      </c>
      <c r="BZ44" s="65">
        <v>38312</v>
      </c>
      <c r="CA44" s="56">
        <v>0</v>
      </c>
      <c r="CB44" s="56">
        <v>1</v>
      </c>
      <c r="CC44" s="56">
        <v>2.8811058170623181</v>
      </c>
      <c r="CD44" s="65">
        <v>37930</v>
      </c>
      <c r="CE44" s="56">
        <v>1</v>
      </c>
      <c r="CF44" s="56">
        <v>1</v>
      </c>
      <c r="CG44" s="56">
        <v>2.8811058170623181</v>
      </c>
      <c r="CH44" s="65">
        <v>38123</v>
      </c>
      <c r="CI44" s="56">
        <v>0</v>
      </c>
      <c r="CJ44" s="56">
        <v>1</v>
      </c>
      <c r="CK44" s="56">
        <v>2.8811058170623181</v>
      </c>
      <c r="CL44" s="65">
        <v>36110</v>
      </c>
    </row>
    <row r="45" spans="2:90">
      <c r="B45" s="8"/>
      <c r="D45" s="7" t="s">
        <v>165</v>
      </c>
      <c r="F45" s="7" t="s">
        <v>166</v>
      </c>
      <c r="AE45" s="18"/>
      <c r="AF45" s="13"/>
      <c r="AG45" s="13"/>
      <c r="AH45" s="13"/>
      <c r="AI45" s="13"/>
      <c r="AK45">
        <v>44</v>
      </c>
      <c r="AL45" t="s">
        <v>14</v>
      </c>
      <c r="AM45" t="s">
        <v>390</v>
      </c>
      <c r="AN45" t="str">
        <f t="shared" si="1"/>
        <v>Rhett</v>
      </c>
      <c r="AO45" cm="1">
        <f t="array" ref="AO45">INDEX($AY$2:$CL$101,$AK45,($AV$2-1)*4+1)</f>
        <v>1</v>
      </c>
      <c r="AP45" cm="1">
        <f t="array" ref="AP45">INDEX($AY$2:$CL$101,$AK45,($AV$2-1)*4+2)</f>
        <v>0</v>
      </c>
      <c r="AQ45"/>
      <c r="AR45" s="1">
        <f t="shared" ref="AR45:AR53" si="10">AVERAGE($AQ$2:$AQ$101)</f>
        <v>2.9044332207535777</v>
      </c>
      <c r="AS45" cm="1">
        <f t="array" ref="AS45">INDEX($AY$2:$CL$101,$AK45,($AV$2-1)*4+4)</f>
        <v>37892</v>
      </c>
      <c r="AT45" s="53" t="str">
        <f t="shared" si="2"/>
        <v>892</v>
      </c>
      <c r="AY45" s="56">
        <v>1</v>
      </c>
      <c r="AZ45" s="56">
        <v>1</v>
      </c>
      <c r="BA45" s="56"/>
      <c r="BB45" s="65">
        <v>35648</v>
      </c>
      <c r="BC45" s="56">
        <v>1</v>
      </c>
      <c r="BD45" s="56">
        <v>1</v>
      </c>
      <c r="BE45" s="56"/>
      <c r="BF45" s="65">
        <v>37958</v>
      </c>
      <c r="BG45" s="56">
        <v>0</v>
      </c>
      <c r="BH45" s="56">
        <v>0</v>
      </c>
      <c r="BI45" s="56"/>
      <c r="BJ45" s="65">
        <v>37983</v>
      </c>
      <c r="BK45" s="56">
        <v>0</v>
      </c>
      <c r="BL45" s="56">
        <v>1</v>
      </c>
      <c r="BM45" s="56"/>
      <c r="BN45" s="65">
        <v>37917</v>
      </c>
      <c r="BO45" s="56">
        <v>1</v>
      </c>
      <c r="BP45" s="56">
        <v>0</v>
      </c>
      <c r="BQ45" s="56"/>
      <c r="BR45" s="65">
        <v>37892</v>
      </c>
      <c r="BS45" s="56">
        <v>0</v>
      </c>
      <c r="BT45" s="56">
        <v>1</v>
      </c>
      <c r="BU45" s="56"/>
      <c r="BV45" s="65">
        <v>36509</v>
      </c>
      <c r="BW45" s="56">
        <v>0</v>
      </c>
      <c r="BX45" s="56">
        <v>0</v>
      </c>
      <c r="BY45" s="56"/>
      <c r="BZ45" s="65">
        <v>37329</v>
      </c>
      <c r="CA45" s="56">
        <v>1</v>
      </c>
      <c r="CB45" s="56">
        <v>1</v>
      </c>
      <c r="CC45" s="56"/>
      <c r="CD45" s="65">
        <v>36571</v>
      </c>
      <c r="CE45" s="56">
        <v>1</v>
      </c>
      <c r="CF45" s="56">
        <v>0</v>
      </c>
      <c r="CG45" s="56"/>
      <c r="CH45" s="65">
        <v>36542</v>
      </c>
      <c r="CI45" s="56">
        <v>0</v>
      </c>
      <c r="CJ45" s="56">
        <v>1</v>
      </c>
      <c r="CK45" s="56"/>
      <c r="CL45" s="65">
        <v>37453</v>
      </c>
    </row>
    <row r="46" spans="2:90">
      <c r="B46" s="8"/>
      <c r="D46" s="3" t="s">
        <v>167</v>
      </c>
      <c r="F46" s="3">
        <v>1</v>
      </c>
      <c r="AE46" s="18"/>
      <c r="AF46" s="13"/>
      <c r="AG46" s="13"/>
      <c r="AH46" s="13"/>
      <c r="AI46" s="13"/>
      <c r="AK46">
        <v>45</v>
      </c>
      <c r="AL46" t="s">
        <v>54</v>
      </c>
      <c r="AM46" t="s">
        <v>392</v>
      </c>
      <c r="AN46" t="str">
        <f t="shared" si="1"/>
        <v>Roman</v>
      </c>
      <c r="AO46" cm="1">
        <f t="array" ref="AO46">INDEX($AY$2:$CL$101,$AK46,($AV$2-1)*4+1)</f>
        <v>1</v>
      </c>
      <c r="AP46" cm="1">
        <f t="array" ref="AP46">INDEX($AY$2:$CL$101,$AK46,($AV$2-1)*4+2)</f>
        <v>0</v>
      </c>
      <c r="AQ46"/>
      <c r="AR46" s="1">
        <f t="shared" si="10"/>
        <v>2.9044332207535777</v>
      </c>
      <c r="AS46" cm="1">
        <f t="array" ref="AS46">INDEX($AY$2:$CL$101,$AK46,($AV$2-1)*4+4)</f>
        <v>35721</v>
      </c>
      <c r="AT46" s="53" t="str">
        <f t="shared" si="2"/>
        <v>721</v>
      </c>
      <c r="AY46" s="56">
        <v>0</v>
      </c>
      <c r="AZ46" s="56">
        <v>1</v>
      </c>
      <c r="BA46" s="56"/>
      <c r="BB46" s="65">
        <v>37802</v>
      </c>
      <c r="BC46" s="56">
        <v>0</v>
      </c>
      <c r="BD46" s="56">
        <v>0</v>
      </c>
      <c r="BE46" s="56"/>
      <c r="BF46" s="65">
        <v>37511</v>
      </c>
      <c r="BG46" s="56">
        <v>1</v>
      </c>
      <c r="BH46" s="56">
        <v>0</v>
      </c>
      <c r="BI46" s="56"/>
      <c r="BJ46" s="65">
        <v>37272</v>
      </c>
      <c r="BK46" s="56">
        <v>1</v>
      </c>
      <c r="BL46" s="56">
        <v>1</v>
      </c>
      <c r="BM46" s="56"/>
      <c r="BN46" s="65">
        <v>37260</v>
      </c>
      <c r="BO46" s="56">
        <v>1</v>
      </c>
      <c r="BP46" s="56">
        <v>0</v>
      </c>
      <c r="BQ46" s="56"/>
      <c r="BR46" s="65">
        <v>35721</v>
      </c>
      <c r="BS46" s="56">
        <v>0</v>
      </c>
      <c r="BT46" s="56">
        <v>0</v>
      </c>
      <c r="BU46" s="56"/>
      <c r="BV46" s="65">
        <v>36144</v>
      </c>
      <c r="BW46" s="56">
        <v>0</v>
      </c>
      <c r="BX46" s="56">
        <v>0</v>
      </c>
      <c r="BY46" s="56"/>
      <c r="BZ46" s="65">
        <v>37848</v>
      </c>
      <c r="CA46" s="56">
        <v>0</v>
      </c>
      <c r="CB46" s="56">
        <v>0</v>
      </c>
      <c r="CC46" s="56"/>
      <c r="CD46" s="65">
        <v>37058</v>
      </c>
      <c r="CE46" s="56">
        <v>1</v>
      </c>
      <c r="CF46" s="56">
        <v>0</v>
      </c>
      <c r="CG46" s="56"/>
      <c r="CH46" s="65">
        <v>35918</v>
      </c>
      <c r="CI46" s="56">
        <v>0</v>
      </c>
      <c r="CJ46" s="56">
        <v>1</v>
      </c>
      <c r="CK46" s="56"/>
      <c r="CL46" s="65">
        <v>38250</v>
      </c>
    </row>
    <row r="47" spans="2:90">
      <c r="B47" s="8"/>
      <c r="D47" s="3" t="s">
        <v>132</v>
      </c>
      <c r="AE47" s="18"/>
      <c r="AF47" s="13"/>
      <c r="AG47" s="13"/>
      <c r="AH47" s="13"/>
      <c r="AI47" s="13"/>
      <c r="AK47">
        <v>46</v>
      </c>
      <c r="AL47" t="s">
        <v>46</v>
      </c>
      <c r="AM47" t="s">
        <v>393</v>
      </c>
      <c r="AN47" t="str">
        <f t="shared" si="1"/>
        <v>Nathan</v>
      </c>
      <c r="AO47" cm="1">
        <f t="array" ref="AO47">INDEX($AY$2:$CL$101,$AK47,($AV$2-1)*4+1)</f>
        <v>1</v>
      </c>
      <c r="AP47" cm="1">
        <f t="array" ref="AP47">INDEX($AY$2:$CL$101,$AK47,($AV$2-1)*4+2)</f>
        <v>1</v>
      </c>
      <c r="AQ47"/>
      <c r="AR47" s="1">
        <f t="shared" si="10"/>
        <v>2.9044332207535777</v>
      </c>
      <c r="AS47" cm="1">
        <f t="array" ref="AS47">INDEX($AY$2:$CL$101,$AK47,($AV$2-1)*4+4)</f>
        <v>35719</v>
      </c>
      <c r="AT47" s="53" t="str">
        <f t="shared" si="2"/>
        <v>719</v>
      </c>
      <c r="AY47" s="56">
        <v>1</v>
      </c>
      <c r="AZ47" s="56">
        <v>0</v>
      </c>
      <c r="BA47" s="56"/>
      <c r="BB47" s="65">
        <v>37803</v>
      </c>
      <c r="BC47" s="56">
        <v>1</v>
      </c>
      <c r="BD47" s="56">
        <v>0</v>
      </c>
      <c r="BE47" s="56"/>
      <c r="BF47" s="65">
        <v>36763</v>
      </c>
      <c r="BG47" s="56">
        <v>1</v>
      </c>
      <c r="BH47" s="56">
        <v>1</v>
      </c>
      <c r="BI47" s="56"/>
      <c r="BJ47" s="65">
        <v>38083</v>
      </c>
      <c r="BK47" s="56">
        <v>0</v>
      </c>
      <c r="BL47" s="56">
        <v>0</v>
      </c>
      <c r="BM47" s="56"/>
      <c r="BN47" s="65">
        <v>37951</v>
      </c>
      <c r="BO47" s="56">
        <v>1</v>
      </c>
      <c r="BP47" s="56">
        <v>1</v>
      </c>
      <c r="BQ47" s="56"/>
      <c r="BR47" s="65">
        <v>35719</v>
      </c>
      <c r="BS47" s="56">
        <v>1</v>
      </c>
      <c r="BT47" s="56">
        <v>0</v>
      </c>
      <c r="BU47" s="56"/>
      <c r="BV47" s="65">
        <v>38340</v>
      </c>
      <c r="BW47" s="56">
        <v>1</v>
      </c>
      <c r="BX47" s="56">
        <v>1</v>
      </c>
      <c r="BY47" s="56"/>
      <c r="BZ47" s="65">
        <v>37985</v>
      </c>
      <c r="CA47" s="56">
        <v>1</v>
      </c>
      <c r="CB47" s="56">
        <v>0</v>
      </c>
      <c r="CC47" s="56"/>
      <c r="CD47" s="65">
        <v>36727</v>
      </c>
      <c r="CE47" s="56">
        <v>1</v>
      </c>
      <c r="CF47" s="56">
        <v>0</v>
      </c>
      <c r="CG47" s="56"/>
      <c r="CH47" s="65">
        <v>35512</v>
      </c>
      <c r="CI47" s="56">
        <v>0</v>
      </c>
      <c r="CJ47" s="56">
        <v>1</v>
      </c>
      <c r="CK47" s="56"/>
      <c r="CL47" s="65">
        <v>36163</v>
      </c>
    </row>
    <row r="48" spans="2:90">
      <c r="B48" s="8"/>
      <c r="F48" s="7" t="s">
        <v>168</v>
      </c>
      <c r="AE48" s="18"/>
      <c r="AF48" s="13"/>
      <c r="AG48" s="13"/>
      <c r="AH48" s="13"/>
      <c r="AI48" s="13"/>
      <c r="AK48">
        <v>47</v>
      </c>
      <c r="AL48" t="s">
        <v>50</v>
      </c>
      <c r="AM48" t="s">
        <v>395</v>
      </c>
      <c r="AN48" t="str">
        <f t="shared" si="1"/>
        <v>Zachary</v>
      </c>
      <c r="AO48" cm="1">
        <f t="array" ref="AO48">INDEX($AY$2:$CL$101,$AK48,($AV$2-1)*4+1)</f>
        <v>1</v>
      </c>
      <c r="AP48" cm="1">
        <f t="array" ref="AP48">INDEX($AY$2:$CL$101,$AK48,($AV$2-1)*4+2)</f>
        <v>0</v>
      </c>
      <c r="AQ48"/>
      <c r="AR48" s="1">
        <f t="shared" si="10"/>
        <v>2.9044332207535777</v>
      </c>
      <c r="AS48" cm="1">
        <f t="array" ref="AS48">INDEX($AY$2:$CL$101,$AK48,($AV$2-1)*4+4)</f>
        <v>37773</v>
      </c>
      <c r="AT48" s="53" t="str">
        <f t="shared" si="2"/>
        <v>773</v>
      </c>
      <c r="AY48" s="56">
        <v>1</v>
      </c>
      <c r="AZ48" s="56">
        <v>0</v>
      </c>
      <c r="BA48" s="56"/>
      <c r="BB48" s="65">
        <v>37859</v>
      </c>
      <c r="BC48" s="56">
        <v>0</v>
      </c>
      <c r="BD48" s="56">
        <v>0</v>
      </c>
      <c r="BE48" s="56"/>
      <c r="BF48" s="65">
        <v>37270</v>
      </c>
      <c r="BG48" s="56">
        <v>1</v>
      </c>
      <c r="BH48" s="56">
        <v>0</v>
      </c>
      <c r="BI48" s="56"/>
      <c r="BJ48" s="65">
        <v>35878</v>
      </c>
      <c r="BK48" s="56">
        <v>1</v>
      </c>
      <c r="BL48" s="56">
        <v>1</v>
      </c>
      <c r="BM48" s="56"/>
      <c r="BN48" s="65">
        <v>38363</v>
      </c>
      <c r="BO48" s="56">
        <v>1</v>
      </c>
      <c r="BP48" s="56">
        <v>0</v>
      </c>
      <c r="BQ48" s="56"/>
      <c r="BR48" s="65">
        <v>37773</v>
      </c>
      <c r="BS48" s="56">
        <v>0</v>
      </c>
      <c r="BT48" s="56">
        <v>0</v>
      </c>
      <c r="BU48" s="56"/>
      <c r="BV48" s="65">
        <v>36087</v>
      </c>
      <c r="BW48" s="56">
        <v>1</v>
      </c>
      <c r="BX48" s="56">
        <v>0</v>
      </c>
      <c r="BY48" s="56"/>
      <c r="BZ48" s="65">
        <v>35980</v>
      </c>
      <c r="CA48" s="56">
        <v>1</v>
      </c>
      <c r="CB48" s="56">
        <v>0</v>
      </c>
      <c r="CC48" s="56"/>
      <c r="CD48" s="65">
        <v>38352</v>
      </c>
      <c r="CE48" s="56">
        <v>1</v>
      </c>
      <c r="CF48" s="56">
        <v>1</v>
      </c>
      <c r="CG48" s="56"/>
      <c r="CH48" s="65">
        <v>36661</v>
      </c>
      <c r="CI48" s="56">
        <v>0</v>
      </c>
      <c r="CJ48" s="56">
        <v>1</v>
      </c>
      <c r="CK48" s="56"/>
      <c r="CL48" s="65">
        <v>37028</v>
      </c>
    </row>
    <row r="49" spans="2:90">
      <c r="B49" s="8"/>
      <c r="D49" s="7" t="s">
        <v>169</v>
      </c>
      <c r="F49" s="3">
        <v>2</v>
      </c>
      <c r="AE49" s="18"/>
      <c r="AF49" s="13"/>
      <c r="AG49" s="13"/>
      <c r="AH49" s="13"/>
      <c r="AI49" s="13"/>
      <c r="AK49">
        <v>48</v>
      </c>
      <c r="AL49" t="s">
        <v>85</v>
      </c>
      <c r="AM49" t="s">
        <v>397</v>
      </c>
      <c r="AN49" t="str">
        <f t="shared" si="1"/>
        <v>Mateo</v>
      </c>
      <c r="AO49" cm="1">
        <f t="array" ref="AO49">INDEX($AY$2:$CL$101,$AK49,($AV$2-1)*4+1)</f>
        <v>1</v>
      </c>
      <c r="AP49" cm="1">
        <f t="array" ref="AP49">INDEX($AY$2:$CL$101,$AK49,($AV$2-1)*4+2)</f>
        <v>0</v>
      </c>
      <c r="AQ49"/>
      <c r="AR49" s="1">
        <f t="shared" si="10"/>
        <v>2.9044332207535777</v>
      </c>
      <c r="AS49" cm="1">
        <f t="array" ref="AS49">INDEX($AY$2:$CL$101,$AK49,($AV$2-1)*4+4)</f>
        <v>36276</v>
      </c>
      <c r="AT49" s="53" t="str">
        <f t="shared" si="2"/>
        <v>276</v>
      </c>
      <c r="AY49" s="56">
        <v>1</v>
      </c>
      <c r="AZ49" s="56">
        <v>1</v>
      </c>
      <c r="BA49" s="56"/>
      <c r="BB49" s="65">
        <v>37163</v>
      </c>
      <c r="BC49" s="56">
        <v>1</v>
      </c>
      <c r="BD49" s="56">
        <v>0</v>
      </c>
      <c r="BE49" s="56"/>
      <c r="BF49" s="65">
        <v>36153</v>
      </c>
      <c r="BG49" s="56">
        <v>1</v>
      </c>
      <c r="BH49" s="56">
        <v>0</v>
      </c>
      <c r="BI49" s="56"/>
      <c r="BJ49" s="65">
        <v>38447</v>
      </c>
      <c r="BK49" s="56">
        <v>0</v>
      </c>
      <c r="BL49" s="56">
        <v>1</v>
      </c>
      <c r="BM49" s="56"/>
      <c r="BN49" s="65">
        <v>36552</v>
      </c>
      <c r="BO49" s="56">
        <v>1</v>
      </c>
      <c r="BP49" s="56">
        <v>0</v>
      </c>
      <c r="BQ49" s="56"/>
      <c r="BR49" s="65">
        <v>36276</v>
      </c>
      <c r="BS49" s="56">
        <v>0</v>
      </c>
      <c r="BT49" s="56">
        <v>1</v>
      </c>
      <c r="BU49" s="56"/>
      <c r="BV49" s="65">
        <v>37321</v>
      </c>
      <c r="BW49" s="56">
        <v>1</v>
      </c>
      <c r="BX49" s="56">
        <v>0</v>
      </c>
      <c r="BY49" s="56"/>
      <c r="BZ49" s="65">
        <v>36406</v>
      </c>
      <c r="CA49" s="56">
        <v>1</v>
      </c>
      <c r="CB49" s="56">
        <v>0</v>
      </c>
      <c r="CC49" s="56"/>
      <c r="CD49" s="65">
        <v>37024</v>
      </c>
      <c r="CE49" s="56">
        <v>1</v>
      </c>
      <c r="CF49" s="56">
        <v>0</v>
      </c>
      <c r="CG49" s="56"/>
      <c r="CH49" s="65">
        <v>37263</v>
      </c>
      <c r="CI49" s="56">
        <v>0</v>
      </c>
      <c r="CJ49" s="56">
        <v>0</v>
      </c>
      <c r="CK49" s="56"/>
      <c r="CL49" s="65">
        <v>36596</v>
      </c>
    </row>
    <row r="50" spans="2:90">
      <c r="B50" s="8"/>
      <c r="D50" s="20" t="s">
        <v>170</v>
      </c>
      <c r="AE50" s="18"/>
      <c r="AF50" s="13"/>
      <c r="AG50" s="13"/>
      <c r="AH50" s="13"/>
      <c r="AI50" s="13"/>
      <c r="AK50">
        <v>49</v>
      </c>
      <c r="AL50" t="s">
        <v>32</v>
      </c>
      <c r="AM50" t="s">
        <v>398</v>
      </c>
      <c r="AN50" t="str">
        <f t="shared" si="1"/>
        <v>Matthew</v>
      </c>
      <c r="AO50" cm="1">
        <f t="array" ref="AO50">INDEX($AY$2:$CL$101,$AK50,($AV$2-1)*4+1)</f>
        <v>0</v>
      </c>
      <c r="AP50" cm="1">
        <f t="array" ref="AP50">INDEX($AY$2:$CL$101,$AK50,($AV$2-1)*4+2)</f>
        <v>0</v>
      </c>
      <c r="AQ50"/>
      <c r="AR50" s="1">
        <f t="shared" si="10"/>
        <v>2.9044332207535777</v>
      </c>
      <c r="AS50" cm="1">
        <f t="array" ref="AS50">INDEX($AY$2:$CL$101,$AK50,($AV$2-1)*4+4)</f>
        <v>35530</v>
      </c>
      <c r="AT50" s="53" t="str">
        <f t="shared" si="2"/>
        <v>530</v>
      </c>
      <c r="AY50" s="56">
        <v>1</v>
      </c>
      <c r="AZ50" s="56">
        <v>1</v>
      </c>
      <c r="BA50" s="56"/>
      <c r="BB50" s="65">
        <v>37497</v>
      </c>
      <c r="BC50" s="56">
        <v>1</v>
      </c>
      <c r="BD50" s="56">
        <v>1</v>
      </c>
      <c r="BE50" s="56"/>
      <c r="BF50" s="65">
        <v>35754</v>
      </c>
      <c r="BG50" s="56">
        <v>1</v>
      </c>
      <c r="BH50" s="56">
        <v>0</v>
      </c>
      <c r="BI50" s="56"/>
      <c r="BJ50" s="65">
        <v>35695</v>
      </c>
      <c r="BK50" s="56">
        <v>1</v>
      </c>
      <c r="BL50" s="56">
        <v>1</v>
      </c>
      <c r="BM50" s="56"/>
      <c r="BN50" s="65">
        <v>36957</v>
      </c>
      <c r="BO50" s="56">
        <v>0</v>
      </c>
      <c r="BP50" s="56">
        <v>0</v>
      </c>
      <c r="BQ50" s="56"/>
      <c r="BR50" s="65">
        <v>35530</v>
      </c>
      <c r="BS50" s="56">
        <v>0</v>
      </c>
      <c r="BT50" s="56">
        <v>1</v>
      </c>
      <c r="BU50" s="56"/>
      <c r="BV50" s="65">
        <v>37079</v>
      </c>
      <c r="BW50" s="56">
        <v>1</v>
      </c>
      <c r="BX50" s="56">
        <v>0</v>
      </c>
      <c r="BY50" s="56"/>
      <c r="BZ50" s="65">
        <v>36458</v>
      </c>
      <c r="CA50" s="56">
        <v>0</v>
      </c>
      <c r="CB50" s="56">
        <v>0</v>
      </c>
      <c r="CC50" s="56"/>
      <c r="CD50" s="65">
        <v>38384</v>
      </c>
      <c r="CE50" s="56">
        <v>1</v>
      </c>
      <c r="CF50" s="56">
        <v>1</v>
      </c>
      <c r="CG50" s="56"/>
      <c r="CH50" s="65">
        <v>35950</v>
      </c>
      <c r="CI50" s="56">
        <v>0</v>
      </c>
      <c r="CJ50" s="56">
        <v>0</v>
      </c>
      <c r="CK50" s="56"/>
      <c r="CL50" s="65">
        <v>35650</v>
      </c>
    </row>
    <row r="51" spans="2:90">
      <c r="B51" s="8"/>
      <c r="D51" t="s">
        <v>3</v>
      </c>
      <c r="F51" s="7" t="s">
        <v>171</v>
      </c>
      <c r="AE51" s="18"/>
      <c r="AF51" s="13"/>
      <c r="AG51" s="13"/>
      <c r="AH51" s="13"/>
      <c r="AI51" s="13"/>
      <c r="AK51">
        <v>50</v>
      </c>
      <c r="AL51" t="s">
        <v>38</v>
      </c>
      <c r="AM51" t="s">
        <v>400</v>
      </c>
      <c r="AN51" t="str">
        <f t="shared" si="1"/>
        <v>Steven</v>
      </c>
      <c r="AO51" cm="1">
        <f t="array" ref="AO51">INDEX($AY$2:$CL$101,$AK51,($AV$2-1)*4+1)</f>
        <v>0</v>
      </c>
      <c r="AP51" cm="1">
        <f t="array" ref="AP51">INDEX($AY$2:$CL$101,$AK51,($AV$2-1)*4+2)</f>
        <v>0</v>
      </c>
      <c r="AQ51"/>
      <c r="AR51" s="1">
        <f t="shared" si="10"/>
        <v>2.9044332207535777</v>
      </c>
      <c r="AS51" cm="1">
        <f t="array" ref="AS51">INDEX($AY$2:$CL$101,$AK51,($AV$2-1)*4+4)</f>
        <v>35525</v>
      </c>
      <c r="AT51" s="53" t="str">
        <f t="shared" si="2"/>
        <v>525</v>
      </c>
      <c r="AY51" s="56">
        <v>1</v>
      </c>
      <c r="AZ51" s="56">
        <v>0</v>
      </c>
      <c r="BA51" s="56"/>
      <c r="BB51" s="65">
        <v>38242</v>
      </c>
      <c r="BC51" s="56">
        <v>1</v>
      </c>
      <c r="BD51" s="56">
        <v>1</v>
      </c>
      <c r="BE51" s="56"/>
      <c r="BF51" s="65">
        <v>37956</v>
      </c>
      <c r="BG51" s="56">
        <v>1</v>
      </c>
      <c r="BH51" s="56">
        <v>1</v>
      </c>
      <c r="BI51" s="56"/>
      <c r="BJ51" s="65">
        <v>37300</v>
      </c>
      <c r="BK51" s="56">
        <v>1</v>
      </c>
      <c r="BL51" s="56">
        <v>0</v>
      </c>
      <c r="BM51" s="56"/>
      <c r="BN51" s="65">
        <v>35709</v>
      </c>
      <c r="BO51" s="56">
        <v>0</v>
      </c>
      <c r="BP51" s="56">
        <v>0</v>
      </c>
      <c r="BQ51" s="56"/>
      <c r="BR51" s="65">
        <v>35525</v>
      </c>
      <c r="BS51" s="56">
        <v>1</v>
      </c>
      <c r="BT51" s="56">
        <v>1</v>
      </c>
      <c r="BU51" s="56"/>
      <c r="BV51" s="65">
        <v>37301</v>
      </c>
      <c r="BW51" s="56">
        <v>0</v>
      </c>
      <c r="BX51" s="56">
        <v>0</v>
      </c>
      <c r="BY51" s="56"/>
      <c r="BZ51" s="65">
        <v>36001</v>
      </c>
      <c r="CA51" s="56">
        <v>0</v>
      </c>
      <c r="CB51" s="56">
        <v>0</v>
      </c>
      <c r="CC51" s="56"/>
      <c r="CD51" s="65">
        <v>37722</v>
      </c>
      <c r="CE51" s="56">
        <v>1</v>
      </c>
      <c r="CF51" s="56">
        <v>0</v>
      </c>
      <c r="CG51" s="56"/>
      <c r="CH51" s="65">
        <v>36167</v>
      </c>
      <c r="CI51" s="56">
        <v>1</v>
      </c>
      <c r="CJ51" s="56">
        <v>0</v>
      </c>
      <c r="CK51" s="56"/>
      <c r="CL51" s="65">
        <v>36827</v>
      </c>
    </row>
    <row r="52" spans="2:90">
      <c r="B52" s="8"/>
      <c r="F52" s="3">
        <v>2</v>
      </c>
      <c r="AE52" s="18"/>
      <c r="AF52" s="13"/>
      <c r="AG52" s="13"/>
      <c r="AH52" s="13"/>
      <c r="AI52" s="13"/>
      <c r="AK52">
        <v>51</v>
      </c>
      <c r="AL52" t="s">
        <v>27</v>
      </c>
      <c r="AM52" t="s">
        <v>408</v>
      </c>
      <c r="AN52" t="str">
        <f t="shared" si="1"/>
        <v>Thomas</v>
      </c>
      <c r="AO52" cm="1">
        <f t="array" ref="AO52">INDEX($AY$2:$CL$101,$AK52,($AV$2-1)*4+1)</f>
        <v>0</v>
      </c>
      <c r="AP52" cm="1">
        <f t="array" ref="AP52">INDEX($AY$2:$CL$101,$AK52,($AV$2-1)*4+2)</f>
        <v>1</v>
      </c>
      <c r="AQ52"/>
      <c r="AR52" s="1">
        <f t="shared" si="10"/>
        <v>2.9044332207535777</v>
      </c>
      <c r="AS52" cm="1">
        <f t="array" ref="AS52">INDEX($AY$2:$CL$101,$AK52,($AV$2-1)*4+4)</f>
        <v>35912</v>
      </c>
      <c r="AT52" s="53" t="str">
        <f t="shared" si="2"/>
        <v>912</v>
      </c>
      <c r="AY52" s="56">
        <v>0</v>
      </c>
      <c r="AZ52" s="56">
        <v>0</v>
      </c>
      <c r="BA52" s="56"/>
      <c r="BB52" s="65">
        <v>36790</v>
      </c>
      <c r="BC52" s="56">
        <v>1</v>
      </c>
      <c r="BD52" s="56">
        <v>1</v>
      </c>
      <c r="BE52" s="56"/>
      <c r="BF52" s="65">
        <v>36927</v>
      </c>
      <c r="BG52" s="56">
        <v>0</v>
      </c>
      <c r="BH52" s="56">
        <v>0</v>
      </c>
      <c r="BI52" s="56"/>
      <c r="BJ52" s="65">
        <v>38439</v>
      </c>
      <c r="BK52" s="56">
        <v>1</v>
      </c>
      <c r="BL52" s="56">
        <v>0</v>
      </c>
      <c r="BM52" s="56"/>
      <c r="BN52" s="65">
        <v>37059</v>
      </c>
      <c r="BO52" s="56">
        <v>0</v>
      </c>
      <c r="BP52" s="56">
        <v>1</v>
      </c>
      <c r="BQ52" s="56"/>
      <c r="BR52" s="65">
        <v>35912</v>
      </c>
      <c r="BS52" s="56">
        <v>1</v>
      </c>
      <c r="BT52" s="56">
        <v>1</v>
      </c>
      <c r="BU52" s="56"/>
      <c r="BV52" s="65">
        <v>37993</v>
      </c>
      <c r="BW52" s="56">
        <v>1</v>
      </c>
      <c r="BX52" s="56">
        <v>1</v>
      </c>
      <c r="BY52" s="56"/>
      <c r="BZ52" s="65">
        <v>36156</v>
      </c>
      <c r="CA52" s="56">
        <v>0</v>
      </c>
      <c r="CB52" s="56">
        <v>1</v>
      </c>
      <c r="CC52" s="56"/>
      <c r="CD52" s="65">
        <v>35575</v>
      </c>
      <c r="CE52" s="56">
        <v>0</v>
      </c>
      <c r="CF52" s="56">
        <v>1</v>
      </c>
      <c r="CG52" s="56"/>
      <c r="CH52" s="65">
        <v>37547</v>
      </c>
      <c r="CI52" s="56">
        <v>0</v>
      </c>
      <c r="CJ52" s="56">
        <v>1</v>
      </c>
      <c r="CK52" s="56"/>
      <c r="CL52" s="65">
        <v>35879</v>
      </c>
    </row>
    <row r="53" spans="2:90">
      <c r="B53" s="8"/>
      <c r="AE53" s="18"/>
      <c r="AF53" s="13"/>
      <c r="AG53" s="13"/>
      <c r="AH53" s="13"/>
      <c r="AI53" s="13"/>
      <c r="AK53">
        <v>52</v>
      </c>
      <c r="AL53" t="s">
        <v>96</v>
      </c>
      <c r="AM53" t="s">
        <v>483</v>
      </c>
      <c r="AN53" t="str">
        <f t="shared" si="1"/>
        <v>Brad</v>
      </c>
      <c r="AO53" cm="1">
        <f t="array" ref="AO53">INDEX($AY$2:$CL$101,$AK53,($AV$2-1)*4+1)</f>
        <v>0</v>
      </c>
      <c r="AP53" cm="1">
        <f t="array" ref="AP53">INDEX($AY$2:$CL$101,$AK53,($AV$2-1)*4+2)</f>
        <v>0</v>
      </c>
      <c r="AQ53"/>
      <c r="AR53" s="1">
        <f t="shared" si="10"/>
        <v>2.9044332207535777</v>
      </c>
      <c r="AS53" cm="1">
        <f t="array" ref="AS53">INDEX($AY$2:$CL$101,$AK53,($AV$2-1)*4+4)</f>
        <v>36714</v>
      </c>
      <c r="AT53" s="53" t="str">
        <f t="shared" si="2"/>
        <v>714</v>
      </c>
      <c r="AY53" s="56">
        <v>0</v>
      </c>
      <c r="AZ53" s="56">
        <v>1</v>
      </c>
      <c r="BA53" s="56"/>
      <c r="BB53" s="65">
        <v>38188</v>
      </c>
      <c r="BC53" s="56">
        <v>0</v>
      </c>
      <c r="BD53" s="56">
        <v>0</v>
      </c>
      <c r="BE53" s="56"/>
      <c r="BF53" s="65">
        <v>37812</v>
      </c>
      <c r="BG53" s="56">
        <v>0</v>
      </c>
      <c r="BH53" s="56">
        <v>0</v>
      </c>
      <c r="BI53" s="56"/>
      <c r="BJ53" s="65">
        <v>35840</v>
      </c>
      <c r="BK53" s="56">
        <v>0</v>
      </c>
      <c r="BL53" s="56">
        <v>1</v>
      </c>
      <c r="BM53" s="56"/>
      <c r="BN53" s="65">
        <v>38098</v>
      </c>
      <c r="BO53" s="56">
        <v>0</v>
      </c>
      <c r="BP53" s="56">
        <v>0</v>
      </c>
      <c r="BQ53" s="56"/>
      <c r="BR53" s="65">
        <v>36714</v>
      </c>
      <c r="BS53" s="56">
        <v>0</v>
      </c>
      <c r="BT53" s="56">
        <v>1</v>
      </c>
      <c r="BU53" s="56"/>
      <c r="BV53" s="65">
        <v>35841</v>
      </c>
      <c r="BW53" s="56">
        <v>0</v>
      </c>
      <c r="BX53" s="56">
        <v>0</v>
      </c>
      <c r="BY53" s="56"/>
      <c r="BZ53" s="65">
        <v>35551</v>
      </c>
      <c r="CA53" s="56">
        <v>1</v>
      </c>
      <c r="CB53" s="56">
        <v>0</v>
      </c>
      <c r="CC53" s="56"/>
      <c r="CD53" s="65">
        <v>35928</v>
      </c>
      <c r="CE53" s="56">
        <v>1</v>
      </c>
      <c r="CF53" s="56">
        <v>1</v>
      </c>
      <c r="CG53" s="56"/>
      <c r="CH53" s="65">
        <v>37558</v>
      </c>
      <c r="CI53" s="56">
        <v>1</v>
      </c>
      <c r="CJ53" s="56">
        <v>1</v>
      </c>
      <c r="CK53" s="56"/>
      <c r="CL53" s="65">
        <v>35820</v>
      </c>
    </row>
    <row r="54" spans="2:90">
      <c r="B54" s="8"/>
      <c r="AE54" s="18"/>
      <c r="AF54" s="13"/>
      <c r="AG54" s="13"/>
      <c r="AH54" s="13"/>
      <c r="AI54" s="13"/>
      <c r="AK54">
        <v>53</v>
      </c>
      <c r="AL54" t="s">
        <v>6</v>
      </c>
      <c r="AM54" t="s">
        <v>482</v>
      </c>
      <c r="AN54" t="str">
        <f t="shared" si="1"/>
        <v>Astrid</v>
      </c>
      <c r="AO54" cm="1">
        <f t="array" ref="AO54">INDEX($AY$2:$CL$101,$AK54,($AV$2-1)*4+1)</f>
        <v>1</v>
      </c>
      <c r="AP54" cm="1">
        <f t="array" ref="AP54">INDEX($AY$2:$CL$101,$AK54,($AV$2-1)*4+2)</f>
        <v>0</v>
      </c>
      <c r="AQ54" cm="1">
        <f t="array" ref="AQ54">INDEX($AY$2:$CL$101,$AK54,($AV$2-1)*4+3)</f>
        <v>2.0879233750209183</v>
      </c>
      <c r="AR54" s="1">
        <f t="shared" ref="AR54:AR63" si="11">AQ54</f>
        <v>2.0879233750209183</v>
      </c>
      <c r="AS54" cm="1">
        <f t="array" ref="AS54">INDEX($AY$2:$CL$101,$AK54,($AV$2-1)*4+4)</f>
        <v>37770</v>
      </c>
      <c r="AT54" s="53" t="str">
        <f t="shared" si="2"/>
        <v>770</v>
      </c>
      <c r="AY54" s="56">
        <v>1</v>
      </c>
      <c r="AZ54" s="56">
        <v>0</v>
      </c>
      <c r="BA54" s="56">
        <v>3.5175886262067797</v>
      </c>
      <c r="BB54" s="65">
        <v>37353</v>
      </c>
      <c r="BC54" s="56">
        <v>0</v>
      </c>
      <c r="BD54" s="56">
        <v>0</v>
      </c>
      <c r="BE54" s="56">
        <v>3.4313365034353112</v>
      </c>
      <c r="BF54" s="65">
        <v>36495</v>
      </c>
      <c r="BG54" s="56">
        <v>1</v>
      </c>
      <c r="BH54" s="56">
        <v>0</v>
      </c>
      <c r="BI54" s="56">
        <v>2.898215367665625</v>
      </c>
      <c r="BJ54" s="65">
        <v>36079</v>
      </c>
      <c r="BK54" s="56">
        <v>1</v>
      </c>
      <c r="BL54" s="56">
        <v>0</v>
      </c>
      <c r="BM54" s="56">
        <v>3.3277649239901064</v>
      </c>
      <c r="BN54" s="65">
        <v>37896</v>
      </c>
      <c r="BO54" s="56">
        <v>1</v>
      </c>
      <c r="BP54" s="56">
        <v>0</v>
      </c>
      <c r="BQ54" s="56">
        <v>2.0879233750209183</v>
      </c>
      <c r="BR54" s="65">
        <v>37770</v>
      </c>
      <c r="BS54" s="56">
        <v>0</v>
      </c>
      <c r="BT54" s="56">
        <v>1</v>
      </c>
      <c r="BU54" s="56">
        <v>3.4173373521377459</v>
      </c>
      <c r="BV54" s="65">
        <v>37866</v>
      </c>
      <c r="BW54" s="56">
        <v>0</v>
      </c>
      <c r="BX54" s="56">
        <v>0</v>
      </c>
      <c r="BY54" s="56">
        <v>3.5314755082259146</v>
      </c>
      <c r="BZ54" s="65">
        <v>36295</v>
      </c>
      <c r="CA54" s="56">
        <v>1</v>
      </c>
      <c r="CB54" s="56">
        <v>1</v>
      </c>
      <c r="CC54" s="56">
        <v>3.5580242086972937</v>
      </c>
      <c r="CD54" s="65">
        <v>38401</v>
      </c>
      <c r="CE54" s="56">
        <v>1</v>
      </c>
      <c r="CF54" s="56">
        <v>1</v>
      </c>
      <c r="CG54" s="56">
        <v>2.7111836430118164</v>
      </c>
      <c r="CH54" s="65">
        <v>36461</v>
      </c>
      <c r="CI54" s="56">
        <v>1</v>
      </c>
      <c r="CJ54" s="56">
        <v>1</v>
      </c>
      <c r="CK54" s="56">
        <v>3.8690387474759795</v>
      </c>
      <c r="CL54" s="65">
        <v>37537</v>
      </c>
    </row>
    <row r="55" spans="2:90">
      <c r="B55" s="8"/>
      <c r="D55" s="10" t="str">
        <f>"I finished the MECC Keyboarding Challenge in "&amp;Results!$E$16&amp;" seconds. Sign up for the Microsoft Excel Collegiate Challenge and give it a try! #ExcelEsports #ExcelAtEller"</f>
        <v>I finished the MECC Keyboarding Challenge in  seconds. Sign up for the Microsoft Excel Collegiate Challenge and give it a try! #ExcelEsports #ExcelAtEller</v>
      </c>
      <c r="AE55" s="18"/>
      <c r="AF55" s="13"/>
      <c r="AG55" s="13"/>
      <c r="AH55" s="13"/>
      <c r="AI55" s="13"/>
      <c r="AK55">
        <v>54</v>
      </c>
      <c r="AL55" t="s">
        <v>30</v>
      </c>
      <c r="AM55" t="s">
        <v>481</v>
      </c>
      <c r="AN55" t="str">
        <f t="shared" si="1"/>
        <v>Lucy</v>
      </c>
      <c r="AO55" cm="1">
        <f t="array" ref="AO55">INDEX($AY$2:$CL$101,$AK55,($AV$2-1)*4+1)</f>
        <v>1</v>
      </c>
      <c r="AP55" cm="1">
        <f t="array" ref="AP55">INDEX($AY$2:$CL$101,$AK55,($AV$2-1)*4+2)</f>
        <v>1</v>
      </c>
      <c r="AQ55" cm="1">
        <f t="array" ref="AQ55">INDEX($AY$2:$CL$101,$AK55,($AV$2-1)*4+3)</f>
        <v>2.8811058170623181</v>
      </c>
      <c r="AR55" s="1">
        <f t="shared" si="11"/>
        <v>2.8811058170623181</v>
      </c>
      <c r="AS55" cm="1">
        <f t="array" ref="AS55">INDEX($AY$2:$CL$101,$AK55,($AV$2-1)*4+4)</f>
        <v>35902</v>
      </c>
      <c r="AT55" s="53" t="str">
        <f t="shared" si="2"/>
        <v>902</v>
      </c>
      <c r="AY55" s="56">
        <v>1</v>
      </c>
      <c r="AZ55" s="56">
        <v>0</v>
      </c>
      <c r="BA55" s="56">
        <v>2.8811058170623181</v>
      </c>
      <c r="BB55" s="65">
        <v>38276</v>
      </c>
      <c r="BC55" s="56">
        <v>1</v>
      </c>
      <c r="BD55" s="56">
        <v>1</v>
      </c>
      <c r="BE55" s="56">
        <v>2.8811058170623181</v>
      </c>
      <c r="BF55" s="65">
        <v>38196</v>
      </c>
      <c r="BG55" s="56">
        <v>1</v>
      </c>
      <c r="BH55" s="56">
        <v>1</v>
      </c>
      <c r="BI55" s="56">
        <v>2.8811058170623181</v>
      </c>
      <c r="BJ55" s="65">
        <v>37920</v>
      </c>
      <c r="BK55" s="56">
        <v>0</v>
      </c>
      <c r="BL55" s="56">
        <v>1</v>
      </c>
      <c r="BM55" s="56">
        <v>2.8811058170623181</v>
      </c>
      <c r="BN55" s="65">
        <v>38144</v>
      </c>
      <c r="BO55" s="56">
        <v>1</v>
      </c>
      <c r="BP55" s="56">
        <v>1</v>
      </c>
      <c r="BQ55" s="56">
        <v>2.8811058170623181</v>
      </c>
      <c r="BR55" s="65">
        <v>35902</v>
      </c>
      <c r="BS55" s="56">
        <v>1</v>
      </c>
      <c r="BT55" s="56">
        <v>1</v>
      </c>
      <c r="BU55" s="56">
        <v>2.8811058170623181</v>
      </c>
      <c r="BV55" s="65">
        <v>37517</v>
      </c>
      <c r="BW55" s="56">
        <v>1</v>
      </c>
      <c r="BX55" s="56">
        <v>1</v>
      </c>
      <c r="BY55" s="56">
        <v>2.8811058170623181</v>
      </c>
      <c r="BZ55" s="65">
        <v>35552</v>
      </c>
      <c r="CA55" s="56">
        <v>1</v>
      </c>
      <c r="CB55" s="56">
        <v>1</v>
      </c>
      <c r="CC55" s="56">
        <v>2.8811058170623181</v>
      </c>
      <c r="CD55" s="65">
        <v>36199</v>
      </c>
      <c r="CE55" s="56">
        <v>1</v>
      </c>
      <c r="CF55" s="56">
        <v>1</v>
      </c>
      <c r="CG55" s="56">
        <v>2.8811058170623181</v>
      </c>
      <c r="CH55" s="65">
        <v>35702</v>
      </c>
      <c r="CI55" s="56">
        <v>0</v>
      </c>
      <c r="CJ55" s="56">
        <v>1</v>
      </c>
      <c r="CK55" s="56">
        <v>2.8811058170623181</v>
      </c>
      <c r="CL55" s="65">
        <v>36346</v>
      </c>
    </row>
    <row r="56" spans="2:90">
      <c r="D56" s="3">
        <f>LEN(D55)</f>
        <v>154</v>
      </c>
      <c r="AE56" s="18"/>
      <c r="AF56" s="13"/>
      <c r="AG56" s="13"/>
      <c r="AH56" s="13"/>
      <c r="AI56" s="13"/>
      <c r="AK56">
        <v>55</v>
      </c>
      <c r="AL56" t="s">
        <v>51</v>
      </c>
      <c r="AM56" t="s">
        <v>480</v>
      </c>
      <c r="AN56" t="str">
        <f t="shared" si="1"/>
        <v>Ruby</v>
      </c>
      <c r="AO56" cm="1">
        <f t="array" ref="AO56">INDEX($AY$2:$CL$101,$AK56,($AV$2-1)*4+1)</f>
        <v>1</v>
      </c>
      <c r="AP56" cm="1">
        <f t="array" ref="AP56">INDEX($AY$2:$CL$101,$AK56,($AV$2-1)*4+2)</f>
        <v>0</v>
      </c>
      <c r="AQ56" cm="1">
        <f t="array" ref="AQ56">INDEX($AY$2:$CL$101,$AK56,($AV$2-1)*4+3)</f>
        <v>2.8562887469916536</v>
      </c>
      <c r="AR56" s="1">
        <f t="shared" si="11"/>
        <v>2.8562887469916536</v>
      </c>
      <c r="AS56" cm="1">
        <f t="array" ref="AS56">INDEX($AY$2:$CL$101,$AK56,($AV$2-1)*4+4)</f>
        <v>36882</v>
      </c>
      <c r="AT56" s="53" t="str">
        <f t="shared" si="2"/>
        <v>882</v>
      </c>
      <c r="AY56" s="56">
        <v>1</v>
      </c>
      <c r="AZ56" s="56">
        <v>0</v>
      </c>
      <c r="BA56" s="56">
        <v>3.9500839853954064</v>
      </c>
      <c r="BB56" s="65">
        <v>35716</v>
      </c>
      <c r="BC56" s="56">
        <v>1</v>
      </c>
      <c r="BD56" s="56">
        <v>1</v>
      </c>
      <c r="BE56" s="56">
        <v>2.1115941029883749</v>
      </c>
      <c r="BF56" s="65">
        <v>36117</v>
      </c>
      <c r="BG56" s="56">
        <v>0</v>
      </c>
      <c r="BH56" s="56">
        <v>0</v>
      </c>
      <c r="BI56" s="56">
        <v>2.080615779930584</v>
      </c>
      <c r="BJ56" s="65">
        <v>36377</v>
      </c>
      <c r="BK56" s="56">
        <v>0</v>
      </c>
      <c r="BL56" s="56">
        <v>1</v>
      </c>
      <c r="BM56" s="56">
        <v>2.3424264782437212</v>
      </c>
      <c r="BN56" s="65">
        <v>35928</v>
      </c>
      <c r="BO56" s="56">
        <v>1</v>
      </c>
      <c r="BP56" s="56">
        <v>0</v>
      </c>
      <c r="BQ56" s="56">
        <v>2.8562887469916536</v>
      </c>
      <c r="BR56" s="65">
        <v>36882</v>
      </c>
      <c r="BS56" s="56">
        <v>1</v>
      </c>
      <c r="BT56" s="56">
        <v>0</v>
      </c>
      <c r="BU56" s="56">
        <v>2.2637330765855048</v>
      </c>
      <c r="BV56" s="65">
        <v>35942</v>
      </c>
      <c r="BW56" s="56">
        <v>1</v>
      </c>
      <c r="BX56" s="56">
        <v>0</v>
      </c>
      <c r="BY56" s="56">
        <v>2.5964812548403695</v>
      </c>
      <c r="BZ56" s="65">
        <v>36782</v>
      </c>
      <c r="CA56" s="56">
        <v>0</v>
      </c>
      <c r="CB56" s="56">
        <v>0</v>
      </c>
      <c r="CC56" s="56">
        <v>2.462208606118736</v>
      </c>
      <c r="CD56" s="65">
        <v>37287</v>
      </c>
      <c r="CE56" s="56">
        <v>1</v>
      </c>
      <c r="CF56" s="56">
        <v>0</v>
      </c>
      <c r="CG56" s="56">
        <v>3.8270711325612781</v>
      </c>
      <c r="CH56" s="65">
        <v>36929</v>
      </c>
      <c r="CI56" s="56">
        <v>1</v>
      </c>
      <c r="CJ56" s="56">
        <v>1</v>
      </c>
      <c r="CK56" s="56">
        <v>3.9304768855482504</v>
      </c>
      <c r="CL56" s="65">
        <v>36518</v>
      </c>
    </row>
    <row r="57" spans="2:90">
      <c r="AE57" s="18"/>
      <c r="AF57" s="13"/>
      <c r="AG57" s="13"/>
      <c r="AH57" s="13"/>
      <c r="AI57" s="13"/>
      <c r="AK57">
        <v>56</v>
      </c>
      <c r="AL57" t="s">
        <v>17</v>
      </c>
      <c r="AM57" t="s">
        <v>479</v>
      </c>
      <c r="AN57" t="str">
        <f t="shared" si="1"/>
        <v>James</v>
      </c>
      <c r="AO57" cm="1">
        <f t="array" ref="AO57">INDEX($AY$2:$CL$101,$AK57,($AV$2-1)*4+1)</f>
        <v>0</v>
      </c>
      <c r="AP57" cm="1">
        <f t="array" ref="AP57">INDEX($AY$2:$CL$101,$AK57,($AV$2-1)*4+2)</f>
        <v>0</v>
      </c>
      <c r="AQ57" cm="1">
        <f t="array" ref="AQ57">INDEX($AY$2:$CL$101,$AK57,($AV$2-1)*4+3)</f>
        <v>2.8811058170623181</v>
      </c>
      <c r="AR57" s="1">
        <f t="shared" si="11"/>
        <v>2.8811058170623181</v>
      </c>
      <c r="AS57" cm="1">
        <f t="array" ref="AS57">INDEX($AY$2:$CL$101,$AK57,($AV$2-1)*4+4)</f>
        <v>37507</v>
      </c>
      <c r="AT57" s="53" t="str">
        <f t="shared" si="2"/>
        <v>507</v>
      </c>
      <c r="AY57" s="56">
        <v>0</v>
      </c>
      <c r="AZ57" s="56">
        <v>0</v>
      </c>
      <c r="BA57" s="56">
        <v>2.8811058170623181</v>
      </c>
      <c r="BB57" s="65">
        <v>36988</v>
      </c>
      <c r="BC57" s="56">
        <v>1</v>
      </c>
      <c r="BD57" s="56">
        <v>1</v>
      </c>
      <c r="BE57" s="56">
        <v>2.8811058170623181</v>
      </c>
      <c r="BF57" s="65">
        <v>37939</v>
      </c>
      <c r="BG57" s="56">
        <v>0</v>
      </c>
      <c r="BH57" s="56">
        <v>0</v>
      </c>
      <c r="BI57" s="56">
        <v>2.8811058170623181</v>
      </c>
      <c r="BJ57" s="65">
        <v>37361</v>
      </c>
      <c r="BK57" s="56">
        <v>0</v>
      </c>
      <c r="BL57" s="56">
        <v>1</v>
      </c>
      <c r="BM57" s="56">
        <v>2.8811058170623181</v>
      </c>
      <c r="BN57" s="65">
        <v>38034</v>
      </c>
      <c r="BO57" s="56">
        <v>0</v>
      </c>
      <c r="BP57" s="56">
        <v>0</v>
      </c>
      <c r="BQ57" s="56">
        <v>2.8811058170623181</v>
      </c>
      <c r="BR57" s="65">
        <v>37507</v>
      </c>
      <c r="BS57" s="56">
        <v>0</v>
      </c>
      <c r="BT57" s="56">
        <v>1</v>
      </c>
      <c r="BU57" s="56">
        <v>2.8811058170623181</v>
      </c>
      <c r="BV57" s="65">
        <v>35818</v>
      </c>
      <c r="BW57" s="56">
        <v>1</v>
      </c>
      <c r="BX57" s="56">
        <v>0</v>
      </c>
      <c r="BY57" s="56">
        <v>2.8811058170623181</v>
      </c>
      <c r="BZ57" s="65">
        <v>35600</v>
      </c>
      <c r="CA57" s="56">
        <v>0</v>
      </c>
      <c r="CB57" s="56">
        <v>1</v>
      </c>
      <c r="CC57" s="56">
        <v>2.8811058170623181</v>
      </c>
      <c r="CD57" s="65">
        <v>35539</v>
      </c>
      <c r="CE57" s="56">
        <v>1</v>
      </c>
      <c r="CF57" s="56">
        <v>0</v>
      </c>
      <c r="CG57" s="56">
        <v>2.8811058170623181</v>
      </c>
      <c r="CH57" s="65">
        <v>37968</v>
      </c>
      <c r="CI57" s="56">
        <v>1</v>
      </c>
      <c r="CJ57" s="56">
        <v>1</v>
      </c>
      <c r="CK57" s="56">
        <v>2.8811058170623181</v>
      </c>
      <c r="CL57" s="65">
        <v>38357</v>
      </c>
    </row>
    <row r="58" spans="2:90">
      <c r="D58" s="21"/>
      <c r="AD58" s="7"/>
      <c r="AE58" s="7"/>
      <c r="AF58" s="7"/>
      <c r="AG58" s="7"/>
      <c r="AH58" s="7"/>
      <c r="AJ58" s="13"/>
      <c r="AK58">
        <v>57</v>
      </c>
      <c r="AL58" t="s">
        <v>101</v>
      </c>
      <c r="AM58" t="s">
        <v>478</v>
      </c>
      <c r="AN58" t="str">
        <f t="shared" si="1"/>
        <v>Peter</v>
      </c>
      <c r="AO58" cm="1">
        <f t="array" ref="AO58">INDEX($AY$2:$CL$101,$AK58,($AV$2-1)*4+1)</f>
        <v>0</v>
      </c>
      <c r="AP58" cm="1">
        <f t="array" ref="AP58">INDEX($AY$2:$CL$101,$AK58,($AV$2-1)*4+2)</f>
        <v>0</v>
      </c>
      <c r="AQ58" cm="1">
        <f t="array" ref="AQ58">INDEX($AY$2:$CL$101,$AK58,($AV$2-1)*4+3)</f>
        <v>3.4033570169070293</v>
      </c>
      <c r="AR58" s="1">
        <f t="shared" si="11"/>
        <v>3.4033570169070293</v>
      </c>
      <c r="AS58" cm="1">
        <f t="array" ref="AS58">INDEX($AY$2:$CL$101,$AK58,($AV$2-1)*4+4)</f>
        <v>37344</v>
      </c>
      <c r="AT58" s="53" t="str">
        <f t="shared" si="2"/>
        <v>344</v>
      </c>
      <c r="AY58" s="56">
        <v>0</v>
      </c>
      <c r="AZ58" s="56">
        <v>0</v>
      </c>
      <c r="BA58" s="56">
        <v>3.3103839232352033</v>
      </c>
      <c r="BB58" s="65">
        <v>38196</v>
      </c>
      <c r="BC58" s="56">
        <v>0</v>
      </c>
      <c r="BD58" s="56">
        <v>0</v>
      </c>
      <c r="BE58" s="56">
        <v>3.5522762613530841</v>
      </c>
      <c r="BF58" s="65">
        <v>36210</v>
      </c>
      <c r="BG58" s="56">
        <v>1</v>
      </c>
      <c r="BH58" s="56">
        <v>1</v>
      </c>
      <c r="BI58" s="56">
        <v>3.0258385488562967</v>
      </c>
      <c r="BJ58" s="65">
        <v>37511</v>
      </c>
      <c r="BK58" s="56">
        <v>1</v>
      </c>
      <c r="BL58" s="56">
        <v>0</v>
      </c>
      <c r="BM58" s="56">
        <v>3.8900819716075192</v>
      </c>
      <c r="BN58" s="65">
        <v>37075</v>
      </c>
      <c r="BO58" s="56">
        <v>0</v>
      </c>
      <c r="BP58" s="56">
        <v>0</v>
      </c>
      <c r="BQ58" s="56">
        <v>3.4033570169070293</v>
      </c>
      <c r="BR58" s="65">
        <v>37344</v>
      </c>
      <c r="BS58" s="56">
        <v>0</v>
      </c>
      <c r="BT58" s="56">
        <v>1</v>
      </c>
      <c r="BU58" s="56">
        <v>3.9556545940137502</v>
      </c>
      <c r="BV58" s="65">
        <v>37800</v>
      </c>
      <c r="BW58" s="56">
        <v>1</v>
      </c>
      <c r="BX58" s="56">
        <v>0</v>
      </c>
      <c r="BY58" s="56">
        <v>3.4312320543217227</v>
      </c>
      <c r="BZ58" s="65">
        <v>36484</v>
      </c>
      <c r="CA58" s="56">
        <v>1</v>
      </c>
      <c r="CB58" s="56">
        <v>1</v>
      </c>
      <c r="CC58" s="56">
        <v>3.6650017112069788</v>
      </c>
      <c r="CD58" s="65">
        <v>37939</v>
      </c>
      <c r="CE58" s="56">
        <v>0</v>
      </c>
      <c r="CF58" s="56">
        <v>0</v>
      </c>
      <c r="CG58" s="56">
        <v>2.3915942077660652</v>
      </c>
      <c r="CH58" s="65">
        <v>38162</v>
      </c>
      <c r="CI58" s="56">
        <v>1</v>
      </c>
      <c r="CJ58" s="56">
        <v>1</v>
      </c>
      <c r="CK58" s="56">
        <v>2.9560262233627692</v>
      </c>
      <c r="CL58" s="65">
        <v>36968</v>
      </c>
    </row>
    <row r="59" spans="2:90">
      <c r="D59" s="22" t="s">
        <v>172</v>
      </c>
      <c r="AE59" s="18"/>
      <c r="AF59" s="13"/>
      <c r="AG59" s="13"/>
      <c r="AH59" s="13"/>
      <c r="AI59" s="13"/>
      <c r="AK59">
        <v>58</v>
      </c>
      <c r="AL59" t="s">
        <v>47</v>
      </c>
      <c r="AM59" t="s">
        <v>477</v>
      </c>
      <c r="AN59" t="str">
        <f t="shared" si="1"/>
        <v>Brian</v>
      </c>
      <c r="AO59" cm="1">
        <f t="array" ref="AO59">INDEX($AY$2:$CL$101,$AK59,($AV$2-1)*4+1)</f>
        <v>0</v>
      </c>
      <c r="AP59" cm="1">
        <f t="array" ref="AP59">INDEX($AY$2:$CL$101,$AK59,($AV$2-1)*4+2)</f>
        <v>1</v>
      </c>
      <c r="AQ59" cm="1">
        <f t="array" ref="AQ59">INDEX($AY$2:$CL$101,$AK59,($AV$2-1)*4+3)</f>
        <v>2.8811058170623181</v>
      </c>
      <c r="AR59" s="1">
        <f t="shared" si="11"/>
        <v>2.8811058170623181</v>
      </c>
      <c r="AS59" cm="1">
        <f t="array" ref="AS59">INDEX($AY$2:$CL$101,$AK59,($AV$2-1)*4+4)</f>
        <v>37674</v>
      </c>
      <c r="AT59" s="53" t="str">
        <f t="shared" si="2"/>
        <v>674</v>
      </c>
      <c r="AY59" s="56">
        <v>0</v>
      </c>
      <c r="AZ59" s="56">
        <v>1</v>
      </c>
      <c r="BA59" s="56">
        <v>2.8811058170623181</v>
      </c>
      <c r="BB59" s="65">
        <v>36532</v>
      </c>
      <c r="BC59" s="56">
        <v>1</v>
      </c>
      <c r="BD59" s="56">
        <v>1</v>
      </c>
      <c r="BE59" s="56">
        <v>2.8811058170623181</v>
      </c>
      <c r="BF59" s="65">
        <v>37070</v>
      </c>
      <c r="BG59" s="56">
        <v>1</v>
      </c>
      <c r="BH59" s="56">
        <v>0</v>
      </c>
      <c r="BI59" s="56">
        <v>2.8811058170623181</v>
      </c>
      <c r="BJ59" s="65">
        <v>37731</v>
      </c>
      <c r="BK59" s="56">
        <v>0</v>
      </c>
      <c r="BL59" s="56">
        <v>0</v>
      </c>
      <c r="BM59" s="56">
        <v>2.8811058170623181</v>
      </c>
      <c r="BN59" s="65">
        <v>35812</v>
      </c>
      <c r="BO59" s="56">
        <v>0</v>
      </c>
      <c r="BP59" s="56">
        <v>1</v>
      </c>
      <c r="BQ59" s="56">
        <v>2.8811058170623181</v>
      </c>
      <c r="BR59" s="65">
        <v>37674</v>
      </c>
      <c r="BS59" s="56">
        <v>0</v>
      </c>
      <c r="BT59" s="56">
        <v>1</v>
      </c>
      <c r="BU59" s="56">
        <v>2.8811058170623181</v>
      </c>
      <c r="BV59" s="65">
        <v>36449</v>
      </c>
      <c r="BW59" s="56">
        <v>0</v>
      </c>
      <c r="BX59" s="56">
        <v>1</v>
      </c>
      <c r="BY59" s="56">
        <v>2.8811058170623181</v>
      </c>
      <c r="BZ59" s="65">
        <v>35755</v>
      </c>
      <c r="CA59" s="56">
        <v>1</v>
      </c>
      <c r="CB59" s="56">
        <v>0</v>
      </c>
      <c r="CC59" s="56">
        <v>2.8811058170623181</v>
      </c>
      <c r="CD59" s="65">
        <v>37042</v>
      </c>
      <c r="CE59" s="56">
        <v>1</v>
      </c>
      <c r="CF59" s="56">
        <v>1</v>
      </c>
      <c r="CG59" s="56">
        <v>2.8811058170623181</v>
      </c>
      <c r="CH59" s="65">
        <v>36077</v>
      </c>
      <c r="CI59" s="56">
        <v>0</v>
      </c>
      <c r="CJ59" s="56">
        <v>0</v>
      </c>
      <c r="CK59" s="56">
        <v>2.8811058170623181</v>
      </c>
      <c r="CL59" s="65">
        <v>37908</v>
      </c>
    </row>
    <row r="60" spans="2:90">
      <c r="AD60" s="7"/>
      <c r="AE60" s="18"/>
      <c r="AF60" s="13"/>
      <c r="AG60" s="13"/>
      <c r="AH60" s="13"/>
      <c r="AI60" s="13"/>
      <c r="AK60">
        <v>59</v>
      </c>
      <c r="AL60" t="s">
        <v>29</v>
      </c>
      <c r="AM60" t="s">
        <v>476</v>
      </c>
      <c r="AN60" t="str">
        <f t="shared" si="1"/>
        <v>Ada</v>
      </c>
      <c r="AO60" cm="1">
        <f t="array" ref="AO60">INDEX($AY$2:$CL$101,$AK60,($AV$2-1)*4+1)</f>
        <v>1</v>
      </c>
      <c r="AP60" cm="1">
        <f t="array" ref="AP60">INDEX($AY$2:$CL$101,$AK60,($AV$2-1)*4+2)</f>
        <v>1</v>
      </c>
      <c r="AQ60" cm="1">
        <f t="array" ref="AQ60">INDEX($AY$2:$CL$101,$AK60,($AV$2-1)*4+3)</f>
        <v>2.7691156054136226</v>
      </c>
      <c r="AR60" s="1">
        <f t="shared" si="11"/>
        <v>2.7691156054136226</v>
      </c>
      <c r="AS60" cm="1">
        <f t="array" ref="AS60">INDEX($AY$2:$CL$101,$AK60,($AV$2-1)*4+4)</f>
        <v>36452</v>
      </c>
      <c r="AT60" s="53" t="str">
        <f t="shared" si="2"/>
        <v>452</v>
      </c>
      <c r="AY60" s="56">
        <v>0</v>
      </c>
      <c r="AZ60" s="56">
        <v>0</v>
      </c>
      <c r="BA60" s="56">
        <v>2.3676696652171092</v>
      </c>
      <c r="BB60" s="65">
        <v>38058</v>
      </c>
      <c r="BC60" s="56">
        <v>1</v>
      </c>
      <c r="BD60" s="56">
        <v>0</v>
      </c>
      <c r="BE60" s="56">
        <v>2.4098973426455963</v>
      </c>
      <c r="BF60" s="65">
        <v>38493</v>
      </c>
      <c r="BG60" s="56">
        <v>0</v>
      </c>
      <c r="BH60" s="56">
        <v>1</v>
      </c>
      <c r="BI60" s="56">
        <v>3.9779004399975069</v>
      </c>
      <c r="BJ60" s="65">
        <v>37779</v>
      </c>
      <c r="BK60" s="56">
        <v>1</v>
      </c>
      <c r="BL60" s="56">
        <v>1</v>
      </c>
      <c r="BM60" s="56">
        <v>2.6316544952265182</v>
      </c>
      <c r="BN60" s="65">
        <v>37454</v>
      </c>
      <c r="BO60" s="56">
        <v>1</v>
      </c>
      <c r="BP60" s="56">
        <v>1</v>
      </c>
      <c r="BQ60" s="56">
        <v>2.7691156054136226</v>
      </c>
      <c r="BR60" s="65">
        <v>36452</v>
      </c>
      <c r="BS60" s="56">
        <v>1</v>
      </c>
      <c r="BT60" s="56">
        <v>1</v>
      </c>
      <c r="BU60" s="56">
        <v>2.1265404744167178</v>
      </c>
      <c r="BV60" s="65">
        <v>37764</v>
      </c>
      <c r="BW60" s="56">
        <v>0</v>
      </c>
      <c r="BX60" s="56">
        <v>1</v>
      </c>
      <c r="BY60" s="56">
        <v>2.0859542812538248</v>
      </c>
      <c r="BZ60" s="65">
        <v>36476</v>
      </c>
      <c r="CA60" s="56">
        <v>0</v>
      </c>
      <c r="CB60" s="56">
        <v>0</v>
      </c>
      <c r="CC60" s="56">
        <v>3.7212552174769451</v>
      </c>
      <c r="CD60" s="65">
        <v>36326</v>
      </c>
      <c r="CE60" s="56">
        <v>1</v>
      </c>
      <c r="CF60" s="56">
        <v>1</v>
      </c>
      <c r="CG60" s="56">
        <v>3.0008034961065988</v>
      </c>
      <c r="CH60" s="65">
        <v>36879</v>
      </c>
      <c r="CI60" s="56">
        <v>0</v>
      </c>
      <c r="CJ60" s="56">
        <v>1</v>
      </c>
      <c r="CK60" s="56">
        <v>3.3121851354203695</v>
      </c>
      <c r="CL60" s="65">
        <v>37732</v>
      </c>
    </row>
    <row r="61" spans="2:90">
      <c r="D61" s="12" t="s">
        <v>173</v>
      </c>
      <c r="AD61" s="7"/>
      <c r="AE61" s="7"/>
      <c r="AF61" s="7"/>
      <c r="AG61" s="7"/>
      <c r="AH61" s="7"/>
      <c r="AI61" s="7"/>
      <c r="AK61">
        <v>60</v>
      </c>
      <c r="AL61" t="s">
        <v>43</v>
      </c>
      <c r="AM61" t="s">
        <v>327</v>
      </c>
      <c r="AN61" t="str">
        <f t="shared" si="1"/>
        <v> Thea</v>
      </c>
      <c r="AO61" cm="1">
        <f t="array" ref="AO61">INDEX($AY$2:$CL$101,$AK61,($AV$2-1)*4+1)</f>
        <v>1</v>
      </c>
      <c r="AP61" cm="1">
        <f t="array" ref="AP61">INDEX($AY$2:$CL$101,$AK61,($AV$2-1)*4+2)</f>
        <v>0</v>
      </c>
      <c r="AQ61" cm="1">
        <f t="array" ref="AQ61">INDEX($AY$2:$CL$101,$AK61,($AV$2-1)*4+3)</f>
        <v>2.8811058170623181</v>
      </c>
      <c r="AR61" s="1">
        <f t="shared" si="11"/>
        <v>2.8811058170623181</v>
      </c>
      <c r="AS61" cm="1">
        <f t="array" ref="AS61">INDEX($AY$2:$CL$101,$AK61,($AV$2-1)*4+4)</f>
        <v>36509</v>
      </c>
      <c r="AT61" s="53" t="str">
        <f t="shared" si="2"/>
        <v>509</v>
      </c>
      <c r="AY61" s="56">
        <v>0</v>
      </c>
      <c r="AZ61" s="56">
        <v>1</v>
      </c>
      <c r="BA61" s="56">
        <v>2.8811058170623181</v>
      </c>
      <c r="BB61" s="65">
        <v>35617</v>
      </c>
      <c r="BC61" s="56">
        <v>1</v>
      </c>
      <c r="BD61" s="56">
        <v>0</v>
      </c>
      <c r="BE61" s="56">
        <v>2.8811058170623181</v>
      </c>
      <c r="BF61" s="65">
        <v>35549</v>
      </c>
      <c r="BG61" s="56">
        <v>1</v>
      </c>
      <c r="BH61" s="56">
        <v>1</v>
      </c>
      <c r="BI61" s="56">
        <v>2.8811058170623181</v>
      </c>
      <c r="BJ61" s="65">
        <v>37155</v>
      </c>
      <c r="BK61" s="56">
        <v>1</v>
      </c>
      <c r="BL61" s="56">
        <v>0</v>
      </c>
      <c r="BM61" s="56">
        <v>2.8811058170623181</v>
      </c>
      <c r="BN61" s="65">
        <v>36963</v>
      </c>
      <c r="BO61" s="56">
        <v>1</v>
      </c>
      <c r="BP61" s="56">
        <v>0</v>
      </c>
      <c r="BQ61" s="56">
        <v>2.8811058170623181</v>
      </c>
      <c r="BR61" s="65">
        <v>36509</v>
      </c>
      <c r="BS61" s="56">
        <v>0</v>
      </c>
      <c r="BT61" s="56">
        <v>1</v>
      </c>
      <c r="BU61" s="56">
        <v>2.8811058170623181</v>
      </c>
      <c r="BV61" s="65">
        <v>36391</v>
      </c>
      <c r="BW61" s="56">
        <v>1</v>
      </c>
      <c r="BX61" s="56">
        <v>0</v>
      </c>
      <c r="BY61" s="56">
        <v>2.8811058170623181</v>
      </c>
      <c r="BZ61" s="65">
        <v>37547</v>
      </c>
      <c r="CA61" s="56">
        <v>1</v>
      </c>
      <c r="CB61" s="56">
        <v>0</v>
      </c>
      <c r="CC61" s="56">
        <v>2.8811058170623181</v>
      </c>
      <c r="CD61" s="65">
        <v>37848</v>
      </c>
      <c r="CE61" s="56">
        <v>1</v>
      </c>
      <c r="CF61" s="56">
        <v>1</v>
      </c>
      <c r="CG61" s="56">
        <v>2.8811058170623181</v>
      </c>
      <c r="CH61" s="65">
        <v>36146</v>
      </c>
      <c r="CI61" s="56">
        <v>0</v>
      </c>
      <c r="CJ61" s="56">
        <v>1</v>
      </c>
      <c r="CK61" s="56">
        <v>2.8811058170623181</v>
      </c>
      <c r="CL61" s="65">
        <v>37758</v>
      </c>
    </row>
    <row r="62" spans="2:90">
      <c r="AE62" s="18"/>
      <c r="AF62" s="13"/>
      <c r="AG62" s="13"/>
      <c r="AH62" s="13"/>
      <c r="AI62" s="13"/>
      <c r="AK62">
        <v>61</v>
      </c>
      <c r="AL62" t="s">
        <v>67</v>
      </c>
      <c r="AM62" t="s">
        <v>475</v>
      </c>
      <c r="AN62" t="str">
        <f t="shared" si="1"/>
        <v>Aurelia</v>
      </c>
      <c r="AO62" cm="1">
        <f t="array" ref="AO62">INDEX($AY$2:$CL$101,$AK62,($AV$2-1)*4+1)</f>
        <v>1</v>
      </c>
      <c r="AP62" cm="1">
        <f t="array" ref="AP62">INDEX($AY$2:$CL$101,$AK62,($AV$2-1)*4+2)</f>
        <v>0</v>
      </c>
      <c r="AQ62" cm="1">
        <f t="array" ref="AQ62">INDEX($AY$2:$CL$101,$AK62,($AV$2-1)*4+3)</f>
        <v>3.4201394689987183</v>
      </c>
      <c r="AR62" s="1">
        <f t="shared" si="11"/>
        <v>3.4201394689987183</v>
      </c>
      <c r="AS62" cm="1">
        <f t="array" ref="AS62">INDEX($AY$2:$CL$101,$AK62,($AV$2-1)*4+4)</f>
        <v>36861</v>
      </c>
      <c r="AT62" s="53" t="str">
        <f t="shared" si="2"/>
        <v>861</v>
      </c>
      <c r="AY62" s="56">
        <v>0</v>
      </c>
      <c r="AZ62" s="56">
        <v>1</v>
      </c>
      <c r="BA62" s="56">
        <v>3.5052275907522299</v>
      </c>
      <c r="BB62" s="65">
        <v>35948</v>
      </c>
      <c r="BC62" s="56">
        <v>0</v>
      </c>
      <c r="BD62" s="56">
        <v>1</v>
      </c>
      <c r="BE62" s="56">
        <v>3.7430149726188207</v>
      </c>
      <c r="BF62" s="65">
        <v>37545</v>
      </c>
      <c r="BG62" s="56">
        <v>1</v>
      </c>
      <c r="BH62" s="56">
        <v>0</v>
      </c>
      <c r="BI62" s="56">
        <v>3.5311726816145899</v>
      </c>
      <c r="BJ62" s="65">
        <v>36397</v>
      </c>
      <c r="BK62" s="56">
        <v>1</v>
      </c>
      <c r="BL62" s="56">
        <v>0</v>
      </c>
      <c r="BM62" s="56">
        <v>2.8466482726238489</v>
      </c>
      <c r="BN62" s="65">
        <v>38204</v>
      </c>
      <c r="BO62" s="56">
        <v>1</v>
      </c>
      <c r="BP62" s="56">
        <v>0</v>
      </c>
      <c r="BQ62" s="56">
        <v>3.4201394689987183</v>
      </c>
      <c r="BR62" s="65">
        <v>36861</v>
      </c>
      <c r="BS62" s="56">
        <v>1</v>
      </c>
      <c r="BT62" s="56">
        <v>0</v>
      </c>
      <c r="BU62" s="56">
        <v>2.3663646643547693</v>
      </c>
      <c r="BV62" s="65">
        <v>35718</v>
      </c>
      <c r="BW62" s="56">
        <v>0</v>
      </c>
      <c r="BX62" s="56">
        <v>1</v>
      </c>
      <c r="BY62" s="56">
        <v>3.2448575462915183</v>
      </c>
      <c r="BZ62" s="65">
        <v>37019</v>
      </c>
      <c r="CA62" s="56">
        <v>1</v>
      </c>
      <c r="CB62" s="56">
        <v>0</v>
      </c>
      <c r="CC62" s="56">
        <v>2.1152352188337922</v>
      </c>
      <c r="CD62" s="65">
        <v>36192</v>
      </c>
      <c r="CE62" s="56">
        <v>0</v>
      </c>
      <c r="CF62" s="56">
        <v>1</v>
      </c>
      <c r="CG62" s="56">
        <v>2.6382978380262765</v>
      </c>
      <c r="CH62" s="65">
        <v>37316</v>
      </c>
      <c r="CI62" s="56">
        <v>1</v>
      </c>
      <c r="CJ62" s="56">
        <v>1</v>
      </c>
      <c r="CK62" s="56">
        <v>2.1721684226130447</v>
      </c>
      <c r="CL62" s="65">
        <v>37128</v>
      </c>
    </row>
    <row r="63" spans="2:90">
      <c r="D63" s="23"/>
      <c r="AE63" s="18"/>
      <c r="AF63" s="13"/>
      <c r="AG63" s="13"/>
      <c r="AH63" s="13"/>
      <c r="AI63" s="13"/>
      <c r="AK63">
        <v>62</v>
      </c>
      <c r="AL63" t="s">
        <v>7</v>
      </c>
      <c r="AM63" t="s">
        <v>474</v>
      </c>
      <c r="AN63" t="str">
        <f t="shared" si="1"/>
        <v>Esme</v>
      </c>
      <c r="AO63" cm="1">
        <f t="array" ref="AO63">INDEX($AY$2:$CL$101,$AK63,($AV$2-1)*4+1)</f>
        <v>1</v>
      </c>
      <c r="AP63" cm="1">
        <f t="array" ref="AP63">INDEX($AY$2:$CL$101,$AK63,($AV$2-1)*4+2)</f>
        <v>1</v>
      </c>
      <c r="AQ63" cm="1">
        <f t="array" ref="AQ63">INDEX($AY$2:$CL$101,$AK63,($AV$2-1)*4+3)</f>
        <v>2.8811058170623181</v>
      </c>
      <c r="AR63" s="1">
        <f t="shared" si="11"/>
        <v>2.8811058170623181</v>
      </c>
      <c r="AS63" cm="1">
        <f t="array" ref="AS63">INDEX($AY$2:$CL$101,$AK63,($AV$2-1)*4+4)</f>
        <v>37015</v>
      </c>
      <c r="AT63" s="53" t="str">
        <f t="shared" si="2"/>
        <v>015</v>
      </c>
      <c r="AY63" s="56">
        <v>1</v>
      </c>
      <c r="AZ63" s="56">
        <v>0</v>
      </c>
      <c r="BA63" s="56">
        <v>2.8811058170623181</v>
      </c>
      <c r="BB63" s="65">
        <v>36981</v>
      </c>
      <c r="BC63" s="56">
        <v>1</v>
      </c>
      <c r="BD63" s="56">
        <v>0</v>
      </c>
      <c r="BE63" s="56">
        <v>2.8811058170623181</v>
      </c>
      <c r="BF63" s="65">
        <v>36432</v>
      </c>
      <c r="BG63" s="56">
        <v>1</v>
      </c>
      <c r="BH63" s="56">
        <v>1</v>
      </c>
      <c r="BI63" s="56">
        <v>2.8811058170623181</v>
      </c>
      <c r="BJ63" s="65">
        <v>36814</v>
      </c>
      <c r="BK63" s="56">
        <v>1</v>
      </c>
      <c r="BL63" s="56">
        <v>1</v>
      </c>
      <c r="BM63" s="56">
        <v>2.8811058170623181</v>
      </c>
      <c r="BN63" s="65">
        <v>37985</v>
      </c>
      <c r="BO63" s="56">
        <v>1</v>
      </c>
      <c r="BP63" s="56">
        <v>1</v>
      </c>
      <c r="BQ63" s="56">
        <v>2.8811058170623181</v>
      </c>
      <c r="BR63" s="65">
        <v>37015</v>
      </c>
      <c r="BS63" s="56">
        <v>0</v>
      </c>
      <c r="BT63" s="56">
        <v>0</v>
      </c>
      <c r="BU63" s="56">
        <v>2.8811058170623181</v>
      </c>
      <c r="BV63" s="65">
        <v>37077</v>
      </c>
      <c r="BW63" s="56">
        <v>1</v>
      </c>
      <c r="BX63" s="56">
        <v>1</v>
      </c>
      <c r="BY63" s="56">
        <v>2.8811058170623181</v>
      </c>
      <c r="BZ63" s="65">
        <v>36936</v>
      </c>
      <c r="CA63" s="56">
        <v>1</v>
      </c>
      <c r="CB63" s="56">
        <v>0</v>
      </c>
      <c r="CC63" s="56">
        <v>2.8811058170623181</v>
      </c>
      <c r="CD63" s="65">
        <v>37910</v>
      </c>
      <c r="CE63" s="56">
        <v>1</v>
      </c>
      <c r="CF63" s="56">
        <v>1</v>
      </c>
      <c r="CG63" s="56">
        <v>2.8811058170623181</v>
      </c>
      <c r="CH63" s="65">
        <v>35545</v>
      </c>
      <c r="CI63" s="56">
        <v>1</v>
      </c>
      <c r="CJ63" s="56">
        <v>1</v>
      </c>
      <c r="CK63" s="56">
        <v>2.8811058170623181</v>
      </c>
      <c r="CL63" s="65">
        <v>38168</v>
      </c>
    </row>
    <row r="64" spans="2:90">
      <c r="D64" s="12"/>
      <c r="AE64" s="18"/>
      <c r="AF64" s="13"/>
      <c r="AG64" s="13"/>
      <c r="AH64" s="13"/>
      <c r="AI64" s="13"/>
      <c r="AK64">
        <v>63</v>
      </c>
      <c r="AL64" t="s">
        <v>79</v>
      </c>
      <c r="AM64" t="s">
        <v>473</v>
      </c>
      <c r="AN64" t="str">
        <f t="shared" si="1"/>
        <v>Sadie</v>
      </c>
      <c r="AO64" cm="1">
        <f t="array" ref="AO64">INDEX($AY$2:$CL$101,$AK64,($AV$2-1)*4+1)</f>
        <v>1</v>
      </c>
      <c r="AP64" cm="1">
        <f t="array" ref="AP64">INDEX($AY$2:$CL$101,$AK64,($AV$2-1)*4+2)</f>
        <v>0</v>
      </c>
      <c r="AQ64"/>
      <c r="AR64" s="1">
        <f t="shared" ref="AR64:AR74" si="12">AVERAGE($AQ$2:$AQ$101)</f>
        <v>2.9044332207535777</v>
      </c>
      <c r="AS64" cm="1">
        <f t="array" ref="AS64">INDEX($AY$2:$CL$101,$AK64,($AV$2-1)*4+4)</f>
        <v>35508</v>
      </c>
      <c r="AT64" s="53" t="str">
        <f t="shared" si="2"/>
        <v>508</v>
      </c>
      <c r="AY64" s="56">
        <v>0</v>
      </c>
      <c r="AZ64" s="56">
        <v>1</v>
      </c>
      <c r="BA64" s="56"/>
      <c r="BB64" s="65">
        <v>37256</v>
      </c>
      <c r="BC64" s="56">
        <v>0</v>
      </c>
      <c r="BD64" s="56">
        <v>0</v>
      </c>
      <c r="BE64" s="56"/>
      <c r="BF64" s="65">
        <v>37867</v>
      </c>
      <c r="BG64" s="56">
        <v>1</v>
      </c>
      <c r="BH64" s="56">
        <v>1</v>
      </c>
      <c r="BI64" s="56"/>
      <c r="BJ64" s="65">
        <v>37013</v>
      </c>
      <c r="BK64" s="56">
        <v>0</v>
      </c>
      <c r="BL64" s="56">
        <v>1</v>
      </c>
      <c r="BM64" s="56"/>
      <c r="BN64" s="65">
        <v>38358</v>
      </c>
      <c r="BO64" s="56">
        <v>1</v>
      </c>
      <c r="BP64" s="56">
        <v>0</v>
      </c>
      <c r="BQ64" s="56"/>
      <c r="BR64" s="65">
        <v>35508</v>
      </c>
      <c r="BS64" s="56">
        <v>0</v>
      </c>
      <c r="BT64" s="56">
        <v>1</v>
      </c>
      <c r="BU64" s="56"/>
      <c r="BV64" s="65">
        <v>35911</v>
      </c>
      <c r="BW64" s="56">
        <v>0</v>
      </c>
      <c r="BX64" s="56">
        <v>0</v>
      </c>
      <c r="BY64" s="56"/>
      <c r="BZ64" s="65">
        <v>35607</v>
      </c>
      <c r="CA64" s="56">
        <v>0</v>
      </c>
      <c r="CB64" s="56">
        <v>1</v>
      </c>
      <c r="CC64" s="56"/>
      <c r="CD64" s="65">
        <v>35661</v>
      </c>
      <c r="CE64" s="56">
        <v>1</v>
      </c>
      <c r="CF64" s="56">
        <v>0</v>
      </c>
      <c r="CG64" s="56"/>
      <c r="CH64" s="65">
        <v>38241</v>
      </c>
      <c r="CI64" s="56">
        <v>1</v>
      </c>
      <c r="CJ64" s="56">
        <v>1</v>
      </c>
      <c r="CK64" s="56"/>
      <c r="CL64" s="65">
        <v>38302</v>
      </c>
    </row>
    <row r="65" spans="2:90">
      <c r="D65" s="12" t="str">
        <f>"https://twitter.com/intent/tweet?text=I+finished+the+MECC+Keyboarding+Challenge+in+"&amp;Results!$E$16&amp;"+seconds.+Sign+up+and+give+it+a+try!&amp;hashtags=ExcelEsports,ExcelAtEller"</f>
        <v>https://twitter.com/intent/tweet?text=I+finished+the+MECC+Keyboarding+Challenge+in++seconds.+Sign+up+and+give+it+a+try!&amp;hashtags=ExcelEsports,ExcelAtEller</v>
      </c>
      <c r="AE65" s="18"/>
      <c r="AF65" s="13"/>
      <c r="AG65" s="13"/>
      <c r="AH65" s="13"/>
      <c r="AI65" s="13"/>
      <c r="AK65">
        <v>64</v>
      </c>
      <c r="AL65" t="s">
        <v>88</v>
      </c>
      <c r="AM65" t="s">
        <v>472</v>
      </c>
      <c r="AN65" t="str">
        <f t="shared" si="1"/>
        <v>Josephine</v>
      </c>
      <c r="AO65" cm="1">
        <f t="array" ref="AO65">INDEX($AY$2:$CL$101,$AK65,($AV$2-1)*4+1)</f>
        <v>1</v>
      </c>
      <c r="AP65" cm="1">
        <f t="array" ref="AP65">INDEX($AY$2:$CL$101,$AK65,($AV$2-1)*4+2)</f>
        <v>0</v>
      </c>
      <c r="AQ65"/>
      <c r="AR65" s="1">
        <f t="shared" si="12"/>
        <v>2.9044332207535777</v>
      </c>
      <c r="AS65" cm="1">
        <f t="array" ref="AS65">INDEX($AY$2:$CL$101,$AK65,($AV$2-1)*4+4)</f>
        <v>35764</v>
      </c>
      <c r="AT65" s="53" t="str">
        <f t="shared" si="2"/>
        <v>764</v>
      </c>
      <c r="AY65" s="56">
        <v>0</v>
      </c>
      <c r="AZ65" s="56">
        <v>1</v>
      </c>
      <c r="BA65" s="56"/>
      <c r="BB65" s="65">
        <v>36976</v>
      </c>
      <c r="BC65" s="56">
        <v>0</v>
      </c>
      <c r="BD65" s="56">
        <v>1</v>
      </c>
      <c r="BE65" s="56"/>
      <c r="BF65" s="65">
        <v>37613</v>
      </c>
      <c r="BG65" s="56">
        <v>1</v>
      </c>
      <c r="BH65" s="56">
        <v>1</v>
      </c>
      <c r="BI65" s="56"/>
      <c r="BJ65" s="65">
        <v>37971</v>
      </c>
      <c r="BK65" s="56">
        <v>1</v>
      </c>
      <c r="BL65" s="56">
        <v>1</v>
      </c>
      <c r="BM65" s="56"/>
      <c r="BN65" s="65">
        <v>37003</v>
      </c>
      <c r="BO65" s="56">
        <v>1</v>
      </c>
      <c r="BP65" s="56">
        <v>0</v>
      </c>
      <c r="BQ65" s="56"/>
      <c r="BR65" s="65">
        <v>35764</v>
      </c>
      <c r="BS65" s="56">
        <v>0</v>
      </c>
      <c r="BT65" s="56">
        <v>1</v>
      </c>
      <c r="BU65" s="56"/>
      <c r="BV65" s="65">
        <v>37242</v>
      </c>
      <c r="BW65" s="56">
        <v>1</v>
      </c>
      <c r="BX65" s="56">
        <v>1</v>
      </c>
      <c r="BY65" s="56"/>
      <c r="BZ65" s="65">
        <v>37078</v>
      </c>
      <c r="CA65" s="56">
        <v>1</v>
      </c>
      <c r="CB65" s="56">
        <v>1</v>
      </c>
      <c r="CC65" s="56"/>
      <c r="CD65" s="65">
        <v>37237</v>
      </c>
      <c r="CE65" s="56">
        <v>0</v>
      </c>
      <c r="CF65" s="56">
        <v>0</v>
      </c>
      <c r="CG65" s="56"/>
      <c r="CH65" s="65">
        <v>37243</v>
      </c>
      <c r="CI65" s="56">
        <v>0</v>
      </c>
      <c r="CJ65" s="56">
        <v>1</v>
      </c>
      <c r="CK65" s="56"/>
      <c r="CL65" s="65">
        <v>37619</v>
      </c>
    </row>
    <row r="66" spans="2:90">
      <c r="AE66" s="18"/>
      <c r="AF66" s="13"/>
      <c r="AG66" s="13"/>
      <c r="AH66" s="13"/>
      <c r="AI66" s="13"/>
      <c r="AK66">
        <v>65</v>
      </c>
      <c r="AL66" t="s">
        <v>21</v>
      </c>
      <c r="AM66" t="s">
        <v>410</v>
      </c>
      <c r="AN66" t="str">
        <f t="shared" si="1"/>
        <v>William</v>
      </c>
      <c r="AO66" cm="1">
        <f t="array" ref="AO66">INDEX($AY$2:$CL$101,$AK66,($AV$2-1)*4+1)</f>
        <v>0</v>
      </c>
      <c r="AP66" cm="1">
        <f t="array" ref="AP66">INDEX($AY$2:$CL$101,$AK66,($AV$2-1)*4+2)</f>
        <v>1</v>
      </c>
      <c r="AQ66"/>
      <c r="AR66" s="1">
        <f t="shared" si="12"/>
        <v>2.9044332207535777</v>
      </c>
      <c r="AS66" cm="1">
        <f t="array" ref="AS66">INDEX($AY$2:$CL$101,$AK66,($AV$2-1)*4+4)</f>
        <v>37995</v>
      </c>
      <c r="AT66" s="53" t="str">
        <f t="shared" si="2"/>
        <v>995</v>
      </c>
      <c r="AY66" s="56">
        <v>0</v>
      </c>
      <c r="AZ66" s="56">
        <v>1</v>
      </c>
      <c r="BA66" s="56"/>
      <c r="BB66" s="65">
        <v>37273</v>
      </c>
      <c r="BC66" s="56">
        <v>0</v>
      </c>
      <c r="BD66" s="56">
        <v>0</v>
      </c>
      <c r="BE66" s="56"/>
      <c r="BF66" s="65">
        <v>36871</v>
      </c>
      <c r="BG66" s="56">
        <v>1</v>
      </c>
      <c r="BH66" s="56">
        <v>1</v>
      </c>
      <c r="BI66" s="56"/>
      <c r="BJ66" s="65">
        <v>36033</v>
      </c>
      <c r="BK66" s="56">
        <v>1</v>
      </c>
      <c r="BL66" s="56">
        <v>0</v>
      </c>
      <c r="BM66" s="56"/>
      <c r="BN66" s="65">
        <v>36396</v>
      </c>
      <c r="BO66" s="56">
        <v>0</v>
      </c>
      <c r="BP66" s="56">
        <v>1</v>
      </c>
      <c r="BQ66" s="56"/>
      <c r="BR66" s="65">
        <v>37995</v>
      </c>
      <c r="BS66" s="56">
        <v>0</v>
      </c>
      <c r="BT66" s="56">
        <v>0</v>
      </c>
      <c r="BU66" s="56"/>
      <c r="BV66" s="65">
        <v>37432</v>
      </c>
      <c r="BW66" s="56">
        <v>0</v>
      </c>
      <c r="BX66" s="56">
        <v>1</v>
      </c>
      <c r="BY66" s="56"/>
      <c r="BZ66" s="65">
        <v>37906</v>
      </c>
      <c r="CA66" s="56">
        <v>1</v>
      </c>
      <c r="CB66" s="56">
        <v>1</v>
      </c>
      <c r="CC66" s="56"/>
      <c r="CD66" s="65">
        <v>38387</v>
      </c>
      <c r="CE66" s="56">
        <v>1</v>
      </c>
      <c r="CF66" s="56">
        <v>1</v>
      </c>
      <c r="CG66" s="56"/>
      <c r="CH66" s="65">
        <v>36612</v>
      </c>
      <c r="CI66" s="56">
        <v>0</v>
      </c>
      <c r="CJ66" s="56">
        <v>0</v>
      </c>
      <c r="CK66" s="56"/>
      <c r="CL66" s="65">
        <v>38345</v>
      </c>
    </row>
    <row r="67" spans="2:90">
      <c r="D67" s="24" t="s">
        <v>174</v>
      </c>
      <c r="AE67" s="18"/>
      <c r="AF67" s="13"/>
      <c r="AG67" s="13"/>
      <c r="AH67" s="13"/>
      <c r="AI67" s="13"/>
      <c r="AK67">
        <v>66</v>
      </c>
      <c r="AL67" t="s">
        <v>77</v>
      </c>
      <c r="AM67" t="s">
        <v>471</v>
      </c>
      <c r="AN67" t="str">
        <f t="shared" ref="AN67:AN101" si="13">IF(AO67,AM67,AL67)</f>
        <v>Benjamin</v>
      </c>
      <c r="AO67" cm="1">
        <f t="array" ref="AO67">INDEX($AY$2:$CL$101,$AK67,($AV$2-1)*4+1)</f>
        <v>0</v>
      </c>
      <c r="AP67" cm="1">
        <f t="array" ref="AP67">INDEX($AY$2:$CL$101,$AK67,($AV$2-1)*4+2)</f>
        <v>0</v>
      </c>
      <c r="AQ67"/>
      <c r="AR67" s="1">
        <f t="shared" si="12"/>
        <v>2.9044332207535777</v>
      </c>
      <c r="AS67" cm="1">
        <f t="array" ref="AS67">INDEX($AY$2:$CL$101,$AK67,($AV$2-1)*4+4)</f>
        <v>37931</v>
      </c>
      <c r="AT67" s="53" t="str">
        <f t="shared" ref="AT67:AT101" si="14">RIGHT(AS67,3)</f>
        <v>931</v>
      </c>
      <c r="AY67" s="56">
        <v>0</v>
      </c>
      <c r="AZ67" s="56">
        <v>0</v>
      </c>
      <c r="BA67" s="56"/>
      <c r="BB67" s="65">
        <v>37999</v>
      </c>
      <c r="BC67" s="56">
        <v>1</v>
      </c>
      <c r="BD67" s="56">
        <v>0</v>
      </c>
      <c r="BE67" s="56"/>
      <c r="BF67" s="65">
        <v>36763</v>
      </c>
      <c r="BG67" s="56">
        <v>1</v>
      </c>
      <c r="BH67" s="56">
        <v>1</v>
      </c>
      <c r="BI67" s="56"/>
      <c r="BJ67" s="65">
        <v>35874</v>
      </c>
      <c r="BK67" s="56">
        <v>1</v>
      </c>
      <c r="BL67" s="56">
        <v>1</v>
      </c>
      <c r="BM67" s="56"/>
      <c r="BN67" s="65">
        <v>37472</v>
      </c>
      <c r="BO67" s="56">
        <v>0</v>
      </c>
      <c r="BP67" s="56">
        <v>0</v>
      </c>
      <c r="BQ67" s="56"/>
      <c r="BR67" s="65">
        <v>37931</v>
      </c>
      <c r="BS67" s="56">
        <v>1</v>
      </c>
      <c r="BT67" s="56">
        <v>0</v>
      </c>
      <c r="BU67" s="56"/>
      <c r="BV67" s="65">
        <v>36000</v>
      </c>
      <c r="BW67" s="56">
        <v>0</v>
      </c>
      <c r="BX67" s="56">
        <v>0</v>
      </c>
      <c r="BY67" s="56"/>
      <c r="BZ67" s="65">
        <v>36806</v>
      </c>
      <c r="CA67" s="56">
        <v>1</v>
      </c>
      <c r="CB67" s="56">
        <v>1</v>
      </c>
      <c r="CC67" s="56"/>
      <c r="CD67" s="65">
        <v>36516</v>
      </c>
      <c r="CE67" s="56">
        <v>1</v>
      </c>
      <c r="CF67" s="56">
        <v>0</v>
      </c>
      <c r="CG67" s="56"/>
      <c r="CH67" s="65">
        <v>37515</v>
      </c>
      <c r="CI67" s="56">
        <v>1</v>
      </c>
      <c r="CJ67" s="56">
        <v>1</v>
      </c>
      <c r="CK67" s="56"/>
      <c r="CL67" s="65">
        <v>37967</v>
      </c>
    </row>
    <row r="68" spans="2:90">
      <c r="AE68" s="18"/>
      <c r="AF68" s="13"/>
      <c r="AG68" s="13"/>
      <c r="AH68" s="13"/>
      <c r="AI68" s="13"/>
      <c r="AK68">
        <v>67</v>
      </c>
      <c r="AL68" t="s">
        <v>19</v>
      </c>
      <c r="AM68" t="s">
        <v>470</v>
      </c>
      <c r="AN68" t="str">
        <f t="shared" si="13"/>
        <v>John</v>
      </c>
      <c r="AO68" cm="1">
        <f t="array" ref="AO68">INDEX($AY$2:$CL$101,$AK68,($AV$2-1)*4+1)</f>
        <v>0</v>
      </c>
      <c r="AP68" cm="1">
        <f t="array" ref="AP68">INDEX($AY$2:$CL$101,$AK68,($AV$2-1)*4+2)</f>
        <v>0</v>
      </c>
      <c r="AQ68"/>
      <c r="AR68" s="1">
        <f t="shared" si="12"/>
        <v>2.9044332207535777</v>
      </c>
      <c r="AS68" cm="1">
        <f t="array" ref="AS68">INDEX($AY$2:$CL$101,$AK68,($AV$2-1)*4+4)</f>
        <v>35933</v>
      </c>
      <c r="AT68" s="53" t="str">
        <f t="shared" si="14"/>
        <v>933</v>
      </c>
      <c r="AY68" s="56">
        <v>0</v>
      </c>
      <c r="AZ68" s="56">
        <v>0</v>
      </c>
      <c r="BA68" s="56"/>
      <c r="BB68" s="65">
        <v>36672</v>
      </c>
      <c r="BC68" s="56">
        <v>1</v>
      </c>
      <c r="BD68" s="56">
        <v>0</v>
      </c>
      <c r="BE68" s="56"/>
      <c r="BF68" s="65">
        <v>36703</v>
      </c>
      <c r="BG68" s="56">
        <v>1</v>
      </c>
      <c r="BH68" s="56">
        <v>0</v>
      </c>
      <c r="BI68" s="56"/>
      <c r="BJ68" s="65">
        <v>35757</v>
      </c>
      <c r="BK68" s="56">
        <v>1</v>
      </c>
      <c r="BL68" s="56">
        <v>1</v>
      </c>
      <c r="BM68" s="56"/>
      <c r="BN68" s="65">
        <v>37182</v>
      </c>
      <c r="BO68" s="56">
        <v>0</v>
      </c>
      <c r="BP68" s="56">
        <v>0</v>
      </c>
      <c r="BQ68" s="56"/>
      <c r="BR68" s="65">
        <v>35933</v>
      </c>
      <c r="BS68" s="56">
        <v>0</v>
      </c>
      <c r="BT68" s="56">
        <v>1</v>
      </c>
      <c r="BU68" s="56"/>
      <c r="BV68" s="65">
        <v>37071</v>
      </c>
      <c r="BW68" s="56">
        <v>0</v>
      </c>
      <c r="BX68" s="56">
        <v>0</v>
      </c>
      <c r="BY68" s="56"/>
      <c r="BZ68" s="65">
        <v>36481</v>
      </c>
      <c r="CA68" s="56">
        <v>0</v>
      </c>
      <c r="CB68" s="56">
        <v>0</v>
      </c>
      <c r="CC68" s="56"/>
      <c r="CD68" s="65">
        <v>37556</v>
      </c>
      <c r="CE68" s="56">
        <v>0</v>
      </c>
      <c r="CF68" s="56">
        <v>0</v>
      </c>
      <c r="CG68" s="56"/>
      <c r="CH68" s="65">
        <v>36523</v>
      </c>
      <c r="CI68" s="56">
        <v>1</v>
      </c>
      <c r="CJ68" s="56">
        <v>1</v>
      </c>
      <c r="CK68" s="56"/>
      <c r="CL68" s="65">
        <v>38322</v>
      </c>
    </row>
    <row r="69" spans="2:90">
      <c r="D69" s="12" t="str">
        <f>"http://www.facebook.com/sharer.php?t=I%20finished%20the%20MECC%20Keyboarding%20Challenge%20in%20"&amp;Results!$E$16&amp;"%20seconds.%20Sign%20up%20for%20the%20Microsoft%20Excel%20Collegiate%20Challenge%20and%20give%20it%20a%20try!"</f>
        <v>http://www.facebook.com/sharer.php?t=I%20finished%20the%20MECC%20Keyboarding%20Challenge%20in%20%20seconds.%20Sign%20up%20for%20the%20Microsoft%20Excel%20Collegiate%20Challenge%20and%20give%20it%20a%20try!</v>
      </c>
      <c r="AE69" s="18"/>
      <c r="AF69" s="13"/>
      <c r="AG69" s="13"/>
      <c r="AH69" s="13"/>
      <c r="AI69" s="13"/>
      <c r="AK69">
        <v>68</v>
      </c>
      <c r="AL69" t="s">
        <v>20</v>
      </c>
      <c r="AM69" t="s">
        <v>469</v>
      </c>
      <c r="AN69" t="str">
        <f t="shared" si="13"/>
        <v>Michael</v>
      </c>
      <c r="AO69" cm="1">
        <f t="array" ref="AO69">INDEX($AY$2:$CL$101,$AK69,($AV$2-1)*4+1)</f>
        <v>0</v>
      </c>
      <c r="AP69" cm="1">
        <f t="array" ref="AP69">INDEX($AY$2:$CL$101,$AK69,($AV$2-1)*4+2)</f>
        <v>1</v>
      </c>
      <c r="AQ69"/>
      <c r="AR69" s="1">
        <f t="shared" si="12"/>
        <v>2.9044332207535777</v>
      </c>
      <c r="AS69" cm="1">
        <f t="array" ref="AS69">INDEX($AY$2:$CL$101,$AK69,($AV$2-1)*4+4)</f>
        <v>36220</v>
      </c>
      <c r="AT69" s="53" t="str">
        <f t="shared" si="14"/>
        <v>220</v>
      </c>
      <c r="AY69" s="56">
        <v>1</v>
      </c>
      <c r="AZ69" s="56">
        <v>1</v>
      </c>
      <c r="BA69" s="56"/>
      <c r="BB69" s="65">
        <v>38066</v>
      </c>
      <c r="BC69" s="56">
        <v>1</v>
      </c>
      <c r="BD69" s="56">
        <v>1</v>
      </c>
      <c r="BE69" s="56"/>
      <c r="BF69" s="65">
        <v>35857</v>
      </c>
      <c r="BG69" s="56">
        <v>0</v>
      </c>
      <c r="BH69" s="56">
        <v>0</v>
      </c>
      <c r="BI69" s="56"/>
      <c r="BJ69" s="65">
        <v>36640</v>
      </c>
      <c r="BK69" s="56">
        <v>1</v>
      </c>
      <c r="BL69" s="56">
        <v>1</v>
      </c>
      <c r="BM69" s="56"/>
      <c r="BN69" s="65">
        <v>35905</v>
      </c>
      <c r="BO69" s="56">
        <v>0</v>
      </c>
      <c r="BP69" s="56">
        <v>1</v>
      </c>
      <c r="BQ69" s="56"/>
      <c r="BR69" s="65">
        <v>36220</v>
      </c>
      <c r="BS69" s="56">
        <v>0</v>
      </c>
      <c r="BT69" s="56">
        <v>0</v>
      </c>
      <c r="BU69" s="56"/>
      <c r="BV69" s="65">
        <v>36073</v>
      </c>
      <c r="BW69" s="56">
        <v>0</v>
      </c>
      <c r="BX69" s="56">
        <v>1</v>
      </c>
      <c r="BY69" s="56"/>
      <c r="BZ69" s="65">
        <v>38121</v>
      </c>
      <c r="CA69" s="56">
        <v>1</v>
      </c>
      <c r="CB69" s="56">
        <v>0</v>
      </c>
      <c r="CC69" s="56"/>
      <c r="CD69" s="65">
        <v>38451</v>
      </c>
      <c r="CE69" s="56">
        <v>1</v>
      </c>
      <c r="CF69" s="56">
        <v>0</v>
      </c>
      <c r="CG69" s="56"/>
      <c r="CH69" s="65">
        <v>36010</v>
      </c>
      <c r="CI69" s="56">
        <v>1</v>
      </c>
      <c r="CJ69" s="56">
        <v>1</v>
      </c>
      <c r="CK69" s="56"/>
      <c r="CL69" s="65">
        <v>37553</v>
      </c>
    </row>
    <row r="70" spans="2:90">
      <c r="AE70" s="18"/>
      <c r="AF70" s="13"/>
      <c r="AG70" s="13"/>
      <c r="AH70" s="13"/>
      <c r="AI70" s="13"/>
      <c r="AK70">
        <v>69</v>
      </c>
      <c r="AL70" t="s">
        <v>65</v>
      </c>
      <c r="AM70" t="s">
        <v>468</v>
      </c>
      <c r="AN70" t="str">
        <f t="shared" si="13"/>
        <v>Lorelei</v>
      </c>
      <c r="AO70" cm="1">
        <f t="array" ref="AO70">INDEX($AY$2:$CL$101,$AK70,($AV$2-1)*4+1)</f>
        <v>1</v>
      </c>
      <c r="AP70" cm="1">
        <f t="array" ref="AP70">INDEX($AY$2:$CL$101,$AK70,($AV$2-1)*4+2)</f>
        <v>1</v>
      </c>
      <c r="AQ70"/>
      <c r="AR70" s="1">
        <f t="shared" si="12"/>
        <v>2.9044332207535777</v>
      </c>
      <c r="AS70" cm="1">
        <f t="array" ref="AS70">INDEX($AY$2:$CL$101,$AK70,($AV$2-1)*4+4)</f>
        <v>37273</v>
      </c>
      <c r="AT70" s="53" t="str">
        <f t="shared" si="14"/>
        <v>273</v>
      </c>
      <c r="AY70" s="56">
        <v>1</v>
      </c>
      <c r="AZ70" s="56">
        <v>1</v>
      </c>
      <c r="BA70" s="56"/>
      <c r="BB70" s="65">
        <v>36999</v>
      </c>
      <c r="BC70" s="56">
        <v>1</v>
      </c>
      <c r="BD70" s="56">
        <v>0</v>
      </c>
      <c r="BE70" s="56"/>
      <c r="BF70" s="65">
        <v>36343</v>
      </c>
      <c r="BG70" s="56">
        <v>0</v>
      </c>
      <c r="BH70" s="56">
        <v>1</v>
      </c>
      <c r="BI70" s="56"/>
      <c r="BJ70" s="65">
        <v>36558</v>
      </c>
      <c r="BK70" s="56">
        <v>1</v>
      </c>
      <c r="BL70" s="56">
        <v>0</v>
      </c>
      <c r="BM70" s="56"/>
      <c r="BN70" s="65">
        <v>36461</v>
      </c>
      <c r="BO70" s="56">
        <v>1</v>
      </c>
      <c r="BP70" s="56">
        <v>1</v>
      </c>
      <c r="BQ70" s="56"/>
      <c r="BR70" s="65">
        <v>37273</v>
      </c>
      <c r="BS70" s="56">
        <v>1</v>
      </c>
      <c r="BT70" s="56">
        <v>1</v>
      </c>
      <c r="BU70" s="56"/>
      <c r="BV70" s="65">
        <v>37522</v>
      </c>
      <c r="BW70" s="56">
        <v>1</v>
      </c>
      <c r="BX70" s="56">
        <v>1</v>
      </c>
      <c r="BY70" s="56"/>
      <c r="BZ70" s="65">
        <v>38037</v>
      </c>
      <c r="CA70" s="56">
        <v>0</v>
      </c>
      <c r="CB70" s="56">
        <v>0</v>
      </c>
      <c r="CC70" s="56"/>
      <c r="CD70" s="65">
        <v>36968</v>
      </c>
      <c r="CE70" s="56">
        <v>0</v>
      </c>
      <c r="CF70" s="56">
        <v>0</v>
      </c>
      <c r="CG70" s="56"/>
      <c r="CH70" s="65">
        <v>37974</v>
      </c>
      <c r="CI70" s="56">
        <v>0</v>
      </c>
      <c r="CJ70" s="56">
        <v>1</v>
      </c>
      <c r="CK70" s="56"/>
      <c r="CL70" s="65">
        <v>36093</v>
      </c>
    </row>
    <row r="71" spans="2:90">
      <c r="B71" s="3" t="s">
        <v>113</v>
      </c>
      <c r="AE71" s="18"/>
      <c r="AF71" s="13"/>
      <c r="AG71" s="13"/>
      <c r="AH71" s="13"/>
      <c r="AI71" s="13"/>
      <c r="AK71">
        <v>70</v>
      </c>
      <c r="AL71" t="s">
        <v>59</v>
      </c>
      <c r="AM71" t="s">
        <v>467</v>
      </c>
      <c r="AN71" t="str">
        <f t="shared" si="13"/>
        <v>Jacob</v>
      </c>
      <c r="AO71" cm="1">
        <f t="array" ref="AO71">INDEX($AY$2:$CL$101,$AK71,($AV$2-1)*4+1)</f>
        <v>0</v>
      </c>
      <c r="AP71" cm="1">
        <f t="array" ref="AP71">INDEX($AY$2:$CL$101,$AK71,($AV$2-1)*4+2)</f>
        <v>1</v>
      </c>
      <c r="AQ71"/>
      <c r="AR71" s="1">
        <f t="shared" si="12"/>
        <v>2.9044332207535777</v>
      </c>
      <c r="AS71" cm="1">
        <f t="array" ref="AS71">INDEX($AY$2:$CL$101,$AK71,($AV$2-1)*4+4)</f>
        <v>38481</v>
      </c>
      <c r="AT71" s="53" t="str">
        <f t="shared" si="14"/>
        <v>481</v>
      </c>
      <c r="AY71" s="56">
        <v>0</v>
      </c>
      <c r="AZ71" s="56">
        <v>0</v>
      </c>
      <c r="BA71" s="56"/>
      <c r="BB71" s="65">
        <v>36559</v>
      </c>
      <c r="BC71" s="56">
        <v>1</v>
      </c>
      <c r="BD71" s="56">
        <v>1</v>
      </c>
      <c r="BE71" s="56"/>
      <c r="BF71" s="65">
        <v>37122</v>
      </c>
      <c r="BG71" s="56">
        <v>1</v>
      </c>
      <c r="BH71" s="56">
        <v>1</v>
      </c>
      <c r="BI71" s="56"/>
      <c r="BJ71" s="65">
        <v>37229</v>
      </c>
      <c r="BK71" s="56">
        <v>1</v>
      </c>
      <c r="BL71" s="56">
        <v>1</v>
      </c>
      <c r="BM71" s="56"/>
      <c r="BN71" s="65">
        <v>38344</v>
      </c>
      <c r="BO71" s="56">
        <v>0</v>
      </c>
      <c r="BP71" s="56">
        <v>1</v>
      </c>
      <c r="BQ71" s="56"/>
      <c r="BR71" s="65">
        <v>38481</v>
      </c>
      <c r="BS71" s="56">
        <v>0</v>
      </c>
      <c r="BT71" s="56">
        <v>0</v>
      </c>
      <c r="BU71" s="56"/>
      <c r="BV71" s="65">
        <v>37094</v>
      </c>
      <c r="BW71" s="56">
        <v>0</v>
      </c>
      <c r="BX71" s="56">
        <v>1</v>
      </c>
      <c r="BY71" s="56"/>
      <c r="BZ71" s="65">
        <v>36792</v>
      </c>
      <c r="CA71" s="56">
        <v>1</v>
      </c>
      <c r="CB71" s="56">
        <v>1</v>
      </c>
      <c r="CC71" s="56"/>
      <c r="CD71" s="65">
        <v>38277</v>
      </c>
      <c r="CE71" s="56">
        <v>1</v>
      </c>
      <c r="CF71" s="56">
        <v>0</v>
      </c>
      <c r="CG71" s="56"/>
      <c r="CH71" s="65">
        <v>37226</v>
      </c>
      <c r="CI71" s="56">
        <v>1</v>
      </c>
      <c r="CJ71" s="56">
        <v>1</v>
      </c>
      <c r="CK71" s="56"/>
      <c r="CL71" s="65">
        <v>36408</v>
      </c>
    </row>
    <row r="72" spans="2:90">
      <c r="AE72" s="18"/>
      <c r="AF72" s="13"/>
      <c r="AG72" s="13"/>
      <c r="AH72" s="13"/>
      <c r="AI72" s="13"/>
      <c r="AK72">
        <v>71</v>
      </c>
      <c r="AL72" t="s">
        <v>52</v>
      </c>
      <c r="AM72" t="s">
        <v>413</v>
      </c>
      <c r="AN72" t="str">
        <f t="shared" si="13"/>
        <v>Edward</v>
      </c>
      <c r="AO72" cm="1">
        <f t="array" ref="AO72">INDEX($AY$2:$CL$101,$AK72,($AV$2-1)*4+1)</f>
        <v>0</v>
      </c>
      <c r="AP72" cm="1">
        <f t="array" ref="AP72">INDEX($AY$2:$CL$101,$AK72,($AV$2-1)*4+2)</f>
        <v>0</v>
      </c>
      <c r="AQ72"/>
      <c r="AR72" s="1">
        <f t="shared" si="12"/>
        <v>2.9044332207535777</v>
      </c>
      <c r="AS72" cm="1">
        <f t="array" ref="AS72">INDEX($AY$2:$CL$101,$AK72,($AV$2-1)*4+4)</f>
        <v>36013</v>
      </c>
      <c r="AT72" s="53" t="str">
        <f t="shared" si="14"/>
        <v>013</v>
      </c>
      <c r="AY72" s="56">
        <v>1</v>
      </c>
      <c r="AZ72" s="56">
        <v>0</v>
      </c>
      <c r="BA72" s="56"/>
      <c r="BB72" s="65">
        <v>36503</v>
      </c>
      <c r="BC72" s="56">
        <v>0</v>
      </c>
      <c r="BD72" s="56">
        <v>0</v>
      </c>
      <c r="BE72" s="56"/>
      <c r="BF72" s="65">
        <v>38442</v>
      </c>
      <c r="BG72" s="56">
        <v>0</v>
      </c>
      <c r="BH72" s="56">
        <v>1</v>
      </c>
      <c r="BI72" s="56"/>
      <c r="BJ72" s="65">
        <v>36634</v>
      </c>
      <c r="BK72" s="56">
        <v>1</v>
      </c>
      <c r="BL72" s="56">
        <v>1</v>
      </c>
      <c r="BM72" s="56"/>
      <c r="BN72" s="65">
        <v>36651</v>
      </c>
      <c r="BO72" s="56">
        <v>0</v>
      </c>
      <c r="BP72" s="56">
        <v>0</v>
      </c>
      <c r="BQ72" s="56"/>
      <c r="BR72" s="65">
        <v>36013</v>
      </c>
      <c r="BS72" s="56">
        <v>0</v>
      </c>
      <c r="BT72" s="56">
        <v>0</v>
      </c>
      <c r="BU72" s="56"/>
      <c r="BV72" s="65">
        <v>37259</v>
      </c>
      <c r="BW72" s="56">
        <v>1</v>
      </c>
      <c r="BX72" s="56">
        <v>0</v>
      </c>
      <c r="BY72" s="56"/>
      <c r="BZ72" s="65">
        <v>36066</v>
      </c>
      <c r="CA72" s="56">
        <v>1</v>
      </c>
      <c r="CB72" s="56">
        <v>1</v>
      </c>
      <c r="CC72" s="56"/>
      <c r="CD72" s="65">
        <v>35904</v>
      </c>
      <c r="CE72" s="56">
        <v>0</v>
      </c>
      <c r="CF72" s="56">
        <v>0</v>
      </c>
      <c r="CG72" s="56"/>
      <c r="CH72" s="65">
        <v>37642</v>
      </c>
      <c r="CI72" s="56">
        <v>0</v>
      </c>
      <c r="CJ72" s="56">
        <v>0</v>
      </c>
      <c r="CK72" s="56"/>
      <c r="CL72" s="65">
        <v>37609</v>
      </c>
    </row>
    <row r="73" spans="2:90">
      <c r="AE73" s="18"/>
      <c r="AF73" s="13"/>
      <c r="AG73" s="13"/>
      <c r="AH73" s="13"/>
      <c r="AI73" s="13"/>
      <c r="AK73">
        <v>72</v>
      </c>
      <c r="AL73" t="s">
        <v>87</v>
      </c>
      <c r="AM73" t="s">
        <v>415</v>
      </c>
      <c r="AN73" t="str">
        <f t="shared" si="13"/>
        <v>Raymond</v>
      </c>
      <c r="AO73" cm="1">
        <f t="array" ref="AO73">INDEX($AY$2:$CL$101,$AK73,($AV$2-1)*4+1)</f>
        <v>0</v>
      </c>
      <c r="AP73" cm="1">
        <f t="array" ref="AP73">INDEX($AY$2:$CL$101,$AK73,($AV$2-1)*4+2)</f>
        <v>1</v>
      </c>
      <c r="AQ73"/>
      <c r="AR73" s="1">
        <f t="shared" si="12"/>
        <v>2.9044332207535777</v>
      </c>
      <c r="AS73" cm="1">
        <f t="array" ref="AS73">INDEX($AY$2:$CL$101,$AK73,($AV$2-1)*4+4)</f>
        <v>35757</v>
      </c>
      <c r="AT73" s="53" t="str">
        <f t="shared" si="14"/>
        <v>757</v>
      </c>
      <c r="AY73" s="56">
        <v>1</v>
      </c>
      <c r="AZ73" s="56">
        <v>1</v>
      </c>
      <c r="BA73" s="56"/>
      <c r="BB73" s="65">
        <v>36192</v>
      </c>
      <c r="BC73" s="56">
        <v>0</v>
      </c>
      <c r="BD73" s="56">
        <v>0</v>
      </c>
      <c r="BE73" s="56"/>
      <c r="BF73" s="65">
        <v>38338</v>
      </c>
      <c r="BG73" s="56">
        <v>0</v>
      </c>
      <c r="BH73" s="56">
        <v>1</v>
      </c>
      <c r="BI73" s="56"/>
      <c r="BJ73" s="65">
        <v>37493</v>
      </c>
      <c r="BK73" s="56">
        <v>0</v>
      </c>
      <c r="BL73" s="56">
        <v>1</v>
      </c>
      <c r="BM73" s="56"/>
      <c r="BN73" s="65">
        <v>36741</v>
      </c>
      <c r="BO73" s="56">
        <v>0</v>
      </c>
      <c r="BP73" s="56">
        <v>1</v>
      </c>
      <c r="BQ73" s="56"/>
      <c r="BR73" s="65">
        <v>35757</v>
      </c>
      <c r="BS73" s="56">
        <v>1</v>
      </c>
      <c r="BT73" s="56">
        <v>0</v>
      </c>
      <c r="BU73" s="56"/>
      <c r="BV73" s="65">
        <v>38052</v>
      </c>
      <c r="BW73" s="56">
        <v>0</v>
      </c>
      <c r="BX73" s="56">
        <v>1</v>
      </c>
      <c r="BY73" s="56"/>
      <c r="BZ73" s="65">
        <v>37448</v>
      </c>
      <c r="CA73" s="56">
        <v>0</v>
      </c>
      <c r="CB73" s="56">
        <v>0</v>
      </c>
      <c r="CC73" s="56"/>
      <c r="CD73" s="65">
        <v>38086</v>
      </c>
      <c r="CE73" s="56">
        <v>1</v>
      </c>
      <c r="CF73" s="56">
        <v>0</v>
      </c>
      <c r="CG73" s="56"/>
      <c r="CH73" s="65">
        <v>37531</v>
      </c>
      <c r="CI73" s="56">
        <v>1</v>
      </c>
      <c r="CJ73" s="56">
        <v>1</v>
      </c>
      <c r="CK73" s="56"/>
      <c r="CL73" s="65">
        <v>38111</v>
      </c>
    </row>
    <row r="74" spans="2:90">
      <c r="AE74" s="18"/>
      <c r="AF74" s="13"/>
      <c r="AG74" s="13"/>
      <c r="AH74" s="13"/>
      <c r="AI74" s="13"/>
      <c r="AK74">
        <v>73</v>
      </c>
      <c r="AL74" t="s">
        <v>91</v>
      </c>
      <c r="AM74" t="s">
        <v>466</v>
      </c>
      <c r="AN74" t="str">
        <f t="shared" si="13"/>
        <v>Dahlia</v>
      </c>
      <c r="AO74" cm="1">
        <f t="array" ref="AO74">INDEX($AY$2:$CL$101,$AK74,($AV$2-1)*4+1)</f>
        <v>1</v>
      </c>
      <c r="AP74" cm="1">
        <f t="array" ref="AP74">INDEX($AY$2:$CL$101,$AK74,($AV$2-1)*4+2)</f>
        <v>0</v>
      </c>
      <c r="AQ74"/>
      <c r="AR74" s="1">
        <f t="shared" si="12"/>
        <v>2.9044332207535777</v>
      </c>
      <c r="AS74" cm="1">
        <f t="array" ref="AS74">INDEX($AY$2:$CL$101,$AK74,($AV$2-1)*4+4)</f>
        <v>37952</v>
      </c>
      <c r="AT74" s="53" t="str">
        <f t="shared" si="14"/>
        <v>952</v>
      </c>
      <c r="AY74" s="56">
        <v>0</v>
      </c>
      <c r="AZ74" s="56">
        <v>1</v>
      </c>
      <c r="BA74" s="56"/>
      <c r="BB74" s="65">
        <v>37095</v>
      </c>
      <c r="BC74" s="56">
        <v>0</v>
      </c>
      <c r="BD74" s="56">
        <v>1</v>
      </c>
      <c r="BE74" s="56"/>
      <c r="BF74" s="65">
        <v>37238</v>
      </c>
      <c r="BG74" s="56">
        <v>1</v>
      </c>
      <c r="BH74" s="56">
        <v>0</v>
      </c>
      <c r="BI74" s="56"/>
      <c r="BJ74" s="65">
        <v>36751</v>
      </c>
      <c r="BK74" s="56">
        <v>1</v>
      </c>
      <c r="BL74" s="56">
        <v>1</v>
      </c>
      <c r="BM74" s="56"/>
      <c r="BN74" s="65">
        <v>35801</v>
      </c>
      <c r="BO74" s="56">
        <v>1</v>
      </c>
      <c r="BP74" s="56">
        <v>0</v>
      </c>
      <c r="BQ74" s="56"/>
      <c r="BR74" s="65">
        <v>37952</v>
      </c>
      <c r="BS74" s="56">
        <v>0</v>
      </c>
      <c r="BT74" s="56">
        <v>1</v>
      </c>
      <c r="BU74" s="56"/>
      <c r="BV74" s="65">
        <v>37893</v>
      </c>
      <c r="BW74" s="56">
        <v>1</v>
      </c>
      <c r="BX74" s="56">
        <v>1</v>
      </c>
      <c r="BY74" s="56"/>
      <c r="BZ74" s="65">
        <v>36793</v>
      </c>
      <c r="CA74" s="56">
        <v>1</v>
      </c>
      <c r="CB74" s="56">
        <v>1</v>
      </c>
      <c r="CC74" s="56"/>
      <c r="CD74" s="65">
        <v>35881</v>
      </c>
      <c r="CE74" s="56">
        <v>1</v>
      </c>
      <c r="CF74" s="56">
        <v>0</v>
      </c>
      <c r="CG74" s="56"/>
      <c r="CH74" s="65">
        <v>36923</v>
      </c>
      <c r="CI74" s="56">
        <v>1</v>
      </c>
      <c r="CJ74" s="56">
        <v>1</v>
      </c>
      <c r="CK74" s="56"/>
      <c r="CL74" s="65">
        <v>36884</v>
      </c>
    </row>
    <row r="75" spans="2:90">
      <c r="AE75" s="18"/>
      <c r="AF75" s="13"/>
      <c r="AG75" s="13"/>
      <c r="AH75" s="13"/>
      <c r="AI75" s="13"/>
      <c r="AK75">
        <v>74</v>
      </c>
      <c r="AL75" t="s">
        <v>39</v>
      </c>
      <c r="AM75" t="s">
        <v>465</v>
      </c>
      <c r="AN75" t="str">
        <f t="shared" si="13"/>
        <v>Paul</v>
      </c>
      <c r="AO75" cm="1">
        <f t="array" ref="AO75">INDEX($AY$2:$CL$101,$AK75,($AV$2-1)*4+1)</f>
        <v>0</v>
      </c>
      <c r="AP75" cm="1">
        <f t="array" ref="AP75">INDEX($AY$2:$CL$101,$AK75,($AV$2-1)*4+2)</f>
        <v>1</v>
      </c>
      <c r="AQ75" cm="1">
        <f t="array" ref="AQ75">INDEX($AY$2:$CL$101,$AK75,($AV$2-1)*4+3)</f>
        <v>3.7551999999999999</v>
      </c>
      <c r="AR75" s="1">
        <f t="shared" ref="AR75:AR88" si="15">AQ75</f>
        <v>3.7551999999999999</v>
      </c>
      <c r="AS75" cm="1">
        <f t="array" ref="AS75">INDEX($AY$2:$CL$101,$AK75,($AV$2-1)*4+4)</f>
        <v>36443</v>
      </c>
      <c r="AT75" s="53" t="str">
        <f t="shared" si="14"/>
        <v>443</v>
      </c>
      <c r="AY75" s="56">
        <v>1</v>
      </c>
      <c r="AZ75" s="56">
        <v>1</v>
      </c>
      <c r="BA75" s="68">
        <v>3.9354</v>
      </c>
      <c r="BB75" s="65">
        <v>37379</v>
      </c>
      <c r="BC75" s="56">
        <v>1</v>
      </c>
      <c r="BD75" s="56">
        <v>1</v>
      </c>
      <c r="BE75" s="68">
        <v>3.8003999999999998</v>
      </c>
      <c r="BF75" s="65">
        <v>36237</v>
      </c>
      <c r="BG75" s="56">
        <v>1</v>
      </c>
      <c r="BH75" s="56">
        <v>1</v>
      </c>
      <c r="BI75" s="68">
        <v>3.911</v>
      </c>
      <c r="BJ75" s="65">
        <v>37526</v>
      </c>
      <c r="BK75" s="56">
        <v>1</v>
      </c>
      <c r="BL75" s="56">
        <v>0</v>
      </c>
      <c r="BM75" s="68">
        <v>3.9689000000000001</v>
      </c>
      <c r="BN75" s="65">
        <v>35799</v>
      </c>
      <c r="BO75" s="56">
        <v>0</v>
      </c>
      <c r="BP75" s="56">
        <v>1</v>
      </c>
      <c r="BQ75" s="68">
        <v>3.7551999999999999</v>
      </c>
      <c r="BR75" s="65">
        <v>36443</v>
      </c>
      <c r="BS75" s="56">
        <v>1</v>
      </c>
      <c r="BT75" s="56">
        <v>1</v>
      </c>
      <c r="BU75" s="68">
        <v>3.9874999999999998</v>
      </c>
      <c r="BV75" s="65">
        <v>35838</v>
      </c>
      <c r="BW75" s="56">
        <v>1</v>
      </c>
      <c r="BX75" s="56">
        <v>0</v>
      </c>
      <c r="BY75" s="68">
        <v>3.9533999999999998</v>
      </c>
      <c r="BZ75" s="65">
        <v>37948</v>
      </c>
      <c r="CA75" s="56">
        <v>0</v>
      </c>
      <c r="CB75" s="56">
        <v>1</v>
      </c>
      <c r="CC75" s="68">
        <v>3.9058999999999999</v>
      </c>
      <c r="CD75" s="65">
        <v>38196</v>
      </c>
      <c r="CE75" s="56">
        <v>1</v>
      </c>
      <c r="CF75" s="56">
        <v>1</v>
      </c>
      <c r="CG75" s="68">
        <v>3.6217999999999999</v>
      </c>
      <c r="CH75" s="65">
        <v>36383</v>
      </c>
      <c r="CI75" s="56">
        <v>1</v>
      </c>
      <c r="CJ75" s="56">
        <v>0</v>
      </c>
      <c r="CK75" s="68">
        <v>3.8523999999999998</v>
      </c>
      <c r="CL75" s="65">
        <v>38145</v>
      </c>
    </row>
    <row r="76" spans="2:90">
      <c r="AE76" s="18"/>
      <c r="AF76" s="13"/>
      <c r="AG76" s="13"/>
      <c r="AH76" s="13"/>
      <c r="AI76" s="13"/>
      <c r="AK76">
        <v>75</v>
      </c>
      <c r="AL76" t="s">
        <v>41</v>
      </c>
      <c r="AM76" t="s">
        <v>416</v>
      </c>
      <c r="AN76" t="str">
        <f t="shared" si="13"/>
        <v>Andrew</v>
      </c>
      <c r="AO76" cm="1">
        <f t="array" ref="AO76">INDEX($AY$2:$CL$101,$AK76,($AV$2-1)*4+1)</f>
        <v>0</v>
      </c>
      <c r="AP76" cm="1">
        <f t="array" ref="AP76">INDEX($AY$2:$CL$101,$AK76,($AV$2-1)*4+2)</f>
        <v>1</v>
      </c>
      <c r="AQ76" cm="1">
        <f t="array" ref="AQ76">INDEX($AY$2:$CL$101,$AK76,($AV$2-1)*4+3)</f>
        <v>2.8811058170623181</v>
      </c>
      <c r="AR76" s="1">
        <f t="shared" si="15"/>
        <v>2.8811058170623181</v>
      </c>
      <c r="AS76" cm="1">
        <f t="array" ref="AS76">INDEX($AY$2:$CL$101,$AK76,($AV$2-1)*4+4)</f>
        <v>35983</v>
      </c>
      <c r="AT76" s="53" t="str">
        <f t="shared" si="14"/>
        <v>983</v>
      </c>
      <c r="AY76" s="56">
        <v>0</v>
      </c>
      <c r="AZ76" s="56">
        <v>0</v>
      </c>
      <c r="BA76" s="56">
        <v>2.8811058170623181</v>
      </c>
      <c r="BB76" s="65">
        <v>38128</v>
      </c>
      <c r="BC76" s="56">
        <v>0</v>
      </c>
      <c r="BD76" s="56">
        <v>1</v>
      </c>
      <c r="BE76" s="56">
        <v>2.8811058170623181</v>
      </c>
      <c r="BF76" s="65">
        <v>38407</v>
      </c>
      <c r="BG76" s="56">
        <v>0</v>
      </c>
      <c r="BH76" s="56">
        <v>1</v>
      </c>
      <c r="BI76" s="56">
        <v>2.8811058170623181</v>
      </c>
      <c r="BJ76" s="65">
        <v>38359</v>
      </c>
      <c r="BK76" s="56">
        <v>0</v>
      </c>
      <c r="BL76" s="56">
        <v>0</v>
      </c>
      <c r="BM76" s="56">
        <v>2.8811058170623181</v>
      </c>
      <c r="BN76" s="65">
        <v>35633</v>
      </c>
      <c r="BO76" s="56">
        <v>0</v>
      </c>
      <c r="BP76" s="56">
        <v>1</v>
      </c>
      <c r="BQ76" s="56">
        <v>2.8811058170623181</v>
      </c>
      <c r="BR76" s="65">
        <v>35983</v>
      </c>
      <c r="BS76" s="56">
        <v>1</v>
      </c>
      <c r="BT76" s="56">
        <v>1</v>
      </c>
      <c r="BU76" s="56">
        <v>2.8811058170623181</v>
      </c>
      <c r="BV76" s="65">
        <v>37768</v>
      </c>
      <c r="BW76" s="56">
        <v>0</v>
      </c>
      <c r="BX76" s="56">
        <v>0</v>
      </c>
      <c r="BY76" s="56">
        <v>2.8811058170623181</v>
      </c>
      <c r="BZ76" s="65">
        <v>36024</v>
      </c>
      <c r="CA76" s="56">
        <v>1</v>
      </c>
      <c r="CB76" s="56">
        <v>1</v>
      </c>
      <c r="CC76" s="56">
        <v>2.8811058170623181</v>
      </c>
      <c r="CD76" s="65">
        <v>36835</v>
      </c>
      <c r="CE76" s="56">
        <v>1</v>
      </c>
      <c r="CF76" s="56">
        <v>1</v>
      </c>
      <c r="CG76" s="56">
        <v>2.8811058170623181</v>
      </c>
      <c r="CH76" s="65">
        <v>37781</v>
      </c>
      <c r="CI76" s="56">
        <v>1</v>
      </c>
      <c r="CJ76" s="56">
        <v>0</v>
      </c>
      <c r="CK76" s="56">
        <v>2.8811058170623181</v>
      </c>
      <c r="CL76" s="65">
        <v>36269</v>
      </c>
    </row>
    <row r="77" spans="2:90">
      <c r="AE77" s="18"/>
      <c r="AF77" s="13"/>
      <c r="AG77" s="13"/>
      <c r="AH77" s="13"/>
      <c r="AI77" s="13"/>
      <c r="AK77">
        <v>76</v>
      </c>
      <c r="AL77" t="s">
        <v>48</v>
      </c>
      <c r="AM77" t="s">
        <v>464</v>
      </c>
      <c r="AN77" t="str">
        <f t="shared" si="13"/>
        <v>Mia</v>
      </c>
      <c r="AO77" cm="1">
        <f t="array" ref="AO77">INDEX($AY$2:$CL$101,$AK77,($AV$2-1)*4+1)</f>
        <v>1</v>
      </c>
      <c r="AP77" cm="1">
        <f t="array" ref="AP77">INDEX($AY$2:$CL$101,$AK77,($AV$2-1)*4+2)</f>
        <v>1</v>
      </c>
      <c r="AQ77" cm="1">
        <f t="array" ref="AQ77">INDEX($AY$2:$CL$101,$AK77,($AV$2-1)*4+3)</f>
        <v>2.7367459856746654</v>
      </c>
      <c r="AR77" s="1">
        <f t="shared" si="15"/>
        <v>2.7367459856746654</v>
      </c>
      <c r="AS77" cm="1">
        <f t="array" ref="AS77">INDEX($AY$2:$CL$101,$AK77,($AV$2-1)*4+4)</f>
        <v>37333</v>
      </c>
      <c r="AT77" s="53" t="str">
        <f t="shared" si="14"/>
        <v>333</v>
      </c>
      <c r="AY77" s="56">
        <v>0</v>
      </c>
      <c r="AZ77" s="56">
        <v>1</v>
      </c>
      <c r="BA77" s="56">
        <v>3.009269268628981</v>
      </c>
      <c r="BB77" s="65">
        <v>38209</v>
      </c>
      <c r="BC77" s="56">
        <v>1</v>
      </c>
      <c r="BD77" s="56">
        <v>0</v>
      </c>
      <c r="BE77" s="56">
        <v>3.5733421816791031</v>
      </c>
      <c r="BF77" s="65">
        <v>36124</v>
      </c>
      <c r="BG77" s="56">
        <v>1</v>
      </c>
      <c r="BH77" s="56">
        <v>1</v>
      </c>
      <c r="BI77" s="56">
        <v>2.5281121495028658</v>
      </c>
      <c r="BJ77" s="65">
        <v>36081</v>
      </c>
      <c r="BK77" s="56">
        <v>1</v>
      </c>
      <c r="BL77" s="56">
        <v>0</v>
      </c>
      <c r="BM77" s="56">
        <v>3.974791378134924</v>
      </c>
      <c r="BN77" s="65">
        <v>36561</v>
      </c>
      <c r="BO77" s="56">
        <v>1</v>
      </c>
      <c r="BP77" s="56">
        <v>1</v>
      </c>
      <c r="BQ77" s="56">
        <v>2.7367459856746654</v>
      </c>
      <c r="BR77" s="65">
        <v>37333</v>
      </c>
      <c r="BS77" s="56">
        <v>0</v>
      </c>
      <c r="BT77" s="56">
        <v>0</v>
      </c>
      <c r="BU77" s="56">
        <v>2.6612465931146572</v>
      </c>
      <c r="BV77" s="65">
        <v>36779</v>
      </c>
      <c r="BW77" s="56">
        <v>1</v>
      </c>
      <c r="BX77" s="56">
        <v>1</v>
      </c>
      <c r="BY77" s="56">
        <v>3.7294350712930964</v>
      </c>
      <c r="BZ77" s="65">
        <v>36757</v>
      </c>
      <c r="CA77" s="56">
        <v>0</v>
      </c>
      <c r="CB77" s="56">
        <v>1</v>
      </c>
      <c r="CC77" s="56">
        <v>2.788348292165991</v>
      </c>
      <c r="CD77" s="65">
        <v>35727</v>
      </c>
      <c r="CE77" s="56">
        <v>1</v>
      </c>
      <c r="CF77" s="56">
        <v>1</v>
      </c>
      <c r="CG77" s="56">
        <v>2.8167162642346582</v>
      </c>
      <c r="CH77" s="65">
        <v>36079</v>
      </c>
      <c r="CI77" s="56">
        <v>0</v>
      </c>
      <c r="CJ77" s="56">
        <v>0</v>
      </c>
      <c r="CK77" s="56">
        <v>3.2990167403492077</v>
      </c>
      <c r="CL77" s="65">
        <v>36348</v>
      </c>
    </row>
    <row r="78" spans="2:90">
      <c r="AE78" s="18"/>
      <c r="AF78" s="13"/>
      <c r="AG78" s="13"/>
      <c r="AH78" s="13"/>
      <c r="AJ78" s="13"/>
      <c r="AK78">
        <v>77</v>
      </c>
      <c r="AL78" t="s">
        <v>80</v>
      </c>
      <c r="AM78" t="s">
        <v>417</v>
      </c>
      <c r="AN78" t="str">
        <f t="shared" si="13"/>
        <v>Gregory</v>
      </c>
      <c r="AO78" cm="1">
        <f t="array" ref="AO78">INDEX($AY$2:$CL$101,$AK78,($AV$2-1)*4+1)</f>
        <v>0</v>
      </c>
      <c r="AP78" cm="1">
        <f t="array" ref="AP78">INDEX($AY$2:$CL$101,$AK78,($AV$2-1)*4+2)</f>
        <v>0</v>
      </c>
      <c r="AQ78" cm="1">
        <f t="array" ref="AQ78">INDEX($AY$2:$CL$101,$AK78,($AV$2-1)*4+3)</f>
        <v>2.8811058170623181</v>
      </c>
      <c r="AR78" s="1">
        <f t="shared" si="15"/>
        <v>2.8811058170623181</v>
      </c>
      <c r="AS78" cm="1">
        <f t="array" ref="AS78">INDEX($AY$2:$CL$101,$AK78,($AV$2-1)*4+4)</f>
        <v>36631</v>
      </c>
      <c r="AT78" s="53" t="str">
        <f t="shared" si="14"/>
        <v>631</v>
      </c>
      <c r="AY78" s="56">
        <v>1</v>
      </c>
      <c r="AZ78" s="56">
        <v>0</v>
      </c>
      <c r="BA78" s="56">
        <v>2.8811058170623181</v>
      </c>
      <c r="BB78" s="65">
        <v>37006</v>
      </c>
      <c r="BC78" s="56">
        <v>0</v>
      </c>
      <c r="BD78" s="56">
        <v>0</v>
      </c>
      <c r="BE78" s="56">
        <v>2.8811058170623181</v>
      </c>
      <c r="BF78" s="65">
        <v>37233</v>
      </c>
      <c r="BG78" s="56">
        <v>0</v>
      </c>
      <c r="BH78" s="56">
        <v>1</v>
      </c>
      <c r="BI78" s="56">
        <v>2.8811058170623181</v>
      </c>
      <c r="BJ78" s="65">
        <v>37891</v>
      </c>
      <c r="BK78" s="56">
        <v>0</v>
      </c>
      <c r="BL78" s="56">
        <v>0</v>
      </c>
      <c r="BM78" s="56">
        <v>2.8811058170623181</v>
      </c>
      <c r="BN78" s="65">
        <v>38084</v>
      </c>
      <c r="BO78" s="56">
        <v>0</v>
      </c>
      <c r="BP78" s="56">
        <v>0</v>
      </c>
      <c r="BQ78" s="56">
        <v>2.8811058170623181</v>
      </c>
      <c r="BR78" s="65">
        <v>36631</v>
      </c>
      <c r="BS78" s="56">
        <v>1</v>
      </c>
      <c r="BT78" s="56">
        <v>1</v>
      </c>
      <c r="BU78" s="56">
        <v>2.8811058170623181</v>
      </c>
      <c r="BV78" s="65">
        <v>37312</v>
      </c>
      <c r="BW78" s="56">
        <v>0</v>
      </c>
      <c r="BX78" s="56">
        <v>0</v>
      </c>
      <c r="BY78" s="56">
        <v>2.8811058170623181</v>
      </c>
      <c r="BZ78" s="65">
        <v>35586</v>
      </c>
      <c r="CA78" s="56">
        <v>0</v>
      </c>
      <c r="CB78" s="56">
        <v>0</v>
      </c>
      <c r="CC78" s="56">
        <v>2.8811058170623181</v>
      </c>
      <c r="CD78" s="65">
        <v>38062</v>
      </c>
      <c r="CE78" s="56">
        <v>1</v>
      </c>
      <c r="CF78" s="56">
        <v>0</v>
      </c>
      <c r="CG78" s="56">
        <v>2.8811058170623181</v>
      </c>
      <c r="CH78" s="65">
        <v>36888</v>
      </c>
      <c r="CI78" s="56">
        <v>1</v>
      </c>
      <c r="CJ78" s="56">
        <v>0</v>
      </c>
      <c r="CK78" s="56">
        <v>2.8811058170623181</v>
      </c>
      <c r="CL78" s="65">
        <v>38116</v>
      </c>
    </row>
    <row r="79" spans="2:90">
      <c r="AE79" s="18"/>
      <c r="AF79" s="13"/>
      <c r="AG79" s="13"/>
      <c r="AH79" s="13"/>
      <c r="AI79" s="13"/>
      <c r="AK79">
        <v>78</v>
      </c>
      <c r="AL79" t="s">
        <v>97</v>
      </c>
      <c r="AM79" t="s">
        <v>463</v>
      </c>
      <c r="AN79" t="str">
        <f t="shared" si="13"/>
        <v>Matilda</v>
      </c>
      <c r="AO79" cm="1">
        <f t="array" ref="AO79">INDEX($AY$2:$CL$101,$AK79,($AV$2-1)*4+1)</f>
        <v>1</v>
      </c>
      <c r="AP79" cm="1">
        <f t="array" ref="AP79">INDEX($AY$2:$CL$101,$AK79,($AV$2-1)*4+2)</f>
        <v>0</v>
      </c>
      <c r="AQ79" cm="1">
        <f t="array" ref="AQ79">INDEX($AY$2:$CL$101,$AK79,($AV$2-1)*4+3)</f>
        <v>2.3690177738703708</v>
      </c>
      <c r="AR79" s="1">
        <f t="shared" si="15"/>
        <v>2.3690177738703708</v>
      </c>
      <c r="AS79" cm="1">
        <f t="array" ref="AS79">INDEX($AY$2:$CL$101,$AK79,($AV$2-1)*4+4)</f>
        <v>37072</v>
      </c>
      <c r="AT79" s="53" t="str">
        <f t="shared" si="14"/>
        <v>072</v>
      </c>
      <c r="AY79" s="56">
        <v>1</v>
      </c>
      <c r="AZ79" s="56">
        <v>0</v>
      </c>
      <c r="BA79" s="56">
        <v>2.9575279798488685</v>
      </c>
      <c r="BB79" s="65">
        <v>36628</v>
      </c>
      <c r="BC79" s="56">
        <v>0</v>
      </c>
      <c r="BD79" s="56">
        <v>1</v>
      </c>
      <c r="BE79" s="56">
        <v>2.4828987500552668</v>
      </c>
      <c r="BF79" s="65">
        <v>37769</v>
      </c>
      <c r="BG79" s="56">
        <v>1</v>
      </c>
      <c r="BH79" s="56">
        <v>1</v>
      </c>
      <c r="BI79" s="56">
        <v>3.303954376039286</v>
      </c>
      <c r="BJ79" s="65">
        <v>38341</v>
      </c>
      <c r="BK79" s="56">
        <v>1</v>
      </c>
      <c r="BL79" s="56">
        <v>1</v>
      </c>
      <c r="BM79" s="56">
        <v>2.7912133928706138</v>
      </c>
      <c r="BN79" s="65">
        <v>37452</v>
      </c>
      <c r="BO79" s="56">
        <v>1</v>
      </c>
      <c r="BP79" s="56">
        <v>0</v>
      </c>
      <c r="BQ79" s="56">
        <v>2.3690177738703708</v>
      </c>
      <c r="BR79" s="65">
        <v>37072</v>
      </c>
      <c r="BS79" s="56">
        <v>1</v>
      </c>
      <c r="BT79" s="56">
        <v>1</v>
      </c>
      <c r="BU79" s="56">
        <v>3.9233214871574669</v>
      </c>
      <c r="BV79" s="65">
        <v>38353</v>
      </c>
      <c r="BW79" s="56">
        <v>0</v>
      </c>
      <c r="BX79" s="56">
        <v>0</v>
      </c>
      <c r="BY79" s="56">
        <v>3.3667257824480545</v>
      </c>
      <c r="BZ79" s="65">
        <v>37259</v>
      </c>
      <c r="CA79" s="56">
        <v>1</v>
      </c>
      <c r="CB79" s="56">
        <v>1</v>
      </c>
      <c r="CC79" s="56">
        <v>2.1700974828542448</v>
      </c>
      <c r="CD79" s="65">
        <v>36369</v>
      </c>
      <c r="CE79" s="56">
        <v>1</v>
      </c>
      <c r="CF79" s="56">
        <v>0</v>
      </c>
      <c r="CG79" s="56">
        <v>2.6031768574022296</v>
      </c>
      <c r="CH79" s="65">
        <v>37752</v>
      </c>
      <c r="CI79" s="56">
        <v>1</v>
      </c>
      <c r="CJ79" s="56">
        <v>1</v>
      </c>
      <c r="CK79" s="56">
        <v>2.8144127948786943</v>
      </c>
      <c r="CL79" s="65">
        <v>36482</v>
      </c>
    </row>
    <row r="80" spans="2:90">
      <c r="AD80" s="7"/>
      <c r="AE80" s="18"/>
      <c r="AF80" s="13"/>
      <c r="AG80" s="13"/>
      <c r="AH80" s="13"/>
      <c r="AI80" s="13"/>
      <c r="AK80">
        <v>79</v>
      </c>
      <c r="AL80" t="s">
        <v>98</v>
      </c>
      <c r="AM80" t="s">
        <v>462</v>
      </c>
      <c r="AN80" t="str">
        <f t="shared" si="13"/>
        <v>Zed</v>
      </c>
      <c r="AO80" cm="1">
        <f t="array" ref="AO80">INDEX($AY$2:$CL$101,$AK80,($AV$2-1)*4+1)</f>
        <v>0</v>
      </c>
      <c r="AP80" cm="1">
        <f t="array" ref="AP80">INDEX($AY$2:$CL$101,$AK80,($AV$2-1)*4+2)</f>
        <v>1</v>
      </c>
      <c r="AQ80" cm="1">
        <f t="array" ref="AQ80">INDEX($AY$2:$CL$101,$AK80,($AV$2-1)*4+3)</f>
        <v>2.8811058170623181</v>
      </c>
      <c r="AR80" s="1">
        <f t="shared" si="15"/>
        <v>2.8811058170623181</v>
      </c>
      <c r="AS80" cm="1">
        <f t="array" ref="AS80">INDEX($AY$2:$CL$101,$AK80,($AV$2-1)*4+4)</f>
        <v>38247</v>
      </c>
      <c r="AT80" s="53" t="str">
        <f t="shared" si="14"/>
        <v>247</v>
      </c>
      <c r="AY80" s="56">
        <v>0</v>
      </c>
      <c r="AZ80" s="56">
        <v>1</v>
      </c>
      <c r="BA80" s="56">
        <v>2.8811058170623181</v>
      </c>
      <c r="BB80" s="65">
        <v>36421</v>
      </c>
      <c r="BC80" s="56">
        <v>1</v>
      </c>
      <c r="BD80" s="56">
        <v>0</v>
      </c>
      <c r="BE80" s="56">
        <v>2.8811058170623181</v>
      </c>
      <c r="BF80" s="65">
        <v>38186</v>
      </c>
      <c r="BG80" s="56">
        <v>0</v>
      </c>
      <c r="BH80" s="56">
        <v>0</v>
      </c>
      <c r="BI80" s="56">
        <v>2.8811058170623181</v>
      </c>
      <c r="BJ80" s="65">
        <v>37118</v>
      </c>
      <c r="BK80" s="56">
        <v>0</v>
      </c>
      <c r="BL80" s="56">
        <v>1</v>
      </c>
      <c r="BM80" s="56">
        <v>2.8811058170623181</v>
      </c>
      <c r="BN80" s="65">
        <v>37980</v>
      </c>
      <c r="BO80" s="56">
        <v>0</v>
      </c>
      <c r="BP80" s="56">
        <v>1</v>
      </c>
      <c r="BQ80" s="56">
        <v>2.8811058170623181</v>
      </c>
      <c r="BR80" s="65">
        <v>38247</v>
      </c>
      <c r="BS80" s="56">
        <v>0</v>
      </c>
      <c r="BT80" s="56">
        <v>0</v>
      </c>
      <c r="BU80" s="56">
        <v>2.8811058170623181</v>
      </c>
      <c r="BV80" s="65">
        <v>36649</v>
      </c>
      <c r="BW80" s="56">
        <v>1</v>
      </c>
      <c r="BX80" s="56">
        <v>0</v>
      </c>
      <c r="BY80" s="56">
        <v>2.8811058170623181</v>
      </c>
      <c r="BZ80" s="65">
        <v>36622</v>
      </c>
      <c r="CA80" s="56">
        <v>1</v>
      </c>
      <c r="CB80" s="56">
        <v>0</v>
      </c>
      <c r="CC80" s="56">
        <v>2.8811058170623181</v>
      </c>
      <c r="CD80" s="65">
        <v>38082</v>
      </c>
      <c r="CE80" s="56">
        <v>0</v>
      </c>
      <c r="CF80" s="56">
        <v>0</v>
      </c>
      <c r="CG80" s="56">
        <v>2.8811058170623181</v>
      </c>
      <c r="CH80" s="65">
        <v>38476</v>
      </c>
      <c r="CI80" s="56">
        <v>0</v>
      </c>
      <c r="CJ80" s="56">
        <v>1</v>
      </c>
      <c r="CK80" s="56">
        <v>2.8811058170623181</v>
      </c>
      <c r="CL80" s="65">
        <v>36450</v>
      </c>
    </row>
    <row r="81" spans="30:90">
      <c r="AD81" s="7"/>
      <c r="AE81" s="7"/>
      <c r="AF81" s="7"/>
      <c r="AG81" s="7"/>
      <c r="AH81" s="7"/>
      <c r="AI81" s="7"/>
      <c r="AK81">
        <v>80</v>
      </c>
      <c r="AL81" t="s">
        <v>83</v>
      </c>
      <c r="AM81" t="s">
        <v>461</v>
      </c>
      <c r="AN81" t="str">
        <f t="shared" si="13"/>
        <v>Frank</v>
      </c>
      <c r="AO81" cm="1">
        <f t="array" ref="AO81">INDEX($AY$2:$CL$101,$AK81,($AV$2-1)*4+1)</f>
        <v>0</v>
      </c>
      <c r="AP81" cm="1">
        <f t="array" ref="AP81">INDEX($AY$2:$CL$101,$AK81,($AV$2-1)*4+2)</f>
        <v>0</v>
      </c>
      <c r="AQ81" cm="1">
        <f t="array" ref="AQ81">INDEX($AY$2:$CL$101,$AK81,($AV$2-1)*4+3)</f>
        <v>2.5534410580862286</v>
      </c>
      <c r="AR81" s="1">
        <f t="shared" si="15"/>
        <v>2.5534410580862286</v>
      </c>
      <c r="AS81" cm="1">
        <f t="array" ref="AS81">INDEX($AY$2:$CL$101,$AK81,($AV$2-1)*4+4)</f>
        <v>36497</v>
      </c>
      <c r="AT81" s="53" t="str">
        <f t="shared" si="14"/>
        <v>497</v>
      </c>
      <c r="AY81" s="56">
        <v>0</v>
      </c>
      <c r="AZ81" s="56">
        <v>1</v>
      </c>
      <c r="BA81" s="56">
        <v>3.6976950812244205</v>
      </c>
      <c r="BB81" s="65">
        <v>38334</v>
      </c>
      <c r="BC81" s="56">
        <v>0</v>
      </c>
      <c r="BD81" s="56">
        <v>0</v>
      </c>
      <c r="BE81" s="56">
        <v>3.6688956016352536</v>
      </c>
      <c r="BF81" s="65">
        <v>36872</v>
      </c>
      <c r="BG81" s="56">
        <v>0</v>
      </c>
      <c r="BH81" s="56">
        <v>0</v>
      </c>
      <c r="BI81" s="56">
        <v>3.3286572673863843</v>
      </c>
      <c r="BJ81" s="65">
        <v>37199</v>
      </c>
      <c r="BK81" s="56">
        <v>1</v>
      </c>
      <c r="BL81" s="56">
        <v>1</v>
      </c>
      <c r="BM81" s="56">
        <v>2.7299735247389005</v>
      </c>
      <c r="BN81" s="65">
        <v>36173</v>
      </c>
      <c r="BO81" s="56">
        <v>0</v>
      </c>
      <c r="BP81" s="56">
        <v>0</v>
      </c>
      <c r="BQ81" s="56">
        <v>2.5534410580862286</v>
      </c>
      <c r="BR81" s="65">
        <v>36497</v>
      </c>
      <c r="BS81" s="56">
        <v>0</v>
      </c>
      <c r="BT81" s="56">
        <v>1</v>
      </c>
      <c r="BU81" s="56">
        <v>2.8808018495854499</v>
      </c>
      <c r="BV81" s="65">
        <v>35512</v>
      </c>
      <c r="BW81" s="56">
        <v>1</v>
      </c>
      <c r="BX81" s="56">
        <v>0</v>
      </c>
      <c r="BY81" s="56">
        <v>2.2057753500789721</v>
      </c>
      <c r="BZ81" s="65">
        <v>36558</v>
      </c>
      <c r="CA81" s="56">
        <v>1</v>
      </c>
      <c r="CB81" s="56">
        <v>0</v>
      </c>
      <c r="CC81" s="56">
        <v>2.2177222871137126</v>
      </c>
      <c r="CD81" s="65">
        <v>37279</v>
      </c>
      <c r="CE81" s="56">
        <v>1</v>
      </c>
      <c r="CF81" s="56">
        <v>0</v>
      </c>
      <c r="CG81" s="56">
        <v>3.0562080755219228</v>
      </c>
      <c r="CH81" s="65">
        <v>36668</v>
      </c>
      <c r="CI81" s="56">
        <v>0</v>
      </c>
      <c r="CJ81" s="56">
        <v>0</v>
      </c>
      <c r="CK81" s="56">
        <v>3.5226079585001711</v>
      </c>
      <c r="CL81" s="65">
        <v>36108</v>
      </c>
    </row>
    <row r="82" spans="30:90">
      <c r="AE82" s="18"/>
      <c r="AF82" s="13"/>
      <c r="AG82" s="13"/>
      <c r="AH82" s="13"/>
      <c r="AI82" s="13"/>
      <c r="AK82">
        <v>81</v>
      </c>
      <c r="AL82" t="s">
        <v>56</v>
      </c>
      <c r="AM82" t="s">
        <v>460</v>
      </c>
      <c r="AN82" t="str">
        <f t="shared" si="13"/>
        <v>Daphne</v>
      </c>
      <c r="AO82" cm="1">
        <f t="array" ref="AO82">INDEX($AY$2:$CL$101,$AK82,($AV$2-1)*4+1)</f>
        <v>1</v>
      </c>
      <c r="AP82" cm="1">
        <f t="array" ref="AP82">INDEX($AY$2:$CL$101,$AK82,($AV$2-1)*4+2)</f>
        <v>1</v>
      </c>
      <c r="AQ82" cm="1">
        <f t="array" ref="AQ82">INDEX($AY$2:$CL$101,$AK82,($AV$2-1)*4+3)</f>
        <v>2.8811058170623181</v>
      </c>
      <c r="AR82" s="1">
        <f t="shared" si="15"/>
        <v>2.8811058170623181</v>
      </c>
      <c r="AS82" cm="1">
        <f t="array" ref="AS82">INDEX($AY$2:$CL$101,$AK82,($AV$2-1)*4+4)</f>
        <v>36126</v>
      </c>
      <c r="AT82" s="53" t="str">
        <f t="shared" si="14"/>
        <v>126</v>
      </c>
      <c r="AY82" s="56">
        <v>1</v>
      </c>
      <c r="AZ82" s="56">
        <v>1</v>
      </c>
      <c r="BA82" s="56">
        <v>2.8811058170623181</v>
      </c>
      <c r="BB82" s="65">
        <v>36443</v>
      </c>
      <c r="BC82" s="56">
        <v>0</v>
      </c>
      <c r="BD82" s="56">
        <v>0</v>
      </c>
      <c r="BE82" s="56">
        <v>2.8811058170623181</v>
      </c>
      <c r="BF82" s="65">
        <v>37317</v>
      </c>
      <c r="BG82" s="56">
        <v>0</v>
      </c>
      <c r="BH82" s="56">
        <v>0</v>
      </c>
      <c r="BI82" s="56">
        <v>2.8811058170623181</v>
      </c>
      <c r="BJ82" s="65">
        <v>37960</v>
      </c>
      <c r="BK82" s="56">
        <v>0</v>
      </c>
      <c r="BL82" s="56">
        <v>0</v>
      </c>
      <c r="BM82" s="56">
        <v>2.8811058170623181</v>
      </c>
      <c r="BN82" s="65">
        <v>38242</v>
      </c>
      <c r="BO82" s="56">
        <v>1</v>
      </c>
      <c r="BP82" s="56">
        <v>1</v>
      </c>
      <c r="BQ82" s="56">
        <v>2.8811058170623181</v>
      </c>
      <c r="BR82" s="65">
        <v>36126</v>
      </c>
      <c r="BS82" s="56">
        <v>0</v>
      </c>
      <c r="BT82" s="56">
        <v>1</v>
      </c>
      <c r="BU82" s="56">
        <v>2.8811058170623181</v>
      </c>
      <c r="BV82" s="65">
        <v>36394</v>
      </c>
      <c r="BW82" s="56">
        <v>1</v>
      </c>
      <c r="BX82" s="56">
        <v>1</v>
      </c>
      <c r="BY82" s="56">
        <v>2.8811058170623181</v>
      </c>
      <c r="BZ82" s="65">
        <v>36262</v>
      </c>
      <c r="CA82" s="56">
        <v>1</v>
      </c>
      <c r="CB82" s="56">
        <v>1</v>
      </c>
      <c r="CC82" s="56">
        <v>2.8811058170623181</v>
      </c>
      <c r="CD82" s="65">
        <v>35859</v>
      </c>
      <c r="CE82" s="56">
        <v>0</v>
      </c>
      <c r="CF82" s="56">
        <v>1</v>
      </c>
      <c r="CG82" s="56">
        <v>2.8811058170623181</v>
      </c>
      <c r="CH82" s="65">
        <v>37545</v>
      </c>
      <c r="CI82" s="56">
        <v>1</v>
      </c>
      <c r="CJ82" s="56">
        <v>0</v>
      </c>
      <c r="CK82" s="56">
        <v>2.8811058170623181</v>
      </c>
      <c r="CL82" s="65">
        <v>36706</v>
      </c>
    </row>
    <row r="83" spans="30:90">
      <c r="AE83" s="18"/>
      <c r="AF83" s="13"/>
      <c r="AG83" s="13"/>
      <c r="AH83" s="13"/>
      <c r="AI83" s="13"/>
      <c r="AK83">
        <v>82</v>
      </c>
      <c r="AL83" t="s">
        <v>82</v>
      </c>
      <c r="AM83" t="s">
        <v>459</v>
      </c>
      <c r="AN83" t="str">
        <f t="shared" si="13"/>
        <v>Olive</v>
      </c>
      <c r="AO83" cm="1">
        <f t="array" ref="AO83">INDEX($AY$2:$CL$101,$AK83,($AV$2-1)*4+1)</f>
        <v>1</v>
      </c>
      <c r="AP83" cm="1">
        <f t="array" ref="AP83">INDEX($AY$2:$CL$101,$AK83,($AV$2-1)*4+2)</f>
        <v>1</v>
      </c>
      <c r="AQ83" cm="1">
        <f t="array" ref="AQ83">INDEX($AY$2:$CL$101,$AK83,($AV$2-1)*4+3)</f>
        <v>3.2885555465684826</v>
      </c>
      <c r="AR83" s="1">
        <f t="shared" si="15"/>
        <v>3.2885555465684826</v>
      </c>
      <c r="AS83" cm="1">
        <f t="array" ref="AS83">INDEX($AY$2:$CL$101,$AK83,($AV$2-1)*4+4)</f>
        <v>36083</v>
      </c>
      <c r="AT83" s="53" t="str">
        <f t="shared" si="14"/>
        <v>083</v>
      </c>
      <c r="AY83" s="56">
        <v>1</v>
      </c>
      <c r="AZ83" s="56">
        <v>1</v>
      </c>
      <c r="BA83" s="56">
        <v>3.3341806716957678</v>
      </c>
      <c r="BB83" s="65">
        <v>36540</v>
      </c>
      <c r="BC83" s="56">
        <v>0</v>
      </c>
      <c r="BD83" s="56">
        <v>1</v>
      </c>
      <c r="BE83" s="56">
        <v>2.8493249949895532</v>
      </c>
      <c r="BF83" s="65">
        <v>37937</v>
      </c>
      <c r="BG83" s="56">
        <v>1</v>
      </c>
      <c r="BH83" s="56">
        <v>1</v>
      </c>
      <c r="BI83" s="56">
        <v>2.2729803968909841</v>
      </c>
      <c r="BJ83" s="65">
        <v>37403</v>
      </c>
      <c r="BK83" s="56">
        <v>1</v>
      </c>
      <c r="BL83" s="56">
        <v>1</v>
      </c>
      <c r="BM83" s="56">
        <v>3.7743837759252452</v>
      </c>
      <c r="BN83" s="65">
        <v>36371</v>
      </c>
      <c r="BO83" s="56">
        <v>1</v>
      </c>
      <c r="BP83" s="56">
        <v>1</v>
      </c>
      <c r="BQ83" s="56">
        <v>3.2885555465684826</v>
      </c>
      <c r="BR83" s="65">
        <v>36083</v>
      </c>
      <c r="BS83" s="56">
        <v>1</v>
      </c>
      <c r="BT83" s="56">
        <v>0</v>
      </c>
      <c r="BU83" s="56">
        <v>2.3280203429978004</v>
      </c>
      <c r="BV83" s="65">
        <v>38306</v>
      </c>
      <c r="BW83" s="56">
        <v>1</v>
      </c>
      <c r="BX83" s="56">
        <v>1</v>
      </c>
      <c r="BY83" s="56">
        <v>2.8956928845434868</v>
      </c>
      <c r="BZ83" s="65">
        <v>38174</v>
      </c>
      <c r="CA83" s="56">
        <v>0</v>
      </c>
      <c r="CB83" s="56">
        <v>1</v>
      </c>
      <c r="CC83" s="56">
        <v>3.128701428074971</v>
      </c>
      <c r="CD83" s="65">
        <v>37366</v>
      </c>
      <c r="CE83" s="56">
        <v>1</v>
      </c>
      <c r="CF83" s="56">
        <v>1</v>
      </c>
      <c r="CG83" s="56">
        <v>3.3429491541621932</v>
      </c>
      <c r="CH83" s="65">
        <v>37517</v>
      </c>
      <c r="CI83" s="56">
        <v>0</v>
      </c>
      <c r="CJ83" s="56">
        <v>1</v>
      </c>
      <c r="CK83" s="56">
        <v>3.9837121475451678</v>
      </c>
      <c r="CL83" s="65">
        <v>36169</v>
      </c>
    </row>
    <row r="84" spans="30:90">
      <c r="AE84" s="18"/>
      <c r="AF84" s="13"/>
      <c r="AG84" s="13"/>
      <c r="AH84" s="13"/>
      <c r="AI84" s="13"/>
      <c r="AK84">
        <v>83</v>
      </c>
      <c r="AL84" t="s">
        <v>89</v>
      </c>
      <c r="AM84" t="s">
        <v>458</v>
      </c>
      <c r="AN84" t="str">
        <f t="shared" si="13"/>
        <v>Mabel</v>
      </c>
      <c r="AO84" cm="1">
        <f t="array" ref="AO84">INDEX($AY$2:$CL$101,$AK84,($AV$2-1)*4+1)</f>
        <v>1</v>
      </c>
      <c r="AP84" cm="1">
        <f t="array" ref="AP84">INDEX($AY$2:$CL$101,$AK84,($AV$2-1)*4+2)</f>
        <v>1</v>
      </c>
      <c r="AQ84" cm="1">
        <f t="array" ref="AQ84">INDEX($AY$2:$CL$101,$AK84,($AV$2-1)*4+3)</f>
        <v>2.8811058170623181</v>
      </c>
      <c r="AR84" s="1">
        <f t="shared" si="15"/>
        <v>2.8811058170623181</v>
      </c>
      <c r="AS84" cm="1">
        <f t="array" ref="AS84">INDEX($AY$2:$CL$101,$AK84,($AV$2-1)*4+4)</f>
        <v>36716</v>
      </c>
      <c r="AT84" s="53" t="str">
        <f t="shared" si="14"/>
        <v>716</v>
      </c>
      <c r="AY84" s="56">
        <v>0</v>
      </c>
      <c r="AZ84" s="56">
        <v>1</v>
      </c>
      <c r="BA84" s="56">
        <v>2.8811058170623181</v>
      </c>
      <c r="BB84" s="65">
        <v>37197</v>
      </c>
      <c r="BC84" s="56">
        <v>0</v>
      </c>
      <c r="BD84" s="56">
        <v>1</v>
      </c>
      <c r="BE84" s="56">
        <v>2.8811058170623181</v>
      </c>
      <c r="BF84" s="65">
        <v>35518</v>
      </c>
      <c r="BG84" s="56">
        <v>0</v>
      </c>
      <c r="BH84" s="56">
        <v>1</v>
      </c>
      <c r="BI84" s="56">
        <v>2.8811058170623181</v>
      </c>
      <c r="BJ84" s="65">
        <v>36663</v>
      </c>
      <c r="BK84" s="56">
        <v>1</v>
      </c>
      <c r="BL84" s="56">
        <v>0</v>
      </c>
      <c r="BM84" s="56">
        <v>2.8811058170623181</v>
      </c>
      <c r="BN84" s="65">
        <v>37149</v>
      </c>
      <c r="BO84" s="56">
        <v>1</v>
      </c>
      <c r="BP84" s="56">
        <v>1</v>
      </c>
      <c r="BQ84" s="56">
        <v>2.8811058170623181</v>
      </c>
      <c r="BR84" s="65">
        <v>36716</v>
      </c>
      <c r="BS84" s="56">
        <v>1</v>
      </c>
      <c r="BT84" s="56">
        <v>1</v>
      </c>
      <c r="BU84" s="56">
        <v>2.8811058170623181</v>
      </c>
      <c r="BV84" s="65">
        <v>35622</v>
      </c>
      <c r="BW84" s="56">
        <v>0</v>
      </c>
      <c r="BX84" s="56">
        <v>1</v>
      </c>
      <c r="BY84" s="56">
        <v>2.8811058170623181</v>
      </c>
      <c r="BZ84" s="65">
        <v>37534</v>
      </c>
      <c r="CA84" s="56">
        <v>1</v>
      </c>
      <c r="CB84" s="56">
        <v>0</v>
      </c>
      <c r="CC84" s="56">
        <v>2.8811058170623181</v>
      </c>
      <c r="CD84" s="65">
        <v>38481</v>
      </c>
      <c r="CE84" s="56">
        <v>1</v>
      </c>
      <c r="CF84" s="56">
        <v>0</v>
      </c>
      <c r="CG84" s="56">
        <v>2.8811058170623181</v>
      </c>
      <c r="CH84" s="65">
        <v>37225</v>
      </c>
      <c r="CI84" s="56">
        <v>1</v>
      </c>
      <c r="CJ84" s="56">
        <v>1</v>
      </c>
      <c r="CK84" s="56">
        <v>2.8811058170623181</v>
      </c>
      <c r="CL84" s="65">
        <v>36574</v>
      </c>
    </row>
    <row r="85" spans="30:90">
      <c r="AE85" s="18"/>
      <c r="AF85" s="13"/>
      <c r="AG85" s="13"/>
      <c r="AH85" s="13"/>
      <c r="AI85" s="13"/>
      <c r="AK85">
        <v>84</v>
      </c>
      <c r="AL85" t="s">
        <v>36</v>
      </c>
      <c r="AM85" t="s">
        <v>457</v>
      </c>
      <c r="AN85" t="str">
        <f t="shared" si="13"/>
        <v>Imogen</v>
      </c>
      <c r="AO85" cm="1">
        <f t="array" ref="AO85">INDEX($AY$2:$CL$101,$AK85,($AV$2-1)*4+1)</f>
        <v>1</v>
      </c>
      <c r="AP85" cm="1">
        <f t="array" ref="AP85">INDEX($AY$2:$CL$101,$AK85,($AV$2-1)*4+2)</f>
        <v>0</v>
      </c>
      <c r="AQ85" cm="1">
        <f t="array" ref="AQ85">INDEX($AY$2:$CL$101,$AK85,($AV$2-1)*4+3)</f>
        <v>3.0116582151255238</v>
      </c>
      <c r="AR85" s="1">
        <f t="shared" si="15"/>
        <v>3.0116582151255238</v>
      </c>
      <c r="AS85" cm="1">
        <f t="array" ref="AS85">INDEX($AY$2:$CL$101,$AK85,($AV$2-1)*4+4)</f>
        <v>37834</v>
      </c>
      <c r="AT85" s="53" t="str">
        <f t="shared" si="14"/>
        <v>834</v>
      </c>
      <c r="AY85" s="56">
        <v>0</v>
      </c>
      <c r="AZ85" s="56">
        <v>0</v>
      </c>
      <c r="BA85" s="56">
        <v>3.4386913191356552</v>
      </c>
      <c r="BB85" s="65">
        <v>35944</v>
      </c>
      <c r="BC85" s="56">
        <v>1</v>
      </c>
      <c r="BD85" s="56">
        <v>1</v>
      </c>
      <c r="BE85" s="56">
        <v>2.2134120737661203</v>
      </c>
      <c r="BF85" s="65">
        <v>37293</v>
      </c>
      <c r="BG85" s="56">
        <v>1</v>
      </c>
      <c r="BH85" s="56">
        <v>1</v>
      </c>
      <c r="BI85" s="56">
        <v>2.9140883974852052</v>
      </c>
      <c r="BJ85" s="65">
        <v>36898</v>
      </c>
      <c r="BK85" s="56">
        <v>0</v>
      </c>
      <c r="BL85" s="56">
        <v>1</v>
      </c>
      <c r="BM85" s="56">
        <v>3.9188358232972709</v>
      </c>
      <c r="BN85" s="65">
        <v>37602</v>
      </c>
      <c r="BO85" s="56">
        <v>1</v>
      </c>
      <c r="BP85" s="56">
        <v>0</v>
      </c>
      <c r="BQ85" s="56">
        <v>3.0116582151255238</v>
      </c>
      <c r="BR85" s="65">
        <v>37834</v>
      </c>
      <c r="BS85" s="56">
        <v>1</v>
      </c>
      <c r="BT85" s="56">
        <v>0</v>
      </c>
      <c r="BU85" s="56">
        <v>2.8194528501488816</v>
      </c>
      <c r="BV85" s="65">
        <v>36860</v>
      </c>
      <c r="BW85" s="56">
        <v>0</v>
      </c>
      <c r="BX85" s="56">
        <v>0</v>
      </c>
      <c r="BY85" s="56">
        <v>2.0420649497448351</v>
      </c>
      <c r="BZ85" s="65">
        <v>38129</v>
      </c>
      <c r="CA85" s="56">
        <v>0</v>
      </c>
      <c r="CB85" s="56">
        <v>1</v>
      </c>
      <c r="CC85" s="56">
        <v>3.9317949000916812</v>
      </c>
      <c r="CD85" s="65">
        <v>35876</v>
      </c>
      <c r="CE85" s="56">
        <v>0</v>
      </c>
      <c r="CF85" s="56">
        <v>0</v>
      </c>
      <c r="CG85" s="56">
        <v>2.4151302412902229</v>
      </c>
      <c r="CH85" s="65">
        <v>36067</v>
      </c>
      <c r="CI85" s="56">
        <v>1</v>
      </c>
      <c r="CJ85" s="56">
        <v>1</v>
      </c>
      <c r="CK85" s="56">
        <v>3.5657411319102525</v>
      </c>
      <c r="CL85" s="65">
        <v>36295</v>
      </c>
    </row>
    <row r="86" spans="30:90">
      <c r="AE86" s="18"/>
      <c r="AF86" s="13"/>
      <c r="AG86" s="13"/>
      <c r="AH86" s="13"/>
      <c r="AI86" s="13"/>
      <c r="AK86">
        <v>85</v>
      </c>
      <c r="AL86" t="s">
        <v>71</v>
      </c>
      <c r="AM86" t="s">
        <v>456</v>
      </c>
      <c r="AN86" t="str">
        <f t="shared" si="13"/>
        <v>Larry</v>
      </c>
      <c r="AO86" cm="1">
        <f t="array" ref="AO86">INDEX($AY$2:$CL$101,$AK86,($AV$2-1)*4+1)</f>
        <v>0</v>
      </c>
      <c r="AP86" cm="1">
        <f t="array" ref="AP86">INDEX($AY$2:$CL$101,$AK86,($AV$2-1)*4+2)</f>
        <v>0</v>
      </c>
      <c r="AQ86" cm="1">
        <f t="array" ref="AQ86">INDEX($AY$2:$CL$101,$AK86,($AV$2-1)*4+3)</f>
        <v>2.8811058170623181</v>
      </c>
      <c r="AR86" s="1">
        <f t="shared" si="15"/>
        <v>2.8811058170623181</v>
      </c>
      <c r="AS86" cm="1">
        <f t="array" ref="AS86">INDEX($AY$2:$CL$101,$AK86,($AV$2-1)*4+4)</f>
        <v>38070</v>
      </c>
      <c r="AT86" s="53" t="str">
        <f t="shared" si="14"/>
        <v>070</v>
      </c>
      <c r="AY86" s="56">
        <v>1</v>
      </c>
      <c r="AZ86" s="56">
        <v>1</v>
      </c>
      <c r="BA86" s="56">
        <v>2.8811058170623181</v>
      </c>
      <c r="BB86" s="65">
        <v>35745</v>
      </c>
      <c r="BC86" s="56">
        <v>1</v>
      </c>
      <c r="BD86" s="56">
        <v>1</v>
      </c>
      <c r="BE86" s="56">
        <v>2.8811058170623181</v>
      </c>
      <c r="BF86" s="65">
        <v>36364</v>
      </c>
      <c r="BG86" s="56">
        <v>1</v>
      </c>
      <c r="BH86" s="56">
        <v>0</v>
      </c>
      <c r="BI86" s="56">
        <v>2.8811058170623181</v>
      </c>
      <c r="BJ86" s="65">
        <v>38081</v>
      </c>
      <c r="BK86" s="56">
        <v>0</v>
      </c>
      <c r="BL86" s="56">
        <v>1</v>
      </c>
      <c r="BM86" s="56">
        <v>2.8811058170623181</v>
      </c>
      <c r="BN86" s="65">
        <v>35502</v>
      </c>
      <c r="BO86" s="56">
        <v>0</v>
      </c>
      <c r="BP86" s="56">
        <v>0</v>
      </c>
      <c r="BQ86" s="56">
        <v>2.8811058170623181</v>
      </c>
      <c r="BR86" s="65">
        <v>38070</v>
      </c>
      <c r="BS86" s="56">
        <v>0</v>
      </c>
      <c r="BT86" s="56">
        <v>0</v>
      </c>
      <c r="BU86" s="56">
        <v>2.8811058170623181</v>
      </c>
      <c r="BV86" s="65">
        <v>37975</v>
      </c>
      <c r="BW86" s="56">
        <v>0</v>
      </c>
      <c r="BX86" s="56">
        <v>1</v>
      </c>
      <c r="BY86" s="56">
        <v>2.8811058170623181</v>
      </c>
      <c r="BZ86" s="65">
        <v>37357</v>
      </c>
      <c r="CA86" s="56">
        <v>0</v>
      </c>
      <c r="CB86" s="56">
        <v>0</v>
      </c>
      <c r="CC86" s="56">
        <v>2.8811058170623181</v>
      </c>
      <c r="CD86" s="65">
        <v>37719</v>
      </c>
      <c r="CE86" s="56">
        <v>0</v>
      </c>
      <c r="CF86" s="56">
        <v>1</v>
      </c>
      <c r="CG86" s="56">
        <v>2.8811058170623181</v>
      </c>
      <c r="CH86" s="65">
        <v>37740</v>
      </c>
      <c r="CI86" s="56">
        <v>0</v>
      </c>
      <c r="CJ86" s="56">
        <v>1</v>
      </c>
      <c r="CK86" s="56">
        <v>2.8811058170623181</v>
      </c>
      <c r="CL86" s="65">
        <v>36789</v>
      </c>
    </row>
    <row r="87" spans="30:90">
      <c r="AE87" s="18"/>
      <c r="AF87" s="13"/>
      <c r="AG87" s="13"/>
      <c r="AH87" s="13"/>
      <c r="AI87" s="13"/>
      <c r="AK87">
        <v>86</v>
      </c>
      <c r="AL87" t="s">
        <v>99</v>
      </c>
      <c r="AM87" t="s">
        <v>455</v>
      </c>
      <c r="AN87" t="str">
        <f t="shared" si="13"/>
        <v>Delilah</v>
      </c>
      <c r="AO87" cm="1">
        <f t="array" ref="AO87">INDEX($AY$2:$CL$101,$AK87,($AV$2-1)*4+1)</f>
        <v>1</v>
      </c>
      <c r="AP87" cm="1">
        <f t="array" ref="AP87">INDEX($AY$2:$CL$101,$AK87,($AV$2-1)*4+2)</f>
        <v>0</v>
      </c>
      <c r="AQ87" cm="1">
        <f t="array" ref="AQ87">INDEX($AY$2:$CL$101,$AK87,($AV$2-1)*4+3)</f>
        <v>3.8893647798133331</v>
      </c>
      <c r="AR87" s="1">
        <f t="shared" si="15"/>
        <v>3.8893647798133331</v>
      </c>
      <c r="AS87" cm="1">
        <f t="array" ref="AS87">INDEX($AY$2:$CL$101,$AK87,($AV$2-1)*4+4)</f>
        <v>37541</v>
      </c>
      <c r="AT87" s="53" t="str">
        <f t="shared" si="14"/>
        <v>541</v>
      </c>
      <c r="AY87" s="56">
        <v>1</v>
      </c>
      <c r="AZ87" s="56">
        <v>0</v>
      </c>
      <c r="BA87" s="56">
        <v>2.1369337155684924</v>
      </c>
      <c r="BB87" s="65">
        <v>36815</v>
      </c>
      <c r="BC87" s="56">
        <v>1</v>
      </c>
      <c r="BD87" s="56">
        <v>0</v>
      </c>
      <c r="BE87" s="56">
        <v>3.7541365202492574</v>
      </c>
      <c r="BF87" s="65">
        <v>37080</v>
      </c>
      <c r="BG87" s="56">
        <v>0</v>
      </c>
      <c r="BH87" s="56">
        <v>1</v>
      </c>
      <c r="BI87" s="56">
        <v>3.0945772753578691</v>
      </c>
      <c r="BJ87" s="65">
        <v>36666</v>
      </c>
      <c r="BK87" s="56">
        <v>0</v>
      </c>
      <c r="BL87" s="56">
        <v>0</v>
      </c>
      <c r="BM87" s="56">
        <v>3.3970687857964159</v>
      </c>
      <c r="BN87" s="65">
        <v>35888</v>
      </c>
      <c r="BO87" s="56">
        <v>1</v>
      </c>
      <c r="BP87" s="56">
        <v>0</v>
      </c>
      <c r="BQ87" s="56">
        <v>3.8893647798133331</v>
      </c>
      <c r="BR87" s="65">
        <v>37541</v>
      </c>
      <c r="BS87" s="56">
        <v>1</v>
      </c>
      <c r="BT87" s="56">
        <v>1</v>
      </c>
      <c r="BU87" s="56">
        <v>2.4154946875027892</v>
      </c>
      <c r="BV87" s="65">
        <v>36583</v>
      </c>
      <c r="BW87" s="56">
        <v>1</v>
      </c>
      <c r="BX87" s="56">
        <v>0</v>
      </c>
      <c r="BY87" s="56">
        <v>3.6882768013199092</v>
      </c>
      <c r="BZ87" s="65">
        <v>35928</v>
      </c>
      <c r="CA87" s="56">
        <v>0</v>
      </c>
      <c r="CB87" s="56">
        <v>1</v>
      </c>
      <c r="CC87" s="56">
        <v>2.3969287957610188</v>
      </c>
      <c r="CD87" s="65">
        <v>37504</v>
      </c>
      <c r="CE87" s="56">
        <v>1</v>
      </c>
      <c r="CF87" s="56">
        <v>1</v>
      </c>
      <c r="CG87" s="56">
        <v>3.7946227785293116</v>
      </c>
      <c r="CH87" s="65">
        <v>36076</v>
      </c>
      <c r="CI87" s="56">
        <v>0</v>
      </c>
      <c r="CJ87" s="56">
        <v>1</v>
      </c>
      <c r="CK87" s="56">
        <v>3.5429341874484139</v>
      </c>
      <c r="CL87" s="65">
        <v>35932</v>
      </c>
    </row>
    <row r="88" spans="30:90">
      <c r="AE88" s="18"/>
      <c r="AF88" s="13"/>
      <c r="AG88" s="13"/>
      <c r="AH88" s="13"/>
      <c r="AI88" s="13"/>
      <c r="AK88">
        <v>87</v>
      </c>
      <c r="AL88" t="s">
        <v>58</v>
      </c>
      <c r="AM88" t="s">
        <v>454</v>
      </c>
      <c r="AN88" t="str">
        <f t="shared" si="13"/>
        <v>Ryan</v>
      </c>
      <c r="AO88" cm="1">
        <f t="array" ref="AO88">INDEX($AY$2:$CL$101,$AK88,($AV$2-1)*4+1)</f>
        <v>0</v>
      </c>
      <c r="AP88" cm="1">
        <f t="array" ref="AP88">INDEX($AY$2:$CL$101,$AK88,($AV$2-1)*4+2)</f>
        <v>0</v>
      </c>
      <c r="AQ88" cm="1">
        <f t="array" ref="AQ88">INDEX($AY$2:$CL$101,$AK88,($AV$2-1)*4+3)</f>
        <v>2.8811058170623181</v>
      </c>
      <c r="AR88" s="1">
        <f t="shared" si="15"/>
        <v>2.8811058170623181</v>
      </c>
      <c r="AS88" cm="1">
        <f t="array" ref="AS88">INDEX($AY$2:$CL$101,$AK88,($AV$2-1)*4+4)</f>
        <v>35829</v>
      </c>
      <c r="AT88" s="53" t="str">
        <f t="shared" si="14"/>
        <v>829</v>
      </c>
      <c r="AY88" s="56">
        <v>0</v>
      </c>
      <c r="AZ88" s="56">
        <v>1</v>
      </c>
      <c r="BA88" s="56">
        <v>2.8811058170623181</v>
      </c>
      <c r="BB88" s="65">
        <v>37360</v>
      </c>
      <c r="BC88" s="56">
        <v>0</v>
      </c>
      <c r="BD88" s="56">
        <v>1</v>
      </c>
      <c r="BE88" s="56">
        <v>2.8811058170623181</v>
      </c>
      <c r="BF88" s="65">
        <v>38132</v>
      </c>
      <c r="BG88" s="56">
        <v>1</v>
      </c>
      <c r="BH88" s="56">
        <v>0</v>
      </c>
      <c r="BI88" s="56">
        <v>2.8811058170623181</v>
      </c>
      <c r="BJ88" s="65">
        <v>37342</v>
      </c>
      <c r="BK88" s="56">
        <v>0</v>
      </c>
      <c r="BL88" s="56">
        <v>0</v>
      </c>
      <c r="BM88" s="56">
        <v>2.8811058170623181</v>
      </c>
      <c r="BN88" s="65">
        <v>36324</v>
      </c>
      <c r="BO88" s="56">
        <v>0</v>
      </c>
      <c r="BP88" s="56">
        <v>0</v>
      </c>
      <c r="BQ88" s="56">
        <v>2.8811058170623181</v>
      </c>
      <c r="BR88" s="65">
        <v>35829</v>
      </c>
      <c r="BS88" s="56">
        <v>1</v>
      </c>
      <c r="BT88" s="56">
        <v>1</v>
      </c>
      <c r="BU88" s="56">
        <v>2.8811058170623181</v>
      </c>
      <c r="BV88" s="65">
        <v>37348</v>
      </c>
      <c r="BW88" s="56">
        <v>1</v>
      </c>
      <c r="BX88" s="56">
        <v>1</v>
      </c>
      <c r="BY88" s="56">
        <v>2.8811058170623181</v>
      </c>
      <c r="BZ88" s="65">
        <v>36869</v>
      </c>
      <c r="CA88" s="56">
        <v>1</v>
      </c>
      <c r="CB88" s="56">
        <v>0</v>
      </c>
      <c r="CC88" s="56">
        <v>2.8811058170623181</v>
      </c>
      <c r="CD88" s="65">
        <v>35685</v>
      </c>
      <c r="CE88" s="56">
        <v>1</v>
      </c>
      <c r="CF88" s="56">
        <v>1</v>
      </c>
      <c r="CG88" s="56">
        <v>2.8811058170623181</v>
      </c>
      <c r="CH88" s="65">
        <v>37636</v>
      </c>
      <c r="CI88" s="56">
        <v>0</v>
      </c>
      <c r="CJ88" s="56">
        <v>1</v>
      </c>
      <c r="CK88" s="56">
        <v>2.8811058170623181</v>
      </c>
      <c r="CL88" s="65">
        <v>38022</v>
      </c>
    </row>
    <row r="89" spans="30:90">
      <c r="AE89" s="18"/>
      <c r="AF89" s="13"/>
      <c r="AG89" s="13"/>
      <c r="AH89" s="13"/>
      <c r="AI89" s="13"/>
      <c r="AK89">
        <v>88</v>
      </c>
      <c r="AL89" t="s">
        <v>69</v>
      </c>
      <c r="AM89" t="s">
        <v>40</v>
      </c>
      <c r="AN89" t="str">
        <f t="shared" si="13"/>
        <v>Stephen</v>
      </c>
      <c r="AO89" cm="1">
        <f t="array" ref="AO89">INDEX($AY$2:$CL$101,$AK89,($AV$2-1)*4+1)</f>
        <v>0</v>
      </c>
      <c r="AP89" cm="1">
        <f t="array" ref="AP89">INDEX($AY$2:$CL$101,$AK89,($AV$2-1)*4+2)</f>
        <v>0</v>
      </c>
      <c r="AQ89"/>
      <c r="AR89" s="1">
        <f t="shared" ref="AR89:AR98" si="16">AVERAGE($AQ$2:$AQ$101)</f>
        <v>2.9044332207535777</v>
      </c>
      <c r="AS89" cm="1">
        <f t="array" ref="AS89">INDEX($AY$2:$CL$101,$AK89,($AV$2-1)*4+4)</f>
        <v>37105</v>
      </c>
      <c r="AT89" s="53" t="str">
        <f t="shared" si="14"/>
        <v>105</v>
      </c>
      <c r="AY89" s="56">
        <v>1</v>
      </c>
      <c r="AZ89" s="56">
        <v>0</v>
      </c>
      <c r="BA89" s="56"/>
      <c r="BB89" s="65">
        <v>37237</v>
      </c>
      <c r="BC89" s="56">
        <v>0</v>
      </c>
      <c r="BD89" s="56">
        <v>1</v>
      </c>
      <c r="BE89" s="56"/>
      <c r="BF89" s="65">
        <v>36176</v>
      </c>
      <c r="BG89" s="56">
        <v>0</v>
      </c>
      <c r="BH89" s="56">
        <v>1</v>
      </c>
      <c r="BI89" s="56"/>
      <c r="BJ89" s="65">
        <v>38307</v>
      </c>
      <c r="BK89" s="56">
        <v>1</v>
      </c>
      <c r="BL89" s="56">
        <v>1</v>
      </c>
      <c r="BM89" s="56"/>
      <c r="BN89" s="65">
        <v>35723</v>
      </c>
      <c r="BO89" s="56">
        <v>0</v>
      </c>
      <c r="BP89" s="56">
        <v>0</v>
      </c>
      <c r="BQ89" s="56"/>
      <c r="BR89" s="65">
        <v>37105</v>
      </c>
      <c r="BS89" s="56">
        <v>0</v>
      </c>
      <c r="BT89" s="56">
        <v>1</v>
      </c>
      <c r="BU89" s="56"/>
      <c r="BV89" s="65">
        <v>35525</v>
      </c>
      <c r="BW89" s="56">
        <v>0</v>
      </c>
      <c r="BX89" s="56">
        <v>0</v>
      </c>
      <c r="BY89" s="56"/>
      <c r="BZ89" s="65">
        <v>37963</v>
      </c>
      <c r="CA89" s="56">
        <v>1</v>
      </c>
      <c r="CB89" s="56">
        <v>0</v>
      </c>
      <c r="CC89" s="56"/>
      <c r="CD89" s="65">
        <v>38188</v>
      </c>
      <c r="CE89" s="56">
        <v>0</v>
      </c>
      <c r="CF89" s="56">
        <v>1</v>
      </c>
      <c r="CG89" s="56"/>
      <c r="CH89" s="65">
        <v>38464</v>
      </c>
      <c r="CI89" s="56">
        <v>1</v>
      </c>
      <c r="CJ89" s="56">
        <v>1</v>
      </c>
      <c r="CK89" s="56"/>
      <c r="CL89" s="65">
        <v>38473</v>
      </c>
    </row>
    <row r="90" spans="30:90">
      <c r="AE90" s="18"/>
      <c r="AF90" s="13"/>
      <c r="AG90" s="13"/>
      <c r="AH90" s="13"/>
      <c r="AI90" s="13"/>
      <c r="AK90">
        <v>89</v>
      </c>
      <c r="AL90" t="s">
        <v>18</v>
      </c>
      <c r="AM90" t="s">
        <v>419</v>
      </c>
      <c r="AN90" t="str">
        <f t="shared" si="13"/>
        <v>Robert</v>
      </c>
      <c r="AO90" cm="1">
        <f t="array" ref="AO90">INDEX($AY$2:$CL$101,$AK90,($AV$2-1)*4+1)</f>
        <v>0</v>
      </c>
      <c r="AP90" cm="1">
        <f t="array" ref="AP90">INDEX($AY$2:$CL$101,$AK90,($AV$2-1)*4+2)</f>
        <v>0</v>
      </c>
      <c r="AQ90"/>
      <c r="AR90" s="1">
        <f t="shared" si="16"/>
        <v>2.9044332207535777</v>
      </c>
      <c r="AS90" cm="1">
        <f t="array" ref="AS90">INDEX($AY$2:$CL$101,$AK90,($AV$2-1)*4+4)</f>
        <v>35781</v>
      </c>
      <c r="AT90" s="53" t="str">
        <f t="shared" si="14"/>
        <v>781</v>
      </c>
      <c r="AY90" s="56">
        <v>0</v>
      </c>
      <c r="AZ90" s="56">
        <v>0</v>
      </c>
      <c r="BA90" s="56"/>
      <c r="BB90" s="65">
        <v>38093</v>
      </c>
      <c r="BC90" s="56">
        <v>0</v>
      </c>
      <c r="BD90" s="56">
        <v>0</v>
      </c>
      <c r="BE90" s="56"/>
      <c r="BF90" s="65">
        <v>37709</v>
      </c>
      <c r="BG90" s="56">
        <v>1</v>
      </c>
      <c r="BH90" s="56">
        <v>0</v>
      </c>
      <c r="BI90" s="56"/>
      <c r="BJ90" s="65">
        <v>36568</v>
      </c>
      <c r="BK90" s="56">
        <v>1</v>
      </c>
      <c r="BL90" s="56">
        <v>0</v>
      </c>
      <c r="BM90" s="56"/>
      <c r="BN90" s="65">
        <v>37411</v>
      </c>
      <c r="BO90" s="56">
        <v>0</v>
      </c>
      <c r="BP90" s="56">
        <v>0</v>
      </c>
      <c r="BQ90" s="56"/>
      <c r="BR90" s="65">
        <v>35781</v>
      </c>
      <c r="BS90" s="56">
        <v>0</v>
      </c>
      <c r="BT90" s="56">
        <v>1</v>
      </c>
      <c r="BU90" s="56"/>
      <c r="BV90" s="65">
        <v>35727</v>
      </c>
      <c r="BW90" s="56">
        <v>0</v>
      </c>
      <c r="BX90" s="56">
        <v>1</v>
      </c>
      <c r="BY90" s="56"/>
      <c r="BZ90" s="65">
        <v>36691</v>
      </c>
      <c r="CA90" s="56">
        <v>1</v>
      </c>
      <c r="CB90" s="56">
        <v>0</v>
      </c>
      <c r="CC90" s="56"/>
      <c r="CD90" s="65">
        <v>37273</v>
      </c>
      <c r="CE90" s="56">
        <v>1</v>
      </c>
      <c r="CF90" s="56">
        <v>0</v>
      </c>
      <c r="CG90" s="56"/>
      <c r="CH90" s="65">
        <v>37615</v>
      </c>
      <c r="CI90" s="56">
        <v>1</v>
      </c>
      <c r="CJ90" s="56">
        <v>0</v>
      </c>
      <c r="CK90" s="56"/>
      <c r="CL90" s="65">
        <v>37638</v>
      </c>
    </row>
    <row r="91" spans="30:90">
      <c r="AE91" s="18"/>
      <c r="AF91" s="13"/>
      <c r="AG91" s="13"/>
      <c r="AH91" s="13"/>
      <c r="AI91" s="13"/>
      <c r="AK91">
        <v>90</v>
      </c>
      <c r="AL91" t="s">
        <v>34</v>
      </c>
      <c r="AM91" t="s">
        <v>435</v>
      </c>
      <c r="AN91" t="str">
        <f t="shared" si="13"/>
        <v>Anthony</v>
      </c>
      <c r="AO91" cm="1">
        <f t="array" ref="AO91">INDEX($AY$2:$CL$101,$AK91,($AV$2-1)*4+1)</f>
        <v>0</v>
      </c>
      <c r="AP91" cm="1">
        <f t="array" ref="AP91">INDEX($AY$2:$CL$101,$AK91,($AV$2-1)*4+2)</f>
        <v>1</v>
      </c>
      <c r="AQ91"/>
      <c r="AR91" s="1">
        <f t="shared" si="16"/>
        <v>2.9044332207535777</v>
      </c>
      <c r="AS91" cm="1">
        <f t="array" ref="AS91">INDEX($AY$2:$CL$101,$AK91,($AV$2-1)*4+4)</f>
        <v>37063</v>
      </c>
      <c r="AT91" s="53" t="str">
        <f t="shared" si="14"/>
        <v>063</v>
      </c>
      <c r="AY91" s="56">
        <v>1</v>
      </c>
      <c r="AZ91" s="56">
        <v>0</v>
      </c>
      <c r="BA91" s="56"/>
      <c r="BB91" s="65">
        <v>36356</v>
      </c>
      <c r="BC91" s="56">
        <v>0</v>
      </c>
      <c r="BD91" s="56">
        <v>1</v>
      </c>
      <c r="BE91" s="56"/>
      <c r="BF91" s="65">
        <v>37522</v>
      </c>
      <c r="BG91" s="56">
        <v>0</v>
      </c>
      <c r="BH91" s="56">
        <v>1</v>
      </c>
      <c r="BI91" s="56"/>
      <c r="BJ91" s="65">
        <v>36977</v>
      </c>
      <c r="BK91" s="56">
        <v>1</v>
      </c>
      <c r="BL91" s="56">
        <v>1</v>
      </c>
      <c r="BM91" s="56"/>
      <c r="BN91" s="65">
        <v>37861</v>
      </c>
      <c r="BO91" s="56">
        <v>0</v>
      </c>
      <c r="BP91" s="56">
        <v>1</v>
      </c>
      <c r="BQ91" s="56"/>
      <c r="BR91" s="65">
        <v>37063</v>
      </c>
      <c r="BS91" s="56">
        <v>1</v>
      </c>
      <c r="BT91" s="56">
        <v>0</v>
      </c>
      <c r="BU91" s="56"/>
      <c r="BV91" s="65">
        <v>37496</v>
      </c>
      <c r="BW91" s="56">
        <v>0</v>
      </c>
      <c r="BX91" s="56">
        <v>1</v>
      </c>
      <c r="BY91" s="56"/>
      <c r="BZ91" s="65">
        <v>36120</v>
      </c>
      <c r="CA91" s="56">
        <v>1</v>
      </c>
      <c r="CB91" s="56">
        <v>1</v>
      </c>
      <c r="CC91" s="56"/>
      <c r="CD91" s="65">
        <v>38386</v>
      </c>
      <c r="CE91" s="56">
        <v>0</v>
      </c>
      <c r="CF91" s="56">
        <v>1</v>
      </c>
      <c r="CG91" s="56"/>
      <c r="CH91" s="65">
        <v>36997</v>
      </c>
      <c r="CI91" s="56">
        <v>1</v>
      </c>
      <c r="CJ91" s="56">
        <v>1</v>
      </c>
      <c r="CK91" s="56"/>
      <c r="CL91" s="65">
        <v>37374</v>
      </c>
    </row>
    <row r="92" spans="30:90">
      <c r="AE92" s="18"/>
      <c r="AF92" s="13"/>
      <c r="AG92" s="13"/>
      <c r="AH92" s="13"/>
      <c r="AI92" s="13"/>
      <c r="AK92">
        <v>91</v>
      </c>
      <c r="AL92" t="s">
        <v>45</v>
      </c>
      <c r="AM92" t="s">
        <v>436</v>
      </c>
      <c r="AN92" t="str">
        <f t="shared" si="13"/>
        <v>Vera</v>
      </c>
      <c r="AO92" cm="1">
        <f t="array" ref="AO92">INDEX($AY$2:$CL$101,$AK92,($AV$2-1)*4+1)</f>
        <v>1</v>
      </c>
      <c r="AP92" cm="1">
        <f t="array" ref="AP92">INDEX($AY$2:$CL$101,$AK92,($AV$2-1)*4+2)</f>
        <v>1</v>
      </c>
      <c r="AQ92"/>
      <c r="AR92" s="1">
        <f t="shared" si="16"/>
        <v>2.9044332207535777</v>
      </c>
      <c r="AS92" cm="1">
        <f t="array" ref="AS92">INDEX($AY$2:$CL$101,$AK92,($AV$2-1)*4+4)</f>
        <v>36951</v>
      </c>
      <c r="AT92" s="53" t="str">
        <f t="shared" si="14"/>
        <v>951</v>
      </c>
      <c r="AY92" s="56">
        <v>0</v>
      </c>
      <c r="AZ92" s="56">
        <v>0</v>
      </c>
      <c r="BA92" s="56"/>
      <c r="BB92" s="65">
        <v>35841</v>
      </c>
      <c r="BC92" s="56">
        <v>0</v>
      </c>
      <c r="BD92" s="56">
        <v>0</v>
      </c>
      <c r="BE92" s="56"/>
      <c r="BF92" s="65">
        <v>36721</v>
      </c>
      <c r="BG92" s="56">
        <v>1</v>
      </c>
      <c r="BH92" s="56">
        <v>1</v>
      </c>
      <c r="BI92" s="56"/>
      <c r="BJ92" s="65">
        <v>37635</v>
      </c>
      <c r="BK92" s="56">
        <v>0</v>
      </c>
      <c r="BL92" s="56">
        <v>0</v>
      </c>
      <c r="BM92" s="56"/>
      <c r="BN92" s="65">
        <v>38278</v>
      </c>
      <c r="BO92" s="56">
        <v>1</v>
      </c>
      <c r="BP92" s="56">
        <v>1</v>
      </c>
      <c r="BQ92" s="56"/>
      <c r="BR92" s="65">
        <v>36951</v>
      </c>
      <c r="BS92" s="56">
        <v>0</v>
      </c>
      <c r="BT92" s="56">
        <v>0</v>
      </c>
      <c r="BU92" s="56"/>
      <c r="BV92" s="65">
        <v>35682</v>
      </c>
      <c r="BW92" s="56">
        <v>0</v>
      </c>
      <c r="BX92" s="56">
        <v>1</v>
      </c>
      <c r="BY92" s="56"/>
      <c r="BZ92" s="65">
        <v>36230</v>
      </c>
      <c r="CA92" s="56">
        <v>0</v>
      </c>
      <c r="CB92" s="56">
        <v>1</v>
      </c>
      <c r="CC92" s="56"/>
      <c r="CD92" s="65">
        <v>37027</v>
      </c>
      <c r="CE92" s="56">
        <v>1</v>
      </c>
      <c r="CF92" s="56">
        <v>1</v>
      </c>
      <c r="CG92" s="56"/>
      <c r="CH92" s="65">
        <v>36900</v>
      </c>
      <c r="CI92" s="56">
        <v>0</v>
      </c>
      <c r="CJ92" s="56">
        <v>0</v>
      </c>
      <c r="CK92" s="56"/>
      <c r="CL92" s="65">
        <v>37917</v>
      </c>
    </row>
    <row r="93" spans="30:90">
      <c r="AE93" s="18"/>
      <c r="AF93" s="13"/>
      <c r="AG93" s="13"/>
      <c r="AH93" s="13"/>
      <c r="AI93" s="13"/>
      <c r="AK93">
        <v>92</v>
      </c>
      <c r="AL93" t="s">
        <v>63</v>
      </c>
      <c r="AM93" t="s">
        <v>437</v>
      </c>
      <c r="AN93" t="str">
        <f t="shared" si="13"/>
        <v>Sienna</v>
      </c>
      <c r="AO93" cm="1">
        <f t="array" ref="AO93">INDEX($AY$2:$CL$101,$AK93,($AV$2-1)*4+1)</f>
        <v>1</v>
      </c>
      <c r="AP93" cm="1">
        <f t="array" ref="AP93">INDEX($AY$2:$CL$101,$AK93,($AV$2-1)*4+2)</f>
        <v>0</v>
      </c>
      <c r="AQ93"/>
      <c r="AR93" s="1">
        <f t="shared" si="16"/>
        <v>2.9044332207535777</v>
      </c>
      <c r="AS93" cm="1">
        <f t="array" ref="AS93">INDEX($AY$2:$CL$101,$AK93,($AV$2-1)*4+4)</f>
        <v>35553</v>
      </c>
      <c r="AT93" s="53" t="str">
        <f t="shared" si="14"/>
        <v>553</v>
      </c>
      <c r="AY93" s="56">
        <v>0</v>
      </c>
      <c r="AZ93" s="56">
        <v>1</v>
      </c>
      <c r="BA93" s="56"/>
      <c r="BB93" s="65">
        <v>37498</v>
      </c>
      <c r="BC93" s="56">
        <v>0</v>
      </c>
      <c r="BD93" s="56">
        <v>0</v>
      </c>
      <c r="BE93" s="56"/>
      <c r="BF93" s="65">
        <v>35894</v>
      </c>
      <c r="BG93" s="56">
        <v>1</v>
      </c>
      <c r="BH93" s="56">
        <v>0</v>
      </c>
      <c r="BI93" s="56"/>
      <c r="BJ93" s="65">
        <v>37582</v>
      </c>
      <c r="BK93" s="56">
        <v>1</v>
      </c>
      <c r="BL93" s="56">
        <v>0</v>
      </c>
      <c r="BM93" s="56"/>
      <c r="BN93" s="65">
        <v>37121</v>
      </c>
      <c r="BO93" s="56">
        <v>1</v>
      </c>
      <c r="BP93" s="56">
        <v>0</v>
      </c>
      <c r="BQ93" s="56"/>
      <c r="BR93" s="65">
        <v>35553</v>
      </c>
      <c r="BS93" s="56">
        <v>0</v>
      </c>
      <c r="BT93" s="56">
        <v>1</v>
      </c>
      <c r="BU93" s="56"/>
      <c r="BV93" s="65">
        <v>36016</v>
      </c>
      <c r="BW93" s="56">
        <v>1</v>
      </c>
      <c r="BX93" s="56">
        <v>1</v>
      </c>
      <c r="BY93" s="56"/>
      <c r="BZ93" s="65">
        <v>38318</v>
      </c>
      <c r="CA93" s="56">
        <v>0</v>
      </c>
      <c r="CB93" s="56">
        <v>0</v>
      </c>
      <c r="CC93" s="56"/>
      <c r="CD93" s="65">
        <v>38166</v>
      </c>
      <c r="CE93" s="56">
        <v>0</v>
      </c>
      <c r="CF93" s="56">
        <v>0</v>
      </c>
      <c r="CG93" s="56"/>
      <c r="CH93" s="65">
        <v>37471</v>
      </c>
      <c r="CI93" s="56">
        <v>1</v>
      </c>
      <c r="CJ93" s="56">
        <v>0</v>
      </c>
      <c r="CK93" s="56"/>
      <c r="CL93" s="65">
        <v>37408</v>
      </c>
    </row>
    <row r="94" spans="30:90">
      <c r="AE94" s="18"/>
      <c r="AF94" s="13"/>
      <c r="AG94" s="13"/>
      <c r="AH94" s="13"/>
      <c r="AI94" s="13"/>
      <c r="AK94">
        <v>93</v>
      </c>
      <c r="AL94" t="s">
        <v>73</v>
      </c>
      <c r="AM94" t="s">
        <v>383</v>
      </c>
      <c r="AN94" t="str">
        <f t="shared" si="13"/>
        <v> Serena</v>
      </c>
      <c r="AO94" cm="1">
        <f t="array" ref="AO94">INDEX($AY$2:$CL$101,$AK94,($AV$2-1)*4+1)</f>
        <v>1</v>
      </c>
      <c r="AP94" cm="1">
        <f t="array" ref="AP94">INDEX($AY$2:$CL$101,$AK94,($AV$2-1)*4+2)</f>
        <v>1</v>
      </c>
      <c r="AQ94"/>
      <c r="AR94" s="1">
        <f t="shared" si="16"/>
        <v>2.9044332207535777</v>
      </c>
      <c r="AS94" cm="1">
        <f t="array" ref="AS94">INDEX($AY$2:$CL$101,$AK94,($AV$2-1)*4+4)</f>
        <v>37364</v>
      </c>
      <c r="AT94" s="53" t="str">
        <f t="shared" si="14"/>
        <v>364</v>
      </c>
      <c r="AY94" s="56">
        <v>0</v>
      </c>
      <c r="AZ94" s="56">
        <v>0</v>
      </c>
      <c r="BA94" s="56"/>
      <c r="BB94" s="65">
        <v>37231</v>
      </c>
      <c r="BC94" s="56">
        <v>0</v>
      </c>
      <c r="BD94" s="56">
        <v>1</v>
      </c>
      <c r="BE94" s="56"/>
      <c r="BF94" s="65">
        <v>35719</v>
      </c>
      <c r="BG94" s="56">
        <v>1</v>
      </c>
      <c r="BH94" s="56">
        <v>0</v>
      </c>
      <c r="BI94" s="56"/>
      <c r="BJ94" s="65">
        <v>35877</v>
      </c>
      <c r="BK94" s="56">
        <v>0</v>
      </c>
      <c r="BL94" s="56">
        <v>0</v>
      </c>
      <c r="BM94" s="56"/>
      <c r="BN94" s="65">
        <v>36085</v>
      </c>
      <c r="BO94" s="56">
        <v>1</v>
      </c>
      <c r="BP94" s="56">
        <v>1</v>
      </c>
      <c r="BQ94" s="56"/>
      <c r="BR94" s="65">
        <v>37364</v>
      </c>
      <c r="BS94" s="56">
        <v>0</v>
      </c>
      <c r="BT94" s="56">
        <v>1</v>
      </c>
      <c r="BU94" s="56"/>
      <c r="BV94" s="65">
        <v>36478</v>
      </c>
      <c r="BW94" s="56">
        <v>1</v>
      </c>
      <c r="BX94" s="56">
        <v>1</v>
      </c>
      <c r="BY94" s="56"/>
      <c r="BZ94" s="65">
        <v>36974</v>
      </c>
      <c r="CA94" s="56">
        <v>1</v>
      </c>
      <c r="CB94" s="56">
        <v>1</v>
      </c>
      <c r="CC94" s="56"/>
      <c r="CD94" s="65">
        <v>35664</v>
      </c>
      <c r="CE94" s="56">
        <v>0</v>
      </c>
      <c r="CF94" s="56">
        <v>0</v>
      </c>
      <c r="CG94" s="56"/>
      <c r="CH94" s="65">
        <v>36429</v>
      </c>
      <c r="CI94" s="56">
        <v>0</v>
      </c>
      <c r="CJ94" s="56">
        <v>1</v>
      </c>
      <c r="CK94" s="56"/>
      <c r="CL94" s="65">
        <v>35898</v>
      </c>
    </row>
    <row r="95" spans="30:90">
      <c r="AE95" s="18"/>
      <c r="AF95" s="13"/>
      <c r="AG95" s="13"/>
      <c r="AH95" s="13"/>
      <c r="AI95" s="13"/>
      <c r="AK95">
        <v>94</v>
      </c>
      <c r="AL95" t="s">
        <v>5</v>
      </c>
      <c r="AM95" t="s">
        <v>446</v>
      </c>
      <c r="AN95" t="str">
        <f t="shared" si="13"/>
        <v>Elise</v>
      </c>
      <c r="AO95" cm="1">
        <f t="array" ref="AO95">INDEX($AY$2:$CL$101,$AK95,($AV$2-1)*4+1)</f>
        <v>1</v>
      </c>
      <c r="AP95" cm="1">
        <f t="array" ref="AP95">INDEX($AY$2:$CL$101,$AK95,($AV$2-1)*4+2)</f>
        <v>1</v>
      </c>
      <c r="AQ95"/>
      <c r="AR95" s="1">
        <f t="shared" si="16"/>
        <v>2.9044332207535777</v>
      </c>
      <c r="AS95" cm="1">
        <f t="array" ref="AS95">INDEX($AY$2:$CL$101,$AK95,($AV$2-1)*4+4)</f>
        <v>37824</v>
      </c>
      <c r="AT95" s="53" t="str">
        <f t="shared" si="14"/>
        <v>824</v>
      </c>
      <c r="AY95" s="56">
        <v>0</v>
      </c>
      <c r="AZ95" s="56">
        <v>0</v>
      </c>
      <c r="BA95" s="56"/>
      <c r="BB95" s="65">
        <v>35608</v>
      </c>
      <c r="BC95" s="56">
        <v>0</v>
      </c>
      <c r="BD95" s="56">
        <v>0</v>
      </c>
      <c r="BE95" s="56"/>
      <c r="BF95" s="65">
        <v>37663</v>
      </c>
      <c r="BG95" s="56">
        <v>1</v>
      </c>
      <c r="BH95" s="56">
        <v>1</v>
      </c>
      <c r="BI95" s="56"/>
      <c r="BJ95" s="65">
        <v>36086</v>
      </c>
      <c r="BK95" s="56">
        <v>1</v>
      </c>
      <c r="BL95" s="56">
        <v>1</v>
      </c>
      <c r="BM95" s="56"/>
      <c r="BN95" s="65">
        <v>36622</v>
      </c>
      <c r="BO95" s="56">
        <v>1</v>
      </c>
      <c r="BP95" s="56">
        <v>1</v>
      </c>
      <c r="BQ95" s="56"/>
      <c r="BR95" s="65">
        <v>37824</v>
      </c>
      <c r="BS95" s="56">
        <v>0</v>
      </c>
      <c r="BT95" s="56">
        <v>0</v>
      </c>
      <c r="BU95" s="56"/>
      <c r="BV95" s="65">
        <v>35776</v>
      </c>
      <c r="BW95" s="56">
        <v>1</v>
      </c>
      <c r="BX95" s="56">
        <v>0</v>
      </c>
      <c r="BY95" s="56"/>
      <c r="BZ95" s="65">
        <v>36142</v>
      </c>
      <c r="CA95" s="56">
        <v>0</v>
      </c>
      <c r="CB95" s="56">
        <v>1</v>
      </c>
      <c r="CC95" s="56"/>
      <c r="CD95" s="65">
        <v>35815</v>
      </c>
      <c r="CE95" s="56">
        <v>1</v>
      </c>
      <c r="CF95" s="56">
        <v>0</v>
      </c>
      <c r="CG95" s="56"/>
      <c r="CH95" s="65">
        <v>36827</v>
      </c>
      <c r="CI95" s="56">
        <v>1</v>
      </c>
      <c r="CJ95" s="56">
        <v>1</v>
      </c>
      <c r="CK95" s="56"/>
      <c r="CL95" s="65">
        <v>36665</v>
      </c>
    </row>
    <row r="96" spans="30:90">
      <c r="AE96" s="18"/>
      <c r="AF96" s="13"/>
      <c r="AG96" s="13"/>
      <c r="AH96" s="13"/>
      <c r="AI96" s="13"/>
      <c r="AK96">
        <v>95</v>
      </c>
      <c r="AL96" t="s">
        <v>75</v>
      </c>
      <c r="AM96" t="s">
        <v>448</v>
      </c>
      <c r="AN96" t="str">
        <f t="shared" si="13"/>
        <v>Brandon</v>
      </c>
      <c r="AO96" cm="1">
        <f t="array" ref="AO96">INDEX($AY$2:$CL$101,$AK96,($AV$2-1)*4+1)</f>
        <v>0</v>
      </c>
      <c r="AP96" cm="1">
        <f t="array" ref="AP96">INDEX($AY$2:$CL$101,$AK96,($AV$2-1)*4+2)</f>
        <v>0</v>
      </c>
      <c r="AQ96"/>
      <c r="AR96" s="1">
        <f t="shared" si="16"/>
        <v>2.9044332207535777</v>
      </c>
      <c r="AS96" cm="1">
        <f t="array" ref="AS96">INDEX($AY$2:$CL$101,$AK96,($AV$2-1)*4+4)</f>
        <v>37560</v>
      </c>
      <c r="AT96" s="53" t="str">
        <f t="shared" si="14"/>
        <v>560</v>
      </c>
      <c r="AY96" s="56">
        <v>1</v>
      </c>
      <c r="AZ96" s="56">
        <v>0</v>
      </c>
      <c r="BA96" s="56"/>
      <c r="BB96" s="65">
        <v>36975</v>
      </c>
      <c r="BC96" s="56">
        <v>0</v>
      </c>
      <c r="BD96" s="56">
        <v>0</v>
      </c>
      <c r="BE96" s="56"/>
      <c r="BF96" s="65">
        <v>37699</v>
      </c>
      <c r="BG96" s="56">
        <v>1</v>
      </c>
      <c r="BH96" s="56">
        <v>1</v>
      </c>
      <c r="BI96" s="56"/>
      <c r="BJ96" s="65">
        <v>36929</v>
      </c>
      <c r="BK96" s="56">
        <v>0</v>
      </c>
      <c r="BL96" s="56">
        <v>1</v>
      </c>
      <c r="BM96" s="56"/>
      <c r="BN96" s="65">
        <v>37738</v>
      </c>
      <c r="BO96" s="56">
        <v>0</v>
      </c>
      <c r="BP96" s="56">
        <v>0</v>
      </c>
      <c r="BQ96" s="56"/>
      <c r="BR96" s="65">
        <v>37560</v>
      </c>
      <c r="BS96" s="56">
        <v>0</v>
      </c>
      <c r="BT96" s="56">
        <v>1</v>
      </c>
      <c r="BU96" s="56"/>
      <c r="BV96" s="65">
        <v>37767</v>
      </c>
      <c r="BW96" s="56">
        <v>0</v>
      </c>
      <c r="BX96" s="56">
        <v>1</v>
      </c>
      <c r="BY96" s="56"/>
      <c r="BZ96" s="65">
        <v>35728</v>
      </c>
      <c r="CA96" s="56">
        <v>1</v>
      </c>
      <c r="CB96" s="56">
        <v>0</v>
      </c>
      <c r="CC96" s="56"/>
      <c r="CD96" s="65">
        <v>35747</v>
      </c>
      <c r="CE96" s="56">
        <v>0</v>
      </c>
      <c r="CF96" s="56">
        <v>0</v>
      </c>
      <c r="CG96" s="56"/>
      <c r="CH96" s="65">
        <v>35834</v>
      </c>
      <c r="CI96" s="56">
        <v>1</v>
      </c>
      <c r="CJ96" s="56">
        <v>0</v>
      </c>
      <c r="CK96" s="56"/>
      <c r="CL96" s="65">
        <v>37865</v>
      </c>
    </row>
    <row r="97" spans="30:90">
      <c r="AE97" s="18"/>
      <c r="AF97" s="13"/>
      <c r="AG97" s="13"/>
      <c r="AH97" s="13"/>
      <c r="AI97" s="13"/>
      <c r="AK97">
        <v>96</v>
      </c>
      <c r="AL97" t="s">
        <v>23</v>
      </c>
      <c r="AM97" t="s">
        <v>447</v>
      </c>
      <c r="AN97" t="str">
        <f t="shared" si="13"/>
        <v>Natalie</v>
      </c>
      <c r="AO97" cm="1">
        <f t="array" ref="AO97">INDEX($AY$2:$CL$101,$AK97,($AV$2-1)*4+1)</f>
        <v>1</v>
      </c>
      <c r="AP97" cm="1">
        <f t="array" ref="AP97">INDEX($AY$2:$CL$101,$AK97,($AV$2-1)*4+2)</f>
        <v>0</v>
      </c>
      <c r="AQ97"/>
      <c r="AR97" s="1">
        <f t="shared" si="16"/>
        <v>2.9044332207535777</v>
      </c>
      <c r="AS97" cm="1">
        <f t="array" ref="AS97">INDEX($AY$2:$CL$101,$AK97,($AV$2-1)*4+4)</f>
        <v>36343</v>
      </c>
      <c r="AT97" s="53" t="str">
        <f t="shared" si="14"/>
        <v>343</v>
      </c>
      <c r="AY97" s="56">
        <v>0</v>
      </c>
      <c r="AZ97" s="56">
        <v>0</v>
      </c>
      <c r="BA97" s="56"/>
      <c r="BB97" s="65">
        <v>36064</v>
      </c>
      <c r="BC97" s="56">
        <v>0</v>
      </c>
      <c r="BD97" s="56">
        <v>1</v>
      </c>
      <c r="BE97" s="56"/>
      <c r="BF97" s="65">
        <v>37320</v>
      </c>
      <c r="BG97" s="56">
        <v>1</v>
      </c>
      <c r="BH97" s="56">
        <v>0</v>
      </c>
      <c r="BI97" s="56"/>
      <c r="BJ97" s="65">
        <v>37327</v>
      </c>
      <c r="BK97" s="56">
        <v>1</v>
      </c>
      <c r="BL97" s="56">
        <v>0</v>
      </c>
      <c r="BM97" s="56"/>
      <c r="BN97" s="65">
        <v>35614</v>
      </c>
      <c r="BO97" s="56">
        <v>1</v>
      </c>
      <c r="BP97" s="56">
        <v>0</v>
      </c>
      <c r="BQ97" s="56"/>
      <c r="BR97" s="65">
        <v>36343</v>
      </c>
      <c r="BS97" s="56">
        <v>1</v>
      </c>
      <c r="BT97" s="56">
        <v>1</v>
      </c>
      <c r="BU97" s="56"/>
      <c r="BV97" s="65">
        <v>36975</v>
      </c>
      <c r="BW97" s="56">
        <v>0</v>
      </c>
      <c r="BX97" s="56">
        <v>1</v>
      </c>
      <c r="BY97" s="56"/>
      <c r="BZ97" s="65">
        <v>38500</v>
      </c>
      <c r="CA97" s="56">
        <v>0</v>
      </c>
      <c r="CB97" s="56">
        <v>0</v>
      </c>
      <c r="CC97" s="56"/>
      <c r="CD97" s="65">
        <v>38033</v>
      </c>
      <c r="CE97" s="56">
        <v>0</v>
      </c>
      <c r="CF97" s="56">
        <v>0</v>
      </c>
      <c r="CG97" s="56"/>
      <c r="CH97" s="65">
        <v>36358</v>
      </c>
      <c r="CI97" s="56">
        <v>1</v>
      </c>
      <c r="CJ97" s="56">
        <v>1</v>
      </c>
      <c r="CK97" s="56"/>
      <c r="CL97" s="65">
        <v>36443</v>
      </c>
    </row>
    <row r="98" spans="30:90">
      <c r="AE98" s="18"/>
      <c r="AF98" s="13"/>
      <c r="AG98" s="13"/>
      <c r="AH98" s="13"/>
      <c r="AJ98" s="13"/>
      <c r="AK98">
        <v>97</v>
      </c>
      <c r="AL98" t="s">
        <v>25</v>
      </c>
      <c r="AM98" t="s">
        <v>438</v>
      </c>
      <c r="AN98" t="str">
        <f t="shared" si="13"/>
        <v>Joseph</v>
      </c>
      <c r="AO98" cm="1">
        <f t="array" ref="AO98">INDEX($AY$2:$CL$101,$AK98,($AV$2-1)*4+1)</f>
        <v>0</v>
      </c>
      <c r="AP98" cm="1">
        <f t="array" ref="AP98">INDEX($AY$2:$CL$101,$AK98,($AV$2-1)*4+2)</f>
        <v>0</v>
      </c>
      <c r="AQ98"/>
      <c r="AR98" s="1">
        <f t="shared" si="16"/>
        <v>2.9044332207535777</v>
      </c>
      <c r="AS98" cm="1">
        <f t="array" ref="AS98">INDEX($AY$2:$CL$101,$AK98,($AV$2-1)*4+4)</f>
        <v>37052</v>
      </c>
      <c r="AT98" s="53" t="str">
        <f t="shared" si="14"/>
        <v>052</v>
      </c>
      <c r="AY98" s="56">
        <v>1</v>
      </c>
      <c r="AZ98" s="56">
        <v>0</v>
      </c>
      <c r="BA98" s="56"/>
      <c r="BB98" s="65">
        <v>36603</v>
      </c>
      <c r="BC98" s="56">
        <v>0</v>
      </c>
      <c r="BD98" s="56">
        <v>1</v>
      </c>
      <c r="BE98" s="56"/>
      <c r="BF98" s="65">
        <v>37067</v>
      </c>
      <c r="BG98" s="56">
        <v>0</v>
      </c>
      <c r="BH98" s="56">
        <v>0</v>
      </c>
      <c r="BI98" s="56"/>
      <c r="BJ98" s="65">
        <v>37858</v>
      </c>
      <c r="BK98" s="56">
        <v>1</v>
      </c>
      <c r="BL98" s="56">
        <v>1</v>
      </c>
      <c r="BM98" s="56"/>
      <c r="BN98" s="65">
        <v>38191</v>
      </c>
      <c r="BO98" s="56">
        <v>0</v>
      </c>
      <c r="BP98" s="56">
        <v>0</v>
      </c>
      <c r="BQ98" s="56"/>
      <c r="BR98" s="65">
        <v>37052</v>
      </c>
      <c r="BS98" s="56">
        <v>1</v>
      </c>
      <c r="BT98" s="56">
        <v>0</v>
      </c>
      <c r="BU98" s="56"/>
      <c r="BV98" s="65">
        <v>37747</v>
      </c>
      <c r="BW98" s="56">
        <v>0</v>
      </c>
      <c r="BX98" s="56">
        <v>1</v>
      </c>
      <c r="BY98" s="56"/>
      <c r="BZ98" s="65">
        <v>37301</v>
      </c>
      <c r="CA98" s="56">
        <v>1</v>
      </c>
      <c r="CB98" s="56">
        <v>0</v>
      </c>
      <c r="CC98" s="56"/>
      <c r="CD98" s="65">
        <v>36247</v>
      </c>
      <c r="CE98" s="56">
        <v>0</v>
      </c>
      <c r="CF98" s="56">
        <v>0</v>
      </c>
      <c r="CG98" s="56"/>
      <c r="CH98" s="65">
        <v>36079</v>
      </c>
      <c r="CI98" s="56">
        <v>1</v>
      </c>
      <c r="CJ98" s="56">
        <v>1</v>
      </c>
      <c r="CK98" s="56"/>
      <c r="CL98" s="65">
        <v>38232</v>
      </c>
    </row>
    <row r="99" spans="30:90">
      <c r="AE99" s="18"/>
      <c r="AF99" s="13"/>
      <c r="AG99" s="13"/>
      <c r="AH99" s="13"/>
      <c r="AI99" s="13"/>
      <c r="AK99">
        <v>98</v>
      </c>
      <c r="AL99" t="s">
        <v>106</v>
      </c>
      <c r="AM99" t="s">
        <v>450</v>
      </c>
      <c r="AN99" t="str">
        <f t="shared" si="13"/>
        <v>Willow</v>
      </c>
      <c r="AO99" cm="1">
        <f t="array" ref="AO99">INDEX($AY$2:$CL$101,$AK99,($AV$2-1)*4+1)</f>
        <v>1</v>
      </c>
      <c r="AP99" cm="1">
        <f t="array" ref="AP99">INDEX($AY$2:$CL$101,$AK99,($AV$2-1)*4+2)</f>
        <v>1</v>
      </c>
      <c r="AQ99" cm="1">
        <f t="array" ref="AQ99">INDEX($AY$2:$CL$101,$AK99,($AV$2-1)*4+3)</f>
        <v>2.2789033978472908</v>
      </c>
      <c r="AR99" s="1">
        <f>AQ99</f>
        <v>2.2789033978472908</v>
      </c>
      <c r="AS99" cm="1">
        <f t="array" ref="AS99">INDEX($AY$2:$CL$101,$AK99,($AV$2-1)*4+4)</f>
        <v>35783</v>
      </c>
      <c r="AT99" s="53" t="str">
        <f t="shared" si="14"/>
        <v>783</v>
      </c>
      <c r="AY99" s="56">
        <v>0</v>
      </c>
      <c r="AZ99" s="56">
        <v>0</v>
      </c>
      <c r="BA99" s="56">
        <v>3.9297784979752275</v>
      </c>
      <c r="BB99" s="65">
        <v>36353</v>
      </c>
      <c r="BC99" s="56">
        <v>0</v>
      </c>
      <c r="BD99" s="56">
        <v>0</v>
      </c>
      <c r="BE99" s="56">
        <v>2.315890429391394</v>
      </c>
      <c r="BF99" s="65">
        <v>37515</v>
      </c>
      <c r="BG99" s="56">
        <v>1</v>
      </c>
      <c r="BH99" s="56">
        <v>1</v>
      </c>
      <c r="BI99" s="56">
        <v>3.7560161376949859</v>
      </c>
      <c r="BJ99" s="65">
        <v>36995</v>
      </c>
      <c r="BK99" s="56">
        <v>1</v>
      </c>
      <c r="BL99" s="56">
        <v>0</v>
      </c>
      <c r="BM99" s="56">
        <v>2.4596144279427268</v>
      </c>
      <c r="BN99" s="65">
        <v>36063</v>
      </c>
      <c r="BO99" s="56">
        <v>1</v>
      </c>
      <c r="BP99" s="56">
        <v>1</v>
      </c>
      <c r="BQ99" s="56">
        <v>2.2789033978472908</v>
      </c>
      <c r="BR99" s="65">
        <v>35783</v>
      </c>
      <c r="BS99" s="56">
        <v>0</v>
      </c>
      <c r="BT99" s="56">
        <v>1</v>
      </c>
      <c r="BU99" s="56">
        <v>2.5140312958248394</v>
      </c>
      <c r="BV99" s="65">
        <v>36117</v>
      </c>
      <c r="BW99" s="56">
        <v>1</v>
      </c>
      <c r="BX99" s="56">
        <v>0</v>
      </c>
      <c r="BY99" s="56">
        <v>2.6474174898789502</v>
      </c>
      <c r="BZ99" s="65">
        <v>37113</v>
      </c>
      <c r="CA99" s="56">
        <v>0</v>
      </c>
      <c r="CB99" s="56">
        <v>0</v>
      </c>
      <c r="CC99" s="56">
        <v>2.5755558681950115</v>
      </c>
      <c r="CD99" s="65">
        <v>37768</v>
      </c>
      <c r="CE99" s="56">
        <v>0</v>
      </c>
      <c r="CF99" s="56">
        <v>0</v>
      </c>
      <c r="CG99" s="56">
        <v>2.6584174648227794</v>
      </c>
      <c r="CH99" s="65">
        <v>37246</v>
      </c>
      <c r="CI99" s="56">
        <v>1</v>
      </c>
      <c r="CJ99" s="56">
        <v>1</v>
      </c>
      <c r="CK99" s="56">
        <v>2.193062944194895</v>
      </c>
      <c r="CL99" s="65">
        <v>35763</v>
      </c>
    </row>
    <row r="100" spans="30:90">
      <c r="AD100" s="7"/>
      <c r="AE100" s="18"/>
      <c r="AF100" s="13"/>
      <c r="AG100" s="13"/>
      <c r="AH100" s="13"/>
      <c r="AJ100" s="13"/>
      <c r="AK100">
        <v>99</v>
      </c>
      <c r="AL100" t="s">
        <v>100</v>
      </c>
      <c r="AM100" t="s">
        <v>449</v>
      </c>
      <c r="AN100" t="str">
        <f t="shared" si="13"/>
        <v>Nyx</v>
      </c>
      <c r="AO100" cm="1">
        <f t="array" ref="AO100">INDEX($AY$2:$CL$101,$AK100,($AV$2-1)*4+1)</f>
        <v>1</v>
      </c>
      <c r="AP100" cm="1">
        <f t="array" ref="AP100">INDEX($AY$2:$CL$101,$AK100,($AV$2-1)*4+2)</f>
        <v>0</v>
      </c>
      <c r="AQ100" cm="1">
        <f t="array" ref="AQ100">INDEX($AY$2:$CL$101,$AK100,($AV$2-1)*4+3)</f>
        <v>2.8811058170623181</v>
      </c>
      <c r="AR100" s="1">
        <f>AQ100</f>
        <v>2.8811058170623181</v>
      </c>
      <c r="AS100" cm="1">
        <f t="array" ref="AS100">INDEX($AY$2:$CL$101,$AK100,($AV$2-1)*4+4)</f>
        <v>38375</v>
      </c>
      <c r="AT100" s="53" t="str">
        <f t="shared" si="14"/>
        <v>375</v>
      </c>
      <c r="AY100" s="56">
        <v>0</v>
      </c>
      <c r="AZ100" s="56">
        <v>1</v>
      </c>
      <c r="BA100" s="56">
        <v>2.8811058170623181</v>
      </c>
      <c r="BB100" s="65">
        <v>36416</v>
      </c>
      <c r="BC100" s="56">
        <v>0</v>
      </c>
      <c r="BD100" s="56">
        <v>0</v>
      </c>
      <c r="BE100" s="56">
        <v>2.8811058170623181</v>
      </c>
      <c r="BF100" s="65">
        <v>37783</v>
      </c>
      <c r="BG100" s="56">
        <v>0</v>
      </c>
      <c r="BH100" s="56">
        <v>0</v>
      </c>
      <c r="BI100" s="56">
        <v>2.8811058170623181</v>
      </c>
      <c r="BJ100" s="65">
        <v>36275</v>
      </c>
      <c r="BK100" s="56">
        <v>0</v>
      </c>
      <c r="BL100" s="56">
        <v>0</v>
      </c>
      <c r="BM100" s="56">
        <v>2.8811058170623181</v>
      </c>
      <c r="BN100" s="65">
        <v>38002</v>
      </c>
      <c r="BO100" s="56">
        <v>1</v>
      </c>
      <c r="BP100" s="56">
        <v>0</v>
      </c>
      <c r="BQ100" s="56">
        <v>2.8811058170623181</v>
      </c>
      <c r="BR100" s="65">
        <v>38375</v>
      </c>
      <c r="BS100" s="56">
        <v>0</v>
      </c>
      <c r="BT100" s="56">
        <v>1</v>
      </c>
      <c r="BU100" s="56">
        <v>2.8811058170623181</v>
      </c>
      <c r="BV100" s="65">
        <v>36091</v>
      </c>
      <c r="BW100" s="56">
        <v>1</v>
      </c>
      <c r="BX100" s="56">
        <v>0</v>
      </c>
      <c r="BY100" s="56">
        <v>2.8811058170623181</v>
      </c>
      <c r="BZ100" s="65">
        <v>38157</v>
      </c>
      <c r="CA100" s="56">
        <v>0</v>
      </c>
      <c r="CB100" s="56">
        <v>1</v>
      </c>
      <c r="CC100" s="56">
        <v>2.8811058170623181</v>
      </c>
      <c r="CD100" s="65">
        <v>35553</v>
      </c>
      <c r="CE100" s="56">
        <v>0</v>
      </c>
      <c r="CF100" s="56">
        <v>1</v>
      </c>
      <c r="CG100" s="56">
        <v>2.8811058170623181</v>
      </c>
      <c r="CH100" s="65">
        <v>38060</v>
      </c>
      <c r="CI100" s="56">
        <v>0</v>
      </c>
      <c r="CJ100" s="56">
        <v>1</v>
      </c>
      <c r="CK100" s="56">
        <v>2.8811058170623181</v>
      </c>
      <c r="CL100" s="65">
        <v>35625</v>
      </c>
    </row>
    <row r="101" spans="30:90">
      <c r="AD101" s="7"/>
      <c r="AE101" s="7"/>
      <c r="AF101" s="7"/>
      <c r="AG101" s="7"/>
      <c r="AH101" s="7"/>
      <c r="AI101" s="7"/>
      <c r="AJ101" s="13"/>
      <c r="AK101">
        <v>100</v>
      </c>
      <c r="AL101" t="s">
        <v>61</v>
      </c>
      <c r="AM101" t="s">
        <v>110</v>
      </c>
      <c r="AN101" t="str">
        <f t="shared" si="13"/>
        <v>Gary</v>
      </c>
      <c r="AO101" cm="1">
        <f t="array" ref="AO101">INDEX($AY$2:$CL$101,$AK101,($AV$2-1)*4+1)</f>
        <v>0</v>
      </c>
      <c r="AP101" cm="1">
        <f t="array" ref="AP101">INDEX($AY$2:$CL$101,$AK101,($AV$2-1)*4+2)</f>
        <v>0</v>
      </c>
      <c r="AQ101" cm="1">
        <f t="array" ref="AQ101">INDEX($AY$2:$CL$101,$AK101,($AV$2-1)*4+3)</f>
        <v>2.6975670152408044</v>
      </c>
      <c r="AR101" s="1">
        <f>AQ101</f>
        <v>2.6975670152408044</v>
      </c>
      <c r="AS101" cm="1">
        <f t="array" ref="AS101">INDEX($AY$2:$CL$101,$AK101,($AV$2-1)*4+4)</f>
        <v>38095</v>
      </c>
      <c r="AT101" s="53" t="str">
        <f t="shared" si="14"/>
        <v>095</v>
      </c>
      <c r="AY101" s="56">
        <v>1</v>
      </c>
      <c r="AZ101" s="56">
        <v>1</v>
      </c>
      <c r="BA101" s="56">
        <v>3.2228006079623532</v>
      </c>
      <c r="BB101" s="65">
        <v>36556</v>
      </c>
      <c r="BC101" s="56">
        <v>1</v>
      </c>
      <c r="BD101" s="56">
        <v>1</v>
      </c>
      <c r="BE101" s="56">
        <v>2.684594986949552</v>
      </c>
      <c r="BF101" s="65">
        <v>36091</v>
      </c>
      <c r="BG101" s="56">
        <v>0</v>
      </c>
      <c r="BH101" s="56">
        <v>1</v>
      </c>
      <c r="BI101" s="56">
        <v>2.2440472297587024</v>
      </c>
      <c r="BJ101" s="65">
        <v>35821</v>
      </c>
      <c r="BK101" s="56">
        <v>0</v>
      </c>
      <c r="BL101" s="56">
        <v>1</v>
      </c>
      <c r="BM101" s="56">
        <v>2.9573668925256849</v>
      </c>
      <c r="BN101" s="65">
        <v>36339</v>
      </c>
      <c r="BO101" s="56">
        <v>0</v>
      </c>
      <c r="BP101" s="56">
        <v>0</v>
      </c>
      <c r="BQ101" s="56">
        <v>2.6975670152408044</v>
      </c>
      <c r="BR101" s="65">
        <v>38095</v>
      </c>
      <c r="BS101" s="56">
        <v>1</v>
      </c>
      <c r="BT101" s="56">
        <v>1</v>
      </c>
      <c r="BU101" s="56">
        <v>3.0478822994789225</v>
      </c>
      <c r="BV101" s="65">
        <v>35657</v>
      </c>
      <c r="BW101" s="56">
        <v>1</v>
      </c>
      <c r="BX101" s="56">
        <v>0</v>
      </c>
      <c r="BY101" s="56">
        <v>3.376910442839816</v>
      </c>
      <c r="BZ101" s="65">
        <v>36762</v>
      </c>
      <c r="CA101" s="56">
        <v>0</v>
      </c>
      <c r="CB101" s="56">
        <v>1</v>
      </c>
      <c r="CC101" s="56">
        <v>2.8088990227996886</v>
      </c>
      <c r="CD101" s="65">
        <v>36071</v>
      </c>
      <c r="CE101" s="56">
        <v>1</v>
      </c>
      <c r="CF101" s="56">
        <v>1</v>
      </c>
      <c r="CG101" s="56">
        <v>2.4835319426785087</v>
      </c>
      <c r="CH101" s="65">
        <v>35537</v>
      </c>
      <c r="CI101" s="56">
        <v>1</v>
      </c>
      <c r="CJ101" s="56">
        <v>0</v>
      </c>
      <c r="CK101" s="56">
        <v>3.0452358872145</v>
      </c>
      <c r="CL101" s="65">
        <v>36552</v>
      </c>
    </row>
    <row r="102" spans="30:90">
      <c r="AE102" s="18"/>
      <c r="AF102" s="13"/>
      <c r="AG102" s="13"/>
      <c r="AH102" s="13"/>
      <c r="AI102" s="13"/>
      <c r="AJ102" s="13"/>
      <c r="BA102" s="56"/>
    </row>
    <row r="103" spans="30:90">
      <c r="AE103" s="18"/>
      <c r="AF103" s="13"/>
      <c r="AG103" s="13"/>
      <c r="AH103" s="13"/>
      <c r="AI103" s="13"/>
    </row>
    <row r="104" spans="30:90">
      <c r="AE104" s="18"/>
      <c r="AF104" s="13"/>
      <c r="AG104" s="13"/>
      <c r="AH104" s="13"/>
      <c r="AI104" s="13"/>
    </row>
    <row r="105" spans="30:90">
      <c r="AE105" s="18"/>
      <c r="AF105" s="13"/>
      <c r="AG105" s="13"/>
      <c r="AH105" s="13"/>
      <c r="AI105" s="13"/>
    </row>
    <row r="106" spans="30:90">
      <c r="AE106" s="18"/>
      <c r="AF106" s="13"/>
      <c r="AG106" s="13"/>
      <c r="AH106" s="13"/>
      <c r="AI106" s="13"/>
    </row>
    <row r="107" spans="30:90">
      <c r="AE107" s="18"/>
      <c r="AF107" s="13"/>
      <c r="AG107" s="13"/>
      <c r="AH107" s="13"/>
      <c r="AI107" s="13"/>
    </row>
    <row r="108" spans="30:90">
      <c r="AE108" s="18"/>
      <c r="AF108" s="13"/>
      <c r="AG108" s="13"/>
      <c r="AH108" s="13"/>
      <c r="AI108" s="13"/>
    </row>
    <row r="109" spans="30:90">
      <c r="AE109" s="18"/>
      <c r="AF109" s="13"/>
      <c r="AG109" s="13"/>
      <c r="AH109" s="13"/>
      <c r="AI109" s="13"/>
    </row>
    <row r="110" spans="30:90">
      <c r="AE110" s="18"/>
      <c r="AF110" s="13"/>
      <c r="AG110" s="13"/>
      <c r="AH110" s="13"/>
      <c r="AI110" s="13"/>
    </row>
    <row r="111" spans="30:90">
      <c r="AE111" s="18"/>
      <c r="AF111" s="13"/>
      <c r="AG111" s="13"/>
      <c r="AH111" s="13"/>
      <c r="AI111" s="13"/>
    </row>
    <row r="112" spans="30:90">
      <c r="AE112" s="18"/>
      <c r="AF112" s="13"/>
      <c r="AG112" s="13"/>
      <c r="AH112" s="13"/>
      <c r="AI112" s="13"/>
    </row>
    <row r="113" spans="31:35">
      <c r="AE113" s="18"/>
      <c r="AF113" s="13"/>
      <c r="AG113" s="13"/>
      <c r="AH113" s="13"/>
      <c r="AI113" s="13"/>
    </row>
    <row r="114" spans="31:35">
      <c r="AE114" s="18"/>
      <c r="AF114" s="13"/>
      <c r="AG114" s="13"/>
      <c r="AH114" s="13"/>
      <c r="AI114" s="13"/>
    </row>
    <row r="115" spans="31:35">
      <c r="AE115" s="18"/>
      <c r="AF115" s="13"/>
      <c r="AG115" s="13"/>
      <c r="AH115" s="13"/>
      <c r="AI115" s="13"/>
    </row>
    <row r="116" spans="31:35">
      <c r="AE116" s="18"/>
      <c r="AF116" s="13"/>
      <c r="AG116" s="13"/>
      <c r="AH116" s="13"/>
      <c r="AI116" s="13"/>
    </row>
    <row r="117" spans="31:35">
      <c r="AE117" s="18"/>
      <c r="AF117" s="13"/>
      <c r="AG117" s="13"/>
      <c r="AH117" s="13"/>
      <c r="AI117" s="13"/>
    </row>
    <row r="118" spans="31:35">
      <c r="AE118" s="18"/>
      <c r="AF118" s="13"/>
      <c r="AG118" s="13"/>
      <c r="AH118" s="13"/>
      <c r="AI118" s="13"/>
    </row>
    <row r="119" spans="31:35">
      <c r="AE119" s="18"/>
      <c r="AF119" s="13"/>
      <c r="AG119" s="13"/>
      <c r="AH119" s="13"/>
      <c r="AI119" s="13"/>
    </row>
    <row r="120" spans="31:35">
      <c r="AE120" s="18"/>
      <c r="AF120" s="13"/>
      <c r="AG120" s="13"/>
      <c r="AH120" s="13"/>
      <c r="AI120" s="13"/>
    </row>
    <row r="121" spans="31:35">
      <c r="AE121" s="18"/>
      <c r="AF121" s="13"/>
      <c r="AG121" s="13"/>
      <c r="AH121" s="13"/>
      <c r="AI121" s="13"/>
    </row>
    <row r="122" spans="31:35">
      <c r="AE122" s="18"/>
      <c r="AF122" s="13"/>
      <c r="AG122" s="13"/>
      <c r="AH122" s="13"/>
      <c r="AI122" s="13"/>
    </row>
    <row r="123" spans="31:35">
      <c r="AE123" s="18"/>
      <c r="AF123" s="13"/>
      <c r="AG123" s="13"/>
      <c r="AH123" s="13"/>
      <c r="AI123" s="13"/>
    </row>
    <row r="124" spans="31:35">
      <c r="AE124" s="18"/>
      <c r="AF124" s="13"/>
      <c r="AG124" s="13"/>
      <c r="AH124" s="13"/>
      <c r="AI124" s="13"/>
    </row>
    <row r="125" spans="31:35">
      <c r="AE125" s="18"/>
      <c r="AF125" s="13"/>
      <c r="AG125" s="13"/>
      <c r="AH125" s="13"/>
      <c r="AI125" s="13"/>
    </row>
    <row r="126" spans="31:35">
      <c r="AE126" s="18"/>
      <c r="AF126" s="13"/>
      <c r="AG126" s="13"/>
      <c r="AH126" s="13"/>
      <c r="AI126" s="13"/>
    </row>
    <row r="127" spans="31:35">
      <c r="AE127" s="18"/>
      <c r="AF127" s="13"/>
      <c r="AG127" s="13"/>
      <c r="AH127" s="13"/>
      <c r="AI127" s="13"/>
    </row>
    <row r="128" spans="31:35">
      <c r="AE128" s="18"/>
      <c r="AF128" s="13"/>
      <c r="AG128" s="13"/>
      <c r="AH128" s="13"/>
      <c r="AI128" s="13"/>
    </row>
    <row r="129" spans="31:35">
      <c r="AE129" s="18"/>
      <c r="AF129" s="13"/>
      <c r="AG129" s="13"/>
      <c r="AH129" s="13"/>
      <c r="AI129" s="13"/>
    </row>
    <row r="130" spans="31:35">
      <c r="AE130" s="18"/>
      <c r="AF130" s="13"/>
      <c r="AG130" s="13"/>
      <c r="AH130" s="13"/>
      <c r="AI130" s="13"/>
    </row>
    <row r="131" spans="31:35">
      <c r="AE131" s="18"/>
      <c r="AF131" s="13"/>
      <c r="AG131" s="13"/>
      <c r="AH131" s="13"/>
      <c r="AI131" s="13"/>
    </row>
    <row r="132" spans="31:35">
      <c r="AE132" s="18"/>
      <c r="AF132" s="13"/>
      <c r="AG132" s="13"/>
      <c r="AH132" s="13"/>
      <c r="AI132" s="13"/>
    </row>
    <row r="133" spans="31:35">
      <c r="AE133" s="18"/>
      <c r="AF133" s="13"/>
      <c r="AG133" s="13"/>
      <c r="AH133" s="13"/>
      <c r="AI133" s="13"/>
    </row>
    <row r="134" spans="31:35">
      <c r="AE134" s="18"/>
      <c r="AF134" s="13"/>
      <c r="AG134" s="13"/>
      <c r="AH134" s="13"/>
      <c r="AI134" s="13"/>
    </row>
    <row r="135" spans="31:35">
      <c r="AE135" s="18"/>
      <c r="AF135" s="13"/>
      <c r="AG135" s="13"/>
      <c r="AH135" s="13"/>
      <c r="AI135" s="13"/>
    </row>
    <row r="136" spans="31:35">
      <c r="AE136" s="18"/>
      <c r="AF136" s="13"/>
      <c r="AG136" s="13"/>
      <c r="AH136" s="13"/>
      <c r="AI136" s="13"/>
    </row>
    <row r="137" spans="31:35">
      <c r="AE137" s="18"/>
      <c r="AF137" s="13"/>
      <c r="AG137" s="13"/>
      <c r="AH137" s="13"/>
      <c r="AI137" s="13"/>
    </row>
    <row r="138" spans="31:35">
      <c r="AE138" s="18"/>
      <c r="AF138" s="13"/>
      <c r="AG138" s="13"/>
      <c r="AH138" s="13"/>
      <c r="AI138" s="13"/>
    </row>
    <row r="139" spans="31:35">
      <c r="AE139" s="18"/>
      <c r="AF139" s="13"/>
      <c r="AG139" s="13"/>
      <c r="AH139" s="13"/>
      <c r="AI139" s="13"/>
    </row>
    <row r="140" spans="31:35">
      <c r="AE140" s="18"/>
      <c r="AF140" s="13"/>
      <c r="AG140" s="13"/>
      <c r="AH140" s="13"/>
      <c r="AI140" s="13"/>
    </row>
    <row r="141" spans="31:35">
      <c r="AE141" s="18"/>
      <c r="AF141" s="13"/>
      <c r="AG141" s="13"/>
      <c r="AH141" s="13"/>
      <c r="AI141" s="13"/>
    </row>
    <row r="142" spans="31:35">
      <c r="AE142" s="18"/>
      <c r="AF142" s="13"/>
      <c r="AG142" s="13"/>
      <c r="AH142" s="13"/>
      <c r="AI142" s="13"/>
    </row>
    <row r="143" spans="31:35">
      <c r="AE143" s="18"/>
      <c r="AF143" s="13"/>
      <c r="AG143" s="13"/>
      <c r="AH143" s="13"/>
      <c r="AI143" s="13"/>
    </row>
    <row r="144" spans="31:35">
      <c r="AE144" s="18"/>
      <c r="AF144" s="13"/>
      <c r="AG144" s="13"/>
      <c r="AH144" s="13"/>
      <c r="AI144" s="13"/>
    </row>
    <row r="145" spans="31:35">
      <c r="AE145" s="18"/>
      <c r="AF145" s="13"/>
      <c r="AG145" s="13"/>
      <c r="AH145" s="13"/>
      <c r="AI145" s="13"/>
    </row>
    <row r="146" spans="31:35">
      <c r="AE146" s="18"/>
      <c r="AF146" s="13"/>
      <c r="AG146" s="13"/>
      <c r="AH146" s="13"/>
      <c r="AI146" s="13"/>
    </row>
    <row r="147" spans="31:35">
      <c r="AE147" s="18"/>
      <c r="AF147" s="13"/>
      <c r="AG147" s="13"/>
      <c r="AH147" s="13"/>
      <c r="AI147" s="13"/>
    </row>
    <row r="148" spans="31:35">
      <c r="AE148" s="18"/>
      <c r="AF148" s="13"/>
      <c r="AG148" s="13"/>
      <c r="AH148" s="13"/>
      <c r="AI148" s="13"/>
    </row>
    <row r="149" spans="31:35">
      <c r="AE149" s="18"/>
      <c r="AF149" s="13"/>
      <c r="AG149" s="13"/>
      <c r="AH149" s="13"/>
      <c r="AI149" s="13"/>
    </row>
    <row r="150" spans="31:35">
      <c r="AE150" s="18"/>
      <c r="AF150" s="13"/>
      <c r="AG150" s="13"/>
      <c r="AH150" s="13"/>
      <c r="AI150" s="13"/>
    </row>
    <row r="151" spans="31:35">
      <c r="AE151" s="18"/>
      <c r="AF151" s="13"/>
      <c r="AG151" s="13"/>
      <c r="AH151" s="13"/>
      <c r="AI151" s="13"/>
    </row>
    <row r="152" spans="31:35">
      <c r="AE152" s="18"/>
      <c r="AF152" s="13"/>
      <c r="AG152" s="13"/>
      <c r="AH152" s="13"/>
      <c r="AI152" s="13"/>
    </row>
    <row r="153" spans="31:35">
      <c r="AE153" s="18"/>
      <c r="AF153" s="13"/>
      <c r="AG153" s="13"/>
      <c r="AH153" s="13"/>
      <c r="AI153" s="13"/>
    </row>
    <row r="154" spans="31:35">
      <c r="AE154" s="18"/>
      <c r="AF154" s="13"/>
      <c r="AG154" s="13"/>
      <c r="AH154" s="13"/>
      <c r="AI154" s="13"/>
    </row>
    <row r="155" spans="31:35">
      <c r="AE155" s="18"/>
      <c r="AF155" s="13"/>
      <c r="AG155" s="13"/>
      <c r="AH155" s="13"/>
      <c r="AI155" s="13"/>
    </row>
    <row r="156" spans="31:35">
      <c r="AE156" s="18"/>
      <c r="AF156" s="13"/>
      <c r="AG156" s="13"/>
      <c r="AH156" s="13"/>
      <c r="AI156" s="13"/>
    </row>
    <row r="157" spans="31:35">
      <c r="AE157" s="18"/>
      <c r="AF157" s="13"/>
      <c r="AG157" s="13"/>
      <c r="AH157" s="13"/>
      <c r="AI157" s="13"/>
    </row>
    <row r="158" spans="31:35">
      <c r="AE158" s="18"/>
      <c r="AF158" s="13"/>
      <c r="AG158" s="13"/>
      <c r="AH158" s="13"/>
      <c r="AI158" s="13"/>
    </row>
    <row r="159" spans="31:35">
      <c r="AE159" s="18"/>
      <c r="AF159" s="13"/>
      <c r="AG159" s="13"/>
      <c r="AH159" s="13"/>
      <c r="AI159" s="13"/>
    </row>
    <row r="160" spans="31:35">
      <c r="AE160" s="18"/>
      <c r="AF160" s="13"/>
      <c r="AG160" s="13"/>
      <c r="AH160" s="13"/>
      <c r="AI160" s="13"/>
    </row>
    <row r="161" spans="31:35">
      <c r="AE161" s="18"/>
      <c r="AF161" s="13"/>
      <c r="AG161" s="13"/>
      <c r="AH161" s="13"/>
      <c r="AI161" s="13"/>
    </row>
    <row r="162" spans="31:35">
      <c r="AE162" s="18"/>
      <c r="AF162" s="13"/>
      <c r="AG162" s="13"/>
      <c r="AH162" s="13"/>
      <c r="AI162" s="13"/>
    </row>
    <row r="163" spans="31:35">
      <c r="AE163" s="18"/>
      <c r="AF163" s="13"/>
      <c r="AG163" s="13"/>
      <c r="AH163" s="13"/>
      <c r="AI163" s="13"/>
    </row>
    <row r="164" spans="31:35">
      <c r="AE164" s="18"/>
      <c r="AF164" s="13"/>
      <c r="AG164" s="13"/>
      <c r="AH164" s="13"/>
      <c r="AI164" s="13"/>
    </row>
    <row r="165" spans="31:35">
      <c r="AE165" s="18"/>
      <c r="AF165" s="13"/>
      <c r="AG165" s="13"/>
      <c r="AH165" s="13"/>
      <c r="AI165" s="13"/>
    </row>
    <row r="166" spans="31:35">
      <c r="AE166" s="18"/>
      <c r="AF166" s="13"/>
      <c r="AG166" s="13"/>
      <c r="AH166" s="13"/>
      <c r="AI166" s="13"/>
    </row>
    <row r="167" spans="31:35">
      <c r="AE167" s="18"/>
      <c r="AF167" s="13"/>
      <c r="AG167" s="13"/>
      <c r="AH167" s="13"/>
      <c r="AI167" s="13"/>
    </row>
    <row r="168" spans="31:35">
      <c r="AE168" s="18"/>
      <c r="AF168" s="13"/>
      <c r="AG168" s="13"/>
      <c r="AH168" s="13"/>
      <c r="AI168" s="13"/>
    </row>
    <row r="169" spans="31:35">
      <c r="AE169" s="18"/>
      <c r="AF169" s="13"/>
      <c r="AG169" s="13"/>
      <c r="AH169" s="13"/>
      <c r="AI169" s="13"/>
    </row>
    <row r="170" spans="31:35">
      <c r="AE170" s="18"/>
      <c r="AF170" s="13"/>
      <c r="AG170" s="13"/>
      <c r="AH170" s="13"/>
      <c r="AI170" s="13"/>
    </row>
    <row r="171" spans="31:35">
      <c r="AE171" s="18"/>
      <c r="AF171" s="13"/>
      <c r="AG171" s="13"/>
      <c r="AH171" s="13"/>
      <c r="AI171" s="13"/>
    </row>
    <row r="172" spans="31:35">
      <c r="AE172" s="18"/>
      <c r="AF172" s="13"/>
      <c r="AG172" s="13"/>
      <c r="AH172" s="13"/>
      <c r="AI172" s="13"/>
    </row>
    <row r="173" spans="31:35">
      <c r="AE173" s="18"/>
      <c r="AF173" s="13"/>
      <c r="AG173" s="13"/>
      <c r="AH173" s="13"/>
      <c r="AI173" s="13"/>
    </row>
    <row r="174" spans="31:35">
      <c r="AE174" s="18"/>
      <c r="AF174" s="13"/>
      <c r="AG174" s="13"/>
      <c r="AH174" s="13"/>
      <c r="AI174" s="13"/>
    </row>
    <row r="175" spans="31:35">
      <c r="AE175" s="18"/>
      <c r="AF175" s="13"/>
      <c r="AG175" s="13"/>
      <c r="AH175" s="13"/>
      <c r="AI175" s="13"/>
    </row>
    <row r="176" spans="31:35">
      <c r="AE176" s="18"/>
      <c r="AF176" s="13"/>
      <c r="AG176" s="13"/>
      <c r="AH176" s="13"/>
      <c r="AI176" s="13"/>
    </row>
    <row r="177" spans="31:35">
      <c r="AE177" s="18"/>
      <c r="AF177" s="13"/>
      <c r="AG177" s="13"/>
      <c r="AH177" s="13"/>
      <c r="AI177" s="13"/>
    </row>
    <row r="178" spans="31:35">
      <c r="AE178" s="18"/>
      <c r="AF178" s="13"/>
      <c r="AG178" s="13"/>
      <c r="AH178" s="13"/>
      <c r="AI178" s="13"/>
    </row>
    <row r="179" spans="31:35">
      <c r="AE179" s="18"/>
      <c r="AF179" s="13"/>
      <c r="AG179" s="13"/>
      <c r="AH179" s="13"/>
      <c r="AI179" s="13"/>
    </row>
    <row r="180" spans="31:35">
      <c r="AE180" s="18"/>
      <c r="AF180" s="13"/>
      <c r="AG180" s="13"/>
      <c r="AH180" s="13"/>
      <c r="AI180" s="13"/>
    </row>
    <row r="181" spans="31:35">
      <c r="AE181" s="18"/>
      <c r="AF181" s="13"/>
      <c r="AG181" s="13"/>
      <c r="AH181" s="13"/>
      <c r="AI181" s="13"/>
    </row>
    <row r="182" spans="31:35">
      <c r="AE182" s="18"/>
      <c r="AF182" s="13"/>
      <c r="AG182" s="13"/>
      <c r="AH182" s="13"/>
      <c r="AI182" s="13"/>
    </row>
    <row r="183" spans="31:35">
      <c r="AE183" s="18"/>
      <c r="AF183" s="13"/>
      <c r="AG183" s="13"/>
      <c r="AH183" s="13"/>
      <c r="AI183" s="13"/>
    </row>
    <row r="184" spans="31:35">
      <c r="AE184" s="18"/>
      <c r="AF184" s="13"/>
      <c r="AG184" s="13"/>
      <c r="AH184" s="13"/>
      <c r="AI184" s="13"/>
    </row>
    <row r="185" spans="31:35">
      <c r="AE185" s="18"/>
      <c r="AF185" s="13"/>
      <c r="AG185" s="13"/>
      <c r="AH185" s="13"/>
      <c r="AI185" s="13"/>
    </row>
    <row r="186" spans="31:35">
      <c r="AE186" s="18"/>
      <c r="AF186" s="13"/>
      <c r="AG186" s="13"/>
      <c r="AH186" s="13"/>
      <c r="AI186" s="13"/>
    </row>
    <row r="187" spans="31:35">
      <c r="AE187" s="18"/>
      <c r="AF187" s="13"/>
      <c r="AG187" s="13"/>
      <c r="AH187" s="13"/>
      <c r="AI187" s="13"/>
    </row>
    <row r="188" spans="31:35">
      <c r="AE188" s="18"/>
      <c r="AF188" s="13"/>
      <c r="AG188" s="13"/>
      <c r="AH188" s="13"/>
      <c r="AI188" s="13"/>
    </row>
    <row r="189" spans="31:35">
      <c r="AE189" s="18"/>
      <c r="AF189" s="13"/>
      <c r="AG189" s="13"/>
      <c r="AH189" s="13"/>
      <c r="AI189" s="13"/>
    </row>
    <row r="190" spans="31:35">
      <c r="AE190" s="18"/>
      <c r="AF190" s="13"/>
      <c r="AG190" s="13"/>
      <c r="AH190" s="13"/>
      <c r="AI190" s="13"/>
    </row>
    <row r="191" spans="31:35">
      <c r="AE191" s="18"/>
      <c r="AF191" s="13"/>
      <c r="AG191" s="13"/>
      <c r="AH191" s="13"/>
      <c r="AI191" s="13"/>
    </row>
    <row r="192" spans="31:35">
      <c r="AE192" s="18"/>
      <c r="AF192" s="13"/>
      <c r="AG192" s="13"/>
      <c r="AH192" s="13"/>
      <c r="AI192" s="13"/>
    </row>
    <row r="193" spans="31:35">
      <c r="AE193" s="18"/>
      <c r="AF193" s="13"/>
      <c r="AG193" s="13"/>
      <c r="AH193" s="13"/>
      <c r="AI193" s="13"/>
    </row>
    <row r="194" spans="31:35">
      <c r="AE194" s="18"/>
      <c r="AF194" s="13"/>
      <c r="AG194" s="13"/>
      <c r="AH194" s="13"/>
      <c r="AI194" s="13"/>
    </row>
    <row r="195" spans="31:35">
      <c r="AE195" s="18"/>
      <c r="AF195" s="13"/>
      <c r="AG195" s="13"/>
      <c r="AH195" s="13"/>
      <c r="AI195" s="13"/>
    </row>
    <row r="196" spans="31:35">
      <c r="AE196" s="18"/>
      <c r="AF196" s="13"/>
      <c r="AG196" s="13"/>
      <c r="AH196" s="13"/>
      <c r="AI196" s="13"/>
    </row>
    <row r="197" spans="31:35">
      <c r="AE197" s="18"/>
      <c r="AF197" s="13"/>
      <c r="AG197" s="13"/>
      <c r="AH197" s="13"/>
      <c r="AI197" s="13"/>
    </row>
    <row r="198" spans="31:35">
      <c r="AE198" s="18"/>
      <c r="AF198" s="13"/>
      <c r="AG198" s="13"/>
      <c r="AH198" s="13"/>
      <c r="AI198" s="13"/>
    </row>
    <row r="199" spans="31:35">
      <c r="AE199" s="18"/>
      <c r="AF199" s="13"/>
      <c r="AG199" s="13"/>
      <c r="AH199" s="13"/>
      <c r="AI199" s="13"/>
    </row>
    <row r="200" spans="31:35">
      <c r="AE200" s="18"/>
      <c r="AF200" s="13"/>
      <c r="AG200" s="13"/>
      <c r="AH200" s="13"/>
      <c r="AI200" s="13"/>
    </row>
    <row r="201" spans="31:35">
      <c r="AE201" s="18"/>
      <c r="AF201" s="13"/>
      <c r="AG201" s="13"/>
      <c r="AH201" s="13"/>
      <c r="AI201" s="13"/>
    </row>
    <row r="202" spans="31:35">
      <c r="AE202" s="18"/>
      <c r="AF202" s="13"/>
      <c r="AG202" s="13"/>
      <c r="AH202" s="13"/>
      <c r="AI202" s="13"/>
    </row>
    <row r="203" spans="31:35">
      <c r="AE203" s="18"/>
      <c r="AF203" s="13"/>
      <c r="AG203" s="13"/>
      <c r="AH203" s="13"/>
      <c r="AI203" s="13"/>
    </row>
    <row r="204" spans="31:35">
      <c r="AE204" s="18"/>
      <c r="AF204" s="13"/>
      <c r="AG204" s="13"/>
      <c r="AH204" s="13"/>
      <c r="AI204" s="13"/>
    </row>
    <row r="205" spans="31:35">
      <c r="AE205" s="18"/>
      <c r="AF205" s="13"/>
      <c r="AG205" s="13"/>
      <c r="AH205" s="13"/>
      <c r="AI205" s="13"/>
    </row>
    <row r="206" spans="31:35">
      <c r="AE206" s="18"/>
      <c r="AF206" s="13"/>
      <c r="AG206" s="13"/>
      <c r="AH206" s="13"/>
      <c r="AI206" s="13"/>
    </row>
    <row r="207" spans="31:35">
      <c r="AE207" s="18"/>
      <c r="AF207" s="13"/>
      <c r="AG207" s="13"/>
      <c r="AH207" s="13"/>
      <c r="AI207" s="13"/>
    </row>
    <row r="208" spans="31:35">
      <c r="AE208" s="18"/>
      <c r="AF208" s="13"/>
      <c r="AG208" s="13"/>
      <c r="AH208" s="13"/>
      <c r="AI208" s="13"/>
    </row>
    <row r="209" spans="31:35">
      <c r="AE209" s="18"/>
      <c r="AF209" s="13"/>
      <c r="AG209" s="13"/>
      <c r="AH209" s="13"/>
      <c r="AI209" s="13"/>
    </row>
    <row r="210" spans="31:35">
      <c r="AE210" s="18"/>
      <c r="AF210" s="13"/>
      <c r="AG210" s="13"/>
      <c r="AH210" s="13"/>
      <c r="AI210" s="13"/>
    </row>
    <row r="211" spans="31:35">
      <c r="AE211" s="18"/>
      <c r="AF211" s="13"/>
      <c r="AG211" s="13"/>
      <c r="AH211" s="13"/>
      <c r="AI211" s="13"/>
    </row>
    <row r="212" spans="31:35">
      <c r="AE212" s="18"/>
      <c r="AF212" s="13"/>
      <c r="AG212" s="13"/>
      <c r="AH212" s="13"/>
      <c r="AI212" s="13"/>
    </row>
    <row r="213" spans="31:35">
      <c r="AE213" s="18"/>
      <c r="AF213" s="13"/>
      <c r="AG213" s="13"/>
      <c r="AH213" s="13"/>
      <c r="AI213" s="13"/>
    </row>
    <row r="214" spans="31:35">
      <c r="AE214" s="18"/>
      <c r="AF214" s="13"/>
      <c r="AG214" s="13"/>
      <c r="AH214" s="13"/>
      <c r="AI214" s="13"/>
    </row>
    <row r="215" spans="31:35">
      <c r="AE215" s="18"/>
      <c r="AF215" s="13"/>
      <c r="AG215" s="13"/>
      <c r="AH215" s="13"/>
      <c r="AI215" s="13"/>
    </row>
    <row r="216" spans="31:35">
      <c r="AE216" s="18"/>
      <c r="AF216" s="13"/>
      <c r="AG216" s="13"/>
      <c r="AH216" s="13"/>
      <c r="AI216" s="13"/>
    </row>
    <row r="217" spans="31:35">
      <c r="AE217" s="18"/>
      <c r="AF217" s="13"/>
      <c r="AG217" s="13"/>
      <c r="AH217" s="13"/>
      <c r="AI217" s="13"/>
    </row>
    <row r="218" spans="31:35">
      <c r="AE218" s="18"/>
      <c r="AF218" s="13"/>
      <c r="AG218" s="13"/>
      <c r="AH218" s="13"/>
      <c r="AI218" s="13"/>
    </row>
    <row r="219" spans="31:35">
      <c r="AE219" s="18"/>
      <c r="AF219" s="13"/>
      <c r="AG219" s="13"/>
      <c r="AH219" s="13"/>
      <c r="AI219" s="13"/>
    </row>
    <row r="220" spans="31:35">
      <c r="AE220" s="18"/>
      <c r="AF220" s="13"/>
      <c r="AG220" s="13"/>
      <c r="AH220" s="13"/>
      <c r="AI220" s="13"/>
    </row>
    <row r="221" spans="31:35">
      <c r="AE221" s="18"/>
      <c r="AF221" s="13"/>
      <c r="AG221" s="13"/>
      <c r="AH221" s="13"/>
      <c r="AI221" s="13"/>
    </row>
    <row r="222" spans="31:35">
      <c r="AE222" s="18"/>
      <c r="AF222" s="13"/>
      <c r="AG222" s="13"/>
      <c r="AH222" s="13"/>
      <c r="AI222" s="13"/>
    </row>
    <row r="223" spans="31:35">
      <c r="AE223" s="18"/>
      <c r="AF223" s="13"/>
      <c r="AG223" s="13"/>
      <c r="AH223" s="13"/>
      <c r="AI223" s="13"/>
    </row>
    <row r="224" spans="31:35">
      <c r="AE224" s="18"/>
      <c r="AF224" s="13"/>
      <c r="AG224" s="13"/>
      <c r="AH224" s="13"/>
      <c r="AI224" s="13"/>
    </row>
    <row r="225" spans="31:35">
      <c r="AE225" s="18"/>
      <c r="AF225" s="13"/>
      <c r="AG225" s="13"/>
      <c r="AH225" s="13"/>
      <c r="AI225" s="13"/>
    </row>
    <row r="226" spans="31:35">
      <c r="AE226" s="18"/>
      <c r="AF226" s="13"/>
      <c r="AG226" s="13"/>
      <c r="AH226" s="13"/>
      <c r="AI226" s="13"/>
    </row>
    <row r="227" spans="31:35">
      <c r="AE227" s="18"/>
      <c r="AF227" s="13"/>
      <c r="AG227" s="13"/>
      <c r="AH227" s="13"/>
      <c r="AI227" s="13"/>
    </row>
    <row r="228" spans="31:35">
      <c r="AE228" s="18"/>
      <c r="AF228" s="13"/>
      <c r="AG228" s="13"/>
      <c r="AH228" s="13"/>
      <c r="AI228" s="13"/>
    </row>
    <row r="229" spans="31:35">
      <c r="AE229" s="18"/>
      <c r="AF229" s="13"/>
      <c r="AG229" s="13"/>
      <c r="AH229" s="13"/>
      <c r="AI229" s="13"/>
    </row>
    <row r="230" spans="31:35">
      <c r="AE230" s="18"/>
      <c r="AF230" s="13"/>
      <c r="AG230" s="13"/>
      <c r="AH230" s="13"/>
      <c r="AI230" s="13"/>
    </row>
    <row r="231" spans="31:35">
      <c r="AE231" s="18"/>
      <c r="AF231" s="13"/>
      <c r="AG231" s="13"/>
      <c r="AH231" s="13"/>
      <c r="AI231" s="13"/>
    </row>
    <row r="232" spans="31:35">
      <c r="AE232" s="18"/>
      <c r="AF232" s="13"/>
      <c r="AG232" s="13"/>
      <c r="AH232" s="13"/>
      <c r="AI232" s="13"/>
    </row>
    <row r="233" spans="31:35">
      <c r="AE233" s="18"/>
      <c r="AF233" s="13"/>
      <c r="AG233" s="13"/>
      <c r="AH233" s="13"/>
      <c r="AI233" s="13"/>
    </row>
    <row r="234" spans="31:35">
      <c r="AE234" s="18"/>
      <c r="AF234" s="13"/>
      <c r="AG234" s="13"/>
      <c r="AH234" s="13"/>
      <c r="AI234" s="13"/>
    </row>
    <row r="235" spans="31:35">
      <c r="AE235" s="18"/>
      <c r="AF235" s="13"/>
      <c r="AG235" s="13"/>
      <c r="AH235" s="13"/>
      <c r="AI235" s="13"/>
    </row>
    <row r="236" spans="31:35">
      <c r="AE236" s="18"/>
      <c r="AF236" s="13"/>
      <c r="AG236" s="13"/>
      <c r="AH236" s="13"/>
      <c r="AI236" s="13"/>
    </row>
    <row r="237" spans="31:35">
      <c r="AE237" s="18"/>
      <c r="AF237" s="13"/>
      <c r="AG237" s="13"/>
      <c r="AH237" s="13"/>
      <c r="AI237" s="13"/>
    </row>
    <row r="238" spans="31:35">
      <c r="AE238" s="18"/>
      <c r="AF238" s="13"/>
      <c r="AG238" s="13"/>
      <c r="AH238" s="13"/>
      <c r="AI238" s="13"/>
    </row>
    <row r="239" spans="31:35">
      <c r="AE239" s="18"/>
      <c r="AF239" s="13"/>
      <c r="AG239" s="13"/>
      <c r="AH239" s="13"/>
      <c r="AI239" s="13"/>
    </row>
    <row r="240" spans="31:35">
      <c r="AE240" s="18"/>
      <c r="AF240" s="13"/>
      <c r="AG240" s="13"/>
      <c r="AH240" s="13"/>
      <c r="AI240" s="13"/>
    </row>
    <row r="241" spans="31:35">
      <c r="AE241" s="18"/>
      <c r="AF241" s="13"/>
      <c r="AG241" s="13"/>
      <c r="AH241" s="13"/>
      <c r="AI241" s="13"/>
    </row>
    <row r="242" spans="31:35">
      <c r="AE242" s="18"/>
      <c r="AF242" s="13"/>
      <c r="AG242" s="13"/>
      <c r="AH242" s="13"/>
      <c r="AI242" s="13"/>
    </row>
    <row r="243" spans="31:35">
      <c r="AE243" s="18"/>
      <c r="AF243" s="13"/>
      <c r="AG243" s="13"/>
      <c r="AH243" s="13"/>
      <c r="AI243" s="13"/>
    </row>
    <row r="244" spans="31:35">
      <c r="AE244" s="18"/>
      <c r="AF244" s="13"/>
      <c r="AG244" s="13"/>
      <c r="AH244" s="13"/>
      <c r="AI244" s="13"/>
    </row>
    <row r="245" spans="31:35">
      <c r="AE245" s="18"/>
      <c r="AF245" s="13"/>
      <c r="AG245" s="13"/>
      <c r="AH245" s="13"/>
      <c r="AI245" s="13"/>
    </row>
    <row r="246" spans="31:35">
      <c r="AE246" s="18"/>
      <c r="AF246" s="13"/>
      <c r="AG246" s="13"/>
      <c r="AH246" s="13"/>
      <c r="AI246" s="13"/>
    </row>
    <row r="247" spans="31:35">
      <c r="AE247" s="18"/>
      <c r="AF247" s="13"/>
      <c r="AG247" s="13"/>
      <c r="AH247" s="13"/>
      <c r="AI247" s="13"/>
    </row>
    <row r="248" spans="31:35">
      <c r="AE248" s="18"/>
      <c r="AF248" s="13"/>
      <c r="AG248" s="13"/>
      <c r="AH248" s="13"/>
      <c r="AI248" s="13"/>
    </row>
    <row r="249" spans="31:35">
      <c r="AE249" s="18"/>
      <c r="AF249" s="13"/>
      <c r="AG249" s="13"/>
      <c r="AH249" s="13"/>
      <c r="AI249" s="13"/>
    </row>
    <row r="250" spans="31:35">
      <c r="AE250" s="18"/>
      <c r="AF250" s="13"/>
      <c r="AG250" s="13"/>
      <c r="AH250" s="13"/>
      <c r="AI250" s="13"/>
    </row>
    <row r="251" spans="31:35">
      <c r="AE251" s="18"/>
      <c r="AF251" s="13"/>
      <c r="AG251" s="13"/>
      <c r="AH251" s="13"/>
      <c r="AI251" s="13"/>
    </row>
    <row r="252" spans="31:35">
      <c r="AE252" s="18"/>
      <c r="AF252" s="13"/>
      <c r="AG252" s="13"/>
      <c r="AH252" s="13"/>
      <c r="AI252" s="13"/>
    </row>
    <row r="253" spans="31:35">
      <c r="AE253" s="18"/>
      <c r="AF253" s="13"/>
      <c r="AG253" s="13"/>
      <c r="AH253" s="13"/>
      <c r="AI253" s="13"/>
    </row>
    <row r="254" spans="31:35">
      <c r="AE254" s="18"/>
      <c r="AF254" s="13"/>
      <c r="AG254" s="13"/>
      <c r="AH254" s="13"/>
      <c r="AI254" s="13"/>
    </row>
    <row r="255" spans="31:35">
      <c r="AE255" s="18"/>
      <c r="AF255" s="13"/>
      <c r="AG255" s="13"/>
      <c r="AH255" s="13"/>
      <c r="AI255" s="13"/>
    </row>
    <row r="256" spans="31:35">
      <c r="AE256" s="18"/>
      <c r="AF256" s="13"/>
      <c r="AG256" s="13"/>
      <c r="AH256" s="13"/>
      <c r="AI256" s="13"/>
    </row>
    <row r="257" spans="31:35">
      <c r="AE257" s="18"/>
      <c r="AF257" s="13"/>
      <c r="AG257" s="13"/>
      <c r="AH257" s="13"/>
      <c r="AI257" s="13"/>
    </row>
    <row r="258" spans="31:35">
      <c r="AE258" s="18"/>
      <c r="AF258" s="13"/>
      <c r="AG258" s="13"/>
      <c r="AH258" s="13"/>
      <c r="AI258" s="13"/>
    </row>
    <row r="259" spans="31:35">
      <c r="AE259" s="18"/>
      <c r="AF259" s="13"/>
      <c r="AG259" s="13"/>
      <c r="AH259" s="13"/>
      <c r="AI259" s="13"/>
    </row>
    <row r="260" spans="31:35">
      <c r="AE260" s="18"/>
      <c r="AF260" s="13"/>
      <c r="AG260" s="13"/>
      <c r="AH260" s="13"/>
      <c r="AI260" s="13"/>
    </row>
    <row r="261" spans="31:35">
      <c r="AE261" s="18"/>
      <c r="AF261" s="13"/>
      <c r="AG261" s="13"/>
      <c r="AH261" s="13"/>
      <c r="AI261" s="13"/>
    </row>
    <row r="262" spans="31:35">
      <c r="AE262" s="18"/>
      <c r="AF262" s="13"/>
      <c r="AG262" s="13"/>
      <c r="AH262" s="13"/>
      <c r="AI262" s="13"/>
    </row>
    <row r="263" spans="31:35">
      <c r="AE263" s="18"/>
      <c r="AF263" s="13"/>
      <c r="AG263" s="13"/>
      <c r="AH263" s="13"/>
      <c r="AI263" s="13"/>
    </row>
    <row r="264" spans="31:35">
      <c r="AE264" s="18"/>
      <c r="AF264" s="13"/>
      <c r="AG264" s="13"/>
      <c r="AH264" s="13"/>
      <c r="AI264" s="13"/>
    </row>
    <row r="265" spans="31:35">
      <c r="AE265" s="18"/>
      <c r="AF265" s="13"/>
      <c r="AG265" s="13"/>
      <c r="AH265" s="13"/>
      <c r="AI265" s="13"/>
    </row>
    <row r="266" spans="31:35">
      <c r="AE266" s="18"/>
      <c r="AF266" s="13"/>
      <c r="AG266" s="13"/>
      <c r="AH266" s="13"/>
      <c r="AI266" s="13"/>
    </row>
    <row r="267" spans="31:35">
      <c r="AE267" s="18"/>
      <c r="AF267" s="13"/>
      <c r="AG267" s="13"/>
      <c r="AH267" s="13"/>
      <c r="AI267" s="13"/>
    </row>
    <row r="268" spans="31:35">
      <c r="AE268" s="18"/>
      <c r="AF268" s="13"/>
      <c r="AG268" s="13"/>
      <c r="AH268" s="13"/>
      <c r="AI268" s="13"/>
    </row>
    <row r="269" spans="31:35">
      <c r="AE269" s="18"/>
      <c r="AF269" s="13"/>
      <c r="AG269" s="13"/>
      <c r="AH269" s="13"/>
      <c r="AI269" s="13"/>
    </row>
    <row r="270" spans="31:35">
      <c r="AE270" s="18"/>
      <c r="AF270" s="13"/>
      <c r="AG270" s="13"/>
      <c r="AH270" s="13"/>
      <c r="AI270" s="13"/>
    </row>
    <row r="271" spans="31:35">
      <c r="AE271" s="18"/>
      <c r="AF271" s="13"/>
      <c r="AG271" s="13"/>
      <c r="AH271" s="13"/>
      <c r="AI271" s="13"/>
    </row>
    <row r="272" spans="31:35">
      <c r="AE272" s="18"/>
      <c r="AF272" s="13"/>
      <c r="AG272" s="13"/>
      <c r="AH272" s="13"/>
      <c r="AI272" s="13"/>
    </row>
    <row r="273" spans="31:35">
      <c r="AE273" s="18"/>
      <c r="AF273" s="13"/>
      <c r="AG273" s="13"/>
      <c r="AH273" s="13"/>
      <c r="AI273" s="13"/>
    </row>
    <row r="274" spans="31:35">
      <c r="AE274" s="18"/>
      <c r="AF274" s="13"/>
      <c r="AG274" s="13"/>
      <c r="AH274" s="13"/>
      <c r="AI274" s="13"/>
    </row>
    <row r="275" spans="31:35">
      <c r="AE275" s="18"/>
      <c r="AF275" s="13"/>
      <c r="AG275" s="13"/>
      <c r="AH275" s="13"/>
      <c r="AI275" s="13"/>
    </row>
    <row r="276" spans="31:35">
      <c r="AE276" s="18"/>
      <c r="AF276" s="13"/>
      <c r="AG276" s="13"/>
      <c r="AH276" s="13"/>
      <c r="AI276" s="13"/>
    </row>
    <row r="277" spans="31:35">
      <c r="AE277" s="18"/>
      <c r="AF277" s="13"/>
      <c r="AG277" s="13"/>
      <c r="AH277" s="13"/>
      <c r="AI277" s="13"/>
    </row>
    <row r="278" spans="31:35">
      <c r="AE278" s="18"/>
      <c r="AF278" s="13"/>
      <c r="AG278" s="13"/>
      <c r="AH278" s="13"/>
      <c r="AI278" s="13"/>
    </row>
    <row r="279" spans="31:35">
      <c r="AE279" s="18"/>
      <c r="AF279" s="13"/>
      <c r="AG279" s="13"/>
      <c r="AH279" s="13"/>
      <c r="AI279" s="13"/>
    </row>
    <row r="280" spans="31:35">
      <c r="AE280" s="18"/>
      <c r="AF280" s="13"/>
      <c r="AG280" s="13"/>
      <c r="AH280" s="13"/>
      <c r="AI280" s="13"/>
    </row>
    <row r="281" spans="31:35">
      <c r="AE281" s="18"/>
      <c r="AF281" s="13"/>
      <c r="AG281" s="13"/>
      <c r="AH281" s="13"/>
      <c r="AI281" s="13"/>
    </row>
    <row r="282" spans="31:35">
      <c r="AE282" s="18"/>
      <c r="AF282" s="13"/>
      <c r="AG282" s="13"/>
      <c r="AH282" s="13"/>
      <c r="AI282" s="13"/>
    </row>
    <row r="283" spans="31:35">
      <c r="AE283" s="18"/>
      <c r="AF283" s="13"/>
      <c r="AG283" s="13"/>
      <c r="AH283" s="13"/>
      <c r="AI283" s="13"/>
    </row>
    <row r="284" spans="31:35">
      <c r="AE284" s="18"/>
      <c r="AF284" s="13"/>
      <c r="AG284" s="13"/>
      <c r="AH284" s="13"/>
      <c r="AI284" s="13"/>
    </row>
    <row r="285" spans="31:35">
      <c r="AE285" s="18"/>
      <c r="AF285" s="13"/>
      <c r="AG285" s="13"/>
      <c r="AH285" s="13"/>
      <c r="AI285" s="13"/>
    </row>
    <row r="286" spans="31:35">
      <c r="AE286" s="18"/>
      <c r="AF286" s="13"/>
      <c r="AG286" s="13"/>
      <c r="AH286" s="13"/>
      <c r="AI286" s="13"/>
    </row>
    <row r="287" spans="31:35">
      <c r="AE287" s="18"/>
      <c r="AF287" s="13"/>
      <c r="AG287" s="13"/>
      <c r="AH287" s="13"/>
      <c r="AI287" s="13"/>
    </row>
    <row r="288" spans="31:35">
      <c r="AE288" s="18"/>
      <c r="AF288" s="13"/>
      <c r="AG288" s="13"/>
      <c r="AH288" s="13"/>
      <c r="AI288" s="13"/>
    </row>
    <row r="289" spans="31:35">
      <c r="AE289" s="18"/>
      <c r="AF289" s="13"/>
      <c r="AG289" s="13"/>
      <c r="AH289" s="13"/>
      <c r="AI289" s="13"/>
    </row>
    <row r="290" spans="31:35">
      <c r="AE290" s="18"/>
      <c r="AF290" s="13"/>
      <c r="AG290" s="13"/>
      <c r="AH290" s="13"/>
      <c r="AI290" s="13"/>
    </row>
    <row r="291" spans="31:35">
      <c r="AE291" s="18"/>
      <c r="AF291" s="13"/>
      <c r="AG291" s="13"/>
      <c r="AH291" s="13"/>
      <c r="AI291" s="13"/>
    </row>
    <row r="292" spans="31:35">
      <c r="AE292" s="18"/>
      <c r="AF292" s="13"/>
      <c r="AG292" s="13"/>
      <c r="AH292" s="13"/>
      <c r="AI292" s="13"/>
    </row>
    <row r="293" spans="31:35">
      <c r="AE293" s="18"/>
      <c r="AF293" s="13"/>
      <c r="AG293" s="13"/>
      <c r="AH293" s="13"/>
      <c r="AI293" s="13"/>
    </row>
    <row r="294" spans="31:35">
      <c r="AE294" s="18"/>
      <c r="AF294" s="13"/>
      <c r="AG294" s="13"/>
      <c r="AH294" s="13"/>
      <c r="AI294" s="13"/>
    </row>
    <row r="295" spans="31:35">
      <c r="AE295" s="18"/>
      <c r="AF295" s="13"/>
      <c r="AG295" s="13"/>
      <c r="AH295" s="13"/>
      <c r="AI295" s="13"/>
    </row>
    <row r="296" spans="31:35">
      <c r="AE296" s="18"/>
      <c r="AF296" s="13"/>
      <c r="AG296" s="13"/>
      <c r="AH296" s="13"/>
      <c r="AI296" s="13"/>
    </row>
    <row r="297" spans="31:35">
      <c r="AE297" s="18"/>
      <c r="AF297" s="13"/>
      <c r="AG297" s="13"/>
      <c r="AH297" s="13"/>
      <c r="AI297" s="13"/>
    </row>
    <row r="298" spans="31:35">
      <c r="AE298" s="18"/>
      <c r="AF298" s="13"/>
      <c r="AG298" s="13"/>
      <c r="AH298" s="13"/>
      <c r="AI298" s="13"/>
    </row>
    <row r="299" spans="31:35">
      <c r="AE299" s="18"/>
      <c r="AF299" s="13"/>
      <c r="AG299" s="13"/>
      <c r="AH299" s="13"/>
      <c r="AI299" s="13"/>
    </row>
    <row r="300" spans="31:35">
      <c r="AE300" s="18"/>
      <c r="AF300" s="13"/>
      <c r="AG300" s="13"/>
      <c r="AH300" s="13"/>
      <c r="AI300" s="13"/>
    </row>
    <row r="301" spans="31:35">
      <c r="AE301" s="18"/>
      <c r="AF301" s="13"/>
      <c r="AG301" s="13"/>
      <c r="AH301" s="13"/>
      <c r="AI301" s="13"/>
    </row>
    <row r="302" spans="31:35">
      <c r="AE302" s="18"/>
      <c r="AF302" s="13"/>
      <c r="AG302" s="13"/>
      <c r="AH302" s="13"/>
      <c r="AI302" s="13"/>
    </row>
    <row r="303" spans="31:35">
      <c r="AE303" s="18"/>
      <c r="AF303" s="13"/>
      <c r="AG303" s="13"/>
      <c r="AH303" s="13"/>
      <c r="AI303" s="13"/>
    </row>
    <row r="304" spans="31:35">
      <c r="AE304" s="18"/>
      <c r="AF304" s="13"/>
      <c r="AG304" s="13"/>
      <c r="AH304" s="13"/>
      <c r="AI304" s="13"/>
    </row>
    <row r="305" spans="31:35">
      <c r="AE305" s="18"/>
      <c r="AF305" s="13"/>
      <c r="AG305" s="13"/>
      <c r="AH305" s="13"/>
      <c r="AI305" s="13"/>
    </row>
    <row r="306" spans="31:35">
      <c r="AE306" s="18"/>
      <c r="AF306" s="13"/>
      <c r="AG306" s="13"/>
      <c r="AH306" s="13"/>
      <c r="AI306" s="13"/>
    </row>
    <row r="307" spans="31:35">
      <c r="AE307" s="18"/>
      <c r="AF307" s="13"/>
      <c r="AG307" s="13"/>
      <c r="AH307" s="13"/>
      <c r="AI307" s="13"/>
    </row>
    <row r="308" spans="31:35">
      <c r="AE308" s="18"/>
      <c r="AF308" s="13"/>
      <c r="AG308" s="13"/>
      <c r="AH308" s="13"/>
      <c r="AI308" s="13"/>
    </row>
    <row r="309" spans="31:35">
      <c r="AE309" s="18"/>
      <c r="AF309" s="13"/>
      <c r="AG309" s="13"/>
      <c r="AH309" s="13"/>
      <c r="AI309" s="13"/>
    </row>
    <row r="310" spans="31:35">
      <c r="AE310" s="18"/>
      <c r="AF310" s="13"/>
      <c r="AG310" s="13"/>
      <c r="AH310" s="13"/>
      <c r="AI310" s="13"/>
    </row>
    <row r="311" spans="31:35">
      <c r="AE311" s="18"/>
      <c r="AF311" s="13"/>
      <c r="AG311" s="13"/>
      <c r="AH311" s="13"/>
      <c r="AI311" s="13"/>
    </row>
    <row r="312" spans="31:35">
      <c r="AE312" s="18"/>
      <c r="AF312" s="13"/>
      <c r="AG312" s="13"/>
      <c r="AH312" s="13"/>
      <c r="AI312" s="13"/>
    </row>
    <row r="313" spans="31:35">
      <c r="AE313" s="18"/>
      <c r="AF313" s="13"/>
      <c r="AG313" s="13"/>
      <c r="AH313" s="13"/>
      <c r="AI313" s="13"/>
    </row>
    <row r="314" spans="31:35">
      <c r="AE314" s="18"/>
      <c r="AF314" s="13"/>
      <c r="AG314" s="13"/>
      <c r="AH314" s="13"/>
      <c r="AI314" s="13"/>
    </row>
    <row r="315" spans="31:35">
      <c r="AE315" s="18"/>
      <c r="AF315" s="13"/>
      <c r="AG315" s="13"/>
      <c r="AH315" s="13"/>
      <c r="AI315" s="13"/>
    </row>
    <row r="316" spans="31:35">
      <c r="AE316" s="18"/>
      <c r="AF316" s="13"/>
      <c r="AG316" s="13"/>
      <c r="AH316" s="13"/>
      <c r="AI316" s="13"/>
    </row>
    <row r="317" spans="31:35">
      <c r="AE317" s="18"/>
      <c r="AF317" s="13"/>
      <c r="AG317" s="13"/>
      <c r="AH317" s="13"/>
      <c r="AI317" s="13"/>
    </row>
    <row r="318" spans="31:35">
      <c r="AE318" s="18"/>
      <c r="AF318" s="13"/>
      <c r="AG318" s="13"/>
      <c r="AH318" s="13"/>
      <c r="AI318" s="13"/>
    </row>
    <row r="319" spans="31:35">
      <c r="AE319" s="18"/>
      <c r="AF319" s="13"/>
      <c r="AG319" s="13"/>
      <c r="AH319" s="13"/>
      <c r="AI319" s="13"/>
    </row>
    <row r="320" spans="31:35">
      <c r="AE320" s="18"/>
      <c r="AF320" s="13"/>
      <c r="AG320" s="13"/>
      <c r="AH320" s="13"/>
      <c r="AI320" s="13"/>
    </row>
    <row r="321" spans="31:35">
      <c r="AE321" s="18"/>
      <c r="AF321" s="13"/>
      <c r="AG321" s="13"/>
      <c r="AH321" s="13"/>
      <c r="AI321" s="13"/>
    </row>
    <row r="322" spans="31:35">
      <c r="AE322" s="18"/>
      <c r="AF322" s="13"/>
      <c r="AG322" s="13"/>
      <c r="AH322" s="13"/>
      <c r="AI322" s="13"/>
    </row>
    <row r="323" spans="31:35">
      <c r="AE323" s="18"/>
      <c r="AF323" s="13"/>
      <c r="AG323" s="13"/>
      <c r="AH323" s="13"/>
      <c r="AI323" s="13"/>
    </row>
    <row r="324" spans="31:35">
      <c r="AE324" s="18"/>
      <c r="AF324" s="13"/>
      <c r="AG324" s="13"/>
      <c r="AH324" s="13"/>
      <c r="AI324" s="13"/>
    </row>
    <row r="325" spans="31:35">
      <c r="AE325" s="18"/>
      <c r="AF325" s="13"/>
      <c r="AG325" s="13"/>
      <c r="AH325" s="13"/>
      <c r="AI325" s="13"/>
    </row>
    <row r="326" spans="31:35">
      <c r="AE326" s="18"/>
      <c r="AF326" s="13"/>
      <c r="AG326" s="13"/>
      <c r="AH326" s="13"/>
      <c r="AI326" s="13"/>
    </row>
    <row r="327" spans="31:35">
      <c r="AE327" s="18"/>
      <c r="AF327" s="13"/>
      <c r="AG327" s="13"/>
      <c r="AH327" s="13"/>
      <c r="AI327" s="13"/>
    </row>
    <row r="328" spans="31:35">
      <c r="AE328" s="18"/>
      <c r="AF328" s="13"/>
      <c r="AG328" s="13"/>
      <c r="AH328" s="13"/>
      <c r="AI328" s="13"/>
    </row>
    <row r="329" spans="31:35">
      <c r="AE329" s="18"/>
      <c r="AF329" s="13"/>
      <c r="AG329" s="13"/>
      <c r="AH329" s="13"/>
      <c r="AI329" s="13"/>
    </row>
    <row r="330" spans="31:35">
      <c r="AE330" s="18"/>
      <c r="AF330" s="13"/>
      <c r="AG330" s="13"/>
      <c r="AH330" s="13"/>
      <c r="AI330" s="13"/>
    </row>
    <row r="331" spans="31:35">
      <c r="AE331" s="18"/>
      <c r="AF331" s="13"/>
      <c r="AG331" s="13"/>
      <c r="AH331" s="13"/>
      <c r="AI331" s="13"/>
    </row>
    <row r="332" spans="31:35">
      <c r="AE332" s="18"/>
      <c r="AF332" s="13"/>
      <c r="AG332" s="13"/>
      <c r="AH332" s="13"/>
      <c r="AI332" s="13"/>
    </row>
    <row r="333" spans="31:35">
      <c r="AE333" s="18"/>
      <c r="AF333" s="13"/>
      <c r="AG333" s="13"/>
      <c r="AH333" s="13"/>
      <c r="AI333" s="13"/>
    </row>
    <row r="334" spans="31:35">
      <c r="AE334" s="18"/>
      <c r="AF334" s="13"/>
      <c r="AG334" s="13"/>
      <c r="AH334" s="13"/>
      <c r="AI334" s="13"/>
    </row>
    <row r="335" spans="31:35">
      <c r="AE335" s="18"/>
      <c r="AF335" s="13"/>
      <c r="AG335" s="13"/>
      <c r="AH335" s="13"/>
      <c r="AI335" s="13"/>
    </row>
    <row r="336" spans="31:35">
      <c r="AE336" s="18"/>
      <c r="AF336" s="13"/>
      <c r="AG336" s="13"/>
      <c r="AH336" s="13"/>
      <c r="AI336" s="13"/>
    </row>
    <row r="337" spans="31:35">
      <c r="AE337" s="18"/>
      <c r="AF337" s="13"/>
      <c r="AG337" s="13"/>
      <c r="AH337" s="13"/>
      <c r="AI337" s="13"/>
    </row>
    <row r="338" spans="31:35">
      <c r="AE338" s="18"/>
      <c r="AF338" s="13"/>
      <c r="AG338" s="13"/>
      <c r="AH338" s="13"/>
      <c r="AI338" s="13"/>
    </row>
    <row r="339" spans="31:35">
      <c r="AE339" s="18"/>
      <c r="AF339" s="13"/>
      <c r="AG339" s="13"/>
      <c r="AH339" s="13"/>
      <c r="AI339" s="13"/>
    </row>
    <row r="340" spans="31:35">
      <c r="AE340" s="18"/>
      <c r="AF340" s="13"/>
      <c r="AG340" s="13"/>
      <c r="AH340" s="13"/>
      <c r="AI340" s="13"/>
    </row>
    <row r="341" spans="31:35">
      <c r="AE341" s="18"/>
      <c r="AF341" s="13"/>
      <c r="AG341" s="13"/>
      <c r="AH341" s="13"/>
      <c r="AI341" s="13"/>
    </row>
    <row r="342" spans="31:35">
      <c r="AE342" s="18"/>
      <c r="AF342" s="13"/>
      <c r="AG342" s="13"/>
      <c r="AH342" s="13"/>
      <c r="AI342" s="13"/>
    </row>
    <row r="343" spans="31:35">
      <c r="AE343" s="18"/>
      <c r="AF343" s="13"/>
      <c r="AG343" s="13"/>
      <c r="AH343" s="13"/>
      <c r="AI343" s="13"/>
    </row>
    <row r="344" spans="31:35">
      <c r="AE344" s="18"/>
      <c r="AF344" s="13"/>
      <c r="AG344" s="13"/>
      <c r="AH344" s="13"/>
      <c r="AI344" s="13"/>
    </row>
    <row r="345" spans="31:35">
      <c r="AE345" s="18"/>
      <c r="AF345" s="13"/>
      <c r="AG345" s="13"/>
      <c r="AH345" s="13"/>
      <c r="AI345" s="13"/>
    </row>
    <row r="346" spans="31:35">
      <c r="AE346" s="18"/>
      <c r="AF346" s="13"/>
      <c r="AG346" s="13"/>
      <c r="AH346" s="13"/>
      <c r="AI346" s="13"/>
    </row>
    <row r="347" spans="31:35">
      <c r="AE347" s="18"/>
      <c r="AF347" s="13"/>
      <c r="AG347" s="13"/>
      <c r="AH347" s="13"/>
      <c r="AI347" s="13"/>
    </row>
    <row r="348" spans="31:35">
      <c r="AE348" s="18"/>
      <c r="AF348" s="13"/>
      <c r="AG348" s="13"/>
      <c r="AH348" s="13"/>
      <c r="AI348" s="13"/>
    </row>
    <row r="349" spans="31:35">
      <c r="AE349" s="18"/>
      <c r="AF349" s="13"/>
      <c r="AG349" s="13"/>
      <c r="AH349" s="13"/>
      <c r="AI349" s="13"/>
    </row>
    <row r="350" spans="31:35">
      <c r="AE350" s="18"/>
      <c r="AF350" s="13"/>
      <c r="AG350" s="13"/>
      <c r="AH350" s="13"/>
      <c r="AI350" s="13"/>
    </row>
    <row r="351" spans="31:35">
      <c r="AE351" s="18"/>
      <c r="AF351" s="13"/>
      <c r="AG351" s="13"/>
      <c r="AH351" s="13"/>
      <c r="AI351" s="13"/>
    </row>
    <row r="352" spans="31:35">
      <c r="AE352" s="18"/>
      <c r="AF352" s="13"/>
      <c r="AG352" s="13"/>
      <c r="AH352" s="13"/>
      <c r="AI352" s="13"/>
    </row>
    <row r="353" spans="31:35">
      <c r="AE353" s="18"/>
      <c r="AF353" s="13"/>
      <c r="AG353" s="13"/>
      <c r="AH353" s="13"/>
      <c r="AI353" s="13"/>
    </row>
    <row r="354" spans="31:35">
      <c r="AE354" s="18"/>
      <c r="AF354" s="13"/>
      <c r="AG354" s="13"/>
      <c r="AH354" s="13"/>
      <c r="AI354" s="13"/>
    </row>
    <row r="355" spans="31:35">
      <c r="AE355" s="18"/>
      <c r="AF355" s="13"/>
      <c r="AG355" s="13"/>
      <c r="AH355" s="13"/>
      <c r="AI355" s="13"/>
    </row>
    <row r="356" spans="31:35">
      <c r="AE356" s="18"/>
      <c r="AF356" s="13"/>
      <c r="AG356" s="13"/>
      <c r="AH356" s="13"/>
      <c r="AI356" s="13"/>
    </row>
    <row r="357" spans="31:35">
      <c r="AE357" s="18"/>
      <c r="AF357" s="13"/>
      <c r="AG357" s="13"/>
      <c r="AH357" s="13"/>
      <c r="AI357" s="13"/>
    </row>
    <row r="358" spans="31:35">
      <c r="AE358" s="18"/>
      <c r="AF358" s="13"/>
      <c r="AG358" s="13"/>
      <c r="AH358" s="13"/>
      <c r="AI358" s="13"/>
    </row>
    <row r="359" spans="31:35">
      <c r="AE359" s="18"/>
      <c r="AF359" s="13"/>
      <c r="AG359" s="13"/>
      <c r="AH359" s="13"/>
      <c r="AI359" s="13"/>
    </row>
    <row r="360" spans="31:35">
      <c r="AE360" s="18"/>
      <c r="AF360" s="13"/>
      <c r="AG360" s="13"/>
      <c r="AH360" s="13"/>
      <c r="AI360" s="13"/>
    </row>
    <row r="361" spans="31:35">
      <c r="AE361" s="18"/>
      <c r="AF361" s="13"/>
      <c r="AG361" s="13"/>
      <c r="AH361" s="13"/>
      <c r="AI361" s="13"/>
    </row>
    <row r="362" spans="31:35">
      <c r="AE362" s="18"/>
      <c r="AF362" s="13"/>
      <c r="AG362" s="13"/>
      <c r="AH362" s="13"/>
      <c r="AI362" s="13"/>
    </row>
    <row r="363" spans="31:35">
      <c r="AE363" s="18"/>
      <c r="AF363" s="13"/>
      <c r="AG363" s="13"/>
      <c r="AH363" s="13"/>
      <c r="AI363" s="13"/>
    </row>
    <row r="364" spans="31:35">
      <c r="AE364" s="18"/>
      <c r="AF364" s="13"/>
      <c r="AG364" s="13"/>
      <c r="AH364" s="13"/>
      <c r="AI364" s="13"/>
    </row>
    <row r="365" spans="31:35">
      <c r="AE365" s="18"/>
      <c r="AF365" s="13"/>
      <c r="AG365" s="13"/>
      <c r="AH365" s="13"/>
      <c r="AI365" s="13"/>
    </row>
    <row r="366" spans="31:35">
      <c r="AE366" s="18"/>
      <c r="AF366" s="13"/>
      <c r="AG366" s="13"/>
      <c r="AH366" s="13"/>
      <c r="AI366" s="13"/>
    </row>
    <row r="367" spans="31:35">
      <c r="AE367" s="18"/>
      <c r="AF367" s="13"/>
      <c r="AG367" s="13"/>
      <c r="AH367" s="13"/>
      <c r="AI367" s="13"/>
    </row>
    <row r="368" spans="31:35">
      <c r="AE368" s="18"/>
      <c r="AF368" s="13"/>
      <c r="AG368" s="13"/>
      <c r="AH368" s="13"/>
      <c r="AI368" s="13"/>
    </row>
    <row r="369" spans="31:35">
      <c r="AE369" s="18"/>
      <c r="AF369" s="13"/>
      <c r="AG369" s="13"/>
      <c r="AH369" s="13"/>
      <c r="AI369" s="13"/>
    </row>
    <row r="370" spans="31:35">
      <c r="AE370" s="18"/>
      <c r="AF370" s="13"/>
      <c r="AG370" s="13"/>
      <c r="AH370" s="13"/>
      <c r="AI370" s="13"/>
    </row>
    <row r="371" spans="31:35">
      <c r="AE371" s="18"/>
      <c r="AF371" s="13"/>
      <c r="AG371" s="13"/>
      <c r="AH371" s="13"/>
      <c r="AI371" s="13"/>
    </row>
    <row r="372" spans="31:35">
      <c r="AE372" s="18"/>
      <c r="AF372" s="13"/>
      <c r="AG372" s="13"/>
      <c r="AH372" s="13"/>
      <c r="AI372" s="13"/>
    </row>
    <row r="373" spans="31:35">
      <c r="AE373" s="18"/>
      <c r="AF373" s="13"/>
      <c r="AG373" s="13"/>
      <c r="AH373" s="13"/>
      <c r="AI373" s="13"/>
    </row>
    <row r="374" spans="31:35">
      <c r="AE374" s="18"/>
      <c r="AF374" s="13"/>
      <c r="AG374" s="13"/>
      <c r="AH374" s="13"/>
      <c r="AI374" s="13"/>
    </row>
    <row r="375" spans="31:35">
      <c r="AE375" s="18"/>
      <c r="AF375" s="13"/>
      <c r="AG375" s="13"/>
      <c r="AH375" s="13"/>
      <c r="AI375" s="13"/>
    </row>
    <row r="376" spans="31:35">
      <c r="AE376" s="18"/>
      <c r="AF376" s="13"/>
      <c r="AG376" s="13"/>
      <c r="AH376" s="13"/>
      <c r="AI376" s="13"/>
    </row>
    <row r="377" spans="31:35">
      <c r="AE377" s="18"/>
      <c r="AF377" s="13"/>
      <c r="AG377" s="13"/>
      <c r="AH377" s="13"/>
      <c r="AI377" s="13"/>
    </row>
    <row r="378" spans="31:35">
      <c r="AE378" s="18"/>
      <c r="AF378" s="13"/>
      <c r="AG378" s="13"/>
      <c r="AH378" s="13"/>
      <c r="AI378" s="13"/>
    </row>
    <row r="379" spans="31:35">
      <c r="AE379" s="18"/>
      <c r="AF379" s="13"/>
      <c r="AG379" s="13"/>
      <c r="AH379" s="13"/>
      <c r="AI379" s="13"/>
    </row>
    <row r="380" spans="31:35">
      <c r="AE380" s="18"/>
      <c r="AF380" s="13"/>
      <c r="AG380" s="13"/>
      <c r="AH380" s="13"/>
      <c r="AI380" s="13"/>
    </row>
    <row r="381" spans="31:35">
      <c r="AE381" s="18"/>
      <c r="AF381" s="13"/>
      <c r="AG381" s="13"/>
      <c r="AH381" s="13"/>
      <c r="AI381" s="13"/>
    </row>
    <row r="382" spans="31:35">
      <c r="AE382" s="18"/>
      <c r="AF382" s="13"/>
      <c r="AG382" s="13"/>
      <c r="AH382" s="13"/>
      <c r="AI382" s="13"/>
    </row>
    <row r="383" spans="31:35">
      <c r="AE383" s="18"/>
      <c r="AF383" s="13"/>
      <c r="AG383" s="13"/>
      <c r="AH383" s="13"/>
      <c r="AI383" s="13"/>
    </row>
    <row r="384" spans="31:35">
      <c r="AE384" s="18"/>
      <c r="AF384" s="13"/>
      <c r="AG384" s="13"/>
      <c r="AH384" s="13"/>
      <c r="AI384" s="13"/>
    </row>
    <row r="385" spans="31:35">
      <c r="AE385" s="18"/>
      <c r="AF385" s="13"/>
      <c r="AG385" s="13"/>
      <c r="AH385" s="13"/>
      <c r="AI385" s="13"/>
    </row>
    <row r="386" spans="31:35">
      <c r="AE386" s="18"/>
      <c r="AF386" s="13"/>
      <c r="AG386" s="13"/>
      <c r="AH386" s="13"/>
      <c r="AI386" s="13"/>
    </row>
    <row r="387" spans="31:35">
      <c r="AE387" s="18"/>
      <c r="AF387" s="13"/>
      <c r="AG387" s="13"/>
      <c r="AH387" s="13"/>
      <c r="AI387" s="13"/>
    </row>
    <row r="388" spans="31:35">
      <c r="AE388" s="18"/>
      <c r="AF388" s="13"/>
      <c r="AG388" s="13"/>
      <c r="AH388" s="13"/>
      <c r="AI388" s="13"/>
    </row>
    <row r="389" spans="31:35">
      <c r="AE389" s="18"/>
      <c r="AF389" s="13"/>
      <c r="AG389" s="13"/>
      <c r="AH389" s="13"/>
      <c r="AI389" s="13"/>
    </row>
    <row r="390" spans="31:35">
      <c r="AE390" s="18"/>
      <c r="AF390" s="13"/>
      <c r="AG390" s="13"/>
      <c r="AH390" s="13"/>
      <c r="AI390" s="13"/>
    </row>
    <row r="391" spans="31:35">
      <c r="AE391" s="18"/>
      <c r="AF391" s="13"/>
      <c r="AG391" s="13"/>
      <c r="AH391" s="13"/>
      <c r="AI391" s="13"/>
    </row>
    <row r="392" spans="31:35">
      <c r="AE392" s="18"/>
      <c r="AF392" s="13"/>
      <c r="AG392" s="13"/>
      <c r="AH392" s="13"/>
      <c r="AI392" s="13"/>
    </row>
    <row r="393" spans="31:35">
      <c r="AE393" s="18"/>
      <c r="AF393" s="13"/>
      <c r="AG393" s="13"/>
      <c r="AH393" s="13"/>
      <c r="AI393" s="13"/>
    </row>
    <row r="394" spans="31:35">
      <c r="AE394" s="18"/>
      <c r="AF394" s="13"/>
      <c r="AG394" s="13"/>
      <c r="AH394" s="13"/>
      <c r="AI394" s="13"/>
    </row>
    <row r="395" spans="31:35">
      <c r="AE395" s="18"/>
      <c r="AF395" s="13"/>
      <c r="AG395" s="13"/>
      <c r="AH395" s="13"/>
      <c r="AI395" s="13"/>
    </row>
    <row r="396" spans="31:35">
      <c r="AE396" s="18"/>
      <c r="AF396" s="13"/>
      <c r="AG396" s="13"/>
      <c r="AH396" s="13"/>
      <c r="AI396" s="13"/>
    </row>
    <row r="397" spans="31:35">
      <c r="AE397" s="18"/>
      <c r="AF397" s="13"/>
      <c r="AG397" s="13"/>
      <c r="AH397" s="13"/>
      <c r="AI397" s="13"/>
    </row>
    <row r="398" spans="31:35">
      <c r="AE398" s="18"/>
      <c r="AF398" s="13"/>
      <c r="AG398" s="13"/>
      <c r="AH398" s="13"/>
      <c r="AI398" s="13"/>
    </row>
    <row r="399" spans="31:35">
      <c r="AE399" s="18"/>
      <c r="AF399" s="13"/>
      <c r="AG399" s="13"/>
      <c r="AH399" s="13"/>
      <c r="AI399" s="13"/>
    </row>
    <row r="400" spans="31:35">
      <c r="AE400" s="18"/>
      <c r="AF400" s="13"/>
      <c r="AG400" s="13"/>
      <c r="AH400" s="13"/>
      <c r="AI400" s="13"/>
    </row>
    <row r="401" spans="31:35">
      <c r="AE401" s="18"/>
      <c r="AF401" s="13"/>
      <c r="AG401" s="13"/>
      <c r="AH401" s="13"/>
      <c r="AI401" s="13"/>
    </row>
    <row r="402" spans="31:35">
      <c r="AE402" s="18"/>
      <c r="AF402" s="13"/>
      <c r="AG402" s="13"/>
      <c r="AH402" s="13"/>
      <c r="AI402" s="13"/>
    </row>
    <row r="403" spans="31:35">
      <c r="AE403" s="18"/>
      <c r="AF403" s="13"/>
      <c r="AG403" s="13"/>
      <c r="AH403" s="13"/>
      <c r="AI403" s="13"/>
    </row>
    <row r="404" spans="31:35">
      <c r="AE404" s="18"/>
      <c r="AF404" s="13"/>
      <c r="AG404" s="13"/>
      <c r="AH404" s="13"/>
      <c r="AI404" s="13"/>
    </row>
    <row r="405" spans="31:35">
      <c r="AE405" s="18"/>
      <c r="AF405" s="13"/>
      <c r="AG405" s="13"/>
      <c r="AH405" s="13"/>
      <c r="AI405" s="13"/>
    </row>
    <row r="406" spans="31:35">
      <c r="AE406" s="18"/>
      <c r="AF406" s="13"/>
      <c r="AG406" s="13"/>
      <c r="AH406" s="13"/>
      <c r="AI406" s="13"/>
    </row>
    <row r="407" spans="31:35">
      <c r="AE407" s="18"/>
      <c r="AF407" s="13"/>
      <c r="AG407" s="13"/>
      <c r="AH407" s="13"/>
      <c r="AI407" s="13"/>
    </row>
    <row r="408" spans="31:35">
      <c r="AE408" s="18"/>
      <c r="AF408" s="13"/>
      <c r="AG408" s="13"/>
      <c r="AH408" s="13"/>
      <c r="AI408" s="13"/>
    </row>
    <row r="409" spans="31:35">
      <c r="AE409" s="18"/>
      <c r="AF409" s="13"/>
      <c r="AG409" s="13"/>
      <c r="AH409" s="13"/>
      <c r="AI409" s="13"/>
    </row>
    <row r="410" spans="31:35">
      <c r="AE410" s="18"/>
      <c r="AF410" s="13"/>
      <c r="AG410" s="13"/>
      <c r="AH410" s="13"/>
      <c r="AI410" s="13"/>
    </row>
    <row r="411" spans="31:35">
      <c r="AE411" s="18"/>
      <c r="AF411" s="13"/>
      <c r="AG411" s="13"/>
      <c r="AH411" s="13"/>
      <c r="AI411" s="13"/>
    </row>
    <row r="412" spans="31:35">
      <c r="AE412" s="18"/>
      <c r="AF412" s="13"/>
      <c r="AG412" s="13"/>
      <c r="AH412" s="13"/>
      <c r="AI412" s="13"/>
    </row>
    <row r="413" spans="31:35">
      <c r="AE413" s="18"/>
      <c r="AF413" s="13"/>
      <c r="AG413" s="13"/>
      <c r="AH413" s="13"/>
      <c r="AI413" s="13"/>
    </row>
    <row r="414" spans="31:35">
      <c r="AE414" s="18"/>
      <c r="AF414" s="13"/>
      <c r="AG414" s="13"/>
      <c r="AH414" s="13"/>
      <c r="AI414" s="13"/>
    </row>
    <row r="415" spans="31:35">
      <c r="AE415" s="18"/>
      <c r="AF415" s="13"/>
      <c r="AG415" s="13"/>
      <c r="AH415" s="13"/>
      <c r="AI415" s="13"/>
    </row>
    <row r="416" spans="31:35">
      <c r="AE416" s="18"/>
      <c r="AF416" s="13"/>
      <c r="AG416" s="13"/>
      <c r="AH416" s="13"/>
      <c r="AI416" s="13"/>
    </row>
    <row r="417" spans="31:35">
      <c r="AE417" s="18"/>
      <c r="AF417" s="13"/>
      <c r="AG417" s="13"/>
      <c r="AH417" s="13"/>
      <c r="AI417" s="13"/>
    </row>
    <row r="418" spans="31:35">
      <c r="AE418" s="18"/>
      <c r="AF418" s="13"/>
      <c r="AG418" s="13"/>
      <c r="AH418" s="13"/>
      <c r="AI418" s="13"/>
    </row>
    <row r="419" spans="31:35">
      <c r="AE419" s="18"/>
      <c r="AF419" s="13"/>
      <c r="AG419" s="13"/>
      <c r="AH419" s="13"/>
      <c r="AI419" s="13"/>
    </row>
    <row r="420" spans="31:35">
      <c r="AE420" s="18"/>
      <c r="AF420" s="13"/>
      <c r="AG420" s="13"/>
      <c r="AH420" s="13"/>
      <c r="AI420" s="13"/>
    </row>
    <row r="421" spans="31:35">
      <c r="AE421" s="18"/>
      <c r="AF421" s="13"/>
      <c r="AG421" s="13"/>
      <c r="AH421" s="13"/>
      <c r="AI421" s="13"/>
    </row>
    <row r="422" spans="31:35">
      <c r="AE422" s="18"/>
      <c r="AF422" s="13"/>
      <c r="AG422" s="13"/>
      <c r="AH422" s="13"/>
      <c r="AI422" s="13"/>
    </row>
    <row r="423" spans="31:35">
      <c r="AE423" s="18"/>
      <c r="AF423" s="13"/>
      <c r="AG423" s="13"/>
      <c r="AH423" s="13"/>
      <c r="AI423" s="13"/>
    </row>
    <row r="424" spans="31:35">
      <c r="AE424" s="18"/>
      <c r="AF424" s="13"/>
      <c r="AG424" s="13"/>
      <c r="AH424" s="13"/>
      <c r="AI424" s="13"/>
    </row>
    <row r="425" spans="31:35">
      <c r="AE425" s="18"/>
      <c r="AF425" s="13"/>
      <c r="AG425" s="13"/>
      <c r="AH425" s="13"/>
      <c r="AI425" s="13"/>
    </row>
    <row r="426" spans="31:35">
      <c r="AE426" s="18"/>
      <c r="AF426" s="13"/>
      <c r="AG426" s="13"/>
      <c r="AH426" s="13"/>
      <c r="AI426" s="13"/>
    </row>
    <row r="427" spans="31:35">
      <c r="AE427" s="18"/>
      <c r="AF427" s="13"/>
      <c r="AG427" s="13"/>
      <c r="AH427" s="13"/>
      <c r="AI427" s="13"/>
    </row>
    <row r="428" spans="31:35">
      <c r="AE428" s="18"/>
      <c r="AF428" s="13"/>
      <c r="AG428" s="13"/>
      <c r="AH428" s="13"/>
      <c r="AI428" s="13"/>
    </row>
    <row r="429" spans="31:35">
      <c r="AE429" s="18"/>
      <c r="AF429" s="13"/>
      <c r="AG429" s="13"/>
      <c r="AH429" s="13"/>
      <c r="AI429" s="13"/>
    </row>
    <row r="430" spans="31:35">
      <c r="AE430" s="18"/>
      <c r="AF430" s="13"/>
      <c r="AG430" s="13"/>
      <c r="AH430" s="13"/>
      <c r="AI430" s="13"/>
    </row>
    <row r="431" spans="31:35">
      <c r="AE431" s="18"/>
      <c r="AF431" s="13"/>
      <c r="AG431" s="13"/>
      <c r="AH431" s="13"/>
      <c r="AI431" s="13"/>
    </row>
    <row r="432" spans="31:35">
      <c r="AE432" s="18"/>
      <c r="AF432" s="13"/>
      <c r="AG432" s="13"/>
      <c r="AH432" s="13"/>
      <c r="AI432" s="13"/>
    </row>
    <row r="433" spans="31:35">
      <c r="AE433" s="18"/>
      <c r="AF433" s="13"/>
      <c r="AG433" s="13"/>
      <c r="AH433" s="13"/>
      <c r="AI433" s="13"/>
    </row>
    <row r="434" spans="31:35">
      <c r="AE434" s="18"/>
      <c r="AF434" s="13"/>
      <c r="AG434" s="13"/>
      <c r="AH434" s="13"/>
      <c r="AI434" s="13"/>
    </row>
    <row r="435" spans="31:35">
      <c r="AE435" s="18"/>
      <c r="AF435" s="13"/>
      <c r="AG435" s="13"/>
      <c r="AH435" s="13"/>
      <c r="AI435" s="13"/>
    </row>
    <row r="436" spans="31:35">
      <c r="AE436" s="18"/>
      <c r="AF436" s="13"/>
      <c r="AG436" s="13"/>
      <c r="AH436" s="13"/>
      <c r="AI436" s="13"/>
    </row>
    <row r="437" spans="31:35">
      <c r="AE437" s="18"/>
      <c r="AF437" s="13"/>
      <c r="AG437" s="13"/>
      <c r="AH437" s="13"/>
      <c r="AI437" s="13"/>
    </row>
    <row r="438" spans="31:35">
      <c r="AE438" s="18"/>
      <c r="AF438" s="13"/>
      <c r="AG438" s="13"/>
      <c r="AH438" s="13"/>
      <c r="AI438" s="13"/>
    </row>
    <row r="439" spans="31:35">
      <c r="AE439" s="18"/>
      <c r="AF439" s="13"/>
      <c r="AG439" s="13"/>
      <c r="AH439" s="13"/>
      <c r="AI439" s="13"/>
    </row>
    <row r="440" spans="31:35">
      <c r="AE440" s="18"/>
      <c r="AF440" s="13"/>
      <c r="AG440" s="13"/>
      <c r="AH440" s="13"/>
      <c r="AI440" s="13"/>
    </row>
    <row r="441" spans="31:35">
      <c r="AE441" s="18"/>
      <c r="AF441" s="13"/>
      <c r="AG441" s="13"/>
      <c r="AH441" s="13"/>
      <c r="AI441" s="13"/>
    </row>
    <row r="442" spans="31:35">
      <c r="AE442" s="18"/>
      <c r="AF442" s="13"/>
      <c r="AG442" s="13"/>
      <c r="AH442" s="13"/>
      <c r="AI442" s="13"/>
    </row>
    <row r="443" spans="31:35">
      <c r="AE443" s="18"/>
      <c r="AF443" s="13"/>
      <c r="AG443" s="13"/>
      <c r="AH443" s="13"/>
      <c r="AI443" s="13"/>
    </row>
    <row r="444" spans="31:35">
      <c r="AE444" s="18"/>
      <c r="AF444" s="13"/>
      <c r="AG444" s="13"/>
      <c r="AH444" s="13"/>
      <c r="AI444" s="13"/>
    </row>
    <row r="445" spans="31:35">
      <c r="AE445" s="18"/>
      <c r="AF445" s="13"/>
      <c r="AG445" s="13"/>
      <c r="AH445" s="13"/>
      <c r="AI445" s="13"/>
    </row>
    <row r="446" spans="31:35">
      <c r="AE446" s="18"/>
      <c r="AF446" s="13"/>
      <c r="AG446" s="13"/>
      <c r="AH446" s="13"/>
      <c r="AI446" s="13"/>
    </row>
    <row r="447" spans="31:35">
      <c r="AE447" s="18"/>
      <c r="AF447" s="13"/>
      <c r="AG447" s="13"/>
      <c r="AH447" s="13"/>
      <c r="AI447" s="13"/>
    </row>
    <row r="448" spans="31:35">
      <c r="AE448" s="18"/>
      <c r="AF448" s="13"/>
      <c r="AG448" s="13"/>
      <c r="AH448" s="13"/>
      <c r="AI448" s="13"/>
    </row>
    <row r="449" spans="31:35">
      <c r="AE449" s="18"/>
      <c r="AF449" s="13"/>
      <c r="AG449" s="13"/>
      <c r="AH449" s="13"/>
      <c r="AI449" s="13"/>
    </row>
    <row r="450" spans="31:35">
      <c r="AE450" s="18"/>
      <c r="AF450" s="13"/>
      <c r="AG450" s="13"/>
      <c r="AH450" s="13"/>
      <c r="AI450" s="13"/>
    </row>
    <row r="451" spans="31:35">
      <c r="AE451" s="18"/>
      <c r="AF451" s="13"/>
      <c r="AG451" s="13"/>
      <c r="AH451" s="13"/>
      <c r="AI451" s="13"/>
    </row>
    <row r="452" spans="31:35">
      <c r="AE452" s="18"/>
      <c r="AF452" s="13"/>
      <c r="AG452" s="13"/>
      <c r="AH452" s="13"/>
      <c r="AI452" s="13"/>
    </row>
    <row r="453" spans="31:35">
      <c r="AE453" s="18"/>
      <c r="AF453" s="13"/>
      <c r="AG453" s="13"/>
      <c r="AH453" s="13"/>
      <c r="AI453" s="13"/>
    </row>
    <row r="454" spans="31:35">
      <c r="AE454" s="18"/>
      <c r="AF454" s="13"/>
      <c r="AG454" s="13"/>
      <c r="AH454" s="13"/>
      <c r="AI454" s="13"/>
    </row>
    <row r="455" spans="31:35">
      <c r="AE455" s="18"/>
      <c r="AF455" s="13"/>
      <c r="AG455" s="13"/>
      <c r="AH455" s="13"/>
      <c r="AI455" s="13"/>
    </row>
    <row r="456" spans="31:35">
      <c r="AE456" s="18"/>
      <c r="AF456" s="13"/>
      <c r="AG456" s="13"/>
      <c r="AH456" s="13"/>
      <c r="AI456" s="13"/>
    </row>
    <row r="457" spans="31:35">
      <c r="AE457" s="18"/>
      <c r="AF457" s="13"/>
      <c r="AG457" s="13"/>
      <c r="AH457" s="13"/>
      <c r="AI457" s="13"/>
    </row>
    <row r="458" spans="31:35">
      <c r="AE458" s="18"/>
      <c r="AF458" s="13"/>
      <c r="AG458" s="13"/>
      <c r="AH458" s="13"/>
      <c r="AI458" s="13"/>
    </row>
    <row r="459" spans="31:35">
      <c r="AE459" s="18"/>
      <c r="AF459" s="13"/>
      <c r="AG459" s="13"/>
      <c r="AH459" s="13"/>
      <c r="AI459" s="13"/>
    </row>
    <row r="460" spans="31:35">
      <c r="AE460" s="18"/>
      <c r="AF460" s="13"/>
      <c r="AG460" s="13"/>
      <c r="AH460" s="13"/>
      <c r="AI460" s="13"/>
    </row>
    <row r="461" spans="31:35">
      <c r="AE461" s="18"/>
      <c r="AF461" s="13"/>
      <c r="AG461" s="13"/>
      <c r="AH461" s="13"/>
      <c r="AI461" s="13"/>
    </row>
    <row r="462" spans="31:35">
      <c r="AE462" s="18"/>
      <c r="AF462" s="13"/>
      <c r="AG462" s="13"/>
      <c r="AH462" s="13"/>
      <c r="AI462" s="13"/>
    </row>
    <row r="463" spans="31:35">
      <c r="AE463" s="18"/>
      <c r="AF463" s="13"/>
      <c r="AG463" s="13"/>
      <c r="AH463" s="13"/>
      <c r="AI463" s="13"/>
    </row>
    <row r="464" spans="31:35">
      <c r="AE464" s="18"/>
      <c r="AF464" s="13"/>
      <c r="AG464" s="13"/>
      <c r="AH464" s="13"/>
      <c r="AI464" s="13"/>
    </row>
    <row r="465" spans="31:35">
      <c r="AE465" s="18"/>
      <c r="AF465" s="13"/>
      <c r="AG465" s="13"/>
      <c r="AH465" s="13"/>
      <c r="AI465" s="13"/>
    </row>
    <row r="466" spans="31:35">
      <c r="AE466" s="18"/>
      <c r="AF466" s="13"/>
      <c r="AG466" s="13"/>
      <c r="AH466" s="13"/>
      <c r="AI466" s="13"/>
    </row>
    <row r="467" spans="31:35">
      <c r="AE467" s="18"/>
      <c r="AF467" s="13"/>
      <c r="AG467" s="13"/>
      <c r="AH467" s="13"/>
      <c r="AI467" s="13"/>
    </row>
    <row r="468" spans="31:35">
      <c r="AE468" s="18"/>
      <c r="AF468" s="13"/>
      <c r="AG468" s="13"/>
      <c r="AH468" s="13"/>
      <c r="AI468" s="13"/>
    </row>
    <row r="469" spans="31:35">
      <c r="AE469" s="18"/>
      <c r="AF469" s="13"/>
      <c r="AG469" s="13"/>
      <c r="AH469" s="13"/>
      <c r="AI469" s="13"/>
    </row>
    <row r="470" spans="31:35">
      <c r="AE470" s="18"/>
      <c r="AF470" s="13"/>
      <c r="AG470" s="13"/>
      <c r="AH470" s="13"/>
      <c r="AI470" s="13"/>
    </row>
    <row r="471" spans="31:35">
      <c r="AE471" s="18"/>
      <c r="AF471" s="13"/>
      <c r="AG471" s="13"/>
      <c r="AH471" s="13"/>
      <c r="AI471" s="13"/>
    </row>
    <row r="472" spans="31:35">
      <c r="AE472" s="18"/>
      <c r="AF472" s="13"/>
      <c r="AG472" s="13"/>
      <c r="AH472" s="13"/>
      <c r="AI472" s="13"/>
    </row>
    <row r="473" spans="31:35">
      <c r="AE473" s="18"/>
      <c r="AF473" s="13"/>
      <c r="AG473" s="13"/>
      <c r="AH473" s="13"/>
      <c r="AI473" s="13"/>
    </row>
    <row r="474" spans="31:35">
      <c r="AE474" s="18"/>
      <c r="AF474" s="13"/>
      <c r="AG474" s="13"/>
      <c r="AH474" s="13"/>
      <c r="AI474" s="13"/>
    </row>
    <row r="475" spans="31:35">
      <c r="AE475" s="18"/>
      <c r="AF475" s="13"/>
      <c r="AG475" s="13"/>
      <c r="AH475" s="13"/>
      <c r="AI475" s="13"/>
    </row>
    <row r="476" spans="31:35">
      <c r="AE476" s="18"/>
      <c r="AF476" s="13"/>
      <c r="AG476" s="13"/>
      <c r="AH476" s="13"/>
      <c r="AI476" s="13"/>
    </row>
    <row r="477" spans="31:35">
      <c r="AE477" s="18"/>
      <c r="AF477" s="13"/>
      <c r="AG477" s="13"/>
      <c r="AH477" s="13"/>
      <c r="AI477" s="13"/>
    </row>
    <row r="478" spans="31:35">
      <c r="AE478" s="18"/>
      <c r="AF478" s="13"/>
      <c r="AG478" s="13"/>
      <c r="AH478" s="13"/>
      <c r="AI478" s="13"/>
    </row>
    <row r="479" spans="31:35">
      <c r="AE479" s="18"/>
      <c r="AF479" s="13"/>
      <c r="AG479" s="13"/>
      <c r="AH479" s="13"/>
      <c r="AI479" s="13"/>
    </row>
    <row r="480" spans="31:35">
      <c r="AE480" s="18"/>
      <c r="AF480" s="13"/>
      <c r="AG480" s="13"/>
      <c r="AH480" s="13"/>
      <c r="AI480" s="13"/>
    </row>
    <row r="481" spans="31:35">
      <c r="AE481" s="18"/>
      <c r="AF481" s="13"/>
      <c r="AG481" s="13"/>
      <c r="AH481" s="13"/>
      <c r="AI481" s="13"/>
    </row>
    <row r="482" spans="31:35">
      <c r="AE482" s="18"/>
      <c r="AF482" s="13"/>
      <c r="AG482" s="13"/>
      <c r="AH482" s="13"/>
      <c r="AI482" s="13"/>
    </row>
    <row r="483" spans="31:35">
      <c r="AE483" s="18"/>
      <c r="AF483" s="13"/>
      <c r="AG483" s="13"/>
      <c r="AH483" s="13"/>
      <c r="AI483" s="13"/>
    </row>
    <row r="484" spans="31:35">
      <c r="AE484" s="18"/>
      <c r="AF484" s="13"/>
      <c r="AG484" s="13"/>
      <c r="AH484" s="13"/>
      <c r="AI484" s="13"/>
    </row>
    <row r="485" spans="31:35">
      <c r="AE485" s="18"/>
      <c r="AF485" s="13"/>
      <c r="AG485" s="13"/>
      <c r="AH485" s="13"/>
      <c r="AI485" s="13"/>
    </row>
    <row r="486" spans="31:35">
      <c r="AE486" s="18"/>
      <c r="AF486" s="13"/>
      <c r="AG486" s="13"/>
      <c r="AH486" s="13"/>
      <c r="AI486" s="13"/>
    </row>
    <row r="487" spans="31:35">
      <c r="AE487" s="18"/>
      <c r="AF487" s="13"/>
      <c r="AG487" s="13"/>
      <c r="AH487" s="13"/>
      <c r="AI487" s="13"/>
    </row>
    <row r="488" spans="31:35">
      <c r="AE488" s="18"/>
      <c r="AF488" s="13"/>
      <c r="AG488" s="13"/>
      <c r="AH488" s="13"/>
      <c r="AI488" s="13"/>
    </row>
    <row r="489" spans="31:35">
      <c r="AE489" s="18"/>
      <c r="AF489" s="13"/>
      <c r="AG489" s="13"/>
      <c r="AH489" s="13"/>
      <c r="AI489" s="13"/>
    </row>
    <row r="490" spans="31:35">
      <c r="AE490" s="18"/>
      <c r="AF490" s="13"/>
      <c r="AG490" s="13"/>
      <c r="AH490" s="13"/>
      <c r="AI490" s="13"/>
    </row>
    <row r="491" spans="31:35">
      <c r="AE491" s="18"/>
      <c r="AF491" s="13"/>
      <c r="AG491" s="13"/>
      <c r="AH491" s="13"/>
      <c r="AI491" s="13"/>
    </row>
    <row r="492" spans="31:35">
      <c r="AE492" s="18"/>
      <c r="AF492" s="13"/>
      <c r="AG492" s="13"/>
      <c r="AH492" s="13"/>
      <c r="AI492" s="13"/>
    </row>
    <row r="493" spans="31:35">
      <c r="AE493" s="18"/>
      <c r="AF493" s="13"/>
      <c r="AG493" s="13"/>
      <c r="AH493" s="13"/>
      <c r="AI493" s="13"/>
    </row>
    <row r="494" spans="31:35">
      <c r="AE494" s="18"/>
      <c r="AF494" s="13"/>
      <c r="AG494" s="13"/>
      <c r="AH494" s="13"/>
      <c r="AI494" s="13"/>
    </row>
    <row r="495" spans="31:35">
      <c r="AE495" s="18"/>
      <c r="AF495" s="13"/>
      <c r="AG495" s="13"/>
      <c r="AH495" s="13"/>
      <c r="AI495" s="13"/>
    </row>
    <row r="496" spans="31:35">
      <c r="AE496" s="18"/>
      <c r="AF496" s="13"/>
      <c r="AG496" s="13"/>
      <c r="AH496" s="13"/>
      <c r="AI496" s="13"/>
    </row>
    <row r="497" spans="31:35">
      <c r="AE497" s="18"/>
      <c r="AF497" s="13"/>
      <c r="AG497" s="13"/>
      <c r="AH497" s="13"/>
      <c r="AI497" s="13"/>
    </row>
    <row r="498" spans="31:35">
      <c r="AE498" s="18"/>
      <c r="AF498" s="13"/>
      <c r="AG498" s="13"/>
      <c r="AH498" s="13"/>
      <c r="AI498" s="13"/>
    </row>
    <row r="499" spans="31:35">
      <c r="AE499" s="18"/>
      <c r="AF499" s="13"/>
      <c r="AG499" s="13"/>
      <c r="AH499" s="13"/>
      <c r="AI499" s="13"/>
    </row>
    <row r="500" spans="31:35">
      <c r="AE500" s="18"/>
      <c r="AF500" s="13"/>
      <c r="AG500" s="13"/>
      <c r="AH500" s="13"/>
      <c r="AI500" s="13"/>
    </row>
    <row r="501" spans="31:35">
      <c r="AE501" s="18"/>
      <c r="AF501" s="13"/>
      <c r="AG501" s="13"/>
      <c r="AH501" s="13"/>
      <c r="AI501" s="13"/>
    </row>
    <row r="502" spans="31:35">
      <c r="AE502" s="18"/>
      <c r="AF502" s="13"/>
      <c r="AG502" s="13"/>
      <c r="AH502" s="13"/>
      <c r="AI502" s="13"/>
    </row>
    <row r="503" spans="31:35">
      <c r="AE503" s="18"/>
      <c r="AF503" s="13"/>
      <c r="AG503" s="13"/>
      <c r="AH503" s="13"/>
      <c r="AI503" s="13"/>
    </row>
    <row r="504" spans="31:35">
      <c r="AE504" s="18"/>
      <c r="AF504" s="13"/>
      <c r="AG504" s="13"/>
      <c r="AH504" s="13"/>
      <c r="AI504" s="13"/>
    </row>
    <row r="505" spans="31:35">
      <c r="AE505" s="18"/>
      <c r="AF505" s="13"/>
      <c r="AG505" s="13"/>
      <c r="AH505" s="13"/>
      <c r="AI505" s="13"/>
    </row>
    <row r="506" spans="31:35">
      <c r="AE506" s="18"/>
      <c r="AF506" s="13"/>
      <c r="AG506" s="13"/>
      <c r="AH506" s="13"/>
      <c r="AI506" s="13"/>
    </row>
    <row r="507" spans="31:35">
      <c r="AE507" s="18"/>
      <c r="AF507" s="13"/>
      <c r="AG507" s="13"/>
      <c r="AH507" s="13"/>
      <c r="AI507" s="13"/>
    </row>
    <row r="508" spans="31:35">
      <c r="AE508" s="18"/>
      <c r="AF508" s="13"/>
      <c r="AG508" s="13"/>
      <c r="AH508" s="13"/>
      <c r="AI508" s="13"/>
    </row>
    <row r="509" spans="31:35">
      <c r="AE509" s="18"/>
      <c r="AF509" s="13"/>
      <c r="AG509" s="13"/>
      <c r="AH509" s="13"/>
      <c r="AI509" s="13"/>
    </row>
    <row r="510" spans="31:35">
      <c r="AE510" s="18"/>
      <c r="AF510" s="13"/>
      <c r="AG510" s="13"/>
      <c r="AH510" s="13"/>
      <c r="AI510" s="13"/>
    </row>
    <row r="511" spans="31:35">
      <c r="AE511" s="18"/>
      <c r="AF511" s="13"/>
      <c r="AG511" s="13"/>
      <c r="AH511" s="13"/>
      <c r="AI511" s="13"/>
    </row>
    <row r="512" spans="31:35">
      <c r="AE512" s="18"/>
      <c r="AF512" s="13"/>
      <c r="AG512" s="13"/>
      <c r="AH512" s="13"/>
      <c r="AI512" s="13"/>
    </row>
    <row r="513" spans="31:35">
      <c r="AE513" s="18"/>
      <c r="AF513" s="13"/>
      <c r="AG513" s="13"/>
      <c r="AH513" s="13"/>
      <c r="AI513" s="13"/>
    </row>
    <row r="514" spans="31:35">
      <c r="AE514" s="18"/>
      <c r="AF514" s="13"/>
      <c r="AG514" s="13"/>
      <c r="AH514" s="13"/>
      <c r="AI514" s="13"/>
    </row>
    <row r="515" spans="31:35">
      <c r="AE515" s="18"/>
      <c r="AF515" s="13"/>
      <c r="AG515" s="13"/>
      <c r="AH515" s="13"/>
      <c r="AI515" s="13"/>
    </row>
    <row r="516" spans="31:35">
      <c r="AE516" s="18"/>
      <c r="AF516" s="13"/>
      <c r="AG516" s="13"/>
      <c r="AH516" s="13"/>
      <c r="AI516" s="13"/>
    </row>
    <row r="517" spans="31:35">
      <c r="AE517" s="18"/>
      <c r="AF517" s="13"/>
      <c r="AG517" s="13"/>
      <c r="AH517" s="13"/>
      <c r="AI517" s="13"/>
    </row>
    <row r="518" spans="31:35">
      <c r="AE518" s="18"/>
      <c r="AF518" s="13"/>
      <c r="AG518" s="13"/>
      <c r="AH518" s="13"/>
      <c r="AI518" s="13"/>
    </row>
    <row r="519" spans="31:35">
      <c r="AE519" s="18"/>
      <c r="AF519" s="13"/>
      <c r="AG519" s="13"/>
      <c r="AH519" s="13"/>
      <c r="AI519" s="13"/>
    </row>
    <row r="520" spans="31:35">
      <c r="AE520" s="18"/>
      <c r="AF520" s="13"/>
      <c r="AG520" s="13"/>
      <c r="AH520" s="13"/>
      <c r="AI520" s="13"/>
    </row>
    <row r="521" spans="31:35">
      <c r="AE521" s="18"/>
      <c r="AF521" s="13"/>
      <c r="AG521" s="13"/>
      <c r="AH521" s="13"/>
      <c r="AI521" s="13"/>
    </row>
    <row r="522" spans="31:35">
      <c r="AE522" s="18"/>
      <c r="AF522" s="13"/>
      <c r="AG522" s="13"/>
      <c r="AH522" s="13"/>
      <c r="AI522" s="13"/>
    </row>
    <row r="523" spans="31:35">
      <c r="AE523" s="18"/>
      <c r="AF523" s="13"/>
      <c r="AG523" s="13"/>
      <c r="AH523" s="13"/>
      <c r="AI523" s="13"/>
    </row>
    <row r="524" spans="31:35">
      <c r="AE524" s="18"/>
      <c r="AF524" s="13"/>
      <c r="AG524" s="13"/>
      <c r="AH524" s="13"/>
      <c r="AI524" s="13"/>
    </row>
    <row r="525" spans="31:35">
      <c r="AE525" s="18"/>
      <c r="AF525" s="13"/>
      <c r="AG525" s="13"/>
      <c r="AH525" s="13"/>
      <c r="AI525" s="13"/>
    </row>
    <row r="526" spans="31:35">
      <c r="AE526" s="18"/>
      <c r="AF526" s="13"/>
      <c r="AG526" s="13"/>
      <c r="AH526" s="13"/>
      <c r="AI526" s="13"/>
    </row>
    <row r="527" spans="31:35">
      <c r="AE527" s="18"/>
      <c r="AF527" s="13"/>
      <c r="AG527" s="13"/>
      <c r="AH527" s="13"/>
      <c r="AI527" s="13"/>
    </row>
    <row r="528" spans="31:35">
      <c r="AE528" s="18"/>
      <c r="AF528" s="13"/>
      <c r="AG528" s="13"/>
      <c r="AH528" s="13"/>
      <c r="AI528" s="13"/>
    </row>
    <row r="529" spans="31:35">
      <c r="AE529" s="18"/>
      <c r="AF529" s="13"/>
      <c r="AG529" s="13"/>
      <c r="AH529" s="13"/>
      <c r="AI529" s="13"/>
    </row>
    <row r="530" spans="31:35">
      <c r="AE530" s="18"/>
      <c r="AF530" s="13"/>
      <c r="AG530" s="13"/>
      <c r="AH530" s="13"/>
      <c r="AI530" s="13"/>
    </row>
    <row r="531" spans="31:35">
      <c r="AE531" s="18"/>
      <c r="AF531" s="13"/>
      <c r="AG531" s="13"/>
      <c r="AH531" s="13"/>
      <c r="AI531" s="13"/>
    </row>
    <row r="532" spans="31:35">
      <c r="AE532" s="18"/>
      <c r="AF532" s="13"/>
      <c r="AG532" s="13"/>
      <c r="AH532" s="13"/>
      <c r="AI532" s="13"/>
    </row>
    <row r="533" spans="31:35">
      <c r="AE533" s="18"/>
      <c r="AF533" s="13"/>
      <c r="AG533" s="13"/>
      <c r="AH533" s="13"/>
      <c r="AI533" s="13"/>
    </row>
    <row r="534" spans="31:35">
      <c r="AE534" s="18"/>
      <c r="AF534" s="13"/>
      <c r="AG534" s="13"/>
      <c r="AH534" s="13"/>
      <c r="AI534" s="13"/>
    </row>
    <row r="535" spans="31:35">
      <c r="AE535" s="18"/>
      <c r="AF535" s="13"/>
      <c r="AG535" s="13"/>
      <c r="AH535" s="13"/>
      <c r="AI535" s="13"/>
    </row>
    <row r="536" spans="31:35">
      <c r="AE536" s="18"/>
      <c r="AF536" s="13"/>
      <c r="AG536" s="13"/>
      <c r="AH536" s="13"/>
      <c r="AI536" s="13"/>
    </row>
    <row r="537" spans="31:35">
      <c r="AE537" s="18"/>
      <c r="AF537" s="13"/>
      <c r="AG537" s="13"/>
      <c r="AH537" s="13"/>
      <c r="AI537" s="13"/>
    </row>
    <row r="538" spans="31:35">
      <c r="AE538" s="18"/>
      <c r="AF538" s="13"/>
      <c r="AG538" s="13"/>
      <c r="AH538" s="13"/>
      <c r="AI538" s="13"/>
    </row>
    <row r="539" spans="31:35">
      <c r="AE539" s="18"/>
      <c r="AF539" s="13"/>
      <c r="AG539" s="13"/>
      <c r="AH539" s="13"/>
      <c r="AI539" s="13"/>
    </row>
    <row r="540" spans="31:35">
      <c r="AE540" s="18"/>
      <c r="AF540" s="13"/>
      <c r="AG540" s="13"/>
      <c r="AH540" s="13"/>
      <c r="AI540" s="13"/>
    </row>
    <row r="541" spans="31:35">
      <c r="AE541" s="18"/>
      <c r="AF541" s="13"/>
      <c r="AG541" s="13"/>
      <c r="AH541" s="13"/>
      <c r="AI541" s="13"/>
    </row>
    <row r="542" spans="31:35">
      <c r="AE542" s="18"/>
      <c r="AF542" s="13"/>
      <c r="AG542" s="13"/>
      <c r="AH542" s="13"/>
      <c r="AI542" s="13"/>
    </row>
    <row r="543" spans="31:35">
      <c r="AE543" s="18"/>
      <c r="AF543" s="13"/>
      <c r="AG543" s="13"/>
      <c r="AH543" s="13"/>
      <c r="AI543" s="13"/>
    </row>
    <row r="544" spans="31:35">
      <c r="AE544" s="18"/>
      <c r="AF544" s="13"/>
      <c r="AG544" s="13"/>
      <c r="AH544" s="13"/>
      <c r="AI544" s="13"/>
    </row>
    <row r="545" spans="31:35">
      <c r="AE545" s="18"/>
      <c r="AF545" s="13"/>
      <c r="AG545" s="13"/>
      <c r="AH545" s="13"/>
      <c r="AI545" s="13"/>
    </row>
    <row r="546" spans="31:35">
      <c r="AE546" s="18"/>
      <c r="AF546" s="13"/>
      <c r="AG546" s="13"/>
      <c r="AH546" s="13"/>
      <c r="AI546" s="13"/>
    </row>
    <row r="547" spans="31:35">
      <c r="AE547" s="18"/>
      <c r="AF547" s="13"/>
      <c r="AG547" s="13"/>
      <c r="AH547" s="13"/>
      <c r="AI547" s="13"/>
    </row>
    <row r="548" spans="31:35">
      <c r="AE548" s="18"/>
      <c r="AF548" s="13"/>
      <c r="AG548" s="13"/>
      <c r="AH548" s="13"/>
      <c r="AI548" s="13"/>
    </row>
    <row r="549" spans="31:35">
      <c r="AE549" s="18"/>
      <c r="AF549" s="13"/>
      <c r="AG549" s="13"/>
      <c r="AH549" s="13"/>
      <c r="AI549" s="13"/>
    </row>
    <row r="550" spans="31:35">
      <c r="AE550" s="18"/>
      <c r="AF550" s="13"/>
      <c r="AG550" s="13"/>
      <c r="AH550" s="13"/>
      <c r="AI550" s="13"/>
    </row>
    <row r="551" spans="31:35">
      <c r="AE551" s="18"/>
      <c r="AF551" s="13"/>
      <c r="AG551" s="13"/>
      <c r="AH551" s="13"/>
      <c r="AI551" s="13"/>
    </row>
    <row r="552" spans="31:35">
      <c r="AE552" s="18"/>
      <c r="AF552" s="13"/>
      <c r="AG552" s="13"/>
      <c r="AH552" s="13"/>
      <c r="AI552" s="13"/>
    </row>
    <row r="553" spans="31:35">
      <c r="AE553" s="18"/>
      <c r="AF553" s="13"/>
      <c r="AG553" s="13"/>
      <c r="AH553" s="13"/>
      <c r="AI553" s="13"/>
    </row>
    <row r="554" spans="31:35">
      <c r="AE554" s="18"/>
      <c r="AF554" s="13"/>
      <c r="AG554" s="13"/>
      <c r="AH554" s="13"/>
      <c r="AI554" s="13"/>
    </row>
    <row r="555" spans="31:35">
      <c r="AE555" s="18"/>
      <c r="AF555" s="13"/>
      <c r="AG555" s="13"/>
      <c r="AH555" s="13"/>
      <c r="AI555" s="13"/>
    </row>
    <row r="556" spans="31:35">
      <c r="AE556" s="18"/>
      <c r="AF556" s="13"/>
      <c r="AG556" s="13"/>
      <c r="AH556" s="13"/>
      <c r="AI556" s="13"/>
    </row>
    <row r="557" spans="31:35">
      <c r="AE557" s="18"/>
      <c r="AF557" s="13"/>
      <c r="AG557" s="13"/>
      <c r="AH557" s="13"/>
      <c r="AI557" s="13"/>
    </row>
    <row r="558" spans="31:35">
      <c r="AE558" s="18"/>
      <c r="AF558" s="13"/>
      <c r="AG558" s="13"/>
      <c r="AH558" s="13"/>
      <c r="AI558" s="13"/>
    </row>
    <row r="559" spans="31:35">
      <c r="AE559" s="18"/>
      <c r="AF559" s="13"/>
      <c r="AG559" s="13"/>
      <c r="AH559" s="13"/>
      <c r="AI559" s="13"/>
    </row>
    <row r="560" spans="31:35">
      <c r="AE560" s="18"/>
      <c r="AF560" s="13"/>
      <c r="AG560" s="13"/>
      <c r="AH560" s="13"/>
      <c r="AI560" s="13"/>
    </row>
    <row r="561" spans="31:35">
      <c r="AE561" s="18"/>
      <c r="AF561" s="13"/>
      <c r="AG561" s="13"/>
      <c r="AH561" s="13"/>
      <c r="AI561" s="13"/>
    </row>
    <row r="562" spans="31:35">
      <c r="AE562" s="18"/>
      <c r="AF562" s="13"/>
      <c r="AG562" s="13"/>
      <c r="AH562" s="13"/>
      <c r="AI562" s="13"/>
    </row>
    <row r="563" spans="31:35">
      <c r="AE563" s="18"/>
      <c r="AF563" s="13"/>
      <c r="AG563" s="13"/>
      <c r="AH563" s="13"/>
      <c r="AI563" s="13"/>
    </row>
    <row r="564" spans="31:35">
      <c r="AE564" s="18"/>
      <c r="AF564" s="13"/>
      <c r="AG564" s="13"/>
      <c r="AH564" s="13"/>
      <c r="AI564" s="13"/>
    </row>
    <row r="565" spans="31:35">
      <c r="AE565" s="18"/>
      <c r="AF565" s="13"/>
      <c r="AG565" s="13"/>
      <c r="AH565" s="13"/>
      <c r="AI565" s="13"/>
    </row>
    <row r="566" spans="31:35">
      <c r="AE566" s="18"/>
      <c r="AF566" s="13"/>
      <c r="AG566" s="13"/>
      <c r="AH566" s="13"/>
      <c r="AI566" s="13"/>
    </row>
    <row r="567" spans="31:35">
      <c r="AE567" s="18"/>
      <c r="AF567" s="13"/>
      <c r="AG567" s="13"/>
      <c r="AH567" s="13"/>
      <c r="AI567" s="13"/>
    </row>
    <row r="568" spans="31:35">
      <c r="AE568" s="18"/>
      <c r="AF568" s="13"/>
      <c r="AG568" s="13"/>
      <c r="AH568" s="13"/>
      <c r="AI568" s="13"/>
    </row>
    <row r="569" spans="31:35">
      <c r="AE569" s="18"/>
      <c r="AF569" s="13"/>
      <c r="AG569" s="13"/>
      <c r="AH569" s="13"/>
      <c r="AI569" s="13"/>
    </row>
    <row r="570" spans="31:35">
      <c r="AE570" s="18"/>
      <c r="AF570" s="13"/>
      <c r="AG570" s="13"/>
      <c r="AH570" s="13"/>
      <c r="AI570" s="13"/>
    </row>
    <row r="571" spans="31:35">
      <c r="AE571" s="18"/>
      <c r="AF571" s="13"/>
      <c r="AG571" s="13"/>
      <c r="AH571" s="13"/>
      <c r="AI571" s="13"/>
    </row>
    <row r="572" spans="31:35">
      <c r="AE572" s="18"/>
      <c r="AF572" s="13"/>
      <c r="AG572" s="13"/>
      <c r="AH572" s="13"/>
      <c r="AI572" s="13"/>
    </row>
    <row r="573" spans="31:35">
      <c r="AE573" s="18"/>
      <c r="AF573" s="13"/>
      <c r="AG573" s="13"/>
      <c r="AH573" s="13"/>
      <c r="AI573" s="13"/>
    </row>
    <row r="574" spans="31:35">
      <c r="AE574" s="18"/>
      <c r="AF574" s="13"/>
      <c r="AG574" s="13"/>
      <c r="AH574" s="13"/>
      <c r="AI574" s="13"/>
    </row>
    <row r="575" spans="31:35">
      <c r="AE575" s="18"/>
      <c r="AF575" s="13"/>
      <c r="AG575" s="13"/>
      <c r="AH575" s="13"/>
      <c r="AI575" s="13"/>
    </row>
    <row r="576" spans="31:35">
      <c r="AE576" s="18"/>
      <c r="AF576" s="13"/>
      <c r="AG576" s="13"/>
      <c r="AH576" s="13"/>
      <c r="AI576" s="13"/>
    </row>
    <row r="577" spans="31:35">
      <c r="AE577" s="18"/>
      <c r="AF577" s="13"/>
      <c r="AG577" s="13"/>
      <c r="AH577" s="13"/>
      <c r="AI577" s="13"/>
    </row>
    <row r="578" spans="31:35">
      <c r="AE578" s="18"/>
      <c r="AF578" s="13"/>
      <c r="AG578" s="13"/>
      <c r="AH578" s="13"/>
      <c r="AI578" s="13"/>
    </row>
    <row r="579" spans="31:35">
      <c r="AE579" s="18"/>
      <c r="AF579" s="13"/>
      <c r="AG579" s="13"/>
      <c r="AH579" s="13"/>
      <c r="AI579" s="13"/>
    </row>
    <row r="580" spans="31:35">
      <c r="AE580" s="18"/>
      <c r="AF580" s="13"/>
      <c r="AG580" s="13"/>
      <c r="AH580" s="13"/>
      <c r="AI580" s="13"/>
    </row>
    <row r="581" spans="31:35">
      <c r="AE581" s="18"/>
      <c r="AF581" s="13"/>
      <c r="AG581" s="13"/>
      <c r="AH581" s="13"/>
      <c r="AI581" s="13"/>
    </row>
    <row r="582" spans="31:35">
      <c r="AE582" s="18"/>
      <c r="AF582" s="13"/>
      <c r="AG582" s="13"/>
      <c r="AH582" s="13"/>
      <c r="AI582" s="13"/>
    </row>
    <row r="583" spans="31:35">
      <c r="AE583" s="18"/>
      <c r="AF583" s="13"/>
      <c r="AG583" s="13"/>
      <c r="AH583" s="13"/>
      <c r="AI583" s="13"/>
    </row>
    <row r="584" spans="31:35">
      <c r="AE584" s="18"/>
      <c r="AF584" s="13"/>
      <c r="AG584" s="13"/>
      <c r="AH584" s="13"/>
      <c r="AI584" s="13"/>
    </row>
    <row r="585" spans="31:35">
      <c r="AE585" s="18"/>
      <c r="AF585" s="13"/>
      <c r="AG585" s="13"/>
      <c r="AH585" s="13"/>
      <c r="AI585" s="13"/>
    </row>
    <row r="586" spans="31:35">
      <c r="AE586" s="18"/>
      <c r="AF586" s="13"/>
      <c r="AG586" s="13"/>
      <c r="AH586" s="13"/>
      <c r="AI586" s="13"/>
    </row>
    <row r="587" spans="31:35">
      <c r="AE587" s="18"/>
      <c r="AF587" s="13"/>
      <c r="AG587" s="13"/>
      <c r="AH587" s="13"/>
      <c r="AI587" s="13"/>
    </row>
    <row r="588" spans="31:35">
      <c r="AE588" s="18"/>
      <c r="AF588" s="13"/>
      <c r="AG588" s="13"/>
      <c r="AH588" s="13"/>
      <c r="AI588" s="13"/>
    </row>
    <row r="589" spans="31:35">
      <c r="AE589" s="18"/>
      <c r="AF589" s="13"/>
      <c r="AG589" s="13"/>
      <c r="AH589" s="13"/>
      <c r="AI589" s="13"/>
    </row>
    <row r="590" spans="31:35">
      <c r="AE590" s="18"/>
      <c r="AF590" s="13"/>
      <c r="AG590" s="13"/>
      <c r="AH590" s="13"/>
      <c r="AI590" s="13"/>
    </row>
    <row r="591" spans="31:35">
      <c r="AE591" s="18"/>
      <c r="AF591" s="13"/>
      <c r="AG591" s="13"/>
      <c r="AH591" s="13"/>
      <c r="AI591" s="13"/>
    </row>
    <row r="592" spans="31:35">
      <c r="AE592" s="18"/>
      <c r="AF592" s="13"/>
      <c r="AG592" s="13"/>
      <c r="AH592" s="13"/>
      <c r="AI592" s="13"/>
    </row>
    <row r="593" spans="31:35">
      <c r="AE593" s="18"/>
      <c r="AF593" s="13"/>
      <c r="AG593" s="13"/>
      <c r="AH593" s="13"/>
      <c r="AI593" s="13"/>
    </row>
    <row r="594" spans="31:35">
      <c r="AE594" s="18"/>
      <c r="AF594" s="13"/>
      <c r="AG594" s="13"/>
      <c r="AH594" s="13"/>
      <c r="AI594" s="13"/>
    </row>
    <row r="595" spans="31:35">
      <c r="AE595" s="18"/>
      <c r="AF595" s="13"/>
      <c r="AG595" s="13"/>
      <c r="AH595" s="13"/>
      <c r="AI595" s="13"/>
    </row>
    <row r="596" spans="31:35">
      <c r="AE596" s="18"/>
      <c r="AF596" s="13"/>
      <c r="AG596" s="13"/>
      <c r="AH596" s="13"/>
      <c r="AI596" s="13"/>
    </row>
    <row r="597" spans="31:35">
      <c r="AE597" s="18"/>
      <c r="AF597" s="13"/>
      <c r="AG597" s="13"/>
      <c r="AH597" s="13"/>
      <c r="AI597" s="13"/>
    </row>
    <row r="598" spans="31:35">
      <c r="AE598" s="18"/>
      <c r="AF598" s="13"/>
      <c r="AG598" s="13"/>
      <c r="AH598" s="13"/>
      <c r="AI598" s="13"/>
    </row>
    <row r="599" spans="31:35">
      <c r="AE599" s="18"/>
      <c r="AF599" s="13"/>
      <c r="AG599" s="13"/>
      <c r="AH599" s="13"/>
      <c r="AI599" s="13"/>
    </row>
    <row r="600" spans="31:35">
      <c r="AE600" s="18"/>
      <c r="AF600" s="13"/>
      <c r="AG600" s="13"/>
      <c r="AH600" s="13"/>
      <c r="AI600" s="13"/>
    </row>
    <row r="601" spans="31:35">
      <c r="AE601" s="18"/>
      <c r="AF601" s="13"/>
      <c r="AG601" s="13"/>
      <c r="AH601" s="13"/>
      <c r="AI601" s="13"/>
    </row>
    <row r="602" spans="31:35">
      <c r="AE602" s="18"/>
      <c r="AF602" s="13"/>
      <c r="AG602" s="13"/>
      <c r="AH602" s="13"/>
      <c r="AI602" s="13"/>
    </row>
    <row r="603" spans="31:35">
      <c r="AE603" s="18"/>
      <c r="AF603" s="13"/>
      <c r="AG603" s="13"/>
      <c r="AH603" s="13"/>
      <c r="AI603" s="13"/>
    </row>
    <row r="604" spans="31:35">
      <c r="AE604" s="18"/>
      <c r="AF604" s="13"/>
      <c r="AG604" s="13"/>
      <c r="AH604" s="13"/>
      <c r="AI604" s="13"/>
    </row>
    <row r="605" spans="31:35">
      <c r="AE605" s="18"/>
      <c r="AF605" s="13"/>
      <c r="AG605" s="13"/>
      <c r="AH605" s="13"/>
      <c r="AI605" s="13"/>
    </row>
    <row r="606" spans="31:35">
      <c r="AE606" s="18"/>
      <c r="AF606" s="13"/>
      <c r="AG606" s="13"/>
      <c r="AH606" s="13"/>
      <c r="AI606" s="13"/>
    </row>
    <row r="607" spans="31:35">
      <c r="AE607" s="18"/>
      <c r="AF607" s="13"/>
      <c r="AG607" s="13"/>
      <c r="AH607" s="13"/>
      <c r="AI607" s="13"/>
    </row>
    <row r="608" spans="31:35">
      <c r="AE608" s="18"/>
      <c r="AF608" s="13"/>
      <c r="AG608" s="13"/>
      <c r="AH608" s="13"/>
      <c r="AI608" s="13"/>
    </row>
    <row r="609" spans="31:35">
      <c r="AE609" s="18"/>
      <c r="AF609" s="13"/>
      <c r="AG609" s="13"/>
      <c r="AH609" s="13"/>
      <c r="AI609" s="13"/>
    </row>
    <row r="610" spans="31:35">
      <c r="AE610" s="18"/>
      <c r="AF610" s="13"/>
      <c r="AG610" s="13"/>
      <c r="AH610" s="13"/>
      <c r="AI610" s="13"/>
    </row>
    <row r="611" spans="31:35">
      <c r="AE611" s="18"/>
      <c r="AF611" s="13"/>
      <c r="AG611" s="13"/>
      <c r="AH611" s="13"/>
      <c r="AI611" s="13"/>
    </row>
    <row r="612" spans="31:35">
      <c r="AE612" s="18"/>
      <c r="AF612" s="13"/>
      <c r="AG612" s="13"/>
      <c r="AH612" s="13"/>
      <c r="AI612" s="13"/>
    </row>
    <row r="613" spans="31:35">
      <c r="AE613" s="18"/>
      <c r="AF613" s="13"/>
      <c r="AG613" s="13"/>
      <c r="AH613" s="13"/>
      <c r="AI613" s="13"/>
    </row>
    <row r="614" spans="31:35">
      <c r="AE614" s="18"/>
      <c r="AF614" s="13"/>
      <c r="AG614" s="13"/>
      <c r="AH614" s="13"/>
      <c r="AI614" s="13"/>
    </row>
    <row r="615" spans="31:35">
      <c r="AE615" s="18"/>
      <c r="AF615" s="13"/>
      <c r="AG615" s="13"/>
      <c r="AH615" s="13"/>
      <c r="AI615" s="13"/>
    </row>
    <row r="616" spans="31:35">
      <c r="AE616" s="18"/>
      <c r="AF616" s="13"/>
      <c r="AG616" s="13"/>
      <c r="AH616" s="13"/>
      <c r="AI616" s="13"/>
    </row>
    <row r="617" spans="31:35">
      <c r="AE617" s="18"/>
      <c r="AF617" s="13"/>
      <c r="AG617" s="13"/>
      <c r="AH617" s="13"/>
      <c r="AI617" s="13"/>
    </row>
    <row r="618" spans="31:35">
      <c r="AE618" s="18"/>
      <c r="AF618" s="13"/>
      <c r="AG618" s="13"/>
      <c r="AH618" s="13"/>
      <c r="AI618" s="13"/>
    </row>
    <row r="619" spans="31:35">
      <c r="AE619" s="18"/>
      <c r="AF619" s="13"/>
      <c r="AG619" s="13"/>
      <c r="AH619" s="13"/>
      <c r="AI619" s="13"/>
    </row>
    <row r="620" spans="31:35">
      <c r="AE620" s="18"/>
      <c r="AF620" s="13"/>
      <c r="AG620" s="13"/>
      <c r="AH620" s="13"/>
      <c r="AI620" s="13"/>
    </row>
    <row r="621" spans="31:35">
      <c r="AE621" s="18"/>
      <c r="AF621" s="13"/>
      <c r="AG621" s="13"/>
      <c r="AH621" s="13"/>
      <c r="AI621" s="13"/>
    </row>
    <row r="622" spans="31:35">
      <c r="AE622" s="18"/>
      <c r="AF622" s="13"/>
      <c r="AG622" s="13"/>
      <c r="AH622" s="13"/>
      <c r="AI622" s="13"/>
    </row>
    <row r="623" spans="31:35">
      <c r="AE623" s="18"/>
      <c r="AF623" s="13"/>
      <c r="AG623" s="13"/>
      <c r="AH623" s="13"/>
      <c r="AI623" s="13"/>
    </row>
    <row r="624" spans="31:35">
      <c r="AE624" s="18"/>
      <c r="AF624" s="13"/>
      <c r="AG624" s="13"/>
      <c r="AH624" s="13"/>
      <c r="AI624" s="13"/>
    </row>
    <row r="625" spans="31:35">
      <c r="AE625" s="18"/>
      <c r="AF625" s="13"/>
      <c r="AG625" s="13"/>
      <c r="AH625" s="13"/>
      <c r="AI625" s="13"/>
    </row>
    <row r="626" spans="31:35">
      <c r="AE626" s="18"/>
      <c r="AF626" s="13"/>
      <c r="AG626" s="13"/>
      <c r="AH626" s="13"/>
      <c r="AI626" s="13"/>
    </row>
    <row r="627" spans="31:35">
      <c r="AE627" s="18"/>
      <c r="AF627" s="13"/>
      <c r="AG627" s="13"/>
      <c r="AH627" s="13"/>
      <c r="AI627" s="13"/>
    </row>
    <row r="628" spans="31:35">
      <c r="AE628" s="18"/>
      <c r="AF628" s="13"/>
      <c r="AG628" s="13"/>
      <c r="AH628" s="13"/>
      <c r="AI628" s="13"/>
    </row>
    <row r="629" spans="31:35">
      <c r="AE629" s="18"/>
      <c r="AF629" s="13"/>
      <c r="AG629" s="13"/>
      <c r="AH629" s="13"/>
      <c r="AI629" s="13"/>
    </row>
    <row r="630" spans="31:35">
      <c r="AE630" s="18"/>
      <c r="AF630" s="13"/>
      <c r="AG630" s="13"/>
      <c r="AH630" s="13"/>
      <c r="AI630" s="13"/>
    </row>
    <row r="631" spans="31:35">
      <c r="AE631" s="18"/>
      <c r="AF631" s="13"/>
      <c r="AG631" s="13"/>
      <c r="AH631" s="13"/>
      <c r="AI631" s="13"/>
    </row>
    <row r="632" spans="31:35">
      <c r="AE632" s="18"/>
      <c r="AF632" s="13"/>
      <c r="AG632" s="13"/>
      <c r="AH632" s="13"/>
      <c r="AI632" s="13"/>
    </row>
    <row r="633" spans="31:35">
      <c r="AE633" s="18"/>
      <c r="AF633" s="13"/>
      <c r="AG633" s="13"/>
      <c r="AH633" s="13"/>
      <c r="AI633" s="13"/>
    </row>
    <row r="634" spans="31:35">
      <c r="AE634" s="18"/>
      <c r="AF634" s="13"/>
      <c r="AG634" s="13"/>
      <c r="AH634" s="13"/>
      <c r="AI634" s="13"/>
    </row>
    <row r="635" spans="31:35">
      <c r="AE635" s="18"/>
      <c r="AF635" s="13"/>
      <c r="AG635" s="13"/>
      <c r="AH635" s="13"/>
      <c r="AI635" s="13"/>
    </row>
    <row r="636" spans="31:35">
      <c r="AE636" s="18"/>
      <c r="AF636" s="13"/>
      <c r="AG636" s="13"/>
      <c r="AH636" s="13"/>
      <c r="AI636" s="13"/>
    </row>
    <row r="637" spans="31:35">
      <c r="AE637" s="18"/>
      <c r="AF637" s="13"/>
      <c r="AG637" s="13"/>
      <c r="AH637" s="13"/>
      <c r="AI637" s="13"/>
    </row>
    <row r="638" spans="31:35">
      <c r="AE638" s="18"/>
      <c r="AF638" s="13"/>
      <c r="AG638" s="13"/>
      <c r="AH638" s="13"/>
      <c r="AI638" s="13"/>
    </row>
    <row r="639" spans="31:35">
      <c r="AE639" s="18"/>
      <c r="AF639" s="13"/>
      <c r="AG639" s="13"/>
      <c r="AH639" s="13"/>
      <c r="AI639" s="13"/>
    </row>
    <row r="640" spans="31:35">
      <c r="AE640" s="18"/>
      <c r="AF640" s="13"/>
      <c r="AG640" s="13"/>
      <c r="AH640" s="13"/>
      <c r="AI640" s="13"/>
    </row>
    <row r="641" spans="31:35">
      <c r="AE641" s="18"/>
      <c r="AF641" s="13"/>
      <c r="AG641" s="13"/>
      <c r="AH641" s="13"/>
      <c r="AI641" s="13"/>
    </row>
    <row r="642" spans="31:35">
      <c r="AE642" s="18"/>
      <c r="AF642" s="13"/>
      <c r="AG642" s="13"/>
      <c r="AH642" s="13"/>
      <c r="AI642" s="13"/>
    </row>
    <row r="643" spans="31:35">
      <c r="AE643" s="18"/>
      <c r="AF643" s="13"/>
      <c r="AG643" s="13"/>
      <c r="AH643" s="13"/>
      <c r="AI643" s="13"/>
    </row>
    <row r="644" spans="31:35">
      <c r="AE644" s="18"/>
      <c r="AF644" s="13"/>
      <c r="AG644" s="13"/>
      <c r="AH644" s="13"/>
      <c r="AI644" s="13"/>
    </row>
    <row r="645" spans="31:35">
      <c r="AE645" s="18"/>
      <c r="AF645" s="13"/>
      <c r="AG645" s="13"/>
      <c r="AH645" s="13"/>
      <c r="AI645" s="13"/>
    </row>
    <row r="646" spans="31:35">
      <c r="AE646" s="18"/>
      <c r="AF646" s="13"/>
      <c r="AG646" s="13"/>
      <c r="AH646" s="13"/>
      <c r="AI646" s="13"/>
    </row>
    <row r="647" spans="31:35">
      <c r="AE647" s="18"/>
      <c r="AF647" s="13"/>
      <c r="AG647" s="13"/>
      <c r="AH647" s="13"/>
      <c r="AI647" s="13"/>
    </row>
    <row r="648" spans="31:35">
      <c r="AE648" s="18"/>
      <c r="AF648" s="13"/>
      <c r="AG648" s="13"/>
      <c r="AH648" s="13"/>
      <c r="AI648" s="13"/>
    </row>
    <row r="649" spans="31:35">
      <c r="AE649" s="18"/>
      <c r="AF649" s="13"/>
      <c r="AG649" s="13"/>
      <c r="AH649" s="13"/>
      <c r="AI649" s="13"/>
    </row>
    <row r="650" spans="31:35">
      <c r="AE650" s="18"/>
      <c r="AF650" s="13"/>
      <c r="AG650" s="13"/>
      <c r="AH650" s="13"/>
      <c r="AI650" s="13"/>
    </row>
    <row r="651" spans="31:35">
      <c r="AE651" s="18"/>
      <c r="AF651" s="13"/>
      <c r="AG651" s="13"/>
      <c r="AH651" s="13"/>
      <c r="AI651" s="13"/>
    </row>
    <row r="652" spans="31:35">
      <c r="AE652" s="18"/>
      <c r="AF652" s="13"/>
      <c r="AG652" s="13"/>
      <c r="AH652" s="13"/>
      <c r="AI652" s="13"/>
    </row>
    <row r="653" spans="31:35">
      <c r="AE653" s="18"/>
      <c r="AF653" s="13"/>
      <c r="AG653" s="13"/>
      <c r="AH653" s="13"/>
      <c r="AI653" s="13"/>
    </row>
    <row r="654" spans="31:35">
      <c r="AE654" s="18"/>
      <c r="AF654" s="13"/>
      <c r="AG654" s="13"/>
      <c r="AH654" s="13"/>
      <c r="AI654" s="13"/>
    </row>
    <row r="655" spans="31:35">
      <c r="AE655" s="18"/>
      <c r="AF655" s="13"/>
      <c r="AG655" s="13"/>
      <c r="AH655" s="13"/>
      <c r="AI655" s="13"/>
    </row>
    <row r="656" spans="31:35">
      <c r="AE656" s="18"/>
      <c r="AF656" s="13"/>
      <c r="AG656" s="13"/>
      <c r="AH656" s="13"/>
      <c r="AI656" s="13"/>
    </row>
    <row r="657" spans="31:35">
      <c r="AE657" s="18"/>
      <c r="AF657" s="13"/>
      <c r="AG657" s="13"/>
      <c r="AH657" s="13"/>
      <c r="AI657" s="13"/>
    </row>
    <row r="658" spans="31:35">
      <c r="AE658" s="18"/>
      <c r="AF658" s="13"/>
      <c r="AG658" s="13"/>
      <c r="AH658" s="13"/>
      <c r="AI658" s="13"/>
    </row>
    <row r="659" spans="31:35">
      <c r="AE659" s="18"/>
      <c r="AF659" s="13"/>
      <c r="AG659" s="13"/>
      <c r="AH659" s="13"/>
      <c r="AI659" s="13"/>
    </row>
    <row r="660" spans="31:35">
      <c r="AE660" s="18"/>
      <c r="AF660" s="13"/>
      <c r="AG660" s="13"/>
      <c r="AH660" s="13"/>
      <c r="AI660" s="13"/>
    </row>
    <row r="661" spans="31:35">
      <c r="AE661" s="18"/>
      <c r="AF661" s="13"/>
      <c r="AG661" s="13"/>
      <c r="AH661" s="13"/>
      <c r="AI661" s="13"/>
    </row>
    <row r="662" spans="31:35">
      <c r="AE662" s="18"/>
      <c r="AF662" s="13"/>
      <c r="AG662" s="13"/>
      <c r="AH662" s="13"/>
      <c r="AI662" s="13"/>
    </row>
    <row r="663" spans="31:35">
      <c r="AE663" s="18"/>
      <c r="AF663" s="13"/>
      <c r="AG663" s="13"/>
      <c r="AH663" s="13"/>
      <c r="AI663" s="13"/>
    </row>
    <row r="664" spans="31:35">
      <c r="AE664" s="18"/>
      <c r="AF664" s="13"/>
      <c r="AG664" s="13"/>
      <c r="AH664" s="13"/>
      <c r="AI664" s="13"/>
    </row>
    <row r="665" spans="31:35">
      <c r="AE665" s="18"/>
      <c r="AF665" s="13"/>
      <c r="AG665" s="13"/>
      <c r="AH665" s="13"/>
      <c r="AI665" s="13"/>
    </row>
    <row r="666" spans="31:35">
      <c r="AE666" s="18"/>
      <c r="AF666" s="13"/>
      <c r="AG666" s="13"/>
      <c r="AH666" s="13"/>
      <c r="AI666" s="13"/>
    </row>
    <row r="667" spans="31:35">
      <c r="AE667" s="18"/>
      <c r="AF667" s="13"/>
      <c r="AG667" s="13"/>
      <c r="AH667" s="13"/>
      <c r="AI667" s="13"/>
    </row>
    <row r="668" spans="31:35">
      <c r="AE668" s="18"/>
      <c r="AF668" s="13"/>
      <c r="AG668" s="13"/>
      <c r="AH668" s="13"/>
      <c r="AI668" s="13"/>
    </row>
    <row r="669" spans="31:35">
      <c r="AE669" s="18"/>
      <c r="AF669" s="13"/>
      <c r="AG669" s="13"/>
      <c r="AH669" s="13"/>
      <c r="AI669" s="13"/>
    </row>
    <row r="670" spans="31:35">
      <c r="AE670" s="18"/>
      <c r="AF670" s="13"/>
      <c r="AG670" s="13"/>
      <c r="AH670" s="13"/>
      <c r="AI670" s="13"/>
    </row>
    <row r="671" spans="31:35">
      <c r="AE671" s="18"/>
      <c r="AF671" s="13"/>
      <c r="AG671" s="13"/>
      <c r="AH671" s="13"/>
      <c r="AI671" s="13"/>
    </row>
    <row r="672" spans="31:35">
      <c r="AE672" s="18"/>
      <c r="AF672" s="13"/>
      <c r="AG672" s="13"/>
      <c r="AH672" s="13"/>
      <c r="AI672" s="13"/>
    </row>
    <row r="673" spans="31:35">
      <c r="AE673" s="18"/>
      <c r="AF673" s="13"/>
      <c r="AG673" s="13"/>
      <c r="AH673" s="13"/>
      <c r="AI673" s="13"/>
    </row>
    <row r="674" spans="31:35">
      <c r="AE674" s="18"/>
      <c r="AF674" s="13"/>
      <c r="AG674" s="13"/>
      <c r="AH674" s="13"/>
      <c r="AI674" s="13"/>
    </row>
    <row r="675" spans="31:35">
      <c r="AE675" s="18"/>
      <c r="AF675" s="13"/>
      <c r="AG675" s="13"/>
      <c r="AH675" s="13"/>
      <c r="AI675" s="13"/>
    </row>
    <row r="676" spans="31:35">
      <c r="AE676" s="18"/>
      <c r="AF676" s="13"/>
      <c r="AG676" s="13"/>
      <c r="AH676" s="13"/>
      <c r="AI676" s="13"/>
    </row>
    <row r="677" spans="31:35">
      <c r="AE677" s="18"/>
      <c r="AF677" s="13"/>
      <c r="AG677" s="13"/>
      <c r="AH677" s="13"/>
      <c r="AI677" s="13"/>
    </row>
    <row r="678" spans="31:35">
      <c r="AE678" s="18"/>
      <c r="AF678" s="13"/>
      <c r="AG678" s="13"/>
      <c r="AH678" s="13"/>
      <c r="AI678" s="13"/>
    </row>
    <row r="679" spans="31:35">
      <c r="AE679" s="18"/>
      <c r="AF679" s="13"/>
      <c r="AG679" s="13"/>
      <c r="AH679" s="13"/>
      <c r="AI679" s="13"/>
    </row>
    <row r="680" spans="31:35">
      <c r="AE680" s="18"/>
      <c r="AF680" s="13"/>
      <c r="AG680" s="13"/>
      <c r="AH680" s="13"/>
      <c r="AI680" s="13"/>
    </row>
    <row r="681" spans="31:35">
      <c r="AE681" s="18"/>
      <c r="AF681" s="13"/>
      <c r="AG681" s="13"/>
      <c r="AH681" s="13"/>
      <c r="AI681" s="13"/>
    </row>
    <row r="682" spans="31:35">
      <c r="AE682" s="18"/>
      <c r="AF682" s="13"/>
      <c r="AG682" s="13"/>
      <c r="AH682" s="13"/>
      <c r="AI682" s="13"/>
    </row>
    <row r="683" spans="31:35">
      <c r="AE683" s="18"/>
      <c r="AF683" s="13"/>
      <c r="AG683" s="13"/>
      <c r="AH683" s="13"/>
      <c r="AI683" s="13"/>
    </row>
    <row r="684" spans="31:35">
      <c r="AE684" s="18"/>
      <c r="AF684" s="13"/>
      <c r="AG684" s="13"/>
      <c r="AH684" s="13"/>
      <c r="AI684" s="13"/>
    </row>
    <row r="685" spans="31:35">
      <c r="AE685" s="18"/>
      <c r="AF685" s="13"/>
      <c r="AG685" s="13"/>
      <c r="AH685" s="13"/>
      <c r="AI685" s="13"/>
    </row>
    <row r="686" spans="31:35">
      <c r="AE686" s="18"/>
      <c r="AF686" s="13"/>
      <c r="AG686" s="13"/>
      <c r="AH686" s="13"/>
      <c r="AI686" s="13"/>
    </row>
    <row r="687" spans="31:35">
      <c r="AE687" s="18"/>
      <c r="AF687" s="13"/>
      <c r="AG687" s="13"/>
      <c r="AH687" s="13"/>
      <c r="AI687" s="13"/>
    </row>
    <row r="688" spans="31:35">
      <c r="AE688" s="18"/>
      <c r="AF688" s="13"/>
      <c r="AG688" s="13"/>
      <c r="AH688" s="13"/>
      <c r="AI688" s="13"/>
    </row>
    <row r="689" spans="31:35">
      <c r="AE689" s="18"/>
      <c r="AF689" s="13"/>
      <c r="AG689" s="13"/>
      <c r="AH689" s="13"/>
      <c r="AI689" s="13"/>
    </row>
    <row r="690" spans="31:35">
      <c r="AE690" s="18"/>
      <c r="AF690" s="13"/>
      <c r="AG690" s="13"/>
      <c r="AH690" s="13"/>
      <c r="AI690" s="13"/>
    </row>
    <row r="691" spans="31:35">
      <c r="AE691" s="18"/>
      <c r="AF691" s="13"/>
      <c r="AG691" s="13"/>
      <c r="AH691" s="13"/>
      <c r="AI691" s="13"/>
    </row>
    <row r="692" spans="31:35">
      <c r="AE692" s="18"/>
      <c r="AF692" s="13"/>
      <c r="AG692" s="13"/>
      <c r="AH692" s="13"/>
      <c r="AI692" s="13"/>
    </row>
    <row r="693" spans="31:35">
      <c r="AE693" s="18"/>
      <c r="AF693" s="13"/>
      <c r="AG693" s="13"/>
      <c r="AH693" s="13"/>
      <c r="AI693" s="13"/>
    </row>
    <row r="694" spans="31:35">
      <c r="AE694" s="18"/>
      <c r="AF694" s="13"/>
      <c r="AG694" s="13"/>
      <c r="AH694" s="13"/>
      <c r="AI694" s="13"/>
    </row>
    <row r="695" spans="31:35">
      <c r="AE695" s="18"/>
      <c r="AF695" s="13"/>
      <c r="AG695" s="13"/>
      <c r="AH695" s="13"/>
      <c r="AI695" s="13"/>
    </row>
    <row r="696" spans="31:35">
      <c r="AE696" s="18"/>
      <c r="AF696" s="13"/>
      <c r="AG696" s="13"/>
      <c r="AH696" s="13"/>
      <c r="AI696" s="13"/>
    </row>
    <row r="697" spans="31:35">
      <c r="AE697" s="18"/>
      <c r="AF697" s="13"/>
      <c r="AG697" s="13"/>
      <c r="AH697" s="13"/>
      <c r="AI697" s="13"/>
    </row>
    <row r="698" spans="31:35">
      <c r="AE698" s="18"/>
      <c r="AF698" s="13"/>
      <c r="AG698" s="13"/>
      <c r="AH698" s="13"/>
      <c r="AI698" s="13"/>
    </row>
    <row r="699" spans="31:35">
      <c r="AE699" s="18"/>
      <c r="AF699" s="13"/>
      <c r="AG699" s="13"/>
      <c r="AH699" s="13"/>
      <c r="AI699" s="13"/>
    </row>
    <row r="700" spans="31:35">
      <c r="AE700" s="18"/>
      <c r="AF700" s="13"/>
      <c r="AG700" s="13"/>
      <c r="AH700" s="13"/>
      <c r="AI700" s="13"/>
    </row>
    <row r="701" spans="31:35">
      <c r="AE701" s="18"/>
      <c r="AF701" s="13"/>
      <c r="AG701" s="13"/>
      <c r="AH701" s="13"/>
      <c r="AI701" s="13"/>
    </row>
    <row r="702" spans="31:35">
      <c r="AE702" s="18"/>
      <c r="AF702" s="13"/>
      <c r="AG702" s="13"/>
      <c r="AH702" s="13"/>
      <c r="AI702" s="13"/>
    </row>
    <row r="703" spans="31:35">
      <c r="AE703" s="18"/>
      <c r="AF703" s="13"/>
      <c r="AG703" s="13"/>
      <c r="AH703" s="13"/>
      <c r="AI703" s="13"/>
    </row>
    <row r="704" spans="31:35">
      <c r="AE704" s="18"/>
      <c r="AF704" s="13"/>
      <c r="AG704" s="13"/>
      <c r="AH704" s="13"/>
      <c r="AI704" s="13"/>
    </row>
    <row r="705" spans="31:35">
      <c r="AE705" s="18"/>
      <c r="AF705" s="13"/>
      <c r="AG705" s="13"/>
      <c r="AH705" s="13"/>
      <c r="AI705" s="13"/>
    </row>
    <row r="706" spans="31:35">
      <c r="AE706" s="18"/>
      <c r="AF706" s="13"/>
      <c r="AG706" s="13"/>
      <c r="AH706" s="13"/>
      <c r="AI706" s="13"/>
    </row>
    <row r="707" spans="31:35">
      <c r="AE707" s="18"/>
      <c r="AF707" s="13"/>
      <c r="AG707" s="13"/>
      <c r="AH707" s="13"/>
      <c r="AI707" s="13"/>
    </row>
    <row r="708" spans="31:35">
      <c r="AE708" s="18"/>
      <c r="AF708" s="13"/>
      <c r="AG708" s="13"/>
      <c r="AH708" s="13"/>
      <c r="AI708" s="13"/>
    </row>
    <row r="709" spans="31:35">
      <c r="AE709" s="18"/>
      <c r="AF709" s="13"/>
      <c r="AG709" s="13"/>
      <c r="AH709" s="13"/>
      <c r="AI709" s="13"/>
    </row>
    <row r="710" spans="31:35">
      <c r="AE710" s="18"/>
      <c r="AF710" s="13"/>
      <c r="AG710" s="13"/>
      <c r="AH710" s="13"/>
      <c r="AI710" s="13"/>
    </row>
    <row r="711" spans="31:35">
      <c r="AE711" s="18"/>
      <c r="AF711" s="13"/>
      <c r="AG711" s="13"/>
      <c r="AH711" s="13"/>
      <c r="AI711" s="13"/>
    </row>
    <row r="712" spans="31:35">
      <c r="AE712" s="18"/>
      <c r="AF712" s="13"/>
      <c r="AG712" s="13"/>
      <c r="AH712" s="13"/>
      <c r="AI712" s="13"/>
    </row>
    <row r="713" spans="31:35">
      <c r="AE713" s="18"/>
      <c r="AF713" s="13"/>
      <c r="AG713" s="13"/>
      <c r="AH713" s="13"/>
      <c r="AI713" s="13"/>
    </row>
    <row r="714" spans="31:35">
      <c r="AE714" s="18"/>
      <c r="AF714" s="13"/>
      <c r="AG714" s="13"/>
      <c r="AH714" s="13"/>
      <c r="AI714" s="13"/>
    </row>
    <row r="715" spans="31:35">
      <c r="AE715" s="18"/>
      <c r="AF715" s="13"/>
      <c r="AG715" s="13"/>
      <c r="AH715" s="13"/>
      <c r="AI715" s="13"/>
    </row>
    <row r="716" spans="31:35">
      <c r="AE716" s="18"/>
      <c r="AF716" s="13"/>
      <c r="AG716" s="13"/>
      <c r="AH716" s="13"/>
      <c r="AI716" s="13"/>
    </row>
    <row r="717" spans="31:35">
      <c r="AE717" s="18"/>
      <c r="AF717" s="13"/>
      <c r="AG717" s="13"/>
      <c r="AH717" s="13"/>
      <c r="AI717" s="13"/>
    </row>
    <row r="718" spans="31:35">
      <c r="AE718" s="18"/>
      <c r="AF718" s="13"/>
      <c r="AG718" s="13"/>
      <c r="AH718" s="13"/>
      <c r="AI718" s="13"/>
    </row>
    <row r="719" spans="31:35">
      <c r="AE719" s="18"/>
      <c r="AF719" s="13"/>
      <c r="AG719" s="13"/>
      <c r="AH719" s="13"/>
      <c r="AI719" s="13"/>
    </row>
    <row r="720" spans="31:35">
      <c r="AE720" s="18"/>
      <c r="AF720" s="13"/>
      <c r="AG720" s="13"/>
      <c r="AH720" s="13"/>
      <c r="AI720" s="13"/>
    </row>
    <row r="721" spans="31:35">
      <c r="AE721" s="18"/>
      <c r="AF721" s="13"/>
      <c r="AG721" s="13"/>
      <c r="AH721" s="13"/>
      <c r="AI721" s="13"/>
    </row>
    <row r="722" spans="31:35">
      <c r="AE722" s="18"/>
      <c r="AF722" s="13"/>
      <c r="AG722" s="13"/>
      <c r="AH722" s="13"/>
      <c r="AI722" s="13"/>
    </row>
    <row r="723" spans="31:35">
      <c r="AE723" s="18"/>
      <c r="AF723" s="13"/>
      <c r="AG723" s="13"/>
      <c r="AH723" s="13"/>
      <c r="AI723" s="13"/>
    </row>
    <row r="724" spans="31:35">
      <c r="AE724" s="18"/>
      <c r="AF724" s="13"/>
      <c r="AG724" s="13"/>
      <c r="AH724" s="13"/>
      <c r="AI724" s="13"/>
    </row>
    <row r="725" spans="31:35">
      <c r="AE725" s="18"/>
      <c r="AF725" s="13"/>
      <c r="AG725" s="13"/>
      <c r="AH725" s="13"/>
      <c r="AI725" s="13"/>
    </row>
    <row r="726" spans="31:35">
      <c r="AE726" s="18"/>
      <c r="AF726" s="13"/>
      <c r="AG726" s="13"/>
      <c r="AH726" s="13"/>
      <c r="AI726" s="13"/>
    </row>
    <row r="727" spans="31:35">
      <c r="AE727" s="18"/>
      <c r="AF727" s="13"/>
      <c r="AG727" s="13"/>
      <c r="AH727" s="13"/>
      <c r="AI727" s="13"/>
    </row>
    <row r="728" spans="31:35">
      <c r="AE728" s="18"/>
      <c r="AF728" s="13"/>
      <c r="AG728" s="13"/>
      <c r="AH728" s="13"/>
      <c r="AI728" s="13"/>
    </row>
    <row r="729" spans="31:35">
      <c r="AE729" s="18"/>
      <c r="AF729" s="13"/>
      <c r="AG729" s="13"/>
      <c r="AH729" s="13"/>
      <c r="AI729" s="13"/>
    </row>
    <row r="730" spans="31:35">
      <c r="AE730" s="18"/>
      <c r="AF730" s="13"/>
      <c r="AG730" s="13"/>
      <c r="AH730" s="13"/>
      <c r="AI730" s="13"/>
    </row>
    <row r="731" spans="31:35">
      <c r="AE731" s="18"/>
      <c r="AF731" s="13"/>
      <c r="AG731" s="13"/>
      <c r="AH731" s="13"/>
      <c r="AI731" s="13"/>
    </row>
    <row r="732" spans="31:35">
      <c r="AE732" s="18"/>
      <c r="AF732" s="13"/>
      <c r="AG732" s="13"/>
      <c r="AH732" s="13"/>
      <c r="AI732" s="13"/>
    </row>
    <row r="733" spans="31:35">
      <c r="AE733" s="18"/>
      <c r="AF733" s="13"/>
      <c r="AG733" s="13"/>
      <c r="AH733" s="13"/>
      <c r="AI733" s="13"/>
    </row>
    <row r="734" spans="31:35">
      <c r="AE734" s="18"/>
      <c r="AF734" s="13"/>
      <c r="AG734" s="13"/>
      <c r="AH734" s="13"/>
      <c r="AI734" s="13"/>
    </row>
    <row r="735" spans="31:35">
      <c r="AE735" s="18"/>
      <c r="AF735" s="13"/>
      <c r="AG735" s="13"/>
      <c r="AH735" s="13"/>
      <c r="AI735" s="13"/>
    </row>
    <row r="736" spans="31:35">
      <c r="AE736" s="18"/>
      <c r="AF736" s="13"/>
      <c r="AG736" s="13"/>
      <c r="AH736" s="13"/>
      <c r="AI736" s="13"/>
    </row>
    <row r="737" spans="31:35">
      <c r="AE737" s="18"/>
      <c r="AF737" s="13"/>
      <c r="AG737" s="13"/>
      <c r="AH737" s="13"/>
      <c r="AI737" s="13"/>
    </row>
    <row r="738" spans="31:35">
      <c r="AE738" s="18"/>
      <c r="AF738" s="13"/>
      <c r="AG738" s="13"/>
      <c r="AH738" s="13"/>
      <c r="AI738" s="13"/>
    </row>
    <row r="739" spans="31:35">
      <c r="AE739" s="18"/>
      <c r="AF739" s="13"/>
      <c r="AG739" s="13"/>
      <c r="AH739" s="13"/>
      <c r="AI739" s="13"/>
    </row>
    <row r="740" spans="31:35">
      <c r="AE740" s="18"/>
      <c r="AF740" s="13"/>
      <c r="AG740" s="13"/>
      <c r="AH740" s="13"/>
      <c r="AI740" s="13"/>
    </row>
    <row r="741" spans="31:35">
      <c r="AE741" s="18"/>
      <c r="AF741" s="13"/>
      <c r="AG741" s="13"/>
      <c r="AH741" s="13"/>
      <c r="AI741" s="13"/>
    </row>
    <row r="742" spans="31:35">
      <c r="AE742" s="18"/>
      <c r="AF742" s="13"/>
      <c r="AG742" s="13"/>
      <c r="AH742" s="13"/>
      <c r="AI742" s="13"/>
    </row>
    <row r="743" spans="31:35">
      <c r="AE743" s="18"/>
      <c r="AF743" s="13"/>
      <c r="AG743" s="13"/>
      <c r="AH743" s="13"/>
      <c r="AI743" s="13"/>
    </row>
    <row r="744" spans="31:35">
      <c r="AE744" s="18"/>
      <c r="AF744" s="13"/>
      <c r="AG744" s="13"/>
      <c r="AH744" s="13"/>
      <c r="AI744" s="13"/>
    </row>
    <row r="745" spans="31:35">
      <c r="AE745" s="18"/>
      <c r="AF745" s="13"/>
      <c r="AG745" s="13"/>
      <c r="AH745" s="13"/>
      <c r="AI745" s="13"/>
    </row>
    <row r="746" spans="31:35">
      <c r="AE746" s="18"/>
      <c r="AF746" s="13"/>
      <c r="AG746" s="13"/>
      <c r="AH746" s="13"/>
      <c r="AI746" s="13"/>
    </row>
    <row r="747" spans="31:35">
      <c r="AE747" s="18"/>
      <c r="AF747" s="13"/>
      <c r="AG747" s="13"/>
      <c r="AH747" s="13"/>
      <c r="AI747" s="13"/>
    </row>
    <row r="748" spans="31:35">
      <c r="AE748" s="18"/>
      <c r="AF748" s="13"/>
      <c r="AG748" s="13"/>
      <c r="AH748" s="13"/>
      <c r="AI748" s="13"/>
    </row>
    <row r="749" spans="31:35">
      <c r="AE749" s="18"/>
      <c r="AF749" s="13"/>
      <c r="AG749" s="13"/>
      <c r="AH749" s="13"/>
      <c r="AI749" s="13"/>
    </row>
    <row r="750" spans="31:35">
      <c r="AE750" s="18"/>
      <c r="AF750" s="13"/>
      <c r="AG750" s="13"/>
      <c r="AH750" s="13"/>
      <c r="AI750" s="13"/>
    </row>
    <row r="751" spans="31:35">
      <c r="AE751" s="18"/>
      <c r="AF751" s="13"/>
      <c r="AG751" s="13"/>
      <c r="AH751" s="13"/>
      <c r="AI751" s="13"/>
    </row>
    <row r="752" spans="31:35">
      <c r="AE752" s="18"/>
      <c r="AF752" s="13"/>
      <c r="AG752" s="13"/>
      <c r="AH752" s="13"/>
      <c r="AI752" s="13"/>
    </row>
    <row r="753" spans="31:35">
      <c r="AE753" s="18"/>
      <c r="AF753" s="13"/>
      <c r="AG753" s="13"/>
      <c r="AH753" s="13"/>
      <c r="AI753" s="13"/>
    </row>
    <row r="754" spans="31:35">
      <c r="AE754" s="18"/>
      <c r="AF754" s="13"/>
      <c r="AG754" s="13"/>
      <c r="AH754" s="13"/>
      <c r="AI754" s="13"/>
    </row>
    <row r="755" spans="31:35">
      <c r="AE755" s="18"/>
      <c r="AF755" s="13"/>
      <c r="AG755" s="13"/>
      <c r="AH755" s="13"/>
      <c r="AI755" s="13"/>
    </row>
    <row r="756" spans="31:35">
      <c r="AE756" s="18"/>
      <c r="AF756" s="13"/>
      <c r="AG756" s="13"/>
      <c r="AH756" s="13"/>
      <c r="AI756" s="13"/>
    </row>
    <row r="757" spans="31:35">
      <c r="AE757" s="18"/>
      <c r="AF757" s="13"/>
      <c r="AG757" s="13"/>
      <c r="AH757" s="13"/>
      <c r="AI757" s="13"/>
    </row>
    <row r="758" spans="31:35">
      <c r="AE758" s="18"/>
      <c r="AF758" s="13"/>
      <c r="AG758" s="13"/>
      <c r="AH758" s="13"/>
      <c r="AI758" s="13"/>
    </row>
    <row r="759" spans="31:35">
      <c r="AE759" s="18"/>
      <c r="AF759" s="13"/>
      <c r="AG759" s="13"/>
      <c r="AH759" s="13"/>
      <c r="AI759" s="13"/>
    </row>
    <row r="760" spans="31:35">
      <c r="AE760" s="18"/>
      <c r="AF760" s="13"/>
      <c r="AG760" s="13"/>
      <c r="AH760" s="13"/>
      <c r="AI760" s="13"/>
    </row>
    <row r="761" spans="31:35">
      <c r="AE761" s="18"/>
      <c r="AF761" s="13"/>
      <c r="AG761" s="13"/>
      <c r="AH761" s="13"/>
      <c r="AI761" s="13"/>
    </row>
    <row r="762" spans="31:35">
      <c r="AE762" s="18"/>
      <c r="AF762" s="13"/>
      <c r="AG762" s="13"/>
      <c r="AH762" s="13"/>
      <c r="AI762" s="13"/>
    </row>
    <row r="763" spans="31:35">
      <c r="AE763" s="18"/>
      <c r="AF763" s="13"/>
      <c r="AG763" s="13"/>
      <c r="AH763" s="13"/>
      <c r="AI763" s="13"/>
    </row>
    <row r="764" spans="31:35">
      <c r="AE764" s="18"/>
      <c r="AF764" s="13"/>
      <c r="AG764" s="13"/>
      <c r="AH764" s="13"/>
      <c r="AI764" s="13"/>
    </row>
    <row r="765" spans="31:35">
      <c r="AE765" s="18"/>
      <c r="AF765" s="13"/>
      <c r="AG765" s="13"/>
      <c r="AH765" s="13"/>
      <c r="AI765" s="13"/>
    </row>
    <row r="766" spans="31:35">
      <c r="AE766" s="18"/>
      <c r="AF766" s="13"/>
      <c r="AG766" s="13"/>
      <c r="AH766" s="13"/>
      <c r="AI766" s="13"/>
    </row>
    <row r="767" spans="31:35">
      <c r="AE767" s="18"/>
      <c r="AF767" s="13"/>
      <c r="AG767" s="13"/>
      <c r="AH767" s="13"/>
      <c r="AI767" s="13"/>
    </row>
    <row r="768" spans="31:35">
      <c r="AE768" s="18"/>
      <c r="AF768" s="13"/>
      <c r="AG768" s="13"/>
      <c r="AH768" s="13"/>
      <c r="AI768" s="13"/>
    </row>
    <row r="769" spans="31:35">
      <c r="AE769" s="18"/>
      <c r="AF769" s="13"/>
      <c r="AG769" s="13"/>
      <c r="AH769" s="13"/>
      <c r="AI769" s="13"/>
    </row>
    <row r="770" spans="31:35">
      <c r="AE770" s="18"/>
      <c r="AF770" s="13"/>
      <c r="AG770" s="13"/>
      <c r="AH770" s="13"/>
      <c r="AI770" s="13"/>
    </row>
    <row r="771" spans="31:35">
      <c r="AE771" s="18"/>
      <c r="AF771" s="13"/>
      <c r="AG771" s="13"/>
      <c r="AH771" s="13"/>
      <c r="AI771" s="13"/>
    </row>
    <row r="772" spans="31:35">
      <c r="AE772" s="18"/>
      <c r="AF772" s="13"/>
      <c r="AG772" s="13"/>
      <c r="AH772" s="13"/>
      <c r="AI772" s="13"/>
    </row>
    <row r="773" spans="31:35">
      <c r="AE773" s="18"/>
      <c r="AF773" s="13"/>
      <c r="AG773" s="13"/>
      <c r="AH773" s="13"/>
      <c r="AI773" s="13"/>
    </row>
    <row r="774" spans="31:35">
      <c r="AE774" s="18"/>
      <c r="AF774" s="13"/>
      <c r="AG774" s="13"/>
      <c r="AH774" s="13"/>
      <c r="AI774" s="13"/>
    </row>
    <row r="775" spans="31:35">
      <c r="AE775" s="18"/>
      <c r="AF775" s="13"/>
      <c r="AG775" s="13"/>
      <c r="AH775" s="13"/>
      <c r="AI775" s="13"/>
    </row>
    <row r="776" spans="31:35">
      <c r="AE776" s="18"/>
      <c r="AF776" s="13"/>
      <c r="AG776" s="13"/>
      <c r="AH776" s="13"/>
      <c r="AI776" s="13"/>
    </row>
    <row r="777" spans="31:35">
      <c r="AE777" s="18"/>
      <c r="AF777" s="13"/>
      <c r="AG777" s="13"/>
      <c r="AH777" s="13"/>
      <c r="AI777" s="13"/>
    </row>
    <row r="778" spans="31:35">
      <c r="AE778" s="18"/>
      <c r="AF778" s="13"/>
      <c r="AG778" s="13"/>
      <c r="AH778" s="13"/>
      <c r="AI778" s="13"/>
    </row>
    <row r="779" spans="31:35">
      <c r="AE779" s="18"/>
      <c r="AF779" s="13"/>
      <c r="AG779" s="13"/>
      <c r="AH779" s="13"/>
      <c r="AI779" s="13"/>
    </row>
    <row r="780" spans="31:35">
      <c r="AE780" s="18"/>
      <c r="AF780" s="13"/>
      <c r="AG780" s="13"/>
      <c r="AH780" s="13"/>
      <c r="AI780" s="13"/>
    </row>
    <row r="781" spans="31:35">
      <c r="AE781" s="18"/>
      <c r="AF781" s="13"/>
      <c r="AG781" s="13"/>
      <c r="AH781" s="13"/>
      <c r="AI781" s="13"/>
    </row>
    <row r="782" spans="31:35">
      <c r="AE782" s="18"/>
      <c r="AF782" s="13"/>
      <c r="AG782" s="13"/>
      <c r="AH782" s="13"/>
      <c r="AI782" s="13"/>
    </row>
    <row r="783" spans="31:35">
      <c r="AE783" s="18"/>
      <c r="AF783" s="13"/>
      <c r="AG783" s="13"/>
      <c r="AH783" s="13"/>
      <c r="AI783" s="13"/>
    </row>
    <row r="784" spans="31:35">
      <c r="AE784" s="18"/>
      <c r="AF784" s="13"/>
      <c r="AG784" s="13"/>
      <c r="AH784" s="13"/>
      <c r="AI784" s="13"/>
    </row>
    <row r="785" spans="31:35">
      <c r="AE785" s="18"/>
      <c r="AF785" s="13"/>
      <c r="AG785" s="13"/>
      <c r="AH785" s="13"/>
      <c r="AI785" s="13"/>
    </row>
    <row r="786" spans="31:35">
      <c r="AE786" s="18"/>
      <c r="AF786" s="13"/>
      <c r="AG786" s="13"/>
      <c r="AH786" s="13"/>
      <c r="AI786" s="13"/>
    </row>
    <row r="787" spans="31:35">
      <c r="AE787" s="18"/>
      <c r="AF787" s="13"/>
      <c r="AG787" s="13"/>
      <c r="AH787" s="13"/>
      <c r="AI787" s="13"/>
    </row>
    <row r="788" spans="31:35">
      <c r="AE788" s="18"/>
      <c r="AF788" s="13"/>
      <c r="AG788" s="13"/>
      <c r="AH788" s="13"/>
      <c r="AI788" s="13"/>
    </row>
    <row r="789" spans="31:35">
      <c r="AE789" s="18"/>
      <c r="AF789" s="13"/>
      <c r="AG789" s="13"/>
      <c r="AH789" s="13"/>
      <c r="AI789" s="13"/>
    </row>
    <row r="790" spans="31:35">
      <c r="AE790" s="18"/>
      <c r="AF790" s="13"/>
      <c r="AG790" s="13"/>
      <c r="AH790" s="13"/>
      <c r="AI790" s="13"/>
    </row>
    <row r="791" spans="31:35">
      <c r="AE791" s="18"/>
      <c r="AF791" s="13"/>
      <c r="AG791" s="13"/>
      <c r="AH791" s="13"/>
      <c r="AI791" s="13"/>
    </row>
    <row r="792" spans="31:35">
      <c r="AE792" s="18"/>
      <c r="AF792" s="13"/>
      <c r="AG792" s="13"/>
      <c r="AH792" s="13"/>
      <c r="AI792" s="13"/>
    </row>
    <row r="793" spans="31:35">
      <c r="AE793" s="18"/>
      <c r="AF793" s="13"/>
      <c r="AG793" s="13"/>
      <c r="AH793" s="13"/>
      <c r="AI793" s="13"/>
    </row>
    <row r="794" spans="31:35">
      <c r="AE794" s="18"/>
      <c r="AF794" s="13"/>
      <c r="AG794" s="13"/>
      <c r="AH794" s="13"/>
      <c r="AI794" s="13"/>
    </row>
    <row r="795" spans="31:35">
      <c r="AE795" s="18"/>
      <c r="AF795" s="13"/>
      <c r="AG795" s="13"/>
      <c r="AH795" s="13"/>
      <c r="AI795" s="13"/>
    </row>
    <row r="796" spans="31:35">
      <c r="AE796" s="18"/>
      <c r="AF796" s="13"/>
      <c r="AG796" s="13"/>
      <c r="AH796" s="13"/>
      <c r="AI796" s="13"/>
    </row>
    <row r="797" spans="31:35">
      <c r="AE797" s="18"/>
      <c r="AF797" s="13"/>
      <c r="AG797" s="13"/>
      <c r="AH797" s="13"/>
      <c r="AI797" s="13"/>
    </row>
    <row r="798" spans="31:35">
      <c r="AE798" s="18"/>
      <c r="AF798" s="13"/>
      <c r="AG798" s="13"/>
      <c r="AH798" s="13"/>
      <c r="AI798" s="13"/>
    </row>
    <row r="799" spans="31:35">
      <c r="AE799" s="18"/>
      <c r="AF799" s="13"/>
      <c r="AG799" s="13"/>
      <c r="AH799" s="13"/>
      <c r="AI799" s="13"/>
    </row>
    <row r="800" spans="31:35">
      <c r="AE800" s="18"/>
      <c r="AF800" s="13"/>
      <c r="AG800" s="13"/>
      <c r="AH800" s="13"/>
      <c r="AI800" s="13"/>
    </row>
    <row r="801" spans="31:35">
      <c r="AE801" s="18"/>
      <c r="AF801" s="13"/>
      <c r="AG801" s="13"/>
      <c r="AH801" s="13"/>
      <c r="AI801" s="13"/>
    </row>
    <row r="802" spans="31:35">
      <c r="AE802" s="18"/>
      <c r="AF802" s="13"/>
      <c r="AG802" s="13"/>
      <c r="AH802" s="13"/>
      <c r="AI802" s="13"/>
    </row>
    <row r="803" spans="31:35">
      <c r="AE803" s="18"/>
      <c r="AF803" s="13"/>
      <c r="AG803" s="13"/>
      <c r="AH803" s="13"/>
      <c r="AI803" s="13"/>
    </row>
    <row r="804" spans="31:35">
      <c r="AE804" s="18"/>
      <c r="AF804" s="13"/>
      <c r="AG804" s="13"/>
      <c r="AH804" s="13"/>
      <c r="AI804" s="13"/>
    </row>
    <row r="805" spans="31:35">
      <c r="AE805" s="18"/>
      <c r="AF805" s="13"/>
      <c r="AG805" s="13"/>
      <c r="AH805" s="13"/>
      <c r="AI805" s="13"/>
    </row>
    <row r="806" spans="31:35">
      <c r="AE806" s="18"/>
      <c r="AF806" s="13"/>
      <c r="AG806" s="13"/>
      <c r="AH806" s="13"/>
      <c r="AI806" s="13"/>
    </row>
    <row r="807" spans="31:35">
      <c r="AE807" s="18"/>
      <c r="AF807" s="13"/>
      <c r="AG807" s="13"/>
      <c r="AH807" s="13"/>
      <c r="AI807" s="13"/>
    </row>
    <row r="808" spans="31:35">
      <c r="AE808" s="18"/>
      <c r="AF808" s="13"/>
      <c r="AG808" s="13"/>
      <c r="AH808" s="13"/>
      <c r="AI808" s="13"/>
    </row>
    <row r="809" spans="31:35">
      <c r="AE809" s="18"/>
      <c r="AF809" s="13"/>
      <c r="AG809" s="13"/>
      <c r="AH809" s="13"/>
      <c r="AI809" s="13"/>
    </row>
    <row r="810" spans="31:35">
      <c r="AE810" s="18"/>
      <c r="AF810" s="13"/>
      <c r="AG810" s="13"/>
      <c r="AH810" s="13"/>
      <c r="AI810" s="13"/>
    </row>
    <row r="811" spans="31:35">
      <c r="AE811" s="18"/>
      <c r="AF811" s="13"/>
      <c r="AG811" s="13"/>
      <c r="AH811" s="13"/>
      <c r="AI811" s="13"/>
    </row>
    <row r="812" spans="31:35">
      <c r="AE812" s="18"/>
      <c r="AF812" s="13"/>
      <c r="AG812" s="13"/>
      <c r="AH812" s="13"/>
      <c r="AI812" s="13"/>
    </row>
    <row r="813" spans="31:35">
      <c r="AE813" s="18"/>
      <c r="AF813" s="13"/>
      <c r="AG813" s="13"/>
      <c r="AH813" s="13"/>
      <c r="AI813" s="13"/>
    </row>
    <row r="814" spans="31:35">
      <c r="AE814" s="18"/>
      <c r="AF814" s="13"/>
      <c r="AG814" s="13"/>
      <c r="AH814" s="13"/>
      <c r="AI814" s="13"/>
    </row>
    <row r="815" spans="31:35">
      <c r="AE815" s="18"/>
      <c r="AF815" s="13"/>
      <c r="AG815" s="13"/>
      <c r="AH815" s="13"/>
      <c r="AI815" s="13"/>
    </row>
    <row r="816" spans="31:35">
      <c r="AE816" s="18"/>
      <c r="AF816" s="13"/>
      <c r="AG816" s="13"/>
      <c r="AH816" s="13"/>
      <c r="AI816" s="13"/>
    </row>
    <row r="817" spans="31:35">
      <c r="AE817" s="18"/>
      <c r="AF817" s="13"/>
      <c r="AG817" s="13"/>
      <c r="AH817" s="13"/>
      <c r="AI817" s="13"/>
    </row>
    <row r="818" spans="31:35">
      <c r="AE818" s="18"/>
      <c r="AF818" s="13"/>
      <c r="AG818" s="13"/>
      <c r="AH818" s="13"/>
      <c r="AI818" s="13"/>
    </row>
    <row r="819" spans="31:35">
      <c r="AE819" s="18"/>
      <c r="AF819" s="13"/>
      <c r="AG819" s="13"/>
      <c r="AH819" s="13"/>
      <c r="AI819" s="13"/>
    </row>
    <row r="820" spans="31:35">
      <c r="AE820" s="18"/>
      <c r="AF820" s="13"/>
      <c r="AG820" s="13"/>
      <c r="AH820" s="13"/>
      <c r="AI820" s="13"/>
    </row>
    <row r="821" spans="31:35">
      <c r="AE821" s="18"/>
      <c r="AF821" s="13"/>
      <c r="AG821" s="13"/>
      <c r="AH821" s="13"/>
      <c r="AI821" s="13"/>
    </row>
    <row r="822" spans="31:35">
      <c r="AE822" s="18"/>
      <c r="AF822" s="13"/>
      <c r="AG822" s="13"/>
      <c r="AH822" s="13"/>
      <c r="AI822" s="13"/>
    </row>
    <row r="823" spans="31:35">
      <c r="AE823" s="18"/>
      <c r="AF823" s="13"/>
      <c r="AG823" s="13"/>
      <c r="AH823" s="13"/>
      <c r="AI823" s="13"/>
    </row>
    <row r="824" spans="31:35">
      <c r="AE824" s="18"/>
      <c r="AF824" s="13"/>
      <c r="AG824" s="13"/>
      <c r="AH824" s="13"/>
      <c r="AI824" s="13"/>
    </row>
    <row r="825" spans="31:35">
      <c r="AE825" s="18"/>
      <c r="AF825" s="13"/>
      <c r="AG825" s="13"/>
      <c r="AH825" s="13"/>
      <c r="AI825" s="13"/>
    </row>
    <row r="826" spans="31:35">
      <c r="AE826" s="18"/>
      <c r="AF826" s="13"/>
      <c r="AG826" s="13"/>
      <c r="AH826" s="13"/>
      <c r="AI826" s="13"/>
    </row>
    <row r="827" spans="31:35">
      <c r="AE827" s="18"/>
      <c r="AF827" s="13"/>
      <c r="AG827" s="13"/>
      <c r="AH827" s="13"/>
      <c r="AI827" s="13"/>
    </row>
    <row r="828" spans="31:35">
      <c r="AE828" s="18"/>
      <c r="AF828" s="13"/>
      <c r="AG828" s="13"/>
      <c r="AH828" s="13"/>
      <c r="AI828" s="13"/>
    </row>
    <row r="829" spans="31:35">
      <c r="AE829" s="18"/>
      <c r="AF829" s="13"/>
      <c r="AG829" s="13"/>
      <c r="AH829" s="13"/>
      <c r="AI829" s="13"/>
    </row>
    <row r="830" spans="31:35">
      <c r="AE830" s="18"/>
      <c r="AF830" s="13"/>
      <c r="AG830" s="13"/>
      <c r="AH830" s="13"/>
      <c r="AI830" s="13"/>
    </row>
    <row r="831" spans="31:35">
      <c r="AE831" s="18"/>
      <c r="AF831" s="13"/>
      <c r="AG831" s="13"/>
      <c r="AH831" s="13"/>
      <c r="AI831" s="13"/>
    </row>
    <row r="832" spans="31:35">
      <c r="AE832" s="18"/>
      <c r="AF832" s="13"/>
      <c r="AG832" s="13"/>
      <c r="AH832" s="13"/>
      <c r="AI832" s="13"/>
    </row>
    <row r="833" spans="31:35">
      <c r="AE833" s="18"/>
      <c r="AF833" s="13"/>
      <c r="AG833" s="13"/>
      <c r="AH833" s="13"/>
      <c r="AI833" s="13"/>
    </row>
    <row r="834" spans="31:35">
      <c r="AE834" s="18"/>
      <c r="AF834" s="13"/>
      <c r="AG834" s="13"/>
      <c r="AH834" s="13"/>
      <c r="AI834" s="13"/>
    </row>
    <row r="835" spans="31:35">
      <c r="AE835" s="18"/>
      <c r="AF835" s="13"/>
      <c r="AG835" s="13"/>
      <c r="AH835" s="13"/>
      <c r="AI835" s="13"/>
    </row>
    <row r="836" spans="31:35">
      <c r="AE836" s="18"/>
      <c r="AF836" s="13"/>
      <c r="AG836" s="13"/>
      <c r="AH836" s="13"/>
      <c r="AI836" s="13"/>
    </row>
    <row r="837" spans="31:35">
      <c r="AE837" s="18"/>
      <c r="AF837" s="13"/>
      <c r="AG837" s="13"/>
      <c r="AH837" s="13"/>
      <c r="AI837" s="13"/>
    </row>
    <row r="838" spans="31:35">
      <c r="AE838" s="18"/>
      <c r="AF838" s="13"/>
      <c r="AG838" s="13"/>
      <c r="AH838" s="13"/>
      <c r="AI838" s="13"/>
    </row>
    <row r="839" spans="31:35">
      <c r="AE839" s="18"/>
      <c r="AF839" s="13"/>
      <c r="AG839" s="13"/>
      <c r="AH839" s="13"/>
      <c r="AI839" s="13"/>
    </row>
    <row r="840" spans="31:35">
      <c r="AE840" s="18"/>
      <c r="AF840" s="13"/>
      <c r="AG840" s="13"/>
      <c r="AH840" s="13"/>
      <c r="AI840" s="13"/>
    </row>
    <row r="841" spans="31:35">
      <c r="AE841" s="18"/>
      <c r="AF841" s="13"/>
      <c r="AG841" s="13"/>
      <c r="AH841" s="13"/>
      <c r="AI841" s="13"/>
    </row>
    <row r="842" spans="31:35">
      <c r="AE842" s="18"/>
      <c r="AF842" s="13"/>
      <c r="AG842" s="13"/>
      <c r="AH842" s="13"/>
      <c r="AI842" s="13"/>
    </row>
    <row r="843" spans="31:35">
      <c r="AE843" s="18"/>
      <c r="AF843" s="13"/>
      <c r="AG843" s="13"/>
      <c r="AH843" s="13"/>
      <c r="AI843" s="13"/>
    </row>
    <row r="844" spans="31:35">
      <c r="AE844" s="18"/>
      <c r="AF844" s="13"/>
      <c r="AG844" s="13"/>
      <c r="AH844" s="13"/>
      <c r="AI844" s="13"/>
    </row>
    <row r="845" spans="31:35">
      <c r="AE845" s="18"/>
      <c r="AF845" s="13"/>
      <c r="AG845" s="13"/>
      <c r="AH845" s="13"/>
      <c r="AI845" s="13"/>
    </row>
    <row r="846" spans="31:35">
      <c r="AE846" s="18"/>
      <c r="AF846" s="13"/>
      <c r="AG846" s="13"/>
      <c r="AH846" s="13"/>
      <c r="AI846" s="13"/>
    </row>
    <row r="847" spans="31:35">
      <c r="AE847" s="18"/>
      <c r="AF847" s="13"/>
      <c r="AG847" s="13"/>
      <c r="AH847" s="13"/>
      <c r="AI847" s="13"/>
    </row>
    <row r="848" spans="31:35">
      <c r="AE848" s="18"/>
      <c r="AF848" s="13"/>
      <c r="AG848" s="13"/>
      <c r="AH848" s="13"/>
      <c r="AI848" s="13"/>
    </row>
    <row r="849" spans="31:35">
      <c r="AE849" s="18"/>
      <c r="AF849" s="13"/>
      <c r="AG849" s="13"/>
      <c r="AH849" s="13"/>
      <c r="AI849" s="13"/>
    </row>
    <row r="850" spans="31:35">
      <c r="AE850" s="18"/>
      <c r="AF850" s="13"/>
      <c r="AG850" s="13"/>
      <c r="AH850" s="13"/>
      <c r="AI850" s="13"/>
    </row>
    <row r="851" spans="31:35">
      <c r="AE851" s="18"/>
      <c r="AF851" s="13"/>
      <c r="AG851" s="13"/>
      <c r="AH851" s="13"/>
      <c r="AI851" s="13"/>
    </row>
    <row r="852" spans="31:35">
      <c r="AE852" s="18"/>
      <c r="AF852" s="13"/>
      <c r="AG852" s="13"/>
      <c r="AH852" s="13"/>
      <c r="AI852" s="13"/>
    </row>
    <row r="853" spans="31:35">
      <c r="AE853" s="18"/>
      <c r="AF853" s="13"/>
      <c r="AG853" s="13"/>
      <c r="AH853" s="13"/>
      <c r="AI853" s="13"/>
    </row>
    <row r="854" spans="31:35">
      <c r="AE854" s="18"/>
      <c r="AF854" s="13"/>
      <c r="AG854" s="13"/>
      <c r="AH854" s="13"/>
      <c r="AI854" s="13"/>
    </row>
    <row r="855" spans="31:35">
      <c r="AE855" s="18"/>
      <c r="AF855" s="13"/>
      <c r="AG855" s="13"/>
      <c r="AH855" s="13"/>
      <c r="AI855" s="13"/>
    </row>
    <row r="856" spans="31:35">
      <c r="AE856" s="18"/>
      <c r="AF856" s="13"/>
      <c r="AG856" s="13"/>
      <c r="AH856" s="13"/>
      <c r="AI856" s="13"/>
    </row>
    <row r="857" spans="31:35">
      <c r="AE857" s="18"/>
      <c r="AF857" s="13"/>
      <c r="AG857" s="13"/>
      <c r="AH857" s="13"/>
      <c r="AI857" s="13"/>
    </row>
    <row r="858" spans="31:35">
      <c r="AE858" s="18"/>
      <c r="AF858" s="13"/>
      <c r="AG858" s="13"/>
      <c r="AH858" s="13"/>
      <c r="AI858" s="13"/>
    </row>
    <row r="859" spans="31:35">
      <c r="AE859" s="18"/>
      <c r="AF859" s="13"/>
      <c r="AG859" s="13"/>
      <c r="AH859" s="13"/>
      <c r="AI859" s="13"/>
    </row>
    <row r="860" spans="31:35">
      <c r="AE860" s="18"/>
      <c r="AF860" s="13"/>
      <c r="AG860" s="13"/>
      <c r="AH860" s="13"/>
      <c r="AI860" s="13"/>
    </row>
    <row r="861" spans="31:35">
      <c r="AE861" s="18"/>
      <c r="AF861" s="13"/>
      <c r="AG861" s="13"/>
      <c r="AH861" s="13"/>
      <c r="AI861" s="13"/>
    </row>
    <row r="862" spans="31:35">
      <c r="AE862" s="18"/>
      <c r="AF862" s="13"/>
      <c r="AG862" s="13"/>
      <c r="AH862" s="13"/>
      <c r="AI862" s="13"/>
    </row>
    <row r="863" spans="31:35">
      <c r="AE863" s="18"/>
      <c r="AF863" s="13"/>
      <c r="AG863" s="13"/>
      <c r="AH863" s="13"/>
      <c r="AI863" s="13"/>
    </row>
    <row r="864" spans="31:35">
      <c r="AE864" s="18"/>
      <c r="AF864" s="13"/>
      <c r="AG864" s="13"/>
      <c r="AH864" s="13"/>
      <c r="AI864" s="13"/>
    </row>
    <row r="865" spans="31:35">
      <c r="AE865" s="18"/>
      <c r="AF865" s="13"/>
      <c r="AG865" s="13"/>
      <c r="AH865" s="13"/>
      <c r="AI865" s="13"/>
    </row>
    <row r="866" spans="31:35">
      <c r="AE866" s="18"/>
      <c r="AF866" s="13"/>
      <c r="AG866" s="13"/>
      <c r="AH866" s="13"/>
      <c r="AI866" s="13"/>
    </row>
    <row r="867" spans="31:35">
      <c r="AE867" s="18"/>
      <c r="AF867" s="13"/>
      <c r="AG867" s="13"/>
      <c r="AH867" s="13"/>
      <c r="AI867" s="13"/>
    </row>
    <row r="868" spans="31:35">
      <c r="AE868" s="18"/>
      <c r="AF868" s="13"/>
      <c r="AG868" s="13"/>
      <c r="AH868" s="13"/>
      <c r="AI868" s="13"/>
    </row>
    <row r="869" spans="31:35">
      <c r="AE869" s="18"/>
      <c r="AF869" s="13"/>
      <c r="AG869" s="13"/>
      <c r="AH869" s="13"/>
      <c r="AI869" s="13"/>
    </row>
    <row r="870" spans="31:35">
      <c r="AE870" s="18"/>
      <c r="AF870" s="13"/>
      <c r="AG870" s="13"/>
      <c r="AH870" s="13"/>
      <c r="AI870" s="13"/>
    </row>
    <row r="871" spans="31:35">
      <c r="AE871" s="18"/>
      <c r="AF871" s="13"/>
      <c r="AG871" s="13"/>
      <c r="AH871" s="13"/>
      <c r="AI871" s="13"/>
    </row>
    <row r="872" spans="31:35">
      <c r="AE872" s="18"/>
      <c r="AF872" s="13"/>
      <c r="AG872" s="13"/>
      <c r="AH872" s="13"/>
      <c r="AI872" s="13"/>
    </row>
    <row r="873" spans="31:35">
      <c r="AE873" s="18"/>
      <c r="AF873" s="13"/>
      <c r="AG873" s="13"/>
      <c r="AH873" s="13"/>
      <c r="AI873" s="13"/>
    </row>
    <row r="874" spans="31:35">
      <c r="AE874" s="18"/>
      <c r="AF874" s="13"/>
      <c r="AG874" s="13"/>
      <c r="AH874" s="13"/>
      <c r="AI874" s="13"/>
    </row>
    <row r="875" spans="31:35">
      <c r="AE875" s="18"/>
      <c r="AF875" s="13"/>
      <c r="AG875" s="13"/>
      <c r="AH875" s="13"/>
      <c r="AI875" s="13"/>
    </row>
    <row r="876" spans="31:35">
      <c r="AE876" s="18"/>
      <c r="AF876" s="13"/>
      <c r="AG876" s="13"/>
      <c r="AH876" s="13"/>
      <c r="AI876" s="13"/>
    </row>
    <row r="877" spans="31:35">
      <c r="AE877" s="18"/>
      <c r="AF877" s="13"/>
      <c r="AG877" s="13"/>
      <c r="AH877" s="13"/>
      <c r="AI877" s="13"/>
    </row>
    <row r="878" spans="31:35">
      <c r="AE878" s="18"/>
      <c r="AF878" s="13"/>
      <c r="AG878" s="13"/>
      <c r="AH878" s="13"/>
      <c r="AI878" s="13"/>
    </row>
    <row r="879" spans="31:35">
      <c r="AE879" s="18"/>
      <c r="AF879" s="13"/>
      <c r="AG879" s="13"/>
      <c r="AH879" s="13"/>
      <c r="AI879" s="13"/>
    </row>
    <row r="880" spans="31:35">
      <c r="AE880" s="18"/>
      <c r="AF880" s="13"/>
      <c r="AG880" s="13"/>
      <c r="AH880" s="13"/>
      <c r="AI880" s="13"/>
    </row>
    <row r="881" spans="31:35">
      <c r="AE881" s="18"/>
      <c r="AF881" s="13"/>
      <c r="AG881" s="13"/>
      <c r="AH881" s="13"/>
      <c r="AI881" s="13"/>
    </row>
    <row r="882" spans="31:35">
      <c r="AE882" s="18"/>
      <c r="AF882" s="13"/>
      <c r="AG882" s="13"/>
      <c r="AH882" s="13"/>
      <c r="AI882" s="13"/>
    </row>
    <row r="883" spans="31:35">
      <c r="AE883" s="18"/>
      <c r="AF883" s="13"/>
      <c r="AG883" s="13"/>
      <c r="AH883" s="13"/>
      <c r="AI883" s="13"/>
    </row>
    <row r="884" spans="31:35">
      <c r="AE884" s="18"/>
      <c r="AF884" s="13"/>
      <c r="AG884" s="13"/>
      <c r="AH884" s="13"/>
      <c r="AI884" s="13"/>
    </row>
    <row r="885" spans="31:35">
      <c r="AE885" s="18"/>
      <c r="AF885" s="13"/>
      <c r="AG885" s="13"/>
      <c r="AH885" s="13"/>
      <c r="AI885" s="13"/>
    </row>
    <row r="886" spans="31:35">
      <c r="AE886" s="18"/>
      <c r="AF886" s="13"/>
      <c r="AG886" s="13"/>
      <c r="AH886" s="13"/>
      <c r="AI886" s="13"/>
    </row>
    <row r="887" spans="31:35">
      <c r="AE887" s="18"/>
      <c r="AF887" s="13"/>
      <c r="AG887" s="13"/>
      <c r="AH887" s="13"/>
      <c r="AI887" s="13"/>
    </row>
    <row r="888" spans="31:35">
      <c r="AE888" s="18"/>
      <c r="AF888" s="13"/>
      <c r="AG888" s="13"/>
      <c r="AH888" s="13"/>
      <c r="AI888" s="13"/>
    </row>
    <row r="889" spans="31:35">
      <c r="AE889" s="18"/>
      <c r="AF889" s="13"/>
      <c r="AG889" s="13"/>
      <c r="AH889" s="13"/>
      <c r="AI889" s="13"/>
    </row>
    <row r="890" spans="31:35">
      <c r="AE890" s="18"/>
      <c r="AF890" s="13"/>
      <c r="AG890" s="13"/>
      <c r="AH890" s="13"/>
      <c r="AI890" s="13"/>
    </row>
    <row r="891" spans="31:35">
      <c r="AE891" s="18"/>
      <c r="AF891" s="13"/>
      <c r="AG891" s="13"/>
      <c r="AH891" s="13"/>
      <c r="AI891" s="13"/>
    </row>
    <row r="892" spans="31:35">
      <c r="AE892" s="18"/>
      <c r="AF892" s="13"/>
      <c r="AG892" s="13"/>
      <c r="AH892" s="13"/>
      <c r="AI892" s="13"/>
    </row>
    <row r="893" spans="31:35">
      <c r="AE893" s="18"/>
      <c r="AF893" s="13"/>
      <c r="AG893" s="13"/>
      <c r="AH893" s="13"/>
      <c r="AI893" s="13"/>
    </row>
    <row r="894" spans="31:35">
      <c r="AE894" s="18"/>
      <c r="AF894" s="13"/>
      <c r="AG894" s="13"/>
      <c r="AH894" s="13"/>
      <c r="AI894" s="13"/>
    </row>
    <row r="895" spans="31:35">
      <c r="AE895" s="18"/>
      <c r="AF895" s="13"/>
      <c r="AG895" s="13"/>
      <c r="AH895" s="13"/>
      <c r="AI895" s="13"/>
    </row>
    <row r="896" spans="31:35">
      <c r="AE896" s="18"/>
      <c r="AF896" s="13"/>
      <c r="AG896" s="13"/>
      <c r="AH896" s="13"/>
      <c r="AI896" s="13"/>
    </row>
    <row r="897" spans="31:35">
      <c r="AE897" s="18"/>
      <c r="AF897" s="13"/>
      <c r="AG897" s="13"/>
      <c r="AH897" s="13"/>
      <c r="AI897" s="13"/>
    </row>
    <row r="898" spans="31:35">
      <c r="AE898" s="18"/>
      <c r="AF898" s="13"/>
      <c r="AG898" s="13"/>
      <c r="AH898" s="13"/>
      <c r="AI898" s="13"/>
    </row>
    <row r="899" spans="31:35">
      <c r="AE899" s="18"/>
      <c r="AF899" s="13"/>
      <c r="AG899" s="13"/>
      <c r="AH899" s="13"/>
      <c r="AI899" s="13"/>
    </row>
    <row r="900" spans="31:35">
      <c r="AE900" s="18"/>
      <c r="AF900" s="13"/>
      <c r="AG900" s="13"/>
      <c r="AH900" s="13"/>
      <c r="AI900" s="13"/>
    </row>
    <row r="901" spans="31:35">
      <c r="AE901" s="18"/>
      <c r="AF901" s="13"/>
      <c r="AG901" s="13"/>
      <c r="AH901" s="13"/>
      <c r="AI901" s="13"/>
    </row>
    <row r="902" spans="31:35">
      <c r="AE902" s="18"/>
      <c r="AF902" s="13"/>
      <c r="AG902" s="13"/>
      <c r="AH902" s="13"/>
      <c r="AI902" s="13"/>
    </row>
    <row r="903" spans="31:35">
      <c r="AE903" s="18"/>
      <c r="AF903" s="13"/>
      <c r="AG903" s="13"/>
      <c r="AH903" s="13"/>
      <c r="AI903" s="13"/>
    </row>
    <row r="904" spans="31:35">
      <c r="AE904" s="18"/>
      <c r="AF904" s="13"/>
      <c r="AG904" s="13"/>
      <c r="AH904" s="13"/>
      <c r="AI904" s="13"/>
    </row>
    <row r="905" spans="31:35">
      <c r="AE905" s="18"/>
      <c r="AF905" s="13"/>
      <c r="AG905" s="13"/>
      <c r="AH905" s="13"/>
      <c r="AI905" s="13"/>
    </row>
    <row r="906" spans="31:35">
      <c r="AE906" s="18"/>
      <c r="AF906" s="13"/>
      <c r="AG906" s="13"/>
      <c r="AH906" s="13"/>
      <c r="AI906" s="13"/>
    </row>
    <row r="907" spans="31:35">
      <c r="AE907" s="18"/>
      <c r="AF907" s="13"/>
      <c r="AG907" s="13"/>
      <c r="AH907" s="13"/>
      <c r="AI907" s="13"/>
    </row>
    <row r="908" spans="31:35">
      <c r="AE908" s="18"/>
      <c r="AF908" s="13"/>
      <c r="AG908" s="13"/>
      <c r="AH908" s="13"/>
      <c r="AI908" s="13"/>
    </row>
    <row r="909" spans="31:35">
      <c r="AE909" s="18"/>
      <c r="AF909" s="13"/>
      <c r="AG909" s="13"/>
      <c r="AH909" s="13"/>
      <c r="AI909" s="13"/>
    </row>
    <row r="910" spans="31:35">
      <c r="AE910" s="18"/>
      <c r="AF910" s="13"/>
      <c r="AG910" s="13"/>
      <c r="AH910" s="13"/>
      <c r="AI910" s="13"/>
    </row>
    <row r="911" spans="31:35">
      <c r="AE911" s="18"/>
      <c r="AF911" s="13"/>
      <c r="AG911" s="13"/>
      <c r="AH911" s="13"/>
      <c r="AI911" s="13"/>
    </row>
    <row r="912" spans="31:35">
      <c r="AE912" s="18"/>
      <c r="AF912" s="13"/>
      <c r="AG912" s="13"/>
      <c r="AH912" s="13"/>
      <c r="AI912" s="13"/>
    </row>
    <row r="913" spans="31:35">
      <c r="AE913" s="18"/>
      <c r="AF913" s="13"/>
      <c r="AG913" s="13"/>
      <c r="AH913" s="13"/>
      <c r="AI913" s="13"/>
    </row>
    <row r="914" spans="31:35">
      <c r="AE914" s="18"/>
      <c r="AF914" s="13"/>
      <c r="AG914" s="13"/>
      <c r="AH914" s="13"/>
      <c r="AI914" s="13"/>
    </row>
    <row r="915" spans="31:35">
      <c r="AE915" s="18"/>
      <c r="AF915" s="13"/>
      <c r="AG915" s="13"/>
      <c r="AH915" s="13"/>
      <c r="AI915" s="13"/>
    </row>
    <row r="916" spans="31:35">
      <c r="AE916" s="18"/>
      <c r="AF916" s="13"/>
      <c r="AG916" s="13"/>
      <c r="AH916" s="13"/>
      <c r="AI916" s="13"/>
    </row>
    <row r="917" spans="31:35">
      <c r="AE917" s="18"/>
      <c r="AF917" s="13"/>
      <c r="AG917" s="13"/>
      <c r="AH917" s="13"/>
      <c r="AI917" s="13"/>
    </row>
    <row r="918" spans="31:35">
      <c r="AE918" s="18"/>
      <c r="AF918" s="13"/>
      <c r="AG918" s="13"/>
      <c r="AH918" s="13"/>
      <c r="AI918" s="13"/>
    </row>
    <row r="919" spans="31:35">
      <c r="AE919" s="18"/>
      <c r="AF919" s="13"/>
      <c r="AG919" s="13"/>
      <c r="AH919" s="13"/>
      <c r="AI919" s="13"/>
    </row>
    <row r="920" spans="31:35">
      <c r="AE920" s="18"/>
      <c r="AF920" s="13"/>
      <c r="AG920" s="13"/>
      <c r="AH920" s="13"/>
      <c r="AI920" s="13"/>
    </row>
    <row r="921" spans="31:35">
      <c r="AE921" s="18"/>
      <c r="AF921" s="13"/>
      <c r="AG921" s="13"/>
      <c r="AH921" s="13"/>
      <c r="AI921" s="13"/>
    </row>
    <row r="922" spans="31:35">
      <c r="AE922" s="18"/>
      <c r="AF922" s="13"/>
      <c r="AG922" s="13"/>
      <c r="AH922" s="13"/>
      <c r="AI922" s="13"/>
    </row>
    <row r="923" spans="31:35">
      <c r="AE923" s="18"/>
      <c r="AF923" s="13"/>
      <c r="AG923" s="13"/>
      <c r="AH923" s="13"/>
      <c r="AI923" s="13"/>
    </row>
    <row r="924" spans="31:35">
      <c r="AE924" s="18"/>
      <c r="AF924" s="13"/>
      <c r="AG924" s="13"/>
      <c r="AH924" s="13"/>
      <c r="AI924" s="13"/>
    </row>
    <row r="925" spans="31:35">
      <c r="AE925" s="18"/>
      <c r="AF925" s="13"/>
      <c r="AG925" s="13"/>
      <c r="AH925" s="13"/>
      <c r="AI925" s="13"/>
    </row>
    <row r="926" spans="31:35">
      <c r="AE926" s="18"/>
      <c r="AF926" s="13"/>
      <c r="AG926" s="13"/>
      <c r="AH926" s="13"/>
      <c r="AI926" s="13"/>
    </row>
    <row r="927" spans="31:35">
      <c r="AE927" s="18"/>
      <c r="AF927" s="13"/>
      <c r="AG927" s="13"/>
      <c r="AH927" s="13"/>
      <c r="AI927" s="13"/>
    </row>
    <row r="928" spans="31:35">
      <c r="AE928" s="18"/>
      <c r="AF928" s="13"/>
      <c r="AG928" s="13"/>
      <c r="AH928" s="13"/>
      <c r="AI928" s="13"/>
    </row>
    <row r="929" spans="31:35">
      <c r="AE929" s="18"/>
      <c r="AF929" s="13"/>
      <c r="AG929" s="13"/>
      <c r="AH929" s="13"/>
      <c r="AI929" s="13"/>
    </row>
    <row r="930" spans="31:35">
      <c r="AE930" s="18"/>
      <c r="AF930" s="13"/>
      <c r="AG930" s="13"/>
      <c r="AH930" s="13"/>
      <c r="AI930" s="13"/>
    </row>
    <row r="931" spans="31:35">
      <c r="AE931" s="18"/>
      <c r="AF931" s="13"/>
      <c r="AG931" s="13"/>
      <c r="AH931" s="13"/>
      <c r="AI931" s="13"/>
    </row>
    <row r="932" spans="31:35">
      <c r="AE932" s="18"/>
      <c r="AF932" s="13"/>
      <c r="AG932" s="13"/>
      <c r="AH932" s="13"/>
      <c r="AI932" s="13"/>
    </row>
    <row r="933" spans="31:35">
      <c r="AE933" s="18"/>
      <c r="AF933" s="13"/>
      <c r="AG933" s="13"/>
      <c r="AH933" s="13"/>
      <c r="AI933" s="13"/>
    </row>
    <row r="934" spans="31:35">
      <c r="AE934" s="18"/>
      <c r="AF934" s="13"/>
      <c r="AG934" s="13"/>
      <c r="AH934" s="13"/>
      <c r="AI934" s="13"/>
    </row>
    <row r="935" spans="31:35">
      <c r="AE935" s="18"/>
      <c r="AF935" s="13"/>
      <c r="AG935" s="13"/>
      <c r="AH935" s="13"/>
      <c r="AI935" s="13"/>
    </row>
    <row r="936" spans="31:35">
      <c r="AE936" s="18"/>
      <c r="AF936" s="13"/>
      <c r="AG936" s="13"/>
      <c r="AH936" s="13"/>
      <c r="AI936" s="13"/>
    </row>
    <row r="937" spans="31:35">
      <c r="AE937" s="18"/>
      <c r="AF937" s="13"/>
      <c r="AG937" s="13"/>
      <c r="AH937" s="13"/>
      <c r="AI937" s="13"/>
    </row>
    <row r="938" spans="31:35">
      <c r="AE938" s="18"/>
      <c r="AF938" s="13"/>
      <c r="AG938" s="13"/>
      <c r="AH938" s="13"/>
      <c r="AI938" s="13"/>
    </row>
    <row r="939" spans="31:35">
      <c r="AE939" s="18"/>
      <c r="AF939" s="13"/>
      <c r="AG939" s="13"/>
      <c r="AH939" s="13"/>
      <c r="AI939" s="13"/>
    </row>
    <row r="940" spans="31:35">
      <c r="AE940" s="18"/>
      <c r="AF940" s="13"/>
      <c r="AG940" s="13"/>
      <c r="AH940" s="13"/>
      <c r="AI940" s="13"/>
    </row>
    <row r="941" spans="31:35">
      <c r="AE941" s="18"/>
      <c r="AF941" s="13"/>
      <c r="AG941" s="13"/>
      <c r="AH941" s="13"/>
      <c r="AI941" s="13"/>
    </row>
    <row r="942" spans="31:35">
      <c r="AE942" s="18"/>
      <c r="AF942" s="13"/>
      <c r="AG942" s="13"/>
      <c r="AH942" s="13"/>
      <c r="AI942" s="13"/>
    </row>
    <row r="943" spans="31:35">
      <c r="AE943" s="18"/>
      <c r="AF943" s="13"/>
      <c r="AG943" s="13"/>
      <c r="AH943" s="13"/>
      <c r="AI943" s="13"/>
    </row>
    <row r="944" spans="31:35">
      <c r="AE944" s="18"/>
      <c r="AF944" s="13"/>
      <c r="AG944" s="13"/>
      <c r="AH944" s="13"/>
      <c r="AI944" s="13"/>
    </row>
    <row r="945" spans="31:35">
      <c r="AE945" s="18"/>
      <c r="AF945" s="13"/>
      <c r="AG945" s="13"/>
      <c r="AH945" s="13"/>
      <c r="AI945" s="13"/>
    </row>
    <row r="946" spans="31:35">
      <c r="AE946" s="18"/>
      <c r="AF946" s="13"/>
      <c r="AG946" s="13"/>
      <c r="AH946" s="13"/>
      <c r="AI946" s="13"/>
    </row>
    <row r="947" spans="31:35">
      <c r="AE947" s="18"/>
      <c r="AF947" s="13"/>
      <c r="AG947" s="13"/>
      <c r="AH947" s="13"/>
      <c r="AI947" s="13"/>
    </row>
    <row r="948" spans="31:35">
      <c r="AE948" s="18"/>
      <c r="AF948" s="13"/>
      <c r="AG948" s="13"/>
      <c r="AH948" s="13"/>
      <c r="AI948" s="13"/>
    </row>
    <row r="949" spans="31:35">
      <c r="AE949" s="18"/>
      <c r="AF949" s="13"/>
      <c r="AG949" s="13"/>
      <c r="AH949" s="13"/>
      <c r="AI949" s="13"/>
    </row>
    <row r="950" spans="31:35">
      <c r="AE950" s="18"/>
      <c r="AF950" s="13"/>
      <c r="AG950" s="13"/>
      <c r="AH950" s="13"/>
      <c r="AI950" s="13"/>
    </row>
    <row r="951" spans="31:35">
      <c r="AE951" s="18"/>
      <c r="AF951" s="13"/>
      <c r="AG951" s="13"/>
      <c r="AH951" s="13"/>
      <c r="AI951" s="13"/>
    </row>
    <row r="952" spans="31:35">
      <c r="AE952" s="18"/>
      <c r="AF952" s="13"/>
      <c r="AG952" s="13"/>
      <c r="AH952" s="13"/>
      <c r="AI952" s="13"/>
    </row>
    <row r="953" spans="31:35">
      <c r="AE953" s="18"/>
      <c r="AF953" s="13"/>
      <c r="AG953" s="13"/>
      <c r="AH953" s="13"/>
      <c r="AI953" s="13"/>
    </row>
    <row r="954" spans="31:35">
      <c r="AE954" s="18"/>
      <c r="AF954" s="13"/>
      <c r="AG954" s="13"/>
      <c r="AH954" s="13"/>
      <c r="AI954" s="13"/>
    </row>
    <row r="955" spans="31:35">
      <c r="AE955" s="18"/>
      <c r="AF955" s="13"/>
      <c r="AG955" s="13"/>
      <c r="AH955" s="13"/>
      <c r="AI955" s="13"/>
    </row>
    <row r="956" spans="31:35">
      <c r="AE956" s="18"/>
      <c r="AF956" s="13"/>
      <c r="AG956" s="13"/>
      <c r="AH956" s="13"/>
      <c r="AI956" s="13"/>
    </row>
    <row r="957" spans="31:35">
      <c r="AE957" s="18"/>
      <c r="AF957" s="13"/>
      <c r="AG957" s="13"/>
      <c r="AH957" s="13"/>
      <c r="AI957" s="13"/>
    </row>
    <row r="958" spans="31:35">
      <c r="AE958" s="18"/>
      <c r="AF958" s="13"/>
      <c r="AG958" s="13"/>
      <c r="AH958" s="13"/>
      <c r="AI958" s="13"/>
    </row>
    <row r="959" spans="31:35">
      <c r="AE959" s="18"/>
      <c r="AF959" s="13"/>
      <c r="AG959" s="13"/>
      <c r="AH959" s="13"/>
      <c r="AI959" s="13"/>
    </row>
    <row r="960" spans="31:35">
      <c r="AE960" s="18"/>
      <c r="AF960" s="13"/>
      <c r="AG960" s="13"/>
      <c r="AH960" s="13"/>
      <c r="AI960" s="13"/>
    </row>
    <row r="961" spans="31:35">
      <c r="AE961" s="18"/>
      <c r="AF961" s="13"/>
      <c r="AG961" s="13"/>
      <c r="AH961" s="13"/>
      <c r="AI961" s="13"/>
    </row>
    <row r="962" spans="31:35">
      <c r="AE962" s="18"/>
      <c r="AF962" s="13"/>
      <c r="AG962" s="13"/>
      <c r="AH962" s="13"/>
      <c r="AI962" s="13"/>
    </row>
    <row r="963" spans="31:35">
      <c r="AE963" s="18"/>
      <c r="AF963" s="13"/>
      <c r="AG963" s="13"/>
      <c r="AH963" s="13"/>
      <c r="AI963" s="13"/>
    </row>
    <row r="964" spans="31:35">
      <c r="AE964" s="18"/>
      <c r="AF964" s="13"/>
      <c r="AG964" s="13"/>
      <c r="AH964" s="13"/>
      <c r="AI964" s="13"/>
    </row>
    <row r="965" spans="31:35">
      <c r="AE965" s="18"/>
      <c r="AF965" s="13"/>
      <c r="AG965" s="13"/>
      <c r="AH965" s="13"/>
      <c r="AI965" s="13"/>
    </row>
    <row r="966" spans="31:35">
      <c r="AE966" s="18"/>
      <c r="AF966" s="13"/>
      <c r="AG966" s="13"/>
      <c r="AH966" s="13"/>
      <c r="AI966" s="13"/>
    </row>
    <row r="967" spans="31:35">
      <c r="AE967" s="18"/>
      <c r="AF967" s="13"/>
      <c r="AG967" s="13"/>
      <c r="AH967" s="13"/>
      <c r="AI967" s="13"/>
    </row>
    <row r="968" spans="31:35">
      <c r="AE968" s="18"/>
      <c r="AF968" s="13"/>
      <c r="AG968" s="13"/>
      <c r="AH968" s="13"/>
      <c r="AI968" s="13"/>
    </row>
    <row r="969" spans="31:35">
      <c r="AE969" s="18"/>
      <c r="AF969" s="13"/>
      <c r="AG969" s="13"/>
      <c r="AH969" s="13"/>
      <c r="AI969" s="13"/>
    </row>
    <row r="970" spans="31:35">
      <c r="AE970" s="18"/>
      <c r="AF970" s="13"/>
      <c r="AG970" s="13"/>
      <c r="AH970" s="13"/>
      <c r="AI970" s="13"/>
    </row>
    <row r="971" spans="31:35">
      <c r="AE971" s="18"/>
      <c r="AF971" s="13"/>
      <c r="AG971" s="13"/>
      <c r="AH971" s="13"/>
      <c r="AI971" s="13"/>
    </row>
    <row r="972" spans="31:35">
      <c r="AE972" s="18"/>
      <c r="AF972" s="13"/>
      <c r="AG972" s="13"/>
      <c r="AH972" s="13"/>
      <c r="AI972" s="13"/>
    </row>
    <row r="973" spans="31:35">
      <c r="AE973" s="18"/>
      <c r="AF973" s="13"/>
      <c r="AG973" s="13"/>
      <c r="AH973" s="13"/>
      <c r="AI973" s="13"/>
    </row>
    <row r="974" spans="31:35">
      <c r="AE974" s="18"/>
      <c r="AF974" s="13"/>
      <c r="AG974" s="13"/>
      <c r="AH974" s="13"/>
      <c r="AI974" s="13"/>
    </row>
    <row r="975" spans="31:35">
      <c r="AE975" s="18"/>
      <c r="AF975" s="13"/>
      <c r="AG975" s="13"/>
      <c r="AH975" s="13"/>
      <c r="AI975" s="13"/>
    </row>
    <row r="976" spans="31:35">
      <c r="AE976" s="18"/>
      <c r="AF976" s="13"/>
      <c r="AG976" s="13"/>
      <c r="AH976" s="13"/>
      <c r="AI976" s="13"/>
    </row>
    <row r="977" spans="31:35">
      <c r="AE977" s="18"/>
      <c r="AF977" s="13"/>
      <c r="AG977" s="13"/>
      <c r="AH977" s="13"/>
      <c r="AI977" s="13"/>
    </row>
    <row r="978" spans="31:35">
      <c r="AE978" s="18"/>
      <c r="AF978" s="13"/>
      <c r="AG978" s="13"/>
      <c r="AH978" s="13"/>
      <c r="AI978" s="13"/>
    </row>
    <row r="979" spans="31:35">
      <c r="AE979" s="18"/>
      <c r="AF979" s="13"/>
      <c r="AG979" s="13"/>
      <c r="AH979" s="13"/>
      <c r="AI979" s="13"/>
    </row>
    <row r="980" spans="31:35">
      <c r="AE980" s="18"/>
      <c r="AF980" s="13"/>
      <c r="AG980" s="13"/>
      <c r="AH980" s="13"/>
      <c r="AI980" s="13"/>
    </row>
    <row r="981" spans="31:35">
      <c r="AE981" s="18"/>
      <c r="AF981" s="13"/>
      <c r="AG981" s="13"/>
      <c r="AH981" s="13"/>
      <c r="AI981" s="13"/>
    </row>
    <row r="982" spans="31:35">
      <c r="AE982" s="18"/>
      <c r="AF982" s="13"/>
      <c r="AG982" s="13"/>
      <c r="AH982" s="13"/>
      <c r="AI982" s="13"/>
    </row>
    <row r="983" spans="31:35">
      <c r="AE983" s="18"/>
      <c r="AF983" s="13"/>
      <c r="AG983" s="13"/>
      <c r="AH983" s="13"/>
      <c r="AI983" s="13"/>
    </row>
    <row r="984" spans="31:35">
      <c r="AE984" s="18"/>
      <c r="AF984" s="13"/>
      <c r="AG984" s="13"/>
      <c r="AH984" s="13"/>
      <c r="AI984" s="13"/>
    </row>
    <row r="985" spans="31:35">
      <c r="AE985" s="18"/>
      <c r="AF985" s="13"/>
      <c r="AG985" s="13"/>
      <c r="AH985" s="13"/>
      <c r="AI985" s="13"/>
    </row>
    <row r="986" spans="31:35">
      <c r="AE986" s="18"/>
      <c r="AF986" s="13"/>
      <c r="AG986" s="13"/>
      <c r="AH986" s="13"/>
      <c r="AI986" s="13"/>
    </row>
    <row r="987" spans="31:35">
      <c r="AE987" s="18"/>
      <c r="AF987" s="13"/>
      <c r="AG987" s="13"/>
      <c r="AH987" s="13"/>
      <c r="AI987" s="13"/>
    </row>
    <row r="988" spans="31:35">
      <c r="AE988" s="18"/>
      <c r="AF988" s="13"/>
      <c r="AG988" s="13"/>
      <c r="AH988" s="13"/>
      <c r="AI988" s="13"/>
    </row>
    <row r="989" spans="31:35">
      <c r="AE989" s="18"/>
      <c r="AF989" s="13"/>
      <c r="AG989" s="13"/>
      <c r="AH989" s="13"/>
      <c r="AI989" s="13"/>
    </row>
    <row r="990" spans="31:35">
      <c r="AE990" s="18"/>
      <c r="AF990" s="13"/>
      <c r="AG990" s="13"/>
      <c r="AH990" s="13"/>
      <c r="AI990" s="13"/>
    </row>
    <row r="991" spans="31:35">
      <c r="AE991" s="18"/>
      <c r="AF991" s="13"/>
      <c r="AG991" s="13"/>
      <c r="AH991" s="13"/>
      <c r="AI991" s="13"/>
    </row>
    <row r="992" spans="31:35">
      <c r="AE992" s="18"/>
      <c r="AF992" s="13"/>
      <c r="AG992" s="13"/>
      <c r="AH992" s="13"/>
      <c r="AI992" s="13"/>
    </row>
    <row r="993" spans="31:35">
      <c r="AE993" s="18"/>
      <c r="AF993" s="13"/>
      <c r="AG993" s="13"/>
      <c r="AH993" s="13"/>
      <c r="AI993" s="13"/>
    </row>
    <row r="994" spans="31:35">
      <c r="AE994" s="18"/>
      <c r="AF994" s="13"/>
      <c r="AG994" s="13"/>
      <c r="AH994" s="13"/>
      <c r="AI994" s="13"/>
    </row>
    <row r="995" spans="31:35">
      <c r="AE995" s="18"/>
      <c r="AF995" s="13"/>
      <c r="AG995" s="13"/>
      <c r="AH995" s="13"/>
      <c r="AI995" s="13"/>
    </row>
    <row r="996" spans="31:35">
      <c r="AE996" s="18"/>
      <c r="AF996" s="13"/>
      <c r="AG996" s="13"/>
      <c r="AH996" s="13"/>
      <c r="AI996" s="13"/>
    </row>
    <row r="997" spans="31:35">
      <c r="AE997" s="18"/>
      <c r="AF997" s="13"/>
      <c r="AG997" s="13"/>
      <c r="AH997" s="13"/>
      <c r="AI997" s="13"/>
    </row>
    <row r="998" spans="31:35">
      <c r="AE998" s="18"/>
      <c r="AF998" s="13"/>
      <c r="AG998" s="13"/>
      <c r="AH998" s="13"/>
      <c r="AI998" s="13"/>
    </row>
    <row r="999" spans="31:35">
      <c r="AE999" s="18"/>
      <c r="AF999" s="13"/>
      <c r="AG999" s="13"/>
      <c r="AH999" s="13"/>
      <c r="AI999" s="13"/>
    </row>
    <row r="1000" spans="31:35">
      <c r="AE1000" s="18"/>
      <c r="AF1000" s="13"/>
      <c r="AG1000" s="13"/>
      <c r="AH1000" s="13"/>
      <c r="AI1000" s="13"/>
    </row>
    <row r="1001" spans="31:35">
      <c r="AE1001" s="18"/>
      <c r="AF1001" s="13"/>
      <c r="AG1001" s="13"/>
      <c r="AH1001" s="13"/>
      <c r="AI1001" s="13"/>
    </row>
    <row r="1002" spans="31:35">
      <c r="AE1002" s="18"/>
      <c r="AF1002" s="13"/>
      <c r="AG1002" s="13"/>
      <c r="AH1002" s="13"/>
      <c r="AI1002" s="13"/>
    </row>
    <row r="1003" spans="31:35">
      <c r="AE1003" s="18"/>
      <c r="AF1003" s="13"/>
      <c r="AG1003" s="13"/>
      <c r="AH1003" s="13"/>
      <c r="AI1003" s="13"/>
    </row>
    <row r="1004" spans="31:35">
      <c r="AE1004" s="18"/>
      <c r="AF1004" s="13"/>
      <c r="AG1004" s="13"/>
      <c r="AH1004" s="13"/>
      <c r="AI1004" s="13"/>
    </row>
    <row r="1005" spans="31:35">
      <c r="AE1005" s="18"/>
      <c r="AF1005" s="13"/>
      <c r="AG1005" s="13"/>
      <c r="AH1005" s="13"/>
      <c r="AI1005" s="13"/>
    </row>
    <row r="1006" spans="31:35">
      <c r="AE1006" s="18"/>
      <c r="AF1006" s="13"/>
      <c r="AG1006" s="13"/>
      <c r="AH1006" s="13"/>
      <c r="AI1006" s="13"/>
    </row>
    <row r="1007" spans="31:35">
      <c r="AE1007" s="18"/>
      <c r="AF1007" s="13"/>
      <c r="AG1007" s="13"/>
      <c r="AH1007" s="13"/>
      <c r="AI1007" s="13"/>
    </row>
    <row r="1008" spans="31:35">
      <c r="AE1008" s="18"/>
      <c r="AF1008" s="13"/>
      <c r="AG1008" s="13"/>
      <c r="AH1008" s="13"/>
      <c r="AI1008" s="13"/>
    </row>
    <row r="1009" spans="31:35">
      <c r="AE1009" s="18"/>
      <c r="AF1009" s="13"/>
      <c r="AG1009" s="13"/>
      <c r="AH1009" s="13"/>
      <c r="AI1009" s="13"/>
    </row>
    <row r="1010" spans="31:35">
      <c r="AE1010" s="18"/>
      <c r="AF1010" s="13"/>
      <c r="AG1010" s="13"/>
      <c r="AH1010" s="13"/>
      <c r="AI1010" s="13"/>
    </row>
    <row r="1011" spans="31:35">
      <c r="AE1011" s="18"/>
      <c r="AF1011" s="13"/>
      <c r="AG1011" s="13"/>
      <c r="AH1011" s="13"/>
      <c r="AI1011" s="13"/>
    </row>
    <row r="1012" spans="31:35">
      <c r="AE1012" s="18"/>
      <c r="AF1012" s="13"/>
      <c r="AG1012" s="13"/>
      <c r="AH1012" s="13"/>
      <c r="AI1012" s="13"/>
    </row>
    <row r="1013" spans="31:35">
      <c r="AE1013" s="18"/>
      <c r="AF1013" s="13"/>
      <c r="AG1013" s="13"/>
      <c r="AH1013" s="13"/>
      <c r="AI1013" s="13"/>
    </row>
    <row r="1014" spans="31:35">
      <c r="AE1014" s="18"/>
      <c r="AF1014" s="13"/>
      <c r="AG1014" s="13"/>
      <c r="AH1014" s="13"/>
      <c r="AI1014" s="13"/>
    </row>
    <row r="1015" spans="31:35">
      <c r="AE1015" s="18"/>
      <c r="AF1015" s="13"/>
      <c r="AG1015" s="13"/>
      <c r="AH1015" s="13"/>
      <c r="AI1015" s="13"/>
    </row>
    <row r="1016" spans="31:35">
      <c r="AE1016" s="18"/>
      <c r="AF1016" s="13"/>
      <c r="AG1016" s="13"/>
      <c r="AH1016" s="13"/>
      <c r="AI1016" s="13"/>
    </row>
    <row r="1017" spans="31:35">
      <c r="AE1017" s="18"/>
      <c r="AF1017" s="13"/>
      <c r="AG1017" s="13"/>
      <c r="AH1017" s="13"/>
      <c r="AI1017" s="13"/>
    </row>
    <row r="1018" spans="31:35">
      <c r="AE1018" s="18"/>
      <c r="AF1018" s="13"/>
      <c r="AG1018" s="13"/>
      <c r="AH1018" s="13"/>
      <c r="AI1018" s="13"/>
    </row>
    <row r="1019" spans="31:35">
      <c r="AE1019" s="18"/>
      <c r="AF1019" s="13"/>
      <c r="AG1019" s="13"/>
      <c r="AH1019" s="13"/>
      <c r="AI1019" s="13"/>
    </row>
    <row r="1020" spans="31:35">
      <c r="AE1020" s="18"/>
      <c r="AF1020" s="13"/>
      <c r="AG1020" s="13"/>
      <c r="AH1020" s="13"/>
      <c r="AI1020" s="13"/>
    </row>
    <row r="1021" spans="31:35">
      <c r="AE1021" s="18"/>
      <c r="AF1021" s="13"/>
      <c r="AG1021" s="13"/>
      <c r="AH1021" s="13"/>
      <c r="AI1021" s="13"/>
    </row>
    <row r="1022" spans="31:35">
      <c r="AE1022" s="18"/>
      <c r="AF1022" s="13"/>
      <c r="AG1022" s="13"/>
      <c r="AH1022" s="13"/>
      <c r="AI1022" s="13"/>
    </row>
    <row r="1023" spans="31:35">
      <c r="AE1023" s="18"/>
      <c r="AF1023" s="13"/>
      <c r="AG1023" s="13"/>
      <c r="AH1023" s="13"/>
      <c r="AI1023" s="13"/>
    </row>
    <row r="1024" spans="31:35">
      <c r="AE1024" s="18"/>
      <c r="AF1024" s="13"/>
      <c r="AG1024" s="13"/>
      <c r="AH1024" s="13"/>
      <c r="AI1024" s="13"/>
    </row>
    <row r="1025" spans="31:35">
      <c r="AE1025" s="18"/>
      <c r="AF1025" s="13"/>
      <c r="AG1025" s="13"/>
      <c r="AH1025" s="13"/>
      <c r="AI1025" s="13"/>
    </row>
    <row r="1026" spans="31:35">
      <c r="AE1026" s="18"/>
      <c r="AF1026" s="13"/>
      <c r="AG1026" s="13"/>
      <c r="AH1026" s="13"/>
      <c r="AI1026" s="13"/>
    </row>
    <row r="1027" spans="31:35">
      <c r="AE1027" s="18"/>
      <c r="AF1027" s="13"/>
      <c r="AG1027" s="13"/>
      <c r="AH1027" s="13"/>
      <c r="AI1027" s="13"/>
    </row>
    <row r="1028" spans="31:35">
      <c r="AE1028" s="18"/>
      <c r="AF1028" s="13"/>
      <c r="AG1028" s="13"/>
      <c r="AH1028" s="13"/>
      <c r="AI1028" s="13"/>
    </row>
    <row r="1029" spans="31:35">
      <c r="AE1029" s="18"/>
      <c r="AF1029" s="13"/>
      <c r="AG1029" s="13"/>
      <c r="AH1029" s="13"/>
      <c r="AI1029" s="13"/>
    </row>
    <row r="1030" spans="31:35">
      <c r="AE1030" s="18"/>
      <c r="AF1030" s="13"/>
      <c r="AG1030" s="13"/>
      <c r="AH1030" s="13"/>
      <c r="AI1030" s="13"/>
    </row>
    <row r="1031" spans="31:35">
      <c r="AE1031" s="18"/>
      <c r="AF1031" s="13"/>
      <c r="AG1031" s="13"/>
      <c r="AH1031" s="13"/>
      <c r="AI1031" s="13"/>
    </row>
    <row r="1032" spans="31:35">
      <c r="AE1032" s="18"/>
      <c r="AF1032" s="13"/>
      <c r="AG1032" s="13"/>
      <c r="AH1032" s="13"/>
      <c r="AI1032" s="13"/>
    </row>
    <row r="1033" spans="31:35">
      <c r="AE1033" s="18"/>
      <c r="AF1033" s="13"/>
      <c r="AG1033" s="13"/>
      <c r="AH1033" s="13"/>
      <c r="AI1033" s="13"/>
    </row>
    <row r="1034" spans="31:35">
      <c r="AE1034" s="18"/>
      <c r="AF1034" s="13"/>
      <c r="AG1034" s="13"/>
      <c r="AH1034" s="13"/>
      <c r="AI1034" s="13"/>
    </row>
    <row r="1035" spans="31:35">
      <c r="AE1035" s="18"/>
      <c r="AF1035" s="13"/>
      <c r="AG1035" s="13"/>
      <c r="AH1035" s="13"/>
      <c r="AI1035" s="13"/>
    </row>
    <row r="1036" spans="31:35">
      <c r="AE1036" s="18"/>
      <c r="AF1036" s="13"/>
      <c r="AG1036" s="13"/>
      <c r="AH1036" s="13"/>
      <c r="AI1036" s="13"/>
    </row>
    <row r="1037" spans="31:35">
      <c r="AE1037" s="18"/>
      <c r="AF1037" s="13"/>
      <c r="AG1037" s="13"/>
      <c r="AH1037" s="13"/>
      <c r="AI1037" s="13"/>
    </row>
    <row r="1038" spans="31:35">
      <c r="AE1038" s="18"/>
      <c r="AF1038" s="13"/>
      <c r="AG1038" s="13"/>
      <c r="AH1038" s="13"/>
      <c r="AI1038" s="13"/>
    </row>
    <row r="1039" spans="31:35">
      <c r="AE1039" s="18"/>
      <c r="AF1039" s="13"/>
      <c r="AG1039" s="13"/>
      <c r="AH1039" s="13"/>
      <c r="AI1039" s="13"/>
    </row>
    <row r="1040" spans="31:35">
      <c r="AE1040" s="18"/>
      <c r="AF1040" s="13"/>
      <c r="AG1040" s="13"/>
      <c r="AH1040" s="13"/>
      <c r="AI1040" s="13"/>
    </row>
    <row r="1041" spans="31:35">
      <c r="AE1041" s="18"/>
      <c r="AF1041" s="13"/>
      <c r="AG1041" s="13"/>
      <c r="AH1041" s="13"/>
      <c r="AI1041" s="13"/>
    </row>
    <row r="1042" spans="31:35">
      <c r="AE1042" s="18"/>
      <c r="AF1042" s="13"/>
      <c r="AG1042" s="13"/>
      <c r="AH1042" s="13"/>
      <c r="AI1042" s="13"/>
    </row>
    <row r="1043" spans="31:35">
      <c r="AE1043" s="18"/>
      <c r="AF1043" s="13"/>
      <c r="AG1043" s="13"/>
      <c r="AH1043" s="13"/>
      <c r="AI1043" s="13"/>
    </row>
    <row r="1044" spans="31:35">
      <c r="AE1044" s="18"/>
      <c r="AF1044" s="13"/>
      <c r="AG1044" s="13"/>
      <c r="AH1044" s="13"/>
      <c r="AI1044" s="13"/>
    </row>
    <row r="1045" spans="31:35">
      <c r="AE1045" s="18"/>
      <c r="AF1045" s="13"/>
      <c r="AG1045" s="13"/>
      <c r="AH1045" s="13"/>
      <c r="AI1045" s="13"/>
    </row>
    <row r="1046" spans="31:35">
      <c r="AE1046" s="18"/>
      <c r="AF1046" s="13"/>
      <c r="AG1046" s="13"/>
      <c r="AH1046" s="13"/>
      <c r="AI1046" s="13"/>
    </row>
    <row r="1047" spans="31:35">
      <c r="AE1047" s="18"/>
      <c r="AF1047" s="13"/>
      <c r="AG1047" s="13"/>
      <c r="AH1047" s="13"/>
      <c r="AI1047" s="13"/>
    </row>
    <row r="1048" spans="31:35">
      <c r="AE1048" s="18"/>
      <c r="AF1048" s="13"/>
      <c r="AG1048" s="13"/>
      <c r="AH1048" s="13"/>
      <c r="AI1048" s="13"/>
    </row>
    <row r="1049" spans="31:35">
      <c r="AE1049" s="18"/>
      <c r="AF1049" s="13"/>
      <c r="AG1049" s="13"/>
      <c r="AH1049" s="13"/>
      <c r="AI1049" s="13"/>
    </row>
    <row r="1050" spans="31:35">
      <c r="AE1050" s="18"/>
      <c r="AF1050" s="13"/>
      <c r="AG1050" s="13"/>
      <c r="AH1050" s="13"/>
      <c r="AI1050" s="13"/>
    </row>
    <row r="1051" spans="31:35">
      <c r="AE1051" s="18"/>
      <c r="AF1051" s="13"/>
      <c r="AG1051" s="13"/>
      <c r="AH1051" s="13"/>
      <c r="AI1051" s="13"/>
    </row>
    <row r="1052" spans="31:35">
      <c r="AE1052" s="18"/>
      <c r="AF1052" s="13"/>
      <c r="AG1052" s="13"/>
      <c r="AH1052" s="13"/>
      <c r="AI1052" s="13"/>
    </row>
    <row r="1053" spans="31:35">
      <c r="AE1053" s="18"/>
      <c r="AF1053" s="13"/>
      <c r="AG1053" s="13"/>
      <c r="AH1053" s="13"/>
      <c r="AI1053" s="13"/>
    </row>
    <row r="1054" spans="31:35">
      <c r="AE1054" s="18"/>
      <c r="AF1054" s="13"/>
      <c r="AG1054" s="13"/>
      <c r="AH1054" s="13"/>
      <c r="AI1054" s="13"/>
    </row>
    <row r="1055" spans="31:35">
      <c r="AE1055" s="18"/>
      <c r="AF1055" s="13"/>
      <c r="AG1055" s="13"/>
      <c r="AH1055" s="13"/>
      <c r="AI1055" s="13"/>
    </row>
    <row r="1056" spans="31:35">
      <c r="AE1056" s="18"/>
      <c r="AF1056" s="13"/>
      <c r="AG1056" s="13"/>
      <c r="AH1056" s="13"/>
      <c r="AI1056" s="13"/>
    </row>
    <row r="1057" spans="31:35">
      <c r="AE1057" s="18"/>
      <c r="AF1057" s="13"/>
      <c r="AG1057" s="13"/>
      <c r="AH1057" s="13"/>
      <c r="AI1057" s="13"/>
    </row>
    <row r="1058" spans="31:35">
      <c r="AE1058" s="18"/>
      <c r="AF1058" s="13"/>
      <c r="AG1058" s="13"/>
      <c r="AH1058" s="13"/>
      <c r="AI1058" s="13"/>
    </row>
    <row r="1059" spans="31:35">
      <c r="AE1059" s="18"/>
      <c r="AF1059" s="13"/>
      <c r="AG1059" s="13"/>
      <c r="AH1059" s="13"/>
      <c r="AI1059" s="13"/>
    </row>
    <row r="1060" spans="31:35">
      <c r="AE1060" s="18"/>
      <c r="AF1060" s="13"/>
      <c r="AG1060" s="13"/>
      <c r="AH1060" s="13"/>
      <c r="AI1060" s="13"/>
    </row>
    <row r="1061" spans="31:35">
      <c r="AE1061" s="18"/>
      <c r="AF1061" s="13"/>
      <c r="AG1061" s="13"/>
      <c r="AH1061" s="13"/>
      <c r="AI1061" s="13"/>
    </row>
    <row r="1062" spans="31:35">
      <c r="AE1062" s="18"/>
      <c r="AF1062" s="13"/>
      <c r="AG1062" s="13"/>
      <c r="AH1062" s="13"/>
      <c r="AI1062" s="13"/>
    </row>
    <row r="1063" spans="31:35">
      <c r="AE1063" s="18"/>
      <c r="AF1063" s="13"/>
      <c r="AG1063" s="13"/>
      <c r="AH1063" s="13"/>
      <c r="AI1063" s="13"/>
    </row>
    <row r="1064" spans="31:35">
      <c r="AE1064" s="18"/>
      <c r="AF1064" s="13"/>
      <c r="AG1064" s="13"/>
      <c r="AH1064" s="13"/>
      <c r="AI1064" s="13"/>
    </row>
    <row r="1065" spans="31:35">
      <c r="AE1065" s="18"/>
      <c r="AF1065" s="13"/>
      <c r="AG1065" s="13"/>
      <c r="AH1065" s="13"/>
      <c r="AI1065" s="13"/>
    </row>
    <row r="1066" spans="31:35">
      <c r="AE1066" s="18"/>
      <c r="AF1066" s="13"/>
      <c r="AG1066" s="13"/>
      <c r="AH1066" s="13"/>
      <c r="AI1066" s="13"/>
    </row>
    <row r="1067" spans="31:35">
      <c r="AE1067" s="18"/>
      <c r="AF1067" s="13"/>
      <c r="AG1067" s="13"/>
      <c r="AH1067" s="13"/>
      <c r="AI1067" s="13"/>
    </row>
    <row r="1068" spans="31:35">
      <c r="AE1068" s="18"/>
      <c r="AF1068" s="13"/>
      <c r="AG1068" s="13"/>
      <c r="AH1068" s="13"/>
      <c r="AI1068" s="13"/>
    </row>
    <row r="1069" spans="31:35">
      <c r="AE1069" s="18"/>
      <c r="AF1069" s="13"/>
      <c r="AG1069" s="13"/>
      <c r="AH1069" s="13"/>
      <c r="AI1069" s="13"/>
    </row>
    <row r="1070" spans="31:35">
      <c r="AE1070" s="18"/>
      <c r="AF1070" s="13"/>
      <c r="AG1070" s="13"/>
      <c r="AH1070" s="13"/>
      <c r="AI1070" s="13"/>
    </row>
    <row r="1071" spans="31:35">
      <c r="AE1071" s="18"/>
      <c r="AF1071" s="13"/>
      <c r="AG1071" s="13"/>
      <c r="AH1071" s="13"/>
      <c r="AI1071" s="13"/>
    </row>
    <row r="1072" spans="31:35">
      <c r="AE1072" s="18"/>
      <c r="AF1072" s="13"/>
      <c r="AG1072" s="13"/>
      <c r="AH1072" s="13"/>
      <c r="AI1072" s="13"/>
    </row>
    <row r="1073" spans="31:35">
      <c r="AE1073" s="18"/>
      <c r="AF1073" s="13"/>
      <c r="AG1073" s="13"/>
      <c r="AH1073" s="13"/>
      <c r="AI1073" s="13"/>
    </row>
    <row r="1074" spans="31:35">
      <c r="AE1074" s="18"/>
      <c r="AF1074" s="13"/>
      <c r="AG1074" s="13"/>
      <c r="AH1074" s="13"/>
      <c r="AI1074" s="13"/>
    </row>
    <row r="1075" spans="31:35">
      <c r="AE1075" s="18"/>
      <c r="AF1075" s="13"/>
      <c r="AG1075" s="13"/>
      <c r="AH1075" s="13"/>
      <c r="AI1075" s="13"/>
    </row>
    <row r="1076" spans="31:35">
      <c r="AE1076" s="18"/>
      <c r="AF1076" s="13"/>
      <c r="AG1076" s="13"/>
      <c r="AH1076" s="13"/>
      <c r="AI1076" s="13"/>
    </row>
    <row r="1077" spans="31:35">
      <c r="AE1077" s="18"/>
      <c r="AF1077" s="13"/>
      <c r="AG1077" s="13"/>
      <c r="AH1077" s="13"/>
      <c r="AI1077" s="13"/>
    </row>
    <row r="1078" spans="31:35">
      <c r="AE1078" s="18"/>
      <c r="AF1078" s="13"/>
      <c r="AG1078" s="13"/>
      <c r="AH1078" s="13"/>
      <c r="AI1078" s="13"/>
    </row>
    <row r="1079" spans="31:35">
      <c r="AE1079" s="18"/>
      <c r="AF1079" s="13"/>
      <c r="AG1079" s="13"/>
      <c r="AH1079" s="13"/>
      <c r="AI1079" s="13"/>
    </row>
    <row r="1080" spans="31:35">
      <c r="AE1080" s="18"/>
      <c r="AF1080" s="13"/>
      <c r="AG1080" s="13"/>
      <c r="AH1080" s="13"/>
      <c r="AI1080" s="13"/>
    </row>
    <row r="1081" spans="31:35">
      <c r="AE1081" s="18"/>
      <c r="AF1081" s="13"/>
      <c r="AG1081" s="13"/>
      <c r="AH1081" s="13"/>
      <c r="AI1081" s="13"/>
    </row>
    <row r="1082" spans="31:35">
      <c r="AE1082" s="18"/>
      <c r="AF1082" s="13"/>
      <c r="AG1082" s="13"/>
      <c r="AH1082" s="13"/>
      <c r="AI1082" s="13"/>
    </row>
    <row r="1083" spans="31:35">
      <c r="AE1083" s="18"/>
      <c r="AF1083" s="13"/>
      <c r="AG1083" s="13"/>
      <c r="AH1083" s="13"/>
      <c r="AI1083" s="13"/>
    </row>
    <row r="1084" spans="31:35">
      <c r="AE1084" s="18"/>
      <c r="AF1084" s="13"/>
      <c r="AG1084" s="13"/>
      <c r="AH1084" s="13"/>
      <c r="AI1084" s="13"/>
    </row>
    <row r="1085" spans="31:35">
      <c r="AE1085" s="18"/>
      <c r="AF1085" s="13"/>
      <c r="AG1085" s="13"/>
      <c r="AH1085" s="13"/>
      <c r="AI1085" s="13"/>
    </row>
    <row r="1086" spans="31:35">
      <c r="AE1086" s="18"/>
      <c r="AF1086" s="13"/>
      <c r="AG1086" s="13"/>
      <c r="AH1086" s="13"/>
      <c r="AI1086" s="13"/>
    </row>
    <row r="1087" spans="31:35">
      <c r="AE1087" s="18"/>
      <c r="AF1087" s="13"/>
      <c r="AG1087" s="13"/>
      <c r="AH1087" s="13"/>
      <c r="AI1087" s="13"/>
    </row>
    <row r="1088" spans="31:35">
      <c r="AE1088" s="18"/>
      <c r="AF1088" s="13"/>
      <c r="AG1088" s="13"/>
      <c r="AH1088" s="13"/>
      <c r="AI1088" s="13"/>
    </row>
    <row r="1089" spans="31:35">
      <c r="AE1089" s="18"/>
      <c r="AF1089" s="13"/>
      <c r="AG1089" s="13"/>
      <c r="AH1089" s="13"/>
      <c r="AI1089" s="13"/>
    </row>
    <row r="1090" spans="31:35">
      <c r="AE1090" s="18"/>
      <c r="AF1090" s="13"/>
      <c r="AG1090" s="13"/>
      <c r="AH1090" s="13"/>
      <c r="AI1090" s="13"/>
    </row>
    <row r="1091" spans="31:35">
      <c r="AE1091" s="18"/>
      <c r="AF1091" s="13"/>
      <c r="AG1091" s="13"/>
      <c r="AH1091" s="13"/>
      <c r="AI1091" s="13"/>
    </row>
    <row r="1092" spans="31:35">
      <c r="AE1092" s="18"/>
      <c r="AF1092" s="13"/>
      <c r="AG1092" s="13"/>
      <c r="AH1092" s="13"/>
      <c r="AI1092" s="13"/>
    </row>
    <row r="1093" spans="31:35">
      <c r="AE1093" s="18"/>
      <c r="AF1093" s="13"/>
      <c r="AG1093" s="13"/>
      <c r="AH1093" s="13"/>
      <c r="AI1093" s="13"/>
    </row>
    <row r="1094" spans="31:35">
      <c r="AE1094" s="18"/>
      <c r="AF1094" s="13"/>
      <c r="AG1094" s="13"/>
      <c r="AH1094" s="13"/>
      <c r="AI1094" s="13"/>
    </row>
    <row r="1095" spans="31:35">
      <c r="AE1095" s="18"/>
      <c r="AF1095" s="13"/>
      <c r="AG1095" s="13"/>
      <c r="AH1095" s="13"/>
      <c r="AI1095" s="13"/>
    </row>
    <row r="1096" spans="31:35">
      <c r="AE1096" s="18"/>
      <c r="AF1096" s="13"/>
      <c r="AG1096" s="13"/>
      <c r="AH1096" s="13"/>
      <c r="AI1096" s="13"/>
    </row>
    <row r="1097" spans="31:35">
      <c r="AE1097" s="18"/>
      <c r="AF1097" s="13"/>
      <c r="AG1097" s="13"/>
      <c r="AH1097" s="13"/>
      <c r="AI1097" s="13"/>
    </row>
    <row r="1098" spans="31:35">
      <c r="AE1098" s="18"/>
      <c r="AF1098" s="13"/>
      <c r="AG1098" s="13"/>
      <c r="AH1098" s="13"/>
      <c r="AI1098" s="13"/>
    </row>
    <row r="1099" spans="31:35">
      <c r="AE1099" s="18"/>
      <c r="AF1099" s="13"/>
      <c r="AG1099" s="13"/>
      <c r="AH1099" s="13"/>
      <c r="AI1099" s="13"/>
    </row>
    <row r="1100" spans="31:35">
      <c r="AE1100" s="18"/>
      <c r="AF1100" s="13"/>
      <c r="AG1100" s="13"/>
      <c r="AH1100" s="13"/>
      <c r="AI1100" s="13"/>
    </row>
    <row r="1101" spans="31:35">
      <c r="AE1101" s="18"/>
      <c r="AF1101" s="13"/>
      <c r="AG1101" s="13"/>
      <c r="AH1101" s="13"/>
      <c r="AI1101" s="13"/>
    </row>
    <row r="1102" spans="31:35">
      <c r="AE1102" s="18"/>
      <c r="AF1102" s="13"/>
      <c r="AG1102" s="13"/>
      <c r="AH1102" s="13"/>
      <c r="AI1102" s="13"/>
    </row>
  </sheetData>
  <hyperlinks>
    <hyperlink ref="D59" r:id="rId1" xr:uid="{51656B79-AD81-4663-BE92-5F81067B31E0}"/>
    <hyperlink ref="D67" r:id="rId2" xr:uid="{C2E34A70-9F68-4258-948D-469F61ECA54C}"/>
  </hyperlinks>
  <pageMargins left="0.7" right="0.7" top="0.75" bottom="0.75" header="0.3" footer="0.3"/>
  <pageSetup orientation="portrait" r:id="rId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281D967-8F43-493B-8C81-43C90010F3B5}" mc:Ignorable="x14ac xr xr2 xr3">
  <x:sheetPr codeName="Sheet7"/>
  <x:dimension ref="A1:CZ142"/>
  <x:sheetViews>
    <x:sheetView zoomScale="115" zoomScaleNormal="115" workbookViewId="0">
      <x:selection activeCell="B12" sqref="B12:E12"/>
    </x:sheetView>
  </x:sheetViews>
  <x:sheetFormatPr defaultColWidth="0" defaultRowHeight="15" customHeight="1" zeroHeight="1"/>
  <x:cols>
    <x:col min="1" max="1" width="3.1796875" style="17" customWidth="1"/>
    <x:col min="2" max="2" width="19.81640625" style="12" customWidth="1"/>
    <x:col min="3" max="5" width="19.81640625" style="17" customWidth="1"/>
    <x:col min="6" max="6" width="3.1796875" style="17" customWidth="1"/>
    <x:col min="7" max="8" width="0" style="17" hidden="1" customWidth="1"/>
    <x:col min="9" max="26" width="8.81640625" style="17" hidden="1"/>
    <x:col min="27" max="69" width="5.81640625" style="17" hidden="1" customWidth="1"/>
    <x:col min="70" max="70" width="8.81640625" style="17" hidden="1" customWidth="1"/>
    <x:col min="71" max="71" width="5.81640625" style="17" hidden="1" customWidth="1"/>
    <x:col min="72" max="72" width="8.81640625" style="17" hidden="1" customWidth="1"/>
    <x:col min="73" max="103" width="5.81640625" style="17" hidden="1" customWidth="1"/>
    <x:col min="104" max="104" width="8.81640625" style="17" hidden="1" customWidth="1"/>
    <x:col min="105" max="16384" width="8.81640625" style="17" hidden="1"/>
  </x:cols>
  <x:sheetData>
    <x:row r="1" spans="1:99" ht="18.5">
      <x:c r="A1" s="30"/>
      <x:c r="B1" s="31"/>
      <x:c r="C1" s="30"/>
      <x:c r="D1" s="30"/>
      <x:c r="E1" s="30"/>
      <x:c r="F1" s="30"/>
    </x:row>
    <x:row r="2" spans="1:99" ht="18.5">
      <x:c r="A2" s="30"/>
      <x:c r="B2" s="31" t="str">
        <x:f>"Results for "&amp;SpreadsheetName</x:f>
        <x:v>Results for MECC 2023: April Keyboarding Challenge</x:v>
      </x:c>
      <x:c r="C2" s="30"/>
      <x:c r="D2" s="30"/>
      <x:c r="E2" s="30"/>
      <x:c r="F2" s="30"/>
    </x:row>
    <x:row r="3" spans="1:99" ht="14.5">
      <x:c r="A3" s="30"/>
      <x:c r="B3" s="32"/>
      <x:c r="C3" s="30"/>
      <x:c r="D3" s="30"/>
      <x:c r="E3" s="30"/>
      <x:c r="F3" s="30"/>
    </x:row>
    <x:row r="4" spans="1:99" ht="16" thickBot="1">
      <x:c r="A4" s="30"/>
      <x:c r="B4" s="33" t="s">
        <x:v>499</x:v>
      </x:c>
      <x:c r="C4" s="30"/>
      <x:c r="D4" s="30"/>
      <x:c r="E4" s="30"/>
      <x:c r="F4" s="30"/>
    </x:row>
    <x:row r="5" spans="1:99" ht="39.75" customHeight="1" thickBot="1">
      <x:c r="A5" s="30"/>
      <x:c r="B5" s="34" t="str">
        <x:f>BackgroundCalcs!D55</x:f>
        <x:v>I finished the MECC Keyboarding Challenge in  seconds. Sign up for the Microsoft Excel Collegiate Challenge and give it a try! #ExcelEsports #ExcelAtEller</x:v>
      </x:c>
      <x:c r="C5" s="35"/>
      <x:c r="D5" s="35"/>
      <x:c r="E5" s="36"/>
      <x:c r="F5" s="30"/>
    </x:row>
    <x:row r="6" spans="1:99" thickBot="1">
      <x:c r="A6" s="30"/>
      <x:c r="B6" s="30"/>
      <x:c r="C6" s="30"/>
      <x:c r="D6" s="30"/>
      <x:c r="E6" s="30"/>
      <x:c r="F6" s="30"/>
    </x:row>
    <x:row r="7" spans="1:99" ht="14.5">
      <x:c r="A7" s="30"/>
      <x:c r="B7" s="30"/>
      <x:c r="C7" s="75" t="str">
        <x:f>HYPERLINK(BackgroundCalcs!D65,"Post to Twitter")</x:f>
        <x:v>Post to Twitter</x:v>
      </x:c>
      <x:c r="D7" s="75" t="str">
        <x:f>HYPERLINK(BackgroundCalcs!D59,"Post to LinkedIn")</x:f>
        <x:v>Post to LinkedIn</x:v>
      </x:c>
      <x:c r="E7" s="30"/>
      <x:c r="F7" s="30"/>
    </x:row>
    <x:row r="8" spans="1:99" thickBot="1">
      <x:c r="A8" s="30"/>
      <x:c r="B8" s="30"/>
      <x:c r="C8" s="76"/>
      <x:c r="D8" s="76"/>
      <x:c r="E8" s="30"/>
      <x:c r="F8" s="30"/>
      <x:c r="CT8" s="25"/>
      <x:c r="CU8" s="25"/>
    </x:row>
    <x:row r="9" spans="1:99" ht="14.5">
      <x:c r="A9" s="30"/>
      <x:c r="B9" s="30"/>
      <x:c r="C9" s="30"/>
      <x:c r="D9" s="30"/>
      <x:c r="E9" s="30"/>
      <x:c r="F9" s="30"/>
    </x:row>
    <x:row r="10" spans="1:99" ht="14.5">
      <x:c r="A10" s="30"/>
      <x:c r="B10" s="37" t="s">
        <x:v>500</x:v>
      </x:c>
      <x:c r="C10" s="30"/>
      <x:c r="D10" s="30"/>
      <x:c r="E10" s="30"/>
      <x:c r="F10" s="30"/>
    </x:row>
    <x:row r="11" spans="1:99" thickBot="1">
      <x:c r="A11" s="30"/>
      <x:c r="B11" s="38" t="s">
        <x:v>501</x:v>
      </x:c>
      <x:c r="C11" s="38" t="s">
        <x:v>502</x:v>
      </x:c>
      <x:c r="D11" s="38" t="s">
        <x:v>503</x:v>
      </x:c>
      <x:c r="E11" s="38" t="s">
        <x:v>162</x:v>
      </x:c>
      <x:c r="F11" s="30"/>
      <x:c r="BF11" s="39"/>
    </x:row>
    <x:row r="12" spans="1:99" ht="14.5">
      <x:c r="A12" s="30"/>
      <x:c r="B12" s="40"/>
      <x:c r="C12" s="41"/>
      <x:c r="D12" s="41"/>
      <x:c r="E12" s="42"/>
      <x:c r="F12" s="30"/>
    </x:row>
    <x:row r="13" spans="1:99" ht="14.5">
      <x:c r="A13" s="30"/>
      <x:c r="B13" s="30"/>
      <x:c r="C13" s="30"/>
      <x:c r="D13" s="30"/>
      <x:c r="E13" s="30"/>
      <x:c r="F13" s="30"/>
    </x:row>
    <x:row r="14" spans="1:99" thickBot="1">
      <x:c r="A14" s="30"/>
      <x:c r="B14" s="37" t="s">
        <x:v>504</x:v>
      </x:c>
      <x:c r="C14" s="30"/>
      <x:c r="D14" s="30"/>
      <x:c r="E14" s="30"/>
      <x:c r="F14" s="30"/>
    </x:row>
    <x:row r="15" spans="1:99" thickBot="1">
      <x:c r="A15" s="30"/>
      <x:c r="B15" s="38" t="s">
        <x:v>501</x:v>
      </x:c>
      <x:c r="C15" s="38" t="s">
        <x:v>502</x:v>
      </x:c>
      <x:c r="D15" s="38" t="s">
        <x:v>503</x:v>
      </x:c>
      <x:c r="E15" s="38" t="s">
        <x:v>162</x:v>
      </x:c>
      <x:c r="F15" s="30"/>
      <x:c r="BP15" s="43"/>
      <x:c r="BR15" s="43"/>
      <x:c r="BT15" s="43"/>
      <x:c r="BW15" s="39"/>
      <x:c r="BY15" s="39"/>
      <x:c r="CA15" s="39"/>
      <x:c r="CC15" s="44"/>
    </x:row>
    <x:row r="16" spans="1:99" ht="14.5">
      <x:c r="A16" s="30"/>
      <x:c r="B16" s="40" t="str">
        <x:f>IF(ISBLANK(B20),"",INDEX(B20:B138,MATCH(C16,C20:C138,0)))</x:f>
        <x:v/>
      </x:c>
      <x:c r="C16" s="41" t="str">
        <x:f>IF(ISBLANK(C20),"",INDEX(C20:C138,MATCH($E$16,$E$20:$E$138,0)))</x:f>
        <x:v/>
      </x:c>
      <x:c r="D16" s="41" t="str">
        <x:f>IF(ISBLANK(D20),"",INDEX(D20:D138,MATCH($E$16,$E$20:$E$138,0)))</x:f>
        <x:v/>
      </x:c>
      <x:c r="E16" s="42" t="str">
        <x:f>IF(ISBLANK(E20),"",MIN(E20:E138))</x:f>
        <x:v/>
      </x:c>
      <x:c r="F16" s="30"/>
    </x:row>
    <x:row r="17" spans="1:104" ht="14.5">
      <x:c r="A17" s="30"/>
      <x:c r="B17" s="30"/>
      <x:c r="C17" s="30"/>
      <x:c r="D17" s="30"/>
      <x:c r="E17" s="30"/>
      <x:c r="F17" s="30"/>
      <x:c r="CZ17" s="39"/>
    </x:row>
    <x:row r="18" spans="1:104" ht="14.5">
      <x:c r="A18" s="30"/>
      <x:c r="B18" s="37" t="s">
        <x:v>505</x:v>
      </x:c>
      <x:c r="C18" s="30"/>
      <x:c r="D18" s="30"/>
      <x:c r="E18" s="30"/>
      <x:c r="F18" s="30"/>
    </x:row>
    <x:row r="19" spans="1:104" thickBot="1">
      <x:c r="A19" s="30"/>
      <x:c r="B19" s="38" t="s">
        <x:v>501</x:v>
      </x:c>
      <x:c r="C19" s="38" t="s">
        <x:v>502</x:v>
      </x:c>
      <x:c r="D19" s="38" t="s">
        <x:v>503</x:v>
      </x:c>
      <x:c r="E19" s="38" t="s">
        <x:v>162</x:v>
      </x:c>
      <x:c r="F19" s="30"/>
    </x:row>
    <x:row r="20" spans="1:104" ht="14.5">
      <x:c r="A20" s="30"/>
      <x:c r="B20" s="40"/>
      <x:c r="C20" s="42"/>
      <x:c r="D20" s="42"/>
      <x:c r="E20" s="42"/>
      <x:c r="F20" s="30"/>
    </x:row>
    <x:row r="21" spans="1:104" ht="14.5">
      <x:c r="A21" s="30"/>
      <x:c r="B21" s="40"/>
      <x:c r="C21" s="42"/>
      <x:c r="D21" s="42"/>
      <x:c r="E21" s="42"/>
      <x:c r="F21" s="30"/>
    </x:row>
    <x:row r="22" spans="1:104" ht="14.5">
      <x:c r="A22" s="30"/>
      <x:c r="B22" s="40"/>
      <x:c r="C22" s="42"/>
      <x:c r="D22" s="42"/>
      <x:c r="E22" s="42"/>
      <x:c r="F22" s="30"/>
    </x:row>
    <x:row r="23" spans="1:104" ht="14.5">
      <x:c r="A23" s="30"/>
      <x:c r="B23" s="40"/>
      <x:c r="C23" s="42"/>
      <x:c r="D23" s="42"/>
      <x:c r="E23" s="42"/>
      <x:c r="F23" s="30"/>
    </x:row>
    <x:row r="24" spans="1:104" ht="14.5">
      <x:c r="A24" s="30"/>
      <x:c r="B24" s="40"/>
      <x:c r="C24" s="42"/>
      <x:c r="D24" s="42"/>
      <x:c r="E24" s="42"/>
      <x:c r="F24" s="30"/>
    </x:row>
    <x:row r="25" spans="1:104" ht="14.5">
      <x:c r="A25" s="30"/>
      <x:c r="B25" s="40"/>
      <x:c r="C25" s="42"/>
      <x:c r="D25" s="42"/>
      <x:c r="E25" s="42"/>
      <x:c r="F25" s="30"/>
    </x:row>
    <x:row r="26" spans="1:104" ht="14.5">
      <x:c r="A26" s="30"/>
      <x:c r="B26" s="40"/>
      <x:c r="C26" s="42"/>
      <x:c r="D26" s="42"/>
      <x:c r="E26" s="42"/>
      <x:c r="F26" s="30"/>
    </x:row>
    <x:row r="27" spans="1:104" ht="14.5">
      <x:c r="A27" s="30"/>
      <x:c r="B27" s="40"/>
      <x:c r="C27" s="42"/>
      <x:c r="D27" s="42"/>
      <x:c r="E27" s="42"/>
      <x:c r="F27" s="30"/>
    </x:row>
    <x:row r="28" spans="1:104" ht="14.5">
      <x:c r="A28" s="30"/>
      <x:c r="B28" s="40"/>
      <x:c r="C28" s="42"/>
      <x:c r="D28" s="42"/>
      <x:c r="E28" s="42"/>
      <x:c r="F28" s="30"/>
    </x:row>
    <x:row r="29" spans="1:104" ht="14.5">
      <x:c r="A29" s="30"/>
      <x:c r="B29" s="40"/>
      <x:c r="C29" s="42"/>
      <x:c r="D29" s="42"/>
      <x:c r="E29" s="42"/>
      <x:c r="F29" s="30"/>
    </x:row>
    <x:row r="30" spans="1:104" ht="14.5">
      <x:c r="A30" s="30"/>
      <x:c r="B30" s="40"/>
      <x:c r="C30" s="42"/>
      <x:c r="D30" s="42"/>
      <x:c r="E30" s="42"/>
      <x:c r="F30" s="30"/>
    </x:row>
    <x:row r="31" spans="1:104" ht="14.5">
      <x:c r="A31" s="30"/>
      <x:c r="B31" s="40"/>
      <x:c r="C31" s="42"/>
      <x:c r="D31" s="42"/>
      <x:c r="E31" s="42"/>
      <x:c r="F31" s="30"/>
    </x:row>
    <x:row r="32" spans="1:104" ht="14.5">
      <x:c r="A32" s="30"/>
      <x:c r="B32" s="40"/>
      <x:c r="C32" s="42"/>
      <x:c r="D32" s="42"/>
      <x:c r="E32" s="42"/>
      <x:c r="F32" s="30"/>
    </x:row>
    <x:row r="33" spans="1:6" ht="14.5">
      <x:c r="A33" s="30"/>
      <x:c r="B33" s="40"/>
      <x:c r="C33" s="42"/>
      <x:c r="D33" s="42"/>
      <x:c r="E33" s="42"/>
      <x:c r="F33" s="30"/>
    </x:row>
    <x:row r="34" spans="1:6" ht="14.5">
      <x:c r="A34" s="30"/>
      <x:c r="B34" s="40"/>
      <x:c r="C34" s="42"/>
      <x:c r="D34" s="42"/>
      <x:c r="E34" s="42"/>
      <x:c r="F34" s="30"/>
    </x:row>
    <x:row r="35" spans="1:6" ht="14.5">
      <x:c r="A35" s="30"/>
      <x:c r="B35" s="40"/>
      <x:c r="C35" s="42"/>
      <x:c r="D35" s="42"/>
      <x:c r="E35" s="42"/>
      <x:c r="F35" s="30"/>
    </x:row>
    <x:row r="36" spans="1:6" ht="14.5">
      <x:c r="A36" s="30"/>
      <x:c r="B36" s="40"/>
      <x:c r="C36" s="42"/>
      <x:c r="D36" s="42"/>
      <x:c r="E36" s="42"/>
      <x:c r="F36" s="30"/>
    </x:row>
    <x:row r="37" spans="1:6" ht="14.5">
      <x:c r="A37" s="30"/>
      <x:c r="B37" s="40"/>
      <x:c r="C37" s="42"/>
      <x:c r="D37" s="42"/>
      <x:c r="E37" s="42"/>
      <x:c r="F37" s="30"/>
    </x:row>
    <x:row r="38" spans="1:6" ht="14.5">
      <x:c r="A38" s="30"/>
      <x:c r="B38" s="40"/>
      <x:c r="C38" s="42"/>
      <x:c r="D38" s="42"/>
      <x:c r="E38" s="42"/>
      <x:c r="F38" s="30"/>
    </x:row>
    <x:row r="39" spans="1:6" ht="14.5">
      <x:c r="A39" s="30"/>
      <x:c r="B39" s="40"/>
      <x:c r="C39" s="42"/>
      <x:c r="D39" s="42"/>
      <x:c r="E39" s="42"/>
      <x:c r="F39" s="30"/>
    </x:row>
    <x:row r="40" spans="1:6" ht="14.5">
      <x:c r="A40" s="30"/>
      <x:c r="B40" s="40"/>
      <x:c r="C40" s="42"/>
      <x:c r="D40" s="42"/>
      <x:c r="E40" s="42"/>
      <x:c r="F40" s="30"/>
    </x:row>
    <x:row r="41" spans="1:6" ht="14.5">
      <x:c r="A41" s="30"/>
      <x:c r="B41" s="40"/>
      <x:c r="C41" s="42"/>
      <x:c r="D41" s="42"/>
      <x:c r="E41" s="42"/>
      <x:c r="F41" s="30"/>
    </x:row>
    <x:row r="42" spans="1:6" ht="14.5">
      <x:c r="A42" s="30"/>
      <x:c r="B42" s="40"/>
      <x:c r="C42" s="42"/>
      <x:c r="D42" s="42"/>
      <x:c r="E42" s="42"/>
      <x:c r="F42" s="30"/>
    </x:row>
    <x:row r="43" spans="1:6" ht="14.5">
      <x:c r="A43" s="30"/>
      <x:c r="B43" s="40"/>
      <x:c r="C43" s="42"/>
      <x:c r="D43" s="42"/>
      <x:c r="E43" s="42"/>
      <x:c r="F43" s="30"/>
    </x:row>
    <x:row r="44" spans="1:6" ht="14.5">
      <x:c r="A44" s="30"/>
      <x:c r="B44" s="40"/>
      <x:c r="C44" s="42"/>
      <x:c r="D44" s="42"/>
      <x:c r="E44" s="42"/>
      <x:c r="F44" s="30"/>
    </x:row>
    <x:row r="45" spans="1:6" ht="14.5">
      <x:c r="A45" s="30"/>
      <x:c r="B45" s="40"/>
      <x:c r="C45" s="42"/>
      <x:c r="D45" s="42"/>
      <x:c r="E45" s="42"/>
      <x:c r="F45" s="30"/>
    </x:row>
    <x:row r="46" spans="1:6" ht="14.5">
      <x:c r="A46" s="30"/>
      <x:c r="B46" s="40"/>
      <x:c r="C46" s="42"/>
      <x:c r="D46" s="42"/>
      <x:c r="E46" s="42"/>
      <x:c r="F46" s="30"/>
    </x:row>
    <x:row r="47" spans="1:6" ht="14.5">
      <x:c r="A47" s="30"/>
      <x:c r="B47" s="40"/>
      <x:c r="C47" s="42"/>
      <x:c r="D47" s="42"/>
      <x:c r="E47" s="42"/>
      <x:c r="F47" s="30"/>
    </x:row>
    <x:row r="48" spans="1:6" ht="14.5">
      <x:c r="A48" s="30"/>
      <x:c r="B48" s="40"/>
      <x:c r="C48" s="42"/>
      <x:c r="D48" s="42"/>
      <x:c r="E48" s="42"/>
      <x:c r="F48" s="30"/>
    </x:row>
    <x:row r="49" spans="1:6" ht="14.5">
      <x:c r="A49" s="30"/>
      <x:c r="B49" s="40"/>
      <x:c r="C49" s="42"/>
      <x:c r="D49" s="42"/>
      <x:c r="E49" s="42"/>
      <x:c r="F49" s="30"/>
    </x:row>
    <x:row r="50" spans="1:6" ht="14.5">
      <x:c r="A50" s="30"/>
      <x:c r="B50" s="40"/>
      <x:c r="C50" s="42"/>
      <x:c r="D50" s="42"/>
      <x:c r="E50" s="42"/>
      <x:c r="F50" s="30"/>
    </x:row>
    <x:row r="51" spans="1:6" ht="14.5">
      <x:c r="A51" s="30"/>
      <x:c r="B51" s="40"/>
      <x:c r="C51" s="42"/>
      <x:c r="D51" s="42"/>
      <x:c r="E51" s="42"/>
      <x:c r="F51" s="30"/>
    </x:row>
    <x:row r="52" spans="1:6" ht="14.5">
      <x:c r="A52" s="30"/>
      <x:c r="B52" s="40"/>
      <x:c r="C52" s="42"/>
      <x:c r="D52" s="42"/>
      <x:c r="E52" s="42"/>
      <x:c r="F52" s="30"/>
    </x:row>
    <x:row r="53" spans="1:6" ht="14.5">
      <x:c r="A53" s="30"/>
      <x:c r="B53" s="40"/>
      <x:c r="C53" s="42"/>
      <x:c r="D53" s="42"/>
      <x:c r="E53" s="42"/>
      <x:c r="F53" s="30"/>
    </x:row>
    <x:row r="54" spans="1:6" ht="14.5">
      <x:c r="A54" s="30"/>
      <x:c r="B54" s="40"/>
      <x:c r="C54" s="42"/>
      <x:c r="D54" s="42"/>
      <x:c r="E54" s="42"/>
      <x:c r="F54" s="30"/>
    </x:row>
    <x:row r="55" spans="1:6" ht="14.5">
      <x:c r="A55" s="30"/>
      <x:c r="B55" s="40"/>
      <x:c r="C55" s="42"/>
      <x:c r="D55" s="42"/>
      <x:c r="E55" s="42"/>
      <x:c r="F55" s="30"/>
    </x:row>
    <x:row r="56" spans="1:6" ht="14.5">
      <x:c r="A56" s="30"/>
      <x:c r="B56" s="40"/>
      <x:c r="C56" s="42"/>
      <x:c r="D56" s="42"/>
      <x:c r="E56" s="42"/>
      <x:c r="F56" s="30"/>
    </x:row>
    <x:row r="57" spans="1:6" ht="14.5">
      <x:c r="A57" s="30"/>
      <x:c r="B57" s="40"/>
      <x:c r="C57" s="42"/>
      <x:c r="D57" s="42"/>
      <x:c r="E57" s="42"/>
      <x:c r="F57" s="30"/>
    </x:row>
    <x:row r="58" spans="1:6" ht="14.5">
      <x:c r="A58" s="30"/>
      <x:c r="B58" s="40"/>
      <x:c r="C58" s="42"/>
      <x:c r="D58" s="42"/>
      <x:c r="E58" s="42"/>
      <x:c r="F58" s="30"/>
    </x:row>
    <x:row r="59" spans="1:6" ht="14.5">
      <x:c r="A59" s="30"/>
      <x:c r="B59" s="40"/>
      <x:c r="C59" s="42"/>
      <x:c r="D59" s="42"/>
      <x:c r="E59" s="42"/>
      <x:c r="F59" s="30"/>
    </x:row>
    <x:row r="60" spans="1:6" ht="14.5">
      <x:c r="A60" s="30"/>
      <x:c r="B60" s="40"/>
      <x:c r="C60" s="42"/>
      <x:c r="D60" s="42"/>
      <x:c r="E60" s="42"/>
      <x:c r="F60" s="30"/>
    </x:row>
    <x:row r="61" spans="1:6" ht="14.5">
      <x:c r="A61" s="30"/>
      <x:c r="B61" s="40"/>
      <x:c r="C61" s="42"/>
      <x:c r="D61" s="42"/>
      <x:c r="E61" s="42"/>
      <x:c r="F61" s="30"/>
    </x:row>
    <x:row r="62" spans="1:6" ht="14.5">
      <x:c r="A62" s="30"/>
      <x:c r="B62" s="40"/>
      <x:c r="C62" s="42"/>
      <x:c r="D62" s="42"/>
      <x:c r="E62" s="42"/>
      <x:c r="F62" s="30"/>
    </x:row>
    <x:row r="63" spans="1:6" ht="14.5">
      <x:c r="A63" s="30"/>
      <x:c r="B63" s="40"/>
      <x:c r="C63" s="42"/>
      <x:c r="D63" s="42"/>
      <x:c r="E63" s="42"/>
      <x:c r="F63" s="30"/>
    </x:row>
    <x:row r="64" spans="1:6" ht="14.5">
      <x:c r="A64" s="30"/>
      <x:c r="B64" s="40"/>
      <x:c r="C64" s="42"/>
      <x:c r="D64" s="42"/>
      <x:c r="E64" s="42"/>
      <x:c r="F64" s="30"/>
    </x:row>
    <x:row r="65" spans="1:6" ht="14.5">
      <x:c r="A65" s="30"/>
      <x:c r="B65" s="40"/>
      <x:c r="C65" s="42"/>
      <x:c r="D65" s="42"/>
      <x:c r="E65" s="42"/>
      <x:c r="F65" s="30"/>
    </x:row>
    <x:row r="66" spans="1:6" ht="14.5">
      <x:c r="A66" s="30"/>
      <x:c r="B66" s="40"/>
      <x:c r="C66" s="42"/>
      <x:c r="D66" s="42"/>
      <x:c r="E66" s="42"/>
      <x:c r="F66" s="30"/>
    </x:row>
    <x:row r="67" spans="1:6" ht="14.5">
      <x:c r="A67" s="30"/>
      <x:c r="B67" s="40"/>
      <x:c r="C67" s="42"/>
      <x:c r="D67" s="42"/>
      <x:c r="E67" s="42"/>
      <x:c r="F67" s="30"/>
    </x:row>
    <x:row r="68" spans="1:6" ht="14.5">
      <x:c r="A68" s="30"/>
      <x:c r="B68" s="40"/>
      <x:c r="C68" s="42"/>
      <x:c r="D68" s="42"/>
      <x:c r="E68" s="42"/>
      <x:c r="F68" s="30"/>
    </x:row>
    <x:row r="69" spans="1:6" ht="14.5">
      <x:c r="A69" s="30"/>
      <x:c r="B69" s="40"/>
      <x:c r="C69" s="42"/>
      <x:c r="D69" s="42"/>
      <x:c r="E69" s="42"/>
      <x:c r="F69" s="30"/>
    </x:row>
    <x:row r="70" spans="1:6" ht="14.5">
      <x:c r="A70" s="30"/>
      <x:c r="B70" s="40"/>
      <x:c r="C70" s="42"/>
      <x:c r="D70" s="42"/>
      <x:c r="E70" s="42"/>
      <x:c r="F70" s="30"/>
    </x:row>
    <x:row r="71" spans="1:6" ht="14.5">
      <x:c r="A71" s="30"/>
      <x:c r="B71" s="40"/>
      <x:c r="C71" s="42"/>
      <x:c r="D71" s="42"/>
      <x:c r="E71" s="42"/>
      <x:c r="F71" s="30"/>
    </x:row>
    <x:row r="72" spans="1:6" ht="14.5">
      <x:c r="A72" s="30"/>
      <x:c r="B72" s="40"/>
      <x:c r="C72" s="42"/>
      <x:c r="D72" s="42"/>
      <x:c r="E72" s="42"/>
      <x:c r="F72" s="30"/>
    </x:row>
    <x:row r="73" spans="1:6" ht="14.5">
      <x:c r="A73" s="30"/>
      <x:c r="B73" s="40"/>
      <x:c r="C73" s="42"/>
      <x:c r="D73" s="42"/>
      <x:c r="E73" s="42"/>
      <x:c r="F73" s="30"/>
    </x:row>
    <x:row r="74" spans="1:6" ht="14.5">
      <x:c r="A74" s="30"/>
      <x:c r="B74" s="40"/>
      <x:c r="C74" s="42"/>
      <x:c r="D74" s="42"/>
      <x:c r="E74" s="42"/>
      <x:c r="F74" s="30"/>
    </x:row>
    <x:row r="75" spans="1:6" ht="14.5">
      <x:c r="A75" s="30"/>
      <x:c r="B75" s="40"/>
      <x:c r="C75" s="42"/>
      <x:c r="D75" s="42"/>
      <x:c r="E75" s="42"/>
      <x:c r="F75" s="30"/>
    </x:row>
    <x:row r="76" spans="1:6" ht="14.5">
      <x:c r="A76" s="30"/>
      <x:c r="B76" s="40"/>
      <x:c r="C76" s="42"/>
      <x:c r="D76" s="42"/>
      <x:c r="E76" s="42"/>
      <x:c r="F76" s="30"/>
    </x:row>
    <x:row r="77" spans="1:6" ht="14.5">
      <x:c r="A77" s="30"/>
      <x:c r="B77" s="40"/>
      <x:c r="C77" s="42"/>
      <x:c r="D77" s="42"/>
      <x:c r="E77" s="42"/>
      <x:c r="F77" s="30"/>
    </x:row>
    <x:row r="78" spans="1:6" ht="14.5">
      <x:c r="A78" s="30"/>
      <x:c r="B78" s="40"/>
      <x:c r="C78" s="42"/>
      <x:c r="D78" s="42"/>
      <x:c r="E78" s="42"/>
      <x:c r="F78" s="30"/>
    </x:row>
    <x:row r="79" spans="1:6" ht="14.5">
      <x:c r="A79" s="30"/>
      <x:c r="B79" s="40"/>
      <x:c r="C79" s="42"/>
      <x:c r="D79" s="42"/>
      <x:c r="E79" s="42"/>
      <x:c r="F79" s="30"/>
    </x:row>
    <x:row r="80" spans="1:6" ht="14.5">
      <x:c r="A80" s="30"/>
      <x:c r="B80" s="40"/>
      <x:c r="C80" s="42"/>
      <x:c r="D80" s="42"/>
      <x:c r="E80" s="42"/>
      <x:c r="F80" s="30"/>
    </x:row>
    <x:row r="81" spans="1:6" ht="14.5">
      <x:c r="A81" s="30"/>
      <x:c r="B81" s="40"/>
      <x:c r="C81" s="42"/>
      <x:c r="D81" s="42"/>
      <x:c r="E81" s="42"/>
      <x:c r="F81" s="30"/>
    </x:row>
    <x:row r="82" spans="1:6" ht="14.5">
      <x:c r="A82" s="30"/>
      <x:c r="B82" s="40"/>
      <x:c r="C82" s="42"/>
      <x:c r="D82" s="42"/>
      <x:c r="E82" s="42"/>
      <x:c r="F82" s="30"/>
    </x:row>
    <x:row r="83" spans="1:6" ht="14.5">
      <x:c r="A83" s="30"/>
      <x:c r="B83" s="40"/>
      <x:c r="C83" s="42"/>
      <x:c r="D83" s="42"/>
      <x:c r="E83" s="42"/>
      <x:c r="F83" s="30"/>
    </x:row>
    <x:row r="84" spans="1:6" ht="14.5">
      <x:c r="A84" s="30"/>
      <x:c r="B84" s="40"/>
      <x:c r="C84" s="42"/>
      <x:c r="D84" s="42"/>
      <x:c r="E84" s="42"/>
      <x:c r="F84" s="30"/>
    </x:row>
    <x:row r="85" spans="1:6" ht="14.5">
      <x:c r="A85" s="30"/>
      <x:c r="B85" s="40"/>
      <x:c r="C85" s="42"/>
      <x:c r="D85" s="42"/>
      <x:c r="E85" s="42"/>
      <x:c r="F85" s="30"/>
    </x:row>
    <x:row r="86" spans="1:6" ht="14.5">
      <x:c r="A86" s="30"/>
      <x:c r="B86" s="40"/>
      <x:c r="C86" s="42"/>
      <x:c r="D86" s="42"/>
      <x:c r="E86" s="42"/>
      <x:c r="F86" s="30"/>
    </x:row>
    <x:row r="87" spans="1:6" ht="14.5">
      <x:c r="A87" s="30"/>
      <x:c r="B87" s="40"/>
      <x:c r="C87" s="42"/>
      <x:c r="D87" s="42"/>
      <x:c r="E87" s="42"/>
      <x:c r="F87" s="30"/>
    </x:row>
    <x:row r="88" spans="1:6" ht="14.5">
      <x:c r="A88" s="30"/>
      <x:c r="B88" s="40"/>
      <x:c r="C88" s="42"/>
      <x:c r="D88" s="42"/>
      <x:c r="E88" s="42"/>
      <x:c r="F88" s="30"/>
    </x:row>
    <x:row r="89" spans="1:6" ht="14.5">
      <x:c r="A89" s="30"/>
      <x:c r="B89" s="40"/>
      <x:c r="C89" s="42"/>
      <x:c r="D89" s="42"/>
      <x:c r="E89" s="42"/>
      <x:c r="F89" s="30"/>
    </x:row>
    <x:row r="90" spans="1:6" ht="14.5">
      <x:c r="A90" s="30"/>
      <x:c r="B90" s="40"/>
      <x:c r="C90" s="42"/>
      <x:c r="D90" s="42"/>
      <x:c r="E90" s="42"/>
      <x:c r="F90" s="30"/>
    </x:row>
    <x:row r="91" spans="1:6" ht="14.5">
      <x:c r="A91" s="30"/>
      <x:c r="B91" s="40"/>
      <x:c r="C91" s="42"/>
      <x:c r="D91" s="42"/>
      <x:c r="E91" s="42"/>
      <x:c r="F91" s="30"/>
    </x:row>
    <x:row r="92" spans="1:6" ht="14.5">
      <x:c r="A92" s="30"/>
      <x:c r="B92" s="40"/>
      <x:c r="C92" s="42"/>
      <x:c r="D92" s="42"/>
      <x:c r="E92" s="42"/>
      <x:c r="F92" s="30"/>
    </x:row>
    <x:row r="93" spans="1:6" ht="14.5">
      <x:c r="A93" s="30"/>
      <x:c r="B93" s="40"/>
      <x:c r="C93" s="42"/>
      <x:c r="D93" s="42"/>
      <x:c r="E93" s="42"/>
      <x:c r="F93" s="30"/>
    </x:row>
    <x:row r="94" spans="1:6" ht="14.5">
      <x:c r="A94" s="30"/>
      <x:c r="B94" s="40"/>
      <x:c r="C94" s="42"/>
      <x:c r="D94" s="42"/>
      <x:c r="E94" s="42"/>
      <x:c r="F94" s="30"/>
    </x:row>
    <x:row r="95" spans="1:6" ht="14.5">
      <x:c r="A95" s="30"/>
      <x:c r="B95" s="40"/>
      <x:c r="C95" s="42"/>
      <x:c r="D95" s="42"/>
      <x:c r="E95" s="42"/>
      <x:c r="F95" s="30"/>
    </x:row>
    <x:row r="96" spans="1:6" ht="14.5">
      <x:c r="A96" s="30"/>
      <x:c r="B96" s="40"/>
      <x:c r="C96" s="42"/>
      <x:c r="D96" s="42"/>
      <x:c r="E96" s="42"/>
      <x:c r="F96" s="30"/>
    </x:row>
    <x:row r="97" spans="1:6" ht="14.5">
      <x:c r="A97" s="30"/>
      <x:c r="B97" s="40"/>
      <x:c r="C97" s="42"/>
      <x:c r="D97" s="42"/>
      <x:c r="E97" s="42"/>
      <x:c r="F97" s="30"/>
    </x:row>
    <x:row r="98" spans="1:6" ht="14.5">
      <x:c r="A98" s="30"/>
      <x:c r="B98" s="40"/>
      <x:c r="C98" s="42"/>
      <x:c r="D98" s="42"/>
      <x:c r="E98" s="42"/>
      <x:c r="F98" s="30"/>
    </x:row>
    <x:row r="99" spans="1:6" ht="14.5">
      <x:c r="A99" s="30"/>
      <x:c r="B99" s="40"/>
      <x:c r="C99" s="42"/>
      <x:c r="D99" s="42"/>
      <x:c r="E99" s="42"/>
      <x:c r="F99" s="30"/>
    </x:row>
    <x:row r="100" spans="1:6" ht="14.5">
      <x:c r="A100" s="30"/>
      <x:c r="B100" s="40"/>
      <x:c r="C100" s="42"/>
      <x:c r="D100" s="42"/>
      <x:c r="E100" s="42"/>
      <x:c r="F100" s="30"/>
    </x:row>
    <x:row r="101" spans="1:6" ht="14.5">
      <x:c r="A101" s="30"/>
      <x:c r="B101" s="40"/>
      <x:c r="C101" s="42"/>
      <x:c r="D101" s="42"/>
      <x:c r="E101" s="42"/>
      <x:c r="F101" s="30"/>
    </x:row>
    <x:row r="102" spans="1:6" ht="14.5">
      <x:c r="A102" s="30"/>
      <x:c r="B102" s="40"/>
      <x:c r="C102" s="42"/>
      <x:c r="D102" s="42"/>
      <x:c r="E102" s="42"/>
      <x:c r="F102" s="30"/>
    </x:row>
    <x:row r="103" spans="1:6" ht="14.5">
      <x:c r="A103" s="30"/>
      <x:c r="B103" s="40"/>
      <x:c r="C103" s="42"/>
      <x:c r="D103" s="42"/>
      <x:c r="E103" s="42"/>
      <x:c r="F103" s="30"/>
    </x:row>
    <x:row r="104" spans="1:6" ht="14.5">
      <x:c r="A104" s="30"/>
      <x:c r="B104" s="40"/>
      <x:c r="C104" s="42"/>
      <x:c r="D104" s="42"/>
      <x:c r="E104" s="42"/>
      <x:c r="F104" s="30"/>
    </x:row>
    <x:row r="105" spans="1:6" ht="14.5">
      <x:c r="A105" s="30"/>
      <x:c r="B105" s="40"/>
      <x:c r="C105" s="42"/>
      <x:c r="D105" s="42"/>
      <x:c r="E105" s="42"/>
      <x:c r="F105" s="30"/>
    </x:row>
    <x:row r="106" spans="1:6" ht="14.5">
      <x:c r="A106" s="30"/>
      <x:c r="B106" s="40"/>
      <x:c r="C106" s="42"/>
      <x:c r="D106" s="42"/>
      <x:c r="E106" s="42"/>
      <x:c r="F106" s="30"/>
    </x:row>
    <x:row r="107" spans="1:6" ht="14.5">
      <x:c r="A107" s="30"/>
      <x:c r="B107" s="40"/>
      <x:c r="C107" s="42"/>
      <x:c r="D107" s="42"/>
      <x:c r="E107" s="42"/>
      <x:c r="F107" s="30"/>
    </x:row>
    <x:row r="108" spans="1:6" ht="14.5">
      <x:c r="A108" s="30"/>
      <x:c r="B108" s="40"/>
      <x:c r="C108" s="42"/>
      <x:c r="D108" s="42"/>
      <x:c r="E108" s="42"/>
      <x:c r="F108" s="30"/>
    </x:row>
    <x:row r="109" spans="1:6" ht="14.5">
      <x:c r="A109" s="30"/>
      <x:c r="B109" s="40"/>
      <x:c r="C109" s="42"/>
      <x:c r="D109" s="42"/>
      <x:c r="E109" s="42"/>
      <x:c r="F109" s="30"/>
    </x:row>
    <x:row r="110" spans="1:6" ht="14.5">
      <x:c r="A110" s="30"/>
      <x:c r="B110" s="40"/>
      <x:c r="C110" s="42"/>
      <x:c r="D110" s="42"/>
      <x:c r="E110" s="42"/>
      <x:c r="F110" s="30"/>
    </x:row>
    <x:row r="111" spans="1:6" ht="14.5">
      <x:c r="A111" s="30"/>
      <x:c r="B111" s="40"/>
      <x:c r="C111" s="42"/>
      <x:c r="D111" s="42"/>
      <x:c r="E111" s="42"/>
      <x:c r="F111" s="30"/>
    </x:row>
    <x:row r="112" spans="1:6" ht="14.5">
      <x:c r="A112" s="30"/>
      <x:c r="B112" s="40"/>
      <x:c r="C112" s="42"/>
      <x:c r="D112" s="42"/>
      <x:c r="E112" s="42"/>
      <x:c r="F112" s="30"/>
    </x:row>
    <x:row r="113" spans="1:6" ht="14.5">
      <x:c r="A113" s="30"/>
      <x:c r="B113" s="40"/>
      <x:c r="C113" s="42"/>
      <x:c r="D113" s="42"/>
      <x:c r="E113" s="42"/>
      <x:c r="F113" s="30"/>
    </x:row>
    <x:row r="114" spans="1:6" ht="14.5">
      <x:c r="A114" s="30"/>
      <x:c r="B114" s="40"/>
      <x:c r="C114" s="42"/>
      <x:c r="D114" s="42"/>
      <x:c r="E114" s="42"/>
      <x:c r="F114" s="30"/>
    </x:row>
    <x:row r="115" spans="1:6" ht="14.5">
      <x:c r="A115" s="30"/>
      <x:c r="B115" s="40"/>
      <x:c r="C115" s="42"/>
      <x:c r="D115" s="42"/>
      <x:c r="E115" s="42"/>
      <x:c r="F115" s="30"/>
    </x:row>
    <x:row r="116" spans="1:6" ht="14.5">
      <x:c r="A116" s="30"/>
      <x:c r="B116" s="40"/>
      <x:c r="C116" s="42"/>
      <x:c r="D116" s="42"/>
      <x:c r="E116" s="42"/>
      <x:c r="F116" s="30"/>
    </x:row>
    <x:row r="117" spans="1:6" ht="14.5">
      <x:c r="A117" s="30"/>
      <x:c r="B117" s="40"/>
      <x:c r="C117" s="42"/>
      <x:c r="D117" s="42"/>
      <x:c r="E117" s="42"/>
      <x:c r="F117" s="30"/>
    </x:row>
    <x:row r="118" spans="1:6" ht="14.5">
      <x:c r="A118" s="30"/>
      <x:c r="B118" s="40"/>
      <x:c r="C118" s="42"/>
      <x:c r="D118" s="42"/>
      <x:c r="E118" s="42"/>
      <x:c r="F118" s="30"/>
    </x:row>
    <x:row r="119" spans="1:6" ht="14.5">
      <x:c r="A119" s="30"/>
      <x:c r="B119" s="40"/>
      <x:c r="C119" s="42"/>
      <x:c r="D119" s="42"/>
      <x:c r="E119" s="42"/>
      <x:c r="F119" s="30"/>
    </x:row>
    <x:row r="120" spans="1:6" ht="14.5">
      <x:c r="A120" s="30"/>
      <x:c r="B120" s="40"/>
      <x:c r="C120" s="42"/>
      <x:c r="D120" s="42"/>
      <x:c r="E120" s="42"/>
      <x:c r="F120" s="30"/>
    </x:row>
    <x:row r="121" spans="1:6" ht="14.5">
      <x:c r="A121" s="30"/>
      <x:c r="B121" s="40"/>
      <x:c r="C121" s="42"/>
      <x:c r="D121" s="42"/>
      <x:c r="E121" s="42"/>
      <x:c r="F121" s="30"/>
    </x:row>
    <x:row r="122" spans="1:6" ht="14.5">
      <x:c r="A122" s="30"/>
      <x:c r="B122" s="40"/>
      <x:c r="C122" s="42"/>
      <x:c r="D122" s="42"/>
      <x:c r="E122" s="42"/>
      <x:c r="F122" s="30"/>
    </x:row>
    <x:row r="123" spans="1:6" ht="14.5">
      <x:c r="A123" s="30"/>
      <x:c r="B123" s="40"/>
      <x:c r="C123" s="42"/>
      <x:c r="D123" s="42"/>
      <x:c r="E123" s="42"/>
      <x:c r="F123" s="30"/>
    </x:row>
    <x:row r="124" spans="1:6" ht="14.5">
      <x:c r="A124" s="30"/>
      <x:c r="B124" s="40"/>
      <x:c r="C124" s="42"/>
      <x:c r="D124" s="42"/>
      <x:c r="E124" s="42"/>
      <x:c r="F124" s="30"/>
    </x:row>
    <x:row r="125" spans="1:6" ht="14.5">
      <x:c r="A125" s="30"/>
      <x:c r="B125" s="40"/>
      <x:c r="C125" s="42"/>
      <x:c r="D125" s="42"/>
      <x:c r="E125" s="42"/>
      <x:c r="F125" s="30"/>
    </x:row>
    <x:row r="126" spans="1:6" ht="14.5">
      <x:c r="A126" s="30"/>
      <x:c r="B126" s="40"/>
      <x:c r="C126" s="42"/>
      <x:c r="D126" s="42"/>
      <x:c r="E126" s="42"/>
      <x:c r="F126" s="30"/>
    </x:row>
    <x:row r="127" spans="1:6" ht="14.5">
      <x:c r="A127" s="30"/>
      <x:c r="B127" s="40"/>
      <x:c r="C127" s="42"/>
      <x:c r="D127" s="42"/>
      <x:c r="E127" s="42"/>
      <x:c r="F127" s="30"/>
    </x:row>
    <x:row r="128" spans="1:6" ht="14.5">
      <x:c r="A128" s="30"/>
      <x:c r="B128" s="40"/>
      <x:c r="C128" s="42"/>
      <x:c r="D128" s="42"/>
      <x:c r="E128" s="42"/>
      <x:c r="F128" s="30"/>
    </x:row>
    <x:row r="129" spans="1:6" ht="14.5">
      <x:c r="A129" s="30"/>
      <x:c r="B129" s="40"/>
      <x:c r="C129" s="42"/>
      <x:c r="D129" s="42"/>
      <x:c r="E129" s="42"/>
      <x:c r="F129" s="30"/>
    </x:row>
    <x:row r="130" spans="1:6" ht="14.5">
      <x:c r="A130" s="30"/>
      <x:c r="B130" s="40"/>
      <x:c r="C130" s="42"/>
      <x:c r="D130" s="42"/>
      <x:c r="E130" s="42"/>
      <x:c r="F130" s="30"/>
    </x:row>
    <x:row r="131" spans="1:6" ht="14.5">
      <x:c r="A131" s="30"/>
      <x:c r="B131" s="40"/>
      <x:c r="C131" s="42"/>
      <x:c r="D131" s="42"/>
      <x:c r="E131" s="42"/>
      <x:c r="F131" s="30"/>
    </x:row>
    <x:row r="132" spans="1:6" ht="14.5">
      <x:c r="A132" s="30"/>
      <x:c r="B132" s="40"/>
      <x:c r="C132" s="42"/>
      <x:c r="D132" s="42"/>
      <x:c r="E132" s="42"/>
      <x:c r="F132" s="30"/>
    </x:row>
    <x:row r="133" spans="1:6" ht="14.5">
      <x:c r="A133" s="30"/>
      <x:c r="B133" s="40"/>
      <x:c r="C133" s="42"/>
      <x:c r="D133" s="42"/>
      <x:c r="E133" s="42"/>
      <x:c r="F133" s="30"/>
    </x:row>
    <x:row r="134" spans="1:6" ht="14.5">
      <x:c r="A134" s="30"/>
      <x:c r="B134" s="40"/>
      <x:c r="C134" s="42"/>
      <x:c r="D134" s="42"/>
      <x:c r="E134" s="42"/>
      <x:c r="F134" s="30"/>
    </x:row>
    <x:row r="135" spans="1:6" ht="14.5">
      <x:c r="A135" s="30"/>
      <x:c r="B135" s="40"/>
      <x:c r="C135" s="42"/>
      <x:c r="D135" s="42"/>
      <x:c r="E135" s="42"/>
      <x:c r="F135" s="30"/>
    </x:row>
    <x:row r="136" spans="1:6" ht="14.5">
      <x:c r="A136" s="30"/>
      <x:c r="B136" s="40"/>
      <x:c r="C136" s="42"/>
      <x:c r="D136" s="42"/>
      <x:c r="E136" s="42"/>
      <x:c r="F136" s="30"/>
    </x:row>
    <x:row r="137" spans="1:6" ht="14.5">
      <x:c r="A137" s="30"/>
      <x:c r="B137" s="40"/>
      <x:c r="C137" s="42"/>
      <x:c r="D137" s="42"/>
      <x:c r="E137" s="42"/>
      <x:c r="F137" s="30"/>
    </x:row>
    <x:row r="138" spans="1:6" ht="14.5">
      <x:c r="A138" s="30"/>
      <x:c r="B138" s="40"/>
      <x:c r="C138" s="42"/>
      <x:c r="D138" s="42"/>
      <x:c r="E138" s="42"/>
      <x:c r="F138" s="30"/>
    </x:row>
    <x:row r="139" spans="1:6" ht="14.5"/>
    <x:row r="140" spans="1:6" ht="14.5"/>
    <x:row r="141" spans="1:6" ht="14.5"/>
    <x:row r="142" spans="1:6" ht="14.5"/>
    <x:row r="1000">
      <x:c r="XX1000" s="78" t="n">
        <x:v>125713</x:v>
      </x:c>
    </x:row>
  </x:sheetData>
  <x:mergeCells count="2">
    <x:mergeCell ref="C7:C8"/>
    <x:mergeCell ref="D7:D8"/>
  </x:mergeCells>
  <x:pageMargins left="0.7" right="0.7" top="0.75" bottom="0.75" header="0.3" footer="0.3"/>
  <x:drawing r:id="rId1"/>
</x: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A1A0-9F14-41EF-8EA5-B63FA65F8505}">
  <sheetPr codeName="Sheet2"/>
  <dimension ref="A1:G2"/>
  <sheetViews>
    <sheetView topLeftCell="A2" workbookViewId="0">
      <selection activeCell="B39" sqref="B38:B39"/>
    </sheetView>
  </sheetViews>
  <sheetFormatPr defaultRowHeight="14.5"/>
  <cols>
    <col min="1" max="1" width="12.1796875" bestFit="1" customWidth="1"/>
    <col min="2" max="2" width="15.1796875" bestFit="1" customWidth="1"/>
    <col min="3" max="3" width="6" bestFit="1" customWidth="1"/>
    <col min="4" max="4" width="30.1796875" bestFit="1" customWidth="1"/>
    <col min="5" max="5" width="5.81640625" bestFit="1" customWidth="1"/>
    <col min="6" max="6" width="15.1796875" bestFit="1" customWidth="1"/>
    <col min="7" max="7" width="16.81640625" bestFit="1" customWidth="1"/>
  </cols>
  <sheetData>
    <row r="1" spans="1:7">
      <c r="A1" t="s">
        <v>175</v>
      </c>
      <c r="B1" t="s">
        <v>176</v>
      </c>
      <c r="C1" t="s">
        <v>177</v>
      </c>
      <c r="D1" t="s">
        <v>178</v>
      </c>
      <c r="E1" t="s">
        <v>179</v>
      </c>
      <c r="F1" t="s">
        <v>180</v>
      </c>
      <c r="G1" t="s">
        <v>181</v>
      </c>
    </row>
    <row r="2" spans="1:7">
      <c r="A2" t="s">
        <v>182</v>
      </c>
      <c r="B2" t="s">
        <v>135</v>
      </c>
      <c r="C2" t="s">
        <v>183</v>
      </c>
      <c r="D2" t="s">
        <v>184</v>
      </c>
      <c r="E2">
        <v>1</v>
      </c>
      <c r="F2" t="s">
        <v>185</v>
      </c>
      <c r="G2" t="s">
        <v>185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A186B-4B73-4C92-ACD6-DEBF5EE044C2}">
  <sheetPr codeName="Sheet9"/>
  <dimension ref="A1:G76"/>
  <sheetViews>
    <sheetView workbookViewId="0">
      <selection activeCell="A2" sqref="A2"/>
    </sheetView>
  </sheetViews>
  <sheetFormatPr defaultColWidth="8.81640625" defaultRowHeight="14.5"/>
  <cols>
    <col min="1" max="3" width="21" style="3" customWidth="1"/>
    <col min="4" max="4" width="23.1796875" style="3" bestFit="1" customWidth="1"/>
    <col min="5" max="16384" width="8.81640625" style="17"/>
  </cols>
  <sheetData>
    <row r="1" spans="1:7">
      <c r="A1" s="2" t="s">
        <v>506</v>
      </c>
      <c r="B1" s="2" t="s">
        <v>507</v>
      </c>
      <c r="C1" s="2" t="s">
        <v>508</v>
      </c>
      <c r="D1" s="2" t="s">
        <v>509</v>
      </c>
    </row>
    <row r="2" spans="1:7">
      <c r="A2" s="45" t="str">
        <f>Results!C16</f>
        <v/>
      </c>
      <c r="B2" s="45" t="str">
        <f>Results!D16</f>
        <v/>
      </c>
      <c r="C2" s="45" t="str">
        <f>Results!E16</f>
        <v/>
      </c>
      <c r="D2" s="45">
        <f>ROUND(BackgroundCalcs!G29,0)</f>
        <v>34464</v>
      </c>
    </row>
    <row r="10" spans="1:7">
      <c r="G10" s="46"/>
    </row>
    <row r="11" spans="1:7">
      <c r="G11" s="47"/>
    </row>
    <row r="12" spans="1:7">
      <c r="G12" s="47"/>
    </row>
    <row r="14" spans="1:7">
      <c r="G14" s="46"/>
    </row>
    <row r="15" spans="1:7">
      <c r="G15" s="46"/>
    </row>
    <row r="16" spans="1:7">
      <c r="G16" s="46"/>
    </row>
    <row r="17" spans="7:7">
      <c r="G17" s="46"/>
    </row>
    <row r="18" spans="7:7">
      <c r="G18" s="46"/>
    </row>
    <row r="20" spans="7:7">
      <c r="G20" s="47"/>
    </row>
    <row r="21" spans="7:7">
      <c r="G21" s="48"/>
    </row>
    <row r="22" spans="7:7">
      <c r="G22" s="48"/>
    </row>
    <row r="23" spans="7:7">
      <c r="G23" s="48"/>
    </row>
    <row r="25" spans="7:7">
      <c r="G25" s="47"/>
    </row>
    <row r="26" spans="7:7">
      <c r="G26" s="48"/>
    </row>
    <row r="28" spans="7:7">
      <c r="G28" s="48"/>
    </row>
    <row r="29" spans="7:7">
      <c r="G29" s="48"/>
    </row>
    <row r="30" spans="7:7">
      <c r="G30" s="48"/>
    </row>
    <row r="31" spans="7:7">
      <c r="G31" s="48"/>
    </row>
    <row r="32" spans="7:7">
      <c r="G32" s="48"/>
    </row>
    <row r="33" spans="7:7">
      <c r="G33" s="48"/>
    </row>
    <row r="35" spans="7:7">
      <c r="G35" s="47"/>
    </row>
    <row r="36" spans="7:7">
      <c r="G36" s="48"/>
    </row>
    <row r="37" spans="7:7">
      <c r="G37" s="48"/>
    </row>
    <row r="38" spans="7:7">
      <c r="G38" s="48"/>
    </row>
    <row r="40" spans="7:7">
      <c r="G40" s="47"/>
    </row>
    <row r="41" spans="7:7">
      <c r="G41" s="48"/>
    </row>
    <row r="43" spans="7:7">
      <c r="G43" s="47"/>
    </row>
    <row r="44" spans="7:7">
      <c r="G44" s="48"/>
    </row>
    <row r="46" spans="7:7">
      <c r="G46" s="47"/>
    </row>
    <row r="47" spans="7:7">
      <c r="G47" s="48"/>
    </row>
    <row r="48" spans="7:7">
      <c r="G48" s="48"/>
    </row>
    <row r="49" spans="7:7">
      <c r="G49" s="48"/>
    </row>
    <row r="50" spans="7:7">
      <c r="G50" s="48"/>
    </row>
    <row r="51" spans="7:7">
      <c r="G51" s="48"/>
    </row>
    <row r="52" spans="7:7">
      <c r="G52" s="48"/>
    </row>
    <row r="53" spans="7:7">
      <c r="G53" s="48"/>
    </row>
    <row r="54" spans="7:7">
      <c r="G54" s="48"/>
    </row>
    <row r="55" spans="7:7">
      <c r="G55" s="48"/>
    </row>
    <row r="56" spans="7:7">
      <c r="G56" s="48"/>
    </row>
    <row r="57" spans="7:7">
      <c r="G57" s="48"/>
    </row>
    <row r="58" spans="7:7">
      <c r="G58" s="48"/>
    </row>
    <row r="59" spans="7:7">
      <c r="G59" s="48"/>
    </row>
    <row r="60" spans="7:7">
      <c r="G60" s="48"/>
    </row>
    <row r="61" spans="7:7">
      <c r="G61" s="48"/>
    </row>
    <row r="63" spans="7:7">
      <c r="G63" s="48"/>
    </row>
    <row r="64" spans="7:7">
      <c r="G64" s="48"/>
    </row>
    <row r="65" spans="7:7">
      <c r="G65" s="48"/>
    </row>
    <row r="67" spans="7:7">
      <c r="G67" s="47"/>
    </row>
    <row r="68" spans="7:7">
      <c r="G68" s="48"/>
    </row>
    <row r="70" spans="7:7">
      <c r="G70" s="48"/>
    </row>
    <row r="71" spans="7:7">
      <c r="G71" s="48"/>
    </row>
    <row r="72" spans="7:7">
      <c r="G72" s="48"/>
    </row>
    <row r="73" spans="7:7">
      <c r="G73" s="48"/>
    </row>
    <row r="74" spans="7:7">
      <c r="G74" s="48"/>
    </row>
    <row r="75" spans="7:7">
      <c r="G75" s="46"/>
    </row>
    <row r="76" spans="7:7">
      <c r="G76" s="4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01182-8126-41CA-85BD-F3B2D4B5090A}">
  <sheetPr codeName="Sheet5"/>
  <dimension ref="A1:P101"/>
  <sheetViews>
    <sheetView workbookViewId="0">
      <selection activeCell="M2" sqref="M2"/>
    </sheetView>
  </sheetViews>
  <sheetFormatPr defaultRowHeight="14.5"/>
  <sheetData>
    <row r="1" spans="1:16">
      <c r="B1" t="s">
        <v>94</v>
      </c>
      <c r="C1" t="s">
        <v>439</v>
      </c>
      <c r="D1" t="s">
        <v>94</v>
      </c>
      <c r="E1" t="s">
        <v>440</v>
      </c>
      <c r="F1" t="s">
        <v>94</v>
      </c>
      <c r="G1" t="s">
        <v>439</v>
      </c>
      <c r="J1" t="s">
        <v>4</v>
      </c>
      <c r="K1" t="s">
        <v>93</v>
      </c>
      <c r="L1" t="s">
        <v>486</v>
      </c>
      <c r="M1" t="s">
        <v>93</v>
      </c>
      <c r="O1" t="s">
        <v>484</v>
      </c>
      <c r="P1" t="s">
        <v>485</v>
      </c>
    </row>
    <row r="2" spans="1:16">
      <c r="A2">
        <v>1</v>
      </c>
      <c r="B2" t="s">
        <v>204</v>
      </c>
      <c r="C2">
        <v>1</v>
      </c>
      <c r="D2" t="s">
        <v>441</v>
      </c>
      <c r="E2">
        <v>0</v>
      </c>
      <c r="F2" t="s">
        <v>205</v>
      </c>
      <c r="G2" cm="1">
        <f t="array" aca="1" ref="G2" ca="1">_xlfn.RANDARRAY(1,1,0,1,1)</f>
        <v>1</v>
      </c>
      <c r="J2" t="s">
        <v>487</v>
      </c>
      <c r="K2">
        <v>0</v>
      </c>
      <c r="L2" t="s">
        <v>316</v>
      </c>
      <c r="M2">
        <v>1</v>
      </c>
      <c r="O2" t="str">
        <f t="shared" ref="O2:O33" ca="1" si="0">IF(P2,L2,J2)</f>
        <v>Wesley</v>
      </c>
      <c r="P2" cm="1">
        <f t="array" aca="1" ref="P2:P101" ca="1">_xlfn.RANDARRAY(100,1,0,1,1)</f>
        <v>1</v>
      </c>
    </row>
    <row r="3" spans="1:16">
      <c r="A3">
        <v>2</v>
      </c>
      <c r="B3" t="s">
        <v>206</v>
      </c>
      <c r="C3">
        <v>1</v>
      </c>
      <c r="D3" t="s">
        <v>104</v>
      </c>
      <c r="E3">
        <v>0</v>
      </c>
      <c r="F3" t="s">
        <v>207</v>
      </c>
      <c r="G3" cm="1">
        <f t="array" aca="1" ref="G3" ca="1">_xlfn.RANDARRAY(1,1,0,1,1)</f>
        <v>1</v>
      </c>
      <c r="J3" t="s">
        <v>107</v>
      </c>
      <c r="K3">
        <v>0</v>
      </c>
      <c r="L3" t="s">
        <v>409</v>
      </c>
      <c r="M3">
        <v>1</v>
      </c>
      <c r="O3" t="str">
        <f t="shared" ca="1" si="0"/>
        <v>Scarlett</v>
      </c>
      <c r="P3">
        <f ca="1"/>
        <v>0</v>
      </c>
    </row>
    <row r="4" spans="1:16">
      <c r="A4">
        <v>3</v>
      </c>
      <c r="B4" t="s">
        <v>208</v>
      </c>
      <c r="C4">
        <v>1</v>
      </c>
      <c r="D4" t="s">
        <v>442</v>
      </c>
      <c r="E4">
        <v>0</v>
      </c>
      <c r="F4" t="s">
        <v>209</v>
      </c>
      <c r="G4" cm="1">
        <f t="array" aca="1" ref="G4" ca="1">_xlfn.RANDARRAY(1,1,0,1,1)</f>
        <v>0</v>
      </c>
      <c r="J4" t="s">
        <v>26</v>
      </c>
      <c r="K4">
        <v>0</v>
      </c>
      <c r="L4" t="s">
        <v>319</v>
      </c>
      <c r="M4">
        <v>1</v>
      </c>
      <c r="O4" t="str">
        <f t="shared" ca="1" si="0"/>
        <v>Jessica</v>
      </c>
      <c r="P4">
        <f ca="1"/>
        <v>0</v>
      </c>
    </row>
    <row r="5" spans="1:16">
      <c r="A5">
        <v>4</v>
      </c>
      <c r="B5" t="s">
        <v>210</v>
      </c>
      <c r="C5">
        <v>1</v>
      </c>
      <c r="D5" t="s">
        <v>443</v>
      </c>
      <c r="E5">
        <v>0</v>
      </c>
      <c r="F5" t="s">
        <v>211</v>
      </c>
      <c r="G5" cm="1">
        <f t="array" aca="1" ref="G5" ca="1">_xlfn.RANDARRAY(1,1,0,1,1)</f>
        <v>0</v>
      </c>
      <c r="J5" t="s">
        <v>72</v>
      </c>
      <c r="K5">
        <v>0</v>
      </c>
      <c r="L5" t="s">
        <v>426</v>
      </c>
      <c r="M5">
        <v>1</v>
      </c>
      <c r="O5" t="str">
        <f t="shared" ca="1" si="0"/>
        <v>Luka</v>
      </c>
      <c r="P5">
        <f ca="1"/>
        <v>1</v>
      </c>
    </row>
    <row r="6" spans="1:16">
      <c r="A6">
        <v>5</v>
      </c>
      <c r="B6" t="s">
        <v>212</v>
      </c>
      <c r="C6">
        <v>1</v>
      </c>
      <c r="D6" t="s">
        <v>203</v>
      </c>
      <c r="E6">
        <v>0</v>
      </c>
      <c r="F6" t="s">
        <v>213</v>
      </c>
      <c r="G6" cm="1">
        <f t="array" aca="1" ref="G6" ca="1">_xlfn.RANDARRAY(1,1,0,1,1)</f>
        <v>0</v>
      </c>
      <c r="J6" t="s">
        <v>8</v>
      </c>
      <c r="K6">
        <v>0</v>
      </c>
      <c r="L6" t="s">
        <v>322</v>
      </c>
      <c r="M6">
        <v>1</v>
      </c>
      <c r="O6" t="str">
        <f t="shared" ca="1" si="0"/>
        <v>Wyatt</v>
      </c>
      <c r="P6">
        <f ca="1"/>
        <v>1</v>
      </c>
    </row>
    <row r="7" spans="1:16">
      <c r="A7">
        <v>6</v>
      </c>
      <c r="B7" t="s">
        <v>422</v>
      </c>
      <c r="C7">
        <v>1</v>
      </c>
      <c r="D7" t="s">
        <v>412</v>
      </c>
      <c r="E7">
        <v>0</v>
      </c>
      <c r="F7" t="s">
        <v>214</v>
      </c>
      <c r="G7" cm="1">
        <f t="array" aca="1" ref="G7" ca="1">_xlfn.RANDARRAY(1,1,0,1,1)</f>
        <v>0</v>
      </c>
      <c r="J7" t="s">
        <v>109</v>
      </c>
      <c r="K7">
        <v>0</v>
      </c>
      <c r="L7" t="s">
        <v>324</v>
      </c>
      <c r="M7">
        <v>1</v>
      </c>
      <c r="O7" t="str">
        <f t="shared" ca="1" si="0"/>
        <v>Lucien</v>
      </c>
      <c r="P7">
        <f ca="1"/>
        <v>1</v>
      </c>
    </row>
    <row r="8" spans="1:16">
      <c r="A8">
        <v>7</v>
      </c>
      <c r="B8" t="s">
        <v>106</v>
      </c>
      <c r="C8">
        <v>1</v>
      </c>
      <c r="D8" t="s">
        <v>444</v>
      </c>
      <c r="E8">
        <v>0</v>
      </c>
      <c r="F8" t="s">
        <v>215</v>
      </c>
      <c r="G8" cm="1">
        <f t="array" aca="1" ref="G8" ca="1">_xlfn.RANDARRAY(1,1,0,1,1)</f>
        <v>0</v>
      </c>
      <c r="J8" t="s">
        <v>103</v>
      </c>
      <c r="K8">
        <v>0</v>
      </c>
      <c r="L8" t="s">
        <v>326</v>
      </c>
      <c r="M8">
        <v>1</v>
      </c>
      <c r="O8" t="str">
        <f t="shared" ca="1" si="0"/>
        <v>Luna</v>
      </c>
      <c r="P8">
        <f ca="1"/>
        <v>0</v>
      </c>
    </row>
    <row r="9" spans="1:16">
      <c r="A9">
        <v>8</v>
      </c>
      <c r="B9" t="s">
        <v>216</v>
      </c>
      <c r="C9">
        <v>1</v>
      </c>
      <c r="D9" t="s">
        <v>423</v>
      </c>
      <c r="E9">
        <v>0</v>
      </c>
      <c r="F9" t="s">
        <v>424</v>
      </c>
      <c r="G9" cm="1">
        <f t="array" aca="1" ref="G9" ca="1">_xlfn.RANDARRAY(1,1,0,1,1)</f>
        <v>1</v>
      </c>
      <c r="J9" t="s">
        <v>78</v>
      </c>
      <c r="K9">
        <v>0</v>
      </c>
      <c r="L9" t="s">
        <v>329</v>
      </c>
      <c r="M9">
        <v>1</v>
      </c>
      <c r="O9" t="str">
        <f t="shared" ca="1" si="0"/>
        <v>Samantha</v>
      </c>
      <c r="P9">
        <f ca="1"/>
        <v>0</v>
      </c>
    </row>
    <row r="10" spans="1:16">
      <c r="A10">
        <v>9</v>
      </c>
      <c r="B10" t="s">
        <v>217</v>
      </c>
      <c r="C10">
        <v>1</v>
      </c>
      <c r="D10" t="s">
        <v>425</v>
      </c>
      <c r="E10">
        <v>0</v>
      </c>
      <c r="F10" t="s">
        <v>218</v>
      </c>
      <c r="G10" cm="1">
        <f t="array" aca="1" ref="G10" ca="1">_xlfn.RANDARRAY(1,1,0,1,1)</f>
        <v>1</v>
      </c>
      <c r="J10" t="s">
        <v>44</v>
      </c>
      <c r="K10">
        <v>0</v>
      </c>
      <c r="L10" t="s">
        <v>331</v>
      </c>
      <c r="M10">
        <v>1</v>
      </c>
      <c r="O10" t="str">
        <f t="shared" ca="1" si="0"/>
        <v>Michelle</v>
      </c>
      <c r="P10">
        <f ca="1"/>
        <v>0</v>
      </c>
    </row>
    <row r="11" spans="1:16">
      <c r="A11">
        <v>10</v>
      </c>
      <c r="B11" t="s">
        <v>219</v>
      </c>
      <c r="C11">
        <v>1</v>
      </c>
      <c r="D11" t="s">
        <v>445</v>
      </c>
      <c r="E11">
        <v>0</v>
      </c>
      <c r="F11" t="s">
        <v>220</v>
      </c>
      <c r="G11" cm="1">
        <f t="array" aca="1" ref="G11" ca="1">_xlfn.RANDARRAY(1,1,0,1,1)</f>
        <v>0</v>
      </c>
      <c r="J11" t="s">
        <v>104</v>
      </c>
      <c r="K11">
        <v>0</v>
      </c>
      <c r="L11" t="s">
        <v>333</v>
      </c>
      <c r="M11">
        <v>1</v>
      </c>
      <c r="O11" t="str">
        <f t="shared" ca="1" si="0"/>
        <v>Violet</v>
      </c>
      <c r="P11">
        <f ca="1"/>
        <v>0</v>
      </c>
    </row>
    <row r="12" spans="1:16">
      <c r="A12">
        <v>11</v>
      </c>
      <c r="B12" t="s">
        <v>77</v>
      </c>
      <c r="C12">
        <v>1</v>
      </c>
      <c r="D12" t="s">
        <v>221</v>
      </c>
      <c r="E12">
        <v>0</v>
      </c>
      <c r="F12" t="s">
        <v>426</v>
      </c>
      <c r="G12" cm="1">
        <f t="array" aca="1" ref="G12" ca="1">_xlfn.RANDARRAY(1,1,0,1,1)</f>
        <v>1</v>
      </c>
      <c r="J12" t="s">
        <v>33</v>
      </c>
      <c r="K12">
        <v>0</v>
      </c>
      <c r="L12" t="s">
        <v>488</v>
      </c>
      <c r="M12">
        <v>1</v>
      </c>
      <c r="O12" t="str">
        <f t="shared" ca="1" si="0"/>
        <v>Betty</v>
      </c>
      <c r="P12">
        <f ca="1"/>
        <v>0</v>
      </c>
    </row>
    <row r="13" spans="1:16">
      <c r="A13">
        <v>12</v>
      </c>
      <c r="B13" t="s">
        <v>222</v>
      </c>
      <c r="C13">
        <v>1</v>
      </c>
      <c r="D13" t="s">
        <v>223</v>
      </c>
      <c r="E13">
        <v>0</v>
      </c>
      <c r="F13" t="s">
        <v>224</v>
      </c>
      <c r="G13" cm="1">
        <f t="array" aca="1" ref="G13" ca="1">_xlfn.RANDARRAY(1,1,0,1,1)</f>
        <v>1</v>
      </c>
      <c r="J13" t="s">
        <v>55</v>
      </c>
      <c r="K13">
        <v>0</v>
      </c>
      <c r="L13" t="s">
        <v>336</v>
      </c>
      <c r="M13">
        <v>1</v>
      </c>
      <c r="O13" t="str">
        <f t="shared" ca="1" si="0"/>
        <v>Nathaniel</v>
      </c>
      <c r="P13">
        <f ca="1"/>
        <v>1</v>
      </c>
    </row>
    <row r="14" spans="1:16">
      <c r="A14">
        <v>13</v>
      </c>
      <c r="B14" t="s">
        <v>225</v>
      </c>
      <c r="C14">
        <v>1</v>
      </c>
      <c r="D14" t="s">
        <v>226</v>
      </c>
      <c r="E14">
        <v>0</v>
      </c>
      <c r="F14" t="s">
        <v>227</v>
      </c>
      <c r="G14" cm="1">
        <f t="array" aca="1" ref="G14" ca="1">_xlfn.RANDARRAY(1,1,0,1,1)</f>
        <v>0</v>
      </c>
      <c r="J14" t="s">
        <v>74</v>
      </c>
      <c r="K14">
        <v>0</v>
      </c>
      <c r="L14" t="s">
        <v>411</v>
      </c>
      <c r="M14">
        <v>1</v>
      </c>
      <c r="O14" t="str">
        <f t="shared" ca="1" si="0"/>
        <v>Nicole</v>
      </c>
      <c r="P14">
        <f ca="1"/>
        <v>0</v>
      </c>
    </row>
    <row r="15" spans="1:16">
      <c r="A15">
        <v>14</v>
      </c>
      <c r="B15" t="s">
        <v>427</v>
      </c>
      <c r="C15">
        <v>1</v>
      </c>
      <c r="D15" t="s">
        <v>228</v>
      </c>
      <c r="E15">
        <v>0</v>
      </c>
      <c r="F15" t="s">
        <v>229</v>
      </c>
      <c r="G15" cm="1">
        <f t="array" aca="1" ref="G15" ca="1">_xlfn.RANDARRAY(1,1,0,1,1)</f>
        <v>0</v>
      </c>
      <c r="J15" t="s">
        <v>108</v>
      </c>
      <c r="K15">
        <v>0</v>
      </c>
      <c r="L15" t="s">
        <v>339</v>
      </c>
      <c r="M15">
        <v>1</v>
      </c>
      <c r="O15" t="str">
        <f t="shared" ca="1" si="0"/>
        <v>Holden</v>
      </c>
      <c r="P15">
        <f ca="1"/>
        <v>1</v>
      </c>
    </row>
    <row r="16" spans="1:16">
      <c r="A16">
        <v>15</v>
      </c>
      <c r="B16" t="s">
        <v>230</v>
      </c>
      <c r="C16">
        <v>1</v>
      </c>
      <c r="D16" t="s">
        <v>231</v>
      </c>
      <c r="E16">
        <v>0</v>
      </c>
      <c r="F16" t="s">
        <v>232</v>
      </c>
      <c r="G16" cm="1">
        <f t="array" aca="1" ref="G16" ca="1">_xlfn.RANDARRAY(1,1,0,1,1)</f>
        <v>0</v>
      </c>
      <c r="J16" t="s">
        <v>57</v>
      </c>
      <c r="K16">
        <v>0</v>
      </c>
      <c r="L16" t="s">
        <v>489</v>
      </c>
      <c r="M16">
        <v>1</v>
      </c>
      <c r="O16" t="str">
        <f t="shared" ca="1" si="0"/>
        <v>Laura</v>
      </c>
      <c r="P16">
        <f ca="1"/>
        <v>0</v>
      </c>
    </row>
    <row r="17" spans="1:16">
      <c r="A17">
        <v>16</v>
      </c>
      <c r="B17" t="s">
        <v>428</v>
      </c>
      <c r="C17">
        <v>1</v>
      </c>
      <c r="D17" t="s">
        <v>233</v>
      </c>
      <c r="E17">
        <v>0</v>
      </c>
      <c r="F17" t="s">
        <v>234</v>
      </c>
      <c r="G17" cm="1">
        <f t="array" aca="1" ref="G17" ca="1">_xlfn.RANDARRAY(1,1,0,1,1)</f>
        <v>0</v>
      </c>
      <c r="J17" t="s">
        <v>62</v>
      </c>
      <c r="K17">
        <v>0</v>
      </c>
      <c r="L17" t="s">
        <v>342</v>
      </c>
      <c r="M17">
        <v>1</v>
      </c>
      <c r="O17" t="str">
        <f t="shared" ca="1" si="0"/>
        <v>Amy</v>
      </c>
      <c r="P17">
        <f ca="1"/>
        <v>0</v>
      </c>
    </row>
    <row r="18" spans="1:16">
      <c r="A18">
        <v>17</v>
      </c>
      <c r="B18" t="s">
        <v>82</v>
      </c>
      <c r="C18">
        <v>1</v>
      </c>
      <c r="D18" t="s">
        <v>235</v>
      </c>
      <c r="E18">
        <v>0</v>
      </c>
      <c r="F18" t="s">
        <v>236</v>
      </c>
      <c r="G18" cm="1">
        <f t="array" aca="1" ref="G18" ca="1">_xlfn.RANDARRAY(1,1,0,1,1)</f>
        <v>0</v>
      </c>
      <c r="J18" t="s">
        <v>49</v>
      </c>
      <c r="K18">
        <v>0</v>
      </c>
      <c r="L18" t="s">
        <v>344</v>
      </c>
      <c r="M18">
        <v>1</v>
      </c>
      <c r="O18" t="str">
        <f t="shared" ca="1" si="0"/>
        <v>Luke</v>
      </c>
      <c r="P18">
        <f ca="1"/>
        <v>1</v>
      </c>
    </row>
    <row r="19" spans="1:16">
      <c r="A19">
        <v>18</v>
      </c>
      <c r="B19" t="s">
        <v>237</v>
      </c>
      <c r="C19">
        <v>1</v>
      </c>
      <c r="D19" t="s">
        <v>238</v>
      </c>
      <c r="E19">
        <v>0</v>
      </c>
      <c r="F19" t="s">
        <v>280</v>
      </c>
      <c r="G19" cm="1">
        <f t="array" aca="1" ref="G19" ca="1">_xlfn.RANDARRAY(1,1,0,1,1)</f>
        <v>1</v>
      </c>
      <c r="J19" t="s">
        <v>53</v>
      </c>
      <c r="K19">
        <v>0</v>
      </c>
      <c r="L19" t="s">
        <v>490</v>
      </c>
      <c r="M19">
        <v>1</v>
      </c>
      <c r="O19" t="str">
        <f t="shared" ca="1" si="0"/>
        <v>Rebecca</v>
      </c>
      <c r="P19">
        <f ca="1"/>
        <v>0</v>
      </c>
    </row>
    <row r="20" spans="1:16">
      <c r="A20">
        <v>19</v>
      </c>
      <c r="B20" t="s">
        <v>429</v>
      </c>
      <c r="C20">
        <v>1</v>
      </c>
      <c r="D20" t="s">
        <v>430</v>
      </c>
      <c r="E20">
        <v>0</v>
      </c>
      <c r="F20" t="s">
        <v>239</v>
      </c>
      <c r="G20" cm="1">
        <f t="array" aca="1" ref="G20" ca="1">_xlfn.RANDARRAY(1,1,0,1,1)</f>
        <v>1</v>
      </c>
      <c r="J20" t="s">
        <v>28</v>
      </c>
      <c r="K20">
        <v>0</v>
      </c>
      <c r="L20" t="s">
        <v>345</v>
      </c>
      <c r="M20">
        <v>1</v>
      </c>
      <c r="O20" t="str">
        <f t="shared" ca="1" si="0"/>
        <v>Sarah</v>
      </c>
      <c r="P20">
        <f ca="1"/>
        <v>0</v>
      </c>
    </row>
    <row r="21" spans="1:16">
      <c r="A21">
        <v>20</v>
      </c>
      <c r="B21" t="s">
        <v>240</v>
      </c>
      <c r="C21">
        <v>1</v>
      </c>
      <c r="D21" t="s">
        <v>241</v>
      </c>
      <c r="E21">
        <v>0</v>
      </c>
      <c r="F21" t="s">
        <v>242</v>
      </c>
      <c r="G21" cm="1">
        <f t="array" aca="1" ref="G21" ca="1">_xlfn.RANDARRAY(1,1,0,1,1)</f>
        <v>1</v>
      </c>
      <c r="J21" t="s">
        <v>105</v>
      </c>
      <c r="K21">
        <v>0</v>
      </c>
      <c r="L21" t="s">
        <v>347</v>
      </c>
      <c r="M21">
        <v>1</v>
      </c>
      <c r="O21" t="str">
        <f t="shared" ca="1" si="0"/>
        <v>Ava</v>
      </c>
      <c r="P21">
        <f ca="1"/>
        <v>0</v>
      </c>
    </row>
    <row r="22" spans="1:16">
      <c r="A22">
        <v>21</v>
      </c>
      <c r="B22" t="s">
        <v>243</v>
      </c>
      <c r="C22">
        <v>1</v>
      </c>
      <c r="D22" t="s">
        <v>244</v>
      </c>
      <c r="E22">
        <v>0</v>
      </c>
      <c r="F22" t="s">
        <v>245</v>
      </c>
      <c r="G22" cm="1">
        <f t="array" aca="1" ref="G22" ca="1">_xlfn.RANDARRAY(1,1,0,1,1)</f>
        <v>0</v>
      </c>
      <c r="J22" t="s">
        <v>35</v>
      </c>
      <c r="K22">
        <v>0</v>
      </c>
      <c r="L22" t="s">
        <v>349</v>
      </c>
      <c r="M22">
        <v>1</v>
      </c>
      <c r="O22" t="str">
        <f t="shared" ca="1" si="0"/>
        <v>Ezra</v>
      </c>
      <c r="P22">
        <f ca="1"/>
        <v>1</v>
      </c>
    </row>
    <row r="23" spans="1:16">
      <c r="A23">
        <v>22</v>
      </c>
      <c r="B23" t="s">
        <v>246</v>
      </c>
      <c r="C23">
        <v>1</v>
      </c>
      <c r="D23" t="s">
        <v>247</v>
      </c>
      <c r="E23">
        <v>0</v>
      </c>
      <c r="F23" t="s">
        <v>248</v>
      </c>
      <c r="G23" cm="1">
        <f t="array" aca="1" ref="G23" ca="1">_xlfn.RANDARRAY(1,1,0,1,1)</f>
        <v>1</v>
      </c>
      <c r="J23" t="s">
        <v>76</v>
      </c>
      <c r="K23">
        <v>0</v>
      </c>
      <c r="L23" t="s">
        <v>491</v>
      </c>
      <c r="M23">
        <v>1</v>
      </c>
      <c r="O23" t="str">
        <f t="shared" ca="1" si="0"/>
        <v>Helen</v>
      </c>
      <c r="P23">
        <f ca="1"/>
        <v>0</v>
      </c>
    </row>
    <row r="24" spans="1:16">
      <c r="A24">
        <v>23</v>
      </c>
      <c r="B24" t="s">
        <v>249</v>
      </c>
      <c r="C24">
        <v>1</v>
      </c>
      <c r="D24" t="s">
        <v>250</v>
      </c>
      <c r="E24">
        <v>0</v>
      </c>
      <c r="F24" t="s">
        <v>251</v>
      </c>
      <c r="G24" cm="1">
        <f t="array" aca="1" ref="G24" ca="1">_xlfn.RANDARRAY(1,1,0,1,1)</f>
        <v>1</v>
      </c>
      <c r="J24" t="s">
        <v>22</v>
      </c>
      <c r="K24">
        <v>0</v>
      </c>
      <c r="L24" t="s">
        <v>352</v>
      </c>
      <c r="M24">
        <v>1</v>
      </c>
      <c r="O24" t="str">
        <f t="shared" ca="1" si="0"/>
        <v>Isaiah</v>
      </c>
      <c r="P24">
        <f ca="1"/>
        <v>1</v>
      </c>
    </row>
    <row r="25" spans="1:16">
      <c r="A25">
        <v>24</v>
      </c>
      <c r="B25" t="s">
        <v>252</v>
      </c>
      <c r="C25">
        <v>1</v>
      </c>
      <c r="D25" t="s">
        <v>402</v>
      </c>
      <c r="E25">
        <v>0</v>
      </c>
      <c r="F25" t="s">
        <v>253</v>
      </c>
      <c r="G25" cm="1">
        <f t="array" aca="1" ref="G25" ca="1">_xlfn.RANDARRAY(1,1,0,1,1)</f>
        <v>1</v>
      </c>
      <c r="J25" t="s">
        <v>11</v>
      </c>
      <c r="K25">
        <v>0</v>
      </c>
      <c r="L25" t="s">
        <v>354</v>
      </c>
      <c r="M25">
        <v>1</v>
      </c>
      <c r="O25" t="str">
        <f t="shared" ca="1" si="0"/>
        <v>Callum</v>
      </c>
      <c r="P25">
        <f ca="1"/>
        <v>1</v>
      </c>
    </row>
    <row r="26" spans="1:16">
      <c r="A26">
        <v>25</v>
      </c>
      <c r="B26" t="s">
        <v>254</v>
      </c>
      <c r="C26">
        <v>1</v>
      </c>
      <c r="D26" t="s">
        <v>255</v>
      </c>
      <c r="E26">
        <v>0</v>
      </c>
      <c r="F26" t="s">
        <v>256</v>
      </c>
      <c r="G26" cm="1">
        <f t="array" aca="1" ref="G26" ca="1">_xlfn.RANDARRAY(1,1,0,1,1)</f>
        <v>1</v>
      </c>
      <c r="J26" t="s">
        <v>13</v>
      </c>
      <c r="K26">
        <v>0</v>
      </c>
      <c r="L26" t="s">
        <v>356</v>
      </c>
      <c r="M26">
        <v>1</v>
      </c>
      <c r="O26" t="str">
        <f t="shared" ca="1" si="0"/>
        <v>Amanda</v>
      </c>
      <c r="P26">
        <f ca="1"/>
        <v>0</v>
      </c>
    </row>
    <row r="27" spans="1:16">
      <c r="A27">
        <v>26</v>
      </c>
      <c r="B27" t="s">
        <v>257</v>
      </c>
      <c r="C27">
        <v>1</v>
      </c>
      <c r="D27" t="s">
        <v>258</v>
      </c>
      <c r="E27">
        <v>0</v>
      </c>
      <c r="F27" t="s">
        <v>259</v>
      </c>
      <c r="G27" cm="1">
        <f t="array" aca="1" ref="G27" ca="1">_xlfn.RANDARRAY(1,1,0,1,1)</f>
        <v>0</v>
      </c>
      <c r="J27" t="s">
        <v>31</v>
      </c>
      <c r="K27">
        <v>0</v>
      </c>
      <c r="L27" t="s">
        <v>358</v>
      </c>
      <c r="M27">
        <v>1</v>
      </c>
      <c r="O27" t="str">
        <f t="shared" ca="1" si="0"/>
        <v>Dante</v>
      </c>
      <c r="P27">
        <f ca="1"/>
        <v>1</v>
      </c>
    </row>
    <row r="28" spans="1:16">
      <c r="A28">
        <v>27</v>
      </c>
      <c r="B28" t="s">
        <v>260</v>
      </c>
      <c r="C28">
        <v>1</v>
      </c>
      <c r="D28" t="s">
        <v>261</v>
      </c>
      <c r="E28">
        <v>0</v>
      </c>
      <c r="F28" t="s">
        <v>262</v>
      </c>
      <c r="G28" cm="1">
        <f t="array" aca="1" ref="G28" ca="1">_xlfn.RANDARRAY(1,1,0,1,1)</f>
        <v>0</v>
      </c>
      <c r="J28" t="s">
        <v>68</v>
      </c>
      <c r="K28">
        <v>0</v>
      </c>
      <c r="L28" t="s">
        <v>360</v>
      </c>
      <c r="M28">
        <v>1</v>
      </c>
      <c r="O28" t="str">
        <f t="shared" ca="1" si="0"/>
        <v>Anna</v>
      </c>
      <c r="P28">
        <f ca="1"/>
        <v>0</v>
      </c>
    </row>
    <row r="29" spans="1:16">
      <c r="A29">
        <v>28</v>
      </c>
      <c r="B29" t="s">
        <v>263</v>
      </c>
      <c r="C29">
        <v>1</v>
      </c>
      <c r="D29" t="s">
        <v>264</v>
      </c>
      <c r="E29">
        <v>0</v>
      </c>
      <c r="F29" t="s">
        <v>404</v>
      </c>
      <c r="G29" cm="1">
        <f t="array" aca="1" ref="G29" ca="1">_xlfn.RANDARRAY(1,1,0,1,1)</f>
        <v>1</v>
      </c>
      <c r="J29" t="s">
        <v>60</v>
      </c>
      <c r="K29">
        <v>0</v>
      </c>
      <c r="L29" t="s">
        <v>362</v>
      </c>
      <c r="M29">
        <v>1</v>
      </c>
      <c r="O29" t="str">
        <f t="shared" ca="1" si="0"/>
        <v>Kathleen</v>
      </c>
      <c r="P29">
        <f ca="1"/>
        <v>0</v>
      </c>
    </row>
    <row r="30" spans="1:16">
      <c r="A30">
        <v>29</v>
      </c>
      <c r="B30" t="s">
        <v>265</v>
      </c>
      <c r="C30">
        <v>1</v>
      </c>
      <c r="D30" t="s">
        <v>266</v>
      </c>
      <c r="E30">
        <v>0</v>
      </c>
      <c r="F30" t="s">
        <v>267</v>
      </c>
      <c r="G30" cm="1">
        <f t="array" aca="1" ref="G30" ca="1">_xlfn.RANDARRAY(1,1,0,1,1)</f>
        <v>1</v>
      </c>
      <c r="J30" t="s">
        <v>70</v>
      </c>
      <c r="K30">
        <v>0</v>
      </c>
      <c r="L30" t="s">
        <v>492</v>
      </c>
      <c r="M30">
        <v>1</v>
      </c>
      <c r="O30" t="str">
        <f t="shared" ca="1" si="0"/>
        <v>Brenda</v>
      </c>
      <c r="P30">
        <f ca="1"/>
        <v>0</v>
      </c>
    </row>
    <row r="31" spans="1:16">
      <c r="A31">
        <v>30</v>
      </c>
      <c r="B31" t="s">
        <v>268</v>
      </c>
      <c r="C31">
        <v>1</v>
      </c>
      <c r="D31" t="s">
        <v>431</v>
      </c>
      <c r="E31">
        <v>0</v>
      </c>
      <c r="F31" t="s">
        <v>269</v>
      </c>
      <c r="G31" cm="1">
        <f t="array" aca="1" ref="G31" ca="1">_xlfn.RANDARRAY(1,1,0,1,1)</f>
        <v>1</v>
      </c>
      <c r="J31" t="s">
        <v>37</v>
      </c>
      <c r="K31">
        <v>0</v>
      </c>
      <c r="L31" t="s">
        <v>365</v>
      </c>
      <c r="M31">
        <v>1</v>
      </c>
      <c r="O31" t="str">
        <f t="shared" ca="1" si="0"/>
        <v>Ashley</v>
      </c>
      <c r="P31">
        <f ca="1"/>
        <v>0</v>
      </c>
    </row>
    <row r="32" spans="1:16">
      <c r="A32">
        <v>31</v>
      </c>
      <c r="B32" t="s">
        <v>270</v>
      </c>
      <c r="C32">
        <v>1</v>
      </c>
      <c r="D32" t="s">
        <v>271</v>
      </c>
      <c r="E32">
        <v>0</v>
      </c>
      <c r="F32" t="s">
        <v>272</v>
      </c>
      <c r="G32" cm="1">
        <f t="array" aca="1" ref="G32" ca="1">_xlfn.RANDARRAY(1,1,0,1,1)</f>
        <v>1</v>
      </c>
      <c r="J32" t="s">
        <v>81</v>
      </c>
      <c r="K32">
        <v>0</v>
      </c>
      <c r="L32" t="s">
        <v>367</v>
      </c>
      <c r="M32">
        <v>1</v>
      </c>
      <c r="O32" t="str">
        <f t="shared" ca="1" si="0"/>
        <v>Jonah</v>
      </c>
      <c r="P32">
        <f ca="1"/>
        <v>1</v>
      </c>
    </row>
    <row r="33" spans="1:16">
      <c r="A33">
        <v>32</v>
      </c>
      <c r="B33" t="s">
        <v>21</v>
      </c>
      <c r="C33">
        <v>1</v>
      </c>
      <c r="D33" t="s">
        <v>273</v>
      </c>
      <c r="E33">
        <v>0</v>
      </c>
      <c r="F33" t="s">
        <v>274</v>
      </c>
      <c r="G33" cm="1">
        <f t="array" aca="1" ref="G33" ca="1">_xlfn.RANDARRAY(1,1,0,1,1)</f>
        <v>1</v>
      </c>
      <c r="J33" t="s">
        <v>493</v>
      </c>
      <c r="K33">
        <v>0</v>
      </c>
      <c r="L33" t="s">
        <v>369</v>
      </c>
      <c r="M33">
        <v>1</v>
      </c>
      <c r="O33" t="str">
        <f t="shared" ca="1" si="0"/>
        <v>Dominic</v>
      </c>
      <c r="P33">
        <f ca="1"/>
        <v>1</v>
      </c>
    </row>
    <row r="34" spans="1:16">
      <c r="A34">
        <v>33</v>
      </c>
      <c r="B34" t="s">
        <v>275</v>
      </c>
      <c r="C34">
        <v>1</v>
      </c>
      <c r="D34" t="s">
        <v>276</v>
      </c>
      <c r="E34">
        <v>0</v>
      </c>
      <c r="F34" t="s">
        <v>277</v>
      </c>
      <c r="G34" cm="1">
        <f t="array" aca="1" ref="G34" ca="1">_xlfn.RANDARRAY(1,1,0,1,1)</f>
        <v>0</v>
      </c>
      <c r="J34" t="s">
        <v>86</v>
      </c>
      <c r="K34">
        <v>0</v>
      </c>
      <c r="L34" t="s">
        <v>371</v>
      </c>
      <c r="M34">
        <v>1</v>
      </c>
      <c r="O34" t="str">
        <f t="shared" ref="O34:O65" ca="1" si="1">IF(P34,L34,J34)</f>
        <v>Cyrus</v>
      </c>
      <c r="P34">
        <f ca="1"/>
        <v>1</v>
      </c>
    </row>
    <row r="35" spans="1:16">
      <c r="A35">
        <v>34</v>
      </c>
      <c r="B35" t="s">
        <v>432</v>
      </c>
      <c r="C35">
        <v>1</v>
      </c>
      <c r="D35" t="s">
        <v>278</v>
      </c>
      <c r="E35">
        <v>0</v>
      </c>
      <c r="F35" t="s">
        <v>279</v>
      </c>
      <c r="G35" cm="1">
        <f t="array" aca="1" ref="G35" ca="1">_xlfn.RANDARRAY(1,1,0,1,1)</f>
        <v>0</v>
      </c>
      <c r="J35" t="s">
        <v>24</v>
      </c>
      <c r="K35">
        <v>0</v>
      </c>
      <c r="L35" t="s">
        <v>373</v>
      </c>
      <c r="M35">
        <v>1</v>
      </c>
      <c r="O35" t="str">
        <f t="shared" ca="1" si="1"/>
        <v>Susan</v>
      </c>
      <c r="P35">
        <f ca="1"/>
        <v>0</v>
      </c>
    </row>
    <row r="36" spans="1:16">
      <c r="A36">
        <v>35</v>
      </c>
      <c r="B36" t="s">
        <v>280</v>
      </c>
      <c r="C36">
        <v>1</v>
      </c>
      <c r="D36" t="s">
        <v>281</v>
      </c>
      <c r="E36">
        <v>0</v>
      </c>
      <c r="F36" t="s">
        <v>282</v>
      </c>
      <c r="G36" cm="1">
        <f t="array" aca="1" ref="G36" ca="1">_xlfn.RANDARRAY(1,1,0,1,1)</f>
        <v>1</v>
      </c>
      <c r="J36" t="s">
        <v>10</v>
      </c>
      <c r="K36">
        <v>0</v>
      </c>
      <c r="L36" t="s">
        <v>375</v>
      </c>
      <c r="M36">
        <v>1</v>
      </c>
      <c r="O36" t="str">
        <f t="shared" ca="1" si="1"/>
        <v>Lisa</v>
      </c>
      <c r="P36">
        <f ca="1"/>
        <v>0</v>
      </c>
    </row>
    <row r="37" spans="1:16">
      <c r="A37">
        <v>36</v>
      </c>
      <c r="B37" t="s">
        <v>283</v>
      </c>
      <c r="C37">
        <v>1</v>
      </c>
      <c r="D37" t="s">
        <v>284</v>
      </c>
      <c r="E37">
        <v>0</v>
      </c>
      <c r="F37" t="s">
        <v>285</v>
      </c>
      <c r="G37" cm="1">
        <f t="array" aca="1" ref="G37" ca="1">_xlfn.RANDARRAY(1,1,0,1,1)</f>
        <v>0</v>
      </c>
      <c r="J37" t="s">
        <v>12</v>
      </c>
      <c r="K37">
        <v>0</v>
      </c>
      <c r="L37" t="s">
        <v>418</v>
      </c>
      <c r="M37">
        <v>1</v>
      </c>
      <c r="O37" t="str">
        <f t="shared" ca="1" si="1"/>
        <v>Damien</v>
      </c>
      <c r="P37">
        <f ca="1"/>
        <v>1</v>
      </c>
    </row>
    <row r="38" spans="1:16">
      <c r="A38">
        <v>37</v>
      </c>
      <c r="B38" t="s">
        <v>286</v>
      </c>
      <c r="C38">
        <v>1</v>
      </c>
      <c r="D38" t="s">
        <v>287</v>
      </c>
      <c r="E38">
        <v>0</v>
      </c>
      <c r="F38" t="s">
        <v>288</v>
      </c>
      <c r="G38" cm="1">
        <f t="array" aca="1" ref="G38" ca="1">_xlfn.RANDARRAY(1,1,0,1,1)</f>
        <v>1</v>
      </c>
      <c r="J38" t="s">
        <v>84</v>
      </c>
      <c r="K38">
        <v>0</v>
      </c>
      <c r="L38" t="s">
        <v>378</v>
      </c>
      <c r="M38">
        <v>1</v>
      </c>
      <c r="O38" t="str">
        <f t="shared" ca="1" si="1"/>
        <v>Alaric</v>
      </c>
      <c r="P38">
        <f ca="1"/>
        <v>1</v>
      </c>
    </row>
    <row r="39" spans="1:16">
      <c r="A39">
        <v>38</v>
      </c>
      <c r="B39" t="s">
        <v>289</v>
      </c>
      <c r="C39">
        <v>1</v>
      </c>
      <c r="D39" t="s">
        <v>433</v>
      </c>
      <c r="E39">
        <v>0</v>
      </c>
      <c r="F39" t="s">
        <v>290</v>
      </c>
      <c r="G39" cm="1">
        <f t="array" aca="1" ref="G39" ca="1">_xlfn.RANDARRAY(1,1,0,1,1)</f>
        <v>1</v>
      </c>
      <c r="J39" t="s">
        <v>92</v>
      </c>
      <c r="K39">
        <v>0</v>
      </c>
      <c r="L39" t="s">
        <v>380</v>
      </c>
      <c r="M39">
        <v>1</v>
      </c>
      <c r="O39" t="str">
        <f t="shared" ca="1" si="1"/>
        <v>Heather</v>
      </c>
      <c r="P39">
        <f ca="1"/>
        <v>0</v>
      </c>
    </row>
    <row r="40" spans="1:16">
      <c r="A40">
        <v>39</v>
      </c>
      <c r="B40" t="s">
        <v>291</v>
      </c>
      <c r="C40">
        <v>1</v>
      </c>
      <c r="D40" t="s">
        <v>292</v>
      </c>
      <c r="E40">
        <v>0</v>
      </c>
      <c r="F40" t="s">
        <v>293</v>
      </c>
      <c r="G40" cm="1">
        <f t="array" aca="1" ref="G40" ca="1">_xlfn.RANDARRAY(1,1,0,1,1)</f>
        <v>0</v>
      </c>
      <c r="J40" t="s">
        <v>66</v>
      </c>
      <c r="K40">
        <v>0</v>
      </c>
      <c r="L40" t="s">
        <v>494</v>
      </c>
      <c r="M40">
        <v>1</v>
      </c>
      <c r="O40" t="str">
        <f t="shared" ca="1" si="1"/>
        <v>Shirley</v>
      </c>
      <c r="P40">
        <f ca="1"/>
        <v>0</v>
      </c>
    </row>
    <row r="41" spans="1:16">
      <c r="A41">
        <v>40</v>
      </c>
      <c r="B41" t="s">
        <v>434</v>
      </c>
      <c r="C41">
        <v>1</v>
      </c>
      <c r="D41" t="s">
        <v>403</v>
      </c>
      <c r="E41">
        <v>0</v>
      </c>
      <c r="F41" t="s">
        <v>294</v>
      </c>
      <c r="G41" cm="1">
        <f t="array" aca="1" ref="G41" ca="1">_xlfn.RANDARRAY(1,1,0,1,1)</f>
        <v>1</v>
      </c>
      <c r="J41" t="s">
        <v>64</v>
      </c>
      <c r="K41">
        <v>0</v>
      </c>
      <c r="L41" t="s">
        <v>495</v>
      </c>
      <c r="M41">
        <v>1</v>
      </c>
      <c r="O41" t="str">
        <f t="shared" ca="1" si="1"/>
        <v>Jordan</v>
      </c>
      <c r="P41">
        <f ca="1"/>
        <v>1</v>
      </c>
    </row>
    <row r="42" spans="1:16">
      <c r="A42">
        <v>41</v>
      </c>
      <c r="B42" t="s">
        <v>295</v>
      </c>
      <c r="C42">
        <v>1</v>
      </c>
      <c r="D42" t="s">
        <v>296</v>
      </c>
      <c r="E42">
        <v>0</v>
      </c>
      <c r="F42" t="s">
        <v>297</v>
      </c>
      <c r="G42" cm="1">
        <f t="array" aca="1" ref="G42" ca="1">_xlfn.RANDARRAY(1,1,0,1,1)</f>
        <v>0</v>
      </c>
      <c r="J42" t="s">
        <v>9</v>
      </c>
      <c r="K42">
        <v>0</v>
      </c>
      <c r="L42" t="s">
        <v>385</v>
      </c>
      <c r="M42">
        <v>1</v>
      </c>
      <c r="O42" t="str">
        <f t="shared" ca="1" si="1"/>
        <v>Caspian</v>
      </c>
      <c r="P42">
        <f ca="1"/>
        <v>1</v>
      </c>
    </row>
    <row r="43" spans="1:16">
      <c r="A43">
        <v>42</v>
      </c>
      <c r="B43" t="s">
        <v>88</v>
      </c>
      <c r="C43">
        <v>1</v>
      </c>
      <c r="D43" t="s">
        <v>298</v>
      </c>
      <c r="E43">
        <v>0</v>
      </c>
      <c r="F43" t="s">
        <v>405</v>
      </c>
      <c r="G43" cm="1">
        <f t="array" aca="1" ref="G43" ca="1">_xlfn.RANDARRAY(1,1,0,1,1)</f>
        <v>1</v>
      </c>
      <c r="J43" t="s">
        <v>42</v>
      </c>
      <c r="K43">
        <v>0</v>
      </c>
      <c r="L43" t="s">
        <v>387</v>
      </c>
      <c r="M43">
        <v>1</v>
      </c>
      <c r="O43" t="str">
        <f t="shared" ca="1" si="1"/>
        <v>Lincoln</v>
      </c>
      <c r="P43">
        <f ca="1"/>
        <v>1</v>
      </c>
    </row>
    <row r="44" spans="1:16">
      <c r="A44">
        <v>43</v>
      </c>
      <c r="B44" t="s">
        <v>299</v>
      </c>
      <c r="C44">
        <v>1</v>
      </c>
      <c r="D44" t="s">
        <v>300</v>
      </c>
      <c r="E44">
        <v>0</v>
      </c>
      <c r="F44" t="s">
        <v>301</v>
      </c>
      <c r="G44" cm="1">
        <f t="array" aca="1" ref="G44" ca="1">_xlfn.RANDARRAY(1,1,0,1,1)</f>
        <v>0</v>
      </c>
      <c r="J44" t="s">
        <v>90</v>
      </c>
      <c r="K44">
        <v>0</v>
      </c>
      <c r="L44" t="s">
        <v>496</v>
      </c>
      <c r="M44">
        <v>1</v>
      </c>
      <c r="O44" t="str">
        <f t="shared" ca="1" si="1"/>
        <v>Maria</v>
      </c>
      <c r="P44">
        <f ca="1"/>
        <v>0</v>
      </c>
    </row>
    <row r="45" spans="1:16">
      <c r="A45">
        <v>44</v>
      </c>
      <c r="B45" t="s">
        <v>302</v>
      </c>
      <c r="C45">
        <v>1</v>
      </c>
      <c r="D45" t="s">
        <v>303</v>
      </c>
      <c r="E45">
        <v>0</v>
      </c>
      <c r="F45" t="s">
        <v>304</v>
      </c>
      <c r="G45" cm="1">
        <f t="array" aca="1" ref="G45" ca="1">_xlfn.RANDARRAY(1,1,0,1,1)</f>
        <v>1</v>
      </c>
      <c r="J45" t="s">
        <v>14</v>
      </c>
      <c r="K45">
        <v>0</v>
      </c>
      <c r="L45" t="s">
        <v>390</v>
      </c>
      <c r="M45">
        <v>1</v>
      </c>
      <c r="O45" t="str">
        <f t="shared" ca="1" si="1"/>
        <v>Mary</v>
      </c>
      <c r="P45">
        <f ca="1"/>
        <v>0</v>
      </c>
    </row>
    <row r="46" spans="1:16">
      <c r="A46">
        <v>45</v>
      </c>
      <c r="B46" t="s">
        <v>305</v>
      </c>
      <c r="C46">
        <v>1</v>
      </c>
      <c r="D46" t="s">
        <v>406</v>
      </c>
      <c r="E46">
        <v>0</v>
      </c>
      <c r="F46" t="s">
        <v>306</v>
      </c>
      <c r="G46" cm="1">
        <f t="array" aca="1" ref="G46" ca="1">_xlfn.RANDARRAY(1,1,0,1,1)</f>
        <v>0</v>
      </c>
      <c r="J46" t="s">
        <v>54</v>
      </c>
      <c r="K46">
        <v>1</v>
      </c>
      <c r="L46" t="s">
        <v>392</v>
      </c>
      <c r="M46">
        <v>1</v>
      </c>
      <c r="O46" t="str">
        <f t="shared" ca="1" si="1"/>
        <v>Roman</v>
      </c>
      <c r="P46">
        <f ca="1"/>
        <v>1</v>
      </c>
    </row>
    <row r="47" spans="1:16">
      <c r="A47">
        <v>46</v>
      </c>
      <c r="B47" t="s">
        <v>30</v>
      </c>
      <c r="C47">
        <v>1</v>
      </c>
      <c r="D47" t="s">
        <v>307</v>
      </c>
      <c r="E47">
        <v>0</v>
      </c>
      <c r="F47" t="s">
        <v>308</v>
      </c>
      <c r="G47" cm="1">
        <f t="array" aca="1" ref="G47" ca="1">_xlfn.RANDARRAY(1,1,0,1,1)</f>
        <v>1</v>
      </c>
      <c r="J47" t="s">
        <v>46</v>
      </c>
      <c r="K47">
        <v>1</v>
      </c>
      <c r="L47" t="s">
        <v>393</v>
      </c>
      <c r="M47">
        <v>1</v>
      </c>
      <c r="O47" t="str">
        <f t="shared" ca="1" si="1"/>
        <v>Nathan</v>
      </c>
      <c r="P47">
        <f ca="1"/>
        <v>1</v>
      </c>
    </row>
    <row r="48" spans="1:16">
      <c r="A48">
        <v>47</v>
      </c>
      <c r="B48" t="s">
        <v>407</v>
      </c>
      <c r="C48">
        <v>1</v>
      </c>
      <c r="D48" t="s">
        <v>309</v>
      </c>
      <c r="E48">
        <v>0</v>
      </c>
      <c r="F48" t="s">
        <v>310</v>
      </c>
      <c r="G48" cm="1">
        <f t="array" aca="1" ref="G48" ca="1">_xlfn.RANDARRAY(1,1,0,1,1)</f>
        <v>0</v>
      </c>
      <c r="J48" t="s">
        <v>50</v>
      </c>
      <c r="K48">
        <v>1</v>
      </c>
      <c r="L48" t="s">
        <v>395</v>
      </c>
      <c r="M48">
        <v>1</v>
      </c>
      <c r="O48" t="str">
        <f t="shared" ca="1" si="1"/>
        <v>Timothy</v>
      </c>
      <c r="P48">
        <f ca="1"/>
        <v>0</v>
      </c>
    </row>
    <row r="49" spans="1:16">
      <c r="A49">
        <v>48</v>
      </c>
      <c r="B49" t="s">
        <v>311</v>
      </c>
      <c r="C49">
        <v>1</v>
      </c>
      <c r="D49" t="s">
        <v>408</v>
      </c>
      <c r="E49">
        <v>0</v>
      </c>
      <c r="F49" t="s">
        <v>312</v>
      </c>
      <c r="G49" cm="1">
        <f t="array" aca="1" ref="G49" ca="1">_xlfn.RANDARRAY(1,1,0,1,1)</f>
        <v>0</v>
      </c>
      <c r="J49" t="s">
        <v>85</v>
      </c>
      <c r="K49">
        <v>1</v>
      </c>
      <c r="L49" t="s">
        <v>397</v>
      </c>
      <c r="M49">
        <v>1</v>
      </c>
      <c r="O49" t="str">
        <f t="shared" ca="1" si="1"/>
        <v>Mateo</v>
      </c>
      <c r="P49">
        <f ca="1"/>
        <v>1</v>
      </c>
    </row>
    <row r="50" spans="1:16">
      <c r="A50">
        <v>49</v>
      </c>
      <c r="B50" t="s">
        <v>313</v>
      </c>
      <c r="C50">
        <v>1</v>
      </c>
      <c r="D50" t="s">
        <v>483</v>
      </c>
      <c r="E50">
        <v>0</v>
      </c>
      <c r="F50" t="s">
        <v>314</v>
      </c>
      <c r="G50" cm="1">
        <f t="array" aca="1" ref="G50" ca="1">_xlfn.RANDARRAY(1,1,0,1,1)</f>
        <v>0</v>
      </c>
      <c r="J50" t="s">
        <v>32</v>
      </c>
      <c r="K50">
        <v>1</v>
      </c>
      <c r="L50" t="s">
        <v>398</v>
      </c>
      <c r="M50">
        <v>1</v>
      </c>
      <c r="O50" t="str">
        <f t="shared" ca="1" si="1"/>
        <v>Matthew</v>
      </c>
      <c r="P50">
        <f ca="1"/>
        <v>0</v>
      </c>
    </row>
    <row r="51" spans="1:16">
      <c r="A51">
        <v>50</v>
      </c>
      <c r="B51" t="s">
        <v>41</v>
      </c>
      <c r="C51">
        <v>1</v>
      </c>
      <c r="D51" t="s">
        <v>482</v>
      </c>
      <c r="E51">
        <v>0</v>
      </c>
      <c r="F51" t="s">
        <v>315</v>
      </c>
      <c r="G51" cm="1">
        <f t="array" aca="1" ref="G51" ca="1">_xlfn.RANDARRAY(1,1,0,1,1)</f>
        <v>0</v>
      </c>
      <c r="J51" t="s">
        <v>38</v>
      </c>
      <c r="K51">
        <v>1</v>
      </c>
      <c r="L51" t="s">
        <v>400</v>
      </c>
      <c r="M51">
        <v>1</v>
      </c>
      <c r="O51" t="str">
        <f t="shared" ca="1" si="1"/>
        <v>Steven</v>
      </c>
      <c r="P51">
        <f ca="1"/>
        <v>0</v>
      </c>
    </row>
    <row r="52" spans="1:16">
      <c r="A52">
        <v>51</v>
      </c>
      <c r="B52" t="s">
        <v>316</v>
      </c>
      <c r="C52">
        <v>1</v>
      </c>
      <c r="D52" t="s">
        <v>481</v>
      </c>
      <c r="E52">
        <v>0</v>
      </c>
      <c r="F52" t="s">
        <v>317</v>
      </c>
      <c r="G52" cm="1">
        <f t="array" aca="1" ref="G52" ca="1">_xlfn.RANDARRAY(1,1,0,1,1)</f>
        <v>1</v>
      </c>
      <c r="J52" t="s">
        <v>27</v>
      </c>
      <c r="K52">
        <v>1</v>
      </c>
      <c r="L52" t="s">
        <v>408</v>
      </c>
      <c r="M52">
        <v>0</v>
      </c>
      <c r="O52" t="str">
        <f t="shared" ca="1" si="1"/>
        <v>Thomas</v>
      </c>
      <c r="P52">
        <f ca="1"/>
        <v>0</v>
      </c>
    </row>
    <row r="53" spans="1:16">
      <c r="A53">
        <v>52</v>
      </c>
      <c r="B53" t="s">
        <v>409</v>
      </c>
      <c r="C53">
        <v>1</v>
      </c>
      <c r="D53" t="s">
        <v>480</v>
      </c>
      <c r="E53">
        <v>0</v>
      </c>
      <c r="F53" t="s">
        <v>318</v>
      </c>
      <c r="G53" cm="1">
        <f t="array" aca="1" ref="G53" ca="1">_xlfn.RANDARRAY(1,1,0,1,1)</f>
        <v>0</v>
      </c>
      <c r="J53" t="s">
        <v>96</v>
      </c>
      <c r="K53">
        <v>1</v>
      </c>
      <c r="L53" t="s">
        <v>483</v>
      </c>
      <c r="M53">
        <v>0</v>
      </c>
      <c r="O53" t="str">
        <f t="shared" ca="1" si="1"/>
        <v>Brad</v>
      </c>
      <c r="P53">
        <f ca="1"/>
        <v>0</v>
      </c>
    </row>
    <row r="54" spans="1:16">
      <c r="A54">
        <v>53</v>
      </c>
      <c r="B54" t="s">
        <v>319</v>
      </c>
      <c r="C54">
        <v>1</v>
      </c>
      <c r="D54" t="s">
        <v>479</v>
      </c>
      <c r="E54">
        <v>0</v>
      </c>
      <c r="F54" t="s">
        <v>320</v>
      </c>
      <c r="G54" cm="1">
        <f t="array" aca="1" ref="G54" ca="1">_xlfn.RANDARRAY(1,1,0,1,1)</f>
        <v>1</v>
      </c>
      <c r="J54" t="s">
        <v>6</v>
      </c>
      <c r="K54">
        <v>1</v>
      </c>
      <c r="L54" t="s">
        <v>482</v>
      </c>
      <c r="M54">
        <v>0</v>
      </c>
      <c r="O54" t="str">
        <f t="shared" ca="1" si="1"/>
        <v>David</v>
      </c>
      <c r="P54">
        <f ca="1"/>
        <v>0</v>
      </c>
    </row>
    <row r="55" spans="1:16">
      <c r="A55">
        <v>54</v>
      </c>
      <c r="B55" t="s">
        <v>17</v>
      </c>
      <c r="C55">
        <v>1</v>
      </c>
      <c r="D55" t="s">
        <v>478</v>
      </c>
      <c r="E55">
        <v>0</v>
      </c>
      <c r="F55" t="s">
        <v>321</v>
      </c>
      <c r="G55" cm="1">
        <f t="array" aca="1" ref="G55" ca="1">_xlfn.RANDARRAY(1,1,0,1,1)</f>
        <v>0</v>
      </c>
      <c r="J55" t="s">
        <v>30</v>
      </c>
      <c r="K55">
        <v>1</v>
      </c>
      <c r="L55" t="s">
        <v>481</v>
      </c>
      <c r="M55">
        <v>0</v>
      </c>
      <c r="O55" t="str">
        <f t="shared" ca="1" si="1"/>
        <v>Lucy</v>
      </c>
      <c r="P55">
        <f ca="1"/>
        <v>1</v>
      </c>
    </row>
    <row r="56" spans="1:16">
      <c r="A56">
        <v>55</v>
      </c>
      <c r="B56" t="s">
        <v>322</v>
      </c>
      <c r="C56">
        <v>1</v>
      </c>
      <c r="D56" t="s">
        <v>477</v>
      </c>
      <c r="E56">
        <v>0</v>
      </c>
      <c r="F56" t="s">
        <v>323</v>
      </c>
      <c r="G56" cm="1">
        <f t="array" aca="1" ref="G56" ca="1">_xlfn.RANDARRAY(1,1,0,1,1)</f>
        <v>1</v>
      </c>
      <c r="J56" t="s">
        <v>51</v>
      </c>
      <c r="K56">
        <v>1</v>
      </c>
      <c r="L56" t="s">
        <v>480</v>
      </c>
      <c r="M56">
        <v>0</v>
      </c>
      <c r="O56" t="str">
        <f t="shared" ca="1" si="1"/>
        <v>Ruby</v>
      </c>
      <c r="P56">
        <f ca="1"/>
        <v>1</v>
      </c>
    </row>
    <row r="57" spans="1:16">
      <c r="A57">
        <v>56</v>
      </c>
      <c r="B57" t="s">
        <v>324</v>
      </c>
      <c r="C57">
        <v>1</v>
      </c>
      <c r="D57" t="s">
        <v>476</v>
      </c>
      <c r="E57">
        <v>0</v>
      </c>
      <c r="F57" t="s">
        <v>325</v>
      </c>
      <c r="G57" cm="1">
        <f t="array" aca="1" ref="G57" ca="1">_xlfn.RANDARRAY(1,1,0,1,1)</f>
        <v>1</v>
      </c>
      <c r="J57" t="s">
        <v>17</v>
      </c>
      <c r="K57">
        <v>1</v>
      </c>
      <c r="L57" t="s">
        <v>479</v>
      </c>
      <c r="M57">
        <v>0</v>
      </c>
      <c r="O57" t="str">
        <f t="shared" ca="1" si="1"/>
        <v>James</v>
      </c>
      <c r="P57">
        <f ca="1"/>
        <v>0</v>
      </c>
    </row>
    <row r="58" spans="1:16">
      <c r="A58">
        <v>57</v>
      </c>
      <c r="B58" t="s">
        <v>326</v>
      </c>
      <c r="C58">
        <v>1</v>
      </c>
      <c r="D58" t="s">
        <v>327</v>
      </c>
      <c r="E58">
        <v>0</v>
      </c>
      <c r="F58" t="s">
        <v>328</v>
      </c>
      <c r="G58" cm="1">
        <f t="array" aca="1" ref="G58" ca="1">_xlfn.RANDARRAY(1,1,0,1,1)</f>
        <v>0</v>
      </c>
      <c r="J58" t="s">
        <v>101</v>
      </c>
      <c r="K58">
        <v>1</v>
      </c>
      <c r="L58" t="s">
        <v>478</v>
      </c>
      <c r="M58">
        <v>0</v>
      </c>
      <c r="O58" t="str">
        <f t="shared" ca="1" si="1"/>
        <v>Peter</v>
      </c>
      <c r="P58">
        <f ca="1"/>
        <v>0</v>
      </c>
    </row>
    <row r="59" spans="1:16">
      <c r="A59">
        <v>58</v>
      </c>
      <c r="B59" t="s">
        <v>329</v>
      </c>
      <c r="C59">
        <v>1</v>
      </c>
      <c r="D59" t="s">
        <v>475</v>
      </c>
      <c r="E59">
        <v>0</v>
      </c>
      <c r="F59" t="s">
        <v>330</v>
      </c>
      <c r="G59" cm="1">
        <f t="array" aca="1" ref="G59" ca="1">_xlfn.RANDARRAY(1,1,0,1,1)</f>
        <v>0</v>
      </c>
      <c r="J59" t="s">
        <v>47</v>
      </c>
      <c r="K59">
        <v>1</v>
      </c>
      <c r="L59" t="s">
        <v>477</v>
      </c>
      <c r="M59">
        <v>0</v>
      </c>
      <c r="O59" t="str">
        <f t="shared" ca="1" si="1"/>
        <v>Brian</v>
      </c>
      <c r="P59">
        <f ca="1"/>
        <v>0</v>
      </c>
    </row>
    <row r="60" spans="1:16">
      <c r="A60">
        <v>59</v>
      </c>
      <c r="B60" t="s">
        <v>331</v>
      </c>
      <c r="C60">
        <v>1</v>
      </c>
      <c r="D60" t="s">
        <v>474</v>
      </c>
      <c r="E60">
        <v>0</v>
      </c>
      <c r="F60" t="s">
        <v>332</v>
      </c>
      <c r="G60" cm="1">
        <f t="array" aca="1" ref="G60" ca="1">_xlfn.RANDARRAY(1,1,0,1,1)</f>
        <v>1</v>
      </c>
      <c r="J60" t="s">
        <v>29</v>
      </c>
      <c r="K60">
        <v>1</v>
      </c>
      <c r="L60" t="s">
        <v>476</v>
      </c>
      <c r="M60">
        <v>0</v>
      </c>
      <c r="O60" t="str">
        <f t="shared" ca="1" si="1"/>
        <v>Ada</v>
      </c>
      <c r="P60">
        <f ca="1"/>
        <v>1</v>
      </c>
    </row>
    <row r="61" spans="1:16">
      <c r="A61">
        <v>60</v>
      </c>
      <c r="B61" t="s">
        <v>333</v>
      </c>
      <c r="C61">
        <v>1</v>
      </c>
      <c r="D61" t="s">
        <v>473</v>
      </c>
      <c r="E61">
        <v>0</v>
      </c>
      <c r="F61" t="s">
        <v>334</v>
      </c>
      <c r="G61" cm="1">
        <f t="array" aca="1" ref="G61" ca="1">_xlfn.RANDARRAY(1,1,0,1,1)</f>
        <v>0</v>
      </c>
      <c r="J61" t="s">
        <v>43</v>
      </c>
      <c r="K61">
        <v>1</v>
      </c>
      <c r="L61" t="s">
        <v>327</v>
      </c>
      <c r="M61">
        <v>0</v>
      </c>
      <c r="O61" t="str">
        <f t="shared" ca="1" si="1"/>
        <v>Joshua</v>
      </c>
      <c r="P61">
        <f ca="1"/>
        <v>0</v>
      </c>
    </row>
    <row r="62" spans="1:16">
      <c r="A62">
        <v>61</v>
      </c>
      <c r="B62" t="s">
        <v>27</v>
      </c>
      <c r="C62">
        <v>1</v>
      </c>
      <c r="D62" t="s">
        <v>472</v>
      </c>
      <c r="E62">
        <v>0</v>
      </c>
      <c r="F62" t="s">
        <v>335</v>
      </c>
      <c r="G62" cm="1">
        <f t="array" aca="1" ref="G62" ca="1">_xlfn.RANDARRAY(1,1,0,1,1)</f>
        <v>0</v>
      </c>
      <c r="J62" t="s">
        <v>67</v>
      </c>
      <c r="K62">
        <v>1</v>
      </c>
      <c r="L62" t="s">
        <v>475</v>
      </c>
      <c r="M62">
        <v>0</v>
      </c>
      <c r="O62" t="str">
        <f t="shared" ca="1" si="1"/>
        <v>Aurelia</v>
      </c>
      <c r="P62">
        <f ca="1"/>
        <v>1</v>
      </c>
    </row>
    <row r="63" spans="1:16">
      <c r="A63">
        <v>62</v>
      </c>
      <c r="B63" t="s">
        <v>336</v>
      </c>
      <c r="C63">
        <v>1</v>
      </c>
      <c r="D63" t="s">
        <v>410</v>
      </c>
      <c r="E63">
        <v>0</v>
      </c>
      <c r="F63" t="s">
        <v>337</v>
      </c>
      <c r="G63" cm="1">
        <f t="array" aca="1" ref="G63" ca="1">_xlfn.RANDARRAY(1,1,0,1,1)</f>
        <v>0</v>
      </c>
      <c r="J63" t="s">
        <v>7</v>
      </c>
      <c r="K63">
        <v>1</v>
      </c>
      <c r="L63" t="s">
        <v>474</v>
      </c>
      <c r="M63">
        <v>0</v>
      </c>
      <c r="O63" t="str">
        <f t="shared" ca="1" si="1"/>
        <v>Esme</v>
      </c>
      <c r="P63">
        <f ca="1"/>
        <v>1</v>
      </c>
    </row>
    <row r="64" spans="1:16">
      <c r="A64">
        <v>63</v>
      </c>
      <c r="B64" t="s">
        <v>411</v>
      </c>
      <c r="C64">
        <v>1</v>
      </c>
      <c r="D64" t="s">
        <v>471</v>
      </c>
      <c r="E64">
        <v>0</v>
      </c>
      <c r="F64" t="s">
        <v>338</v>
      </c>
      <c r="G64" cm="1">
        <f t="array" aca="1" ref="G64" ca="1">_xlfn.RANDARRAY(1,1,0,1,1)</f>
        <v>0</v>
      </c>
      <c r="J64" t="s">
        <v>79</v>
      </c>
      <c r="K64">
        <v>1</v>
      </c>
      <c r="L64" t="s">
        <v>473</v>
      </c>
      <c r="M64">
        <v>0</v>
      </c>
      <c r="O64" t="str">
        <f t="shared" ca="1" si="1"/>
        <v>Sadie</v>
      </c>
      <c r="P64">
        <f ca="1"/>
        <v>1</v>
      </c>
    </row>
    <row r="65" spans="1:16">
      <c r="A65">
        <v>64</v>
      </c>
      <c r="B65" t="s">
        <v>339</v>
      </c>
      <c r="C65">
        <v>1</v>
      </c>
      <c r="D65" t="s">
        <v>470</v>
      </c>
      <c r="E65">
        <v>0</v>
      </c>
      <c r="F65" t="s">
        <v>340</v>
      </c>
      <c r="G65" cm="1">
        <f t="array" aca="1" ref="G65" ca="1">_xlfn.RANDARRAY(1,1,0,1,1)</f>
        <v>1</v>
      </c>
      <c r="J65" t="s">
        <v>88</v>
      </c>
      <c r="K65">
        <v>1</v>
      </c>
      <c r="L65" t="s">
        <v>472</v>
      </c>
      <c r="M65">
        <v>0</v>
      </c>
      <c r="O65" t="str">
        <f t="shared" ca="1" si="1"/>
        <v>Jack</v>
      </c>
      <c r="P65">
        <f ca="1"/>
        <v>0</v>
      </c>
    </row>
    <row r="66" spans="1:16">
      <c r="A66">
        <v>65</v>
      </c>
      <c r="B66" t="s">
        <v>59</v>
      </c>
      <c r="C66">
        <v>1</v>
      </c>
      <c r="D66" t="s">
        <v>469</v>
      </c>
      <c r="E66">
        <v>0</v>
      </c>
      <c r="F66" t="s">
        <v>341</v>
      </c>
      <c r="G66" cm="1">
        <f t="array" aca="1" ref="G66" ca="1">_xlfn.RANDARRAY(1,1,0,1,1)</f>
        <v>0</v>
      </c>
      <c r="J66" t="s">
        <v>21</v>
      </c>
      <c r="K66">
        <v>1</v>
      </c>
      <c r="L66" t="s">
        <v>410</v>
      </c>
      <c r="M66">
        <v>0</v>
      </c>
      <c r="O66" t="str">
        <f t="shared" ref="O66:O97" ca="1" si="2">IF(P66,L66,J66)</f>
        <v>Juliette</v>
      </c>
      <c r="P66">
        <f ca="1"/>
        <v>1</v>
      </c>
    </row>
    <row r="67" spans="1:16">
      <c r="A67">
        <v>66</v>
      </c>
      <c r="B67" t="s">
        <v>342</v>
      </c>
      <c r="C67">
        <v>1</v>
      </c>
      <c r="D67" t="s">
        <v>468</v>
      </c>
      <c r="E67">
        <v>0</v>
      </c>
      <c r="F67" t="s">
        <v>343</v>
      </c>
      <c r="G67" cm="1">
        <f t="array" aca="1" ref="G67" ca="1">_xlfn.RANDARRAY(1,1,0,1,1)</f>
        <v>1</v>
      </c>
      <c r="J67" t="s">
        <v>77</v>
      </c>
      <c r="K67">
        <v>1</v>
      </c>
      <c r="L67" t="s">
        <v>471</v>
      </c>
      <c r="M67">
        <v>0</v>
      </c>
      <c r="O67" t="str">
        <f t="shared" ca="1" si="2"/>
        <v>Saoirse</v>
      </c>
      <c r="P67">
        <f ca="1"/>
        <v>1</v>
      </c>
    </row>
    <row r="68" spans="1:16">
      <c r="A68">
        <v>67</v>
      </c>
      <c r="B68" t="s">
        <v>344</v>
      </c>
      <c r="C68">
        <v>1</v>
      </c>
      <c r="D68" t="s">
        <v>467</v>
      </c>
      <c r="E68">
        <v>0</v>
      </c>
      <c r="F68" t="s">
        <v>412</v>
      </c>
      <c r="G68" cm="1">
        <f t="array" aca="1" ref="G68" ca="1">_xlfn.RANDARRAY(1,1,0,1,1)</f>
        <v>0</v>
      </c>
      <c r="J68" t="s">
        <v>19</v>
      </c>
      <c r="K68">
        <v>1</v>
      </c>
      <c r="L68" t="s">
        <v>470</v>
      </c>
      <c r="M68">
        <v>0</v>
      </c>
      <c r="O68" t="str">
        <f t="shared" ca="1" si="2"/>
        <v>Eliana</v>
      </c>
      <c r="P68">
        <f ca="1"/>
        <v>1</v>
      </c>
    </row>
    <row r="69" spans="1:16">
      <c r="A69">
        <v>68</v>
      </c>
      <c r="B69" t="s">
        <v>32</v>
      </c>
      <c r="C69">
        <v>1</v>
      </c>
      <c r="D69" t="s">
        <v>413</v>
      </c>
      <c r="E69">
        <v>0</v>
      </c>
      <c r="F69" t="s">
        <v>414</v>
      </c>
      <c r="G69" cm="1">
        <f t="array" aca="1" ref="G69" ca="1">_xlfn.RANDARRAY(1,1,0,1,1)</f>
        <v>1</v>
      </c>
      <c r="J69" t="s">
        <v>20</v>
      </c>
      <c r="K69">
        <v>1</v>
      </c>
      <c r="L69" t="s">
        <v>469</v>
      </c>
      <c r="M69">
        <v>0</v>
      </c>
      <c r="O69" t="str">
        <f t="shared" ca="1" si="2"/>
        <v>Michael</v>
      </c>
      <c r="P69">
        <f ca="1"/>
        <v>0</v>
      </c>
    </row>
    <row r="70" spans="1:16">
      <c r="A70">
        <v>69</v>
      </c>
      <c r="B70" t="s">
        <v>345</v>
      </c>
      <c r="C70">
        <v>1</v>
      </c>
      <c r="D70" t="s">
        <v>415</v>
      </c>
      <c r="E70">
        <v>0</v>
      </c>
      <c r="F70" t="s">
        <v>346</v>
      </c>
      <c r="G70" cm="1">
        <f t="array" aca="1" ref="G70" ca="1">_xlfn.RANDARRAY(1,1,0,1,1)</f>
        <v>1</v>
      </c>
      <c r="J70" t="s">
        <v>65</v>
      </c>
      <c r="K70">
        <v>1</v>
      </c>
      <c r="L70" t="s">
        <v>468</v>
      </c>
      <c r="M70">
        <v>0</v>
      </c>
      <c r="O70" t="str">
        <f t="shared" ca="1" si="2"/>
        <v>Eric</v>
      </c>
      <c r="P70">
        <f ca="1"/>
        <v>0</v>
      </c>
    </row>
    <row r="71" spans="1:16">
      <c r="A71">
        <v>70</v>
      </c>
      <c r="B71" t="s">
        <v>347</v>
      </c>
      <c r="C71">
        <v>1</v>
      </c>
      <c r="D71" t="s">
        <v>466</v>
      </c>
      <c r="E71">
        <v>0</v>
      </c>
      <c r="F71" t="s">
        <v>348</v>
      </c>
      <c r="G71" cm="1">
        <f t="array" aca="1" ref="G71" ca="1">_xlfn.RANDARRAY(1,1,0,1,1)</f>
        <v>1</v>
      </c>
      <c r="J71" t="s">
        <v>59</v>
      </c>
      <c r="K71">
        <v>1</v>
      </c>
      <c r="L71" t="s">
        <v>467</v>
      </c>
      <c r="M71">
        <v>0</v>
      </c>
      <c r="O71" t="str">
        <f t="shared" ca="1" si="2"/>
        <v>Jacob</v>
      </c>
      <c r="P71">
        <f ca="1"/>
        <v>0</v>
      </c>
    </row>
    <row r="72" spans="1:16">
      <c r="A72">
        <v>71</v>
      </c>
      <c r="B72" t="s">
        <v>349</v>
      </c>
      <c r="C72">
        <v>1</v>
      </c>
      <c r="D72" t="s">
        <v>465</v>
      </c>
      <c r="E72">
        <v>0</v>
      </c>
      <c r="F72" t="s">
        <v>350</v>
      </c>
      <c r="G72" cm="1">
        <f t="array" aca="1" ref="G72" ca="1">_xlfn.RANDARRAY(1,1,0,1,1)</f>
        <v>1</v>
      </c>
      <c r="J72" t="s">
        <v>52</v>
      </c>
      <c r="K72">
        <v>1</v>
      </c>
      <c r="L72" t="s">
        <v>413</v>
      </c>
      <c r="M72">
        <v>0</v>
      </c>
      <c r="O72" t="str">
        <f t="shared" ca="1" si="2"/>
        <v>Edward</v>
      </c>
      <c r="P72">
        <f ca="1"/>
        <v>0</v>
      </c>
    </row>
    <row r="73" spans="1:16">
      <c r="A73">
        <v>72</v>
      </c>
      <c r="B73" t="s">
        <v>79</v>
      </c>
      <c r="C73">
        <v>1</v>
      </c>
      <c r="D73" t="s">
        <v>416</v>
      </c>
      <c r="E73">
        <v>0</v>
      </c>
      <c r="F73" t="s">
        <v>351</v>
      </c>
      <c r="G73" cm="1">
        <f t="array" aca="1" ref="G73" ca="1">_xlfn.RANDARRAY(1,1,0,1,1)</f>
        <v>0</v>
      </c>
      <c r="J73" t="s">
        <v>87</v>
      </c>
      <c r="K73">
        <v>1</v>
      </c>
      <c r="L73" t="s">
        <v>415</v>
      </c>
      <c r="M73">
        <v>0</v>
      </c>
      <c r="O73" t="str">
        <f t="shared" ca="1" si="2"/>
        <v>Lilah</v>
      </c>
      <c r="P73">
        <f ca="1"/>
        <v>1</v>
      </c>
    </row>
    <row r="74" spans="1:16">
      <c r="A74">
        <v>73</v>
      </c>
      <c r="B74" t="s">
        <v>352</v>
      </c>
      <c r="C74">
        <v>1</v>
      </c>
      <c r="D74" t="s">
        <v>464</v>
      </c>
      <c r="E74">
        <v>0</v>
      </c>
      <c r="F74" t="s">
        <v>353</v>
      </c>
      <c r="G74" cm="1">
        <f t="array" aca="1" ref="G74" ca="1">_xlfn.RANDARRAY(1,1,0,1,1)</f>
        <v>1</v>
      </c>
      <c r="J74" t="s">
        <v>91</v>
      </c>
      <c r="K74">
        <v>1</v>
      </c>
      <c r="L74" t="s">
        <v>466</v>
      </c>
      <c r="M74">
        <v>0</v>
      </c>
      <c r="O74" t="str">
        <f t="shared" ca="1" si="2"/>
        <v>Jerry</v>
      </c>
      <c r="P74">
        <f ca="1"/>
        <v>0</v>
      </c>
    </row>
    <row r="75" spans="1:16">
      <c r="A75">
        <v>74</v>
      </c>
      <c r="B75" t="s">
        <v>354</v>
      </c>
      <c r="C75">
        <v>1</v>
      </c>
      <c r="D75" t="s">
        <v>417</v>
      </c>
      <c r="E75">
        <v>0</v>
      </c>
      <c r="F75" t="s">
        <v>355</v>
      </c>
      <c r="G75" cm="1">
        <f t="array" aca="1" ref="G75" ca="1">_xlfn.RANDARRAY(1,1,0,1,1)</f>
        <v>1</v>
      </c>
      <c r="J75" t="s">
        <v>39</v>
      </c>
      <c r="K75">
        <v>1</v>
      </c>
      <c r="L75" t="s">
        <v>465</v>
      </c>
      <c r="M75">
        <v>0</v>
      </c>
      <c r="O75" t="str">
        <f t="shared" ca="1" si="2"/>
        <v>Paul</v>
      </c>
      <c r="P75">
        <f ca="1"/>
        <v>0</v>
      </c>
    </row>
    <row r="76" spans="1:16">
      <c r="A76">
        <v>75</v>
      </c>
      <c r="B76" t="s">
        <v>356</v>
      </c>
      <c r="C76">
        <v>1</v>
      </c>
      <c r="D76" t="s">
        <v>463</v>
      </c>
      <c r="E76">
        <v>0</v>
      </c>
      <c r="F76" t="s">
        <v>357</v>
      </c>
      <c r="G76" cm="1">
        <f t="array" aca="1" ref="G76" ca="1">_xlfn.RANDARRAY(1,1,0,1,1)</f>
        <v>0</v>
      </c>
      <c r="J76" t="s">
        <v>41</v>
      </c>
      <c r="K76">
        <v>1</v>
      </c>
      <c r="L76" t="s">
        <v>416</v>
      </c>
      <c r="M76">
        <v>0</v>
      </c>
      <c r="O76" t="str">
        <f t="shared" ca="1" si="2"/>
        <v>Margo</v>
      </c>
      <c r="P76">
        <f ca="1"/>
        <v>1</v>
      </c>
    </row>
    <row r="77" spans="1:16">
      <c r="A77">
        <v>76</v>
      </c>
      <c r="B77" t="s">
        <v>358</v>
      </c>
      <c r="C77">
        <v>1</v>
      </c>
      <c r="D77" t="s">
        <v>462</v>
      </c>
      <c r="E77">
        <v>0</v>
      </c>
      <c r="F77" t="s">
        <v>359</v>
      </c>
      <c r="G77" cm="1">
        <f t="array" aca="1" ref="G77" ca="1">_xlfn.RANDARRAY(1,1,0,1,1)</f>
        <v>0</v>
      </c>
      <c r="J77" t="s">
        <v>48</v>
      </c>
      <c r="K77">
        <v>1</v>
      </c>
      <c r="L77" t="s">
        <v>464</v>
      </c>
      <c r="M77">
        <v>0</v>
      </c>
      <c r="O77" t="str">
        <f t="shared" ca="1" si="2"/>
        <v>George</v>
      </c>
      <c r="P77">
        <f ca="1"/>
        <v>0</v>
      </c>
    </row>
    <row r="78" spans="1:16">
      <c r="A78">
        <v>77</v>
      </c>
      <c r="B78" t="s">
        <v>360</v>
      </c>
      <c r="C78">
        <v>1</v>
      </c>
      <c r="D78" t="s">
        <v>461</v>
      </c>
      <c r="E78">
        <v>0</v>
      </c>
      <c r="F78" t="s">
        <v>361</v>
      </c>
      <c r="G78" cm="1">
        <f t="array" aca="1" ref="G78" ca="1">_xlfn.RANDARRAY(1,1,0,1,1)</f>
        <v>1</v>
      </c>
      <c r="J78" t="s">
        <v>80</v>
      </c>
      <c r="K78">
        <v>1</v>
      </c>
      <c r="L78" t="s">
        <v>417</v>
      </c>
      <c r="M78">
        <v>0</v>
      </c>
      <c r="O78" t="str">
        <f t="shared" ca="1" si="2"/>
        <v>Adalynn</v>
      </c>
      <c r="P78">
        <f ca="1"/>
        <v>1</v>
      </c>
    </row>
    <row r="79" spans="1:16">
      <c r="A79">
        <v>78</v>
      </c>
      <c r="B79" t="s">
        <v>362</v>
      </c>
      <c r="C79">
        <v>1</v>
      </c>
      <c r="D79" t="s">
        <v>460</v>
      </c>
      <c r="E79">
        <v>0</v>
      </c>
      <c r="F79" t="s">
        <v>363</v>
      </c>
      <c r="G79" cm="1">
        <f t="array" aca="1" ref="G79" ca="1">_xlfn.RANDARRAY(1,1,0,1,1)</f>
        <v>1</v>
      </c>
      <c r="J79" t="s">
        <v>97</v>
      </c>
      <c r="K79">
        <v>1</v>
      </c>
      <c r="L79" t="s">
        <v>463</v>
      </c>
      <c r="M79">
        <v>0</v>
      </c>
      <c r="O79" t="str">
        <f t="shared" ca="1" si="2"/>
        <v>Matilda</v>
      </c>
      <c r="P79">
        <f ca="1"/>
        <v>1</v>
      </c>
    </row>
    <row r="80" spans="1:16">
      <c r="A80">
        <v>79</v>
      </c>
      <c r="B80" t="s">
        <v>6</v>
      </c>
      <c r="C80">
        <v>1</v>
      </c>
      <c r="D80" t="s">
        <v>459</v>
      </c>
      <c r="E80">
        <v>0</v>
      </c>
      <c r="F80" t="s">
        <v>364</v>
      </c>
      <c r="G80" cm="1">
        <f t="array" aca="1" ref="G80" ca="1">_xlfn.RANDARRAY(1,1,0,1,1)</f>
        <v>1</v>
      </c>
      <c r="J80" t="s">
        <v>98</v>
      </c>
      <c r="K80">
        <v>1</v>
      </c>
      <c r="L80" t="s">
        <v>462</v>
      </c>
      <c r="M80">
        <v>0</v>
      </c>
      <c r="O80" t="str">
        <f t="shared" ca="1" si="2"/>
        <v>Zed</v>
      </c>
      <c r="P80">
        <f ca="1"/>
        <v>0</v>
      </c>
    </row>
    <row r="81" spans="1:16">
      <c r="A81">
        <v>80</v>
      </c>
      <c r="B81" t="s">
        <v>365</v>
      </c>
      <c r="C81">
        <v>1</v>
      </c>
      <c r="D81" t="s">
        <v>458</v>
      </c>
      <c r="E81">
        <v>0</v>
      </c>
      <c r="F81" t="s">
        <v>366</v>
      </c>
      <c r="G81" cm="1">
        <f t="array" aca="1" ref="G81" ca="1">_xlfn.RANDARRAY(1,1,0,1,1)</f>
        <v>0</v>
      </c>
      <c r="J81" t="s">
        <v>83</v>
      </c>
      <c r="K81">
        <v>1</v>
      </c>
      <c r="L81" t="s">
        <v>461</v>
      </c>
      <c r="M81">
        <v>0</v>
      </c>
      <c r="O81" t="str">
        <f t="shared" ca="1" si="2"/>
        <v>Frank</v>
      </c>
      <c r="P81">
        <f ca="1"/>
        <v>0</v>
      </c>
    </row>
    <row r="82" spans="1:16">
      <c r="A82">
        <v>81</v>
      </c>
      <c r="B82" t="s">
        <v>367</v>
      </c>
      <c r="C82">
        <v>1</v>
      </c>
      <c r="D82" t="s">
        <v>457</v>
      </c>
      <c r="E82">
        <v>0</v>
      </c>
      <c r="F82" t="s">
        <v>368</v>
      </c>
      <c r="G82" cm="1">
        <f t="array" aca="1" ref="G82" ca="1">_xlfn.RANDARRAY(1,1,0,1,1)</f>
        <v>1</v>
      </c>
      <c r="J82" t="s">
        <v>56</v>
      </c>
      <c r="K82">
        <v>1</v>
      </c>
      <c r="L82" t="s">
        <v>460</v>
      </c>
      <c r="M82">
        <v>0</v>
      </c>
      <c r="O82" t="str">
        <f t="shared" ca="1" si="2"/>
        <v>Daphne</v>
      </c>
      <c r="P82">
        <f ca="1"/>
        <v>1</v>
      </c>
    </row>
    <row r="83" spans="1:16">
      <c r="A83">
        <v>82</v>
      </c>
      <c r="B83" t="s">
        <v>369</v>
      </c>
      <c r="C83">
        <v>1</v>
      </c>
      <c r="D83" t="s">
        <v>456</v>
      </c>
      <c r="E83">
        <v>0</v>
      </c>
      <c r="F83" t="s">
        <v>370</v>
      </c>
      <c r="G83" cm="1">
        <f t="array" aca="1" ref="G83" ca="1">_xlfn.RANDARRAY(1,1,0,1,1)</f>
        <v>0</v>
      </c>
      <c r="J83" t="s">
        <v>82</v>
      </c>
      <c r="K83">
        <v>1</v>
      </c>
      <c r="L83" t="s">
        <v>459</v>
      </c>
      <c r="M83">
        <v>0</v>
      </c>
      <c r="O83" t="str">
        <f t="shared" ca="1" si="2"/>
        <v>Olive</v>
      </c>
      <c r="P83">
        <f ca="1"/>
        <v>1</v>
      </c>
    </row>
    <row r="84" spans="1:16">
      <c r="A84">
        <v>83</v>
      </c>
      <c r="B84" t="s">
        <v>371</v>
      </c>
      <c r="C84">
        <v>1</v>
      </c>
      <c r="D84" t="s">
        <v>455</v>
      </c>
      <c r="E84">
        <v>0</v>
      </c>
      <c r="F84" t="s">
        <v>372</v>
      </c>
      <c r="G84" cm="1">
        <f t="array" aca="1" ref="G84" ca="1">_xlfn.RANDARRAY(1,1,0,1,1)</f>
        <v>1</v>
      </c>
      <c r="J84" t="s">
        <v>89</v>
      </c>
      <c r="K84">
        <v>1</v>
      </c>
      <c r="L84" t="s">
        <v>458</v>
      </c>
      <c r="M84">
        <v>0</v>
      </c>
      <c r="O84" t="str">
        <f t="shared" ca="1" si="2"/>
        <v>Dennis</v>
      </c>
      <c r="P84">
        <f ca="1"/>
        <v>0</v>
      </c>
    </row>
    <row r="85" spans="1:16">
      <c r="A85">
        <v>84</v>
      </c>
      <c r="B85" t="s">
        <v>373</v>
      </c>
      <c r="C85">
        <v>1</v>
      </c>
      <c r="D85" t="s">
        <v>454</v>
      </c>
      <c r="E85">
        <v>0</v>
      </c>
      <c r="F85" t="s">
        <v>374</v>
      </c>
      <c r="G85" cm="1">
        <f t="array" aca="1" ref="G85" ca="1">_xlfn.RANDARRAY(1,1,0,1,1)</f>
        <v>0</v>
      </c>
      <c r="J85" t="s">
        <v>36</v>
      </c>
      <c r="K85">
        <v>1</v>
      </c>
      <c r="L85" t="s">
        <v>457</v>
      </c>
      <c r="M85">
        <v>0</v>
      </c>
      <c r="O85" t="str">
        <f t="shared" ca="1" si="2"/>
        <v>Imogen</v>
      </c>
      <c r="P85">
        <f ca="1"/>
        <v>1</v>
      </c>
    </row>
    <row r="86" spans="1:16">
      <c r="A86">
        <v>85</v>
      </c>
      <c r="B86" t="s">
        <v>375</v>
      </c>
      <c r="C86">
        <v>1</v>
      </c>
      <c r="D86" t="s">
        <v>40</v>
      </c>
      <c r="E86">
        <v>0</v>
      </c>
      <c r="F86" t="s">
        <v>376</v>
      </c>
      <c r="G86" cm="1">
        <f t="array" aca="1" ref="G86" ca="1">_xlfn.RANDARRAY(1,1,0,1,1)</f>
        <v>1</v>
      </c>
      <c r="J86" t="s">
        <v>71</v>
      </c>
      <c r="K86">
        <v>1</v>
      </c>
      <c r="L86" t="s">
        <v>456</v>
      </c>
      <c r="M86">
        <v>0</v>
      </c>
      <c r="O86" t="str">
        <f t="shared" ca="1" si="2"/>
        <v>Larry</v>
      </c>
      <c r="P86">
        <f ca="1"/>
        <v>0</v>
      </c>
    </row>
    <row r="87" spans="1:16">
      <c r="A87">
        <v>86</v>
      </c>
      <c r="B87" t="s">
        <v>418</v>
      </c>
      <c r="C87">
        <v>1</v>
      </c>
      <c r="D87" t="s">
        <v>419</v>
      </c>
      <c r="E87">
        <v>0</v>
      </c>
      <c r="F87" t="s">
        <v>377</v>
      </c>
      <c r="G87" cm="1">
        <f t="array" aca="1" ref="G87" ca="1">_xlfn.RANDARRAY(1,1,0,1,1)</f>
        <v>1</v>
      </c>
      <c r="J87" t="s">
        <v>99</v>
      </c>
      <c r="K87">
        <v>1</v>
      </c>
      <c r="L87" t="s">
        <v>455</v>
      </c>
      <c r="M87">
        <v>0</v>
      </c>
      <c r="O87" t="str">
        <f t="shared" ca="1" si="2"/>
        <v>Tyler</v>
      </c>
      <c r="P87">
        <f ca="1"/>
        <v>0</v>
      </c>
    </row>
    <row r="88" spans="1:16">
      <c r="A88">
        <v>87</v>
      </c>
      <c r="B88" t="s">
        <v>378</v>
      </c>
      <c r="C88">
        <v>1</v>
      </c>
      <c r="D88" t="s">
        <v>435</v>
      </c>
      <c r="E88">
        <v>0</v>
      </c>
      <c r="F88" t="s">
        <v>379</v>
      </c>
      <c r="G88" cm="1">
        <f t="array" aca="1" ref="G88" ca="1">_xlfn.RANDARRAY(1,1,0,1,1)</f>
        <v>0</v>
      </c>
      <c r="J88" t="s">
        <v>58</v>
      </c>
      <c r="K88">
        <v>1</v>
      </c>
      <c r="L88" t="s">
        <v>454</v>
      </c>
      <c r="M88">
        <v>0</v>
      </c>
      <c r="O88" t="str">
        <f t="shared" ca="1" si="2"/>
        <v>Elodie</v>
      </c>
      <c r="P88">
        <f ca="1"/>
        <v>1</v>
      </c>
    </row>
    <row r="89" spans="1:16">
      <c r="A89">
        <v>88</v>
      </c>
      <c r="B89" t="s">
        <v>380</v>
      </c>
      <c r="C89">
        <v>1</v>
      </c>
      <c r="D89" t="s">
        <v>436</v>
      </c>
      <c r="E89">
        <v>0</v>
      </c>
      <c r="F89" t="s">
        <v>381</v>
      </c>
      <c r="G89" cm="1">
        <f t="array" aca="1" ref="G89" ca="1">_xlfn.RANDARRAY(1,1,0,1,1)</f>
        <v>1</v>
      </c>
      <c r="J89" t="s">
        <v>69</v>
      </c>
      <c r="K89">
        <v>1</v>
      </c>
      <c r="L89" t="s">
        <v>40</v>
      </c>
      <c r="M89">
        <v>0</v>
      </c>
      <c r="O89" t="str">
        <f t="shared" ca="1" si="2"/>
        <v>Stephen</v>
      </c>
      <c r="P89">
        <f ca="1"/>
        <v>0</v>
      </c>
    </row>
    <row r="90" spans="1:16">
      <c r="A90">
        <v>89</v>
      </c>
      <c r="B90" t="s">
        <v>43</v>
      </c>
      <c r="C90">
        <v>1</v>
      </c>
      <c r="D90" t="s">
        <v>437</v>
      </c>
      <c r="E90">
        <v>0</v>
      </c>
      <c r="F90" t="s">
        <v>382</v>
      </c>
      <c r="G90" cm="1">
        <f t="array" aca="1" ref="G90" ca="1">_xlfn.RANDARRAY(1,1,0,1,1)</f>
        <v>0</v>
      </c>
      <c r="J90" t="s">
        <v>18</v>
      </c>
      <c r="K90">
        <v>1</v>
      </c>
      <c r="L90" t="s">
        <v>419</v>
      </c>
      <c r="M90">
        <v>0</v>
      </c>
      <c r="O90" t="str">
        <f t="shared" ca="1" si="2"/>
        <v>Kaya</v>
      </c>
      <c r="P90">
        <f ca="1"/>
        <v>1</v>
      </c>
    </row>
    <row r="91" spans="1:16">
      <c r="A91">
        <v>90</v>
      </c>
      <c r="B91" t="s">
        <v>20</v>
      </c>
      <c r="C91">
        <v>1</v>
      </c>
      <c r="D91" t="s">
        <v>383</v>
      </c>
      <c r="E91">
        <v>0</v>
      </c>
      <c r="F91" t="s">
        <v>384</v>
      </c>
      <c r="G91" cm="1">
        <f t="array" aca="1" ref="G91" ca="1">_xlfn.RANDARRAY(1,1,0,1,1)</f>
        <v>1</v>
      </c>
      <c r="J91" t="s">
        <v>34</v>
      </c>
      <c r="K91">
        <v>1</v>
      </c>
      <c r="L91" t="s">
        <v>435</v>
      </c>
      <c r="M91">
        <v>0</v>
      </c>
      <c r="O91" t="str">
        <f t="shared" ca="1" si="2"/>
        <v>Daisy</v>
      </c>
      <c r="P91">
        <f ca="1"/>
        <v>1</v>
      </c>
    </row>
    <row r="92" spans="1:16">
      <c r="A92">
        <v>91</v>
      </c>
      <c r="B92" t="s">
        <v>385</v>
      </c>
      <c r="C92">
        <v>1</v>
      </c>
      <c r="D92" t="s">
        <v>446</v>
      </c>
      <c r="E92">
        <v>0</v>
      </c>
      <c r="F92" t="s">
        <v>386</v>
      </c>
      <c r="G92" cm="1">
        <f t="array" aca="1" ref="G92" ca="1">_xlfn.RANDARRAY(1,1,0,1,1)</f>
        <v>1</v>
      </c>
      <c r="J92" t="s">
        <v>45</v>
      </c>
      <c r="K92">
        <v>1</v>
      </c>
      <c r="L92" t="s">
        <v>436</v>
      </c>
      <c r="M92">
        <v>0</v>
      </c>
      <c r="O92" t="str">
        <f t="shared" ca="1" si="2"/>
        <v>Vera</v>
      </c>
      <c r="P92">
        <f ca="1"/>
        <v>1</v>
      </c>
    </row>
    <row r="93" spans="1:16">
      <c r="A93">
        <v>92</v>
      </c>
      <c r="B93" t="s">
        <v>387</v>
      </c>
      <c r="C93">
        <v>1</v>
      </c>
      <c r="D93" t="s">
        <v>448</v>
      </c>
      <c r="E93">
        <v>0</v>
      </c>
      <c r="F93" t="s">
        <v>388</v>
      </c>
      <c r="G93" cm="1">
        <f t="array" aca="1" ref="G93" ca="1">_xlfn.RANDARRAY(1,1,0,1,1)</f>
        <v>0</v>
      </c>
      <c r="J93" t="s">
        <v>63</v>
      </c>
      <c r="K93">
        <v>1</v>
      </c>
      <c r="L93" t="s">
        <v>437</v>
      </c>
      <c r="M93">
        <v>0</v>
      </c>
      <c r="O93" t="str">
        <f t="shared" ca="1" si="2"/>
        <v>Nicholas</v>
      </c>
      <c r="P93">
        <f ca="1"/>
        <v>0</v>
      </c>
    </row>
    <row r="94" spans="1:16">
      <c r="A94">
        <v>93</v>
      </c>
      <c r="B94" t="s">
        <v>101</v>
      </c>
      <c r="C94">
        <v>1</v>
      </c>
      <c r="D94" t="s">
        <v>447</v>
      </c>
      <c r="E94">
        <v>0</v>
      </c>
      <c r="F94" t="s">
        <v>389</v>
      </c>
      <c r="G94" cm="1">
        <f t="array" aca="1" ref="G94" ca="1">_xlfn.RANDARRAY(1,1,0,1,1)</f>
        <v>0</v>
      </c>
      <c r="J94" t="s">
        <v>73</v>
      </c>
      <c r="K94">
        <v>1</v>
      </c>
      <c r="L94" t="s">
        <v>383</v>
      </c>
      <c r="M94">
        <v>0</v>
      </c>
      <c r="O94" t="str">
        <f t="shared" ca="1" si="2"/>
        <v> Serena</v>
      </c>
      <c r="P94">
        <f ca="1"/>
        <v>1</v>
      </c>
    </row>
    <row r="95" spans="1:16">
      <c r="A95">
        <v>94</v>
      </c>
      <c r="B95" t="s">
        <v>390</v>
      </c>
      <c r="C95">
        <v>1</v>
      </c>
      <c r="D95" t="s">
        <v>438</v>
      </c>
      <c r="E95">
        <v>0</v>
      </c>
      <c r="F95" t="s">
        <v>391</v>
      </c>
      <c r="G95" cm="1">
        <f t="array" aca="1" ref="G95" ca="1">_xlfn.RANDARRAY(1,1,0,1,1)</f>
        <v>0</v>
      </c>
      <c r="J95" t="s">
        <v>5</v>
      </c>
      <c r="K95">
        <v>1</v>
      </c>
      <c r="L95" t="s">
        <v>446</v>
      </c>
      <c r="M95">
        <v>0</v>
      </c>
      <c r="O95" t="str">
        <f t="shared" ca="1" si="2"/>
        <v>Elise</v>
      </c>
      <c r="P95">
        <f ca="1"/>
        <v>1</v>
      </c>
    </row>
    <row r="96" spans="1:16">
      <c r="A96">
        <v>95</v>
      </c>
      <c r="B96" t="s">
        <v>392</v>
      </c>
      <c r="C96">
        <v>1</v>
      </c>
      <c r="D96" t="s">
        <v>450</v>
      </c>
      <c r="E96">
        <v>0</v>
      </c>
      <c r="F96" t="s">
        <v>420</v>
      </c>
      <c r="G96" cm="1">
        <f t="array" aca="1" ref="G96" ca="1">_xlfn.RANDARRAY(1,1,0,1,1)</f>
        <v>0</v>
      </c>
      <c r="J96" t="s">
        <v>75</v>
      </c>
      <c r="K96">
        <v>1</v>
      </c>
      <c r="L96" t="s">
        <v>448</v>
      </c>
      <c r="M96">
        <v>0</v>
      </c>
      <c r="O96" t="str">
        <f t="shared" ca="1" si="2"/>
        <v>Sophie</v>
      </c>
      <c r="P96">
        <f ca="1"/>
        <v>1</v>
      </c>
    </row>
    <row r="97" spans="1:16">
      <c r="A97">
        <v>96</v>
      </c>
      <c r="B97" t="s">
        <v>393</v>
      </c>
      <c r="C97">
        <v>1</v>
      </c>
      <c r="D97" t="s">
        <v>449</v>
      </c>
      <c r="E97">
        <v>0</v>
      </c>
      <c r="F97" t="s">
        <v>394</v>
      </c>
      <c r="G97" cm="1">
        <f t="array" aca="1" ref="G97" ca="1">_xlfn.RANDARRAY(1,1,0,1,1)</f>
        <v>1</v>
      </c>
      <c r="J97" t="s">
        <v>23</v>
      </c>
      <c r="K97">
        <v>1</v>
      </c>
      <c r="L97" t="s">
        <v>447</v>
      </c>
      <c r="M97">
        <v>0</v>
      </c>
      <c r="O97" t="str">
        <f t="shared" ca="1" si="2"/>
        <v>Richard</v>
      </c>
      <c r="P97">
        <f ca="1"/>
        <v>0</v>
      </c>
    </row>
    <row r="98" spans="1:16">
      <c r="A98">
        <v>97</v>
      </c>
      <c r="B98" t="s">
        <v>395</v>
      </c>
      <c r="C98">
        <v>1</v>
      </c>
      <c r="D98" t="s">
        <v>110</v>
      </c>
      <c r="E98">
        <v>0</v>
      </c>
      <c r="F98" t="s">
        <v>396</v>
      </c>
      <c r="G98" cm="1">
        <f t="array" aca="1" ref="G98" ca="1">_xlfn.RANDARRAY(1,1,0,1,1)</f>
        <v>1</v>
      </c>
      <c r="J98" t="s">
        <v>25</v>
      </c>
      <c r="K98">
        <v>1</v>
      </c>
      <c r="L98" t="s">
        <v>438</v>
      </c>
      <c r="M98">
        <v>0</v>
      </c>
      <c r="O98" t="str">
        <f t="shared" ref="O98:O101" ca="1" si="3">IF(P98,L98,J98)</f>
        <v>Calliope</v>
      </c>
      <c r="P98">
        <f ca="1"/>
        <v>1</v>
      </c>
    </row>
    <row r="99" spans="1:16">
      <c r="A99">
        <v>98</v>
      </c>
      <c r="B99" t="s">
        <v>397</v>
      </c>
      <c r="C99">
        <v>1</v>
      </c>
      <c r="D99" t="s">
        <v>451</v>
      </c>
      <c r="E99">
        <v>0</v>
      </c>
      <c r="F99" t="s">
        <v>421</v>
      </c>
      <c r="G99" cm="1">
        <f t="array" aca="1" ref="G99" ca="1">_xlfn.RANDARRAY(1,1,0,1,1)</f>
        <v>0</v>
      </c>
      <c r="J99" t="s">
        <v>106</v>
      </c>
      <c r="K99">
        <v>1</v>
      </c>
      <c r="L99" t="s">
        <v>450</v>
      </c>
      <c r="M99">
        <v>0</v>
      </c>
      <c r="O99" t="str">
        <f t="shared" ca="1" si="3"/>
        <v>Willow</v>
      </c>
      <c r="P99">
        <f ca="1"/>
        <v>1</v>
      </c>
    </row>
    <row r="100" spans="1:16">
      <c r="A100">
        <v>99</v>
      </c>
      <c r="B100" t="s">
        <v>398</v>
      </c>
      <c r="C100">
        <v>1</v>
      </c>
      <c r="D100" t="s">
        <v>452</v>
      </c>
      <c r="E100">
        <v>0</v>
      </c>
      <c r="F100" t="s">
        <v>399</v>
      </c>
      <c r="G100" cm="1">
        <f t="array" aca="1" ref="G100" ca="1">_xlfn.RANDARRAY(1,1,0,1,1)</f>
        <v>0</v>
      </c>
      <c r="J100" t="s">
        <v>100</v>
      </c>
      <c r="K100">
        <v>1</v>
      </c>
      <c r="L100" t="s">
        <v>449</v>
      </c>
      <c r="M100">
        <v>0</v>
      </c>
      <c r="O100" t="str">
        <f t="shared" ca="1" si="3"/>
        <v>Nyx</v>
      </c>
      <c r="P100">
        <f ca="1"/>
        <v>1</v>
      </c>
    </row>
    <row r="101" spans="1:16">
      <c r="A101">
        <v>100</v>
      </c>
      <c r="B101" t="s">
        <v>400</v>
      </c>
      <c r="C101">
        <v>1</v>
      </c>
      <c r="D101" t="s">
        <v>453</v>
      </c>
      <c r="E101">
        <v>0</v>
      </c>
      <c r="F101" t="s">
        <v>401</v>
      </c>
      <c r="G101" cm="1">
        <f t="array" aca="1" ref="G101" ca="1">_xlfn.RANDARRAY(1,1,0,1,1)</f>
        <v>1</v>
      </c>
      <c r="J101" t="s">
        <v>61</v>
      </c>
      <c r="K101">
        <v>1</v>
      </c>
      <c r="L101" t="s">
        <v>110</v>
      </c>
      <c r="M101">
        <v>0</v>
      </c>
      <c r="O101" t="str">
        <f t="shared" ca="1" si="3"/>
        <v>Zoe</v>
      </c>
      <c r="P101">
        <f ca="1"/>
        <v>1</v>
      </c>
    </row>
  </sheetData>
  <sortState xmlns:xlrd2="http://schemas.microsoft.com/office/spreadsheetml/2017/richdata2" ref="J2:K101">
    <sortCondition ref="K2:K101"/>
  </sortState>
  <conditionalFormatting sqref="J2:J101">
    <cfRule type="duplicateValues" dxfId="1" priority="2"/>
  </conditionalFormatting>
  <conditionalFormatting sqref="L2:L101">
    <cfRule type="duplicateValues" dxfId="0" priority="1"/>
  </conditionalFormatting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026A253F9D34418D92E89FCD085A69" ma:contentTypeVersion="2" ma:contentTypeDescription="Create a new document." ma:contentTypeScope="" ma:versionID="077ff3975ed1236d1dc02c54ce8f1bde">
  <xsd:schema xmlns:xsd="http://www.w3.org/2001/XMLSchema" xmlns:xs="http://www.w3.org/2001/XMLSchema" xmlns:p="http://schemas.microsoft.com/office/2006/metadata/properties" xmlns:ns3="53472db5-b091-4940-916c-b6d0a452e361" targetNamespace="http://schemas.microsoft.com/office/2006/metadata/properties" ma:root="true" ma:fieldsID="e12b66e40a6a95a9b2c2f7b1ef847540" ns3:_="">
    <xsd:import namespace="53472db5-b091-4940-916c-b6d0a452e36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472db5-b091-4940-916c-b6d0a452e3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C91E2F9-1C39-489F-B40D-F31469E2BE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DA3C2C-A27E-4B57-9094-4A06F6F755F6}">
  <ds:schemaRefs>
    <ds:schemaRef ds:uri="http://purl.org/dc/terms/"/>
    <ds:schemaRef ds:uri="http://purl.org/dc/elements/1.1/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53472db5-b091-4940-916c-b6d0a452e36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94CD24C-3A07-4054-9A82-EBD1F6CEAFD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472db5-b091-4940-916c-b6d0a452e3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66</vt:i4>
      </vt:variant>
    </vt:vector>
  </HeadingPairs>
  <TitlesOfParts>
    <vt:vector size="74" baseType="lpstr">
      <vt:lpstr>Instructions</vt:lpstr>
      <vt:lpstr>Unblock Guide</vt:lpstr>
      <vt:lpstr>Keyboarding Challenge</vt:lpstr>
      <vt:lpstr>BackgroundCalcs</vt:lpstr>
      <vt:lpstr>Results</vt:lpstr>
      <vt:lpstr>Grading</vt:lpstr>
      <vt:lpstr>Output</vt:lpstr>
      <vt:lpstr>Sheet4</vt:lpstr>
      <vt:lpstr>activateCount</vt:lpstr>
      <vt:lpstr>AllCorrect</vt:lpstr>
      <vt:lpstr>Answer1</vt:lpstr>
      <vt:lpstr>Answer2</vt:lpstr>
      <vt:lpstr>Answer3</vt:lpstr>
      <vt:lpstr>Answer4</vt:lpstr>
      <vt:lpstr>Answer5</vt:lpstr>
      <vt:lpstr>Answer6</vt:lpstr>
      <vt:lpstr>cellNames</vt:lpstr>
      <vt:lpstr>CheckRange1</vt:lpstr>
      <vt:lpstr>CheckRange2</vt:lpstr>
      <vt:lpstr>CheckRange3</vt:lpstr>
      <vt:lpstr>CheckRange4</vt:lpstr>
      <vt:lpstr>CheckRange5</vt:lpstr>
      <vt:lpstr>CheckRange6</vt:lpstr>
      <vt:lpstr>Documents</vt:lpstr>
      <vt:lpstr>eighth</vt:lpstr>
      <vt:lpstr>elapsedTime</vt:lpstr>
      <vt:lpstr>eleventh</vt:lpstr>
      <vt:lpstr>EmptyCell</vt:lpstr>
      <vt:lpstr>endTime</vt:lpstr>
      <vt:lpstr>Excel_Reception</vt:lpstr>
      <vt:lpstr>fifth</vt:lpstr>
      <vt:lpstr>first</vt:lpstr>
      <vt:lpstr>firstVisited</vt:lpstr>
      <vt:lpstr>fourteenth</vt:lpstr>
      <vt:lpstr>fourth</vt:lpstr>
      <vt:lpstr>instructionsOn</vt:lpstr>
      <vt:lpstr>Invalid2</vt:lpstr>
      <vt:lpstr>Invalid3</vt:lpstr>
      <vt:lpstr>Invalid4</vt:lpstr>
      <vt:lpstr>Invalid5</vt:lpstr>
      <vt:lpstr>Invalid6</vt:lpstr>
      <vt:lpstr>isGameOn</vt:lpstr>
      <vt:lpstr>lastTime</vt:lpstr>
      <vt:lpstr>liveVersion</vt:lpstr>
      <vt:lpstr>macOn</vt:lpstr>
      <vt:lpstr>mouseMovements</vt:lpstr>
      <vt:lpstr>ninth</vt:lpstr>
      <vt:lpstr>numCorrect</vt:lpstr>
      <vt:lpstr>NumExercises</vt:lpstr>
      <vt:lpstr>numProtectedCells</vt:lpstr>
      <vt:lpstr>numRandomValues</vt:lpstr>
      <vt:lpstr>OverrideSave</vt:lpstr>
      <vt:lpstr>passwordOn</vt:lpstr>
      <vt:lpstr>pcOn</vt:lpstr>
      <vt:lpstr>pCountNew</vt:lpstr>
      <vt:lpstr>seventh</vt:lpstr>
      <vt:lpstr>SheetNameRange</vt:lpstr>
      <vt:lpstr>sixth</vt:lpstr>
      <vt:lpstr>SpreadsheetName</vt:lpstr>
      <vt:lpstr>startTime</vt:lpstr>
      <vt:lpstr>StudentIDCell</vt:lpstr>
      <vt:lpstr>StudentNameCell</vt:lpstr>
      <vt:lpstr>Tab1Answer</vt:lpstr>
      <vt:lpstr>Tab1ClearRange</vt:lpstr>
      <vt:lpstr>Tab1Name</vt:lpstr>
      <vt:lpstr>Tab1Start</vt:lpstr>
      <vt:lpstr>tenth</vt:lpstr>
      <vt:lpstr>thirteenth</vt:lpstr>
      <vt:lpstr>totalTime</vt:lpstr>
      <vt:lpstr>Track</vt:lpstr>
      <vt:lpstr>twelveth</vt:lpstr>
      <vt:lpstr>twelvth</vt:lpstr>
      <vt:lpstr>xPosition</vt:lpstr>
      <vt:lpstr>yPosition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Poorya Mehrabinia</dc:creator>
  <cp:lastModifiedBy>David Brown</cp:lastModifiedBy>
  <cp:lastPrinted>2023-04-12T19:17:11Z</cp:lastPrinted>
  <dcterms:created xsi:type="dcterms:W3CDTF">2015-06-05T18:17:20Z</dcterms:created>
  <dcterms:modified xsi:type="dcterms:W3CDTF">2023-04-14T12:58:35Z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0x010100AA026A253F9D34418D92E89FCD085A69</vt:lpwstr>
  </property>
</Properties>
</file>