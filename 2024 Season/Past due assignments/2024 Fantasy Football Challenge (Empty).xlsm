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7" rupBuild="27830" codeName="{372AB895-14C1-FC20-EB20-F1B4BCFD95AE}"/>
  <x:workbookPr codeName="ThisWorkbook" defaultThemeVersion="166925"/>
  <mc:AlternateContent xmlns:mc="http://schemas.openxmlformats.org/markup-compatibility/2006">
    <mc:Choice Requires="x15">
      <x15ac:absPath xmlns:x15ac="http://schemas.microsoft.com/office/spreadsheetml/2010/11/ac" url="C:\Users\David Brown\Box\MECC\MECC 2024\Case Development\Fantasy Football\"/>
    </mc:Choice>
  </mc:AlternateContent>
  <xr:revisionPtr revIDLastSave="0" documentId="13_ncr:1_{8E91BF0B-8342-4628-8AF6-8AE3F99CE434}" xr6:coauthVersionLast="47" xr6:coauthVersionMax="47" xr10:uidLastSave="{00000000-0000-0000-0000-000000000000}"/>
  <x:bookViews>
    <x:workbookView xWindow="45972" yWindow="-108" windowWidth="46296" windowHeight="18816" tabRatio="753" xr2:uid="{44726D66-EC9A-40E9-A5CD-560EDBDBA120}"/>
  </x:bookViews>
  <x:sheets>
    <x:sheet name="Instructions" sheetId="9" r:id="rId1"/>
    <x:sheet name="Unblock Guide" sheetId="36" r:id="rId2"/>
    <x:sheet name="QB-RB-WR-TE Data" sheetId="37" r:id="rId3"/>
    <x:sheet name="Defense Data" sheetId="39" r:id="rId4"/>
    <x:sheet name="Kicker Data" sheetId="40" r:id="rId5"/>
    <x:sheet name="Case Questions" sheetId="38" r:id="rId6"/>
    <x:sheet name="Question Results" sheetId="23" r:id="rId7"/>
    <x:sheet name="BackgroundCalcs" sheetId="20" state="veryHidden" r:id="rId8"/>
    <x:sheet name="Output" sheetId="12" state="veryHidden" r:id="rId9"/>
    <x:sheet name="Grading Formulas" sheetId="24" state="veryHidden" r:id="rId10"/>
    <x:sheet name="Grading" sheetId="25" state="veryHidden" r:id="rId11"/>
  </x:sheets>
  <x:functionGroups builtInGroupCount="19"/>
  <x:externalReferences>
    <x:externalReference r:id="rId12"/>
    <x:externalReference r:id="rId13"/>
    <x:externalReference r:id="rId14"/>
    <x:externalReference r:id="rId15"/>
    <x:externalReference r:id="rId16"/>
    <x:externalReference r:id="rId17"/>
    <x:externalReference r:id="rId18"/>
    <x:externalReference r:id="rId19"/>
    <x:externalReference r:id="rId20"/>
    <x:externalReference r:id="rId21"/>
    <x:externalReference r:id="rId22"/>
  </x:externalReferences>
  <x:definedNames>
    <x:definedName name="activateCount" localSheetId="5">[1]BackgroundCalcs!$D$26</x:definedName>
    <x:definedName name="activateCount">BackgroundCalcs!$D$26</x:definedName>
    <x:definedName name="AllCorrect">BackgroundCalcs!$D$14</x:definedName>
    <x:definedName name="AllowedCellsTab1">'[2]Keyboard Warm Up 1'!$D$7,'[2]Keyboard Warm Up 1'!$D$53,'[2]Keyboard Warm Up 1'!$AC$53,'[2]Keyboard Warm Up 1'!$AC$7,'[2]Keyboard Warm Up 1'!$AX$53,'[2]Keyboard Warm Up 1'!$AY$53,'[2]Keyboard Warm Up 1'!$AY$30,'[2]Keyboard Warm Up 1'!$AH$30,'[2]Keyboard Warm Up 1'!$AH$53,'[2]Keyboard Warm Up 1'!$BD$53,'[2]Keyboard Warm Up 1'!$BE$30,'[2]Keyboard Warm Up 1'!$BK$30,'[2]Keyboard Warm Up 1'!$BN$18,'[2]Keyboard Warm Up 1'!$BN$12,'[2]Keyboard Warm Up 1'!$BD$12,'[2]Keyboard Warm Up 1'!$BR$7,'[2]Keyboard Warm Up 1'!$BR$31,'[2]Keyboard Warm Up 1'!$BS$31,'[2]Keyboard Warm Up 1'!$BR$53,'[2]Keyboard Warm Up 1'!$BS$53,'[2]Keyboard Warm Up 1'!$CP$53,'[2]Keyboard Warm Up 1'!$CQ$53,'[2]Keyboard Warm Up 1'!$CP$31,'[2]Keyboard Warm Up 1'!$CQ$7,'[2]Keyboard Warm Up 1'!$A$1</x:definedName>
    <x:definedName name="Answer1">BackgroundCalcs!$K$2</x:definedName>
    <x:definedName name="Answer2" localSheetId="1">[3]BackgroundCalcs!$R$3</x:definedName>
    <x:definedName name="Answer2">BackgroundCalcs!$K$3</x:definedName>
    <x:definedName name="Answer3">BackgroundCalcs!#REF!</x:definedName>
    <x:definedName name="Answer4">BackgroundCalcs!$K$4</x:definedName>
    <x:definedName name="Answer5">BackgroundCalcs!$K$6</x:definedName>
    <x:definedName name="Answer6">BackgroundCalcs!$K$7</x:definedName>
    <x:definedName name="cellsInFirst" localSheetId="10">[4]First!$B$3:$J$3,[4]First!$J$3:$J$8,[4]First!$D$8:$J$8,[4]First!$D$8:$D$19,[4]First!$D$8,[4]First!$D$19:$T$19,[4]First!$T$19:$T$29,[4]First!$P$29:$T$29,[4]First!$P$23:$P$29,[4]First!$E$23:$P$23,[4]First!$E$23:$E$26,[4]First!$E$26:$K$26,[4]First!$K$26:$K$32,[4]First!$C$32:$K$32</x:definedName>
    <x:definedName name="cellsInFirst" localSheetId="9">[4]First!$B$3:$J$3,[4]First!$J$3:$J$8,[4]First!$D$8:$J$8,[4]First!$D$8:$D$19,[4]First!$D$8,[4]First!$D$19:$T$19,[4]First!$T$19:$T$29,[4]First!$P$29:$T$29,[4]First!$P$23:$P$29,[4]First!$E$23:$P$23,[4]First!$E$23:$E$26,[4]First!$E$26:$K$26,[4]First!$K$26:$K$32,[4]First!$C$32:$K$32</x:definedName>
    <x:definedName name="cellsInFirst">#REF!,#REF!,#REF!,#REF!,#REF!,#REF!,#REF!,#REF!,#REF!,#REF!,#REF!,#REF!</x:definedName>
    <x:definedName name="cellsInSecond" localSheetId="10">[4]Second!$A$1:$H$1,[4]Second!$H$1:$H$26,[4]Second!$H$26:$M$26,[4]Second!$M$26:$M$33,[4]Second!$C$33:$M$33,[4]Second!$C$24:$C$33</x:definedName>
    <x:definedName name="cellsInSecond" localSheetId="9">[4]Second!$A$1:$H$1,[4]Second!$H$1:$H$26,[4]Second!$H$26:$M$26,[4]Second!$M$26:$M$33,[4]Second!$C$33:$M$33,[4]Second!$C$24:$C$33</x:definedName>
    <x:definedName name="cellsInSecond">'[2]Keyboard Warm Up 1'!$D$7,'[2]Keyboard Warm Up 1'!$D$23,'[2]Keyboard Warm Up 1'!$M$23,'[2]Keyboard Warm Up 1'!$M$16,'[2]Keyboard Warm Up 1'!$G$16,'[2]Keyboard Warm Up 1'!$G$7,'[2]Keyboard Warm Up 1'!$T$11,'[2]Keyboard Warm Up 1'!$AB$11,'[2]Keyboard Warm Up 1'!$AB$38,'[2]Keyboard Warm Up 1'!$S$38,'[2]Keyboard Warm Up 1'!$S$29,'[2]Keyboard Warm Up 1'!#REF!,'[2]Keyboard Warm Up 1'!#REF!,'[2]Keyboard Warm Up 1'!$AE$25,'[2]Keyboard Warm Up 1'!$AE$21,'[2]Keyboard Warm Up 1'!#REF!,'[2]Keyboard Warm Up 1'!#REF!,'[2]Keyboard Warm Up 1'!$AE$17,'[2]Keyboard Warm Up 1'!$AE$11,'[2]Keyboard Warm Up 1'!$AN$11</x:definedName>
    <x:definedName name="CheckRange1" localSheetId="5">[5]BackgroundCalcs!#REF!</x:definedName>
    <x:definedName name="CheckRange1">[5]BackgroundCalcs!#REF!</x:definedName>
    <x:definedName name="CheckRange2">[5]BackgroundCalcs!#REF!</x:definedName>
    <x:definedName name="CheckRange3">[5]BackgroundCalcs!#REF!</x:definedName>
    <x:definedName name="CheckRange4">[5]BackgroundCalcs!#REF!</x:definedName>
    <x:definedName name="CheckRange5">[5]BackgroundCalcs!#REF!</x:definedName>
    <x:definedName name="CheckRange6">[5]BackgroundCalcs!#REF!</x:definedName>
    <x:definedName name="CheckRange7">[5]BackgroundCalcs!#REF!</x:definedName>
    <x:definedName name="CurrentScore" localSheetId="5">'[1]Question Results'!$C$6</x:definedName>
    <x:definedName name="CurrentScore">'Question Results'!$C$6</x:definedName>
    <x:definedName name="CurrentSum" localSheetId="10">[6]BackgroundCalcs!$F$20</x:definedName>
    <x:definedName name="CurrentSum" localSheetId="9">[6]BackgroundCalcs!$F$20</x:definedName>
    <x:definedName name="CurrentSum">[7]BackgroundCalcs!$F$20</x:definedName>
    <x:definedName name="CurrentTarget" localSheetId="10">[6]BackgroundCalcs!$F$17</x:definedName>
    <x:definedName name="CurrentTarget" localSheetId="9">[6]BackgroundCalcs!$F$17</x:definedName>
    <x:definedName name="CurrentTarget">[7]BackgroundCalcs!$F$17</x:definedName>
    <x:definedName name="CurrentTargetSum" localSheetId="10">[6]BackgroundCalcs!$G$17</x:definedName>
    <x:definedName name="CurrentTargetSum" localSheetId="9">[6]BackgroundCalcs!$G$17</x:definedName>
    <x:definedName name="CurrentTargetSum">[7]BackgroundCalcs!$G$17</x:definedName>
    <x:definedName name="elapsedTime">BackgroundCalcs!$D$11</x:definedName>
    <x:definedName name="EmptyCell">[3]BackgroundCalcs!$D$50</x:definedName>
    <x:definedName name="endTime" localSheetId="5">[1]BackgroundCalcs!$D$5</x:definedName>
    <x:definedName name="endTime" localSheetId="10">[4]calc!$H$3</x:definedName>
    <x:definedName name="endTime" localSheetId="9">[4]calc!$H$3</x:definedName>
    <x:definedName name="endTime" localSheetId="1">[3]BackgroundCalcs!$G$2</x:definedName>
    <x:definedName name="endTime">BackgroundCalcs!$D$5</x:definedName>
    <x:definedName name="FileName">BackgroundCalcs!$B$2</x:definedName>
    <x:definedName name="Invalid1">[5]BackgroundCalcs!#REF!</x:definedName>
    <x:definedName name="Invalid2">[5]BackgroundCalcs!#REF!</x:definedName>
    <x:definedName name="Invalid3">[5]BackgroundCalcs!#REF!</x:definedName>
    <x:definedName name="Invalid4">[5]BackgroundCalcs!#REF!</x:definedName>
    <x:definedName name="Invalid5">[5]BackgroundCalcs!#REF!</x:definedName>
    <x:definedName name="Invalid6">[5]BackgroundCalcs!#REF!</x:definedName>
    <x:definedName name="Invalid7">[5]BackgroundCalcs!#REF!</x:definedName>
    <x:definedName name="isGameOn">BackgroundCalcs!$D$8</x:definedName>
    <x:definedName name="lastTime">BackgroundCalcs!$D$29</x:definedName>
    <x:definedName name="liveVersion">BackgroundCalcs!$B$29</x:definedName>
    <x:definedName name="lstVisited" localSheetId="10">[4]calc!$D$4:$D$21</x:definedName>
    <x:definedName name="lstVisited" localSheetId="9">[4]calc!$D$4:$D$21</x:definedName>
    <x:definedName name="lstVisited">[8]calc!$D$4:$D$21</x:definedName>
    <x:definedName name="mouseMovements">BackgroundCalcs!$D$23</x:definedName>
    <x:definedName name="n">'[9]Dynamic Ranges and Charts'!$D$30</x:definedName>
    <x:definedName name="name" localSheetId="5">#REF!</x:definedName>
    <x:definedName name="name">#REF!</x:definedName>
    <x:definedName name="NumAnswers" localSheetId="5">[1]BackgroundCalcs!$B$26</x:definedName>
    <x:definedName name="NumAnswers">BackgroundCalcs!$B$26</x:definedName>
    <x:definedName name="NumberExercises" localSheetId="5">[1]BackgroundCalcs!$B$17</x:definedName>
    <x:definedName name="NumberExercises" localSheetId="10">[10]BackgroundCalcs!$B$17</x:definedName>
    <x:definedName name="NumberExercises" localSheetId="9">[10]BackgroundCalcs!$B$17</x:definedName>
    <x:definedName name="NumberExercises">BackgroundCalcs!$B$17</x:definedName>
    <x:definedName name="NumExercises" localSheetId="10">[6]BackgroundCalcs!$D$14</x:definedName>
    <x:definedName name="NumExercises" localSheetId="9">[6]BackgroundCalcs!$D$14</x:definedName>
    <x:definedName name="NumExercises">[7]BackgroundCalcs!$D$14</x:definedName>
    <x:definedName name="numRandomValues">BackgroundCalcs!$B$23</x:definedName>
    <x:definedName name="NumScenarios">BackgroundCalcs!$B$11</x:definedName>
    <x:definedName name="numToProtect">BackgroundCalcs!$B$20</x:definedName>
    <x:definedName name="oldEndTime">[8]calc!$H$3</x:definedName>
    <x:definedName name="oldStartTime">[8]calc!$G$3</x:definedName>
    <x:definedName name="OverrideSave">[5]BackgroundCalcs!#REF!</x:definedName>
    <x:definedName name="passwordOn">[5]BackgroundCalcs!#REF!</x:definedName>
    <x:definedName name="pCount">[4]calc!$F$3</x:definedName>
    <x:definedName name="pCountNew" localSheetId="1">[3]BackgroundCalcs!$S$2</x:definedName>
    <x:definedName name="pCountNew">[2]BackgroundCalcs!$S$2</x:definedName>
    <x:definedName name="RandomMethod" localSheetId="5">[1]BackgroundCalcs!$B$5</x:definedName>
    <x:definedName name="RandomMethod" localSheetId="10">[10]BackgroundCalcs!$B$5</x:definedName>
    <x:definedName name="RandomMethod" localSheetId="9">[10]BackgroundCalcs!$B$5</x:definedName>
    <x:definedName name="RandomMethod">BackgroundCalcs!$B$5</x:definedName>
    <x:definedName name="RandomScenarioNumber" localSheetId="5">[1]BackgroundCalcs!$B$8</x:definedName>
    <x:definedName name="RandomScenarioNumber" localSheetId="10">[10]BackgroundCalcs!$B$8</x:definedName>
    <x:definedName name="RandomScenarioNumber" localSheetId="9">[10]BackgroundCalcs!$B$8</x:definedName>
    <x:definedName name="RandomScenarioNumber">BackgroundCalcs!$B$8</x:definedName>
    <x:definedName name="ScenarioUpdate">BackgroundCalcs!$B$14</x:definedName>
    <x:definedName name="six">'[2]Keyboard Warm Up 1'!#REF!</x:definedName>
    <x:definedName name="SpreadsheetName" localSheetId="10">[6]BackgroundCalcs!$D$5</x:definedName>
    <x:definedName name="SpreadsheetName" localSheetId="9">[6]BackgroundCalcs!$D$5</x:definedName>
    <x:definedName name="SpreadsheetName" localSheetId="1">[3]BackgroundCalcs!$D$5</x:definedName>
    <x:definedName name="SpreadsheetName">[7]BackgroundCalcs!$D$5</x:definedName>
    <x:definedName name="startTime" localSheetId="5">[1]BackgroundCalcs!$D$2</x:definedName>
    <x:definedName name="startTime" localSheetId="10">[4]calc!$G$3</x:definedName>
    <x:definedName name="startTime" localSheetId="9">[4]calc!$G$3</x:definedName>
    <x:definedName name="startTime" localSheetId="1">[3]BackgroundCalcs!$F$2</x:definedName>
    <x:definedName name="startTime">BackgroundCalcs!$D$2</x:definedName>
    <x:definedName name="StudentIDCell" localSheetId="10">[6]BackgroundCalcs!$D$8</x:definedName>
    <x:definedName name="StudentIDCell" localSheetId="9">[6]BackgroundCalcs!$D$8</x:definedName>
    <x:definedName name="StudentIDCell" localSheetId="1">[3]BackgroundCalcs!$D$8</x:definedName>
    <x:definedName name="StudentIDCell">[7]BackgroundCalcs!$D$8</x:definedName>
    <x:definedName name="StudentNameCell" localSheetId="10">[6]BackgroundCalcs!$D$11</x:definedName>
    <x:definedName name="StudentNameCell" localSheetId="9">[6]BackgroundCalcs!$D$11</x:definedName>
    <x:definedName name="StudentNameCell" localSheetId="1">[3]BackgroundCalcs!$D$11</x:definedName>
    <x:definedName name="StudentNameCell">[7]BackgroundCalcs!$D$11</x:definedName>
    <x:definedName name="temp">[1]BackgroundCalcs!$B$26</x:definedName>
    <x:definedName name="temp2">[1]BackgroundCalcs!$B$26</x:definedName>
    <x:definedName name="ten">'[2]Keyboard Warm Up 1'!#REF!</x:definedName>
    <x:definedName name="timeElapsed" localSheetId="10">[4]calc!$G$6</x:definedName>
    <x:definedName name="timeElapsed" localSheetId="9">[4]calc!$G$6</x:definedName>
    <x:definedName name="timeElapsed">[8]calc!$G$6</x:definedName>
    <x:definedName name="totalTime" localSheetId="5">[1]BackgroundCalcs!$B$32</x:definedName>
    <x:definedName name="totalTime" localSheetId="1">[3]BackgroundCalcs!$F$29</x:definedName>
    <x:definedName name="totalTime">BackgroundCalcs!$B$32</x:definedName>
    <x:definedName name="Track">[3]BackgroundCalcs!$D$51</x:definedName>
    <x:definedName name="twelveth">'[3]Keyboarding Challenge'!$V$103</x:definedName>
    <x:definedName name="valDuration">[4]calc!$G$7</x:definedName>
    <x:definedName name="Valid1" localSheetId="10">[6]BackgroundCalcs!#REF!</x:definedName>
    <x:definedName name="Valid1" localSheetId="9">[6]BackgroundCalcs!#REF!</x:definedName>
    <x:definedName name="Valid1">[7]BackgroundCalcs!#REF!</x:definedName>
    <x:definedName name="ValidationCode">[11]calc!$B$11</x:definedName>
    <x:definedName name="xPosition">BackgroundCalcs!$D$17</x:definedName>
    <x:definedName name="yPosition">BackgroundCalcs!$D$20</x:definedName>
  </x:definedNames>
  <x:calcPr calcId="191029" calcMode="autoNoTable"/>
  <x:extLst>
    <x:ext xmlns:x15="http://schemas.microsoft.com/office/spreadsheetml/2010/11/main" uri="{140A7094-0E35-4892-8432-C4D2E57EDEB5}">
      <x15:workbookPr chartTrackingRefBase="1"/>
    </x:ext>
    <x: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x:ext>
  </x:extLst>
</x:workbook>
</file>

<file path=xl/calcChain.xml><?xml version="1.0" encoding="utf-8"?>
<calcChain xmlns="http://schemas.openxmlformats.org/spreadsheetml/2006/main">
  <c r="E3" i="24" l="1" a="1"/>
  <c r="E3" i="24" s="1"/>
  <c r="E2" i="24" a="1"/>
  <c r="E2" i="24" s="1"/>
  <c r="D3" i="24" a="1"/>
  <c r="D3" i="24" s="1"/>
  <c r="D2" i="24" a="1"/>
  <c r="D2" i="24" s="1"/>
  <c r="C2" i="24" a="1"/>
  <c r="C2" i="24" s="1"/>
  <c r="C3" i="24" a="1"/>
  <c r="C3" i="24" s="1"/>
  <c r="B26" i="20"/>
  <c r="A5" i="24" s="1"/>
  <c r="H3" i="24"/>
  <c r="G3" i="24"/>
  <c r="F3" i="24"/>
  <c r="B3" i="24"/>
  <c r="H2" i="24"/>
  <c r="G2" i="24"/>
  <c r="F2" i="24"/>
  <c r="B2" i="24"/>
  <c r="A7" i="24" l="1"/>
  <c r="A4" i="24"/>
  <c r="F4" i="24" s="1"/>
  <c r="F5" i="24"/>
  <c r="B5" i="24"/>
  <c r="A6" i="24" l="1"/>
  <c r="E4" i="24" a="1"/>
  <c r="E4" i="24" s="1"/>
  <c r="D4" i="24" a="1"/>
  <c r="D4" i="24" s="1"/>
  <c r="C4" i="24" a="1"/>
  <c r="C4" i="24" s="1"/>
  <c r="D5" i="24" a="1"/>
  <c r="D5" i="24" s="1"/>
  <c r="H4" i="24"/>
  <c r="H5" i="24"/>
  <c r="E5" i="24" a="1"/>
  <c r="E5" i="24" s="1"/>
  <c r="G5" i="24"/>
  <c r="A9" i="24"/>
  <c r="D7" i="24" a="1"/>
  <c r="D7" i="24" s="1"/>
  <c r="E7" i="24" a="1"/>
  <c r="E7" i="24" s="1"/>
  <c r="C7" i="24" a="1"/>
  <c r="C7" i="24" s="1"/>
  <c r="C5" i="24" a="1"/>
  <c r="C5" i="24" s="1"/>
  <c r="G4" i="24"/>
  <c r="G6" i="24"/>
  <c r="B4" i="24"/>
  <c r="H7" i="24"/>
  <c r="G7" i="24"/>
  <c r="B7" i="24"/>
  <c r="F7" i="24"/>
  <c r="A11" i="24" l="1"/>
  <c r="A8" i="24"/>
  <c r="E6" i="24" a="1"/>
  <c r="E6" i="24" s="1"/>
  <c r="D6" i="24" a="1"/>
  <c r="D6" i="24" s="1"/>
  <c r="C6" i="24" a="1"/>
  <c r="C6" i="24" s="1"/>
  <c r="B6" i="24"/>
  <c r="F6" i="24"/>
  <c r="H6" i="24"/>
  <c r="G9" i="24"/>
  <c r="B9" i="24"/>
  <c r="H9" i="24"/>
  <c r="A10" i="24" l="1"/>
  <c r="E8" i="24" a="1"/>
  <c r="E8" i="24" s="1"/>
  <c r="C8" i="24" a="1"/>
  <c r="C8" i="24" s="1"/>
  <c r="D8" i="24" a="1"/>
  <c r="D8" i="24" s="1"/>
  <c r="G8" i="24"/>
  <c r="B8" i="24"/>
  <c r="F8" i="24"/>
  <c r="H8" i="24"/>
  <c r="C9" i="24" a="1"/>
  <c r="C9" i="24" s="1"/>
  <c r="E9" i="24" a="1"/>
  <c r="E9" i="24" s="1"/>
  <c r="F9" i="24"/>
  <c r="D9" i="24" a="1"/>
  <c r="D9" i="24" s="1"/>
  <c r="A13" i="24"/>
  <c r="E11" i="24" a="1"/>
  <c r="E11" i="24" s="1"/>
  <c r="D11" i="24" a="1"/>
  <c r="D11" i="24" s="1"/>
  <c r="C11" i="24" a="1"/>
  <c r="C11" i="24" s="1"/>
  <c r="H11" i="24"/>
  <c r="G11" i="24"/>
  <c r="B11" i="24"/>
  <c r="F11" i="24"/>
  <c r="A15" i="24" l="1"/>
  <c r="A12" i="24"/>
  <c r="E10" i="24" a="1"/>
  <c r="E10" i="24" s="1"/>
  <c r="D10" i="24" a="1"/>
  <c r="D10" i="24" s="1"/>
  <c r="C10" i="24" a="1"/>
  <c r="C10" i="24" s="1"/>
  <c r="F10" i="24"/>
  <c r="B10" i="24"/>
  <c r="G10" i="24"/>
  <c r="H10" i="24"/>
  <c r="H13" i="24"/>
  <c r="G13" i="24"/>
  <c r="B13" i="24"/>
  <c r="F13" i="24"/>
  <c r="A14" i="24" l="1"/>
  <c r="E12" i="24" a="1"/>
  <c r="E12" i="24" s="1"/>
  <c r="D12" i="24" a="1"/>
  <c r="D12" i="24" s="1"/>
  <c r="C12" i="24" a="1"/>
  <c r="C12" i="24" s="1"/>
  <c r="F12" i="24"/>
  <c r="H12" i="24"/>
  <c r="G12" i="24"/>
  <c r="B12" i="24"/>
  <c r="C13" i="24" a="1"/>
  <c r="C13" i="24" s="1"/>
  <c r="D13" i="24" a="1"/>
  <c r="D13" i="24" s="1"/>
  <c r="E13" i="24" a="1"/>
  <c r="E13" i="24" s="1"/>
  <c r="A17" i="24"/>
  <c r="E15" i="24" a="1"/>
  <c r="E15" i="24" s="1"/>
  <c r="C15" i="24" a="1"/>
  <c r="C15" i="24" s="1"/>
  <c r="D15" i="24" a="1"/>
  <c r="D15" i="24" s="1"/>
  <c r="H15" i="24"/>
  <c r="G15" i="24"/>
  <c r="B15" i="24"/>
  <c r="F15" i="24"/>
  <c r="A19" i="24" l="1"/>
  <c r="A16" i="24"/>
  <c r="D14" i="24" a="1"/>
  <c r="D14" i="24" s="1"/>
  <c r="E14" i="24" a="1"/>
  <c r="E14" i="24" s="1"/>
  <c r="C14" i="24" a="1"/>
  <c r="C14" i="24" s="1"/>
  <c r="H14" i="24"/>
  <c r="G14" i="24"/>
  <c r="B14" i="24"/>
  <c r="F14" i="24"/>
  <c r="F17" i="24"/>
  <c r="G17" i="24"/>
  <c r="B17" i="24"/>
  <c r="H17" i="24"/>
  <c r="A18" i="24" l="1"/>
  <c r="D16" i="24" a="1"/>
  <c r="D16" i="24" s="1"/>
  <c r="E16" i="24" a="1"/>
  <c r="E16" i="24" s="1"/>
  <c r="C16" i="24" a="1"/>
  <c r="C16" i="24" s="1"/>
  <c r="F16" i="24"/>
  <c r="G16" i="24"/>
  <c r="B16" i="24"/>
  <c r="H16" i="24"/>
  <c r="C17" i="24" a="1"/>
  <c r="C17" i="24" s="1"/>
  <c r="D17" i="24" a="1"/>
  <c r="D17" i="24" s="1"/>
  <c r="E17" i="24" a="1"/>
  <c r="E17" i="24" s="1"/>
  <c r="A21" i="24"/>
  <c r="E19" i="24" a="1"/>
  <c r="E19" i="24" s="1"/>
  <c r="D19" i="24" a="1"/>
  <c r="D19" i="24" s="1"/>
  <c r="C19" i="24" a="1"/>
  <c r="C19" i="24" s="1"/>
  <c r="H19" i="24"/>
  <c r="G19" i="24"/>
  <c r="B19" i="24"/>
  <c r="F19" i="24"/>
  <c r="A23" i="24" l="1"/>
  <c r="A20" i="24"/>
  <c r="E18" i="24" a="1"/>
  <c r="E18" i="24" s="1"/>
  <c r="D18" i="24" a="1"/>
  <c r="D18" i="24" s="1"/>
  <c r="C18" i="24" a="1"/>
  <c r="C18" i="24" s="1"/>
  <c r="B18" i="24"/>
  <c r="F18" i="24"/>
  <c r="H18" i="24"/>
  <c r="G18" i="24"/>
  <c r="H21" i="24"/>
  <c r="G21" i="24"/>
  <c r="B21" i="24"/>
  <c r="A22" i="24" l="1"/>
  <c r="D20" i="24" a="1"/>
  <c r="D20" i="24" s="1"/>
  <c r="E20" i="24" a="1"/>
  <c r="E20" i="24" s="1"/>
  <c r="C20" i="24" a="1"/>
  <c r="C20" i="24" s="1"/>
  <c r="F20" i="24"/>
  <c r="H20" i="24"/>
  <c r="G20" i="24"/>
  <c r="B20" i="24"/>
  <c r="C21" i="24" a="1"/>
  <c r="C21" i="24" s="1"/>
  <c r="D21" i="24" a="1"/>
  <c r="D21" i="24" s="1"/>
  <c r="F21" i="24"/>
  <c r="E21" i="24" a="1"/>
  <c r="E21" i="24" s="1"/>
  <c r="A25" i="24"/>
  <c r="D23" i="24" a="1"/>
  <c r="D23" i="24" s="1"/>
  <c r="E23" i="24" a="1"/>
  <c r="E23" i="24" s="1"/>
  <c r="C23" i="24" a="1"/>
  <c r="C23" i="24" s="1"/>
  <c r="H23" i="24"/>
  <c r="G23" i="24"/>
  <c r="B23" i="24"/>
  <c r="F23" i="24"/>
  <c r="A27" i="24" l="1"/>
  <c r="A24" i="24"/>
  <c r="E22" i="24" a="1"/>
  <c r="E22" i="24" s="1"/>
  <c r="D22" i="24" a="1"/>
  <c r="D22" i="24" s="1"/>
  <c r="C22" i="24" a="1"/>
  <c r="C22" i="24" s="1"/>
  <c r="F22" i="24"/>
  <c r="G22" i="24"/>
  <c r="B22" i="24"/>
  <c r="H22" i="24"/>
  <c r="F25" i="24"/>
  <c r="B25" i="24"/>
  <c r="G25" i="24"/>
  <c r="H25" i="24"/>
  <c r="A26" i="24" l="1"/>
  <c r="D24" i="24" a="1"/>
  <c r="D24" i="24" s="1"/>
  <c r="E24" i="24" a="1"/>
  <c r="E24" i="24" s="1"/>
  <c r="C24" i="24" a="1"/>
  <c r="C24" i="24" s="1"/>
  <c r="F24" i="24"/>
  <c r="H24" i="24"/>
  <c r="G24" i="24"/>
  <c r="B24" i="24"/>
  <c r="C25" i="24" a="1"/>
  <c r="C25" i="24" s="1"/>
  <c r="D25" i="24" a="1"/>
  <c r="D25" i="24" s="1"/>
  <c r="E25" i="24" a="1"/>
  <c r="E25" i="24" s="1"/>
  <c r="A29" i="24"/>
  <c r="E27" i="24" a="1"/>
  <c r="E27" i="24" s="1"/>
  <c r="C27" i="24" a="1"/>
  <c r="C27" i="24" s="1"/>
  <c r="D27" i="24" a="1"/>
  <c r="D27" i="24" s="1"/>
  <c r="H27" i="24"/>
  <c r="G27" i="24"/>
  <c r="B27" i="24"/>
  <c r="F27" i="24"/>
  <c r="E29" i="24" l="1" a="1"/>
  <c r="E29" i="24" s="1"/>
  <c r="D29" i="24" a="1"/>
  <c r="D29" i="24" s="1"/>
  <c r="C29" i="24" a="1"/>
  <c r="C29" i="24" s="1"/>
  <c r="G29" i="24"/>
  <c r="H29" i="24"/>
  <c r="A31" i="24"/>
  <c r="B29" i="24"/>
  <c r="F29" i="24"/>
  <c r="A28" i="24"/>
  <c r="E26" i="24" a="1"/>
  <c r="E26" i="24" s="1"/>
  <c r="D26" i="24" a="1"/>
  <c r="D26" i="24" s="1"/>
  <c r="C26" i="24" a="1"/>
  <c r="C26" i="24" s="1"/>
  <c r="B26" i="24"/>
  <c r="F26" i="24"/>
  <c r="H26" i="24"/>
  <c r="G26" i="24"/>
  <c r="D31" i="24" l="1" a="1"/>
  <c r="D31" i="24" s="1"/>
  <c r="E31" i="24" a="1"/>
  <c r="E31" i="24" s="1"/>
  <c r="C31" i="24" a="1"/>
  <c r="C31" i="24" s="1"/>
  <c r="H31" i="24"/>
  <c r="B31" i="24"/>
  <c r="F31" i="24"/>
  <c r="G31" i="24"/>
  <c r="A33" i="24"/>
  <c r="A30" i="24"/>
  <c r="E28" i="24" a="1"/>
  <c r="E28" i="24" s="1"/>
  <c r="C28" i="24" a="1"/>
  <c r="C28" i="24" s="1"/>
  <c r="D28" i="24" a="1"/>
  <c r="D28" i="24" s="1"/>
  <c r="F28" i="24"/>
  <c r="G28" i="24"/>
  <c r="B28" i="24"/>
  <c r="H28" i="24"/>
  <c r="E33" i="24" l="1" a="1"/>
  <c r="E33" i="24" s="1"/>
  <c r="D33" i="24" a="1"/>
  <c r="D33" i="24" s="1"/>
  <c r="C33" i="24" a="1"/>
  <c r="C33" i="24" s="1"/>
  <c r="A35" i="24"/>
  <c r="G33" i="24"/>
  <c r="B33" i="24"/>
  <c r="F33" i="24"/>
  <c r="H33" i="24"/>
  <c r="D30" i="24" a="1"/>
  <c r="D30" i="24" s="1"/>
  <c r="E30" i="24" a="1"/>
  <c r="E30" i="24" s="1"/>
  <c r="C30" i="24" a="1"/>
  <c r="C30" i="24" s="1"/>
  <c r="B30" i="24"/>
  <c r="F30" i="24"/>
  <c r="A32" i="24"/>
  <c r="H30" i="24"/>
  <c r="G30" i="24"/>
  <c r="E32" i="24" l="1" a="1"/>
  <c r="E32" i="24" s="1"/>
  <c r="D32" i="24" a="1"/>
  <c r="D32" i="24" s="1"/>
  <c r="C32" i="24" a="1"/>
  <c r="C32" i="24" s="1"/>
  <c r="H32" i="24"/>
  <c r="G32" i="24"/>
  <c r="B32" i="24"/>
  <c r="A34" i="24"/>
  <c r="F32" i="24"/>
  <c r="E35" i="24" a="1"/>
  <c r="E35" i="24" s="1"/>
  <c r="C35" i="24" a="1"/>
  <c r="C35" i="24" s="1"/>
  <c r="D35" i="24" a="1"/>
  <c r="D35" i="24" s="1"/>
  <c r="A37" i="24"/>
  <c r="F35" i="24"/>
  <c r="G35" i="24"/>
  <c r="H35" i="24"/>
  <c r="B35" i="24"/>
  <c r="E34" i="24" l="1" a="1"/>
  <c r="E34" i="24" s="1"/>
  <c r="D34" i="24" a="1"/>
  <c r="D34" i="24" s="1"/>
  <c r="C34" i="24" a="1"/>
  <c r="C34" i="24" s="1"/>
  <c r="H34" i="24"/>
  <c r="B34" i="24"/>
  <c r="F34" i="24"/>
  <c r="G34" i="24"/>
  <c r="A36" i="24"/>
  <c r="E37" i="24" a="1"/>
  <c r="E37" i="24" s="1"/>
  <c r="D37" i="24" a="1"/>
  <c r="D37" i="24" s="1"/>
  <c r="C37" i="24" a="1"/>
  <c r="C37" i="24" s="1"/>
  <c r="H37" i="24"/>
  <c r="A39" i="24"/>
  <c r="F37" i="24"/>
  <c r="B37" i="24"/>
  <c r="G37" i="24"/>
  <c r="E39" i="24" l="1" a="1"/>
  <c r="E39" i="24" s="1"/>
  <c r="D39" i="24" a="1"/>
  <c r="D39" i="24" s="1"/>
  <c r="C39" i="24" a="1"/>
  <c r="C39" i="24" s="1"/>
  <c r="G39" i="24"/>
  <c r="H39" i="24"/>
  <c r="B39" i="24"/>
  <c r="F39" i="24"/>
  <c r="A41" i="24"/>
  <c r="E36" i="24" a="1"/>
  <c r="E36" i="24" s="1"/>
  <c r="D36" i="24" a="1"/>
  <c r="D36" i="24" s="1"/>
  <c r="C36" i="24" a="1"/>
  <c r="C36" i="24" s="1"/>
  <c r="B36" i="24"/>
  <c r="H36" i="24"/>
  <c r="F36" i="24"/>
  <c r="G36" i="24"/>
  <c r="A38" i="24"/>
  <c r="E38" i="24" l="1" a="1"/>
  <c r="E38" i="24" s="1"/>
  <c r="D38" i="24" a="1"/>
  <c r="D38" i="24" s="1"/>
  <c r="C38" i="24" a="1"/>
  <c r="C38" i="24" s="1"/>
  <c r="B38" i="24"/>
  <c r="H38" i="24"/>
  <c r="A40" i="24"/>
  <c r="G38" i="24"/>
  <c r="F38" i="24"/>
  <c r="E41" i="24" a="1"/>
  <c r="E41" i="24" s="1"/>
  <c r="D41" i="24" a="1"/>
  <c r="D41" i="24" s="1"/>
  <c r="C41" i="24" a="1"/>
  <c r="C41" i="24" s="1"/>
  <c r="A43" i="24"/>
  <c r="B41" i="24"/>
  <c r="H41" i="24"/>
  <c r="F41" i="24"/>
  <c r="G41" i="24"/>
  <c r="E43" i="24" l="1" a="1"/>
  <c r="E43" i="24" s="1"/>
  <c r="D43" i="24" a="1"/>
  <c r="D43" i="24" s="1"/>
  <c r="C43" i="24" a="1"/>
  <c r="C43" i="24" s="1"/>
  <c r="F43" i="24"/>
  <c r="G43" i="24"/>
  <c r="H43" i="24"/>
  <c r="A45" i="24"/>
  <c r="B43" i="24"/>
  <c r="E40" i="24" a="1"/>
  <c r="E40" i="24" s="1"/>
  <c r="D40" i="24" a="1"/>
  <c r="D40" i="24" s="1"/>
  <c r="C40" i="24" a="1"/>
  <c r="C40" i="24" s="1"/>
  <c r="G40" i="24"/>
  <c r="H40" i="24"/>
  <c r="B40" i="24"/>
  <c r="A42" i="24"/>
  <c r="F40" i="24"/>
  <c r="E42" i="24" l="1" a="1"/>
  <c r="E42" i="24" s="1"/>
  <c r="D42" i="24" a="1"/>
  <c r="D42" i="24" s="1"/>
  <c r="C42" i="24" a="1"/>
  <c r="C42" i="24" s="1"/>
  <c r="H42" i="24"/>
  <c r="A44" i="24"/>
  <c r="B42" i="24"/>
  <c r="G42" i="24"/>
  <c r="F42" i="24"/>
  <c r="E45" i="24" a="1"/>
  <c r="E45" i="24" s="1"/>
  <c r="D45" i="24" a="1"/>
  <c r="D45" i="24" s="1"/>
  <c r="C45" i="24" a="1"/>
  <c r="C45" i="24" s="1"/>
  <c r="A47" i="24"/>
  <c r="F45" i="24"/>
  <c r="G45" i="24"/>
  <c r="B45" i="24"/>
  <c r="H45" i="24"/>
  <c r="E44" i="24" l="1" a="1"/>
  <c r="E44" i="24" s="1"/>
  <c r="D44" i="24" a="1"/>
  <c r="D44" i="24" s="1"/>
  <c r="C44" i="24" a="1"/>
  <c r="C44" i="24" s="1"/>
  <c r="B44" i="24"/>
  <c r="F44" i="24"/>
  <c r="H44" i="24"/>
  <c r="G44" i="24"/>
  <c r="A46" i="24"/>
  <c r="E47" i="24" a="1"/>
  <c r="E47" i="24" s="1"/>
  <c r="C47" i="24" a="1"/>
  <c r="C47" i="24" s="1"/>
  <c r="D47" i="24" a="1"/>
  <c r="D47" i="24" s="1"/>
  <c r="A49" i="24"/>
  <c r="G47" i="24"/>
  <c r="B47" i="24"/>
  <c r="H47" i="24"/>
  <c r="F47" i="24"/>
  <c r="D46" i="24" l="1" a="1"/>
  <c r="D46" i="24" s="1"/>
  <c r="E46" i="24" a="1"/>
  <c r="E46" i="24" s="1"/>
  <c r="C46" i="24" a="1"/>
  <c r="C46" i="24" s="1"/>
  <c r="H46" i="24"/>
  <c r="B46" i="24"/>
  <c r="A48" i="24"/>
  <c r="G46" i="24"/>
  <c r="F46" i="24"/>
  <c r="E49" i="24" a="1"/>
  <c r="E49" i="24" s="1"/>
  <c r="D49" i="24" a="1"/>
  <c r="D49" i="24" s="1"/>
  <c r="C49" i="24" a="1"/>
  <c r="C49" i="24" s="1"/>
  <c r="A51" i="24"/>
  <c r="G49" i="24"/>
  <c r="H49" i="24"/>
  <c r="B49" i="24"/>
  <c r="F49" i="24"/>
  <c r="E48" i="24" l="1" a="1"/>
  <c r="E48" i="24" s="1"/>
  <c r="C48" i="24" a="1"/>
  <c r="C48" i="24" s="1"/>
  <c r="D48" i="24" a="1"/>
  <c r="D48" i="24" s="1"/>
  <c r="G48" i="24"/>
  <c r="H48" i="24"/>
  <c r="F48" i="24"/>
  <c r="A50" i="24"/>
  <c r="B48" i="24"/>
  <c r="D51" i="24" a="1"/>
  <c r="D51" i="24" s="1"/>
  <c r="C51" i="24" a="1"/>
  <c r="C51" i="24" s="1"/>
  <c r="E51" i="24" a="1"/>
  <c r="E51" i="24" s="1"/>
  <c r="F51" i="24"/>
  <c r="G51" i="24"/>
  <c r="H51" i="24"/>
  <c r="B51" i="24"/>
  <c r="A53" i="24"/>
  <c r="E50" i="24" l="1" a="1"/>
  <c r="E50" i="24" s="1"/>
  <c r="D50" i="24" a="1"/>
  <c r="D50" i="24" s="1"/>
  <c r="C50" i="24" a="1"/>
  <c r="C50" i="24" s="1"/>
  <c r="H50" i="24"/>
  <c r="A52" i="24"/>
  <c r="G50" i="24"/>
  <c r="B50" i="24"/>
  <c r="F50" i="24"/>
  <c r="E53" i="24" a="1"/>
  <c r="E53" i="24" s="1"/>
  <c r="D53" i="24" a="1"/>
  <c r="D53" i="24" s="1"/>
  <c r="C53" i="24" a="1"/>
  <c r="C53" i="24" s="1"/>
  <c r="B53" i="24"/>
  <c r="F53" i="24"/>
  <c r="A55" i="24"/>
  <c r="G53" i="24"/>
  <c r="H53" i="24"/>
  <c r="E55" i="24" l="1" a="1"/>
  <c r="E55" i="24" s="1"/>
  <c r="D55" i="24" a="1"/>
  <c r="D55" i="24" s="1"/>
  <c r="C55" i="24" a="1"/>
  <c r="C55" i="24" s="1"/>
  <c r="A57" i="24"/>
  <c r="B55" i="24"/>
  <c r="F55" i="24"/>
  <c r="H55" i="24"/>
  <c r="G55" i="24"/>
  <c r="D52" i="24" a="1"/>
  <c r="D52" i="24" s="1"/>
  <c r="C52" i="24" a="1"/>
  <c r="C52" i="24" s="1"/>
  <c r="E52" i="24" a="1"/>
  <c r="E52" i="24" s="1"/>
  <c r="A54" i="24"/>
  <c r="F52" i="24"/>
  <c r="B52" i="24"/>
  <c r="G52" i="24"/>
  <c r="H52" i="24"/>
  <c r="E57" i="24" l="1" a="1"/>
  <c r="E57" i="24" s="1"/>
  <c r="D57" i="24" a="1"/>
  <c r="D57" i="24" s="1"/>
  <c r="C57" i="24" a="1"/>
  <c r="C57" i="24" s="1"/>
  <c r="B57" i="24"/>
  <c r="G57" i="24"/>
  <c r="F57" i="24"/>
  <c r="H57" i="24"/>
  <c r="A59" i="24"/>
  <c r="D54" i="24" a="1"/>
  <c r="D54" i="24" s="1"/>
  <c r="E54" i="24" a="1"/>
  <c r="E54" i="24" s="1"/>
  <c r="C54" i="24" a="1"/>
  <c r="C54" i="24" s="1"/>
  <c r="F54" i="24"/>
  <c r="G54" i="24"/>
  <c r="B54" i="24"/>
  <c r="A56" i="24"/>
  <c r="H54" i="24"/>
  <c r="E59" i="24" l="1" a="1"/>
  <c r="E59" i="24" s="1"/>
  <c r="D59" i="24" a="1"/>
  <c r="D59" i="24" s="1"/>
  <c r="C59" i="24" a="1"/>
  <c r="C59" i="24" s="1"/>
  <c r="A61" i="24"/>
  <c r="B59" i="24"/>
  <c r="F59" i="24"/>
  <c r="H59" i="24"/>
  <c r="G59" i="24"/>
  <c r="E56" i="24" a="1"/>
  <c r="E56" i="24" s="1"/>
  <c r="D56" i="24" a="1"/>
  <c r="D56" i="24" s="1"/>
  <c r="C56" i="24" a="1"/>
  <c r="C56" i="24" s="1"/>
  <c r="A58" i="24"/>
  <c r="B56" i="24"/>
  <c r="G56" i="24"/>
  <c r="F56" i="24"/>
  <c r="H56" i="24"/>
  <c r="E58" i="24" l="1" a="1"/>
  <c r="E58" i="24" s="1"/>
  <c r="D58" i="24" a="1"/>
  <c r="D58" i="24" s="1"/>
  <c r="C58" i="24" a="1"/>
  <c r="C58" i="24" s="1"/>
  <c r="H58" i="24"/>
  <c r="B58" i="24"/>
  <c r="A60" i="24"/>
  <c r="F58" i="24"/>
  <c r="G58" i="24"/>
  <c r="E61" i="24" a="1"/>
  <c r="E61" i="24" s="1"/>
  <c r="D61" i="24" a="1"/>
  <c r="D61" i="24" s="1"/>
  <c r="C61" i="24" a="1"/>
  <c r="C61" i="24" s="1"/>
  <c r="B61" i="24"/>
  <c r="F61" i="24"/>
  <c r="A63" i="24"/>
  <c r="G61" i="24"/>
  <c r="H61" i="24"/>
  <c r="E63" i="24" l="1" a="1"/>
  <c r="E63" i="24" s="1"/>
  <c r="D63" i="24" a="1"/>
  <c r="D63" i="24" s="1"/>
  <c r="C63" i="24" a="1"/>
  <c r="C63" i="24" s="1"/>
  <c r="A65" i="24"/>
  <c r="B63" i="24"/>
  <c r="F63" i="24"/>
  <c r="G63" i="24"/>
  <c r="H63" i="24"/>
  <c r="D60" i="24" a="1"/>
  <c r="D60" i="24" s="1"/>
  <c r="E60" i="24" a="1"/>
  <c r="E60" i="24" s="1"/>
  <c r="C60" i="24" a="1"/>
  <c r="C60" i="24" s="1"/>
  <c r="A62" i="24"/>
  <c r="F60" i="24"/>
  <c r="G60" i="24"/>
  <c r="B60" i="24"/>
  <c r="H60" i="24"/>
  <c r="D62" i="24" l="1" a="1"/>
  <c r="D62" i="24" s="1"/>
  <c r="E62" i="24" a="1"/>
  <c r="E62" i="24" s="1"/>
  <c r="C62" i="24" a="1"/>
  <c r="C62" i="24" s="1"/>
  <c r="B62" i="24"/>
  <c r="F62" i="24"/>
  <c r="H62" i="24"/>
  <c r="G62" i="24"/>
  <c r="A64" i="24"/>
  <c r="E65" i="24" a="1"/>
  <c r="E65" i="24" s="1"/>
  <c r="D65" i="24" a="1"/>
  <c r="D65" i="24" s="1"/>
  <c r="C65" i="24" a="1"/>
  <c r="C65" i="24" s="1"/>
  <c r="B65" i="24"/>
  <c r="G65" i="24"/>
  <c r="H65" i="24"/>
  <c r="A67" i="24"/>
  <c r="F65" i="24"/>
  <c r="E67" i="24" l="1" a="1"/>
  <c r="E67" i="24" s="1"/>
  <c r="D67" i="24" a="1"/>
  <c r="D67" i="24" s="1"/>
  <c r="C67" i="24" a="1"/>
  <c r="C67" i="24" s="1"/>
  <c r="A69" i="24"/>
  <c r="F67" i="24"/>
  <c r="H67" i="24"/>
  <c r="B67" i="24"/>
  <c r="G67" i="24"/>
  <c r="E64" i="24" a="1"/>
  <c r="E64" i="24" s="1"/>
  <c r="D64" i="24" a="1"/>
  <c r="D64" i="24" s="1"/>
  <c r="C64" i="24" a="1"/>
  <c r="C64" i="24" s="1"/>
  <c r="A66" i="24"/>
  <c r="B64" i="24"/>
  <c r="G64" i="24"/>
  <c r="F64" i="24"/>
  <c r="H64" i="24"/>
  <c r="D66" i="24" l="1" a="1"/>
  <c r="D66" i="24" s="1"/>
  <c r="E66" i="24" a="1"/>
  <c r="E66" i="24" s="1"/>
  <c r="C66" i="24" a="1"/>
  <c r="C66" i="24" s="1"/>
  <c r="F66" i="24"/>
  <c r="H66" i="24"/>
  <c r="A68" i="24"/>
  <c r="B66" i="24"/>
  <c r="G66" i="24"/>
  <c r="D69" i="24" a="1"/>
  <c r="D69" i="24" s="1"/>
  <c r="C69" i="24" a="1"/>
  <c r="C69" i="24" s="1"/>
  <c r="E69" i="24" a="1"/>
  <c r="E69" i="24" s="1"/>
  <c r="B69" i="24"/>
  <c r="F69" i="24"/>
  <c r="A71" i="24"/>
  <c r="G69" i="24"/>
  <c r="H69" i="24"/>
  <c r="E68" i="24" l="1" a="1"/>
  <c r="E68" i="24" s="1"/>
  <c r="C68" i="24" a="1"/>
  <c r="C68" i="24" s="1"/>
  <c r="D68" i="24" a="1"/>
  <c r="D68" i="24" s="1"/>
  <c r="A70" i="24"/>
  <c r="F68" i="24"/>
  <c r="G68" i="24"/>
  <c r="H68" i="24"/>
  <c r="B68" i="24"/>
  <c r="E71" i="24" a="1"/>
  <c r="E71" i="24" s="1"/>
  <c r="D71" i="24" a="1"/>
  <c r="D71" i="24" s="1"/>
  <c r="C71" i="24" a="1"/>
  <c r="C71" i="24" s="1"/>
  <c r="A73" i="24"/>
  <c r="B71" i="24"/>
  <c r="F71" i="24"/>
  <c r="H71" i="24"/>
  <c r="G71" i="24"/>
  <c r="E70" i="24" l="1" a="1"/>
  <c r="E70" i="24" s="1"/>
  <c r="D70" i="24" a="1"/>
  <c r="D70" i="24" s="1"/>
  <c r="C70" i="24" a="1"/>
  <c r="C70" i="24" s="1"/>
  <c r="F70" i="24"/>
  <c r="G70" i="24"/>
  <c r="H70" i="24"/>
  <c r="A72" i="24"/>
  <c r="B70" i="24"/>
  <c r="D73" i="24" a="1"/>
  <c r="D73" i="24" s="1"/>
  <c r="E73" i="24" a="1"/>
  <c r="E73" i="24" s="1"/>
  <c r="C73" i="24" a="1"/>
  <c r="C73" i="24" s="1"/>
  <c r="B73" i="24"/>
  <c r="G73" i="24"/>
  <c r="H73" i="24"/>
  <c r="A75" i="24"/>
  <c r="F73" i="24"/>
  <c r="E72" i="24" l="1" a="1"/>
  <c r="E72" i="24" s="1"/>
  <c r="D72" i="24" a="1"/>
  <c r="D72" i="24" s="1"/>
  <c r="C72" i="24" a="1"/>
  <c r="C72" i="24" s="1"/>
  <c r="A74" i="24"/>
  <c r="B72" i="24"/>
  <c r="G72" i="24"/>
  <c r="F72" i="24"/>
  <c r="H72" i="24"/>
  <c r="E75" i="24" a="1"/>
  <c r="E75" i="24" s="1"/>
  <c r="D75" i="24" a="1"/>
  <c r="D75" i="24" s="1"/>
  <c r="C75" i="24" a="1"/>
  <c r="C75" i="24" s="1"/>
  <c r="A77" i="24"/>
  <c r="F75" i="24"/>
  <c r="H75" i="24"/>
  <c r="B75" i="24"/>
  <c r="G75" i="24"/>
  <c r="E77" i="24" l="1" a="1"/>
  <c r="E77" i="24" s="1"/>
  <c r="D77" i="24" a="1"/>
  <c r="D77" i="24" s="1"/>
  <c r="C77" i="24" a="1"/>
  <c r="C77" i="24" s="1"/>
  <c r="B77" i="24"/>
  <c r="F77" i="24"/>
  <c r="H77" i="24"/>
  <c r="A79" i="24"/>
  <c r="G77" i="24"/>
  <c r="D74" i="24" a="1"/>
  <c r="D74" i="24" s="1"/>
  <c r="C74" i="24" a="1"/>
  <c r="C74" i="24" s="1"/>
  <c r="E74" i="24" a="1"/>
  <c r="E74" i="24" s="1"/>
  <c r="H74" i="24"/>
  <c r="A76" i="24"/>
  <c r="F74" i="24"/>
  <c r="B74" i="24"/>
  <c r="G74" i="24"/>
  <c r="E79" i="24" l="1" a="1"/>
  <c r="E79" i="24" s="1"/>
  <c r="D79" i="24" a="1"/>
  <c r="D79" i="24" s="1"/>
  <c r="C79" i="24" a="1"/>
  <c r="C79" i="24" s="1"/>
  <c r="A81" i="24"/>
  <c r="B79" i="24"/>
  <c r="G79" i="24"/>
  <c r="F79" i="24"/>
  <c r="H79" i="24"/>
  <c r="E76" i="24" a="1"/>
  <c r="E76" i="24" s="1"/>
  <c r="D76" i="24" a="1"/>
  <c r="D76" i="24" s="1"/>
  <c r="C76" i="24" a="1"/>
  <c r="C76" i="24" s="1"/>
  <c r="A78" i="24"/>
  <c r="F76" i="24"/>
  <c r="G76" i="24"/>
  <c r="B76" i="24"/>
  <c r="H76" i="24"/>
  <c r="E78" i="24" l="1" a="1"/>
  <c r="E78" i="24" s="1"/>
  <c r="D78" i="24" a="1"/>
  <c r="D78" i="24" s="1"/>
  <c r="C78" i="24" a="1"/>
  <c r="C78" i="24" s="1"/>
  <c r="B78" i="24"/>
  <c r="F78" i="24"/>
  <c r="G78" i="24"/>
  <c r="A80" i="24"/>
  <c r="H78" i="24"/>
  <c r="D81" i="24" a="1"/>
  <c r="D81" i="24" s="1"/>
  <c r="E81" i="24" a="1"/>
  <c r="E81" i="24" s="1"/>
  <c r="C81" i="24" a="1"/>
  <c r="C81" i="24" s="1"/>
  <c r="B81" i="24"/>
  <c r="G81" i="24"/>
  <c r="A83" i="24"/>
  <c r="F81" i="24"/>
  <c r="H81" i="24"/>
  <c r="E80" i="24" l="1" a="1"/>
  <c r="E80" i="24" s="1"/>
  <c r="D80" i="24" a="1"/>
  <c r="D80" i="24" s="1"/>
  <c r="C80" i="24" a="1"/>
  <c r="C80" i="24" s="1"/>
  <c r="A82" i="24"/>
  <c r="B80" i="24"/>
  <c r="G80" i="24"/>
  <c r="F80" i="24"/>
  <c r="H80" i="24"/>
  <c r="E83" i="24" a="1"/>
  <c r="E83" i="24" s="1"/>
  <c r="D83" i="24" a="1"/>
  <c r="D83" i="24" s="1"/>
  <c r="C83" i="24" a="1"/>
  <c r="C83" i="24" s="1"/>
  <c r="A85" i="24"/>
  <c r="H83" i="24"/>
  <c r="F83" i="24"/>
  <c r="B83" i="24"/>
  <c r="G83" i="24"/>
  <c r="E82" i="24" l="1" a="1"/>
  <c r="E82" i="24" s="1"/>
  <c r="D82" i="24" a="1"/>
  <c r="D82" i="24" s="1"/>
  <c r="C82" i="24" a="1"/>
  <c r="C82" i="24" s="1"/>
  <c r="F82" i="24"/>
  <c r="H82" i="24"/>
  <c r="B82" i="24"/>
  <c r="A84" i="24"/>
  <c r="G82" i="24"/>
  <c r="E85" i="24" a="1"/>
  <c r="E85" i="24" s="1"/>
  <c r="D85" i="24" a="1"/>
  <c r="D85" i="24" s="1"/>
  <c r="C85" i="24" a="1"/>
  <c r="C85" i="24" s="1"/>
  <c r="B85" i="24"/>
  <c r="F85" i="24"/>
  <c r="A87" i="24"/>
  <c r="G85" i="24"/>
  <c r="H85" i="24"/>
  <c r="E84" i="24" l="1" a="1"/>
  <c r="E84" i="24" s="1"/>
  <c r="D84" i="24" a="1"/>
  <c r="D84" i="24" s="1"/>
  <c r="C84" i="24" a="1"/>
  <c r="C84" i="24" s="1"/>
  <c r="A86" i="24"/>
  <c r="F84" i="24"/>
  <c r="G84" i="24"/>
  <c r="B84" i="24"/>
  <c r="H84" i="24"/>
  <c r="D87" i="24" a="1"/>
  <c r="D87" i="24" s="1"/>
  <c r="C87" i="24" a="1"/>
  <c r="C87" i="24" s="1"/>
  <c r="E87" i="24" a="1"/>
  <c r="E87" i="24" s="1"/>
  <c r="A89" i="24"/>
  <c r="B87" i="24"/>
  <c r="F87" i="24"/>
  <c r="H87" i="24"/>
  <c r="G87" i="24"/>
  <c r="E86" i="24" l="1" a="1"/>
  <c r="E86" i="24" s="1"/>
  <c r="D86" i="24" a="1"/>
  <c r="D86" i="24" s="1"/>
  <c r="C86" i="24" a="1"/>
  <c r="C86" i="24" s="1"/>
  <c r="F86" i="24"/>
  <c r="G86" i="24"/>
  <c r="B86" i="24"/>
  <c r="A88" i="24"/>
  <c r="H86" i="24"/>
  <c r="E89" i="24" a="1"/>
  <c r="E89" i="24" s="1"/>
  <c r="C89" i="24" a="1"/>
  <c r="C89" i="24" s="1"/>
  <c r="D89" i="24" a="1"/>
  <c r="D89" i="24" s="1"/>
  <c r="B89" i="24"/>
  <c r="G89" i="24"/>
  <c r="A91" i="24"/>
  <c r="F89" i="24"/>
  <c r="H89" i="24"/>
  <c r="D88" i="24" l="1" a="1"/>
  <c r="D88" i="24" s="1"/>
  <c r="E88" i="24" a="1"/>
  <c r="E88" i="24" s="1"/>
  <c r="C88" i="24" a="1"/>
  <c r="C88" i="24" s="1"/>
  <c r="A90" i="24"/>
  <c r="B88" i="24"/>
  <c r="G88" i="24"/>
  <c r="H88" i="24"/>
  <c r="F88" i="24"/>
  <c r="E91" i="24" a="1"/>
  <c r="E91" i="24" s="1"/>
  <c r="C91" i="24" a="1"/>
  <c r="C91" i="24" s="1"/>
  <c r="D91" i="24" a="1"/>
  <c r="D91" i="24" s="1"/>
  <c r="A93" i="24"/>
  <c r="F91" i="24"/>
  <c r="H91" i="24"/>
  <c r="B91" i="24"/>
  <c r="G91" i="24"/>
  <c r="E93" i="24" l="1" a="1"/>
  <c r="E93" i="24" s="1"/>
  <c r="D93" i="24" a="1"/>
  <c r="D93" i="24" s="1"/>
  <c r="C93" i="24" a="1"/>
  <c r="C93" i="24" s="1"/>
  <c r="B93" i="24"/>
  <c r="F93" i="24"/>
  <c r="A95" i="24"/>
  <c r="G93" i="24"/>
  <c r="H93" i="24"/>
  <c r="C90" i="24" a="1"/>
  <c r="C90" i="24" s="1"/>
  <c r="D90" i="24" a="1"/>
  <c r="D90" i="24" s="1"/>
  <c r="E90" i="24" a="1"/>
  <c r="E90" i="24" s="1"/>
  <c r="H90" i="24"/>
  <c r="B90" i="24"/>
  <c r="A92" i="24"/>
  <c r="F90" i="24"/>
  <c r="G90" i="24"/>
  <c r="D95" i="24" l="1" a="1"/>
  <c r="D95" i="24" s="1"/>
  <c r="E95" i="24" a="1"/>
  <c r="E95" i="24" s="1"/>
  <c r="C95" i="24" a="1"/>
  <c r="C95" i="24" s="1"/>
  <c r="A97" i="24"/>
  <c r="B95" i="24"/>
  <c r="F95" i="24"/>
  <c r="H95" i="24"/>
  <c r="G95" i="24"/>
  <c r="E92" i="24" a="1"/>
  <c r="E92" i="24" s="1"/>
  <c r="D92" i="24" a="1"/>
  <c r="D92" i="24" s="1"/>
  <c r="C92" i="24" a="1"/>
  <c r="C92" i="24" s="1"/>
  <c r="A94" i="24"/>
  <c r="F92" i="24"/>
  <c r="G92" i="24"/>
  <c r="H92" i="24"/>
  <c r="B92" i="24"/>
  <c r="E94" i="24" l="1" a="1"/>
  <c r="E94" i="24" s="1"/>
  <c r="D94" i="24" a="1"/>
  <c r="D94" i="24" s="1"/>
  <c r="C94" i="24" a="1"/>
  <c r="C94" i="24" s="1"/>
  <c r="B94" i="24"/>
  <c r="F94" i="24"/>
  <c r="H94" i="24"/>
  <c r="A96" i="24"/>
  <c r="G94" i="24"/>
  <c r="E97" i="24" a="1"/>
  <c r="E97" i="24" s="1"/>
  <c r="C97" i="24" a="1"/>
  <c r="C97" i="24" s="1"/>
  <c r="D97" i="24" a="1"/>
  <c r="D97" i="24" s="1"/>
  <c r="B97" i="24"/>
  <c r="G97" i="24"/>
  <c r="F97" i="24"/>
  <c r="A99" i="24"/>
  <c r="H97" i="24"/>
  <c r="E96" i="24" l="1" a="1"/>
  <c r="E96" i="24" s="1"/>
  <c r="C96" i="24" a="1"/>
  <c r="C96" i="24" s="1"/>
  <c r="D96" i="24" a="1"/>
  <c r="D96" i="24" s="1"/>
  <c r="A98" i="24"/>
  <c r="B96" i="24"/>
  <c r="G96" i="24"/>
  <c r="F96" i="24"/>
  <c r="H96" i="24"/>
  <c r="E99" i="24" a="1"/>
  <c r="E99" i="24" s="1"/>
  <c r="D99" i="24" a="1"/>
  <c r="D99" i="24" s="1"/>
  <c r="C99" i="24" a="1"/>
  <c r="C99" i="24" s="1"/>
  <c r="A101" i="24"/>
  <c r="B99" i="24"/>
  <c r="F99" i="24"/>
  <c r="G99" i="24"/>
  <c r="H99" i="24"/>
  <c r="E101" i="24" l="1" a="1"/>
  <c r="E101" i="24" s="1"/>
  <c r="D101" i="24" a="1"/>
  <c r="D101" i="24" s="1"/>
  <c r="C101" i="24" a="1"/>
  <c r="C101" i="24" s="1"/>
  <c r="B101" i="24"/>
  <c r="F101" i="24"/>
  <c r="A103" i="24"/>
  <c r="H101" i="24"/>
  <c r="G101" i="24"/>
  <c r="E98" i="24" a="1"/>
  <c r="E98" i="24" s="1"/>
  <c r="D98" i="24" a="1"/>
  <c r="D98" i="24" s="1"/>
  <c r="C98" i="24" a="1"/>
  <c r="C98" i="24" s="1"/>
  <c r="F98" i="24"/>
  <c r="H98" i="24"/>
  <c r="G98" i="24"/>
  <c r="A100" i="24"/>
  <c r="B98" i="24"/>
  <c r="E103" i="24" l="1" a="1"/>
  <c r="E103" i="24" s="1"/>
  <c r="C103" i="24" a="1"/>
  <c r="C103" i="24" s="1"/>
  <c r="D103" i="24" a="1"/>
  <c r="D103" i="24" s="1"/>
  <c r="A105" i="24"/>
  <c r="B103" i="24"/>
  <c r="F103" i="24"/>
  <c r="H103" i="24"/>
  <c r="G103" i="24"/>
  <c r="E100" i="24" a="1"/>
  <c r="E100" i="24" s="1"/>
  <c r="D100" i="24" a="1"/>
  <c r="D100" i="24" s="1"/>
  <c r="C100" i="24" a="1"/>
  <c r="C100" i="24" s="1"/>
  <c r="A102" i="24"/>
  <c r="G100" i="24"/>
  <c r="F100" i="24"/>
  <c r="B100" i="24"/>
  <c r="H100" i="24"/>
  <c r="E102" i="24" l="1" a="1"/>
  <c r="E102" i="24" s="1"/>
  <c r="D102" i="24" a="1"/>
  <c r="D102" i="24" s="1"/>
  <c r="C102" i="24" a="1"/>
  <c r="C102" i="24" s="1"/>
  <c r="F102" i="24"/>
  <c r="G102" i="24"/>
  <c r="A104" i="24"/>
  <c r="B102" i="24"/>
  <c r="H102" i="24"/>
  <c r="E105" i="24" a="1"/>
  <c r="E105" i="24" s="1"/>
  <c r="C105" i="24" a="1"/>
  <c r="C105" i="24" s="1"/>
  <c r="D105" i="24" a="1"/>
  <c r="D105" i="24" s="1"/>
  <c r="B105" i="24"/>
  <c r="G105" i="24"/>
  <c r="A107" i="24"/>
  <c r="H105" i="24"/>
  <c r="F105" i="24"/>
  <c r="E104" i="24" l="1" a="1"/>
  <c r="E104" i="24" s="1"/>
  <c r="C104" i="24" a="1"/>
  <c r="C104" i="24" s="1"/>
  <c r="D104" i="24" a="1"/>
  <c r="D104" i="24" s="1"/>
  <c r="A106" i="24"/>
  <c r="B104" i="24"/>
  <c r="G104" i="24"/>
  <c r="F104" i="24"/>
  <c r="H104" i="24"/>
  <c r="E107" i="24" a="1"/>
  <c r="E107" i="24" s="1"/>
  <c r="D107" i="24" a="1"/>
  <c r="D107" i="24" s="1"/>
  <c r="C107" i="24" a="1"/>
  <c r="C107" i="24" s="1"/>
  <c r="A109" i="24"/>
  <c r="F107" i="24"/>
  <c r="H107" i="24"/>
  <c r="B107" i="24"/>
  <c r="G107" i="24"/>
  <c r="D109" i="24" l="1" a="1"/>
  <c r="D109" i="24" s="1"/>
  <c r="C109" i="24" a="1"/>
  <c r="C109" i="24" s="1"/>
  <c r="E109" i="24" a="1"/>
  <c r="E109" i="24" s="1"/>
  <c r="B109" i="24"/>
  <c r="F109" i="24"/>
  <c r="A111" i="24"/>
  <c r="G109" i="24"/>
  <c r="H109" i="24"/>
  <c r="E106" i="24" a="1"/>
  <c r="E106" i="24" s="1"/>
  <c r="C106" i="24" a="1"/>
  <c r="C106" i="24" s="1"/>
  <c r="D106" i="24" a="1"/>
  <c r="D106" i="24" s="1"/>
  <c r="H106" i="24"/>
  <c r="F106" i="24"/>
  <c r="B106" i="24"/>
  <c r="A108" i="24"/>
  <c r="G106" i="24"/>
  <c r="E108" i="24" l="1" a="1"/>
  <c r="E108" i="24" s="1"/>
  <c r="D108" i="24" a="1"/>
  <c r="D108" i="24" s="1"/>
  <c r="C108" i="24" a="1"/>
  <c r="C108" i="24" s="1"/>
  <c r="A110" i="24"/>
  <c r="F108" i="24"/>
  <c r="G108" i="24"/>
  <c r="H108" i="24"/>
  <c r="B108" i="24"/>
  <c r="C111" i="24" a="1"/>
  <c r="C111" i="24" s="1"/>
  <c r="E111" i="24" a="1"/>
  <c r="E111" i="24" s="1"/>
  <c r="D111" i="24" a="1"/>
  <c r="D111" i="24" s="1"/>
  <c r="A113" i="24"/>
  <c r="H111" i="24"/>
  <c r="B111" i="24"/>
  <c r="G111" i="24"/>
  <c r="F111" i="24"/>
  <c r="E113" i="24" l="1" a="1"/>
  <c r="E113" i="24" s="1"/>
  <c r="D113" i="24" a="1"/>
  <c r="D113" i="24" s="1"/>
  <c r="C113" i="24" a="1"/>
  <c r="C113" i="24" s="1"/>
  <c r="B113" i="24"/>
  <c r="G113" i="24"/>
  <c r="A115" i="24"/>
  <c r="F113" i="24"/>
  <c r="H113" i="24"/>
  <c r="D110" i="24" a="1"/>
  <c r="D110" i="24" s="1"/>
  <c r="C110" i="24" a="1"/>
  <c r="C110" i="24" s="1"/>
  <c r="E110" i="24" a="1"/>
  <c r="E110" i="24" s="1"/>
  <c r="B110" i="24"/>
  <c r="A112" i="24"/>
  <c r="F110" i="24"/>
  <c r="G110" i="24"/>
  <c r="H110" i="24"/>
  <c r="E115" i="24" l="1" a="1"/>
  <c r="E115" i="24" s="1"/>
  <c r="D115" i="24" a="1"/>
  <c r="D115" i="24" s="1"/>
  <c r="C115" i="24" a="1"/>
  <c r="C115" i="24" s="1"/>
  <c r="A117" i="24"/>
  <c r="F115" i="24"/>
  <c r="B115" i="24"/>
  <c r="G115" i="24"/>
  <c r="H115" i="24"/>
  <c r="E112" i="24" a="1"/>
  <c r="E112" i="24" s="1"/>
  <c r="C112" i="24" a="1"/>
  <c r="C112" i="24" s="1"/>
  <c r="D112" i="24" a="1"/>
  <c r="D112" i="24" s="1"/>
  <c r="A114" i="24"/>
  <c r="B112" i="24"/>
  <c r="G112" i="24"/>
  <c r="F112" i="24"/>
  <c r="H112" i="24"/>
  <c r="E114" i="24" l="1" a="1"/>
  <c r="E114" i="24" s="1"/>
  <c r="D114" i="24" a="1"/>
  <c r="D114" i="24" s="1"/>
  <c r="C114" i="24" a="1"/>
  <c r="C114" i="24" s="1"/>
  <c r="F114" i="24"/>
  <c r="H114" i="24"/>
  <c r="A116" i="24"/>
  <c r="G114" i="24"/>
  <c r="B114" i="24"/>
  <c r="E117" i="24" a="1"/>
  <c r="E117" i="24" s="1"/>
  <c r="D117" i="24" a="1"/>
  <c r="D117" i="24" s="1"/>
  <c r="C117" i="24" a="1"/>
  <c r="C117" i="24" s="1"/>
  <c r="B117" i="24"/>
  <c r="F117" i="24"/>
  <c r="A119" i="24"/>
  <c r="G117" i="24"/>
  <c r="H117" i="24"/>
  <c r="E116" i="24" l="1" a="1"/>
  <c r="E116" i="24" s="1"/>
  <c r="D116" i="24" a="1"/>
  <c r="D116" i="24" s="1"/>
  <c r="C116" i="24" a="1"/>
  <c r="C116" i="24" s="1"/>
  <c r="A118" i="24"/>
  <c r="F116" i="24"/>
  <c r="G116" i="24"/>
  <c r="B116" i="24"/>
  <c r="H116" i="24"/>
  <c r="E119" i="24" a="1"/>
  <c r="E119" i="24" s="1"/>
  <c r="D119" i="24" a="1"/>
  <c r="D119" i="24" s="1"/>
  <c r="C119" i="24" a="1"/>
  <c r="C119" i="24" s="1"/>
  <c r="A121" i="24"/>
  <c r="B119" i="24"/>
  <c r="F119" i="24"/>
  <c r="H119" i="24"/>
  <c r="G119" i="24"/>
  <c r="E118" i="24" l="1" a="1"/>
  <c r="E118" i="24" s="1"/>
  <c r="D118" i="24" a="1"/>
  <c r="D118" i="24" s="1"/>
  <c r="C118" i="24" a="1"/>
  <c r="C118" i="24" s="1"/>
  <c r="F118" i="24"/>
  <c r="G118" i="24"/>
  <c r="B118" i="24"/>
  <c r="H118" i="24"/>
  <c r="A120" i="24"/>
  <c r="E121" i="24" a="1"/>
  <c r="E121" i="24" s="1"/>
  <c r="D121" i="24" a="1"/>
  <c r="D121" i="24" s="1"/>
  <c r="C121" i="24" a="1"/>
  <c r="C121" i="24" s="1"/>
  <c r="B121" i="24"/>
  <c r="G121" i="24"/>
  <c r="A123" i="24"/>
  <c r="F121" i="24"/>
  <c r="H121" i="24"/>
  <c r="D123" i="24" l="1" a="1"/>
  <c r="D123" i="24" s="1"/>
  <c r="E123" i="24" a="1"/>
  <c r="E123" i="24" s="1"/>
  <c r="C123" i="24" a="1"/>
  <c r="C123" i="24" s="1"/>
  <c r="A125" i="24"/>
  <c r="H123" i="24"/>
  <c r="B123" i="24"/>
  <c r="F123" i="24"/>
  <c r="G123" i="24"/>
  <c r="E120" i="24" a="1"/>
  <c r="E120" i="24" s="1"/>
  <c r="C120" i="24" a="1"/>
  <c r="C120" i="24" s="1"/>
  <c r="D120" i="24" a="1"/>
  <c r="D120" i="24" s="1"/>
  <c r="A122" i="24"/>
  <c r="G120" i="24"/>
  <c r="B120" i="24"/>
  <c r="F120" i="24"/>
  <c r="H120" i="24"/>
  <c r="E122" i="24" l="1" a="1"/>
  <c r="E122" i="24" s="1"/>
  <c r="D122" i="24" a="1"/>
  <c r="D122" i="24" s="1"/>
  <c r="C122" i="24" a="1"/>
  <c r="C122" i="24" s="1"/>
  <c r="H122" i="24"/>
  <c r="B122" i="24"/>
  <c r="F122" i="24"/>
  <c r="G122" i="24"/>
  <c r="A124" i="24"/>
  <c r="E125" i="24" a="1"/>
  <c r="E125" i="24" s="1"/>
  <c r="C125" i="24" a="1"/>
  <c r="C125" i="24" s="1"/>
  <c r="D125" i="24" a="1"/>
  <c r="D125" i="24" s="1"/>
  <c r="H125" i="24"/>
  <c r="B125" i="24"/>
  <c r="A127" i="24"/>
  <c r="G125" i="24"/>
  <c r="F125" i="24"/>
  <c r="E127" i="24" l="1" a="1"/>
  <c r="E127" i="24" s="1"/>
  <c r="D127" i="24" a="1"/>
  <c r="D127" i="24" s="1"/>
  <c r="C127" i="24" a="1"/>
  <c r="C127" i="24" s="1"/>
  <c r="A129" i="24"/>
  <c r="F127" i="24"/>
  <c r="H127" i="24"/>
  <c r="G127" i="24"/>
  <c r="B127" i="24"/>
  <c r="D124" i="24" a="1"/>
  <c r="D124" i="24" s="1"/>
  <c r="C124" i="24" a="1"/>
  <c r="C124" i="24" s="1"/>
  <c r="E124" i="24" a="1"/>
  <c r="E124" i="24" s="1"/>
  <c r="A126" i="24"/>
  <c r="G124" i="24"/>
  <c r="H124" i="24"/>
  <c r="F124" i="24"/>
  <c r="B124" i="24"/>
  <c r="D126" i="24" l="1" a="1"/>
  <c r="D126" i="24" s="1"/>
  <c r="E126" i="24" a="1"/>
  <c r="E126" i="24" s="1"/>
  <c r="C126" i="24" a="1"/>
  <c r="C126" i="24" s="1"/>
  <c r="B126" i="24"/>
  <c r="F126" i="24"/>
  <c r="G126" i="24"/>
  <c r="H126" i="24"/>
  <c r="A128" i="24"/>
  <c r="E129" i="24" a="1"/>
  <c r="E129" i="24" s="1"/>
  <c r="D129" i="24" a="1"/>
  <c r="D129" i="24" s="1"/>
  <c r="C129" i="24" a="1"/>
  <c r="C129" i="24" s="1"/>
  <c r="G129" i="24"/>
  <c r="H129" i="24"/>
  <c r="A131" i="24"/>
  <c r="B129" i="24"/>
  <c r="F129" i="24"/>
  <c r="E128" i="24" l="1" a="1"/>
  <c r="E128" i="24" s="1"/>
  <c r="D128" i="24" a="1"/>
  <c r="D128" i="24" s="1"/>
  <c r="C128" i="24" a="1"/>
  <c r="C128" i="24" s="1"/>
  <c r="A130" i="24"/>
  <c r="B128" i="24"/>
  <c r="F128" i="24"/>
  <c r="H128" i="24"/>
  <c r="G128" i="24"/>
  <c r="D131" i="24" a="1"/>
  <c r="D131" i="24" s="1"/>
  <c r="E131" i="24" a="1"/>
  <c r="E131" i="24" s="1"/>
  <c r="C131" i="24" a="1"/>
  <c r="C131" i="24" s="1"/>
  <c r="A133" i="24"/>
  <c r="F131" i="24"/>
  <c r="G131" i="24"/>
  <c r="H131" i="24"/>
  <c r="B131" i="24"/>
  <c r="E133" i="24" l="1" a="1"/>
  <c r="E133" i="24" s="1"/>
  <c r="D133" i="24" a="1"/>
  <c r="D133" i="24" s="1"/>
  <c r="C133" i="24" a="1"/>
  <c r="C133" i="24" s="1"/>
  <c r="H133" i="24"/>
  <c r="B133" i="24"/>
  <c r="F133" i="24"/>
  <c r="G133" i="24"/>
  <c r="A135" i="24"/>
  <c r="E130" i="24" a="1"/>
  <c r="E130" i="24" s="1"/>
  <c r="D130" i="24" a="1"/>
  <c r="D130" i="24" s="1"/>
  <c r="C130" i="24" a="1"/>
  <c r="C130" i="24" s="1"/>
  <c r="H130" i="24"/>
  <c r="B130" i="24"/>
  <c r="A132" i="24"/>
  <c r="F130" i="24"/>
  <c r="G130" i="24"/>
  <c r="E132" i="24" l="1" a="1"/>
  <c r="E132" i="24" s="1"/>
  <c r="D132" i="24" a="1"/>
  <c r="D132" i="24" s="1"/>
  <c r="C132" i="24" a="1"/>
  <c r="C132" i="24" s="1"/>
  <c r="A134" i="24"/>
  <c r="F132" i="24"/>
  <c r="G132" i="24"/>
  <c r="H132" i="24"/>
  <c r="B132" i="24"/>
  <c r="E135" i="24" a="1"/>
  <c r="E135" i="24" s="1"/>
  <c r="D135" i="24" a="1"/>
  <c r="D135" i="24" s="1"/>
  <c r="C135" i="24" a="1"/>
  <c r="C135" i="24" s="1"/>
  <c r="A137" i="24"/>
  <c r="H135" i="24"/>
  <c r="B135" i="24"/>
  <c r="F135" i="24"/>
  <c r="G135" i="24"/>
  <c r="E137" i="24" l="1" a="1"/>
  <c r="E137" i="24" s="1"/>
  <c r="D137" i="24" a="1"/>
  <c r="D137" i="24" s="1"/>
  <c r="C137" i="24" a="1"/>
  <c r="C137" i="24" s="1"/>
  <c r="G137" i="24"/>
  <c r="H137" i="24"/>
  <c r="A139" i="24"/>
  <c r="F137" i="24"/>
  <c r="B137" i="24"/>
  <c r="E134" i="24" a="1"/>
  <c r="E134" i="24" s="1"/>
  <c r="D134" i="24" a="1"/>
  <c r="D134" i="24" s="1"/>
  <c r="C134" i="24" a="1"/>
  <c r="C134" i="24" s="1"/>
  <c r="B134" i="24"/>
  <c r="F134" i="24"/>
  <c r="G134" i="24"/>
  <c r="H134" i="24"/>
  <c r="A136" i="24"/>
  <c r="E139" i="24" l="1" a="1"/>
  <c r="E139" i="24" s="1"/>
  <c r="D139" i="24" a="1"/>
  <c r="D139" i="24" s="1"/>
  <c r="C139" i="24" a="1"/>
  <c r="C139" i="24" s="1"/>
  <c r="A141" i="24"/>
  <c r="F139" i="24"/>
  <c r="G139" i="24"/>
  <c r="H139" i="24"/>
  <c r="B139" i="24"/>
  <c r="E136" i="24" a="1"/>
  <c r="E136" i="24" s="1"/>
  <c r="D136" i="24" a="1"/>
  <c r="D136" i="24" s="1"/>
  <c r="C136" i="24" a="1"/>
  <c r="C136" i="24" s="1"/>
  <c r="A138" i="24"/>
  <c r="B136" i="24"/>
  <c r="F136" i="24"/>
  <c r="G136" i="24"/>
  <c r="H136" i="24"/>
  <c r="E138" i="24" l="1" a="1"/>
  <c r="E138" i="24" s="1"/>
  <c r="D138" i="24" a="1"/>
  <c r="D138" i="24" s="1"/>
  <c r="C138" i="24" a="1"/>
  <c r="C138" i="24" s="1"/>
  <c r="H138" i="24"/>
  <c r="B138" i="24"/>
  <c r="A140" i="24"/>
  <c r="F138" i="24"/>
  <c r="G138" i="24"/>
  <c r="E141" i="24" a="1"/>
  <c r="E141" i="24" s="1"/>
  <c r="C141" i="24" a="1"/>
  <c r="C141" i="24" s="1"/>
  <c r="D141" i="24" a="1"/>
  <c r="D141" i="24" s="1"/>
  <c r="H141" i="24"/>
  <c r="B141" i="24"/>
  <c r="F141" i="24"/>
  <c r="A143" i="24"/>
  <c r="G141" i="24"/>
  <c r="E143" i="24" l="1" a="1"/>
  <c r="E143" i="24" s="1"/>
  <c r="D143" i="24" a="1"/>
  <c r="D143" i="24" s="1"/>
  <c r="C143" i="24" a="1"/>
  <c r="C143" i="24" s="1"/>
  <c r="A145" i="24"/>
  <c r="F143" i="24"/>
  <c r="H143" i="24"/>
  <c r="G143" i="24"/>
  <c r="B143" i="24"/>
  <c r="E140" i="24" a="1"/>
  <c r="E140" i="24" s="1"/>
  <c r="C140" i="24" a="1"/>
  <c r="C140" i="24" s="1"/>
  <c r="D140" i="24" a="1"/>
  <c r="D140" i="24" s="1"/>
  <c r="A142" i="24"/>
  <c r="F140" i="24"/>
  <c r="G140" i="24"/>
  <c r="H140" i="24"/>
  <c r="B140" i="24"/>
  <c r="E142" i="24" l="1" a="1"/>
  <c r="E142" i="24" s="1"/>
  <c r="D142" i="24" a="1"/>
  <c r="D142" i="24" s="1"/>
  <c r="C142" i="24" a="1"/>
  <c r="C142" i="24" s="1"/>
  <c r="H142" i="24"/>
  <c r="B142" i="24"/>
  <c r="A144" i="24"/>
  <c r="G142" i="24"/>
  <c r="F142" i="24"/>
  <c r="D145" i="24" a="1"/>
  <c r="D145" i="24" s="1"/>
  <c r="E145" i="24" a="1"/>
  <c r="E145" i="24" s="1"/>
  <c r="C145" i="24" a="1"/>
  <c r="C145" i="24" s="1"/>
  <c r="H145" i="24"/>
  <c r="B145" i="24"/>
  <c r="A147" i="24"/>
  <c r="G145" i="24"/>
  <c r="F145" i="24"/>
  <c r="E147" i="24" l="1" a="1"/>
  <c r="E147" i="24" s="1"/>
  <c r="C147" i="24" a="1"/>
  <c r="C147" i="24" s="1"/>
  <c r="D147" i="24" a="1"/>
  <c r="D147" i="24" s="1"/>
  <c r="A149" i="24"/>
  <c r="F147" i="24"/>
  <c r="G147" i="24"/>
  <c r="B147" i="24"/>
  <c r="H147" i="24"/>
  <c r="D144" i="24" a="1"/>
  <c r="D144" i="24" s="1"/>
  <c r="E144" i="24" a="1"/>
  <c r="E144" i="24" s="1"/>
  <c r="C144" i="24" a="1"/>
  <c r="C144" i="24" s="1"/>
  <c r="A146" i="24"/>
  <c r="F144" i="24"/>
  <c r="G144" i="24"/>
  <c r="H144" i="24"/>
  <c r="B144" i="24"/>
  <c r="E146" i="24" l="1" a="1"/>
  <c r="E146" i="24" s="1"/>
  <c r="D146" i="24" a="1"/>
  <c r="D146" i="24" s="1"/>
  <c r="C146" i="24" a="1"/>
  <c r="C146" i="24" s="1"/>
  <c r="H146" i="24"/>
  <c r="A148" i="24"/>
  <c r="B146" i="24"/>
  <c r="F146" i="24"/>
  <c r="G146" i="24"/>
  <c r="E149" i="24" a="1"/>
  <c r="E149" i="24" s="1"/>
  <c r="D149" i="24" a="1"/>
  <c r="D149" i="24" s="1"/>
  <c r="C149" i="24" a="1"/>
  <c r="C149" i="24" s="1"/>
  <c r="B149" i="24"/>
  <c r="A151" i="24"/>
  <c r="F149" i="24"/>
  <c r="H149" i="24"/>
  <c r="G149" i="24"/>
  <c r="E148" i="24" l="1" a="1"/>
  <c r="E148" i="24" s="1"/>
  <c r="D148" i="24" a="1"/>
  <c r="D148" i="24" s="1"/>
  <c r="C148" i="24" a="1"/>
  <c r="C148" i="24" s="1"/>
  <c r="A150" i="24"/>
  <c r="G148" i="24"/>
  <c r="F148" i="24"/>
  <c r="H148" i="24"/>
  <c r="B148" i="24"/>
  <c r="D151" i="24" a="1"/>
  <c r="D151" i="24" s="1"/>
  <c r="C151" i="24" a="1"/>
  <c r="C151" i="24" s="1"/>
  <c r="E151" i="24" a="1"/>
  <c r="E151" i="24" s="1"/>
  <c r="A153" i="24"/>
  <c r="H151" i="24"/>
  <c r="G151" i="24"/>
  <c r="B151" i="24"/>
  <c r="F151" i="24"/>
  <c r="E153" i="24" l="1" a="1"/>
  <c r="E153" i="24" s="1"/>
  <c r="D153" i="24" a="1"/>
  <c r="D153" i="24" s="1"/>
  <c r="C153" i="24" a="1"/>
  <c r="C153" i="24" s="1"/>
  <c r="F153" i="24"/>
  <c r="G153" i="24"/>
  <c r="A155" i="24"/>
  <c r="H153" i="24"/>
  <c r="B153" i="24"/>
  <c r="E150" i="24" a="1"/>
  <c r="E150" i="24" s="1"/>
  <c r="D150" i="24" a="1"/>
  <c r="D150" i="24" s="1"/>
  <c r="C150" i="24" a="1"/>
  <c r="C150" i="24" s="1"/>
  <c r="B150" i="24"/>
  <c r="A152" i="24"/>
  <c r="H150" i="24"/>
  <c r="F150" i="24"/>
  <c r="G150" i="24"/>
  <c r="E155" i="24" l="1" a="1"/>
  <c r="E155" i="24" s="1"/>
  <c r="C155" i="24" a="1"/>
  <c r="C155" i="24" s="1"/>
  <c r="D155" i="24" a="1"/>
  <c r="D155" i="24" s="1"/>
  <c r="A157" i="24"/>
  <c r="B155" i="24"/>
  <c r="H155" i="24"/>
  <c r="G155" i="24"/>
  <c r="F155" i="24"/>
  <c r="E152" i="24" a="1"/>
  <c r="E152" i="24" s="1"/>
  <c r="D152" i="24" a="1"/>
  <c r="D152" i="24" s="1"/>
  <c r="C152" i="24" a="1"/>
  <c r="C152" i="24" s="1"/>
  <c r="A154" i="24"/>
  <c r="H152" i="24"/>
  <c r="B152" i="24"/>
  <c r="F152" i="24"/>
  <c r="G152" i="24"/>
  <c r="E154" i="24" l="1" a="1"/>
  <c r="E154" i="24" s="1"/>
  <c r="D154" i="24" a="1"/>
  <c r="D154" i="24" s="1"/>
  <c r="C154" i="24" a="1"/>
  <c r="C154" i="24" s="1"/>
  <c r="F154" i="24"/>
  <c r="G154" i="24"/>
  <c r="H154" i="24"/>
  <c r="B154" i="24"/>
  <c r="A156" i="24"/>
  <c r="E157" i="24" a="1"/>
  <c r="E157" i="24" s="1"/>
  <c r="D157" i="24" a="1"/>
  <c r="D157" i="24" s="1"/>
  <c r="C157" i="24" a="1"/>
  <c r="C157" i="24" s="1"/>
  <c r="G157" i="24"/>
  <c r="A159" i="24"/>
  <c r="H157" i="24"/>
  <c r="B157" i="24"/>
  <c r="F157" i="24"/>
  <c r="D159" i="24" l="1" a="1"/>
  <c r="D159" i="24" s="1"/>
  <c r="E159" i="24" a="1"/>
  <c r="E159" i="24" s="1"/>
  <c r="C159" i="24" a="1"/>
  <c r="C159" i="24" s="1"/>
  <c r="A161" i="24"/>
  <c r="B159" i="24"/>
  <c r="F159" i="24"/>
  <c r="G159" i="24"/>
  <c r="H159" i="24"/>
  <c r="E156" i="24" a="1"/>
  <c r="E156" i="24" s="1"/>
  <c r="D156" i="24" a="1"/>
  <c r="D156" i="24" s="1"/>
  <c r="C156" i="24" a="1"/>
  <c r="C156" i="24" s="1"/>
  <c r="A158" i="24"/>
  <c r="B156" i="24"/>
  <c r="F156" i="24"/>
  <c r="H156" i="24"/>
  <c r="G156" i="24"/>
  <c r="E158" i="24" l="1" a="1"/>
  <c r="E158" i="24" s="1"/>
  <c r="D158" i="24" a="1"/>
  <c r="D158" i="24" s="1"/>
  <c r="C158" i="24" a="1"/>
  <c r="C158" i="24" s="1"/>
  <c r="G158" i="24"/>
  <c r="H158" i="24"/>
  <c r="A160" i="24"/>
  <c r="B158" i="24"/>
  <c r="F158" i="24"/>
  <c r="E161" i="24" a="1"/>
  <c r="E161" i="24" s="1"/>
  <c r="D161" i="24" a="1"/>
  <c r="D161" i="24" s="1"/>
  <c r="C161" i="24" a="1"/>
  <c r="C161" i="24" s="1"/>
  <c r="H161" i="24"/>
  <c r="B161" i="24"/>
  <c r="A163" i="24"/>
  <c r="F161" i="24"/>
  <c r="G161" i="24"/>
  <c r="E163" i="24" l="1" a="1"/>
  <c r="E163" i="24" s="1"/>
  <c r="C163" i="24" a="1"/>
  <c r="C163" i="24" s="1"/>
  <c r="D163" i="24" a="1"/>
  <c r="D163" i="24" s="1"/>
  <c r="A165" i="24"/>
  <c r="B163" i="24"/>
  <c r="F163" i="24"/>
  <c r="H163" i="24"/>
  <c r="G163" i="24"/>
  <c r="D160" i="24" a="1"/>
  <c r="D160" i="24" s="1"/>
  <c r="E160" i="24" a="1"/>
  <c r="E160" i="24" s="1"/>
  <c r="C160" i="24" a="1"/>
  <c r="C160" i="24" s="1"/>
  <c r="A162" i="24"/>
  <c r="B160" i="24"/>
  <c r="F160" i="24"/>
  <c r="H160" i="24"/>
  <c r="G160" i="24"/>
  <c r="D162" i="24" l="1" a="1"/>
  <c r="D162" i="24" s="1"/>
  <c r="C162" i="24" a="1"/>
  <c r="C162" i="24" s="1"/>
  <c r="E162" i="24" a="1"/>
  <c r="E162" i="24" s="1"/>
  <c r="H162" i="24"/>
  <c r="A164" i="24"/>
  <c r="B162" i="24"/>
  <c r="F162" i="24"/>
  <c r="G162" i="24"/>
  <c r="E165" i="24" a="1"/>
  <c r="E165" i="24" s="1"/>
  <c r="D165" i="24" a="1"/>
  <c r="D165" i="24" s="1"/>
  <c r="C165" i="24" a="1"/>
  <c r="C165" i="24" s="1"/>
  <c r="H165" i="24"/>
  <c r="G165" i="24"/>
  <c r="B165" i="24"/>
  <c r="A167" i="24"/>
  <c r="F165" i="24"/>
  <c r="E164" i="24" l="1" a="1"/>
  <c r="E164" i="24" s="1"/>
  <c r="C164" i="24" a="1"/>
  <c r="C164" i="24" s="1"/>
  <c r="D164" i="24" a="1"/>
  <c r="D164" i="24" s="1"/>
  <c r="A166" i="24"/>
  <c r="F164" i="24"/>
  <c r="G164" i="24"/>
  <c r="H164" i="24"/>
  <c r="B164" i="24"/>
  <c r="E167" i="24" a="1"/>
  <c r="E167" i="24" s="1"/>
  <c r="D167" i="24" a="1"/>
  <c r="D167" i="24" s="1"/>
  <c r="C167" i="24" a="1"/>
  <c r="C167" i="24" s="1"/>
  <c r="A169" i="24"/>
  <c r="F167" i="24"/>
  <c r="G167" i="24"/>
  <c r="H167" i="24"/>
  <c r="B167" i="24"/>
  <c r="E169" i="24" l="1" a="1"/>
  <c r="E169" i="24" s="1"/>
  <c r="C169" i="24" a="1"/>
  <c r="C169" i="24" s="1"/>
  <c r="D169" i="24" a="1"/>
  <c r="D169" i="24" s="1"/>
  <c r="H169" i="24"/>
  <c r="B169" i="24"/>
  <c r="G169" i="24"/>
  <c r="A171" i="24"/>
  <c r="F169" i="24"/>
  <c r="D166" i="24" a="1"/>
  <c r="D166" i="24" s="1"/>
  <c r="C166" i="24" a="1"/>
  <c r="C166" i="24" s="1"/>
  <c r="E166" i="24" a="1"/>
  <c r="E166" i="24" s="1"/>
  <c r="H166" i="24"/>
  <c r="B166" i="24"/>
  <c r="G166" i="24"/>
  <c r="A168" i="24"/>
  <c r="F166" i="24"/>
  <c r="E171" i="24" l="1" a="1"/>
  <c r="E171" i="24" s="1"/>
  <c r="D171" i="24" a="1"/>
  <c r="D171" i="24" s="1"/>
  <c r="C171" i="24" a="1"/>
  <c r="C171" i="24" s="1"/>
  <c r="A173" i="24"/>
  <c r="F171" i="24"/>
  <c r="G171" i="24"/>
  <c r="H171" i="24"/>
  <c r="B171" i="24"/>
  <c r="D168" i="24" a="1"/>
  <c r="D168" i="24" s="1"/>
  <c r="E168" i="24" a="1"/>
  <c r="E168" i="24" s="1"/>
  <c r="C168" i="24" a="1"/>
  <c r="C168" i="24" s="1"/>
  <c r="A170" i="24"/>
  <c r="F168" i="24"/>
  <c r="G168" i="24"/>
  <c r="H168" i="24"/>
  <c r="B168" i="24"/>
  <c r="E173" i="24" l="1" a="1"/>
  <c r="E173" i="24" s="1"/>
  <c r="D173" i="24" a="1"/>
  <c r="D173" i="24" s="1"/>
  <c r="C173" i="24" a="1"/>
  <c r="C173" i="24" s="1"/>
  <c r="H173" i="24"/>
  <c r="B173" i="24"/>
  <c r="F173" i="24"/>
  <c r="G173" i="24"/>
  <c r="A175" i="24"/>
  <c r="E170" i="24" a="1"/>
  <c r="E170" i="24" s="1"/>
  <c r="C170" i="24" a="1"/>
  <c r="C170" i="24" s="1"/>
  <c r="D170" i="24" a="1"/>
  <c r="D170" i="24" s="1"/>
  <c r="H170" i="24"/>
  <c r="A172" i="24"/>
  <c r="B170" i="24"/>
  <c r="G170" i="24"/>
  <c r="F170" i="24"/>
  <c r="E172" i="24" l="1" a="1"/>
  <c r="E172" i="24" s="1"/>
  <c r="D172" i="24" a="1"/>
  <c r="D172" i="24" s="1"/>
  <c r="C172" i="24" a="1"/>
  <c r="C172" i="24" s="1"/>
  <c r="A174" i="24"/>
  <c r="F172" i="24"/>
  <c r="G172" i="24"/>
  <c r="B172" i="24"/>
  <c r="H172" i="24"/>
  <c r="E175" i="24" a="1"/>
  <c r="E175" i="24" s="1"/>
  <c r="D175" i="24" a="1"/>
  <c r="D175" i="24" s="1"/>
  <c r="C175" i="24" a="1"/>
  <c r="C175" i="24" s="1"/>
  <c r="A177" i="24"/>
  <c r="F175" i="24"/>
  <c r="G175" i="24"/>
  <c r="H175" i="24"/>
  <c r="B175" i="24"/>
  <c r="E177" i="24" l="1" a="1"/>
  <c r="E177" i="24" s="1"/>
  <c r="D177" i="24" a="1"/>
  <c r="D177" i="24" s="1"/>
  <c r="C177" i="24" a="1"/>
  <c r="C177" i="24" s="1"/>
  <c r="H177" i="24"/>
  <c r="G177" i="24"/>
  <c r="B177" i="24"/>
  <c r="A179" i="24"/>
  <c r="F177" i="24"/>
  <c r="E174" i="24" a="1"/>
  <c r="E174" i="24" s="1"/>
  <c r="D174" i="24" a="1"/>
  <c r="D174" i="24" s="1"/>
  <c r="C174" i="24" a="1"/>
  <c r="C174" i="24" s="1"/>
  <c r="H174" i="24"/>
  <c r="F174" i="24"/>
  <c r="G174" i="24"/>
  <c r="B174" i="24"/>
  <c r="A176" i="24"/>
  <c r="E179" i="24" l="1" a="1"/>
  <c r="E179" i="24" s="1"/>
  <c r="D179" i="24" a="1"/>
  <c r="D179" i="24" s="1"/>
  <c r="C179" i="24" a="1"/>
  <c r="C179" i="24" s="1"/>
  <c r="A181" i="24"/>
  <c r="H179" i="24"/>
  <c r="F179" i="24"/>
  <c r="G179" i="24"/>
  <c r="B179" i="24"/>
  <c r="E176" i="24" a="1"/>
  <c r="E176" i="24" s="1"/>
  <c r="D176" i="24" a="1"/>
  <c r="D176" i="24" s="1"/>
  <c r="C176" i="24" a="1"/>
  <c r="C176" i="24" s="1"/>
  <c r="A178" i="24"/>
  <c r="F176" i="24"/>
  <c r="G176" i="24"/>
  <c r="H176" i="24"/>
  <c r="B176" i="24"/>
  <c r="E178" i="24" l="1" a="1"/>
  <c r="E178" i="24" s="1"/>
  <c r="D178" i="24" a="1"/>
  <c r="D178" i="24" s="1"/>
  <c r="C178" i="24" a="1"/>
  <c r="C178" i="24" s="1"/>
  <c r="H178" i="24"/>
  <c r="G178" i="24"/>
  <c r="B178" i="24"/>
  <c r="F178" i="24"/>
  <c r="A180" i="24"/>
  <c r="E181" i="24" a="1"/>
  <c r="E181" i="24" s="1"/>
  <c r="D181" i="24" a="1"/>
  <c r="D181" i="24" s="1"/>
  <c r="C181" i="24" a="1"/>
  <c r="C181" i="24" s="1"/>
  <c r="H181" i="24"/>
  <c r="F181" i="24"/>
  <c r="A183" i="24"/>
  <c r="B181" i="24"/>
  <c r="G181" i="24"/>
  <c r="E183" i="24" l="1" a="1"/>
  <c r="E183" i="24" s="1"/>
  <c r="D183" i="24" a="1"/>
  <c r="D183" i="24" s="1"/>
  <c r="C183" i="24" a="1"/>
  <c r="C183" i="24" s="1"/>
  <c r="A185" i="24"/>
  <c r="G183" i="24"/>
  <c r="H183" i="24"/>
  <c r="B183" i="24"/>
  <c r="F183" i="24"/>
  <c r="D180" i="24" a="1"/>
  <c r="D180" i="24" s="1"/>
  <c r="E180" i="24" a="1"/>
  <c r="E180" i="24" s="1"/>
  <c r="C180" i="24" a="1"/>
  <c r="C180" i="24" s="1"/>
  <c r="A182" i="24"/>
  <c r="H180" i="24"/>
  <c r="G180" i="24"/>
  <c r="B180" i="24"/>
  <c r="F180" i="24"/>
  <c r="E185" i="24" l="1" a="1"/>
  <c r="E185" i="24" s="1"/>
  <c r="C185" i="24" a="1"/>
  <c r="C185" i="24" s="1"/>
  <c r="D185" i="24" a="1"/>
  <c r="D185" i="24" s="1"/>
  <c r="H185" i="24"/>
  <c r="F185" i="24"/>
  <c r="B185" i="24"/>
  <c r="G185" i="24"/>
  <c r="A187" i="24"/>
  <c r="D182" i="24" a="1"/>
  <c r="D182" i="24" s="1"/>
  <c r="C182" i="24" a="1"/>
  <c r="C182" i="24" s="1"/>
  <c r="E182" i="24" a="1"/>
  <c r="E182" i="24" s="1"/>
  <c r="B182" i="24"/>
  <c r="F182" i="24"/>
  <c r="H182" i="24"/>
  <c r="G182" i="24"/>
  <c r="A184" i="24"/>
  <c r="D187" i="24" l="1" a="1"/>
  <c r="D187" i="24" s="1"/>
  <c r="E187" i="24" a="1"/>
  <c r="E187" i="24" s="1"/>
  <c r="C187" i="24" a="1"/>
  <c r="C187" i="24" s="1"/>
  <c r="A189" i="24"/>
  <c r="G187" i="24"/>
  <c r="H187" i="24"/>
  <c r="B187" i="24"/>
  <c r="F187" i="24"/>
  <c r="E184" i="24" a="1"/>
  <c r="E184" i="24" s="1"/>
  <c r="C184" i="24" a="1"/>
  <c r="C184" i="24" s="1"/>
  <c r="D184" i="24" a="1"/>
  <c r="D184" i="24" s="1"/>
  <c r="A186" i="24"/>
  <c r="H184" i="24"/>
  <c r="B184" i="24"/>
  <c r="F184" i="24"/>
  <c r="G184" i="24"/>
  <c r="E189" i="24" l="1" a="1"/>
  <c r="E189" i="24" s="1"/>
  <c r="D189" i="24" a="1"/>
  <c r="D189" i="24" s="1"/>
  <c r="C189" i="24" a="1"/>
  <c r="C189" i="24" s="1"/>
  <c r="B189" i="24"/>
  <c r="G189" i="24"/>
  <c r="F189" i="24"/>
  <c r="H189" i="24"/>
  <c r="A191" i="24"/>
  <c r="E186" i="24" a="1"/>
  <c r="E186" i="24" s="1"/>
  <c r="D186" i="24" a="1"/>
  <c r="D186" i="24" s="1"/>
  <c r="C186" i="24" a="1"/>
  <c r="C186" i="24" s="1"/>
  <c r="B186" i="24"/>
  <c r="F186" i="24"/>
  <c r="A188" i="24"/>
  <c r="G186" i="24"/>
  <c r="H186" i="24"/>
  <c r="D188" i="24" l="1" a="1"/>
  <c r="D188" i="24" s="1"/>
  <c r="E188" i="24" a="1"/>
  <c r="E188" i="24" s="1"/>
  <c r="C188" i="24" a="1"/>
  <c r="C188" i="24" s="1"/>
  <c r="A190" i="24"/>
  <c r="F188" i="24"/>
  <c r="G188" i="24"/>
  <c r="H188" i="24"/>
  <c r="B188" i="24"/>
  <c r="E191" i="24" a="1"/>
  <c r="E191" i="24" s="1"/>
  <c r="C191" i="24" a="1"/>
  <c r="C191" i="24" s="1"/>
  <c r="D191" i="24" a="1"/>
  <c r="D191" i="24" s="1"/>
  <c r="A193" i="24"/>
  <c r="G191" i="24"/>
  <c r="H191" i="24"/>
  <c r="F191" i="24"/>
  <c r="B191" i="24"/>
  <c r="E193" i="24" l="1" a="1"/>
  <c r="E193" i="24" s="1"/>
  <c r="D193" i="24" a="1"/>
  <c r="D193" i="24" s="1"/>
  <c r="C193" i="24" a="1"/>
  <c r="C193" i="24" s="1"/>
  <c r="H193" i="24"/>
  <c r="B193" i="24"/>
  <c r="F193" i="24"/>
  <c r="A195" i="24"/>
  <c r="G193" i="24"/>
  <c r="E190" i="24" a="1"/>
  <c r="E190" i="24" s="1"/>
  <c r="D190" i="24" a="1"/>
  <c r="D190" i="24" s="1"/>
  <c r="C190" i="24" a="1"/>
  <c r="C190" i="24" s="1"/>
  <c r="B190" i="24"/>
  <c r="F190" i="24"/>
  <c r="A192" i="24"/>
  <c r="G190" i="24"/>
  <c r="H190" i="24"/>
  <c r="E192" i="24" l="1" a="1"/>
  <c r="E192" i="24" s="1"/>
  <c r="D192" i="24" a="1"/>
  <c r="D192" i="24" s="1"/>
  <c r="C192" i="24" a="1"/>
  <c r="C192" i="24" s="1"/>
  <c r="A194" i="24"/>
  <c r="F192" i="24"/>
  <c r="G192" i="24"/>
  <c r="H192" i="24"/>
  <c r="B192" i="24"/>
  <c r="E195" i="24" a="1"/>
  <c r="E195" i="24" s="1"/>
  <c r="D195" i="24" a="1"/>
  <c r="D195" i="24" s="1"/>
  <c r="C195" i="24" a="1"/>
  <c r="C195" i="24" s="1"/>
  <c r="A197" i="24"/>
  <c r="F195" i="24"/>
  <c r="G195" i="24"/>
  <c r="B195" i="24"/>
  <c r="H195" i="24"/>
  <c r="E197" i="24" l="1" a="1"/>
  <c r="E197" i="24" s="1"/>
  <c r="C197" i="24" a="1"/>
  <c r="C197" i="24" s="1"/>
  <c r="D197" i="24" a="1"/>
  <c r="D197" i="24" s="1"/>
  <c r="H197" i="24"/>
  <c r="B197" i="24"/>
  <c r="F197" i="24"/>
  <c r="A199" i="24"/>
  <c r="G197" i="24"/>
  <c r="E194" i="24" a="1"/>
  <c r="E194" i="24" s="1"/>
  <c r="D194" i="24" a="1"/>
  <c r="D194" i="24" s="1"/>
  <c r="C194" i="24" a="1"/>
  <c r="C194" i="24" s="1"/>
  <c r="H194" i="24"/>
  <c r="B194" i="24"/>
  <c r="G194" i="24"/>
  <c r="A196" i="24"/>
  <c r="F194" i="24"/>
  <c r="E199" i="24" l="1" a="1"/>
  <c r="E199" i="24" s="1"/>
  <c r="D199" i="24" a="1"/>
  <c r="D199" i="24" s="1"/>
  <c r="C199" i="24" a="1"/>
  <c r="C199" i="24" s="1"/>
  <c r="A201" i="24"/>
  <c r="G199" i="24"/>
  <c r="H199" i="24"/>
  <c r="B199" i="24"/>
  <c r="F199" i="24"/>
  <c r="E196" i="24" a="1"/>
  <c r="E196" i="24" s="1"/>
  <c r="D196" i="24" a="1"/>
  <c r="D196" i="24" s="1"/>
  <c r="C196" i="24" a="1"/>
  <c r="C196" i="24" s="1"/>
  <c r="A198" i="24"/>
  <c r="F196" i="24"/>
  <c r="B196" i="24"/>
  <c r="G196" i="24"/>
  <c r="H196" i="24"/>
  <c r="E198" i="24" l="1" a="1"/>
  <c r="E198" i="24" s="1"/>
  <c r="C198" i="24" a="1"/>
  <c r="C198" i="24" s="1"/>
  <c r="D198" i="24" a="1"/>
  <c r="D198" i="24" s="1"/>
  <c r="H198" i="24"/>
  <c r="B198" i="24"/>
  <c r="F198" i="24"/>
  <c r="A200" i="24"/>
  <c r="G198" i="24"/>
  <c r="D201" i="24" a="1"/>
  <c r="D201" i="24" s="1"/>
  <c r="E201" i="24" a="1"/>
  <c r="E201" i="24" s="1"/>
  <c r="C201" i="24" a="1"/>
  <c r="C201" i="24" s="1"/>
  <c r="H201" i="24"/>
  <c r="F201" i="24"/>
  <c r="B201" i="24"/>
  <c r="G201" i="24"/>
  <c r="A203" i="24"/>
  <c r="E203" i="24" l="1" a="1"/>
  <c r="E203" i="24" s="1"/>
  <c r="D203" i="24" a="1"/>
  <c r="D203" i="24" s="1"/>
  <c r="C203" i="24" a="1"/>
  <c r="C203" i="24" s="1"/>
  <c r="A205" i="24"/>
  <c r="B203" i="24"/>
  <c r="F203" i="24"/>
  <c r="G203" i="24"/>
  <c r="H203" i="24"/>
  <c r="E200" i="24" a="1"/>
  <c r="E200" i="24" s="1"/>
  <c r="D200" i="24" a="1"/>
  <c r="D200" i="24" s="1"/>
  <c r="C200" i="24" a="1"/>
  <c r="C200" i="24" s="1"/>
  <c r="A202" i="24"/>
  <c r="H200" i="24"/>
  <c r="B200" i="24"/>
  <c r="F200" i="24"/>
  <c r="G200" i="24"/>
  <c r="D202" i="24" l="1" a="1"/>
  <c r="D202" i="24" s="1"/>
  <c r="C202" i="24" a="1"/>
  <c r="C202" i="24" s="1"/>
  <c r="E202" i="24" a="1"/>
  <c r="E202" i="24" s="1"/>
  <c r="F202" i="24"/>
  <c r="G202" i="24"/>
  <c r="B202" i="24"/>
  <c r="A204" i="24"/>
  <c r="H202" i="24"/>
  <c r="E205" i="24" a="1"/>
  <c r="E205" i="24" s="1"/>
  <c r="C205" i="24" a="1"/>
  <c r="C205" i="24" s="1"/>
  <c r="D205" i="24" a="1"/>
  <c r="D205" i="24" s="1"/>
  <c r="G205" i="24"/>
  <c r="H205" i="24"/>
  <c r="A207" i="24"/>
  <c r="B205" i="24"/>
  <c r="F205" i="24"/>
  <c r="D204" i="24" l="1" a="1"/>
  <c r="D204" i="24" s="1"/>
  <c r="C204" i="24" a="1"/>
  <c r="C204" i="24" s="1"/>
  <c r="E204" i="24" a="1"/>
  <c r="E204" i="24" s="1"/>
  <c r="A206" i="24"/>
  <c r="B204" i="24"/>
  <c r="F204" i="24"/>
  <c r="G204" i="24"/>
  <c r="H204" i="24"/>
  <c r="E207" i="24" a="1"/>
  <c r="E207" i="24" s="1"/>
  <c r="C207" i="24" a="1"/>
  <c r="C207" i="24" s="1"/>
  <c r="D207" i="24" a="1"/>
  <c r="D207" i="24" s="1"/>
  <c r="A209" i="24"/>
  <c r="H207" i="24"/>
  <c r="F207" i="24"/>
  <c r="G207" i="24"/>
  <c r="B207" i="24"/>
  <c r="E209" i="24" l="1" a="1"/>
  <c r="E209" i="24" s="1"/>
  <c r="D209" i="24" a="1"/>
  <c r="D209" i="24" s="1"/>
  <c r="C209" i="24" a="1"/>
  <c r="C209" i="24" s="1"/>
  <c r="G209" i="24"/>
  <c r="H209" i="24"/>
  <c r="F209" i="24"/>
  <c r="A211" i="24"/>
  <c r="B209" i="24"/>
  <c r="E206" i="24" a="1"/>
  <c r="E206" i="24" s="1"/>
  <c r="C206" i="24" a="1"/>
  <c r="C206" i="24" s="1"/>
  <c r="D206" i="24" a="1"/>
  <c r="D206" i="24" s="1"/>
  <c r="G206" i="24"/>
  <c r="H206" i="24"/>
  <c r="A208" i="24"/>
  <c r="B206" i="24"/>
  <c r="F206" i="24"/>
  <c r="E211" i="24" l="1" a="1"/>
  <c r="E211" i="24" s="1"/>
  <c r="D211" i="24" a="1"/>
  <c r="D211" i="24" s="1"/>
  <c r="C211" i="24" a="1"/>
  <c r="C211" i="24" s="1"/>
  <c r="A213" i="24"/>
  <c r="G211" i="24"/>
  <c r="B211" i="24"/>
  <c r="H211" i="24"/>
  <c r="F211" i="24"/>
  <c r="E208" i="24" a="1"/>
  <c r="E208" i="24" s="1"/>
  <c r="D208" i="24" a="1"/>
  <c r="D208" i="24" s="1"/>
  <c r="C208" i="24" a="1"/>
  <c r="C208" i="24" s="1"/>
  <c r="A210" i="24"/>
  <c r="B208" i="24"/>
  <c r="F208" i="24"/>
  <c r="H208" i="24"/>
  <c r="G208" i="24"/>
  <c r="E210" i="24" l="1" a="1"/>
  <c r="E210" i="24" s="1"/>
  <c r="D210" i="24" a="1"/>
  <c r="D210" i="24" s="1"/>
  <c r="C210" i="24" a="1"/>
  <c r="C210" i="24" s="1"/>
  <c r="H210" i="24"/>
  <c r="B210" i="24"/>
  <c r="G210" i="24"/>
  <c r="A212" i="24"/>
  <c r="F210" i="24"/>
  <c r="E213" i="24" a="1"/>
  <c r="E213" i="24" s="1"/>
  <c r="C213" i="24" a="1"/>
  <c r="C213" i="24" s="1"/>
  <c r="D213" i="24" a="1"/>
  <c r="D213" i="24" s="1"/>
  <c r="H213" i="24"/>
  <c r="B213" i="24"/>
  <c r="F213" i="24"/>
  <c r="G213" i="24"/>
  <c r="A215" i="24"/>
  <c r="E212" i="24" l="1" a="1"/>
  <c r="E212" i="24" s="1"/>
  <c r="C212" i="24" a="1"/>
  <c r="C212" i="24" s="1"/>
  <c r="D212" i="24" a="1"/>
  <c r="D212" i="24" s="1"/>
  <c r="A214" i="24"/>
  <c r="B212" i="24"/>
  <c r="F212" i="24"/>
  <c r="G212" i="24"/>
  <c r="H212" i="24"/>
  <c r="E215" i="24" a="1"/>
  <c r="E215" i="24" s="1"/>
  <c r="D215" i="24" a="1"/>
  <c r="D215" i="24" s="1"/>
  <c r="C215" i="24" a="1"/>
  <c r="C215" i="24" s="1"/>
  <c r="A217" i="24"/>
  <c r="G215" i="24"/>
  <c r="F215" i="24"/>
  <c r="H215" i="24"/>
  <c r="B215" i="24"/>
  <c r="E217" i="24" l="1" a="1"/>
  <c r="E217" i="24" s="1"/>
  <c r="D217" i="24" a="1"/>
  <c r="D217" i="24" s="1"/>
  <c r="C217" i="24" a="1"/>
  <c r="C217" i="24" s="1"/>
  <c r="B217" i="24"/>
  <c r="H217" i="24"/>
  <c r="F217" i="24"/>
  <c r="G217" i="24"/>
  <c r="A219" i="24"/>
  <c r="E214" i="24" a="1"/>
  <c r="E214" i="24" s="1"/>
  <c r="D214" i="24" a="1"/>
  <c r="D214" i="24" s="1"/>
  <c r="C214" i="24" a="1"/>
  <c r="C214" i="24" s="1"/>
  <c r="H214" i="24"/>
  <c r="B214" i="24"/>
  <c r="G214" i="24"/>
  <c r="A216" i="24"/>
  <c r="F214" i="24"/>
  <c r="D216" i="24" l="1" a="1"/>
  <c r="D216" i="24" s="1"/>
  <c r="E216" i="24" a="1"/>
  <c r="E216" i="24" s="1"/>
  <c r="C216" i="24" a="1"/>
  <c r="C216" i="24" s="1"/>
  <c r="A218" i="24"/>
  <c r="F216" i="24"/>
  <c r="G216" i="24"/>
  <c r="H216" i="24"/>
  <c r="B216" i="24"/>
  <c r="E219" i="24" a="1"/>
  <c r="E219" i="24" s="1"/>
  <c r="C219" i="24" a="1"/>
  <c r="C219" i="24" s="1"/>
  <c r="D219" i="24" a="1"/>
  <c r="D219" i="24" s="1"/>
  <c r="A221" i="24"/>
  <c r="F219" i="24"/>
  <c r="G219" i="24"/>
  <c r="H219" i="24"/>
  <c r="B219" i="24"/>
  <c r="E221" i="24" l="1" a="1"/>
  <c r="E221" i="24" s="1"/>
  <c r="C221" i="24" a="1"/>
  <c r="C221" i="24" s="1"/>
  <c r="D221" i="24" a="1"/>
  <c r="D221" i="24" s="1"/>
  <c r="B221" i="24"/>
  <c r="H221" i="24"/>
  <c r="F221" i="24"/>
  <c r="G221" i="24"/>
  <c r="A223" i="24"/>
  <c r="D218" i="24" a="1"/>
  <c r="D218" i="24" s="1"/>
  <c r="E218" i="24" a="1"/>
  <c r="E218" i="24" s="1"/>
  <c r="C218" i="24" a="1"/>
  <c r="C218" i="24" s="1"/>
  <c r="H218" i="24"/>
  <c r="B218" i="24"/>
  <c r="A220" i="24"/>
  <c r="G218" i="24"/>
  <c r="F218" i="24"/>
  <c r="D223" i="24" l="1" a="1"/>
  <c r="D223" i="24" s="1"/>
  <c r="E223" i="24" a="1"/>
  <c r="E223" i="24" s="1"/>
  <c r="C223" i="24" a="1"/>
  <c r="C223" i="24" s="1"/>
  <c r="A225" i="24"/>
  <c r="B223" i="24"/>
  <c r="F223" i="24"/>
  <c r="G223" i="24"/>
  <c r="H223" i="24"/>
  <c r="E220" i="24" a="1"/>
  <c r="E220" i="24" s="1"/>
  <c r="C220" i="24" a="1"/>
  <c r="C220" i="24" s="1"/>
  <c r="D220" i="24" a="1"/>
  <c r="D220" i="24" s="1"/>
  <c r="A222" i="24"/>
  <c r="F220" i="24"/>
  <c r="B220" i="24"/>
  <c r="G220" i="24"/>
  <c r="H220" i="24"/>
  <c r="D225" i="24" l="1" a="1"/>
  <c r="D225" i="24" s="1"/>
  <c r="E225" i="24" a="1"/>
  <c r="E225" i="24" s="1"/>
  <c r="C225" i="24" a="1"/>
  <c r="C225" i="24" s="1"/>
  <c r="H225" i="24"/>
  <c r="A227" i="24"/>
  <c r="B225" i="24"/>
  <c r="F225" i="24"/>
  <c r="G225" i="24"/>
  <c r="E222" i="24" a="1"/>
  <c r="E222" i="24" s="1"/>
  <c r="C222" i="24" a="1"/>
  <c r="C222" i="24" s="1"/>
  <c r="D222" i="24" a="1"/>
  <c r="D222" i="24" s="1"/>
  <c r="H222" i="24"/>
  <c r="A224" i="24"/>
  <c r="F222" i="24"/>
  <c r="G222" i="24"/>
  <c r="B222" i="24"/>
  <c r="E227" i="24" l="1" a="1"/>
  <c r="E227" i="24" s="1"/>
  <c r="D227" i="24" a="1"/>
  <c r="D227" i="24" s="1"/>
  <c r="C227" i="24" a="1"/>
  <c r="C227" i="24" s="1"/>
  <c r="A229" i="24"/>
  <c r="F227" i="24"/>
  <c r="G227" i="24"/>
  <c r="B227" i="24"/>
  <c r="H227" i="24"/>
  <c r="E224" i="24" a="1"/>
  <c r="E224" i="24" s="1"/>
  <c r="D224" i="24" a="1"/>
  <c r="D224" i="24" s="1"/>
  <c r="C224" i="24" a="1"/>
  <c r="C224" i="24" s="1"/>
  <c r="A226" i="24"/>
  <c r="F224" i="24"/>
  <c r="G224" i="24"/>
  <c r="H224" i="24"/>
  <c r="B224" i="24"/>
  <c r="E229" i="24" l="1" a="1"/>
  <c r="E229" i="24" s="1"/>
  <c r="D229" i="24" a="1"/>
  <c r="D229" i="24" s="1"/>
  <c r="C229" i="24" a="1"/>
  <c r="C229" i="24" s="1"/>
  <c r="H229" i="24"/>
  <c r="B229" i="24"/>
  <c r="F229" i="24"/>
  <c r="A231" i="24"/>
  <c r="G229" i="24"/>
  <c r="E226" i="24" a="1"/>
  <c r="E226" i="24" s="1"/>
  <c r="C226" i="24" a="1"/>
  <c r="C226" i="24" s="1"/>
  <c r="D226" i="24" a="1"/>
  <c r="D226" i="24" s="1"/>
  <c r="H226" i="24"/>
  <c r="A228" i="24"/>
  <c r="F226" i="24"/>
  <c r="B226" i="24"/>
  <c r="G226" i="24"/>
  <c r="E228" i="24" l="1" a="1"/>
  <c r="E228" i="24" s="1"/>
  <c r="D228" i="24" a="1"/>
  <c r="D228" i="24" s="1"/>
  <c r="C228" i="24" a="1"/>
  <c r="C228" i="24" s="1"/>
  <c r="A230" i="24"/>
  <c r="F228" i="24"/>
  <c r="G228" i="24"/>
  <c r="H228" i="24"/>
  <c r="B228" i="24"/>
  <c r="E231" i="24" a="1"/>
  <c r="E231" i="24" s="1"/>
  <c r="D231" i="24" a="1"/>
  <c r="D231" i="24" s="1"/>
  <c r="C231" i="24" a="1"/>
  <c r="C231" i="24" s="1"/>
  <c r="A233" i="24"/>
  <c r="F231" i="24"/>
  <c r="G231" i="24"/>
  <c r="H231" i="24"/>
  <c r="B231" i="24"/>
  <c r="E233" i="24" l="1" a="1"/>
  <c r="E233" i="24" s="1"/>
  <c r="C233" i="24" a="1"/>
  <c r="C233" i="24" s="1"/>
  <c r="D233" i="24" a="1"/>
  <c r="D233" i="24" s="1"/>
  <c r="B233" i="24"/>
  <c r="H233" i="24"/>
  <c r="G233" i="24"/>
  <c r="A235" i="24"/>
  <c r="F233" i="24"/>
  <c r="E230" i="24" a="1"/>
  <c r="E230" i="24" s="1"/>
  <c r="D230" i="24" a="1"/>
  <c r="D230" i="24" s="1"/>
  <c r="C230" i="24" a="1"/>
  <c r="C230" i="24" s="1"/>
  <c r="H230" i="24"/>
  <c r="B230" i="24"/>
  <c r="F230" i="24"/>
  <c r="G230" i="24"/>
  <c r="A232" i="24"/>
  <c r="E235" i="24" l="1" a="1"/>
  <c r="E235" i="24" s="1"/>
  <c r="C235" i="24" a="1"/>
  <c r="C235" i="24" s="1"/>
  <c r="D235" i="24" a="1"/>
  <c r="D235" i="24" s="1"/>
  <c r="A237" i="24"/>
  <c r="G235" i="24"/>
  <c r="F235" i="24"/>
  <c r="H235" i="24"/>
  <c r="B235" i="24"/>
  <c r="E232" i="24" a="1"/>
  <c r="E232" i="24" s="1"/>
  <c r="D232" i="24" a="1"/>
  <c r="D232" i="24" s="1"/>
  <c r="C232" i="24" a="1"/>
  <c r="C232" i="24" s="1"/>
  <c r="A234" i="24"/>
  <c r="B232" i="24"/>
  <c r="F232" i="24"/>
  <c r="G232" i="24"/>
  <c r="H232" i="24"/>
  <c r="E234" i="24" l="1" a="1"/>
  <c r="E234" i="24" s="1"/>
  <c r="C234" i="24" a="1"/>
  <c r="C234" i="24" s="1"/>
  <c r="D234" i="24" a="1"/>
  <c r="D234" i="24" s="1"/>
  <c r="H234" i="24"/>
  <c r="B234" i="24"/>
  <c r="G234" i="24"/>
  <c r="A236" i="24"/>
  <c r="F234" i="24"/>
  <c r="D237" i="24" a="1"/>
  <c r="D237" i="24" s="1"/>
  <c r="C237" i="24" a="1"/>
  <c r="C237" i="24" s="1"/>
  <c r="E237" i="24" a="1"/>
  <c r="E237" i="24" s="1"/>
  <c r="B237" i="24"/>
  <c r="H237" i="24"/>
  <c r="A239" i="24"/>
  <c r="G237" i="24"/>
  <c r="F237" i="24"/>
  <c r="E239" i="24" l="1" a="1"/>
  <c r="E239" i="24" s="1"/>
  <c r="D239" i="24" a="1"/>
  <c r="D239" i="24" s="1"/>
  <c r="C239" i="24" a="1"/>
  <c r="C239" i="24" s="1"/>
  <c r="A241" i="24"/>
  <c r="F239" i="24"/>
  <c r="H239" i="24"/>
  <c r="G239" i="24"/>
  <c r="B239" i="24"/>
  <c r="E236" i="24" a="1"/>
  <c r="E236" i="24" s="1"/>
  <c r="D236" i="24" a="1"/>
  <c r="D236" i="24" s="1"/>
  <c r="C236" i="24" a="1"/>
  <c r="C236" i="24" s="1"/>
  <c r="A238" i="24"/>
  <c r="F236" i="24"/>
  <c r="G236" i="24"/>
  <c r="H236" i="24"/>
  <c r="B236" i="24"/>
  <c r="E238" i="24" l="1" a="1"/>
  <c r="E238" i="24" s="1"/>
  <c r="D238" i="24" a="1"/>
  <c r="D238" i="24" s="1"/>
  <c r="C238" i="24" a="1"/>
  <c r="C238" i="24" s="1"/>
  <c r="H238" i="24"/>
  <c r="G238" i="24"/>
  <c r="B238" i="24"/>
  <c r="F238" i="24"/>
  <c r="A240" i="24"/>
  <c r="E241" i="24" a="1"/>
  <c r="E241" i="24" s="1"/>
  <c r="C241" i="24" a="1"/>
  <c r="C241" i="24" s="1"/>
  <c r="D241" i="24" a="1"/>
  <c r="D241" i="24" s="1"/>
  <c r="H241" i="24"/>
  <c r="B241" i="24"/>
  <c r="F241" i="24"/>
  <c r="G241" i="24"/>
  <c r="A243" i="24"/>
  <c r="E243" i="24" l="1" a="1"/>
  <c r="E243" i="24" s="1"/>
  <c r="D243" i="24" a="1"/>
  <c r="D243" i="24" s="1"/>
  <c r="C243" i="24" a="1"/>
  <c r="C243" i="24" s="1"/>
  <c r="A245" i="24"/>
  <c r="F243" i="24"/>
  <c r="G243" i="24"/>
  <c r="B243" i="24"/>
  <c r="H243" i="24"/>
  <c r="E240" i="24" a="1"/>
  <c r="E240" i="24" s="1"/>
  <c r="D240" i="24" a="1"/>
  <c r="D240" i="24" s="1"/>
  <c r="C240" i="24" a="1"/>
  <c r="C240" i="24" s="1"/>
  <c r="A242" i="24"/>
  <c r="F240" i="24"/>
  <c r="G240" i="24"/>
  <c r="H240" i="24"/>
  <c r="B240" i="24"/>
  <c r="E245" i="24" l="1" a="1"/>
  <c r="E245" i="24" s="1"/>
  <c r="D245" i="24" a="1"/>
  <c r="D245" i="24" s="1"/>
  <c r="C245" i="24" a="1"/>
  <c r="C245" i="24" s="1"/>
  <c r="H245" i="24"/>
  <c r="B245" i="24"/>
  <c r="A247" i="24"/>
  <c r="F245" i="24"/>
  <c r="G245" i="24"/>
  <c r="E242" i="24" a="1"/>
  <c r="E242" i="24" s="1"/>
  <c r="C242" i="24" a="1"/>
  <c r="C242" i="24" s="1"/>
  <c r="D242" i="24" a="1"/>
  <c r="D242" i="24" s="1"/>
  <c r="H242" i="24"/>
  <c r="B242" i="24"/>
  <c r="A244" i="24"/>
  <c r="F242" i="24"/>
  <c r="G242" i="24"/>
  <c r="E247" i="24" l="1" a="1"/>
  <c r="E247" i="24" s="1"/>
  <c r="D247" i="24" a="1"/>
  <c r="D247" i="24" s="1"/>
  <c r="C247" i="24" a="1"/>
  <c r="C247" i="24" s="1"/>
  <c r="A249" i="24"/>
  <c r="G247" i="24"/>
  <c r="H247" i="24"/>
  <c r="F247" i="24"/>
  <c r="B247" i="24"/>
  <c r="E244" i="24" a="1"/>
  <c r="E244" i="24" s="1"/>
  <c r="D244" i="24" a="1"/>
  <c r="D244" i="24" s="1"/>
  <c r="C244" i="24" a="1"/>
  <c r="C244" i="24" s="1"/>
  <c r="A246" i="24"/>
  <c r="F244" i="24"/>
  <c r="G244" i="24"/>
  <c r="H244" i="24"/>
  <c r="B244" i="24"/>
  <c r="E249" i="24" l="1" a="1"/>
  <c r="E249" i="24" s="1"/>
  <c r="C249" i="24" a="1"/>
  <c r="C249" i="24" s="1"/>
  <c r="D249" i="24" a="1"/>
  <c r="D249" i="24" s="1"/>
  <c r="B249" i="24"/>
  <c r="H249" i="24"/>
  <c r="A251" i="24"/>
  <c r="F249" i="24"/>
  <c r="G249" i="24"/>
  <c r="E246" i="24" a="1"/>
  <c r="E246" i="24" s="1"/>
  <c r="D246" i="24" a="1"/>
  <c r="D246" i="24" s="1"/>
  <c r="C246" i="24" a="1"/>
  <c r="C246" i="24" s="1"/>
  <c r="H246" i="24"/>
  <c r="G246" i="24"/>
  <c r="B246" i="24"/>
  <c r="F246" i="24"/>
  <c r="A248" i="24"/>
  <c r="E248" i="24" l="1" a="1"/>
  <c r="E248" i="24" s="1"/>
  <c r="D248" i="24" a="1"/>
  <c r="D248" i="24" s="1"/>
  <c r="C248" i="24" a="1"/>
  <c r="C248" i="24" s="1"/>
  <c r="A250" i="24"/>
  <c r="F248" i="24"/>
  <c r="B248" i="24"/>
  <c r="G248" i="24"/>
  <c r="H248" i="24"/>
  <c r="D251" i="24" a="1"/>
  <c r="D251" i="24" s="1"/>
  <c r="E251" i="24" a="1"/>
  <c r="E251" i="24" s="1"/>
  <c r="C251" i="24" a="1"/>
  <c r="C251" i="24" s="1"/>
  <c r="A253" i="24"/>
  <c r="G251" i="24"/>
  <c r="F251" i="24"/>
  <c r="B251" i="24"/>
  <c r="H251" i="24"/>
  <c r="D253" i="24" l="1" a="1"/>
  <c r="D253" i="24" s="1"/>
  <c r="E253" i="24" a="1"/>
  <c r="E253" i="24" s="1"/>
  <c r="C253" i="24" a="1"/>
  <c r="C253" i="24" s="1"/>
  <c r="B253" i="24"/>
  <c r="H253" i="24"/>
  <c r="F253" i="24"/>
  <c r="G253" i="24"/>
  <c r="A255" i="24"/>
  <c r="E250" i="24" a="1"/>
  <c r="E250" i="24" s="1"/>
  <c r="C250" i="24" a="1"/>
  <c r="C250" i="24" s="1"/>
  <c r="D250" i="24" a="1"/>
  <c r="D250" i="24" s="1"/>
  <c r="H250" i="24"/>
  <c r="B250" i="24"/>
  <c r="A252" i="24"/>
  <c r="G250" i="24"/>
  <c r="F250" i="24"/>
  <c r="E252" i="24" l="1" a="1"/>
  <c r="E252" i="24" s="1"/>
  <c r="D252" i="24" a="1"/>
  <c r="D252" i="24" s="1"/>
  <c r="C252" i="24" a="1"/>
  <c r="C252" i="24" s="1"/>
  <c r="A254" i="24"/>
  <c r="F252" i="24"/>
  <c r="G252" i="24"/>
  <c r="H252" i="24"/>
  <c r="B252" i="24"/>
  <c r="E255" i="24" a="1"/>
  <c r="E255" i="24" s="1"/>
  <c r="C255" i="24" a="1"/>
  <c r="C255" i="24" s="1"/>
  <c r="D255" i="24" a="1"/>
  <c r="D255" i="24" s="1"/>
  <c r="A257" i="24"/>
  <c r="F255" i="24"/>
  <c r="H255" i="24"/>
  <c r="G255" i="24"/>
  <c r="B255" i="24"/>
  <c r="E257" i="24" l="1" a="1"/>
  <c r="E257" i="24" s="1"/>
  <c r="D257" i="24" a="1"/>
  <c r="D257" i="24" s="1"/>
  <c r="C257" i="24" a="1"/>
  <c r="C257" i="24" s="1"/>
  <c r="H257" i="24"/>
  <c r="B257" i="24"/>
  <c r="F257" i="24"/>
  <c r="G257" i="24"/>
  <c r="A259" i="24"/>
  <c r="E254" i="24" a="1"/>
  <c r="E254" i="24" s="1"/>
  <c r="D254" i="24" a="1"/>
  <c r="D254" i="24" s="1"/>
  <c r="C254" i="24" a="1"/>
  <c r="C254" i="24" s="1"/>
  <c r="H254" i="24"/>
  <c r="B254" i="24"/>
  <c r="G254" i="24"/>
  <c r="A256" i="24"/>
  <c r="F254" i="24"/>
  <c r="E256" i="24" l="1" a="1"/>
  <c r="E256" i="24" s="1"/>
  <c r="D256" i="24" a="1"/>
  <c r="D256" i="24" s="1"/>
  <c r="C256" i="24" a="1"/>
  <c r="C256" i="24" s="1"/>
  <c r="A258" i="24"/>
  <c r="F256" i="24"/>
  <c r="G256" i="24"/>
  <c r="H256" i="24"/>
  <c r="B256" i="24"/>
  <c r="D259" i="24" a="1"/>
  <c r="D259" i="24" s="1"/>
  <c r="E259" i="24" a="1"/>
  <c r="E259" i="24" s="1"/>
  <c r="C259" i="24" a="1"/>
  <c r="C259" i="24" s="1"/>
  <c r="A261" i="24"/>
  <c r="F259" i="24"/>
  <c r="G259" i="24"/>
  <c r="B259" i="24"/>
  <c r="H259" i="24"/>
  <c r="E261" i="24" l="1" a="1"/>
  <c r="E261" i="24" s="1"/>
  <c r="D261" i="24" a="1"/>
  <c r="D261" i="24" s="1"/>
  <c r="C261" i="24" a="1"/>
  <c r="C261" i="24" s="1"/>
  <c r="G261" i="24"/>
  <c r="B261" i="24"/>
  <c r="F261" i="24"/>
  <c r="H261" i="24"/>
  <c r="A263" i="24"/>
  <c r="E258" i="24" a="1"/>
  <c r="E258" i="24" s="1"/>
  <c r="D258" i="24" a="1"/>
  <c r="D258" i="24" s="1"/>
  <c r="C258" i="24" a="1"/>
  <c r="C258" i="24" s="1"/>
  <c r="B258" i="24"/>
  <c r="H258" i="24"/>
  <c r="A260" i="24"/>
  <c r="G258" i="24"/>
  <c r="F258" i="24"/>
  <c r="C263" i="24" l="1" a="1"/>
  <c r="C263" i="24" s="1"/>
  <c r="D263" i="24" a="1"/>
  <c r="D263" i="24" s="1"/>
  <c r="E263" i="24" a="1"/>
  <c r="E263" i="24" s="1"/>
  <c r="A265" i="24"/>
  <c r="H263" i="24"/>
  <c r="G263" i="24"/>
  <c r="B263" i="24"/>
  <c r="F263" i="24"/>
  <c r="E260" i="24" a="1"/>
  <c r="E260" i="24" s="1"/>
  <c r="D260" i="24" a="1"/>
  <c r="D260" i="24" s="1"/>
  <c r="C260" i="24" a="1"/>
  <c r="C260" i="24" s="1"/>
  <c r="A262" i="24"/>
  <c r="B260" i="24"/>
  <c r="F260" i="24"/>
  <c r="G260" i="24"/>
  <c r="H260" i="24"/>
  <c r="E262" i="24" l="1" a="1"/>
  <c r="E262" i="24" s="1"/>
  <c r="D262" i="24" a="1"/>
  <c r="D262" i="24" s="1"/>
  <c r="C262" i="24" a="1"/>
  <c r="C262" i="24" s="1"/>
  <c r="F262" i="24"/>
  <c r="A264" i="24"/>
  <c r="H262" i="24"/>
  <c r="G262" i="24"/>
  <c r="B262" i="24"/>
  <c r="E265" i="24" a="1"/>
  <c r="E265" i="24" s="1"/>
  <c r="C265" i="24" a="1"/>
  <c r="C265" i="24" s="1"/>
  <c r="D265" i="24" a="1"/>
  <c r="D265" i="24" s="1"/>
  <c r="G265" i="24"/>
  <c r="H265" i="24"/>
  <c r="B265" i="24"/>
  <c r="A267" i="24"/>
  <c r="F265" i="24"/>
  <c r="E267" i="24" l="1" a="1"/>
  <c r="E267" i="24" s="1"/>
  <c r="D267" i="24" a="1"/>
  <c r="D267" i="24" s="1"/>
  <c r="C267" i="24" a="1"/>
  <c r="C267" i="24" s="1"/>
  <c r="A269" i="24"/>
  <c r="B267" i="24"/>
  <c r="F267" i="24"/>
  <c r="G267" i="24"/>
  <c r="H267" i="24"/>
  <c r="E264" i="24" a="1"/>
  <c r="E264" i="24" s="1"/>
  <c r="C264" i="24" a="1"/>
  <c r="C264" i="24" s="1"/>
  <c r="D264" i="24" a="1"/>
  <c r="D264" i="24" s="1"/>
  <c r="A266" i="24"/>
  <c r="B264" i="24"/>
  <c r="H264" i="24"/>
  <c r="F264" i="24"/>
  <c r="G264" i="24"/>
  <c r="D266" i="24" l="1" a="1"/>
  <c r="D266" i="24" s="1"/>
  <c r="E266" i="24" a="1"/>
  <c r="E266" i="24" s="1"/>
  <c r="C266" i="24" a="1"/>
  <c r="C266" i="24" s="1"/>
  <c r="G266" i="24"/>
  <c r="H266" i="24"/>
  <c r="F266" i="24"/>
  <c r="A268" i="24"/>
  <c r="B266" i="24"/>
  <c r="E269" i="24" a="1"/>
  <c r="E269" i="24" s="1"/>
  <c r="D269" i="24" a="1"/>
  <c r="D269" i="24" s="1"/>
  <c r="C269" i="24" a="1"/>
  <c r="C269" i="24" s="1"/>
  <c r="H269" i="24"/>
  <c r="B269" i="24"/>
  <c r="A271" i="24"/>
  <c r="F269" i="24"/>
  <c r="G269" i="24"/>
  <c r="E268" i="24" l="1" a="1"/>
  <c r="E268" i="24" s="1"/>
  <c r="D268" i="24" a="1"/>
  <c r="D268" i="24" s="1"/>
  <c r="C268" i="24" a="1"/>
  <c r="C268" i="24" s="1"/>
  <c r="A270" i="24"/>
  <c r="G268" i="24"/>
  <c r="B268" i="24"/>
  <c r="H268" i="24"/>
  <c r="F268" i="24"/>
  <c r="E271" i="24" a="1"/>
  <c r="E271" i="24" s="1"/>
  <c r="C271" i="24" a="1"/>
  <c r="C271" i="24" s="1"/>
  <c r="D271" i="24" a="1"/>
  <c r="D271" i="24" s="1"/>
  <c r="A273" i="24"/>
  <c r="G271" i="24"/>
  <c r="B271" i="24"/>
  <c r="F271" i="24"/>
  <c r="H271" i="24"/>
  <c r="D273" i="24" l="1" a="1"/>
  <c r="D273" i="24" s="1"/>
  <c r="E273" i="24" a="1"/>
  <c r="E273" i="24" s="1"/>
  <c r="C273" i="24" a="1"/>
  <c r="C273" i="24" s="1"/>
  <c r="H273" i="24"/>
  <c r="B273" i="24"/>
  <c r="G273" i="24"/>
  <c r="A275" i="24"/>
  <c r="F273" i="24"/>
  <c r="E270" i="24" a="1"/>
  <c r="E270" i="24" s="1"/>
  <c r="D270" i="24" a="1"/>
  <c r="D270" i="24" s="1"/>
  <c r="C270" i="24" a="1"/>
  <c r="C270" i="24" s="1"/>
  <c r="H270" i="24"/>
  <c r="F270" i="24"/>
  <c r="B270" i="24"/>
  <c r="A272" i="24"/>
  <c r="G270" i="24"/>
  <c r="E275" i="24" l="1" a="1"/>
  <c r="E275" i="24" s="1"/>
  <c r="C275" i="24" a="1"/>
  <c r="C275" i="24" s="1"/>
  <c r="D275" i="24" a="1"/>
  <c r="D275" i="24" s="1"/>
  <c r="A277" i="24"/>
  <c r="F275" i="24"/>
  <c r="G275" i="24"/>
  <c r="H275" i="24"/>
  <c r="B275" i="24"/>
  <c r="E272" i="24" a="1"/>
  <c r="E272" i="24" s="1"/>
  <c r="C272" i="24" a="1"/>
  <c r="C272" i="24" s="1"/>
  <c r="D272" i="24" a="1"/>
  <c r="D272" i="24" s="1"/>
  <c r="A274" i="24"/>
  <c r="F272" i="24"/>
  <c r="B272" i="24"/>
  <c r="G272" i="24"/>
  <c r="H272" i="24"/>
  <c r="E277" i="24" l="1" a="1"/>
  <c r="E277" i="24" s="1"/>
  <c r="C277" i="24" a="1"/>
  <c r="C277" i="24" s="1"/>
  <c r="D277" i="24" a="1"/>
  <c r="D277" i="24" s="1"/>
  <c r="H277" i="24"/>
  <c r="B277" i="24"/>
  <c r="A279" i="24"/>
  <c r="F277" i="24"/>
  <c r="G277" i="24"/>
  <c r="E274" i="24" a="1"/>
  <c r="E274" i="24" s="1"/>
  <c r="D274" i="24" a="1"/>
  <c r="D274" i="24" s="1"/>
  <c r="C274" i="24" a="1"/>
  <c r="C274" i="24" s="1"/>
  <c r="H274" i="24"/>
  <c r="B274" i="24"/>
  <c r="G274" i="24"/>
  <c r="A276" i="24"/>
  <c r="F274" i="24"/>
  <c r="C279" i="24" l="1" a="1"/>
  <c r="C279" i="24" s="1"/>
  <c r="D279" i="24" a="1"/>
  <c r="D279" i="24" s="1"/>
  <c r="E279" i="24" a="1"/>
  <c r="E279" i="24" s="1"/>
  <c r="A281" i="24"/>
  <c r="F279" i="24"/>
  <c r="G279" i="24"/>
  <c r="H279" i="24"/>
  <c r="B279" i="24"/>
  <c r="E276" i="24" a="1"/>
  <c r="E276" i="24" s="1"/>
  <c r="C276" i="24" a="1"/>
  <c r="C276" i="24" s="1"/>
  <c r="D276" i="24" a="1"/>
  <c r="D276" i="24" s="1"/>
  <c r="A278" i="24"/>
  <c r="F276" i="24"/>
  <c r="G276" i="24"/>
  <c r="H276" i="24"/>
  <c r="B276" i="24"/>
  <c r="D278" i="24" l="1" a="1"/>
  <c r="D278" i="24" s="1"/>
  <c r="C278" i="24" a="1"/>
  <c r="C278" i="24" s="1"/>
  <c r="E278" i="24" a="1"/>
  <c r="E278" i="24" s="1"/>
  <c r="H278" i="24"/>
  <c r="F278" i="24"/>
  <c r="G278" i="24"/>
  <c r="B278" i="24"/>
  <c r="A280" i="24"/>
  <c r="D281" i="24" a="1"/>
  <c r="D281" i="24" s="1"/>
  <c r="E281" i="24" a="1"/>
  <c r="E281" i="24" s="1"/>
  <c r="C281" i="24" a="1"/>
  <c r="C281" i="24" s="1"/>
  <c r="H281" i="24"/>
  <c r="B281" i="24"/>
  <c r="F281" i="24"/>
  <c r="G281" i="24"/>
  <c r="A283" i="24"/>
  <c r="E280" i="24" l="1" a="1"/>
  <c r="E280" i="24" s="1"/>
  <c r="D280" i="24" a="1"/>
  <c r="D280" i="24" s="1"/>
  <c r="C280" i="24" a="1"/>
  <c r="C280" i="24" s="1"/>
  <c r="A282" i="24"/>
  <c r="F280" i="24"/>
  <c r="G280" i="24"/>
  <c r="H280" i="24"/>
  <c r="B280" i="24"/>
  <c r="E283" i="24" a="1"/>
  <c r="E283" i="24" s="1"/>
  <c r="D283" i="24" a="1"/>
  <c r="D283" i="24" s="1"/>
  <c r="C283" i="24" a="1"/>
  <c r="C283" i="24" s="1"/>
  <c r="A285" i="24"/>
  <c r="B283" i="24"/>
  <c r="F283" i="24"/>
  <c r="G283" i="24"/>
  <c r="H283" i="24"/>
  <c r="E285" i="24" l="1" a="1"/>
  <c r="E285" i="24" s="1"/>
  <c r="C285" i="24" a="1"/>
  <c r="C285" i="24" s="1"/>
  <c r="D285" i="24" a="1"/>
  <c r="D285" i="24" s="1"/>
  <c r="H285" i="24"/>
  <c r="A287" i="24"/>
  <c r="B285" i="24"/>
  <c r="G285" i="24"/>
  <c r="F285" i="24"/>
  <c r="E282" i="24" a="1"/>
  <c r="E282" i="24" s="1"/>
  <c r="D282" i="24" a="1"/>
  <c r="D282" i="24" s="1"/>
  <c r="C282" i="24" a="1"/>
  <c r="C282" i="24" s="1"/>
  <c r="H282" i="24"/>
  <c r="B282" i="24"/>
  <c r="A284" i="24"/>
  <c r="F282" i="24"/>
  <c r="G282" i="24"/>
  <c r="E284" i="24" l="1" a="1"/>
  <c r="E284" i="24" s="1"/>
  <c r="D284" i="24" a="1"/>
  <c r="D284" i="24" s="1"/>
  <c r="C284" i="24" a="1"/>
  <c r="C284" i="24" s="1"/>
  <c r="A286" i="24"/>
  <c r="F284" i="24"/>
  <c r="G284" i="24"/>
  <c r="H284" i="24"/>
  <c r="B284" i="24"/>
  <c r="E287" i="24" a="1"/>
  <c r="E287" i="24" s="1"/>
  <c r="D287" i="24" a="1"/>
  <c r="D287" i="24" s="1"/>
  <c r="C287" i="24" a="1"/>
  <c r="C287" i="24" s="1"/>
  <c r="A289" i="24"/>
  <c r="F287" i="24"/>
  <c r="G287" i="24"/>
  <c r="H287" i="24"/>
  <c r="B287" i="24"/>
  <c r="E289" i="24" l="1" a="1"/>
  <c r="E289" i="24" s="1"/>
  <c r="C289" i="24" a="1"/>
  <c r="C289" i="24" s="1"/>
  <c r="D289" i="24" a="1"/>
  <c r="D289" i="24" s="1"/>
  <c r="B289" i="24"/>
  <c r="F289" i="24"/>
  <c r="H289" i="24"/>
  <c r="G289" i="24"/>
  <c r="A291" i="24"/>
  <c r="E286" i="24" a="1"/>
  <c r="E286" i="24" s="1"/>
  <c r="C286" i="24" a="1"/>
  <c r="C286" i="24" s="1"/>
  <c r="D286" i="24" a="1"/>
  <c r="D286" i="24" s="1"/>
  <c r="H286" i="24"/>
  <c r="B286" i="24"/>
  <c r="A288" i="24"/>
  <c r="G286" i="24"/>
  <c r="F286" i="24"/>
  <c r="E288" i="24" l="1" a="1"/>
  <c r="E288" i="24" s="1"/>
  <c r="D288" i="24" a="1"/>
  <c r="D288" i="24" s="1"/>
  <c r="C288" i="24" a="1"/>
  <c r="C288" i="24" s="1"/>
  <c r="A290" i="24"/>
  <c r="G288" i="24"/>
  <c r="H288" i="24"/>
  <c r="B288" i="24"/>
  <c r="F288" i="24"/>
  <c r="E291" i="24" a="1"/>
  <c r="E291" i="24" s="1"/>
  <c r="D291" i="24" a="1"/>
  <c r="D291" i="24" s="1"/>
  <c r="C291" i="24" a="1"/>
  <c r="C291" i="24" s="1"/>
  <c r="G291" i="24"/>
  <c r="H291" i="24"/>
  <c r="A293" i="24"/>
  <c r="B291" i="24"/>
  <c r="F291" i="24"/>
  <c r="D293" i="24" l="1" a="1"/>
  <c r="D293" i="24" s="1"/>
  <c r="C293" i="24" a="1"/>
  <c r="C293" i="24" s="1"/>
  <c r="E293" i="24" a="1"/>
  <c r="E293" i="24" s="1"/>
  <c r="F293" i="24"/>
  <c r="G293" i="24"/>
  <c r="B293" i="24"/>
  <c r="A295" i="24"/>
  <c r="H293" i="24"/>
  <c r="E290" i="24" a="1"/>
  <c r="E290" i="24" s="1"/>
  <c r="D290" i="24" a="1"/>
  <c r="D290" i="24" s="1"/>
  <c r="C290" i="24" a="1"/>
  <c r="C290" i="24" s="1"/>
  <c r="F290" i="24"/>
  <c r="H290" i="24"/>
  <c r="B290" i="24"/>
  <c r="A292" i="24"/>
  <c r="G290" i="24"/>
  <c r="E295" i="24" l="1" a="1"/>
  <c r="E295" i="24" s="1"/>
  <c r="D295" i="24" a="1"/>
  <c r="D295" i="24" s="1"/>
  <c r="C295" i="24" a="1"/>
  <c r="C295" i="24" s="1"/>
  <c r="A297" i="24"/>
  <c r="H295" i="24"/>
  <c r="B295" i="24"/>
  <c r="F295" i="24"/>
  <c r="G295" i="24"/>
  <c r="E292" i="24" a="1"/>
  <c r="E292" i="24" s="1"/>
  <c r="D292" i="24" a="1"/>
  <c r="D292" i="24" s="1"/>
  <c r="C292" i="24" a="1"/>
  <c r="C292" i="24" s="1"/>
  <c r="A294" i="24"/>
  <c r="H292" i="24"/>
  <c r="B292" i="24"/>
  <c r="F292" i="24"/>
  <c r="G292" i="24"/>
  <c r="E294" i="24" l="1" a="1"/>
  <c r="E294" i="24" s="1"/>
  <c r="D294" i="24" a="1"/>
  <c r="D294" i="24" s="1"/>
  <c r="C294" i="24" a="1"/>
  <c r="C294" i="24" s="1"/>
  <c r="F294" i="24"/>
  <c r="G294" i="24"/>
  <c r="A296" i="24"/>
  <c r="B294" i="24"/>
  <c r="H294" i="24"/>
  <c r="E297" i="24" a="1"/>
  <c r="E297" i="24" s="1"/>
  <c r="C297" i="24" a="1"/>
  <c r="C297" i="24" s="1"/>
  <c r="D297" i="24" a="1"/>
  <c r="D297" i="24" s="1"/>
  <c r="G297" i="24"/>
  <c r="H297" i="24"/>
  <c r="B297" i="24"/>
  <c r="F297" i="24"/>
  <c r="A299" i="24"/>
  <c r="E296" i="24" l="1" a="1"/>
  <c r="E296" i="24" s="1"/>
  <c r="C296" i="24" a="1"/>
  <c r="C296" i="24" s="1"/>
  <c r="D296" i="24" a="1"/>
  <c r="D296" i="24" s="1"/>
  <c r="A298" i="24"/>
  <c r="G296" i="24"/>
  <c r="B296" i="24"/>
  <c r="F296" i="24"/>
  <c r="H296" i="24"/>
  <c r="E299" i="24" a="1"/>
  <c r="E299" i="24" s="1"/>
  <c r="D299" i="24" a="1"/>
  <c r="D299" i="24" s="1"/>
  <c r="C299" i="24" a="1"/>
  <c r="C299" i="24" s="1"/>
  <c r="A301" i="24"/>
  <c r="G299" i="24"/>
  <c r="B299" i="24"/>
  <c r="F299" i="24"/>
  <c r="H299" i="24"/>
  <c r="E301" i="24" l="1" a="1"/>
  <c r="E301" i="24" s="1"/>
  <c r="D301" i="24" a="1"/>
  <c r="D301" i="24" s="1"/>
  <c r="C301" i="24" a="1"/>
  <c r="C301" i="24" s="1"/>
  <c r="H301" i="24"/>
  <c r="B301" i="24"/>
  <c r="F301" i="24"/>
  <c r="A303" i="24"/>
  <c r="G301" i="24"/>
  <c r="E298" i="24" a="1"/>
  <c r="E298" i="24" s="1"/>
  <c r="D298" i="24" a="1"/>
  <c r="D298" i="24" s="1"/>
  <c r="C298" i="24" a="1"/>
  <c r="C298" i="24" s="1"/>
  <c r="G298" i="24"/>
  <c r="F298" i="24"/>
  <c r="H298" i="24"/>
  <c r="A300" i="24"/>
  <c r="B298" i="24"/>
  <c r="E303" i="24" l="1" a="1"/>
  <c r="E303" i="24" s="1"/>
  <c r="D303" i="24" a="1"/>
  <c r="D303" i="24" s="1"/>
  <c r="C303" i="24" a="1"/>
  <c r="C303" i="24" s="1"/>
  <c r="A305" i="24"/>
  <c r="F303" i="24"/>
  <c r="G303" i="24"/>
  <c r="H303" i="24"/>
  <c r="B303" i="24"/>
  <c r="D300" i="24" a="1"/>
  <c r="D300" i="24" s="1"/>
  <c r="E300" i="24" a="1"/>
  <c r="E300" i="24" s="1"/>
  <c r="C300" i="24" a="1"/>
  <c r="C300" i="24" s="1"/>
  <c r="A302" i="24"/>
  <c r="B300" i="24"/>
  <c r="F300" i="24"/>
  <c r="G300" i="24"/>
  <c r="H300" i="24"/>
  <c r="E302" i="24" l="1" a="1"/>
  <c r="E302" i="24" s="1"/>
  <c r="D302" i="24" a="1"/>
  <c r="D302" i="24" s="1"/>
  <c r="C302" i="24" a="1"/>
  <c r="C302" i="24" s="1"/>
  <c r="H302" i="24"/>
  <c r="B302" i="24"/>
  <c r="A304" i="24"/>
  <c r="G302" i="24"/>
  <c r="F302" i="24"/>
  <c r="E305" i="24" a="1"/>
  <c r="E305" i="24" s="1"/>
  <c r="D305" i="24" a="1"/>
  <c r="D305" i="24" s="1"/>
  <c r="C305" i="24" a="1"/>
  <c r="C305" i="24" s="1"/>
  <c r="H305" i="24"/>
  <c r="B305" i="24"/>
  <c r="A307" i="24"/>
  <c r="F305" i="24"/>
  <c r="G305" i="24"/>
  <c r="E307" i="24" l="1" a="1"/>
  <c r="E307" i="24" s="1"/>
  <c r="C307" i="24" a="1"/>
  <c r="C307" i="24" s="1"/>
  <c r="D307" i="24" a="1"/>
  <c r="D307" i="24" s="1"/>
  <c r="A309" i="24"/>
  <c r="F307" i="24"/>
  <c r="G307" i="24"/>
  <c r="H307" i="24"/>
  <c r="B307" i="24"/>
  <c r="E304" i="24" a="1"/>
  <c r="E304" i="24" s="1"/>
  <c r="D304" i="24" a="1"/>
  <c r="D304" i="24" s="1"/>
  <c r="C304" i="24" a="1"/>
  <c r="C304" i="24" s="1"/>
  <c r="A306" i="24"/>
  <c r="F304" i="24"/>
  <c r="G304" i="24"/>
  <c r="H304" i="24"/>
  <c r="B304" i="24"/>
  <c r="E306" i="24" l="1" a="1"/>
  <c r="E306" i="24" s="1"/>
  <c r="C306" i="24" a="1"/>
  <c r="C306" i="24" s="1"/>
  <c r="D306" i="24" a="1"/>
  <c r="D306" i="24" s="1"/>
  <c r="H306" i="24"/>
  <c r="G306" i="24"/>
  <c r="B306" i="24"/>
  <c r="F306" i="24"/>
  <c r="A308" i="24"/>
  <c r="D309" i="24" a="1"/>
  <c r="D309" i="24" s="1"/>
  <c r="E309" i="24" a="1"/>
  <c r="E309" i="24" s="1"/>
  <c r="C309" i="24" a="1"/>
  <c r="C309" i="24" s="1"/>
  <c r="H309" i="24"/>
  <c r="B309" i="24"/>
  <c r="A311" i="24"/>
  <c r="G309" i="24"/>
  <c r="F309" i="24"/>
  <c r="E311" i="24" l="1" a="1"/>
  <c r="E311" i="24" s="1"/>
  <c r="D311" i="24" a="1"/>
  <c r="D311" i="24" s="1"/>
  <c r="C311" i="24" a="1"/>
  <c r="C311" i="24" s="1"/>
  <c r="A313" i="24"/>
  <c r="F311" i="24"/>
  <c r="G311" i="24"/>
  <c r="H311" i="24"/>
  <c r="B311" i="24"/>
  <c r="E308" i="24" a="1"/>
  <c r="E308" i="24" s="1"/>
  <c r="D308" i="24" a="1"/>
  <c r="D308" i="24" s="1"/>
  <c r="C308" i="24" a="1"/>
  <c r="C308" i="24" s="1"/>
  <c r="A310" i="24"/>
  <c r="F308" i="24"/>
  <c r="G308" i="24"/>
  <c r="B308" i="24"/>
  <c r="H308" i="24"/>
  <c r="E310" i="24" l="1" a="1"/>
  <c r="E310" i="24" s="1"/>
  <c r="D310" i="24" a="1"/>
  <c r="D310" i="24" s="1"/>
  <c r="C310" i="24" a="1"/>
  <c r="C310" i="24" s="1"/>
  <c r="H310" i="24"/>
  <c r="B310" i="24"/>
  <c r="G310" i="24"/>
  <c r="A312" i="24"/>
  <c r="F310" i="24"/>
  <c r="E313" i="24" a="1"/>
  <c r="E313" i="24" s="1"/>
  <c r="D313" i="24" a="1"/>
  <c r="D313" i="24" s="1"/>
  <c r="C313" i="24" a="1"/>
  <c r="C313" i="24" s="1"/>
  <c r="H313" i="24"/>
  <c r="B313" i="24"/>
  <c r="F313" i="24"/>
  <c r="G313" i="24"/>
  <c r="A315" i="24"/>
  <c r="E312" i="24" l="1" a="1"/>
  <c r="E312" i="24" s="1"/>
  <c r="C312" i="24" a="1"/>
  <c r="C312" i="24" s="1"/>
  <c r="D312" i="24" a="1"/>
  <c r="D312" i="24" s="1"/>
  <c r="A314" i="24"/>
  <c r="F312" i="24"/>
  <c r="G312" i="24"/>
  <c r="H312" i="24"/>
  <c r="B312" i="24"/>
  <c r="D315" i="24" a="1"/>
  <c r="D315" i="24" s="1"/>
  <c r="E315" i="24" a="1"/>
  <c r="E315" i="24" s="1"/>
  <c r="C315" i="24" a="1"/>
  <c r="C315" i="24" s="1"/>
  <c r="A317" i="24"/>
  <c r="H315" i="24"/>
  <c r="B315" i="24"/>
  <c r="F315" i="24"/>
  <c r="G315" i="24"/>
  <c r="D317" i="24" l="1" a="1"/>
  <c r="D317" i="24" s="1"/>
  <c r="C317" i="24" a="1"/>
  <c r="C317" i="24" s="1"/>
  <c r="E317" i="24" a="1"/>
  <c r="E317" i="24" s="1"/>
  <c r="G317" i="24"/>
  <c r="H317" i="24"/>
  <c r="A319" i="24"/>
  <c r="B317" i="24"/>
  <c r="F317" i="24"/>
  <c r="D314" i="24" a="1"/>
  <c r="D314" i="24" s="1"/>
  <c r="C314" i="24" a="1"/>
  <c r="C314" i="24" s="1"/>
  <c r="E314" i="24" a="1"/>
  <c r="E314" i="24" s="1"/>
  <c r="B314" i="24"/>
  <c r="F314" i="24"/>
  <c r="H314" i="24"/>
  <c r="A316" i="24"/>
  <c r="G314" i="24"/>
  <c r="E316" i="24" l="1" a="1"/>
  <c r="E316" i="24" s="1"/>
  <c r="D316" i="24" a="1"/>
  <c r="D316" i="24" s="1"/>
  <c r="C316" i="24" a="1"/>
  <c r="C316" i="24" s="1"/>
  <c r="A318" i="24"/>
  <c r="B316" i="24"/>
  <c r="G316" i="24"/>
  <c r="F316" i="24"/>
  <c r="H316" i="24"/>
  <c r="E319" i="24" a="1"/>
  <c r="E319" i="24" s="1"/>
  <c r="D319" i="24" a="1"/>
  <c r="D319" i="24" s="1"/>
  <c r="C319" i="24" a="1"/>
  <c r="C319" i="24" s="1"/>
  <c r="A321" i="24"/>
  <c r="F319" i="24"/>
  <c r="G319" i="24"/>
  <c r="H319" i="24"/>
  <c r="B319" i="24"/>
  <c r="E321" i="24" l="1" a="1"/>
  <c r="E321" i="24" s="1"/>
  <c r="D321" i="24" a="1"/>
  <c r="D321" i="24" s="1"/>
  <c r="C321" i="24" a="1"/>
  <c r="C321" i="24" s="1"/>
  <c r="H321" i="24"/>
  <c r="B321" i="24"/>
  <c r="A323" i="24"/>
  <c r="G321" i="24"/>
  <c r="F321" i="24"/>
  <c r="E318" i="24" a="1"/>
  <c r="E318" i="24" s="1"/>
  <c r="C318" i="24" a="1"/>
  <c r="C318" i="24" s="1"/>
  <c r="D318" i="24" a="1"/>
  <c r="D318" i="24" s="1"/>
  <c r="H318" i="24"/>
  <c r="F318" i="24"/>
  <c r="G318" i="24"/>
  <c r="B318" i="24"/>
  <c r="A320" i="24"/>
  <c r="E323" i="24" l="1" a="1"/>
  <c r="E323" i="24" s="1"/>
  <c r="D323" i="24" a="1"/>
  <c r="D323" i="24" s="1"/>
  <c r="C323" i="24" a="1"/>
  <c r="C323" i="24" s="1"/>
  <c r="A325" i="24"/>
  <c r="H323" i="24"/>
  <c r="F323" i="24"/>
  <c r="G323" i="24"/>
  <c r="B323" i="24"/>
  <c r="E320" i="24" a="1"/>
  <c r="E320" i="24" s="1"/>
  <c r="D320" i="24" a="1"/>
  <c r="D320" i="24" s="1"/>
  <c r="C320" i="24" a="1"/>
  <c r="C320" i="24" s="1"/>
  <c r="A322" i="24"/>
  <c r="G320" i="24"/>
  <c r="H320" i="24"/>
  <c r="B320" i="24"/>
  <c r="F320" i="24"/>
  <c r="E322" i="24" l="1" a="1"/>
  <c r="E322" i="24" s="1"/>
  <c r="C322" i="24" a="1"/>
  <c r="C322" i="24" s="1"/>
  <c r="D322" i="24" a="1"/>
  <c r="D322" i="24" s="1"/>
  <c r="H322" i="24"/>
  <c r="B322" i="24"/>
  <c r="F322" i="24"/>
  <c r="A324" i="24"/>
  <c r="G322" i="24"/>
  <c r="E325" i="24" a="1"/>
  <c r="E325" i="24" s="1"/>
  <c r="D325" i="24" a="1"/>
  <c r="D325" i="24" s="1"/>
  <c r="C325" i="24" a="1"/>
  <c r="C325" i="24" s="1"/>
  <c r="B325" i="24"/>
  <c r="F325" i="24"/>
  <c r="G325" i="24"/>
  <c r="A327" i="24"/>
  <c r="H325" i="24"/>
  <c r="E327" i="24" l="1" a="1"/>
  <c r="E327" i="24" s="1"/>
  <c r="D327" i="24" a="1"/>
  <c r="D327" i="24" s="1"/>
  <c r="C327" i="24" a="1"/>
  <c r="C327" i="24" s="1"/>
  <c r="A329" i="24"/>
  <c r="B327" i="24"/>
  <c r="F327" i="24"/>
  <c r="G327" i="24"/>
  <c r="H327" i="24"/>
  <c r="E324" i="24" a="1"/>
  <c r="E324" i="24" s="1"/>
  <c r="D324" i="24" a="1"/>
  <c r="D324" i="24" s="1"/>
  <c r="C324" i="24" a="1"/>
  <c r="C324" i="24" s="1"/>
  <c r="A326" i="24"/>
  <c r="G324" i="24"/>
  <c r="H324" i="24"/>
  <c r="B324" i="24"/>
  <c r="F324" i="24"/>
  <c r="E326" i="24" l="1" a="1"/>
  <c r="E326" i="24" s="1"/>
  <c r="D326" i="24" a="1"/>
  <c r="D326" i="24" s="1"/>
  <c r="C326" i="24" a="1"/>
  <c r="C326" i="24" s="1"/>
  <c r="F326" i="24"/>
  <c r="B326" i="24"/>
  <c r="G326" i="24"/>
  <c r="H326" i="24"/>
  <c r="A328" i="24"/>
  <c r="E329" i="24" a="1"/>
  <c r="E329" i="24" s="1"/>
  <c r="C329" i="24" a="1"/>
  <c r="C329" i="24" s="1"/>
  <c r="D329" i="24" a="1"/>
  <c r="D329" i="24" s="1"/>
  <c r="H329" i="24"/>
  <c r="B329" i="24"/>
  <c r="F329" i="24"/>
  <c r="G329" i="24"/>
  <c r="A331" i="24"/>
  <c r="E328" i="24" l="1" a="1"/>
  <c r="E328" i="24" s="1"/>
  <c r="C328" i="24" a="1"/>
  <c r="C328" i="24" s="1"/>
  <c r="D328" i="24" a="1"/>
  <c r="D328" i="24" s="1"/>
  <c r="A330" i="24"/>
  <c r="B328" i="24"/>
  <c r="F328" i="24"/>
  <c r="G328" i="24"/>
  <c r="H328" i="24"/>
  <c r="E331" i="24" a="1"/>
  <c r="E331" i="24" s="1"/>
  <c r="D331" i="24" a="1"/>
  <c r="D331" i="24" s="1"/>
  <c r="C331" i="24" a="1"/>
  <c r="C331" i="24" s="1"/>
  <c r="A333" i="24"/>
  <c r="F331" i="24"/>
  <c r="G331" i="24"/>
  <c r="H331" i="24"/>
  <c r="B331" i="24"/>
  <c r="E333" i="24" l="1" a="1"/>
  <c r="E333" i="24" s="1"/>
  <c r="C333" i="24" a="1"/>
  <c r="C333" i="24" s="1"/>
  <c r="D333" i="24" a="1"/>
  <c r="D333" i="24" s="1"/>
  <c r="H333" i="24"/>
  <c r="B333" i="24"/>
  <c r="A335" i="24"/>
  <c r="F333" i="24"/>
  <c r="G333" i="24"/>
  <c r="D330" i="24" a="1"/>
  <c r="D330" i="24" s="1"/>
  <c r="E330" i="24" a="1"/>
  <c r="E330" i="24" s="1"/>
  <c r="C330" i="24" a="1"/>
  <c r="C330" i="24" s="1"/>
  <c r="H330" i="24"/>
  <c r="B330" i="24"/>
  <c r="G330" i="24"/>
  <c r="F330" i="24"/>
  <c r="A332" i="24"/>
  <c r="D335" i="24" l="1" a="1"/>
  <c r="D335" i="24" s="1"/>
  <c r="E335" i="24" a="1"/>
  <c r="E335" i="24" s="1"/>
  <c r="C335" i="24" a="1"/>
  <c r="C335" i="24" s="1"/>
  <c r="A337" i="24"/>
  <c r="F335" i="24"/>
  <c r="B335" i="24"/>
  <c r="G335" i="24"/>
  <c r="H335" i="24"/>
  <c r="E332" i="24" a="1"/>
  <c r="E332" i="24" s="1"/>
  <c r="D332" i="24" a="1"/>
  <c r="D332" i="24" s="1"/>
  <c r="C332" i="24" a="1"/>
  <c r="C332" i="24" s="1"/>
  <c r="A334" i="24"/>
  <c r="F332" i="24"/>
  <c r="G332" i="24"/>
  <c r="H332" i="24"/>
  <c r="B332" i="24"/>
  <c r="E334" i="24" l="1" a="1"/>
  <c r="E334" i="24" s="1"/>
  <c r="D334" i="24" a="1"/>
  <c r="D334" i="24" s="1"/>
  <c r="C334" i="24" a="1"/>
  <c r="C334" i="24" s="1"/>
  <c r="H334" i="24"/>
  <c r="B334" i="24"/>
  <c r="F334" i="24"/>
  <c r="A336" i="24"/>
  <c r="G334" i="24"/>
  <c r="D337" i="24" a="1"/>
  <c r="D337" i="24" s="1"/>
  <c r="E337" i="24" a="1"/>
  <c r="E337" i="24" s="1"/>
  <c r="C337" i="24" a="1"/>
  <c r="C337" i="24" s="1"/>
  <c r="B337" i="24"/>
  <c r="H337" i="24"/>
  <c r="F337" i="24"/>
  <c r="G337" i="24"/>
  <c r="A339" i="24"/>
  <c r="E336" i="24" l="1" a="1"/>
  <c r="E336" i="24" s="1"/>
  <c r="D336" i="24" a="1"/>
  <c r="D336" i="24" s="1"/>
  <c r="C336" i="24" a="1"/>
  <c r="C336" i="24" s="1"/>
  <c r="A338" i="24"/>
  <c r="G336" i="24"/>
  <c r="H336" i="24"/>
  <c r="B336" i="24"/>
  <c r="F336" i="24"/>
  <c r="E339" i="24" a="1"/>
  <c r="E339" i="24" s="1"/>
  <c r="D339" i="24" a="1"/>
  <c r="D339" i="24" s="1"/>
  <c r="C339" i="24" a="1"/>
  <c r="C339" i="24" s="1"/>
  <c r="A341" i="24"/>
  <c r="H339" i="24"/>
  <c r="B339" i="24"/>
  <c r="F339" i="24"/>
  <c r="G339" i="24"/>
  <c r="E341" i="24" l="1" a="1"/>
  <c r="E341" i="24" s="1"/>
  <c r="D341" i="24" a="1"/>
  <c r="D341" i="24" s="1"/>
  <c r="C341" i="24" a="1"/>
  <c r="C341" i="24" s="1"/>
  <c r="G341" i="24"/>
  <c r="H341" i="24"/>
  <c r="B341" i="24"/>
  <c r="F341" i="24"/>
  <c r="A343" i="24"/>
  <c r="E338" i="24" a="1"/>
  <c r="E338" i="24" s="1"/>
  <c r="D338" i="24" a="1"/>
  <c r="D338" i="24" s="1"/>
  <c r="C338" i="24" a="1"/>
  <c r="C338" i="24" s="1"/>
  <c r="B338" i="24"/>
  <c r="F338" i="24"/>
  <c r="G338" i="24"/>
  <c r="H338" i="24"/>
  <c r="A340" i="24"/>
  <c r="E340" i="24" l="1" a="1"/>
  <c r="E340" i="24" s="1"/>
  <c r="C340" i="24" a="1"/>
  <c r="C340" i="24" s="1"/>
  <c r="D340" i="24" a="1"/>
  <c r="D340" i="24" s="1"/>
  <c r="A342" i="24"/>
  <c r="B340" i="24"/>
  <c r="F340" i="24"/>
  <c r="G340" i="24"/>
  <c r="H340" i="24"/>
  <c r="E343" i="24" a="1"/>
  <c r="E343" i="24" s="1"/>
  <c r="D343" i="24" a="1"/>
  <c r="D343" i="24" s="1"/>
  <c r="C343" i="24" a="1"/>
  <c r="C343" i="24" s="1"/>
  <c r="A345" i="24"/>
  <c r="B343" i="24"/>
  <c r="F343" i="24"/>
  <c r="G343" i="24"/>
  <c r="H343" i="24"/>
  <c r="E345" i="24" l="1" a="1"/>
  <c r="E345" i="24" s="1"/>
  <c r="D345" i="24" a="1"/>
  <c r="D345" i="24" s="1"/>
  <c r="C345" i="24" a="1"/>
  <c r="C345" i="24" s="1"/>
  <c r="H345" i="24"/>
  <c r="B345" i="24"/>
  <c r="A347" i="24"/>
  <c r="G345" i="24"/>
  <c r="F345" i="24"/>
  <c r="E342" i="24" a="1"/>
  <c r="E342" i="24" s="1"/>
  <c r="C342" i="24" a="1"/>
  <c r="C342" i="24" s="1"/>
  <c r="D342" i="24" a="1"/>
  <c r="D342" i="24" s="1"/>
  <c r="G342" i="24"/>
  <c r="H342" i="24"/>
  <c r="B342" i="24"/>
  <c r="F342" i="24"/>
  <c r="A344" i="24"/>
  <c r="E347" i="24" l="1" a="1"/>
  <c r="E347" i="24" s="1"/>
  <c r="D347" i="24" a="1"/>
  <c r="D347" i="24" s="1"/>
  <c r="C347" i="24" a="1"/>
  <c r="C347" i="24" s="1"/>
  <c r="A349" i="24"/>
  <c r="G347" i="24"/>
  <c r="H347" i="24"/>
  <c r="B347" i="24"/>
  <c r="F347" i="24"/>
  <c r="D344" i="24" a="1"/>
  <c r="D344" i="24" s="1"/>
  <c r="E344" i="24" a="1"/>
  <c r="E344" i="24" s="1"/>
  <c r="C344" i="24" a="1"/>
  <c r="C344" i="24" s="1"/>
  <c r="A346" i="24"/>
  <c r="F344" i="24"/>
  <c r="G344" i="24"/>
  <c r="H344" i="24"/>
  <c r="B344" i="24"/>
  <c r="E349" i="24" l="1" a="1"/>
  <c r="E349" i="24" s="1"/>
  <c r="D349" i="24" a="1"/>
  <c r="D349" i="24" s="1"/>
  <c r="C349" i="24" a="1"/>
  <c r="C349" i="24" s="1"/>
  <c r="G349" i="24"/>
  <c r="F349" i="24"/>
  <c r="H349" i="24"/>
  <c r="A351" i="24"/>
  <c r="B349" i="24"/>
  <c r="E346" i="24" a="1"/>
  <c r="E346" i="24" s="1"/>
  <c r="D346" i="24" a="1"/>
  <c r="D346" i="24" s="1"/>
  <c r="C346" i="24" a="1"/>
  <c r="C346" i="24" s="1"/>
  <c r="H346" i="24"/>
  <c r="B346" i="24"/>
  <c r="A348" i="24"/>
  <c r="G346" i="24"/>
  <c r="F346" i="24"/>
  <c r="E348" i="24" l="1" a="1"/>
  <c r="E348" i="24" s="1"/>
  <c r="D348" i="24" a="1"/>
  <c r="D348" i="24" s="1"/>
  <c r="C348" i="24" a="1"/>
  <c r="C348" i="24" s="1"/>
  <c r="A350" i="24"/>
  <c r="H348" i="24"/>
  <c r="B348" i="24"/>
  <c r="F348" i="24"/>
  <c r="G348" i="24"/>
  <c r="E351" i="24" a="1"/>
  <c r="E351" i="24" s="1"/>
  <c r="C351" i="24" a="1"/>
  <c r="C351" i="24" s="1"/>
  <c r="D351" i="24" a="1"/>
  <c r="D351" i="24" s="1"/>
  <c r="A353" i="24"/>
  <c r="F351" i="24"/>
  <c r="G351" i="24"/>
  <c r="H351" i="24"/>
  <c r="B351" i="24"/>
  <c r="E353" i="24" l="1" a="1"/>
  <c r="E353" i="24" s="1"/>
  <c r="D353" i="24" a="1"/>
  <c r="D353" i="24" s="1"/>
  <c r="C353" i="24" a="1"/>
  <c r="C353" i="24" s="1"/>
  <c r="H353" i="24"/>
  <c r="B353" i="24"/>
  <c r="G353" i="24"/>
  <c r="A355" i="24"/>
  <c r="F353" i="24"/>
  <c r="E350" i="24" a="1"/>
  <c r="E350" i="24" s="1"/>
  <c r="D350" i="24" a="1"/>
  <c r="D350" i="24" s="1"/>
  <c r="C350" i="24" a="1"/>
  <c r="C350" i="24" s="1"/>
  <c r="G350" i="24"/>
  <c r="A352" i="24"/>
  <c r="H350" i="24"/>
  <c r="B350" i="24"/>
  <c r="F350" i="24"/>
  <c r="E355" i="24" l="1" a="1"/>
  <c r="E355" i="24" s="1"/>
  <c r="C355" i="24" a="1"/>
  <c r="C355" i="24" s="1"/>
  <c r="D355" i="24" a="1"/>
  <c r="D355" i="24" s="1"/>
  <c r="A357" i="24"/>
  <c r="F355" i="24"/>
  <c r="G355" i="24"/>
  <c r="H355" i="24"/>
  <c r="B355" i="24"/>
  <c r="D352" i="24" a="1"/>
  <c r="D352" i="24" s="1"/>
  <c r="E352" i="24" a="1"/>
  <c r="E352" i="24" s="1"/>
  <c r="C352" i="24" a="1"/>
  <c r="C352" i="24" s="1"/>
  <c r="A354" i="24"/>
  <c r="F352" i="24"/>
  <c r="G352" i="24"/>
  <c r="H352" i="24"/>
  <c r="B352" i="24"/>
  <c r="E354" i="24" l="1" a="1"/>
  <c r="E354" i="24" s="1"/>
  <c r="D354" i="24" a="1"/>
  <c r="D354" i="24" s="1"/>
  <c r="C354" i="24" a="1"/>
  <c r="C354" i="24" s="1"/>
  <c r="H354" i="24"/>
  <c r="F354" i="24"/>
  <c r="G354" i="24"/>
  <c r="B354" i="24"/>
  <c r="A356" i="24"/>
  <c r="E357" i="24" a="1"/>
  <c r="E357" i="24" s="1"/>
  <c r="D357" i="24" a="1"/>
  <c r="D357" i="24" s="1"/>
  <c r="C357" i="24" a="1"/>
  <c r="C357" i="24" s="1"/>
  <c r="H357" i="24"/>
  <c r="B357" i="24"/>
  <c r="A359" i="24"/>
  <c r="F357" i="24"/>
  <c r="G357" i="24"/>
  <c r="E356" i="24" l="1" a="1"/>
  <c r="E356" i="24" s="1"/>
  <c r="D356" i="24" a="1"/>
  <c r="D356" i="24" s="1"/>
  <c r="C356" i="24" a="1"/>
  <c r="C356" i="24" s="1"/>
  <c r="A358" i="24"/>
  <c r="F356" i="24"/>
  <c r="G356" i="24"/>
  <c r="H356" i="24"/>
  <c r="B356" i="24"/>
  <c r="E359" i="24" a="1"/>
  <c r="E359" i="24" s="1"/>
  <c r="D359" i="24" a="1"/>
  <c r="D359" i="24" s="1"/>
  <c r="C359" i="24" a="1"/>
  <c r="C359" i="24" s="1"/>
  <c r="A361" i="24"/>
  <c r="F359" i="24"/>
  <c r="G359" i="24"/>
  <c r="H359" i="24"/>
  <c r="B359" i="24"/>
  <c r="D361" i="24" l="1" a="1"/>
  <c r="D361" i="24" s="1"/>
  <c r="E361" i="24" a="1"/>
  <c r="E361" i="24" s="1"/>
  <c r="C361" i="24" a="1"/>
  <c r="C361" i="24" s="1"/>
  <c r="H361" i="24"/>
  <c r="B361" i="24"/>
  <c r="F361" i="24"/>
  <c r="A363" i="24"/>
  <c r="G361" i="24"/>
  <c r="E358" i="24" a="1"/>
  <c r="E358" i="24" s="1"/>
  <c r="C358" i="24" a="1"/>
  <c r="C358" i="24" s="1"/>
  <c r="D358" i="24" a="1"/>
  <c r="D358" i="24" s="1"/>
  <c r="H358" i="24"/>
  <c r="B358" i="24"/>
  <c r="F358" i="24"/>
  <c r="A360" i="24"/>
  <c r="G358" i="24"/>
  <c r="D363" i="24" l="1" a="1"/>
  <c r="D363" i="24" s="1"/>
  <c r="E363" i="24" a="1"/>
  <c r="E363" i="24" s="1"/>
  <c r="C363" i="24" a="1"/>
  <c r="C363" i="24" s="1"/>
  <c r="A365" i="24"/>
  <c r="F363" i="24"/>
  <c r="G363" i="24"/>
  <c r="H363" i="24"/>
  <c r="B363" i="24"/>
  <c r="E360" i="24" a="1"/>
  <c r="E360" i="24" s="1"/>
  <c r="D360" i="24" a="1"/>
  <c r="D360" i="24" s="1"/>
  <c r="C360" i="24" a="1"/>
  <c r="C360" i="24" s="1"/>
  <c r="A362" i="24"/>
  <c r="F360" i="24"/>
  <c r="G360" i="24"/>
  <c r="H360" i="24"/>
  <c r="B360" i="24"/>
  <c r="E362" i="24" l="1" a="1"/>
  <c r="E362" i="24" s="1"/>
  <c r="D362" i="24" a="1"/>
  <c r="D362" i="24" s="1"/>
  <c r="C362" i="24" a="1"/>
  <c r="C362" i="24" s="1"/>
  <c r="H362" i="24"/>
  <c r="B362" i="24"/>
  <c r="F362" i="24"/>
  <c r="A364" i="24"/>
  <c r="G362" i="24"/>
  <c r="E365" i="24" a="1"/>
  <c r="E365" i="24" s="1"/>
  <c r="D365" i="24" a="1"/>
  <c r="D365" i="24" s="1"/>
  <c r="C365" i="24" a="1"/>
  <c r="C365" i="24" s="1"/>
  <c r="H365" i="24"/>
  <c r="B365" i="24"/>
  <c r="A367" i="24"/>
  <c r="G365" i="24"/>
  <c r="F365" i="24"/>
  <c r="E364" i="24" l="1" a="1"/>
  <c r="E364" i="24" s="1"/>
  <c r="D364" i="24" a="1"/>
  <c r="D364" i="24" s="1"/>
  <c r="C364" i="24" a="1"/>
  <c r="C364" i="24" s="1"/>
  <c r="A366" i="24"/>
  <c r="F364" i="24"/>
  <c r="G364" i="24"/>
  <c r="H364" i="24"/>
  <c r="B364" i="24"/>
  <c r="E367" i="24" a="1"/>
  <c r="E367" i="24" s="1"/>
  <c r="C367" i="24" a="1"/>
  <c r="C367" i="24" s="1"/>
  <c r="D367" i="24" a="1"/>
  <c r="D367" i="24" s="1"/>
  <c r="A369" i="24"/>
  <c r="F367" i="24"/>
  <c r="G367" i="24"/>
  <c r="H367" i="24"/>
  <c r="B367" i="24"/>
  <c r="C366" i="24" l="1" a="1"/>
  <c r="C366" i="24" s="1"/>
  <c r="E366" i="24" a="1"/>
  <c r="E366" i="24" s="1"/>
  <c r="D366" i="24" a="1"/>
  <c r="D366" i="24" s="1"/>
  <c r="H366" i="24"/>
  <c r="B366" i="24"/>
  <c r="A368" i="24"/>
  <c r="G366" i="24"/>
  <c r="F366" i="24"/>
  <c r="E369" i="24" a="1"/>
  <c r="E369" i="24" s="1"/>
  <c r="D369" i="24" a="1"/>
  <c r="D369" i="24" s="1"/>
  <c r="C369" i="24" a="1"/>
  <c r="C369" i="24" s="1"/>
  <c r="B369" i="24"/>
  <c r="F369" i="24"/>
  <c r="H369" i="24"/>
  <c r="A371" i="24"/>
  <c r="G369" i="24"/>
  <c r="E368" i="24" l="1" a="1"/>
  <c r="E368" i="24" s="1"/>
  <c r="D368" i="24" a="1"/>
  <c r="D368" i="24" s="1"/>
  <c r="C368" i="24" a="1"/>
  <c r="C368" i="24" s="1"/>
  <c r="A370" i="24"/>
  <c r="G368" i="24"/>
  <c r="H368" i="24"/>
  <c r="B368" i="24"/>
  <c r="F368" i="24"/>
  <c r="E371" i="24" a="1"/>
  <c r="E371" i="24" s="1"/>
  <c r="C371" i="24" a="1"/>
  <c r="C371" i="24" s="1"/>
  <c r="D371" i="24" a="1"/>
  <c r="D371" i="24" s="1"/>
  <c r="A373" i="24"/>
  <c r="G371" i="24"/>
  <c r="H371" i="24"/>
  <c r="F371" i="24"/>
  <c r="B371" i="24"/>
  <c r="E373" i="24" l="1" a="1"/>
  <c r="E373" i="24" s="1"/>
  <c r="D373" i="24" a="1"/>
  <c r="D373" i="24" s="1"/>
  <c r="C373" i="24" a="1"/>
  <c r="C373" i="24" s="1"/>
  <c r="F373" i="24"/>
  <c r="G373" i="24"/>
  <c r="A375" i="24"/>
  <c r="H373" i="24"/>
  <c r="B373" i="24"/>
  <c r="E370" i="24" a="1"/>
  <c r="E370" i="24" s="1"/>
  <c r="D370" i="24" a="1"/>
  <c r="D370" i="24" s="1"/>
  <c r="C370" i="24" a="1"/>
  <c r="C370" i="24" s="1"/>
  <c r="B370" i="24"/>
  <c r="F370" i="24"/>
  <c r="H370" i="24"/>
  <c r="G370" i="24"/>
  <c r="A372" i="24"/>
  <c r="E372" i="24" l="1" a="1"/>
  <c r="E372" i="24" s="1"/>
  <c r="C372" i="24" a="1"/>
  <c r="C372" i="24" s="1"/>
  <c r="D372" i="24" a="1"/>
  <c r="D372" i="24" s="1"/>
  <c r="A374" i="24"/>
  <c r="H372" i="24"/>
  <c r="B372" i="24"/>
  <c r="F372" i="24"/>
  <c r="G372" i="24"/>
  <c r="E375" i="24" a="1"/>
  <c r="E375" i="24" s="1"/>
  <c r="D375" i="24" a="1"/>
  <c r="D375" i="24" s="1"/>
  <c r="C375" i="24" a="1"/>
  <c r="C375" i="24" s="1"/>
  <c r="A377" i="24"/>
  <c r="B375" i="24"/>
  <c r="G375" i="24"/>
  <c r="H375" i="24"/>
  <c r="F375" i="24"/>
  <c r="E377" i="24" l="1" a="1"/>
  <c r="E377" i="24" s="1"/>
  <c r="D377" i="24" a="1"/>
  <c r="D377" i="24" s="1"/>
  <c r="C377" i="24" a="1"/>
  <c r="C377" i="24" s="1"/>
  <c r="G377" i="24"/>
  <c r="H377" i="24"/>
  <c r="A379" i="24"/>
  <c r="B377" i="24"/>
  <c r="F377" i="24"/>
  <c r="D374" i="24" a="1"/>
  <c r="D374" i="24" s="1"/>
  <c r="C374" i="24" a="1"/>
  <c r="C374" i="24" s="1"/>
  <c r="E374" i="24" a="1"/>
  <c r="E374" i="24" s="1"/>
  <c r="F374" i="24"/>
  <c r="G374" i="24"/>
  <c r="A376" i="24"/>
  <c r="H374" i="24"/>
  <c r="B374" i="24"/>
  <c r="E379" i="24" l="1" a="1"/>
  <c r="E379" i="24" s="1"/>
  <c r="D379" i="24" a="1"/>
  <c r="D379" i="24" s="1"/>
  <c r="C379" i="24" a="1"/>
  <c r="C379" i="24" s="1"/>
  <c r="A381" i="24"/>
  <c r="B379" i="24"/>
  <c r="F379" i="24"/>
  <c r="H379" i="24"/>
  <c r="G379" i="24"/>
  <c r="E376" i="24" a="1"/>
  <c r="E376" i="24" s="1"/>
  <c r="D376" i="24" a="1"/>
  <c r="D376" i="24" s="1"/>
  <c r="C376" i="24" a="1"/>
  <c r="C376" i="24" s="1"/>
  <c r="A378" i="24"/>
  <c r="H376" i="24"/>
  <c r="B376" i="24"/>
  <c r="F376" i="24"/>
  <c r="G376" i="24"/>
  <c r="D378" i="24" l="1" a="1"/>
  <c r="D378" i="24" s="1"/>
  <c r="E378" i="24" a="1"/>
  <c r="E378" i="24" s="1"/>
  <c r="C378" i="24" a="1"/>
  <c r="C378" i="24" s="1"/>
  <c r="G378" i="24"/>
  <c r="A380" i="24"/>
  <c r="H378" i="24"/>
  <c r="B378" i="24"/>
  <c r="F378" i="24"/>
  <c r="E381" i="24" a="1"/>
  <c r="E381" i="24" s="1"/>
  <c r="D381" i="24" a="1"/>
  <c r="D381" i="24" s="1"/>
  <c r="C381" i="24" a="1"/>
  <c r="C381" i="24" s="1"/>
  <c r="H381" i="24"/>
  <c r="B381" i="24"/>
  <c r="A383" i="24"/>
  <c r="G381" i="24"/>
  <c r="F381" i="24"/>
  <c r="E380" i="24" l="1" a="1"/>
  <c r="E380" i="24" s="1"/>
  <c r="D380" i="24" a="1"/>
  <c r="D380" i="24" s="1"/>
  <c r="C380" i="24" a="1"/>
  <c r="C380" i="24" s="1"/>
  <c r="A382" i="24"/>
  <c r="B380" i="24"/>
  <c r="F380" i="24"/>
  <c r="G380" i="24"/>
  <c r="H380" i="24"/>
  <c r="E383" i="24" a="1"/>
  <c r="E383" i="24" s="1"/>
  <c r="C383" i="24" a="1"/>
  <c r="C383" i="24" s="1"/>
  <c r="D383" i="24" a="1"/>
  <c r="D383" i="24" s="1"/>
  <c r="F383" i="24"/>
  <c r="G383" i="24"/>
  <c r="A385" i="24"/>
  <c r="H383" i="24"/>
  <c r="B383" i="24"/>
  <c r="E385" i="24" l="1" a="1"/>
  <c r="E385" i="24" s="1"/>
  <c r="D385" i="24" a="1"/>
  <c r="D385" i="24" s="1"/>
  <c r="C385" i="24" a="1"/>
  <c r="C385" i="24" s="1"/>
  <c r="H385" i="24"/>
  <c r="F385" i="24"/>
  <c r="B385" i="24"/>
  <c r="G385" i="24"/>
  <c r="A387" i="24"/>
  <c r="E382" i="24" a="1"/>
  <c r="E382" i="24" s="1"/>
  <c r="D382" i="24" a="1"/>
  <c r="D382" i="24" s="1"/>
  <c r="C382" i="24" a="1"/>
  <c r="C382" i="24" s="1"/>
  <c r="B382" i="24"/>
  <c r="G382" i="24"/>
  <c r="A384" i="24"/>
  <c r="H382" i="24"/>
  <c r="F382" i="24"/>
  <c r="E387" i="24" l="1" a="1"/>
  <c r="E387" i="24" s="1"/>
  <c r="D387" i="24" a="1"/>
  <c r="D387" i="24" s="1"/>
  <c r="C387" i="24" a="1"/>
  <c r="C387" i="24" s="1"/>
  <c r="A389" i="24"/>
  <c r="F387" i="24"/>
  <c r="G387" i="24"/>
  <c r="H387" i="24"/>
  <c r="B387" i="24"/>
  <c r="E384" i="24" a="1"/>
  <c r="E384" i="24" s="1"/>
  <c r="D384" i="24" a="1"/>
  <c r="D384" i="24" s="1"/>
  <c r="C384" i="24" a="1"/>
  <c r="C384" i="24" s="1"/>
  <c r="A386" i="24"/>
  <c r="F384" i="24"/>
  <c r="G384" i="24"/>
  <c r="H384" i="24"/>
  <c r="B384" i="24"/>
  <c r="E386" i="24" l="1" a="1"/>
  <c r="E386" i="24" s="1"/>
  <c r="D386" i="24" a="1"/>
  <c r="D386" i="24" s="1"/>
  <c r="C386" i="24" a="1"/>
  <c r="C386" i="24" s="1"/>
  <c r="H386" i="24"/>
  <c r="B386" i="24"/>
  <c r="A388" i="24"/>
  <c r="G386" i="24"/>
  <c r="F386" i="24"/>
  <c r="E389" i="24" a="1"/>
  <c r="E389" i="24" s="1"/>
  <c r="D389" i="24" a="1"/>
  <c r="D389" i="24" s="1"/>
  <c r="C389" i="24" a="1"/>
  <c r="C389" i="24" s="1"/>
  <c r="H389" i="24"/>
  <c r="B389" i="24"/>
  <c r="F389" i="24"/>
  <c r="A391" i="24"/>
  <c r="G389" i="24"/>
  <c r="E391" i="24" l="1" a="1"/>
  <c r="E391" i="24" s="1"/>
  <c r="D391" i="24" a="1"/>
  <c r="D391" i="24" s="1"/>
  <c r="C391" i="24" a="1"/>
  <c r="C391" i="24" s="1"/>
  <c r="A393" i="24"/>
  <c r="G391" i="24"/>
  <c r="F391" i="24"/>
  <c r="H391" i="24"/>
  <c r="B391" i="24"/>
  <c r="E388" i="24" a="1"/>
  <c r="E388" i="24" s="1"/>
  <c r="D388" i="24" a="1"/>
  <c r="D388" i="24" s="1"/>
  <c r="C388" i="24" a="1"/>
  <c r="C388" i="24" s="1"/>
  <c r="A390" i="24"/>
  <c r="F388" i="24"/>
  <c r="G388" i="24"/>
  <c r="H388" i="24"/>
  <c r="B388" i="24"/>
  <c r="E390" i="24" l="1" a="1"/>
  <c r="E390" i="24" s="1"/>
  <c r="D390" i="24" a="1"/>
  <c r="D390" i="24" s="1"/>
  <c r="C390" i="24" a="1"/>
  <c r="C390" i="24" s="1"/>
  <c r="H390" i="24"/>
  <c r="B390" i="24"/>
  <c r="F390" i="24"/>
  <c r="G390" i="24"/>
  <c r="A392" i="24"/>
  <c r="E393" i="24" a="1"/>
  <c r="E393" i="24" s="1"/>
  <c r="D393" i="24" a="1"/>
  <c r="D393" i="24" s="1"/>
  <c r="C393" i="24" a="1"/>
  <c r="C393" i="24" s="1"/>
  <c r="H393" i="24"/>
  <c r="A395" i="24"/>
  <c r="B393" i="24"/>
  <c r="F393" i="24"/>
  <c r="G393" i="24"/>
  <c r="E395" i="24" l="1" a="1"/>
  <c r="E395" i="24" s="1"/>
  <c r="D395" i="24" a="1"/>
  <c r="D395" i="24" s="1"/>
  <c r="C395" i="24" a="1"/>
  <c r="C395" i="24" s="1"/>
  <c r="A397" i="24"/>
  <c r="F395" i="24"/>
  <c r="G395" i="24"/>
  <c r="H395" i="24"/>
  <c r="B395" i="24"/>
  <c r="D392" i="24" a="1"/>
  <c r="D392" i="24" s="1"/>
  <c r="E392" i="24" a="1"/>
  <c r="E392" i="24" s="1"/>
  <c r="C392" i="24" a="1"/>
  <c r="C392" i="24" s="1"/>
  <c r="A394" i="24"/>
  <c r="F392" i="24"/>
  <c r="G392" i="24"/>
  <c r="B392" i="24"/>
  <c r="H392" i="24"/>
  <c r="E394" i="24" l="1" a="1"/>
  <c r="E394" i="24" s="1"/>
  <c r="D394" i="24" a="1"/>
  <c r="D394" i="24" s="1"/>
  <c r="C394" i="24" a="1"/>
  <c r="C394" i="24" s="1"/>
  <c r="H394" i="24"/>
  <c r="B394" i="24"/>
  <c r="A396" i="24"/>
  <c r="F394" i="24"/>
  <c r="G394" i="24"/>
  <c r="E397" i="24" a="1"/>
  <c r="E397" i="24" s="1"/>
  <c r="D397" i="24" a="1"/>
  <c r="D397" i="24" s="1"/>
  <c r="C397" i="24" a="1"/>
  <c r="C397" i="24" s="1"/>
  <c r="H397" i="24"/>
  <c r="B397" i="24"/>
  <c r="A399" i="24"/>
  <c r="G397" i="24"/>
  <c r="F397" i="24"/>
  <c r="E396" i="24" l="1" a="1"/>
  <c r="E396" i="24" s="1"/>
  <c r="D396" i="24" a="1"/>
  <c r="D396" i="24" s="1"/>
  <c r="C396" i="24" a="1"/>
  <c r="C396" i="24" s="1"/>
  <c r="A398" i="24"/>
  <c r="F396" i="24"/>
  <c r="H396" i="24"/>
  <c r="G396" i="24"/>
  <c r="B396" i="24"/>
  <c r="E399" i="24" a="1"/>
  <c r="E399" i="24" s="1"/>
  <c r="D399" i="24" a="1"/>
  <c r="D399" i="24" s="1"/>
  <c r="C399" i="24" a="1"/>
  <c r="C399" i="24" s="1"/>
  <c r="A401" i="24"/>
  <c r="F399" i="24"/>
  <c r="G399" i="24"/>
  <c r="H399" i="24"/>
  <c r="B399" i="24"/>
  <c r="E401" i="24" l="1" a="1"/>
  <c r="E401" i="24" s="1"/>
  <c r="D401" i="24" a="1"/>
  <c r="D401" i="24" s="1"/>
  <c r="C401" i="24" a="1"/>
  <c r="C401" i="24" s="1"/>
  <c r="B401" i="24"/>
  <c r="F401" i="24"/>
  <c r="G401" i="24"/>
  <c r="H401" i="24"/>
  <c r="A403" i="24"/>
  <c r="D398" i="24" a="1"/>
  <c r="D398" i="24" s="1"/>
  <c r="E398" i="24" a="1"/>
  <c r="E398" i="24" s="1"/>
  <c r="C398" i="24" a="1"/>
  <c r="C398" i="24" s="1"/>
  <c r="H398" i="24"/>
  <c r="B398" i="24"/>
  <c r="A400" i="24"/>
  <c r="G398" i="24"/>
  <c r="F398" i="24"/>
  <c r="E400" i="24" l="1" a="1"/>
  <c r="E400" i="24" s="1"/>
  <c r="D400" i="24" a="1"/>
  <c r="D400" i="24" s="1"/>
  <c r="C400" i="24" a="1"/>
  <c r="C400" i="24" s="1"/>
  <c r="A402" i="24"/>
  <c r="G400" i="24"/>
  <c r="H400" i="24"/>
  <c r="F400" i="24"/>
  <c r="B400" i="24"/>
  <c r="E403" i="24" a="1"/>
  <c r="E403" i="24" s="1"/>
  <c r="D403" i="24" a="1"/>
  <c r="D403" i="24" s="1"/>
  <c r="C403" i="24" a="1"/>
  <c r="C403" i="24" s="1"/>
  <c r="A405" i="24"/>
  <c r="G403" i="24"/>
  <c r="H403" i="24"/>
  <c r="B403" i="24"/>
  <c r="F403" i="24"/>
  <c r="E405" i="24" l="1" a="1"/>
  <c r="E405" i="24" s="1"/>
  <c r="D405" i="24" a="1"/>
  <c r="D405" i="24" s="1"/>
  <c r="C405" i="24" a="1"/>
  <c r="C405" i="24" s="1"/>
  <c r="F405" i="24"/>
  <c r="G405" i="24"/>
  <c r="A407" i="24"/>
  <c r="B405" i="24"/>
  <c r="H405" i="24"/>
  <c r="E402" i="24" a="1"/>
  <c r="E402" i="24" s="1"/>
  <c r="D402" i="24" a="1"/>
  <c r="D402" i="24" s="1"/>
  <c r="C402" i="24" a="1"/>
  <c r="C402" i="24" s="1"/>
  <c r="B402" i="24"/>
  <c r="F402" i="24"/>
  <c r="G402" i="24"/>
  <c r="H402" i="24"/>
  <c r="A404" i="24"/>
  <c r="E404" i="24" l="1" a="1"/>
  <c r="E404" i="24" s="1"/>
  <c r="C404" i="24" a="1"/>
  <c r="C404" i="24" s="1"/>
  <c r="D404" i="24" a="1"/>
  <c r="D404" i="24" s="1"/>
  <c r="A406" i="24"/>
  <c r="H404" i="24"/>
  <c r="B404" i="24"/>
  <c r="F404" i="24"/>
  <c r="G404" i="24"/>
  <c r="E407" i="24" a="1"/>
  <c r="E407" i="24" s="1"/>
  <c r="C407" i="24" a="1"/>
  <c r="C407" i="24" s="1"/>
  <c r="D407" i="24" a="1"/>
  <c r="D407" i="24" s="1"/>
  <c r="A409" i="24"/>
  <c r="H407" i="24"/>
  <c r="B407" i="24"/>
  <c r="F407" i="24"/>
  <c r="G407" i="24"/>
  <c r="E409" i="24" l="1" a="1"/>
  <c r="E409" i="24" s="1"/>
  <c r="D409" i="24" a="1"/>
  <c r="D409" i="24" s="1"/>
  <c r="C409" i="24" a="1"/>
  <c r="C409" i="24" s="1"/>
  <c r="G409" i="24"/>
  <c r="H409" i="24"/>
  <c r="A411" i="24"/>
  <c r="F409" i="24"/>
  <c r="B409" i="24"/>
  <c r="E406" i="24" a="1"/>
  <c r="E406" i="24" s="1"/>
  <c r="C406" i="24" a="1"/>
  <c r="C406" i="24" s="1"/>
  <c r="D406" i="24" a="1"/>
  <c r="D406" i="24" s="1"/>
  <c r="F406" i="24"/>
  <c r="A408" i="24"/>
  <c r="G406" i="24"/>
  <c r="H406" i="24"/>
  <c r="B406" i="24"/>
  <c r="C411" i="24" l="1" a="1"/>
  <c r="C411" i="24" s="1"/>
  <c r="E411" i="24" a="1"/>
  <c r="E411" i="24" s="1"/>
  <c r="D411" i="24" a="1"/>
  <c r="D411" i="24" s="1"/>
  <c r="A413" i="24"/>
  <c r="B411" i="24"/>
  <c r="F411" i="24"/>
  <c r="G411" i="24"/>
  <c r="H411" i="24"/>
  <c r="E408" i="24" a="1"/>
  <c r="E408" i="24" s="1"/>
  <c r="D408" i="24" a="1"/>
  <c r="D408" i="24" s="1"/>
  <c r="C408" i="24" a="1"/>
  <c r="C408" i="24" s="1"/>
  <c r="A410" i="24"/>
  <c r="B408" i="24"/>
  <c r="F408" i="24"/>
  <c r="G408" i="24"/>
  <c r="H408" i="24"/>
  <c r="D410" i="24" l="1" a="1"/>
  <c r="D410" i="24" s="1"/>
  <c r="C410" i="24" a="1"/>
  <c r="C410" i="24" s="1"/>
  <c r="E410" i="24" a="1"/>
  <c r="E410" i="24" s="1"/>
  <c r="G410" i="24"/>
  <c r="H410" i="24"/>
  <c r="F410" i="24"/>
  <c r="A412" i="24"/>
  <c r="B410" i="24"/>
  <c r="D413" i="24" a="1"/>
  <c r="D413" i="24" s="1"/>
  <c r="E413" i="24" a="1"/>
  <c r="E413" i="24" s="1"/>
  <c r="C413" i="24" a="1"/>
  <c r="C413" i="24" s="1"/>
  <c r="H413" i="24"/>
  <c r="B413" i="24"/>
  <c r="A415" i="24"/>
  <c r="F413" i="24"/>
  <c r="G413" i="24"/>
  <c r="E412" i="24" l="1" a="1"/>
  <c r="E412" i="24" s="1"/>
  <c r="D412" i="24" a="1"/>
  <c r="D412" i="24" s="1"/>
  <c r="C412" i="24" a="1"/>
  <c r="C412" i="24" s="1"/>
  <c r="A414" i="24"/>
  <c r="B412" i="24"/>
  <c r="F412" i="24"/>
  <c r="H412" i="24"/>
  <c r="G412" i="24"/>
  <c r="E415" i="24" a="1"/>
  <c r="E415" i="24" s="1"/>
  <c r="D415" i="24" a="1"/>
  <c r="D415" i="24" s="1"/>
  <c r="C415" i="24" a="1"/>
  <c r="C415" i="24" s="1"/>
  <c r="A417" i="24"/>
  <c r="F415" i="24"/>
  <c r="H415" i="24"/>
  <c r="B415" i="24"/>
  <c r="G415" i="24"/>
  <c r="D417" i="24" l="1" a="1"/>
  <c r="D417" i="24" s="1"/>
  <c r="E417" i="24" a="1"/>
  <c r="E417" i="24" s="1"/>
  <c r="C417" i="24" a="1"/>
  <c r="C417" i="24" s="1"/>
  <c r="H417" i="24"/>
  <c r="B417" i="24"/>
  <c r="F417" i="24"/>
  <c r="A419" i="24"/>
  <c r="G417" i="24"/>
  <c r="E414" i="24" a="1"/>
  <c r="E414" i="24" s="1"/>
  <c r="D414" i="24" a="1"/>
  <c r="D414" i="24" s="1"/>
  <c r="C414" i="24" a="1"/>
  <c r="C414" i="24" s="1"/>
  <c r="H414" i="24"/>
  <c r="A416" i="24"/>
  <c r="G414" i="24"/>
  <c r="B414" i="24"/>
  <c r="F414" i="24"/>
  <c r="E419" i="24" l="1" a="1"/>
  <c r="E419" i="24" s="1"/>
  <c r="D419" i="24" a="1"/>
  <c r="D419" i="24" s="1"/>
  <c r="C419" i="24" a="1"/>
  <c r="C419" i="24" s="1"/>
  <c r="A421" i="24"/>
  <c r="B419" i="24"/>
  <c r="F419" i="24"/>
  <c r="G419" i="24"/>
  <c r="H419" i="24"/>
  <c r="E416" i="24" a="1"/>
  <c r="E416" i="24" s="1"/>
  <c r="D416" i="24" a="1"/>
  <c r="D416" i="24" s="1"/>
  <c r="C416" i="24" a="1"/>
  <c r="C416" i="24" s="1"/>
  <c r="A418" i="24"/>
  <c r="B416" i="24"/>
  <c r="F416" i="24"/>
  <c r="G416" i="24"/>
  <c r="H416" i="24"/>
  <c r="E418" i="24" l="1" a="1"/>
  <c r="E418" i="24" s="1"/>
  <c r="D418" i="24" a="1"/>
  <c r="D418" i="24" s="1"/>
  <c r="C418" i="24" a="1"/>
  <c r="C418" i="24" s="1"/>
  <c r="H418" i="24"/>
  <c r="B418" i="24"/>
  <c r="F418" i="24"/>
  <c r="G418" i="24"/>
  <c r="A420" i="24"/>
  <c r="E421" i="24" a="1"/>
  <c r="E421" i="24" s="1"/>
  <c r="D421" i="24" a="1"/>
  <c r="D421" i="24" s="1"/>
  <c r="C421" i="24" a="1"/>
  <c r="C421" i="24" s="1"/>
  <c r="B421" i="24"/>
  <c r="F421" i="24"/>
  <c r="G421" i="24"/>
  <c r="H421" i="24"/>
  <c r="A423" i="24"/>
  <c r="E420" i="24" l="1" a="1"/>
  <c r="E420" i="24" s="1"/>
  <c r="D420" i="24" a="1"/>
  <c r="D420" i="24" s="1"/>
  <c r="C420" i="24" a="1"/>
  <c r="C420" i="24" s="1"/>
  <c r="A422" i="24"/>
  <c r="F420" i="24"/>
  <c r="G420" i="24"/>
  <c r="H420" i="24"/>
  <c r="B420" i="24"/>
  <c r="E423" i="24" a="1"/>
  <c r="E423" i="24" s="1"/>
  <c r="D423" i="24" a="1"/>
  <c r="D423" i="24" s="1"/>
  <c r="C423" i="24" a="1"/>
  <c r="C423" i="24" s="1"/>
  <c r="A425" i="24"/>
  <c r="B423" i="24"/>
  <c r="F423" i="24"/>
  <c r="G423" i="24"/>
  <c r="H423" i="24"/>
  <c r="E425" i="24" l="1" a="1"/>
  <c r="E425" i="24" s="1"/>
  <c r="D425" i="24" a="1"/>
  <c r="D425" i="24" s="1"/>
  <c r="C425" i="24" a="1"/>
  <c r="C425" i="24" s="1"/>
  <c r="H425" i="24"/>
  <c r="B425" i="24"/>
  <c r="G425" i="24"/>
  <c r="A427" i="24"/>
  <c r="F425" i="24"/>
  <c r="E422" i="24" a="1"/>
  <c r="E422" i="24" s="1"/>
  <c r="D422" i="24" a="1"/>
  <c r="D422" i="24" s="1"/>
  <c r="C422" i="24" a="1"/>
  <c r="C422" i="24" s="1"/>
  <c r="G422" i="24"/>
  <c r="H422" i="24"/>
  <c r="F422" i="24"/>
  <c r="B422" i="24"/>
  <c r="A424" i="24"/>
  <c r="E427" i="24" l="1" a="1"/>
  <c r="E427" i="24" s="1"/>
  <c r="C427" i="24" a="1"/>
  <c r="C427" i="24" s="1"/>
  <c r="D427" i="24" a="1"/>
  <c r="D427" i="24" s="1"/>
  <c r="A429" i="24"/>
  <c r="F427" i="24"/>
  <c r="G427" i="24"/>
  <c r="H427" i="24"/>
  <c r="B427" i="24"/>
  <c r="D424" i="24" a="1"/>
  <c r="D424" i="24" s="1"/>
  <c r="E424" i="24" a="1"/>
  <c r="E424" i="24" s="1"/>
  <c r="C424" i="24" a="1"/>
  <c r="C424" i="24" s="1"/>
  <c r="A426" i="24"/>
  <c r="B424" i="24"/>
  <c r="F424" i="24"/>
  <c r="G424" i="24"/>
  <c r="H424" i="24"/>
  <c r="E426" i="24" l="1" a="1"/>
  <c r="E426" i="24" s="1"/>
  <c r="D426" i="24" a="1"/>
  <c r="D426" i="24" s="1"/>
  <c r="C426" i="24" a="1"/>
  <c r="C426" i="24" s="1"/>
  <c r="H426" i="24"/>
  <c r="B426" i="24"/>
  <c r="A428" i="24"/>
  <c r="G426" i="24"/>
  <c r="F426" i="24"/>
  <c r="E429" i="24" a="1"/>
  <c r="E429" i="24" s="1"/>
  <c r="C429" i="24" a="1"/>
  <c r="C429" i="24" s="1"/>
  <c r="D429" i="24" a="1"/>
  <c r="D429" i="24" s="1"/>
  <c r="H429" i="24"/>
  <c r="A431" i="24"/>
  <c r="G429" i="24"/>
  <c r="F429" i="24"/>
  <c r="B429" i="24"/>
  <c r="E431" i="24" l="1" a="1"/>
  <c r="E431" i="24" s="1"/>
  <c r="D431" i="24" a="1"/>
  <c r="D431" i="24" s="1"/>
  <c r="C431" i="24" a="1"/>
  <c r="C431" i="24" s="1"/>
  <c r="A433" i="24"/>
  <c r="G431" i="24"/>
  <c r="F431" i="24"/>
  <c r="H431" i="24"/>
  <c r="B431" i="24"/>
  <c r="E428" i="24" a="1"/>
  <c r="E428" i="24" s="1"/>
  <c r="C428" i="24" a="1"/>
  <c r="C428" i="24" s="1"/>
  <c r="D428" i="24" a="1"/>
  <c r="D428" i="24" s="1"/>
  <c r="A430" i="24"/>
  <c r="F428" i="24"/>
  <c r="G428" i="24"/>
  <c r="H428" i="24"/>
  <c r="B428" i="24"/>
  <c r="E430" i="24" l="1" a="1"/>
  <c r="E430" i="24" s="1"/>
  <c r="C430" i="24" a="1"/>
  <c r="C430" i="24" s="1"/>
  <c r="D430" i="24" a="1"/>
  <c r="D430" i="24" s="1"/>
  <c r="H430" i="24"/>
  <c r="B430" i="24"/>
  <c r="F430" i="24"/>
  <c r="G430" i="24"/>
  <c r="A432" i="24"/>
  <c r="E433" i="24" a="1"/>
  <c r="E433" i="24" s="1"/>
  <c r="D433" i="24" a="1"/>
  <c r="D433" i="24" s="1"/>
  <c r="C433" i="24" a="1"/>
  <c r="C433" i="24" s="1"/>
  <c r="H433" i="24"/>
  <c r="A435" i="24"/>
  <c r="G433" i="24"/>
  <c r="B433" i="24"/>
  <c r="F433" i="24"/>
  <c r="E435" i="24" l="1" a="1"/>
  <c r="E435" i="24" s="1"/>
  <c r="D435" i="24" a="1"/>
  <c r="D435" i="24" s="1"/>
  <c r="C435" i="24" a="1"/>
  <c r="C435" i="24" s="1"/>
  <c r="A437" i="24"/>
  <c r="F435" i="24"/>
  <c r="G435" i="24"/>
  <c r="H435" i="24"/>
  <c r="B435" i="24"/>
  <c r="D432" i="24" a="1"/>
  <c r="D432" i="24" s="1"/>
  <c r="E432" i="24" a="1"/>
  <c r="E432" i="24" s="1"/>
  <c r="C432" i="24" a="1"/>
  <c r="C432" i="24" s="1"/>
  <c r="A434" i="24"/>
  <c r="F432" i="24"/>
  <c r="G432" i="24"/>
  <c r="H432" i="24"/>
  <c r="B432" i="24"/>
  <c r="E434" i="24" l="1" a="1"/>
  <c r="E434" i="24" s="1"/>
  <c r="D434" i="24" a="1"/>
  <c r="D434" i="24" s="1"/>
  <c r="C434" i="24" a="1"/>
  <c r="C434" i="24" s="1"/>
  <c r="H434" i="24"/>
  <c r="B434" i="24"/>
  <c r="G434" i="24"/>
  <c r="A436" i="24"/>
  <c r="F434" i="24"/>
  <c r="E437" i="24" a="1"/>
  <c r="E437" i="24" s="1"/>
  <c r="D437" i="24" a="1"/>
  <c r="D437" i="24" s="1"/>
  <c r="C437" i="24" a="1"/>
  <c r="C437" i="24" s="1"/>
  <c r="H437" i="24"/>
  <c r="B437" i="24"/>
  <c r="A439" i="24"/>
  <c r="F437" i="24"/>
  <c r="G437" i="24"/>
  <c r="E436" i="24" l="1" a="1"/>
  <c r="E436" i="24" s="1"/>
  <c r="D436" i="24" a="1"/>
  <c r="D436" i="24" s="1"/>
  <c r="C436" i="24" a="1"/>
  <c r="C436" i="24" s="1"/>
  <c r="A438" i="24"/>
  <c r="F436" i="24"/>
  <c r="G436" i="24"/>
  <c r="H436" i="24"/>
  <c r="B436" i="24"/>
  <c r="E439" i="24" a="1"/>
  <c r="E439" i="24" s="1"/>
  <c r="C439" i="24" a="1"/>
  <c r="C439" i="24" s="1"/>
  <c r="D439" i="24" a="1"/>
  <c r="D439" i="24" s="1"/>
  <c r="A441" i="24"/>
  <c r="F439" i="24"/>
  <c r="G439" i="24"/>
  <c r="H439" i="24"/>
  <c r="B439" i="24"/>
  <c r="E441" i="24" l="1" a="1"/>
  <c r="E441" i="24" s="1"/>
  <c r="D441" i="24" a="1"/>
  <c r="D441" i="24" s="1"/>
  <c r="C441" i="24" a="1"/>
  <c r="C441" i="24" s="1"/>
  <c r="H441" i="24"/>
  <c r="F441" i="24"/>
  <c r="G441" i="24"/>
  <c r="B441" i="24"/>
  <c r="A443" i="24"/>
  <c r="E438" i="24" a="1"/>
  <c r="E438" i="24" s="1"/>
  <c r="D438" i="24" a="1"/>
  <c r="D438" i="24" s="1"/>
  <c r="C438" i="24" a="1"/>
  <c r="C438" i="24" s="1"/>
  <c r="H438" i="24"/>
  <c r="B438" i="24"/>
  <c r="G438" i="24"/>
  <c r="A440" i="24"/>
  <c r="F438" i="24"/>
  <c r="C443" i="24" l="1" a="1"/>
  <c r="C443" i="24" s="1"/>
  <c r="D443" i="24" a="1"/>
  <c r="D443" i="24" s="1"/>
  <c r="E443" i="24" a="1"/>
  <c r="E443" i="24" s="1"/>
  <c r="A445" i="24"/>
  <c r="F443" i="24"/>
  <c r="G443" i="24"/>
  <c r="H443" i="24"/>
  <c r="B443" i="24"/>
  <c r="E440" i="24" a="1"/>
  <c r="E440" i="24" s="1"/>
  <c r="D440" i="24" a="1"/>
  <c r="D440" i="24" s="1"/>
  <c r="C440" i="24" a="1"/>
  <c r="C440" i="24" s="1"/>
  <c r="A442" i="24"/>
  <c r="F440" i="24"/>
  <c r="G440" i="24"/>
  <c r="H440" i="24"/>
  <c r="B440" i="24"/>
  <c r="E442" i="24" l="1" a="1"/>
  <c r="E442" i="24" s="1"/>
  <c r="C442" i="24" a="1"/>
  <c r="C442" i="24" s="1"/>
  <c r="D442" i="24" a="1"/>
  <c r="D442" i="24" s="1"/>
  <c r="H442" i="24"/>
  <c r="B442" i="24"/>
  <c r="G442" i="24"/>
  <c r="A444" i="24"/>
  <c r="F442" i="24"/>
  <c r="D445" i="24" a="1"/>
  <c r="D445" i="24" s="1"/>
  <c r="E445" i="24" a="1"/>
  <c r="E445" i="24" s="1"/>
  <c r="C445" i="24" a="1"/>
  <c r="C445" i="24" s="1"/>
  <c r="B445" i="24"/>
  <c r="F445" i="24"/>
  <c r="H445" i="24"/>
  <c r="G445" i="24"/>
  <c r="A447" i="24"/>
  <c r="E444" i="24" l="1" a="1"/>
  <c r="E444" i="24" s="1"/>
  <c r="D444" i="24" a="1"/>
  <c r="D444" i="24" s="1"/>
  <c r="C444" i="24" a="1"/>
  <c r="C444" i="24" s="1"/>
  <c r="A446" i="24"/>
  <c r="G444" i="24"/>
  <c r="H444" i="24"/>
  <c r="B444" i="24"/>
  <c r="F444" i="24"/>
  <c r="E447" i="24" a="1"/>
  <c r="E447" i="24" s="1"/>
  <c r="C447" i="24" a="1"/>
  <c r="C447" i="24" s="1"/>
  <c r="D447" i="24" a="1"/>
  <c r="D447" i="24" s="1"/>
  <c r="A449" i="24"/>
  <c r="G447" i="24"/>
  <c r="H447" i="24"/>
  <c r="B447" i="24"/>
  <c r="F447" i="24"/>
  <c r="D449" i="24" l="1" a="1"/>
  <c r="D449" i="24" s="1"/>
  <c r="E449" i="24" a="1"/>
  <c r="E449" i="24" s="1"/>
  <c r="C449" i="24" a="1"/>
  <c r="C449" i="24" s="1"/>
  <c r="F449" i="24"/>
  <c r="G449" i="24"/>
  <c r="A451" i="24"/>
  <c r="H449" i="24"/>
  <c r="B449" i="24"/>
  <c r="E446" i="24" a="1"/>
  <c r="E446" i="24" s="1"/>
  <c r="D446" i="24" a="1"/>
  <c r="D446" i="24" s="1"/>
  <c r="C446" i="24" a="1"/>
  <c r="C446" i="24" s="1"/>
  <c r="B446" i="24"/>
  <c r="A448" i="24"/>
  <c r="H446" i="24"/>
  <c r="F446" i="24"/>
  <c r="G446" i="24"/>
  <c r="E448" i="24" l="1" a="1"/>
  <c r="E448" i="24" s="1"/>
  <c r="D448" i="24" a="1"/>
  <c r="D448" i="24" s="1"/>
  <c r="C448" i="24" a="1"/>
  <c r="C448" i="24" s="1"/>
  <c r="A450" i="24"/>
  <c r="F448" i="24"/>
  <c r="H448" i="24"/>
  <c r="G448" i="24"/>
  <c r="B448" i="24"/>
  <c r="E451" i="24" a="1"/>
  <c r="E451" i="24" s="1"/>
  <c r="D451" i="24" a="1"/>
  <c r="D451" i="24" s="1"/>
  <c r="C451" i="24" a="1"/>
  <c r="C451" i="24" s="1"/>
  <c r="A453" i="24"/>
  <c r="H451" i="24"/>
  <c r="B451" i="24"/>
  <c r="F451" i="24"/>
  <c r="G451" i="24"/>
  <c r="E453" i="24" l="1" a="1"/>
  <c r="E453" i="24" s="1"/>
  <c r="D453" i="24" a="1"/>
  <c r="D453" i="24" s="1"/>
  <c r="C453" i="24" a="1"/>
  <c r="C453" i="24" s="1"/>
  <c r="G453" i="24"/>
  <c r="H453" i="24"/>
  <c r="F453" i="24"/>
  <c r="A455" i="24"/>
  <c r="B453" i="24"/>
  <c r="E450" i="24" a="1"/>
  <c r="E450" i="24" s="1"/>
  <c r="C450" i="24" a="1"/>
  <c r="C450" i="24" s="1"/>
  <c r="D450" i="24" a="1"/>
  <c r="D450" i="24" s="1"/>
  <c r="F450" i="24"/>
  <c r="A452" i="24"/>
  <c r="H450" i="24"/>
  <c r="G450" i="24"/>
  <c r="B450" i="24"/>
  <c r="E455" i="24" l="1" a="1"/>
  <c r="E455" i="24" s="1"/>
  <c r="D455" i="24" a="1"/>
  <c r="D455" i="24" s="1"/>
  <c r="C455" i="24" a="1"/>
  <c r="C455" i="24" s="1"/>
  <c r="A457" i="24"/>
  <c r="B455" i="24"/>
  <c r="F455" i="24"/>
  <c r="G455" i="24"/>
  <c r="H455" i="24"/>
  <c r="E452" i="24" a="1"/>
  <c r="E452" i="24" s="1"/>
  <c r="D452" i="24" a="1"/>
  <c r="D452" i="24" s="1"/>
  <c r="C452" i="24" a="1"/>
  <c r="C452" i="24" s="1"/>
  <c r="A454" i="24"/>
  <c r="B452" i="24"/>
  <c r="F452" i="24"/>
  <c r="H452" i="24"/>
  <c r="G452" i="24"/>
  <c r="E454" i="24" l="1" a="1"/>
  <c r="E454" i="24" s="1"/>
  <c r="D454" i="24" a="1"/>
  <c r="D454" i="24" s="1"/>
  <c r="C454" i="24" a="1"/>
  <c r="C454" i="24" s="1"/>
  <c r="G454" i="24"/>
  <c r="H454" i="24"/>
  <c r="A456" i="24"/>
  <c r="F454" i="24"/>
  <c r="B454" i="24"/>
  <c r="E457" i="24" a="1"/>
  <c r="E457" i="24" s="1"/>
  <c r="D457" i="24" a="1"/>
  <c r="D457" i="24" s="1"/>
  <c r="C457" i="24" a="1"/>
  <c r="C457" i="24" s="1"/>
  <c r="H457" i="24"/>
  <c r="B457" i="24"/>
  <c r="A459" i="24"/>
  <c r="F457" i="24"/>
  <c r="G457" i="24"/>
  <c r="E459" i="24" l="1" a="1"/>
  <c r="E459" i="24" s="1"/>
  <c r="C459" i="24" a="1"/>
  <c r="C459" i="24" s="1"/>
  <c r="D459" i="24" a="1"/>
  <c r="D459" i="24" s="1"/>
  <c r="A461" i="24"/>
  <c r="F459" i="24"/>
  <c r="G459" i="24"/>
  <c r="H459" i="24"/>
  <c r="B459" i="24"/>
  <c r="E456" i="24" a="1"/>
  <c r="E456" i="24" s="1"/>
  <c r="D456" i="24" a="1"/>
  <c r="D456" i="24" s="1"/>
  <c r="C456" i="24" a="1"/>
  <c r="C456" i="24" s="1"/>
  <c r="A458" i="24"/>
  <c r="B456" i="24"/>
  <c r="F456" i="24"/>
  <c r="G456" i="24"/>
  <c r="H456" i="24"/>
  <c r="E458" i="24" l="1" a="1"/>
  <c r="E458" i="24" s="1"/>
  <c r="D458" i="24" a="1"/>
  <c r="D458" i="24" s="1"/>
  <c r="C458" i="24" a="1"/>
  <c r="C458" i="24" s="1"/>
  <c r="H458" i="24"/>
  <c r="B458" i="24"/>
  <c r="F458" i="24"/>
  <c r="A460" i="24"/>
  <c r="G458" i="24"/>
  <c r="E461" i="24" a="1"/>
  <c r="E461" i="24" s="1"/>
  <c r="D461" i="24" a="1"/>
  <c r="D461" i="24" s="1"/>
  <c r="C461" i="24" a="1"/>
  <c r="C461" i="24" s="1"/>
  <c r="H461" i="24"/>
  <c r="B461" i="24"/>
  <c r="G461" i="24"/>
  <c r="A463" i="24"/>
  <c r="F461" i="24"/>
  <c r="E460" i="24" l="1" a="1"/>
  <c r="E460" i="24" s="1"/>
  <c r="C460" i="24" a="1"/>
  <c r="C460" i="24" s="1"/>
  <c r="D460" i="24" a="1"/>
  <c r="D460" i="24" s="1"/>
  <c r="A462" i="24"/>
  <c r="F460" i="24"/>
  <c r="G460" i="24"/>
  <c r="B460" i="24"/>
  <c r="H460" i="24"/>
  <c r="E463" i="24" a="1"/>
  <c r="E463" i="24" s="1"/>
  <c r="D463" i="24" a="1"/>
  <c r="D463" i="24" s="1"/>
  <c r="C463" i="24" a="1"/>
  <c r="C463" i="24" s="1"/>
  <c r="A465" i="24"/>
  <c r="G463" i="24"/>
  <c r="H463" i="24"/>
  <c r="B463" i="24"/>
  <c r="F463" i="24"/>
  <c r="D465" i="24" l="1" a="1"/>
  <c r="D465" i="24" s="1"/>
  <c r="E465" i="24" a="1"/>
  <c r="E465" i="24" s="1"/>
  <c r="C465" i="24" a="1"/>
  <c r="C465" i="24" s="1"/>
  <c r="B465" i="24"/>
  <c r="H465" i="24"/>
  <c r="G465" i="24"/>
  <c r="A467" i="24"/>
  <c r="F465" i="24"/>
  <c r="E462" i="24" a="1"/>
  <c r="E462" i="24" s="1"/>
  <c r="C462" i="24" a="1"/>
  <c r="C462" i="24" s="1"/>
  <c r="D462" i="24" a="1"/>
  <c r="D462" i="24" s="1"/>
  <c r="B462" i="24"/>
  <c r="H462" i="24"/>
  <c r="F462" i="24"/>
  <c r="A464" i="24"/>
  <c r="G462" i="24"/>
  <c r="E467" i="24" l="1" a="1"/>
  <c r="E467" i="24" s="1"/>
  <c r="D467" i="24" a="1"/>
  <c r="D467" i="24" s="1"/>
  <c r="C467" i="24" a="1"/>
  <c r="C467" i="24" s="1"/>
  <c r="A469" i="24"/>
  <c r="F467" i="24"/>
  <c r="G467" i="24"/>
  <c r="H467" i="24"/>
  <c r="B467" i="24"/>
  <c r="E464" i="24" a="1"/>
  <c r="E464" i="24" s="1"/>
  <c r="D464" i="24" a="1"/>
  <c r="D464" i="24" s="1"/>
  <c r="C464" i="24" a="1"/>
  <c r="C464" i="24" s="1"/>
  <c r="A466" i="24"/>
  <c r="F464" i="24"/>
  <c r="G464" i="24"/>
  <c r="H464" i="24"/>
  <c r="B464" i="24"/>
  <c r="E469" i="24" l="1" a="1"/>
  <c r="E469" i="24" s="1"/>
  <c r="D469" i="24" a="1"/>
  <c r="D469" i="24" s="1"/>
  <c r="C469" i="24" a="1"/>
  <c r="C469" i="24" s="1"/>
  <c r="H469" i="24"/>
  <c r="B469" i="24"/>
  <c r="A471" i="24"/>
  <c r="F469" i="24"/>
  <c r="G469" i="24"/>
  <c r="D466" i="24" a="1"/>
  <c r="D466" i="24" s="1"/>
  <c r="E466" i="24" a="1"/>
  <c r="E466" i="24" s="1"/>
  <c r="C466" i="24" a="1"/>
  <c r="C466" i="24" s="1"/>
  <c r="H466" i="24"/>
  <c r="B466" i="24"/>
  <c r="F466" i="24"/>
  <c r="A468" i="24"/>
  <c r="G466" i="24"/>
  <c r="E468" i="24" l="1" a="1"/>
  <c r="E468" i="24" s="1"/>
  <c r="D468" i="24" a="1"/>
  <c r="D468" i="24" s="1"/>
  <c r="C468" i="24" a="1"/>
  <c r="C468" i="24" s="1"/>
  <c r="A470" i="24"/>
  <c r="F468" i="24"/>
  <c r="G468" i="24"/>
  <c r="B468" i="24"/>
  <c r="H468" i="24"/>
  <c r="E471" i="24" a="1"/>
  <c r="E471" i="24" s="1"/>
  <c r="C471" i="24" a="1"/>
  <c r="C471" i="24" s="1"/>
  <c r="D471" i="24" a="1"/>
  <c r="D471" i="24" s="1"/>
  <c r="A473" i="24"/>
  <c r="G471" i="24"/>
  <c r="H471" i="24"/>
  <c r="B471" i="24"/>
  <c r="F471" i="24"/>
  <c r="C473" i="24" l="1" a="1"/>
  <c r="C473" i="24" s="1"/>
  <c r="E473" i="24" a="1"/>
  <c r="E473" i="24" s="1"/>
  <c r="D473" i="24" a="1"/>
  <c r="D473" i="24" s="1"/>
  <c r="H473" i="24"/>
  <c r="B473" i="24"/>
  <c r="G473" i="24"/>
  <c r="A475" i="24"/>
  <c r="F473" i="24"/>
  <c r="E470" i="24" a="1"/>
  <c r="E470" i="24" s="1"/>
  <c r="D470" i="24" a="1"/>
  <c r="D470" i="24" s="1"/>
  <c r="C470" i="24" a="1"/>
  <c r="C470" i="24" s="1"/>
  <c r="H470" i="24"/>
  <c r="B470" i="24"/>
  <c r="A472" i="24"/>
  <c r="F470" i="24"/>
  <c r="G470" i="24"/>
  <c r="E475" i="24" l="1" a="1"/>
  <c r="E475" i="24" s="1"/>
  <c r="D475" i="24" a="1"/>
  <c r="D475" i="24" s="1"/>
  <c r="C475" i="24" a="1"/>
  <c r="C475" i="24" s="1"/>
  <c r="A477" i="24"/>
  <c r="F475" i="24"/>
  <c r="G475" i="24"/>
  <c r="H475" i="24"/>
  <c r="B475" i="24"/>
  <c r="E472" i="24" a="1"/>
  <c r="E472" i="24" s="1"/>
  <c r="D472" i="24" a="1"/>
  <c r="D472" i="24" s="1"/>
  <c r="C472" i="24" a="1"/>
  <c r="C472" i="24" s="1"/>
  <c r="A474" i="24"/>
  <c r="F472" i="24"/>
  <c r="G472" i="24"/>
  <c r="B472" i="24"/>
  <c r="H472" i="24"/>
  <c r="E474" i="24" l="1" a="1"/>
  <c r="E474" i="24" s="1"/>
  <c r="D474" i="24" a="1"/>
  <c r="D474" i="24" s="1"/>
  <c r="C474" i="24" a="1"/>
  <c r="C474" i="24" s="1"/>
  <c r="H474" i="24"/>
  <c r="A476" i="24"/>
  <c r="G474" i="24"/>
  <c r="B474" i="24"/>
  <c r="F474" i="24"/>
  <c r="E477" i="24" a="1"/>
  <c r="E477" i="24" s="1"/>
  <c r="D477" i="24" a="1"/>
  <c r="D477" i="24" s="1"/>
  <c r="C477" i="24" a="1"/>
  <c r="C477" i="24" s="1"/>
  <c r="B477" i="24"/>
  <c r="F477" i="24"/>
  <c r="A479" i="24"/>
  <c r="G477" i="24"/>
  <c r="H477" i="24"/>
  <c r="E479" i="24" l="1" a="1"/>
  <c r="E479" i="24" s="1"/>
  <c r="C479" i="24" a="1"/>
  <c r="C479" i="24" s="1"/>
  <c r="D479" i="24" a="1"/>
  <c r="D479" i="24" s="1"/>
  <c r="A481" i="24"/>
  <c r="G479" i="24"/>
  <c r="H479" i="24"/>
  <c r="B479" i="24"/>
  <c r="F479" i="24"/>
  <c r="E476" i="24" a="1"/>
  <c r="E476" i="24" s="1"/>
  <c r="D476" i="24" a="1"/>
  <c r="D476" i="24" s="1"/>
  <c r="C476" i="24" a="1"/>
  <c r="C476" i="24" s="1"/>
  <c r="A478" i="24"/>
  <c r="G476" i="24"/>
  <c r="H476" i="24"/>
  <c r="B476" i="24"/>
  <c r="F476" i="24"/>
  <c r="B4" i="38"/>
  <c r="E478" i="24" l="1" a="1"/>
  <c r="E478" i="24" s="1"/>
  <c r="C478" i="24" a="1"/>
  <c r="C478" i="24" s="1"/>
  <c r="D478" i="24" a="1"/>
  <c r="D478" i="24" s="1"/>
  <c r="B478" i="24"/>
  <c r="F478" i="24"/>
  <c r="A480" i="24"/>
  <c r="H478" i="24"/>
  <c r="G478" i="24"/>
  <c r="E481" i="24" a="1"/>
  <c r="E481" i="24" s="1"/>
  <c r="C481" i="24" a="1"/>
  <c r="C481" i="24" s="1"/>
  <c r="D481" i="24" a="1"/>
  <c r="D481" i="24" s="1"/>
  <c r="F481" i="24"/>
  <c r="G481" i="24"/>
  <c r="H481" i="24"/>
  <c r="B481" i="24"/>
  <c r="A483" i="24"/>
  <c r="E480" i="24" l="1" a="1"/>
  <c r="E480" i="24" s="1"/>
  <c r="D480" i="24" a="1"/>
  <c r="D480" i="24" s="1"/>
  <c r="C480" i="24" a="1"/>
  <c r="C480" i="24" s="1"/>
  <c r="A482" i="24"/>
  <c r="H480" i="24"/>
  <c r="B480" i="24"/>
  <c r="F480" i="24"/>
  <c r="G480" i="24"/>
  <c r="E483" i="24" a="1"/>
  <c r="E483" i="24" s="1"/>
  <c r="D483" i="24" a="1"/>
  <c r="D483" i="24" s="1"/>
  <c r="C483" i="24" a="1"/>
  <c r="C483" i="24" s="1"/>
  <c r="A485" i="24"/>
  <c r="H483" i="24"/>
  <c r="B483" i="24"/>
  <c r="F483" i="24"/>
  <c r="G483" i="24"/>
  <c r="E485" i="24" l="1" a="1"/>
  <c r="E485" i="24" s="1"/>
  <c r="D485" i="24" a="1"/>
  <c r="D485" i="24" s="1"/>
  <c r="C485" i="24" a="1"/>
  <c r="C485" i="24" s="1"/>
  <c r="G485" i="24"/>
  <c r="H485" i="24"/>
  <c r="F485" i="24"/>
  <c r="B485" i="24"/>
  <c r="A487" i="24"/>
  <c r="E482" i="24" a="1"/>
  <c r="E482" i="24" s="1"/>
  <c r="D482" i="24" a="1"/>
  <c r="D482" i="24" s="1"/>
  <c r="C482" i="24" a="1"/>
  <c r="C482" i="24" s="1"/>
  <c r="F482" i="24"/>
  <c r="G482" i="24"/>
  <c r="H482" i="24"/>
  <c r="B482" i="24"/>
  <c r="A484" i="24"/>
  <c r="D484" i="24" l="1" a="1"/>
  <c r="D484" i="24" s="1"/>
  <c r="E484" i="24" a="1"/>
  <c r="E484" i="24" s="1"/>
  <c r="C484" i="24" a="1"/>
  <c r="C484" i="24" s="1"/>
  <c r="A486" i="24"/>
  <c r="B484" i="24"/>
  <c r="F484" i="24"/>
  <c r="G484" i="24"/>
  <c r="H484" i="24"/>
  <c r="E487" i="24" a="1"/>
  <c r="E487" i="24" s="1"/>
  <c r="C487" i="24" a="1"/>
  <c r="C487" i="24" s="1"/>
  <c r="D487" i="24" a="1"/>
  <c r="D487" i="24" s="1"/>
  <c r="A489" i="24"/>
  <c r="B487" i="24"/>
  <c r="F487" i="24"/>
  <c r="G487" i="24"/>
  <c r="H487" i="24"/>
  <c r="B20" i="20"/>
  <c r="C489" i="24" l="1" a="1"/>
  <c r="C489" i="24" s="1"/>
  <c r="E489" i="24" a="1"/>
  <c r="E489" i="24" s="1"/>
  <c r="D489" i="24" a="1"/>
  <c r="D489" i="24" s="1"/>
  <c r="H489" i="24"/>
  <c r="B489" i="24"/>
  <c r="F489" i="24"/>
  <c r="A491" i="24"/>
  <c r="G489" i="24"/>
  <c r="E486" i="24" a="1"/>
  <c r="E486" i="24" s="1"/>
  <c r="D486" i="24" a="1"/>
  <c r="D486" i="24" s="1"/>
  <c r="C486" i="24" a="1"/>
  <c r="C486" i="24" s="1"/>
  <c r="H486" i="24"/>
  <c r="A488" i="24"/>
  <c r="B486" i="24"/>
  <c r="G486" i="24"/>
  <c r="F486" i="24"/>
  <c r="E491" i="24" l="1" a="1"/>
  <c r="E491" i="24" s="1"/>
  <c r="D491" i="24" a="1"/>
  <c r="D491" i="24" s="1"/>
  <c r="C491" i="24" a="1"/>
  <c r="C491" i="24" s="1"/>
  <c r="A493" i="24"/>
  <c r="B491" i="24"/>
  <c r="F491" i="24"/>
  <c r="G491" i="24"/>
  <c r="H491" i="24"/>
  <c r="E488" i="24" a="1"/>
  <c r="E488" i="24" s="1"/>
  <c r="D488" i="24" a="1"/>
  <c r="D488" i="24" s="1"/>
  <c r="C488" i="24" a="1"/>
  <c r="C488" i="24" s="1"/>
  <c r="A490" i="24"/>
  <c r="H488" i="24"/>
  <c r="B488" i="24"/>
  <c r="F488" i="24"/>
  <c r="G488" i="24"/>
  <c r="B23" i="20"/>
  <c r="B4" i="23"/>
  <c r="D490" i="24" l="1" a="1"/>
  <c r="D490" i="24" s="1"/>
  <c r="C490" i="24" a="1"/>
  <c r="C490" i="24" s="1"/>
  <c r="E490" i="24" a="1"/>
  <c r="E490" i="24" s="1"/>
  <c r="H490" i="24"/>
  <c r="B490" i="24"/>
  <c r="A492" i="24"/>
  <c r="G490" i="24"/>
  <c r="F490" i="24"/>
  <c r="E493" i="24" a="1"/>
  <c r="E493" i="24" s="1"/>
  <c r="D493" i="24" a="1"/>
  <c r="D493" i="24" s="1"/>
  <c r="C493" i="24" a="1"/>
  <c r="C493" i="24" s="1"/>
  <c r="H493" i="24"/>
  <c r="B493" i="24"/>
  <c r="A495" i="24"/>
  <c r="G493" i="24"/>
  <c r="F493" i="24"/>
  <c r="E495" i="24" l="1" a="1"/>
  <c r="E495" i="24" s="1"/>
  <c r="D495" i="24" a="1"/>
  <c r="D495" i="24" s="1"/>
  <c r="C495" i="24" a="1"/>
  <c r="C495" i="24" s="1"/>
  <c r="A497" i="24"/>
  <c r="F495" i="24"/>
  <c r="H495" i="24"/>
  <c r="B495" i="24"/>
  <c r="G495" i="24"/>
  <c r="E492" i="24" a="1"/>
  <c r="E492" i="24" s="1"/>
  <c r="D492" i="24" a="1"/>
  <c r="D492" i="24" s="1"/>
  <c r="C492" i="24" a="1"/>
  <c r="C492" i="24" s="1"/>
  <c r="A494" i="24"/>
  <c r="F492" i="24"/>
  <c r="G492" i="24"/>
  <c r="H492" i="24"/>
  <c r="B492" i="24"/>
  <c r="B9" i="9"/>
  <c r="E497" i="24" l="1" a="1"/>
  <c r="E497" i="24" s="1"/>
  <c r="C497" i="24" a="1"/>
  <c r="C497" i="24" s="1"/>
  <c r="D497" i="24" a="1"/>
  <c r="D497" i="24" s="1"/>
  <c r="H497" i="24"/>
  <c r="B497" i="24"/>
  <c r="A499" i="24"/>
  <c r="G497" i="24"/>
  <c r="F497" i="24"/>
  <c r="E494" i="24" a="1"/>
  <c r="E494" i="24" s="1"/>
  <c r="D494" i="24" a="1"/>
  <c r="D494" i="24" s="1"/>
  <c r="C494" i="24" a="1"/>
  <c r="C494" i="24" s="1"/>
  <c r="H494" i="24"/>
  <c r="B494" i="24"/>
  <c r="A496" i="24"/>
  <c r="F494" i="24"/>
  <c r="G494" i="24"/>
  <c r="Q12" i="20" a="1"/>
  <c r="Q12" i="20" s="1"/>
  <c r="C60" i="38" s="1"/>
  <c r="Q11" i="20" a="1"/>
  <c r="Q11" i="20" s="1"/>
  <c r="B60" i="38" s="1"/>
  <c r="BA14" i="20" a="1"/>
  <c r="BA5" i="20" a="1"/>
  <c r="B62" i="38" l="1"/>
  <c r="E499" i="24" a="1"/>
  <c r="E499" i="24" s="1"/>
  <c r="D499" i="24" a="1"/>
  <c r="D499" i="24" s="1"/>
  <c r="C499" i="24" a="1"/>
  <c r="C499" i="24" s="1"/>
  <c r="F499" i="24"/>
  <c r="G499" i="24"/>
  <c r="H499" i="24"/>
  <c r="B499" i="24"/>
  <c r="E496" i="24" a="1"/>
  <c r="E496" i="24" s="1"/>
  <c r="D496" i="24" a="1"/>
  <c r="D496" i="24" s="1"/>
  <c r="C496" i="24" a="1"/>
  <c r="C496" i="24" s="1"/>
  <c r="A498" i="24"/>
  <c r="F496" i="24"/>
  <c r="G496" i="24"/>
  <c r="H496" i="24"/>
  <c r="B496" i="24"/>
  <c r="BA14" i="20"/>
  <c r="BA5" i="20"/>
  <c r="BA7" i="20" a="1"/>
  <c r="BA6" i="20" a="1"/>
  <c r="BA8" i="20" a="1"/>
  <c r="BA4" i="20" a="1"/>
  <c r="BA8" i="20" l="1"/>
  <c r="BA6" i="20"/>
  <c r="E498" i="24" a="1"/>
  <c r="E498" i="24" s="1"/>
  <c r="D498" i="24" a="1"/>
  <c r="D498" i="24" s="1"/>
  <c r="C498" i="24" a="1"/>
  <c r="C498" i="24" s="1"/>
  <c r="B498" i="24"/>
  <c r="H498" i="24"/>
  <c r="A500" i="24"/>
  <c r="F498" i="24"/>
  <c r="G498" i="24"/>
  <c r="BA4" i="20"/>
  <c r="BA7" i="20"/>
  <c r="BA3" i="20" a="1"/>
  <c r="E500" i="24" l="1" a="1"/>
  <c r="E500" i="24" s="1"/>
  <c r="D500" i="24" a="1"/>
  <c r="D500" i="24" s="1"/>
  <c r="C500" i="24" a="1"/>
  <c r="C500" i="24" s="1"/>
  <c r="F500" i="24"/>
  <c r="H500" i="24"/>
  <c r="B500" i="24"/>
  <c r="G500" i="24"/>
  <c r="BA3" i="20"/>
  <c r="Q10" i="20" a="1"/>
  <c r="Q10" i="20" s="1"/>
  <c r="B53" i="38" s="1"/>
  <c r="Q9" i="20" a="1"/>
  <c r="Q9" i="20" s="1"/>
  <c r="B52" i="38" s="1"/>
  <c r="Q6" i="20" a="1"/>
  <c r="Q6" i="20" s="1"/>
  <c r="B49" i="38" s="1"/>
  <c r="C2" i="12"/>
  <c r="B2" i="12" l="1"/>
  <c r="A2" i="12"/>
  <c r="D71" i="20"/>
  <c r="D62" i="20"/>
  <c r="AY14" i="20" l="1" a="1"/>
  <c r="AY14" i="20" s="1"/>
  <c r="J62" i="38" s="1"/>
  <c r="Q7" i="20" a="1"/>
  <c r="Q7" i="20" s="1"/>
  <c r="B50" i="38" s="1"/>
  <c r="Q8" i="20" a="1"/>
  <c r="Q8" i="20" s="1"/>
  <c r="B51" i="38" s="1"/>
  <c r="AY3" i="20" l="1" a="1"/>
  <c r="AY3" i="20" s="1"/>
  <c r="J23" i="38" s="1"/>
  <c r="D11" i="20"/>
  <c r="D32" i="20"/>
  <c r="D2" i="12" s="1"/>
  <c r="Q2" i="20" l="1" a="1"/>
  <c r="Q2" i="20" s="1"/>
  <c r="B35" i="38" s="1"/>
  <c r="Q5" i="20" a="1"/>
  <c r="Q5" i="20" s="1"/>
  <c r="B48" i="38" s="1"/>
  <c r="Q4" i="20" a="1"/>
  <c r="Q4" i="20" s="1"/>
  <c r="B47" i="38" s="1"/>
  <c r="B39" i="38" l="1"/>
  <c r="B38" i="38"/>
  <c r="B40" i="38"/>
  <c r="AY5" i="20" a="1"/>
  <c r="AY5" i="20" s="1"/>
  <c r="J25" i="38" s="1"/>
  <c r="AY4" i="20" a="1"/>
  <c r="AY4" i="20" s="1"/>
  <c r="J24" i="38" s="1"/>
  <c r="B17" i="20" l="1"/>
  <c r="Q3" i="20" a="1"/>
  <c r="Q3" i="20" s="1"/>
  <c r="B46" i="38" s="1"/>
  <c r="BA10" i="20" a="1"/>
  <c r="BA13" i="20" a="1"/>
  <c r="BA9" i="20" a="1"/>
  <c r="BA11" i="20" a="1"/>
  <c r="BA12" i="20" a="1"/>
  <c r="BA13" i="20" l="1"/>
  <c r="BA10" i="20"/>
  <c r="AY10" i="20" s="1" a="1"/>
  <c r="AY10" i="20" s="1"/>
  <c r="J39" i="38" s="1"/>
  <c r="BA9" i="20"/>
  <c r="AY9" i="20" s="1" a="1"/>
  <c r="AY9" i="20" s="1"/>
  <c r="J38" i="38" s="1"/>
  <c r="BA11" i="20"/>
  <c r="AY11" i="20" s="1" a="1"/>
  <c r="AY11" i="20" s="1"/>
  <c r="J40" i="38" s="1"/>
  <c r="BA12" i="20"/>
  <c r="BA2" i="20" a="1"/>
  <c r="BA2" i="20" l="1"/>
  <c r="AY2" i="20" s="1" a="1"/>
  <c r="AY2" i="20" s="1"/>
  <c r="J22" i="38" s="1"/>
  <c r="AY8" i="20" a="1"/>
  <c r="AY8" i="20" s="1"/>
  <c r="J28" i="38" s="1"/>
  <c r="AY6" i="20" a="1"/>
  <c r="AY6" i="20" s="1"/>
  <c r="J26" i="38" s="1"/>
  <c r="AY7" i="20" l="1" a="1"/>
  <c r="AY7" i="20" s="1"/>
  <c r="J27" i="38" s="1"/>
  <c r="AY12" i="20" l="1" a="1"/>
  <c r="AY12" i="20" s="1"/>
  <c r="J41" i="38" s="1"/>
  <c r="AY13" i="20" l="1" a="1"/>
  <c r="AY13" i="20" s="1"/>
  <c r="J55" i="38" s="1"/>
  <c r="C22" i="23" l="1"/>
  <c r="C21" i="23"/>
  <c r="C20" i="23"/>
  <c r="C14" i="23" l="1"/>
  <c r="C16" i="23"/>
  <c r="C15" i="23"/>
  <c r="C13" i="23" l="1"/>
  <c r="C12" i="23"/>
  <c r="C17" i="23"/>
  <c r="C11" i="23" l="1"/>
  <c r="C18" i="23" l="1"/>
  <c r="K4" i="20"/>
  <c r="C19" i="23" l="1"/>
  <c r="K3" i="20"/>
  <c r="C10" i="23"/>
  <c r="D14" i="20" l="1"/>
  <c r="K2" i="20"/>
  <c r="C6" i="23"/>
  <c r="C7" i="2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<sst xmlns="http://schemas.openxmlformats.org/spreadsheetml/2006/main" count="1935" uniqueCount="1163">
  <si>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</si>
  <si>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</si>
  <si>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</si>
  <si>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</si>
  <si>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</si>
  <si>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</si>
  <si>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</si>
  <si>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</si>
  <si>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</si>
  <si>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</si>
  <si>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</si>
  <si>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</si>
  <si>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</si>
  <si>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</si>
  <si>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</si>
  <si>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</si>
  <si>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</si>
  <si>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</si>
  <si>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</si>
  <si>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A1:G141</t>
  </si>
  <si>
    <t>No</t>
  </si>
  <si>
    <t>Instructions</t>
  </si>
  <si>
    <t>X Position</t>
  </si>
  <si>
    <t>Y Position</t>
  </si>
  <si>
    <t>Mouse Moves</t>
  </si>
  <si>
    <t>Data Tables?</t>
  </si>
  <si>
    <t>Use Values</t>
  </si>
  <si>
    <t>Generated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</si>
  <si>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</si>
  <si>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</si>
  <si>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</si>
  <si>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</si>
  <si>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</si>
  <si>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</si>
  <si>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</si>
  <si>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</si>
  <si>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</si>
  <si>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</si>
  <si>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</si>
  <si>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</si>
  <si>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</si>
  <si>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</si>
  <si>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</si>
  <si>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</si>
  <si>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</si>
  <si>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</si>
  <si>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</si>
  <si>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</si>
  <si>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</si>
  <si>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</si>
  <si>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</si>
  <si>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</si>
  <si>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</si>
  <si>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</si>
  <si>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</si>
  <si>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</si>
  <si>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</si>
  <si>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</si>
  <si>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</si>
  <si>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</si>
  <si>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</si>
  <si>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</si>
  <si>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</si>
  <si>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</si>
  <si>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</si>
  <si>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</si>
  <si>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</si>
  <si>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</si>
  <si>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</si>
  <si>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</si>
  <si>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</si>
  <si>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Random Method</t>
  </si>
  <si>
    <t>Random Scenario</t>
  </si>
  <si>
    <t>Num Random Scenarios</t>
  </si>
  <si>
    <t>Scenario Update</t>
  </si>
  <si>
    <t>Number of Answers</t>
  </si>
  <si>
    <t>Correct?</t>
  </si>
  <si>
    <t>Total Time</t>
  </si>
  <si>
    <t>Live Version?</t>
  </si>
  <si>
    <t>Version Notes</t>
  </si>
  <si>
    <t>V5 Implemented 11-30-2021 to count number of activations instead of preventing copy-paste</t>
  </si>
  <si>
    <t>V6 Implemented 12-14-2021 to refresh values before progressing and track total time in spreadsheet</t>
  </si>
  <si>
    <t>Spreadsheet Activations</t>
  </si>
  <si>
    <t>Last Time</t>
  </si>
  <si>
    <t>Total Time (seconds)</t>
  </si>
  <si>
    <t>ProblemType</t>
  </si>
  <si>
    <t>WorksheetName</t>
  </si>
  <si>
    <t>Range</t>
  </si>
  <si>
    <t>Comparison</t>
  </si>
  <si>
    <t>Grade</t>
  </si>
  <si>
    <t>CorrectFeedback</t>
  </si>
  <si>
    <t>IncorrectFeedback</t>
  </si>
  <si>
    <t>CELL</t>
  </si>
  <si>
    <t>Tab</t>
  </si>
  <si>
    <t>Cell</t>
  </si>
  <si>
    <t>Check Cell</t>
  </si>
  <si>
    <t>Correct Answers:</t>
  </si>
  <si>
    <t>Percentage:</t>
  </si>
  <si>
    <t>Correct</t>
  </si>
  <si>
    <t>Incorrect</t>
  </si>
  <si>
    <t>Question Results</t>
  </si>
  <si>
    <t>https://www.linkedin.com/sharing/share-offsite/?url=https://www.fmworldcup.com/microsoft-excel-collegiate-challenge/</t>
  </si>
  <si>
    <t>https://www.fmworldcup.com/microsoft-excel-collegiate-challenge/</t>
  </si>
  <si>
    <t>Best Time Elapsed</t>
  </si>
  <si>
    <t>Best Penalty Count</t>
  </si>
  <si>
    <t>Best Total Time</t>
  </si>
  <si>
    <t>Total Time in Spreadsheet</t>
  </si>
  <si>
    <t>MOEValue(.0001)</t>
  </si>
  <si>
    <t>C10</t>
  </si>
  <si>
    <t>C11</t>
  </si>
  <si>
    <t>C12</t>
  </si>
  <si>
    <t>C13</t>
  </si>
  <si>
    <t>C14</t>
  </si>
  <si>
    <t>C15</t>
  </si>
  <si>
    <t>C16</t>
  </si>
  <si>
    <t>C17</t>
  </si>
  <si>
    <t>C18</t>
  </si>
  <si>
    <t>C19</t>
  </si>
  <si>
    <t>C20</t>
  </si>
  <si>
    <t>C21</t>
  </si>
  <si>
    <t>C22</t>
  </si>
  <si>
    <t>V7 Implemented 5-13-2023 to only use one answer key that is based on the Questions Results tab so value checking is done internally</t>
  </si>
  <si>
    <t>V7 also updated CheckAnswer to correctly identify blank cells as incorrect</t>
  </si>
  <si>
    <t>Microsoft Excel Collegiate Challenge</t>
  </si>
  <si>
    <t>David Brown</t>
  </si>
  <si>
    <t>General Instructions</t>
  </si>
  <si>
    <t>Case Author</t>
  </si>
  <si>
    <t>Walkthrough Video</t>
  </si>
  <si>
    <t>Need Link</t>
  </si>
  <si>
    <t>Individual Questions</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</si>
  <si>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</si>
  <si>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</si>
  <si>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</si>
  <si>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</si>
  <si>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</si>
  <si>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</si>
  <si>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</si>
  <si>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</si>
  <si>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</si>
  <si>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</si>
  <si>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</si>
  <si>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</si>
  <si>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Unblock Guide</t>
  </si>
  <si>
    <t>A1:XFD1048576</t>
  </si>
  <si>
    <t>Case Questions</t>
  </si>
  <si>
    <t>Cleaning Up Fantasy Football</t>
  </si>
  <si>
    <t>PLAYER</t>
  </si>
  <si>
    <t>GP</t>
  </si>
  <si>
    <t>ATT</t>
  </si>
  <si>
    <t>CMP</t>
  </si>
  <si>
    <t>YDS</t>
  </si>
  <si>
    <t>YDS/G</t>
  </si>
  <si>
    <t>TD</t>
  </si>
  <si>
    <t>INT</t>
  </si>
  <si>
    <t>RATE</t>
  </si>
  <si>
    <t>AVG</t>
  </si>
  <si>
    <t>TGT</t>
  </si>
  <si>
    <t>REC</t>
  </si>
  <si>
    <t>FL</t>
  </si>
  <si>
    <t>FPTS</t>
  </si>
  <si>
    <t>FPPG</t>
  </si>
  <si>
    <t>PASSING</t>
  </si>
  <si>
    <t>RUSHING</t>
  </si>
  <si>
    <t>RECEIVING</t>
  </si>
  <si>
    <t>MISC.</t>
  </si>
  <si>
    <t>TOTALS</t>
  </si>
  <si>
    <t>Justin Jefferson WR  MIN</t>
  </si>
  <si>
    <t>Cooper Kupp WR  LAR</t>
  </si>
  <si>
    <t>Davante Adams WR  LV</t>
  </si>
  <si>
    <t>Ja'Marr Chase WR  CIN</t>
  </si>
  <si>
    <t>Tyreek Hill WR  MIA</t>
  </si>
  <si>
    <t>A.J. Brown WR  PHI</t>
  </si>
  <si>
    <t>CeeDee Lamb WR  DAL</t>
  </si>
  <si>
    <t>Amon-Ra St. Brown WR  DET</t>
  </si>
  <si>
    <t>Garrett Wilson WR  NYJ</t>
  </si>
  <si>
    <t>Jaylen Waddle WR  MIA</t>
  </si>
  <si>
    <t>DeVonta Smith WR  PHI</t>
  </si>
  <si>
    <t>Tee Higgins WR  CIN</t>
  </si>
  <si>
    <t>Amari Cooper WR  CLE</t>
  </si>
  <si>
    <t>Deebo Samuel WR  SF</t>
  </si>
  <si>
    <t>Chris Olave WR  NO</t>
  </si>
  <si>
    <t>Chris Godwin WR  TB</t>
  </si>
  <si>
    <t>Christian Watson WR  GB</t>
  </si>
  <si>
    <t>Drake London WR  ATL</t>
  </si>
  <si>
    <t>Mike Evans WR  TB</t>
  </si>
  <si>
    <t>DK Metcalf WR  SEA</t>
  </si>
  <si>
    <t>George Pickens WR  PIT</t>
  </si>
  <si>
    <t>Christian Kirk WR  JAC</t>
  </si>
  <si>
    <t>Terry McLaurin WR  WAS</t>
  </si>
  <si>
    <t>Tyler Lockett WR  SEA</t>
  </si>
  <si>
    <t>Jordan Addison WR  MIN</t>
  </si>
  <si>
    <t>Brandon Aiyuk WR  SF</t>
  </si>
  <si>
    <t>Jahan Dotson WR  WAS</t>
  </si>
  <si>
    <t>Brandin Cooks WR  DAL</t>
  </si>
  <si>
    <t>Jakobi Meyers WR  LV</t>
  </si>
  <si>
    <t>Courtland Sutton WR  DEN</t>
  </si>
  <si>
    <t>Tim Patrick WR  DEN</t>
  </si>
  <si>
    <t>Romeo Doubs WR  GB</t>
  </si>
  <si>
    <t>Zay Flowers WR  BAL</t>
  </si>
  <si>
    <t>Michael Pittman WR  IND</t>
  </si>
  <si>
    <t>Jaxon Smith-Njigba WR  SEA</t>
  </si>
  <si>
    <t>Rashod Bateman WR  BAL</t>
  </si>
  <si>
    <t>Jameson Williams WR  DET</t>
  </si>
  <si>
    <t>Adam Thielen WR  CAR</t>
  </si>
  <si>
    <t>Nico Collins WR  HOU</t>
  </si>
  <si>
    <t>Quentin Johnston WR  LAC</t>
  </si>
  <si>
    <t>Elijah Moore WR  CLE</t>
  </si>
  <si>
    <t>Wan'Dale Robinson WR  NYG</t>
  </si>
  <si>
    <t>Jonathan Mingo WR  CAR</t>
  </si>
  <si>
    <t>Greg Dortch WR  ARI</t>
  </si>
  <si>
    <t>Josh Palmer WR  LAC</t>
  </si>
  <si>
    <t>Robert Woods WR  HOU</t>
  </si>
  <si>
    <t>Rashid Shaheed WR  NO</t>
  </si>
  <si>
    <t>Rashee Rice WR  KC</t>
  </si>
  <si>
    <t>Darius Slayton WR  NYG</t>
  </si>
  <si>
    <t>Jalin Hyatt WR  NYG</t>
  </si>
  <si>
    <t>Khalil Shakir WR  BUF</t>
  </si>
  <si>
    <t>Patrick Mahomes QB  KC</t>
  </si>
  <si>
    <t>Jalen Hurts QB  PHI</t>
  </si>
  <si>
    <t>Josh Allen QB  BUF</t>
  </si>
  <si>
    <t>Joe Burrow QB  CIN</t>
  </si>
  <si>
    <t>Lamar Jackson QB  BAL</t>
  </si>
  <si>
    <t>Justin Herbert QB  LAC</t>
  </si>
  <si>
    <t>Deshaun Watson QB  CLE</t>
  </si>
  <si>
    <t>Jared Goff QB  DET</t>
  </si>
  <si>
    <t>Daniel Jones QB  NYG</t>
  </si>
  <si>
    <t>Aaron Rodgers QB  NYJ</t>
  </si>
  <si>
    <t>Dak Prescott QB  DAL</t>
  </si>
  <si>
    <t>Trevor Lawrence QB  JAC</t>
  </si>
  <si>
    <t>Geno Smith QB  SEA</t>
  </si>
  <si>
    <t>Anthony Richardson QB  IND</t>
  </si>
  <si>
    <t>Brock Purdy QB  SF</t>
  </si>
  <si>
    <t>Bryce Young QB  CAR</t>
  </si>
  <si>
    <t>Tua Tagovailoa QB  MIA</t>
  </si>
  <si>
    <t>Kyler Murray QB  ARI</t>
  </si>
  <si>
    <t>Derek Carr QB  NO</t>
  </si>
  <si>
    <t>Matthew Stafford QB  LAR</t>
  </si>
  <si>
    <t>Jordan Love QB  GB</t>
  </si>
  <si>
    <t>C.J. Stroud QB  HOU</t>
  </si>
  <si>
    <t>Baker Mayfield QB  TB</t>
  </si>
  <si>
    <t>Ryan Tannehill QB  TEN</t>
  </si>
  <si>
    <t>Kyle Trask QB  TB</t>
  </si>
  <si>
    <t>Mike White QB  MIA</t>
  </si>
  <si>
    <t>Will Levis QB  TEN</t>
  </si>
  <si>
    <t>Jarrett Stidham QB  DEN</t>
  </si>
  <si>
    <t>—</t>
  </si>
  <si>
    <t>Andy Dalton QB  CAR</t>
  </si>
  <si>
    <t>Aidan O'Connell QB  LV</t>
  </si>
  <si>
    <t>Davis Mills QB  HOU</t>
  </si>
  <si>
    <t>Cooper Rush QB  DAL</t>
  </si>
  <si>
    <t>Christian McCaffrey RB  SF</t>
  </si>
  <si>
    <t>Rhamondre Stevenson RB  NE</t>
  </si>
  <si>
    <t>Bijan Robinson RB  ATL</t>
  </si>
  <si>
    <t>Jonathan Taylor RB  IND</t>
  </si>
  <si>
    <t>Breece Hall RB  NYJ</t>
  </si>
  <si>
    <t>Nick Chubb RB  CLE</t>
  </si>
  <si>
    <t>Dameon Pierce RB  HOU</t>
  </si>
  <si>
    <t>James Conner RB  ARI</t>
  </si>
  <si>
    <t>Najee Harris RB  PIT</t>
  </si>
  <si>
    <t>Jahmyr Gibbs RB  DET</t>
  </si>
  <si>
    <t>Travis Etienne RB  JAC</t>
  </si>
  <si>
    <t>Javonte Williams RB  DEN</t>
  </si>
  <si>
    <t>David Montgomery RB  DET</t>
  </si>
  <si>
    <t>Kenneth Walker III RB  SEA</t>
  </si>
  <si>
    <t>Rachaad White RB  TB</t>
  </si>
  <si>
    <t>Miles Sanders RB  CAR</t>
  </si>
  <si>
    <t>Alvin Kamara RB  NO</t>
  </si>
  <si>
    <t>Isiah Pacheco RB  KC</t>
  </si>
  <si>
    <t>Brian Robinson Jr. RB  WAS</t>
  </si>
  <si>
    <t>Samaje Perine RB  DEN</t>
  </si>
  <si>
    <t>James Cook RB  BUF</t>
  </si>
  <si>
    <t>Jamaal Williams RB  NO</t>
  </si>
  <si>
    <t>De'Von Achane RB  MIA</t>
  </si>
  <si>
    <t>Khalil Herbert RB  CHI</t>
  </si>
  <si>
    <t>Zach Charbonnet RB  SEA</t>
  </si>
  <si>
    <t>Jeff Wilson RB  MIA</t>
  </si>
  <si>
    <t>Raheem Mostert RB  MIA</t>
  </si>
  <si>
    <t>Elijah Mitchell RB  SF</t>
  </si>
  <si>
    <t>Roschon Johnson RB  CHI</t>
  </si>
  <si>
    <t>Tyler Allgeier RB  ATL</t>
  </si>
  <si>
    <t>Kenneth Gainwell RB  PHI</t>
  </si>
  <si>
    <t>Clyde Edwards-Helaire RB  KC</t>
  </si>
  <si>
    <t>Chase Brown RB  CIN</t>
  </si>
  <si>
    <t>Tank Bigsby RB  JAC</t>
  </si>
  <si>
    <t>Jaylen Warren RB  PIT</t>
  </si>
  <si>
    <t>Tyjae Spears RB  TEN</t>
  </si>
  <si>
    <t>Kendre Miller RB  NO</t>
  </si>
  <si>
    <t>Chuba Hubbard RB  CAR</t>
  </si>
  <si>
    <t>Ty Chandler RB  MIN</t>
  </si>
  <si>
    <t>Chase Edmonds RB  TB</t>
  </si>
  <si>
    <t>Ameer Abdullah RB  LV</t>
  </si>
  <si>
    <t>Jerome Ford RB  CLE</t>
  </si>
  <si>
    <t>Jordan Mason RB  SF</t>
  </si>
  <si>
    <t>Kyle Juszczyk FB  SF</t>
  </si>
  <si>
    <t>Deuce Vaughn RB  DAL</t>
  </si>
  <si>
    <t>Rico Dowdle RB  DAL</t>
  </si>
  <si>
    <t>Travis Kelce TE  KC</t>
  </si>
  <si>
    <t>Mark Andrews TE  BAL</t>
  </si>
  <si>
    <t>T.J. Hockenson TE  MIN</t>
  </si>
  <si>
    <t>George Kittle TE  SF</t>
  </si>
  <si>
    <t>Dallas Goedert TE  PHI</t>
  </si>
  <si>
    <t>David Njoku TE  CLE</t>
  </si>
  <si>
    <t>Chigoziem Okonkwo TE  TEN</t>
  </si>
  <si>
    <t>Kyle Pitts TE  ATL</t>
  </si>
  <si>
    <t>Evan Engram TE  JAC</t>
  </si>
  <si>
    <t>Pat Freiermuth TE  PIT</t>
  </si>
  <si>
    <t>Dalton Schultz TE  HOU</t>
  </si>
  <si>
    <t>Greg Dulcich TE  DEN</t>
  </si>
  <si>
    <t>Tyler Higbee TE  LAR</t>
  </si>
  <si>
    <t>Cole Kmet TE  CHI</t>
  </si>
  <si>
    <t>Juwan Johnson TE  NO</t>
  </si>
  <si>
    <t>Dalton Kincaid TE  BUF</t>
  </si>
  <si>
    <t>Trey McBride TE  ARI</t>
  </si>
  <si>
    <t>Noah Fant TE  SEA</t>
  </si>
  <si>
    <t>Tyler Conklin TE  NYJ</t>
  </si>
  <si>
    <t>Sam LaPorta TE  DET</t>
  </si>
  <si>
    <t>Cade Otton TE  TB</t>
  </si>
  <si>
    <t>Hunter Henry TE  NE</t>
  </si>
  <si>
    <t>Michael Mayer TE  LV</t>
  </si>
  <si>
    <t>Dawson Knox TE  BUF</t>
  </si>
  <si>
    <t>Luke Musgrave TE  GB</t>
  </si>
  <si>
    <t>Jelani Woods TE  IND</t>
  </si>
  <si>
    <t>Jake Ferguson TE  DAL</t>
  </si>
  <si>
    <t>Brock Wright TE  DET</t>
  </si>
  <si>
    <t>Foster Moreau TE  NO</t>
  </si>
  <si>
    <t>Noah Gray TE  KC</t>
  </si>
  <si>
    <t>Isaiah Likely TE  BAL</t>
  </si>
  <si>
    <t>Josh Oliver TE  MIN</t>
  </si>
  <si>
    <t>Tommy Tremble TE  CAR</t>
  </si>
  <si>
    <t>Donald Parham Jr. TE  LAC</t>
  </si>
  <si>
    <t>Teagan Quitoriano TE  HOU</t>
  </si>
  <si>
    <t>Brenton Strange TE  JAC</t>
  </si>
  <si>
    <t>Tucker Kraft TE  GB</t>
  </si>
  <si>
    <t>Kylen Granson TE  IND</t>
  </si>
  <si>
    <t>Durham Smythe TE  MIA</t>
  </si>
  <si>
    <t>Ian Thomas TE  CAR</t>
  </si>
  <si>
    <t>John Bates TE  WAS</t>
  </si>
  <si>
    <t>Adam Trautman TE  DEN</t>
  </si>
  <si>
    <t>Payne Durham TE  TB</t>
  </si>
  <si>
    <t>Mo Alie-Cox TE  IND</t>
  </si>
  <si>
    <t>Daniel Bellinger TE  NYG</t>
  </si>
  <si>
    <t>Brycen Hopkins TE  LAR</t>
  </si>
  <si>
    <t>Stone Smartt TE  LAC</t>
  </si>
  <si>
    <t>James Mitchell TE  DET</t>
  </si>
  <si>
    <t>Luke Farrell TE  JAC</t>
  </si>
  <si>
    <t>Drew Sample TE  CIN</t>
  </si>
  <si>
    <t>Cameron Latu TE  SF</t>
  </si>
  <si>
    <t>Brayden Willis TE  SF</t>
  </si>
  <si>
    <t>Connor Heyward TE  PIT</t>
  </si>
  <si>
    <t>Quintin Morris TE  BUF</t>
  </si>
  <si>
    <t>Charlie Kolar TE  BAL</t>
  </si>
  <si>
    <t>Andrew Ogletree TE  IND</t>
  </si>
  <si>
    <t>Team</t>
  </si>
  <si>
    <t>MIN</t>
  </si>
  <si>
    <t>Position</t>
  </si>
  <si>
    <t>Your Answer</t>
  </si>
  <si>
    <t>Correct Answer</t>
  </si>
  <si>
    <t>How many total spaces (i.e., the spaces between words) are in all the entries of "Player" data on the QB-RB-WR-TE Data tab?</t>
  </si>
  <si>
    <t>Which player has the highest number of targets (i.e., times the ball is thrown to them)? Targets is abbreviated TGT.</t>
  </si>
  <si>
    <t>Who is the last player (in alphabetical order) with the maximum number of characters in their name?</t>
  </si>
  <si>
    <t>Who is the first player (in alphabetical order) with the maximum number of characters in their name?</t>
  </si>
  <si>
    <t>Dynamic Questions</t>
  </si>
  <si>
    <t>For questions 1 - 7, use only the data on the "QB-RB-WR-TE Data" tab.</t>
  </si>
  <si>
    <t>Player Name</t>
  </si>
  <si>
    <t>Points Per Game</t>
  </si>
  <si>
    <t>How many points per game is the assembled team projected to score?</t>
  </si>
  <si>
    <t>KC</t>
  </si>
  <si>
    <t>WR</t>
  </si>
  <si>
    <t>QB</t>
  </si>
  <si>
    <t>RB</t>
  </si>
  <si>
    <t>TE</t>
  </si>
  <si>
    <t>DEF</t>
  </si>
  <si>
    <t>K</t>
  </si>
  <si>
    <t>SFTY</t>
  </si>
  <si>
    <t>SCK</t>
  </si>
  <si>
    <t>TK</t>
  </si>
  <si>
    <t>FREC</t>
  </si>
  <si>
    <t>FUM</t>
  </si>
  <si>
    <t>DTD</t>
  </si>
  <si>
    <t>PTS</t>
  </si>
  <si>
    <t>PPG</t>
  </si>
  <si>
    <t>PASS</t>
  </si>
  <si>
    <t>RUSH</t>
  </si>
  <si>
    <t>TOTAL</t>
  </si>
  <si>
    <t>Philadelphia</t>
  </si>
  <si>
    <t>New Orleans</t>
  </si>
  <si>
    <t>N.Y. Jets</t>
  </si>
  <si>
    <t>New England</t>
  </si>
  <si>
    <t>Pittsburgh</t>
  </si>
  <si>
    <t>Baltimore</t>
  </si>
  <si>
    <t>Kansas City</t>
  </si>
  <si>
    <t>Houston</t>
  </si>
  <si>
    <t>San Francisco</t>
  </si>
  <si>
    <t>Jacksonville</t>
  </si>
  <si>
    <t>Miami</t>
  </si>
  <si>
    <t>Cincinnati</t>
  </si>
  <si>
    <t>Buffalo</t>
  </si>
  <si>
    <t>Green Bay</t>
  </si>
  <si>
    <t>Dallas</t>
  </si>
  <si>
    <t>Tennessee</t>
  </si>
  <si>
    <t>Carolina</t>
  </si>
  <si>
    <t>Cleveland</t>
  </si>
  <si>
    <t>Washington</t>
  </si>
  <si>
    <t>Seattle</t>
  </si>
  <si>
    <t>Detroit</t>
  </si>
  <si>
    <t>L.A. Chargers</t>
  </si>
  <si>
    <t>Indianapolis</t>
  </si>
  <si>
    <t>N.Y. Giants</t>
  </si>
  <si>
    <t>Tampa Bay</t>
  </si>
  <si>
    <t>L.A. Rams</t>
  </si>
  <si>
    <t>Denver</t>
  </si>
  <si>
    <t>Minnesota</t>
  </si>
  <si>
    <t>Arizona</t>
  </si>
  <si>
    <t>Atlanta</t>
  </si>
  <si>
    <t>Chicago</t>
  </si>
  <si>
    <t>Las Vegas</t>
  </si>
  <si>
    <t>TEAM</t>
  </si>
  <si>
    <t>Justin Tucker K  BAL</t>
  </si>
  <si>
    <t>Harrison Butker K  KC</t>
  </si>
  <si>
    <t>Younghoe Koo K  ATL</t>
  </si>
  <si>
    <t>Jake Elliott K  PHI</t>
  </si>
  <si>
    <t>Tyler Bass K  BUF</t>
  </si>
  <si>
    <t>Jake Moody K  SF</t>
  </si>
  <si>
    <t>Evan McPherson K  CIN</t>
  </si>
  <si>
    <t>Daniel Carlson K  LV</t>
  </si>
  <si>
    <t>Greg Zuerlein K  NYJ</t>
  </si>
  <si>
    <t>Jason Myers K  SEA</t>
  </si>
  <si>
    <t>Jason Sanders K  MIA</t>
  </si>
  <si>
    <t>Eddy Pineiro K  CAR</t>
  </si>
  <si>
    <t>Graham Gano K  NYG</t>
  </si>
  <si>
    <t>Chris Boswell K  PIT</t>
  </si>
  <si>
    <t>Cairo Santos K  CHI</t>
  </si>
  <si>
    <t>Matt Gay K  IND</t>
  </si>
  <si>
    <t>Ka'imi Fairbairn K  HOU</t>
  </si>
  <si>
    <t>Chad Ryland K  NE</t>
  </si>
  <si>
    <t>Anders Carlson K  GB</t>
  </si>
  <si>
    <t>Matt Prater K  ARI</t>
  </si>
  <si>
    <t>Chase McLaughlin K  TB</t>
  </si>
  <si>
    <t>FGM</t>
  </si>
  <si>
    <t>FGA</t>
  </si>
  <si>
    <t>LNG</t>
  </si>
  <si>
    <t>1-19A</t>
  </si>
  <si>
    <t>20-29</t>
  </si>
  <si>
    <t>20-29A</t>
  </si>
  <si>
    <t>30-39</t>
  </si>
  <si>
    <t>30-39A</t>
  </si>
  <si>
    <t>40-49</t>
  </si>
  <si>
    <t>40-49A</t>
  </si>
  <si>
    <t>50+</t>
  </si>
  <si>
    <t>50+A</t>
  </si>
  <si>
    <t>XPM</t>
  </si>
  <si>
    <t>XPA</t>
  </si>
  <si>
    <t>QB - RB - WR - TE Data</t>
  </si>
  <si>
    <t>Defense Data</t>
  </si>
  <si>
    <t>Kicker Data</t>
  </si>
  <si>
    <t>QB-RB-WR-TE Data Questions</t>
  </si>
  <si>
    <t>For question 12, populate the Fantasy Points Per Game (FPPG) field for each player listed below. You will need data from each blue tab.</t>
  </si>
  <si>
    <t>Team Abbreviation</t>
  </si>
  <si>
    <t>For questions 8 - 11, populate all the data from the "QB-RB-WR-TE Data" tab for the player listed below. Note that "Player Name" must be extracted from the "PLAYER" field in the data.</t>
  </si>
  <si>
    <t>For question 13, use the team and position given by the input parameters below. Note that "Team Abbreviation" and "Position" must be extracted from the "PLAYER" field in the data.</t>
  </si>
  <si>
    <t>J22</t>
  </si>
  <si>
    <t>J62</t>
  </si>
  <si>
    <t>I22</t>
  </si>
  <si>
    <t>I23</t>
  </si>
  <si>
    <t>J23</t>
  </si>
  <si>
    <t>I24</t>
  </si>
  <si>
    <t>J24</t>
  </si>
  <si>
    <t>I25</t>
  </si>
  <si>
    <t>J25</t>
  </si>
  <si>
    <t>I26</t>
  </si>
  <si>
    <t>J26</t>
  </si>
  <si>
    <t>I27</t>
  </si>
  <si>
    <t>J27</t>
  </si>
  <si>
    <t>I28</t>
  </si>
  <si>
    <t>J28</t>
  </si>
  <si>
    <t>I38</t>
  </si>
  <si>
    <t>J38</t>
  </si>
  <si>
    <t>I39</t>
  </si>
  <si>
    <t>J39</t>
  </si>
  <si>
    <t>I40</t>
  </si>
  <si>
    <t>J40</t>
  </si>
  <si>
    <t>I41</t>
  </si>
  <si>
    <t>J41</t>
  </si>
  <si>
    <t>I55</t>
  </si>
  <si>
    <t>I62</t>
  </si>
  <si>
    <t>J55</t>
  </si>
  <si>
    <t>LAR</t>
  </si>
  <si>
    <t>LV</t>
  </si>
  <si>
    <t>CIN</t>
  </si>
  <si>
    <t>MIA</t>
  </si>
  <si>
    <t>PHI</t>
  </si>
  <si>
    <t>DAL</t>
  </si>
  <si>
    <t>DET</t>
  </si>
  <si>
    <t>BUF</t>
  </si>
  <si>
    <t>NYJ</t>
  </si>
  <si>
    <t>CLE</t>
  </si>
  <si>
    <t>SF</t>
  </si>
  <si>
    <t>NO</t>
  </si>
  <si>
    <t>JAC</t>
  </si>
  <si>
    <t>ARI</t>
  </si>
  <si>
    <t>TB</t>
  </si>
  <si>
    <t>GB</t>
  </si>
  <si>
    <t>LAC</t>
  </si>
  <si>
    <t>ATL</t>
  </si>
  <si>
    <t>CHI</t>
  </si>
  <si>
    <t>SEA</t>
  </si>
  <si>
    <t>PIT</t>
  </si>
  <si>
    <t>DEN</t>
  </si>
  <si>
    <t>TEN</t>
  </si>
  <si>
    <t>WAS</t>
  </si>
  <si>
    <t>BAL</t>
  </si>
  <si>
    <t>IND</t>
  </si>
  <si>
    <t>CAR</t>
  </si>
  <si>
    <t>NE</t>
  </si>
  <si>
    <t>HOU</t>
  </si>
  <si>
    <t>NYG</t>
  </si>
  <si>
    <t>Abbrev</t>
  </si>
  <si>
    <t>Player</t>
  </si>
  <si>
    <t>WR1</t>
  </si>
  <si>
    <t>WR2</t>
  </si>
  <si>
    <t>RB1</t>
  </si>
  <si>
    <t>RB2</t>
  </si>
  <si>
    <t>Using data on each blue tab, answer the questions on the red tab in each of the light blue-colored answer cells.</t>
  </si>
  <si>
    <t>Do not reference any answer cells, as you will lose credit when you submit to the ExPrep portal.</t>
  </si>
  <si>
    <t>Be sure to reference the parameters associated with each question (grey highlighted cells), as those parameters will change.</t>
  </si>
  <si>
    <t>The input parameters will change when the file is saved and opened.</t>
  </si>
  <si>
    <t>August 2023 Announcements</t>
  </si>
  <si>
    <t>Macros are required to run this workbook. See the "Unblock Guide" on the next tab to unblock the macros. You will also</t>
  </si>
  <si>
    <t>need to enable macros when you open the workbook.</t>
  </si>
  <si>
    <t>QB-RB-WR-TE Data</t>
  </si>
  <si>
    <t>I22:I28,I38:I41,I55,I62</t>
  </si>
  <si>
    <t>A1</t>
  </si>
  <si>
    <t>X1:AZ379</t>
  </si>
  <si>
    <t>X1:AZ40</t>
  </si>
  <si>
    <t>A1:G63</t>
  </si>
  <si>
    <t>J22:J28,J38:J41,J55,J62</t>
  </si>
  <si>
    <t>B35,B46:B53,B60:C60</t>
  </si>
  <si>
    <t>You should not be referencing the answer cell</t>
  </si>
  <si>
    <t>N/A</t>
  </si>
  <si>
    <t>Reference2(False,True,J22)</t>
  </si>
  <si>
    <t>Reference2(False,True,J23)</t>
  </si>
  <si>
    <t>Reference2(False,True,J24)</t>
  </si>
  <si>
    <t>Reference2(False,True,J25)</t>
  </si>
  <si>
    <t>Reference2(False,True,J26)</t>
  </si>
  <si>
    <t>Reference2(False,True,J27)</t>
  </si>
  <si>
    <t>Reference2(False,True,J28)</t>
  </si>
  <si>
    <t>Reference2(False,True,J38)</t>
  </si>
  <si>
    <t>Reference2(False,True,J39)</t>
  </si>
  <si>
    <t>Reference2(False,True,J40)</t>
  </si>
  <si>
    <t>Reference2(False,True,J41)</t>
  </si>
  <si>
    <t>Reference2(False,True,J55)</t>
  </si>
  <si>
    <t>Reference2(False,True,J62)</t>
  </si>
  <si>
    <t>Justin Jefferson</t>
  </si>
  <si>
    <t>Austin Ekeler</t>
  </si>
  <si>
    <t>Patrick Mahomes</t>
  </si>
  <si>
    <t>Justin Tucker</t>
  </si>
  <si>
    <t>Cooper Kupp</t>
  </si>
  <si>
    <t>Christian McCaffrey</t>
  </si>
  <si>
    <t>Jalen Hurts</t>
  </si>
  <si>
    <t>Travis Kelce</t>
  </si>
  <si>
    <t>Harrison Butker</t>
  </si>
  <si>
    <t>Davante Adams</t>
  </si>
  <si>
    <t>Saquon Barkley</t>
  </si>
  <si>
    <t>Josh Allen</t>
  </si>
  <si>
    <t>Mark Andrews</t>
  </si>
  <si>
    <t>Dustin Hopkins</t>
  </si>
  <si>
    <t>Ja'Marr Chase</t>
  </si>
  <si>
    <t>Tony Pollard</t>
  </si>
  <si>
    <t>Joe Burrow</t>
  </si>
  <si>
    <t>T.J. Hockenson</t>
  </si>
  <si>
    <t>Younghoe Koo</t>
  </si>
  <si>
    <t>Tyreek Hill</t>
  </si>
  <si>
    <t>Rhamondre Stevenson</t>
  </si>
  <si>
    <t>Lamar Jackson</t>
  </si>
  <si>
    <t>George Kittle</t>
  </si>
  <si>
    <t>Jake Elliott</t>
  </si>
  <si>
    <t>A.J. Brown</t>
  </si>
  <si>
    <t>Josh Jacobs</t>
  </si>
  <si>
    <t>Justin Herbert</t>
  </si>
  <si>
    <t>Dallas Goedert</t>
  </si>
  <si>
    <t>Tyler Bass</t>
  </si>
  <si>
    <t>CeeDee Lamb</t>
  </si>
  <si>
    <t>Bijan Robinson</t>
  </si>
  <si>
    <t>Kirk Cousins</t>
  </si>
  <si>
    <t>David Njoku</t>
  </si>
  <si>
    <t>Jake Moody</t>
  </si>
  <si>
    <t>Amon-Ra St. Brown</t>
  </si>
  <si>
    <t>Derrick Henry</t>
  </si>
  <si>
    <t>Justin Fields</t>
  </si>
  <si>
    <t>Chigoziem Okonkwo</t>
  </si>
  <si>
    <t>Evan McPherson</t>
  </si>
  <si>
    <t>Stefon Diggs</t>
  </si>
  <si>
    <t>Jonathan Taylor</t>
  </si>
  <si>
    <t>Deshaun Watson</t>
  </si>
  <si>
    <t>Kyle Pitts</t>
  </si>
  <si>
    <t>Daniel Carlson</t>
  </si>
  <si>
    <t>Garrett Wilson</t>
  </si>
  <si>
    <t>Aaron Jones</t>
  </si>
  <si>
    <t>Jared Goff</t>
  </si>
  <si>
    <t>Evan Engram</t>
  </si>
  <si>
    <t>Riley Patterson</t>
  </si>
  <si>
    <t>Jaylen Waddle</t>
  </si>
  <si>
    <t>Breece Hall</t>
  </si>
  <si>
    <t>Russell Wilson</t>
  </si>
  <si>
    <t>Pat Freiermuth</t>
  </si>
  <si>
    <t>Greg Zuerlein</t>
  </si>
  <si>
    <t>DeVonta Smith</t>
  </si>
  <si>
    <t>Joe Mixon</t>
  </si>
  <si>
    <t>Daniel Jones</t>
  </si>
  <si>
    <t>Dalton Schultz</t>
  </si>
  <si>
    <t>Jason Myers</t>
  </si>
  <si>
    <t>Tee Higgins</t>
  </si>
  <si>
    <t>Nick Chubb</t>
  </si>
  <si>
    <t>Aaron Rodgers</t>
  </si>
  <si>
    <t>Greg Joseph</t>
  </si>
  <si>
    <t>Amari Cooper</t>
  </si>
  <si>
    <t>Alexander Mattison</t>
  </si>
  <si>
    <t>Dak Prescott</t>
  </si>
  <si>
    <t>Greg Dulcich</t>
  </si>
  <si>
    <t>Jason Sanders</t>
  </si>
  <si>
    <t>Deebo Samuel</t>
  </si>
  <si>
    <t>Dameon Pierce</t>
  </si>
  <si>
    <t>Trevor Lawrence</t>
  </si>
  <si>
    <t>Tyler Higbee</t>
  </si>
  <si>
    <t>Chris Olave</t>
  </si>
  <si>
    <t>James Conner</t>
  </si>
  <si>
    <t>Geno Smith</t>
  </si>
  <si>
    <t>Cole Kmet</t>
  </si>
  <si>
    <t>Eddy Pineiro</t>
  </si>
  <si>
    <t>Calvin Ridley</t>
  </si>
  <si>
    <t>Najee Harris</t>
  </si>
  <si>
    <t>Anthony Richardson</t>
  </si>
  <si>
    <t>Gerald Everett</t>
  </si>
  <si>
    <t>DeAndre Hopkins</t>
  </si>
  <si>
    <t>Jahmyr Gibbs</t>
  </si>
  <si>
    <t>Brock Purdy</t>
  </si>
  <si>
    <t>Juwan Johnson</t>
  </si>
  <si>
    <t>Graham Gano</t>
  </si>
  <si>
    <t>Chris Godwin</t>
  </si>
  <si>
    <t>Travis Etienne</t>
  </si>
  <si>
    <t>Kenny Pickett</t>
  </si>
  <si>
    <t>Zach Ertz</t>
  </si>
  <si>
    <t>Chris Boswell</t>
  </si>
  <si>
    <t>Christian Watson</t>
  </si>
  <si>
    <t>J.K. Dobbins</t>
  </si>
  <si>
    <t>Bryce Young</t>
  </si>
  <si>
    <t>Dalton Kincaid</t>
  </si>
  <si>
    <t>Cairo Santos</t>
  </si>
  <si>
    <t>Keenan Allen</t>
  </si>
  <si>
    <t>Javonte Williams</t>
  </si>
  <si>
    <t>Tua Tagovailoa</t>
  </si>
  <si>
    <t>Trey McBride</t>
  </si>
  <si>
    <t>Matt Gay</t>
  </si>
  <si>
    <t>Drake London</t>
  </si>
  <si>
    <t>David Montgomery</t>
  </si>
  <si>
    <t>Kyler Murray</t>
  </si>
  <si>
    <t>Hayden Hurst</t>
  </si>
  <si>
    <t>Ka'imi Fairbairn</t>
  </si>
  <si>
    <t>Kenneth Walker III</t>
  </si>
  <si>
    <t>Derek Carr</t>
  </si>
  <si>
    <t>Noah Fant</t>
  </si>
  <si>
    <t>Mike Evans</t>
  </si>
  <si>
    <t>Rachaad White</t>
  </si>
  <si>
    <t>Matthew Stafford</t>
  </si>
  <si>
    <t>Irv Smith</t>
  </si>
  <si>
    <t>Wil Lutz</t>
  </si>
  <si>
    <t>DK Metcalf</t>
  </si>
  <si>
    <t>Miles Sanders</t>
  </si>
  <si>
    <t>Jordan Love</t>
  </si>
  <si>
    <t>Tyler Conklin</t>
  </si>
  <si>
    <t>Chad Ryland</t>
  </si>
  <si>
    <t>Marquise Brown</t>
  </si>
  <si>
    <t>Alvin Kamara</t>
  </si>
  <si>
    <t>Jimmy Garoppolo</t>
  </si>
  <si>
    <t>Taysom Hill</t>
  </si>
  <si>
    <t>George Pickens</t>
  </si>
  <si>
    <t>D'Andre Swift</t>
  </si>
  <si>
    <t>C.J. Stroud</t>
  </si>
  <si>
    <t>Sam LaPorta</t>
  </si>
  <si>
    <t>Jerry Jeudy</t>
  </si>
  <si>
    <t>Isiah Pacheco</t>
  </si>
  <si>
    <t>Desmond Ridder</t>
  </si>
  <si>
    <t>Cade Otton</t>
  </si>
  <si>
    <t>Anders Carlson</t>
  </si>
  <si>
    <t>Christian Kirk</t>
  </si>
  <si>
    <t>Baker Mayfield</t>
  </si>
  <si>
    <t>Logan Thomas</t>
  </si>
  <si>
    <t>Matt Prater</t>
  </si>
  <si>
    <t>Brian Robinson Jr.</t>
  </si>
  <si>
    <t>Mac Jones</t>
  </si>
  <si>
    <t>Hunter Henry</t>
  </si>
  <si>
    <t>Chase McLaughlin</t>
  </si>
  <si>
    <t>Terry McLaurin</t>
  </si>
  <si>
    <t>Sam Howell</t>
  </si>
  <si>
    <t>Michael Mayer</t>
  </si>
  <si>
    <t>Tyler Lockett</t>
  </si>
  <si>
    <t>Samaje Perine</t>
  </si>
  <si>
    <t>Ryan Tannehill</t>
  </si>
  <si>
    <t>Dawson Knox</t>
  </si>
  <si>
    <t>Jordan Addison</t>
  </si>
  <si>
    <t>James Cook</t>
  </si>
  <si>
    <t>Kyle Trask</t>
  </si>
  <si>
    <t>Luke Musgrave</t>
  </si>
  <si>
    <t/>
  </si>
  <si>
    <t>Diontae Johnson</t>
  </si>
  <si>
    <t>Jelani Woods</t>
  </si>
  <si>
    <t>Brandon Aiyuk</t>
  </si>
  <si>
    <t>Jamaal Williams</t>
  </si>
  <si>
    <t>Jacoby Brissett</t>
  </si>
  <si>
    <t>Robert Tonyan</t>
  </si>
  <si>
    <t>Jahan Dotson</t>
  </si>
  <si>
    <t>Jake Ferguson</t>
  </si>
  <si>
    <t>Brandin Cooks</t>
  </si>
  <si>
    <t>Antonio Gibson</t>
  </si>
  <si>
    <t>Mike White</t>
  </si>
  <si>
    <t>Brock Wright</t>
  </si>
  <si>
    <t>De'Von Achane</t>
  </si>
  <si>
    <t>Sam Darnold</t>
  </si>
  <si>
    <t>Mike Gesicki</t>
  </si>
  <si>
    <t>Jakobi Meyers</t>
  </si>
  <si>
    <t>Khalil Herbert</t>
  </si>
  <si>
    <t>Foster Moreau</t>
  </si>
  <si>
    <t>Zach Charbonnet</t>
  </si>
  <si>
    <t>Will Levis</t>
  </si>
  <si>
    <t>Noah Gray</t>
  </si>
  <si>
    <t>Austin Hooper</t>
  </si>
  <si>
    <t>Mike Williams</t>
  </si>
  <si>
    <t>Jeff Wilson</t>
  </si>
  <si>
    <t>Isaiah Likely</t>
  </si>
  <si>
    <t>Courtland Sutton</t>
  </si>
  <si>
    <t>Raheem Mostert</t>
  </si>
  <si>
    <t>Jarrett Stidham</t>
  </si>
  <si>
    <t>Josh Oliver</t>
  </si>
  <si>
    <t>Tim Patrick</t>
  </si>
  <si>
    <t>Elijah Mitchell</t>
  </si>
  <si>
    <t>Marcus Mariota</t>
  </si>
  <si>
    <t>Tommy Tremble</t>
  </si>
  <si>
    <t>Jameis Winston</t>
  </si>
  <si>
    <t>Colby Parkinson</t>
  </si>
  <si>
    <t>Romeo Doubs</t>
  </si>
  <si>
    <t>Roschon Johnson</t>
  </si>
  <si>
    <t>C.J. Uzomah</t>
  </si>
  <si>
    <t>Zay Flowers</t>
  </si>
  <si>
    <t>Tyler Allgeier</t>
  </si>
  <si>
    <t>Jonnu Smith</t>
  </si>
  <si>
    <t>Michael Pittman</t>
  </si>
  <si>
    <t>Devin Singletary</t>
  </si>
  <si>
    <t>Tyrod Taylor</t>
  </si>
  <si>
    <t>Donald Parham Jr.</t>
  </si>
  <si>
    <t>Jaxon Smith-Njigba</t>
  </si>
  <si>
    <t>Kenneth Gainwell</t>
  </si>
  <si>
    <t>Rashod Bateman</t>
  </si>
  <si>
    <t>Gus Edwards</t>
  </si>
  <si>
    <t>Jameson Williams</t>
  </si>
  <si>
    <t>Pierre Strong Jr.</t>
  </si>
  <si>
    <t>Joshua Dobbs</t>
  </si>
  <si>
    <t>Will Dissly</t>
  </si>
  <si>
    <t>Tyler Boyd</t>
  </si>
  <si>
    <t>D'Onta Foreman</t>
  </si>
  <si>
    <t>Drew Lock</t>
  </si>
  <si>
    <t>Teagan Quitoriano</t>
  </si>
  <si>
    <t>Odell Beckham Jr.</t>
  </si>
  <si>
    <t>Clyde Edwards-Helaire</t>
  </si>
  <si>
    <t>Andy Dalton</t>
  </si>
  <si>
    <t>Brenton Strange</t>
  </si>
  <si>
    <t>Chase Brown</t>
  </si>
  <si>
    <t>Tucker Kraft</t>
  </si>
  <si>
    <t>Adam Thielen</t>
  </si>
  <si>
    <t>Tank Bigsby</t>
  </si>
  <si>
    <t>Aidan O'Connell</t>
  </si>
  <si>
    <t>Kylen Granson</t>
  </si>
  <si>
    <t>Jaylen Warren</t>
  </si>
  <si>
    <t>Durham Smythe</t>
  </si>
  <si>
    <t>Nico Collins</t>
  </si>
  <si>
    <t>Tyjae Spears</t>
  </si>
  <si>
    <t>Davis Mills</t>
  </si>
  <si>
    <t>Ian Thomas</t>
  </si>
  <si>
    <t>Quentin Johnston</t>
  </si>
  <si>
    <t>Kendre Miller</t>
  </si>
  <si>
    <t>Mitch Trubisky</t>
  </si>
  <si>
    <t>Zay Jones</t>
  </si>
  <si>
    <t>Nyheim Hines</t>
  </si>
  <si>
    <t>Josiah Deguara</t>
  </si>
  <si>
    <t>Chuba Hubbard</t>
  </si>
  <si>
    <t>John Bates</t>
  </si>
  <si>
    <t>Gabe Davis</t>
  </si>
  <si>
    <t>Ty Chandler</t>
  </si>
  <si>
    <t>Cooper Rush</t>
  </si>
  <si>
    <t>Elijah Moore</t>
  </si>
  <si>
    <t>Chase Edmonds</t>
  </si>
  <si>
    <t>Adam Trautman</t>
  </si>
  <si>
    <t>Payne Durham</t>
  </si>
  <si>
    <t>Wan'Dale Robinson</t>
  </si>
  <si>
    <t>Ameer Abdullah</t>
  </si>
  <si>
    <t>Jonathan Mingo</t>
  </si>
  <si>
    <t>Greg Dortch</t>
  </si>
  <si>
    <t>Mo Alie-Cox</t>
  </si>
  <si>
    <t>Gardner Minshew</t>
  </si>
  <si>
    <t>Josh Palmer</t>
  </si>
  <si>
    <t>Elijah Higgins</t>
  </si>
  <si>
    <t>Curtis Samuel</t>
  </si>
  <si>
    <t>Trey Lance</t>
  </si>
  <si>
    <t>Daniel Bellinger</t>
  </si>
  <si>
    <t>Darnell Mooney</t>
  </si>
  <si>
    <t>Jerome Ford</t>
  </si>
  <si>
    <t>Ross Dwelley</t>
  </si>
  <si>
    <t>Jordan Mason</t>
  </si>
  <si>
    <t>Zack Moss</t>
  </si>
  <si>
    <t>Robert Woods</t>
  </si>
  <si>
    <t>Brycen Hopkins</t>
  </si>
  <si>
    <t>Rashid Shaheed</t>
  </si>
  <si>
    <t>Kyle Juszczyk</t>
  </si>
  <si>
    <t>Stone Smartt</t>
  </si>
  <si>
    <t>James Mitchell</t>
  </si>
  <si>
    <t>Luke Farrell</t>
  </si>
  <si>
    <t>Rashee Rice</t>
  </si>
  <si>
    <t>Zander Horvath</t>
  </si>
  <si>
    <t>Drew Sample</t>
  </si>
  <si>
    <t>Eric Saubert</t>
  </si>
  <si>
    <t>Darius Slayton</t>
  </si>
  <si>
    <t>Deuce Vaughn</t>
  </si>
  <si>
    <t>Cameron Latu</t>
  </si>
  <si>
    <t>Jalin Hyatt</t>
  </si>
  <si>
    <t>Brayden Willis</t>
  </si>
  <si>
    <t>Connor Heyward</t>
  </si>
  <si>
    <t>Quintin Morris</t>
  </si>
  <si>
    <t>Rico Dowdle</t>
  </si>
  <si>
    <t>Charlie Kolar</t>
  </si>
  <si>
    <t>Khalil Shakir</t>
  </si>
  <si>
    <t>Andrew Ogletree</t>
  </si>
  <si>
    <t>How many players are on teams that have a two letter abbreviation? (e.g., KC or LV)</t>
  </si>
  <si>
    <t>What is the total of the values in cells C35 to W35?</t>
  </si>
  <si>
    <t>How many players have more than two words in their names? Words are defined as a series of characters separated by at least one space.</t>
  </si>
  <si>
    <t>C35,E46:E53,B64:D64</t>
  </si>
  <si>
    <t>What is the maximum number of characters in a players name (including spaces)? Do not include the position or team abbreviations.</t>
  </si>
  <si>
    <t>Answer the following questions using the data provided on the dark blue tabs. The correct answers to questions 1 - 7 do not change. The correct answers to questions 8 - 13 update as the input parameters change each time the file is saved (grey background cells with blue text). Be sure to reference the input parameters so your answer will update and always match the correct answers. Your answers should be input in the light blue cells. You will need to parse the "PLAYER" data on the blue tabs to answer all of the questions. Note that some of the spaces in the "PLAYER" data are not true space characters but are unicode character 160.</t>
  </si>
  <si>
    <t>https://www.youtube.com/watch?v=jbNdQLVJZtY</t>
  </si>
  <si>
    <t xml:space="preserve">Press the "Verify Answers" button to update parameters and check your answers. Correct answers will highlight green, incorrect red. </t>
  </si>
  <si>
    <t>Brandon Aubrey K  DAL</t>
  </si>
  <si>
    <t>Blake Grupe K  NO</t>
  </si>
  <si>
    <t>Cameron Dicker K  LAC</t>
  </si>
  <si>
    <t>Cam Little K  JAC</t>
  </si>
  <si>
    <t>Joshua Karty K  LAR</t>
  </si>
  <si>
    <t>Dustin Hopkins K  CLE</t>
  </si>
  <si>
    <t>Jake Bates K  DET</t>
  </si>
  <si>
    <t>Wil Lutz K  DEN</t>
  </si>
  <si>
    <t>Will Reichard K  MIN</t>
  </si>
  <si>
    <t>Nick Folk K  TEN</t>
  </si>
  <si>
    <t>Greg Joseph K  GB</t>
  </si>
  <si>
    <t>Riley Patterson K  WAS</t>
  </si>
  <si>
    <t>Kirk Cousins QB  ATL</t>
  </si>
  <si>
    <t>Caleb Williams QB  CHI</t>
  </si>
  <si>
    <t>Jayden Daniels QB  WAS</t>
  </si>
  <si>
    <t>Russell Wilson QB  PIT</t>
  </si>
  <si>
    <t>J.J. McCarthy QB  MIN</t>
  </si>
  <si>
    <t>Bo Nix QB  DEN</t>
  </si>
  <si>
    <t>Gardner Minshew QB  LV</t>
  </si>
  <si>
    <t>Drake Maye QB  NE</t>
  </si>
  <si>
    <t>Taysom Hill QB  NO</t>
  </si>
  <si>
    <t>Jacoby Brissett QB  NE</t>
  </si>
  <si>
    <t>Sam Darnold QB  MIN</t>
  </si>
  <si>
    <t>Justin Fields QB  PIT</t>
  </si>
  <si>
    <t>Teddy Bridgewater QB  DET</t>
  </si>
  <si>
    <t>Easton Stick QB  LAC</t>
  </si>
  <si>
    <t>Joshua Dobbs QB  SF</t>
  </si>
  <si>
    <t>Josh Johnson QB  BAL</t>
  </si>
  <si>
    <t>Spencer Rattler QB  NO</t>
  </si>
  <si>
    <t>Michael Penix Jr. QB  ATL</t>
  </si>
  <si>
    <t>Michael Pratt QB  GB</t>
  </si>
  <si>
    <t>Nathan Rourke QB  ATL</t>
  </si>
  <si>
    <t>Gavin Hardison QB  MIA</t>
  </si>
  <si>
    <t>Tyrod Taylor QB  NYJ</t>
  </si>
  <si>
    <t>Carter Bradley QB  LV</t>
  </si>
  <si>
    <t>Mitch Trubisky QB  BUF</t>
  </si>
  <si>
    <t>Jameis Winston QB  CLE</t>
  </si>
  <si>
    <t>Trey Lance QB  DAL</t>
  </si>
  <si>
    <t>Kenny Pickett QB  PHI</t>
  </si>
  <si>
    <t>Carson Wentz QB  KC</t>
  </si>
  <si>
    <t>Drew Lock QB  NYG</t>
  </si>
  <si>
    <t>Tyson Bagent QB  CHI</t>
  </si>
  <si>
    <t>Joe Flacco QB  IND</t>
  </si>
  <si>
    <t>Marcus Mariota QB  WAS</t>
  </si>
  <si>
    <t>Jake Browning QB  CIN</t>
  </si>
  <si>
    <t>Mac Jones QB  JAC</t>
  </si>
  <si>
    <t>Sam Howell QB  SEA</t>
  </si>
  <si>
    <t>Jacob Eason QB  GB</t>
  </si>
  <si>
    <t>Desmond Ridder QB  ARI</t>
  </si>
  <si>
    <t>Jimmy Garoppolo QB  LAR</t>
  </si>
  <si>
    <t>Saquon Barkley RB  PHI</t>
  </si>
  <si>
    <t>Kyren Williams RB  LAR</t>
  </si>
  <si>
    <t>Derrick Henry RB  BAL</t>
  </si>
  <si>
    <t>Josh Jacobs RB  GB</t>
  </si>
  <si>
    <t>Joe Mixon RB  HOU</t>
  </si>
  <si>
    <t>Puka Nacua WR  LAR</t>
  </si>
  <si>
    <t>Marvin Harrison Jr. WR  ARI</t>
  </si>
  <si>
    <t>DJ Moore WR  CHI</t>
  </si>
  <si>
    <t>Zamir White RB  LV</t>
  </si>
  <si>
    <t>Tank Dell WR  HOU</t>
  </si>
  <si>
    <t>Aaron Jones RB  MIN</t>
  </si>
  <si>
    <t>Tony Pollard RB  TEN</t>
  </si>
  <si>
    <t>Zack Moss RB  CIN</t>
  </si>
  <si>
    <t>Stefon Diggs WR  HOU</t>
  </si>
  <si>
    <t>Calvin Ridley WR  TEN</t>
  </si>
  <si>
    <t>D'Andre Swift RB  CHI</t>
  </si>
  <si>
    <t>Jayden Reed WR  GB</t>
  </si>
  <si>
    <t>DeAndre Hopkins WR  TEN</t>
  </si>
  <si>
    <t>Carson Steele RB  KC</t>
  </si>
  <si>
    <t>Marquise Brown WR  KC</t>
  </si>
  <si>
    <t>J.K. Dobbins RB  LAC</t>
  </si>
  <si>
    <t>Austin Ekeler RB  WAS</t>
  </si>
  <si>
    <t>Gus Edwards RB  LAC</t>
  </si>
  <si>
    <t>Diontae Johnson WR  CAR</t>
  </si>
  <si>
    <t>Xavier Worthy WR  KC</t>
  </si>
  <si>
    <t>Malik Nabers WR  NYG</t>
  </si>
  <si>
    <t>Devin Singletary RB  NYG</t>
  </si>
  <si>
    <t>Keenan Allen WR  CHI</t>
  </si>
  <si>
    <t>Mike Williams WR  NYJ</t>
  </si>
  <si>
    <t>D'Onta Foreman RB  CLE</t>
  </si>
  <si>
    <t>Ladd McConkey WR  LAC</t>
  </si>
  <si>
    <t>Trey Benson RB  ARI</t>
  </si>
  <si>
    <t>Brian Thomas Jr. WR  JAC</t>
  </si>
  <si>
    <t>Keon Coleman WR  BUF</t>
  </si>
  <si>
    <t>Blake Corum RB  LAR</t>
  </si>
  <si>
    <t>Jonathon Brooks RB  CAR</t>
  </si>
  <si>
    <t>Ezekiel Elliott RB  DAL</t>
  </si>
  <si>
    <t>MarShawn Lloyd RB  GB</t>
  </si>
  <si>
    <t>Tyrone Tracy Jr. RB  NYG</t>
  </si>
  <si>
    <t>Antonio Gibson RB  NE</t>
  </si>
  <si>
    <t>Jaylen Wright RB  MIA</t>
  </si>
  <si>
    <t>Jaleel McLaughlin RB  DEN</t>
  </si>
  <si>
    <t>Bucky Irving RB  TB</t>
  </si>
  <si>
    <t>Braelon Allen RB  NYJ</t>
  </si>
  <si>
    <t>Keaton Mitchell RB  BAL</t>
  </si>
  <si>
    <t>Ray Davis RB  BUF</t>
  </si>
  <si>
    <t>Justice Hill RB  BAL</t>
  </si>
  <si>
    <t>Alexander Mattison RB  LV</t>
  </si>
  <si>
    <t>Audric Estime RB  DEN</t>
  </si>
  <si>
    <t>Andrew Beck FB  HOU</t>
  </si>
  <si>
    <t>AJ Dillon RB  GB</t>
  </si>
  <si>
    <t>Emari Demercado RB  ARI</t>
  </si>
  <si>
    <t>Hunter Luepke RB  DAL</t>
  </si>
  <si>
    <t>Trey Sermon RB  IND</t>
  </si>
  <si>
    <t>Rasheen Ali RB  BAL</t>
  </si>
  <si>
    <t>Ronnie Rivers RB  LAR</t>
  </si>
  <si>
    <t>Nick Bawden RB  NYJ</t>
  </si>
  <si>
    <t>Will Shipley RB  PHI</t>
  </si>
  <si>
    <t>Kendall Milton RB  PHI</t>
  </si>
  <si>
    <t>Kareem Hunt RB  CLE</t>
  </si>
  <si>
    <t>Brandon Bolden RB  LV</t>
  </si>
  <si>
    <t>Pierre Strong Jr. RB  CLE</t>
  </si>
  <si>
    <t>Nyheim Hines RB  CLE</t>
  </si>
  <si>
    <t>Jeremy McNichols RB  WAS</t>
  </si>
  <si>
    <t>Isaac Guerendo RB  SF</t>
  </si>
  <si>
    <t>Cody Schrader RB  SF</t>
  </si>
  <si>
    <t>Zander Horvath RB  NO</t>
  </si>
  <si>
    <t>Isaiah Spiller RB  LAC</t>
  </si>
  <si>
    <t>Craig Reynolds RB  DET</t>
  </si>
  <si>
    <t>Dalvin Cook RB  BAL</t>
  </si>
  <si>
    <t>Jase McClellan RB  ATL</t>
  </si>
  <si>
    <t>Kendrick Bourne WR  NE</t>
  </si>
  <si>
    <t>Jerry Jeudy WR  CLE</t>
  </si>
  <si>
    <t>Noah Brown WR  HOU</t>
  </si>
  <si>
    <t>Rome Odunze WR  CHI</t>
  </si>
  <si>
    <t>DJ Chark WR  LAC</t>
  </si>
  <si>
    <t>Michael Wilson WR  ARI</t>
  </si>
  <si>
    <t>A.T. Perry WR  NO</t>
  </si>
  <si>
    <t>Gabe Davis WR  JAC</t>
  </si>
  <si>
    <t>Curtis Samuel WR  BUF</t>
  </si>
  <si>
    <t>Demario Douglas WR  NE</t>
  </si>
  <si>
    <t>Adonai Mitchell WR  IND</t>
  </si>
  <si>
    <t>Troy Franklin WR  DEN</t>
  </si>
  <si>
    <t>Dontayvion Wicks WR  GB</t>
  </si>
  <si>
    <t>Odell Beckham Jr. WR  MIA</t>
  </si>
  <si>
    <t>Demarcus Robinson WR  LAR</t>
  </si>
  <si>
    <t>Jermaine Burton WR  CIN</t>
  </si>
  <si>
    <t>Josh Reynolds WR  DEN</t>
  </si>
  <si>
    <t>Xavier Legette WR  CAR</t>
  </si>
  <si>
    <t>Roman Wilson WR  PIT</t>
  </si>
  <si>
    <t>Darnell Mooney WR  ATL</t>
  </si>
  <si>
    <t>Zay Jones WR  ARI</t>
  </si>
  <si>
    <t>KaVontae Turpin WR  DAL</t>
  </si>
  <si>
    <t>Brandon Johnson WR  DEN</t>
  </si>
  <si>
    <t>Cedrick Wilson Jr. WR  NO</t>
  </si>
  <si>
    <t>Jalen McMillan WR  TB</t>
  </si>
  <si>
    <t>Alec Pierce WR  IND</t>
  </si>
  <si>
    <t>Trenton Irwin WR  CIN</t>
  </si>
  <si>
    <t>Tyler Boyd WR  TEN</t>
  </si>
  <si>
    <t>Ja'Lynn Polk WR  NE</t>
  </si>
  <si>
    <t>Ricky Pearsall WR  SF</t>
  </si>
  <si>
    <t>Josh Downs WR  IND</t>
  </si>
  <si>
    <t>Jalen Nailor WR  MIN</t>
  </si>
  <si>
    <t>Brock Bowers TE  LV</t>
  </si>
  <si>
    <t>Jonnu Smith TE  MIA</t>
  </si>
  <si>
    <t>Mike Gesicki TE  CIN</t>
  </si>
  <si>
    <t>Ben Sinnott TE  WAS</t>
  </si>
  <si>
    <t>Brevin Jordan TE  HOU</t>
  </si>
  <si>
    <t>Gerald Everett TE  CHI</t>
  </si>
  <si>
    <t>Hayden Hurst TE  LAC</t>
  </si>
  <si>
    <t>Elijah Higgins TE  ARI</t>
  </si>
  <si>
    <t>Theo Johnson TE  NYG</t>
  </si>
  <si>
    <t>Ja'Tavion Sanders TE  CAR</t>
  </si>
  <si>
    <t>Zach Ertz TE  WAS</t>
  </si>
  <si>
    <t>Logan Thomas TE  SF</t>
  </si>
  <si>
    <t>Johnny Mundt TE  MIN</t>
  </si>
  <si>
    <t>Colby Parkinson TE  LAR</t>
  </si>
  <si>
    <t>Jimmy Graham TE  NO</t>
  </si>
  <si>
    <t>MyCole Pruitt TE  PIT</t>
  </si>
  <si>
    <t>Ben Sims TE  GB</t>
  </si>
  <si>
    <t>C.J. Uzomah TE  PHI</t>
  </si>
  <si>
    <t>Armani Rogers TE  PHI</t>
  </si>
  <si>
    <t>Austin Hooper TE  NE</t>
  </si>
  <si>
    <t>Will Dissly TE  LAC</t>
  </si>
  <si>
    <t>Pharaoh Brown TE  SEA</t>
  </si>
  <si>
    <t>Ross Dwelley TE  ATL</t>
  </si>
  <si>
    <t>Erick All TE  CIN</t>
  </si>
  <si>
    <t>Trey Knox TE  MIN</t>
  </si>
  <si>
    <t>Cade Stover TE  HOU</t>
  </si>
  <si>
    <t>Cole Turner TE  WAS</t>
  </si>
  <si>
    <t>Izaiah Gathings TE  KC</t>
  </si>
  <si>
    <t>Jared Wiley TE  KC</t>
  </si>
  <si>
    <t>Tanner McLachlan TE  CIN</t>
  </si>
  <si>
    <t>Robert Tonyan TE  MIN</t>
  </si>
  <si>
    <t>Tanner Hudson TE  CIN</t>
  </si>
  <si>
    <t>Lucas Krull TE  DEN</t>
  </si>
  <si>
    <t>Grant Calcaterra TE  PHI</t>
  </si>
  <si>
    <t>Marcedes Lewis TE  CHI</t>
  </si>
  <si>
    <t>Irv Smith TE  KC</t>
  </si>
  <si>
    <t>Eric Saubert TE  SF</t>
  </si>
  <si>
    <t>Josiah Deguara TE  JAC</t>
  </si>
  <si>
    <t>AJ Barner TE  SEA</t>
  </si>
  <si>
    <t>Travis Vokolek TE  ARI</t>
  </si>
  <si>
    <t>Hunter Long TE  LAR</t>
  </si>
  <si>
    <t>Dallin Holker TE  NO</t>
  </si>
  <si>
    <t>Nick Vannett TE  TEN</t>
  </si>
  <si>
    <t>Devin Culp TE  TB</t>
  </si>
  <si>
    <t>Caleb Williams</t>
  </si>
  <si>
    <t>Jayden Daniels</t>
  </si>
  <si>
    <t>J.J. McCarthy</t>
  </si>
  <si>
    <t>Bo Nix</t>
  </si>
  <si>
    <t>Drake Maye</t>
  </si>
  <si>
    <t>Teddy Bridgewater</t>
  </si>
  <si>
    <t>Easton Stick</t>
  </si>
  <si>
    <t>Josh Johnson</t>
  </si>
  <si>
    <t>Spencer Rattler</t>
  </si>
  <si>
    <t>Michael Penix Jr.</t>
  </si>
  <si>
    <t>Michael Pratt</t>
  </si>
  <si>
    <t>Nathan Rourke</t>
  </si>
  <si>
    <t>Gavin Hardison</t>
  </si>
  <si>
    <t>Carter Bradley</t>
  </si>
  <si>
    <t>Carson Wentz</t>
  </si>
  <si>
    <t>Tyson Bagent</t>
  </si>
  <si>
    <t>Joe Flacco</t>
  </si>
  <si>
    <t>Jake Browning</t>
  </si>
  <si>
    <t>Jacob Eason</t>
  </si>
  <si>
    <t>Brandon Aubrey</t>
  </si>
  <si>
    <t>Blake Grupe</t>
  </si>
  <si>
    <t>Cameron Dicker</t>
  </si>
  <si>
    <t>Cam Little</t>
  </si>
  <si>
    <t>Joshua Karty</t>
  </si>
  <si>
    <t>Jake Bates</t>
  </si>
  <si>
    <t>Will Reichard</t>
  </si>
  <si>
    <t>Nick Folk</t>
  </si>
  <si>
    <t>Kyren Williams</t>
  </si>
  <si>
    <t>Zamir White</t>
  </si>
  <si>
    <t>Carson Steele</t>
  </si>
  <si>
    <t>Trey Benson</t>
  </si>
  <si>
    <t>Blake Corum</t>
  </si>
  <si>
    <t>Jonathon Brooks</t>
  </si>
  <si>
    <t>Ezekiel Elliott</t>
  </si>
  <si>
    <t>MarShawn Lloyd</t>
  </si>
  <si>
    <t>Tyrone Tracy Jr.</t>
  </si>
  <si>
    <t>Jaylen Wright</t>
  </si>
  <si>
    <t>Jaleel McLaughlin</t>
  </si>
  <si>
    <t>Bucky Irving</t>
  </si>
  <si>
    <t>Braelon Allen</t>
  </si>
  <si>
    <t>Keaton Mitchell</t>
  </si>
  <si>
    <t>Ray Davis</t>
  </si>
  <si>
    <t>Justice Hill</t>
  </si>
  <si>
    <t>Audric Estime</t>
  </si>
  <si>
    <t>Andrew Beck</t>
  </si>
  <si>
    <t>AJ Dillon</t>
  </si>
  <si>
    <t>Emari Demercado</t>
  </si>
  <si>
    <t>Hunter Luepke</t>
  </si>
  <si>
    <t>Trey Sermon</t>
  </si>
  <si>
    <t>Rasheen Ali</t>
  </si>
  <si>
    <t>Ronnie Rivers</t>
  </si>
  <si>
    <t>Nick Bawden</t>
  </si>
  <si>
    <t>Will Shipley</t>
  </si>
  <si>
    <t>Kendall Milton</t>
  </si>
  <si>
    <t>Kareem Hunt</t>
  </si>
  <si>
    <t>Brandon Bolden</t>
  </si>
  <si>
    <t>Jeremy McNichols</t>
  </si>
  <si>
    <t>Isaac Guerendo</t>
  </si>
  <si>
    <t>Cody Schrader</t>
  </si>
  <si>
    <t>Isaiah Spiller</t>
  </si>
  <si>
    <t>Craig Reynolds</t>
  </si>
  <si>
    <t>Dalvin Cook</t>
  </si>
  <si>
    <t>Jase McClellan</t>
  </si>
  <si>
    <t>Puka Nacua</t>
  </si>
  <si>
    <t>Marvin Harrison Jr.</t>
  </si>
  <si>
    <t>DJ Moore</t>
  </si>
  <si>
    <t>Tank Dell</t>
  </si>
  <si>
    <t>Jayden Reed</t>
  </si>
  <si>
    <t>Xavier Worthy</t>
  </si>
  <si>
    <t>Malik Nabers</t>
  </si>
  <si>
    <t>Ladd McConkey</t>
  </si>
  <si>
    <t>Keon Coleman</t>
  </si>
  <si>
    <t>Brian Thomas Jr.</t>
  </si>
  <si>
    <t>Kendrick Bourne</t>
  </si>
  <si>
    <t>Noah Brown</t>
  </si>
  <si>
    <t>Rome Odunze</t>
  </si>
  <si>
    <t>DJ Chark</t>
  </si>
  <si>
    <t>Michael Wilson</t>
  </si>
  <si>
    <t>A.T. Perry</t>
  </si>
  <si>
    <t>Demario Douglas</t>
  </si>
  <si>
    <t>Adonai Mitchell</t>
  </si>
  <si>
    <t>Troy Franklin</t>
  </si>
  <si>
    <t>Dontayvion Wicks</t>
  </si>
  <si>
    <t>Demarcus Robinson</t>
  </si>
  <si>
    <t>Jermaine Burton</t>
  </si>
  <si>
    <t>Josh Reynolds</t>
  </si>
  <si>
    <t>Xavier Legette</t>
  </si>
  <si>
    <t>Roman Wilson</t>
  </si>
  <si>
    <t>KaVontae Turpin</t>
  </si>
  <si>
    <t>Brandon Johnson</t>
  </si>
  <si>
    <t>Cedrick Wilson Jr.</t>
  </si>
  <si>
    <t>Jalen McMillan</t>
  </si>
  <si>
    <t>Alec Pierce</t>
  </si>
  <si>
    <t>Trenton Irwin</t>
  </si>
  <si>
    <t>Ja'Lynn Polk</t>
  </si>
  <si>
    <t>Ricky Pearsall</t>
  </si>
  <si>
    <t>Josh Downs</t>
  </si>
  <si>
    <t>Jalen Nailor</t>
  </si>
  <si>
    <t>Brock Bowers</t>
  </si>
  <si>
    <t>Ben Sinnott</t>
  </si>
  <si>
    <t>Brevin Jordan</t>
  </si>
  <si>
    <t>Theo Johnson</t>
  </si>
  <si>
    <t>Ja'Tavion Sanders</t>
  </si>
  <si>
    <t>Johnny Mundt</t>
  </si>
  <si>
    <t>Jimmy Graham</t>
  </si>
  <si>
    <t>MyCole Pruitt</t>
  </si>
  <si>
    <t>Ben Sims</t>
  </si>
  <si>
    <t>Armani Rogers</t>
  </si>
  <si>
    <t>Pharaoh Brown</t>
  </si>
  <si>
    <t>Erick All</t>
  </si>
  <si>
    <t>Trey Knox</t>
  </si>
  <si>
    <t>Cade Stover</t>
  </si>
  <si>
    <t>Cole Turner</t>
  </si>
  <si>
    <t>Izaiah Gathings</t>
  </si>
  <si>
    <t>Jared Wiley</t>
  </si>
  <si>
    <t>Tanner McLachlan</t>
  </si>
  <si>
    <t>Tanner Hudson</t>
  </si>
  <si>
    <t>Lucas Krull</t>
  </si>
  <si>
    <t>Grant Calcaterra</t>
  </si>
  <si>
    <t>Marcedes Lewis</t>
  </si>
  <si>
    <t>AJ Barner</t>
  </si>
  <si>
    <t>Travis Vokolek</t>
  </si>
  <si>
    <t>Hunter Long</t>
  </si>
  <si>
    <t>Dallin Holker</t>
  </si>
  <si>
    <t>Nick Vannett</t>
  </si>
  <si>
    <t>Devin Culp</t>
  </si>
  <si>
    <t>Scenarios</t>
  </si>
  <si>
    <t>On</t>
  </si>
</sst>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5">
    <x:numFmt numFmtId="8" formatCode="&quot;$&quot;#,##0.00_);[Red]\(&quot;$&quot;#,##0.00\)"/>
    <x:numFmt numFmtId="164" formatCode="[$-409]m/d/yy\ h:mm\ AM/PM;@"/>
    <x:numFmt numFmtId="165" formatCode="0.0%"/>
    <x:numFmt numFmtId="166" formatCode="0.0000"/>
    <x:numFmt numFmtId="167" formatCode="#,##0.0"/>
  </x:numFmts>
  <x:fonts count="40">
    <x:font>
      <x:sz val="11"/>
      <x:color theme="1"/>
      <x:name val="Calibri"/>
      <x:family val="2"/>
      <x:scheme val="minor"/>
    </x:font>
    <x:font>
      <x:b/>
      <x:sz val="11"/>
      <x:color theme="1"/>
      <x:name val="Calibri"/>
      <x:family val="2"/>
      <x:scheme val="minor"/>
    </x:font>
    <x:font>
      <x:sz val="3"/>
      <x:color rgb="FF242729"/>
      <x:name val="Consolas"/>
      <x:family val="3"/>
    </x:font>
    <x:font>
      <x:sz val="11"/>
      <x:color rgb="FF00007F"/>
      <x:name val="Courier New"/>
      <x:family val="3"/>
    </x:font>
    <x:font>
      <x:sz val="11"/>
      <x:color rgb="FF403F41"/>
      <x:name val="Courier New"/>
      <x:family val="3"/>
    </x:font>
    <x:font>
      <x:sz val="11"/>
      <x:color rgb="FF007F00"/>
      <x:name val="Courier New"/>
      <x:family val="3"/>
    </x:font>
    <x:font>
      <x:sz val="8"/>
      <x:name val="Calibri"/>
      <x:family val="2"/>
      <x:scheme val="minor"/>
    </x:font>
    <x:font>
      <x:sz val="11"/>
      <x:color rgb="FF0070C0"/>
      <x:name val="Calibri"/>
      <x:family val="2"/>
      <x:scheme val="minor"/>
    </x:font>
    <x:font>
      <x:b/>
      <x:sz val="14"/>
      <x:color theme="1"/>
      <x:name val="Calibri"/>
      <x:family val="2"/>
      <x:scheme val="minor"/>
    </x:font>
    <x:font>
      <x:u/>
      <x:sz val="11"/>
      <x:color theme="10"/>
      <x:name val="Calibri"/>
      <x:family val="2"/>
      <x:scheme val="minor"/>
    </x:font>
    <x:font>
      <x:sz val="10"/>
      <x:color theme="1"/>
      <x:name val="Var(--ff-mono)"/>
    </x:font>
    <x:font>
      <x:sz val="11"/>
      <x:color theme="1"/>
      <x:name val="Roboto"/>
    </x:font>
    <x:font>
      <x:b/>
      <x:sz val="24"/>
      <x:color theme="0"/>
      <x:name val="Agency FB"/>
      <x:family val="2"/>
    </x:font>
    <x:font>
      <x:sz val="11"/>
      <x:name val="Roboto"/>
    </x:font>
    <x:font>
      <x:b/>
      <x:sz val="18"/>
      <x:color theme="0"/>
      <x:name val="Agency FB"/>
      <x:family val="2"/>
    </x:font>
    <x:font>
      <x:b/>
      <x:sz val="11"/>
      <x:color theme="1"/>
      <x:name val="Roboto"/>
    </x:font>
    <x:font>
      <x:b/>
      <x:sz val="24"/>
      <x:color theme="0"/>
      <x:name val="Roboto"/>
    </x:font>
    <x:font>
      <x:b/>
      <x:sz val="20"/>
      <x:color theme="0"/>
      <x:name val="Roboto"/>
    </x:font>
    <x:font>
      <x:b/>
      <x:sz val="11"/>
      <x:name val="Roboto"/>
    </x:font>
    <x:font>
      <x:b/>
      <x:sz val="12"/>
      <x:name val="Roboto"/>
    </x:font>
    <x:font>
      <x:u/>
      <x:sz val="12"/>
      <x:color theme="10"/>
      <x:name val="Roboto"/>
    </x:font>
    <x:font>
      <x:sz val="12"/>
      <x:color rgb="FF202121"/>
      <x:name val="Roboto"/>
    </x:font>
    <x:font>
      <x:sz val="12"/>
      <x:color theme="1"/>
      <x:name val="Roboto"/>
    </x:font>
    <x:font>
      <x:b/>
      <x:sz val="20"/>
      <x:color theme="0"/>
      <x:name val="Calibri"/>
      <x:family val="2"/>
      <x:scheme val="minor"/>
    </x:font>
    <x:font>
      <x:sz val="20"/>
      <x:color theme="0"/>
      <x:name val="Calibri"/>
      <x:family val="2"/>
      <x:scheme val="minor"/>
    </x:font>
    <x:font>
      <x:b/>
      <x:sz val="12"/>
      <x:color theme="1"/>
      <x:name val="Calibri"/>
      <x:family val="2"/>
      <x:scheme val="minor"/>
    </x:font>
    <x:font>
      <x:sz val="11"/>
      <x:color rgb="FF000000"/>
      <x:name val="Calibri"/>
      <x:family val="2"/>
    </x:font>
    <x:font>
      <x:b/>
      <x:sz val="11"/>
      <x:color rgb="FF0070C0"/>
      <x:name val="Calibri"/>
      <x:family val="2"/>
      <x:scheme val="minor"/>
    </x:font>
    <x:font>
      <x:b/>
      <x:sz val="11"/>
      <x:color rgb="FF000000"/>
      <x:name val="Calibri"/>
      <x:family val="2"/>
    </x:font>
    <x:font>
      <x:u/>
      <x:sz val="12"/>
      <x:color theme="10"/>
      <x:name val="Calibri"/>
      <x:family val="2"/>
      <x:scheme val="minor"/>
    </x:font>
    <x:font>
      <x:sz val="11"/>
      <x:name val="Calibri"/>
      <x:family val="2"/>
      <x:scheme val="minor"/>
    </x:font>
    <x:font>
      <x:b/>
      <x:sz val="24"/>
      <x:color theme="0"/>
      <x:name val="Calibri"/>
      <x:family val="2"/>
      <x:scheme val="minor"/>
    </x:font>
    <x:font>
      <x:b/>
      <x:sz val="11"/>
      <x:name val="Calibri"/>
      <x:family val="2"/>
      <x:scheme val="minor"/>
    </x:font>
    <x:font>
      <x:b/>
      <x:sz val="18"/>
      <x:color theme="0"/>
      <x:name val="Calibri"/>
      <x:family val="2"/>
      <x:scheme val="minor"/>
    </x:font>
    <x:font>
      <x:b/>
      <x:sz val="12"/>
      <x:name val="Calibri"/>
      <x:family val="2"/>
      <x:scheme val="minor"/>
    </x:font>
    <x:font>
      <x:sz val="12"/>
      <x:color rgb="FF202121"/>
      <x:name val="Calibri"/>
      <x:family val="2"/>
      <x:scheme val="minor"/>
    </x:font>
    <x:font>
      <x:sz val="12"/>
      <x:color theme="1"/>
      <x:name val="Calibri"/>
      <x:family val="2"/>
      <x:scheme val="minor"/>
    </x:font>
    <x:font>
      <x:b/>
      <x:sz val="11"/>
      <x:color theme="0"/>
      <x:name val="Calibri"/>
      <x:family val="2"/>
      <x:scheme val="minor"/>
    </x:font>
    <x:font>
      <x:sz val="11"/>
      <x:color rgb="FF202121"/>
      <x:name val="Calibri"/>
      <x:family val="2"/>
      <x:scheme val="minor"/>
    </x:font>
    <x:font>
      <x:sz val="24"/>
      <x:color theme="0"/>
      <x:name val="Calibri"/>
      <x:family val="2"/>
      <x:scheme val="minor"/>
    </x:font>
    <x:font>
      <x:sz val="12"/>
      <x:color rgb="FFFFFF"/>
      <x:name val="Arial"/>
    </x:font>
  </x:fonts>
  <x:fills count="9">
    <x:fill>
      <x:patternFill patternType="none"/>
    </x:fill>
    <x:fill>
      <x:patternFill patternType="gray125"/>
    </x:fill>
    <x:fill>
      <x:patternFill patternType="solid">
        <x:fgColor theme="2"/>
        <x:bgColor indexed="64"/>
      </x:patternFill>
    </x:fill>
    <x:fill>
      <x:patternFill patternType="solid">
        <x:fgColor theme="0"/>
        <x:bgColor indexed="64"/>
      </x:patternFill>
    </x:fill>
    <x:fill>
      <x:patternFill patternType="solid">
        <x:fgColor rgb="FF228AB8"/>
        <x:bgColor auto="1"/>
      </x:patternFill>
    </x:fill>
    <x:fill>
      <x:patternFill patternType="solid">
        <x:fgColor rgb="FFBF1F36"/>
        <x:bgColor auto="1"/>
      </x:patternFill>
    </x:fill>
    <x:fill>
      <x:patternFill patternType="solid">
        <x:fgColor rgb="FFFFFFFF"/>
        <x:bgColor indexed="64"/>
      </x:patternFill>
    </x:fill>
    <x:fill>
      <x:patternFill patternType="solid">
        <x:fgColor theme="0" tint="-0.14999847407452621"/>
        <x:bgColor indexed="64"/>
      </x:patternFill>
    </x:fill>
    <x:fill>
      <x:patternFill patternType="solid">
        <x:fgColor theme="8" tint="0.79998168889431442"/>
        <x:bgColor indexed="64"/>
      </x:patternFill>
    </x:fill>
  </x:fills>
  <x:borders count="15">
    <x:border>
      <x:left/>
      <x:right/>
      <x:top/>
      <x:bottom/>
      <x:diagonal/>
    </x:border>
    <x:border>
      <x:left style="thin">
        <x:color theme="0" tint="-0.249977111117893"/>
      </x:left>
      <x:right style="thin">
        <x:color theme="0" tint="-0.249977111117893"/>
      </x:right>
      <x:top style="thin">
        <x:color theme="0" tint="-0.249977111117893"/>
      </x:top>
      <x:bottom style="thin">
        <x:color theme="0" tint="-0.249977111117893"/>
      </x:bottom>
      <x:diagonal/>
    </x:border>
    <x:border>
      <x:left/>
      <x:right/>
      <x:top/>
      <x:bottom style="medium">
        <x:color indexed="64"/>
      </x:bottom>
      <x:diagonal/>
    </x:border>
    <x:border>
      <x:left style="medium">
        <x:color indexed="64"/>
      </x:left>
      <x:right/>
      <x:top style="medium">
        <x:color indexed="64"/>
      </x:top>
      <x:bottom style="medium">
        <x:color indexed="64"/>
      </x:bottom>
      <x:diagonal/>
    </x:border>
    <x:border>
      <x:left/>
      <x:right/>
      <x:top style="medium">
        <x:color indexed="64"/>
      </x:top>
      <x:bottom style="medium">
        <x:color indexed="64"/>
      </x:bottom>
      <x:diagonal/>
    </x:border>
    <x:border>
      <x:left/>
      <x:right style="medium">
        <x:color indexed="64"/>
      </x:right>
      <x:top style="medium">
        <x:color indexed="64"/>
      </x:top>
      <x:bottom style="medium">
        <x:color indexed="64"/>
      </x:bottom>
      <x:diagonal/>
    </x:border>
    <x:border>
      <x:left style="thin">
        <x:color indexed="64"/>
      </x:left>
      <x:right/>
      <x:top style="thin">
        <x:color indexed="64"/>
      </x:top>
      <x:bottom style="thin">
        <x:color indexed="64"/>
      </x:bottom>
      <x:diagonal/>
    </x:border>
    <x:border>
      <x:left style="medium">
        <x:color indexed="64"/>
      </x:left>
      <x:right style="medium">
        <x:color indexed="64"/>
      </x:right>
      <x:top style="medium">
        <x:color indexed="64"/>
      </x:top>
      <x:bottom style="medium">
        <x:color indexed="64"/>
      </x:bottom>
      <x:diagonal/>
    </x:border>
    <x:border>
      <x:left style="medium">
        <x:color indexed="64"/>
      </x:left>
      <x:right/>
      <x:top style="medium">
        <x:color indexed="64"/>
      </x:top>
      <x:bottom/>
      <x:diagonal/>
    </x:border>
    <x:border>
      <x:left style="thin">
        <x:color indexed="64"/>
      </x:left>
      <x:right/>
      <x:top style="medium">
        <x:color indexed="64"/>
      </x:top>
      <x:bottom/>
      <x:diagonal/>
    </x:border>
    <x:border>
      <x:left style="thin">
        <x:color indexed="64"/>
      </x:left>
      <x:right style="medium">
        <x:color indexed="64"/>
      </x:right>
      <x:top style="medium">
        <x:color indexed="64"/>
      </x:top>
      <x:bottom/>
      <x:diagonal/>
    </x:border>
    <x:border>
      <x:left style="medium">
        <x:color indexed="64"/>
      </x:left>
      <x:right/>
      <x:top/>
      <x:bottom style="medium">
        <x:color indexed="64"/>
      </x:bottom>
      <x:diagonal/>
    </x:border>
    <x:border>
      <x:left/>
      <x:right style="medium">
        <x:color indexed="64"/>
      </x:right>
      <x:top/>
      <x:bottom style="medium">
        <x:color indexed="64"/>
      </x:bottom>
      <x:diagonal/>
    </x:border>
    <x:border>
      <x:left style="thin">
        <x:color indexed="64"/>
      </x:left>
      <x:right/>
      <x:top style="medium">
        <x:color indexed="64"/>
      </x:top>
      <x:bottom style="medium">
        <x:color indexed="64"/>
      </x:bottom>
      <x:diagonal/>
    </x:border>
    <x:border>
      <x:left style="thin">
        <x:color indexed="64"/>
      </x:left>
      <x:right style="medium">
        <x:color indexed="64"/>
      </x:right>
      <x:top style="medium">
        <x:color indexed="64"/>
      </x:top>
      <x:bottom style="medium">
        <x:color indexed="64"/>
      </x:bottom>
      <x:diagonal/>
    </x:border>
  </x:borders>
  <x:cellStyleXfs count="2">
    <x:xf numFmtId="0" fontId="0" fillId="0" borderId="0"/>
    <x:xf numFmtId="0" fontId="9" fillId="0" borderId="0" applyNumberFormat="0" applyFill="0" applyBorder="0" applyAlignment="0" applyProtection="0"/>
  </x:cellStyleXfs>
  <x:cellXfs count="143">
    <x:xf numFmtId="0" fontId="0" fillId="0" borderId="0" xfId="0"/>
    <x:xf numFmtId="3" fontId="7" fillId="0" borderId="0" xfId="0" applyNumberFormat="1" applyFont="1" applyAlignment="1" applyProtection="1">
      <x:alignment horizontal="center"/>
      <x:protection locked="0"/>
    </x:xf>
    <x:xf numFmtId="3" fontId="0" fillId="0" borderId="0" xfId="0" applyNumberFormat="1" applyAlignment="1" applyProtection="1">
      <x:alignment horizontal="center"/>
      <x:protection locked="0"/>
    </x:xf>
    <x:xf numFmtId="0" fontId="0" fillId="0" borderId="0" xfId="0" applyProtection="1">
      <x:protection locked="0"/>
    </x:xf>
    <x:xf numFmtId="0" fontId="0" fillId="0" borderId="0" xfId="0" applyAlignment="1" applyProtection="1">
      <x:alignment horizontal="center"/>
      <x:protection locked="0"/>
    </x:xf>
    <x:xf numFmtId="0" fontId="1" fillId="2" borderId="1" xfId="0" applyFont="1" applyFill="1" applyBorder="1" applyAlignment="1" applyProtection="1">
      <x:alignment horizontal="center"/>
      <x:protection locked="0"/>
    </x:xf>
    <x:xf numFmtId="22" fontId="0" fillId="0" borderId="1" xfId="0" applyNumberFormat="1" applyBorder="1" applyAlignment="1" applyProtection="1">
      <x:alignment horizontal="center"/>
      <x:protection locked="0"/>
    </x:xf>
    <x:xf numFmtId="0" fontId="2" fillId="0" borderId="0" xfId="0" applyFont="1" applyAlignment="1" applyProtection="1">
      <x:alignment horizontal="center"/>
      <x:protection locked="0"/>
    </x:xf>
    <x:xf numFmtId="0" fontId="3" fillId="0" borderId="0" xfId="0" applyFont="1" applyProtection="1">
      <x:protection locked="0"/>
    </x:xf>
    <x:xf numFmtId="0" fontId="5" fillId="0" borderId="0" xfId="0" applyFont="1" applyProtection="1">
      <x:protection locked="0"/>
    </x:xf>
    <x:xf numFmtId="0" fontId="4" fillId="0" borderId="0" xfId="0" applyFont="1" applyProtection="1">
      <x:protection locked="0"/>
    </x:xf>
    <x:xf numFmtId="0" fontId="1" fillId="2" borderId="0" xfId="0" applyFont="1" applyFill="1" applyAlignment="1" applyProtection="1">
      <x:alignment horizontal="center"/>
      <x:protection locked="0"/>
    </x:xf>
    <x:xf numFmtId="165" fontId="0" fillId="0" borderId="0" xfId="0" applyNumberFormat="1" applyAlignment="1" applyProtection="1">
      <x:alignment horizontal="center"/>
      <x:protection locked="0"/>
    </x:xf>
    <x:xf numFmtId="166" fontId="0" fillId="0" borderId="0" xfId="0" applyNumberFormat="1" applyAlignment="1" applyProtection="1">
      <x:alignment horizontal="center"/>
      <x:protection locked="0"/>
    </x:xf>
    <x:xf numFmtId="4" fontId="0" fillId="0" borderId="0" xfId="0" applyNumberFormat="1" applyAlignment="1" applyProtection="1">
      <x:alignment horizontal="center"/>
      <x:protection locked="0"/>
    </x:xf>
    <x:xf numFmtId="1" fontId="0" fillId="0" borderId="0" xfId="0" applyNumberFormat="1" applyAlignment="1" applyProtection="1">
      <x:alignment horizontal="center"/>
      <x:protection locked="0"/>
    </x:xf>
    <x:xf numFmtId="22" fontId="0" fillId="0" borderId="0" xfId="0" applyNumberFormat="1" applyAlignment="1" applyProtection="1">
      <x:alignment horizontal="center"/>
      <x:protection locked="0"/>
    </x:xf>
    <x:xf numFmtId="0" fontId="1" fillId="0" borderId="0" xfId="0" applyFont="1" applyAlignment="1" applyProtection="1">
      <x:alignment horizontal="center"/>
      <x:protection locked="0"/>
    </x:xf>
    <x:xf numFmtId="0" fontId="0" fillId="0" borderId="0" xfId="0" applyAlignment="1" applyProtection="1">
      <x:alignment horizontal="left"/>
      <x:protection locked="0"/>
    </x:xf>
    <x:xf numFmtId="22" fontId="0" fillId="0" borderId="1" xfId="0" applyNumberFormat="1" applyBorder="1" applyAlignment="1" applyProtection="1">
      <x:alignment horizontal="left"/>
      <x:protection locked="0"/>
    </x:xf>
    <x:xf numFmtId="0" fontId="9" fillId="0" borderId="0" xfId="1" applyAlignment="1" applyProtection="1">
      <x:alignment horizontal="left"/>
      <x:protection locked="0"/>
    </x:xf>
    <x:xf numFmtId="0" fontId="0" fillId="3" borderId="0" xfId="0" applyFill="1" applyProtection="1">
      <x:protection hidden="1"/>
    </x:xf>
    <x:xf numFmtId="0" fontId="0" fillId="3" borderId="0" xfId="0" applyFill="1" applyProtection="1">
      <x:protection locked="0"/>
    </x:xf>
    <x:xf numFmtId="164" fontId="0" fillId="3" borderId="0" xfId="0" applyNumberFormat="1" applyFill="1" applyAlignment="1" applyProtection="1">
      <x:alignment horizontal="center"/>
      <x:protection hidden="1"/>
    </x:xf>
    <x:xf numFmtId="0" fontId="0" fillId="3" borderId="0" xfId="0" applyFill="1" applyAlignment="1" applyProtection="1">
      <x:alignment horizontal="center"/>
      <x:protection hidden="1"/>
    </x:xf>
    <x:xf numFmtId="3" fontId="0" fillId="3" borderId="0" xfId="0" applyNumberFormat="1" applyFill="1" applyAlignment="1" applyProtection="1">
      <x:alignment horizontal="center"/>
      <x:protection hidden="1"/>
    </x:xf>
    <x:xf numFmtId="0" fontId="8" fillId="3" borderId="0" xfId="0" applyFont="1" applyFill="1" applyAlignment="1" applyProtection="1">
      <x:alignment horizontal="center"/>
      <x:protection hidden="1"/>
    </x:xf>
    <x:xf numFmtId="3" fontId="8" fillId="3" borderId="0" xfId="0" applyNumberFormat="1" applyFont="1" applyFill="1" applyAlignment="1" applyProtection="1">
      <x:alignment horizontal="center"/>
      <x:protection hidden="1"/>
    </x:xf>
    <x:xf numFmtId="9" fontId="8" fillId="3" borderId="0" xfId="0" applyNumberFormat="1" applyFont="1" applyFill="1" applyAlignment="1" applyProtection="1">
      <x:alignment horizontal="center"/>
      <x:protection hidden="1"/>
    </x:xf>
    <x:xf numFmtId="0" fontId="1" fillId="3" borderId="0" xfId="0" applyFont="1" applyFill="1" applyAlignment="1" applyProtection="1">
      <x:alignment horizontal="center"/>
      <x:protection hidden="1"/>
    </x:xf>
    <x:xf numFmtId="0" fontId="1" fillId="0" borderId="0" xfId="0" applyFont="1" applyProtection="1">
      <x:protection locked="0"/>
    </x:xf>
    <x:xf numFmtId="9" fontId="27" fillId="7" borderId="0" xfId="0" applyNumberFormat="1" applyFont="1" applyFill="1" applyAlignment="1" applyProtection="1">
      <x:alignment horizontal="center"/>
      <x:protection hidden="1"/>
    </x:xf>
    <x:xf numFmtId="15" fontId="0" fillId="0" borderId="0" xfId="0" applyNumberFormat="1" applyAlignment="1" applyProtection="1">
      <x:alignment horizontal="center"/>
      <x:protection locked="0"/>
    </x:xf>
    <x:xf numFmtId="8" fontId="0" fillId="0" borderId="0" xfId="0" applyNumberFormat="1" applyAlignment="1" applyProtection="1">
      <x:alignment horizontal="center"/>
      <x:protection locked="0"/>
    </x:xf>
    <x:xf numFmtId="8" fontId="0" fillId="0" borderId="0" xfId="0" applyNumberFormat="1" applyAlignment="1" applyProtection="1">
      <x:alignment horizontal="left"/>
      <x:protection locked="0"/>
    </x:xf>
    <x:xf numFmtId="0" fontId="0" fillId="0" borderId="0" xfId="0" applyAlignment="1" applyProtection="1">
      <x:alignment horizontal="left"/>
      <x:protection hidden="1"/>
    </x:xf>
    <x:xf numFmtId="3" fontId="0" fillId="8" borderId="7" xfId="0" applyNumberFormat="1" applyFill="1" applyBorder="1" applyAlignment="1" applyProtection="1">
      <x:alignment horizontal="center"/>
      <x:protection locked="0"/>
    </x:xf>
    <x:xf numFmtId="167" fontId="0" fillId="8" borderId="7" xfId="0" applyNumberFormat="1" applyFill="1" applyBorder="1" applyAlignment="1" applyProtection="1">
      <x:alignment horizontal="center"/>
      <x:protection locked="0"/>
    </x:xf>
    <x:xf numFmtId="0" fontId="1" fillId="0" borderId="2" xfId="0" applyFont="1" applyBorder="1" applyAlignment="1" applyProtection="1">
      <x:alignment horizontal="center"/>
      <x:protection locked="0"/>
    </x:xf>
    <x:xf numFmtId="9" fontId="27" fillId="7" borderId="0" xfId="0" applyNumberFormat="1" applyFont="1" applyFill="1" applyAlignment="1" applyProtection="1">
      <x:alignment horizontal="left"/>
      <x:protection hidden="1"/>
    </x:xf>
    <x:xf numFmtId="0" fontId="12" fillId="5" borderId="3" xfId="0" applyFont="1" applyFill="1" applyBorder="1" applyAlignment="1" applyProtection="1">
      <x:alignment horizontal="centerContinuous" vertical="center"/>
      <x:protection locked="0"/>
    </x:xf>
    <x:xf numFmtId="0" fontId="12" fillId="5" borderId="4" xfId="0" applyFont="1" applyFill="1" applyBorder="1" applyAlignment="1" applyProtection="1">
      <x:alignment horizontal="centerContinuous" vertical="center"/>
      <x:protection locked="0"/>
    </x:xf>
    <x:xf numFmtId="0" fontId="12" fillId="5" borderId="5" xfId="0" applyFont="1" applyFill="1" applyBorder="1" applyAlignment="1" applyProtection="1">
      <x:alignment horizontal="centerContinuous" vertical="center"/>
      <x:protection locked="0"/>
    </x:xf>
    <x:xf numFmtId="0" fontId="12" fillId="5" borderId="0" xfId="0" applyFont="1" applyFill="1" applyAlignment="1" applyProtection="1">
      <x:alignment horizontal="centerContinuous" vertical="center"/>
      <x:protection locked="0"/>
    </x:xf>
    <x:xf numFmtId="0" fontId="11" fillId="3" borderId="0" xfId="0" applyFont="1" applyFill="1" applyProtection="1">
      <x:protection locked="0"/>
    </x:xf>
    <x:xf numFmtId="0" fontId="14" fillId="4" borderId="3" xfId="0" applyFont="1" applyFill="1" applyBorder="1" applyAlignment="1" applyProtection="1">
      <x:alignment horizontal="centerContinuous" vertical="center"/>
      <x:protection locked="0"/>
    </x:xf>
    <x:xf numFmtId="0" fontId="14" fillId="4" borderId="13" xfId="0" applyFont="1" applyFill="1" applyBorder="1" applyAlignment="1" applyProtection="1">
      <x:alignment horizontal="centerContinuous" vertical="center"/>
      <x:protection locked="0"/>
    </x:xf>
    <x:xf numFmtId="0" fontId="14" fillId="4" borderId="14" xfId="0" applyFont="1" applyFill="1" applyBorder="1" applyAlignment="1" applyProtection="1">
      <x:alignment horizontal="centerContinuous" vertical="center"/>
      <x:protection locked="0"/>
    </x:xf>
    <x:xf numFmtId="0" fontId="14" fillId="4" borderId="8" xfId="0" applyFont="1" applyFill="1" applyBorder="1" applyAlignment="1" applyProtection="1">
      <x:alignment horizontal="centerContinuous" vertical="center"/>
      <x:protection locked="0"/>
    </x:xf>
    <x:xf numFmtId="0" fontId="14" fillId="4" borderId="10" xfId="0" applyFont="1" applyFill="1" applyBorder="1" applyAlignment="1" applyProtection="1">
      <x:alignment horizontal="centerContinuous" vertical="center"/>
      <x:protection locked="0"/>
    </x:xf>
    <x:xf numFmtId="0" fontId="8" fillId="0" borderId="11" xfId="0" applyFont="1" applyBorder="1" applyAlignment="1" applyProtection="1">
      <x:alignment horizontal="centerContinuous" vertical="center"/>
      <x:protection locked="0"/>
    </x:xf>
    <x:xf numFmtId="0" fontId="11" fillId="0" borderId="12" xfId="0" applyFont="1" applyBorder="1" applyAlignment="1" applyProtection="1">
      <x:alignment horizontal="centerContinuous" vertical="center"/>
      <x:protection locked="0"/>
    </x:xf>
    <x:xf numFmtId="0" fontId="9" fillId="0" borderId="11" xfId="1" applyBorder="1" applyAlignment="1" applyProtection="1">
      <x:alignment horizontal="centerContinuous" vertical="center"/>
      <x:protection locked="0"/>
    </x:xf>
    <x:xf numFmtId="0" fontId="11" fillId="0" borderId="0" xfId="0" applyFont="1" applyProtection="1">
      <x:protection locked="0"/>
    </x:xf>
    <x:xf numFmtId="0" fontId="0" fillId="3" borderId="0" xfId="0" applyFill="1" applyAlignment="1" applyProtection="1">
      <x:alignment vertical="top" wrapText="1"/>
      <x:protection locked="0"/>
    </x:xf>
    <x:xf numFmtId="0" fontId="30" fillId="3" borderId="0" xfId="0" applyFont="1" applyFill="1" applyAlignment="1" applyProtection="1">
      <x:alignment vertical="top" wrapText="1"/>
      <x:protection locked="0"/>
    </x:xf>
    <x:xf numFmtId="0" fontId="30" fillId="3" borderId="0" xfId="0" applyFont="1" applyFill="1" applyProtection="1">
      <x:protection locked="0"/>
    </x:xf>
    <x:xf numFmtId="0" fontId="31" fillId="5" borderId="4" xfId="0" applyFont="1" applyFill="1" applyBorder="1" applyAlignment="1" applyProtection="1">
      <x:alignment horizontal="centerContinuous" vertical="center"/>
      <x:protection locked="0"/>
    </x:xf>
    <x:xf numFmtId="0" fontId="31" fillId="5" borderId="5" xfId="0" applyFont="1" applyFill="1" applyBorder="1" applyAlignment="1" applyProtection="1">
      <x:alignment horizontal="centerContinuous" vertical="center"/>
      <x:protection locked="0"/>
    </x:xf>
    <x:xf numFmtId="0" fontId="39" fillId="3" borderId="0" xfId="0" applyFont="1" applyFill="1" applyAlignment="1" applyProtection="1">
      <x:alignment vertical="center"/>
      <x:protection locked="0"/>
    </x:xf>
    <x:xf numFmtId="0" fontId="33" fillId="4" borderId="4" xfId="0" applyFont="1" applyFill="1" applyBorder="1" applyAlignment="1" applyProtection="1">
      <x:alignment horizontal="centerContinuous" vertical="center"/>
      <x:protection locked="0"/>
    </x:xf>
    <x:xf numFmtId="0" fontId="33" fillId="4" borderId="5" xfId="0" applyFont="1" applyFill="1" applyBorder="1" applyAlignment="1" applyProtection="1">
      <x:alignment horizontal="centerContinuous" vertical="center"/>
      <x:protection locked="0"/>
    </x:xf>
    <x:xf numFmtId="0" fontId="23" fillId="3" borderId="0" xfId="0" applyFont="1" applyFill="1" applyProtection="1">
      <x:protection locked="0"/>
    </x:xf>
    <x:xf numFmtId="0" fontId="23" fillId="3" borderId="0" xfId="0" applyFont="1" applyFill="1" applyAlignment="1" applyProtection="1">
      <x:alignment horizontal="center"/>
      <x:protection locked="0"/>
    </x:xf>
    <x:xf numFmtId="0" fontId="34" fillId="3" borderId="0" xfId="0" applyFont="1" applyFill="1" applyAlignment="1" applyProtection="1">
      <x:alignment horizontal="centerContinuous"/>
      <x:protection locked="0"/>
    </x:xf>
    <x:xf numFmtId="0" fontId="23" fillId="3" borderId="0" xfId="0" applyFont="1" applyFill="1" applyAlignment="1" applyProtection="1">
      <x:alignment horizontal="centerContinuous"/>
      <x:protection locked="0"/>
    </x:xf>
    <x:xf numFmtId="0" fontId="34" fillId="3" borderId="0" xfId="0" applyFont="1" applyFill="1" applyAlignment="1" applyProtection="1">
      <x:alignment horizontal="center"/>
      <x:protection locked="0"/>
    </x:xf>
    <x:xf numFmtId="0" fontId="0" fillId="3" borderId="0" xfId="0" applyFill="1" applyAlignment="1" applyProtection="1">
      <x:alignment horizontal="centerContinuous"/>
      <x:protection locked="0"/>
    </x:xf>
    <x:xf numFmtId="0" fontId="34" fillId="3" borderId="2" xfId="0" applyFont="1" applyFill="1" applyBorder="1" applyAlignment="1" applyProtection="1">
      <x:alignment horizontal="center"/>
      <x:protection locked="0"/>
    </x:xf>
    <x:xf numFmtId="0" fontId="29" fillId="6" borderId="0" xfId="1" applyFont="1" applyFill="1" applyBorder="1" applyAlignment="1" applyProtection="1">
      <x:alignment horizontal="left" vertical="center"/>
      <x:protection locked="0"/>
    </x:xf>
    <x:xf numFmtId="0" fontId="35" fillId="6" borderId="0" xfId="0" applyFont="1" applyFill="1" applyAlignment="1" applyProtection="1">
      <x:alignment horizontal="center" vertical="center"/>
      <x:protection locked="0"/>
    </x:xf>
    <x:xf numFmtId="0" fontId="36" fillId="0" borderId="0" xfId="0" applyFont="1" applyAlignment="1" applyProtection="1">
      <x:alignment horizontal="center"/>
      <x:protection locked="0"/>
    </x:xf>
    <x:xf numFmtId="0" fontId="0" fillId="3" borderId="0" xfId="0" applyFill="1" applyAlignment="1" applyProtection="1">
      <x:alignment horizontal="center"/>
      <x:protection locked="0"/>
    </x:xf>
    <x:xf numFmtId="0" fontId="11" fillId="3" borderId="0" xfId="0" applyFont="1" applyFill="1" applyAlignment="1" applyProtection="1">
      <x:alignment vertical="top" wrapText="1"/>
      <x:protection locked="0"/>
    </x:xf>
    <x:xf numFmtId="0" fontId="13" fillId="3" borderId="0" xfId="0" applyFont="1" applyFill="1" applyAlignment="1" applyProtection="1">
      <x:alignment vertical="top" wrapText="1"/>
      <x:protection locked="0"/>
    </x:xf>
    <x:xf numFmtId="0" fontId="13" fillId="3" borderId="0" xfId="0" applyFont="1" applyFill="1" applyProtection="1">
      <x:protection locked="0"/>
    </x:xf>
    <x:xf numFmtId="0" fontId="18" fillId="3" borderId="0" xfId="0" applyFont="1" applyFill="1" applyProtection="1">
      <x:protection locked="0"/>
    </x:xf>
    <x:xf numFmtId="0" fontId="16" fillId="3" borderId="0" xfId="0" applyFont="1" applyFill="1" applyAlignment="1" applyProtection="1">
      <x:alignment vertical="center"/>
      <x:protection locked="0"/>
    </x:xf>
    <x:xf numFmtId="0" fontId="15" fillId="3" borderId="0" xfId="0" applyFont="1" applyFill="1" applyProtection="1">
      <x:protection locked="0"/>
    </x:xf>
    <x:xf numFmtId="0" fontId="14" fillId="4" borderId="4" xfId="0" applyFont="1" applyFill="1" applyBorder="1" applyAlignment="1" applyProtection="1">
      <x:alignment horizontal="centerContinuous" vertical="center"/>
      <x:protection locked="0"/>
    </x:xf>
    <x:xf numFmtId="0" fontId="14" fillId="4" borderId="5" xfId="0" applyFont="1" applyFill="1" applyBorder="1" applyAlignment="1" applyProtection="1">
      <x:alignment horizontal="centerContinuous" vertical="center"/>
      <x:protection locked="0"/>
    </x:xf>
    <x:xf numFmtId="0" fontId="17" fillId="3" borderId="0" xfId="0" applyFont="1" applyFill="1" applyProtection="1">
      <x:protection locked="0"/>
    </x:xf>
    <x:xf numFmtId="0" fontId="37" fillId="3" borderId="0" xfId="0" applyFont="1" applyFill="1" applyAlignment="1" applyProtection="1">
      <x:alignment horizontal="center"/>
      <x:protection locked="0"/>
    </x:xf>
    <x:xf numFmtId="0" fontId="32" fillId="3" borderId="0" xfId="0" applyFont="1" applyFill="1" applyAlignment="1" applyProtection="1">
      <x:alignment horizontal="centerContinuous"/>
      <x:protection locked="0"/>
    </x:xf>
    <x:xf numFmtId="0" fontId="37" fillId="3" borderId="0" xfId="0" applyFont="1" applyFill="1" applyAlignment="1" applyProtection="1">
      <x:alignment horizontal="centerContinuous"/>
      <x:protection locked="0"/>
    </x:xf>
    <x:xf numFmtId="0" fontId="32" fillId="3" borderId="2" xfId="0" applyFont="1" applyFill="1" applyBorder="1" applyAlignment="1" applyProtection="1">
      <x:alignment horizontal="center"/>
      <x:protection locked="0"/>
    </x:xf>
    <x:xf numFmtId="0" fontId="9" fillId="6" borderId="0" xfId="1" applyFill="1" applyBorder="1" applyAlignment="1" applyProtection="1">
      <x:alignment vertical="center"/>
      <x:protection locked="0"/>
    </x:xf>
    <x:xf numFmtId="0" fontId="38" fillId="6" borderId="0" xfId="0" applyFont="1" applyFill="1" applyAlignment="1" applyProtection="1">
      <x:alignment horizontal="center" vertical="center"/>
      <x:protection locked="0"/>
    </x:xf>
    <x:xf numFmtId="0" fontId="20" fillId="6" borderId="0" xfId="1" applyFont="1" applyFill="1" applyBorder="1" applyAlignment="1" applyProtection="1">
      <x:alignment horizontal="left" vertical="center"/>
      <x:protection locked="0"/>
    </x:xf>
    <x:xf numFmtId="0" fontId="21" fillId="6" borderId="0" xfId="0" applyFont="1" applyFill="1" applyAlignment="1" applyProtection="1">
      <x:alignment horizontal="center" vertical="center"/>
      <x:protection locked="0"/>
    </x:xf>
    <x:xf numFmtId="0" fontId="22" fillId="0" borderId="0" xfId="0" applyFont="1" applyAlignment="1" applyProtection="1">
      <x:alignment horizontal="center"/>
      <x:protection locked="0"/>
    </x:xf>
    <x:xf numFmtId="0" fontId="22" fillId="3" borderId="0" xfId="0" applyFont="1" applyFill="1" applyProtection="1">
      <x:protection locked="0"/>
    </x:xf>
    <x:xf numFmtId="0" fontId="11" fillId="3" borderId="0" xfId="0" applyFont="1" applyFill="1" applyAlignment="1" applyProtection="1">
      <x:alignment horizontal="center"/>
      <x:protection locked="0"/>
    </x:xf>
    <x:xf numFmtId="0" fontId="17" fillId="3" borderId="0" xfId="0" applyFont="1" applyFill="1" applyAlignment="1" applyProtection="1">
      <x:alignment horizontal="center"/>
      <x:protection locked="0"/>
    </x:xf>
    <x:xf numFmtId="0" fontId="19" fillId="3" borderId="0" xfId="0" applyFont="1" applyFill="1" applyAlignment="1" applyProtection="1">
      <x:alignment horizontal="centerContinuous"/>
      <x:protection locked="0"/>
    </x:xf>
    <x:xf numFmtId="0" fontId="17" fillId="3" borderId="0" xfId="0" applyFont="1" applyFill="1" applyAlignment="1" applyProtection="1">
      <x:alignment horizontal="centerContinuous"/>
      <x:protection locked="0"/>
    </x:xf>
    <x:xf numFmtId="0" fontId="9" fillId="0" borderId="0" xfId="1" applyFill="1" applyBorder="1" applyAlignment="1" applyProtection="1">
      <x:alignment vertical="center" wrapText="1"/>
      <x:protection locked="0"/>
    </x:xf>
    <x:xf numFmtId="0" fontId="0" fillId="0" borderId="0" xfId="0" applyAlignment="1" applyProtection="1">
      <x:alignment horizontal="center" vertical="center"/>
      <x:protection locked="0"/>
    </x:xf>
    <x:xf numFmtId="0" fontId="14" fillId="0" borderId="0" xfId="0" applyFont="1" applyAlignment="1" applyProtection="1">
      <x:alignment horizontal="centerContinuous" vertical="center"/>
      <x:protection locked="0"/>
    </x:xf>
    <x:xf numFmtId="0" fontId="11" fillId="0" borderId="0" xfId="0" applyFont="1" applyAlignment="1" applyProtection="1">
      <x:alignment horizontal="left"/>
      <x:protection locked="0"/>
    </x:xf>
    <x:xf numFmtId="0" fontId="11" fillId="0" borderId="0" xfId="0" applyFont="1" applyAlignment="1" applyProtection="1">
      <x:alignment horizontal="center"/>
      <x:protection locked="0"/>
    </x:xf>
    <x:xf numFmtId="0" fontId="25" fillId="0" borderId="0" xfId="0" applyFont="1" applyAlignment="1" applyProtection="1">
      <x:alignment horizontal="left" vertical="top" wrapText="1"/>
      <x:protection locked="0"/>
    </x:xf>
    <x:xf numFmtId="0" fontId="11" fillId="0" borderId="0" xfId="0" applyFont="1" applyAlignment="1" applyProtection="1">
      <x:alignment horizontal="left" vertical="top" wrapText="1"/>
      <x:protection locked="0"/>
    </x:xf>
    <x:xf numFmtId="0" fontId="28" fillId="0" borderId="0" xfId="0" applyFont="1" applyProtection="1">
      <x:protection locked="0"/>
    </x:xf>
    <x:xf numFmtId="0" fontId="24" fillId="0" borderId="0" xfId="0" applyFont="1" applyAlignment="1" applyProtection="1">
      <x:alignment horizontal="center"/>
      <x:protection locked="0"/>
    </x:xf>
    <x:xf numFmtId="0" fontId="23" fillId="0" borderId="0" xfId="0" applyFont="1" applyAlignment="1" applyProtection="1">
      <x:alignment horizontal="center"/>
      <x:protection locked="0"/>
    </x:xf>
    <x:xf numFmtId="0" fontId="34" fillId="0" borderId="0" xfId="0" applyFont="1" applyAlignment="1" applyProtection="1">
      <x:alignment horizontal="centerContinuous"/>
      <x:protection locked="0"/>
    </x:xf>
    <x:xf numFmtId="0" fontId="23" fillId="0" borderId="0" xfId="0" applyFont="1" applyAlignment="1" applyProtection="1">
      <x:alignment horizontal="centerContinuous"/>
      <x:protection locked="0"/>
    </x:xf>
    <x:xf numFmtId="0" fontId="34" fillId="0" borderId="0" xfId="0" applyFont="1" applyAlignment="1" applyProtection="1">
      <x:alignment horizontal="center"/>
      <x:protection locked="0"/>
    </x:xf>
    <x:xf numFmtId="0" fontId="1" fillId="0" borderId="0" xfId="0" applyFont="1" applyAlignment="1" applyProtection="1">
      <x:alignment horizontal="centerContinuous"/>
      <x:protection locked="0"/>
    </x:xf>
    <x:xf numFmtId="0" fontId="34" fillId="0" borderId="2" xfId="0" applyFont="1" applyBorder="1" applyAlignment="1" applyProtection="1">
      <x:alignment horizontal="center"/>
      <x:protection locked="0"/>
    </x:xf>
    <x:xf numFmtId="0" fontId="1" fillId="0" borderId="0" xfId="0" applyFont="1" applyAlignment="1" applyProtection="1">
      <x:alignment horizontal="left"/>
      <x:protection locked="0"/>
    </x:xf>
    <x:xf numFmtId="0" fontId="26" fillId="0" borderId="0" xfId="0" applyFont="1" applyAlignment="1" applyProtection="1">
      <x:alignment horizontal="center"/>
      <x:protection locked="0"/>
    </x:xf>
    <x:xf numFmtId="0" fontId="28" fillId="0" borderId="0" xfId="0" applyFont="1" applyAlignment="1" applyProtection="1">
      <x:alignment horizontal="left"/>
      <x:protection locked="0"/>
    </x:xf>
    <x:xf numFmtId="0" fontId="25" fillId="0" borderId="0" xfId="0" applyFont="1" applyProtection="1">
      <x:protection locked="0"/>
    </x:xf>
    <x:xf numFmtId="9" fontId="27" fillId="0" borderId="0" xfId="0" applyNumberFormat="1" applyFont="1" applyAlignment="1" applyProtection="1">
      <x:alignment horizontal="center"/>
      <x:protection locked="0"/>
    </x:xf>
    <x:xf numFmtId="164" fontId="0" fillId="3" borderId="0" xfId="0" applyNumberFormat="1" applyFill="1" applyAlignment="1" applyProtection="1">
      <x:alignment horizontal="center"/>
      <x:protection locked="0"/>
    </x:xf>
    <x:xf numFmtId="0" fontId="10" fillId="0" borderId="0" xfId="0" applyFont="1" applyAlignment="1" applyProtection="1">
      <x:alignment horizontal="left" vertical="center"/>
      <x:protection locked="0"/>
    </x:xf>
    <x:xf numFmtId="0" fontId="9" fillId="0" borderId="0" xfId="1" applyAlignment="1" applyProtection="1">
      <x:alignment horizontal="left" vertical="center"/>
      <x:protection locked="0"/>
    </x:xf>
    <x:xf numFmtId="0" fontId="12" fillId="5" borderId="0" xfId="0" applyFont="1" applyFill="1" applyAlignment="1" applyProtection="1">
      <x:alignment horizontal="centerContinuous" vertical="center"/>
      <x:protection hidden="1"/>
    </x:xf>
    <x:xf numFmtId="0" fontId="14" fillId="4" borderId="6" xfId="0" applyFont="1" applyFill="1" applyBorder="1" applyAlignment="1" applyProtection="1">
      <x:alignment horizontal="centerContinuous" vertical="center"/>
      <x:protection hidden="1"/>
    </x:xf>
    <x:xf numFmtId="0" fontId="12" fillId="5" borderId="3" xfId="0" applyFont="1" applyFill="1" applyBorder="1" applyAlignment="1" applyProtection="1">
      <x:alignment horizontal="centerContinuous" vertical="center"/>
      <x:protection hidden="1"/>
    </x:xf>
    <x:xf numFmtId="0" fontId="12" fillId="5" borderId="4" xfId="0" applyFont="1" applyFill="1" applyBorder="1" applyAlignment="1" applyProtection="1">
      <x:alignment horizontal="centerContinuous" vertical="center"/>
      <x:protection hidden="1"/>
    </x:xf>
    <x:xf numFmtId="0" fontId="12" fillId="5" borderId="5" xfId="0" applyFont="1" applyFill="1" applyBorder="1" applyAlignment="1" applyProtection="1">
      <x:alignment horizontal="centerContinuous" vertical="center"/>
      <x:protection hidden="1"/>
    </x:xf>
    <x:xf numFmtId="0" fontId="11" fillId="3" borderId="0" xfId="0" applyFont="1" applyFill="1" applyProtection="1">
      <x:protection hidden="1"/>
    </x:xf>
    <x:xf numFmtId="0" fontId="14" fillId="4" borderId="3" xfId="0" applyFont="1" applyFill="1" applyBorder="1" applyAlignment="1" applyProtection="1">
      <x:alignment horizontal="centerContinuous" vertical="center"/>
      <x:protection hidden="1"/>
    </x:xf>
    <x:xf numFmtId="0" fontId="14" fillId="4" borderId="13" xfId="0" applyFont="1" applyFill="1" applyBorder="1" applyAlignment="1" applyProtection="1">
      <x:alignment horizontal="centerContinuous" vertical="center"/>
      <x:protection hidden="1"/>
    </x:xf>
    <x:xf numFmtId="0" fontId="14" fillId="4" borderId="14" xfId="0" applyFont="1" applyFill="1" applyBorder="1" applyAlignment="1" applyProtection="1">
      <x:alignment horizontal="centerContinuous" vertical="center"/>
      <x:protection hidden="1"/>
    </x:xf>
    <x:xf numFmtId="0" fontId="14" fillId="4" borderId="8" xfId="0" applyFont="1" applyFill="1" applyBorder="1" applyAlignment="1" applyProtection="1">
      <x:alignment horizontal="centerContinuous" vertical="center"/>
      <x:protection hidden="1"/>
    </x:xf>
    <x:xf numFmtId="0" fontId="14" fillId="4" borderId="10" xfId="0" applyFont="1" applyFill="1" applyBorder="1" applyAlignment="1" applyProtection="1">
      <x:alignment horizontal="centerContinuous" vertical="center"/>
      <x:protection hidden="1"/>
    </x:xf>
    <x:xf numFmtId="0" fontId="9" fillId="3" borderId="0" xfId="1" applyFill="1" applyProtection="1">
      <x:protection hidden="1"/>
    </x:xf>
    <x:xf numFmtId="0" fontId="8" fillId="0" borderId="11" xfId="0" applyFont="1" applyBorder="1" applyAlignment="1" applyProtection="1">
      <x:alignment horizontal="centerContinuous" vertical="center"/>
      <x:protection hidden="1"/>
    </x:xf>
    <x:xf numFmtId="0" fontId="11" fillId="0" borderId="12" xfId="0" applyFont="1" applyBorder="1" applyAlignment="1" applyProtection="1">
      <x:alignment horizontal="centerContinuous" vertical="center"/>
      <x:protection hidden="1"/>
    </x:xf>
    <x:xf numFmtId="0" fontId="9" fillId="0" borderId="11" xfId="1" applyBorder="1" applyAlignment="1" applyProtection="1">
      <x:alignment horizontal="centerContinuous" vertical="center"/>
      <x:protection hidden="1"/>
    </x:xf>
    <x:xf numFmtId="0" fontId="1" fillId="3" borderId="0" xfId="0" applyFont="1" applyFill="1" applyProtection="1">
      <x:protection hidden="1"/>
    </x:xf>
    <x:xf numFmtId="0" fontId="11" fillId="0" borderId="0" xfId="0" applyFont="1" applyProtection="1">
      <x:protection hidden="1"/>
    </x:xf>
    <x:xf numFmtId="0" fontId="14" fillId="4" borderId="9" xfId="0" applyFont="1" applyFill="1" applyBorder="1" applyAlignment="1" applyProtection="1">
      <x:alignment horizontal="centerContinuous" vertical="center"/>
      <x:protection hidden="1"/>
    </x:xf>
    <x:xf numFmtId="0" fontId="11" fillId="0" borderId="2" xfId="0" applyFont="1" applyBorder="1" applyAlignment="1" applyProtection="1">
      <x:alignment horizontal="centerContinuous" vertical="center"/>
      <x:protection hidden="1"/>
    </x:xf>
    <x:xf numFmtId="0" fontId="1" fillId="0" borderId="0" xfId="0" applyFont="1" applyProtection="1">
      <x:protection hidden="1"/>
    </x:xf>
    <x:xf numFmtId="0" fontId="0" fillId="0" borderId="0" xfId="0" applyProtection="1">
      <x:protection hidden="1"/>
    </x:xf>
    <x:xf numFmtId="3" fontId="0" fillId="0" borderId="0" xfId="0" applyNumberFormat="1" applyFont="1" applyFill="1" applyAlignment="1" applyProtection="1">
      <x:alignment horizontal="center"/>
      <x:protection hidden="1"/>
    </x:xf>
    <x:xf numFmtId="167" fontId="0" fillId="0" borderId="0" xfId="0" applyNumberFormat="1" applyFont="1" applyFill="1" applyAlignment="1" applyProtection="1">
      <x:alignment horizontal="center"/>
      <x:protection hidden="1"/>
    </x:xf>
    <x:xf fontId="40" fillId="0" borderId="0"/>
  </x:cellXfs>
  <x:cellStyles count="2">
    <x:cellStyle name="Hyperlink" xfId="1" builtinId="8"/>
    <x:cellStyle name="Normal" xfId="0" builtinId="0"/>
  </x:cellStyles>
  <x:dxfs count="0"/>
  <x:tableStyles count="0" defaultTableStyle="TableStyleMedium2" defaultPivotStyle="PivotStyleLight16"/>
  <x:colors>
    <x:mruColors>
      <x:color rgb="FFFF3300"/>
      <x:color rgb="FFBF1F36"/>
      <x:color rgb="FF228AB8"/>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0.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hyperlink" Target="https://www.cbssports.com/nfl/teams/PHI/philadelphia-eagles/"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cbssports.com/nfl/teams/PHI/philadelphia-eagles/"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1387917</xdr:colOff>
      <xdr:row>7</xdr:row>
      <xdr:rowOff>97692</xdr:rowOff>
    </xdr:to>
    <xdr:pic>
      <xdr:nvPicPr>
        <xdr:cNvPr id="3" name="Picture 2">
          <a:hlinkClick xmlns:r="http://schemas.openxmlformats.org/officeDocument/2006/relationships" r:id="rId1"/>
          <a:extLst>
            <a:ext uri="{FF2B5EF4-FFF2-40B4-BE49-F238E27FC236}">
              <a16:creationId xmlns:a16="http://schemas.microsoft.com/office/drawing/2014/main" id="{92764223-66FD-4F6A-B6B5-F2C18AD8DE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088" y="942233"/>
          <a:ext cx="3079666" cy="828739"/>
        </a:xfrm>
        <a:prstGeom prst="rect">
          <a:avLst/>
        </a:prstGeom>
      </xdr:spPr>
    </xdr:pic>
    <xdr:clientData/>
  </xdr:twoCellAnchor>
  <xdr:twoCellAnchor editAs="oneCell">
    <xdr:from>
      <xdr:col>4</xdr:col>
      <xdr:colOff>325783</xdr:colOff>
      <xdr:row>3</xdr:row>
      <xdr:rowOff>37442</xdr:rowOff>
    </xdr:from>
    <xdr:to>
      <xdr:col>5</xdr:col>
      <xdr:colOff>1667480</xdr:colOff>
      <xdr:row>7</xdr:row>
      <xdr:rowOff>54224</xdr:rowOff>
    </xdr:to>
    <xdr:pic>
      <xdr:nvPicPr>
        <xdr:cNvPr id="7" name="Picture 6">
          <a:hlinkClick xmlns:r="http://schemas.openxmlformats.org/officeDocument/2006/relationships" r:id="rId3"/>
          <a:extLst>
            <a:ext uri="{FF2B5EF4-FFF2-40B4-BE49-F238E27FC236}">
              <a16:creationId xmlns:a16="http://schemas.microsoft.com/office/drawing/2014/main" id="{BA924C06-7D52-4FB0-A4F0-8732999C3F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48696" y="810485"/>
          <a:ext cx="3127566" cy="745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F54939C5-8B08-46E4-B7B9-B787E197FD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34975"/>
          <a:ext cx="5200650" cy="315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39019104-8738-482D-90C5-C7976417BD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98926"/>
          <a:ext cx="5254625" cy="339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8017B996-34C9-4304-A11F-C299C01421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9118600"/>
          <a:ext cx="5264685" cy="3536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304800</xdr:colOff>
      <xdr:row>8</xdr:row>
      <xdr:rowOff>103505</xdr:rowOff>
    </xdr:to>
    <xdr:sp macro="" textlink="">
      <xdr:nvSpPr>
        <xdr:cNvPr id="2" name="AutoShape 1" descr="team logo">
          <a:hlinkClick xmlns:r="http://schemas.openxmlformats.org/officeDocument/2006/relationships" r:id="rId1"/>
          <a:extLst>
            <a:ext uri="{FF2B5EF4-FFF2-40B4-BE49-F238E27FC236}">
              <a16:creationId xmlns:a16="http://schemas.microsoft.com/office/drawing/2014/main" id="{DE305A09-B278-483F-9949-1D2087D97FC3}"/>
            </a:ext>
          </a:extLst>
        </xdr:cNvPr>
        <xdr:cNvSpPr>
          <a:spLocks noChangeAspect="1" noChangeArrowheads="1"/>
        </xdr:cNvSpPr>
      </xdr:nvSpPr>
      <xdr:spPr bwMode="auto">
        <a:xfrm>
          <a:off x="111442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304800</xdr:colOff>
      <xdr:row>8</xdr:row>
      <xdr:rowOff>101781</xdr:rowOff>
    </xdr:to>
    <xdr:sp macro="" textlink="">
      <xdr:nvSpPr>
        <xdr:cNvPr id="2" name="AutoShape 1" descr="team logo">
          <a:hlinkClick xmlns:r="http://schemas.openxmlformats.org/officeDocument/2006/relationships" r:id="rId1"/>
          <a:extLst>
            <a:ext uri="{FF2B5EF4-FFF2-40B4-BE49-F238E27FC236}">
              <a16:creationId xmlns:a16="http://schemas.microsoft.com/office/drawing/2014/main" id="{785E7545-315E-44AC-8731-2398F807C623}"/>
            </a:ext>
          </a:extLst>
        </xdr:cNvPr>
        <xdr:cNvSpPr>
          <a:spLocks noChangeAspect="1" noChangeArrowheads="1"/>
        </xdr:cNvSpPr>
      </xdr:nvSpPr>
      <xdr:spPr bwMode="auto">
        <a:xfrm>
          <a:off x="561975"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133350</xdr:colOff>
      <xdr:row>8</xdr:row>
      <xdr:rowOff>152400</xdr:rowOff>
    </xdr:from>
    <xdr:to>
      <xdr:col>9</xdr:col>
      <xdr:colOff>2133600</xdr:colOff>
      <xdr:row>11</xdr:row>
      <xdr:rowOff>31750</xdr:rowOff>
    </xdr:to>
    <xdr:sp macro="[0]!checkAllAnswers" textlink="">
      <xdr:nvSpPr>
        <xdr:cNvPr id="2" name="Bevel 7">
          <a:extLst>
            <a:ext uri="{FF2B5EF4-FFF2-40B4-BE49-F238E27FC236}">
              <a16:creationId xmlns:a16="http://schemas.microsoft.com/office/drawing/2014/main" id="{00BF0B95-0A45-4007-8CB2-465AE8581292}"/>
            </a:ext>
          </a:extLst>
        </xdr:cNvPr>
        <xdr:cNvSpPr/>
      </xdr:nvSpPr>
      <xdr:spPr>
        <a:xfrm>
          <a:off x="11671300" y="2184400"/>
          <a:ext cx="2000250" cy="546100"/>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1270</xdr:colOff>
      <xdr:row>4</xdr:row>
      <xdr:rowOff>8890</xdr:rowOff>
    </xdr:from>
    <xdr:to>
      <xdr:col>5</xdr:col>
      <xdr:colOff>755284</xdr:colOff>
      <xdr:row>11</xdr:row>
      <xdr:rowOff>12957</xdr:rowOff>
    </xdr:to>
    <xdr:pic>
      <xdr:nvPicPr>
        <xdr:cNvPr id="4" name="Picture 3">
          <a:extLst>
            <a:ext uri="{FF2B5EF4-FFF2-40B4-BE49-F238E27FC236}">
              <a16:creationId xmlns:a16="http://schemas.microsoft.com/office/drawing/2014/main" id="{4AF251F4-3A91-4418-A18D-1EDE338D52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6110" y="1090930"/>
          <a:ext cx="6248034" cy="162712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June%202023\May%20Sales%20&amp;%20Marketing\TimedExerciseTemplateV7_SalesCommissionTrackerV8.xlsm" TargetMode="External"/><Relationship Id="rId1" Type="http://schemas.openxmlformats.org/officeDocument/2006/relationships/externalLinkPath" Target="/Users/David%20Brown/Box/MECC/MECC%202023/Case%20Development%20&amp;%20Related%20Files/June%202023/May%20Sales%20&amp;%20Marketing/TimedExerciseTemplateV7_SalesCommissionTracker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KeyboardingWarmUp_StudentVersion_GradingTab.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April%202023\April%20Keyboarding\Excel%20Files\MECC%20April%20Keyboarding%20Challenge_DBrownV10.xlsm" TargetMode="External"/><Relationship Id="rId1" Type="http://schemas.openxmlformats.org/officeDocument/2006/relationships/externalLinkPath" Target="/Users/David%20Brown/Box/MECC/MECC%202023/Case%20Development%20&amp;%20Related%20Files/April%202023/April%20Keyboarding/Excel%20Files/MECC%20April%20Keyboarding%20Challenge_DBrownV1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udcb/Downloads/Hurdles%20Challenge%20(Answer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udcb/Google%20Drive/Teaching/Financial%20Modeling/FIN%20413%20Spring%202022/Class%20Sessions/Class%2012%20-%20New/Financial%20Statement%20Exercises%203/TestTemplateV7_FinStatement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ShortcutChallenge_StudentVersion_GradingTab.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3%20-%20Dynamic%20Models%20-%20Discounting/ShortcutWarmUp_StudentVersion_GradingTab.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Keyboard%20Exercises%20UpdatedV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1/ZACHGE~1/LOCALS~1/Temp/Excel%20Tips%20from%20Chris%20G%20(%23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kudcb/Dropbox/FIN%20360L/Class%20Sessions/Class%207/ExerciseTemplateV3_MatchingExercisesPart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Excel%20Shortcut%20Challenge%20(NoMouseChec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Case Details"/>
      <sheetName val="Sales Data"/>
      <sheetName val="Commission Calculator 1"/>
      <sheetName val="Commission Calculator 2"/>
      <sheetName val="Team Commissions"/>
      <sheetName val="Timed Results"/>
      <sheetName val="Question Results"/>
      <sheetName val="BackgroundCalcs"/>
      <sheetName val="Output"/>
      <sheetName val="Grading Formulas"/>
      <sheetName val="Grading"/>
    </sheetNames>
    <sheetDataSet>
      <sheetData sheetId="0"/>
      <sheetData sheetId="1"/>
      <sheetData sheetId="2"/>
      <sheetData sheetId="3"/>
      <sheetData sheetId="4"/>
      <sheetData sheetId="5"/>
      <sheetData sheetId="6"/>
      <sheetData sheetId="7">
        <row r="6">
          <cell r="C6">
            <v>27</v>
          </cell>
        </row>
      </sheetData>
      <sheetData sheetId="8">
        <row r="2">
          <cell r="D2">
            <v>44221.658252314817</v>
          </cell>
        </row>
        <row r="5">
          <cell r="B5" t="str">
            <v>Numbers</v>
          </cell>
          <cell r="D5">
            <v>44221.65960648148</v>
          </cell>
        </row>
        <row r="8">
          <cell r="B8">
            <v>18</v>
          </cell>
        </row>
        <row r="17">
          <cell r="B17">
            <v>3</v>
          </cell>
        </row>
        <row r="26">
          <cell r="B26">
            <v>27</v>
          </cell>
          <cell r="D26">
            <v>0</v>
          </cell>
        </row>
        <row r="32">
          <cell r="B32">
            <v>6.7129629314877093E-4</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Keyboard Warm Up 1"/>
      <sheetName val="Keyboard Warm Up 2"/>
      <sheetName val="Results"/>
      <sheetName val="Grading"/>
      <sheetName val="BackgroundCalcs"/>
      <sheetName val="Output"/>
    </sheetNames>
    <sheetDataSet>
      <sheetData sheetId="0"/>
      <sheetData sheetId="1">
        <row r="1">
          <cell r="A1" t="str">
            <v>Keyboarding Warm Up</v>
          </cell>
        </row>
        <row r="7">
          <cell r="D7">
            <v>1</v>
          </cell>
          <cell r="G7"/>
          <cell r="AC7">
            <v>4</v>
          </cell>
          <cell r="BR7">
            <v>17</v>
          </cell>
          <cell r="CQ7">
            <v>18</v>
          </cell>
        </row>
        <row r="11">
          <cell r="T11"/>
          <cell r="AB11"/>
          <cell r="AE11"/>
          <cell r="AN11"/>
        </row>
        <row r="12">
          <cell r="BD12">
            <v>11</v>
          </cell>
          <cell r="BN12">
            <v>12</v>
          </cell>
        </row>
        <row r="16">
          <cell r="G16"/>
          <cell r="M16"/>
        </row>
        <row r="17">
          <cell r="AE17"/>
        </row>
        <row r="18">
          <cell r="BN18">
            <v>13</v>
          </cell>
        </row>
        <row r="21">
          <cell r="AE21"/>
        </row>
        <row r="23">
          <cell r="D23" t="str">
            <v>˅</v>
          </cell>
          <cell r="M23"/>
        </row>
        <row r="25">
          <cell r="AE25"/>
        </row>
        <row r="29">
          <cell r="S29"/>
        </row>
        <row r="30">
          <cell r="AH30">
            <v>7</v>
          </cell>
          <cell r="AY30">
            <v>8</v>
          </cell>
          <cell r="BE30">
            <v>14</v>
          </cell>
          <cell r="BK30">
            <v>15</v>
          </cell>
        </row>
        <row r="31">
          <cell r="BR31" t="str">
            <v>˄</v>
          </cell>
          <cell r="BS31">
            <v>22</v>
          </cell>
          <cell r="CP31">
            <v>21</v>
          </cell>
        </row>
        <row r="38">
          <cell r="S38"/>
          <cell r="AB38"/>
        </row>
        <row r="53">
          <cell r="D53">
            <v>2</v>
          </cell>
          <cell r="AC53">
            <v>3</v>
          </cell>
          <cell r="AH53">
            <v>6</v>
          </cell>
          <cell r="AX53">
            <v>5</v>
          </cell>
          <cell r="AY53">
            <v>9</v>
          </cell>
          <cell r="BD53">
            <v>10</v>
          </cell>
          <cell r="BR53">
            <v>16</v>
          </cell>
          <cell r="BS53">
            <v>23</v>
          </cell>
          <cell r="CP53">
            <v>20</v>
          </cell>
          <cell r="CQ53">
            <v>19</v>
          </cell>
        </row>
      </sheetData>
      <sheetData sheetId="2"/>
      <sheetData sheetId="3"/>
      <sheetData sheetId="4"/>
      <sheetData sheetId="5">
        <row r="2">
          <cell r="S2">
            <v>0</v>
          </cell>
        </row>
      </sheetData>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BackgroundCalcs"/>
      <sheetName val="Results"/>
      <sheetName val="Grading"/>
      <sheetName val="Output"/>
      <sheetName val="Sheet4"/>
    </sheetNames>
    <sheetDataSet>
      <sheetData sheetId="0"/>
      <sheetData sheetId="1"/>
      <sheetData sheetId="2">
        <row r="103">
          <cell r="V103" t="str">
            <v>-------</v>
          </cell>
        </row>
      </sheetData>
      <sheetData sheetId="3">
        <row r="2">
          <cell r="F2">
            <v>45029.411990740744</v>
          </cell>
          <cell r="S2">
            <v>8</v>
          </cell>
        </row>
        <row r="3">
          <cell r="R3" t="b">
            <v>1</v>
          </cell>
        </row>
        <row r="5">
          <cell r="D5" t="str">
            <v>MECC 2023: April Keyboarding Challenge</v>
          </cell>
        </row>
        <row r="29">
          <cell r="F29">
            <v>0.39888888887071516</v>
          </cell>
        </row>
        <row r="50">
          <cell r="D50" t="str">
            <v>-------</v>
          </cell>
        </row>
        <row r="51">
          <cell r="D51" t="str">
            <v>XXXXX</v>
          </cell>
        </row>
      </sheetData>
      <sheetData sheetId="4"/>
      <sheetData sheetId="5"/>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rst"/>
      <sheetName val="Grading"/>
      <sheetName val="Second"/>
      <sheetName val="calc"/>
      <sheetName val="Results"/>
      <sheetName val="Output"/>
    </sheetNames>
    <sheetDataSet>
      <sheetData sheetId="0">
        <row r="3">
          <cell r="B3" t="str">
            <v>Start here</v>
          </cell>
          <cell r="C3" t="str">
            <v>x</v>
          </cell>
          <cell r="D3" t="str">
            <v>x</v>
          </cell>
          <cell r="E3" t="str">
            <v>x</v>
          </cell>
          <cell r="F3" t="str">
            <v>x</v>
          </cell>
          <cell r="G3" t="str">
            <v>x</v>
          </cell>
          <cell r="H3" t="str">
            <v>x</v>
          </cell>
          <cell r="I3" t="str">
            <v>x</v>
          </cell>
          <cell r="J3" t="str">
            <v>H</v>
          </cell>
        </row>
        <row r="4">
          <cell r="J4" t="str">
            <v>x</v>
          </cell>
        </row>
        <row r="5">
          <cell r="J5" t="str">
            <v>x</v>
          </cell>
        </row>
        <row r="6">
          <cell r="J6" t="str">
            <v>x</v>
          </cell>
        </row>
        <row r="7">
          <cell r="J7" t="str">
            <v>x</v>
          </cell>
        </row>
        <row r="8">
          <cell r="D8" t="str">
            <v>H</v>
          </cell>
          <cell r="E8" t="str">
            <v>x</v>
          </cell>
          <cell r="F8" t="str">
            <v>x</v>
          </cell>
          <cell r="G8" t="str">
            <v>x</v>
          </cell>
          <cell r="H8" t="str">
            <v>x</v>
          </cell>
          <cell r="I8" t="str">
            <v>x</v>
          </cell>
          <cell r="J8" t="str">
            <v>H</v>
          </cell>
        </row>
        <row r="9">
          <cell r="D9" t="str">
            <v>x</v>
          </cell>
        </row>
        <row r="10">
          <cell r="D10"/>
        </row>
        <row r="11">
          <cell r="D11" t="str">
            <v>x</v>
          </cell>
        </row>
        <row r="12">
          <cell r="D12"/>
        </row>
        <row r="13">
          <cell r="D13" t="str">
            <v>x</v>
          </cell>
        </row>
        <row r="14">
          <cell r="D14"/>
        </row>
        <row r="15">
          <cell r="D15" t="str">
            <v>x</v>
          </cell>
        </row>
        <row r="16">
          <cell r="D16"/>
        </row>
        <row r="17">
          <cell r="D17" t="str">
            <v>x</v>
          </cell>
        </row>
        <row r="18">
          <cell r="D18"/>
        </row>
        <row r="19">
          <cell r="D19" t="str">
            <v>H</v>
          </cell>
          <cell r="E19" t="str">
            <v>x</v>
          </cell>
          <cell r="F19" t="str">
            <v>x</v>
          </cell>
          <cell r="G19" t="str">
            <v>x</v>
          </cell>
          <cell r="H19"/>
          <cell r="I19"/>
          <cell r="J19"/>
          <cell r="K19" t="str">
            <v>x</v>
          </cell>
          <cell r="L19" t="str">
            <v>x</v>
          </cell>
          <cell r="M19" t="str">
            <v>x</v>
          </cell>
          <cell r="N19"/>
          <cell r="O19"/>
          <cell r="P19"/>
          <cell r="Q19" t="str">
            <v>x</v>
          </cell>
          <cell r="R19" t="str">
            <v>x</v>
          </cell>
          <cell r="S19" t="str">
            <v>x</v>
          </cell>
          <cell r="T19" t="str">
            <v>H</v>
          </cell>
        </row>
        <row r="20">
          <cell r="T20"/>
        </row>
        <row r="21">
          <cell r="T21"/>
        </row>
        <row r="22">
          <cell r="T22"/>
        </row>
        <row r="23">
          <cell r="E23" t="str">
            <v>H</v>
          </cell>
          <cell r="F23"/>
          <cell r="G23"/>
          <cell r="H23"/>
          <cell r="I23"/>
          <cell r="J23"/>
          <cell r="K23"/>
          <cell r="L23"/>
          <cell r="M23"/>
          <cell r="N23"/>
          <cell r="O23"/>
          <cell r="P23" t="str">
            <v>H</v>
          </cell>
          <cell r="T23"/>
        </row>
        <row r="24">
          <cell r="E24"/>
          <cell r="P24"/>
          <cell r="T24"/>
        </row>
        <row r="25">
          <cell r="E25"/>
          <cell r="P25"/>
          <cell r="T25"/>
        </row>
        <row r="26">
          <cell r="E26" t="str">
            <v>Select x from drop down</v>
          </cell>
          <cell r="F26" t="str">
            <v/>
          </cell>
          <cell r="G26"/>
          <cell r="H26"/>
          <cell r="I26"/>
          <cell r="J26"/>
          <cell r="K26" t="str">
            <v>H</v>
          </cell>
          <cell r="P26"/>
          <cell r="T26"/>
        </row>
        <row r="27">
          <cell r="K27"/>
          <cell r="P27"/>
          <cell r="T27"/>
        </row>
        <row r="28">
          <cell r="K28"/>
          <cell r="P28"/>
          <cell r="T28"/>
        </row>
        <row r="29">
          <cell r="K29"/>
          <cell r="P29" t="str">
            <v>H</v>
          </cell>
          <cell r="Q29"/>
          <cell r="R29"/>
          <cell r="S29"/>
          <cell r="T29" t="str">
            <v>H</v>
          </cell>
        </row>
        <row r="30">
          <cell r="K30"/>
        </row>
        <row r="31">
          <cell r="K31"/>
        </row>
        <row r="32">
          <cell r="C32" t="str">
            <v>Go to Second sheet</v>
          </cell>
          <cell r="D32"/>
          <cell r="E32"/>
          <cell r="F32"/>
          <cell r="G32"/>
          <cell r="H32"/>
          <cell r="I32"/>
          <cell r="J32"/>
          <cell r="K32" t="str">
            <v>H</v>
          </cell>
        </row>
      </sheetData>
      <sheetData sheetId="1"/>
      <sheetData sheetId="2">
        <row r="1">
          <cell r="A1" t="str">
            <v>H</v>
          </cell>
          <cell r="B1"/>
          <cell r="C1"/>
          <cell r="D1"/>
          <cell r="E1"/>
          <cell r="F1"/>
          <cell r="G1"/>
          <cell r="H1" t="str">
            <v>H</v>
          </cell>
        </row>
        <row r="2">
          <cell r="H2"/>
        </row>
        <row r="3">
          <cell r="H3"/>
        </row>
        <row r="4">
          <cell r="H4"/>
        </row>
        <row r="5">
          <cell r="H5"/>
        </row>
        <row r="6">
          <cell r="H6"/>
        </row>
        <row r="7">
          <cell r="H7"/>
        </row>
        <row r="8">
          <cell r="H8"/>
        </row>
        <row r="9">
          <cell r="H9"/>
        </row>
        <row r="10">
          <cell r="H10"/>
        </row>
        <row r="11">
          <cell r="H11"/>
        </row>
        <row r="12">
          <cell r="H12"/>
        </row>
        <row r="13">
          <cell r="H13"/>
        </row>
        <row r="14">
          <cell r="H14"/>
        </row>
        <row r="15">
          <cell r="H15"/>
        </row>
        <row r="16">
          <cell r="H16"/>
        </row>
        <row r="17">
          <cell r="H17"/>
        </row>
        <row r="18">
          <cell r="H18"/>
        </row>
        <row r="19">
          <cell r="H19"/>
        </row>
        <row r="20">
          <cell r="H20"/>
        </row>
        <row r="21">
          <cell r="H21"/>
        </row>
        <row r="22">
          <cell r="H22"/>
        </row>
        <row r="23">
          <cell r="H23"/>
        </row>
        <row r="24">
          <cell r="C24" t="str">
            <v>End</v>
          </cell>
          <cell r="H24"/>
        </row>
        <row r="25">
          <cell r="C25"/>
          <cell r="H25"/>
        </row>
        <row r="26">
          <cell r="C26"/>
          <cell r="H26" t="str">
            <v>H</v>
          </cell>
          <cell r="I26"/>
          <cell r="J26"/>
          <cell r="K26"/>
          <cell r="L26"/>
          <cell r="M26" t="str">
            <v>H</v>
          </cell>
        </row>
        <row r="27">
          <cell r="C27"/>
          <cell r="M27"/>
        </row>
        <row r="28">
          <cell r="C28"/>
          <cell r="M28"/>
        </row>
        <row r="29">
          <cell r="C29"/>
          <cell r="M29"/>
        </row>
        <row r="30">
          <cell r="C30"/>
          <cell r="M30"/>
        </row>
        <row r="31">
          <cell r="C31"/>
          <cell r="M31"/>
        </row>
        <row r="32">
          <cell r="C32"/>
          <cell r="M32"/>
        </row>
        <row r="33">
          <cell r="C33"/>
          <cell r="D33"/>
          <cell r="E33"/>
          <cell r="F33"/>
          <cell r="G33"/>
          <cell r="H33"/>
          <cell r="I33"/>
          <cell r="J33"/>
          <cell r="K33"/>
          <cell r="L33"/>
          <cell r="M33" t="str">
            <v>Go to cell C33</v>
          </cell>
        </row>
      </sheetData>
      <sheetData sheetId="3">
        <row r="3">
          <cell r="F3">
            <v>0</v>
          </cell>
          <cell r="G3"/>
          <cell r="H3"/>
        </row>
        <row r="4">
          <cell r="D4"/>
        </row>
        <row r="5">
          <cell r="D5"/>
        </row>
        <row r="6">
          <cell r="D6"/>
          <cell r="G6">
            <v>0</v>
          </cell>
        </row>
        <row r="7">
          <cell r="D7"/>
          <cell r="G7">
            <v>35.000000009313226</v>
          </cell>
        </row>
        <row r="8">
          <cell r="D8"/>
        </row>
        <row r="9">
          <cell r="D9"/>
        </row>
        <row r="10">
          <cell r="D10"/>
        </row>
        <row r="11">
          <cell r="D11"/>
        </row>
        <row r="12">
          <cell r="D12"/>
        </row>
        <row r="13">
          <cell r="D13"/>
        </row>
        <row r="14">
          <cell r="D14"/>
        </row>
        <row r="15">
          <cell r="D15"/>
        </row>
        <row r="16">
          <cell r="D16"/>
        </row>
        <row r="17">
          <cell r="D17"/>
        </row>
        <row r="18">
          <cell r="D18"/>
        </row>
        <row r="19">
          <cell r="D19"/>
        </row>
        <row r="20">
          <cell r="D20"/>
        </row>
        <row r="21">
          <cell r="D21"/>
        </row>
      </sheetData>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Financial Statements 3 Q1"/>
      <sheetName val="Q2"/>
      <sheetName val="Q3"/>
      <sheetName val="Results"/>
      <sheetName val="BackgroundCalcs"/>
      <sheetName val="Grading Formulas"/>
      <sheetName val="Grading"/>
      <sheetName val="Output"/>
    </sheetNames>
    <sheetDataSet>
      <sheetData sheetId="0"/>
      <sheetData sheetId="1"/>
      <sheetData sheetId="2"/>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ShortcutChallenge</v>
          </cell>
        </row>
        <row r="8">
          <cell r="D8" t="str">
            <v>12341234</v>
          </cell>
        </row>
        <row r="11">
          <cell r="D11" t="str">
            <v>asdf</v>
          </cell>
        </row>
        <row r="14">
          <cell r="D14">
            <v>1</v>
          </cell>
        </row>
        <row r="17">
          <cell r="F17">
            <v>14</v>
          </cell>
          <cell r="G17" t="e">
            <v>#N/A</v>
          </cell>
        </row>
        <row r="20">
          <cell r="F20">
            <v>147651</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 Warm Up</v>
          </cell>
        </row>
        <row r="8">
          <cell r="D8" t="str">
            <v>12341234</v>
          </cell>
        </row>
        <row r="11">
          <cell r="D11" t="str">
            <v>asdf</v>
          </cell>
        </row>
        <row r="14">
          <cell r="D14">
            <v>1</v>
          </cell>
        </row>
        <row r="17">
          <cell r="F17">
            <v>14</v>
          </cell>
          <cell r="G17" t="e">
            <v>#N/A</v>
          </cell>
        </row>
        <row r="20">
          <cell r="F20">
            <v>38008</v>
          </cell>
        </row>
      </sheetData>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yboard Exercise 1"/>
      <sheetName val="Keyboard Exercise 2"/>
      <sheetName val="Keyboard Exercise 3"/>
      <sheetName val="Keyboard Exercise 4"/>
      <sheetName val="calc"/>
      <sheetName val="Results"/>
    </sheetNames>
    <sheetDataSet>
      <sheetData sheetId="0"/>
      <sheetData sheetId="1"/>
      <sheetData sheetId="2"/>
      <sheetData sheetId="3" refreshError="1"/>
      <sheetData sheetId="4">
        <row r="3">
          <cell r="G3">
            <v>44127.436469907407</v>
          </cell>
        </row>
        <row r="4">
          <cell r="D4" t="b">
            <v>1</v>
          </cell>
        </row>
        <row r="5">
          <cell r="D5" t="b">
            <v>1</v>
          </cell>
        </row>
        <row r="6">
          <cell r="D6" t="b">
            <v>1</v>
          </cell>
          <cell r="G6">
            <v>-44127.436469907407</v>
          </cell>
        </row>
        <row r="7">
          <cell r="D7" t="b">
            <v>1</v>
          </cell>
        </row>
        <row r="8">
          <cell r="D8" t="b">
            <v>1</v>
          </cell>
        </row>
        <row r="9">
          <cell r="D9" t="b">
            <v>1</v>
          </cell>
        </row>
        <row r="10">
          <cell r="D10" t="b">
            <v>1</v>
          </cell>
        </row>
        <row r="11">
          <cell r="D11" t="b">
            <v>1</v>
          </cell>
        </row>
        <row r="12">
          <cell r="D12" t="b">
            <v>1</v>
          </cell>
        </row>
        <row r="13">
          <cell r="D13" t="b">
            <v>1</v>
          </cell>
        </row>
        <row r="14">
          <cell r="D14" t="b">
            <v>1</v>
          </cell>
        </row>
        <row r="15">
          <cell r="D15" t="b">
            <v>1</v>
          </cell>
        </row>
        <row r="16">
          <cell r="D16" t="b">
            <v>1</v>
          </cell>
        </row>
        <row r="17">
          <cell r="D17" t="b">
            <v>1</v>
          </cell>
        </row>
        <row r="18">
          <cell r="D18" t="b">
            <v>1</v>
          </cell>
        </row>
        <row r="19">
          <cell r="D19" t="b">
            <v>1</v>
          </cell>
        </row>
        <row r="20">
          <cell r="D20" t="b">
            <v>1</v>
          </cell>
        </row>
        <row r="21">
          <cell r="D21" t="b">
            <v>1</v>
          </cell>
        </row>
      </sheetData>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Did you know"/>
      <sheetName val="Fixing Annoyances Full Menus"/>
      <sheetName val="Fixing Annoyances PT Formulas"/>
      <sheetName val="Custom Numeric Formatting"/>
      <sheetName val="Conditional Formatting Tricks"/>
      <sheetName val="Dynamic Ranges"/>
      <sheetName val="Dynamic Ranges and Charts"/>
      <sheetName val="Charts with Custom Symbols"/>
      <sheetName val="Creating Simple UIs"/>
    </sheetNames>
    <sheetDataSet>
      <sheetData sheetId="0"/>
      <sheetData sheetId="1"/>
      <sheetData sheetId="2"/>
      <sheetData sheetId="3"/>
      <sheetData sheetId="4"/>
      <sheetData sheetId="5"/>
      <sheetData sheetId="6">
        <row r="5">
          <cell r="B5" t="str">
            <v>Name</v>
          </cell>
        </row>
      </sheetData>
      <sheetData sheetId="7">
        <row r="5">
          <cell r="B5" t="str">
            <v>Name</v>
          </cell>
        </row>
        <row r="30">
          <cell r="D30">
            <v>14</v>
          </cell>
        </row>
      </sheetData>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Bond Data"/>
      <sheetName val="Exercise 1"/>
      <sheetName val="Exercise 2"/>
      <sheetName val="Exercise 3"/>
      <sheetName val="Exercise 4"/>
      <sheetName val="Exercise 5"/>
      <sheetName val="Results"/>
      <sheetName val="BackgroundCalcs"/>
      <sheetName val="Output"/>
    </sheetNames>
    <sheetDataSet>
      <sheetData sheetId="0"/>
      <sheetData sheetId="1"/>
      <sheetData sheetId="2"/>
      <sheetData sheetId="3"/>
      <sheetData sheetId="4"/>
      <sheetData sheetId="5"/>
      <sheetData sheetId="6"/>
      <sheetData sheetId="7"/>
      <sheetData sheetId="8">
        <row r="2">
          <cell r="B2" t="str">
            <v>Matching Exercises Part 1</v>
          </cell>
        </row>
        <row r="5">
          <cell r="B5" t="str">
            <v>Numbers</v>
          </cell>
        </row>
        <row r="8">
          <cell r="B8">
            <v>10</v>
          </cell>
        </row>
        <row r="17">
          <cell r="B17">
            <v>5</v>
          </cell>
        </row>
      </sheetData>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cutChallenge"/>
      <sheetName val="Results"/>
      <sheetName val="calc"/>
      <sheetName val="log"/>
    </sheetNames>
    <sheetDataSet>
      <sheetData sheetId="0" refreshError="1"/>
      <sheetData sheetId="1" refreshError="1"/>
      <sheetData sheetId="2">
        <row r="11">
          <cell r="B11">
            <v>-251732499.72570854</v>
          </cell>
        </row>
      </sheetData>
      <sheetData sheetId="3"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jbNdQLVJZt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cbssports.com/nfl/players/3163263/anthony-richardson/fantasy/" TargetMode="External"/><Relationship Id="rId299" Type="http://schemas.openxmlformats.org/officeDocument/2006/relationships/hyperlink" Target="https://www.cbssports.com/nfl/players/2815179/cade-otton/fantasy/" TargetMode="External"/><Relationship Id="rId21" Type="http://schemas.openxmlformats.org/officeDocument/2006/relationships/hyperlink" Target="https://www.cbssports.com/nfl/players/1737096/keenan-allen/fantasy/" TargetMode="External"/><Relationship Id="rId63" Type="http://schemas.openxmlformats.org/officeDocument/2006/relationships/hyperlink" Target="https://www.cbssports.com/nfl/players/2804813/gabe-davis/fantasy/" TargetMode="External"/><Relationship Id="rId159" Type="http://schemas.openxmlformats.org/officeDocument/2006/relationships/hyperlink" Target="https://www.cbssports.com/nfl/players/3159137/tyler-huntley/fantasy/" TargetMode="External"/><Relationship Id="rId324" Type="http://schemas.openxmlformats.org/officeDocument/2006/relationships/hyperlink" Target="https://www.cbssports.com/nfl/players/3121696/brenton-strange/fantasy/" TargetMode="External"/><Relationship Id="rId366" Type="http://schemas.openxmlformats.org/officeDocument/2006/relationships/hyperlink" Target="https://www.cbssports.com/nfl/players/2167520/chris-manhertz/fantasy/" TargetMode="External"/><Relationship Id="rId170" Type="http://schemas.openxmlformats.org/officeDocument/2006/relationships/hyperlink" Target="https://www.cbssports.com/nfl/players/2183083/gardner-minshew/fantasy/" TargetMode="External"/><Relationship Id="rId226" Type="http://schemas.openxmlformats.org/officeDocument/2006/relationships/hyperlink" Target="https://www.cbssports.com/nfl/players/2965160/chase-brown/fantasy/" TargetMode="External"/><Relationship Id="rId268" Type="http://schemas.openxmlformats.org/officeDocument/2006/relationships/hyperlink" Target="https://www.cbssports.com/nfl/players/2252798/rico-dowdle/fantasy/" TargetMode="External"/><Relationship Id="rId32" Type="http://schemas.openxmlformats.org/officeDocument/2006/relationships/hyperlink" Target="https://www.cbssports.com/nfl/players/1860834/tyler-lockett/fantasy/" TargetMode="External"/><Relationship Id="rId74" Type="http://schemas.openxmlformats.org/officeDocument/2006/relationships/hyperlink" Target="https://www.cbssports.com/nfl/players/2139271/parris-campbell/fantasy/" TargetMode="External"/><Relationship Id="rId128" Type="http://schemas.openxmlformats.org/officeDocument/2006/relationships/hyperlink" Target="https://www.cbssports.com/nfl/players/2864759/desmond-ridder/fantasy/" TargetMode="External"/><Relationship Id="rId335" Type="http://schemas.openxmlformats.org/officeDocument/2006/relationships/hyperlink" Target="https://www.cbssports.com/nfl/players/2182228/adam-trautman/fantasy/" TargetMode="External"/><Relationship Id="rId5" Type="http://schemas.openxmlformats.org/officeDocument/2006/relationships/hyperlink" Target="https://www.cbssports.com/nfl/players/2131163/tyreek-hill/fantasy/" TargetMode="External"/><Relationship Id="rId181" Type="http://schemas.openxmlformats.org/officeDocument/2006/relationships/hyperlink" Target="https://www.cbssports.com/nfl/players/2866395/jonathan-taylor/fantasy/" TargetMode="External"/><Relationship Id="rId237" Type="http://schemas.openxmlformats.org/officeDocument/2006/relationships/hyperlink" Target="https://www.cbssports.com/nfl/players/1996183/cordarrelle-patterson/fantasy/" TargetMode="External"/><Relationship Id="rId279" Type="http://schemas.openxmlformats.org/officeDocument/2006/relationships/hyperlink" Target="https://www.cbssports.com/nfl/players/2965208/chigoziem-okonkwo/fantasy/" TargetMode="External"/><Relationship Id="rId43" Type="http://schemas.openxmlformats.org/officeDocument/2006/relationships/hyperlink" Target="https://www.cbssports.com/nfl/players/2218461/courtland-sutton/fantasy/" TargetMode="External"/><Relationship Id="rId139" Type="http://schemas.openxmlformats.org/officeDocument/2006/relationships/hyperlink" Target="https://www.cbssports.com/nfl/players/584648/colt-mccoy/fantasy/" TargetMode="External"/><Relationship Id="rId290" Type="http://schemas.openxmlformats.org/officeDocument/2006/relationships/hyperlink" Target="https://www.cbssports.com/nfl/players/1685963/zach-ertz/fantasy/" TargetMode="External"/><Relationship Id="rId304" Type="http://schemas.openxmlformats.org/officeDocument/2006/relationships/hyperlink" Target="https://www.cbssports.com/nfl/players/3129283/luke-musgrave/fantasy/" TargetMode="External"/><Relationship Id="rId346" Type="http://schemas.openxmlformats.org/officeDocument/2006/relationships/hyperlink" Target="https://www.cbssports.com/nfl/players/26688308/shane-zylstra/fantasy/" TargetMode="External"/><Relationship Id="rId85" Type="http://schemas.openxmlformats.org/officeDocument/2006/relationships/hyperlink" Target="https://www.cbssports.com/nfl/players/1631804/marvin-jones/fantasy/" TargetMode="External"/><Relationship Id="rId150" Type="http://schemas.openxmlformats.org/officeDocument/2006/relationships/hyperlink" Target="https://www.cbssports.com/nfl/players/2975722/jaren-hall/fantasy/" TargetMode="External"/><Relationship Id="rId192" Type="http://schemas.openxmlformats.org/officeDocument/2006/relationships/hyperlink" Target="https://www.cbssports.com/nfl/players/2804420/jk-dobbins/fantasy/" TargetMode="External"/><Relationship Id="rId206" Type="http://schemas.openxmlformats.org/officeDocument/2006/relationships/hyperlink" Target="https://www.cbssports.com/nfl/players/2144893/rashaad-penny/fantasy/" TargetMode="External"/><Relationship Id="rId248" Type="http://schemas.openxmlformats.org/officeDocument/2006/relationships/hyperlink" Target="https://www.cbssports.com/nfl/players/2240516/zack-moss/fantasy/" TargetMode="External"/><Relationship Id="rId12" Type="http://schemas.openxmlformats.org/officeDocument/2006/relationships/hyperlink" Target="https://www.cbssports.com/nfl/players/2866975/devonta-smith/fantasy/" TargetMode="External"/><Relationship Id="rId108" Type="http://schemas.openxmlformats.org/officeDocument/2006/relationships/hyperlink" Target="https://www.cbssports.com/nfl/players/1273205/justin-fields/fantasy/" TargetMode="External"/><Relationship Id="rId315" Type="http://schemas.openxmlformats.org/officeDocument/2006/relationships/hyperlink" Target="https://www.cbssports.com/nfl/players/2969027/tommy-tremble/fantasy/" TargetMode="External"/><Relationship Id="rId357" Type="http://schemas.openxmlformats.org/officeDocument/2006/relationships/hyperlink" Target="https://www.cbssports.com/nfl/players/2185708/zach-gentry/fantasy/" TargetMode="External"/><Relationship Id="rId54" Type="http://schemas.openxmlformats.org/officeDocument/2006/relationships/hyperlink" Target="https://www.cbssports.com/nfl/players/2968526/rondale-moore/fantasy/" TargetMode="External"/><Relationship Id="rId96" Type="http://schemas.openxmlformats.org/officeDocument/2006/relationships/hyperlink" Target="https://www.cbssports.com/nfl/players/1889923/allen-robinson/fantasy/" TargetMode="External"/><Relationship Id="rId161" Type="http://schemas.openxmlformats.org/officeDocument/2006/relationships/hyperlink" Target="https://www.cbssports.com/nfl/players/2060476/mitch-trubisky/fantasy/" TargetMode="External"/><Relationship Id="rId217" Type="http://schemas.openxmlformats.org/officeDocument/2006/relationships/hyperlink" Target="https://www.cbssports.com/nfl/players/2866237/deon-jackson/fantasy/" TargetMode="External"/><Relationship Id="rId259" Type="http://schemas.openxmlformats.org/officeDocument/2006/relationships/hyperlink" Target="https://www.cbssports.com/nfl/players/2968506/hassan-haskins/fantasy/" TargetMode="External"/><Relationship Id="rId23" Type="http://schemas.openxmlformats.org/officeDocument/2006/relationships/hyperlink" Target="https://www.cbssports.com/nfl/players/2179328/dj-moore/fantasy/" TargetMode="External"/><Relationship Id="rId119" Type="http://schemas.openxmlformats.org/officeDocument/2006/relationships/hyperlink" Target="https://www.cbssports.com/nfl/players/2804969/kenny-pickett/fantasy/" TargetMode="External"/><Relationship Id="rId270" Type="http://schemas.openxmlformats.org/officeDocument/2006/relationships/hyperlink" Target="https://www.cbssports.com/nfl/players/3121460/kenny-mcintosh/fantasy/" TargetMode="External"/><Relationship Id="rId326" Type="http://schemas.openxmlformats.org/officeDocument/2006/relationships/hyperlink" Target="https://www.cbssports.com/nfl/players/2247146/kylen-granson/fantasy/" TargetMode="External"/><Relationship Id="rId65" Type="http://schemas.openxmlformats.org/officeDocument/2006/relationships/hyperlink" Target="https://www.cbssports.com/nfl/players/2131694/russell-gage/fantasy/" TargetMode="External"/><Relationship Id="rId130" Type="http://schemas.openxmlformats.org/officeDocument/2006/relationships/hyperlink" Target="https://www.cbssports.com/nfl/players/2741202/mac-jones/fantasy/" TargetMode="External"/><Relationship Id="rId368" Type="http://schemas.openxmlformats.org/officeDocument/2006/relationships/hyperlink" Target="https://www.cbssports.com/nfl/players/2760856/curtis-hodges/fantasy/" TargetMode="External"/><Relationship Id="rId172" Type="http://schemas.openxmlformats.org/officeDocument/2006/relationships/hyperlink" Target="https://www.cbssports.com/nfl/players/2969444/trey-lance/fantasy/" TargetMode="External"/><Relationship Id="rId228" Type="http://schemas.openxmlformats.org/officeDocument/2006/relationships/hyperlink" Target="https://www.cbssports.com/nfl/players/3126535/jaylen-warren/fantasy/" TargetMode="External"/><Relationship Id="rId281" Type="http://schemas.openxmlformats.org/officeDocument/2006/relationships/hyperlink" Target="https://www.cbssports.com/nfl/players/2079887/evan-engram/fantasy/" TargetMode="External"/><Relationship Id="rId337" Type="http://schemas.openxmlformats.org/officeDocument/2006/relationships/hyperlink" Target="https://www.cbssports.com/nfl/players/2223251/stephen-sullivan/fantasy/" TargetMode="External"/><Relationship Id="rId34" Type="http://schemas.openxmlformats.org/officeDocument/2006/relationships/hyperlink" Target="https://www.cbssports.com/nfl/players/2194164/diontae-johnson/fantasy/" TargetMode="External"/><Relationship Id="rId76" Type="http://schemas.openxmlformats.org/officeDocument/2006/relationships/hyperlink" Target="https://www.cbssports.com/nfl/players/3126874/skyy-moore/fantasy/" TargetMode="External"/><Relationship Id="rId141" Type="http://schemas.openxmlformats.org/officeDocument/2006/relationships/hyperlink" Target="https://www.cbssports.com/nfl/players/2174914/taylor-heinicke/fantasy/" TargetMode="External"/><Relationship Id="rId7" Type="http://schemas.openxmlformats.org/officeDocument/2006/relationships/hyperlink" Target="https://www.cbssports.com/nfl/players/2865251/ceedee-lamb/fantasy/" TargetMode="External"/><Relationship Id="rId183" Type="http://schemas.openxmlformats.org/officeDocument/2006/relationships/hyperlink" Target="https://www.cbssports.com/nfl/players/3123469/breece-hall/fantasy/" TargetMode="External"/><Relationship Id="rId239" Type="http://schemas.openxmlformats.org/officeDocument/2006/relationships/hyperlink" Target="https://www.cbssports.com/nfl/players/3123569/eric-gray/fantasy/" TargetMode="External"/><Relationship Id="rId250" Type="http://schemas.openxmlformats.org/officeDocument/2006/relationships/hyperlink" Target="https://www.cbssports.com/nfl/players/2183195/joshua-kelley/fantasy/" TargetMode="External"/><Relationship Id="rId292" Type="http://schemas.openxmlformats.org/officeDocument/2006/relationships/hyperlink" Target="https://www.cbssports.com/nfl/players/2963385/trey-mcbride/fantasy/" TargetMode="External"/><Relationship Id="rId306" Type="http://schemas.openxmlformats.org/officeDocument/2006/relationships/hyperlink" Target="https://www.cbssports.com/nfl/players/2820026/robert-tonyan/fantasy/" TargetMode="External"/><Relationship Id="rId45" Type="http://schemas.openxmlformats.org/officeDocument/2006/relationships/hyperlink" Target="https://www.cbssports.com/nfl/players/2132282/richie-james/fantasy/" TargetMode="External"/><Relationship Id="rId87" Type="http://schemas.openxmlformats.org/officeDocument/2006/relationships/hyperlink" Target="https://www.cbssports.com/nfl/players/2260676/chase-claypool/fantasy/" TargetMode="External"/><Relationship Id="rId110" Type="http://schemas.openxmlformats.org/officeDocument/2006/relationships/hyperlink" Target="https://www.cbssports.com/nfl/players/2061053/jared-goff/fantasy/" TargetMode="External"/><Relationship Id="rId348" Type="http://schemas.openxmlformats.org/officeDocument/2006/relationships/hyperlink" Target="https://www.cbssports.com/nfl/players/2183906/brycen-hopkins/fantasy/" TargetMode="External"/><Relationship Id="rId152" Type="http://schemas.openxmlformats.org/officeDocument/2006/relationships/hyperlink" Target="https://www.cbssports.com/nfl/players/2185479/drew-lock/fantasy/" TargetMode="External"/><Relationship Id="rId194" Type="http://schemas.openxmlformats.org/officeDocument/2006/relationships/hyperlink" Target="https://www.cbssports.com/nfl/players/2261252/david-montgomery/fantasy/" TargetMode="External"/><Relationship Id="rId208" Type="http://schemas.openxmlformats.org/officeDocument/2006/relationships/hyperlink" Target="https://www.cbssports.com/nfl/players/2186318/damien-harris/fantasy/" TargetMode="External"/><Relationship Id="rId261" Type="http://schemas.openxmlformats.org/officeDocument/2006/relationships/hyperlink" Target="https://www.cbssports.com/nfl/players/3121004/snoop-conner/fantasy/" TargetMode="External"/><Relationship Id="rId14" Type="http://schemas.openxmlformats.org/officeDocument/2006/relationships/hyperlink" Target="https://www.cbssports.com/nfl/players/1984220/amari-cooper/fantasy/" TargetMode="External"/><Relationship Id="rId56" Type="http://schemas.openxmlformats.org/officeDocument/2006/relationships/hyperlink" Target="https://www.cbssports.com/nfl/players/2139620/juju-smith-schuster/fantasy/" TargetMode="External"/><Relationship Id="rId317" Type="http://schemas.openxmlformats.org/officeDocument/2006/relationships/hyperlink" Target="https://www.cbssports.com/nfl/players/2174118/cj-uzomah/fantasy/" TargetMode="External"/><Relationship Id="rId359" Type="http://schemas.openxmlformats.org/officeDocument/2006/relationships/hyperlink" Target="https://www.cbssports.com/nfl/players/2260483/devin-asiasi/fantasy/" TargetMode="External"/><Relationship Id="rId98" Type="http://schemas.openxmlformats.org/officeDocument/2006/relationships/hyperlink" Target="https://www.cbssports.com/nfl/players/1691489/marquise-goodwin/fantasy/" TargetMode="External"/><Relationship Id="rId121" Type="http://schemas.openxmlformats.org/officeDocument/2006/relationships/hyperlink" Target="https://www.cbssports.com/nfl/players/2741209/tua-tagovailoa/fantasy/" TargetMode="External"/><Relationship Id="rId163" Type="http://schemas.openxmlformats.org/officeDocument/2006/relationships/hyperlink" Target="https://www.cbssports.com/nfl/players/2131782/kyle-allen/fantasy/" TargetMode="External"/><Relationship Id="rId219" Type="http://schemas.openxmlformats.org/officeDocument/2006/relationships/hyperlink" Target="https://www.cbssports.com/nfl/players/2975590/tyler-allgeier/fantasy/" TargetMode="External"/><Relationship Id="rId370" Type="http://schemas.openxmlformats.org/officeDocument/2006/relationships/hyperlink" Target="https://www.cbssports.com/nfl/players/2866273/charlie-kolar/fantasy/" TargetMode="External"/><Relationship Id="rId230" Type="http://schemas.openxmlformats.org/officeDocument/2006/relationships/hyperlink" Target="https://www.cbssports.com/nfl/players/2071773/corey-clement/fantasy/" TargetMode="External"/><Relationship Id="rId25" Type="http://schemas.openxmlformats.org/officeDocument/2006/relationships/hyperlink" Target="https://www.cbssports.com/nfl/players/2260185/dk-metcalf/fantasy/" TargetMode="External"/><Relationship Id="rId67" Type="http://schemas.openxmlformats.org/officeDocument/2006/relationships/hyperlink" Target="https://www.cbssports.com/nfl/players/3126905/jonathan-mingo/fantasy/" TargetMode="External"/><Relationship Id="rId272" Type="http://schemas.openxmlformats.org/officeDocument/2006/relationships/hyperlink" Target="https://www.cbssports.com/nfl/players/3121308/sincere-mccormick/fantasy/" TargetMode="External"/><Relationship Id="rId328" Type="http://schemas.openxmlformats.org/officeDocument/2006/relationships/hyperlink" Target="https://www.cbssports.com/nfl/players/2241240/harrison-bryant/fantasy/" TargetMode="External"/><Relationship Id="rId132" Type="http://schemas.openxmlformats.org/officeDocument/2006/relationships/hyperlink" Target="https://www.cbssports.com/nfl/players/1273654/ryan-tannehill/fantasy/" TargetMode="External"/><Relationship Id="rId174" Type="http://schemas.openxmlformats.org/officeDocument/2006/relationships/hyperlink" Target="https://www.cbssports.com/nfl/players/2136743/christian-mccaffrey/fantasy/" TargetMode="External"/><Relationship Id="rId241" Type="http://schemas.openxmlformats.org/officeDocument/2006/relationships/hyperlink" Target="https://www.cbssports.com/nfl/players/2189504/jamycal-hasty/fantasy/" TargetMode="External"/><Relationship Id="rId15" Type="http://schemas.openxmlformats.org/officeDocument/2006/relationships/hyperlink" Target="https://www.cbssports.com/nfl/players/2139735/deebo-samuel/fantasy/" TargetMode="External"/><Relationship Id="rId36" Type="http://schemas.openxmlformats.org/officeDocument/2006/relationships/hyperlink" Target="https://www.cbssports.com/nfl/players/2962944/jahan-dotson/fantasy/" TargetMode="External"/><Relationship Id="rId57" Type="http://schemas.openxmlformats.org/officeDocument/2006/relationships/hyperlink" Target="https://www.cbssports.com/nfl/players/2878193/nico-collins/fantasy/" TargetMode="External"/><Relationship Id="rId262" Type="http://schemas.openxmlformats.org/officeDocument/2006/relationships/hyperlink" Target="https://www.cbssports.com/nfl/players/3168666/deuce-vaughn/fantasy/" TargetMode="External"/><Relationship Id="rId283" Type="http://schemas.openxmlformats.org/officeDocument/2006/relationships/hyperlink" Target="https://www.cbssports.com/nfl/players/2136748/dalton-schultz/fantasy/" TargetMode="External"/><Relationship Id="rId318" Type="http://schemas.openxmlformats.org/officeDocument/2006/relationships/hyperlink" Target="https://www.cbssports.com/nfl/players/2081506/jonnu-smith/fantasy/" TargetMode="External"/><Relationship Id="rId339" Type="http://schemas.openxmlformats.org/officeDocument/2006/relationships/hyperlink" Target="https://www.cbssports.com/nfl/players/2815925/mo-alie-cox/fantasy/" TargetMode="External"/><Relationship Id="rId78" Type="http://schemas.openxmlformats.org/officeDocument/2006/relationships/hyperlink" Target="https://www.cbssports.com/nfl/players/2250863/rashid-shaheed/fantasy/" TargetMode="External"/><Relationship Id="rId99" Type="http://schemas.openxmlformats.org/officeDocument/2006/relationships/hyperlink" Target="https://www.cbssports.com/nfl/players/3121171/john-metchie-iii/fantasy/" TargetMode="External"/><Relationship Id="rId101" Type="http://schemas.openxmlformats.org/officeDocument/2006/relationships/hyperlink" Target="https://www.cbssports.com/nfl/players/2142052/patrick-mahomes/fantasy/" TargetMode="External"/><Relationship Id="rId122" Type="http://schemas.openxmlformats.org/officeDocument/2006/relationships/hyperlink" Target="https://www.cbssports.com/nfl/players/2180829/kyler-murray/fantasy/" TargetMode="External"/><Relationship Id="rId143" Type="http://schemas.openxmlformats.org/officeDocument/2006/relationships/hyperlink" Target="https://www.cbssports.com/nfl/players/2180697/jarrett-stidham/fantasy/" TargetMode="External"/><Relationship Id="rId164" Type="http://schemas.openxmlformats.org/officeDocument/2006/relationships/hyperlink" Target="https://www.cbssports.com/nfl/players/2000176/cooper-rush/fantasy/" TargetMode="External"/><Relationship Id="rId185" Type="http://schemas.openxmlformats.org/officeDocument/2006/relationships/hyperlink" Target="https://www.cbssports.com/nfl/players/2131579/nick-chubb/fantasy/" TargetMode="External"/><Relationship Id="rId350" Type="http://schemas.openxmlformats.org/officeDocument/2006/relationships/hyperlink" Target="https://www.cbssports.com/nfl/players/2804040/tre-mckitty/fantasy/" TargetMode="External"/><Relationship Id="rId371" Type="http://schemas.openxmlformats.org/officeDocument/2006/relationships/printerSettings" Target="../printerSettings/printerSettings2.bin"/><Relationship Id="rId9" Type="http://schemas.openxmlformats.org/officeDocument/2006/relationships/hyperlink" Target="https://www.cbssports.com/nfl/players/2000038/stefon-diggs/fantasy/" TargetMode="External"/><Relationship Id="rId210" Type="http://schemas.openxmlformats.org/officeDocument/2006/relationships/hyperlink" Target="https://www.cbssports.com/nfl/players/3171161/devon-achane/fantasy/" TargetMode="External"/><Relationship Id="rId26" Type="http://schemas.openxmlformats.org/officeDocument/2006/relationships/hyperlink" Target="https://www.cbssports.com/nfl/players/2804128/marquise-brown/fantasy/" TargetMode="External"/><Relationship Id="rId231" Type="http://schemas.openxmlformats.org/officeDocument/2006/relationships/hyperlink" Target="https://www.cbssports.com/nfl/players/2129436/jerick-mckinnon/fantasy/" TargetMode="External"/><Relationship Id="rId252" Type="http://schemas.openxmlformats.org/officeDocument/2006/relationships/hyperlink" Target="https://www.cbssports.com/nfl/players/2819100/matt-breida/fantasy/" TargetMode="External"/><Relationship Id="rId273" Type="http://schemas.openxmlformats.org/officeDocument/2006/relationships/hyperlink" Target="https://www.cbssports.com/nfl/players/1725130/travis-kelce/fantasy/" TargetMode="External"/><Relationship Id="rId294" Type="http://schemas.openxmlformats.org/officeDocument/2006/relationships/hyperlink" Target="https://www.cbssports.com/nfl/players/2251095/noah-fant/fantasy/" TargetMode="External"/><Relationship Id="rId308" Type="http://schemas.openxmlformats.org/officeDocument/2006/relationships/hyperlink" Target="https://www.cbssports.com/nfl/players/2807423/brock-wright/fantasy/" TargetMode="External"/><Relationship Id="rId329" Type="http://schemas.openxmlformats.org/officeDocument/2006/relationships/hyperlink" Target="https://www.cbssports.com/nfl/players/2968473/luke-schoonmaker/fantasy/" TargetMode="External"/><Relationship Id="rId47" Type="http://schemas.openxmlformats.org/officeDocument/2006/relationships/hyperlink" Target="https://www.cbssports.com/nfl/players/3127049/zay-flowers/fantasy/" TargetMode="External"/><Relationship Id="rId68" Type="http://schemas.openxmlformats.org/officeDocument/2006/relationships/hyperlink" Target="https://www.cbssports.com/nfl/players/2223207/greg-dortch/fantasy/" TargetMode="External"/><Relationship Id="rId89" Type="http://schemas.openxmlformats.org/officeDocument/2006/relationships/hyperlink" Target="https://www.cbssports.com/nfl/players/2183982/darius-slayton/fantasy/" TargetMode="External"/><Relationship Id="rId112" Type="http://schemas.openxmlformats.org/officeDocument/2006/relationships/hyperlink" Target="https://www.cbssports.com/nfl/players/2179245/daniel-jones/fantasy/" TargetMode="External"/><Relationship Id="rId133" Type="http://schemas.openxmlformats.org/officeDocument/2006/relationships/hyperlink" Target="https://www.cbssports.com/nfl/players/2221839/kyle-trask/fantasy/" TargetMode="External"/><Relationship Id="rId154" Type="http://schemas.openxmlformats.org/officeDocument/2006/relationships/hyperlink" Target="https://www.cbssports.com/nfl/players/1125961/andy-dalton/fantasy/" TargetMode="External"/><Relationship Id="rId175" Type="http://schemas.openxmlformats.org/officeDocument/2006/relationships/hyperlink" Target="https://www.cbssports.com/nfl/players/2185957/saquon-barkley/fantasy/" TargetMode="External"/><Relationship Id="rId340" Type="http://schemas.openxmlformats.org/officeDocument/2006/relationships/hyperlink" Target="https://www.cbssports.com/nfl/players/2061190/oj-howard/fantasy/" TargetMode="External"/><Relationship Id="rId361" Type="http://schemas.openxmlformats.org/officeDocument/2006/relationships/hyperlink" Target="https://www.cbssports.com/nfl/players/2964535/cameron-latu/fantasy/" TargetMode="External"/><Relationship Id="rId196" Type="http://schemas.openxmlformats.org/officeDocument/2006/relationships/hyperlink" Target="https://www.cbssports.com/nfl/players/3169147/rachaad-white/fantasy/" TargetMode="External"/><Relationship Id="rId200" Type="http://schemas.openxmlformats.org/officeDocument/2006/relationships/hyperlink" Target="https://www.cbssports.com/nfl/players/2966551/isiah-pacheco/fantasy/" TargetMode="External"/><Relationship Id="rId16" Type="http://schemas.openxmlformats.org/officeDocument/2006/relationships/hyperlink" Target="https://www.cbssports.com/nfl/players/2963666/chris-olave/fantasy/" TargetMode="External"/><Relationship Id="rId221" Type="http://schemas.openxmlformats.org/officeDocument/2006/relationships/hyperlink" Target="https://www.cbssports.com/nfl/players/2968948/kenneth-gainwell/fantasy/" TargetMode="External"/><Relationship Id="rId242" Type="http://schemas.openxmlformats.org/officeDocument/2006/relationships/hyperlink" Target="https://www.cbssports.com/nfl/players/2962791/keaontay-ingram/fantasy/" TargetMode="External"/><Relationship Id="rId263" Type="http://schemas.openxmlformats.org/officeDocument/2006/relationships/hyperlink" Target="https://www.cbssports.com/nfl/players/3117165/dernest-johnson/fantasy/" TargetMode="External"/><Relationship Id="rId284" Type="http://schemas.openxmlformats.org/officeDocument/2006/relationships/hyperlink" Target="https://www.cbssports.com/nfl/players/1850793/darren-waller/fantasy/" TargetMode="External"/><Relationship Id="rId319" Type="http://schemas.openxmlformats.org/officeDocument/2006/relationships/hyperlink" Target="https://www.cbssports.com/nfl/players/2183713/donald-parham-jr/fantasy/" TargetMode="External"/><Relationship Id="rId37" Type="http://schemas.openxmlformats.org/officeDocument/2006/relationships/hyperlink" Target="https://www.cbssports.com/nfl/players/1880880/brandin-cooks/fantasy/" TargetMode="External"/><Relationship Id="rId58" Type="http://schemas.openxmlformats.org/officeDocument/2006/relationships/hyperlink" Target="https://www.cbssports.com/nfl/players/2819119/donovan-peoples-jones/fantasy/" TargetMode="External"/><Relationship Id="rId79" Type="http://schemas.openxmlformats.org/officeDocument/2006/relationships/hyperlink" Target="https://www.cbssports.com/nfl/players/2186342/van-jefferson/fantasy/" TargetMode="External"/><Relationship Id="rId102" Type="http://schemas.openxmlformats.org/officeDocument/2006/relationships/hyperlink" Target="https://www.cbssports.com/nfl/players/2240246/jalen-hurts/fantasy/" TargetMode="External"/><Relationship Id="rId123" Type="http://schemas.openxmlformats.org/officeDocument/2006/relationships/hyperlink" Target="https://www.cbssports.com/nfl/players/1664819/derek-carr/fantasy/" TargetMode="External"/><Relationship Id="rId144" Type="http://schemas.openxmlformats.org/officeDocument/2006/relationships/hyperlink" Target="https://www.cbssports.com/nfl/players/1880862/marcus-mariota/fantasy/" TargetMode="External"/><Relationship Id="rId330" Type="http://schemas.openxmlformats.org/officeDocument/2006/relationships/hyperlink" Target="https://www.cbssports.com/nfl/players/2253359/ian-thomas/fantasy/" TargetMode="External"/><Relationship Id="rId90" Type="http://schemas.openxmlformats.org/officeDocument/2006/relationships/hyperlink" Target="https://www.cbssports.com/nfl/players/2963214/terrace-marshall-jr/fantasy/" TargetMode="External"/><Relationship Id="rId165" Type="http://schemas.openxmlformats.org/officeDocument/2006/relationships/hyperlink" Target="https://www.cbssports.com/nfl/players/1998463/cj-beathard/fantasy/" TargetMode="External"/><Relationship Id="rId186" Type="http://schemas.openxmlformats.org/officeDocument/2006/relationships/hyperlink" Target="https://www.cbssports.com/nfl/players/2257933/alexander-mattison/fantasy/" TargetMode="External"/><Relationship Id="rId351" Type="http://schemas.openxmlformats.org/officeDocument/2006/relationships/hyperlink" Target="https://www.cbssports.com/nfl/players/2864800/stone-smartt/fantasy/" TargetMode="External"/><Relationship Id="rId211" Type="http://schemas.openxmlformats.org/officeDocument/2006/relationships/hyperlink" Target="https://www.cbssports.com/nfl/players/2253041/khalil-herbert/fantasy/" TargetMode="External"/><Relationship Id="rId232" Type="http://schemas.openxmlformats.org/officeDocument/2006/relationships/hyperlink" Target="https://www.cbssports.com/nfl/players/3162256/kendre-miller/fantasy/" TargetMode="External"/><Relationship Id="rId253" Type="http://schemas.openxmlformats.org/officeDocument/2006/relationships/hyperlink" Target="https://www.cbssports.com/nfl/players/2222046/trayveon-williams/fantasy/" TargetMode="External"/><Relationship Id="rId274" Type="http://schemas.openxmlformats.org/officeDocument/2006/relationships/hyperlink" Target="https://www.cbssports.com/nfl/players/2131121/mark-andrews/fantasy/" TargetMode="External"/><Relationship Id="rId295" Type="http://schemas.openxmlformats.org/officeDocument/2006/relationships/hyperlink" Target="https://www.cbssports.com/nfl/players/2257888/irv-smith/fantasy/" TargetMode="External"/><Relationship Id="rId309" Type="http://schemas.openxmlformats.org/officeDocument/2006/relationships/hyperlink" Target="https://www.cbssports.com/nfl/players/2139298/mike-gesicki/fantasy/" TargetMode="External"/><Relationship Id="rId27" Type="http://schemas.openxmlformats.org/officeDocument/2006/relationships/hyperlink" Target="https://www.cbssports.com/nfl/players/3123212/george-pickens/fantasy/" TargetMode="External"/><Relationship Id="rId48" Type="http://schemas.openxmlformats.org/officeDocument/2006/relationships/hyperlink" Target="https://www.cbssports.com/nfl/players/2240188/michael-pittman/fantasy/" TargetMode="External"/><Relationship Id="rId69" Type="http://schemas.openxmlformats.org/officeDocument/2006/relationships/hyperlink" Target="https://www.cbssports.com/nfl/players/2184383/kj-osborn/fantasy/" TargetMode="External"/><Relationship Id="rId113" Type="http://schemas.openxmlformats.org/officeDocument/2006/relationships/hyperlink" Target="https://www.cbssports.com/nfl/players/419780/aaron-rodgers/fantasy/" TargetMode="External"/><Relationship Id="rId134" Type="http://schemas.openxmlformats.org/officeDocument/2006/relationships/hyperlink" Target="https://www.cbssports.com/nfl/players/517243/brian-hoyer/fantasy/" TargetMode="External"/><Relationship Id="rId320" Type="http://schemas.openxmlformats.org/officeDocument/2006/relationships/hyperlink" Target="https://www.cbssports.com/nfl/players/3163963/darnell-washington/fantasy/" TargetMode="External"/><Relationship Id="rId80" Type="http://schemas.openxmlformats.org/officeDocument/2006/relationships/hyperlink" Target="https://www.cbssports.com/nfl/players/2071540/marquez-valdes-scantling/fantasy/" TargetMode="External"/><Relationship Id="rId155" Type="http://schemas.openxmlformats.org/officeDocument/2006/relationships/hyperlink" Target="https://www.cbssports.com/nfl/players/2805110/hendon-hooker/fantasy/" TargetMode="External"/><Relationship Id="rId176" Type="http://schemas.openxmlformats.org/officeDocument/2006/relationships/hyperlink" Target="https://www.cbssports.com/nfl/players/2184011/tony-pollard/fantasy/" TargetMode="External"/><Relationship Id="rId197" Type="http://schemas.openxmlformats.org/officeDocument/2006/relationships/hyperlink" Target="https://www.cbssports.com/nfl/players/2251305/miles-sanders/fantasy/" TargetMode="External"/><Relationship Id="rId341" Type="http://schemas.openxmlformats.org/officeDocument/2006/relationships/hyperlink" Target="https://www.cbssports.com/nfl/players/3122914/elijah-higgins/fantasy/" TargetMode="External"/><Relationship Id="rId362" Type="http://schemas.openxmlformats.org/officeDocument/2006/relationships/hyperlink" Target="https://www.cbssports.com/nfl/players/2963088/brayden-willis/fantasy/" TargetMode="External"/><Relationship Id="rId201" Type="http://schemas.openxmlformats.org/officeDocument/2006/relationships/hyperlink" Target="https://www.cbssports.com/nfl/players/2804034/cam-akers/fantasy/" TargetMode="External"/><Relationship Id="rId222" Type="http://schemas.openxmlformats.org/officeDocument/2006/relationships/hyperlink" Target="https://www.cbssports.com/nfl/players/2925410/gus-edwards/fantasy/" TargetMode="External"/><Relationship Id="rId243" Type="http://schemas.openxmlformats.org/officeDocument/2006/relationships/hyperlink" Target="https://www.cbssports.com/nfl/players/3121860/zonovan-knight/fantasy/" TargetMode="External"/><Relationship Id="rId264" Type="http://schemas.openxmlformats.org/officeDocument/2006/relationships/hyperlink" Target="https://www.cbssports.com/nfl/players/3172893/tyson-williams/fantasy/" TargetMode="External"/><Relationship Id="rId285" Type="http://schemas.openxmlformats.org/officeDocument/2006/relationships/hyperlink" Target="https://www.cbssports.com/nfl/players/2964274/greg-dulcich/fantasy/" TargetMode="External"/><Relationship Id="rId17" Type="http://schemas.openxmlformats.org/officeDocument/2006/relationships/hyperlink" Target="https://www.cbssports.com/nfl/players/2186328/calvin-ridley/fantasy/" TargetMode="External"/><Relationship Id="rId38" Type="http://schemas.openxmlformats.org/officeDocument/2006/relationships/hyperlink" Target="https://www.cbssports.com/nfl/players/2767487/kadarius-toney/fantasy/" TargetMode="External"/><Relationship Id="rId59" Type="http://schemas.openxmlformats.org/officeDocument/2006/relationships/hyperlink" Target="https://www.cbssports.com/nfl/players/2144726/hunter-renfrow/fantasy/" TargetMode="External"/><Relationship Id="rId103" Type="http://schemas.openxmlformats.org/officeDocument/2006/relationships/hyperlink" Target="https://www.cbssports.com/nfl/players/2181054/josh-allen/fantasy/" TargetMode="External"/><Relationship Id="rId124" Type="http://schemas.openxmlformats.org/officeDocument/2006/relationships/hyperlink" Target="https://www.cbssports.com/nfl/players/1114942/matthew-stafford/fantasy/" TargetMode="External"/><Relationship Id="rId310" Type="http://schemas.openxmlformats.org/officeDocument/2006/relationships/hyperlink" Target="https://www.cbssports.com/nfl/players/2180634/foster-moreau/fantasy/" TargetMode="External"/><Relationship Id="rId70" Type="http://schemas.openxmlformats.org/officeDocument/2006/relationships/hyperlink" Target="https://www.cbssports.com/nfl/players/2867325/josh-palmer/fantasy/" TargetMode="External"/><Relationship Id="rId91" Type="http://schemas.openxmlformats.org/officeDocument/2006/relationships/hyperlink" Target="https://www.cbssports.com/nfl/players/3171911/jalin-hyatt/fantasy/" TargetMode="External"/><Relationship Id="rId145" Type="http://schemas.openxmlformats.org/officeDocument/2006/relationships/hyperlink" Target="https://www.cbssports.com/nfl/players/1998197/jameis-winston/fantasy/" TargetMode="External"/><Relationship Id="rId166" Type="http://schemas.openxmlformats.org/officeDocument/2006/relationships/hyperlink" Target="https://www.cbssports.com/nfl/players/2819104/nick-mullens/fantasy/" TargetMode="External"/><Relationship Id="rId187" Type="http://schemas.openxmlformats.org/officeDocument/2006/relationships/hyperlink" Target="https://www.cbssports.com/nfl/players/2964236/dameon-pierce/fantasy/" TargetMode="External"/><Relationship Id="rId331" Type="http://schemas.openxmlformats.org/officeDocument/2006/relationships/hyperlink" Target="https://www.cbssports.com/nfl/players/2239684/jack-stoll/fantasy/" TargetMode="External"/><Relationship Id="rId352" Type="http://schemas.openxmlformats.org/officeDocument/2006/relationships/hyperlink" Target="https://www.cbssports.com/nfl/players/2963243/zack-kuntz/fantasy/" TargetMode="External"/><Relationship Id="rId1" Type="http://schemas.openxmlformats.org/officeDocument/2006/relationships/hyperlink" Target="https://www.cbssports.com/nfl/players/2871343/justin-jefferson/fantasy/" TargetMode="External"/><Relationship Id="rId212" Type="http://schemas.openxmlformats.org/officeDocument/2006/relationships/hyperlink" Target="https://www.cbssports.com/nfl/players/3123810/zach-charbonnet/fantasy/" TargetMode="External"/><Relationship Id="rId233" Type="http://schemas.openxmlformats.org/officeDocument/2006/relationships/hyperlink" Target="https://www.cbssports.com/nfl/players/2183832/nyheim-hines/fantasy/" TargetMode="External"/><Relationship Id="rId254" Type="http://schemas.openxmlformats.org/officeDocument/2006/relationships/hyperlink" Target="https://www.cbssports.com/nfl/players/2870476/raheem-blackshear/fantasy/" TargetMode="External"/><Relationship Id="rId28" Type="http://schemas.openxmlformats.org/officeDocument/2006/relationships/hyperlink" Target="https://www.cbssports.com/nfl/players/2741201/jerry-jeudy/fantasy/" TargetMode="External"/><Relationship Id="rId49" Type="http://schemas.openxmlformats.org/officeDocument/2006/relationships/hyperlink" Target="https://www.cbssports.com/nfl/players/3162959/jaxon-smith-njigba/fantasy/" TargetMode="External"/><Relationship Id="rId114" Type="http://schemas.openxmlformats.org/officeDocument/2006/relationships/hyperlink" Target="https://www.cbssports.com/nfl/players/1824864/dak-prescott/fantasy/" TargetMode="External"/><Relationship Id="rId275" Type="http://schemas.openxmlformats.org/officeDocument/2006/relationships/hyperlink" Target="https://www.cbssports.com/nfl/players/2251097/tj-hockenson/fantasy/" TargetMode="External"/><Relationship Id="rId296" Type="http://schemas.openxmlformats.org/officeDocument/2006/relationships/hyperlink" Target="https://www.cbssports.com/nfl/players/2165249/tyler-conklin/fantasy/" TargetMode="External"/><Relationship Id="rId300" Type="http://schemas.openxmlformats.org/officeDocument/2006/relationships/hyperlink" Target="https://www.cbssports.com/nfl/players/1691193/logan-thomas/fantasy/" TargetMode="External"/><Relationship Id="rId60" Type="http://schemas.openxmlformats.org/officeDocument/2006/relationships/hyperlink" Target="https://www.cbssports.com/nfl/players/3162609/quentin-johnston/fantasy/" TargetMode="External"/><Relationship Id="rId81" Type="http://schemas.openxmlformats.org/officeDocument/2006/relationships/hyperlink" Target="https://www.cbssports.com/nfl/players/2131689/dj-chark/fantasy/" TargetMode="External"/><Relationship Id="rId135" Type="http://schemas.openxmlformats.org/officeDocument/2006/relationships/hyperlink" Target="https://www.cbssports.com/nfl/players/1877247/jacoby-brissett/fantasy/" TargetMode="External"/><Relationship Id="rId156" Type="http://schemas.openxmlformats.org/officeDocument/2006/relationships/hyperlink" Target="https://www.cbssports.com/nfl/players/2868716/aidan-oconnell/fantasy/" TargetMode="External"/><Relationship Id="rId177" Type="http://schemas.openxmlformats.org/officeDocument/2006/relationships/hyperlink" Target="https://www.cbssports.com/nfl/players/3125832/rhamondre-stevenson/fantasy/" TargetMode="External"/><Relationship Id="rId198" Type="http://schemas.openxmlformats.org/officeDocument/2006/relationships/hyperlink" Target="https://www.cbssports.com/nfl/players/2082721/alvin-kamara/fantasy/" TargetMode="External"/><Relationship Id="rId321" Type="http://schemas.openxmlformats.org/officeDocument/2006/relationships/hyperlink" Target="https://www.cbssports.com/nfl/players/3123267/davis-allen/fantasy/" TargetMode="External"/><Relationship Id="rId342" Type="http://schemas.openxmlformats.org/officeDocument/2006/relationships/hyperlink" Target="https://www.cbssports.com/nfl/players/2963615/daniel-bellinger/fantasy/" TargetMode="External"/><Relationship Id="rId363" Type="http://schemas.openxmlformats.org/officeDocument/2006/relationships/hyperlink" Target="https://www.cbssports.com/nfl/players/2867599/connor-heyward/fantasy/" TargetMode="External"/><Relationship Id="rId202" Type="http://schemas.openxmlformats.org/officeDocument/2006/relationships/hyperlink" Target="https://www.cbssports.com/nfl/players/2741207/brian-robinson-jr/fantasy/" TargetMode="External"/><Relationship Id="rId223" Type="http://schemas.openxmlformats.org/officeDocument/2006/relationships/hyperlink" Target="https://www.cbssports.com/nfl/players/2819247/pierre-strong-jr/fantasy/" TargetMode="External"/><Relationship Id="rId244" Type="http://schemas.openxmlformats.org/officeDocument/2006/relationships/hyperlink" Target="https://www.cbssports.com/nfl/players/2966543/jerome-ford/fantasy/" TargetMode="External"/><Relationship Id="rId18" Type="http://schemas.openxmlformats.org/officeDocument/2006/relationships/hyperlink" Target="https://www.cbssports.com/nfl/players/1737078/deandre-hopkins/fantasy/" TargetMode="External"/><Relationship Id="rId39" Type="http://schemas.openxmlformats.org/officeDocument/2006/relationships/hyperlink" Target="https://www.cbssports.com/nfl/players/2183835/jakobi-meyers/fantasy/" TargetMode="External"/><Relationship Id="rId265" Type="http://schemas.openxmlformats.org/officeDocument/2006/relationships/hyperlink" Target="https://www.cbssports.com/nfl/players/2818911/patrick-ricard/fantasy/" TargetMode="External"/><Relationship Id="rId286" Type="http://schemas.openxmlformats.org/officeDocument/2006/relationships/hyperlink" Target="https://www.cbssports.com/nfl/players/1853103/tyler-higbee/fantasy/" TargetMode="External"/><Relationship Id="rId50" Type="http://schemas.openxmlformats.org/officeDocument/2006/relationships/hyperlink" Target="https://www.cbssports.com/nfl/players/2960940/rashod-bateman/fantasy/" TargetMode="External"/><Relationship Id="rId104" Type="http://schemas.openxmlformats.org/officeDocument/2006/relationships/hyperlink" Target="https://www.cbssports.com/nfl/players/2179798/joe-burrow/fantasy/" TargetMode="External"/><Relationship Id="rId125" Type="http://schemas.openxmlformats.org/officeDocument/2006/relationships/hyperlink" Target="https://www.cbssports.com/nfl/players/2239997/jordan-love/fantasy/" TargetMode="External"/><Relationship Id="rId146" Type="http://schemas.openxmlformats.org/officeDocument/2006/relationships/hyperlink" Target="https://www.cbssports.com/nfl/players/1630777/blaine-gabbert/fantasy/" TargetMode="External"/><Relationship Id="rId167" Type="http://schemas.openxmlformats.org/officeDocument/2006/relationships/hyperlink" Target="https://www.cbssports.com/nfl/players/2964729/dorian-thompson-robinson/fantasy/" TargetMode="External"/><Relationship Id="rId188" Type="http://schemas.openxmlformats.org/officeDocument/2006/relationships/hyperlink" Target="https://www.cbssports.com/nfl/players/2071585/james-conner/fantasy/" TargetMode="External"/><Relationship Id="rId311" Type="http://schemas.openxmlformats.org/officeDocument/2006/relationships/hyperlink" Target="https://www.cbssports.com/nfl/players/2866903/noah-gray/fantasy/" TargetMode="External"/><Relationship Id="rId332" Type="http://schemas.openxmlformats.org/officeDocument/2006/relationships/hyperlink" Target="https://www.cbssports.com/nfl/players/2181108/josiah-deguara/fantasy/" TargetMode="External"/><Relationship Id="rId353" Type="http://schemas.openxmlformats.org/officeDocument/2006/relationships/hyperlink" Target="https://www.cbssports.com/nfl/players/2963242/james-mitchell/fantasy/" TargetMode="External"/><Relationship Id="rId71" Type="http://schemas.openxmlformats.org/officeDocument/2006/relationships/hyperlink" Target="https://www.cbssports.com/nfl/players/2131252/curtis-samuel/fantasy/" TargetMode="External"/><Relationship Id="rId92" Type="http://schemas.openxmlformats.org/officeDocument/2006/relationships/hyperlink" Target="https://www.cbssports.com/nfl/players/2061005/corey-davis/fantasy/" TargetMode="External"/><Relationship Id="rId213" Type="http://schemas.openxmlformats.org/officeDocument/2006/relationships/hyperlink" Target="https://www.cbssports.com/nfl/players/3163291/israel-abanikanda/fantasy/" TargetMode="External"/><Relationship Id="rId234" Type="http://schemas.openxmlformats.org/officeDocument/2006/relationships/hyperlink" Target="https://www.cbssports.com/nfl/players/2865693/chuba-hubbard/fantasy/" TargetMode="External"/><Relationship Id="rId2" Type="http://schemas.openxmlformats.org/officeDocument/2006/relationships/hyperlink" Target="https://www.cbssports.com/nfl/players/2006951/cooper-kupp/fantasy/" TargetMode="External"/><Relationship Id="rId29" Type="http://schemas.openxmlformats.org/officeDocument/2006/relationships/hyperlink" Target="https://www.cbssports.com/nfl/players/2180820/christian-kirk/fantasy/" TargetMode="External"/><Relationship Id="rId255" Type="http://schemas.openxmlformats.org/officeDocument/2006/relationships/hyperlink" Target="https://www.cbssports.com/nfl/players/2179704/keshawn-vaughn/fantasy/" TargetMode="External"/><Relationship Id="rId276" Type="http://schemas.openxmlformats.org/officeDocument/2006/relationships/hyperlink" Target="https://www.cbssports.com/nfl/players/2818265/george-kittle/fantasy/" TargetMode="External"/><Relationship Id="rId297" Type="http://schemas.openxmlformats.org/officeDocument/2006/relationships/hyperlink" Target="https://www.cbssports.com/nfl/players/2818935/taysom-hill/fantasy/" TargetMode="External"/><Relationship Id="rId40" Type="http://schemas.openxmlformats.org/officeDocument/2006/relationships/hyperlink" Target="https://www.cbssports.com/nfl/players/2141655/allen-lazard/fantasy/" TargetMode="External"/><Relationship Id="rId115" Type="http://schemas.openxmlformats.org/officeDocument/2006/relationships/hyperlink" Target="https://www.cbssports.com/nfl/players/2967185/trevor-lawrence/fantasy/" TargetMode="External"/><Relationship Id="rId136" Type="http://schemas.openxmlformats.org/officeDocument/2006/relationships/hyperlink" Target="https://www.cbssports.com/nfl/players/2131261/david-blough/fantasy/" TargetMode="External"/><Relationship Id="rId157" Type="http://schemas.openxmlformats.org/officeDocument/2006/relationships/hyperlink" Target="https://www.cbssports.com/nfl/players/2963945/tanner-mckee/fantasy/" TargetMode="External"/><Relationship Id="rId178" Type="http://schemas.openxmlformats.org/officeDocument/2006/relationships/hyperlink" Target="https://www.cbssports.com/nfl/players/2257876/josh-jacobs/fantasy/" TargetMode="External"/><Relationship Id="rId301" Type="http://schemas.openxmlformats.org/officeDocument/2006/relationships/hyperlink" Target="https://www.cbssports.com/nfl/players/2079848/hunter-henry/fantasy/" TargetMode="External"/><Relationship Id="rId322" Type="http://schemas.openxmlformats.org/officeDocument/2006/relationships/hyperlink" Target="https://www.cbssports.com/nfl/players/2139628/will-dissly/fantasy/" TargetMode="External"/><Relationship Id="rId343" Type="http://schemas.openxmlformats.org/officeDocument/2006/relationships/hyperlink" Target="https://www.cbssports.com/nfl/players/1824200/tyler-kroft/fantasy/" TargetMode="External"/><Relationship Id="rId364" Type="http://schemas.openxmlformats.org/officeDocument/2006/relationships/hyperlink" Target="https://www.cbssports.com/nfl/players/3117107/jesper-horsted/fantasy/" TargetMode="External"/><Relationship Id="rId61" Type="http://schemas.openxmlformats.org/officeDocument/2006/relationships/hyperlink" Target="https://www.cbssports.com/nfl/players/2080270/zay-jones/fantasy/" TargetMode="External"/><Relationship Id="rId82" Type="http://schemas.openxmlformats.org/officeDocument/2006/relationships/hyperlink" Target="https://www.cbssports.com/nfl/players/2248618/mecole-hardman/fantasy/" TargetMode="External"/><Relationship Id="rId199" Type="http://schemas.openxmlformats.org/officeDocument/2006/relationships/hyperlink" Target="https://www.cbssports.com/nfl/players/2871710/dandre-swift/fantasy/" TargetMode="External"/><Relationship Id="rId203" Type="http://schemas.openxmlformats.org/officeDocument/2006/relationships/hyperlink" Target="https://www.cbssports.com/nfl/players/2867083/aj-dillon/fantasy/" TargetMode="External"/><Relationship Id="rId19" Type="http://schemas.openxmlformats.org/officeDocument/2006/relationships/hyperlink" Target="https://www.cbssports.com/nfl/players/2818150/chris-godwin/fantasy/" TargetMode="External"/><Relationship Id="rId224" Type="http://schemas.openxmlformats.org/officeDocument/2006/relationships/hyperlink" Target="https://www.cbssports.com/nfl/players/2139847/donta-foreman/fantasy/" TargetMode="External"/><Relationship Id="rId245" Type="http://schemas.openxmlformats.org/officeDocument/2006/relationships/hyperlink" Target="https://www.cbssports.com/nfl/players/1637004/latavius-murray/fantasy/" TargetMode="External"/><Relationship Id="rId266" Type="http://schemas.openxmlformats.org/officeDocument/2006/relationships/hyperlink" Target="https://www.cbssports.com/nfl/players/2079334/boston-scott/fantasy/" TargetMode="External"/><Relationship Id="rId287" Type="http://schemas.openxmlformats.org/officeDocument/2006/relationships/hyperlink" Target="https://www.cbssports.com/nfl/players/2868619/cole-kmet/fantasy/" TargetMode="External"/><Relationship Id="rId30" Type="http://schemas.openxmlformats.org/officeDocument/2006/relationships/hyperlink" Target="https://www.cbssports.com/nfl/players/3122944/treylon-burks/fantasy/" TargetMode="External"/><Relationship Id="rId105" Type="http://schemas.openxmlformats.org/officeDocument/2006/relationships/hyperlink" Target="https://www.cbssports.com/nfl/players/2181169/lamar-jackson/fantasy/" TargetMode="External"/><Relationship Id="rId126" Type="http://schemas.openxmlformats.org/officeDocument/2006/relationships/hyperlink" Target="https://www.cbssports.com/nfl/players/1760229/jimmy-garoppolo/fantasy/" TargetMode="External"/><Relationship Id="rId147" Type="http://schemas.openxmlformats.org/officeDocument/2006/relationships/hyperlink" Target="https://www.cbssports.com/nfl/players/2866483/bailey-zappe/fantasy/" TargetMode="External"/><Relationship Id="rId168" Type="http://schemas.openxmlformats.org/officeDocument/2006/relationships/hyperlink" Target="https://www.cbssports.com/nfl/players/2871628/stetson-bennett/fantasy/" TargetMode="External"/><Relationship Id="rId312" Type="http://schemas.openxmlformats.org/officeDocument/2006/relationships/hyperlink" Target="https://www.cbssports.com/nfl/players/2067004/austin-hooper/fantasy/" TargetMode="External"/><Relationship Id="rId333" Type="http://schemas.openxmlformats.org/officeDocument/2006/relationships/hyperlink" Target="https://www.cbssports.com/nfl/players/2257291/john-bates/fantasy/" TargetMode="External"/><Relationship Id="rId354" Type="http://schemas.openxmlformats.org/officeDocument/2006/relationships/hyperlink" Target="https://www.cbssports.com/nfl/players/2260977/luke-farrell/fantasy/" TargetMode="External"/><Relationship Id="rId51" Type="http://schemas.openxmlformats.org/officeDocument/2006/relationships/hyperlink" Target="https://www.cbssports.com/nfl/players/3125968/jameson-williams/fantasy/" TargetMode="External"/><Relationship Id="rId72" Type="http://schemas.openxmlformats.org/officeDocument/2006/relationships/hyperlink" Target="https://www.cbssports.com/nfl/players/2240651/darnell-mooney/fantasy/" TargetMode="External"/><Relationship Id="rId93" Type="http://schemas.openxmlformats.org/officeDocument/2006/relationships/hyperlink" Target="https://www.cbssports.com/nfl/players/2185954/nick-westbrook-ikhine/fantasy/" TargetMode="External"/><Relationship Id="rId189" Type="http://schemas.openxmlformats.org/officeDocument/2006/relationships/hyperlink" Target="https://www.cbssports.com/nfl/players/2741200/najee-harris/fantasy/" TargetMode="External"/><Relationship Id="rId3" Type="http://schemas.openxmlformats.org/officeDocument/2006/relationships/hyperlink" Target="https://www.cbssports.com/nfl/players/1893167/davante-adams/fantasy/" TargetMode="External"/><Relationship Id="rId214" Type="http://schemas.openxmlformats.org/officeDocument/2006/relationships/hyperlink" Target="https://www.cbssports.com/nfl/players/2925161/jeff-wilson/fantasy/" TargetMode="External"/><Relationship Id="rId235" Type="http://schemas.openxmlformats.org/officeDocument/2006/relationships/hyperlink" Target="https://www.cbssports.com/nfl/players/2867472/ty-chandler/fantasy/" TargetMode="External"/><Relationship Id="rId256" Type="http://schemas.openxmlformats.org/officeDocument/2006/relationships/hyperlink" Target="https://www.cbssports.com/nfl/players/1851149/ty-montgomery/fantasy/" TargetMode="External"/><Relationship Id="rId277" Type="http://schemas.openxmlformats.org/officeDocument/2006/relationships/hyperlink" Target="https://www.cbssports.com/nfl/players/2132551/dallas-goedert/fantasy/" TargetMode="External"/><Relationship Id="rId298" Type="http://schemas.openxmlformats.org/officeDocument/2006/relationships/hyperlink" Target="https://www.cbssports.com/nfl/players/3124197/sam-laporta/fantasy/" TargetMode="External"/><Relationship Id="rId116" Type="http://schemas.openxmlformats.org/officeDocument/2006/relationships/hyperlink" Target="https://www.cbssports.com/nfl/players/1700358/geno-smith/fantasy/" TargetMode="External"/><Relationship Id="rId137" Type="http://schemas.openxmlformats.org/officeDocument/2006/relationships/hyperlink" Target="https://www.cbssports.com/nfl/players/2072143/mike-white/fantasy/" TargetMode="External"/><Relationship Id="rId158" Type="http://schemas.openxmlformats.org/officeDocument/2006/relationships/hyperlink" Target="https://www.cbssports.com/nfl/players/2174210/trevor-siemian/fantasy/" TargetMode="External"/><Relationship Id="rId302" Type="http://schemas.openxmlformats.org/officeDocument/2006/relationships/hyperlink" Target="https://www.cbssports.com/nfl/players/3171673/michael-mayer/fantasy/" TargetMode="External"/><Relationship Id="rId323" Type="http://schemas.openxmlformats.org/officeDocument/2006/relationships/hyperlink" Target="https://www.cbssports.com/nfl/players/2965963/teagan-quitoriano/fantasy/" TargetMode="External"/><Relationship Id="rId344" Type="http://schemas.openxmlformats.org/officeDocument/2006/relationships/hyperlink" Target="https://www.cbssports.com/nfl/players/2924888/ross-dwelley/fantasy/" TargetMode="External"/><Relationship Id="rId20" Type="http://schemas.openxmlformats.org/officeDocument/2006/relationships/hyperlink" Target="https://www.cbssports.com/nfl/players/2869806/christian-watson/fantasy/" TargetMode="External"/><Relationship Id="rId41" Type="http://schemas.openxmlformats.org/officeDocument/2006/relationships/hyperlink" Target="https://www.cbssports.com/nfl/players/1983802/michael-thomas/fantasy/" TargetMode="External"/><Relationship Id="rId62" Type="http://schemas.openxmlformats.org/officeDocument/2006/relationships/hyperlink" Target="https://www.cbssports.com/nfl/players/2783899/isaiah-hodgins/fantasy/" TargetMode="External"/><Relationship Id="rId83" Type="http://schemas.openxmlformats.org/officeDocument/2006/relationships/hyperlink" Target="https://www.cbssports.com/nfl/players/2240415/michael-gallup/fantasy/" TargetMode="External"/><Relationship Id="rId179" Type="http://schemas.openxmlformats.org/officeDocument/2006/relationships/hyperlink" Target="https://www.cbssports.com/nfl/players/3168163/bijan-robinson/fantasy/" TargetMode="External"/><Relationship Id="rId365" Type="http://schemas.openxmlformats.org/officeDocument/2006/relationships/hyperlink" Target="https://www.cbssports.com/nfl/players/2864581/quintin-morris/fantasy/" TargetMode="External"/><Relationship Id="rId190" Type="http://schemas.openxmlformats.org/officeDocument/2006/relationships/hyperlink" Target="https://www.cbssports.com/nfl/players/3162723/jahmyr-gibbs/fantasy/" TargetMode="External"/><Relationship Id="rId204" Type="http://schemas.openxmlformats.org/officeDocument/2006/relationships/hyperlink" Target="https://www.cbssports.com/nfl/players/2131148/samaje-perine/fantasy/" TargetMode="External"/><Relationship Id="rId225" Type="http://schemas.openxmlformats.org/officeDocument/2006/relationships/hyperlink" Target="https://www.cbssports.com/nfl/players/2804554/clyde-edwards-helaire/fantasy/" TargetMode="External"/><Relationship Id="rId246" Type="http://schemas.openxmlformats.org/officeDocument/2006/relationships/hyperlink" Target="https://www.cbssports.com/nfl/players/2967536/jordan-mason/fantasy/" TargetMode="External"/><Relationship Id="rId267" Type="http://schemas.openxmlformats.org/officeDocument/2006/relationships/hyperlink" Target="https://www.cbssports.com/nfl/players/3121706/lew-nichols-iii/fantasy/" TargetMode="External"/><Relationship Id="rId288" Type="http://schemas.openxmlformats.org/officeDocument/2006/relationships/hyperlink" Target="https://www.cbssports.com/nfl/players/2142692/gerald-everett/fantasy/" TargetMode="External"/><Relationship Id="rId106" Type="http://schemas.openxmlformats.org/officeDocument/2006/relationships/hyperlink" Target="https://www.cbssports.com/nfl/players/2221960/justin-herbert/fantasy/" TargetMode="External"/><Relationship Id="rId127" Type="http://schemas.openxmlformats.org/officeDocument/2006/relationships/hyperlink" Target="https://www.cbssports.com/nfl/players/3163079/cj-stroud/fantasy/" TargetMode="External"/><Relationship Id="rId313" Type="http://schemas.openxmlformats.org/officeDocument/2006/relationships/hyperlink" Target="https://www.cbssports.com/nfl/players/2961906/isaiah-likely/fantasy/" TargetMode="External"/><Relationship Id="rId10" Type="http://schemas.openxmlformats.org/officeDocument/2006/relationships/hyperlink" Target="https://www.cbssports.com/nfl/players/3123864/garrett-wilson/fantasy/" TargetMode="External"/><Relationship Id="rId31" Type="http://schemas.openxmlformats.org/officeDocument/2006/relationships/hyperlink" Target="https://www.cbssports.com/nfl/players/2139279/terry-mclaurin/fantasy/" TargetMode="External"/><Relationship Id="rId52" Type="http://schemas.openxmlformats.org/officeDocument/2006/relationships/hyperlink" Target="https://www.cbssports.com/nfl/players/2071582/tyler-boyd/fantasy/" TargetMode="External"/><Relationship Id="rId73" Type="http://schemas.openxmlformats.org/officeDocument/2006/relationships/hyperlink" Target="https://www.cbssports.com/nfl/players/1996786/sterling-shepard/fantasy/" TargetMode="External"/><Relationship Id="rId94" Type="http://schemas.openxmlformats.org/officeDocument/2006/relationships/hyperlink" Target="https://www.cbssports.com/nfl/players/2186266/olamide-zaccheaus/fantasy/" TargetMode="External"/><Relationship Id="rId148" Type="http://schemas.openxmlformats.org/officeDocument/2006/relationships/hyperlink" Target="https://www.cbssports.com/nfl/players/1243338/tyrod-taylor/fantasy/" TargetMode="External"/><Relationship Id="rId169" Type="http://schemas.openxmlformats.org/officeDocument/2006/relationships/hyperlink" Target="https://www.cbssports.com/nfl/players/2868998/sean-clifford/fantasy/" TargetMode="External"/><Relationship Id="rId334" Type="http://schemas.openxmlformats.org/officeDocument/2006/relationships/hyperlink" Target="https://www.cbssports.com/nfl/players/2867545/peyton-hendershot/fantasy/" TargetMode="External"/><Relationship Id="rId355" Type="http://schemas.openxmlformats.org/officeDocument/2006/relationships/hyperlink" Target="https://www.cbssports.com/nfl/players/2965446/jeremy-ruckert/fantasy/" TargetMode="External"/><Relationship Id="rId4" Type="http://schemas.openxmlformats.org/officeDocument/2006/relationships/hyperlink" Target="https://www.cbssports.com/nfl/players/2966320/jamarr-chase/fantasy/" TargetMode="External"/><Relationship Id="rId180" Type="http://schemas.openxmlformats.org/officeDocument/2006/relationships/hyperlink" Target="https://www.cbssports.com/nfl/players/2061188/derrick-henry/fantasy/" TargetMode="External"/><Relationship Id="rId215" Type="http://schemas.openxmlformats.org/officeDocument/2006/relationships/hyperlink" Target="https://www.cbssports.com/nfl/players/2174957/raheem-mostert/fantasy/" TargetMode="External"/><Relationship Id="rId236" Type="http://schemas.openxmlformats.org/officeDocument/2006/relationships/hyperlink" Target="https://www.cbssports.com/nfl/players/2137507/chase-edmonds/fantasy/" TargetMode="External"/><Relationship Id="rId257" Type="http://schemas.openxmlformats.org/officeDocument/2006/relationships/hyperlink" Target="https://www.cbssports.com/nfl/players/2871345/zander-horvath/fantasy/" TargetMode="External"/><Relationship Id="rId278" Type="http://schemas.openxmlformats.org/officeDocument/2006/relationships/hyperlink" Target="https://www.cbssports.com/nfl/players/2136474/david-njoku/fantasy/" TargetMode="External"/><Relationship Id="rId303" Type="http://schemas.openxmlformats.org/officeDocument/2006/relationships/hyperlink" Target="https://www.cbssports.com/nfl/players/2186345/dawson-knox/fantasy/" TargetMode="External"/><Relationship Id="rId42" Type="http://schemas.openxmlformats.org/officeDocument/2006/relationships/hyperlink" Target="https://www.cbssports.com/nfl/players/2082516/mike-williams/fantasy/" TargetMode="External"/><Relationship Id="rId84" Type="http://schemas.openxmlformats.org/officeDocument/2006/relationships/hyperlink" Target="https://www.cbssports.com/nfl/players/3124978/rashee-rice/fantasy/" TargetMode="External"/><Relationship Id="rId138" Type="http://schemas.openxmlformats.org/officeDocument/2006/relationships/hyperlink" Target="https://www.cbssports.com/nfl/players/2180320/sam-darnold/fantasy/" TargetMode="External"/><Relationship Id="rId345" Type="http://schemas.openxmlformats.org/officeDocument/2006/relationships/hyperlink" Target="https://www.cbssports.com/nfl/players/2142712/jordan-akins/fantasy/" TargetMode="External"/><Relationship Id="rId191" Type="http://schemas.openxmlformats.org/officeDocument/2006/relationships/hyperlink" Target="https://www.cbssports.com/nfl/players/2809206/travis-etienne/fantasy/" TargetMode="External"/><Relationship Id="rId205" Type="http://schemas.openxmlformats.org/officeDocument/2006/relationships/hyperlink" Target="https://www.cbssports.com/nfl/players/2975698/james-cook/fantasy/" TargetMode="External"/><Relationship Id="rId247" Type="http://schemas.openxmlformats.org/officeDocument/2006/relationships/hyperlink" Target="https://www.cbssports.com/nfl/players/3162483/zach-evans/fantasy/" TargetMode="External"/><Relationship Id="rId107" Type="http://schemas.openxmlformats.org/officeDocument/2006/relationships/hyperlink" Target="https://www.cbssports.com/nfl/players/1272574/kirk-cousins/fantasy/" TargetMode="External"/><Relationship Id="rId289" Type="http://schemas.openxmlformats.org/officeDocument/2006/relationships/hyperlink" Target="https://www.cbssports.com/nfl/players/2186637/juwan-johnson/fantasy/" TargetMode="External"/><Relationship Id="rId11" Type="http://schemas.openxmlformats.org/officeDocument/2006/relationships/hyperlink" Target="https://www.cbssports.com/nfl/players/2962110/jaylen-waddle/fantasy/" TargetMode="External"/><Relationship Id="rId53" Type="http://schemas.openxmlformats.org/officeDocument/2006/relationships/hyperlink" Target="https://www.cbssports.com/nfl/players/1824823/odell-beckham-jr/fantasy/" TargetMode="External"/><Relationship Id="rId149" Type="http://schemas.openxmlformats.org/officeDocument/2006/relationships/hyperlink" Target="https://www.cbssports.com/nfl/players/3120848/max-duggan/fantasy/" TargetMode="External"/><Relationship Id="rId314" Type="http://schemas.openxmlformats.org/officeDocument/2006/relationships/hyperlink" Target="https://www.cbssports.com/nfl/players/2184618/josh-oliver/fantasy/" TargetMode="External"/><Relationship Id="rId356" Type="http://schemas.openxmlformats.org/officeDocument/2006/relationships/hyperlink" Target="https://www.cbssports.com/nfl/players/2139646/drew-sample/fantasy/" TargetMode="External"/><Relationship Id="rId95" Type="http://schemas.openxmlformats.org/officeDocument/2006/relationships/hyperlink" Target="https://www.cbssports.com/nfl/players/1871375/chris-moore/fantasy/" TargetMode="External"/><Relationship Id="rId160" Type="http://schemas.openxmlformats.org/officeDocument/2006/relationships/hyperlink" Target="https://www.cbssports.com/nfl/players/2867381/davis-mills/fantasy/" TargetMode="External"/><Relationship Id="rId216" Type="http://schemas.openxmlformats.org/officeDocument/2006/relationships/hyperlink" Target="https://www.cbssports.com/nfl/players/2819876/elijah-mitchell/fantasy/" TargetMode="External"/><Relationship Id="rId258" Type="http://schemas.openxmlformats.org/officeDocument/2006/relationships/hyperlink" Target="https://www.cbssports.com/nfl/players/2237239/cj-ham/fantasy/" TargetMode="External"/><Relationship Id="rId22" Type="http://schemas.openxmlformats.org/officeDocument/2006/relationships/hyperlink" Target="https://www.cbssports.com/nfl/players/3127902/drake-london/fantasy/" TargetMode="External"/><Relationship Id="rId64" Type="http://schemas.openxmlformats.org/officeDocument/2006/relationships/hyperlink" Target="https://www.cbssports.com/nfl/players/2963569/elijah-moore/fantasy/" TargetMode="External"/><Relationship Id="rId118" Type="http://schemas.openxmlformats.org/officeDocument/2006/relationships/hyperlink" Target="https://www.cbssports.com/nfl/players/2961306/brock-purdy/fantasy/" TargetMode="External"/><Relationship Id="rId325" Type="http://schemas.openxmlformats.org/officeDocument/2006/relationships/hyperlink" Target="https://www.cbssports.com/nfl/players/3133332/tucker-kraft/fantasy/" TargetMode="External"/><Relationship Id="rId367" Type="http://schemas.openxmlformats.org/officeDocument/2006/relationships/hyperlink" Target="https://www.cbssports.com/nfl/players/2183845/lawrence-cager/fantasy/" TargetMode="External"/><Relationship Id="rId171" Type="http://schemas.openxmlformats.org/officeDocument/2006/relationships/hyperlink" Target="https://www.cbssports.com/nfl/players/2804167/malik-willis/fantasy/" TargetMode="External"/><Relationship Id="rId227" Type="http://schemas.openxmlformats.org/officeDocument/2006/relationships/hyperlink" Target="https://www.cbssports.com/nfl/players/3162021/tank-bigsby/fantasy/" TargetMode="External"/><Relationship Id="rId269" Type="http://schemas.openxmlformats.org/officeDocument/2006/relationships/hyperlink" Target="https://www.cbssports.com/nfl/players/2804094/deejay-dallas/fantasy/" TargetMode="External"/><Relationship Id="rId33" Type="http://schemas.openxmlformats.org/officeDocument/2006/relationships/hyperlink" Target="https://www.cbssports.com/nfl/players/3162290/jordan-addison/fantasy/" TargetMode="External"/><Relationship Id="rId129" Type="http://schemas.openxmlformats.org/officeDocument/2006/relationships/hyperlink" Target="https://www.cbssports.com/nfl/players/2080032/baker-mayfield/fantasy/" TargetMode="External"/><Relationship Id="rId280" Type="http://schemas.openxmlformats.org/officeDocument/2006/relationships/hyperlink" Target="https://www.cbssports.com/nfl/players/2964514/kyle-pitts/fantasy/" TargetMode="External"/><Relationship Id="rId336" Type="http://schemas.openxmlformats.org/officeDocument/2006/relationships/hyperlink" Target="https://www.cbssports.com/nfl/players/2968469/payne-durham/fantasy/" TargetMode="External"/><Relationship Id="rId75" Type="http://schemas.openxmlformats.org/officeDocument/2006/relationships/hyperlink" Target="https://www.cbssports.com/nfl/players/1851283/devante-parker/fantasy/" TargetMode="External"/><Relationship Id="rId140" Type="http://schemas.openxmlformats.org/officeDocument/2006/relationships/hyperlink" Target="https://www.cbssports.com/nfl/players/2964377/will-levis/fantasy/" TargetMode="External"/><Relationship Id="rId182" Type="http://schemas.openxmlformats.org/officeDocument/2006/relationships/hyperlink" Target="https://www.cbssports.com/nfl/players/2071937/aaron-jones/fantasy/" TargetMode="External"/><Relationship Id="rId6" Type="http://schemas.openxmlformats.org/officeDocument/2006/relationships/hyperlink" Target="https://www.cbssports.com/nfl/players/2258303/aj-brown/fantasy/" TargetMode="External"/><Relationship Id="rId238" Type="http://schemas.openxmlformats.org/officeDocument/2006/relationships/hyperlink" Target="https://www.cbssports.com/nfl/players/1824308/ameer-abdullah/fantasy/" TargetMode="External"/><Relationship Id="rId291" Type="http://schemas.openxmlformats.org/officeDocument/2006/relationships/hyperlink" Target="https://www.cbssports.com/nfl/players/2982991/dalton-kincaid/fantasy/" TargetMode="External"/><Relationship Id="rId305" Type="http://schemas.openxmlformats.org/officeDocument/2006/relationships/hyperlink" Target="https://www.cbssports.com/nfl/players/2787078/jelani-woods/fantasy/" TargetMode="External"/><Relationship Id="rId347" Type="http://schemas.openxmlformats.org/officeDocument/2006/relationships/hyperlink" Target="https://www.cbssports.com/nfl/players/3161112/reggie-gilliam/fantasy/" TargetMode="External"/><Relationship Id="rId44" Type="http://schemas.openxmlformats.org/officeDocument/2006/relationships/hyperlink" Target="https://www.cbssports.com/nfl/players/2818910/tim-patrick/fantasy/" TargetMode="External"/><Relationship Id="rId86" Type="http://schemas.openxmlformats.org/officeDocument/2006/relationships/hyperlink" Target="https://www.cbssports.com/nfl/players/2247046/ben-skowronek/fantasy/" TargetMode="External"/><Relationship Id="rId151" Type="http://schemas.openxmlformats.org/officeDocument/2006/relationships/hyperlink" Target="https://www.cbssports.com/nfl/players/2071844/joshua-dobbs/fantasy/" TargetMode="External"/><Relationship Id="rId193" Type="http://schemas.openxmlformats.org/officeDocument/2006/relationships/hyperlink" Target="https://www.cbssports.com/nfl/players/2961719/javonte-williams/fantasy/" TargetMode="External"/><Relationship Id="rId207" Type="http://schemas.openxmlformats.org/officeDocument/2006/relationships/hyperlink" Target="https://www.cbssports.com/nfl/players/2001287/jamaal-williams/fantasy/" TargetMode="External"/><Relationship Id="rId249" Type="http://schemas.openxmlformats.org/officeDocument/2006/relationships/hyperlink" Target="https://www.cbssports.com/nfl/players/2131588/sony-michel/fantasy/" TargetMode="External"/><Relationship Id="rId13" Type="http://schemas.openxmlformats.org/officeDocument/2006/relationships/hyperlink" Target="https://www.cbssports.com/nfl/players/2809208/tee-higgins/fantasy/" TargetMode="External"/><Relationship Id="rId109" Type="http://schemas.openxmlformats.org/officeDocument/2006/relationships/hyperlink" Target="https://www.cbssports.com/nfl/players/2133482/deshaun-watson/fantasy/" TargetMode="External"/><Relationship Id="rId260" Type="http://schemas.openxmlformats.org/officeDocument/2006/relationships/hyperlink" Target="https://www.cbssports.com/nfl/players/2249831/travis-homer/fantasy/" TargetMode="External"/><Relationship Id="rId316" Type="http://schemas.openxmlformats.org/officeDocument/2006/relationships/hyperlink" Target="https://www.cbssports.com/nfl/players/2867522/colby-parkinson/fantasy/" TargetMode="External"/><Relationship Id="rId55" Type="http://schemas.openxmlformats.org/officeDocument/2006/relationships/hyperlink" Target="https://www.cbssports.com/nfl/players/2059362/adam-thielen/fantasy/" TargetMode="External"/><Relationship Id="rId97" Type="http://schemas.openxmlformats.org/officeDocument/2006/relationships/hyperlink" Target="https://www.cbssports.com/nfl/players/2965372/tutu-atwell/fantasy/" TargetMode="External"/><Relationship Id="rId120" Type="http://schemas.openxmlformats.org/officeDocument/2006/relationships/hyperlink" Target="https://www.cbssports.com/nfl/players/3161957/bryce-young/fantasy/" TargetMode="External"/><Relationship Id="rId358" Type="http://schemas.openxmlformats.org/officeDocument/2006/relationships/hyperlink" Target="https://www.cbssports.com/nfl/players/2001018/eric-saubert/fantasy/" TargetMode="External"/><Relationship Id="rId162" Type="http://schemas.openxmlformats.org/officeDocument/2006/relationships/hyperlink" Target="https://www.cbssports.com/nfl/players/2815170/jake-haener/fantasy/" TargetMode="External"/><Relationship Id="rId218" Type="http://schemas.openxmlformats.org/officeDocument/2006/relationships/hyperlink" Target="https://www.cbssports.com/nfl/players/3121395/roschon-johnson/fantasy/" TargetMode="External"/><Relationship Id="rId271" Type="http://schemas.openxmlformats.org/officeDocument/2006/relationships/hyperlink" Target="https://www.cbssports.com/nfl/players/2249805/brittain-brown/fantasy/" TargetMode="External"/><Relationship Id="rId24" Type="http://schemas.openxmlformats.org/officeDocument/2006/relationships/hyperlink" Target="https://www.cbssports.com/nfl/players/1824909/mike-evans/fantasy/" TargetMode="External"/><Relationship Id="rId66" Type="http://schemas.openxmlformats.org/officeDocument/2006/relationships/hyperlink" Target="https://www.cbssports.com/nfl/players/3124107/wandale-robinson/fantasy/" TargetMode="External"/><Relationship Id="rId131" Type="http://schemas.openxmlformats.org/officeDocument/2006/relationships/hyperlink" Target="https://www.cbssports.com/nfl/players/3123797/sam-howell/fantasy/" TargetMode="External"/><Relationship Id="rId327" Type="http://schemas.openxmlformats.org/officeDocument/2006/relationships/hyperlink" Target="https://www.cbssports.com/nfl/players/2082845/durham-smythe/fantasy/" TargetMode="External"/><Relationship Id="rId369" Type="http://schemas.openxmlformats.org/officeDocument/2006/relationships/hyperlink" Target="https://www.cbssports.com/nfl/players/2962073/will-mallory/fantasy/" TargetMode="External"/><Relationship Id="rId173" Type="http://schemas.openxmlformats.org/officeDocument/2006/relationships/hyperlink" Target="https://www.cbssports.com/nfl/players/2820090/austin-ekeler/fantasy/" TargetMode="External"/><Relationship Id="rId229" Type="http://schemas.openxmlformats.org/officeDocument/2006/relationships/hyperlink" Target="https://www.cbssports.com/nfl/players/3122588/tyjae-spears/fantasy/" TargetMode="External"/><Relationship Id="rId240" Type="http://schemas.openxmlformats.org/officeDocument/2006/relationships/hyperlink" Target="https://www.cbssports.com/nfl/players/2180329/ronald-jones/fantasy/" TargetMode="External"/><Relationship Id="rId35" Type="http://schemas.openxmlformats.org/officeDocument/2006/relationships/hyperlink" Target="https://www.cbssports.com/nfl/players/2967489/brandon-aiyuk/fantasy/" TargetMode="External"/><Relationship Id="rId77" Type="http://schemas.openxmlformats.org/officeDocument/2006/relationships/hyperlink" Target="https://www.cbssports.com/nfl/players/1754280/robert-woods/fantasy/" TargetMode="External"/><Relationship Id="rId100" Type="http://schemas.openxmlformats.org/officeDocument/2006/relationships/hyperlink" Target="https://www.cbssports.com/nfl/players/2969119/khalil-shakir/fantasy/" TargetMode="External"/><Relationship Id="rId282" Type="http://schemas.openxmlformats.org/officeDocument/2006/relationships/hyperlink" Target="https://www.cbssports.com/nfl/players/2961270/pat-freiermuth/fantasy/" TargetMode="External"/><Relationship Id="rId338" Type="http://schemas.openxmlformats.org/officeDocument/2006/relationships/hyperlink" Target="https://www.cbssports.com/nfl/players/1737101/blake-bell/fantasy/" TargetMode="External"/><Relationship Id="rId8" Type="http://schemas.openxmlformats.org/officeDocument/2006/relationships/hyperlink" Target="https://www.cbssports.com/nfl/players/2967690/amon-ra-st-brown/fantasy/" TargetMode="External"/><Relationship Id="rId142" Type="http://schemas.openxmlformats.org/officeDocument/2006/relationships/hyperlink" Target="https://www.cbssports.com/nfl/players/2818659/pj-walker/fantasy/" TargetMode="External"/><Relationship Id="rId184" Type="http://schemas.openxmlformats.org/officeDocument/2006/relationships/hyperlink" Target="https://www.cbssports.com/nfl/players/2131143/joe-mixon/fantasy/" TargetMode="External"/><Relationship Id="rId251" Type="http://schemas.openxmlformats.org/officeDocument/2006/relationships/hyperlink" Target="https://www.cbssports.com/nfl/players/1683145/kyle-juszczyk/fantasy/" TargetMode="External"/><Relationship Id="rId46" Type="http://schemas.openxmlformats.org/officeDocument/2006/relationships/hyperlink" Target="https://www.cbssports.com/nfl/players/2961886/romeo-doubs/fantasy/" TargetMode="External"/><Relationship Id="rId293" Type="http://schemas.openxmlformats.org/officeDocument/2006/relationships/hyperlink" Target="https://www.cbssports.com/nfl/players/2185053/hayden-hurst/fantasy/" TargetMode="External"/><Relationship Id="rId307" Type="http://schemas.openxmlformats.org/officeDocument/2006/relationships/hyperlink" Target="https://www.cbssports.com/nfl/players/2867159/jake-ferguson/fantasy/" TargetMode="External"/><Relationship Id="rId349" Type="http://schemas.openxmlformats.org/officeDocument/2006/relationships/hyperlink" Target="https://www.cbssports.com/nfl/players/2835170/dan-arnold/fantasy/" TargetMode="External"/><Relationship Id="rId88" Type="http://schemas.openxmlformats.org/officeDocument/2006/relationships/hyperlink" Target="https://www.cbssports.com/nfl/players/2868959/charlie-jones/fantasy/" TargetMode="External"/><Relationship Id="rId111" Type="http://schemas.openxmlformats.org/officeDocument/2006/relationships/hyperlink" Target="https://www.cbssports.com/nfl/players/1272242/russell-wilson/fantasy/" TargetMode="External"/><Relationship Id="rId153" Type="http://schemas.openxmlformats.org/officeDocument/2006/relationships/hyperlink" Target="https://www.cbssports.com/nfl/players/2221829/feleipe-franks/fantasy/" TargetMode="External"/><Relationship Id="rId195" Type="http://schemas.openxmlformats.org/officeDocument/2006/relationships/hyperlink" Target="https://www.cbssports.com/nfl/players/3121372/kenneth-walker-iii/fantasy/" TargetMode="External"/><Relationship Id="rId209" Type="http://schemas.openxmlformats.org/officeDocument/2006/relationships/hyperlink" Target="https://www.cbssports.com/nfl/players/2960976/antonio-gibson/fantasy/" TargetMode="External"/><Relationship Id="rId360" Type="http://schemas.openxmlformats.org/officeDocument/2006/relationships/hyperlink" Target="https://www.cbssports.com/nfl/players/2245117/albert-okwuegbunam/fantasy/" TargetMode="External"/><Relationship Id="rId220" Type="http://schemas.openxmlformats.org/officeDocument/2006/relationships/hyperlink" Target="https://www.cbssports.com/nfl/players/2241251/devin-singletary/fantasy/"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cbssports.com/nfl/teams/BUF/buffalo-bills/" TargetMode="External"/><Relationship Id="rId18" Type="http://schemas.openxmlformats.org/officeDocument/2006/relationships/hyperlink" Target="https://www.cbssports.com/nfl/teams/CLE/cleveland-browns/" TargetMode="External"/><Relationship Id="rId26" Type="http://schemas.openxmlformats.org/officeDocument/2006/relationships/hyperlink" Target="https://www.cbssports.com/nfl/teams/LAR/los-angeles-rams/" TargetMode="External"/><Relationship Id="rId3" Type="http://schemas.openxmlformats.org/officeDocument/2006/relationships/hyperlink" Target="https://www.cbssports.com/nfl/teams/NYJ/new-york-jets/" TargetMode="External"/><Relationship Id="rId21" Type="http://schemas.openxmlformats.org/officeDocument/2006/relationships/hyperlink" Target="https://www.cbssports.com/nfl/teams/DET/detroit-lions/" TargetMode="External"/><Relationship Id="rId34" Type="http://schemas.openxmlformats.org/officeDocument/2006/relationships/drawing" Target="../drawings/drawing3.xml"/><Relationship Id="rId7" Type="http://schemas.openxmlformats.org/officeDocument/2006/relationships/hyperlink" Target="https://www.cbssports.com/nfl/teams/KC/kansas-city-chiefs/" TargetMode="External"/><Relationship Id="rId12" Type="http://schemas.openxmlformats.org/officeDocument/2006/relationships/hyperlink" Target="https://www.cbssports.com/nfl/teams/CIN/cincinnati-bengals/" TargetMode="External"/><Relationship Id="rId17" Type="http://schemas.openxmlformats.org/officeDocument/2006/relationships/hyperlink" Target="https://www.cbssports.com/nfl/teams/CAR/carolina-panthers/" TargetMode="External"/><Relationship Id="rId25" Type="http://schemas.openxmlformats.org/officeDocument/2006/relationships/hyperlink" Target="https://www.cbssports.com/nfl/teams/TB/tampa-bay-buccaneers/" TargetMode="External"/><Relationship Id="rId33" Type="http://schemas.openxmlformats.org/officeDocument/2006/relationships/printerSettings" Target="../printerSettings/printerSettings3.bin"/><Relationship Id="rId2" Type="http://schemas.openxmlformats.org/officeDocument/2006/relationships/hyperlink" Target="https://www.cbssports.com/nfl/teams/NO/new-orleans-saints/" TargetMode="External"/><Relationship Id="rId16" Type="http://schemas.openxmlformats.org/officeDocument/2006/relationships/hyperlink" Target="https://www.cbssports.com/nfl/teams/TEN/tennessee-titans/" TargetMode="External"/><Relationship Id="rId20" Type="http://schemas.openxmlformats.org/officeDocument/2006/relationships/hyperlink" Target="https://www.cbssports.com/nfl/teams/SEA/seattle-seahawks/" TargetMode="External"/><Relationship Id="rId29" Type="http://schemas.openxmlformats.org/officeDocument/2006/relationships/hyperlink" Target="https://www.cbssports.com/nfl/teams/ARI/arizona-cardinals/" TargetMode="External"/><Relationship Id="rId1" Type="http://schemas.openxmlformats.org/officeDocument/2006/relationships/hyperlink" Target="https://www.cbssports.com/nfl/teams/PHI/philadelphia-eagles/" TargetMode="External"/><Relationship Id="rId6" Type="http://schemas.openxmlformats.org/officeDocument/2006/relationships/hyperlink" Target="https://www.cbssports.com/nfl/teams/BAL/baltimore-ravens/" TargetMode="External"/><Relationship Id="rId11" Type="http://schemas.openxmlformats.org/officeDocument/2006/relationships/hyperlink" Target="https://www.cbssports.com/nfl/teams/MIA/miami-dolphins/" TargetMode="External"/><Relationship Id="rId24" Type="http://schemas.openxmlformats.org/officeDocument/2006/relationships/hyperlink" Target="https://www.cbssports.com/nfl/teams/NYG/new-york-giants/" TargetMode="External"/><Relationship Id="rId32" Type="http://schemas.openxmlformats.org/officeDocument/2006/relationships/hyperlink" Target="https://www.cbssports.com/nfl/teams/LV/las-vegas-raiders/" TargetMode="External"/><Relationship Id="rId5" Type="http://schemas.openxmlformats.org/officeDocument/2006/relationships/hyperlink" Target="https://www.cbssports.com/nfl/teams/PIT/pittsburgh-steelers/" TargetMode="External"/><Relationship Id="rId15" Type="http://schemas.openxmlformats.org/officeDocument/2006/relationships/hyperlink" Target="https://www.cbssports.com/nfl/teams/DAL/dallas-cowboys/" TargetMode="External"/><Relationship Id="rId23" Type="http://schemas.openxmlformats.org/officeDocument/2006/relationships/hyperlink" Target="https://www.cbssports.com/nfl/teams/IND/indianapolis-colts/" TargetMode="External"/><Relationship Id="rId28" Type="http://schemas.openxmlformats.org/officeDocument/2006/relationships/hyperlink" Target="https://www.cbssports.com/nfl/teams/MIN/minnesota-vikings/" TargetMode="External"/><Relationship Id="rId10" Type="http://schemas.openxmlformats.org/officeDocument/2006/relationships/hyperlink" Target="https://www.cbssports.com/nfl/teams/JAC/jacksonville-jaguars/" TargetMode="External"/><Relationship Id="rId19" Type="http://schemas.openxmlformats.org/officeDocument/2006/relationships/hyperlink" Target="https://www.cbssports.com/nfl/teams/WAS/washington-commanders/" TargetMode="External"/><Relationship Id="rId31" Type="http://schemas.openxmlformats.org/officeDocument/2006/relationships/hyperlink" Target="https://www.cbssports.com/nfl/teams/CHI/chicago-bears/" TargetMode="External"/><Relationship Id="rId4" Type="http://schemas.openxmlformats.org/officeDocument/2006/relationships/hyperlink" Target="https://www.cbssports.com/nfl/teams/NE/new-england-patriots/" TargetMode="External"/><Relationship Id="rId9" Type="http://schemas.openxmlformats.org/officeDocument/2006/relationships/hyperlink" Target="https://www.cbssports.com/nfl/teams/SF/san-francisco-49ers/" TargetMode="External"/><Relationship Id="rId14" Type="http://schemas.openxmlformats.org/officeDocument/2006/relationships/hyperlink" Target="https://www.cbssports.com/nfl/teams/GB/green-bay-packers/" TargetMode="External"/><Relationship Id="rId22" Type="http://schemas.openxmlformats.org/officeDocument/2006/relationships/hyperlink" Target="https://www.cbssports.com/nfl/teams/LAC/los-angeles-chargers/" TargetMode="External"/><Relationship Id="rId27" Type="http://schemas.openxmlformats.org/officeDocument/2006/relationships/hyperlink" Target="https://www.cbssports.com/nfl/teams/DEN/denver-broncos/" TargetMode="External"/><Relationship Id="rId30" Type="http://schemas.openxmlformats.org/officeDocument/2006/relationships/hyperlink" Target="https://www.cbssports.com/nfl/teams/ATL/atlanta-falcons/" TargetMode="External"/><Relationship Id="rId8" Type="http://schemas.openxmlformats.org/officeDocument/2006/relationships/hyperlink" Target="https://www.cbssports.com/nfl/teams/HOU/houston-texans/"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www.cbssports.com/nfl/players/2131909/jason-sanders/fantasy/" TargetMode="External"/><Relationship Id="rId18" Type="http://schemas.openxmlformats.org/officeDocument/2006/relationships/hyperlink" Target="https://www.cbssports.com/nfl/players/2132690/cairo-santos/fantasy/" TargetMode="External"/><Relationship Id="rId26" Type="http://schemas.openxmlformats.org/officeDocument/2006/relationships/hyperlink" Target="https://www.cbssports.com/nfl/players/2866578/anders-carlson/fantasy/" TargetMode="External"/><Relationship Id="rId3" Type="http://schemas.openxmlformats.org/officeDocument/2006/relationships/hyperlink" Target="https://www.cbssports.com/nfl/players/2820093/younghoe-koo/fantasy/" TargetMode="External"/><Relationship Id="rId21" Type="http://schemas.openxmlformats.org/officeDocument/2006/relationships/hyperlink" Target="https://www.cbssports.com/nfl/players/2925140/mike-badgley/fantasy/" TargetMode="External"/><Relationship Id="rId34" Type="http://schemas.openxmlformats.org/officeDocument/2006/relationships/printerSettings" Target="../printerSettings/printerSettings4.bin"/><Relationship Id="rId7" Type="http://schemas.openxmlformats.org/officeDocument/2006/relationships/hyperlink" Target="https://www.cbssports.com/nfl/players/2962681/evan-mcpherson/fantasy/" TargetMode="External"/><Relationship Id="rId12" Type="http://schemas.openxmlformats.org/officeDocument/2006/relationships/hyperlink" Target="https://www.cbssports.com/nfl/players/2926810/greg-joseph/fantasy/" TargetMode="External"/><Relationship Id="rId17" Type="http://schemas.openxmlformats.org/officeDocument/2006/relationships/hyperlink" Target="https://www.cbssports.com/nfl/players/1724930/chris-boswell/fantasy/" TargetMode="External"/><Relationship Id="rId25" Type="http://schemas.openxmlformats.org/officeDocument/2006/relationships/hyperlink" Target="https://www.cbssports.com/nfl/players/3121034/cade-york/fantasy/" TargetMode="External"/><Relationship Id="rId33" Type="http://schemas.openxmlformats.org/officeDocument/2006/relationships/hyperlink" Target="https://www.cbssports.com/nfl/players/2078888/harrison-butker/fantasy/" TargetMode="External"/><Relationship Id="rId2" Type="http://schemas.openxmlformats.org/officeDocument/2006/relationships/hyperlink" Target="https://www.cbssports.com/nfl/players/1664151/dustin-hopkins/fantasy/" TargetMode="External"/><Relationship Id="rId16" Type="http://schemas.openxmlformats.org/officeDocument/2006/relationships/hyperlink" Target="https://www.cbssports.com/nfl/players/558839/graham-gano/fantasy/" TargetMode="External"/><Relationship Id="rId20" Type="http://schemas.openxmlformats.org/officeDocument/2006/relationships/hyperlink" Target="https://www.cbssports.com/nfl/players/1996562/kaimi-fairbairn/fantasy/" TargetMode="External"/><Relationship Id="rId29" Type="http://schemas.openxmlformats.org/officeDocument/2006/relationships/hyperlink" Target="https://www.cbssports.com/nfl/players/2251107/caleb-shudak/fantasy/" TargetMode="External"/><Relationship Id="rId1" Type="http://schemas.openxmlformats.org/officeDocument/2006/relationships/hyperlink" Target="https://www.cbssports.com/nfl/players/1985374/justin-tucker/fantasy/" TargetMode="External"/><Relationship Id="rId6" Type="http://schemas.openxmlformats.org/officeDocument/2006/relationships/hyperlink" Target="https://www.cbssports.com/nfl/players/2968527/jake-moody/fantasy/" TargetMode="External"/><Relationship Id="rId11" Type="http://schemas.openxmlformats.org/officeDocument/2006/relationships/hyperlink" Target="https://www.cbssports.com/nfl/players/2169640/jason-myers/fantasy/" TargetMode="External"/><Relationship Id="rId24" Type="http://schemas.openxmlformats.org/officeDocument/2006/relationships/hyperlink" Target="https://www.cbssports.com/nfl/players/3167644/tanner-brown/fantasy/" TargetMode="External"/><Relationship Id="rId32" Type="http://schemas.openxmlformats.org/officeDocument/2006/relationships/hyperlink" Target="https://www.cbssports.com/nfl/players/2058320/brandon-mcmanus/fantasy/" TargetMode="External"/><Relationship Id="rId5" Type="http://schemas.openxmlformats.org/officeDocument/2006/relationships/hyperlink" Target="https://www.cbssports.com/nfl/players/2188356/tyler-bass/fantasy/" TargetMode="External"/><Relationship Id="rId15" Type="http://schemas.openxmlformats.org/officeDocument/2006/relationships/hyperlink" Target="https://www.cbssports.com/nfl/players/3103638/tristan-vizcaino/fantasy/" TargetMode="External"/><Relationship Id="rId23" Type="http://schemas.openxmlformats.org/officeDocument/2006/relationships/hyperlink" Target="https://www.cbssports.com/nfl/players/2964074/chad-ryland/fantasy/" TargetMode="External"/><Relationship Id="rId28" Type="http://schemas.openxmlformats.org/officeDocument/2006/relationships/hyperlink" Target="https://www.cbssports.com/nfl/players/2165272/chase-mclaughlin/fantasy/" TargetMode="External"/><Relationship Id="rId10" Type="http://schemas.openxmlformats.org/officeDocument/2006/relationships/hyperlink" Target="https://www.cbssports.com/nfl/players/1971893/greg-zuerlein/fantasy/" TargetMode="External"/><Relationship Id="rId19" Type="http://schemas.openxmlformats.org/officeDocument/2006/relationships/hyperlink" Target="https://www.cbssports.com/nfl/players/2870511/matt-gay/fantasy/" TargetMode="External"/><Relationship Id="rId31" Type="http://schemas.openxmlformats.org/officeDocument/2006/relationships/hyperlink" Target="https://www.cbssports.com/nfl/players/2079797/elliott-fry/fantasy/" TargetMode="External"/><Relationship Id="rId4" Type="http://schemas.openxmlformats.org/officeDocument/2006/relationships/hyperlink" Target="https://www.cbssports.com/nfl/players/2080295/jake-elliott/fantasy/" TargetMode="External"/><Relationship Id="rId9" Type="http://schemas.openxmlformats.org/officeDocument/2006/relationships/hyperlink" Target="https://www.cbssports.com/nfl/players/2865368/riley-patterson/fantasy/" TargetMode="External"/><Relationship Id="rId14" Type="http://schemas.openxmlformats.org/officeDocument/2006/relationships/hyperlink" Target="https://www.cbssports.com/nfl/players/2221833/eddy-pineiro/fantasy/" TargetMode="External"/><Relationship Id="rId22" Type="http://schemas.openxmlformats.org/officeDocument/2006/relationships/hyperlink" Target="https://www.cbssports.com/nfl/players/2008545/wil-lutz/fantasy/" TargetMode="External"/><Relationship Id="rId27" Type="http://schemas.openxmlformats.org/officeDocument/2006/relationships/hyperlink" Target="https://www.cbssports.com/nfl/players/1109832/matt-prater/fantasy/" TargetMode="External"/><Relationship Id="rId30" Type="http://schemas.openxmlformats.org/officeDocument/2006/relationships/hyperlink" Target="https://www.cbssports.com/nfl/players/1630817/brett-maher/fantasy/" TargetMode="External"/><Relationship Id="rId35" Type="http://schemas.openxmlformats.org/officeDocument/2006/relationships/drawing" Target="../drawings/drawing4.xml"/><Relationship Id="rId8" Type="http://schemas.openxmlformats.org/officeDocument/2006/relationships/hyperlink" Target="https://www.cbssports.com/nfl/players/2079862/daniel-carlson/fantasy/"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youtube.com/watch?v=jbNdQLVJZtY"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linkedin.com/sharing/share-offsite/?url=https://www.fmworldcup.com/microsoft-excel-collegiate-challenge/" TargetMode="External"/></Relationships>
</file>

<file path=xl/worksheets/sheet1.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0866A4F-8D2D-4B6B-A761-2F9C86D09908}" mc:Ignorable="x14ac xr xr2 xr3">
  <x:sheetPr codeName="Sheet1"/>
  <x:dimension ref="A1:J63"/>
  <x:sheetViews>
    <x:sheetView tabSelected="1" zoomScale="115" zoomScaleNormal="115" workbookViewId="0">
      <x:selection activeCell="C40" sqref="C40"/>
    </x:sheetView>
  </x:sheetViews>
  <x:sheetFormatPr defaultColWidth="0" defaultRowHeight="14.5" zeroHeight="1"/>
  <x:cols>
    <x:col min="1" max="1" width="6.08984375" style="22" customWidth="1"/>
    <x:col min="2" max="3" width="25.6328125" style="22" customWidth="1"/>
    <x:col min="4" max="4" width="6" style="22" customWidth="1"/>
    <x:col min="5" max="6" width="25.6328125" style="22" customWidth="1"/>
    <x:col min="7" max="7" width="8.81640625" style="22" customWidth="1"/>
    <x:col min="8" max="16384" width="8.81640625" style="22" hidden="1"/>
  </x:cols>
  <x:sheetData>
    <x:row r="1" spans="1:10" ht="15" thickBot="1">
      <x:c r="A1" s="21"/>
      <x:c r="B1" s="21"/>
      <x:c r="C1" s="21"/>
      <x:c r="D1" s="21"/>
      <x:c r="E1" s="21"/>
      <x:c r="F1" s="21"/>
      <x:c r="G1" s="21"/>
    </x:row>
    <x:row r="2" spans="1:10" ht="31.5" thickBot="1">
      <x:c r="A2" s="21"/>
      <x:c r="B2" s="121" t="s">
        <x:v>123</x:v>
      </x:c>
      <x:c r="C2" s="122"/>
      <x:c r="D2" s="122"/>
      <x:c r="E2" s="122"/>
      <x:c r="F2" s="123"/>
      <x:c r="G2" s="21"/>
      <x:c r="H2" s="43"/>
      <x:c r="I2" s="43"/>
      <x:c r="J2" s="43"/>
    </x:row>
    <x:row r="3" spans="1:10">
      <x:c r="A3" s="21"/>
      <x:c r="B3" s="124"/>
      <x:c r="C3" s="124"/>
      <x:c r="D3" s="124"/>
      <x:c r="E3" s="124"/>
      <x:c r="F3" s="124"/>
      <x:c r="G3" s="21"/>
    </x:row>
    <x:row r="4" spans="1:10">
      <x:c r="A4" s="21"/>
      <x:c r="B4" s="124"/>
      <x:c r="C4" s="124"/>
      <x:c r="D4" s="124"/>
      <x:c r="E4" s="124"/>
      <x:c r="F4" s="124"/>
      <x:c r="G4" s="21"/>
    </x:row>
    <x:row r="5" spans="1:10">
      <x:c r="A5" s="21"/>
      <x:c r="B5" s="124"/>
      <x:c r="C5" s="124"/>
      <x:c r="D5" s="124"/>
      <x:c r="E5" s="124"/>
      <x:c r="F5" s="124"/>
      <x:c r="G5" s="21"/>
    </x:row>
    <x:row r="6" spans="1:10">
      <x:c r="A6" s="21"/>
      <x:c r="B6" s="124"/>
      <x:c r="C6" s="124"/>
      <x:c r="D6" s="124"/>
      <x:c r="E6" s="124"/>
      <x:c r="F6" s="124"/>
      <x:c r="G6" s="21"/>
    </x:row>
    <x:row r="7" spans="1:10">
      <x:c r="A7" s="21"/>
      <x:c r="B7" s="124"/>
      <x:c r="C7" s="124"/>
      <x:c r="D7" s="124"/>
      <x:c r="E7" s="124"/>
      <x:c r="F7" s="124"/>
      <x:c r="G7" s="21"/>
    </x:row>
    <x:row r="8" spans="1:10" ht="15" thickBot="1">
      <x:c r="A8" s="21"/>
      <x:c r="B8" s="124"/>
      <x:c r="C8" s="124"/>
      <x:c r="D8" s="124"/>
      <x:c r="E8" s="124"/>
      <x:c r="F8" s="124"/>
      <x:c r="G8" s="21"/>
    </x:row>
    <x:row r="9" spans="1:10" ht="23" thickBot="1">
      <x:c r="A9" s="21"/>
      <x:c r="B9" s="125" t="str">
        <x:f>FileName</x:f>
        <x:v>Cleaning Up Fantasy Football</x:v>
      </x:c>
      <x:c r="C9" s="126"/>
      <x:c r="D9" s="126"/>
      <x:c r="E9" s="126"/>
      <x:c r="F9" s="127"/>
      <x:c r="G9" s="21"/>
    </x:row>
    <x:row r="10" spans="1:10" ht="15" thickBot="1">
      <x:c r="A10" s="21"/>
      <x:c r="B10" s="21"/>
      <x:c r="C10" s="21"/>
      <x:c r="D10" s="21"/>
      <x:c r="E10" s="21"/>
      <x:c r="F10" s="21"/>
      <x:c r="G10" s="21"/>
    </x:row>
    <x:row r="11" spans="1:10" ht="22.5">
      <x:c r="A11" s="21"/>
      <x:c r="B11" s="128" t="s">
        <x:v>126</x:v>
      </x:c>
      <x:c r="C11" s="129"/>
      <x:c r="D11" s="130"/>
      <x:c r="E11" s="128" t="s">
        <x:v>127</x:v>
      </x:c>
      <x:c r="F11" s="129"/>
      <x:c r="G11" s="21"/>
    </x:row>
    <x:row r="12" spans="1:10" ht="19" thickBot="1">
      <x:c r="A12" s="21"/>
      <x:c r="B12" s="131" t="s">
        <x:v>124</x:v>
      </x:c>
      <x:c r="C12" s="132"/>
      <x:c r="D12" s="130"/>
      <x:c r="E12" s="133" t="s">
        <x:v>836</x:v>
      </x:c>
      <x:c r="F12" s="132"/>
      <x:c r="G12" s="21"/>
    </x:row>
    <x:row r="13" spans="1:10" hidden="1">
      <x:c r="A13" s="21"/>
      <x:c r="B13" s="21"/>
      <x:c r="C13" s="21"/>
      <x:c r="D13" s="21"/>
      <x:c r="E13" s="21"/>
      <x:c r="F13" s="21"/>
      <x:c r="G13" s="21"/>
    </x:row>
    <x:row r="14" spans="1:10" ht="23" hidden="1" thickBot="1">
      <x:c r="A14" s="21"/>
      <x:c r="B14" s="125" t="s">
        <x:v>526</x:v>
      </x:c>
      <x:c r="C14" s="126"/>
      <x:c r="D14" s="126"/>
      <x:c r="E14" s="126"/>
      <x:c r="F14" s="127"/>
      <x:c r="G14" s="21"/>
    </x:row>
    <x:row r="15" spans="1:10" hidden="1">
      <x:c r="A15" s="21"/>
      <x:c r="B15" s="21"/>
      <x:c r="C15" s="21"/>
      <x:c r="D15" s="21"/>
      <x:c r="E15" s="21"/>
      <x:c r="F15" s="21"/>
      <x:c r="G15" s="21"/>
    </x:row>
    <x:row r="16" spans="1:10" hidden="1">
      <x:c r="A16" s="134"/>
      <x:c r="B16" s="21"/>
      <x:c r="C16" s="21"/>
      <x:c r="D16" s="21"/>
      <x:c r="E16" s="21"/>
      <x:c r="F16" s="21"/>
      <x:c r="G16" s="21"/>
    </x:row>
    <x:row r="17" spans="1:7" hidden="1">
      <x:c r="A17" s="134"/>
      <x:c r="B17" s="21"/>
      <x:c r="C17" s="21"/>
      <x:c r="D17" s="21"/>
      <x:c r="E17" s="21"/>
      <x:c r="F17" s="21"/>
      <x:c r="G17" s="21"/>
    </x:row>
    <x:row r="18" spans="1:7" hidden="1">
      <x:c r="A18" s="134"/>
      <x:c r="B18" s="21"/>
      <x:c r="C18" s="21"/>
      <x:c r="D18" s="21"/>
      <x:c r="E18" s="21"/>
      <x:c r="F18" s="21"/>
      <x:c r="G18" s="21"/>
    </x:row>
    <x:row r="19" spans="1:7" hidden="1">
      <x:c r="A19" s="134"/>
      <x:c r="B19" s="21"/>
      <x:c r="C19" s="21"/>
      <x:c r="D19" s="21"/>
      <x:c r="E19" s="21"/>
      <x:c r="F19" s="21"/>
      <x:c r="G19" s="21"/>
    </x:row>
    <x:row r="20" spans="1:7" hidden="1">
      <x:c r="A20" s="134"/>
      <x:c r="B20" s="21"/>
      <x:c r="C20" s="21"/>
      <x:c r="D20" s="21"/>
      <x:c r="E20" s="21"/>
      <x:c r="F20" s="21"/>
      <x:c r="G20" s="21"/>
    </x:row>
    <x:row r="21" spans="1:7" hidden="1">
      <x:c r="A21" s="134"/>
      <x:c r="B21" s="21"/>
      <x:c r="C21" s="21"/>
      <x:c r="D21" s="21"/>
      <x:c r="E21" s="21"/>
      <x:c r="F21" s="21"/>
      <x:c r="G21" s="21"/>
    </x:row>
    <x:row r="22" spans="1:7" hidden="1">
      <x:c r="A22" s="21"/>
      <x:c r="B22" s="135"/>
      <x:c r="C22" s="135"/>
      <x:c r="D22" s="135"/>
      <x:c r="E22" s="135"/>
      <x:c r="F22" s="135"/>
      <x:c r="G22" s="21"/>
    </x:row>
    <x:row r="23" spans="1:7" ht="15" hidden="1" thickBot="1">
      <x:c r="A23" s="21"/>
      <x:c r="B23" s="35"/>
      <x:c r="C23" s="35"/>
      <x:c r="D23" s="35"/>
      <x:c r="E23" s="35"/>
      <x:c r="F23" s="35"/>
      <x:c r="G23" s="21"/>
    </x:row>
    <x:row r="24" spans="1:7" ht="22.5" hidden="1">
      <x:c r="A24" s="21"/>
      <x:c r="B24" s="128" t="s">
        <x:v>127</x:v>
      </x:c>
      <x:c r="C24" s="136"/>
      <x:c r="D24" s="136"/>
      <x:c r="E24" s="136"/>
      <x:c r="F24" s="129"/>
      <x:c r="G24" s="21"/>
    </x:row>
    <x:row r="25" spans="1:7" ht="19" hidden="1" thickBot="1">
      <x:c r="A25" s="21"/>
      <x:c r="B25" s="131" t="s">
        <x:v>128</x:v>
      </x:c>
      <x:c r="C25" s="137"/>
      <x:c r="D25" s="137"/>
      <x:c r="E25" s="137"/>
      <x:c r="F25" s="132"/>
      <x:c r="G25" s="21"/>
    </x:row>
    <x:row r="26" spans="1:7" ht="15" thickBot="1">
      <x:c r="A26" s="21"/>
      <x:c r="B26" s="21"/>
      <x:c r="C26" s="21"/>
      <x:c r="D26" s="21"/>
      <x:c r="E26" s="21"/>
      <x:c r="F26" s="21"/>
      <x:c r="G26" s="21"/>
    </x:row>
    <x:row r="27" spans="1:7" ht="23" thickBot="1">
      <x:c r="A27" s="21"/>
      <x:c r="B27" s="125" t="s">
        <x:v>125</x:v>
      </x:c>
      <x:c r="C27" s="126"/>
      <x:c r="D27" s="126"/>
      <x:c r="E27" s="126"/>
      <x:c r="F27" s="127"/>
      <x:c r="G27" s="21"/>
    </x:row>
    <x:row r="28" spans="1:7">
      <x:c r="A28" s="21"/>
      <x:c r="B28" s="21"/>
      <x:c r="C28" s="21"/>
      <x:c r="D28" s="21"/>
      <x:c r="E28" s="21"/>
      <x:c r="F28" s="21"/>
      <x:c r="G28" s="21"/>
    </x:row>
    <x:row r="29" spans="1:7">
      <x:c r="A29" s="134">
        <x:v>1</x:v>
      </x:c>
      <x:c r="B29" s="21" t="s">
        <x:v>522</x:v>
      </x:c>
      <x:c r="C29" s="21"/>
      <x:c r="D29" s="21"/>
      <x:c r="E29" s="21"/>
      <x:c r="F29" s="21"/>
      <x:c r="G29" s="21"/>
    </x:row>
    <x:row r="30" spans="1:7">
      <x:c r="A30" s="134">
        <x:v>2</x:v>
      </x:c>
      <x:c r="B30" s="21" t="s">
        <x:v>524</x:v>
      </x:c>
      <x:c r="C30" s="21"/>
      <x:c r="D30" s="21"/>
      <x:c r="E30" s="21"/>
      <x:c r="F30" s="21"/>
      <x:c r="G30" s="21"/>
    </x:row>
    <x:row r="31" spans="1:7">
      <x:c r="A31" s="134">
        <x:v>3</x:v>
      </x:c>
      <x:c r="B31" s="21" t="s">
        <x:v>837</x:v>
      </x:c>
      <x:c r="C31" s="21"/>
      <x:c r="D31" s="21"/>
      <x:c r="E31" s="21"/>
      <x:c r="F31" s="21"/>
      <x:c r="G31" s="21"/>
    </x:row>
    <x:row r="32" spans="1:7">
      <x:c r="A32" s="134">
        <x:v>4</x:v>
      </x:c>
      <x:c r="B32" s="21" t="s">
        <x:v>523</x:v>
      </x:c>
      <x:c r="C32" s="21"/>
      <x:c r="D32" s="21"/>
      <x:c r="E32" s="21"/>
      <x:c r="F32" s="21"/>
      <x:c r="G32" s="21"/>
    </x:row>
    <x:row r="33" spans="1:7">
      <x:c r="A33" s="134">
        <x:v>5</x:v>
      </x:c>
      <x:c r="B33" s="21" t="s">
        <x:v>525</x:v>
      </x:c>
      <x:c r="C33" s="21"/>
      <x:c r="D33" s="21"/>
      <x:c r="E33" s="21"/>
      <x:c r="F33" s="21"/>
      <x:c r="G33" s="21"/>
    </x:row>
    <x:row r="34" spans="1:7">
      <x:c r="A34" s="134">
        <x:v>6</x:v>
      </x:c>
      <x:c r="B34" s="21" t="s">
        <x:v>527</x:v>
      </x:c>
      <x:c r="C34" s="21"/>
      <x:c r="D34" s="21"/>
      <x:c r="E34" s="21"/>
      <x:c r="F34" s="21"/>
      <x:c r="G34" s="21"/>
    </x:row>
    <x:row r="35" spans="1:7">
      <x:c r="A35" s="21"/>
      <x:c r="B35" s="21" t="s">
        <x:v>528</x:v>
      </x:c>
      <x:c r="C35" s="21"/>
      <x:c r="D35" s="21"/>
      <x:c r="E35" s="21"/>
      <x:c r="F35" s="21"/>
      <x:c r="G35" s="21"/>
    </x:row>
    <x:row r="36" spans="1:7">
      <x:c r="A36" s="21"/>
      <x:c r="B36" s="21"/>
      <x:c r="C36" s="21"/>
      <x:c r="D36" s="21"/>
      <x:c r="E36" s="21"/>
      <x:c r="F36" s="21"/>
      <x:c r="G36" s="21"/>
    </x:row>
    <x:row r="37" spans="1:7">
      <x:c r="A37" s="21"/>
      <x:c r="B37" s="21"/>
      <x:c r="C37" s="21"/>
      <x:c r="D37" s="21"/>
      <x:c r="E37" s="21"/>
      <x:c r="F37" s="21"/>
      <x:c r="G37" s="21"/>
    </x:row>
    <x:row r="38" spans="1:7">
      <x:c r="A38" s="21"/>
      <x:c r="B38" s="21"/>
      <x:c r="C38" s="21"/>
      <x:c r="D38" s="21"/>
      <x:c r="E38" s="21"/>
      <x:c r="F38" s="21"/>
      <x:c r="G38" s="21"/>
    </x:row>
    <x:row r="39" spans="1:7">
      <x:c r="A39" s="21"/>
      <x:c r="B39" s="21"/>
      <x:c r="C39" s="21"/>
      <x:c r="D39" s="21"/>
      <x:c r="E39" s="21"/>
      <x:c r="F39" s="21"/>
      <x:c r="G39" s="21"/>
    </x:row>
    <x:row r="40" spans="1:7">
      <x:c r="A40" s="21"/>
      <x:c r="B40" s="21"/>
      <x:c r="C40" s="21"/>
      <x:c r="D40" s="21"/>
      <x:c r="E40" s="21"/>
      <x:c r="F40" s="21"/>
      <x:c r="G40" s="21"/>
    </x:row>
    <x:row r="41" spans="1:7">
      <x:c r="A41" s="21"/>
      <x:c r="B41" s="21"/>
      <x:c r="C41" s="21"/>
      <x:c r="D41" s="21"/>
      <x:c r="E41" s="21"/>
      <x:c r="F41" s="21"/>
      <x:c r="G41" s="21"/>
    </x:row>
    <x:row r="42" spans="1:7">
      <x:c r="A42" s="21"/>
      <x:c r="B42" s="21"/>
      <x:c r="C42" s="21"/>
      <x:c r="D42" s="21"/>
      <x:c r="E42" s="21"/>
      <x:c r="F42" s="21"/>
      <x:c r="G42" s="21"/>
    </x:row>
    <x:row r="43" spans="1:7">
      <x:c r="A43" s="21"/>
      <x:c r="B43" s="21"/>
      <x:c r="C43" s="21"/>
      <x:c r="D43" s="21"/>
      <x:c r="E43" s="21"/>
      <x:c r="F43" s="21"/>
      <x:c r="G43" s="21"/>
    </x:row>
    <x:row r="44" spans="1:7">
      <x:c r="A44" s="21"/>
      <x:c r="B44" s="21"/>
      <x:c r="C44" s="21"/>
      <x:c r="D44" s="21"/>
      <x:c r="E44" s="21"/>
      <x:c r="F44" s="21"/>
      <x:c r="G44" s="21"/>
    </x:row>
    <x:row r="45" spans="1:7">
      <x:c r="A45" s="21"/>
      <x:c r="B45" s="21"/>
      <x:c r="C45" s="21"/>
      <x:c r="D45" s="21"/>
      <x:c r="E45" s="21"/>
      <x:c r="F45" s="21"/>
      <x:c r="G45" s="21"/>
    </x:row>
    <x:row r="46" spans="1:7">
      <x:c r="A46" s="21"/>
      <x:c r="B46" s="21"/>
      <x:c r="C46" s="21"/>
      <x:c r="D46" s="21"/>
      <x:c r="E46" s="21"/>
      <x:c r="F46" s="21"/>
      <x:c r="G46" s="21"/>
    </x:row>
    <x:row r="47" spans="1:7">
      <x:c r="A47" s="21"/>
      <x:c r="B47" s="21"/>
      <x:c r="C47" s="21"/>
      <x:c r="D47" s="21"/>
      <x:c r="E47" s="21"/>
      <x:c r="F47" s="21"/>
      <x:c r="G47" s="21"/>
    </x:row>
    <x:row r="48" spans="1:7">
      <x:c r="A48" s="21"/>
      <x:c r="B48" s="21"/>
      <x:c r="C48" s="21"/>
      <x:c r="D48" s="21"/>
      <x:c r="E48" s="21"/>
      <x:c r="F48" s="21"/>
      <x:c r="G48" s="21"/>
    </x:row>
    <x:row r="49" spans="1:7">
      <x:c r="A49" s="21"/>
      <x:c r="B49" s="21"/>
      <x:c r="C49" s="21"/>
      <x:c r="D49" s="21"/>
      <x:c r="E49" s="21"/>
      <x:c r="F49" s="21"/>
      <x:c r="G49" s="21"/>
    </x:row>
    <x:row r="50" spans="1:7">
      <x:c r="A50" s="21"/>
      <x:c r="B50" s="21"/>
      <x:c r="C50" s="21"/>
      <x:c r="D50" s="21"/>
      <x:c r="E50" s="21"/>
      <x:c r="F50" s="21"/>
      <x:c r="G50" s="21"/>
    </x:row>
    <x:row r="51" spans="1:7">
      <x:c r="A51" s="21"/>
      <x:c r="B51" s="21"/>
      <x:c r="C51" s="21"/>
      <x:c r="D51" s="21"/>
      <x:c r="E51" s="21"/>
      <x:c r="F51" s="21"/>
      <x:c r="G51" s="21"/>
    </x:row>
    <x:row r="52" spans="1:7">
      <x:c r="A52" s="21"/>
      <x:c r="B52" s="21"/>
      <x:c r="C52" s="21"/>
      <x:c r="D52" s="21"/>
      <x:c r="E52" s="21"/>
      <x:c r="F52" s="21"/>
      <x:c r="G52" s="21"/>
    </x:row>
    <x:row r="53" spans="1:7">
      <x:c r="A53" s="21"/>
      <x:c r="B53" s="21"/>
      <x:c r="C53" s="21"/>
      <x:c r="D53" s="21"/>
      <x:c r="E53" s="21"/>
      <x:c r="F53" s="21"/>
      <x:c r="G53" s="21"/>
    </x:row>
    <x:row r="54" spans="1:7">
      <x:c r="A54" s="21"/>
      <x:c r="B54" s="21"/>
      <x:c r="C54" s="21"/>
      <x:c r="D54" s="21"/>
      <x:c r="E54" s="21"/>
      <x:c r="F54" s="21"/>
      <x:c r="G54" s="21"/>
    </x:row>
    <x:row r="55" spans="1:7">
      <x:c r="A55" s="21"/>
      <x:c r="B55" s="21"/>
      <x:c r="C55" s="21"/>
      <x:c r="D55" s="21"/>
      <x:c r="E55" s="21"/>
      <x:c r="F55" s="21"/>
      <x:c r="G55" s="21"/>
    </x:row>
    <x:row r="56" spans="1:7">
      <x:c r="A56" s="21"/>
      <x:c r="B56" s="21"/>
      <x:c r="C56" s="21"/>
      <x:c r="D56" s="21"/>
      <x:c r="E56" s="21"/>
      <x:c r="F56" s="21"/>
      <x:c r="G56" s="21"/>
    </x:row>
    <x:row r="57" spans="1:7">
      <x:c r="A57" s="21"/>
      <x:c r="B57" s="21"/>
      <x:c r="C57" s="21"/>
      <x:c r="D57" s="21"/>
      <x:c r="E57" s="21"/>
      <x:c r="F57" s="21"/>
      <x:c r="G57" s="21"/>
    </x:row>
    <x:row r="58" spans="1:7">
      <x:c r="A58" s="21"/>
      <x:c r="B58" s="21"/>
      <x:c r="C58" s="21"/>
      <x:c r="D58" s="21"/>
      <x:c r="E58" s="21"/>
      <x:c r="F58" s="21"/>
      <x:c r="G58" s="21"/>
    </x:row>
    <x:row r="59" spans="1:7">
      <x:c r="A59" s="21"/>
      <x:c r="B59" s="21"/>
      <x:c r="C59" s="21"/>
      <x:c r="D59" s="21"/>
      <x:c r="E59" s="21"/>
      <x:c r="F59" s="21"/>
      <x:c r="G59" s="21"/>
    </x:row>
    <x:row r="60" spans="1:7">
      <x:c r="A60" s="21"/>
      <x:c r="B60" s="21"/>
      <x:c r="C60" s="21"/>
      <x:c r="D60" s="21"/>
      <x:c r="E60" s="21"/>
      <x:c r="F60" s="21"/>
      <x:c r="G60" s="21"/>
    </x:row>
    <x:row r="61" spans="1:7">
      <x:c r="A61" s="21"/>
      <x:c r="B61" s="21"/>
      <x:c r="C61" s="21"/>
      <x:c r="D61" s="21"/>
      <x:c r="E61" s="21"/>
      <x:c r="F61" s="21"/>
      <x:c r="G61" s="21"/>
    </x:row>
    <x:row r="62" spans="1:7">
      <x:c r="A62" s="21"/>
      <x:c r="B62" s="21"/>
      <x:c r="C62" s="21"/>
      <x:c r="D62" s="21"/>
      <x:c r="E62" s="21"/>
      <x:c r="F62" s="21"/>
      <x:c r="G62" s="21"/>
    </x:row>
    <x:row r="63" spans="1:7">
      <x:c r="A63" s="21"/>
      <x:c r="B63" s="21"/>
      <x:c r="C63" s="21"/>
      <x:c r="D63" s="21"/>
      <x:c r="E63" s="21"/>
      <x:c r="F63" s="21"/>
      <x:c r="G63" s="21"/>
    </x:row>
    <x:row r="1000">
      <x:c r="XX1000" s="142" t="n">
        <x:v>125713</x:v>
      </x:c>
    </x:row>
  </x:sheetData>
  <x:sheetProtection algorithmName="SHA-512" hashValue="28+37oQ3fc+bnjXOysxel9N5bhfptnJ1VycC40Xfh4eIW8OLY/iPWj++EeP6KjAuqNhox/FFSlfskT0kAKRFzw==" saltValue="79VwY1SfehEc/Gz+RF7+yw==" spinCount="100000" sheet="1" objects="1" scenarios="1"/>
  <x:hyperlinks>
    <x:hyperlink ref="E12" r:id="rId1" xr:uid="{97F04139-B3CE-4BCB-8B83-0D827B9DB4D0}"/>
  </x:hyperlinks>
  <x:pageMargins left="0.7" right="0.7" top="0.75" bottom="0.75" header="0.3" footer="0.3"/>
  <x:pageSetup orientation="portrait" r:id="rId2"/>
  <x:drawing r:id="rId3"/>
</x:worksheet>
</file>

<file path=xl/worksheets/sheet2.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FEC8BA2-C27B-4C38-8227-3E8D83D3B7B0}" mc:Ignorable="x14ac xr xr2 xr3">
  <x:sheetPr codeName="Sheet4"/>
  <x:dimension ref="A1:A71"/>
  <x:sheetViews>
    <x:sheetView showGridLines="0" workbookViewId="0"/>
  </x:sheetViews>
  <x:sheetFormatPr defaultRowHeight="14.5"/>
  <x:cols>
    <x:col min="1" max="16384" width="8.7265625" style="139"/>
  </x:cols>
  <x:sheetData>
    <x:row r="1" spans="1:1">
      <x:c r="A1" s="138" t="s">
        <x:v>130</x:v>
      </x:c>
    </x:row>
    <x:row r="2" spans="1:1">
      <x:c r="A2" s="139" t="s">
        <x:v>131</x:v>
      </x:c>
    </x:row>
    <x:row r="21" spans="1:1">
      <x:c r="A21" s="139" t="s">
        <x:v>132</x:v>
      </x:c>
    </x:row>
    <x:row r="22" spans="1:1">
      <x:c r="A22" s="139" t="s">
        <x:v>133</x:v>
      </x:c>
    </x:row>
    <x:row r="43" spans="1:1">
      <x:c r="A43" s="139" t="s">
        <x:v>134</x:v>
      </x:c>
    </x:row>
    <x:row r="44" spans="1:1">
      <x:c r="A44" s="139" t="s">
        <x:v>135</x:v>
      </x:c>
    </x:row>
    <x:row r="45" spans="1:1">
      <x:c r="A45" s="139" t="s">
        <x:v>136</x:v>
      </x:c>
    </x:row>
    <x:row r="46" spans="1:1">
      <x:c r="A46" s="139" t="s">
        <x:v>137</x:v>
      </x:c>
    </x:row>
    <x:row r="47" spans="1:1">
      <x:c r="A47" s="139" t="s">
        <x:v>138</x:v>
      </x:c>
    </x:row>
    <x:row r="48" spans="1:1">
      <x:c r="A48" s="139" t="s">
        <x:v>139</x:v>
      </x:c>
    </x:row>
    <x:row r="49" spans="1:1">
      <x:c r="A49" s="139" t="s">
        <x:v>140</x:v>
      </x:c>
    </x:row>
    <x:row r="71" spans="1:1">
      <x:c r="A71" s="139" t="s">
        <x:v>141</x:v>
      </x:c>
    </x:row>
    <x:row r="1000">
      <x:c r="XX1000" s="142" t="n">
        <x:v>125713</x:v>
      </x:c>
    </x:row>
  </x:sheetData>
  <x:pageMargins left="0.7" right="0.7" top="0.75" bottom="0.75" header="0.3" footer="0.3"/>
  <x:drawing r:id="rId1"/>
</x:worksheet>
</file>

<file path=xl/worksheets/sheet3.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B78CF21-4C63-4D40-A752-0E17C5A51FA9}" mc:Ignorable="x14ac xr xr2 xr3">
  <x:sheetPr codeName="Sheet14">
    <x:tabColor rgb="FF0070C0"/>
  </x:sheetPr>
  <x:dimension ref="A1:DZ411"/>
  <x:sheetViews>
    <x:sheetView showGridLines="0" zoomScaleNormal="100" workbookViewId="0"/>
  </x:sheetViews>
  <x:sheetFormatPr defaultColWidth="8.08984375" defaultRowHeight="14.5"/>
  <x:cols>
    <x:col min="1" max="1" width="8.08984375" style="22"/>
    <x:col min="2" max="2" width="31.81640625" style="72" customWidth="1"/>
    <x:col min="3" max="6" width="11.1796875" style="72" customWidth="1"/>
    <x:col min="7" max="23" width="11.1796875" style="22" customWidth="1"/>
    <x:col min="24" max="25" width="8.08984375" style="22"/>
    <x:col min="26" max="26" width="25.36328125" style="22" bestFit="1" customWidth="1"/>
    <x:col min="27" max="27" width="16" style="22" bestFit="1" customWidth="1"/>
    <x:col min="28" max="37" width="8.08984375" style="22"/>
    <x:col min="38" max="38" width="25.36328125" style="22" bestFit="1" customWidth="1"/>
    <x:col min="39" max="130" width="8.08984375" style="22"/>
    <x:col min="131" max="16384" width="8.08984375" style="56"/>
  </x:cols>
  <x:sheetData>
    <x:row r="1" spans="2:130" ht="15.5" customHeight="1" thickBot="1">
      <x:c r="B1" s="22"/>
      <x:c r="C1" s="22"/>
      <x:c r="D1" s="22"/>
      <x:c r="E1" s="22"/>
      <x:c r="F1" s="22"/>
      <x:c r="AA1" s="54"/>
      <x:c r="AB1" s="54"/>
      <x:c r="AC1" s="54"/>
      <x:c r="AD1" s="54"/>
      <x:c r="AE1" s="54"/>
      <x:c r="AF1" s="54"/>
      <x:c r="AG1" s="54"/>
      <x:c r="AH1" s="54"/>
      <x:c r="AI1" s="54"/>
      <x:c r="AJ1" s="54"/>
      <x:c r="AK1" s="55"/>
      <x:c r="AL1" s="55"/>
      <x:c r="AM1" s="56"/>
      <x:c r="AN1" s="56"/>
      <x:c r="AO1" s="56"/>
      <x:c r="AP1" s="56"/>
      <x:c r="AQ1" s="56"/>
      <x:c r="AR1" s="56"/>
      <x:c r="AS1" s="56"/>
      <x:c r="AT1" s="56"/>
      <x:c r="AU1" s="56"/>
      <x:c r="AV1" s="56"/>
      <x:c r="AW1" s="56"/>
      <x:c r="AX1" s="56"/>
      <x:c r="AY1" s="56"/>
      <x:c r="AZ1" s="56"/>
      <x:c r="BA1" s="56"/>
      <x:c r="BB1" s="56"/>
      <x:c r="BC1" s="56"/>
      <x:c r="BD1" s="56"/>
      <x:c r="BE1" s="56"/>
      <x:c r="BF1" s="56"/>
      <x:c r="BG1" s="56"/>
      <x:c r="BH1" s="56"/>
      <x:c r="BI1" s="56"/>
      <x:c r="BJ1" s="56"/>
      <x:c r="BK1" s="56"/>
      <x:c r="BL1" s="56"/>
      <x:c r="BM1" s="56"/>
      <x:c r="BN1" s="56"/>
      <x:c r="BO1" s="56"/>
      <x:c r="BP1" s="56"/>
      <x:c r="BQ1" s="56"/>
      <x:c r="BR1" s="56"/>
      <x:c r="BS1" s="56"/>
      <x:c r="BT1" s="56"/>
      <x:c r="BU1" s="56"/>
      <x:c r="BV1" s="56"/>
      <x:c r="BW1" s="56"/>
      <x:c r="BX1" s="56"/>
      <x:c r="BY1" s="56"/>
      <x:c r="BZ1" s="56"/>
      <x:c r="CA1" s="56"/>
      <x:c r="CB1" s="56"/>
      <x:c r="CC1" s="56"/>
      <x:c r="CD1" s="56"/>
      <x:c r="CE1" s="56"/>
      <x:c r="CF1" s="56"/>
      <x:c r="CG1" s="56"/>
      <x:c r="CH1" s="56"/>
      <x:c r="CI1" s="56"/>
      <x:c r="CJ1" s="56"/>
      <x:c r="CK1" s="56"/>
      <x:c r="CL1" s="56"/>
      <x:c r="CM1" s="56"/>
      <x:c r="CN1" s="56"/>
      <x:c r="CO1" s="56"/>
      <x:c r="CP1" s="56"/>
      <x:c r="CQ1" s="56"/>
      <x:c r="CR1" s="56"/>
      <x:c r="CS1" s="56"/>
      <x:c r="CT1" s="56"/>
      <x:c r="CU1" s="56"/>
      <x:c r="CV1" s="56"/>
      <x:c r="CW1" s="56"/>
      <x:c r="CX1" s="56"/>
      <x:c r="CY1" s="56"/>
      <x:c r="CZ1" s="56"/>
      <x:c r="DA1" s="56"/>
      <x:c r="DB1" s="56"/>
      <x:c r="DC1" s="56"/>
      <x:c r="DD1" s="56"/>
      <x:c r="DE1" s="56"/>
      <x:c r="DF1" s="56"/>
      <x:c r="DG1" s="56"/>
      <x:c r="DH1" s="56"/>
      <x:c r="DI1" s="56"/>
      <x:c r="DJ1" s="56"/>
      <x:c r="DK1" s="56"/>
      <x:c r="DL1" s="56"/>
      <x:c r="DM1" s="56"/>
      <x:c r="DN1" s="56"/>
      <x:c r="DO1" s="56"/>
      <x:c r="DP1" s="56"/>
      <x:c r="DQ1" s="56"/>
      <x:c r="DR1" s="56"/>
      <x:c r="DS1" s="56"/>
      <x:c r="DT1" s="56"/>
      <x:c r="DU1" s="56"/>
      <x:c r="DV1" s="56"/>
      <x:c r="DW1" s="56"/>
      <x:c r="DX1" s="56"/>
      <x:c r="DY1" s="56"/>
      <x:c r="DZ1" s="56"/>
    </x:row>
    <x:row r="2" spans="2:130" ht="33.5" customHeight="1" thickBot="1">
      <x:c r="B2" s="40" t="s">
        <x:v>123</x:v>
      </x:c>
      <x:c r="C2" s="57"/>
      <x:c r="D2" s="57"/>
      <x:c r="E2" s="57"/>
      <x:c r="F2" s="57"/>
      <x:c r="G2" s="57"/>
      <x:c r="H2" s="57"/>
      <x:c r="I2" s="57"/>
      <x:c r="J2" s="57"/>
      <x:c r="K2" s="57"/>
      <x:c r="L2" s="57"/>
      <x:c r="M2" s="57"/>
      <x:c r="N2" s="57"/>
      <x:c r="O2" s="57"/>
      <x:c r="P2" s="57"/>
      <x:c r="Q2" s="57"/>
      <x:c r="R2" s="57"/>
      <x:c r="S2" s="57"/>
      <x:c r="T2" s="57"/>
      <x:c r="U2" s="57"/>
      <x:c r="V2" s="57"/>
      <x:c r="W2" s="58"/>
      <x:c r="AB2" s="56"/>
      <x:c r="AC2" s="59"/>
      <x:c r="AD2" s="59"/>
      <x:c r="AE2" s="59"/>
      <x:c r="AF2" s="59"/>
      <x:c r="AG2" s="59"/>
      <x:c r="AH2" s="59"/>
      <x:c r="AI2" s="59"/>
      <x:c r="AJ2" s="59"/>
      <x:c r="AK2" s="59"/>
      <x:c r="AL2" s="59"/>
      <x:c r="AN2" s="59"/>
      <x:c r="AO2" s="56"/>
      <x:c r="AP2" s="56"/>
      <x:c r="AQ2" s="56"/>
      <x:c r="AR2" s="56"/>
      <x:c r="AS2" s="56"/>
      <x:c r="AT2" s="56"/>
      <x:c r="AU2" s="56"/>
      <x:c r="AV2" s="56"/>
      <x:c r="AW2" s="56"/>
      <x:c r="AX2" s="56"/>
      <x:c r="AY2" s="56"/>
      <x:c r="AZ2" s="56"/>
      <x:c r="BA2" s="56"/>
      <x:c r="BB2" s="56"/>
      <x:c r="BC2" s="56"/>
      <x:c r="BD2" s="56"/>
      <x:c r="BE2" s="56"/>
      <x:c r="BF2" s="56"/>
      <x:c r="BG2" s="56"/>
      <x:c r="BH2" s="56"/>
      <x:c r="BI2" s="56"/>
      <x:c r="BJ2" s="56"/>
      <x:c r="BK2" s="56"/>
      <x:c r="BL2" s="56"/>
      <x:c r="BM2" s="56"/>
      <x:c r="BN2" s="56"/>
      <x:c r="BO2" s="56"/>
      <x:c r="BP2" s="56"/>
      <x:c r="BQ2" s="56"/>
      <x:c r="BR2" s="56"/>
      <x:c r="BS2" s="56"/>
      <x:c r="BT2" s="56"/>
      <x:c r="BU2" s="56"/>
      <x:c r="BV2" s="56"/>
      <x:c r="BW2" s="56"/>
      <x:c r="BX2" s="56"/>
      <x:c r="BY2" s="56"/>
      <x:c r="BZ2" s="56"/>
      <x:c r="CA2" s="56"/>
      <x:c r="CB2" s="56"/>
      <x:c r="CC2" s="56"/>
      <x:c r="CD2" s="56"/>
      <x:c r="CE2" s="56"/>
      <x:c r="CF2" s="56"/>
      <x:c r="CG2" s="56"/>
      <x:c r="CH2" s="56"/>
      <x:c r="CI2" s="56"/>
      <x:c r="CJ2" s="56"/>
      <x:c r="CK2" s="56"/>
      <x:c r="CL2" s="56"/>
      <x:c r="CM2" s="56"/>
      <x:c r="CN2" s="56"/>
      <x:c r="CO2" s="56"/>
      <x:c r="CP2" s="56"/>
      <x:c r="CQ2" s="56"/>
      <x:c r="CR2" s="56"/>
      <x:c r="CS2" s="56"/>
      <x:c r="CT2" s="56"/>
      <x:c r="CU2" s="56"/>
      <x:c r="CV2" s="56"/>
      <x:c r="CW2" s="56"/>
      <x:c r="CX2" s="56"/>
      <x:c r="CY2" s="56"/>
      <x:c r="CZ2" s="56"/>
      <x:c r="DA2" s="56"/>
      <x:c r="DB2" s="56"/>
      <x:c r="DC2" s="56"/>
      <x:c r="DD2" s="56"/>
      <x:c r="DE2" s="56"/>
      <x:c r="DF2" s="56"/>
      <x:c r="DG2" s="56"/>
      <x:c r="DH2" s="56"/>
      <x:c r="DI2" s="56"/>
      <x:c r="DJ2" s="56"/>
      <x:c r="DK2" s="56"/>
      <x:c r="DL2" s="56"/>
      <x:c r="DM2" s="56"/>
      <x:c r="DN2" s="56"/>
      <x:c r="DO2" s="56"/>
      <x:c r="DP2" s="56"/>
      <x:c r="DQ2" s="56"/>
      <x:c r="DR2" s="56"/>
      <x:c r="DS2" s="56"/>
      <x:c r="DT2" s="56"/>
      <x:c r="DU2" s="56"/>
      <x:c r="DV2" s="56"/>
      <x:c r="DW2" s="56"/>
      <x:c r="DX2" s="56"/>
      <x:c r="DY2" s="56"/>
      <x:c r="DZ2" s="56"/>
    </x:row>
    <x:row r="3" spans="2:130" ht="15.5" customHeight="1" thickBot="1">
      <x:c r="B3" s="22"/>
      <x:c r="C3" s="22"/>
      <x:c r="D3" s="22"/>
      <x:c r="E3" s="22"/>
      <x:c r="F3" s="22"/>
      <x:c r="AB3" s="56"/>
      <x:c r="AE3" s="54"/>
      <x:c r="AF3" s="54"/>
      <x:c r="AQ3" s="56"/>
      <x:c r="AR3" s="56"/>
      <x:c r="AS3" s="56"/>
      <x:c r="AT3" s="56"/>
      <x:c r="AU3" s="56"/>
      <x:c r="AV3" s="56"/>
      <x:c r="AW3" s="56"/>
      <x:c r="AX3" s="56"/>
      <x:c r="AY3" s="56"/>
      <x:c r="AZ3" s="56"/>
      <x:c r="BA3" s="56"/>
      <x:c r="BB3" s="56"/>
      <x:c r="BC3" s="56"/>
      <x:c r="BD3" s="56"/>
      <x:c r="BE3" s="56"/>
      <x:c r="BF3" s="56"/>
      <x:c r="BG3" s="56"/>
      <x:c r="BH3" s="56"/>
      <x:c r="BI3" s="56"/>
      <x:c r="BJ3" s="56"/>
      <x:c r="BK3" s="56"/>
      <x:c r="BL3" s="56"/>
      <x:c r="BM3" s="56"/>
      <x:c r="BN3" s="56"/>
      <x:c r="BO3" s="56"/>
      <x:c r="BP3" s="56"/>
      <x:c r="BQ3" s="56"/>
      <x:c r="BR3" s="56"/>
      <x:c r="BS3" s="56"/>
      <x:c r="BT3" s="56"/>
      <x:c r="BU3" s="56"/>
      <x:c r="BV3" s="56"/>
      <x:c r="BW3" s="56"/>
      <x:c r="BX3" s="56"/>
      <x:c r="BY3" s="56"/>
      <x:c r="BZ3" s="56"/>
      <x:c r="CA3" s="56"/>
      <x:c r="CB3" s="56"/>
      <x:c r="CC3" s="56"/>
      <x:c r="CD3" s="56"/>
      <x:c r="CE3" s="56"/>
      <x:c r="CF3" s="56"/>
      <x:c r="CG3" s="56"/>
      <x:c r="CH3" s="56"/>
      <x:c r="CI3" s="56"/>
      <x:c r="CJ3" s="56"/>
      <x:c r="CK3" s="56"/>
      <x:c r="CL3" s="56"/>
      <x:c r="CM3" s="56"/>
      <x:c r="CN3" s="56"/>
      <x:c r="CO3" s="56"/>
      <x:c r="CP3" s="56"/>
      <x:c r="CQ3" s="56"/>
      <x:c r="CR3" s="56"/>
      <x:c r="CS3" s="56"/>
      <x:c r="CT3" s="56"/>
      <x:c r="CU3" s="56"/>
      <x:c r="CV3" s="56"/>
      <x:c r="CW3" s="56"/>
      <x:c r="CX3" s="56"/>
      <x:c r="CY3" s="56"/>
      <x:c r="CZ3" s="56"/>
      <x:c r="DA3" s="56"/>
      <x:c r="DB3" s="56"/>
      <x:c r="DC3" s="56"/>
      <x:c r="DD3" s="56"/>
      <x:c r="DE3" s="56"/>
      <x:c r="DF3" s="56"/>
      <x:c r="DG3" s="56"/>
      <x:c r="DH3" s="56"/>
      <x:c r="DI3" s="56"/>
      <x:c r="DJ3" s="56"/>
      <x:c r="DK3" s="56"/>
      <x:c r="DL3" s="56"/>
      <x:c r="DM3" s="56"/>
      <x:c r="DN3" s="56"/>
      <x:c r="DO3" s="56"/>
      <x:c r="DP3" s="56"/>
      <x:c r="DQ3" s="56"/>
      <x:c r="DR3" s="56"/>
      <x:c r="DS3" s="56"/>
      <x:c r="DT3" s="56"/>
      <x:c r="DU3" s="56"/>
      <x:c r="DV3" s="56"/>
      <x:c r="DW3" s="56"/>
      <x:c r="DX3" s="56"/>
      <x:c r="DY3" s="56"/>
      <x:c r="DZ3" s="56"/>
    </x:row>
    <x:row r="4" spans="2:130" ht="24" thickBot="1">
      <x:c r="B4" s="45" t="s">
        <x:v>452</x:v>
      </x:c>
      <x:c r="C4" s="60"/>
      <x:c r="D4" s="60"/>
      <x:c r="E4" s="60"/>
      <x:c r="F4" s="60"/>
      <x:c r="G4" s="60"/>
      <x:c r="H4" s="60"/>
      <x:c r="I4" s="60"/>
      <x:c r="J4" s="60"/>
      <x:c r="K4" s="60"/>
      <x:c r="L4" s="60"/>
      <x:c r="M4" s="60"/>
      <x:c r="N4" s="60"/>
      <x:c r="O4" s="60"/>
      <x:c r="P4" s="60"/>
      <x:c r="Q4" s="60"/>
      <x:c r="R4" s="60"/>
      <x:c r="S4" s="60"/>
      <x:c r="T4" s="60"/>
      <x:c r="U4" s="60"/>
      <x:c r="V4" s="60"/>
      <x:c r="W4" s="61"/>
      <x:c r="BI4" s="56"/>
      <x:c r="BJ4" s="56"/>
      <x:c r="BK4" s="56"/>
      <x:c r="BL4" s="56"/>
      <x:c r="BM4" s="56"/>
      <x:c r="BN4" s="56"/>
      <x:c r="BO4" s="56"/>
      <x:c r="BP4" s="56"/>
      <x:c r="BQ4" s="56"/>
      <x:c r="BR4" s="56"/>
      <x:c r="BS4" s="56"/>
      <x:c r="BT4" s="56"/>
      <x:c r="BU4" s="56"/>
      <x:c r="BV4" s="56"/>
      <x:c r="BW4" s="56"/>
      <x:c r="BX4" s="56"/>
      <x:c r="BY4" s="56"/>
      <x:c r="BZ4" s="56"/>
      <x:c r="CA4" s="56"/>
      <x:c r="CB4" s="56"/>
      <x:c r="CC4" s="56"/>
      <x:c r="CD4" s="56"/>
      <x:c r="CE4" s="56"/>
      <x:c r="CF4" s="56"/>
      <x:c r="CG4" s="56"/>
      <x:c r="CH4" s="56"/>
      <x:c r="CI4" s="56"/>
      <x:c r="CJ4" s="56"/>
      <x:c r="CK4" s="56"/>
      <x:c r="CL4" s="56"/>
      <x:c r="CM4" s="56"/>
      <x:c r="CN4" s="56"/>
      <x:c r="CO4" s="56"/>
      <x:c r="CP4" s="56"/>
      <x:c r="CQ4" s="56"/>
      <x:c r="CR4" s="56"/>
      <x:c r="CS4" s="56"/>
      <x:c r="CT4" s="56"/>
      <x:c r="CU4" s="56"/>
      <x:c r="CV4" s="56"/>
      <x:c r="CW4" s="56"/>
      <x:c r="CX4" s="56"/>
      <x:c r="CY4" s="56"/>
      <x:c r="CZ4" s="56"/>
      <x:c r="DA4" s="56"/>
      <x:c r="DB4" s="56"/>
      <x:c r="DC4" s="56"/>
      <x:c r="DD4" s="56"/>
      <x:c r="DE4" s="56"/>
      <x:c r="DF4" s="56"/>
      <x:c r="DG4" s="56"/>
      <x:c r="DH4" s="56"/>
      <x:c r="DI4" s="56"/>
      <x:c r="DJ4" s="56"/>
      <x:c r="DK4" s="56"/>
      <x:c r="DL4" s="56"/>
      <x:c r="DM4" s="56"/>
      <x:c r="DN4" s="56"/>
      <x:c r="DO4" s="56"/>
      <x:c r="DP4" s="56"/>
      <x:c r="DQ4" s="56"/>
      <x:c r="DR4" s="56"/>
      <x:c r="DS4" s="56"/>
      <x:c r="DT4" s="56"/>
      <x:c r="DU4" s="56"/>
      <x:c r="DV4" s="56"/>
      <x:c r="DW4" s="56"/>
      <x:c r="DX4" s="56"/>
      <x:c r="DY4" s="56"/>
      <x:c r="DZ4" s="56"/>
    </x:row>
    <x:row r="5" spans="2:130" ht="15.5" customHeight="1">
      <x:c r="B5" s="62"/>
      <x:c r="C5" s="62"/>
      <x:c r="D5" s="62"/>
      <x:c r="E5" s="62"/>
      <x:c r="F5" s="62"/>
      <x:c r="G5" s="62"/>
      <x:c r="H5" s="62"/>
      <x:c r="I5" s="62"/>
      <x:c r="J5" s="62"/>
      <x:c r="K5" s="62"/>
      <x:c r="L5" s="62"/>
      <x:c r="M5" s="62"/>
      <x:c r="N5" s="62"/>
      <x:c r="O5" s="62"/>
      <x:c r="P5" s="62"/>
      <x:c r="Q5" s="62"/>
      <x:c r="R5" s="62"/>
      <x:c r="S5" s="62"/>
      <x:c r="T5" s="62"/>
      <x:c r="U5" s="62"/>
      <x:c r="V5" s="62"/>
      <x:c r="AK5" s="56"/>
      <x:c r="AL5" s="56"/>
      <x:c r="AM5" s="56"/>
      <x:c r="AN5" s="56"/>
      <x:c r="AO5" s="56"/>
      <x:c r="AP5" s="56"/>
      <x:c r="AQ5" s="56"/>
      <x:c r="AR5" s="56"/>
      <x:c r="AS5" s="56"/>
      <x:c r="AT5" s="56"/>
      <x:c r="AU5" s="56"/>
      <x:c r="AV5" s="56"/>
      <x:c r="AW5" s="56"/>
      <x:c r="AX5" s="56"/>
      <x:c r="AY5" s="56"/>
      <x:c r="AZ5" s="56"/>
      <x:c r="BA5" s="56"/>
      <x:c r="BB5" s="56"/>
      <x:c r="BC5" s="56"/>
      <x:c r="BD5" s="56"/>
      <x:c r="BE5" s="56"/>
      <x:c r="BF5" s="56"/>
      <x:c r="BG5" s="56"/>
      <x:c r="BH5" s="56"/>
      <x:c r="BI5" s="56"/>
      <x:c r="BJ5" s="56"/>
      <x:c r="BK5" s="56"/>
      <x:c r="BL5" s="56"/>
      <x:c r="BM5" s="56"/>
      <x:c r="BN5" s="56"/>
      <x:c r="BO5" s="56"/>
      <x:c r="BP5" s="56"/>
      <x:c r="BQ5" s="56"/>
      <x:c r="BR5" s="56"/>
      <x:c r="BS5" s="56"/>
      <x:c r="BT5" s="56"/>
      <x:c r="BU5" s="56"/>
      <x:c r="BV5" s="56"/>
      <x:c r="BW5" s="56"/>
      <x:c r="BX5" s="56"/>
      <x:c r="BY5" s="56"/>
      <x:c r="BZ5" s="56"/>
      <x:c r="CA5" s="56"/>
      <x:c r="CB5" s="56"/>
      <x:c r="CC5" s="56"/>
      <x:c r="CD5" s="56"/>
      <x:c r="CE5" s="56"/>
      <x:c r="CF5" s="56"/>
      <x:c r="CG5" s="56"/>
      <x:c r="CH5" s="56"/>
      <x:c r="CI5" s="56"/>
      <x:c r="CJ5" s="56"/>
      <x:c r="CK5" s="56"/>
      <x:c r="CL5" s="56"/>
      <x:c r="CM5" s="56"/>
      <x:c r="CN5" s="56"/>
      <x:c r="CO5" s="56"/>
      <x:c r="CP5" s="56"/>
      <x:c r="CQ5" s="56"/>
      <x:c r="CR5" s="56"/>
      <x:c r="CS5" s="56"/>
      <x:c r="CT5" s="56"/>
      <x:c r="CU5" s="56"/>
      <x:c r="CV5" s="56"/>
      <x:c r="CW5" s="56"/>
      <x:c r="CX5" s="56"/>
      <x:c r="CY5" s="56"/>
      <x:c r="CZ5" s="56"/>
      <x:c r="DA5" s="56"/>
      <x:c r="DB5" s="56"/>
      <x:c r="DC5" s="56"/>
      <x:c r="DD5" s="56"/>
      <x:c r="DE5" s="56"/>
      <x:c r="DF5" s="56"/>
      <x:c r="DG5" s="56"/>
      <x:c r="DH5" s="56"/>
      <x:c r="DI5" s="56"/>
      <x:c r="DJ5" s="56"/>
      <x:c r="DK5" s="56"/>
      <x:c r="DL5" s="56"/>
      <x:c r="DM5" s="56"/>
      <x:c r="DN5" s="56"/>
      <x:c r="DO5" s="56"/>
      <x:c r="DP5" s="56"/>
      <x:c r="DQ5" s="56"/>
      <x:c r="DR5" s="56"/>
      <x:c r="DS5" s="56"/>
      <x:c r="DT5" s="56"/>
      <x:c r="DU5" s="56"/>
      <x:c r="DV5" s="56"/>
      <x:c r="DW5" s="56"/>
      <x:c r="DX5" s="56"/>
      <x:c r="DY5" s="56"/>
      <x:c r="DZ5" s="56"/>
    </x:row>
    <x:row r="6" spans="2:130" ht="15.5" customHeight="1">
      <x:c r="B6" s="63"/>
      <x:c r="C6" s="63"/>
      <x:c r="D6" s="64" t="s">
        <x:v>161</x:v>
      </x:c>
      <x:c r="E6" s="65"/>
      <x:c r="F6" s="65"/>
      <x:c r="G6" s="65"/>
      <x:c r="H6" s="65"/>
      <x:c r="I6" s="65"/>
      <x:c r="J6" s="65"/>
      <x:c r="K6" s="64" t="s">
        <x:v>162</x:v>
      </x:c>
      <x:c r="L6" s="65"/>
      <x:c r="M6" s="65"/>
      <x:c r="N6" s="65"/>
      <x:c r="O6" s="64" t="s">
        <x:v>163</x:v>
      </x:c>
      <x:c r="P6" s="65"/>
      <x:c r="Q6" s="65"/>
      <x:c r="R6" s="65"/>
      <x:c r="S6" s="65"/>
      <x:c r="T6" s="65"/>
      <x:c r="U6" s="66" t="s">
        <x:v>164</x:v>
      </x:c>
      <x:c r="V6" s="64" t="s">
        <x:v>165</x:v>
      </x:c>
      <x:c r="W6" s="67"/>
      <x:c r="AK6" s="56"/>
      <x:c r="AL6" s="56"/>
      <x:c r="AM6" s="56"/>
      <x:c r="AN6" s="56"/>
      <x:c r="AO6" s="56"/>
      <x:c r="AP6" s="56"/>
      <x:c r="AQ6" s="56"/>
      <x:c r="AR6" s="56"/>
      <x:c r="AS6" s="56"/>
      <x:c r="AT6" s="56"/>
      <x:c r="AU6" s="56"/>
      <x:c r="AV6" s="56"/>
      <x:c r="AW6" s="56"/>
      <x:c r="AX6" s="56"/>
      <x:c r="AY6" s="56"/>
      <x:c r="AZ6" s="56"/>
      <x:c r="BA6" s="56"/>
      <x:c r="BB6" s="56"/>
      <x:c r="BC6" s="56"/>
      <x:c r="BD6" s="56"/>
      <x:c r="BE6" s="56"/>
      <x:c r="BF6" s="56"/>
      <x:c r="BG6" s="56"/>
      <x:c r="BH6" s="56"/>
      <x:c r="BI6" s="56"/>
      <x:c r="BJ6" s="56"/>
      <x:c r="BK6" s="56"/>
      <x:c r="BL6" s="56"/>
      <x:c r="BM6" s="56"/>
      <x:c r="BN6" s="56"/>
      <x:c r="BO6" s="56"/>
      <x:c r="BP6" s="56"/>
      <x:c r="BQ6" s="56"/>
      <x:c r="BR6" s="56"/>
      <x:c r="BS6" s="56"/>
      <x:c r="BT6" s="56"/>
      <x:c r="BU6" s="56"/>
      <x:c r="BV6" s="56"/>
      <x:c r="BW6" s="56"/>
      <x:c r="BX6" s="56"/>
      <x:c r="BY6" s="56"/>
      <x:c r="BZ6" s="56"/>
      <x:c r="CA6" s="56"/>
      <x:c r="CB6" s="56"/>
      <x:c r="CC6" s="56"/>
      <x:c r="CD6" s="56"/>
      <x:c r="CE6" s="56"/>
      <x:c r="CF6" s="56"/>
      <x:c r="CG6" s="56"/>
      <x:c r="CH6" s="56"/>
      <x:c r="CI6" s="56"/>
      <x:c r="CJ6" s="56"/>
      <x:c r="CK6" s="56"/>
      <x:c r="CL6" s="56"/>
      <x:c r="CM6" s="56"/>
      <x:c r="CN6" s="56"/>
      <x:c r="CO6" s="56"/>
      <x:c r="CP6" s="56"/>
      <x:c r="CQ6" s="56"/>
      <x:c r="CR6" s="56"/>
      <x:c r="CS6" s="56"/>
      <x:c r="CT6" s="56"/>
      <x:c r="CU6" s="56"/>
      <x:c r="CV6" s="56"/>
      <x:c r="CW6" s="56"/>
      <x:c r="CX6" s="56"/>
      <x:c r="CY6" s="56"/>
      <x:c r="CZ6" s="56"/>
      <x:c r="DA6" s="56"/>
      <x:c r="DB6" s="56"/>
      <x:c r="DC6" s="56"/>
      <x:c r="DD6" s="56"/>
      <x:c r="DE6" s="56"/>
      <x:c r="DF6" s="56"/>
      <x:c r="DG6" s="56"/>
      <x:c r="DH6" s="56"/>
      <x:c r="DI6" s="56"/>
      <x:c r="DJ6" s="56"/>
      <x:c r="DK6" s="56"/>
      <x:c r="DL6" s="56"/>
      <x:c r="DM6" s="56"/>
      <x:c r="DN6" s="56"/>
      <x:c r="DO6" s="56"/>
      <x:c r="DP6" s="56"/>
      <x:c r="DQ6" s="56"/>
      <x:c r="DR6" s="56"/>
      <x:c r="DS6" s="56"/>
      <x:c r="DT6" s="56"/>
      <x:c r="DU6" s="56"/>
      <x:c r="DV6" s="56"/>
      <x:c r="DW6" s="56"/>
      <x:c r="DX6" s="56"/>
      <x:c r="DY6" s="56"/>
      <x:c r="DZ6" s="56"/>
    </x:row>
    <x:row r="7" spans="2:130" ht="15.5" customHeight="1" thickBot="1">
      <x:c r="B7" s="68" t="s">
        <x:v>146</x:v>
      </x:c>
      <x:c r="C7" s="68" t="s">
        <x:v>147</x:v>
      </x:c>
      <x:c r="D7" s="68" t="s">
        <x:v>148</x:v>
      </x:c>
      <x:c r="E7" s="68" t="s">
        <x:v>149</x:v>
      </x:c>
      <x:c r="F7" s="68" t="s">
        <x:v>150</x:v>
      </x:c>
      <x:c r="G7" s="68" t="s">
        <x:v>151</x:v>
      </x:c>
      <x:c r="H7" s="68" t="s">
        <x:v>152</x:v>
      </x:c>
      <x:c r="I7" s="68" t="s">
        <x:v>153</x:v>
      </x:c>
      <x:c r="J7" s="68" t="s">
        <x:v>154</x:v>
      </x:c>
      <x:c r="K7" s="68" t="s">
        <x:v>148</x:v>
      </x:c>
      <x:c r="L7" s="68" t="s">
        <x:v>150</x:v>
      </x:c>
      <x:c r="M7" s="68" t="s">
        <x:v>155</x:v>
      </x:c>
      <x:c r="N7" s="68" t="s">
        <x:v>152</x:v>
      </x:c>
      <x:c r="O7" s="68" t="s">
        <x:v>156</x:v>
      </x:c>
      <x:c r="P7" s="68" t="s">
        <x:v>157</x:v>
      </x:c>
      <x:c r="Q7" s="68" t="s">
        <x:v>150</x:v>
      </x:c>
      <x:c r="R7" s="68" t="s">
        <x:v>151</x:v>
      </x:c>
      <x:c r="S7" s="68" t="s">
        <x:v>155</x:v>
      </x:c>
      <x:c r="T7" s="68" t="s">
        <x:v>152</x:v>
      </x:c>
      <x:c r="U7" s="68" t="s">
        <x:v>158</x:v>
      </x:c>
      <x:c r="V7" s="68" t="s">
        <x:v>159</x:v>
      </x:c>
      <x:c r="W7" s="68" t="s">
        <x:v>160</x:v>
      </x:c>
      <x:c r="AK7" s="56"/>
      <x:c r="AL7" s="56"/>
      <x:c r="AM7" s="56"/>
      <x:c r="AN7" s="56"/>
      <x:c r="AO7" s="56"/>
      <x:c r="AP7" s="56"/>
      <x:c r="AQ7" s="56"/>
      <x:c r="AR7" s="56"/>
      <x:c r="AS7" s="56"/>
      <x:c r="AT7" s="56"/>
      <x:c r="AU7" s="56"/>
      <x:c r="AV7" s="56"/>
      <x:c r="AW7" s="56"/>
      <x:c r="AX7" s="56"/>
      <x:c r="AY7" s="56"/>
      <x:c r="AZ7" s="56"/>
      <x:c r="BA7" s="56"/>
      <x:c r="BB7" s="56"/>
      <x:c r="BC7" s="56"/>
      <x:c r="BD7" s="56"/>
      <x:c r="BE7" s="56"/>
      <x:c r="BF7" s="56"/>
      <x:c r="BG7" s="56"/>
      <x:c r="BH7" s="56"/>
      <x:c r="BI7" s="56"/>
      <x:c r="BJ7" s="56"/>
      <x:c r="BK7" s="56"/>
      <x:c r="BL7" s="56"/>
      <x:c r="BM7" s="56"/>
      <x:c r="BN7" s="56"/>
      <x:c r="BO7" s="56"/>
      <x:c r="BP7" s="56"/>
      <x:c r="BQ7" s="56"/>
      <x:c r="BR7" s="56"/>
      <x:c r="BS7" s="56"/>
      <x:c r="BT7" s="56"/>
      <x:c r="BU7" s="56"/>
      <x:c r="BV7" s="56"/>
      <x:c r="BW7" s="56"/>
      <x:c r="BX7" s="56"/>
      <x:c r="BY7" s="56"/>
      <x:c r="BZ7" s="56"/>
      <x:c r="CA7" s="56"/>
      <x:c r="CB7" s="56"/>
      <x:c r="CC7" s="56"/>
      <x:c r="CD7" s="56"/>
      <x:c r="CE7" s="56"/>
      <x:c r="CF7" s="56"/>
      <x:c r="CG7" s="56"/>
      <x:c r="CH7" s="56"/>
      <x:c r="CI7" s="56"/>
      <x:c r="CJ7" s="56"/>
      <x:c r="CK7" s="56"/>
      <x:c r="CL7" s="56"/>
      <x:c r="CM7" s="56"/>
      <x:c r="CN7" s="56"/>
      <x:c r="CO7" s="56"/>
      <x:c r="CP7" s="56"/>
      <x:c r="CQ7" s="56"/>
      <x:c r="CR7" s="56"/>
      <x:c r="CS7" s="56"/>
      <x:c r="CT7" s="56"/>
      <x:c r="CU7" s="56"/>
      <x:c r="CV7" s="56"/>
      <x:c r="CW7" s="56"/>
      <x:c r="CX7" s="56"/>
      <x:c r="CY7" s="56"/>
      <x:c r="CZ7" s="56"/>
      <x:c r="DA7" s="56"/>
      <x:c r="DB7" s="56"/>
      <x:c r="DC7" s="56"/>
      <x:c r="DD7" s="56"/>
      <x:c r="DE7" s="56"/>
      <x:c r="DF7" s="56"/>
      <x:c r="DG7" s="56"/>
      <x:c r="DH7" s="56"/>
      <x:c r="DI7" s="56"/>
      <x:c r="DJ7" s="56"/>
      <x:c r="DK7" s="56"/>
      <x:c r="DL7" s="56"/>
      <x:c r="DM7" s="56"/>
      <x:c r="DN7" s="56"/>
      <x:c r="DO7" s="56"/>
      <x:c r="DP7" s="56"/>
      <x:c r="DQ7" s="56"/>
      <x:c r="DR7" s="56"/>
      <x:c r="DS7" s="56"/>
      <x:c r="DT7" s="56"/>
      <x:c r="DU7" s="56"/>
      <x:c r="DV7" s="56"/>
      <x:c r="DW7" s="56"/>
      <x:c r="DX7" s="56"/>
      <x:c r="DY7" s="56"/>
      <x:c r="DZ7" s="56"/>
    </x:row>
    <x:row r="8" spans="2:130" ht="15.5" customHeight="1">
      <x:c r="B8" s="69" t="s">
        <x:v>218</x:v>
      </x:c>
      <x:c r="C8" s="70">
        <x:v>17</x:v>
      </x:c>
      <x:c r="D8" s="71">
        <x:v>520</x:v>
      </x:c>
      <x:c r="E8" s="71">
        <x:v>344</x:v>
      </x:c>
      <x:c r="F8" s="71">
        <x:v>3971</x:v>
      </x:c>
      <x:c r="G8" s="22">
        <x:v>233.6</x:v>
      </x:c>
      <x:c r="H8" s="22">
        <x:v>31</x:v>
      </x:c>
      <x:c r="I8" s="22">
        <x:v>17</x:v>
      </x:c>
      <x:c r="J8" s="22">
        <x:v>95.3</x:v>
      </x:c>
      <x:c r="K8" s="70">
        <x:v>148</x:v>
      </x:c>
      <x:c r="L8" s="70">
        <x:v>603</x:v>
      </x:c>
      <x:c r="M8" s="70">
        <x:v>4.0999999999999996</x:v>
      </x:c>
      <x:c r="N8" s="70">
        <x:v>13</x:v>
      </x:c>
      <x:c r="O8" s="70"/>
      <x:c r="P8" s="70"/>
      <x:c r="Q8" s="70"/>
      <x:c r="R8" s="70"/>
      <x:c r="S8" s="70"/>
      <x:c r="T8" s="70"/>
      <x:c r="U8" s="70">
        <x:v>4</x:v>
      </x:c>
      <x:c r="V8" s="70">
        <x:v>425</x:v>
      </x:c>
      <x:c r="W8" s="70">
        <x:v>25</x:v>
      </x:c>
      <x:c r="AM8" s="56"/>
      <x:c r="AN8" s="56"/>
      <x:c r="AO8" s="56"/>
      <x:c r="AP8" s="56"/>
      <x:c r="AQ8" s="56"/>
      <x:c r="AR8" s="56"/>
      <x:c r="AS8" s="56"/>
      <x:c r="AT8" s="56"/>
      <x:c r="AU8" s="56"/>
      <x:c r="AV8" s="56"/>
      <x:c r="AW8" s="56"/>
      <x:c r="AX8" s="56"/>
      <x:c r="AY8" s="56"/>
      <x:c r="AZ8" s="56"/>
      <x:c r="BA8" s="56"/>
      <x:c r="BB8" s="56"/>
      <x:c r="BC8" s="56"/>
      <x:c r="BD8" s="56"/>
      <x:c r="BE8" s="56"/>
      <x:c r="BF8" s="56"/>
      <x:c r="BG8" s="56"/>
      <x:c r="BH8" s="56"/>
      <x:c r="BI8" s="56"/>
      <x:c r="BJ8" s="56"/>
      <x:c r="BK8" s="56"/>
      <x:c r="BL8" s="56"/>
      <x:c r="BM8" s="56"/>
      <x:c r="BN8" s="56"/>
      <x:c r="BO8" s="56"/>
      <x:c r="BP8" s="56"/>
      <x:c r="BQ8" s="56"/>
      <x:c r="BR8" s="56"/>
      <x:c r="BS8" s="56"/>
      <x:c r="BT8" s="56"/>
      <x:c r="BU8" s="56"/>
      <x:c r="BV8" s="56"/>
      <x:c r="BW8" s="56"/>
      <x:c r="BX8" s="56"/>
      <x:c r="BY8" s="56"/>
      <x:c r="BZ8" s="56"/>
      <x:c r="CA8" s="56"/>
      <x:c r="CB8" s="56"/>
      <x:c r="CC8" s="56"/>
      <x:c r="CD8" s="56"/>
      <x:c r="CE8" s="56"/>
      <x:c r="CF8" s="56"/>
      <x:c r="CG8" s="56"/>
      <x:c r="CH8" s="56"/>
      <x:c r="CI8" s="56"/>
      <x:c r="CJ8" s="56"/>
      <x:c r="CK8" s="56"/>
      <x:c r="CL8" s="56"/>
      <x:c r="CM8" s="56"/>
      <x:c r="CN8" s="56"/>
      <x:c r="CO8" s="56"/>
      <x:c r="CP8" s="56"/>
      <x:c r="CQ8" s="56"/>
      <x:c r="CR8" s="56"/>
      <x:c r="CS8" s="56"/>
      <x:c r="CT8" s="56"/>
      <x:c r="CU8" s="56"/>
      <x:c r="CV8" s="56"/>
      <x:c r="CW8" s="56"/>
      <x:c r="CX8" s="56"/>
      <x:c r="CY8" s="56"/>
      <x:c r="CZ8" s="56"/>
      <x:c r="DA8" s="56"/>
      <x:c r="DB8" s="56"/>
      <x:c r="DC8" s="56"/>
      <x:c r="DD8" s="56"/>
      <x:c r="DE8" s="56"/>
      <x:c r="DF8" s="56"/>
      <x:c r="DG8" s="56"/>
      <x:c r="DH8" s="56"/>
      <x:c r="DI8" s="56"/>
      <x:c r="DJ8" s="56"/>
      <x:c r="DK8" s="56"/>
      <x:c r="DL8" s="56"/>
      <x:c r="DM8" s="56"/>
      <x:c r="DN8" s="56"/>
      <x:c r="DO8" s="56"/>
      <x:c r="DP8" s="56"/>
      <x:c r="DQ8" s="56"/>
      <x:c r="DR8" s="56"/>
      <x:c r="DS8" s="56"/>
      <x:c r="DT8" s="56"/>
      <x:c r="DU8" s="56"/>
      <x:c r="DV8" s="56"/>
      <x:c r="DW8" s="56"/>
      <x:c r="DX8" s="56"/>
      <x:c r="DY8" s="56"/>
      <x:c r="DZ8" s="56"/>
    </x:row>
    <x:row r="9" spans="2:130" ht="15.5" customHeight="1">
      <x:c r="B9" s="69" t="s">
        <x:v>219</x:v>
      </x:c>
      <x:c r="C9" s="70">
        <x:v>17</x:v>
      </x:c>
      <x:c r="D9" s="71">
        <x:v>538</x:v>
      </x:c>
      <x:c r="E9" s="71">
        <x:v>350</x:v>
      </x:c>
      <x:c r="F9" s="71">
        <x:v>3847</x:v>
      </x:c>
      <x:c r="G9" s="22">
        <x:v>226.3</x:v>
      </x:c>
      <x:c r="H9" s="22">
        <x:v>31</x:v>
      </x:c>
      <x:c r="I9" s="22">
        <x:v>16</x:v>
      </x:c>
      <x:c r="J9" s="22">
        <x:v>92.9</x:v>
      </x:c>
      <x:c r="K9" s="70">
        <x:v>125</x:v>
      </x:c>
      <x:c r="L9" s="70">
        <x:v>630</x:v>
      </x:c>
      <x:c r="M9" s="70">
        <x:v>5</x:v>
      </x:c>
      <x:c r="N9" s="70">
        <x:v>10</x:v>
      </x:c>
      <x:c r="O9" s="70"/>
      <x:c r="P9" s="70"/>
      <x:c r="Q9" s="70"/>
      <x:c r="R9" s="70"/>
      <x:c r="S9" s="70"/>
      <x:c r="T9" s="70"/>
      <x:c r="U9" s="70">
        <x:v>4</x:v>
      </x:c>
      <x:c r="V9" s="70">
        <x:v>408</x:v>
      </x:c>
      <x:c r="W9" s="70">
        <x:v>24</x:v>
      </x:c>
      <x:c r="AM9" s="56"/>
      <x:c r="AN9" s="56"/>
      <x:c r="AO9" s="56"/>
      <x:c r="AP9" s="56"/>
      <x:c r="AQ9" s="56"/>
      <x:c r="AR9" s="56"/>
      <x:c r="AS9" s="56"/>
      <x:c r="AT9" s="56"/>
      <x:c r="AU9" s="56"/>
      <x:c r="AV9" s="56"/>
      <x:c r="AW9" s="56"/>
      <x:c r="AX9" s="56"/>
      <x:c r="AY9" s="56"/>
      <x:c r="AZ9" s="56"/>
      <x:c r="BA9" s="56"/>
      <x:c r="BB9" s="56"/>
      <x:c r="BC9" s="56"/>
      <x:c r="BD9" s="56"/>
      <x:c r="BE9" s="56"/>
      <x:c r="BF9" s="56"/>
      <x:c r="BG9" s="56"/>
      <x:c r="BH9" s="56"/>
      <x:c r="BI9" s="56"/>
      <x:c r="BJ9" s="56"/>
      <x:c r="BK9" s="56"/>
      <x:c r="BL9" s="56"/>
      <x:c r="BM9" s="56"/>
      <x:c r="BN9" s="56"/>
      <x:c r="BO9" s="56"/>
      <x:c r="BP9" s="56"/>
      <x:c r="BQ9" s="56"/>
      <x:c r="BR9" s="56"/>
      <x:c r="BS9" s="56"/>
      <x:c r="BT9" s="56"/>
      <x:c r="BU9" s="56"/>
      <x:c r="BV9" s="56"/>
      <x:c r="BW9" s="56"/>
      <x:c r="BX9" s="56"/>
      <x:c r="BY9" s="56"/>
      <x:c r="BZ9" s="56"/>
      <x:c r="CA9" s="56"/>
      <x:c r="CB9" s="56"/>
      <x:c r="CC9" s="56"/>
      <x:c r="CD9" s="56"/>
      <x:c r="CE9" s="56"/>
      <x:c r="CF9" s="56"/>
      <x:c r="CG9" s="56"/>
      <x:c r="CH9" s="56"/>
      <x:c r="CI9" s="56"/>
      <x:c r="CJ9" s="56"/>
      <x:c r="CK9" s="56"/>
      <x:c r="CL9" s="56"/>
      <x:c r="CM9" s="56"/>
      <x:c r="CN9" s="56"/>
      <x:c r="CO9" s="56"/>
      <x:c r="CP9" s="56"/>
      <x:c r="CQ9" s="56"/>
      <x:c r="CR9" s="56"/>
      <x:c r="CS9" s="56"/>
      <x:c r="CT9" s="56"/>
      <x:c r="CU9" s="56"/>
      <x:c r="CV9" s="56"/>
      <x:c r="CW9" s="56"/>
      <x:c r="CX9" s="56"/>
      <x:c r="CY9" s="56"/>
      <x:c r="CZ9" s="56"/>
      <x:c r="DA9" s="56"/>
      <x:c r="DB9" s="56"/>
      <x:c r="DC9" s="56"/>
      <x:c r="DD9" s="56"/>
      <x:c r="DE9" s="56"/>
      <x:c r="DF9" s="56"/>
      <x:c r="DG9" s="56"/>
      <x:c r="DH9" s="56"/>
      <x:c r="DI9" s="56"/>
      <x:c r="DJ9" s="56"/>
      <x:c r="DK9" s="56"/>
      <x:c r="DL9" s="56"/>
      <x:c r="DM9" s="56"/>
      <x:c r="DN9" s="56"/>
      <x:c r="DO9" s="56"/>
      <x:c r="DP9" s="56"/>
      <x:c r="DQ9" s="56"/>
      <x:c r="DR9" s="56"/>
      <x:c r="DS9" s="56"/>
      <x:c r="DT9" s="56"/>
      <x:c r="DU9" s="56"/>
      <x:c r="DV9" s="56"/>
      <x:c r="DW9" s="56"/>
      <x:c r="DX9" s="56"/>
      <x:c r="DY9" s="56"/>
      <x:c r="DZ9" s="56"/>
    </x:row>
    <x:row r="10" spans="2:130" ht="15.5" customHeight="1">
      <x:c r="B10" s="69" t="s">
        <x:v>217</x:v>
      </x:c>
      <x:c r="C10" s="70">
        <x:v>17</x:v>
      </x:c>
      <x:c r="D10" s="71">
        <x:v>614</x:v>
      </x:c>
      <x:c r="E10" s="71">
        <x:v>420</x:v>
      </x:c>
      <x:c r="F10" s="71">
        <x:v>4531</x:v>
      </x:c>
      <x:c r="G10" s="22">
        <x:v>266.5</x:v>
      </x:c>
      <x:c r="H10" s="22">
        <x:v>32</x:v>
      </x:c>
      <x:c r="I10" s="22">
        <x:v>12</x:v>
      </x:c>
      <x:c r="J10" s="22">
        <x:v>99.1</x:v>
      </x:c>
      <x:c r="K10" s="70">
        <x:v>77</x:v>
      </x:c>
      <x:c r="L10" s="70">
        <x:v>422</x:v>
      </x:c>
      <x:c r="M10" s="70">
        <x:v>5.5</x:v>
      </x:c>
      <x:c r="N10" s="70">
        <x:v>1</x:v>
      </x:c>
      <x:c r="O10" s="70"/>
      <x:c r="P10" s="70"/>
      <x:c r="Q10" s="70"/>
      <x:c r="R10" s="70"/>
      <x:c r="S10" s="70"/>
      <x:c r="T10" s="70"/>
      <x:c r="U10" s="70">
        <x:v>2</x:v>
      </x:c>
      <x:c r="V10" s="70">
        <x:v>375</x:v>
      </x:c>
      <x:c r="W10" s="70">
        <x:v>22.1</x:v>
      </x:c>
      <x:c r="AM10" s="56"/>
    </x:row>
    <x:row r="11" spans="2:130" ht="15.5" customHeight="1">
      <x:c r="B11" s="69" t="s">
        <x:v>221</x:v>
      </x:c>
      <x:c r="C11" s="70">
        <x:v>17</x:v>
      </x:c>
      <x:c r="D11" s="71">
        <x:v>456</x:v>
      </x:c>
      <x:c r="E11" s="71">
        <x:v>299</x:v>
      </x:c>
      <x:c r="F11" s="71">
        <x:v>3639</x:v>
      </x:c>
      <x:c r="G11" s="22">
        <x:v>214.1</x:v>
      </x:c>
      <x:c r="H11" s="22">
        <x:v>29</x:v>
      </x:c>
      <x:c r="I11" s="22">
        <x:v>12</x:v>
      </x:c>
      <x:c r="J11" s="22">
        <x:v>100.2</x:v>
      </x:c>
      <x:c r="K11" s="70">
        <x:v>124</x:v>
      </x:c>
      <x:c r="L11" s="70">
        <x:v>740</x:v>
      </x:c>
      <x:c r="M11" s="70">
        <x:v>6</x:v>
      </x:c>
      <x:c r="N11" s="70">
        <x:v>4</x:v>
      </x:c>
      <x:c r="O11" s="70"/>
      <x:c r="P11" s="70"/>
      <x:c r="Q11" s="70"/>
      <x:c r="R11" s="70"/>
      <x:c r="S11" s="70"/>
      <x:c r="T11" s="70"/>
      <x:c r="U11" s="70">
        <x:v>5</x:v>
      </x:c>
      <x:c r="V11" s="70">
        <x:v>367</x:v>
      </x:c>
      <x:c r="W11" s="70">
        <x:v>21.6</x:v>
      </x:c>
      <x:c r="AM11" s="56"/>
    </x:row>
    <x:row r="12" spans="2:130" ht="15.5" customHeight="1">
      <x:c r="B12" s="69" t="s">
        <x:v>237</x:v>
      </x:c>
      <x:c r="C12" s="70">
        <x:v>17</x:v>
      </x:c>
      <x:c r="D12" s="71">
        <x:v>523</x:v>
      </x:c>
      <x:c r="E12" s="71">
        <x:v>347</x:v>
      </x:c>
      <x:c r="F12" s="71">
        <x:v>3973</x:v>
      </x:c>
      <x:c r="G12" s="22">
        <x:v>233.7</x:v>
      </x:c>
      <x:c r="H12" s="22">
        <x:v>35</x:v>
      </x:c>
      <x:c r="I12" s="22">
        <x:v>11</x:v>
      </x:c>
      <x:c r="J12" s="22">
        <x:v>102.6</x:v>
      </x:c>
      <x:c r="K12" s="70">
        <x:v>45</x:v>
      </x:c>
      <x:c r="L12" s="70">
        <x:v>184</x:v>
      </x:c>
      <x:c r="M12" s="70">
        <x:v>4.0999999999999996</x:v>
      </x:c>
      <x:c r="N12" s="70">
        <x:v>3</x:v>
      </x:c>
      <x:c r="O12" s="70"/>
      <x:c r="P12" s="70"/>
      <x:c r="Q12" s="70"/>
      <x:c r="R12" s="70"/>
      <x:c r="S12" s="70"/>
      <x:c r="T12" s="70"/>
      <x:c r="U12" s="70">
        <x:v>2</x:v>
      </x:c>
      <x:c r="V12" s="70">
        <x:v>363</x:v>
      </x:c>
      <x:c r="W12" s="70">
        <x:v>21.4</x:v>
      </x:c>
      <x:c r="AM12" s="56"/>
    </x:row>
    <x:row r="13" spans="2:130" ht="15.5" customHeight="1">
      <x:c r="B13" s="69" t="s">
        <x:v>227</x:v>
      </x:c>
      <x:c r="C13" s="70">
        <x:v>17</x:v>
      </x:c>
      <x:c r="D13" s="71">
        <x:v>578</x:v>
      </x:c>
      <x:c r="E13" s="71">
        <x:v>389</x:v>
      </x:c>
      <x:c r="F13" s="71">
        <x:v>4236</x:v>
      </x:c>
      <x:c r="G13" s="22">
        <x:v>249.2</x:v>
      </x:c>
      <x:c r="H13" s="22">
        <x:v>34</x:v>
      </x:c>
      <x:c r="I13" s="22">
        <x:v>14</x:v>
      </x:c>
      <x:c r="J13" s="22">
        <x:v>98.2</x:v>
      </x:c>
      <x:c r="K13" s="70">
        <x:v>56</x:v>
      </x:c>
      <x:c r="L13" s="70">
        <x:v>230</x:v>
      </x:c>
      <x:c r="M13" s="70">
        <x:v>4.0999999999999996</x:v>
      </x:c>
      <x:c r="N13" s="70">
        <x:v>2</x:v>
      </x:c>
      <x:c r="O13" s="70"/>
      <x:c r="P13" s="70"/>
      <x:c r="Q13" s="70"/>
      <x:c r="R13" s="70"/>
      <x:c r="S13" s="70"/>
      <x:c r="T13" s="70"/>
      <x:c r="U13" s="70">
        <x:v>2</x:v>
      </x:c>
      <x:c r="V13" s="70">
        <x:v>359</x:v>
      </x:c>
      <x:c r="W13" s="70">
        <x:v>21.1</x:v>
      </x:c>
      <x:c r="AM13" s="56"/>
    </x:row>
    <x:row r="14" spans="2:130" ht="15.5" customHeight="1">
      <x:c r="B14" s="69" t="s">
        <x:v>231</x:v>
      </x:c>
      <x:c r="C14" s="70">
        <x:v>17</x:v>
      </x:c>
      <x:c r="D14" s="71">
        <x:v>471</x:v>
      </x:c>
      <x:c r="E14" s="71">
        <x:v>322</x:v>
      </x:c>
      <x:c r="F14" s="71">
        <x:v>4210</x:v>
      </x:c>
      <x:c r="G14" s="22">
        <x:v>247.6</x:v>
      </x:c>
      <x:c r="H14" s="22">
        <x:v>33</x:v>
      </x:c>
      <x:c r="I14" s="22">
        <x:v>10</x:v>
      </x:c>
      <x:c r="J14" s="22">
        <x:v>110.8</x:v>
      </x:c>
      <x:c r="K14" s="70">
        <x:v>44</x:v>
      </x:c>
      <x:c r="L14" s="70">
        <x:v>157</x:v>
      </x:c>
      <x:c r="M14" s="70">
        <x:v>3.6</x:v>
      </x:c>
      <x:c r="N14" s="70">
        <x:v>2</x:v>
      </x:c>
      <x:c r="O14" s="70"/>
      <x:c r="P14" s="70"/>
      <x:c r="Q14" s="70"/>
      <x:c r="R14" s="70"/>
      <x:c r="S14" s="70"/>
      <x:c r="T14" s="70"/>
      <x:c r="U14" s="70">
        <x:v>2</x:v>
      </x:c>
      <x:c r="V14" s="70">
        <x:v>351</x:v>
      </x:c>
      <x:c r="W14" s="70">
        <x:v>20.6</x:v>
      </x:c>
      <x:c r="AM14" s="56"/>
    </x:row>
    <x:row r="15" spans="2:130" ht="15.5" customHeight="1">
      <x:c r="B15" s="69" t="s">
        <x:v>220</x:v>
      </x:c>
      <x:c r="C15" s="70">
        <x:v>17</x:v>
      </x:c>
      <x:c r="D15" s="71">
        <x:v>596</x:v>
      </x:c>
      <x:c r="E15" s="71">
        <x:v>408</x:v>
      </x:c>
      <x:c r="F15" s="71">
        <x:v>4291</x:v>
      </x:c>
      <x:c r="G15" s="22">
        <x:v>252.4</x:v>
      </x:c>
      <x:c r="H15" s="22">
        <x:v>33</x:v>
      </x:c>
      <x:c r="I15" s="22">
        <x:v>13</x:v>
      </x:c>
      <x:c r="J15" s="22">
        <x:v>98.5</x:v>
      </x:c>
      <x:c r="K15" s="70">
        <x:v>50</x:v>
      </x:c>
      <x:c r="L15" s="70">
        <x:v>151</x:v>
      </x:c>
      <x:c r="M15" s="70">
        <x:v>3</x:v>
      </x:c>
      <x:c r="N15" s="70">
        <x:v>2</x:v>
      </x:c>
      <x:c r="O15" s="70"/>
      <x:c r="P15" s="70"/>
      <x:c r="Q15" s="70"/>
      <x:c r="R15" s="70"/>
      <x:c r="S15" s="70"/>
      <x:c r="T15" s="70"/>
      <x:c r="U15" s="70">
        <x:v>2</x:v>
      </x:c>
      <x:c r="V15" s="70">
        <x:v>351</x:v>
      </x:c>
      <x:c r="W15" s="70">
        <x:v>20.6</x:v>
      </x:c>
      <x:c r="AM15" s="56"/>
    </x:row>
    <x:row r="16" spans="2:130" ht="15.5" customHeight="1">
      <x:c r="B16" s="69" t="s">
        <x:v>238</x:v>
      </x:c>
      <x:c r="C16" s="70">
        <x:v>17</x:v>
      </x:c>
      <x:c r="D16" s="71">
        <x:v>529</x:v>
      </x:c>
      <x:c r="E16" s="71">
        <x:v>346</x:v>
      </x:c>
      <x:c r="F16" s="71">
        <x:v>4225</x:v>
      </x:c>
      <x:c r="G16" s="22">
        <x:v>248.5</x:v>
      </x:c>
      <x:c r="H16" s="22">
        <x:v>31</x:v>
      </x:c>
      <x:c r="I16" s="22">
        <x:v>9</x:v>
      </x:c>
      <x:c r="J16" s="22">
        <x:v>102.3</x:v>
      </x:c>
      <x:c r="K16" s="70">
        <x:v>40</x:v>
      </x:c>
      <x:c r="L16" s="70">
        <x:v>163</x:v>
      </x:c>
      <x:c r="M16" s="70">
        <x:v>4.0999999999999996</x:v>
      </x:c>
      <x:c r="N16" s="70">
        <x:v>3</x:v>
      </x:c>
      <x:c r="O16" s="70"/>
      <x:c r="P16" s="70"/>
      <x:c r="Q16" s="70"/>
      <x:c r="R16" s="70"/>
      <x:c r="S16" s="70"/>
      <x:c r="T16" s="70"/>
      <x:c r="U16" s="70">
        <x:v>4</x:v>
      </x:c>
      <x:c r="V16" s="70">
        <x:v>344</x:v>
      </x:c>
      <x:c r="W16" s="70">
        <x:v>20.2</x:v>
      </x:c>
      <x:c r="AM16" s="56"/>
    </x:row>
    <x:row r="17" spans="2:39" ht="15.5" customHeight="1">
      <x:c r="B17" s="69" t="s">
        <x:v>230</x:v>
      </x:c>
      <x:c r="C17" s="70">
        <x:v>17</x:v>
      </x:c>
      <x:c r="D17" s="71">
        <x:v>509</x:v>
      </x:c>
      <x:c r="E17" s="71">
        <x:v>322</x:v>
      </x:c>
      <x:c r="F17" s="71">
        <x:v>3604</x:v>
      </x:c>
      <x:c r="G17" s="22">
        <x:v>212</x:v>
      </x:c>
      <x:c r="H17" s="22">
        <x:v>24</x:v>
      </x:c>
      <x:c r="I17" s="22">
        <x:v>10</x:v>
      </x:c>
      <x:c r="J17" s="22">
        <x:v>91.8</x:v>
      </x:c>
      <x:c r="K17" s="70">
        <x:v>153</x:v>
      </x:c>
      <x:c r="L17" s="70">
        <x:v>630</x:v>
      </x:c>
      <x:c r="M17" s="70">
        <x:v>4.0999999999999996</x:v>
      </x:c>
      <x:c r="N17" s="70">
        <x:v>6</x:v>
      </x:c>
      <x:c r="O17" s="70"/>
      <x:c r="P17" s="70"/>
      <x:c r="Q17" s="70"/>
      <x:c r="R17" s="70"/>
      <x:c r="S17" s="70"/>
      <x:c r="T17" s="70"/>
      <x:c r="U17" s="70">
        <x:v>6</x:v>
      </x:c>
      <x:c r="V17" s="70">
        <x:v>339</x:v>
      </x:c>
      <x:c r="W17" s="70">
        <x:v>19.899999999999999</x:v>
      </x:c>
      <x:c r="AM17" s="56"/>
    </x:row>
    <x:row r="18" spans="2:39" ht="15.5" customHeight="1">
      <x:c r="B18" s="69" t="s">
        <x:v>224</x:v>
      </x:c>
      <x:c r="C18" s="70">
        <x:v>17</x:v>
      </x:c>
      <x:c r="D18" s="71">
        <x:v>573</x:v>
      </x:c>
      <x:c r="E18" s="71">
        <x:v>397</x:v>
      </x:c>
      <x:c r="F18" s="71">
        <x:v>4425</x:v>
      </x:c>
      <x:c r="G18" s="22">
        <x:v>260.3</x:v>
      </x:c>
      <x:c r="H18" s="22">
        <x:v>31</x:v>
      </x:c>
      <x:c r="I18" s="22">
        <x:v>10</x:v>
      </x:c>
      <x:c r="J18" s="22">
        <x:v>102.8</x:v>
      </x:c>
      <x:c r="K18" s="70">
        <x:v>32</x:v>
      </x:c>
      <x:c r="L18" s="70">
        <x:v>41</x:v>
      </x:c>
      <x:c r="M18" s="70">
        <x:v>1.3</x:v>
      </x:c>
      <x:c r="N18" s="70">
        <x:v>1</x:v>
      </x:c>
      <x:c r="O18" s="70"/>
      <x:c r="P18" s="70"/>
      <x:c r="Q18" s="70"/>
      <x:c r="R18" s="70"/>
      <x:c r="S18" s="70"/>
      <x:c r="T18" s="70"/>
      <x:c r="U18" s="70">
        <x:v>3</x:v>
      </x:c>
      <x:c r="V18" s="70">
        <x:v>336</x:v>
      </x:c>
      <x:c r="W18" s="70">
        <x:v>19.8</x:v>
      </x:c>
      <x:c r="AM18" s="56"/>
    </x:row>
    <x:row r="19" spans="2:39" ht="15.5" customHeight="1">
      <x:c r="B19" s="69" t="s">
        <x:v>234</x:v>
      </x:c>
      <x:c r="C19" s="70">
        <x:v>17</x:v>
      </x:c>
      <x:c r="D19" s="71">
        <x:v>557</x:v>
      </x:c>
      <x:c r="E19" s="71">
        <x:v>378</x:v>
      </x:c>
      <x:c r="F19" s="71">
        <x:v>3649</x:v>
      </x:c>
      <x:c r="G19" s="22">
        <x:v>214.6</x:v>
      </x:c>
      <x:c r="H19" s="22">
        <x:v>28</x:v>
      </x:c>
      <x:c r="I19" s="22">
        <x:v>15</x:v>
      </x:c>
      <x:c r="J19" s="22">
        <x:v>91.5</x:v>
      </x:c>
      <x:c r="K19" s="70">
        <x:v>83</x:v>
      </x:c>
      <x:c r="L19" s="70">
        <x:v>435</x:v>
      </x:c>
      <x:c r="M19" s="70">
        <x:v>5.2</x:v>
      </x:c>
      <x:c r="N19" s="70">
        <x:v>4</x:v>
      </x:c>
      <x:c r="O19" s="70"/>
      <x:c r="P19" s="70"/>
      <x:c r="Q19" s="70"/>
      <x:c r="R19" s="70"/>
      <x:c r="S19" s="70"/>
      <x:c r="T19" s="70"/>
      <x:c r="U19" s="70">
        <x:v>0</x:v>
      </x:c>
      <x:c r="V19" s="70">
        <x:v>334</x:v>
      </x:c>
      <x:c r="W19" s="70">
        <x:v>19.600000000000001</x:v>
      </x:c>
      <x:c r="AM19" s="56"/>
    </x:row>
    <x:row r="20" spans="2:39" ht="15.5" customHeight="1">
      <x:c r="B20" s="69" t="s">
        <x:v>228</x:v>
      </x:c>
      <x:c r="C20" s="70">
        <x:v>17</x:v>
      </x:c>
      <x:c r="D20" s="71">
        <x:v>562</x:v>
      </x:c>
      <x:c r="E20" s="71">
        <x:v>381</x:v>
      </x:c>
      <x:c r="F20" s="71">
        <x:v>3986</x:v>
      </x:c>
      <x:c r="G20" s="22">
        <x:v>234.5</x:v>
      </x:c>
      <x:c r="H20" s="22">
        <x:v>28</x:v>
      </x:c>
      <x:c r="I20" s="22">
        <x:v>13</x:v>
      </x:c>
      <x:c r="J20" s="22">
        <x:v>95.1</x:v>
      </x:c>
      <x:c r="K20" s="70">
        <x:v>70</x:v>
      </x:c>
      <x:c r="L20" s="70">
        <x:v>310</x:v>
      </x:c>
      <x:c r="M20" s="70">
        <x:v>4.4000000000000004</x:v>
      </x:c>
      <x:c r="N20" s="70">
        <x:v>5</x:v>
      </x:c>
      <x:c r="O20" s="70"/>
      <x:c r="P20" s="70"/>
      <x:c r="Q20" s="70"/>
      <x:c r="R20" s="70"/>
      <x:c r="S20" s="70"/>
      <x:c r="T20" s="70"/>
      <x:c r="U20" s="70">
        <x:v>6</x:v>
      </x:c>
      <x:c r="V20" s="70">
        <x:v>334</x:v>
      </x:c>
      <x:c r="W20" s="70">
        <x:v>19.600000000000001</x:v>
      </x:c>
      <x:c r="AM20" s="56"/>
    </x:row>
    <x:row r="21" spans="2:39" ht="15.5" customHeight="1">
      <x:c r="B21" s="69" t="s">
        <x:v>222</x:v>
      </x:c>
      <x:c r="C21" s="70">
        <x:v>17</x:v>
      </x:c>
      <x:c r="D21" s="71">
        <x:v>574</x:v>
      </x:c>
      <x:c r="E21" s="71">
        <x:v>375</x:v>
      </x:c>
      <x:c r="F21" s="71">
        <x:v>3955</x:v>
      </x:c>
      <x:c r="G21" s="22">
        <x:v>232.6</x:v>
      </x:c>
      <x:c r="H21" s="22">
        <x:v>28</x:v>
      </x:c>
      <x:c r="I21" s="22">
        <x:v>9</x:v>
      </x:c>
      <x:c r="J21" s="22">
        <x:v>95</x:v>
      </x:c>
      <x:c r="K21" s="70">
        <x:v>65</x:v>
      </x:c>
      <x:c r="L21" s="70">
        <x:v>263</x:v>
      </x:c>
      <x:c r="M21" s="70">
        <x:v>4.0999999999999996</x:v>
      </x:c>
      <x:c r="N21" s="70">
        <x:v>3</x:v>
      </x:c>
      <x:c r="O21" s="70"/>
      <x:c r="P21" s="70"/>
      <x:c r="Q21" s="70"/>
      <x:c r="R21" s="70"/>
      <x:c r="S21" s="70"/>
      <x:c r="T21" s="70"/>
      <x:c r="U21" s="70">
        <x:v>2</x:v>
      </x:c>
      <x:c r="V21" s="70">
        <x:v>333</x:v>
      </x:c>
      <x:c r="W21" s="70">
        <x:v>19.600000000000001</x:v>
      </x:c>
      <x:c r="AM21" s="56"/>
    </x:row>
    <x:row r="22" spans="2:39" ht="15.5" customHeight="1">
      <x:c r="B22" s="69" t="s">
        <x:v>850</x:v>
      </x:c>
      <x:c r="C22" s="70">
        <x:v>17</x:v>
      </x:c>
      <x:c r="D22" s="71">
        <x:v>514</x:v>
      </x:c>
      <x:c r="E22" s="71">
        <x:v>342</x:v>
      </x:c>
      <x:c r="F22" s="71">
        <x:v>4037</x:v>
      </x:c>
      <x:c r="G22" s="22">
        <x:v>237.5</x:v>
      </x:c>
      <x:c r="H22" s="22">
        <x:v>30</x:v>
      </x:c>
      <x:c r="I22" s="22">
        <x:v>7</x:v>
      </x:c>
      <x:c r="J22" s="22">
        <x:v>104</x:v>
      </x:c>
      <x:c r="K22" s="70">
        <x:v>38</x:v>
      </x:c>
      <x:c r="L22" s="70">
        <x:v>111</x:v>
      </x:c>
      <x:c r="M22" s="70">
        <x:v>2.9</x:v>
      </x:c>
      <x:c r="N22" s="70">
        <x:v>2</x:v>
      </x:c>
      <x:c r="O22" s="70"/>
      <x:c r="P22" s="70"/>
      <x:c r="Q22" s="70"/>
      <x:c r="R22" s="70"/>
      <x:c r="S22" s="70"/>
      <x:c r="T22" s="70"/>
      <x:c r="U22" s="70">
        <x:v>6</x:v>
      </x:c>
      <x:c r="V22" s="70">
        <x:v>323</x:v>
      </x:c>
      <x:c r="W22" s="70">
        <x:v>19</x:v>
      </x:c>
      <x:c r="AM22" s="56"/>
    </x:row>
    <x:row r="23" spans="2:39" ht="15.5" customHeight="1">
      <x:c r="B23" s="69" t="s">
        <x:v>235</x:v>
      </x:c>
      <x:c r="C23" s="70">
        <x:v>17</x:v>
      </x:c>
      <x:c r="D23" s="71">
        <x:v>548</x:v>
      </x:c>
      <x:c r="E23" s="71">
        <x:v>368</x:v>
      </x:c>
      <x:c r="F23" s="71">
        <x:v>3924</x:v>
      </x:c>
      <x:c r="G23" s="22">
        <x:v>230.8</x:v>
      </x:c>
      <x:c r="H23" s="22">
        <x:v>32</x:v>
      </x:c>
      <x:c r="I23" s="22">
        <x:v>11</x:v>
      </x:c>
      <x:c r="J23" s="22">
        <x:v>99</x:v>
      </x:c>
      <x:c r="K23" s="70">
        <x:v>32</x:v>
      </x:c>
      <x:c r="L23" s="70">
        <x:v>59</x:v>
      </x:c>
      <x:c r="M23" s="70">
        <x:v>1.8</x:v>
      </x:c>
      <x:c r="N23" s="70">
        <x:v>0</x:v>
      </x:c>
      <x:c r="O23" s="70"/>
      <x:c r="P23" s="70"/>
      <x:c r="Q23" s="70"/>
      <x:c r="R23" s="70"/>
      <x:c r="S23" s="70"/>
      <x:c r="T23" s="70"/>
      <x:c r="U23" s="70">
        <x:v>3</x:v>
      </x:c>
      <x:c r="V23" s="70">
        <x:v>316</x:v>
      </x:c>
      <x:c r="W23" s="70">
        <x:v>18.600000000000001</x:v>
      </x:c>
      <x:c r="AM23" s="56"/>
    </x:row>
    <x:row r="24" spans="2:39" ht="15.5" customHeight="1">
      <x:c r="B24" s="69" t="s">
        <x:v>851</x:v>
      </x:c>
      <x:c r="C24" s="70">
        <x:v>17</x:v>
      </x:c>
      <x:c r="D24" s="71">
        <x:v>526</x:v>
      </x:c>
      <x:c r="E24" s="71">
        <x:v>338</x:v>
      </x:c>
      <x:c r="F24" s="71">
        <x:v>3653</x:v>
      </x:c>
      <x:c r="G24" s="22">
        <x:v>214.9</x:v>
      </x:c>
      <x:c r="H24" s="22">
        <x:v>27</x:v>
      </x:c>
      <x:c r="I24" s="22">
        <x:v>17</x:v>
      </x:c>
      <x:c r="J24" s="22">
        <x:v>88.2</x:v>
      </x:c>
      <x:c r="K24" s="70">
        <x:v>84</x:v>
      </x:c>
      <x:c r="L24" s="70">
        <x:v>407</x:v>
      </x:c>
      <x:c r="M24" s="70">
        <x:v>4.9000000000000004</x:v>
      </x:c>
      <x:c r="N24" s="70">
        <x:v>4</x:v>
      </x:c>
      <x:c r="O24" s="70"/>
      <x:c r="P24" s="70"/>
      <x:c r="Q24" s="70"/>
      <x:c r="R24" s="70"/>
      <x:c r="S24" s="70"/>
      <x:c r="T24" s="70"/>
      <x:c r="U24" s="70">
        <x:v>5</x:v>
      </x:c>
      <x:c r="V24" s="70">
        <x:v>311</x:v>
      </x:c>
      <x:c r="W24" s="70">
        <x:v>18.3</x:v>
      </x:c>
      <x:c r="AM24" s="56"/>
    </x:row>
    <x:row r="25" spans="2:39" ht="15.5" customHeight="1">
      <x:c r="B25" s="69" t="s">
        <x:v>852</x:v>
      </x:c>
      <x:c r="C25" s="70">
        <x:v>17</x:v>
      </x:c>
      <x:c r="D25" s="71">
        <x:v>524</x:v>
      </x:c>
      <x:c r="E25" s="71">
        <x:v>338</x:v>
      </x:c>
      <x:c r="F25" s="71">
        <x:v>3540</x:v>
      </x:c>
      <x:c r="G25" s="22">
        <x:v>208.2</x:v>
      </x:c>
      <x:c r="H25" s="22">
        <x:v>26</x:v>
      </x:c>
      <x:c r="I25" s="22">
        <x:v>19</x:v>
      </x:c>
      <x:c r="J25" s="22">
        <x:v>85.4</x:v>
      </x:c>
      <x:c r="K25" s="70">
        <x:v>111</x:v>
      </x:c>
      <x:c r="L25" s="70">
        <x:v>553</x:v>
      </x:c>
      <x:c r="M25" s="70">
        <x:v>5</x:v>
      </x:c>
      <x:c r="N25" s="70">
        <x:v>4</x:v>
      </x:c>
      <x:c r="O25" s="70"/>
      <x:c r="P25" s="70"/>
      <x:c r="Q25" s="70"/>
      <x:c r="R25" s="70"/>
      <x:c r="S25" s="70"/>
      <x:c r="T25" s="70"/>
      <x:c r="U25" s="70">
        <x:v>6</x:v>
      </x:c>
      <x:c r="V25" s="70">
        <x:v>311</x:v>
      </x:c>
      <x:c r="W25" s="70">
        <x:v>18.3</x:v>
      </x:c>
      <x:c r="AM25" s="56"/>
    </x:row>
    <x:row r="26" spans="2:39" ht="15.5" customHeight="1">
      <x:c r="B26" s="69" t="s">
        <x:v>239</x:v>
      </x:c>
      <x:c r="C26" s="70">
        <x:v>17</x:v>
      </x:c>
      <x:c r="D26" s="71">
        <x:v>571</x:v>
      </x:c>
      <x:c r="E26" s="71">
        <x:v>362</x:v>
      </x:c>
      <x:c r="F26" s="71">
        <x:v>4017</x:v>
      </x:c>
      <x:c r="G26" s="22">
        <x:v>236.3</x:v>
      </x:c>
      <x:c r="H26" s="22">
        <x:v>29</x:v>
      </x:c>
      <x:c r="I26" s="22">
        <x:v>12</x:v>
      </x:c>
      <x:c r="J26" s="22">
        <x:v>92.4</x:v>
      </x:c>
      <x:c r="K26" s="70">
        <x:v>53</x:v>
      </x:c>
      <x:c r="L26" s="70">
        <x:v>150</x:v>
      </x:c>
      <x:c r="M26" s="70">
        <x:v>2.8</x:v>
      </x:c>
      <x:c r="N26" s="70">
        <x:v>1</x:v>
      </x:c>
      <x:c r="O26" s="70"/>
      <x:c r="P26" s="70"/>
      <x:c r="Q26" s="70"/>
      <x:c r="R26" s="70"/>
      <x:c r="S26" s="70"/>
      <x:c r="T26" s="70"/>
      <x:c r="U26" s="70">
        <x:v>3</x:v>
      </x:c>
      <x:c r="V26" s="70">
        <x:v>308</x:v>
      </x:c>
      <x:c r="W26" s="70">
        <x:v>18.100000000000001</x:v>
      </x:c>
      <x:c r="AM26" s="56"/>
    </x:row>
    <x:row r="27" spans="2:39" ht="15.5" customHeight="1">
      <x:c r="B27" s="69" t="s">
        <x:v>233</x:v>
      </x:c>
      <x:c r="C27" s="70">
        <x:v>17</x:v>
      </x:c>
      <x:c r="D27" s="71">
        <x:v>529</x:v>
      </x:c>
      <x:c r="E27" s="71">
        <x:v>367</x:v>
      </x:c>
      <x:c r="F27" s="71">
        <x:v>4301</x:v>
      </x:c>
      <x:c r="G27" s="22">
        <x:v>253</x:v>
      </x:c>
      <x:c r="H27" s="22">
        <x:v>29</x:v>
      </x:c>
      <x:c r="I27" s="22">
        <x:v>14</x:v>
      </x:c>
      <x:c r="J27" s="22">
        <x:v>101</x:v>
      </x:c>
      <x:c r="K27" s="70">
        <x:v>35</x:v>
      </x:c>
      <x:c r="L27" s="70">
        <x:v>94</x:v>
      </x:c>
      <x:c r="M27" s="70">
        <x:v>2.7</x:v>
      </x:c>
      <x:c r="N27" s="70">
        <x:v>0</x:v>
      </x:c>
      <x:c r="O27" s="70"/>
      <x:c r="P27" s="70"/>
      <x:c r="Q27" s="70"/>
      <x:c r="R27" s="70"/>
      <x:c r="S27" s="70"/>
      <x:c r="T27" s="70"/>
      <x:c r="U27" s="70">
        <x:v>4</x:v>
      </x:c>
      <x:c r="V27" s="70">
        <x:v>308</x:v>
      </x:c>
      <x:c r="W27" s="70">
        <x:v>18.100000000000001</x:v>
      </x:c>
      <x:c r="AM27" s="56"/>
    </x:row>
    <x:row r="28" spans="2:39" ht="15.5" customHeight="1">
      <x:c r="B28" s="69" t="s">
        <x:v>223</x:v>
      </x:c>
      <x:c r="C28" s="70">
        <x:v>17</x:v>
      </x:c>
      <x:c r="D28" s="71">
        <x:v>585</x:v>
      </x:c>
      <x:c r="E28" s="71">
        <x:v>344</x:v>
      </x:c>
      <x:c r="F28" s="71">
        <x:v>3903</x:v>
      </x:c>
      <x:c r="G28" s="22">
        <x:v>229.6</x:v>
      </x:c>
      <x:c r="H28" s="22">
        <x:v>27</x:v>
      </x:c>
      <x:c r="I28" s="22">
        <x:v>19</x:v>
      </x:c>
      <x:c r="J28" s="22">
        <x:v>80.7</x:v>
      </x:c>
      <x:c r="K28" s="70">
        <x:v>66</x:v>
      </x:c>
      <x:c r="L28" s="70">
        <x:v>321</x:v>
      </x:c>
      <x:c r="M28" s="70">
        <x:v>4.9000000000000004</x:v>
      </x:c>
      <x:c r="N28" s="70">
        <x:v>2</x:v>
      </x:c>
      <x:c r="O28" s="70"/>
      <x:c r="P28" s="70"/>
      <x:c r="Q28" s="70"/>
      <x:c r="R28" s="70"/>
      <x:c r="S28" s="70"/>
      <x:c r="T28" s="70"/>
      <x:c r="U28" s="70">
        <x:v>4</x:v>
      </x:c>
      <x:c r="V28" s="70">
        <x:v>299</x:v>
      </x:c>
      <x:c r="W28" s="70">
        <x:v>17.600000000000001</x:v>
      </x:c>
      <x:c r="AM28" s="56"/>
    </x:row>
    <x:row r="29" spans="2:39" ht="15.5" customHeight="1">
      <x:c r="B29" s="69" t="s">
        <x:v>229</x:v>
      </x:c>
      <x:c r="C29" s="70">
        <x:v>17</x:v>
      </x:c>
      <x:c r="D29" s="71">
        <x:v>523</x:v>
      </x:c>
      <x:c r="E29" s="71">
        <x:v>347</x:v>
      </x:c>
      <x:c r="F29" s="71">
        <x:v>3758</x:v>
      </x:c>
      <x:c r="G29" s="22">
        <x:v>221.1</x:v>
      </x:c>
      <x:c r="H29" s="22">
        <x:v>28</x:v>
      </x:c>
      <x:c r="I29" s="22">
        <x:v>14</x:v>
      </x:c>
      <x:c r="J29" s="22">
        <x:v>94</x:v>
      </x:c>
      <x:c r="K29" s="70">
        <x:v>43</x:v>
      </x:c>
      <x:c r="L29" s="70">
        <x:v>184</x:v>
      </x:c>
      <x:c r="M29" s="70">
        <x:v>4.3</x:v>
      </x:c>
      <x:c r="N29" s="70">
        <x:v>2</x:v>
      </x:c>
      <x:c r="O29" s="70"/>
      <x:c r="P29" s="70"/>
      <x:c r="Q29" s="70"/>
      <x:c r="R29" s="70"/>
      <x:c r="S29" s="70"/>
      <x:c r="T29" s="70"/>
      <x:c r="U29" s="70">
        <x:v>3</x:v>
      </x:c>
      <x:c r="V29" s="70">
        <x:v>296</x:v>
      </x:c>
      <x:c r="W29" s="70">
        <x:v>17.399999999999999</x:v>
      </x:c>
      <x:c r="AM29" s="56"/>
    </x:row>
    <x:row r="30" spans="2:39" ht="15.5" customHeight="1">
      <x:c r="B30" s="69" t="s">
        <x:v>236</x:v>
      </x:c>
      <x:c r="C30" s="70">
        <x:v>17</x:v>
      </x:c>
      <x:c r="D30" s="71">
        <x:v>556</x:v>
      </x:c>
      <x:c r="E30" s="71">
        <x:v>351</x:v>
      </x:c>
      <x:c r="F30" s="71">
        <x:v>4138</x:v>
      </x:c>
      <x:c r="G30" s="22">
        <x:v>243.4</x:v>
      </x:c>
      <x:c r="H30" s="22">
        <x:v>28</x:v>
      </x:c>
      <x:c r="I30" s="22">
        <x:v>14</x:v>
      </x:c>
      <x:c r="J30" s="22">
        <x:v>92</x:v>
      </x:c>
      <x:c r="K30" s="70">
        <x:v>25</x:v>
      </x:c>
      <x:c r="L30" s="70">
        <x:v>64</x:v>
      </x:c>
      <x:c r="M30" s="70">
        <x:v>2.6</x:v>
      </x:c>
      <x:c r="N30" s="70">
        <x:v>0</x:v>
      </x:c>
      <x:c r="O30" s="70"/>
      <x:c r="P30" s="70"/>
      <x:c r="Q30" s="70"/>
      <x:c r="R30" s="70"/>
      <x:c r="S30" s="70"/>
      <x:c r="T30" s="70"/>
      <x:c r="U30" s="70">
        <x:v>1</x:v>
      </x:c>
      <x:c r="V30" s="70">
        <x:v>295</x:v>
      </x:c>
      <x:c r="W30" s="70">
        <x:v>17.399999999999999</x:v>
      </x:c>
      <x:c r="AM30" s="56"/>
    </x:row>
    <x:row r="31" spans="2:39" ht="15.5" customHeight="1">
      <x:c r="B31" s="69" t="s">
        <x:v>225</x:v>
      </x:c>
      <x:c r="C31" s="70">
        <x:v>17</x:v>
      </x:c>
      <x:c r="D31" s="71">
        <x:v>482</x:v>
      </x:c>
      <x:c r="E31" s="71">
        <x:v>311</x:v>
      </x:c>
      <x:c r="F31" s="71">
        <x:v>3132</x:v>
      </x:c>
      <x:c r="G31" s="22">
        <x:v>184.2</x:v>
      </x:c>
      <x:c r="H31" s="22">
        <x:v>20</x:v>
      </x:c>
      <x:c r="I31" s="22">
        <x:v>15</x:v>
      </x:c>
      <x:c r="J31" s="22">
        <x:v>83.8</x:v>
      </x:c>
      <x:c r="K31" s="70">
        <x:v>106</x:v>
      </x:c>
      <x:c r="L31" s="70">
        <x:v>557</x:v>
      </x:c>
      <x:c r="M31" s="70">
        <x:v>5.3</x:v>
      </x:c>
      <x:c r="N31" s="70">
        <x:v>4</x:v>
      </x:c>
      <x:c r="O31" s="70"/>
      <x:c r="P31" s="70"/>
      <x:c r="Q31" s="70"/>
      <x:c r="R31" s="70"/>
      <x:c r="S31" s="70"/>
      <x:c r="T31" s="70"/>
      <x:c r="U31" s="70">
        <x:v>3</x:v>
      </x:c>
      <x:c r="V31" s="70">
        <x:v>273</x:v>
      </x:c>
      <x:c r="W31" s="70">
        <x:v>16.100000000000001</x:v>
      </x:c>
      <x:c r="AM31" s="56"/>
    </x:row>
    <x:row r="32" spans="2:39" ht="15.5" customHeight="1">
      <x:c r="B32" s="69" t="s">
        <x:v>226</x:v>
      </x:c>
      <x:c r="C32" s="70">
        <x:v>17</x:v>
      </x:c>
      <x:c r="D32" s="71">
        <x:v>557</x:v>
      </x:c>
      <x:c r="E32" s="71">
        <x:v>361</x:v>
      </x:c>
      <x:c r="F32" s="71">
        <x:v>3683</x:v>
      </x:c>
      <x:c r="G32" s="22">
        <x:v>216.6</x:v>
      </x:c>
      <x:c r="H32" s="22">
        <x:v>24</x:v>
      </x:c>
      <x:c r="I32" s="22">
        <x:v>10</x:v>
      </x:c>
      <x:c r="J32" s="22">
        <x:v>90.5</x:v>
      </x:c>
      <x:c r="K32" s="70">
        <x:v>28</x:v>
      </x:c>
      <x:c r="L32" s="70">
        <x:v>74</x:v>
      </x:c>
      <x:c r="M32" s="70">
        <x:v>2.6</x:v>
      </x:c>
      <x:c r="N32" s="70">
        <x:v>2</x:v>
      </x:c>
      <x:c r="O32" s="70"/>
      <x:c r="P32" s="70"/>
      <x:c r="Q32" s="70"/>
      <x:c r="R32" s="70"/>
      <x:c r="S32" s="70"/>
      <x:c r="T32" s="70"/>
      <x:c r="U32" s="70">
        <x:v>2</x:v>
      </x:c>
      <x:c r="V32" s="70">
        <x:v>273</x:v>
      </x:c>
      <x:c r="W32" s="70">
        <x:v>16.100000000000001</x:v>
      </x:c>
      <x:c r="AM32" s="56"/>
    </x:row>
    <x:row r="33" spans="2:39" ht="15.5" customHeight="1">
      <x:c r="B33" s="69" t="s">
        <x:v>853</x:v>
      </x:c>
      <x:c r="C33" s="70">
        <x:v>17</x:v>
      </x:c>
      <x:c r="D33" s="71">
        <x:v>418</x:v>
      </x:c>
      <x:c r="E33" s="71">
        <x:v>261</x:v>
      </x:c>
      <x:c r="F33" s="71">
        <x:v>2851</x:v>
      </x:c>
      <x:c r="G33" s="22">
        <x:v>167.7</x:v>
      </x:c>
      <x:c r="H33" s="22">
        <x:v>19</x:v>
      </x:c>
      <x:c r="I33" s="22">
        <x:v>10</x:v>
      </x:c>
      <x:c r="J33" s="22">
        <x:v>87.7</x:v>
      </x:c>
      <x:c r="K33" s="70">
        <x:v>70</x:v>
      </x:c>
      <x:c r="L33" s="70">
        <x:v>297</x:v>
      </x:c>
      <x:c r="M33" s="70">
        <x:v>4.2</x:v>
      </x:c>
      <x:c r="N33" s="70">
        <x:v>5</x:v>
      </x:c>
      <x:c r="O33" s="70"/>
      <x:c r="P33" s="70"/>
      <x:c r="Q33" s="70"/>
      <x:c r="R33" s="70"/>
      <x:c r="S33" s="70"/>
      <x:c r="T33" s="70"/>
      <x:c r="U33" s="70">
        <x:v>4</x:v>
      </x:c>
      <x:c r="V33" s="70">
        <x:v>241</x:v>
      </x:c>
      <x:c r="W33" s="70">
        <x:v>14.2</x:v>
      </x:c>
      <x:c r="AM33" s="56"/>
    </x:row>
    <x:row r="34" spans="2:39" ht="15.5" customHeight="1">
      <x:c r="B34" s="69" t="s">
        <x:v>243</x:v>
      </x:c>
      <x:c r="C34" s="70">
        <x:v>17</x:v>
      </x:c>
      <x:c r="D34" s="71">
        <x:v>438</x:v>
      </x:c>
      <x:c r="E34" s="71">
        <x:v>283</x:v>
      </x:c>
      <x:c r="F34" s="71">
        <x:v>3278</x:v>
      </x:c>
      <x:c r="G34" s="22">
        <x:v>192.8</x:v>
      </x:c>
      <x:c r="H34" s="22">
        <x:v>21</x:v>
      </x:c>
      <x:c r="I34" s="22">
        <x:v>15</x:v>
      </x:c>
      <x:c r="J34" s="22">
        <x:v>88.8</x:v>
      </x:c>
      <x:c r="K34" s="70">
        <x:v>49</x:v>
      </x:c>
      <x:c r="L34" s="70">
        <x:v>183</x:v>
      </x:c>
      <x:c r="M34" s="70">
        <x:v>3.7</x:v>
      </x:c>
      <x:c r="N34" s="70">
        <x:v>2</x:v>
      </x:c>
      <x:c r="O34" s="70"/>
      <x:c r="P34" s="70"/>
      <x:c r="Q34" s="70"/>
      <x:c r="R34" s="70"/>
      <x:c r="S34" s="70"/>
      <x:c r="T34" s="70"/>
      <x:c r="U34" s="70">
        <x:v>4</x:v>
      </x:c>
      <x:c r="V34" s="70">
        <x:v>231</x:v>
      </x:c>
      <x:c r="W34" s="70">
        <x:v>13.6</x:v>
      </x:c>
      <x:c r="AM34" s="56"/>
    </x:row>
    <x:row r="35" spans="2:39" ht="15.5" customHeight="1">
      <x:c r="B35" s="69" t="s">
        <x:v>854</x:v>
      </x:c>
      <x:c r="C35" s="70">
        <x:v>17</x:v>
      </x:c>
      <x:c r="D35" s="71">
        <x:v>453</x:v>
      </x:c>
      <x:c r="E35" s="71">
        <x:v>294</x:v>
      </x:c>
      <x:c r="F35" s="71">
        <x:v>3224</x:v>
      </x:c>
      <x:c r="G35" s="22">
        <x:v>189.6</x:v>
      </x:c>
      <x:c r="H35" s="22">
        <x:v>20</x:v>
      </x:c>
      <x:c r="I35" s="22">
        <x:v>13</x:v>
      </x:c>
      <x:c r="J35" s="22">
        <x:v>88.6</x:v>
      </x:c>
      <x:c r="K35" s="70">
        <x:v>32</x:v>
      </x:c>
      <x:c r="L35" s="70">
        <x:v>177</x:v>
      </x:c>
      <x:c r="M35" s="70">
        <x:v>5.5</x:v>
      </x:c>
      <x:c r="N35" s="70">
        <x:v>1</x:v>
      </x:c>
      <x:c r="O35" s="70"/>
      <x:c r="P35" s="70"/>
      <x:c r="Q35" s="70"/>
      <x:c r="R35" s="70"/>
      <x:c r="S35" s="70"/>
      <x:c r="T35" s="70"/>
      <x:c r="U35" s="70">
        <x:v>1</x:v>
      </x:c>
      <x:c r="V35" s="70">
        <x:v>228</x:v>
      </x:c>
      <x:c r="W35" s="70">
        <x:v>13.4</x:v>
      </x:c>
      <x:c r="AM35" s="56"/>
    </x:row>
    <x:row r="36" spans="2:39" ht="15.5" customHeight="1">
      <x:c r="B36" s="69" t="s">
        <x:v>232</x:v>
      </x:c>
      <x:c r="C36" s="70">
        <x:v>17</x:v>
      </x:c>
      <x:c r="D36" s="71">
        <x:v>517</x:v>
      </x:c>
      <x:c r="E36" s="71">
        <x:v>311</x:v>
      </x:c>
      <x:c r="F36" s="71">
        <x:v>3044</x:v>
      </x:c>
      <x:c r="G36" s="22">
        <x:v>179.1</x:v>
      </x:c>
      <x:c r="H36" s="22">
        <x:v>20</x:v>
      </x:c>
      <x:c r="I36" s="22">
        <x:v>12</x:v>
      </x:c>
      <x:c r="J36" s="22">
        <x:v>80</x:v>
      </x:c>
      <x:c r="K36" s="70">
        <x:v>38</x:v>
      </x:c>
      <x:c r="L36" s="70">
        <x:v>230</x:v>
      </x:c>
      <x:c r="M36" s="70">
        <x:v>6.1</x:v>
      </x:c>
      <x:c r="N36" s="70">
        <x:v>1</x:v>
      </x:c>
      <x:c r="O36" s="70"/>
      <x:c r="P36" s="70"/>
      <x:c r="Q36" s="70"/>
      <x:c r="R36" s="70"/>
      <x:c r="S36" s="70"/>
      <x:c r="T36" s="70"/>
      <x:c r="U36" s="70">
        <x:v>3</x:v>
      </x:c>
      <x:c r="V36" s="70">
        <x:v>226</x:v>
      </x:c>
      <x:c r="W36" s="70">
        <x:v>13.3</x:v>
      </x:c>
      <x:c r="AM36" s="56"/>
    </x:row>
    <x:row r="37" spans="2:39" ht="15.5" customHeight="1">
      <x:c r="B37" s="69" t="s">
        <x:v>855</x:v>
      </x:c>
      <x:c r="C37" s="70">
        <x:v>17</x:v>
      </x:c>
      <x:c r="D37" s="71">
        <x:v>397</x:v>
      </x:c>
      <x:c r="E37" s="71">
        <x:v>251</x:v>
      </x:c>
      <x:c r="F37" s="71">
        <x:v>2647</x:v>
      </x:c>
      <x:c r="G37" s="22">
        <x:v>155.69999999999999</x:v>
      </x:c>
      <x:c r="H37" s="22">
        <x:v>21</x:v>
      </x:c>
      <x:c r="I37" s="22">
        <x:v>10</x:v>
      </x:c>
      <x:c r="J37" s="22">
        <x:v>89.7</x:v>
      </x:c>
      <x:c r="K37" s="70">
        <x:v>52</x:v>
      </x:c>
      <x:c r="L37" s="70">
        <x:v>216</x:v>
      </x:c>
      <x:c r="M37" s="70">
        <x:v>4.2</x:v>
      </x:c>
      <x:c r="N37" s="70">
        <x:v>1</x:v>
      </x:c>
      <x:c r="O37" s="70"/>
      <x:c r="P37" s="70"/>
      <x:c r="Q37" s="70"/>
      <x:c r="R37" s="70"/>
      <x:c r="S37" s="70"/>
      <x:c r="T37" s="70"/>
      <x:c r="U37" s="70">
        <x:v>3</x:v>
      </x:c>
      <x:c r="V37" s="70">
        <x:v>218</x:v>
      </x:c>
      <x:c r="W37" s="70">
        <x:v>12.8</x:v>
      </x:c>
      <x:c r="AM37" s="56"/>
    </x:row>
    <x:row r="38" spans="2:39" ht="15.5" customHeight="1">
      <x:c r="B38" s="69" t="s">
        <x:v>856</x:v>
      </x:c>
      <x:c r="C38" s="70">
        <x:v>17</x:v>
      </x:c>
      <x:c r="D38" s="71">
        <x:v>389</x:v>
      </x:c>
      <x:c r="E38" s="71">
        <x:v>241</x:v>
      </x:c>
      <x:c r="F38" s="71">
        <x:v>2612</x:v>
      </x:c>
      <x:c r="G38" s="22">
        <x:v>153.6</x:v>
      </x:c>
      <x:c r="H38" s="22">
        <x:v>17</x:v>
      </x:c>
      <x:c r="I38" s="22">
        <x:v>12</x:v>
      </x:c>
      <x:c r="J38" s="22">
        <x:v>83.4</x:v>
      </x:c>
      <x:c r="K38" s="70">
        <x:v>24</x:v>
      </x:c>
      <x:c r="L38" s="70">
        <x:v>57</x:v>
      </x:c>
      <x:c r="M38" s="70">
        <x:v>2.4</x:v>
      </x:c>
      <x:c r="N38" s="70">
        <x:v>1</x:v>
      </x:c>
      <x:c r="O38" s="70"/>
      <x:c r="P38" s="70"/>
      <x:c r="Q38" s="70"/>
      <x:c r="R38" s="70"/>
      <x:c r="S38" s="70"/>
      <x:c r="T38" s="70"/>
      <x:c r="U38" s="70">
        <x:v>3</x:v>
      </x:c>
      <x:c r="V38" s="70">
        <x:v>178</x:v>
      </x:c>
      <x:c r="W38" s="70">
        <x:v>10.5</x:v>
      </x:c>
      <x:c r="AM38" s="56"/>
    </x:row>
    <x:row r="39" spans="2:39" ht="15.5" customHeight="1">
      <x:c r="B39" s="69" t="s">
        <x:v>857</x:v>
      </x:c>
      <x:c r="C39" s="70">
        <x:v>17</x:v>
      </x:c>
      <x:c r="D39" s="71">
        <x:v>332</x:v>
      </x:c>
      <x:c r="E39" s="71">
        <x:v>214</x:v>
      </x:c>
      <x:c r="F39" s="71">
        <x:v>2107</x:v>
      </x:c>
      <x:c r="G39" s="22">
        <x:v>123.9</x:v>
      </x:c>
      <x:c r="H39" s="22">
        <x:v>13</x:v>
      </x:c>
      <x:c r="I39" s="22">
        <x:v>14</x:v>
      </x:c>
      <x:c r="J39" s="22">
        <x:v>77.7</x:v>
      </x:c>
      <x:c r="K39" s="70">
        <x:v>38</x:v>
      </x:c>
      <x:c r="L39" s="70">
        <x:v>155</x:v>
      </x:c>
      <x:c r="M39" s="70">
        <x:v>4.0999999999999996</x:v>
      </x:c>
      <x:c r="N39" s="70">
        <x:v>1</x:v>
      </x:c>
      <x:c r="O39" s="70"/>
      <x:c r="P39" s="70"/>
      <x:c r="Q39" s="70"/>
      <x:c r="R39" s="70"/>
      <x:c r="S39" s="70"/>
      <x:c r="T39" s="70"/>
      <x:c r="U39" s="70">
        <x:v>1</x:v>
      </x:c>
      <x:c r="V39" s="70">
        <x:v>135</x:v>
      </x:c>
      <x:c r="W39" s="70">
        <x:v>7.9</x:v>
      </x:c>
      <x:c r="AM39" s="56"/>
    </x:row>
    <x:row r="40" spans="2:39" ht="15.5" customHeight="1">
      <x:c r="B40" s="69" t="s">
        <x:v>858</x:v>
      </x:c>
      <x:c r="C40" s="70">
        <x:v>17</x:v>
      </x:c>
      <x:c r="D40" s="71">
        <x:v>5</x:v>
      </x:c>
      <x:c r="E40" s="71">
        <x:v>4</x:v>
      </x:c>
      <x:c r="F40" s="71">
        <x:v>38</x:v>
      </x:c>
      <x:c r="G40" s="22">
        <x:v>2.2000000000000002</x:v>
      </x:c>
      <x:c r="H40" s="22">
        <x:v>0</x:v>
      </x:c>
      <x:c r="I40" s="22">
        <x:v>0</x:v>
      </x:c>
      <x:c r="J40" s="22">
        <x:v>98.3</x:v>
      </x:c>
      <x:c r="K40" s="70">
        <x:v>80</x:v>
      </x:c>
      <x:c r="L40" s="70">
        <x:v>405</x:v>
      </x:c>
      <x:c r="M40" s="70">
        <x:v>5.0999999999999996</x:v>
      </x:c>
      <x:c r="N40" s="70">
        <x:v>6</x:v>
      </x:c>
      <x:c r="O40" s="70"/>
      <x:c r="P40" s="70"/>
      <x:c r="Q40" s="70"/>
      <x:c r="R40" s="70"/>
      <x:c r="S40" s="70"/>
      <x:c r="T40" s="70"/>
      <x:c r="U40" s="70">
        <x:v>1</x:v>
      </x:c>
      <x:c r="V40" s="70">
        <x:v>109</x:v>
      </x:c>
      <x:c r="W40" s="70">
        <x:v>6.4</x:v>
      </x:c>
      <x:c r="AM40" s="56"/>
    </x:row>
    <x:row r="41" spans="2:39" ht="15.5" customHeight="1">
      <x:c r="B41" s="69" t="s">
        <x:v>859</x:v>
      </x:c>
      <x:c r="C41" s="70">
        <x:v>17</x:v>
      </x:c>
      <x:c r="D41" s="71">
        <x:v>188</x:v>
      </x:c>
      <x:c r="E41" s="71">
        <x:v>121</x:v>
      </x:c>
      <x:c r="F41" s="71">
        <x:v>1201</x:v>
      </x:c>
      <x:c r="G41" s="22">
        <x:v>70.599999999999994</x:v>
      </x:c>
      <x:c r="H41" s="22">
        <x:v>7</x:v>
      </x:c>
      <x:c r="I41" s="22">
        <x:v>7</x:v>
      </x:c>
      <x:c r="J41" s="22">
        <x:v>79.2</x:v>
      </x:c>
      <x:c r="K41" s="70">
        <x:v>16</x:v>
      </x:c>
      <x:c r="L41" s="70">
        <x:v>69</x:v>
      </x:c>
      <x:c r="M41" s="70">
        <x:v>4.3</x:v>
      </x:c>
      <x:c r="N41" s="70">
        <x:v>0</x:v>
      </x:c>
      <x:c r="O41" s="70"/>
      <x:c r="P41" s="70"/>
      <x:c r="Q41" s="70"/>
      <x:c r="R41" s="70"/>
      <x:c r="S41" s="70"/>
      <x:c r="T41" s="70"/>
      <x:c r="U41" s="70">
        <x:v>1</x:v>
      </x:c>
      <x:c r="V41" s="70">
        <x:v>67</x:v>
      </x:c>
      <x:c r="W41" s="70">
        <x:v>3.9</x:v>
      </x:c>
      <x:c r="AM41" s="56"/>
    </x:row>
    <x:row r="42" spans="2:39" ht="15.5" customHeight="1">
      <x:c r="B42" s="69" t="s">
        <x:v>860</x:v>
      </x:c>
      <x:c r="C42" s="70">
        <x:v>17</x:v>
      </x:c>
      <x:c r="D42" s="71">
        <x:v>148</x:v>
      </x:c>
      <x:c r="E42" s="71">
        <x:v>95</x:v>
      </x:c>
      <x:c r="F42" s="71">
        <x:v>1042</x:v>
      </x:c>
      <x:c r="G42" s="22">
        <x:v>61.3</x:v>
      </x:c>
      <x:c r="H42" s="22">
        <x:v>6</x:v>
      </x:c>
      <x:c r="I42" s="22">
        <x:v>4</x:v>
      </x:c>
      <x:c r="J42" s="22">
        <x:v>87.2</x:v>
      </x:c>
      <x:c r="K42" s="70">
        <x:v>8</x:v>
      </x:c>
      <x:c r="L42" s="70">
        <x:v>15</x:v>
      </x:c>
      <x:c r="M42" s="70">
        <x:v>1.9</x:v>
      </x:c>
      <x:c r="N42" s="70">
        <x:v>0</x:v>
      </x:c>
      <x:c r="O42" s="70"/>
      <x:c r="P42" s="70"/>
      <x:c r="Q42" s="70"/>
      <x:c r="R42" s="70"/>
      <x:c r="S42" s="70"/>
      <x:c r="T42" s="70"/>
      <x:c r="U42" s="70">
        <x:v>0</x:v>
      </x:c>
      <x:c r="V42" s="70">
        <x:v>61</x:v>
      </x:c>
      <x:c r="W42" s="70">
        <x:v>3.6</x:v>
      </x:c>
      <x:c r="AM42" s="56"/>
    </x:row>
    <x:row r="43" spans="2:39" ht="15.5" customHeight="1">
      <x:c r="B43" s="69" t="s">
        <x:v>247</x:v>
      </x:c>
      <x:c r="C43" s="70">
        <x:v>17</x:v>
      </x:c>
      <x:c r="D43" s="71">
        <x:v>130</x:v>
      </x:c>
      <x:c r="E43" s="71">
        <x:v>80</x:v>
      </x:c>
      <x:c r="F43" s="71">
        <x:v>870</x:v>
      </x:c>
      <x:c r="G43" s="22">
        <x:v>51.2</x:v>
      </x:c>
      <x:c r="H43" s="22">
        <x:v>6</x:v>
      </x:c>
      <x:c r="I43" s="22">
        <x:v>4</x:v>
      </x:c>
      <x:c r="J43" s="22">
        <x:v>83.8</x:v>
      </x:c>
      <x:c r="K43" s="70">
        <x:v>7</x:v>
      </x:c>
      <x:c r="L43" s="70">
        <x:v>8</x:v>
      </x:c>
      <x:c r="M43" s="70">
        <x:v>1.1000000000000001</x:v>
      </x:c>
      <x:c r="N43" s="70">
        <x:v>0</x:v>
      </x:c>
      <x:c r="O43" s="70"/>
      <x:c r="P43" s="70"/>
      <x:c r="Q43" s="70"/>
      <x:c r="R43" s="70"/>
      <x:c r="S43" s="70"/>
      <x:c r="T43" s="70"/>
      <x:c r="U43" s="70">
        <x:v>1</x:v>
      </x:c>
      <x:c r="V43" s="70">
        <x:v>54</x:v>
      </x:c>
      <x:c r="W43" s="70">
        <x:v>3.2</x:v>
      </x:c>
      <x:c r="AM43" s="56"/>
    </x:row>
    <x:row r="44" spans="2:39" ht="15.5" customHeight="1">
      <x:c r="B44" s="69" t="s">
        <x:v>244</x:v>
      </x:c>
      <x:c r="C44" s="70">
        <x:v>17</x:v>
      </x:c>
      <x:c r="D44" s="71">
        <x:v>97</x:v>
      </x:c>
      <x:c r="E44" s="71">
        <x:v>62</x:v>
      </x:c>
      <x:c r="F44" s="71">
        <x:v>653</x:v>
      </x:c>
      <x:c r="G44" s="22">
        <x:v>38.4</x:v>
      </x:c>
      <x:c r="H44" s="22">
        <x:v>5</x:v>
      </x:c>
      <x:c r="I44" s="22">
        <x:v>3</x:v>
      </x:c>
      <x:c r="J44" s="22">
        <x:v>87.7</x:v>
      </x:c>
      <x:c r="K44" s="70">
        <x:v>14</x:v>
      </x:c>
      <x:c r="L44" s="70">
        <x:v>50</x:v>
      </x:c>
      <x:c r="M44" s="70">
        <x:v>3.6</x:v>
      </x:c>
      <x:c r="N44" s="70">
        <x:v>0</x:v>
      </x:c>
      <x:c r="O44" s="70"/>
      <x:c r="P44" s="70"/>
      <x:c r="Q44" s="70"/>
      <x:c r="R44" s="70"/>
      <x:c r="S44" s="70"/>
      <x:c r="T44" s="70"/>
      <x:c r="U44" s="70">
        <x:v>1</x:v>
      </x:c>
      <x:c r="V44" s="70">
        <x:v>41</x:v>
      </x:c>
      <x:c r="W44" s="70">
        <x:v>2.4</x:v>
      </x:c>
      <x:c r="AM44" s="56"/>
    </x:row>
    <x:row r="45" spans="2:39" ht="15.5" customHeight="1">
      <x:c r="B45" s="69" t="s">
        <x:v>861</x:v>
      </x:c>
      <x:c r="C45" s="70">
        <x:v>17</x:v>
      </x:c>
      <x:c r="D45" s="71">
        <x:v>73</x:v>
      </x:c>
      <x:c r="E45" s="71">
        <x:v>44</x:v>
      </x:c>
      <x:c r="F45" s="71">
        <x:v>482</x:v>
      </x:c>
      <x:c r="G45" s="22">
        <x:v>28.4</x:v>
      </x:c>
      <x:c r="H45" s="22">
        <x:v>3</x:v>
      </x:c>
      <x:c r="I45" s="22">
        <x:v>2</x:v>
      </x:c>
      <x:c r="J45" s="22">
        <x:v>82.1</x:v>
      </x:c>
      <x:c r="K45" s="70">
        <x:v>34</x:v>
      </x:c>
      <x:c r="L45" s="70">
        <x:v>168</x:v>
      </x:c>
      <x:c r="M45" s="70">
        <x:v>4.9000000000000004</x:v>
      </x:c>
      <x:c r="N45" s="70">
        <x:v>1</x:v>
      </x:c>
      <x:c r="O45" s="70"/>
      <x:c r="P45" s="70"/>
      <x:c r="Q45" s="70"/>
      <x:c r="R45" s="70"/>
      <x:c r="S45" s="70"/>
      <x:c r="T45" s="70"/>
      <x:c r="U45" s="70">
        <x:v>1</x:v>
      </x:c>
      <x:c r="V45" s="70">
        <x:v>38</x:v>
      </x:c>
      <x:c r="W45" s="70">
        <x:v>2.2000000000000002</x:v>
      </x:c>
      <x:c r="AM45" s="56"/>
    </x:row>
    <x:row r="46" spans="2:39" ht="15.5" customHeight="1">
      <x:c r="B46" s="69" t="s">
        <x:v>862</x:v>
      </x:c>
      <x:c r="C46" s="70">
        <x:v>17</x:v>
      </x:c>
      <x:c r="D46" s="71">
        <x:v>23</x:v>
      </x:c>
      <x:c r="E46" s="71">
        <x:v>16</x:v>
      </x:c>
      <x:c r="F46" s="71">
        <x:v>178</x:v>
      </x:c>
      <x:c r="G46" s="22">
        <x:v>10.5</x:v>
      </x:c>
      <x:c r="H46" s="22">
        <x:v>1</x:v>
      </x:c>
      <x:c r="I46" s="22">
        <x:v>0</x:v>
      </x:c>
      <x:c r="J46" s="22">
        <x:v>106.8</x:v>
      </x:c>
      <x:c r="K46" s="70">
        <x:v>5</x:v>
      </x:c>
      <x:c r="L46" s="70">
        <x:v>21</x:v>
      </x:c>
      <x:c r="M46" s="70">
        <x:v>4.2</x:v>
      </x:c>
      <x:c r="N46" s="70">
        <x:v>0</x:v>
      </x:c>
      <x:c r="O46" s="70"/>
      <x:c r="P46" s="70"/>
      <x:c r="Q46" s="70"/>
      <x:c r="R46" s="70"/>
      <x:c r="S46" s="70"/>
      <x:c r="T46" s="70"/>
      <x:c r="U46" s="70">
        <x:v>0</x:v>
      </x:c>
      <x:c r="V46" s="70">
        <x:v>9</x:v>
      </x:c>
      <x:c r="W46" s="70">
        <x:v>0.5</x:v>
      </x:c>
      <x:c r="AM46" s="56"/>
    </x:row>
    <x:row r="47" spans="2:39" ht="15.5" customHeight="1">
      <x:c r="B47" s="69" t="s">
        <x:v>863</x:v>
      </x:c>
      <x:c r="C47" s="70">
        <x:v>17</x:v>
      </x:c>
      <x:c r="D47" s="71">
        <x:v>23</x:v>
      </x:c>
      <x:c r="E47" s="71">
        <x:v>14</x:v>
      </x:c>
      <x:c r="F47" s="71">
        <x:v>148</x:v>
      </x:c>
      <x:c r="G47" s="22">
        <x:v>8.6999999999999993</x:v>
      </x:c>
      <x:c r="H47" s="22">
        <x:v>1</x:v>
      </x:c>
      <x:c r="I47" s="22">
        <x:v>0</x:v>
      </x:c>
      <x:c r="J47" s="22">
        <x:v>94.1</x:v>
      </x:c>
      <x:c r="K47" s="70">
        <x:v>4</x:v>
      </x:c>
      <x:c r="L47" s="70">
        <x:v>22</x:v>
      </x:c>
      <x:c r="M47" s="70">
        <x:v>5.5</x:v>
      </x:c>
      <x:c r="N47" s="70">
        <x:v>0</x:v>
      </x:c>
      <x:c r="O47" s="70"/>
      <x:c r="P47" s="70"/>
      <x:c r="Q47" s="70"/>
      <x:c r="R47" s="70"/>
      <x:c r="S47" s="70"/>
      <x:c r="T47" s="70"/>
      <x:c r="U47" s="70">
        <x:v>0</x:v>
      </x:c>
      <x:c r="V47" s="70">
        <x:v>9</x:v>
      </x:c>
      <x:c r="W47" s="70">
        <x:v>0.5</x:v>
      </x:c>
      <x:c r="AM47" s="56"/>
    </x:row>
    <x:row r="48" spans="2:39" ht="15.5" customHeight="1">
      <x:c r="B48" s="69" t="s">
        <x:v>864</x:v>
      </x:c>
      <x:c r="C48" s="70">
        <x:v>17</x:v>
      </x:c>
      <x:c r="D48" s="71">
        <x:v>19</x:v>
      </x:c>
      <x:c r="E48" s="71">
        <x:v>13</x:v>
      </x:c>
      <x:c r="F48" s="71">
        <x:v>172</x:v>
      </x:c>
      <x:c r="G48" s="22">
        <x:v>10.1</x:v>
      </x:c>
      <x:c r="H48" s="22">
        <x:v>1</x:v>
      </x:c>
      <x:c r="I48" s="22">
        <x:v>0</x:v>
      </x:c>
      <x:c r="J48" s="22">
        <x:v>114.4</x:v>
      </x:c>
      <x:c r="K48" s="70">
        <x:v>5</x:v>
      </x:c>
      <x:c r="L48" s="70">
        <x:v>21</x:v>
      </x:c>
      <x:c r="M48" s="70">
        <x:v>4.2</x:v>
      </x:c>
      <x:c r="N48" s="70">
        <x:v>0</x:v>
      </x:c>
      <x:c r="O48" s="70"/>
      <x:c r="P48" s="70"/>
      <x:c r="Q48" s="70"/>
      <x:c r="R48" s="70"/>
      <x:c r="S48" s="70"/>
      <x:c r="T48" s="70"/>
      <x:c r="U48" s="70">
        <x:v>0</x:v>
      </x:c>
      <x:c r="V48" s="70">
        <x:v>9</x:v>
      </x:c>
      <x:c r="W48" s="70">
        <x:v>0.5</x:v>
      </x:c>
      <x:c r="AM48" s="56"/>
    </x:row>
    <x:row r="49" spans="2:39" ht="15.5" customHeight="1">
      <x:c r="B49" s="69" t="s">
        <x:v>865</x:v>
      </x:c>
      <x:c r="C49" s="70">
        <x:v>17</x:v>
      </x:c>
      <x:c r="D49" s="71">
        <x:v>19</x:v>
      </x:c>
      <x:c r="E49" s="71">
        <x:v>12</x:v>
      </x:c>
      <x:c r="F49" s="71">
        <x:v>149</x:v>
      </x:c>
      <x:c r="G49" s="22">
        <x:v>8.8000000000000007</x:v>
      </x:c>
      <x:c r="H49" s="22">
        <x:v>1</x:v>
      </x:c>
      <x:c r="I49" s="22">
        <x:v>0</x:v>
      </x:c>
      <x:c r="J49" s="22">
        <x:v>104.9</x:v>
      </x:c>
      <x:c r="K49" s="70">
        <x:v>5</x:v>
      </x:c>
      <x:c r="L49" s="70">
        <x:v>26</x:v>
      </x:c>
      <x:c r="M49" s="70">
        <x:v>5.2</x:v>
      </x:c>
      <x:c r="N49" s="70">
        <x:v>0</x:v>
      </x:c>
      <x:c r="O49" s="70"/>
      <x:c r="P49" s="70"/>
      <x:c r="Q49" s="70"/>
      <x:c r="R49" s="70"/>
      <x:c r="S49" s="70"/>
      <x:c r="T49" s="70"/>
      <x:c r="U49" s="70">
        <x:v>0</x:v>
      </x:c>
      <x:c r="V49" s="70">
        <x:v>9</x:v>
      </x:c>
      <x:c r="W49" s="70">
        <x:v>0.5</x:v>
      </x:c>
      <x:c r="AM49" s="56"/>
    </x:row>
    <x:row r="50" spans="2:39" ht="15.5" customHeight="1">
      <x:c r="B50" s="69" t="s">
        <x:v>246</x:v>
      </x:c>
      <x:c r="C50" s="70">
        <x:v>17</x:v>
      </x:c>
      <x:c r="D50" s="71">
        <x:v>21</x:v>
      </x:c>
      <x:c r="E50" s="71">
        <x:v>12</x:v>
      </x:c>
      <x:c r="F50" s="71">
        <x:v>122</x:v>
      </x:c>
      <x:c r="G50" s="22">
        <x:v>7.2</x:v>
      </x:c>
      <x:c r="H50" s="22">
        <x:v>1</x:v>
      </x:c>
      <x:c r="I50" s="22">
        <x:v>0</x:v>
      </x:c>
      <x:c r="J50" s="22">
        <x:v>89.8</x:v>
      </x:c>
      <x:c r="K50" s="70">
        <x:v>4</x:v>
      </x:c>
      <x:c r="L50" s="70">
        <x:v>17</x:v>
      </x:c>
      <x:c r="M50" s="70">
        <x:v>4.3</x:v>
      </x:c>
      <x:c r="N50" s="70">
        <x:v>0</x:v>
      </x:c>
      <x:c r="O50" s="70"/>
      <x:c r="P50" s="70"/>
      <x:c r="Q50" s="70"/>
      <x:c r="R50" s="70"/>
      <x:c r="S50" s="70"/>
      <x:c r="T50" s="70"/>
      <x:c r="U50" s="70">
        <x:v>0</x:v>
      </x:c>
      <x:c r="V50" s="70">
        <x:v>9</x:v>
      </x:c>
      <x:c r="W50" s="70">
        <x:v>0.5</x:v>
      </x:c>
      <x:c r="AM50" s="56"/>
    </x:row>
    <x:row r="51" spans="2:39" ht="15.5" customHeight="1">
      <x:c r="B51" s="69" t="s">
        <x:v>866</x:v>
      </x:c>
      <x:c r="C51" s="70">
        <x:v>17</x:v>
      </x:c>
      <x:c r="D51" s="71">
        <x:v>17</x:v>
      </x:c>
      <x:c r="E51" s="71">
        <x:v>11</x:v>
      </x:c>
      <x:c r="F51" s="71">
        <x:v>120</x:v>
      </x:c>
      <x:c r="G51" s="22">
        <x:v>7.1</x:v>
      </x:c>
      <x:c r="H51" s="22">
        <x:v>1</x:v>
      </x:c>
      <x:c r="I51" s="22">
        <x:v>0</x:v>
      </x:c>
      <x:c r="J51" s="22">
        <x:v>105</x:v>
      </x:c>
      <x:c r="K51" s="70">
        <x:v>2</x:v>
      </x:c>
      <x:c r="L51" s="70">
        <x:v>8</x:v>
      </x:c>
      <x:c r="M51" s="70">
        <x:v>4</x:v>
      </x:c>
      <x:c r="N51" s="70">
        <x:v>0</x:v>
      </x:c>
      <x:c r="O51" s="70"/>
      <x:c r="P51" s="70"/>
      <x:c r="Q51" s="70"/>
      <x:c r="R51" s="70"/>
      <x:c r="S51" s="70"/>
      <x:c r="T51" s="70"/>
      <x:c r="U51" s="70">
        <x:v>0</x:v>
      </x:c>
      <x:c r="V51" s="70">
        <x:v>8</x:v>
      </x:c>
      <x:c r="W51" s="70">
        <x:v>0.5</x:v>
      </x:c>
      <x:c r="AM51" s="56"/>
    </x:row>
    <x:row r="52" spans="2:39" ht="15.5" customHeight="1">
      <x:c r="B52" s="69" t="s">
        <x:v>867</x:v>
      </x:c>
      <x:c r="C52" s="70">
        <x:v>17</x:v>
      </x:c>
      <x:c r="D52" s="71">
        <x:v>16</x:v>
      </x:c>
      <x:c r="E52" s="71">
        <x:v>10</x:v>
      </x:c>
      <x:c r="F52" s="71">
        <x:v>124</x:v>
      </x:c>
      <x:c r="G52" s="22">
        <x:v>7.3</x:v>
      </x:c>
      <x:c r="H52" s="22">
        <x:v>1</x:v>
      </x:c>
      <x:c r="I52" s="22">
        <x:v>0</x:v>
      </x:c>
      <x:c r="J52" s="22">
        <x:v>107.3</x:v>
      </x:c>
      <x:c r="K52" s="70">
        <x:v>2</x:v>
      </x:c>
      <x:c r="L52" s="70">
        <x:v>10</x:v>
      </x:c>
      <x:c r="M52" s="70">
        <x:v>5</x:v>
      </x:c>
      <x:c r="N52" s="70">
        <x:v>0</x:v>
      </x:c>
      <x:c r="O52" s="70"/>
      <x:c r="P52" s="70"/>
      <x:c r="Q52" s="70"/>
      <x:c r="R52" s="70"/>
      <x:c r="S52" s="70"/>
      <x:c r="T52" s="70"/>
      <x:c r="U52" s="70">
        <x:v>0</x:v>
      </x:c>
      <x:c r="V52" s="70">
        <x:v>8</x:v>
      </x:c>
      <x:c r="W52" s="70">
        <x:v>0.5</x:v>
      </x:c>
      <x:c r="AM52" s="56"/>
    </x:row>
    <x:row r="53" spans="2:39" ht="15.5" customHeight="1">
      <x:c r="B53" s="69" t="s">
        <x:v>868</x:v>
      </x:c>
      <x:c r="C53" s="70">
        <x:v>17</x:v>
      </x:c>
      <x:c r="D53" s="71">
        <x:v>16</x:v>
      </x:c>
      <x:c r="E53" s="71">
        <x:v>11</x:v>
      </x:c>
      <x:c r="F53" s="71">
        <x:v>122</x:v>
      </x:c>
      <x:c r="G53" s="22">
        <x:v>7.2</x:v>
      </x:c>
      <x:c r="H53" s="22">
        <x:v>1</x:v>
      </x:c>
      <x:c r="I53" s="22">
        <x:v>0</x:v>
      </x:c>
      <x:c r="J53" s="22">
        <x:v>112</x:v>
      </x:c>
      <x:c r="K53" s="70">
        <x:v>2</x:v>
      </x:c>
      <x:c r="L53" s="70">
        <x:v>8</x:v>
      </x:c>
      <x:c r="M53" s="70">
        <x:v>4</x:v>
      </x:c>
      <x:c r="N53" s="70">
        <x:v>0</x:v>
      </x:c>
      <x:c r="O53" s="70"/>
      <x:c r="P53" s="70"/>
      <x:c r="Q53" s="70"/>
      <x:c r="R53" s="70"/>
      <x:c r="S53" s="70"/>
      <x:c r="T53" s="70"/>
      <x:c r="U53" s="70">
        <x:v>0</x:v>
      </x:c>
      <x:c r="V53" s="70">
        <x:v>8</x:v>
      </x:c>
      <x:c r="W53" s="70">
        <x:v>0.5</x:v>
      </x:c>
      <x:c r="AM53" s="56"/>
    </x:row>
    <x:row r="54" spans="2:39" ht="15.5" customHeight="1">
      <x:c r="B54" s="69" t="s">
        <x:v>248</x:v>
      </x:c>
      <x:c r="C54" s="70">
        <x:v>17</x:v>
      </x:c>
      <x:c r="D54" s="71">
        <x:v>22</x:v>
      </x:c>
      <x:c r="E54" s="71">
        <x:v>13</x:v>
      </x:c>
      <x:c r="F54" s="71">
        <x:v>157</x:v>
      </x:c>
      <x:c r="G54" s="22">
        <x:v>9.1999999999999993</x:v>
      </x:c>
      <x:c r="H54" s="22">
        <x:v>1</x:v>
      </x:c>
      <x:c r="I54" s="22">
        <x:v>0</x:v>
      </x:c>
      <x:c r="J54" s="22">
        <x:v>96.2</x:v>
      </x:c>
      <x:c r="K54" s="70">
        <x:v>4</x:v>
      </x:c>
      <x:c r="L54" s="70">
        <x:v>14</x:v>
      </x:c>
      <x:c r="M54" s="70">
        <x:v>3.5</x:v>
      </x:c>
      <x:c r="N54" s="70">
        <x:v>0</x:v>
      </x:c>
      <x:c r="O54" s="70"/>
      <x:c r="P54" s="70"/>
      <x:c r="Q54" s="70"/>
      <x:c r="R54" s="70"/>
      <x:c r="S54" s="70"/>
      <x:c r="T54" s="70"/>
      <x:c r="U54" s="70">
        <x:v>0</x:v>
      </x:c>
      <x:c r="V54" s="70">
        <x:v>8</x:v>
      </x:c>
      <x:c r="W54" s="70">
        <x:v>0.5</x:v>
      </x:c>
      <x:c r="AM54" s="56"/>
    </x:row>
    <x:row r="55" spans="2:39" ht="15.5" customHeight="1">
      <x:c r="B55" s="69" t="s">
        <x:v>869</x:v>
      </x:c>
      <x:c r="C55" s="70">
        <x:v>17</x:v>
      </x:c>
      <x:c r="D55" s="71">
        <x:v>16</x:v>
      </x:c>
      <x:c r="E55" s="71">
        <x:v>10</x:v>
      </x:c>
      <x:c r="F55" s="71">
        <x:v>124</x:v>
      </x:c>
      <x:c r="G55" s="22">
        <x:v>7.3</x:v>
      </x:c>
      <x:c r="H55" s="22">
        <x:v>1</x:v>
      </x:c>
      <x:c r="I55" s="22">
        <x:v>0</x:v>
      </x:c>
      <x:c r="J55" s="22">
        <x:v>107.3</x:v>
      </x:c>
      <x:c r="K55" s="70">
        <x:v>2</x:v>
      </x:c>
      <x:c r="L55" s="70">
        <x:v>10</x:v>
      </x:c>
      <x:c r="M55" s="70">
        <x:v>5</x:v>
      </x:c>
      <x:c r="N55" s="70">
        <x:v>0</x:v>
      </x:c>
      <x:c r="O55" s="70"/>
      <x:c r="P55" s="70"/>
      <x:c r="Q55" s="70"/>
      <x:c r="R55" s="70"/>
      <x:c r="S55" s="70"/>
      <x:c r="T55" s="70"/>
      <x:c r="U55" s="70">
        <x:v>0</x:v>
      </x:c>
      <x:c r="V55" s="70">
        <x:v>8</x:v>
      </x:c>
      <x:c r="W55" s="70">
        <x:v>0.5</x:v>
      </x:c>
      <x:c r="AM55" s="56"/>
    </x:row>
    <x:row r="56" spans="2:39" ht="15.5" customHeight="1">
      <x:c r="B56" s="69" t="s">
        <x:v>870</x:v>
      </x:c>
      <x:c r="C56" s="70">
        <x:v>17</x:v>
      </x:c>
      <x:c r="D56" s="71">
        <x:v>16</x:v>
      </x:c>
      <x:c r="E56" s="71">
        <x:v>11</x:v>
      </x:c>
      <x:c r="F56" s="71">
        <x:v>129</x:v>
      </x:c>
      <x:c r="G56" s="22">
        <x:v>7.6</x:v>
      </x:c>
      <x:c r="H56" s="22">
        <x:v>1</x:v>
      </x:c>
      <x:c r="I56" s="22">
        <x:v>0</x:v>
      </x:c>
      <x:c r="J56" s="22">
        <x:v>113.8</x:v>
      </x:c>
      <x:c r="K56" s="70">
        <x:v>2</x:v>
      </x:c>
      <x:c r="L56" s="70">
        <x:v>9</x:v>
      </x:c>
      <x:c r="M56" s="70">
        <x:v>4.5</x:v>
      </x:c>
      <x:c r="N56" s="70">
        <x:v>0</x:v>
      </x:c>
      <x:c r="O56" s="70"/>
      <x:c r="P56" s="70"/>
      <x:c r="Q56" s="70"/>
      <x:c r="R56" s="70"/>
      <x:c r="S56" s="70"/>
      <x:c r="T56" s="70"/>
      <x:c r="U56" s="70">
        <x:v>0</x:v>
      </x:c>
      <x:c r="V56" s="70">
        <x:v>8</x:v>
      </x:c>
      <x:c r="W56" s="70">
        <x:v>0.5</x:v>
      </x:c>
      <x:c r="AM56" s="56"/>
    </x:row>
    <x:row r="57" spans="2:39" ht="15.5" customHeight="1">
      <x:c r="B57" s="69" t="s">
        <x:v>871</x:v>
      </x:c>
      <x:c r="C57" s="70">
        <x:v>17</x:v>
      </x:c>
      <x:c r="D57" s="71">
        <x:v>23</x:v>
      </x:c>
      <x:c r="E57" s="71">
        <x:v>15</x:v>
      </x:c>
      <x:c r="F57" s="71">
        <x:v>150</x:v>
      </x:c>
      <x:c r="G57" s="22">
        <x:v>8.8000000000000007</x:v>
      </x:c>
      <x:c r="H57" s="22">
        <x:v>1</x:v>
      </x:c>
      <x:c r="I57" s="22">
        <x:v>0</x:v>
      </x:c>
      <x:c r="J57" s="22">
        <x:v>98.1</x:v>
      </x:c>
      <x:c r="K57" s="70">
        <x:v>4</x:v>
      </x:c>
      <x:c r="L57" s="70">
        <x:v>15</x:v>
      </x:c>
      <x:c r="M57" s="70">
        <x:v>3.8</x:v>
      </x:c>
      <x:c r="N57" s="70">
        <x:v>0</x:v>
      </x:c>
      <x:c r="O57" s="70"/>
      <x:c r="P57" s="70"/>
      <x:c r="Q57" s="70"/>
      <x:c r="R57" s="70"/>
      <x:c r="S57" s="70"/>
      <x:c r="T57" s="70"/>
      <x:c r="U57" s="70">
        <x:v>0</x:v>
      </x:c>
      <x:c r="V57" s="70">
        <x:v>8</x:v>
      </x:c>
      <x:c r="W57" s="70">
        <x:v>0.5</x:v>
      </x:c>
      <x:c r="AM57" s="56"/>
    </x:row>
    <x:row r="58" spans="2:39" ht="15.5" customHeight="1">
      <x:c r="B58" s="69" t="s">
        <x:v>872</x:v>
      </x:c>
      <x:c r="C58" s="70">
        <x:v>17</x:v>
      </x:c>
      <x:c r="D58" s="71">
        <x:v>16</x:v>
      </x:c>
      <x:c r="E58" s="71">
        <x:v>10</x:v>
      </x:c>
      <x:c r="F58" s="71">
        <x:v>107</x:v>
      </x:c>
      <x:c r="G58" s="22">
        <x:v>6.3</x:v>
      </x:c>
      <x:c r="H58" s="22">
        <x:v>1</x:v>
      </x:c>
      <x:c r="I58" s="22">
        <x:v>0</x:v>
      </x:c>
      <x:c r="J58" s="22">
        <x:v>102.9</x:v>
      </x:c>
      <x:c r="K58" s="70">
        <x:v>2</x:v>
      </x:c>
      <x:c r="L58" s="70">
        <x:v>7</x:v>
      </x:c>
      <x:c r="M58" s="70">
        <x:v>3.5</x:v>
      </x:c>
      <x:c r="N58" s="70">
        <x:v>0</x:v>
      </x:c>
      <x:c r="O58" s="70"/>
      <x:c r="P58" s="70"/>
      <x:c r="Q58" s="70"/>
      <x:c r="R58" s="70"/>
      <x:c r="S58" s="70"/>
      <x:c r="T58" s="70"/>
      <x:c r="U58" s="70">
        <x:v>0</x:v>
      </x:c>
      <x:c r="V58" s="70">
        <x:v>8</x:v>
      </x:c>
      <x:c r="W58" s="70">
        <x:v>0.5</x:v>
      </x:c>
      <x:c r="AM58" s="56"/>
    </x:row>
    <x:row r="59" spans="2:39" ht="15.5" customHeight="1">
      <x:c r="B59" s="69" t="s">
        <x:v>241</x:v>
      </x:c>
      <x:c r="C59" s="70">
        <x:v>17</x:v>
      </x:c>
      <x:c r="D59" s="71">
        <x:v>19</x:v>
      </x:c>
      <x:c r="E59" s="71">
        <x:v>10</x:v>
      </x:c>
      <x:c r="F59" s="71">
        <x:v>100</x:v>
      </x:c>
      <x:c r="G59" s="22">
        <x:v>5.9</x:v>
      </x:c>
      <x:c r="H59" s="22">
        <x:v>1</x:v>
      </x:c>
      <x:c r="I59" s="22">
        <x:v>0</x:v>
      </x:c>
      <x:c r="J59" s="22">
        <x:v>85.4</x:v>
      </x:c>
      <x:c r="K59" s="70">
        <x:v>4</x:v>
      </x:c>
      <x:c r="L59" s="70">
        <x:v>3</x:v>
      </x:c>
      <x:c r="M59" s="70">
        <x:v>0.8</x:v>
      </x:c>
      <x:c r="N59" s="70">
        <x:v>0</x:v>
      </x:c>
      <x:c r="O59" s="70"/>
      <x:c r="P59" s="70"/>
      <x:c r="Q59" s="70"/>
      <x:c r="R59" s="70"/>
      <x:c r="S59" s="70"/>
      <x:c r="T59" s="70"/>
      <x:c r="U59" s="70">
        <x:v>0</x:v>
      </x:c>
      <x:c r="V59" s="70">
        <x:v>7</x:v>
      </x:c>
      <x:c r="W59" s="70">
        <x:v>0.4</x:v>
      </x:c>
      <x:c r="AM59" s="56"/>
    </x:row>
    <x:row r="60" spans="2:39" ht="15.5" customHeight="1">
      <x:c r="B60" s="69" t="s">
        <x:v>873</x:v>
      </x:c>
      <x:c r="C60" s="70">
        <x:v>17</x:v>
      </x:c>
      <x:c r="D60" s="71">
        <x:v>22</x:v>
      </x:c>
      <x:c r="E60" s="71">
        <x:v>14</x:v>
      </x:c>
      <x:c r="F60" s="71">
        <x:v>154</x:v>
      </x:c>
      <x:c r="G60" s="22">
        <x:v>9.1</x:v>
      </x:c>
      <x:c r="H60" s="22">
        <x:v>1</x:v>
      </x:c>
      <x:c r="I60" s="22">
        <x:v>1</x:v>
      </x:c>
      <x:c r="J60" s="22">
        <x:v>80.5</x:v>
      </x:c>
      <x:c r="K60" s="70">
        <x:v>5</x:v>
      </x:c>
      <x:c r="L60" s="70">
        <x:v>22</x:v>
      </x:c>
      <x:c r="M60" s="70">
        <x:v>4.4000000000000004</x:v>
      </x:c>
      <x:c r="N60" s="70">
        <x:v>0</x:v>
      </x:c>
      <x:c r="O60" s="70"/>
      <x:c r="P60" s="70"/>
      <x:c r="Q60" s="70"/>
      <x:c r="R60" s="70"/>
      <x:c r="S60" s="70"/>
      <x:c r="T60" s="70"/>
      <x:c r="U60" s="70">
        <x:v>0</x:v>
      </x:c>
      <x:c r="V60" s="70">
        <x:v>7</x:v>
      </x:c>
      <x:c r="W60" s="70">
        <x:v>0.4</x:v>
      </x:c>
      <x:c r="AM60" s="56"/>
    </x:row>
    <x:row r="61" spans="2:39" ht="15.5" customHeight="1">
      <x:c r="B61" s="69" t="s">
        <x:v>874</x:v>
      </x:c>
      <x:c r="C61" s="70">
        <x:v>17</x:v>
      </x:c>
      <x:c r="D61" s="71">
        <x:v>24</x:v>
      </x:c>
      <x:c r="E61" s="71">
        <x:v>14</x:v>
      </x:c>
      <x:c r="F61" s="71">
        <x:v>159</x:v>
      </x:c>
      <x:c r="G61" s="22">
        <x:v>9.4</x:v>
      </x:c>
      <x:c r="H61" s="22">
        <x:v>1</x:v>
      </x:c>
      <x:c r="I61" s="22">
        <x:v>1</x:v>
      </x:c>
      <x:c r="J61" s="22">
        <x:v>74.8</x:v>
      </x:c>
      <x:c r="K61" s="70">
        <x:v>5</x:v>
      </x:c>
      <x:c r="L61" s="70">
        <x:v>20</x:v>
      </x:c>
      <x:c r="M61" s="70">
        <x:v>4</x:v>
      </x:c>
      <x:c r="N61" s="70">
        <x:v>0</x:v>
      </x:c>
      <x:c r="O61" s="70"/>
      <x:c r="P61" s="70"/>
      <x:c r="Q61" s="70"/>
      <x:c r="R61" s="70"/>
      <x:c r="S61" s="70"/>
      <x:c r="T61" s="70"/>
      <x:c r="U61" s="70">
        <x:v>0</x:v>
      </x:c>
      <x:c r="V61" s="70">
        <x:v>7</x:v>
      </x:c>
      <x:c r="W61" s="70">
        <x:v>0.4</x:v>
      </x:c>
      <x:c r="AM61" s="56"/>
    </x:row>
    <x:row r="62" spans="2:39" ht="15.5" customHeight="1">
      <x:c r="B62" s="69" t="s">
        <x:v>875</x:v>
      </x:c>
      <x:c r="C62" s="70">
        <x:v>17</x:v>
      </x:c>
      <x:c r="D62" s="71">
        <x:v>24</x:v>
      </x:c>
      <x:c r="E62" s="71">
        <x:v>15</x:v>
      </x:c>
      <x:c r="F62" s="71">
        <x:v>159</x:v>
      </x:c>
      <x:c r="G62" s="22">
        <x:v>9.4</x:v>
      </x:c>
      <x:c r="H62" s="22">
        <x:v>1</x:v>
      </x:c>
      <x:c r="I62" s="22">
        <x:v>1</x:v>
      </x:c>
      <x:c r="J62" s="22">
        <x:v>78.3</x:v>
      </x:c>
      <x:c r="K62" s="70">
        <x:v>5</x:v>
      </x:c>
      <x:c r="L62" s="70">
        <x:v>18</x:v>
      </x:c>
      <x:c r="M62" s="70">
        <x:v>3.6</x:v>
      </x:c>
      <x:c r="N62" s="70">
        <x:v>0</x:v>
      </x:c>
      <x:c r="O62" s="70"/>
      <x:c r="P62" s="70"/>
      <x:c r="Q62" s="70"/>
      <x:c r="R62" s="70"/>
      <x:c r="S62" s="70"/>
      <x:c r="T62" s="70"/>
      <x:c r="U62" s="70">
        <x:v>0</x:v>
      </x:c>
      <x:c r="V62" s="70">
        <x:v>7</x:v>
      </x:c>
      <x:c r="W62" s="70">
        <x:v>0.4</x:v>
      </x:c>
      <x:c r="AM62" s="56"/>
    </x:row>
    <x:row r="63" spans="2:39" ht="15.5" customHeight="1">
      <x:c r="B63" s="69" t="s">
        <x:v>876</x:v>
      </x:c>
      <x:c r="C63" s="70">
        <x:v>17</x:v>
      </x:c>
      <x:c r="D63" s="71">
        <x:v>21</x:v>
      </x:c>
      <x:c r="E63" s="71">
        <x:v>14</x:v>
      </x:c>
      <x:c r="F63" s="71">
        <x:v>162</x:v>
      </x:c>
      <x:c r="G63" s="22">
        <x:v>9.5</x:v>
      </x:c>
      <x:c r="H63" s="22">
        <x:v>1</x:v>
      </x:c>
      <x:c r="I63" s="22">
        <x:v>1</x:v>
      </x:c>
      <x:c r="J63" s="22">
        <x:v>85.8</x:v>
      </x:c>
      <x:c r="K63" s="70">
        <x:v>5</x:v>
      </x:c>
      <x:c r="L63" s="70">
        <x:v>26</x:v>
      </x:c>
      <x:c r="M63" s="70">
        <x:v>5.2</x:v>
      </x:c>
      <x:c r="N63" s="70">
        <x:v>0</x:v>
      </x:c>
      <x:c r="O63" s="70"/>
      <x:c r="P63" s="70"/>
      <x:c r="Q63" s="70"/>
      <x:c r="R63" s="70"/>
      <x:c r="S63" s="70"/>
      <x:c r="T63" s="70"/>
      <x:c r="U63" s="70">
        <x:v>0</x:v>
      </x:c>
      <x:c r="V63" s="70">
        <x:v>7</x:v>
      </x:c>
      <x:c r="W63" s="70">
        <x:v>0.4</x:v>
      </x:c>
      <x:c r="AM63" s="56"/>
    </x:row>
    <x:row r="64" spans="2:39" ht="15.5" customHeight="1">
      <x:c r="B64" s="69" t="s">
        <x:v>877</x:v>
      </x:c>
      <x:c r="C64" s="70">
        <x:v>17</x:v>
      </x:c>
      <x:c r="D64" s="71">
        <x:v>25</x:v>
      </x:c>
      <x:c r="E64" s="71">
        <x:v>16</x:v>
      </x:c>
      <x:c r="F64" s="71">
        <x:v>171</x:v>
      </x:c>
      <x:c r="G64" s="22">
        <x:v>10.1</x:v>
      </x:c>
      <x:c r="H64" s="22">
        <x:v>1</x:v>
      </x:c>
      <x:c r="I64" s="22">
        <x:v>1</x:v>
      </x:c>
      <x:c r="J64" s="22">
        <x:v>80.599999999999994</x:v>
      </x:c>
      <x:c r="K64" s="70">
        <x:v>4</x:v>
      </x:c>
      <x:c r="L64" s="70">
        <x:v>18</x:v>
      </x:c>
      <x:c r="M64" s="70">
        <x:v>4.5</x:v>
      </x:c>
      <x:c r="N64" s="70">
        <x:v>0</x:v>
      </x:c>
      <x:c r="O64" s="70"/>
      <x:c r="P64" s="70"/>
      <x:c r="Q64" s="70"/>
      <x:c r="R64" s="70"/>
      <x:c r="S64" s="70"/>
      <x:c r="T64" s="70"/>
      <x:c r="U64" s="70">
        <x:v>0</x:v>
      </x:c>
      <x:c r="V64" s="70">
        <x:v>7</x:v>
      </x:c>
      <x:c r="W64" s="70">
        <x:v>0.4</x:v>
      </x:c>
      <x:c r="AM64" s="56"/>
    </x:row>
    <x:row r="65" spans="2:39" ht="15.5" customHeight="1">
      <x:c r="B65" s="69" t="s">
        <x:v>878</x:v>
      </x:c>
      <x:c r="C65" s="70">
        <x:v>17</x:v>
      </x:c>
      <x:c r="D65" s="71">
        <x:v>20</x:v>
      </x:c>
      <x:c r="E65" s="71">
        <x:v>12</x:v>
      </x:c>
      <x:c r="F65" s="71">
        <x:v>124</x:v>
      </x:c>
      <x:c r="G65" s="22">
        <x:v>7.3</x:v>
      </x:c>
      <x:c r="H65" s="22">
        <x:v>1</x:v>
      </x:c>
      <x:c r="I65" s="22">
        <x:v>1</x:v>
      </x:c>
      <x:c r="J65" s="22">
        <x:v>73.8</x:v>
      </x:c>
      <x:c r="K65" s="70">
        <x:v>4</x:v>
      </x:c>
      <x:c r="L65" s="70">
        <x:v>17</x:v>
      </x:c>
      <x:c r="M65" s="70">
        <x:v>4.3</x:v>
      </x:c>
      <x:c r="N65" s="70">
        <x:v>0</x:v>
      </x:c>
      <x:c r="O65" s="70"/>
      <x:c r="P65" s="70"/>
      <x:c r="Q65" s="70"/>
      <x:c r="R65" s="70"/>
      <x:c r="S65" s="70"/>
      <x:c r="T65" s="70"/>
      <x:c r="U65" s="70">
        <x:v>0</x:v>
      </x:c>
      <x:c r="V65" s="70">
        <x:v>7</x:v>
      </x:c>
      <x:c r="W65" s="70">
        <x:v>0.4</x:v>
      </x:c>
      <x:c r="AM65" s="56"/>
    </x:row>
    <x:row r="66" spans="2:39" ht="15.5" customHeight="1">
      <x:c r="B66" s="69" t="s">
        <x:v>879</x:v>
      </x:c>
      <x:c r="C66" s="70">
        <x:v>17</x:v>
      </x:c>
      <x:c r="D66" s="71">
        <x:v>21</x:v>
      </x:c>
      <x:c r="E66" s="71">
        <x:v>14</x:v>
      </x:c>
      <x:c r="F66" s="71">
        <x:v>146</x:v>
      </x:c>
      <x:c r="G66" s="22">
        <x:v>8.6</x:v>
      </x:c>
      <x:c r="H66" s="22">
        <x:v>1</x:v>
      </x:c>
      <x:c r="I66" s="22">
        <x:v>1</x:v>
      </x:c>
      <x:c r="J66" s="22">
        <x:v>82.6</x:v>
      </x:c>
      <x:c r="K66" s="70">
        <x:v>4</x:v>
      </x:c>
      <x:c r="L66" s="70">
        <x:v>18</x:v>
      </x:c>
      <x:c r="M66" s="70">
        <x:v>4.5</x:v>
      </x:c>
      <x:c r="N66" s="70">
        <x:v>0</x:v>
      </x:c>
      <x:c r="O66" s="70"/>
      <x:c r="P66" s="70"/>
      <x:c r="Q66" s="70"/>
      <x:c r="R66" s="70"/>
      <x:c r="S66" s="70"/>
      <x:c r="T66" s="70"/>
      <x:c r="U66" s="70">
        <x:v>0</x:v>
      </x:c>
      <x:c r="V66" s="70">
        <x:v>7</x:v>
      </x:c>
      <x:c r="W66" s="70">
        <x:v>0.4</x:v>
      </x:c>
      <x:c r="AM66" s="56"/>
    </x:row>
    <x:row r="67" spans="2:39" ht="15.5" customHeight="1">
      <x:c r="B67" s="69" t="s">
        <x:v>240</x:v>
      </x:c>
      <x:c r="C67" s="70">
        <x:v>17</x:v>
      </x:c>
      <x:c r="D67" s="71">
        <x:v>18</x:v>
      </x:c>
      <x:c r="E67" s="71">
        <x:v>12</x:v>
      </x:c>
      <x:c r="F67" s="71">
        <x:v>134</x:v>
      </x:c>
      <x:c r="G67" s="22">
        <x:v>7.9</x:v>
      </x:c>
      <x:c r="H67" s="22">
        <x:v>1</x:v>
      </x:c>
      <x:c r="I67" s="22">
        <x:v>1</x:v>
      </x:c>
      <x:c r="J67" s="22">
        <x:v>84</x:v>
      </x:c>
      <x:c r="K67" s="70">
        <x:v>4</x:v>
      </x:c>
      <x:c r="L67" s="70">
        <x:v>17</x:v>
      </x:c>
      <x:c r="M67" s="70">
        <x:v>4.3</x:v>
      </x:c>
      <x:c r="N67" s="70">
        <x:v>0</x:v>
      </x:c>
      <x:c r="O67" s="70"/>
      <x:c r="P67" s="70"/>
      <x:c r="Q67" s="70"/>
      <x:c r="R67" s="70"/>
      <x:c r="S67" s="70"/>
      <x:c r="T67" s="70"/>
      <x:c r="U67" s="70">
        <x:v>0</x:v>
      </x:c>
      <x:c r="V67" s="70">
        <x:v>7</x:v>
      </x:c>
      <x:c r="W67" s="70">
        <x:v>0.4</x:v>
      </x:c>
      <x:c r="AM67" s="56"/>
    </x:row>
    <x:row r="68" spans="2:39" ht="15.5" customHeight="1">
      <x:c r="B68" s="69" t="s">
        <x:v>880</x:v>
      </x:c>
      <x:c r="C68" s="70">
        <x:v>17</x:v>
      </x:c>
      <x:c r="D68" s="71">
        <x:v>21</x:v>
      </x:c>
      <x:c r="E68" s="71">
        <x:v>13</x:v>
      </x:c>
      <x:c r="F68" s="71">
        <x:v>147</x:v>
      </x:c>
      <x:c r="G68" s="22">
        <x:v>8.6</x:v>
      </x:c>
      <x:c r="H68" s="22">
        <x:v>1</x:v>
      </x:c>
      <x:c r="I68" s="22">
        <x:v>0</x:v>
      </x:c>
      <x:c r="J68" s="22">
        <x:v>98.7</x:v>
      </x:c>
      <x:c r="K68" s="70">
        <x:v>5</x:v>
      </x:c>
      <x:c r="L68" s="70">
        <x:v>20</x:v>
      </x:c>
      <x:c r="M68" s="70">
        <x:v>4</x:v>
      </x:c>
      <x:c r="N68" s="70">
        <x:v>0</x:v>
      </x:c>
      <x:c r="O68" s="70"/>
      <x:c r="P68" s="70"/>
      <x:c r="Q68" s="70"/>
      <x:c r="R68" s="70"/>
      <x:c r="S68" s="70"/>
      <x:c r="T68" s="70"/>
      <x:c r="U68" s="70">
        <x:v>1</x:v>
      </x:c>
      <x:c r="V68" s="70">
        <x:v>7</x:v>
      </x:c>
      <x:c r="W68" s="70">
        <x:v>0.4</x:v>
      </x:c>
      <x:c r="AM68" s="56"/>
    </x:row>
    <x:row r="69" spans="2:39" ht="15.5" customHeight="1">
      <x:c r="B69" s="69" t="s">
        <x:v>881</x:v>
      </x:c>
      <x:c r="C69" s="70">
        <x:v>17</x:v>
      </x:c>
      <x:c r="D69" s="71">
        <x:v>27</x:v>
      </x:c>
      <x:c r="E69" s="71">
        <x:v>17</x:v>
      </x:c>
      <x:c r="F69" s="71">
        <x:v>177</x:v>
      </x:c>
      <x:c r="G69" s="22">
        <x:v>10.4</x:v>
      </x:c>
      <x:c r="H69" s="22">
        <x:v>1</x:v>
      </x:c>
      <x:c r="I69" s="22">
        <x:v>1</x:v>
      </x:c>
      <x:c r="J69" s="22">
        <x:v>78.8</x:v>
      </x:c>
      <x:c r="K69" s="70">
        <x:v>3</x:v>
      </x:c>
      <x:c r="L69" s="70">
        <x:v>17</x:v>
      </x:c>
      <x:c r="M69" s="70">
        <x:v>5.7</x:v>
      </x:c>
      <x:c r="N69" s="70">
        <x:v>0</x:v>
      </x:c>
      <x:c r="O69" s="70"/>
      <x:c r="P69" s="70"/>
      <x:c r="Q69" s="70"/>
      <x:c r="R69" s="70"/>
      <x:c r="S69" s="70"/>
      <x:c r="T69" s="70"/>
      <x:c r="U69" s="70">
        <x:v>0</x:v>
      </x:c>
      <x:c r="V69" s="70">
        <x:v>7</x:v>
      </x:c>
      <x:c r="W69" s="70">
        <x:v>0.4</x:v>
      </x:c>
      <x:c r="AM69" s="56"/>
    </x:row>
    <x:row r="70" spans="2:39" ht="15.5" customHeight="1">
      <x:c r="B70" s="69" t="s">
        <x:v>242</x:v>
      </x:c>
      <x:c r="C70" s="70">
        <x:v>17</x:v>
      </x:c>
      <x:c r="D70" s="71">
        <x:v>22</x:v>
      </x:c>
      <x:c r="E70" s="71">
        <x:v>15</x:v>
      </x:c>
      <x:c r="F70" s="71">
        <x:v>172</x:v>
      </x:c>
      <x:c r="G70" s="22">
        <x:v>10.1</x:v>
      </x:c>
      <x:c r="H70" s="22">
        <x:v>1</x:v>
      </x:c>
      <x:c r="I70" s="22">
        <x:v>1</x:v>
      </x:c>
      <x:c r="J70" s="22">
        <x:v>87.7</x:v>
      </x:c>
      <x:c r="K70" s="70">
        <x:v>4</x:v>
      </x:c>
      <x:c r="L70" s="70">
        <x:v>4</x:v>
      </x:c>
      <x:c r="M70" s="70">
        <x:v>1</x:v>
      </x:c>
      <x:c r="N70" s="70">
        <x:v>0</x:v>
      </x:c>
      <x:c r="O70" s="70"/>
      <x:c r="P70" s="70"/>
      <x:c r="Q70" s="70"/>
      <x:c r="R70" s="70"/>
      <x:c r="S70" s="70"/>
      <x:c r="T70" s="70"/>
      <x:c r="U70" s="70">
        <x:v>0</x:v>
      </x:c>
      <x:c r="V70" s="70">
        <x:v>6</x:v>
      </x:c>
      <x:c r="W70" s="70">
        <x:v>0.4</x:v>
      </x:c>
      <x:c r="AM70" s="56"/>
    </x:row>
    <x:row r="71" spans="2:39" ht="15.5" customHeight="1">
      <x:c r="B71" s="69" t="s">
        <x:v>882</x:v>
      </x:c>
      <x:c r="C71" s="70">
        <x:v>17</x:v>
      </x:c>
      <x:c r="D71" s="71">
        <x:v>24</x:v>
      </x:c>
      <x:c r="E71" s="71">
        <x:v>17</x:v>
      </x:c>
      <x:c r="F71" s="71">
        <x:v>175</x:v>
      </x:c>
      <x:c r="G71" s="22">
        <x:v>10.3</x:v>
      </x:c>
      <x:c r="H71" s="22">
        <x:v>1</x:v>
      </x:c>
      <x:c r="I71" s="22">
        <x:v>1</x:v>
      </x:c>
      <x:c r="J71" s="22">
        <x:v>88</x:v>
      </x:c>
      <x:c r="K71" s="70">
        <x:v>3</x:v>
      </x:c>
      <x:c r="L71" s="70">
        <x:v>16</x:v>
      </x:c>
      <x:c r="M71" s="70">
        <x:v>5.3</x:v>
      </x:c>
      <x:c r="N71" s="70">
        <x:v>0</x:v>
      </x:c>
      <x:c r="O71" s="70"/>
      <x:c r="P71" s="70"/>
      <x:c r="Q71" s="70"/>
      <x:c r="R71" s="70"/>
      <x:c r="S71" s="70"/>
      <x:c r="T71" s="70"/>
      <x:c r="U71" s="70">
        <x:v>0</x:v>
      </x:c>
      <x:c r="V71" s="70">
        <x:v>6</x:v>
      </x:c>
      <x:c r="W71" s="70">
        <x:v>0.4</x:v>
      </x:c>
      <x:c r="AM71" s="56"/>
    </x:row>
    <x:row r="72" spans="2:39" ht="15.5" customHeight="1">
      <x:c r="B72" s="69" t="s">
        <x:v>883</x:v>
      </x:c>
      <x:c r="C72" s="70">
        <x:v>17</x:v>
      </x:c>
      <x:c r="D72" s="71">
        <x:v>23</x:v>
      </x:c>
      <x:c r="E72" s="71">
        <x:v>16</x:v>
      </x:c>
      <x:c r="F72" s="71">
        <x:v>163</x:v>
      </x:c>
      <x:c r="G72" s="22">
        <x:v>9.6</x:v>
      </x:c>
      <x:c r="H72" s="22">
        <x:v>1</x:v>
      </x:c>
      <x:c r="I72" s="22">
        <x:v>1</x:v>
      </x:c>
      <x:c r="J72" s="22">
        <x:v>86</x:v>
      </x:c>
      <x:c r="K72" s="70">
        <x:v>4</x:v>
      </x:c>
      <x:c r="L72" s="70">
        <x:v>15</x:v>
      </x:c>
      <x:c r="M72" s="70">
        <x:v>3.8</x:v>
      </x:c>
      <x:c r="N72" s="70">
        <x:v>0</x:v>
      </x:c>
      <x:c r="O72" s="70"/>
      <x:c r="P72" s="70"/>
      <x:c r="Q72" s="70"/>
      <x:c r="R72" s="70"/>
      <x:c r="S72" s="70"/>
      <x:c r="T72" s="70"/>
      <x:c r="U72" s="70">
        <x:v>0</x:v>
      </x:c>
      <x:c r="V72" s="70">
        <x:v>6</x:v>
      </x:c>
      <x:c r="W72" s="70">
        <x:v>0.4</x:v>
      </x:c>
      <x:c r="AM72" s="56"/>
    </x:row>
    <x:row r="73" spans="2:39" ht="15.5" customHeight="1">
      <x:c r="B73" s="69" t="s">
        <x:v>249</x:v>
      </x:c>
      <x:c r="C73" s="70">
        <x:v>17</x:v>
      </x:c>
      <x:c r="D73" s="71">
        <x:v>24</x:v>
      </x:c>
      <x:c r="E73" s="71">
        <x:v>15</x:v>
      </x:c>
      <x:c r="F73" s="71">
        <x:v>166</x:v>
      </x:c>
      <x:c r="G73" s="22">
        <x:v>9.8000000000000007</x:v>
      </x:c>
      <x:c r="H73" s="22">
        <x:v>1</x:v>
      </x:c>
      <x:c r="I73" s="22">
        <x:v>1</x:v>
      </x:c>
      <x:c r="J73" s="22">
        <x:v>79.5</x:v>
      </x:c>
      <x:c r="K73" s="70">
        <x:v>5</x:v>
      </x:c>
      <x:c r="L73" s="70">
        <x:v>4</x:v>
      </x:c>
      <x:c r="M73" s="70">
        <x:v>0.8</x:v>
      </x:c>
      <x:c r="N73" s="70">
        <x:v>0</x:v>
      </x:c>
      <x:c r="O73" s="70"/>
      <x:c r="P73" s="70"/>
      <x:c r="Q73" s="70"/>
      <x:c r="R73" s="70"/>
      <x:c r="S73" s="70"/>
      <x:c r="T73" s="70"/>
      <x:c r="U73" s="70">
        <x:v>0</x:v>
      </x:c>
      <x:c r="V73" s="70">
        <x:v>6</x:v>
      </x:c>
      <x:c r="W73" s="70">
        <x:v>0.4</x:v>
      </x:c>
      <x:c r="AM73" s="56"/>
    </x:row>
    <x:row r="74" spans="2:39" ht="15.5" customHeight="1">
      <x:c r="B74" s="69" t="s">
        <x:v>884</x:v>
      </x:c>
      <x:c r="C74" s="70">
        <x:v>17</x:v>
      </x:c>
      <x:c r="D74" s="71">
        <x:v>21</x:v>
      </x:c>
      <x:c r="E74" s="71">
        <x:v>14</x:v>
      </x:c>
      <x:c r="F74" s="71">
        <x:v>153</x:v>
      </x:c>
      <x:c r="G74" s="22">
        <x:v>9</x:v>
      </x:c>
      <x:c r="H74" s="22">
        <x:v>1</x:v>
      </x:c>
      <x:c r="I74" s="22">
        <x:v>1</x:v>
      </x:c>
      <x:c r="J74" s="22">
        <x:v>84</x:v>
      </x:c>
      <x:c r="K74" s="70">
        <x:v>4</x:v>
      </x:c>
      <x:c r="L74" s="70">
        <x:v>16</x:v>
      </x:c>
      <x:c r="M74" s="70">
        <x:v>4</x:v>
      </x:c>
      <x:c r="N74" s="70">
        <x:v>0</x:v>
      </x:c>
      <x:c r="O74" s="70"/>
      <x:c r="P74" s="70"/>
      <x:c r="Q74" s="70"/>
      <x:c r="R74" s="70"/>
      <x:c r="S74" s="70"/>
      <x:c r="T74" s="70"/>
      <x:c r="U74" s="70">
        <x:v>0</x:v>
      </x:c>
      <x:c r="V74" s="70">
        <x:v>6</x:v>
      </x:c>
      <x:c r="W74" s="70">
        <x:v>0.4</x:v>
      </x:c>
      <x:c r="AM74" s="56"/>
    </x:row>
    <x:row r="75" spans="2:39" ht="15.5" customHeight="1">
      <x:c r="B75" s="69" t="s">
        <x:v>885</x:v>
      </x:c>
      <x:c r="C75" s="70">
        <x:v>17</x:v>
      </x:c>
      <x:c r="D75" s="71">
        <x:v>21</x:v>
      </x:c>
      <x:c r="E75" s="71">
        <x:v>12</x:v>
      </x:c>
      <x:c r="F75" s="71">
        <x:v>138</x:v>
      </x:c>
      <x:c r="G75" s="22">
        <x:v>8.1</x:v>
      </x:c>
      <x:c r="H75" s="22">
        <x:v>1</x:v>
      </x:c>
      <x:c r="I75" s="22">
        <x:v>1</x:v>
      </x:c>
      <x:c r="J75" s="22">
        <x:v>73.099999999999994</x:v>
      </x:c>
      <x:c r="K75" s="70">
        <x:v>2</x:v>
      </x:c>
      <x:c r="L75" s="70">
        <x:v>7</x:v>
      </x:c>
      <x:c r="M75" s="70">
        <x:v>3.5</x:v>
      </x:c>
      <x:c r="N75" s="70">
        <x:v>0</x:v>
      </x:c>
      <x:c r="O75" s="70"/>
      <x:c r="P75" s="70"/>
      <x:c r="Q75" s="70"/>
      <x:c r="R75" s="70"/>
      <x:c r="S75" s="70"/>
      <x:c r="T75" s="70"/>
      <x:c r="U75" s="70">
        <x:v>0</x:v>
      </x:c>
      <x:c r="V75" s="70">
        <x:v>6</x:v>
      </x:c>
      <x:c r="W75" s="70">
        <x:v>0.4</x:v>
      </x:c>
      <x:c r="AM75" s="56"/>
    </x:row>
    <x:row r="76" spans="2:39" ht="15.5" customHeight="1">
      <x:c r="B76" s="69" t="s">
        <x:v>886</x:v>
      </x:c>
      <x:c r="C76" s="70">
        <x:v>17</x:v>
      </x:c>
      <x:c r="D76" s="71">
        <x:v>23</x:v>
      </x:c>
      <x:c r="E76" s="71">
        <x:v>15</x:v>
      </x:c>
      <x:c r="F76" s="71">
        <x:v>145</x:v>
      </x:c>
      <x:c r="G76" s="22">
        <x:v>8.5</x:v>
      </x:c>
      <x:c r="H76" s="22">
        <x:v>1</x:v>
      </x:c>
      <x:c r="I76" s="22">
        <x:v>1</x:v>
      </x:c>
      <x:c r="J76" s="22">
        <x:v>79.099999999999994</x:v>
      </x:c>
      <x:c r="K76" s="70">
        <x:v>4</x:v>
      </x:c>
      <x:c r="L76" s="70">
        <x:v>19</x:v>
      </x:c>
      <x:c r="M76" s="70">
        <x:v>4.8</x:v>
      </x:c>
      <x:c r="N76" s="70">
        <x:v>0</x:v>
      </x:c>
      <x:c r="O76" s="70"/>
      <x:c r="P76" s="70"/>
      <x:c r="Q76" s="70"/>
      <x:c r="R76" s="70"/>
      <x:c r="S76" s="70"/>
      <x:c r="T76" s="70"/>
      <x:c r="U76" s="70">
        <x:v>1</x:v>
      </x:c>
      <x:c r="V76" s="70">
        <x:v>5</x:v>
      </x:c>
      <x:c r="W76" s="70">
        <x:v>0.3</x:v>
      </x:c>
      <x:c r="AM76" s="56"/>
    </x:row>
    <x:row r="77" spans="2:39" ht="15.5" customHeight="1">
      <x:c r="B77" s="69" t="s">
        <x:v>887</x:v>
      </x:c>
      <x:c r="C77" s="70">
        <x:v>15</x:v>
      </x:c>
      <x:c r="D77" s="71">
        <x:v>20</x:v>
      </x:c>
      <x:c r="E77" s="71">
        <x:v>13</x:v>
      </x:c>
      <x:c r="F77" s="71">
        <x:v>146</x:v>
      </x:c>
      <x:c r="G77" s="22">
        <x:v>9.6999999999999993</x:v>
      </x:c>
      <x:c r="H77" s="22">
        <x:v>1</x:v>
      </x:c>
      <x:c r="I77" s="22">
        <x:v>1</x:v>
      </x:c>
      <x:c r="J77" s="22">
        <x:v>82.5</x:v>
      </x:c>
      <x:c r="K77" s="70">
        <x:v>4</x:v>
      </x:c>
      <x:c r="L77" s="70">
        <x:v>17</x:v>
      </x:c>
      <x:c r="M77" s="70">
        <x:v>4.3</x:v>
      </x:c>
      <x:c r="N77" s="70">
        <x:v>0</x:v>
      </x:c>
      <x:c r="O77" s="70"/>
      <x:c r="P77" s="70"/>
      <x:c r="Q77" s="70"/>
      <x:c r="R77" s="70"/>
      <x:c r="S77" s="70"/>
      <x:c r="T77" s="70"/>
      <x:c r="U77" s="70">
        <x:v>0</x:v>
      </x:c>
      <x:c r="V77" s="70">
        <x:v>5</x:v>
      </x:c>
      <x:c r="W77" s="70">
        <x:v>0.3</x:v>
      </x:c>
      <x:c r="AM77" s="56"/>
    </x:row>
    <x:row r="78" spans="2:39" ht="15.5" customHeight="1">
      <x:c r="B78" s="69" t="s">
        <x:v>250</x:v>
      </x:c>
      <x:c r="C78" s="70">
        <x:v>17</x:v>
      </x:c>
      <x:c r="D78" s="71"/>
      <x:c r="E78" s="71"/>
      <x:c r="F78" s="71"/>
      <x:c r="K78" s="70">
        <x:v>261</x:v>
      </x:c>
      <x:c r="L78" s="70">
        <x:v>1261</x:v>
      </x:c>
      <x:c r="M78" s="70">
        <x:v>4.8</x:v>
      </x:c>
      <x:c r="N78" s="70">
        <x:v>11</x:v>
      </x:c>
      <x:c r="O78" s="70">
        <x:v>89</x:v>
      </x:c>
      <x:c r="P78" s="70">
        <x:v>72</x:v>
      </x:c>
      <x:c r="Q78" s="70">
        <x:v>614</x:v>
      </x:c>
      <x:c r="R78" s="70">
        <x:v>36.1</x:v>
      </x:c>
      <x:c r="S78" s="70">
        <x:v>8.5</x:v>
      </x:c>
      <x:c r="T78" s="70">
        <x:v>7</x:v>
      </x:c>
      <x:c r="U78" s="70">
        <x:v>2</x:v>
      </x:c>
      <x:c r="V78" s="70">
        <x:v>275</x:v>
      </x:c>
      <x:c r="W78" s="70">
        <x:v>16.2</x:v>
      </x:c>
      <x:c r="AM78" s="56"/>
    </x:row>
    <x:row r="79" spans="2:39" ht="15.5" customHeight="1">
      <x:c r="B79" s="69" t="s">
        <x:v>888</x:v>
      </x:c>
      <x:c r="C79" s="70">
        <x:v>17</x:v>
      </x:c>
      <x:c r="D79" s="71"/>
      <x:c r="E79" s="71"/>
      <x:c r="F79" s="71"/>
      <x:c r="K79" s="70">
        <x:v>283</x:v>
      </x:c>
      <x:c r="L79" s="70">
        <x:v>1223</x:v>
      </x:c>
      <x:c r="M79" s="70">
        <x:v>4.3</x:v>
      </x:c>
      <x:c r="N79" s="70">
        <x:v>14</x:v>
      </x:c>
      <x:c r="O79" s="70">
        <x:v>76</x:v>
      </x:c>
      <x:c r="P79" s="70">
        <x:v>53</x:v>
      </x:c>
      <x:c r="Q79" s="70">
        <x:v>400</x:v>
      </x:c>
      <x:c r="R79" s="70">
        <x:v>23.5</x:v>
      </x:c>
      <x:c r="S79" s="70">
        <x:v>7.6</x:v>
      </x:c>
      <x:c r="T79" s="70">
        <x:v>6</x:v>
      </x:c>
      <x:c r="U79" s="70">
        <x:v>2</x:v>
      </x:c>
      <x:c r="V79" s="70">
        <x:v>262</x:v>
      </x:c>
      <x:c r="W79" s="70">
        <x:v>15.4</x:v>
      </x:c>
      <x:c r="AM79" s="56"/>
    </x:row>
    <x:row r="80" spans="2:39" ht="15.5" customHeight="1">
      <x:c r="B80" s="69" t="s">
        <x:v>254</x:v>
      </x:c>
      <x:c r="C80" s="70">
        <x:v>17</x:v>
      </x:c>
      <x:c r="D80" s="71"/>
      <x:c r="E80" s="71"/>
      <x:c r="F80" s="71"/>
      <x:c r="K80" s="70">
        <x:v>220</x:v>
      </x:c>
      <x:c r="L80" s="70">
        <x:v>946</x:v>
      </x:c>
      <x:c r="M80" s="70">
        <x:v>4.3</x:v>
      </x:c>
      <x:c r="N80" s="70">
        <x:v>9</x:v>
      </x:c>
      <x:c r="O80" s="70">
        <x:v>97</x:v>
      </x:c>
      <x:c r="P80" s="70">
        <x:v>76</x:v>
      </x:c>
      <x:c r="Q80" s="70">
        <x:v>656</x:v>
      </x:c>
      <x:c r="R80" s="70">
        <x:v>38.6</x:v>
      </x:c>
      <x:c r="S80" s="70">
        <x:v>8.6</x:v>
      </x:c>
      <x:c r="T80" s="70">
        <x:v>8</x:v>
      </x:c>
      <x:c r="U80" s="70">
        <x:v>1</x:v>
      </x:c>
      <x:c r="V80" s="70">
        <x:v>242</x:v>
      </x:c>
      <x:c r="W80" s="70">
        <x:v>14.2</x:v>
      </x:c>
      <x:c r="AM80" s="56"/>
    </x:row>
    <x:row r="81" spans="2:39" ht="15.5" customHeight="1">
      <x:c r="B81" s="69" t="s">
        <x:v>252</x:v>
      </x:c>
      <x:c r="C81" s="70">
        <x:v>17</x:v>
      </x:c>
      <x:c r="D81" s="71"/>
      <x:c r="E81" s="71"/>
      <x:c r="F81" s="71"/>
      <x:c r="K81" s="70">
        <x:v>228</x:v>
      </x:c>
      <x:c r="L81" s="70">
        <x:v>1110</x:v>
      </x:c>
      <x:c r="M81" s="70">
        <x:v>4.9000000000000004</x:v>
      </x:c>
      <x:c r="N81" s="70">
        <x:v>6</x:v>
      </x:c>
      <x:c r="O81" s="70">
        <x:v>103</x:v>
      </x:c>
      <x:c r="P81" s="70">
        <x:v>69</x:v>
      </x:c>
      <x:c r="Q81" s="70">
        <x:v>605</x:v>
      </x:c>
      <x:c r="R81" s="70">
        <x:v>35.6</x:v>
      </x:c>
      <x:c r="S81" s="70">
        <x:v>8.8000000000000007</x:v>
      </x:c>
      <x:c r="T81" s="70">
        <x:v>8</x:v>
      </x:c>
      <x:c r="U81" s="70">
        <x:v>3</x:v>
      </x:c>
      <x:c r="V81" s="70">
        <x:v>233</x:v>
      </x:c>
      <x:c r="W81" s="70">
        <x:v>13.7</x:v>
      </x:c>
      <x:c r="AM81" s="56"/>
    </x:row>
    <x:row r="82" spans="2:39" ht="15.5" customHeight="1">
      <x:c r="B82" s="69" t="s">
        <x:v>253</x:v>
      </x:c>
      <x:c r="C82" s="70">
        <x:v>17</x:v>
      </x:c>
      <x:c r="D82" s="71"/>
      <x:c r="E82" s="71"/>
      <x:c r="F82" s="71"/>
      <x:c r="K82" s="70">
        <x:v>304</x:v>
      </x:c>
      <x:c r="L82" s="70">
        <x:v>1388</x:v>
      </x:c>
      <x:c r="M82" s="70">
        <x:v>4.5999999999999996</x:v>
      </x:c>
      <x:c r="N82" s="70">
        <x:v>12</x:v>
      </x:c>
      <x:c r="O82" s="70">
        <x:v>43</x:v>
      </x:c>
      <x:c r="P82" s="70">
        <x:v>34</x:v>
      </x:c>
      <x:c r="Q82" s="70">
        <x:v>273</x:v>
      </x:c>
      <x:c r="R82" s="70">
        <x:v>16.100000000000001</x:v>
      </x:c>
      <x:c r="S82" s="70">
        <x:v>8</x:v>
      </x:c>
      <x:c r="T82" s="70">
        <x:v>2</x:v>
      </x:c>
      <x:c r="U82" s="70">
        <x:v>1</x:v>
      </x:c>
      <x:c r="V82" s="70">
        <x:v>232</x:v>
      </x:c>
      <x:c r="W82" s="70">
        <x:v>13.6</x:v>
      </x:c>
      <x:c r="AM82" s="56"/>
    </x:row>
    <x:row r="83" spans="2:39" ht="15.5" customHeight="1">
      <x:c r="B83" s="69" t="s">
        <x:v>889</x:v>
      </x:c>
      <x:c r="C83" s="70">
        <x:v>17</x:v>
      </x:c>
      <x:c r="D83" s="71"/>
      <x:c r="E83" s="71"/>
      <x:c r="F83" s="71"/>
      <x:c r="K83" s="70">
        <x:v>263</x:v>
      </x:c>
      <x:c r="L83" s="70">
        <x:v>1210</x:v>
      </x:c>
      <x:c r="M83" s="70">
        <x:v>4.5999999999999996</x:v>
      </x:c>
      <x:c r="N83" s="70">
        <x:v>12</x:v>
      </x:c>
      <x:c r="O83" s="70">
        <x:v>52</x:v>
      </x:c>
      <x:c r="P83" s="70">
        <x:v>35</x:v>
      </x:c>
      <x:c r="Q83" s="70">
        <x:v>231</x:v>
      </x:c>
      <x:c r="R83" s="70">
        <x:v>13.6</x:v>
      </x:c>
      <x:c r="S83" s="70">
        <x:v>6.6</x:v>
      </x:c>
      <x:c r="T83" s="70">
        <x:v>3</x:v>
      </x:c>
      <x:c r="U83" s="70">
        <x:v>2</x:v>
      </x:c>
      <x:c r="V83" s="70">
        <x:v>215</x:v>
      </x:c>
      <x:c r="W83" s="70">
        <x:v>12.6</x:v>
      </x:c>
      <x:c r="AM83" s="56"/>
    </x:row>
    <x:row r="84" spans="2:39" ht="15.5" customHeight="1">
      <x:c r="B84" s="69" t="s">
        <x:v>890</x:v>
      </x:c>
      <x:c r="C84" s="70">
        <x:v>17</x:v>
      </x:c>
      <x:c r="D84" s="71"/>
      <x:c r="E84" s="71"/>
      <x:c r="F84" s="71"/>
      <x:c r="K84" s="70">
        <x:v>265</x:v>
      </x:c>
      <x:c r="L84" s="70">
        <x:v>1307</x:v>
      </x:c>
      <x:c r="M84" s="70">
        <x:v>4.9000000000000004</x:v>
      </x:c>
      <x:c r="N84" s="70">
        <x:v>12</x:v>
      </x:c>
      <x:c r="O84" s="70">
        <x:v>32</x:v>
      </x:c>
      <x:c r="P84" s="70">
        <x:v>25</x:v>
      </x:c>
      <x:c r="Q84" s="70">
        <x:v>230</x:v>
      </x:c>
      <x:c r="R84" s="70">
        <x:v>13.5</x:v>
      </x:c>
      <x:c r="S84" s="70">
        <x:v>9.1999999999999993</x:v>
      </x:c>
      <x:c r="T84" s="70">
        <x:v>0</x:v>
      </x:c>
      <x:c r="U84" s="70">
        <x:v>1</x:v>
      </x:c>
      <x:c r="V84" s="70">
        <x:v>206</x:v>
      </x:c>
      <x:c r="W84" s="70">
        <x:v>12.1</x:v>
      </x:c>
      <x:c r="AM84" s="56"/>
    </x:row>
    <x:row r="85" spans="2:39" ht="15.5" customHeight="1">
      <x:c r="B85" s="69" t="s">
        <x:v>891</x:v>
      </x:c>
      <x:c r="C85" s="70">
        <x:v>17</x:v>
      </x:c>
      <x:c r="D85" s="71"/>
      <x:c r="E85" s="71"/>
      <x:c r="F85" s="71"/>
      <x:c r="K85" s="70">
        <x:v>289</x:v>
      </x:c>
      <x:c r="L85" s="70">
        <x:v>1178</x:v>
      </x:c>
      <x:c r="M85" s="70">
        <x:v>4.0999999999999996</x:v>
      </x:c>
      <x:c r="N85" s="70">
        <x:v>11</x:v>
      </x:c>
      <x:c r="O85" s="70">
        <x:v>47</x:v>
      </x:c>
      <x:c r="P85" s="70">
        <x:v>35</x:v>
      </x:c>
      <x:c r="Q85" s="70">
        <x:v>290</x:v>
      </x:c>
      <x:c r="R85" s="70">
        <x:v>17.100000000000001</x:v>
      </x:c>
      <x:c r="S85" s="70">
        <x:v>8.3000000000000007</x:v>
      </x:c>
      <x:c r="T85" s="70">
        <x:v>0</x:v>
      </x:c>
      <x:c r="U85" s="70">
        <x:v>1</x:v>
      </x:c>
      <x:c r="V85" s="70">
        <x:v>194</x:v>
      </x:c>
      <x:c r="W85" s="70">
        <x:v>11.4</x:v>
      </x:c>
      <x:c r="AM85" s="56"/>
    </x:row>
    <x:row r="86" spans="2:39" ht="15.5" customHeight="1">
      <x:c r="B86" s="69" t="s">
        <x:v>892</x:v>
      </x:c>
      <x:c r="C86" s="70">
        <x:v>17</x:v>
      </x:c>
      <x:c r="D86" s="71"/>
      <x:c r="E86" s="71"/>
      <x:c r="F86" s="71"/>
      <x:c r="K86" s="70">
        <x:v>258</x:v>
      </x:c>
      <x:c r="L86" s="70">
        <x:v>928</x:v>
      </x:c>
      <x:c r="M86" s="70">
        <x:v>3.6</x:v>
      </x:c>
      <x:c r="N86" s="70">
        <x:v>10</x:v>
      </x:c>
      <x:c r="O86" s="70">
        <x:v>52</x:v>
      </x:c>
      <x:c r="P86" s="70">
        <x:v>43</x:v>
      </x:c>
      <x:c r="Q86" s="70">
        <x:v>363</x:v>
      </x:c>
      <x:c r="R86" s="70">
        <x:v>21.4</x:v>
      </x:c>
      <x:c r="S86" s="70">
        <x:v>8.4</x:v>
      </x:c>
      <x:c r="T86" s="70">
        <x:v>3</x:v>
      </x:c>
      <x:c r="U86" s="70">
        <x:v>1</x:v>
      </x:c>
      <x:c r="V86" s="70">
        <x:v>189</x:v>
      </x:c>
      <x:c r="W86" s="70">
        <x:v>11.1</x:v>
      </x:c>
      <x:c r="AM86" s="56"/>
    </x:row>
    <x:row r="87" spans="2:39" ht="15.5" customHeight="1">
      <x:c r="B87" s="69" t="s">
        <x:v>267</x:v>
      </x:c>
      <x:c r="C87" s="70">
        <x:v>17</x:v>
      </x:c>
      <x:c r="D87" s="71"/>
      <x:c r="E87" s="71"/>
      <x:c r="F87" s="71"/>
      <x:c r="K87" s="70">
        <x:v>232</x:v>
      </x:c>
      <x:c r="L87" s="70">
        <x:v>1022</x:v>
      </x:c>
      <x:c r="M87" s="70">
        <x:v>4.4000000000000004</x:v>
      </x:c>
      <x:c r="N87" s="70">
        <x:v>11</x:v>
      </x:c>
      <x:c r="O87" s="70">
        <x:v>48</x:v>
      </x:c>
      <x:c r="P87" s="70">
        <x:v>44</x:v>
      </x:c>
      <x:c r="Q87" s="70">
        <x:v>260</x:v>
      </x:c>
      <x:c r="R87" s="70">
        <x:v>15.3</x:v>
      </x:c>
      <x:c r="S87" s="70">
        <x:v>5.9</x:v>
      </x:c>
      <x:c r="T87" s="70">
        <x:v>2</x:v>
      </x:c>
      <x:c r="U87" s="70">
        <x:v>2</x:v>
      </x:c>
      <x:c r="V87" s="70">
        <x:v>187</x:v>
      </x:c>
      <x:c r="W87" s="70">
        <x:v>11</x:v>
      </x:c>
      <x:c r="AM87" s="56"/>
    </x:row>
    <x:row r="88" spans="2:39" ht="15.5" customHeight="1">
      <x:c r="B88" s="69" t="s">
        <x:v>272</x:v>
      </x:c>
      <x:c r="C88" s="70">
        <x:v>17</x:v>
      </x:c>
      <x:c r="D88" s="71"/>
      <x:c r="E88" s="71"/>
      <x:c r="F88" s="71"/>
      <x:c r="K88" s="70">
        <x:v>146</x:v>
      </x:c>
      <x:c r="L88" s="70">
        <x:v>909</x:v>
      </x:c>
      <x:c r="M88" s="70">
        <x:v>6.2</x:v>
      </x:c>
      <x:c r="N88" s="70">
        <x:v>9</x:v>
      </x:c>
      <x:c r="O88" s="70">
        <x:v>59</x:v>
      </x:c>
      <x:c r="P88" s="70">
        <x:v>41</x:v>
      </x:c>
      <x:c r="Q88" s="70">
        <x:v>299</x:v>
      </x:c>
      <x:c r="R88" s="70">
        <x:v>17.600000000000001</x:v>
      </x:c>
      <x:c r="S88" s="70">
        <x:v>7.3</x:v>
      </x:c>
      <x:c r="T88" s="70">
        <x:v>5</x:v>
      </x:c>
      <x:c r="U88" s="70">
        <x:v>1</x:v>
      </x:c>
      <x:c r="V88" s="70">
        <x:v>186</x:v>
      </x:c>
      <x:c r="W88" s="70">
        <x:v>10.9</x:v>
      </x:c>
      <x:c r="AM88" s="56"/>
    </x:row>
    <x:row r="89" spans="2:39" ht="15.5" customHeight="1">
      <x:c r="B89" s="69" t="s">
        <x:v>260</x:v>
      </x:c>
      <x:c r="C89" s="70">
        <x:v>17</x:v>
      </x:c>
      <x:c r="D89" s="71"/>
      <x:c r="E89" s="71"/>
      <x:c r="F89" s="71"/>
      <x:c r="K89" s="70">
        <x:v>246</x:v>
      </x:c>
      <x:c r="L89" s="70">
        <x:v>908</x:v>
      </x:c>
      <x:c r="M89" s="70">
        <x:v>3.7</x:v>
      </x:c>
      <x:c r="N89" s="70">
        <x:v>11</x:v>
      </x:c>
      <x:c r="O89" s="70">
        <x:v>63</x:v>
      </x:c>
      <x:c r="P89" s="70">
        <x:v>50</x:v>
      </x:c>
      <x:c r="Q89" s="70">
        <x:v>414</x:v>
      </x:c>
      <x:c r="R89" s="70">
        <x:v>24.4</x:v>
      </x:c>
      <x:c r="S89" s="70">
        <x:v>8.3000000000000007</x:v>
      </x:c>
      <x:c r="T89" s="70">
        <x:v>1</x:v>
      </x:c>
      <x:c r="U89" s="70">
        <x:v>1</x:v>
      </x:c>
      <x:c r="V89" s="70">
        <x:v>186</x:v>
      </x:c>
      <x:c r="W89" s="70">
        <x:v>10.9</x:v>
      </x:c>
      <x:c r="AM89" s="56"/>
    </x:row>
    <x:row r="90" spans="2:39" ht="15.5" customHeight="1">
      <x:c r="B90" s="69" t="s">
        <x:v>270</x:v>
      </x:c>
      <x:c r="C90" s="70">
        <x:v>17</x:v>
      </x:c>
      <x:c r="D90" s="71"/>
      <x:c r="E90" s="71"/>
      <x:c r="F90" s="71"/>
      <x:c r="K90" s="70">
        <x:v>269</x:v>
      </x:c>
      <x:c r="L90" s="70">
        <x:v>1183</x:v>
      </x:c>
      <x:c r="M90" s="70">
        <x:v>4.4000000000000004</x:v>
      </x:c>
      <x:c r="N90" s="70">
        <x:v>5</x:v>
      </x:c>
      <x:c r="O90" s="70">
        <x:v>51</x:v>
      </x:c>
      <x:c r="P90" s="70">
        <x:v>41</x:v>
      </x:c>
      <x:c r="Q90" s="70">
        <x:v>375</x:v>
      </x:c>
      <x:c r="R90" s="70">
        <x:v>22.1</x:v>
      </x:c>
      <x:c r="S90" s="70">
        <x:v>9.1999999999999993</x:v>
      </x:c>
      <x:c r="T90" s="70">
        <x:v>3</x:v>
      </x:c>
      <x:c r="U90" s="70">
        <x:v>2</x:v>
      </x:c>
      <x:c r="V90" s="70">
        <x:v>183</x:v>
      </x:c>
      <x:c r="W90" s="70">
        <x:v>10.8</x:v>
      </x:c>
      <x:c r="AM90" s="56"/>
    </x:row>
    <x:row r="91" spans="2:39" ht="15.5" customHeight="1">
      <x:c r="B91" s="69" t="s">
        <x:v>259</x:v>
      </x:c>
      <x:c r="C91" s="70">
        <x:v>17</x:v>
      </x:c>
      <x:c r="D91" s="71"/>
      <x:c r="E91" s="71"/>
      <x:c r="F91" s="71"/>
      <x:c r="K91" s="70">
        <x:v>196</x:v>
      </x:c>
      <x:c r="L91" s="70">
        <x:v>948</x:v>
      </x:c>
      <x:c r="M91" s="70">
        <x:v>4.8</x:v>
      </x:c>
      <x:c r="N91" s="70">
        <x:v>10</x:v>
      </x:c>
      <x:c r="O91" s="70">
        <x:v>85</x:v>
      </x:c>
      <x:c r="P91" s="70">
        <x:v>63</x:v>
      </x:c>
      <x:c r="Q91" s="70">
        <x:v>421</x:v>
      </x:c>
      <x:c r="R91" s="70">
        <x:v>24.8</x:v>
      </x:c>
      <x:c r="S91" s="70">
        <x:v>6.7</x:v>
      </x:c>
      <x:c r="T91" s="70">
        <x:v>1</x:v>
      </x:c>
      <x:c r="U91" s="70">
        <x:v>2</x:v>
      </x:c>
      <x:c r="V91" s="70">
        <x:v>181</x:v>
      </x:c>
      <x:c r="W91" s="70">
        <x:v>10.6</x:v>
      </x:c>
      <x:c r="AM91" s="56"/>
    </x:row>
    <x:row r="92" spans="2:39" ht="15.5" customHeight="1">
      <x:c r="B92" s="69" t="s">
        <x:v>264</x:v>
      </x:c>
      <x:c r="C92" s="70">
        <x:v>17</x:v>
      </x:c>
      <x:c r="D92" s="71"/>
      <x:c r="E92" s="71"/>
      <x:c r="F92" s="71"/>
      <x:c r="K92" s="70">
        <x:v>223</x:v>
      </x:c>
      <x:c r="L92" s="70">
        <x:v>867</x:v>
      </x:c>
      <x:c r="M92" s="70">
        <x:v>3.9</x:v>
      </x:c>
      <x:c r="N92" s="70">
        <x:v>8</x:v>
      </x:c>
      <x:c r="O92" s="70">
        <x:v>61</x:v>
      </x:c>
      <x:c r="P92" s="70">
        <x:v>54</x:v>
      </x:c>
      <x:c r="Q92" s="70">
        <x:v>449</x:v>
      </x:c>
      <x:c r="R92" s="70">
        <x:v>26.4</x:v>
      </x:c>
      <x:c r="S92" s="70">
        <x:v>8.3000000000000007</x:v>
      </x:c>
      <x:c r="T92" s="70">
        <x:v>3</x:v>
      </x:c>
      <x:c r="U92" s="70">
        <x:v>2</x:v>
      </x:c>
      <x:c r="V92" s="70">
        <x:v>178</x:v>
      </x:c>
      <x:c r="W92" s="70">
        <x:v>10.5</x:v>
      </x:c>
      <x:c r="AM92" s="56"/>
    </x:row>
    <x:row r="93" spans="2:39" ht="15.5" customHeight="1">
      <x:c r="B93" s="69" t="s">
        <x:v>263</x:v>
      </x:c>
      <x:c r="C93" s="70">
        <x:v>17</x:v>
      </x:c>
      <x:c r="D93" s="71"/>
      <x:c r="E93" s="71"/>
      <x:c r="F93" s="71"/>
      <x:c r="K93" s="70">
        <x:v>220</x:v>
      </x:c>
      <x:c r="L93" s="70">
        <x:v>858</x:v>
      </x:c>
      <x:c r="M93" s="70">
        <x:v>3.9</x:v>
      </x:c>
      <x:c r="N93" s="70">
        <x:v>12</x:v>
      </x:c>
      <x:c r="O93" s="70">
        <x:v>37</x:v>
      </x:c>
      <x:c r="P93" s="70">
        <x:v>29</x:v>
      </x:c>
      <x:c r="Q93" s="70">
        <x:v>243</x:v>
      </x:c>
      <x:c r="R93" s="70">
        <x:v>14.3</x:v>
      </x:c>
      <x:c r="S93" s="70">
        <x:v>8.4</x:v>
      </x:c>
      <x:c r="T93" s="70">
        <x:v>1</x:v>
      </x:c>
      <x:c r="U93" s="70">
        <x:v>1</x:v>
      </x:c>
      <x:c r="V93" s="70">
        <x:v>170</x:v>
      </x:c>
      <x:c r="W93" s="70">
        <x:v>10</x:v>
      </x:c>
      <x:c r="AM93" s="56"/>
    </x:row>
    <x:row r="94" spans="2:39" ht="15.5" customHeight="1">
      <x:c r="B94" s="69" t="s">
        <x:v>257</x:v>
      </x:c>
      <x:c r="C94" s="70">
        <x:v>17</x:v>
      </x:c>
      <x:c r="D94" s="71"/>
      <x:c r="E94" s="71"/>
      <x:c r="F94" s="71"/>
      <x:c r="K94" s="70">
        <x:v>214</x:v>
      </x:c>
      <x:c r="L94" s="70">
        <x:v>961</x:v>
      </x:c>
      <x:c r="M94" s="70">
        <x:v>4.5</x:v>
      </x:c>
      <x:c r="N94" s="70">
        <x:v>8</x:v>
      </x:c>
      <x:c r="O94" s="70">
        <x:v>45</x:v>
      </x:c>
      <x:c r="P94" s="70">
        <x:v>37</x:v>
      </x:c>
      <x:c r="Q94" s="70">
        <x:v>250</x:v>
      </x:c>
      <x:c r="R94" s="70">
        <x:v>14.7</x:v>
      </x:c>
      <x:c r="S94" s="70">
        <x:v>6.8</x:v>
      </x:c>
      <x:c r="T94" s="70">
        <x:v>3</x:v>
      </x:c>
      <x:c r="U94" s="70">
        <x:v>1</x:v>
      </x:c>
      <x:c r="V94" s="70">
        <x:v>167</x:v>
      </x:c>
      <x:c r="W94" s="70">
        <x:v>9.8000000000000007</x:v>
      </x:c>
      <x:c r="AM94" s="56"/>
    </x:row>
    <x:row r="95" spans="2:39" ht="15.5" customHeight="1">
      <x:c r="B95" s="69" t="s">
        <x:v>276</x:v>
      </x:c>
      <x:c r="C95" s="70">
        <x:v>17</x:v>
      </x:c>
      <x:c r="D95" s="71"/>
      <x:c r="E95" s="71"/>
      <x:c r="F95" s="71"/>
      <x:c r="K95" s="70">
        <x:v>177</x:v>
      </x:c>
      <x:c r="L95" s="70">
        <x:v>828</x:v>
      </x:c>
      <x:c r="M95" s="70">
        <x:v>4.7</x:v>
      </x:c>
      <x:c r="N95" s="70">
        <x:v>11</x:v>
      </x:c>
      <x:c r="O95" s="70">
        <x:v>32</x:v>
      </x:c>
      <x:c r="P95" s="70">
        <x:v>24</x:v>
      </x:c>
      <x:c r="Q95" s="70">
        <x:v>154</x:v>
      </x:c>
      <x:c r="R95" s="70">
        <x:v>9.1</x:v>
      </x:c>
      <x:c r="S95" s="70">
        <x:v>6.4</x:v>
      </x:c>
      <x:c r="T95" s="70">
        <x:v>3</x:v>
      </x:c>
      <x:c r="U95" s="70">
        <x:v>1</x:v>
      </x:c>
      <x:c r="V95" s="70">
        <x:v>162</x:v>
      </x:c>
      <x:c r="W95" s="70">
        <x:v>9.5</x:v>
      </x:c>
      <x:c r="AM95" s="56"/>
    </x:row>
    <x:row r="96" spans="2:39" ht="15.5" customHeight="1">
      <x:c r="B96" s="69" t="s">
        <x:v>896</x:v>
      </x:c>
      <x:c r="C96" s="70">
        <x:v>17</x:v>
      </x:c>
      <x:c r="D96" s="71"/>
      <x:c r="E96" s="71"/>
      <x:c r="F96" s="71"/>
      <x:c r="K96" s="70">
        <x:v>262</x:v>
      </x:c>
      <x:c r="L96" s="70">
        <x:v>1238</x:v>
      </x:c>
      <x:c r="M96" s="70">
        <x:v>4.7</x:v>
      </x:c>
      <x:c r="N96" s="70">
        <x:v>5</x:v>
      </x:c>
      <x:c r="O96" s="70">
        <x:v>42</x:v>
      </x:c>
      <x:c r="P96" s="70">
        <x:v>33</x:v>
      </x:c>
      <x:c r="Q96" s="70">
        <x:v>230</x:v>
      </x:c>
      <x:c r="R96" s="70">
        <x:v>13.5</x:v>
      </x:c>
      <x:c r="S96" s="70">
        <x:v>7</x:v>
      </x:c>
      <x:c r="T96" s="70">
        <x:v>0</x:v>
      </x:c>
      <x:c r="U96" s="70">
        <x:v>2</x:v>
      </x:c>
      <x:c r="V96" s="70">
        <x:v>156</x:v>
      </x:c>
      <x:c r="W96" s="70">
        <x:v>9.1999999999999993</x:v>
      </x:c>
      <x:c r="AM96" s="56"/>
    </x:row>
    <x:row r="97" spans="2:39" ht="15.5" customHeight="1">
      <x:c r="B97" s="69" t="s">
        <x:v>266</x:v>
      </x:c>
      <x:c r="C97" s="70">
        <x:v>17</x:v>
      </x:c>
      <x:c r="D97" s="71"/>
      <x:c r="E97" s="71"/>
      <x:c r="F97" s="71"/>
      <x:c r="K97" s="70">
        <x:v>189</x:v>
      </x:c>
      <x:c r="L97" s="70">
        <x:v>720</x:v>
      </x:c>
      <x:c r="M97" s="70">
        <x:v>3.8</x:v>
      </x:c>
      <x:c r="N97" s="70">
        <x:v>6</x:v>
      </x:c>
      <x:c r="O97" s="70">
        <x:v>92</x:v>
      </x:c>
      <x:c r="P97" s="70">
        <x:v>76</x:v>
      </x:c>
      <x:c r="Q97" s="70">
        <x:v>530</x:v>
      </x:c>
      <x:c r="R97" s="70">
        <x:v>31.2</x:v>
      </x:c>
      <x:c r="S97" s="70">
        <x:v>7</x:v>
      </x:c>
      <x:c r="T97" s="70">
        <x:v>2</x:v>
      </x:c>
      <x:c r="U97" s="70">
        <x:v>1</x:v>
      </x:c>
      <x:c r="V97" s="70">
        <x:v>156</x:v>
      </x:c>
      <x:c r="W97" s="70">
        <x:v>9.1999999999999993</x:v>
      </x:c>
      <x:c r="AM97" s="56"/>
    </x:row>
    <x:row r="98" spans="2:39" ht="15.5" customHeight="1">
      <x:c r="B98" s="69" t="s">
        <x:v>262</x:v>
      </x:c>
      <x:c r="C98" s="70">
        <x:v>17</x:v>
      </x:c>
      <x:c r="D98" s="71"/>
      <x:c r="E98" s="71"/>
      <x:c r="F98" s="71"/>
      <x:c r="K98" s="70">
        <x:v>230</x:v>
      </x:c>
      <x:c r="L98" s="70">
        <x:v>963</x:v>
      </x:c>
      <x:c r="M98" s="70">
        <x:v>4.2</x:v>
      </x:c>
      <x:c r="N98" s="70">
        <x:v>10</x:v>
      </x:c>
      <x:c r="O98" s="70">
        <x:v>32</x:v>
      </x:c>
      <x:c r="P98" s="70">
        <x:v>24</x:v>
      </x:c>
      <x:c r="Q98" s="70">
        <x:v>183</x:v>
      </x:c>
      <x:c r="R98" s="70">
        <x:v>10.8</x:v>
      </x:c>
      <x:c r="S98" s="70">
        <x:v>7.6</x:v>
      </x:c>
      <x:c r="T98" s="70">
        <x:v>0</x:v>
      </x:c>
      <x:c r="U98" s="70">
        <x:v>1</x:v>
      </x:c>
      <x:c r="V98" s="70">
        <x:v>155</x:v>
      </x:c>
      <x:c r="W98" s="70">
        <x:v>9.1</x:v>
      </x:c>
      <x:c r="AM98" s="56"/>
    </x:row>
    <x:row r="99" spans="2:39" ht="15.5" customHeight="1">
      <x:c r="B99" s="69" t="s">
        <x:v>258</x:v>
      </x:c>
      <x:c r="C99" s="70">
        <x:v>17</x:v>
      </x:c>
      <x:c r="D99" s="71"/>
      <x:c r="E99" s="71"/>
      <x:c r="F99" s="71"/>
      <x:c r="K99" s="70">
        <x:v>237</x:v>
      </x:c>
      <x:c r="L99" s="70">
        <x:v>960</x:v>
      </x:c>
      <x:c r="M99" s="70">
        <x:v>4.0999999999999996</x:v>
      </x:c>
      <x:c r="N99" s="70">
        <x:v>8</x:v>
      </x:c>
      <x:c r="O99" s="70">
        <x:v>37</x:v>
      </x:c>
      <x:c r="P99" s="70">
        <x:v>28</x:v>
      </x:c>
      <x:c r="Q99" s="70">
        <x:v>183</x:v>
      </x:c>
      <x:c r="R99" s="70">
        <x:v>10.8</x:v>
      </x:c>
      <x:c r="S99" s="70">
        <x:v>6.5</x:v>
      </x:c>
      <x:c r="T99" s="70">
        <x:v>1</x:v>
      </x:c>
      <x:c r="U99" s="70">
        <x:v>1</x:v>
      </x:c>
      <x:c r="V99" s="70">
        <x:v>149</x:v>
      </x:c>
      <x:c r="W99" s="70">
        <x:v>8.8000000000000007</x:v>
      </x:c>
      <x:c r="AM99" s="56"/>
    </x:row>
    <x:row r="100" spans="2:39" ht="15.5" customHeight="1">
      <x:c r="B100" s="69" t="s">
        <x:v>268</x:v>
      </x:c>
      <x:c r="C100" s="70">
        <x:v>17</x:v>
      </x:c>
      <x:c r="D100" s="71"/>
      <x:c r="E100" s="71"/>
      <x:c r="F100" s="71"/>
      <x:c r="K100" s="70">
        <x:v>175</x:v>
      </x:c>
      <x:c r="L100" s="70">
        <x:v>718</x:v>
      </x:c>
      <x:c r="M100" s="70">
        <x:v>4.0999999999999996</x:v>
      </x:c>
      <x:c r="N100" s="70">
        <x:v>6</x:v>
      </x:c>
      <x:c r="O100" s="70">
        <x:v>34</x:v>
      </x:c>
      <x:c r="P100" s="70">
        <x:v>28</x:v>
      </x:c>
      <x:c r="Q100" s="70">
        <x:v>293</x:v>
      </x:c>
      <x:c r="R100" s="70">
        <x:v>17.2</x:v>
      </x:c>
      <x:c r="S100" s="70">
        <x:v>10.5</x:v>
      </x:c>
      <x:c r="T100" s="70">
        <x:v>4</x:v>
      </x:c>
      <x:c r="U100" s="70">
        <x:v>2</x:v>
      </x:c>
      <x:c r="V100" s="70">
        <x:v>141</x:v>
      </x:c>
      <x:c r="W100" s="70">
        <x:v>8.3000000000000007</x:v>
      </x:c>
      <x:c r="AM100" s="56"/>
    </x:row>
    <x:row r="101" spans="2:39" ht="15.5" customHeight="1">
      <x:c r="B101" s="69" t="s">
        <x:v>898</x:v>
      </x:c>
      <x:c r="C101" s="70">
        <x:v>17</x:v>
      </x:c>
      <x:c r="D101" s="71"/>
      <x:c r="E101" s="71"/>
      <x:c r="F101" s="71"/>
      <x:c r="K101" s="70">
        <x:v>182</x:v>
      </x:c>
      <x:c r="L101" s="70">
        <x:v>788</x:v>
      </x:c>
      <x:c r="M101" s="70">
        <x:v>4.3</x:v>
      </x:c>
      <x:c r="N101" s="70">
        <x:v>5</x:v>
      </x:c>
      <x:c r="O101" s="70">
        <x:v>72</x:v>
      </x:c>
      <x:c r="P101" s="70">
        <x:v>52</x:v>
      </x:c>
      <x:c r="Q101" s="70">
        <x:v>390</x:v>
      </x:c>
      <x:c r="R101" s="70">
        <x:v>22.9</x:v>
      </x:c>
      <x:c r="S101" s="70">
        <x:v>7.5</x:v>
      </x:c>
      <x:c r="T101" s="70">
        <x:v>2</x:v>
      </x:c>
      <x:c r="U101" s="70">
        <x:v>1</x:v>
      </x:c>
      <x:c r="V101" s="70">
        <x:v>140</x:v>
      </x:c>
      <x:c r="W101" s="70">
        <x:v>8.1999999999999993</x:v>
      </x:c>
      <x:c r="AM101" s="56"/>
    </x:row>
    <x:row r="102" spans="2:39" ht="15.5" customHeight="1">
      <x:c r="B102" s="69" t="s">
        <x:v>899</x:v>
      </x:c>
      <x:c r="C102" s="70">
        <x:v>17</x:v>
      </x:c>
      <x:c r="D102" s="71"/>
      <x:c r="E102" s="71"/>
      <x:c r="F102" s="71"/>
      <x:c r="K102" s="70">
        <x:v>234</x:v>
      </x:c>
      <x:c r="L102" s="70">
        <x:v>941</x:v>
      </x:c>
      <x:c r="M102" s="70">
        <x:v>4</x:v>
      </x:c>
      <x:c r="N102" s="70">
        <x:v>7</x:v>
      </x:c>
      <x:c r="O102" s="70">
        <x:v>35</x:v>
      </x:c>
      <x:c r="P102" s="70">
        <x:v>29</x:v>
      </x:c>
      <x:c r="Q102" s="70">
        <x:v>191</x:v>
      </x:c>
      <x:c r="R102" s="70">
        <x:v>11.2</x:v>
      </x:c>
      <x:c r="S102" s="70">
        <x:v>6.6</x:v>
      </x:c>
      <x:c r="T102" s="70">
        <x:v>0</x:v>
      </x:c>
      <x:c r="U102" s="70">
        <x:v>1</x:v>
      </x:c>
      <x:c r="V102" s="70">
        <x:v>138</x:v>
      </x:c>
      <x:c r="W102" s="70">
        <x:v>8.1</x:v>
      </x:c>
      <x:c r="AM102" s="56"/>
    </x:row>
    <x:row r="103" spans="2:39" ht="15.5" customHeight="1">
      <x:c r="B103" s="69" t="s">
        <x:v>900</x:v>
      </x:c>
      <x:c r="C103" s="70">
        <x:v>17</x:v>
      </x:c>
      <x:c r="D103" s="71"/>
      <x:c r="E103" s="71"/>
      <x:c r="F103" s="71"/>
      <x:c r="K103" s="70">
        <x:v>172</x:v>
      </x:c>
      <x:c r="L103" s="70">
        <x:v>756</x:v>
      </x:c>
      <x:c r="M103" s="70">
        <x:v>4.4000000000000004</x:v>
      </x:c>
      <x:c r="N103" s="70">
        <x:v>6</x:v>
      </x:c>
      <x:c r="O103" s="70">
        <x:v>50</x:v>
      </x:c>
      <x:c r="P103" s="70">
        <x:v>37</x:v>
      </x:c>
      <x:c r="Q103" s="70">
        <x:v>256</x:v>
      </x:c>
      <x:c r="R103" s="70">
        <x:v>15.1</x:v>
      </x:c>
      <x:c r="S103" s="70">
        <x:v>6.9</x:v>
      </x:c>
      <x:c r="T103" s="70">
        <x:v>3</x:v>
      </x:c>
      <x:c r="U103" s="70">
        <x:v>1</x:v>
      </x:c>
      <x:c r="V103" s="70">
        <x:v>137</x:v>
      </x:c>
      <x:c r="W103" s="70">
        <x:v>8.1</x:v>
      </x:c>
      <x:c r="AM103" s="56"/>
    </x:row>
    <x:row r="104" spans="2:39" ht="15.5" customHeight="1">
      <x:c r="B104" s="69" t="s">
        <x:v>255</x:v>
      </x:c>
      <x:c r="C104" s="70">
        <x:v>17</x:v>
      </x:c>
      <x:c r="D104" s="71"/>
      <x:c r="E104" s="71"/>
      <x:c r="F104" s="71"/>
      <x:c r="K104" s="70">
        <x:v>216</x:v>
      </x:c>
      <x:c r="L104" s="70">
        <x:v>919</x:v>
      </x:c>
      <x:c r="M104" s="70">
        <x:v>4.3</x:v>
      </x:c>
      <x:c r="N104" s="70">
        <x:v>5</x:v>
      </x:c>
      <x:c r="O104" s="70">
        <x:v>41</x:v>
      </x:c>
      <x:c r="P104" s="70">
        <x:v>34</x:v>
      </x:c>
      <x:c r="Q104" s="70">
        <x:v>273</x:v>
      </x:c>
      <x:c r="R104" s="70">
        <x:v>16.100000000000001</x:v>
      </x:c>
      <x:c r="S104" s="70">
        <x:v>8</x:v>
      </x:c>
      <x:c r="T104" s="70">
        <x:v>1</x:v>
      </x:c>
      <x:c r="U104" s="70">
        <x:v>1</x:v>
      </x:c>
      <x:c r="V104" s="70">
        <x:v>137</x:v>
      </x:c>
      <x:c r="W104" s="70">
        <x:v>8.1</x:v>
      </x:c>
      <x:c r="AM104" s="56"/>
    </x:row>
    <x:row r="105" spans="2:39" ht="15.5" customHeight="1">
      <x:c r="B105" s="69" t="s">
        <x:v>903</x:v>
      </x:c>
      <x:c r="C105" s="70">
        <x:v>17</x:v>
      </x:c>
      <x:c r="D105" s="71"/>
      <x:c r="E105" s="71"/>
      <x:c r="F105" s="71"/>
      <x:c r="K105" s="70">
        <x:v>197</x:v>
      </x:c>
      <x:c r="L105" s="70">
        <x:v>907</x:v>
      </x:c>
      <x:c r="M105" s="70">
        <x:v>4.5999999999999996</x:v>
      </x:c>
      <x:c r="N105" s="70">
        <x:v>4</x:v>
      </x:c>
      <x:c r="O105" s="70">
        <x:v>56</x:v>
      </x:c>
      <x:c r="P105" s="70">
        <x:v>44</x:v>
      </x:c>
      <x:c r="Q105" s="70">
        <x:v>284</x:v>
      </x:c>
      <x:c r="R105" s="70">
        <x:v>16.7</x:v>
      </x:c>
      <x:c r="S105" s="70">
        <x:v>6.5</x:v>
      </x:c>
      <x:c r="T105" s="70">
        <x:v>2</x:v>
      </x:c>
      <x:c r="U105" s="70">
        <x:v>1</x:v>
      </x:c>
      <x:c r="V105" s="70">
        <x:v>136</x:v>
      </x:c>
      <x:c r="W105" s="70">
        <x:v>8</x:v>
      </x:c>
      <x:c r="AM105" s="56"/>
    </x:row>
    <x:row r="106" spans="2:39" ht="15.5" customHeight="1">
      <x:c r="B106" s="69" t="s">
        <x:v>251</x:v>
      </x:c>
      <x:c r="C106" s="70">
        <x:v>17</x:v>
      </x:c>
      <x:c r="D106" s="71"/>
      <x:c r="E106" s="71"/>
      <x:c r="F106" s="71"/>
      <x:c r="K106" s="70">
        <x:v>213</x:v>
      </x:c>
      <x:c r="L106" s="70">
        <x:v>824</x:v>
      </x:c>
      <x:c r="M106" s="70">
        <x:v>3.9</x:v>
      </x:c>
      <x:c r="N106" s="70">
        <x:v>6</x:v>
      </x:c>
      <x:c r="O106" s="70">
        <x:v>66</x:v>
      </x:c>
      <x:c r="P106" s="70">
        <x:v>50</x:v>
      </x:c>
      <x:c r="Q106" s="70">
        <x:v>320</x:v>
      </x:c>
      <x:c r="R106" s="70">
        <x:v>18.8</x:v>
      </x:c>
      <x:c r="S106" s="70">
        <x:v>6.4</x:v>
      </x:c>
      <x:c r="T106" s="70">
        <x:v>0</x:v>
      </x:c>
      <x:c r="U106" s="70">
        <x:v>1</x:v>
      </x:c>
      <x:c r="V106" s="70">
        <x:v>129</x:v>
      </x:c>
      <x:c r="W106" s="70">
        <x:v>7.6</x:v>
      </x:c>
      <x:c r="AM106" s="56"/>
    </x:row>
    <x:row r="107" spans="2:39" ht="15.5" customHeight="1">
      <x:c r="B107" s="69" t="s">
        <x:v>906</x:v>
      </x:c>
      <x:c r="C107" s="70">
        <x:v>17</x:v>
      </x:c>
      <x:c r="D107" s="71"/>
      <x:c r="E107" s="71"/>
      <x:c r="F107" s="71"/>
      <x:c r="K107" s="70">
        <x:v>161</x:v>
      </x:c>
      <x:c r="L107" s="70">
        <x:v>700</x:v>
      </x:c>
      <x:c r="M107" s="70">
        <x:v>4.4000000000000004</x:v>
      </x:c>
      <x:c r="N107" s="70">
        <x:v>6</x:v>
      </x:c>
      <x:c r="O107" s="70">
        <x:v>42</x:v>
      </x:c>
      <x:c r="P107" s="70">
        <x:v>32</x:v>
      </x:c>
      <x:c r="Q107" s="70">
        <x:v>309</x:v>
      </x:c>
      <x:c r="R107" s="70">
        <x:v>18.2</x:v>
      </x:c>
      <x:c r="S107" s="70">
        <x:v>9.6999999999999993</x:v>
      </x:c>
      <x:c r="T107" s="70">
        <x:v>2</x:v>
      </x:c>
      <x:c r="U107" s="70">
        <x:v>3</x:v>
      </x:c>
      <x:c r="V107" s="70">
        <x:v>127</x:v>
      </x:c>
      <x:c r="W107" s="70">
        <x:v>7.5</x:v>
      </x:c>
      <x:c r="AM107" s="56"/>
    </x:row>
    <x:row r="108" spans="2:39" ht="15.5" customHeight="1">
      <x:c r="B108" s="69" t="s">
        <x:v>908</x:v>
      </x:c>
      <x:c r="C108" s="70">
        <x:v>17</x:v>
      </x:c>
      <x:c r="D108" s="70"/>
      <x:c r="E108" s="70"/>
      <x:c r="F108" s="70"/>
      <x:c r="G108" s="70"/>
      <x:c r="H108" s="70"/>
      <x:c r="I108" s="70"/>
      <x:c r="J108" s="70"/>
      <x:c r="K108" s="70">
        <x:v>137</x:v>
      </x:c>
      <x:c r="L108" s="70">
        <x:v>557</x:v>
      </x:c>
      <x:c r="M108" s="70">
        <x:v>4.0999999999999996</x:v>
      </x:c>
      <x:c r="N108" s="70">
        <x:v>6</x:v>
      </x:c>
      <x:c r="O108" s="71">
        <x:v>44</x:v>
      </x:c>
      <x:c r="P108" s="71">
        <x:v>33</x:v>
      </x:c>
      <x:c r="Q108" s="71">
        <x:v>272</x:v>
      </x:c>
      <x:c r="R108" s="70">
        <x:v>16</x:v>
      </x:c>
      <x:c r="S108" s="70">
        <x:v>8.1999999999999993</x:v>
      </x:c>
      <x:c r="T108" s="70">
        <x:v>4</x:v>
      </x:c>
      <x:c r="U108" s="70">
        <x:v>1</x:v>
      </x:c>
      <x:c r="V108" s="70">
        <x:v>124</x:v>
      </x:c>
      <x:c r="W108" s="70">
        <x:v>7.3</x:v>
      </x:c>
      <x:c r="AM108" s="56"/>
    </x:row>
    <x:row r="109" spans="2:39" ht="15.5" customHeight="1">
      <x:c r="B109" s="69" t="s">
        <x:v>910</x:v>
      </x:c>
      <x:c r="C109" s="70">
        <x:v>17</x:v>
      </x:c>
      <x:c r="D109" s="70"/>
      <x:c r="E109" s="70"/>
      <x:c r="F109" s="70"/>
      <x:c r="G109" s="70"/>
      <x:c r="H109" s="70"/>
      <x:c r="I109" s="70"/>
      <x:c r="J109" s="70"/>
      <x:c r="K109" s="70">
        <x:v>174</x:v>
      </x:c>
      <x:c r="L109" s="70">
        <x:v>629</x:v>
      </x:c>
      <x:c r="M109" s="70">
        <x:v>3.6</x:v>
      </x:c>
      <x:c r="N109" s="70">
        <x:v>10</x:v>
      </x:c>
      <x:c r="O109" s="71">
        <x:v>17</x:v>
      </x:c>
      <x:c r="P109" s="71">
        <x:v>15</x:v>
      </x:c>
      <x:c r="Q109" s="71">
        <x:v>186</x:v>
      </x:c>
      <x:c r="R109" s="70">
        <x:v>10.9</x:v>
      </x:c>
      <x:c r="S109" s="70">
        <x:v>12.4</x:v>
      </x:c>
      <x:c r="T109" s="70">
        <x:v>0</x:v>
      </x:c>
      <x:c r="U109" s="70">
        <x:v>2</x:v>
      </x:c>
      <x:c r="V109" s="70">
        <x:v>121</x:v>
      </x:c>
      <x:c r="W109" s="70">
        <x:v>7.1</x:v>
      </x:c>
      <x:c r="AM109" s="56"/>
    </x:row>
    <x:row r="110" spans="2:39" ht="15.5" customHeight="1">
      <x:c r="B110" s="69" t="s">
        <x:v>909</x:v>
      </x:c>
      <x:c r="C110" s="70">
        <x:v>17</x:v>
      </x:c>
      <x:c r="D110" s="70"/>
      <x:c r="E110" s="70"/>
      <x:c r="F110" s="70"/>
      <x:c r="G110" s="70"/>
      <x:c r="H110" s="70"/>
      <x:c r="I110" s="70"/>
      <x:c r="J110" s="70"/>
      <x:c r="K110" s="70">
        <x:v>133</x:v>
      </x:c>
      <x:c r="L110" s="70">
        <x:v>561</x:v>
      </x:c>
      <x:c r="M110" s="70">
        <x:v>4.2</x:v>
      </x:c>
      <x:c r="N110" s="70">
        <x:v>7</x:v>
      </x:c>
      <x:c r="O110" s="71">
        <x:v>53</x:v>
      </x:c>
      <x:c r="P110" s="71">
        <x:v>39</x:v>
      </x:c>
      <x:c r="Q110" s="71">
        <x:v>327</x:v>
      </x:c>
      <x:c r="R110" s="70">
        <x:v>19.2</x:v>
      </x:c>
      <x:c r="S110" s="70">
        <x:v>8.4</x:v>
      </x:c>
      <x:c r="T110" s="70">
        <x:v>2</x:v>
      </x:c>
      <x:c r="U110" s="70">
        <x:v>3</x:v>
      </x:c>
      <x:c r="V110" s="70">
        <x:v>121</x:v>
      </x:c>
      <x:c r="W110" s="70">
        <x:v>7.1</x:v>
      </x:c>
      <x:c r="AM110" s="56"/>
    </x:row>
    <x:row r="111" spans="2:39" ht="15.5" customHeight="1">
      <x:c r="B111" s="69" t="s">
        <x:v>261</x:v>
      </x:c>
      <x:c r="C111" s="70">
        <x:v>17</x:v>
      </x:c>
      <x:c r="D111" s="70"/>
      <x:c r="E111" s="70"/>
      <x:c r="F111" s="70"/>
      <x:c r="G111" s="70"/>
      <x:c r="H111" s="70"/>
      <x:c r="I111" s="70"/>
      <x:c r="J111" s="70"/>
      <x:c r="K111" s="70">
        <x:v>203</x:v>
      </x:c>
      <x:c r="L111" s="70">
        <x:v>790</x:v>
      </x:c>
      <x:c r="M111" s="70">
        <x:v>3.9</x:v>
      </x:c>
      <x:c r="N111" s="70">
        <x:v>4</x:v>
      </x:c>
      <x:c r="O111" s="71">
        <x:v>53</x:v>
      </x:c>
      <x:c r="P111" s="71">
        <x:v>43</x:v>
      </x:c>
      <x:c r="Q111" s="71">
        <x:v>225</x:v>
      </x:c>
      <x:c r="R111" s="70">
        <x:v>13.2</x:v>
      </x:c>
      <x:c r="S111" s="70">
        <x:v>5.2</x:v>
      </x:c>
      <x:c r="T111" s="70">
        <x:v>2</x:v>
      </x:c>
      <x:c r="U111" s="70">
        <x:v>1</x:v>
      </x:c>
      <x:c r="V111" s="70">
        <x:v>119</x:v>
      </x:c>
      <x:c r="W111" s="70">
        <x:v>7</x:v>
      </x:c>
      <x:c r="AM111" s="56"/>
    </x:row>
    <x:row r="112" spans="2:39" ht="15.5" customHeight="1">
      <x:c r="B112" s="69" t="s">
        <x:v>282</x:v>
      </x:c>
      <x:c r="C112" s="70">
        <x:v>17</x:v>
      </x:c>
      <x:c r="D112" s="70"/>
      <x:c r="E112" s="70"/>
      <x:c r="F112" s="70"/>
      <x:c r="G112" s="70"/>
      <x:c r="H112" s="70"/>
      <x:c r="I112" s="70"/>
      <x:c r="J112" s="70"/>
      <x:c r="K112" s="70">
        <x:v>133</x:v>
      </x:c>
      <x:c r="L112" s="70">
        <x:v>628</x:v>
      </x:c>
      <x:c r="M112" s="70">
        <x:v>4.7</x:v>
      </x:c>
      <x:c r="N112" s="70">
        <x:v>3</x:v>
      </x:c>
      <x:c r="O112" s="71">
        <x:v>38</x:v>
      </x:c>
      <x:c r="P112" s="71">
        <x:v>35</x:v>
      </x:c>
      <x:c r="Q112" s="71">
        <x:v>404</x:v>
      </x:c>
      <x:c r="R112" s="70">
        <x:v>23.8</x:v>
      </x:c>
      <x:c r="S112" s="70">
        <x:v>11.5</x:v>
      </x:c>
      <x:c r="T112" s="70">
        <x:v>3</x:v>
      </x:c>
      <x:c r="U112" s="70">
        <x:v>1</x:v>
      </x:c>
      <x:c r="V112" s="70">
        <x:v>119</x:v>
      </x:c>
      <x:c r="W112" s="70">
        <x:v>7</x:v>
      </x:c>
      <x:c r="AM112" s="56"/>
    </x:row>
    <x:row r="113" spans="2:39" ht="15.5" customHeight="1">
      <x:c r="B113" s="69" t="s">
        <x:v>914</x:v>
      </x:c>
      <x:c r="C113" s="70">
        <x:v>17</x:v>
      </x:c>
      <x:c r="D113" s="70"/>
      <x:c r="E113" s="70"/>
      <x:c r="F113" s="70"/>
      <x:c r="G113" s="70"/>
      <x:c r="H113" s="70"/>
      <x:c r="I113" s="70"/>
      <x:c r="J113" s="70"/>
      <x:c r="K113" s="70">
        <x:v>200</x:v>
      </x:c>
      <x:c r="L113" s="70">
        <x:v>880</x:v>
      </x:c>
      <x:c r="M113" s="70">
        <x:v>4.4000000000000004</x:v>
      </x:c>
      <x:c r="N113" s="70">
        <x:v>5</x:v>
      </x:c>
      <x:c r="O113" s="71">
        <x:v>39</x:v>
      </x:c>
      <x:c r="P113" s="71">
        <x:v>30</x:v>
      </x:c>
      <x:c r="Q113" s="71">
        <x:v>167</x:v>
      </x:c>
      <x:c r="R113" s="70">
        <x:v>9.8000000000000007</x:v>
      </x:c>
      <x:c r="S113" s="70">
        <x:v>5.6</x:v>
      </x:c>
      <x:c r="T113" s="70">
        <x:v>0</x:v>
      </x:c>
      <x:c r="U113" s="70">
        <x:v>1</x:v>
      </x:c>
      <x:c r="V113" s="70">
        <x:v>115</x:v>
      </x:c>
      <x:c r="W113" s="70">
        <x:v>6.8</x:v>
      </x:c>
      <x:c r="AM113" s="56"/>
    </x:row>
    <x:row r="114" spans="2:39" ht="15.5" customHeight="1">
      <x:c r="B114" s="69" t="s">
        <x:v>284</x:v>
      </x:c>
      <x:c r="C114" s="70">
        <x:v>17</x:v>
      </x:c>
      <x:c r="D114" s="70"/>
      <x:c r="E114" s="70"/>
      <x:c r="F114" s="70"/>
      <x:c r="G114" s="70"/>
      <x:c r="H114" s="70"/>
      <x:c r="I114" s="70"/>
      <x:c r="J114" s="70"/>
      <x:c r="K114" s="70">
        <x:v>135</x:v>
      </x:c>
      <x:c r="L114" s="70">
        <x:v>712</x:v>
      </x:c>
      <x:c r="M114" s="70">
        <x:v>5.3</x:v>
      </x:c>
      <x:c r="N114" s="70">
        <x:v>4</x:v>
      </x:c>
      <x:c r="O114" s="71">
        <x:v>62</x:v>
      </x:c>
      <x:c r="P114" s="71">
        <x:v>51</x:v>
      </x:c>
      <x:c r="Q114" s="71">
        <x:v>339</x:v>
      </x:c>
      <x:c r="R114" s="70">
        <x:v>19.899999999999999</x:v>
      </x:c>
      <x:c r="S114" s="70">
        <x:v>6.7</x:v>
      </x:c>
      <x:c r="T114" s="70">
        <x:v>1</x:v>
      </x:c>
      <x:c r="U114" s="70">
        <x:v>2</x:v>
      </x:c>
      <x:c r="V114" s="70">
        <x:v>113</x:v>
      </x:c>
      <x:c r="W114" s="70">
        <x:v>6.6</x:v>
      </x:c>
      <x:c r="AM114" s="56"/>
    </x:row>
    <x:row r="115" spans="2:39" ht="15.5" customHeight="1">
      <x:c r="B115" s="69" t="s">
        <x:v>917</x:v>
      </x:c>
      <x:c r="C115" s="70">
        <x:v>17</x:v>
      </x:c>
      <x:c r="D115" s="70"/>
      <x:c r="E115" s="70"/>
      <x:c r="F115" s="70"/>
      <x:c r="G115" s="70"/>
      <x:c r="H115" s="70"/>
      <x:c r="I115" s="70"/>
      <x:c r="J115" s="70"/>
      <x:c r="K115" s="70">
        <x:v>184</x:v>
      </x:c>
      <x:c r="L115" s="70">
        <x:v>713</x:v>
      </x:c>
      <x:c r="M115" s="70">
        <x:v>3.9</x:v>
      </x:c>
      <x:c r="N115" s="70">
        <x:v>5</x:v>
      </x:c>
      <x:c r="O115" s="71">
        <x:v>25</x:v>
      </x:c>
      <x:c r="P115" s="71">
        <x:v>17</x:v>
      </x:c>
      <x:c r="Q115" s="71">
        <x:v>153</x:v>
      </x:c>
      <x:c r="R115" s="70">
        <x:v>9</x:v>
      </x:c>
      <x:c r="S115" s="70">
        <x:v>9</x:v>
      </x:c>
      <x:c r="T115" s="70">
        <x:v>2</x:v>
      </x:c>
      <x:c r="U115" s="70">
        <x:v>1</x:v>
      </x:c>
      <x:c r="V115" s="70">
        <x:v>110</x:v>
      </x:c>
      <x:c r="W115" s="70">
        <x:v>6.5</x:v>
      </x:c>
      <x:c r="AM115" s="56"/>
    </x:row>
    <x:row r="116" spans="2:39" ht="15.5" customHeight="1">
      <x:c r="B116" s="69" t="s">
        <x:v>919</x:v>
      </x:c>
      <x:c r="C116" s="70">
        <x:v>17</x:v>
      </x:c>
      <x:c r="D116" s="70"/>
      <x:c r="E116" s="70"/>
      <x:c r="F116" s="70"/>
      <x:c r="G116" s="70"/>
      <x:c r="H116" s="70"/>
      <x:c r="I116" s="70"/>
      <x:c r="J116" s="70"/>
      <x:c r="K116" s="70">
        <x:v>156</x:v>
      </x:c>
      <x:c r="L116" s="70">
        <x:v>738</x:v>
      </x:c>
      <x:c r="M116" s="70">
        <x:v>4.7</x:v>
      </x:c>
      <x:c r="N116" s="70">
        <x:v>6</x:v>
      </x:c>
      <x:c r="O116" s="71">
        <x:v>19</x:v>
      </x:c>
      <x:c r="P116" s="71">
        <x:v>14</x:v>
      </x:c>
      <x:c r="Q116" s="71">
        <x:v>122</x:v>
      </x:c>
      <x:c r="R116" s="70">
        <x:v>7.2</x:v>
      </x:c>
      <x:c r="S116" s="70">
        <x:v>8.6999999999999993</x:v>
      </x:c>
      <x:c r="T116" s="70">
        <x:v>1</x:v>
      </x:c>
      <x:c r="U116" s="70">
        <x:v>3</x:v>
      </x:c>
      <x:c r="V116" s="70">
        <x:v>107</x:v>
      </x:c>
      <x:c r="W116" s="70">
        <x:v>6.3</x:v>
      </x:c>
      <x:c r="AM116" s="56"/>
    </x:row>
    <x:row r="117" spans="2:39" ht="15.5" customHeight="1">
      <x:c r="B117" s="69" t="s">
        <x:v>922</x:v>
      </x:c>
      <x:c r="C117" s="70">
        <x:v>17</x:v>
      </x:c>
      <x:c r="D117" s="70"/>
      <x:c r="E117" s="70"/>
      <x:c r="F117" s="70"/>
      <x:c r="G117" s="70"/>
      <x:c r="H117" s="70"/>
      <x:c r="I117" s="70"/>
      <x:c r="J117" s="70"/>
      <x:c r="K117" s="70">
        <x:v>167</x:v>
      </x:c>
      <x:c r="L117" s="70">
        <x:v>715</x:v>
      </x:c>
      <x:c r="M117" s="70">
        <x:v>4.3</x:v>
      </x:c>
      <x:c r="N117" s="70">
        <x:v>6</x:v>
      </x:c>
      <x:c r="O117" s="71">
        <x:v>18</x:v>
      </x:c>
      <x:c r="P117" s="71">
        <x:v>14</x:v>
      </x:c>
      <x:c r="Q117" s="71">
        <x:v>142</x:v>
      </x:c>
      <x:c r="R117" s="70">
        <x:v>8.4</x:v>
      </x:c>
      <x:c r="S117" s="70">
        <x:v>10.1</x:v>
      </x:c>
      <x:c r="T117" s="70">
        <x:v>1</x:v>
      </x:c>
      <x:c r="U117" s="70">
        <x:v>3</x:v>
      </x:c>
      <x:c r="V117" s="70">
        <x:v>106</x:v>
      </x:c>
      <x:c r="W117" s="70">
        <x:v>6.2</x:v>
      </x:c>
      <x:c r="AM117" s="56"/>
    </x:row>
    <x:row r="118" spans="2:39" ht="15.5" customHeight="1">
      <x:c r="B118" s="69" t="s">
        <x:v>923</x:v>
      </x:c>
      <x:c r="C118" s="70">
        <x:v>15</x:v>
      </x:c>
      <x:c r="D118" s="70"/>
      <x:c r="E118" s="70"/>
      <x:c r="F118" s="70"/>
      <x:c r="G118" s="70"/>
      <x:c r="H118" s="70"/>
      <x:c r="I118" s="70"/>
      <x:c r="J118" s="70"/>
      <x:c r="K118" s="70">
        <x:v>178</x:v>
      </x:c>
      <x:c r="L118" s="70">
        <x:v>710</x:v>
      </x:c>
      <x:c r="M118" s="70">
        <x:v>4</x:v>
      </x:c>
      <x:c r="N118" s="70">
        <x:v>5</x:v>
      </x:c>
      <x:c r="O118" s="71">
        <x:v>26</x:v>
      </x:c>
      <x:c r="P118" s="71">
        <x:v>20</x:v>
      </x:c>
      <x:c r="Q118" s="71">
        <x:v>174</x:v>
      </x:c>
      <x:c r="R118" s="70">
        <x:v>11.6</x:v>
      </x:c>
      <x:c r="S118" s="70">
        <x:v>8.6999999999999993</x:v>
      </x:c>
      <x:c r="T118" s="70">
        <x:v>1</x:v>
      </x:c>
      <x:c r="U118" s="70">
        <x:v>3</x:v>
      </x:c>
      <x:c r="V118" s="70">
        <x:v>102</x:v>
      </x:c>
      <x:c r="W118" s="70">
        <x:v>6.8</x:v>
      </x:c>
      <x:c r="AM118" s="56"/>
    </x:row>
    <x:row r="119" spans="2:39" ht="15.5" customHeight="1">
      <x:c r="B119" s="69" t="s">
        <x:v>291</x:v>
      </x:c>
      <x:c r="C119" s="70">
        <x:v>17</x:v>
      </x:c>
      <x:c r="D119" s="70"/>
      <x:c r="E119" s="70"/>
      <x:c r="F119" s="70"/>
      <x:c r="G119" s="70"/>
      <x:c r="H119" s="70"/>
      <x:c r="I119" s="70"/>
      <x:c r="J119" s="70"/>
      <x:c r="K119" s="70">
        <x:v>135</x:v>
      </x:c>
      <x:c r="L119" s="70">
        <x:v>530</x:v>
      </x:c>
      <x:c r="M119" s="70">
        <x:v>3.9</x:v>
      </x:c>
      <x:c r="N119" s="70">
        <x:v>3</x:v>
      </x:c>
      <x:c r="O119" s="71">
        <x:v>49</x:v>
      </x:c>
      <x:c r="P119" s="71">
        <x:v>35</x:v>
      </x:c>
      <x:c r="Q119" s="71">
        <x:v>252</x:v>
      </x:c>
      <x:c r="R119" s="70">
        <x:v>14.8</x:v>
      </x:c>
      <x:c r="S119" s="70">
        <x:v>7.2</x:v>
      </x:c>
      <x:c r="T119" s="70">
        <x:v>4</x:v>
      </x:c>
      <x:c r="U119" s="70">
        <x:v>1</x:v>
      </x:c>
      <x:c r="V119" s="70">
        <x:v>102</x:v>
      </x:c>
      <x:c r="W119" s="70">
        <x:v>6</x:v>
      </x:c>
      <x:c r="AM119" s="56"/>
    </x:row>
    <x:row r="120" spans="2:39" ht="15.5" customHeight="1">
      <x:c r="B120" s="69" t="s">
        <x:v>924</x:v>
      </x:c>
      <x:c r="C120" s="70">
        <x:v>17</x:v>
      </x:c>
      <x:c r="D120" s="70"/>
      <x:c r="E120" s="70"/>
      <x:c r="F120" s="70"/>
      <x:c r="G120" s="70"/>
      <x:c r="H120" s="70"/>
      <x:c r="I120" s="70"/>
      <x:c r="J120" s="70"/>
      <x:c r="K120" s="70">
        <x:v>150</x:v>
      </x:c>
      <x:c r="L120" s="70">
        <x:v>525</x:v>
      </x:c>
      <x:c r="M120" s="70">
        <x:v>3.5</x:v>
      </x:c>
      <x:c r="N120" s="70">
        <x:v>5</x:v>
      </x:c>
      <x:c r="O120" s="71">
        <x:v>49</x:v>
      </x:c>
      <x:c r="P120" s="71">
        <x:v>37</x:v>
      </x:c>
      <x:c r="Q120" s="71">
        <x:v>248</x:v>
      </x:c>
      <x:c r="R120" s="70">
        <x:v>14.6</x:v>
      </x:c>
      <x:c r="S120" s="70">
        <x:v>6.7</x:v>
      </x:c>
      <x:c r="T120" s="70">
        <x:v>2</x:v>
      </x:c>
      <x:c r="U120" s="70">
        <x:v>1</x:v>
      </x:c>
      <x:c r="V120" s="70">
        <x:v>100</x:v>
      </x:c>
      <x:c r="W120" s="70">
        <x:v>5.9</x:v>
      </x:c>
      <x:c r="AM120" s="56"/>
    </x:row>
    <x:row r="121" spans="2:39" ht="15.5" customHeight="1">
      <x:c r="B121" s="69" t="s">
        <x:v>285</x:v>
      </x:c>
      <x:c r="C121" s="70">
        <x:v>17</x:v>
      </x:c>
      <x:c r="D121" s="70"/>
      <x:c r="E121" s="70"/>
      <x:c r="F121" s="70"/>
      <x:c r="G121" s="70"/>
      <x:c r="H121" s="70"/>
      <x:c r="I121" s="70"/>
      <x:c r="J121" s="70"/>
      <x:c r="K121" s="70">
        <x:v>140</x:v>
      </x:c>
      <x:c r="L121" s="70">
        <x:v>602</x:v>
      </x:c>
      <x:c r="M121" s="70">
        <x:v>4.3</x:v>
      </x:c>
      <x:c r="N121" s="70">
        <x:v>3</x:v>
      </x:c>
      <x:c r="O121" s="71">
        <x:v>57</x:v>
      </x:c>
      <x:c r="P121" s="71">
        <x:v>42</x:v>
      </x:c>
      <x:c r="Q121" s="71">
        <x:v>320</x:v>
      </x:c>
      <x:c r="R121" s="70">
        <x:v>18.8</x:v>
      </x:c>
      <x:c r="S121" s="70">
        <x:v>7.6</x:v>
      </x:c>
      <x:c r="T121" s="70">
        <x:v>1</x:v>
      </x:c>
      <x:c r="U121" s="70">
        <x:v>1</x:v>
      </x:c>
      <x:c r="V121" s="70">
        <x:v>96</x:v>
      </x:c>
      <x:c r="W121" s="70">
        <x:v>5.6</x:v>
      </x:c>
      <x:c r="AM121" s="56"/>
    </x:row>
    <x:row r="122" spans="2:39" ht="15.5" customHeight="1">
      <x:c r="B122" s="69" t="s">
        <x:v>295</x:v>
      </x:c>
      <x:c r="C122" s="70">
        <x:v>17</x:v>
      </x:c>
      <x:c r="D122" s="70"/>
      <x:c r="E122" s="70"/>
      <x:c r="F122" s="70"/>
      <x:c r="G122" s="70"/>
      <x:c r="H122" s="70"/>
      <x:c r="I122" s="70"/>
      <x:c r="J122" s="70"/>
      <x:c r="K122" s="70">
        <x:v>182</x:v>
      </x:c>
      <x:c r="L122" s="70">
        <x:v>687</x:v>
      </x:c>
      <x:c r="M122" s="70">
        <x:v>3.8</x:v>
      </x:c>
      <x:c r="N122" s="70">
        <x:v>4</x:v>
      </x:c>
      <x:c r="O122" s="71">
        <x:v>14</x:v>
      </x:c>
      <x:c r="P122" s="71">
        <x:v>11</x:v>
      </x:c>
      <x:c r="Q122" s="71">
        <x:v>93</x:v>
      </x:c>
      <x:c r="R122" s="70">
        <x:v>5.5</x:v>
      </x:c>
      <x:c r="S122" s="70">
        <x:v>8.5</x:v>
      </x:c>
      <x:c r="T122" s="70">
        <x:v>1</x:v>
      </x:c>
      <x:c r="U122" s="70">
        <x:v>1</x:v>
      </x:c>
      <x:c r="V122" s="70">
        <x:v>93</x:v>
      </x:c>
      <x:c r="W122" s="70">
        <x:v>5.5</x:v>
      </x:c>
      <x:c r="AM122" s="56"/>
    </x:row>
    <x:row r="123" spans="2:39" ht="15.5" customHeight="1">
      <x:c r="B123" s="69" t="s">
        <x:v>279</x:v>
      </x:c>
      <x:c r="C123" s="70">
        <x:v>17</x:v>
      </x:c>
      <x:c r="D123" s="70"/>
      <x:c r="E123" s="70"/>
      <x:c r="F123" s="70"/>
      <x:c r="G123" s="70"/>
      <x:c r="H123" s="70"/>
      <x:c r="I123" s="70"/>
      <x:c r="J123" s="70"/>
      <x:c r="K123" s="70">
        <x:v>135</x:v>
      </x:c>
      <x:c r="L123" s="70">
        <x:v>547</x:v>
      </x:c>
      <x:c r="M123" s="70">
        <x:v>4.0999999999999996</x:v>
      </x:c>
      <x:c r="N123" s="70">
        <x:v>4</x:v>
      </x:c>
      <x:c r="O123" s="71">
        <x:v>21</x:v>
      </x:c>
      <x:c r="P123" s="71">
        <x:v>17</x:v>
      </x:c>
      <x:c r="Q123" s="71">
        <x:v>183</x:v>
      </x:c>
      <x:c r="R123" s="70">
        <x:v>10.8</x:v>
      </x:c>
      <x:c r="S123" s="70">
        <x:v>10.8</x:v>
      </x:c>
      <x:c r="T123" s="70">
        <x:v>2</x:v>
      </x:c>
      <x:c r="U123" s="70">
        <x:v>1</x:v>
      </x:c>
      <x:c r="V123" s="70">
        <x:v>91</x:v>
      </x:c>
      <x:c r="W123" s="70">
        <x:v>5.4</x:v>
      </x:c>
      <x:c r="AM123" s="56"/>
    </x:row>
    <x:row r="124" spans="2:39" ht="15.5" customHeight="1">
      <x:c r="B124" s="69" t="s">
        <x:v>925</x:v>
      </x:c>
      <x:c r="C124" s="70">
        <x:v>17</x:v>
      </x:c>
      <x:c r="D124" s="70"/>
      <x:c r="E124" s="70"/>
      <x:c r="F124" s="70"/>
      <x:c r="G124" s="70"/>
      <x:c r="H124" s="70"/>
      <x:c r="I124" s="70"/>
      <x:c r="J124" s="70"/>
      <x:c r="K124" s="70">
        <x:v>137</x:v>
      </x:c>
      <x:c r="L124" s="70">
        <x:v>561</x:v>
      </x:c>
      <x:c r="M124" s="70">
        <x:v>4.0999999999999996</x:v>
      </x:c>
      <x:c r="N124" s="70">
        <x:v>5</x:v>
      </x:c>
      <x:c r="O124" s="71">
        <x:v>16</x:v>
      </x:c>
      <x:c r="P124" s="71">
        <x:v>12</x:v>
      </x:c>
      <x:c r="Q124" s="71">
        <x:v>127</x:v>
      </x:c>
      <x:c r="R124" s="70">
        <x:v>7.5</x:v>
      </x:c>
      <x:c r="S124" s="70">
        <x:v>10.6</x:v>
      </x:c>
      <x:c r="T124" s="70">
        <x:v>1</x:v>
      </x:c>
      <x:c r="U124" s="70">
        <x:v>2</x:v>
      </x:c>
      <x:c r="V124" s="70">
        <x:v>86</x:v>
      </x:c>
      <x:c r="W124" s="70">
        <x:v>5.0999999999999996</x:v>
      </x:c>
      <x:c r="AM124" s="56"/>
    </x:row>
    <x:row r="125" spans="2:39" ht="15.5" customHeight="1">
      <x:c r="B125" s="69" t="s">
        <x:v>926</x:v>
      </x:c>
      <x:c r="C125" s="70">
        <x:v>17</x:v>
      </x:c>
      <x:c r="D125" s="70"/>
      <x:c r="E125" s="70"/>
      <x:c r="F125" s="70"/>
      <x:c r="G125" s="70"/>
      <x:c r="H125" s="70"/>
      <x:c r="I125" s="70"/>
      <x:c r="J125" s="70"/>
      <x:c r="K125" s="70">
        <x:v>154</x:v>
      </x:c>
      <x:c r="L125" s="70">
        <x:v>651</x:v>
      </x:c>
      <x:c r="M125" s="70">
        <x:v>4.2</x:v>
      </x:c>
      <x:c r="N125" s="70">
        <x:v>4</x:v>
      </x:c>
      <x:c r="O125" s="71">
        <x:v>19</x:v>
      </x:c>
      <x:c r="P125" s="71">
        <x:v>15</x:v>
      </x:c>
      <x:c r="Q125" s="71">
        <x:v>130</x:v>
      </x:c>
      <x:c r="R125" s="70">
        <x:v>7.6</x:v>
      </x:c>
      <x:c r="S125" s="70">
        <x:v>8.6999999999999993</x:v>
      </x:c>
      <x:c r="T125" s="70">
        <x:v>1</x:v>
      </x:c>
      <x:c r="U125" s="70">
        <x:v>3</x:v>
      </x:c>
      <x:c r="V125" s="70">
        <x:v>85</x:v>
      </x:c>
      <x:c r="W125" s="70">
        <x:v>5</x:v>
      </x:c>
      <x:c r="AM125" s="56"/>
    </x:row>
    <x:row r="126" spans="2:39" ht="15.5" customHeight="1">
      <x:c r="B126" s="69" t="s">
        <x:v>927</x:v>
      </x:c>
      <x:c r="C126" s="70">
        <x:v>17</x:v>
      </x:c>
      <x:c r="D126" s="70"/>
      <x:c r="E126" s="70"/>
      <x:c r="F126" s="70"/>
      <x:c r="G126" s="70"/>
      <x:c r="H126" s="70"/>
      <x:c r="I126" s="70"/>
      <x:c r="J126" s="70"/>
      <x:c r="K126" s="70">
        <x:v>106</x:v>
      </x:c>
      <x:c r="L126" s="70">
        <x:v>377</x:v>
      </x:c>
      <x:c r="M126" s="70">
        <x:v>3.6</x:v>
      </x:c>
      <x:c r="N126" s="70">
        <x:v>2</x:v>
      </x:c>
      <x:c r="O126" s="71">
        <x:v>64</x:v>
      </x:c>
      <x:c r="P126" s="71">
        <x:v>52</x:v>
      </x:c>
      <x:c r="Q126" s="71">
        <x:v>395</x:v>
      </x:c>
      <x:c r="R126" s="70">
        <x:v>23.2</x:v>
      </x:c>
      <x:c r="S126" s="70">
        <x:v>7.6</x:v>
      </x:c>
      <x:c r="T126" s="70">
        <x:v>2</x:v>
      </x:c>
      <x:c r="U126" s="70">
        <x:v>2</x:v>
      </x:c>
      <x:c r="V126" s="70">
        <x:v>82</x:v>
      </x:c>
      <x:c r="W126" s="70">
        <x:v>4.8</x:v>
      </x:c>
      <x:c r="AM126" s="56"/>
    </x:row>
    <x:row r="127" spans="2:39" ht="15.5" customHeight="1">
      <x:c r="B127" s="69" t="s">
        <x:v>288</x:v>
      </x:c>
      <x:c r="C127" s="70">
        <x:v>17</x:v>
      </x:c>
      <x:c r="D127" s="70"/>
      <x:c r="E127" s="70"/>
      <x:c r="F127" s="70"/>
      <x:c r="G127" s="70"/>
      <x:c r="H127" s="70"/>
      <x:c r="I127" s="70"/>
      <x:c r="J127" s="70"/>
      <x:c r="K127" s="70">
        <x:v>114</x:v>
      </x:c>
      <x:c r="L127" s="70">
        <x:v>501</x:v>
      </x:c>
      <x:c r="M127" s="70">
        <x:v>4.4000000000000004</x:v>
      </x:c>
      <x:c r="N127" s="70">
        <x:v>6</x:v>
      </x:c>
      <x:c r="O127" s="71">
        <x:v>26</x:v>
      </x:c>
      <x:c r="P127" s="71">
        <x:v>22</x:v>
      </x:c>
      <x:c r="Q127" s="71">
        <x:v>164</x:v>
      </x:c>
      <x:c r="R127" s="70">
        <x:v>9.6</x:v>
      </x:c>
      <x:c r="S127" s="70">
        <x:v>7.5</x:v>
      </x:c>
      <x:c r="T127" s="70">
        <x:v>0</x:v>
      </x:c>
      <x:c r="U127" s="70">
        <x:v>1</x:v>
      </x:c>
      <x:c r="V127" s="70">
        <x:v>82</x:v>
      </x:c>
      <x:c r="W127" s="70">
        <x:v>4.8</x:v>
      </x:c>
      <x:c r="AM127" s="56"/>
    </x:row>
    <x:row r="128" spans="2:39" ht="15.5" customHeight="1">
      <x:c r="B128" s="69" t="s">
        <x:v>928</x:v>
      </x:c>
      <x:c r="C128" s="70">
        <x:v>17</x:v>
      </x:c>
      <x:c r="D128" s="70"/>
      <x:c r="E128" s="70"/>
      <x:c r="F128" s="70"/>
      <x:c r="G128" s="70"/>
      <x:c r="H128" s="70"/>
      <x:c r="I128" s="70"/>
      <x:c r="J128" s="70"/>
      <x:c r="K128" s="70">
        <x:v>103</x:v>
      </x:c>
      <x:c r="L128" s="70">
        <x:v>482</x:v>
      </x:c>
      <x:c r="M128" s="70">
        <x:v>4.7</x:v>
      </x:c>
      <x:c r="N128" s="70">
        <x:v>5</x:v>
      </x:c>
      <x:c r="O128" s="71">
        <x:v>23</x:v>
      </x:c>
      <x:c r="P128" s="71">
        <x:v>17</x:v>
      </x:c>
      <x:c r="Q128" s="71">
        <x:v>181</x:v>
      </x:c>
      <x:c r="R128" s="70">
        <x:v>10.6</x:v>
      </x:c>
      <x:c r="S128" s="70">
        <x:v>10.7</x:v>
      </x:c>
      <x:c r="T128" s="70">
        <x:v>1</x:v>
      </x:c>
      <x:c r="U128" s="70">
        <x:v>2</x:v>
      </x:c>
      <x:c r="V128" s="70">
        <x:v>81</x:v>
      </x:c>
      <x:c r="W128" s="70">
        <x:v>4.8</x:v>
      </x:c>
      <x:c r="AM128" s="56"/>
    </x:row>
    <x:row r="129" spans="2:39" ht="15.5" customHeight="1">
      <x:c r="B129" s="69" t="s">
        <x:v>287</x:v>
      </x:c>
      <x:c r="C129" s="70">
        <x:v>17</x:v>
      </x:c>
      <x:c r="D129" s="70"/>
      <x:c r="E129" s="70"/>
      <x:c r="F129" s="70"/>
      <x:c r="G129" s="70"/>
      <x:c r="H129" s="70"/>
      <x:c r="I129" s="70"/>
      <x:c r="J129" s="70"/>
      <x:c r="K129" s="70">
        <x:v>148</x:v>
      </x:c>
      <x:c r="L129" s="70">
        <x:v>554</x:v>
      </x:c>
      <x:c r="M129" s="70">
        <x:v>3.7</x:v>
      </x:c>
      <x:c r="N129" s="70">
        <x:v>4</x:v>
      </x:c>
      <x:c r="O129" s="71">
        <x:v>32</x:v>
      </x:c>
      <x:c r="P129" s="71">
        <x:v>27</x:v>
      </x:c>
      <x:c r="Q129" s="71">
        <x:v>180</x:v>
      </x:c>
      <x:c r="R129" s="70">
        <x:v>10.6</x:v>
      </x:c>
      <x:c r="S129" s="70">
        <x:v>6.7</x:v>
      </x:c>
      <x:c r="T129" s="70">
        <x:v>0</x:v>
      </x:c>
      <x:c r="U129" s="70">
        <x:v>1</x:v>
      </x:c>
      <x:c r="V129" s="70">
        <x:v>79</x:v>
      </x:c>
      <x:c r="W129" s="70">
        <x:v>4.5999999999999996</x:v>
      </x:c>
      <x:c r="AM129" s="56"/>
    </x:row>
    <x:row r="130" spans="2:39" ht="15.5" customHeight="1">
      <x:c r="B130" s="69" t="s">
        <x:v>281</x:v>
      </x:c>
      <x:c r="C130" s="70">
        <x:v>17</x:v>
      </x:c>
      <x:c r="D130" s="70"/>
      <x:c r="E130" s="70"/>
      <x:c r="F130" s="70"/>
      <x:c r="G130" s="70"/>
      <x:c r="H130" s="70"/>
      <x:c r="I130" s="70"/>
      <x:c r="J130" s="70"/>
      <x:c r="K130" s="70">
        <x:v>101</x:v>
      </x:c>
      <x:c r="L130" s="70">
        <x:v>385</x:v>
      </x:c>
      <x:c r="M130" s="70">
        <x:v>3.8</x:v>
      </x:c>
      <x:c r="N130" s="70">
        <x:v>3</x:v>
      </x:c>
      <x:c r="O130" s="71">
        <x:v>39</x:v>
      </x:c>
      <x:c r="P130" s="71">
        <x:v>31</x:v>
      </x:c>
      <x:c r="Q130" s="71">
        <x:v>279</x:v>
      </x:c>
      <x:c r="R130" s="70">
        <x:v>16.399999999999999</x:v>
      </x:c>
      <x:c r="S130" s="70">
        <x:v>9</x:v>
      </x:c>
      <x:c r="T130" s="70">
        <x:v>2</x:v>
      </x:c>
      <x:c r="U130" s="70">
        <x:v>1</x:v>
      </x:c>
      <x:c r="V130" s="70">
        <x:v>77</x:v>
      </x:c>
      <x:c r="W130" s="70">
        <x:v>4.5</x:v>
      </x:c>
      <x:c r="AM130" s="56"/>
    </x:row>
    <x:row r="131" spans="2:39" ht="15.5" customHeight="1">
      <x:c r="B131" s="69" t="s">
        <x:v>929</x:v>
      </x:c>
      <x:c r="C131" s="70">
        <x:v>17</x:v>
      </x:c>
      <x:c r="D131" s="70"/>
      <x:c r="E131" s="70"/>
      <x:c r="F131" s="70"/>
      <x:c r="G131" s="70"/>
      <x:c r="H131" s="70"/>
      <x:c r="I131" s="70"/>
      <x:c r="J131" s="70"/>
      <x:c r="K131" s="70">
        <x:v>103</x:v>
      </x:c>
      <x:c r="L131" s="70">
        <x:v>577</x:v>
      </x:c>
      <x:c r="M131" s="70">
        <x:v>5.6</x:v>
      </x:c>
      <x:c r="N131" s="70">
        <x:v>2</x:v>
      </x:c>
      <x:c r="O131" s="71">
        <x:v>32</x:v>
      </x:c>
      <x:c r="P131" s="71">
        <x:v>27</x:v>
      </x:c>
      <x:c r="Q131" s="71">
        <x:v>143</x:v>
      </x:c>
      <x:c r="R131" s="70">
        <x:v>8.4</x:v>
      </x:c>
      <x:c r="S131" s="70">
        <x:v>5.3</x:v>
      </x:c>
      <x:c r="T131" s="70">
        <x:v>2</x:v>
      </x:c>
      <x:c r="U131" s="70">
        <x:v>1</x:v>
      </x:c>
      <x:c r="V131" s="70">
        <x:v>77</x:v>
      </x:c>
      <x:c r="W131" s="70">
        <x:v>4.5</x:v>
      </x:c>
      <x:c r="AM131" s="56"/>
    </x:row>
    <x:row r="132" spans="2:39" ht="15.5" customHeight="1">
      <x:c r="B132" s="69" t="s">
        <x:v>286</x:v>
      </x:c>
      <x:c r="C132" s="70">
        <x:v>17</x:v>
      </x:c>
      <x:c r="D132" s="70"/>
      <x:c r="E132" s="70"/>
      <x:c r="F132" s="70"/>
      <x:c r="G132" s="70"/>
      <x:c r="H132" s="70"/>
      <x:c r="I132" s="70"/>
      <x:c r="J132" s="70"/>
      <x:c r="K132" s="70">
        <x:v>122</x:v>
      </x:c>
      <x:c r="L132" s="70">
        <x:v>453</x:v>
      </x:c>
      <x:c r="M132" s="70">
        <x:v>3.7</x:v>
      </x:c>
      <x:c r="N132" s="70">
        <x:v>4</x:v>
      </x:c>
      <x:c r="O132" s="71">
        <x:v>20</x:v>
      </x:c>
      <x:c r="P132" s="71">
        <x:v>17</x:v>
      </x:c>
      <x:c r="Q132" s="71">
        <x:v>187</x:v>
      </x:c>
      <x:c r="R132" s="70">
        <x:v>11</x:v>
      </x:c>
      <x:c r="S132" s="70">
        <x:v>11</x:v>
      </x:c>
      <x:c r="T132" s="70">
        <x:v>1</x:v>
      </x:c>
      <x:c r="U132" s="70">
        <x:v>1</x:v>
      </x:c>
      <x:c r="V132" s="70">
        <x:v>76</x:v>
      </x:c>
      <x:c r="W132" s="70">
        <x:v>4.5</x:v>
      </x:c>
      <x:c r="AM132" s="56"/>
    </x:row>
    <x:row r="133" spans="2:39" ht="15.5" customHeight="1">
      <x:c r="B133" s="69" t="s">
        <x:v>930</x:v>
      </x:c>
      <x:c r="C133" s="70">
        <x:v>17</x:v>
      </x:c>
      <x:c r="D133" s="70"/>
      <x:c r="E133" s="70"/>
      <x:c r="F133" s="70"/>
      <x:c r="G133" s="70"/>
      <x:c r="H133" s="70"/>
      <x:c r="I133" s="70"/>
      <x:c r="J133" s="70"/>
      <x:c r="K133" s="70">
        <x:v>130</x:v>
      </x:c>
      <x:c r="L133" s="70">
        <x:v>478</x:v>
      </x:c>
      <x:c r="M133" s="70">
        <x:v>3.7</x:v>
      </x:c>
      <x:c r="N133" s="70">
        <x:v>4</x:v>
      </x:c>
      <x:c r="O133" s="71">
        <x:v>27</x:v>
      </x:c>
      <x:c r="P133" s="71">
        <x:v>21</x:v>
      </x:c>
      <x:c r="Q133" s="71">
        <x:v>203</x:v>
      </x:c>
      <x:c r="R133" s="70">
        <x:v>11.9</x:v>
      </x:c>
      <x:c r="S133" s="70">
        <x:v>9.6999999999999993</x:v>
      </x:c>
      <x:c r="T133" s="70">
        <x:v>1</x:v>
      </x:c>
      <x:c r="U133" s="70">
        <x:v>3</x:v>
      </x:c>
      <x:c r="V133" s="70">
        <x:v>75</x:v>
      </x:c>
      <x:c r="W133" s="70">
        <x:v>4.4000000000000004</x:v>
      </x:c>
      <x:c r="AM133" s="56"/>
    </x:row>
    <x:row r="134" spans="2:39" ht="15.5" customHeight="1">
      <x:c r="B134" s="69" t="s">
        <x:v>931</x:v>
      </x:c>
      <x:c r="C134" s="70">
        <x:v>17</x:v>
      </x:c>
      <x:c r="D134" s="70"/>
      <x:c r="E134" s="70"/>
      <x:c r="F134" s="70"/>
      <x:c r="G134" s="70"/>
      <x:c r="H134" s="70"/>
      <x:c r="I134" s="70"/>
      <x:c r="J134" s="70"/>
      <x:c r="K134" s="70">
        <x:v>128</x:v>
      </x:c>
      <x:c r="L134" s="70">
        <x:v>516</x:v>
      </x:c>
      <x:c r="M134" s="70">
        <x:v>4</x:v>
      </x:c>
      <x:c r="N134" s="70">
        <x:v>4</x:v>
      </x:c>
      <x:c r="O134" s="71">
        <x:v>17</x:v>
      </x:c>
      <x:c r="P134" s="71">
        <x:v>13</x:v>
      </x:c>
      <x:c r="Q134" s="71">
        <x:v>121</x:v>
      </x:c>
      <x:c r="R134" s="70">
        <x:v>7.1</x:v>
      </x:c>
      <x:c r="S134" s="70">
        <x:v>9.3000000000000007</x:v>
      </x:c>
      <x:c r="T134" s="70">
        <x:v>1</x:v>
      </x:c>
      <x:c r="U134" s="70">
        <x:v>2</x:v>
      </x:c>
      <x:c r="V134" s="70">
        <x:v>75</x:v>
      </x:c>
      <x:c r="W134" s="70">
        <x:v>4.4000000000000004</x:v>
      </x:c>
      <x:c r="AM134" s="56"/>
    </x:row>
    <x:row r="135" spans="2:39" ht="15.5" customHeight="1">
      <x:c r="B135" s="69" t="s">
        <x:v>273</x:v>
      </x:c>
      <x:c r="C135" s="70">
        <x:v>17</x:v>
      </x:c>
      <x:c r="D135" s="70"/>
      <x:c r="E135" s="70"/>
      <x:c r="F135" s="70"/>
      <x:c r="G135" s="70"/>
      <x:c r="H135" s="70"/>
      <x:c r="I135" s="70"/>
      <x:c r="J135" s="70"/>
      <x:c r="K135" s="70">
        <x:v>120</x:v>
      </x:c>
      <x:c r="L135" s="70">
        <x:v>519</x:v>
      </x:c>
      <x:c r="M135" s="70">
        <x:v>4.3</x:v>
      </x:c>
      <x:c r="N135" s="70">
        <x:v>3</x:v>
      </x:c>
      <x:c r="O135" s="71">
        <x:v>36</x:v>
      </x:c>
      <x:c r="P135" s="71">
        <x:v>24</x:v>
      </x:c>
      <x:c r="Q135" s="71">
        <x:v>159</x:v>
      </x:c>
      <x:c r="R135" s="70">
        <x:v>9.4</x:v>
      </x:c>
      <x:c r="S135" s="70">
        <x:v>6.6</x:v>
      </x:c>
      <x:c r="T135" s="70">
        <x:v>1</x:v>
      </x:c>
      <x:c r="U135" s="70">
        <x:v>1</x:v>
      </x:c>
      <x:c r="V135" s="70">
        <x:v>73</x:v>
      </x:c>
      <x:c r="W135" s="70">
        <x:v>4.3</x:v>
      </x:c>
      <x:c r="AM135" s="56"/>
    </x:row>
    <x:row r="136" spans="2:39" ht="15.5" customHeight="1">
      <x:c r="B136" s="69" t="s">
        <x:v>932</x:v>
      </x:c>
      <x:c r="C136" s="70">
        <x:v>12</x:v>
      </x:c>
      <x:c r="D136" s="70"/>
      <x:c r="E136" s="70"/>
      <x:c r="F136" s="70"/>
      <x:c r="G136" s="70"/>
      <x:c r="H136" s="70"/>
      <x:c r="I136" s="70"/>
      <x:c r="J136" s="70"/>
      <x:c r="K136" s="70">
        <x:v>98</x:v>
      </x:c>
      <x:c r="L136" s="70">
        <x:v>585</x:v>
      </x:c>
      <x:c r="M136" s="70">
        <x:v>6</x:v>
      </x:c>
      <x:c r="N136" s="70">
        <x:v>4</x:v>
      </x:c>
      <x:c r="O136" s="71">
        <x:v>11</x:v>
      </x:c>
      <x:c r="P136" s="71">
        <x:v>9</x:v>
      </x:c>
      <x:c r="Q136" s="71">
        <x:v>93</x:v>
      </x:c>
      <x:c r="R136" s="70">
        <x:v>7.8</x:v>
      </x:c>
      <x:c r="S136" s="70">
        <x:v>10.3</x:v>
      </x:c>
      <x:c r="T136" s="70">
        <x:v>0</x:v>
      </x:c>
      <x:c r="U136" s="70">
        <x:v>1</x:v>
      </x:c>
      <x:c r="V136" s="70">
        <x:v>72</x:v>
      </x:c>
      <x:c r="W136" s="70">
        <x:v>6</x:v>
      </x:c>
      <x:c r="AM136" s="56"/>
    </x:row>
    <x:row r="137" spans="2:39" ht="15.5" customHeight="1">
      <x:c r="B137" s="69" t="s">
        <x:v>280</x:v>
      </x:c>
      <x:c r="C137" s="70">
        <x:v>17</x:v>
      </x:c>
      <x:c r="D137" s="70"/>
      <x:c r="E137" s="70"/>
      <x:c r="F137" s="70"/>
      <x:c r="G137" s="70"/>
      <x:c r="H137" s="70"/>
      <x:c r="I137" s="70"/>
      <x:c r="J137" s="70"/>
      <x:c r="K137" s="70">
        <x:v>116</x:v>
      </x:c>
      <x:c r="L137" s="70">
        <x:v>491</x:v>
      </x:c>
      <x:c r="M137" s="70">
        <x:v>4.2</x:v>
      </x:c>
      <x:c r="N137" s="70">
        <x:v>4</x:v>
      </x:c>
      <x:c r="O137" s="71">
        <x:v>37</x:v>
      </x:c>
      <x:c r="P137" s="71">
        <x:v>29</x:v>
      </x:c>
      <x:c r="Q137" s="71">
        <x:v>201</x:v>
      </x:c>
      <x:c r="R137" s="70">
        <x:v>11.8</x:v>
      </x:c>
      <x:c r="S137" s="70">
        <x:v>6.9</x:v>
      </x:c>
      <x:c r="T137" s="70">
        <x:v>0</x:v>
      </x:c>
      <x:c r="U137" s="70">
        <x:v>2</x:v>
      </x:c>
      <x:c r="V137" s="70">
        <x:v>71</x:v>
      </x:c>
      <x:c r="W137" s="70">
        <x:v>4.2</x:v>
      </x:c>
      <x:c r="AM137" s="56"/>
    </x:row>
    <x:row r="138" spans="2:39" ht="15.5" customHeight="1">
      <x:c r="B138" s="69" t="s">
        <x:v>933</x:v>
      </x:c>
      <x:c r="C138" s="70">
        <x:v>17</x:v>
      </x:c>
      <x:c r="D138" s="70"/>
      <x:c r="E138" s="70"/>
      <x:c r="F138" s="70"/>
      <x:c r="G138" s="70"/>
      <x:c r="H138" s="70"/>
      <x:c r="I138" s="70"/>
      <x:c r="J138" s="70"/>
      <x:c r="K138" s="70">
        <x:v>100</x:v>
      </x:c>
      <x:c r="L138" s="70">
        <x:v>421</x:v>
      </x:c>
      <x:c r="M138" s="70">
        <x:v>4.2</x:v>
      </x:c>
      <x:c r="N138" s="70">
        <x:v>4</x:v>
      </x:c>
      <x:c r="O138" s="71">
        <x:v>26</x:v>
      </x:c>
      <x:c r="P138" s="71">
        <x:v>20</x:v>
      </x:c>
      <x:c r="Q138" s="71">
        <x:v>196</x:v>
      </x:c>
      <x:c r="R138" s="70">
        <x:v>11.5</x:v>
      </x:c>
      <x:c r="S138" s="70">
        <x:v>9.8000000000000007</x:v>
      </x:c>
      <x:c r="T138" s="70">
        <x:v>1</x:v>
      </x:c>
      <x:c r="U138" s="70">
        <x:v>2</x:v>
      </x:c>
      <x:c r="V138" s="70">
        <x:v>71</x:v>
      </x:c>
      <x:c r="W138" s="70">
        <x:v>4.2</x:v>
      </x:c>
      <x:c r="AM138" s="56"/>
    </x:row>
    <x:row r="139" spans="2:39" ht="15.5" customHeight="1">
      <x:c r="B139" s="69" t="s">
        <x:v>277</x:v>
      </x:c>
      <x:c r="C139" s="70">
        <x:v>17</x:v>
      </x:c>
      <x:c r="D139" s="70"/>
      <x:c r="E139" s="70"/>
      <x:c r="F139" s="70"/>
      <x:c r="G139" s="70"/>
      <x:c r="H139" s="70"/>
      <x:c r="I139" s="70"/>
      <x:c r="J139" s="70"/>
      <x:c r="K139" s="70">
        <x:v>126</x:v>
      </x:c>
      <x:c r="L139" s="70">
        <x:v>503</x:v>
      </x:c>
      <x:c r="M139" s="70">
        <x:v>4</x:v>
      </x:c>
      <x:c r="N139" s="70">
        <x:v>4</x:v>
      </x:c>
      <x:c r="O139" s="71">
        <x:v>14</x:v>
      </x:c>
      <x:c r="P139" s="71">
        <x:v>11</x:v>
      </x:c>
      <x:c r="Q139" s="71">
        <x:v>56</x:v>
      </x:c>
      <x:c r="R139" s="70">
        <x:v>3.3</x:v>
      </x:c>
      <x:c r="S139" s="70">
        <x:v>5.0999999999999996</x:v>
      </x:c>
      <x:c r="T139" s="70">
        <x:v>0</x:v>
      </x:c>
      <x:c r="U139" s="70">
        <x:v>1</x:v>
      </x:c>
      <x:c r="V139" s="70">
        <x:v>65</x:v>
      </x:c>
      <x:c r="W139" s="70">
        <x:v>3.8</x:v>
      </x:c>
      <x:c r="AM139" s="56"/>
    </x:row>
    <x:row r="140" spans="2:39" ht="15.5" customHeight="1">
      <x:c r="B140" s="69" t="s">
        <x:v>274</x:v>
      </x:c>
      <x:c r="C140" s="70">
        <x:v>17</x:v>
      </x:c>
      <x:c r="D140" s="70"/>
      <x:c r="E140" s="70"/>
      <x:c r="F140" s="70"/>
      <x:c r="G140" s="70"/>
      <x:c r="H140" s="70"/>
      <x:c r="I140" s="70"/>
      <x:c r="J140" s="70"/>
      <x:c r="K140" s="70">
        <x:v>123</x:v>
      </x:c>
      <x:c r="L140" s="70">
        <x:v>504</x:v>
      </x:c>
      <x:c r="M140" s="70">
        <x:v>4.0999999999999996</x:v>
      </x:c>
      <x:c r="N140" s="70">
        <x:v>2</x:v>
      </x:c>
      <x:c r="O140" s="71">
        <x:v>41</x:v>
      </x:c>
      <x:c r="P140" s="71">
        <x:v>34</x:v>
      </x:c>
      <x:c r="Q140" s="71">
        <x:v>211</x:v>
      </x:c>
      <x:c r="R140" s="70">
        <x:v>12.4</x:v>
      </x:c>
      <x:c r="S140" s="70">
        <x:v>6.2</x:v>
      </x:c>
      <x:c r="T140" s="70">
        <x:v>0</x:v>
      </x:c>
      <x:c r="U140" s="70">
        <x:v>1</x:v>
      </x:c>
      <x:c r="V140" s="70">
        <x:v>64</x:v>
      </x:c>
      <x:c r="W140" s="70">
        <x:v>3.8</x:v>
      </x:c>
      <x:c r="AM140" s="56"/>
    </x:row>
    <x:row r="141" spans="2:39" ht="15.5" customHeight="1">
      <x:c r="B141" s="69" t="s">
        <x:v>269</x:v>
      </x:c>
      <x:c r="C141" s="70">
        <x:v>17</x:v>
      </x:c>
      <x:c r="D141" s="70"/>
      <x:c r="E141" s="70"/>
      <x:c r="F141" s="70"/>
      <x:c r="G141" s="70"/>
      <x:c r="H141" s="70"/>
      <x:c r="I141" s="70"/>
      <x:c r="J141" s="70"/>
      <x:c r="K141" s="70">
        <x:v>77</x:v>
      </x:c>
      <x:c r="L141" s="70">
        <x:v>353</x:v>
      </x:c>
      <x:c r="M141" s="70">
        <x:v>4.5999999999999996</x:v>
      </x:c>
      <x:c r="N141" s="70">
        <x:v>2</x:v>
      </x:c>
      <x:c r="O141" s="71">
        <x:v>37</x:v>
      </x:c>
      <x:c r="P141" s="71">
        <x:v>32</x:v>
      </x:c>
      <x:c r="Q141" s="71">
        <x:v>277</x:v>
      </x:c>
      <x:c r="R141" s="70">
        <x:v>16.3</x:v>
      </x:c>
      <x:c r="S141" s="70">
        <x:v>8.6999999999999993</x:v>
      </x:c>
      <x:c r="T141" s="70">
        <x:v>1</x:v>
      </x:c>
      <x:c r="U141" s="70">
        <x:v>3</x:v>
      </x:c>
      <x:c r="V141" s="70">
        <x:v>58</x:v>
      </x:c>
      <x:c r="W141" s="70">
        <x:v>3.4</x:v>
      </x:c>
      <x:c r="AM141" s="56"/>
    </x:row>
    <x:row r="142" spans="2:39" ht="15.5" customHeight="1">
      <x:c r="B142" s="69" t="s">
        <x:v>278</x:v>
      </x:c>
      <x:c r="C142" s="70">
        <x:v>17</x:v>
      </x:c>
      <x:c r="D142" s="70"/>
      <x:c r="E142" s="70"/>
      <x:c r="F142" s="70"/>
      <x:c r="G142" s="70"/>
      <x:c r="H142" s="70"/>
      <x:c r="I142" s="70"/>
      <x:c r="J142" s="70"/>
      <x:c r="K142" s="70">
        <x:v>85</x:v>
      </x:c>
      <x:c r="L142" s="70">
        <x:v>354</x:v>
      </x:c>
      <x:c r="M142" s="70">
        <x:v>4.2</x:v>
      </x:c>
      <x:c r="N142" s="70">
        <x:v>3</x:v>
      </x:c>
      <x:c r="O142" s="71">
        <x:v>42</x:v>
      </x:c>
      <x:c r="P142" s="71">
        <x:v>36</x:v>
      </x:c>
      <x:c r="Q142" s="71">
        <x:v>219</x:v>
      </x:c>
      <x:c r="R142" s="70">
        <x:v>12.9</x:v>
      </x:c>
      <x:c r="S142" s="70">
        <x:v>6.1</x:v>
      </x:c>
      <x:c r="T142" s="70">
        <x:v>0</x:v>
      </x:c>
      <x:c r="U142" s="70">
        <x:v>0</x:v>
      </x:c>
      <x:c r="V142" s="70">
        <x:v>58</x:v>
      </x:c>
      <x:c r="W142" s="70">
        <x:v>3.4</x:v>
      </x:c>
      <x:c r="AM142" s="56"/>
    </x:row>
    <x:row r="143" spans="2:39" ht="15.5" customHeight="1">
      <x:c r="B143" s="69" t="s">
        <x:v>934</x:v>
      </x:c>
      <x:c r="C143" s="70">
        <x:v>17</x:v>
      </x:c>
      <x:c r="D143" s="70"/>
      <x:c r="E143" s="70"/>
      <x:c r="F143" s="70"/>
      <x:c r="G143" s="70"/>
      <x:c r="H143" s="70"/>
      <x:c r="I143" s="70"/>
      <x:c r="J143" s="70"/>
      <x:c r="K143" s="70">
        <x:v>105</x:v>
      </x:c>
      <x:c r="L143" s="70">
        <x:v>490</x:v>
      </x:c>
      <x:c r="M143" s="70">
        <x:v>4.7</x:v>
      </x:c>
      <x:c r="N143" s="70">
        <x:v>3</x:v>
      </x:c>
      <x:c r="O143" s="71">
        <x:v>21</x:v>
      </x:c>
      <x:c r="P143" s="71">
        <x:v>15</x:v>
      </x:c>
      <x:c r="Q143" s="71">
        <x:v>113</x:v>
      </x:c>
      <x:c r="R143" s="70">
        <x:v>6.6</x:v>
      </x:c>
      <x:c r="S143" s="70">
        <x:v>7.5</x:v>
      </x:c>
      <x:c r="T143" s="70">
        <x:v>0</x:v>
      </x:c>
      <x:c r="U143" s="70">
        <x:v>2</x:v>
      </x:c>
      <x:c r="V143" s="70">
        <x:v>57</x:v>
      </x:c>
      <x:c r="W143" s="70">
        <x:v>3.4</x:v>
      </x:c>
      <x:c r="AM143" s="56"/>
    </x:row>
    <x:row r="144" spans="2:39" ht="15.5" customHeight="1">
      <x:c r="B144" s="69" t="s">
        <x:v>265</x:v>
      </x:c>
      <x:c r="C144" s="70">
        <x:v>17</x:v>
      </x:c>
      <x:c r="D144" s="70"/>
      <x:c r="E144" s="70"/>
      <x:c r="F144" s="70"/>
      <x:c r="G144" s="70"/>
      <x:c r="H144" s="70"/>
      <x:c r="I144" s="70"/>
      <x:c r="J144" s="70"/>
      <x:c r="K144" s="70">
        <x:v>123</x:v>
      </x:c>
      <x:c r="L144" s="70">
        <x:v>461</x:v>
      </x:c>
      <x:c r="M144" s="70">
        <x:v>3.8</x:v>
      </x:c>
      <x:c r="N144" s="70">
        <x:v>2</x:v>
      </x:c>
      <x:c r="O144" s="71">
        <x:v>46</x:v>
      </x:c>
      <x:c r="P144" s="71">
        <x:v>32</x:v>
      </x:c>
      <x:c r="Q144" s="71">
        <x:v>173</x:v>
      </x:c>
      <x:c r="R144" s="70">
        <x:v>10.199999999999999</x:v>
      </x:c>
      <x:c r="S144" s="70">
        <x:v>5.4</x:v>
      </x:c>
      <x:c r="T144" s="70">
        <x:v>0</x:v>
      </x:c>
      <x:c r="U144" s="70">
        <x:v>2</x:v>
      </x:c>
      <x:c r="V144" s="70">
        <x:v>56</x:v>
      </x:c>
      <x:c r="W144" s="70">
        <x:v>3.3</x:v>
      </x:c>
      <x:c r="AM144" s="56"/>
    </x:row>
    <x:row r="145" spans="2:39" ht="15.5" customHeight="1">
      <x:c r="B145" s="69" t="s">
        <x:v>935</x:v>
      </x:c>
      <x:c r="C145" s="70">
        <x:v>17</x:v>
      </x:c>
      <x:c r="D145" s="70"/>
      <x:c r="E145" s="70"/>
      <x:c r="F145" s="70"/>
      <x:c r="G145" s="70"/>
      <x:c r="H145" s="70"/>
      <x:c r="I145" s="70"/>
      <x:c r="J145" s="70"/>
      <x:c r="K145" s="70">
        <x:v>95</x:v>
      </x:c>
      <x:c r="L145" s="70">
        <x:v>354</x:v>
      </x:c>
      <x:c r="M145" s="70">
        <x:v>3.7</x:v>
      </x:c>
      <x:c r="N145" s="70">
        <x:v>2</x:v>
      </x:c>
      <x:c r="O145" s="71">
        <x:v>28</x:v>
      </x:c>
      <x:c r="P145" s="71">
        <x:v>20</x:v>
      </x:c>
      <x:c r="Q145" s="71">
        <x:v>129</x:v>
      </x:c>
      <x:c r="R145" s="70">
        <x:v>7.6</x:v>
      </x:c>
      <x:c r="S145" s="70">
        <x:v>6.5</x:v>
      </x:c>
      <x:c r="T145" s="70">
        <x:v>2</x:v>
      </x:c>
      <x:c r="U145" s="70">
        <x:v>1</x:v>
      </x:c>
      <x:c r="V145" s="70">
        <x:v>54</x:v>
      </x:c>
      <x:c r="W145" s="70">
        <x:v>3.2</x:v>
      </x:c>
      <x:c r="AM145" s="56"/>
    </x:row>
    <x:row r="146" spans="2:39" ht="15.5" customHeight="1">
      <x:c r="B146" s="69" t="s">
        <x:v>271</x:v>
      </x:c>
      <x:c r="C146" s="70">
        <x:v>17</x:v>
      </x:c>
      <x:c r="D146" s="70"/>
      <x:c r="E146" s="70"/>
      <x:c r="F146" s="70"/>
      <x:c r="G146" s="70"/>
      <x:c r="H146" s="70"/>
      <x:c r="I146" s="70"/>
      <x:c r="J146" s="70"/>
      <x:c r="K146" s="70">
        <x:v>115</x:v>
      </x:c>
      <x:c r="L146" s="70">
        <x:v>368</x:v>
      </x:c>
      <x:c r="M146" s="70">
        <x:v>3.2</x:v>
      </x:c>
      <x:c r="N146" s="70">
        <x:v>3</x:v>
      </x:c>
      <x:c r="O146" s="71">
        <x:v>20</x:v>
      </x:c>
      <x:c r="P146" s="71">
        <x:v>18</x:v>
      </x:c>
      <x:c r="Q146" s="71">
        <x:v>76</x:v>
      </x:c>
      <x:c r="R146" s="70">
        <x:v>4.5</x:v>
      </x:c>
      <x:c r="S146" s="70">
        <x:v>4.2</x:v>
      </x:c>
      <x:c r="T146" s="70">
        <x:v>0</x:v>
      </x:c>
      <x:c r="U146" s="70">
        <x:v>1</x:v>
      </x:c>
      <x:c r="V146" s="70">
        <x:v>48</x:v>
      </x:c>
      <x:c r="W146" s="70">
        <x:v>2.8</x:v>
      </x:c>
      <x:c r="AM146" s="56"/>
    </x:row>
    <x:row r="147" spans="2:39" ht="15.5" customHeight="1">
      <x:c r="B147" s="69" t="s">
        <x:v>936</x:v>
      </x:c>
      <x:c r="C147" s="70">
        <x:v>17</x:v>
      </x:c>
      <x:c r="D147" s="70"/>
      <x:c r="E147" s="70"/>
      <x:c r="F147" s="70"/>
      <x:c r="G147" s="70"/>
      <x:c r="H147" s="70"/>
      <x:c r="I147" s="70"/>
      <x:c r="J147" s="70"/>
      <x:c r="K147" s="70">
        <x:v>82</x:v>
      </x:c>
      <x:c r="L147" s="70">
        <x:v>343</x:v>
      </x:c>
      <x:c r="M147" s="70">
        <x:v>4.2</x:v>
      </x:c>
      <x:c r="N147" s="70">
        <x:v>2</x:v>
      </x:c>
      <x:c r="O147" s="71">
        <x:v>12</x:v>
      </x:c>
      <x:c r="P147" s="71">
        <x:v>9</x:v>
      </x:c>
      <x:c r="Q147" s="71">
        <x:v>84</x:v>
      </x:c>
      <x:c r="R147" s="70">
        <x:v>4.9000000000000004</x:v>
      </x:c>
      <x:c r="S147" s="70">
        <x:v>9.3000000000000007</x:v>
      </x:c>
      <x:c r="T147" s="70">
        <x:v>1</x:v>
      </x:c>
      <x:c r="U147" s="70">
        <x:v>1</x:v>
      </x:c>
      <x:c r="V147" s="70">
        <x:v>46</x:v>
      </x:c>
      <x:c r="W147" s="70">
        <x:v>2.7</x:v>
      </x:c>
      <x:c r="AM147" s="56"/>
    </x:row>
    <x:row r="148" spans="2:39" ht="15.5" customHeight="1">
      <x:c r="B148" s="69" t="s">
        <x:v>937</x:v>
      </x:c>
      <x:c r="C148" s="70">
        <x:v>17</x:v>
      </x:c>
      <x:c r="D148" s="70"/>
      <x:c r="E148" s="70"/>
      <x:c r="F148" s="70"/>
      <x:c r="G148" s="70"/>
      <x:c r="H148" s="70"/>
      <x:c r="I148" s="70"/>
      <x:c r="J148" s="70"/>
      <x:c r="K148" s="70">
        <x:v>5</x:v>
      </x:c>
      <x:c r="L148" s="70">
        <x:v>3</x:v>
      </x:c>
      <x:c r="M148" s="70">
        <x:v>0.6</x:v>
      </x:c>
      <x:c r="N148" s="70">
        <x:v>2</x:v>
      </x:c>
      <x:c r="O148" s="71">
        <x:v>32</x:v>
      </x:c>
      <x:c r="P148" s="71">
        <x:v>23</x:v>
      </x:c>
      <x:c r="Q148" s="71">
        <x:v>216</x:v>
      </x:c>
      <x:c r="R148" s="70">
        <x:v>12.7</x:v>
      </x:c>
      <x:c r="S148" s="70">
        <x:v>9.4</x:v>
      </x:c>
      <x:c r="T148" s="70">
        <x:v>4</x:v>
      </x:c>
      <x:c r="U148" s="70">
        <x:v>3</x:v>
      </x:c>
      <x:c r="V148" s="70">
        <x:v>43</x:v>
      </x:c>
      <x:c r="W148" s="70">
        <x:v>2.5</x:v>
      </x:c>
      <x:c r="AM148" s="56"/>
    </x:row>
    <x:row r="149" spans="2:39" ht="15.5" customHeight="1">
      <x:c r="B149" s="69" t="s">
        <x:v>938</x:v>
      </x:c>
      <x:c r="C149" s="70">
        <x:v>17</x:v>
      </x:c>
      <x:c r="D149" s="70"/>
      <x:c r="E149" s="70"/>
      <x:c r="F149" s="70"/>
      <x:c r="G149" s="70"/>
      <x:c r="H149" s="70"/>
      <x:c r="I149" s="70"/>
      <x:c r="J149" s="70"/>
      <x:c r="K149" s="70">
        <x:v>88</x:v>
      </x:c>
      <x:c r="L149" s="70">
        <x:v>303</x:v>
      </x:c>
      <x:c r="M149" s="70">
        <x:v>3.4</x:v>
      </x:c>
      <x:c r="N149" s="70">
        <x:v>2</x:v>
      </x:c>
      <x:c r="O149" s="71">
        <x:v>23</x:v>
      </x:c>
      <x:c r="P149" s="71">
        <x:v>18</x:v>
      </x:c>
      <x:c r="Q149" s="71">
        <x:v>180</x:v>
      </x:c>
      <x:c r="R149" s="70">
        <x:v>10.6</x:v>
      </x:c>
      <x:c r="S149" s="70">
        <x:v>10</x:v>
      </x:c>
      <x:c r="T149" s="70">
        <x:v>0</x:v>
      </x:c>
      <x:c r="U149" s="70">
        <x:v>0</x:v>
      </x:c>
      <x:c r="V149" s="70">
        <x:v>43</x:v>
      </x:c>
      <x:c r="W149" s="70">
        <x:v>2.5</x:v>
      </x:c>
      <x:c r="AM149" s="56"/>
    </x:row>
    <x:row r="150" spans="2:39" ht="15.5" customHeight="1">
      <x:c r="B150" s="69" t="s">
        <x:v>289</x:v>
      </x:c>
      <x:c r="C150" s="70">
        <x:v>17</x:v>
      </x:c>
      <x:c r="D150" s="70"/>
      <x:c r="E150" s="70"/>
      <x:c r="F150" s="70"/>
      <x:c r="G150" s="70"/>
      <x:c r="H150" s="70"/>
      <x:c r="I150" s="70"/>
      <x:c r="J150" s="70"/>
      <x:c r="K150" s="70">
        <x:v>86</x:v>
      </x:c>
      <x:c r="L150" s="70">
        <x:v>323</x:v>
      </x:c>
      <x:c r="M150" s="70">
        <x:v>3.8</x:v>
      </x:c>
      <x:c r="N150" s="70">
        <x:v>2</x:v>
      </x:c>
      <x:c r="O150" s="71">
        <x:v>27</x:v>
      </x:c>
      <x:c r="P150" s="71">
        <x:v>21</x:v>
      </x:c>
      <x:c r="Q150" s="71">
        <x:v>140</x:v>
      </x:c>
      <x:c r="R150" s="70">
        <x:v>8.1999999999999993</x:v>
      </x:c>
      <x:c r="S150" s="70">
        <x:v>6.7</x:v>
      </x:c>
      <x:c r="T150" s="70">
        <x:v>0</x:v>
      </x:c>
      <x:c r="U150" s="70">
        <x:v>0</x:v>
      </x:c>
      <x:c r="V150" s="70">
        <x:v>42</x:v>
      </x:c>
      <x:c r="W150" s="70">
        <x:v>2.5</x:v>
      </x:c>
      <x:c r="AM150" s="56"/>
    </x:row>
    <x:row r="151" spans="2:39" ht="15.5" customHeight="1">
      <x:c r="B151" s="69" t="s">
        <x:v>283</x:v>
      </x:c>
      <x:c r="C151" s="70">
        <x:v>17</x:v>
      </x:c>
      <x:c r="D151" s="70"/>
      <x:c r="E151" s="70"/>
      <x:c r="F151" s="70"/>
      <x:c r="G151" s="70"/>
      <x:c r="H151" s="70"/>
      <x:c r="I151" s="70"/>
      <x:c r="J151" s="70"/>
      <x:c r="K151" s="70">
        <x:v>102</x:v>
      </x:c>
      <x:c r="L151" s="70">
        <x:v>256</x:v>
      </x:c>
      <x:c r="M151" s="70">
        <x:v>2.5</x:v>
      </x:c>
      <x:c r="N151" s="70">
        <x:v>5</x:v>
      </x:c>
      <x:c r="O151" s="71">
        <x:v>1</x:v>
      </x:c>
      <x:c r="P151" s="71">
        <x:v>1</x:v>
      </x:c>
      <x:c r="Q151" s="71">
        <x:v>4</x:v>
      </x:c>
      <x:c r="R151" s="70">
        <x:v>0.2</x:v>
      </x:c>
      <x:c r="S151" s="70">
        <x:v>4</x:v>
      </x:c>
      <x:c r="T151" s="70">
        <x:v>0</x:v>
      </x:c>
      <x:c r="U151" s="70">
        <x:v>6</x:v>
      </x:c>
      <x:c r="V151" s="70">
        <x:v>36</x:v>
      </x:c>
      <x:c r="W151" s="70">
        <x:v>2.1</x:v>
      </x:c>
      <x:c r="AM151" s="56"/>
    </x:row>
    <x:row r="152" spans="2:39" ht="15.5" customHeight="1">
      <x:c r="B152" s="69" t="s">
        <x:v>939</x:v>
      </x:c>
      <x:c r="C152" s="70">
        <x:v>17</x:v>
      </x:c>
      <x:c r="D152" s="70"/>
      <x:c r="E152" s="70"/>
      <x:c r="F152" s="70"/>
      <x:c r="G152" s="70"/>
      <x:c r="H152" s="70"/>
      <x:c r="I152" s="70"/>
      <x:c r="J152" s="70"/>
      <x:c r="K152" s="70">
        <x:v>49</x:v>
      </x:c>
      <x:c r="L152" s="70">
        <x:v>211</x:v>
      </x:c>
      <x:c r="M152" s="70">
        <x:v>4.3</x:v>
      </x:c>
      <x:c r="N152" s="70">
        <x:v>2</x:v>
      </x:c>
      <x:c r="O152" s="71">
        <x:v>32</x:v>
      </x:c>
      <x:c r="P152" s="71">
        <x:v>22</x:v>
      </x:c>
      <x:c r="Q152" s="71">
        <x:v>136</x:v>
      </x:c>
      <x:c r="R152" s="70">
        <x:v>8</x:v>
      </x:c>
      <x:c r="S152" s="70">
        <x:v>6.2</x:v>
      </x:c>
      <x:c r="T152" s="70">
        <x:v>0</x:v>
      </x:c>
      <x:c r="U152" s="70">
        <x:v>0</x:v>
      </x:c>
      <x:c r="V152" s="70">
        <x:v>31</x:v>
      </x:c>
      <x:c r="W152" s="70">
        <x:v>1.8</x:v>
      </x:c>
      <x:c r="AM152" s="56"/>
    </x:row>
    <x:row r="153" spans="2:39" ht="15.5" customHeight="1">
      <x:c r="B153" s="69" t="s">
        <x:v>293</x:v>
      </x:c>
      <x:c r="C153" s="70">
        <x:v>17</x:v>
      </x:c>
      <x:c r="D153" s="70"/>
      <x:c r="E153" s="70"/>
      <x:c r="F153" s="70"/>
      <x:c r="G153" s="70"/>
      <x:c r="H153" s="70"/>
      <x:c r="I153" s="70"/>
      <x:c r="J153" s="70"/>
      <x:c r="K153" s="70">
        <x:v>7</x:v>
      </x:c>
      <x:c r="L153" s="70">
        <x:v>21</x:v>
      </x:c>
      <x:c r="M153" s="70">
        <x:v>3</x:v>
      </x:c>
      <x:c r="N153" s="70">
        <x:v>0</x:v>
      </x:c>
      <x:c r="O153" s="71">
        <x:v>31</x:v>
      </x:c>
      <x:c r="P153" s="71">
        <x:v>25</x:v>
      </x:c>
      <x:c r="Q153" s="71">
        <x:v>270</x:v>
      </x:c>
      <x:c r="R153" s="70">
        <x:v>15.9</x:v>
      </x:c>
      <x:c r="S153" s="70">
        <x:v>10.8</x:v>
      </x:c>
      <x:c r="T153" s="70">
        <x:v>2</x:v>
      </x:c>
      <x:c r="U153" s="70">
        <x:v>0</x:v>
      </x:c>
      <x:c r="V153" s="70">
        <x:v>31</x:v>
      </x:c>
      <x:c r="W153" s="70">
        <x:v>1.8</x:v>
      </x:c>
      <x:c r="AM153" s="56"/>
    </x:row>
    <x:row r="154" spans="2:39" ht="15.5" customHeight="1">
      <x:c r="B154" s="69" t="s">
        <x:v>256</x:v>
      </x:c>
      <x:c r="C154" s="70">
        <x:v>17</x:v>
      </x:c>
      <x:c r="D154" s="70"/>
      <x:c r="E154" s="70"/>
      <x:c r="F154" s="70"/>
      <x:c r="G154" s="70"/>
      <x:c r="H154" s="70"/>
      <x:c r="I154" s="70"/>
      <x:c r="J154" s="70"/>
      <x:c r="K154" s="70">
        <x:v>71</x:v>
      </x:c>
      <x:c r="L154" s="70">
        <x:v>219</x:v>
      </x:c>
      <x:c r="M154" s="70">
        <x:v>3.1</x:v>
      </x:c>
      <x:c r="N154" s="70">
        <x:v>2</x:v>
      </x:c>
      <x:c r="O154" s="71">
        <x:v>17</x:v>
      </x:c>
      <x:c r="P154" s="71">
        <x:v>13</x:v>
      </x:c>
      <x:c r="Q154" s="71">
        <x:v>100</x:v>
      </x:c>
      <x:c r="R154" s="70">
        <x:v>5.9</x:v>
      </x:c>
      <x:c r="S154" s="70">
        <x:v>7.7</x:v>
      </x:c>
      <x:c r="T154" s="70">
        <x:v>0</x:v>
      </x:c>
      <x:c r="U154" s="70">
        <x:v>0</x:v>
      </x:c>
      <x:c r="V154" s="70">
        <x:v>29</x:v>
      </x:c>
      <x:c r="W154" s="70">
        <x:v>1.7</x:v>
      </x:c>
      <x:c r="AM154" s="56"/>
    </x:row>
    <x:row r="155" spans="2:39" ht="15.5" customHeight="1">
      <x:c r="B155" s="69" t="s">
        <x:v>940</x:v>
      </x:c>
      <x:c r="C155" s="70">
        <x:v>17</x:v>
      </x:c>
      <x:c r="D155" s="70"/>
      <x:c r="E155" s="70"/>
      <x:c r="F155" s="70"/>
      <x:c r="G155" s="70"/>
      <x:c r="H155" s="70"/>
      <x:c r="I155" s="70"/>
      <x:c r="J155" s="70"/>
      <x:c r="K155" s="70">
        <x:v>15</x:v>
      </x:c>
      <x:c r="L155" s="70">
        <x:v>48</x:v>
      </x:c>
      <x:c r="M155" s="70">
        <x:v>3.2</x:v>
      </x:c>
      <x:c r="N155" s="70">
        <x:v>4</x:v>
      </x:c>
      <x:c r="O155" s="71">
        <x:v>10</x:v>
      </x:c>
      <x:c r="P155" s="71">
        <x:v>8</x:v>
      </x:c>
      <x:c r="Q155" s="71">
        <x:v>53</x:v>
      </x:c>
      <x:c r="R155" s="70">
        <x:v>3.1</x:v>
      </x:c>
      <x:c r="S155" s="70">
        <x:v>6.6</x:v>
      </x:c>
      <x:c r="T155" s="70">
        <x:v>0</x:v>
      </x:c>
      <x:c r="U155" s="70">
        <x:v>0</x:v>
      </x:c>
      <x:c r="V155" s="70">
        <x:v>27</x:v>
      </x:c>
      <x:c r="W155" s="70">
        <x:v>1.6</x:v>
      </x:c>
      <x:c r="AM155" s="56"/>
    </x:row>
    <x:row r="156" spans="2:39" ht="15.5" customHeight="1">
      <x:c r="B156" s="69" t="s">
        <x:v>941</x:v>
      </x:c>
      <x:c r="C156" s="70">
        <x:v>17</x:v>
      </x:c>
      <x:c r="D156" s="70"/>
      <x:c r="E156" s="70"/>
      <x:c r="F156" s="70"/>
      <x:c r="G156" s="70"/>
      <x:c r="H156" s="70"/>
      <x:c r="I156" s="70"/>
      <x:c r="J156" s="70"/>
      <x:c r="K156" s="70">
        <x:v>57</x:v>
      </x:c>
      <x:c r="L156" s="70">
        <x:v>274</x:v>
      </x:c>
      <x:c r="M156" s="70">
        <x:v>4.8</x:v>
      </x:c>
      <x:c r="N156" s="70">
        <x:v>1</x:v>
      </x:c>
      <x:c r="O156" s="71">
        <x:v>3</x:v>
      </x:c>
      <x:c r="P156" s="71">
        <x:v>2</x:v>
      </x:c>
      <x:c r="Q156" s="71">
        <x:v>9</x:v>
      </x:c>
      <x:c r="R156" s="70">
        <x:v>0.5</x:v>
      </x:c>
      <x:c r="S156" s="70">
        <x:v>4.5</x:v>
      </x:c>
      <x:c r="T156" s="70">
        <x:v>0</x:v>
      </x:c>
      <x:c r="U156" s="70">
        <x:v>0</x:v>
      </x:c>
      <x:c r="V156" s="70">
        <x:v>25</x:v>
      </x:c>
      <x:c r="W156" s="70">
        <x:v>1.5</x:v>
      </x:c>
      <x:c r="AM156" s="56"/>
    </x:row>
    <x:row r="157" spans="2:39" ht="15.5" customHeight="1">
      <x:c r="B157" s="69" t="s">
        <x:v>942</x:v>
      </x:c>
      <x:c r="C157" s="70">
        <x:v>17</x:v>
      </x:c>
      <x:c r="D157" s="70"/>
      <x:c r="E157" s="70"/>
      <x:c r="F157" s="70"/>
      <x:c r="G157" s="70"/>
      <x:c r="H157" s="70"/>
      <x:c r="I157" s="70"/>
      <x:c r="J157" s="70"/>
      <x:c r="K157" s="70">
        <x:v>36</x:v>
      </x:c>
      <x:c r="L157" s="70">
        <x:v>182</x:v>
      </x:c>
      <x:c r="M157" s="70">
        <x:v>5.0999999999999996</x:v>
      </x:c>
      <x:c r="N157" s="70">
        <x:v>2</x:v>
      </x:c>
      <x:c r="O157" s="71">
        <x:v>3</x:v>
      </x:c>
      <x:c r="P157" s="71">
        <x:v>2</x:v>
      </x:c>
      <x:c r="Q157" s="71">
        <x:v>23</x:v>
      </x:c>
      <x:c r="R157" s="70">
        <x:v>1.4</x:v>
      </x:c>
      <x:c r="S157" s="70">
        <x:v>11.5</x:v>
      </x:c>
      <x:c r="T157" s="70">
        <x:v>0</x:v>
      </x:c>
      <x:c r="U157" s="70">
        <x:v>0</x:v>
      </x:c>
      <x:c r="V157" s="70">
        <x:v>23</x:v>
      </x:c>
      <x:c r="W157" s="70">
        <x:v>1.4</x:v>
      </x:c>
      <x:c r="AM157" s="56"/>
    </x:row>
    <x:row r="158" spans="2:39" ht="15.5" customHeight="1">
      <x:c r="B158" s="69" t="s">
        <x:v>943</x:v>
      </x:c>
      <x:c r="C158" s="70">
        <x:v>17</x:v>
      </x:c>
      <x:c r="D158" s="70"/>
      <x:c r="E158" s="70"/>
      <x:c r="F158" s="70"/>
      <x:c r="G158" s="70"/>
      <x:c r="H158" s="70"/>
      <x:c r="I158" s="70"/>
      <x:c r="J158" s="70"/>
      <x:c r="K158" s="70">
        <x:v>52</x:v>
      </x:c>
      <x:c r="L158" s="70">
        <x:v>208</x:v>
      </x:c>
      <x:c r="M158" s="70">
        <x:v>4</x:v>
      </x:c>
      <x:c r="N158" s="70">
        <x:v>1</x:v>
      </x:c>
      <x:c r="O158" s="71">
        <x:v>8</x:v>
      </x:c>
      <x:c r="P158" s="71">
        <x:v>8</x:v>
      </x:c>
      <x:c r="Q158" s="71">
        <x:v>62</x:v>
      </x:c>
      <x:c r="R158" s="70">
        <x:v>3.6</x:v>
      </x:c>
      <x:c r="S158" s="70">
        <x:v>7.8</x:v>
      </x:c>
      <x:c r="T158" s="70">
        <x:v>0</x:v>
      </x:c>
      <x:c r="U158" s="70">
        <x:v>0</x:v>
      </x:c>
      <x:c r="V158" s="70">
        <x:v>21</x:v>
      </x:c>
      <x:c r="W158" s="70">
        <x:v>1.2</x:v>
      </x:c>
      <x:c r="AM158" s="56"/>
    </x:row>
    <x:row r="159" spans="2:39" ht="15.5" customHeight="1">
      <x:c r="B159" s="69" t="s">
        <x:v>944</x:v>
      </x:c>
      <x:c r="C159" s="70">
        <x:v>17</x:v>
      </x:c>
      <x:c r="D159" s="70"/>
      <x:c r="E159" s="70"/>
      <x:c r="F159" s="70"/>
      <x:c r="G159" s="70"/>
      <x:c r="H159" s="70"/>
      <x:c r="I159" s="70"/>
      <x:c r="J159" s="70"/>
      <x:c r="K159" s="70">
        <x:v>6</x:v>
      </x:c>
      <x:c r="L159" s="70">
        <x:v>17</x:v>
      </x:c>
      <x:c r="M159" s="70">
        <x:v>2.8</x:v>
      </x:c>
      <x:c r="N159" s="70">
        <x:v>3</x:v>
      </x:c>
      <x:c r="O159" s="71">
        <x:v>4</x:v>
      </x:c>
      <x:c r="P159" s="71">
        <x:v>3</x:v>
      </x:c>
      <x:c r="Q159" s="71">
        <x:v>24</x:v>
      </x:c>
      <x:c r="R159" s="70">
        <x:v>1.4</x:v>
      </x:c>
      <x:c r="S159" s="70">
        <x:v>8</x:v>
      </x:c>
      <x:c r="T159" s="70">
        <x:v>0</x:v>
      </x:c>
      <x:c r="U159" s="70">
        <x:v>0</x:v>
      </x:c>
      <x:c r="V159" s="70">
        <x:v>20</x:v>
      </x:c>
      <x:c r="W159" s="70">
        <x:v>1.2</x:v>
      </x:c>
      <x:c r="AM159" s="56"/>
    </x:row>
    <x:row r="160" spans="2:39" ht="15.5" customHeight="1">
      <x:c r="B160" s="69" t="s">
        <x:v>290</x:v>
      </x:c>
      <x:c r="C160" s="70">
        <x:v>17</x:v>
      </x:c>
      <x:c r="D160" s="70"/>
      <x:c r="E160" s="70"/>
      <x:c r="F160" s="70"/>
      <x:c r="G160" s="70"/>
      <x:c r="H160" s="70"/>
      <x:c r="I160" s="70"/>
      <x:c r="J160" s="70"/>
      <x:c r="K160" s="70">
        <x:v>48</x:v>
      </x:c>
      <x:c r="L160" s="70">
        <x:v>225</x:v>
      </x:c>
      <x:c r="M160" s="70">
        <x:v>4.7</x:v>
      </x:c>
      <x:c r="N160" s="70">
        <x:v>0</x:v>
      </x:c>
      <x:c r="O160" s="71">
        <x:v>22</x:v>
      </x:c>
      <x:c r="P160" s="71">
        <x:v>17</x:v>
      </x:c>
      <x:c r="Q160" s="71">
        <x:v>126</x:v>
      </x:c>
      <x:c r="R160" s="70">
        <x:v>7.4</x:v>
      </x:c>
      <x:c r="S160" s="70">
        <x:v>7.4</x:v>
      </x:c>
      <x:c r="T160" s="70">
        <x:v>0</x:v>
      </x:c>
      <x:c r="U160" s="70">
        <x:v>0</x:v>
      </x:c>
      <x:c r="V160" s="70">
        <x:v>20</x:v>
      </x:c>
      <x:c r="W160" s="70">
        <x:v>1.2</x:v>
      </x:c>
      <x:c r="AM160" s="56"/>
    </x:row>
    <x:row r="161" spans="2:39" ht="15.5" customHeight="1">
      <x:c r="B161" s="69" t="s">
        <x:v>945</x:v>
      </x:c>
      <x:c r="C161" s="70">
        <x:v>17</x:v>
      </x:c>
      <x:c r="D161" s="70"/>
      <x:c r="E161" s="70"/>
      <x:c r="F161" s="70"/>
      <x:c r="G161" s="70"/>
      <x:c r="H161" s="70"/>
      <x:c r="I161" s="70"/>
      <x:c r="J161" s="70"/>
      <x:c r="K161" s="70">
        <x:v>34</x:v>
      </x:c>
      <x:c r="L161" s="70">
        <x:v>146</x:v>
      </x:c>
      <x:c r="M161" s="70">
        <x:v>4.3</x:v>
      </x:c>
      <x:c r="N161" s="70">
        <x:v>2</x:v>
      </x:c>
      <x:c r="O161" s="71">
        <x:v>3</x:v>
      </x:c>
      <x:c r="P161" s="71">
        <x:v>2</x:v>
      </x:c>
      <x:c r="Q161" s="71">
        <x:v>25</x:v>
      </x:c>
      <x:c r="R161" s="70">
        <x:v>1.5</x:v>
      </x:c>
      <x:c r="S161" s="70">
        <x:v>12.5</x:v>
      </x:c>
      <x:c r="T161" s="70">
        <x:v>0</x:v>
      </x:c>
      <x:c r="U161" s="70">
        <x:v>0</x:v>
      </x:c>
      <x:c r="V161" s="70">
        <x:v>19</x:v>
      </x:c>
      <x:c r="W161" s="70">
        <x:v>1.1000000000000001</x:v>
      </x:c>
      <x:c r="AM161" s="56"/>
    </x:row>
    <x:row r="162" spans="2:39" ht="15.5" customHeight="1">
      <x:c r="B162" s="69" t="s">
        <x:v>292</x:v>
      </x:c>
      <x:c r="C162" s="70">
        <x:v>17</x:v>
      </x:c>
      <x:c r="D162" s="70"/>
      <x:c r="E162" s="70"/>
      <x:c r="F162" s="70"/>
      <x:c r="G162" s="70"/>
      <x:c r="H162" s="70"/>
      <x:c r="I162" s="70"/>
      <x:c r="J162" s="70"/>
      <x:c r="K162" s="70">
        <x:v>33</x:v>
      </x:c>
      <x:c r="L162" s="70">
        <x:v>163</x:v>
      </x:c>
      <x:c r="M162" s="70">
        <x:v>4.9000000000000004</x:v>
      </x:c>
      <x:c r="N162" s="70">
        <x:v>2</x:v>
      </x:c>
      <x:c r="O162" s="71">
        <x:v>1</x:v>
      </x:c>
      <x:c r="P162" s="71">
        <x:v>1</x:v>
      </x:c>
      <x:c r="Q162" s="71">
        <x:v>5</x:v>
      </x:c>
      <x:c r="R162" s="70">
        <x:v>0.3</x:v>
      </x:c>
      <x:c r="S162" s="70">
        <x:v>5</x:v>
      </x:c>
      <x:c r="T162" s="70">
        <x:v>0</x:v>
      </x:c>
      <x:c r="U162" s="70">
        <x:v>0</x:v>
      </x:c>
      <x:c r="V162" s="70">
        <x:v>19</x:v>
      </x:c>
      <x:c r="W162" s="70">
        <x:v>1.1000000000000001</x:v>
      </x:c>
      <x:c r="AM162" s="56"/>
    </x:row>
    <x:row r="163" spans="2:39" ht="15.5" customHeight="1">
      <x:c r="B163" s="69" t="s">
        <x:v>946</x:v>
      </x:c>
      <x:c r="C163" s="70">
        <x:v>17</x:v>
      </x:c>
      <x:c r="D163" s="70"/>
      <x:c r="E163" s="70"/>
      <x:c r="F163" s="70"/>
      <x:c r="G163" s="70"/>
      <x:c r="H163" s="70"/>
      <x:c r="I163" s="70"/>
      <x:c r="J163" s="70"/>
      <x:c r="K163" s="70">
        <x:v>34</x:v>
      </x:c>
      <x:c r="L163" s="70">
        <x:v>146</x:v>
      </x:c>
      <x:c r="M163" s="70">
        <x:v>4.3</x:v>
      </x:c>
      <x:c r="N163" s="70">
        <x:v>2</x:v>
      </x:c>
      <x:c r="O163" s="71">
        <x:v>3</x:v>
      </x:c>
      <x:c r="P163" s="71">
        <x:v>2</x:v>
      </x:c>
      <x:c r="Q163" s="71">
        <x:v>25</x:v>
      </x:c>
      <x:c r="R163" s="70">
        <x:v>1.5</x:v>
      </x:c>
      <x:c r="S163" s="70">
        <x:v>12.5</x:v>
      </x:c>
      <x:c r="T163" s="70">
        <x:v>0</x:v>
      </x:c>
      <x:c r="U163" s="70">
        <x:v>0</x:v>
      </x:c>
      <x:c r="V163" s="70">
        <x:v>19</x:v>
      </x:c>
      <x:c r="W163" s="70">
        <x:v>1.1000000000000001</x:v>
      </x:c>
      <x:c r="AM163" s="56"/>
    </x:row>
    <x:row r="164" spans="2:39" ht="15.5" customHeight="1">
      <x:c r="B164" s="69" t="s">
        <x:v>294</x:v>
      </x:c>
      <x:c r="C164" s="70">
        <x:v>17</x:v>
      </x:c>
      <x:c r="D164" s="70"/>
      <x:c r="E164" s="70"/>
      <x:c r="F164" s="70"/>
      <x:c r="G164" s="70"/>
      <x:c r="H164" s="70"/>
      <x:c r="I164" s="70"/>
      <x:c r="J164" s="70"/>
      <x:c r="K164" s="70">
        <x:v>57</x:v>
      </x:c>
      <x:c r="L164" s="70">
        <x:v>194</x:v>
      </x:c>
      <x:c r="M164" s="70">
        <x:v>3.4</x:v>
      </x:c>
      <x:c r="N164" s="70">
        <x:v>1</x:v>
      </x:c>
      <x:c r="O164" s="71">
        <x:v>10</x:v>
      </x:c>
      <x:c r="P164" s="71">
        <x:v>9</x:v>
      </x:c>
      <x:c r="Q164" s="71">
        <x:v>74</x:v>
      </x:c>
      <x:c r="R164" s="70">
        <x:v>4.4000000000000004</x:v>
      </x:c>
      <x:c r="S164" s="70">
        <x:v>8.1999999999999993</x:v>
      </x:c>
      <x:c r="T164" s="70">
        <x:v>0</x:v>
      </x:c>
      <x:c r="U164" s="70">
        <x:v>1</x:v>
      </x:c>
      <x:c r="V164" s="70">
        <x:v>19</x:v>
      </x:c>
      <x:c r="W164" s="70">
        <x:v>1.1000000000000001</x:v>
      </x:c>
      <x:c r="AM164" s="56"/>
    </x:row>
    <x:row r="165" spans="2:39" ht="15.5" customHeight="1">
      <x:c r="B165" s="69" t="s">
        <x:v>947</x:v>
      </x:c>
      <x:c r="C165" s="70">
        <x:v>17</x:v>
      </x:c>
      <x:c r="D165" s="70"/>
      <x:c r="E165" s="70"/>
      <x:c r="F165" s="70"/>
      <x:c r="G165" s="70"/>
      <x:c r="H165" s="70"/>
      <x:c r="I165" s="70"/>
      <x:c r="J165" s="70"/>
      <x:c r="K165" s="70">
        <x:v>42</x:v>
      </x:c>
      <x:c r="L165" s="70">
        <x:v>141</x:v>
      </x:c>
      <x:c r="M165" s="70">
        <x:v>3.4</x:v>
      </x:c>
      <x:c r="N165" s="70">
        <x:v>2</x:v>
      </x:c>
      <x:c r="O165" s="71">
        <x:v>4</x:v>
      </x:c>
      <x:c r="P165" s="71">
        <x:v>3</x:v>
      </x:c>
      <x:c r="Q165" s="71">
        <x:v>17</x:v>
      </x:c>
      <x:c r="R165" s="70">
        <x:v>1</x:v>
      </x:c>
      <x:c r="S165" s="70">
        <x:v>5.7</x:v>
      </x:c>
      <x:c r="T165" s="70">
        <x:v>0</x:v>
      </x:c>
      <x:c r="U165" s="70">
        <x:v>0</x:v>
      </x:c>
      <x:c r="V165" s="70">
        <x:v>19</x:v>
      </x:c>
      <x:c r="W165" s="70">
        <x:v>1.1000000000000001</x:v>
      </x:c>
      <x:c r="AM165" s="56"/>
    </x:row>
    <x:row r="166" spans="2:39" ht="15.5" customHeight="1">
      <x:c r="B166" s="69" t="s">
        <x:v>948</x:v>
      </x:c>
      <x:c r="C166" s="70">
        <x:v>17</x:v>
      </x:c>
      <x:c r="D166" s="70"/>
      <x:c r="E166" s="70"/>
      <x:c r="F166" s="70"/>
      <x:c r="G166" s="70"/>
      <x:c r="H166" s="70"/>
      <x:c r="I166" s="70"/>
      <x:c r="J166" s="70"/>
      <x:c r="K166" s="70">
        <x:v>23</x:v>
      </x:c>
      <x:c r="L166" s="70">
        <x:v>117</x:v>
      </x:c>
      <x:c r="M166" s="70">
        <x:v>5.0999999999999996</x:v>
      </x:c>
      <x:c r="N166" s="70">
        <x:v>2</x:v>
      </x:c>
      <x:c r="O166" s="71">
        <x:v>7</x:v>
      </x:c>
      <x:c r="P166" s="71">
        <x:v>6</x:v>
      </x:c>
      <x:c r="Q166" s="71">
        <x:v>56</x:v>
      </x:c>
      <x:c r="R166" s="70">
        <x:v>3.3</x:v>
      </x:c>
      <x:c r="S166" s="70">
        <x:v>9.3000000000000007</x:v>
      </x:c>
      <x:c r="T166" s="70">
        <x:v>0</x:v>
      </x:c>
      <x:c r="U166" s="70">
        <x:v>0</x:v>
      </x:c>
      <x:c r="V166" s="70">
        <x:v>18</x:v>
      </x:c>
      <x:c r="W166" s="70">
        <x:v>1.1000000000000001</x:v>
      </x:c>
      <x:c r="AM166" s="56"/>
    </x:row>
    <x:row r="167" spans="2:39" ht="15.5" customHeight="1">
      <x:c r="B167" s="69" t="s">
        <x:v>949</x:v>
      </x:c>
      <x:c r="C167" s="70">
        <x:v>17</x:v>
      </x:c>
      <x:c r="D167" s="70"/>
      <x:c r="E167" s="70"/>
      <x:c r="F167" s="70"/>
      <x:c r="G167" s="70"/>
      <x:c r="H167" s="70"/>
      <x:c r="I167" s="70"/>
      <x:c r="J167" s="70"/>
      <x:c r="K167" s="70">
        <x:v>35</x:v>
      </x:c>
      <x:c r="L167" s="70">
        <x:v>173</x:v>
      </x:c>
      <x:c r="M167" s="70">
        <x:v>4.9000000000000004</x:v>
      </x:c>
      <x:c r="N167" s="70">
        <x:v>1</x:v>
      </x:c>
      <x:c r="O167" s="71">
        <x:v>1</x:v>
      </x:c>
      <x:c r="P167" s="71">
        <x:v>1</x:v>
      </x:c>
      <x:c r="Q167" s="71">
        <x:v>8</x:v>
      </x:c>
      <x:c r="R167" s="70">
        <x:v>0.5</x:v>
      </x:c>
      <x:c r="S167" s="70">
        <x:v>8</x:v>
      </x:c>
      <x:c r="T167" s="70">
        <x:v>0</x:v>
      </x:c>
      <x:c r="U167" s="70">
        <x:v>0</x:v>
      </x:c>
      <x:c r="V167" s="70">
        <x:v>16</x:v>
      </x:c>
      <x:c r="W167" s="70">
        <x:v>0.9</x:v>
      </x:c>
      <x:c r="AM167" s="56"/>
    </x:row>
    <x:row r="168" spans="2:39" ht="15.5" customHeight="1">
      <x:c r="B168" s="69" t="s">
        <x:v>950</x:v>
      </x:c>
      <x:c r="C168" s="70">
        <x:v>17</x:v>
      </x:c>
      <x:c r="D168" s="70"/>
      <x:c r="E168" s="70"/>
      <x:c r="F168" s="70"/>
      <x:c r="G168" s="70"/>
      <x:c r="H168" s="70"/>
      <x:c r="I168" s="70"/>
      <x:c r="J168" s="70"/>
      <x:c r="K168" s="70">
        <x:v>35</x:v>
      </x:c>
      <x:c r="L168" s="70">
        <x:v>108</x:v>
      </x:c>
      <x:c r="M168" s="70">
        <x:v>3.1</x:v>
      </x:c>
      <x:c r="N168" s="70">
        <x:v>1</x:v>
      </x:c>
      <x:c r="O168" s="71">
        <x:v>16</x:v>
      </x:c>
      <x:c r="P168" s="71">
        <x:v>12</x:v>
      </x:c>
      <x:c r="Q168" s="71">
        <x:v>97</x:v>
      </x:c>
      <x:c r="R168" s="70">
        <x:v>5.7</x:v>
      </x:c>
      <x:c r="S168" s="70">
        <x:v>8.1</x:v>
      </x:c>
      <x:c r="T168" s="70">
        <x:v>0</x:v>
      </x:c>
      <x:c r="U168" s="70">
        <x:v>0</x:v>
      </x:c>
      <x:c r="V168" s="70">
        <x:v>14</x:v>
      </x:c>
      <x:c r="W168" s="70">
        <x:v>0.8</x:v>
      </x:c>
      <x:c r="AM168" s="56"/>
    </x:row>
    <x:row r="169" spans="2:39" ht="15.5" customHeight="1">
      <x:c r="B169" s="69" t="s">
        <x:v>951</x:v>
      </x:c>
      <x:c r="C169" s="70">
        <x:v>17</x:v>
      </x:c>
      <x:c r="D169" s="70"/>
      <x:c r="E169" s="70"/>
      <x:c r="F169" s="70"/>
      <x:c r="G169" s="70"/>
      <x:c r="H169" s="70"/>
      <x:c r="I169" s="70"/>
      <x:c r="J169" s="70"/>
      <x:c r="K169" s="70">
        <x:v>26</x:v>
      </x:c>
      <x:c r="L169" s="70">
        <x:v>105</x:v>
      </x:c>
      <x:c r="M169" s="70">
        <x:v>4</x:v>
      </x:c>
      <x:c r="N169" s="70">
        <x:v>0</x:v>
      </x:c>
      <x:c r="O169" s="71">
        <x:v>18</x:v>
      </x:c>
      <x:c r="P169" s="71">
        <x:v>14</x:v>
      </x:c>
      <x:c r="Q169" s="71">
        <x:v>116</x:v>
      </x:c>
      <x:c r="R169" s="70">
        <x:v>6.8</x:v>
      </x:c>
      <x:c r="S169" s="70">
        <x:v>8.3000000000000007</x:v>
      </x:c>
      <x:c r="T169" s="70">
        <x:v>1</x:v>
      </x:c>
      <x:c r="U169" s="70">
        <x:v>0</x:v>
      </x:c>
      <x:c r="V169" s="70">
        <x:v>14</x:v>
      </x:c>
      <x:c r="W169" s="70">
        <x:v>0.8</x:v>
      </x:c>
      <x:c r="AM169" s="56"/>
    </x:row>
    <x:row r="170" spans="2:39" ht="15.5" customHeight="1">
      <x:c r="B170" s="69" t="s">
        <x:v>952</x:v>
      </x:c>
      <x:c r="C170" s="70">
        <x:v>17</x:v>
      </x:c>
      <x:c r="D170" s="70"/>
      <x:c r="E170" s="70"/>
      <x:c r="F170" s="70"/>
      <x:c r="G170" s="70"/>
      <x:c r="H170" s="70"/>
      <x:c r="I170" s="70"/>
      <x:c r="J170" s="70"/>
      <x:c r="K170" s="70">
        <x:v>33</x:v>
      </x:c>
      <x:c r="L170" s="70">
        <x:v>146</x:v>
      </x:c>
      <x:c r="M170" s="70">
        <x:v>4.4000000000000004</x:v>
      </x:c>
      <x:c r="N170" s="70">
        <x:v>1</x:v>
      </x:c>
      <x:c r="O170" s="71">
        <x:v>3</x:v>
      </x:c>
      <x:c r="P170" s="71">
        <x:v>2</x:v>
      </x:c>
      <x:c r="Q170" s="71">
        <x:v>27</x:v>
      </x:c>
      <x:c r="R170" s="70">
        <x:v>1.6</x:v>
      </x:c>
      <x:c r="S170" s="70">
        <x:v>13.5</x:v>
      </x:c>
      <x:c r="T170" s="70">
        <x:v>0</x:v>
      </x:c>
      <x:c r="U170" s="70">
        <x:v>0</x:v>
      </x:c>
      <x:c r="V170" s="70">
        <x:v>13</x:v>
      </x:c>
      <x:c r="W170" s="70">
        <x:v>0.8</x:v>
      </x:c>
      <x:c r="AM170" s="56"/>
    </x:row>
    <x:row r="171" spans="2:39" ht="15.5" customHeight="1">
      <x:c r="B171" s="69" t="s">
        <x:v>953</x:v>
      </x:c>
      <x:c r="C171" s="70">
        <x:v>17</x:v>
      </x:c>
      <x:c r="D171" s="70"/>
      <x:c r="E171" s="70"/>
      <x:c r="F171" s="70"/>
      <x:c r="G171" s="70"/>
      <x:c r="H171" s="70"/>
      <x:c r="I171" s="70"/>
      <x:c r="J171" s="70"/>
      <x:c r="K171" s="70">
        <x:v>33</x:v>
      </x:c>
      <x:c r="L171" s="70">
        <x:v>146</x:v>
      </x:c>
      <x:c r="M171" s="70">
        <x:v>4.4000000000000004</x:v>
      </x:c>
      <x:c r="N171" s="70">
        <x:v>1</x:v>
      </x:c>
      <x:c r="O171" s="71">
        <x:v>3</x:v>
      </x:c>
      <x:c r="P171" s="71">
        <x:v>2</x:v>
      </x:c>
      <x:c r="Q171" s="71">
        <x:v>27</x:v>
      </x:c>
      <x:c r="R171" s="70">
        <x:v>1.6</x:v>
      </x:c>
      <x:c r="S171" s="70">
        <x:v>13.5</x:v>
      </x:c>
      <x:c r="T171" s="70">
        <x:v>0</x:v>
      </x:c>
      <x:c r="U171" s="70">
        <x:v>0</x:v>
      </x:c>
      <x:c r="V171" s="70">
        <x:v>13</x:v>
      </x:c>
      <x:c r="W171" s="70">
        <x:v>0.8</x:v>
      </x:c>
      <x:c r="AM171" s="56"/>
    </x:row>
    <x:row r="172" spans="2:39" ht="15.5" customHeight="1">
      <x:c r="B172" s="69" t="s">
        <x:v>954</x:v>
      </x:c>
      <x:c r="C172" s="70">
        <x:v>17</x:v>
      </x:c>
      <x:c r="D172" s="70"/>
      <x:c r="E172" s="70"/>
      <x:c r="F172" s="70"/>
      <x:c r="G172" s="70"/>
      <x:c r="H172" s="70"/>
      <x:c r="I172" s="70"/>
      <x:c r="J172" s="70"/>
      <x:c r="K172" s="70">
        <x:v>7</x:v>
      </x:c>
      <x:c r="L172" s="70">
        <x:v>17</x:v>
      </x:c>
      <x:c r="M172" s="70">
        <x:v>2.4</x:v>
      </x:c>
      <x:c r="N172" s="70">
        <x:v>0</x:v>
      </x:c>
      <x:c r="O172" s="71">
        <x:v>4</x:v>
      </x:c>
      <x:c r="P172" s="71">
        <x:v>3</x:v>
      </x:c>
      <x:c r="Q172" s="71">
        <x:v>8</x:v>
      </x:c>
      <x:c r="R172" s="70">
        <x:v>0.5</x:v>
      </x:c>
      <x:c r="S172" s="70">
        <x:v>2.7</x:v>
      </x:c>
      <x:c r="T172" s="70">
        <x:v>2</x:v>
      </x:c>
      <x:c r="U172" s="70">
        <x:v>0</x:v>
      </x:c>
      <x:c r="V172" s="70">
        <x:v>13</x:v>
      </x:c>
      <x:c r="W172" s="70">
        <x:v>0.8</x:v>
      </x:c>
      <x:c r="AM172" s="56"/>
    </x:row>
    <x:row r="173" spans="2:39" ht="15.5" customHeight="1">
      <x:c r="B173" s="69" t="s">
        <x:v>275</x:v>
      </x:c>
      <x:c r="C173" s="70">
        <x:v>17</x:v>
      </x:c>
      <x:c r="D173" s="70"/>
      <x:c r="E173" s="70"/>
      <x:c r="F173" s="70"/>
      <x:c r="G173" s="70"/>
      <x:c r="H173" s="70"/>
      <x:c r="I173" s="70"/>
      <x:c r="J173" s="70"/>
      <x:c r="K173" s="70">
        <x:v>29</x:v>
      </x:c>
      <x:c r="L173" s="70">
        <x:v>145</x:v>
      </x:c>
      <x:c r="M173" s="70">
        <x:v>5</x:v>
      </x:c>
      <x:c r="N173" s="70">
        <x:v>1</x:v>
      </x:c>
      <x:c r="O173" s="71">
        <x:v>4</x:v>
      </x:c>
      <x:c r="P173" s="71">
        <x:v>3</x:v>
      </x:c>
      <x:c r="Q173" s="71">
        <x:v>21</x:v>
      </x:c>
      <x:c r="R173" s="70">
        <x:v>1.2</x:v>
      </x:c>
      <x:c r="S173" s="70">
        <x:v>7</x:v>
      </x:c>
      <x:c r="T173" s="70">
        <x:v>0</x:v>
      </x:c>
      <x:c r="U173" s="70">
        <x:v>0</x:v>
      </x:c>
      <x:c r="V173" s="70">
        <x:v>13</x:v>
      </x:c>
      <x:c r="W173" s="70">
        <x:v>0.8</x:v>
      </x:c>
      <x:c r="AM173" s="56"/>
    </x:row>
    <x:row r="174" spans="2:39" ht="15.5" customHeight="1">
      <x:c r="B174" s="69" t="s">
        <x:v>955</x:v>
      </x:c>
      <x:c r="C174" s="70">
        <x:v>17</x:v>
      </x:c>
      <x:c r="D174" s="70"/>
      <x:c r="E174" s="70"/>
      <x:c r="F174" s="70"/>
      <x:c r="G174" s="70"/>
      <x:c r="H174" s="70"/>
      <x:c r="I174" s="70"/>
      <x:c r="J174" s="70"/>
      <x:c r="K174" s="70">
        <x:v>50</x:v>
      </x:c>
      <x:c r="L174" s="70">
        <x:v>148</x:v>
      </x:c>
      <x:c r="M174" s="70">
        <x:v>3</x:v>
      </x:c>
      <x:c r="N174" s="70">
        <x:v>1</x:v>
      </x:c>
      <x:c r="O174" s="71">
        <x:v>5</x:v>
      </x:c>
      <x:c r="P174" s="71">
        <x:v>4</x:v>
      </x:c>
      <x:c r="Q174" s="71">
        <x:v>20</x:v>
      </x:c>
      <x:c r="R174" s="70">
        <x:v>1.2</x:v>
      </x:c>
      <x:c r="S174" s="70">
        <x:v>5</x:v>
      </x:c>
      <x:c r="T174" s="70">
        <x:v>0</x:v>
      </x:c>
      <x:c r="U174" s="70">
        <x:v>0</x:v>
      </x:c>
      <x:c r="V174" s="70">
        <x:v>13</x:v>
      </x:c>
      <x:c r="W174" s="70">
        <x:v>0.8</x:v>
      </x:c>
      <x:c r="AM174" s="56"/>
    </x:row>
    <x:row r="175" spans="2:39" ht="15.5" customHeight="1">
      <x:c r="B175" s="69" t="s">
        <x:v>956</x:v>
      </x:c>
      <x:c r="C175" s="70">
        <x:v>17</x:v>
      </x:c>
      <x:c r="D175" s="70"/>
      <x:c r="E175" s="70"/>
      <x:c r="F175" s="70"/>
      <x:c r="G175" s="70"/>
      <x:c r="H175" s="70"/>
      <x:c r="I175" s="70"/>
      <x:c r="J175" s="70"/>
      <x:c r="K175" s="70">
        <x:v>33</x:v>
      </x:c>
      <x:c r="L175" s="70">
        <x:v>137</x:v>
      </x:c>
      <x:c r="M175" s="70">
        <x:v>4.2</x:v>
      </x:c>
      <x:c r="N175" s="70">
        <x:v>1</x:v>
      </x:c>
      <x:c r="O175" s="71">
        <x:v>2</x:v>
      </x:c>
      <x:c r="P175" s="71">
        <x:v>2</x:v>
      </x:c>
      <x:c r="Q175" s="71">
        <x:v>24</x:v>
      </x:c>
      <x:c r="R175" s="70">
        <x:v>1.4</x:v>
      </x:c>
      <x:c r="S175" s="70">
        <x:v>12</x:v>
      </x:c>
      <x:c r="T175" s="70">
        <x:v>0</x:v>
      </x:c>
      <x:c r="U175" s="70">
        <x:v>0</x:v>
      </x:c>
      <x:c r="V175" s="70">
        <x:v>13</x:v>
      </x:c>
      <x:c r="W175" s="70">
        <x:v>0.8</x:v>
      </x:c>
      <x:c r="AM175" s="56"/>
    </x:row>
    <x:row r="176" spans="2:39" ht="15.5" customHeight="1">
      <x:c r="B176" s="69" t="s">
        <x:v>957</x:v>
      </x:c>
      <x:c r="C176" s="70">
        <x:v>17</x:v>
      </x:c>
      <x:c r="D176" s="70"/>
      <x:c r="E176" s="70"/>
      <x:c r="F176" s="70"/>
      <x:c r="G176" s="70"/>
      <x:c r="H176" s="70"/>
      <x:c r="I176" s="70"/>
      <x:c r="J176" s="70"/>
      <x:c r="K176" s="70">
        <x:v>36</x:v>
      </x:c>
      <x:c r="L176" s="70">
        <x:v>168</x:v>
      </x:c>
      <x:c r="M176" s="70">
        <x:v>4.7</x:v>
      </x:c>
      <x:c r="N176" s="70">
        <x:v>1</x:v>
      </x:c>
      <x:c r="O176" s="71">
        <x:v>1</x:v>
      </x:c>
      <x:c r="P176" s="71">
        <x:v>1</x:v>
      </x:c>
      <x:c r="Q176" s="71">
        <x:v>7</x:v>
      </x:c>
      <x:c r="R176" s="70">
        <x:v>0.4</x:v>
      </x:c>
      <x:c r="S176" s="70">
        <x:v>7</x:v>
      </x:c>
      <x:c r="T176" s="70">
        <x:v>0</x:v>
      </x:c>
      <x:c r="U176" s="70">
        <x:v>0</x:v>
      </x:c>
      <x:c r="V176" s="70">
        <x:v>13</x:v>
      </x:c>
      <x:c r="W176" s="70">
        <x:v>0.8</x:v>
      </x:c>
      <x:c r="AM176" s="56"/>
    </x:row>
    <x:row r="177" spans="2:39" ht="15.5" customHeight="1">
      <x:c r="B177" s="69" t="s">
        <x:v>958</x:v>
      </x:c>
      <x:c r="C177" s="70">
        <x:v>17</x:v>
      </x:c>
      <x:c r="D177" s="70"/>
      <x:c r="E177" s="70"/>
      <x:c r="F177" s="70"/>
      <x:c r="G177" s="70"/>
      <x:c r="H177" s="70"/>
      <x:c r="I177" s="70"/>
      <x:c r="J177" s="70"/>
      <x:c r="K177" s="70">
        <x:v>34</x:v>
      </x:c>
      <x:c r="L177" s="70">
        <x:v>151</x:v>
      </x:c>
      <x:c r="M177" s="70">
        <x:v>4.4000000000000004</x:v>
      </x:c>
      <x:c r="N177" s="70">
        <x:v>1</x:v>
      </x:c>
      <x:c r="O177" s="71">
        <x:v>3</x:v>
      </x:c>
      <x:c r="P177" s="71">
        <x:v>2</x:v>
      </x:c>
      <x:c r="Q177" s="71">
        <x:v>26</x:v>
      </x:c>
      <x:c r="R177" s="70">
        <x:v>1.5</x:v>
      </x:c>
      <x:c r="S177" s="70">
        <x:v>13</x:v>
      </x:c>
      <x:c r="T177" s="70">
        <x:v>0</x:v>
      </x:c>
      <x:c r="U177" s="70">
        <x:v>0</x:v>
      </x:c>
      <x:c r="V177" s="70">
        <x:v>13</x:v>
      </x:c>
      <x:c r="W177" s="70">
        <x:v>0.8</x:v>
      </x:c>
      <x:c r="AM177" s="56"/>
    </x:row>
    <x:row r="178" spans="2:39" ht="15.5" customHeight="1">
      <x:c r="B178" s="69" t="s">
        <x:v>172</x:v>
      </x:c>
      <x:c r="C178" s="70">
        <x:v>17</x:v>
      </x:c>
      <x:c r="D178" s="70"/>
      <x:c r="E178" s="70"/>
      <x:c r="F178" s="70"/>
      <x:c r="G178" s="70"/>
      <x:c r="H178" s="70"/>
      <x:c r="I178" s="70"/>
      <x:c r="J178" s="70"/>
      <x:c r="K178" s="70">
        <x:v>168</x:v>
      </x:c>
      <x:c r="L178" s="70">
        <x:v>120</x:v>
      </x:c>
      <x:c r="M178" s="70">
        <x:v>1593</x:v>
      </x:c>
      <x:c r="N178" s="70">
        <x:v>93.7</x:v>
      </x:c>
      <x:c r="O178" s="71">
        <x:v>13.3</x:v>
      </x:c>
      <x:c r="P178" s="71">
        <x:v>10</x:v>
      </x:c>
      <x:c r="Q178" s="71">
        <x:v>12</x:v>
      </x:c>
      <x:c r="R178" s="70">
        <x:v>83</x:v>
      </x:c>
      <x:c r="S178" s="70">
        <x:v>6.9</x:v>
      </x:c>
      <x:c r="T178" s="70">
        <x:v>1</x:v>
      </x:c>
      <x:c r="U178" s="70">
        <x:v>1</x:v>
      </x:c>
      <x:c r="V178" s="70">
        <x:v>218</x:v>
      </x:c>
      <x:c r="W178" s="70">
        <x:v>12.8</x:v>
      </x:c>
      <x:c r="AM178" s="56"/>
    </x:row>
    <x:row r="179" spans="2:39" ht="15.5" customHeight="1">
      <x:c r="B179" s="69" t="s">
        <x:v>170</x:v>
      </x:c>
      <x:c r="C179" s="70">
        <x:v>17</x:v>
      </x:c>
      <x:c r="D179" s="70"/>
      <x:c r="E179" s="70"/>
      <x:c r="F179" s="70"/>
      <x:c r="G179" s="70"/>
      <x:c r="H179" s="70"/>
      <x:c r="I179" s="70"/>
      <x:c r="J179" s="70"/>
      <x:c r="K179" s="70">
        <x:v>154</x:v>
      </x:c>
      <x:c r="L179" s="70">
        <x:v>107</x:v>
      </x:c>
      <x:c r="M179" s="70">
        <x:v>1531</x:v>
      </x:c>
      <x:c r="N179" s="70">
        <x:v>90.1</x:v>
      </x:c>
      <x:c r="O179" s="71">
        <x:v>14.3</x:v>
      </x:c>
      <x:c r="P179" s="71">
        <x:v>11</x:v>
      </x:c>
      <x:c r="Q179" s="71">
        <x:v>6</x:v>
      </x:c>
      <x:c r="R179" s="70">
        <x:v>24</x:v>
      </x:c>
      <x:c r="S179" s="70">
        <x:v>4</x:v>
      </x:c>
      <x:c r="T179" s="70">
        <x:v>0</x:v>
      </x:c>
      <x:c r="U179" s="70">
        <x:v>1</x:v>
      </x:c>
      <x:c r="V179" s="70">
        <x:v>211</x:v>
      </x:c>
      <x:c r="W179" s="70">
        <x:v>12.4</x:v>
      </x:c>
      <x:c r="AM179" s="56"/>
    </x:row>
    <x:row r="180" spans="2:39" ht="15.5" customHeight="1">
      <x:c r="B180" s="69" t="s">
        <x:v>173</x:v>
      </x:c>
      <x:c r="C180" s="70">
        <x:v>17</x:v>
      </x:c>
      <x:c r="D180" s="71"/>
      <x:c r="E180" s="71"/>
      <x:c r="F180" s="71"/>
      <x:c r="G180" s="71"/>
      <x:c r="H180" s="71"/>
      <x:c r="I180" s="71"/>
      <x:c r="J180" s="71"/>
      <x:c r="K180" s="70">
        <x:v>156</x:v>
      </x:c>
      <x:c r="L180" s="70">
        <x:v>112</x:v>
      </x:c>
      <x:c r="M180" s="70">
        <x:v>1412</x:v>
      </x:c>
      <x:c r="N180" s="70">
        <x:v>83.1</x:v>
      </x:c>
      <x:c r="O180" s="70">
        <x:v>12.6</x:v>
      </x:c>
      <x:c r="P180" s="70">
        <x:v>10</x:v>
      </x:c>
      <x:c r="Q180" s="70">
        <x:v>5</x:v>
      </x:c>
      <x:c r="R180" s="70">
        <x:v>34</x:v>
      </x:c>
      <x:c r="S180" s="70">
        <x:v>6.8</x:v>
      </x:c>
      <x:c r="T180" s="70">
        <x:v>0</x:v>
      </x:c>
      <x:c r="U180" s="70">
        <x:v>1</x:v>
      </x:c>
      <x:c r="V180" s="70">
        <x:v>193</x:v>
      </x:c>
      <x:c r="W180" s="70">
        <x:v>11.4</x:v>
      </x:c>
      <x:c r="AM180" s="56"/>
    </x:row>
    <x:row r="181" spans="2:39" ht="15.5" customHeight="1">
      <x:c r="B181" s="69" t="s">
        <x:v>166</x:v>
      </x:c>
      <x:c r="C181" s="70">
        <x:v>17</x:v>
      </x:c>
      <x:c r="D181" s="71"/>
      <x:c r="E181" s="71"/>
      <x:c r="F181" s="71"/>
      <x:c r="G181" s="71"/>
      <x:c r="H181" s="71"/>
      <x:c r="I181" s="71"/>
      <x:c r="J181" s="71"/>
      <x:c r="K181" s="70">
        <x:v>157</x:v>
      </x:c>
      <x:c r="L181" s="70">
        <x:v>107</x:v>
      </x:c>
      <x:c r="M181" s="70">
        <x:v>1595</x:v>
      </x:c>
      <x:c r="N181" s="70">
        <x:v>93.8</x:v>
      </x:c>
      <x:c r="O181" s="70">
        <x:v>14.9</x:v>
      </x:c>
      <x:c r="P181" s="70">
        <x:v>7</x:v>
      </x:c>
      <x:c r="Q181" s="70">
        <x:v>3</x:v>
      </x:c>
      <x:c r="R181" s="70">
        <x:v>-3</x:v>
      </x:c>
      <x:c r="S181" s="70">
        <x:v>-1</x:v>
      </x:c>
      <x:c r="T181" s="70">
        <x:v>0</x:v>
      </x:c>
      <x:c r="U181" s="70">
        <x:v>1</x:v>
      </x:c>
      <x:c r="V181" s="70">
        <x:v>191</x:v>
      </x:c>
      <x:c r="W181" s="70">
        <x:v>11.2</x:v>
      </x:c>
      <x:c r="AM181" s="56"/>
    </x:row>
    <x:row r="182" spans="2:39" ht="15.5" customHeight="1">
      <x:c r="B182" s="69" t="s">
        <x:v>171</x:v>
      </x:c>
      <x:c r="C182" s="70">
        <x:v>17</x:v>
      </x:c>
      <x:c r="D182" s="71"/>
      <x:c r="E182" s="71"/>
      <x:c r="F182" s="71"/>
      <x:c r="G182" s="71"/>
      <x:c r="H182" s="71"/>
      <x:c r="I182" s="71"/>
      <x:c r="J182" s="71"/>
      <x:c r="K182" s="70">
        <x:v>141</x:v>
      </x:c>
      <x:c r="L182" s="70">
        <x:v>92</x:v>
      </x:c>
      <x:c r="M182" s="70">
        <x:v>1367</x:v>
      </x:c>
      <x:c r="N182" s="70">
        <x:v>80.400000000000006</x:v>
      </x:c>
      <x:c r="O182" s="70">
        <x:v>14.9</x:v>
      </x:c>
      <x:c r="P182" s="70">
        <x:v>10</x:v>
      </x:c>
      <x:c r="Q182" s="70">
        <x:v>0</x:v>
      </x:c>
      <x:c r="R182" s="70">
        <x:v>1</x:v>
      </x:c>
      <x:c r="S182" s="70">
        <x:v>0</x:v>
      </x:c>
      <x:c r="T182" s="70">
        <x:v>0</x:v>
      </x:c>
      <x:c r="U182" s="70">
        <x:v>2</x:v>
      </x:c>
      <x:c r="V182" s="70">
        <x:v>185</x:v>
      </x:c>
      <x:c r="W182" s="70">
        <x:v>10.9</x:v>
      </x:c>
      <x:c r="AM182" s="56"/>
    </x:row>
    <x:row r="183" spans="2:39" ht="15.5" customHeight="1">
      <x:c r="B183" s="69" t="s">
        <x:v>169</x:v>
      </x:c>
      <x:c r="C183" s="70">
        <x:v>17</x:v>
      </x:c>
      <x:c r="D183" s="71"/>
      <x:c r="E183" s="71"/>
      <x:c r="F183" s="71"/>
      <x:c r="G183" s="71"/>
      <x:c r="H183" s="71"/>
      <x:c r="I183" s="71"/>
      <x:c r="J183" s="71"/>
      <x:c r="K183" s="70">
        <x:v>146</x:v>
      </x:c>
      <x:c r="L183" s="70">
        <x:v>99</x:v>
      </x:c>
      <x:c r="M183" s="70">
        <x:v>1310</x:v>
      </x:c>
      <x:c r="N183" s="70">
        <x:v>77.099999999999994</x:v>
      </x:c>
      <x:c r="O183" s="70">
        <x:v>13.2</x:v>
      </x:c>
      <x:c r="P183" s="70">
        <x:v>10</x:v>
      </x:c>
      <x:c r="Q183" s="70">
        <x:v>4</x:v>
      </x:c>
      <x:c r="R183" s="70">
        <x:v>4</x:v>
      </x:c>
      <x:c r="S183" s="70">
        <x:v>1</x:v>
      </x:c>
      <x:c r="T183" s="70">
        <x:v>0</x:v>
      </x:c>
      <x:c r="U183" s="70">
        <x:v>0</x:v>
      </x:c>
      <x:c r="V183" s="70">
        <x:v>183</x:v>
      </x:c>
      <x:c r="W183" s="70">
        <x:v>10.8</x:v>
      </x:c>
      <x:c r="AM183" s="56"/>
    </x:row>
    <x:row r="184" spans="2:39" ht="15.5" customHeight="1">
      <x:c r="B184" s="69" t="s">
        <x:v>893</x:v>
      </x:c>
      <x:c r="C184" s="70">
        <x:v>17</x:v>
      </x:c>
      <x:c r="D184" s="71"/>
      <x:c r="E184" s="71"/>
      <x:c r="F184" s="71"/>
      <x:c r="G184" s="71"/>
      <x:c r="H184" s="71"/>
      <x:c r="I184" s="71"/>
      <x:c r="J184" s="71"/>
      <x:c r="K184" s="70">
        <x:v>148</x:v>
      </x:c>
      <x:c r="L184" s="70">
        <x:v>100</x:v>
      </x:c>
      <x:c r="M184" s="70">
        <x:v>1447</x:v>
      </x:c>
      <x:c r="N184" s="70">
        <x:v>85.1</x:v>
      </x:c>
      <x:c r="O184" s="70">
        <x:v>14.5</x:v>
      </x:c>
      <x:c r="P184" s="70">
        <x:v>7</x:v>
      </x:c>
      <x:c r="Q184" s="70">
        <x:v>11</x:v>
      </x:c>
      <x:c r="R184" s="70">
        <x:v>74</x:v>
      </x:c>
      <x:c r="S184" s="70">
        <x:v>6.7</x:v>
      </x:c>
      <x:c r="T184" s="70">
        <x:v>0</x:v>
      </x:c>
      <x:c r="U184" s="70">
        <x:v>0</x:v>
      </x:c>
      <x:c r="V184" s="70">
        <x:v>182</x:v>
      </x:c>
      <x:c r="W184" s="70">
        <x:v>10.7</x:v>
      </x:c>
      <x:c r="AM184" s="56"/>
    </x:row>
    <x:row r="185" spans="2:39" ht="15.5" customHeight="1">
      <x:c r="B185" s="69" t="s">
        <x:v>204</x:v>
      </x:c>
      <x:c r="C185" s="70">
        <x:v>17</x:v>
      </x:c>
      <x:c r="D185" s="71"/>
      <x:c r="E185" s="71"/>
      <x:c r="F185" s="71"/>
      <x:c r="G185" s="71"/>
      <x:c r="H185" s="71"/>
      <x:c r="I185" s="71"/>
      <x:c r="J185" s="71"/>
      <x:c r="K185" s="70">
        <x:v>108</x:v>
      </x:c>
      <x:c r="L185" s="70">
        <x:v>75</x:v>
      </x:c>
      <x:c r="M185" s="70">
        <x:v>1232</x:v>
      </x:c>
      <x:c r="N185" s="70">
        <x:v>72.5</x:v>
      </x:c>
      <x:c r="O185" s="70">
        <x:v>16.399999999999999</x:v>
      </x:c>
      <x:c r="P185" s="70">
        <x:v>9</x:v>
      </x:c>
      <x:c r="Q185" s="70">
        <x:v>2</x:v>
      </x:c>
      <x:c r="R185" s="70">
        <x:v>8</x:v>
      </x:c>
      <x:c r="S185" s="70">
        <x:v>4</x:v>
      </x:c>
      <x:c r="T185" s="70">
        <x:v>0</x:v>
      </x:c>
      <x:c r="U185" s="70">
        <x:v>0</x:v>
      </x:c>
      <x:c r="V185" s="70">
        <x:v>169</x:v>
      </x:c>
      <x:c r="W185" s="70">
        <x:v>9.9</x:v>
      </x:c>
      <x:c r="AM185" s="56"/>
    </x:row>
    <x:row r="186" spans="2:39" ht="15.5" customHeight="1">
      <x:c r="B186" s="69" t="s">
        <x:v>179</x:v>
      </x:c>
      <x:c r="C186" s="70">
        <x:v>17</x:v>
      </x:c>
      <x:c r="D186" s="71"/>
      <x:c r="E186" s="71"/>
      <x:c r="F186" s="71"/>
      <x:c r="G186" s="71"/>
      <x:c r="H186" s="71"/>
      <x:c r="I186" s="71"/>
      <x:c r="J186" s="71"/>
      <x:c r="K186" s="70">
        <x:v>101</x:v>
      </x:c>
      <x:c r="L186" s="70">
        <x:v>66</x:v>
      </x:c>
      <x:c r="M186" s="70">
        <x:v>986</x:v>
      </x:c>
      <x:c r="N186" s="70">
        <x:v>58</x:v>
      </x:c>
      <x:c r="O186" s="70">
        <x:v>14.9</x:v>
      </x:c>
      <x:c r="P186" s="70">
        <x:v>6</x:v>
      </x:c>
      <x:c r="Q186" s="70">
        <x:v>43</x:v>
      </x:c>
      <x:c r="R186" s="70">
        <x:v>224</x:v>
      </x:c>
      <x:c r="S186" s="70">
        <x:v>5.2</x:v>
      </x:c>
      <x:c r="T186" s="70">
        <x:v>4</x:v>
      </x:c>
      <x:c r="U186" s="70">
        <x:v>1</x:v>
      </x:c>
      <x:c r="V186" s="70">
        <x:v>163</x:v>
      </x:c>
      <x:c r="W186" s="70">
        <x:v>9.6</x:v>
      </x:c>
      <x:c r="AM186" s="56"/>
    </x:row>
    <x:row r="187" spans="2:39" ht="15.5" customHeight="1">
      <x:c r="B187" s="69" t="s">
        <x:v>894</x:v>
      </x:c>
      <x:c r="C187" s="70">
        <x:v>17</x:v>
      </x:c>
      <x:c r="D187" s="71"/>
      <x:c r="E187" s="71"/>
      <x:c r="F187" s="71"/>
      <x:c r="G187" s="71"/>
      <x:c r="H187" s="71"/>
      <x:c r="I187" s="71"/>
      <x:c r="J187" s="71"/>
      <x:c r="K187" s="70">
        <x:v>153</x:v>
      </x:c>
      <x:c r="L187" s="70">
        <x:v>95</x:v>
      </x:c>
      <x:c r="M187" s="70">
        <x:v>1300</x:v>
      </x:c>
      <x:c r="N187" s="70">
        <x:v>76.5</x:v>
      </x:c>
      <x:c r="O187" s="70">
        <x:v>13.7</x:v>
      </x:c>
      <x:c r="P187" s="70">
        <x:v>8</x:v>
      </x:c>
      <x:c r="Q187" s="70">
        <x:v>2</x:v>
      </x:c>
      <x:c r="R187" s="70">
        <x:v>11</x:v>
      </x:c>
      <x:c r="S187" s="70">
        <x:v>5.5</x:v>
      </x:c>
      <x:c r="T187" s="70">
        <x:v>0</x:v>
      </x:c>
      <x:c r="U187" s="70">
        <x:v>3</x:v>
      </x:c>
      <x:c r="V187" s="70">
        <x:v>163</x:v>
      </x:c>
      <x:c r="W187" s="70">
        <x:v>9.6</x:v>
      </x:c>
      <x:c r="AM187" s="56"/>
    </x:row>
    <x:row r="188" spans="2:39" ht="15.5" customHeight="1">
      <x:c r="B188" s="69" t="s">
        <x:v>184</x:v>
      </x:c>
      <x:c r="C188" s="70">
        <x:v>17</x:v>
      </x:c>
      <x:c r="D188" s="71"/>
      <x:c r="E188" s="71"/>
      <x:c r="F188" s="71"/>
      <x:c r="G188" s="71"/>
      <x:c r="H188" s="71"/>
      <x:c r="I188" s="71"/>
      <x:c r="J188" s="71"/>
      <x:c r="K188" s="70">
        <x:v>118</x:v>
      </x:c>
      <x:c r="L188" s="70">
        <x:v>70</x:v>
      </x:c>
      <x:c r="M188" s="70">
        <x:v>1115</x:v>
      </x:c>
      <x:c r="N188" s="70">
        <x:v>65.599999999999994</x:v>
      </x:c>
      <x:c r="O188" s="70">
        <x:v>15.9</x:v>
      </x:c>
      <x:c r="P188" s="70">
        <x:v>10</x:v>
      </x:c>
      <x:c r="Q188" s="70">
        <x:v>0</x:v>
      </x:c>
      <x:c r="R188" s="70">
        <x:v>1</x:v>
      </x:c>
      <x:c r="S188" s="70">
        <x:v>0</x:v>
      </x:c>
      <x:c r="T188" s="70">
        <x:v>0</x:v>
      </x:c>
      <x:c r="U188" s="70">
        <x:v>0</x:v>
      </x:c>
      <x:c r="V188" s="70">
        <x:v>163</x:v>
      </x:c>
      <x:c r="W188" s="70">
        <x:v>9.6</x:v>
      </x:c>
      <x:c r="AM188" s="56"/>
    </x:row>
    <x:row r="189" spans="2:39" ht="15.5" customHeight="1">
      <x:c r="B189" s="69" t="s">
        <x:v>168</x:v>
      </x:c>
      <x:c r="C189" s="70">
        <x:v>17</x:v>
      </x:c>
      <x:c r="D189" s="71"/>
      <x:c r="E189" s="71"/>
      <x:c r="F189" s="71"/>
      <x:c r="G189" s="71"/>
      <x:c r="H189" s="71"/>
      <x:c r="I189" s="71"/>
      <x:c r="J189" s="71"/>
      <x:c r="K189" s="70">
        <x:v>154</x:v>
      </x:c>
      <x:c r="L189" s="70">
        <x:v>93</x:v>
      </x:c>
      <x:c r="M189" s="70">
        <x:v>1129</x:v>
      </x:c>
      <x:c r="N189" s="70">
        <x:v>66.400000000000006</x:v>
      </x:c>
      <x:c r="O189" s="70">
        <x:v>12.1</x:v>
      </x:c>
      <x:c r="P189" s="70">
        <x:v>9</x:v>
      </x:c>
      <x:c r="Q189" s="70">
        <x:v>0</x:v>
      </x:c>
      <x:c r="R189" s="70">
        <x:v>0</x:v>
      </x:c>
      <x:c r="S189" s="70">
        <x:v>0</x:v>
      </x:c>
      <x:c r="T189" s="70">
        <x:v>0</x:v>
      </x:c>
      <x:c r="U189" s="70">
        <x:v>0</x:v>
      </x:c>
      <x:c r="V189" s="70">
        <x:v>158</x:v>
      </x:c>
      <x:c r="W189" s="70">
        <x:v>9.3000000000000007</x:v>
      </x:c>
      <x:c r="AM189" s="56"/>
    </x:row>
    <x:row r="190" spans="2:39" ht="15.5" customHeight="1">
      <x:c r="B190" s="69" t="s">
        <x:v>191</x:v>
      </x:c>
      <x:c r="C190" s="70">
        <x:v>17</x:v>
      </x:c>
      <x:c r="D190" s="71"/>
      <x:c r="E190" s="71"/>
      <x:c r="F190" s="71"/>
      <x:c r="G190" s="71"/>
      <x:c r="H190" s="71"/>
      <x:c r="I190" s="71"/>
      <x:c r="J190" s="71"/>
      <x:c r="K190" s="70">
        <x:v>105</x:v>
      </x:c>
      <x:c r="L190" s="70">
        <x:v>70</x:v>
      </x:c>
      <x:c r="M190" s="70">
        <x:v>1203</x:v>
      </x:c>
      <x:c r="N190" s="70">
        <x:v>70.8</x:v>
      </x:c>
      <x:c r="O190" s="70">
        <x:v>17.2</x:v>
      </x:c>
      <x:c r="P190" s="70">
        <x:v>8</x:v>
      </x:c>
      <x:c r="Q190" s="70">
        <x:v>1</x:v>
      </x:c>
      <x:c r="R190" s="70">
        <x:v>4</x:v>
      </x:c>
      <x:c r="S190" s="70">
        <x:v>4</x:v>
      </x:c>
      <x:c r="T190" s="70">
        <x:v>0</x:v>
      </x:c>
      <x:c r="U190" s="70">
        <x:v>1</x:v>
      </x:c>
      <x:c r="V190" s="70">
        <x:v>158</x:v>
      </x:c>
      <x:c r="W190" s="70">
        <x:v>9.3000000000000007</x:v>
      </x:c>
      <x:c r="AM190" s="56"/>
    </x:row>
    <x:row r="191" spans="2:39" ht="15.5" customHeight="1">
      <x:c r="B191" s="69" t="s">
        <x:v>176</x:v>
      </x:c>
      <x:c r="C191" s="70">
        <x:v>17</x:v>
      </x:c>
      <x:c r="D191" s="71"/>
      <x:c r="E191" s="71"/>
      <x:c r="F191" s="71"/>
      <x:c r="G191" s="71"/>
      <x:c r="H191" s="71"/>
      <x:c r="I191" s="71"/>
      <x:c r="J191" s="71"/>
      <x:c r="K191" s="70">
        <x:v>114</x:v>
      </x:c>
      <x:c r="L191" s="70">
        <x:v>80</x:v>
      </x:c>
      <x:c r="M191" s="70">
        <x:v>1128</x:v>
      </x:c>
      <x:c r="N191" s="70">
        <x:v>66.400000000000006</x:v>
      </x:c>
      <x:c r="O191" s="70">
        <x:v>14.1</x:v>
      </x:c>
      <x:c r="P191" s="70">
        <x:v>9</x:v>
      </x:c>
      <x:c r="Q191" s="70">
        <x:v>0</x:v>
      </x:c>
      <x:c r="R191" s="70">
        <x:v>0</x:v>
      </x:c>
      <x:c r="S191" s="70">
        <x:v>0</x:v>
      </x:c>
      <x:c r="T191" s="70">
        <x:v>0</x:v>
      </x:c>
      <x:c r="U191" s="70">
        <x:v>1</x:v>
      </x:c>
      <x:c r="V191" s="70">
        <x:v>156</x:v>
      </x:c>
      <x:c r="W191" s="70">
        <x:v>9.1999999999999993</x:v>
      </x:c>
      <x:c r="AM191" s="56"/>
    </x:row>
    <x:row r="192" spans="2:39" ht="15.5" customHeight="1">
      <x:c r="B192" s="69" t="s">
        <x:v>895</x:v>
      </x:c>
      <x:c r="C192" s="70">
        <x:v>17</x:v>
      </x:c>
      <x:c r="D192" s="71"/>
      <x:c r="E192" s="71"/>
      <x:c r="F192" s="71"/>
      <x:c r="G192" s="71"/>
      <x:c r="H192" s="71"/>
      <x:c r="I192" s="71"/>
      <x:c r="J192" s="71"/>
      <x:c r="K192" s="70">
        <x:v>111</x:v>
      </x:c>
      <x:c r="L192" s="70">
        <x:v>74</x:v>
      </x:c>
      <x:c r="M192" s="70">
        <x:v>1048</x:v>
      </x:c>
      <x:c r="N192" s="70">
        <x:v>61.6</x:v>
      </x:c>
      <x:c r="O192" s="70">
        <x:v>14.2</x:v>
      </x:c>
      <x:c r="P192" s="70">
        <x:v>9</x:v>
      </x:c>
      <x:c r="Q192" s="70">
        <x:v>4</x:v>
      </x:c>
      <x:c r="R192" s="70">
        <x:v>22</x:v>
      </x:c>
      <x:c r="S192" s="70">
        <x:v>5.5</x:v>
      </x:c>
      <x:c r="T192" s="70">
        <x:v>1</x:v>
      </x:c>
      <x:c r="U192" s="70">
        <x:v>1</x:v>
      </x:c>
      <x:c r="V192" s="70">
        <x:v>156</x:v>
      </x:c>
      <x:c r="W192" s="70">
        <x:v>9.1999999999999993</x:v>
      </x:c>
      <x:c r="AM192" s="56"/>
    </x:row>
    <x:row r="193" spans="2:39" ht="15.5" customHeight="1">
      <x:c r="B193" s="69" t="s">
        <x:v>185</x:v>
      </x:c>
      <x:c r="C193" s="70">
        <x:v>17</x:v>
      </x:c>
      <x:c r="D193" s="71"/>
      <x:c r="E193" s="71"/>
      <x:c r="F193" s="71"/>
      <x:c r="G193" s="71"/>
      <x:c r="H193" s="71"/>
      <x:c r="I193" s="71"/>
      <x:c r="J193" s="71"/>
      <x:c r="K193" s="70">
        <x:v>118</x:v>
      </x:c>
      <x:c r="L193" s="70">
        <x:v>67</x:v>
      </x:c>
      <x:c r="M193" s="70">
        <x:v>1021</x:v>
      </x:c>
      <x:c r="N193" s="70">
        <x:v>60.1</x:v>
      </x:c>
      <x:c r="O193" s="70">
        <x:v>15.2</x:v>
      </x:c>
      <x:c r="P193" s="70">
        <x:v>10</x:v>
      </x:c>
      <x:c r="Q193" s="70">
        <x:v>0</x:v>
      </x:c>
      <x:c r="R193" s="70">
        <x:v>1</x:v>
      </x:c>
      <x:c r="S193" s="70">
        <x:v>0</x:v>
      </x:c>
      <x:c r="T193" s="70">
        <x:v>0</x:v>
      </x:c>
      <x:c r="U193" s="70">
        <x:v>0</x:v>
      </x:c>
      <x:c r="V193" s="70">
        <x:v>155</x:v>
      </x:c>
      <x:c r="W193" s="70">
        <x:v>9.1</x:v>
      </x:c>
      <x:c r="AM193" s="56"/>
    </x:row>
    <x:row r="194" spans="2:39" ht="15.5" customHeight="1">
      <x:c r="B194" s="69" t="s">
        <x:v>178</x:v>
      </x:c>
      <x:c r="C194" s="70">
        <x:v>17</x:v>
      </x:c>
      <x:c r="D194" s="71"/>
      <x:c r="E194" s="71"/>
      <x:c r="F194" s="71"/>
      <x:c r="G194" s="71"/>
      <x:c r="H194" s="71"/>
      <x:c r="I194" s="71"/>
      <x:c r="J194" s="71"/>
      <x:c r="K194" s="70">
        <x:v>120</x:v>
      </x:c>
      <x:c r="L194" s="70">
        <x:v>70</x:v>
      </x:c>
      <x:c r="M194" s="70">
        <x:v>1207</x:v>
      </x:c>
      <x:c r="N194" s="70">
        <x:v>71</x:v>
      </x:c>
      <x:c r="O194" s="70">
        <x:v>17.2</x:v>
      </x:c>
      <x:c r="P194" s="70">
        <x:v>7</x:v>
      </x:c>
      <x:c r="Q194" s="70">
        <x:v>0</x:v>
      </x:c>
      <x:c r="R194" s="70">
        <x:v>0</x:v>
      </x:c>
      <x:c r="S194" s="70">
        <x:v>0</x:v>
      </x:c>
      <x:c r="T194" s="70">
        <x:v>0</x:v>
      </x:c>
      <x:c r="U194" s="70">
        <x:v>1</x:v>
      </x:c>
      <x:c r="V194" s="70">
        <x:v>154</x:v>
      </x:c>
      <x:c r="W194" s="70">
        <x:v>9.1</x:v>
      </x:c>
      <x:c r="AM194" s="56"/>
    </x:row>
    <x:row r="195" spans="2:39" ht="15.5" customHeight="1">
      <x:c r="B195" s="69" t="s">
        <x:v>186</x:v>
      </x:c>
      <x:c r="C195" s="70">
        <x:v>17</x:v>
      </x:c>
      <x:c r="D195" s="71"/>
      <x:c r="E195" s="71"/>
      <x:c r="F195" s="71"/>
      <x:c r="G195" s="71"/>
      <x:c r="H195" s="71"/>
      <x:c r="I195" s="71"/>
      <x:c r="J195" s="71"/>
      <x:c r="K195" s="70">
        <x:v>109</x:v>
      </x:c>
      <x:c r="L195" s="70">
        <x:v>64</x:v>
      </x:c>
      <x:c r="M195" s="70">
        <x:v>1161</x:v>
      </x:c>
      <x:c r="N195" s="70">
        <x:v>68.3</x:v>
      </x:c>
      <x:c r="O195" s="70">
        <x:v>18.100000000000001</x:v>
      </x:c>
      <x:c r="P195" s="70">
        <x:v>8</x:v>
      </x:c>
      <x:c r="Q195" s="70">
        <x:v>3</x:v>
      </x:c>
      <x:c r="R195" s="70">
        <x:v>27</x:v>
      </x:c>
      <x:c r="S195" s="70">
        <x:v>9</x:v>
      </x:c>
      <x:c r="T195" s="70">
        <x:v>0</x:v>
      </x:c>
      <x:c r="U195" s="70">
        <x:v>1</x:v>
      </x:c>
      <x:c r="V195" s="70">
        <x:v>154</x:v>
      </x:c>
      <x:c r="W195" s="70">
        <x:v>9.1</x:v>
      </x:c>
      <x:c r="AM195" s="56"/>
    </x:row>
    <x:row r="196" spans="2:39" ht="15.5" customHeight="1">
      <x:c r="B196" s="69" t="s">
        <x:v>180</x:v>
      </x:c>
      <x:c r="C196" s="70">
        <x:v>17</x:v>
      </x:c>
      <x:c r="D196" s="71"/>
      <x:c r="E196" s="71"/>
      <x:c r="F196" s="71"/>
      <x:c r="G196" s="71"/>
      <x:c r="H196" s="71"/>
      <x:c r="I196" s="71"/>
      <x:c r="J196" s="71"/>
      <x:c r="K196" s="70">
        <x:v>143</x:v>
      </x:c>
      <x:c r="L196" s="70">
        <x:v>89</x:v>
      </x:c>
      <x:c r="M196" s="70">
        <x:v>1196</x:v>
      </x:c>
      <x:c r="N196" s="70">
        <x:v>70.400000000000006</x:v>
      </x:c>
      <x:c r="O196" s="70">
        <x:v>13.4</x:v>
      </x:c>
      <x:c r="P196" s="70">
        <x:v>7</x:v>
      </x:c>
      <x:c r="Q196" s="70">
        <x:v>0</x:v>
      </x:c>
      <x:c r="R196" s="70">
        <x:v>0</x:v>
      </x:c>
      <x:c r="S196" s="70">
        <x:v>0</x:v>
      </x:c>
      <x:c r="T196" s="70">
        <x:v>0</x:v>
      </x:c>
      <x:c r="U196" s="70">
        <x:v>0</x:v>
      </x:c>
      <x:c r="V196" s="70">
        <x:v>154</x:v>
      </x:c>
      <x:c r="W196" s="70">
        <x:v>9.1</x:v>
      </x:c>
      <x:c r="AM196" s="56"/>
    </x:row>
    <x:row r="197" spans="2:39" ht="15.5" customHeight="1">
      <x:c r="B197" s="69" t="s">
        <x:v>174</x:v>
      </x:c>
      <x:c r="C197" s="70">
        <x:v>17</x:v>
      </x:c>
      <x:c r="D197" s="71"/>
      <x:c r="E197" s="71"/>
      <x:c r="F197" s="71"/>
      <x:c r="G197" s="71"/>
      <x:c r="H197" s="71"/>
      <x:c r="I197" s="71"/>
      <x:c r="J197" s="71"/>
      <x:c r="K197" s="70">
        <x:v>178</x:v>
      </x:c>
      <x:c r="L197" s="70">
        <x:v>101</x:v>
      </x:c>
      <x:c r="M197" s="70">
        <x:v>1209</x:v>
      </x:c>
      <x:c r="N197" s="70">
        <x:v>71.099999999999994</x:v>
      </x:c>
      <x:c r="O197" s="70">
        <x:v>12</x:v>
      </x:c>
      <x:c r="P197" s="70">
        <x:v>7</x:v>
      </x:c>
      <x:c r="Q197" s="70">
        <x:v>4</x:v>
      </x:c>
      <x:c r="R197" s="70">
        <x:v>1</x:v>
      </x:c>
      <x:c r="S197" s="70">
        <x:v>0.3</x:v>
      </x:c>
      <x:c r="T197" s="70">
        <x:v>0</x:v>
      </x:c>
      <x:c r="U197" s="70">
        <x:v>2</x:v>
      </x:c>
      <x:c r="V197" s="70">
        <x:v>152</x:v>
      </x:c>
      <x:c r="W197" s="70">
        <x:v>8.9</x:v>
      </x:c>
      <x:c r="AM197" s="56"/>
    </x:row>
    <x:row r="198" spans="2:39" ht="15.5" customHeight="1">
      <x:c r="B198" s="69" t="s">
        <x:v>167</x:v>
      </x:c>
      <x:c r="C198" s="70">
        <x:v>17</x:v>
      </x:c>
      <x:c r="D198" s="71"/>
      <x:c r="E198" s="71"/>
      <x:c r="F198" s="71"/>
      <x:c r="G198" s="71"/>
      <x:c r="H198" s="71"/>
      <x:c r="I198" s="71"/>
      <x:c r="J198" s="71"/>
      <x:c r="K198" s="70">
        <x:v>133</x:v>
      </x:c>
      <x:c r="L198" s="70">
        <x:v>90</x:v>
      </x:c>
      <x:c r="M198" s="70">
        <x:v>1102</x:v>
      </x:c>
      <x:c r="N198" s="70">
        <x:v>64.8</x:v>
      </x:c>
      <x:c r="O198" s="70">
        <x:v>12.2</x:v>
      </x:c>
      <x:c r="P198" s="70">
        <x:v>8</x:v>
      </x:c>
      <x:c r="Q198" s="70">
        <x:v>3</x:v>
      </x:c>
      <x:c r="R198" s="70">
        <x:v>10</x:v>
      </x:c>
      <x:c r="S198" s="70">
        <x:v>3.3</x:v>
      </x:c>
      <x:c r="T198" s="70">
        <x:v>0</x:v>
      </x:c>
      <x:c r="U198" s="70">
        <x:v>0</x:v>
      </x:c>
      <x:c r="V198" s="70">
        <x:v>149</x:v>
      </x:c>
      <x:c r="W198" s="70">
        <x:v>8.8000000000000007</x:v>
      </x:c>
      <x:c r="AM198" s="56"/>
    </x:row>
    <x:row r="199" spans="2:39" ht="15.5" customHeight="1">
      <x:c r="B199" s="69" t="s">
        <x:v>183</x:v>
      </x:c>
      <x:c r="C199" s="70">
        <x:v>17</x:v>
      </x:c>
      <x:c r="D199" s="71"/>
      <x:c r="E199" s="71"/>
      <x:c r="F199" s="71"/>
      <x:c r="G199" s="71"/>
      <x:c r="H199" s="71"/>
      <x:c r="I199" s="71"/>
      <x:c r="J199" s="71"/>
      <x:c r="K199" s="70">
        <x:v>136</x:v>
      </x:c>
      <x:c r="L199" s="70">
        <x:v>85</x:v>
      </x:c>
      <x:c r="M199" s="70">
        <x:v>1213</x:v>
      </x:c>
      <x:c r="N199" s="70">
        <x:v>71.400000000000006</x:v>
      </x:c>
      <x:c r="O199" s="70">
        <x:v>14.3</x:v>
      </x:c>
      <x:c r="P199" s="70">
        <x:v>6</x:v>
      </x:c>
      <x:c r="Q199" s="70">
        <x:v>0</x:v>
      </x:c>
      <x:c r="R199" s="70">
        <x:v>0</x:v>
      </x:c>
      <x:c r="S199" s="70">
        <x:v>0</x:v>
      </x:c>
      <x:c r="T199" s="70">
        <x:v>0</x:v>
      </x:c>
      <x:c r="U199" s="70">
        <x:v>1</x:v>
      </x:c>
      <x:c r="V199" s="70">
        <x:v>148</x:v>
      </x:c>
      <x:c r="W199" s="70">
        <x:v>8.6999999999999993</x:v>
      </x:c>
      <x:c r="AM199" s="56"/>
    </x:row>
    <x:row r="200" spans="2:39" ht="15.5" customHeight="1">
      <x:c r="B200" s="69" t="s">
        <x:v>897</x:v>
      </x:c>
      <x:c r="C200" s="70">
        <x:v>17</x:v>
      </x:c>
      <x:c r="D200" s="71"/>
      <x:c r="E200" s="71"/>
      <x:c r="F200" s="71"/>
      <x:c r="G200" s="71"/>
      <x:c r="H200" s="71"/>
      <x:c r="I200" s="71"/>
      <x:c r="J200" s="71"/>
      <x:c r="K200" s="70">
        <x:v>100</x:v>
      </x:c>
      <x:c r="L200" s="70">
        <x:v>63</x:v>
      </x:c>
      <x:c r="M200" s="70">
        <x:v>909</x:v>
      </x:c>
      <x:c r="N200" s="70">
        <x:v>53.5</x:v>
      </x:c>
      <x:c r="O200" s="70">
        <x:v>14.4</x:v>
      </x:c>
      <x:c r="P200" s="70">
        <x:v>10</x:v>
      </x:c>
      <x:c r="Q200" s="70">
        <x:v>14</x:v>
      </x:c>
      <x:c r="R200" s="70">
        <x:v>61</x:v>
      </x:c>
      <x:c r="S200" s="70">
        <x:v>4.4000000000000004</x:v>
      </x:c>
      <x:c r="T200" s="70">
        <x:v>0</x:v>
      </x:c>
      <x:c r="U200" s="70">
        <x:v>0</x:v>
      </x:c>
      <x:c r="V200" s="70">
        <x:v>145</x:v>
      </x:c>
      <x:c r="W200" s="70">
        <x:v>8.5</x:v>
      </x:c>
      <x:c r="AM200" s="56"/>
    </x:row>
    <x:row r="201" spans="2:39" ht="15.5" customHeight="1">
      <x:c r="B201" s="69" t="s">
        <x:v>177</x:v>
      </x:c>
      <x:c r="C201" s="70">
        <x:v>17</x:v>
      </x:c>
      <x:c r="D201" s="71"/>
      <x:c r="E201" s="71"/>
      <x:c r="F201" s="71"/>
      <x:c r="G201" s="71"/>
      <x:c r="H201" s="71"/>
      <x:c r="I201" s="71"/>
      <x:c r="J201" s="71"/>
      <x:c r="K201" s="70">
        <x:v>109</x:v>
      </x:c>
      <x:c r="L201" s="70">
        <x:v>65</x:v>
      </x:c>
      <x:c r="M201" s="70">
        <x:v>987</x:v>
      </x:c>
      <x:c r="N201" s="70">
        <x:v>58.1</x:v>
      </x:c>
      <x:c r="O201" s="70">
        <x:v>15.2</x:v>
      </x:c>
      <x:c r="P201" s="70">
        <x:v>9</x:v>
      </x:c>
      <x:c r="Q201" s="70">
        <x:v>0</x:v>
      </x:c>
      <x:c r="R201" s="70">
        <x:v>0</x:v>
      </x:c>
      <x:c r="S201" s="70">
        <x:v>0</x:v>
      </x:c>
      <x:c r="T201" s="70">
        <x:v>0</x:v>
      </x:c>
      <x:c r="U201" s="70">
        <x:v>0</x:v>
      </x:c>
      <x:c r="V201" s="70">
        <x:v>144</x:v>
      </x:c>
      <x:c r="W201" s="70">
        <x:v>8.5</x:v>
      </x:c>
      <x:c r="AM201" s="56"/>
    </x:row>
    <x:row r="202" spans="2:39" ht="15.5" customHeight="1">
      <x:c r="B202" s="69" t="s">
        <x:v>175</x:v>
      </x:c>
      <x:c r="C202" s="70">
        <x:v>17</x:v>
      </x:c>
      <x:c r="D202" s="71"/>
      <x:c r="E202" s="71"/>
      <x:c r="F202" s="71"/>
      <x:c r="G202" s="71"/>
      <x:c r="H202" s="71"/>
      <x:c r="I202" s="71"/>
      <x:c r="J202" s="71"/>
      <x:c r="K202" s="70">
        <x:v>112</x:v>
      </x:c>
      <x:c r="L202" s="70">
        <x:v>76</x:v>
      </x:c>
      <x:c r="M202" s="70">
        <x:v>1087</x:v>
      </x:c>
      <x:c r="N202" s="70">
        <x:v>63.9</x:v>
      </x:c>
      <x:c r="O202" s="70">
        <x:v>14.3</x:v>
      </x:c>
      <x:c r="P202" s="70">
        <x:v>6</x:v>
      </x:c>
      <x:c r="Q202" s="70">
        <x:v>4</x:v>
      </x:c>
      <x:c r="R202" s="70">
        <x:v>22</x:v>
      </x:c>
      <x:c r="S202" s="70">
        <x:v>5.5</x:v>
      </x:c>
      <x:c r="T202" s="70">
        <x:v>0</x:v>
      </x:c>
      <x:c r="U202" s="70">
        <x:v>0</x:v>
      </x:c>
      <x:c r="V202" s="70">
        <x:v>137</x:v>
      </x:c>
      <x:c r="W202" s="70">
        <x:v>8.1</x:v>
      </x:c>
      <x:c r="AM202" s="56"/>
    </x:row>
    <x:row r="203" spans="2:39" ht="15.5" customHeight="1">
      <x:c r="B203" s="69" t="s">
        <x:v>901</x:v>
      </x:c>
      <x:c r="C203" s="70">
        <x:v>17</x:v>
      </x:c>
      <x:c r="D203" s="71"/>
      <x:c r="E203" s="71"/>
      <x:c r="F203" s="71"/>
      <x:c r="G203" s="71"/>
      <x:c r="H203" s="71"/>
      <x:c r="I203" s="71"/>
      <x:c r="J203" s="71"/>
      <x:c r="K203" s="70">
        <x:v>124</x:v>
      </x:c>
      <x:c r="L203" s="70">
        <x:v>82</x:v>
      </x:c>
      <x:c r="M203" s="70">
        <x:v>1037</x:v>
      </x:c>
      <x:c r="N203" s="70">
        <x:v>61</x:v>
      </x:c>
      <x:c r="O203" s="70">
        <x:v>12.7</x:v>
      </x:c>
      <x:c r="P203" s="70">
        <x:v>7</x:v>
      </x:c>
      <x:c r="Q203" s="70">
        <x:v>1</x:v>
      </x:c>
      <x:c r="R203" s="70">
        <x:v>4</x:v>
      </x:c>
      <x:c r="S203" s="70">
        <x:v>4</x:v>
      </x:c>
      <x:c r="T203" s="70">
        <x:v>0</x:v>
      </x:c>
      <x:c r="U203" s="70">
        <x:v>1</x:v>
      </x:c>
      <x:c r="V203" s="70">
        <x:v>137</x:v>
      </x:c>
      <x:c r="W203" s="70">
        <x:v>8.1</x:v>
      </x:c>
      <x:c r="AM203" s="56"/>
    </x:row>
    <x:row r="204" spans="2:39" ht="15.5" customHeight="1">
      <x:c r="B204" s="69" t="s">
        <x:v>902</x:v>
      </x:c>
      <x:c r="C204" s="70">
        <x:v>17</x:v>
      </x:c>
      <x:c r="D204" s="71"/>
      <x:c r="E204" s="71"/>
      <x:c r="F204" s="71"/>
      <x:c r="G204" s="71"/>
      <x:c r="H204" s="71"/>
      <x:c r="I204" s="71"/>
      <x:c r="J204" s="71"/>
      <x:c r="K204" s="70">
        <x:v>110</x:v>
      </x:c>
      <x:c r="L204" s="70">
        <x:v>62</x:v>
      </x:c>
      <x:c r="M204" s="70">
        <x:v>898</x:v>
      </x:c>
      <x:c r="N204" s="70">
        <x:v>52.8</x:v>
      </x:c>
      <x:c r="O204" s="70">
        <x:v>14.5</x:v>
      </x:c>
      <x:c r="P204" s="70">
        <x:v>9</x:v>
      </x:c>
      <x:c r="Q204" s="70">
        <x:v>8</x:v>
      </x:c>
      <x:c r="R204" s="70">
        <x:v>21</x:v>
      </x:c>
      <x:c r="S204" s="70">
        <x:v>2.6</x:v>
      </x:c>
      <x:c r="T204" s="70">
        <x:v>0</x:v>
      </x:c>
      <x:c r="U204" s="70">
        <x:v>0</x:v>
      </x:c>
      <x:c r="V204" s="70">
        <x:v>136</x:v>
      </x:c>
      <x:c r="W204" s="70">
        <x:v>8</x:v>
      </x:c>
      <x:c r="AM204" s="56"/>
    </x:row>
    <x:row r="205" spans="2:39" ht="15.5" customHeight="1">
      <x:c r="B205" s="69" t="s">
        <x:v>198</x:v>
      </x:c>
      <x:c r="C205" s="70">
        <x:v>17</x:v>
      </x:c>
      <x:c r="D205" s="71"/>
      <x:c r="E205" s="71"/>
      <x:c r="F205" s="71"/>
      <x:c r="G205" s="71"/>
      <x:c r="H205" s="71"/>
      <x:c r="I205" s="71"/>
      <x:c r="J205" s="71"/>
      <x:c r="K205" s="70">
        <x:v>106</x:v>
      </x:c>
      <x:c r="L205" s="70">
        <x:v>75</x:v>
      </x:c>
      <x:c r="M205" s="70">
        <x:v>966</x:v>
      </x:c>
      <x:c r="N205" s="70">
        <x:v>56.8</x:v>
      </x:c>
      <x:c r="O205" s="70">
        <x:v>12.9</x:v>
      </x:c>
      <x:c r="P205" s="70">
        <x:v>7</x:v>
      </x:c>
      <x:c r="Q205" s="70">
        <x:v>9</x:v>
      </x:c>
      <x:c r="R205" s="70">
        <x:v>51</x:v>
      </x:c>
      <x:c r="S205" s="70">
        <x:v>5.7</x:v>
      </x:c>
      <x:c r="T205" s="70">
        <x:v>1</x:v>
      </x:c>
      <x:c r="U205" s="70">
        <x:v>1</x:v>
      </x:c>
      <x:c r="V205" s="70">
        <x:v>135</x:v>
      </x:c>
      <x:c r="W205" s="70">
        <x:v>7.9</x:v>
      </x:c>
      <x:c r="AM205" s="56"/>
    </x:row>
    <x:row r="206" spans="2:39" ht="15.5" customHeight="1">
      <x:c r="B206" s="69" t="s">
        <x:v>904</x:v>
      </x:c>
      <x:c r="C206" s="70">
        <x:v>17</x:v>
      </x:c>
      <x:c r="D206" s="71"/>
      <x:c r="E206" s="71"/>
      <x:c r="F206" s="71"/>
      <x:c r="G206" s="71"/>
      <x:c r="H206" s="71"/>
      <x:c r="I206" s="71"/>
      <x:c r="J206" s="71"/>
      <x:c r="K206" s="70">
        <x:v>86</x:v>
      </x:c>
      <x:c r="L206" s="70">
        <x:v>58</x:v>
      </x:c>
      <x:c r="M206" s="70">
        <x:v>729</x:v>
      </x:c>
      <x:c r="N206" s="70">
        <x:v>42.9</x:v>
      </x:c>
      <x:c r="O206" s="70">
        <x:v>12.6</x:v>
      </x:c>
      <x:c r="P206" s="70">
        <x:v>8</x:v>
      </x:c>
      <x:c r="Q206" s="70">
        <x:v>10</x:v>
      </x:c>
      <x:c r="R206" s="70">
        <x:v>104</x:v>
      </x:c>
      <x:c r="S206" s="70">
        <x:v>10.4</x:v>
      </x:c>
      <x:c r="T206" s="70">
        <x:v>3</x:v>
      </x:c>
      <x:c r="U206" s="70">
        <x:v>0</x:v>
      </x:c>
      <x:c r="V206" s="70">
        <x:v>134</x:v>
      </x:c>
      <x:c r="W206" s="70">
        <x:v>7.9</x:v>
      </x:c>
      <x:c r="AM206" s="56"/>
    </x:row>
    <x:row r="207" spans="2:39" ht="15.5" customHeight="1">
      <x:c r="B207" s="69" t="s">
        <x:v>182</x:v>
      </x:c>
      <x:c r="C207" s="70">
        <x:v>17</x:v>
      </x:c>
      <x:c r="D207" s="71"/>
      <x:c r="E207" s="71"/>
      <x:c r="F207" s="71"/>
      <x:c r="G207" s="71"/>
      <x:c r="H207" s="71"/>
      <x:c r="I207" s="71"/>
      <x:c r="J207" s="71"/>
      <x:c r="K207" s="70">
        <x:v>87</x:v>
      </x:c>
      <x:c r="L207" s="70">
        <x:v>48</x:v>
      </x:c>
      <x:c r="M207" s="70">
        <x:v>732</x:v>
      </x:c>
      <x:c r="N207" s="70">
        <x:v>43.1</x:v>
      </x:c>
      <x:c r="O207" s="70">
        <x:v>15.3</x:v>
      </x:c>
      <x:c r="P207" s="70">
        <x:v>10</x:v>
      </x:c>
      <x:c r="Q207" s="70">
        <x:v>6</x:v>
      </x:c>
      <x:c r="R207" s="70">
        <x:v>27</x:v>
      </x:c>
      <x:c r="S207" s="70">
        <x:v>4.5</x:v>
      </x:c>
      <x:c r="T207" s="70">
        <x:v>1</x:v>
      </x:c>
      <x:c r="U207" s="70">
        <x:v>0</x:v>
      </x:c>
      <x:c r="V207" s="70">
        <x:v>133</x:v>
      </x:c>
      <x:c r="W207" s="70">
        <x:v>7.8</x:v>
      </x:c>
      <x:c r="AM207" s="56"/>
    </x:row>
    <x:row r="208" spans="2:39" ht="15.5" customHeight="1">
      <x:c r="B208" s="69" t="s">
        <x:v>905</x:v>
      </x:c>
      <x:c r="C208" s="70">
        <x:v>17</x:v>
      </x:c>
      <x:c r="D208" s="71"/>
      <x:c r="E208" s="71"/>
      <x:c r="F208" s="71"/>
      <x:c r="G208" s="71"/>
      <x:c r="H208" s="71"/>
      <x:c r="I208" s="71"/>
      <x:c r="J208" s="71"/>
      <x:c r="K208" s="70">
        <x:v>105</x:v>
      </x:c>
      <x:c r="L208" s="70">
        <x:v>60</x:v>
      </x:c>
      <x:c r="M208" s="70">
        <x:v>856</x:v>
      </x:c>
      <x:c r="N208" s="70">
        <x:v>50.4</x:v>
      </x:c>
      <x:c r="O208" s="70">
        <x:v>14.3</x:v>
      </x:c>
      <x:c r="P208" s="70">
        <x:v>9</x:v>
      </x:c>
      <x:c r="Q208" s="70">
        <x:v>1</x:v>
      </x:c>
      <x:c r="R208" s="70">
        <x:v>6</x:v>
      </x:c>
      <x:c r="S208" s="70">
        <x:v>6</x:v>
      </x:c>
      <x:c r="T208" s="70">
        <x:v>0</x:v>
      </x:c>
      <x:c r="U208" s="70">
        <x:v>0</x:v>
      </x:c>
      <x:c r="V208" s="70">
        <x:v>132</x:v>
      </x:c>
      <x:c r="W208" s="70">
        <x:v>7.8</x:v>
      </x:c>
      <x:c r="AM208" s="56"/>
    </x:row>
    <x:row r="209" spans="2:39" ht="15.5" customHeight="1">
      <x:c r="B209" s="69" t="s">
        <x:v>199</x:v>
      </x:c>
      <x:c r="C209" s="70">
        <x:v>17</x:v>
      </x:c>
      <x:c r="D209" s="71"/>
      <x:c r="E209" s="71"/>
      <x:c r="F209" s="71"/>
      <x:c r="G209" s="71"/>
      <x:c r="H209" s="71"/>
      <x:c r="I209" s="71"/>
      <x:c r="J209" s="71"/>
      <x:c r="K209" s="70">
        <x:v>137</x:v>
      </x:c>
      <x:c r="L209" s="70">
        <x:v>96</x:v>
      </x:c>
      <x:c r="M209" s="70">
        <x:v>1079</x:v>
      </x:c>
      <x:c r="N209" s="70">
        <x:v>63.5</x:v>
      </x:c>
      <x:c r="O209" s="70">
        <x:v>11.2</x:v>
      </x:c>
      <x:c r="P209" s="70">
        <x:v>5</x:v>
      </x:c>
      <x:c r="Q209" s="70">
        <x:v>1</x:v>
      </x:c>
      <x:c r="R209" s="70">
        <x:v>10</x:v>
      </x:c>
      <x:c r="S209" s="70">
        <x:v>10</x:v>
      </x:c>
      <x:c r="T209" s="70">
        <x:v>0</x:v>
      </x:c>
      <x:c r="U209" s="70">
        <x:v>1</x:v>
      </x:c>
      <x:c r="V209" s="70">
        <x:v>128</x:v>
      </x:c>
      <x:c r="W209" s="70">
        <x:v>7.5</x:v>
      </x:c>
      <x:c r="AM209" s="56"/>
    </x:row>
    <x:row r="210" spans="2:39" ht="15.5" customHeight="1">
      <x:c r="B210" s="69" t="s">
        <x:v>907</x:v>
      </x:c>
      <x:c r="C210" s="70">
        <x:v>17</x:v>
      </x:c>
      <x:c r="D210" s="71"/>
      <x:c r="E210" s="71"/>
      <x:c r="F210" s="71"/>
      <x:c r="G210" s="71"/>
      <x:c r="H210" s="71"/>
      <x:c r="I210" s="71"/>
      <x:c r="J210" s="71"/>
      <x:c r="K210" s="70">
        <x:v>124</x:v>
      </x:c>
      <x:c r="L210" s="70">
        <x:v>68</x:v>
      </x:c>
      <x:c r="M210" s="70">
        <x:v>842</x:v>
      </x:c>
      <x:c r="N210" s="70">
        <x:v>49.5</x:v>
      </x:c>
      <x:c r="O210" s="70">
        <x:v>12.4</x:v>
      </x:c>
      <x:c r="P210" s="70">
        <x:v>8</x:v>
      </x:c>
      <x:c r="Q210" s="70">
        <x:v>2</x:v>
      </x:c>
      <x:c r="R210" s="70">
        <x:v>19</x:v>
      </x:c>
      <x:c r="S210" s="70">
        <x:v>9.5</x:v>
      </x:c>
      <x:c r="T210" s="70">
        <x:v>0</x:v>
      </x:c>
      <x:c r="U210" s="70">
        <x:v>0</x:v>
      </x:c>
      <x:c r="V210" s="70">
        <x:v>124</x:v>
      </x:c>
      <x:c r="W210" s="70">
        <x:v>7.3</x:v>
      </x:c>
      <x:c r="AM210" s="56"/>
    </x:row>
    <x:row r="211" spans="2:39" ht="15.5" customHeight="1">
      <x:c r="B211" s="69" t="s">
        <x:v>213</x:v>
      </x:c>
      <x:c r="C211" s="70">
        <x:v>17</x:v>
      </x:c>
      <x:c r="D211" s="71"/>
      <x:c r="E211" s="71"/>
      <x:c r="F211" s="71"/>
      <x:c r="G211" s="71"/>
      <x:c r="H211" s="71"/>
      <x:c r="I211" s="71"/>
      <x:c r="J211" s="71"/>
      <x:c r="K211" s="70">
        <x:v>96</x:v>
      </x:c>
      <x:c r="L211" s="70">
        <x:v>75</x:v>
      </x:c>
      <x:c r="M211" s="70">
        <x:v>904</x:v>
      </x:c>
      <x:c r="N211" s="70">
        <x:v>53.2</x:v>
      </x:c>
      <x:c r="O211" s="70">
        <x:v>12.1</x:v>
      </x:c>
      <x:c r="P211" s="70">
        <x:v>7</x:v>
      </x:c>
      <x:c r="Q211" s="70">
        <x:v>2</x:v>
      </x:c>
      <x:c r="R211" s="70">
        <x:v>2</x:v>
      </x:c>
      <x:c r="S211" s="70">
        <x:v>1</x:v>
      </x:c>
      <x:c r="T211" s="70">
        <x:v>0</x:v>
      </x:c>
      <x:c r="U211" s="70">
        <x:v>1</x:v>
      </x:c>
      <x:c r="V211" s="70">
        <x:v>123</x:v>
      </x:c>
      <x:c r="W211" s="70">
        <x:v>7.2</x:v>
      </x:c>
      <x:c r="AM211" s="56"/>
    </x:row>
    <x:row r="212" spans="2:39" ht="15.5" customHeight="1">
      <x:c r="B212" s="69" t="s">
        <x:v>181</x:v>
      </x:c>
      <x:c r="C212" s="70">
        <x:v>17</x:v>
      </x:c>
      <x:c r="D212" s="71"/>
      <x:c r="E212" s="71"/>
      <x:c r="F212" s="71"/>
      <x:c r="G212" s="71"/>
      <x:c r="H212" s="71"/>
      <x:c r="I212" s="71"/>
      <x:c r="J212" s="71"/>
      <x:c r="K212" s="70">
        <x:v>117</x:v>
      </x:c>
      <x:c r="L212" s="70">
        <x:v>78</x:v>
      </x:c>
      <x:c r="M212" s="70">
        <x:v>928</x:v>
      </x:c>
      <x:c r="N212" s="70">
        <x:v>54.6</x:v>
      </x:c>
      <x:c r="O212" s="70">
        <x:v>11.9</x:v>
      </x:c>
      <x:c r="P212" s="70">
        <x:v>5</x:v>
      </x:c>
      <x:c r="Q212" s="70">
        <x:v>3</x:v>
      </x:c>
      <x:c r="R212" s="70">
        <x:v>27</x:v>
      </x:c>
      <x:c r="S212" s="70">
        <x:v>9</x:v>
      </x:c>
      <x:c r="T212" s="70">
        <x:v>1</x:v>
      </x:c>
      <x:c r="U212" s="70">
        <x:v>0</x:v>
      </x:c>
      <x:c r="V212" s="70">
        <x:v>121</x:v>
      </x:c>
      <x:c r="W212" s="70">
        <x:v>7.1</x:v>
      </x:c>
      <x:c r="AM212" s="56"/>
    </x:row>
    <x:row r="213" spans="2:39" ht="15.5" customHeight="1">
      <x:c r="B213" s="69" t="s">
        <x:v>187</x:v>
      </x:c>
      <x:c r="C213" s="70">
        <x:v>17</x:v>
      </x:c>
      <x:c r="D213" s="71"/>
      <x:c r="E213" s="71"/>
      <x:c r="F213" s="71"/>
      <x:c r="G213" s="71"/>
      <x:c r="H213" s="71"/>
      <x:c r="I213" s="71"/>
      <x:c r="J213" s="71"/>
      <x:c r="K213" s="70">
        <x:v>112</x:v>
      </x:c>
      <x:c r="L213" s="70">
        <x:v>75</x:v>
      </x:c>
      <x:c r="M213" s="70">
        <x:v>983</x:v>
      </x:c>
      <x:c r="N213" s="70">
        <x:v>57.8</x:v>
      </x:c>
      <x:c r="O213" s="70">
        <x:v>13.1</x:v>
      </x:c>
      <x:c r="P213" s="70">
        <x:v>6</x:v>
      </x:c>
      <x:c r="Q213" s="70">
        <x:v>2</x:v>
      </x:c>
      <x:c r="R213" s="70">
        <x:v>10</x:v>
      </x:c>
      <x:c r="S213" s="70">
        <x:v>5</x:v>
      </x:c>
      <x:c r="T213" s="70">
        <x:v>0</x:v>
      </x:c>
      <x:c r="U213" s="70">
        <x:v>2</x:v>
      </x:c>
      <x:c r="V213" s="70">
        <x:v>121</x:v>
      </x:c>
      <x:c r="W213" s="70">
        <x:v>7.1</x:v>
      </x:c>
      <x:c r="AM213" s="56"/>
    </x:row>
    <x:row r="214" spans="2:39" ht="15.5" customHeight="1">
      <x:c r="B214" s="69" t="s">
        <x:v>911</x:v>
      </x:c>
      <x:c r="C214" s="70">
        <x:v>17</x:v>
      </x:c>
      <x:c r="D214" s="71"/>
      <x:c r="E214" s="71"/>
      <x:c r="F214" s="71"/>
      <x:c r="G214" s="71"/>
      <x:c r="H214" s="71"/>
      <x:c r="I214" s="71"/>
      <x:c r="J214" s="71"/>
      <x:c r="K214" s="70">
        <x:v>108</x:v>
      </x:c>
      <x:c r="L214" s="70">
        <x:v>64</x:v>
      </x:c>
      <x:c r="M214" s="70">
        <x:v>800</x:v>
      </x:c>
      <x:c r="N214" s="70">
        <x:v>47.1</x:v>
      </x:c>
      <x:c r="O214" s="70">
        <x:v>12.5</x:v>
      </x:c>
      <x:c r="P214" s="70">
        <x:v>8</x:v>
      </x:c>
      <x:c r="Q214" s="70">
        <x:v>2</x:v>
      </x:c>
      <x:c r="R214" s="70">
        <x:v>10</x:v>
      </x:c>
      <x:c r="S214" s="70">
        <x:v>5</x:v>
      </x:c>
      <x:c r="T214" s="70">
        <x:v>0</x:v>
      </x:c>
      <x:c r="U214" s="70">
        <x:v>0</x:v>
      </x:c>
      <x:c r="V214" s="70">
        <x:v>120</x:v>
      </x:c>
      <x:c r="W214" s="70">
        <x:v>7.1</x:v>
      </x:c>
      <x:c r="AM214" s="56"/>
    </x:row>
    <x:row r="215" spans="2:39" ht="15.5" customHeight="1">
      <x:c r="B215" s="69" t="s">
        <x:v>188</x:v>
      </x:c>
      <x:c r="C215" s="70">
        <x:v>17</x:v>
      </x:c>
      <x:c r="D215" s="71"/>
      <x:c r="E215" s="71"/>
      <x:c r="F215" s="71"/>
      <x:c r="G215" s="71"/>
      <x:c r="H215" s="71"/>
      <x:c r="I215" s="71"/>
      <x:c r="J215" s="71"/>
      <x:c r="K215" s="70">
        <x:v>119</x:v>
      </x:c>
      <x:c r="L215" s="70">
        <x:v>73</x:v>
      </x:c>
      <x:c r="M215" s="70">
        <x:v>984</x:v>
      </x:c>
      <x:c r="N215" s="70">
        <x:v>57.9</x:v>
      </x:c>
      <x:c r="O215" s="70">
        <x:v>13.5</x:v>
      </x:c>
      <x:c r="P215" s="70">
        <x:v>5</x:v>
      </x:c>
      <x:c r="Q215" s="70">
        <x:v>1</x:v>
      </x:c>
      <x:c r="R215" s="70">
        <x:v>5</x:v>
      </x:c>
      <x:c r="S215" s="70">
        <x:v>5</x:v>
      </x:c>
      <x:c r="T215" s="70">
        <x:v>0</x:v>
      </x:c>
      <x:c r="U215" s="70">
        <x:v>0</x:v>
      </x:c>
      <x:c r="V215" s="70">
        <x:v>119</x:v>
      </x:c>
      <x:c r="W215" s="70">
        <x:v>7</x:v>
      </x:c>
      <x:c r="AM215" s="56"/>
    </x:row>
    <x:row r="216" spans="2:39" ht="15.5" customHeight="1">
      <x:c r="B216" s="69" t="s">
        <x:v>912</x:v>
      </x:c>
      <x:c r="C216" s="70">
        <x:v>17</x:v>
      </x:c>
      <x:c r="D216" s="71"/>
      <x:c r="E216" s="71"/>
      <x:c r="F216" s="71"/>
      <x:c r="G216" s="71"/>
      <x:c r="H216" s="71"/>
      <x:c r="I216" s="71"/>
      <x:c r="J216" s="71"/>
      <x:c r="K216" s="70">
        <x:v>91</x:v>
      </x:c>
      <x:c r="L216" s="70">
        <x:v>56</x:v>
      </x:c>
      <x:c r="M216" s="70">
        <x:v>940</x:v>
      </x:c>
      <x:c r="N216" s="70">
        <x:v>55.3</x:v>
      </x:c>
      <x:c r="O216" s="70">
        <x:v>16.8</x:v>
      </x:c>
      <x:c r="P216" s="70">
        <x:v>6</x:v>
      </x:c>
      <x:c r="Q216" s="70">
        <x:v>2</x:v>
      </x:c>
      <x:c r="R216" s="70">
        <x:v>11</x:v>
      </x:c>
      <x:c r="S216" s="70">
        <x:v>5.5</x:v>
      </x:c>
      <x:c r="T216" s="70">
        <x:v>0</x:v>
      </x:c>
      <x:c r="U216" s="70">
        <x:v>2</x:v>
      </x:c>
      <x:c r="V216" s="70">
        <x:v>118</x:v>
      </x:c>
      <x:c r="W216" s="70">
        <x:v>6.9</x:v>
      </x:c>
      <x:c r="AM216" s="56"/>
    </x:row>
    <x:row r="217" spans="2:39" ht="15.5" customHeight="1">
      <x:c r="B217" s="69" t="s">
        <x:v>195</x:v>
      </x:c>
      <x:c r="C217" s="70">
        <x:v>17</x:v>
      </x:c>
      <x:c r="D217" s="71"/>
      <x:c r="E217" s="71"/>
      <x:c r="F217" s="71"/>
      <x:c r="G217" s="71"/>
      <x:c r="H217" s="71"/>
      <x:c r="I217" s="71"/>
      <x:c r="J217" s="71"/>
      <x:c r="K217" s="70">
        <x:v>87</x:v>
      </x:c>
      <x:c r="L217" s="70">
        <x:v>55</x:v>
      </x:c>
      <x:c r="M217" s="70">
        <x:v>757</x:v>
      </x:c>
      <x:c r="N217" s="70">
        <x:v>44.5</x:v>
      </x:c>
      <x:c r="O217" s="70">
        <x:v>13.8</x:v>
      </x:c>
      <x:c r="P217" s="70">
        <x:v>9</x:v>
      </x:c>
      <x:c r="Q217" s="70">
        <x:v>0</x:v>
      </x:c>
      <x:c r="R217" s="70">
        <x:v>1</x:v>
      </x:c>
      <x:c r="S217" s="70">
        <x:v>0</x:v>
      </x:c>
      <x:c r="T217" s="70">
        <x:v>0</x:v>
      </x:c>
      <x:c r="U217" s="70">
        <x:v>2</x:v>
      </x:c>
      <x:c r="V217" s="70">
        <x:v>117</x:v>
      </x:c>
      <x:c r="W217" s="70">
        <x:v>6.9</x:v>
      </x:c>
      <x:c r="AM217" s="56"/>
    </x:row>
    <x:row r="218" spans="2:39" ht="15.5" customHeight="1">
      <x:c r="B218" s="69" t="s">
        <x:v>913</x:v>
      </x:c>
      <x:c r="C218" s="70">
        <x:v>17</x:v>
      </x:c>
      <x:c r="D218" s="71"/>
      <x:c r="E218" s="71"/>
      <x:c r="F218" s="71"/>
      <x:c r="G218" s="71"/>
      <x:c r="H218" s="71"/>
      <x:c r="I218" s="71"/>
      <x:c r="J218" s="71"/>
      <x:c r="K218" s="70">
        <x:v>109</x:v>
      </x:c>
      <x:c r="L218" s="70">
        <x:v>68</x:v>
      </x:c>
      <x:c r="M218" s="70">
        <x:v>969</x:v>
      </x:c>
      <x:c r="N218" s="70">
        <x:v>57</x:v>
      </x:c>
      <x:c r="O218" s="70">
        <x:v>14.3</x:v>
      </x:c>
      <x:c r="P218" s="70">
        <x:v>5</x:v>
      </x:c>
      <x:c r="Q218" s="70">
        <x:v>2</x:v>
      </x:c>
      <x:c r="R218" s="70">
        <x:v>10</x:v>
      </x:c>
      <x:c r="S218" s="70">
        <x:v>5</x:v>
      </x:c>
      <x:c r="T218" s="70">
        <x:v>0</x:v>
      </x:c>
      <x:c r="U218" s="70">
        <x:v>2</x:v>
      </x:c>
      <x:c r="V218" s="70">
        <x:v>115</x:v>
      </x:c>
      <x:c r="W218" s="70">
        <x:v>6.8</x:v>
      </x:c>
      <x:c r="AM218" s="56"/>
    </x:row>
    <x:row r="219" spans="2:39" ht="15.5" customHeight="1">
      <x:c r="B219" s="69" t="s">
        <x:v>190</x:v>
      </x:c>
      <x:c r="C219" s="70">
        <x:v>17</x:v>
      </x:c>
      <x:c r="D219" s="71"/>
      <x:c r="E219" s="71"/>
      <x:c r="F219" s="71"/>
      <x:c r="G219" s="71"/>
      <x:c r="H219" s="71"/>
      <x:c r="I219" s="71"/>
      <x:c r="J219" s="71"/>
      <x:c r="K219" s="70">
        <x:v>88</x:v>
      </x:c>
      <x:c r="L219" s="70">
        <x:v>58</x:v>
      </x:c>
      <x:c r="M219" s="70">
        <x:v>758</x:v>
      </x:c>
      <x:c r="N219" s="70">
        <x:v>44.6</x:v>
      </x:c>
      <x:c r="O219" s="70">
        <x:v>13.1</x:v>
      </x:c>
      <x:c r="P219" s="70">
        <x:v>8</x:v>
      </x:c>
      <x:c r="Q219" s="70">
        <x:v>1</x:v>
      </x:c>
      <x:c r="R219" s="70">
        <x:v>2</x:v>
      </x:c>
      <x:c r="S219" s="70">
        <x:v>2</x:v>
      </x:c>
      <x:c r="T219" s="70">
        <x:v>0</x:v>
      </x:c>
      <x:c r="U219" s="70">
        <x:v>0</x:v>
      </x:c>
      <x:c r="V219" s="70">
        <x:v>115</x:v>
      </x:c>
      <x:c r="W219" s="70">
        <x:v>6.8</x:v>
      </x:c>
      <x:c r="AM219" s="56"/>
    </x:row>
    <x:row r="220" spans="2:39" ht="15.5" customHeight="1">
      <x:c r="B220" s="69" t="s">
        <x:v>915</x:v>
      </x:c>
      <x:c r="C220" s="70">
        <x:v>17</x:v>
      </x:c>
      <x:c r="D220" s="71"/>
      <x:c r="E220" s="71"/>
      <x:c r="F220" s="71"/>
      <x:c r="G220" s="71"/>
      <x:c r="H220" s="71"/>
      <x:c r="I220" s="71"/>
      <x:c r="J220" s="71"/>
      <x:c r="K220" s="70">
        <x:v>106</x:v>
      </x:c>
      <x:c r="L220" s="70">
        <x:v>76</x:v>
      </x:c>
      <x:c r="M220" s="70">
        <x:v>876</x:v>
      </x:c>
      <x:c r="N220" s="70">
        <x:v>51.5</x:v>
      </x:c>
      <x:c r="O220" s="70">
        <x:v>11.5</x:v>
      </x:c>
      <x:c r="P220" s="70">
        <x:v>6</x:v>
      </x:c>
      <x:c r="Q220" s="70">
        <x:v>2</x:v>
      </x:c>
      <x:c r="R220" s="70">
        <x:v>7</x:v>
      </x:c>
      <x:c r="S220" s="70">
        <x:v>3.5</x:v>
      </x:c>
      <x:c r="T220" s="70">
        <x:v>0</x:v>
      </x:c>
      <x:c r="U220" s="70">
        <x:v>1</x:v>
      </x:c>
      <x:c r="V220" s="70">
        <x:v>114</x:v>
      </x:c>
      <x:c r="W220" s="70">
        <x:v>6.7</x:v>
      </x:c>
      <x:c r="AM220" s="56"/>
    </x:row>
    <x:row r="221" spans="2:39" ht="15.5" customHeight="1">
      <x:c r="B221" s="69" t="s">
        <x:v>197</x:v>
      </x:c>
      <x:c r="C221" s="70">
        <x:v>17</x:v>
      </x:c>
      <x:c r="D221" s="71"/>
      <x:c r="E221" s="71"/>
      <x:c r="F221" s="71"/>
      <x:c r="G221" s="71"/>
      <x:c r="H221" s="71"/>
      <x:c r="I221" s="71"/>
      <x:c r="J221" s="71"/>
      <x:c r="K221" s="70">
        <x:v>87</x:v>
      </x:c>
      <x:c r="L221" s="70">
        <x:v>56</x:v>
      </x:c>
      <x:c r="M221" s="70">
        <x:v>739</x:v>
      </x:c>
      <x:c r="N221" s="70">
        <x:v>43.5</x:v>
      </x:c>
      <x:c r="O221" s="70">
        <x:v>13.2</x:v>
      </x:c>
      <x:c r="P221" s="70">
        <x:v>8</x:v>
      </x:c>
      <x:c r="Q221" s="70">
        <x:v>0</x:v>
      </x:c>
      <x:c r="R221" s="70">
        <x:v>1</x:v>
      </x:c>
      <x:c r="S221" s="70">
        <x:v>0</x:v>
      </x:c>
      <x:c r="T221" s="70">
        <x:v>0</x:v>
      </x:c>
      <x:c r="U221" s="70">
        <x:v>0</x:v>
      </x:c>
      <x:c r="V221" s="70">
        <x:v>114</x:v>
      </x:c>
      <x:c r="W221" s="70">
        <x:v>6.7</x:v>
      </x:c>
      <x:c r="AM221" s="56"/>
    </x:row>
    <x:row r="222" spans="2:39" ht="15.5" customHeight="1">
      <x:c r="B222" s="69" t="s">
        <x:v>194</x:v>
      </x:c>
      <x:c r="C222" s="70">
        <x:v>17</x:v>
      </x:c>
      <x:c r="D222" s="71"/>
      <x:c r="E222" s="71"/>
      <x:c r="F222" s="71"/>
      <x:c r="G222" s="71"/>
      <x:c r="H222" s="71"/>
      <x:c r="I222" s="71"/>
      <x:c r="J222" s="71"/>
      <x:c r="K222" s="70">
        <x:v>91</x:v>
      </x:c>
      <x:c r="L222" s="70">
        <x:v>61</x:v>
      </x:c>
      <x:c r="M222" s="70">
        <x:v>717</x:v>
      </x:c>
      <x:c r="N222" s="70">
        <x:v>42.2</x:v>
      </x:c>
      <x:c r="O222" s="70">
        <x:v>11.8</x:v>
      </x:c>
      <x:c r="P222" s="70">
        <x:v>7</x:v>
      </x:c>
      <x:c r="Q222" s="70">
        <x:v>3</x:v>
      </x:c>
      <x:c r="R222" s="70">
        <x:v>16</x:v>
      </x:c>
      <x:c r="S222" s="70">
        <x:v>5.3</x:v>
      </x:c>
      <x:c r="T222" s="70">
        <x:v>1</x:v>
      </x:c>
      <x:c r="U222" s="70">
        <x:v>0</x:v>
      </x:c>
      <x:c r="V222" s="70">
        <x:v>112</x:v>
      </x:c>
      <x:c r="W222" s="70">
        <x:v>6.6</x:v>
      </x:c>
      <x:c r="AM222" s="56"/>
    </x:row>
    <x:row r="223" spans="2:39" ht="15.5" customHeight="1">
      <x:c r="B223" s="69" t="s">
        <x:v>916</x:v>
      </x:c>
      <x:c r="C223" s="70">
        <x:v>17</x:v>
      </x:c>
      <x:c r="D223" s="71"/>
      <x:c r="E223" s="71"/>
      <x:c r="F223" s="71"/>
      <x:c r="G223" s="71"/>
      <x:c r="H223" s="71"/>
      <x:c r="I223" s="71"/>
      <x:c r="J223" s="71"/>
      <x:c r="K223" s="70">
        <x:v>99</x:v>
      </x:c>
      <x:c r="L223" s="70">
        <x:v>66</x:v>
      </x:c>
      <x:c r="M223" s="70">
        <x:v>895</x:v>
      </x:c>
      <x:c r="N223" s="70">
        <x:v>52.6</x:v>
      </x:c>
      <x:c r="O223" s="70">
        <x:v>13.6</x:v>
      </x:c>
      <x:c r="P223" s="70">
        <x:v>5</x:v>
      </x:c>
      <x:c r="Q223" s="70">
        <x:v>2</x:v>
      </x:c>
      <x:c r="R223" s="70">
        <x:v>5</x:v>
      </x:c>
      <x:c r="S223" s="70">
        <x:v>2.5</x:v>
      </x:c>
      <x:c r="T223" s="70">
        <x:v>0</x:v>
      </x:c>
      <x:c r="U223" s="70">
        <x:v>0</x:v>
      </x:c>
      <x:c r="V223" s="70">
        <x:v>111</x:v>
      </x:c>
      <x:c r="W223" s="70">
        <x:v>6.5</x:v>
      </x:c>
      <x:c r="AM223" s="56"/>
    </x:row>
    <x:row r="224" spans="2:39" ht="15.5" customHeight="1">
      <x:c r="B224" s="69" t="s">
        <x:v>918</x:v>
      </x:c>
      <x:c r="C224" s="70">
        <x:v>17</x:v>
      </x:c>
      <x:c r="D224" s="71"/>
      <x:c r="E224" s="71"/>
      <x:c r="F224" s="71"/>
      <x:c r="G224" s="71"/>
      <x:c r="H224" s="71"/>
      <x:c r="I224" s="71"/>
      <x:c r="J224" s="71"/>
      <x:c r="K224" s="70">
        <x:v>116</x:v>
      </x:c>
      <x:c r="L224" s="70">
        <x:v>71</x:v>
      </x:c>
      <x:c r="M224" s="70">
        <x:v>930</x:v>
      </x:c>
      <x:c r="N224" s="70">
        <x:v>54.7</x:v>
      </x:c>
      <x:c r="O224" s="70">
        <x:v>13.1</x:v>
      </x:c>
      <x:c r="P224" s="70">
        <x:v>5</x:v>
      </x:c>
      <x:c r="Q224" s="70">
        <x:v>2</x:v>
      </x:c>
      <x:c r="R224" s="70">
        <x:v>9</x:v>
      </x:c>
      <x:c r="S224" s="70">
        <x:v>4.5</x:v>
      </x:c>
      <x:c r="T224" s="70">
        <x:v>0</x:v>
      </x:c>
      <x:c r="U224" s="70">
        <x:v>3</x:v>
      </x:c>
      <x:c r="V224" s="70">
        <x:v>108</x:v>
      </x:c>
      <x:c r="W224" s="70">
        <x:v>6.4</x:v>
      </x:c>
      <x:c r="AM224" s="56"/>
    </x:row>
    <x:row r="225" spans="2:39" ht="15.5" customHeight="1">
      <x:c r="B225" s="69" t="s">
        <x:v>216</x:v>
      </x:c>
      <x:c r="C225" s="70">
        <x:v>17</x:v>
      </x:c>
      <x:c r="D225" s="71"/>
      <x:c r="E225" s="71"/>
      <x:c r="F225" s="71"/>
      <x:c r="G225" s="71"/>
      <x:c r="H225" s="71"/>
      <x:c r="I225" s="71"/>
      <x:c r="J225" s="71"/>
      <x:c r="K225" s="70">
        <x:v>73</x:v>
      </x:c>
      <x:c r="L225" s="70">
        <x:v>61</x:v>
      </x:c>
      <x:c r="M225" s="70">
        <x:v>861</x:v>
      </x:c>
      <x:c r="N225" s="70">
        <x:v>50.6</x:v>
      </x:c>
      <x:c r="O225" s="70">
        <x:v>14.1</x:v>
      </x:c>
      <x:c r="P225" s="70">
        <x:v>5</x:v>
      </x:c>
      <x:c r="Q225" s="70">
        <x:v>1</x:v>
      </x:c>
      <x:c r="R225" s="70">
        <x:v>8</x:v>
      </x:c>
      <x:c r="S225" s="70">
        <x:v>8</x:v>
      </x:c>
      <x:c r="T225" s="70">
        <x:v>0</x:v>
      </x:c>
      <x:c r="U225" s="70">
        <x:v>0</x:v>
      </x:c>
      <x:c r="V225" s="70">
        <x:v>108</x:v>
      </x:c>
      <x:c r="W225" s="70">
        <x:v>6.4</x:v>
      </x:c>
      <x:c r="AM225" s="56"/>
    </x:row>
    <x:row r="226" spans="2:39" ht="15.5" customHeight="1">
      <x:c r="B226" s="69" t="s">
        <x:v>193</x:v>
      </x:c>
      <x:c r="C226" s="70">
        <x:v>17</x:v>
      </x:c>
      <x:c r="D226" s="71"/>
      <x:c r="E226" s="71"/>
      <x:c r="F226" s="71"/>
      <x:c r="G226" s="71"/>
      <x:c r="H226" s="71"/>
      <x:c r="I226" s="71"/>
      <x:c r="J226" s="71"/>
      <x:c r="K226" s="70">
        <x:v>90</x:v>
      </x:c>
      <x:c r="L226" s="70">
        <x:v>60</x:v>
      </x:c>
      <x:c r="M226" s="70">
        <x:v>725</x:v>
      </x:c>
      <x:c r="N226" s="70">
        <x:v>42.6</x:v>
      </x:c>
      <x:c r="O226" s="70">
        <x:v>12.1</x:v>
      </x:c>
      <x:c r="P226" s="70">
        <x:v>7</x:v>
      </x:c>
      <x:c r="Q226" s="70">
        <x:v>5</x:v>
      </x:c>
      <x:c r="R226" s="70">
        <x:v>33</x:v>
      </x:c>
      <x:c r="S226" s="70">
        <x:v>6.6</x:v>
      </x:c>
      <x:c r="T226" s="70">
        <x:v>0</x:v>
      </x:c>
      <x:c r="U226" s="70">
        <x:v>0</x:v>
      </x:c>
      <x:c r="V226" s="70">
        <x:v>107</x:v>
      </x:c>
      <x:c r="W226" s="70">
        <x:v>6.3</x:v>
      </x:c>
      <x:c r="AM226" s="56"/>
    </x:row>
    <x:row r="227" spans="2:39" ht="15.5" customHeight="1">
      <x:c r="B227" s="69" t="s">
        <x:v>212</x:v>
      </x:c>
      <x:c r="C227" s="70">
        <x:v>17</x:v>
      </x:c>
      <x:c r="D227" s="71"/>
      <x:c r="E227" s="71"/>
      <x:c r="F227" s="71"/>
      <x:c r="G227" s="71"/>
      <x:c r="H227" s="71"/>
      <x:c r="I227" s="71"/>
      <x:c r="J227" s="71"/>
      <x:c r="K227" s="70">
        <x:v>78</x:v>
      </x:c>
      <x:c r="L227" s="70">
        <x:v>49</x:v>
      </x:c>
      <x:c r="M227" s="70">
        <x:v>805</x:v>
      </x:c>
      <x:c r="N227" s="70">
        <x:v>47.4</x:v>
      </x:c>
      <x:c r="O227" s="70">
        <x:v>16.399999999999999</x:v>
      </x:c>
      <x:c r="P227" s="70">
        <x:v>6</x:v>
      </x:c>
      <x:c r="Q227" s="70">
        <x:v>7</x:v>
      </x:c>
      <x:c r="R227" s="70">
        <x:v>43</x:v>
      </x:c>
      <x:c r="S227" s="70">
        <x:v>6.1</x:v>
      </x:c>
      <x:c r="T227" s="70">
        <x:v>0</x:v>
      </x:c>
      <x:c r="U227" s="70">
        <x:v>1</x:v>
      </x:c>
      <x:c r="V227" s="70">
        <x:v>107</x:v>
      </x:c>
      <x:c r="W227" s="70">
        <x:v>6.3</x:v>
      </x:c>
      <x:c r="AM227" s="56"/>
    </x:row>
    <x:row r="228" spans="2:39" ht="15.5" customHeight="1">
      <x:c r="B228" s="69" t="s">
        <x:v>921</x:v>
      </x:c>
      <x:c r="C228" s="70">
        <x:v>17</x:v>
      </x:c>
      <x:c r="D228" s="71"/>
      <x:c r="E228" s="71"/>
      <x:c r="F228" s="71"/>
      <x:c r="G228" s="71"/>
      <x:c r="H228" s="71"/>
      <x:c r="I228" s="71"/>
      <x:c r="J228" s="71"/>
      <x:c r="K228" s="70">
        <x:v>106</x:v>
      </x:c>
      <x:c r="L228" s="70">
        <x:v>65</x:v>
      </x:c>
      <x:c r="M228" s="70">
        <x:v>888</x:v>
      </x:c>
      <x:c r="N228" s="70">
        <x:v>52.2</x:v>
      </x:c>
      <x:c r="O228" s="70">
        <x:v>13.7</x:v>
      </x:c>
      <x:c r="P228" s="70">
        <x:v>5</x:v>
      </x:c>
      <x:c r="Q228" s="70">
        <x:v>2</x:v>
      </x:c>
      <x:c r="R228" s="70">
        <x:v>13</x:v>
      </x:c>
      <x:c r="S228" s="70">
        <x:v>6.5</x:v>
      </x:c>
      <x:c r="T228" s="70">
        <x:v>0</x:v>
      </x:c>
      <x:c r="U228" s="70">
        <x:v>2</x:v>
      </x:c>
      <x:c r="V228" s="70">
        <x:v>107</x:v>
      </x:c>
      <x:c r="W228" s="70">
        <x:v>6.3</x:v>
      </x:c>
      <x:c r="AM228" s="56"/>
    </x:row>
    <x:row r="229" spans="2:39" ht="15.5" customHeight="1">
      <x:c r="B229" s="69" t="s">
        <x:v>920</x:v>
      </x:c>
      <x:c r="C229" s="70">
        <x:v>17</x:v>
      </x:c>
      <x:c r="D229" s="71"/>
      <x:c r="E229" s="71"/>
      <x:c r="F229" s="71"/>
      <x:c r="G229" s="71"/>
      <x:c r="H229" s="71"/>
      <x:c r="I229" s="71"/>
      <x:c r="J229" s="71"/>
      <x:c r="K229" s="70">
        <x:v>100</x:v>
      </x:c>
      <x:c r="L229" s="70">
        <x:v>62</x:v>
      </x:c>
      <x:c r="M229" s="70">
        <x:v>884</x:v>
      </x:c>
      <x:c r="N229" s="70">
        <x:v>52</x:v>
      </x:c>
      <x:c r="O229" s="70">
        <x:v>14.3</x:v>
      </x:c>
      <x:c r="P229" s="70">
        <x:v>5</x:v>
      </x:c>
      <x:c r="Q229" s="70">
        <x:v>2</x:v>
      </x:c>
      <x:c r="R229" s="70">
        <x:v>9</x:v>
      </x:c>
      <x:c r="S229" s="70">
        <x:v>4.5</x:v>
      </x:c>
      <x:c r="T229" s="70">
        <x:v>0</x:v>
      </x:c>
      <x:c r="U229" s="70">
        <x:v>2</x:v>
      </x:c>
      <x:c r="V229" s="70">
        <x:v>107</x:v>
      </x:c>
      <x:c r="W229" s="70">
        <x:v>6.3</x:v>
      </x:c>
      <x:c r="AM229" s="56"/>
    </x:row>
    <x:row r="230" spans="2:39" ht="15.5" customHeight="1">
      <x:c r="B230" s="69" t="s">
        <x:v>959</x:v>
      </x:c>
      <x:c r="C230" s="70">
        <x:v>17</x:v>
      </x:c>
      <x:c r="D230" s="71"/>
      <x:c r="E230" s="71"/>
      <x:c r="F230" s="71"/>
      <x:c r="G230" s="71"/>
      <x:c r="H230" s="71"/>
      <x:c r="I230" s="71"/>
      <x:c r="J230" s="71"/>
      <x:c r="K230" s="70">
        <x:v>88</x:v>
      </x:c>
      <x:c r="L230" s="70">
        <x:v>62</x:v>
      </x:c>
      <x:c r="M230" s="70">
        <x:v>723</x:v>
      </x:c>
      <x:c r="N230" s="70">
        <x:v>42.5</x:v>
      </x:c>
      <x:c r="O230" s="70">
        <x:v>11.7</x:v>
      </x:c>
      <x:c r="P230" s="70">
        <x:v>7</x:v>
      </x:c>
      <x:c r="Q230" s="70">
        <x:v>5</x:v>
      </x:c>
      <x:c r="R230" s="70">
        <x:v>38</x:v>
      </x:c>
      <x:c r="S230" s="70">
        <x:v>7.6</x:v>
      </x:c>
      <x:c r="T230" s="70">
        <x:v>0</x:v>
      </x:c>
      <x:c r="U230" s="70">
        <x:v>1</x:v>
      </x:c>
      <x:c r="V230" s="70">
        <x:v>105</x:v>
      </x:c>
      <x:c r="W230" s="70">
        <x:v>6.2</x:v>
      </x:c>
      <x:c r="AM230" s="56"/>
    </x:row>
    <x:row r="231" spans="2:39" ht="15.5" customHeight="1">
      <x:c r="B231" s="69" t="s">
        <x:v>189</x:v>
      </x:c>
      <x:c r="C231" s="70">
        <x:v>17</x:v>
      </x:c>
      <x:c r="D231" s="71"/>
      <x:c r="E231" s="71"/>
      <x:c r="F231" s="71"/>
      <x:c r="G231" s="71"/>
      <x:c r="H231" s="71"/>
      <x:c r="I231" s="71"/>
      <x:c r="J231" s="71"/>
      <x:c r="K231" s="70">
        <x:v>99</x:v>
      </x:c>
      <x:c r="L231" s="70">
        <x:v>66</x:v>
      </x:c>
      <x:c r="M231" s="70">
        <x:v>779</x:v>
      </x:c>
      <x:c r="N231" s="70">
        <x:v>45.8</x:v>
      </x:c>
      <x:c r="O231" s="70">
        <x:v>11.8</x:v>
      </x:c>
      <x:c r="P231" s="70">
        <x:v>6</x:v>
      </x:c>
      <x:c r="Q231" s="70">
        <x:v>0</x:v>
      </x:c>
      <x:c r="R231" s="70">
        <x:v>1</x:v>
      </x:c>
      <x:c r="S231" s="70">
        <x:v>0</x:v>
      </x:c>
      <x:c r="T231" s="70">
        <x:v>0</x:v>
      </x:c>
      <x:c r="U231" s="70">
        <x:v>0</x:v>
      </x:c>
      <x:c r="V231" s="70">
        <x:v>105</x:v>
      </x:c>
      <x:c r="W231" s="70">
        <x:v>6.2</x:v>
      </x:c>
      <x:c r="AM231" s="56"/>
    </x:row>
    <x:row r="232" spans="2:39" ht="15.5" customHeight="1">
      <x:c r="B232" s="69" t="s">
        <x:v>960</x:v>
      </x:c>
      <x:c r="C232" s="70">
        <x:v>17</x:v>
      </x:c>
      <x:c r="D232" s="71"/>
      <x:c r="E232" s="71"/>
      <x:c r="F232" s="71"/>
      <x:c r="G232" s="71"/>
      <x:c r="H232" s="71"/>
      <x:c r="I232" s="71"/>
      <x:c r="J232" s="71"/>
      <x:c r="K232" s="70">
        <x:v>97</x:v>
      </x:c>
      <x:c r="L232" s="70">
        <x:v>62</x:v>
      </x:c>
      <x:c r="M232" s="70">
        <x:v>891</x:v>
      </x:c>
      <x:c r="N232" s="70">
        <x:v>52.4</x:v>
      </x:c>
      <x:c r="O232" s="70">
        <x:v>14.4</x:v>
      </x:c>
      <x:c r="P232" s="70">
        <x:v>4</x:v>
      </x:c>
      <x:c r="Q232" s="70">
        <x:v>1</x:v>
      </x:c>
      <x:c r="R232" s="70">
        <x:v>7</x:v>
      </x:c>
      <x:c r="S232" s="70">
        <x:v>7</x:v>
      </x:c>
      <x:c r="T232" s="70">
        <x:v>0</x:v>
      </x:c>
      <x:c r="U232" s="70">
        <x:v>0</x:v>
      </x:c>
      <x:c r="V232" s="70">
        <x:v>105</x:v>
      </x:c>
      <x:c r="W232" s="70">
        <x:v>6.2</x:v>
      </x:c>
      <x:c r="AM232" s="56"/>
    </x:row>
    <x:row r="233" spans="2:39" ht="15.5" customHeight="1">
      <x:c r="B233" s="69" t="s">
        <x:v>961</x:v>
      </x:c>
      <x:c r="C233" s="70">
        <x:v>17</x:v>
      </x:c>
      <x:c r="D233" s="71"/>
      <x:c r="E233" s="71"/>
      <x:c r="F233" s="71"/>
      <x:c r="G233" s="71"/>
      <x:c r="H233" s="71"/>
      <x:c r="I233" s="71"/>
      <x:c r="J233" s="71"/>
      <x:c r="K233" s="70">
        <x:v>88</x:v>
      </x:c>
      <x:c r="L233" s="70">
        <x:v>52</x:v>
      </x:c>
      <x:c r="M233" s="70">
        <x:v>881</x:v>
      </x:c>
      <x:c r="N233" s="70">
        <x:v>51.8</x:v>
      </x:c>
      <x:c r="O233" s="70">
        <x:v>16.899999999999999</x:v>
      </x:c>
      <x:c r="P233" s="70">
        <x:v>4</x:v>
      </x:c>
      <x:c r="Q233" s="70">
        <x:v>1</x:v>
      </x:c>
      <x:c r="R233" s="70">
        <x:v>0</x:v>
      </x:c>
      <x:c r="S233" s="70">
        <x:v>0</x:v>
      </x:c>
      <x:c r="T233" s="70">
        <x:v>0</x:v>
      </x:c>
      <x:c r="U233" s="70">
        <x:v>0</x:v>
      </x:c>
      <x:c r="V233" s="70">
        <x:v>104</x:v>
      </x:c>
      <x:c r="W233" s="70">
        <x:v>6.1</x:v>
      </x:c>
      <x:c r="AM233" s="56"/>
    </x:row>
    <x:row r="234" spans="2:39" ht="15.5" customHeight="1">
      <x:c r="B234" s="69" t="s">
        <x:v>200</x:v>
      </x:c>
      <x:c r="C234" s="70">
        <x:v>17</x:v>
      </x:c>
      <x:c r="D234" s="71"/>
      <x:c r="E234" s="71"/>
      <x:c r="F234" s="71"/>
      <x:c r="G234" s="71"/>
      <x:c r="H234" s="71"/>
      <x:c r="I234" s="71"/>
      <x:c r="J234" s="71"/>
      <x:c r="K234" s="70">
        <x:v>105</x:v>
      </x:c>
      <x:c r="L234" s="70">
        <x:v>71</x:v>
      </x:c>
      <x:c r="M234" s="70">
        <x:v>735</x:v>
      </x:c>
      <x:c r="N234" s="70">
        <x:v>43.2</x:v>
      </x:c>
      <x:c r="O234" s="70">
        <x:v>10.4</x:v>
      </x:c>
      <x:c r="P234" s="70">
        <x:v>6</x:v>
      </x:c>
      <x:c r="Q234" s="70">
        <x:v>0</x:v>
      </x:c>
      <x:c r="R234" s="70">
        <x:v>0</x:v>
      </x:c>
      <x:c r="S234" s="70">
        <x:v>0</x:v>
      </x:c>
      <x:c r="T234" s="70">
        <x:v>0</x:v>
      </x:c>
      <x:c r="U234" s="70">
        <x:v>0</x:v>
      </x:c>
      <x:c r="V234" s="70">
        <x:v>102</x:v>
      </x:c>
      <x:c r="W234" s="70">
        <x:v>6</x:v>
      </x:c>
      <x:c r="AM234" s="56"/>
    </x:row>
    <x:row r="235" spans="2:39" ht="15.5" customHeight="1">
      <x:c r="B235" s="69" t="s">
        <x:v>962</x:v>
      </x:c>
      <x:c r="C235" s="70">
        <x:v>17</x:v>
      </x:c>
      <x:c r="D235" s="71"/>
      <x:c r="E235" s="71"/>
      <x:c r="F235" s="71"/>
      <x:c r="G235" s="71"/>
      <x:c r="H235" s="71"/>
      <x:c r="I235" s="71"/>
      <x:c r="J235" s="71"/>
      <x:c r="K235" s="70">
        <x:v>95</x:v>
      </x:c>
      <x:c r="L235" s="70">
        <x:v>58</x:v>
      </x:c>
      <x:c r="M235" s="70">
        <x:v>836</x:v>
      </x:c>
      <x:c r="N235" s="70">
        <x:v>49.2</x:v>
      </x:c>
      <x:c r="O235" s="70">
        <x:v>14.4</x:v>
      </x:c>
      <x:c r="P235" s="70">
        <x:v>5</x:v>
      </x:c>
      <x:c r="Q235" s="70">
        <x:v>2</x:v>
      </x:c>
      <x:c r="R235" s="70">
        <x:v>10</x:v>
      </x:c>
      <x:c r="S235" s="70">
        <x:v>5</x:v>
      </x:c>
      <x:c r="T235" s="70">
        <x:v>0</x:v>
      </x:c>
      <x:c r="U235" s="70">
        <x:v>2</x:v>
      </x:c>
      <x:c r="V235" s="70">
        <x:v>101</x:v>
      </x:c>
      <x:c r="W235" s="70">
        <x:v>5.9</x:v>
      </x:c>
      <x:c r="AM235" s="56"/>
    </x:row>
    <x:row r="236" spans="2:39" ht="15.5" customHeight="1">
      <x:c r="B236" s="69" t="s">
        <x:v>202</x:v>
      </x:c>
      <x:c r="C236" s="70">
        <x:v>17</x:v>
      </x:c>
      <x:c r="D236" s="71"/>
      <x:c r="E236" s="71"/>
      <x:c r="F236" s="71"/>
      <x:c r="G236" s="71"/>
      <x:c r="H236" s="71"/>
      <x:c r="I236" s="71"/>
      <x:c r="J236" s="71"/>
      <x:c r="K236" s="70">
        <x:v>73</x:v>
      </x:c>
      <x:c r="L236" s="70">
        <x:v>43</x:v>
      </x:c>
      <x:c r="M236" s="70">
        <x:v>643</x:v>
      </x:c>
      <x:c r="N236" s="70">
        <x:v>37.799999999999997</x:v>
      </x:c>
      <x:c r="O236" s="70">
        <x:v>15</x:v>
      </x:c>
      <x:c r="P236" s="70">
        <x:v>5</x:v>
      </x:c>
      <x:c r="Q236" s="70">
        <x:v>4</x:v>
      </x:c>
      <x:c r="R236" s="70">
        <x:v>70</x:v>
      </x:c>
      <x:c r="S236" s="70">
        <x:v>17.5</x:v>
      </x:c>
      <x:c r="T236" s="70">
        <x:v>2</x:v>
      </x:c>
      <x:c r="U236" s="70">
        <x:v>0</x:v>
      </x:c>
      <x:c r="V236" s="70">
        <x:v>100</x:v>
      </x:c>
      <x:c r="W236" s="70">
        <x:v>5.9</x:v>
      </x:c>
      <x:c r="AM236" s="56"/>
    </x:row>
    <x:row r="237" spans="2:39" ht="15.5" customHeight="1">
      <x:c r="B237" s="69" t="s">
        <x:v>196</x:v>
      </x:c>
      <x:c r="C237" s="70">
        <x:v>17</x:v>
      </x:c>
      <x:c r="D237" s="71"/>
      <x:c r="E237" s="71"/>
      <x:c r="F237" s="71"/>
      <x:c r="G237" s="71"/>
      <x:c r="H237" s="71"/>
      <x:c r="I237" s="71"/>
      <x:c r="J237" s="71"/>
      <x:c r="K237" s="70">
        <x:v>75</x:v>
      </x:c>
      <x:c r="L237" s="70">
        <x:v>47</x:v>
      </x:c>
      <x:c r="M237" s="70">
        <x:v>646</x:v>
      </x:c>
      <x:c r="N237" s="70">
        <x:v>38</x:v>
      </x:c>
      <x:c r="O237" s="70">
        <x:v>13.7</x:v>
      </x:c>
      <x:c r="P237" s="70">
        <x:v>7</x:v>
      </x:c>
      <x:c r="Q237" s="70">
        <x:v>0</x:v>
      </x:c>
      <x:c r="R237" s="70">
        <x:v>0</x:v>
      </x:c>
      <x:c r="S237" s="70">
        <x:v>0</x:v>
      </x:c>
      <x:c r="T237" s="70">
        <x:v>0</x:v>
      </x:c>
      <x:c r="U237" s="70">
        <x:v>0</x:v>
      </x:c>
      <x:c r="V237" s="70">
        <x:v>98</x:v>
      </x:c>
      <x:c r="W237" s="70">
        <x:v>5.8</x:v>
      </x:c>
      <x:c r="AM237" s="56"/>
    </x:row>
    <x:row r="238" spans="2:39" ht="15.5" customHeight="1">
      <x:c r="B238" s="69" t="s">
        <x:v>210</x:v>
      </x:c>
      <x:c r="C238" s="70">
        <x:v>17</x:v>
      </x:c>
      <x:c r="D238" s="71"/>
      <x:c r="E238" s="71"/>
      <x:c r="F238" s="71"/>
      <x:c r="G238" s="71"/>
      <x:c r="H238" s="71"/>
      <x:c r="I238" s="71"/>
      <x:c r="J238" s="71"/>
      <x:c r="K238" s="70">
        <x:v>97</x:v>
      </x:c>
      <x:c r="L238" s="70">
        <x:v>61</x:v>
      </x:c>
      <x:c r="M238" s="70">
        <x:v>841</x:v>
      </x:c>
      <x:c r="N238" s="70">
        <x:v>49.5</x:v>
      </x:c>
      <x:c r="O238" s="70">
        <x:v>13.8</x:v>
      </x:c>
      <x:c r="P238" s="70">
        <x:v>4</x:v>
      </x:c>
      <x:c r="Q238" s="70">
        <x:v>1</x:v>
      </x:c>
      <x:c r="R238" s="70">
        <x:v>7</x:v>
      </x:c>
      <x:c r="S238" s="70">
        <x:v>7</x:v>
      </x:c>
      <x:c r="T238" s="70">
        <x:v>0</x:v>
      </x:c>
      <x:c r="U238" s="70">
        <x:v>1</x:v>
      </x:c>
      <x:c r="V238" s="70">
        <x:v>97</x:v>
      </x:c>
      <x:c r="W238" s="70">
        <x:v>5.7</x:v>
      </x:c>
      <x:c r="AM238" s="56"/>
    </x:row>
    <x:row r="239" spans="2:39" ht="15.5" customHeight="1">
      <x:c r="B239" s="69" t="s">
        <x:v>192</x:v>
      </x:c>
      <x:c r="C239" s="70">
        <x:v>17</x:v>
      </x:c>
      <x:c r="D239" s="71"/>
      <x:c r="E239" s="71"/>
      <x:c r="F239" s="71"/>
      <x:c r="G239" s="71"/>
      <x:c r="H239" s="71"/>
      <x:c r="I239" s="71"/>
      <x:c r="J239" s="71"/>
      <x:c r="K239" s="70">
        <x:v>86</x:v>
      </x:c>
      <x:c r="L239" s="70">
        <x:v>50</x:v>
      </x:c>
      <x:c r="M239" s="70">
        <x:v>607</x:v>
      </x:c>
      <x:c r="N239" s="70">
        <x:v>35.700000000000003</x:v>
      </x:c>
      <x:c r="O239" s="70">
        <x:v>12.1</x:v>
      </x:c>
      <x:c r="P239" s="70">
        <x:v>7</x:v>
      </x:c>
      <x:c r="Q239" s="70">
        <x:v>0</x:v>
      </x:c>
      <x:c r="R239" s="70">
        <x:v>0</x:v>
      </x:c>
      <x:c r="S239" s="70">
        <x:v>0</x:v>
      </x:c>
      <x:c r="T239" s="70">
        <x:v>0</x:v>
      </x:c>
      <x:c r="U239" s="70">
        <x:v>0</x:v>
      </x:c>
      <x:c r="V239" s="70">
        <x:v>94</x:v>
      </x:c>
      <x:c r="W239" s="70">
        <x:v>5.5</x:v>
      </x:c>
      <x:c r="AM239" s="56"/>
    </x:row>
    <x:row r="240" spans="2:39" ht="15.5" customHeight="1">
      <x:c r="B240" s="69" t="s">
        <x:v>963</x:v>
      </x:c>
      <x:c r="C240" s="70">
        <x:v>17</x:v>
      </x:c>
      <x:c r="D240" s="71"/>
      <x:c r="E240" s="71"/>
      <x:c r="F240" s="71"/>
      <x:c r="G240" s="71"/>
      <x:c r="H240" s="71"/>
      <x:c r="I240" s="71"/>
      <x:c r="J240" s="71"/>
      <x:c r="K240" s="70">
        <x:v>70</x:v>
      </x:c>
      <x:c r="L240" s="70">
        <x:v>37</x:v>
      </x:c>
      <x:c r="M240" s="70">
        <x:v>560</x:v>
      </x:c>
      <x:c r="N240" s="70">
        <x:v>32.9</x:v>
      </x:c>
      <x:c r="O240" s="70">
        <x:v>15.1</x:v>
      </x:c>
      <x:c r="P240" s="70">
        <x:v>8</x:v>
      </x:c>
      <x:c r="Q240" s="70">
        <x:v>0</x:v>
      </x:c>
      <x:c r="R240" s="70">
        <x:v>0</x:v>
      </x:c>
      <x:c r="S240" s="70">
        <x:v>0</x:v>
      </x:c>
      <x:c r="T240" s="70">
        <x:v>0</x:v>
      </x:c>
      <x:c r="U240" s="70">
        <x:v>1</x:v>
      </x:c>
      <x:c r="V240" s="70">
        <x:v>93</x:v>
      </x:c>
      <x:c r="W240" s="70">
        <x:v>5.5</x:v>
      </x:c>
      <x:c r="AM240" s="56"/>
    </x:row>
    <x:row r="241" spans="2:39" ht="15.5" customHeight="1">
      <x:c r="B241" s="69" t="s">
        <x:v>964</x:v>
      </x:c>
      <x:c r="C241" s="70">
        <x:v>17</x:v>
      </x:c>
      <x:c r="D241" s="71"/>
      <x:c r="E241" s="71"/>
      <x:c r="F241" s="71"/>
      <x:c r="G241" s="71"/>
      <x:c r="H241" s="71"/>
      <x:c r="I241" s="71"/>
      <x:c r="J241" s="71"/>
      <x:c r="K241" s="70">
        <x:v>73</x:v>
      </x:c>
      <x:c r="L241" s="70">
        <x:v>48</x:v>
      </x:c>
      <x:c r="M241" s="70">
        <x:v>703</x:v>
      </x:c>
      <x:c r="N241" s="70">
        <x:v>41.4</x:v>
      </x:c>
      <x:c r="O241" s="70">
        <x:v>14.7</x:v>
      </x:c>
      <x:c r="P241" s="70">
        <x:v>5</x:v>
      </x:c>
      <x:c r="Q241" s="70">
        <x:v>0</x:v>
      </x:c>
      <x:c r="R241" s="70">
        <x:v>0</x:v>
      </x:c>
      <x:c r="S241" s="70">
        <x:v>0</x:v>
      </x:c>
      <x:c r="T241" s="70">
        <x:v>0</x:v>
      </x:c>
      <x:c r="U241" s="70">
        <x:v>0</x:v>
      </x:c>
      <x:c r="V241" s="70">
        <x:v>93</x:v>
      </x:c>
      <x:c r="W241" s="70">
        <x:v>5.5</x:v>
      </x:c>
      <x:c r="AM241" s="56"/>
    </x:row>
    <x:row r="242" spans="2:39" ht="15.5" customHeight="1">
      <x:c r="B242" s="69" t="s">
        <x:v>965</x:v>
      </x:c>
      <x:c r="C242" s="70">
        <x:v>17</x:v>
      </x:c>
      <x:c r="D242" s="71"/>
      <x:c r="E242" s="71"/>
      <x:c r="F242" s="71"/>
      <x:c r="G242" s="71"/>
      <x:c r="H242" s="71"/>
      <x:c r="I242" s="71"/>
      <x:c r="J242" s="71"/>
      <x:c r="K242" s="70">
        <x:v>62</x:v>
      </x:c>
      <x:c r="L242" s="70">
        <x:v>40</x:v>
      </x:c>
      <x:c r="M242" s="70">
        <x:v>656</x:v>
      </x:c>
      <x:c r="N242" s="70">
        <x:v>38.6</x:v>
      </x:c>
      <x:c r="O242" s="70">
        <x:v>16.399999999999999</x:v>
      </x:c>
      <x:c r="P242" s="70">
        <x:v>6</x:v>
      </x:c>
      <x:c r="Q242" s="70">
        <x:v>1</x:v>
      </x:c>
      <x:c r="R242" s="70">
        <x:v>3</x:v>
      </x:c>
      <x:c r="S242" s="70">
        <x:v>3</x:v>
      </x:c>
      <x:c r="T242" s="70">
        <x:v>0</x:v>
      </x:c>
      <x:c r="U242" s="70">
        <x:v>0</x:v>
      </x:c>
      <x:c r="V242" s="70">
        <x:v>92</x:v>
      </x:c>
      <x:c r="W242" s="70">
        <x:v>5.4</x:v>
      </x:c>
      <x:c r="AM242" s="56"/>
    </x:row>
    <x:row r="243" spans="2:39" ht="15.5" customHeight="1">
      <x:c r="B243" s="69" t="s">
        <x:v>966</x:v>
      </x:c>
      <x:c r="C243" s="70">
        <x:v>17</x:v>
      </x:c>
      <x:c r="D243" s="71"/>
      <x:c r="E243" s="71"/>
      <x:c r="F243" s="71"/>
      <x:c r="G243" s="71"/>
      <x:c r="H243" s="71"/>
      <x:c r="I243" s="71"/>
      <x:c r="J243" s="71"/>
      <x:c r="K243" s="70">
        <x:v>74</x:v>
      </x:c>
      <x:c r="L243" s="70">
        <x:v>41</x:v>
      </x:c>
      <x:c r="M243" s="70">
        <x:v>665</x:v>
      </x:c>
      <x:c r="N243" s="70">
        <x:v>39.1</x:v>
      </x:c>
      <x:c r="O243" s="70">
        <x:v>16.2</x:v>
      </x:c>
      <x:c r="P243" s="70">
        <x:v>6</x:v>
      </x:c>
      <x:c r="Q243" s="70">
        <x:v>1</x:v>
      </x:c>
      <x:c r="R243" s="70">
        <x:v>0</x:v>
      </x:c>
      <x:c r="S243" s="70">
        <x:v>0</x:v>
      </x:c>
      <x:c r="T243" s="70">
        <x:v>0</x:v>
      </x:c>
      <x:c r="U243" s="70">
        <x:v>1</x:v>
      </x:c>
      <x:c r="V243" s="70">
        <x:v>92</x:v>
      </x:c>
      <x:c r="W243" s="70">
        <x:v>5.4</x:v>
      </x:c>
      <x:c r="AM243" s="56"/>
    </x:row>
    <x:row r="244" spans="2:39" ht="15.5" customHeight="1">
      <x:c r="B244" s="69" t="s">
        <x:v>214</x:v>
      </x:c>
      <x:c r="C244" s="70">
        <x:v>17</x:v>
      </x:c>
      <x:c r="D244" s="71"/>
      <x:c r="E244" s="71"/>
      <x:c r="F244" s="71"/>
      <x:c r="G244" s="71"/>
      <x:c r="H244" s="71"/>
      <x:c r="I244" s="71"/>
      <x:c r="J244" s="71"/>
      <x:c r="K244" s="70">
        <x:v>72</x:v>
      </x:c>
      <x:c r="L244" s="70">
        <x:v>44</x:v>
      </x:c>
      <x:c r="M244" s="70">
        <x:v>692</x:v>
      </x:c>
      <x:c r="N244" s="70">
        <x:v>40.700000000000003</x:v>
      </x:c>
      <x:c r="O244" s="70">
        <x:v>15.7</x:v>
      </x:c>
      <x:c r="P244" s="70">
        <x:v>5</x:v>
      </x:c>
      <x:c r="Q244" s="70">
        <x:v>0</x:v>
      </x:c>
      <x:c r="R244" s="70">
        <x:v>0</x:v>
      </x:c>
      <x:c r="S244" s="70">
        <x:v>0</x:v>
      </x:c>
      <x:c r="T244" s="70">
        <x:v>0</x:v>
      </x:c>
      <x:c r="U244" s="70">
        <x:v>0</x:v>
      </x:c>
      <x:c r="V244" s="70">
        <x:v>91</x:v>
      </x:c>
      <x:c r="W244" s="70">
        <x:v>5.4</x:v>
      </x:c>
      <x:c r="AM244" s="56"/>
    </x:row>
    <x:row r="245" spans="2:39" ht="15.5" customHeight="1">
      <x:c r="B245" s="69" t="s">
        <x:v>203</x:v>
      </x:c>
      <x:c r="C245" s="70">
        <x:v>17</x:v>
      </x:c>
      <x:c r="D245" s="71"/>
      <x:c r="E245" s="71"/>
      <x:c r="F245" s="71"/>
      <x:c r="G245" s="71"/>
      <x:c r="H245" s="71"/>
      <x:c r="I245" s="71"/>
      <x:c r="J245" s="71"/>
      <x:c r="K245" s="70">
        <x:v>93</x:v>
      </x:c>
      <x:c r="L245" s="70">
        <x:v>68</x:v>
      </x:c>
      <x:c r="M245" s="70">
        <x:v>696</x:v>
      </x:c>
      <x:c r="N245" s="70">
        <x:v>40.9</x:v>
      </x:c>
      <x:c r="O245" s="70">
        <x:v>10.199999999999999</x:v>
      </x:c>
      <x:c r="P245" s="70">
        <x:v>5</x:v>
      </x:c>
      <x:c r="Q245" s="70">
        <x:v>1</x:v>
      </x:c>
      <x:c r="R245" s="70">
        <x:v>5</x:v>
      </x:c>
      <x:c r="S245" s="70">
        <x:v>5</x:v>
      </x:c>
      <x:c r="T245" s="70">
        <x:v>0</x:v>
      </x:c>
      <x:c r="U245" s="70">
        <x:v>0</x:v>
      </x:c>
      <x:c r="V245" s="70">
        <x:v>91</x:v>
      </x:c>
      <x:c r="W245" s="70">
        <x:v>5.4</x:v>
      </x:c>
      <x:c r="AM245" s="56"/>
    </x:row>
    <x:row r="246" spans="2:39" ht="15.5" customHeight="1">
      <x:c r="B246" s="69" t="s">
        <x:v>207</x:v>
      </x:c>
      <x:c r="C246" s="70">
        <x:v>17</x:v>
      </x:c>
      <x:c r="D246" s="71"/>
      <x:c r="E246" s="71"/>
      <x:c r="F246" s="71"/>
      <x:c r="G246" s="71"/>
      <x:c r="H246" s="71"/>
      <x:c r="I246" s="71"/>
      <x:c r="J246" s="71"/>
      <x:c r="K246" s="70">
        <x:v>92</x:v>
      </x:c>
      <x:c r="L246" s="70">
        <x:v>71</x:v>
      </x:c>
      <x:c r="M246" s="70">
        <x:v>672</x:v>
      </x:c>
      <x:c r="N246" s="70">
        <x:v>39.5</x:v>
      </x:c>
      <x:c r="O246" s="70">
        <x:v>9.5</x:v>
      </x:c>
      <x:c r="P246" s="70">
        <x:v>4</x:v>
      </x:c>
      <x:c r="Q246" s="70">
        <x:v>8</x:v>
      </x:c>
      <x:c r="R246" s="70">
        <x:v>78</x:v>
      </x:c>
      <x:c r="S246" s="70">
        <x:v>9.8000000000000007</x:v>
      </x:c>
      <x:c r="T246" s="70">
        <x:v>1</x:v>
      </x:c>
      <x:c r="U246" s="70">
        <x:v>0</x:v>
      </x:c>
      <x:c r="V246" s="70">
        <x:v>91</x:v>
      </x:c>
      <x:c r="W246" s="70">
        <x:v>5.4</x:v>
      </x:c>
      <x:c r="AM246" s="56"/>
    </x:row>
    <x:row r="247" spans="2:39" ht="15.5" customHeight="1">
      <x:c r="B247" s="69" t="s">
        <x:v>967</x:v>
      </x:c>
      <x:c r="C247" s="70">
        <x:v>17</x:v>
      </x:c>
      <x:c r="D247" s="71"/>
      <x:c r="E247" s="71"/>
      <x:c r="F247" s="71"/>
      <x:c r="G247" s="71"/>
      <x:c r="H247" s="71"/>
      <x:c r="I247" s="71"/>
      <x:c r="J247" s="71"/>
      <x:c r="K247" s="70">
        <x:v>79</x:v>
      </x:c>
      <x:c r="L247" s="70">
        <x:v>54</x:v>
      </x:c>
      <x:c r="M247" s="70">
        <x:v>579</x:v>
      </x:c>
      <x:c r="N247" s="70">
        <x:v>34.1</x:v>
      </x:c>
      <x:c r="O247" s="70">
        <x:v>10.7</x:v>
      </x:c>
      <x:c r="P247" s="70">
        <x:v>5</x:v>
      </x:c>
      <x:c r="Q247" s="70">
        <x:v>16</x:v>
      </x:c>
      <x:c r="R247" s="70">
        <x:v>82</x:v>
      </x:c>
      <x:c r="S247" s="70">
        <x:v>5.0999999999999996</x:v>
      </x:c>
      <x:c r="T247" s="70">
        <x:v>1</x:v>
      </x:c>
      <x:c r="U247" s="70">
        <x:v>0</x:v>
      </x:c>
      <x:c r="V247" s="70">
        <x:v>89</x:v>
      </x:c>
      <x:c r="W247" s="70">
        <x:v>5.2</x:v>
      </x:c>
      <x:c r="AM247" s="56"/>
    </x:row>
    <x:row r="248" spans="2:39" ht="15.5" customHeight="1">
      <x:c r="B248" s="69" t="s">
        <x:v>968</x:v>
      </x:c>
      <x:c r="C248" s="70">
        <x:v>17</x:v>
      </x:c>
      <x:c r="D248" s="71"/>
      <x:c r="E248" s="71"/>
      <x:c r="F248" s="71"/>
      <x:c r="G248" s="71"/>
      <x:c r="H248" s="71"/>
      <x:c r="I248" s="71"/>
      <x:c r="J248" s="71"/>
      <x:c r="K248" s="70">
        <x:v>106</x:v>
      </x:c>
      <x:c r="L248" s="70">
        <x:v>67</x:v>
      </x:c>
      <x:c r="M248" s="70">
        <x:v>809</x:v>
      </x:c>
      <x:c r="N248" s="70">
        <x:v>47.6</x:v>
      </x:c>
      <x:c r="O248" s="70">
        <x:v>12.1</x:v>
      </x:c>
      <x:c r="P248" s="70">
        <x:v>3</x:v>
      </x:c>
      <x:c r="Q248" s="70">
        <x:v>9</x:v>
      </x:c>
      <x:c r="R248" s="70">
        <x:v>44</x:v>
      </x:c>
      <x:c r="S248" s="70">
        <x:v>4.9000000000000004</x:v>
      </x:c>
      <x:c r="T248" s="70">
        <x:v>0</x:v>
      </x:c>
      <x:c r="U248" s="70">
        <x:v>1</x:v>
      </x:c>
      <x:c r="V248" s="70">
        <x:v>89</x:v>
      </x:c>
      <x:c r="W248" s="70">
        <x:v>5.2</x:v>
      </x:c>
      <x:c r="AM248" s="56"/>
    </x:row>
    <x:row r="249" spans="2:39" ht="15.5" customHeight="1">
      <x:c r="B249" s="69" t="s">
        <x:v>969</x:v>
      </x:c>
      <x:c r="C249" s="70">
        <x:v>17</x:v>
      </x:c>
      <x:c r="D249" s="71"/>
      <x:c r="E249" s="71"/>
      <x:c r="F249" s="71"/>
      <x:c r="G249" s="71"/>
      <x:c r="H249" s="71"/>
      <x:c r="I249" s="71"/>
      <x:c r="J249" s="71"/>
      <x:c r="K249" s="70">
        <x:v>78</x:v>
      </x:c>
      <x:c r="L249" s="70">
        <x:v>48</x:v>
      </x:c>
      <x:c r="M249" s="70">
        <x:v>733</x:v>
      </x:c>
      <x:c r="N249" s="70">
        <x:v>43.1</x:v>
      </x:c>
      <x:c r="O249" s="70">
        <x:v>15.3</x:v>
      </x:c>
      <x:c r="P249" s="70">
        <x:v>4</x:v>
      </x:c>
      <x:c r="Q249" s="70">
        <x:v>2</x:v>
      </x:c>
      <x:c r="R249" s="70">
        <x:v>11</x:v>
      </x:c>
      <x:c r="S249" s="70">
        <x:v>5.5</x:v>
      </x:c>
      <x:c r="T249" s="70">
        <x:v>0</x:v>
      </x:c>
      <x:c r="U249" s="70">
        <x:v>2</x:v>
      </x:c>
      <x:c r="V249" s="70">
        <x:v>86</x:v>
      </x:c>
      <x:c r="W249" s="70">
        <x:v>5.0999999999999996</x:v>
      </x:c>
      <x:c r="AM249" s="56"/>
    </x:row>
    <x:row r="250" spans="2:39" ht="15.5" customHeight="1">
      <x:c r="B250" s="69" t="s">
        <x:v>970</x:v>
      </x:c>
      <x:c r="C250" s="70">
        <x:v>17</x:v>
      </x:c>
      <x:c r="D250" s="71"/>
      <x:c r="E250" s="71"/>
      <x:c r="F250" s="71"/>
      <x:c r="G250" s="71"/>
      <x:c r="H250" s="71"/>
      <x:c r="I250" s="71"/>
      <x:c r="J250" s="71"/>
      <x:c r="K250" s="70">
        <x:v>90</x:v>
      </x:c>
      <x:c r="L250" s="70">
        <x:v>56</x:v>
      </x:c>
      <x:c r="M250" s="70">
        <x:v>730</x:v>
      </x:c>
      <x:c r="N250" s="70">
        <x:v>42.9</x:v>
      </x:c>
      <x:c r="O250" s="70">
        <x:v>13</x:v>
      </x:c>
      <x:c r="P250" s="70">
        <x:v>4</x:v>
      </x:c>
      <x:c r="Q250" s="70">
        <x:v>2</x:v>
      </x:c>
      <x:c r="R250" s="70">
        <x:v>10</x:v>
      </x:c>
      <x:c r="S250" s="70">
        <x:v>5</x:v>
      </x:c>
      <x:c r="T250" s="70">
        <x:v>0</x:v>
      </x:c>
      <x:c r="U250" s="70">
        <x:v>2</x:v>
      </x:c>
      <x:c r="V250" s="70">
        <x:v>84</x:v>
      </x:c>
      <x:c r="W250" s="70">
        <x:v>4.9000000000000004</x:v>
      </x:c>
      <x:c r="AM250" s="56"/>
    </x:row>
    <x:row r="251" spans="2:39" ht="15.5" customHeight="1">
      <x:c r="B251" s="69" t="s">
        <x:v>971</x:v>
      </x:c>
      <x:c r="C251" s="70">
        <x:v>17</x:v>
      </x:c>
      <x:c r="D251" s="71"/>
      <x:c r="E251" s="71"/>
      <x:c r="F251" s="71"/>
      <x:c r="G251" s="71"/>
      <x:c r="H251" s="71"/>
      <x:c r="I251" s="71"/>
      <x:c r="J251" s="71"/>
      <x:c r="K251" s="70">
        <x:v>57</x:v>
      </x:c>
      <x:c r="L251" s="70">
        <x:v>38</x:v>
      </x:c>
      <x:c r="M251" s="70">
        <x:v>578</x:v>
      </x:c>
      <x:c r="N251" s="70">
        <x:v>34</x:v>
      </x:c>
      <x:c r="O251" s="70">
        <x:v>15.2</x:v>
      </x:c>
      <x:c r="P251" s="70">
        <x:v>6</x:v>
      </x:c>
      <x:c r="Q251" s="70">
        <x:v>1</x:v>
      </x:c>
      <x:c r="R251" s="70">
        <x:v>1</x:v>
      </x:c>
      <x:c r="S251" s="70">
        <x:v>1</x:v>
      </x:c>
      <x:c r="T251" s="70">
        <x:v>0</x:v>
      </x:c>
      <x:c r="U251" s="70">
        <x:v>1</x:v>
      </x:c>
      <x:c r="V251" s="70">
        <x:v>84</x:v>
      </x:c>
      <x:c r="W251" s="70">
        <x:v>4.9000000000000004</x:v>
      </x:c>
      <x:c r="AM251" s="56"/>
    </x:row>
    <x:row r="252" spans="2:39" ht="15.5" customHeight="1">
      <x:c r="B252" s="69" t="s">
        <x:v>972</x:v>
      </x:c>
      <x:c r="C252" s="70">
        <x:v>17</x:v>
      </x:c>
      <x:c r="D252" s="71"/>
      <x:c r="E252" s="71"/>
      <x:c r="F252" s="71"/>
      <x:c r="G252" s="71"/>
      <x:c r="H252" s="71"/>
      <x:c r="I252" s="71"/>
      <x:c r="J252" s="71"/>
      <x:c r="K252" s="70">
        <x:v>82</x:v>
      </x:c>
      <x:c r="L252" s="70">
        <x:v>46</x:v>
      </x:c>
      <x:c r="M252" s="70">
        <x:v>675</x:v>
      </x:c>
      <x:c r="N252" s="70">
        <x:v>39.700000000000003</x:v>
      </x:c>
      <x:c r="O252" s="70">
        <x:v>14.7</x:v>
      </x:c>
      <x:c r="P252" s="70">
        <x:v>4</x:v>
      </x:c>
      <x:c r="Q252" s="70">
        <x:v>0</x:v>
      </x:c>
      <x:c r="R252" s="70">
        <x:v>2</x:v>
      </x:c>
      <x:c r="S252" s="70">
        <x:v>0</x:v>
      </x:c>
      <x:c r="T252" s="70">
        <x:v>0</x:v>
      </x:c>
      <x:c r="U252" s="70">
        <x:v>1</x:v>
      </x:c>
      <x:c r="V252" s="70">
        <x:v>80</x:v>
      </x:c>
      <x:c r="W252" s="70">
        <x:v>4.7</x:v>
      </x:c>
      <x:c r="AM252" s="56"/>
    </x:row>
    <x:row r="253" spans="2:39" ht="15.5" customHeight="1">
      <x:c r="B253" s="69" t="s">
        <x:v>973</x:v>
      </x:c>
      <x:c r="C253" s="70">
        <x:v>17</x:v>
      </x:c>
      <x:c r="D253" s="71"/>
      <x:c r="E253" s="71"/>
      <x:c r="F253" s="71"/>
      <x:c r="G253" s="71"/>
      <x:c r="H253" s="71"/>
      <x:c r="I253" s="71"/>
      <x:c r="J253" s="71"/>
      <x:c r="K253" s="70">
        <x:v>68</x:v>
      </x:c>
      <x:c r="L253" s="70">
        <x:v>43</x:v>
      </x:c>
      <x:c r="M253" s="70">
        <x:v>578</x:v>
      </x:c>
      <x:c r="N253" s="70">
        <x:v>34</x:v>
      </x:c>
      <x:c r="O253" s="70">
        <x:v>13.4</x:v>
      </x:c>
      <x:c r="P253" s="70">
        <x:v>5</x:v>
      </x:c>
      <x:c r="Q253" s="70">
        <x:v>1</x:v>
      </x:c>
      <x:c r="R253" s="70">
        <x:v>20</x:v>
      </x:c>
      <x:c r="S253" s="70">
        <x:v>20</x:v>
      </x:c>
      <x:c r="T253" s="70">
        <x:v>0</x:v>
      </x:c>
      <x:c r="U253" s="70">
        <x:v>1</x:v>
      </x:c>
      <x:c r="V253" s="70">
        <x:v>79</x:v>
      </x:c>
      <x:c r="W253" s="70">
        <x:v>4.5999999999999996</x:v>
      </x:c>
      <x:c r="AM253" s="56"/>
    </x:row>
    <x:row r="254" spans="2:39" ht="15.5" customHeight="1">
      <x:c r="B254" s="69" t="s">
        <x:v>201</x:v>
      </x:c>
      <x:c r="C254" s="70">
        <x:v>17</x:v>
      </x:c>
      <x:c r="D254" s="71"/>
      <x:c r="E254" s="71"/>
      <x:c r="F254" s="71"/>
      <x:c r="G254" s="71"/>
      <x:c r="H254" s="71"/>
      <x:c r="I254" s="71"/>
      <x:c r="J254" s="71"/>
      <x:c r="K254" s="70">
        <x:v>80</x:v>
      </x:c>
      <x:c r="L254" s="70">
        <x:v>47</x:v>
      </x:c>
      <x:c r="M254" s="70">
        <x:v>629</x:v>
      </x:c>
      <x:c r="N254" s="70">
        <x:v>37</x:v>
      </x:c>
      <x:c r="O254" s="70">
        <x:v>13.4</x:v>
      </x:c>
      <x:c r="P254" s="70">
        <x:v>4</x:v>
      </x:c>
      <x:c r="Q254" s="70">
        <x:v>1</x:v>
      </x:c>
      <x:c r="R254" s="70">
        <x:v>14</x:v>
      </x:c>
      <x:c r="S254" s="70">
        <x:v>14</x:v>
      </x:c>
      <x:c r="T254" s="70">
        <x:v>0</x:v>
      </x:c>
      <x:c r="U254" s="70">
        <x:v>0</x:v>
      </x:c>
      <x:c r="V254" s="70">
        <x:v>79</x:v>
      </x:c>
      <x:c r="W254" s="70">
        <x:v>4.5999999999999996</x:v>
      </x:c>
      <x:c r="AM254" s="56"/>
    </x:row>
    <x:row r="255" spans="2:39" ht="15.5" customHeight="1">
      <x:c r="B255" s="69" t="s">
        <x:v>974</x:v>
      </x:c>
      <x:c r="C255" s="70">
        <x:v>17</x:v>
      </x:c>
      <x:c r="D255" s="71"/>
      <x:c r="E255" s="71"/>
      <x:c r="F255" s="71"/>
      <x:c r="G255" s="71"/>
      <x:c r="H255" s="71"/>
      <x:c r="I255" s="71"/>
      <x:c r="J255" s="71"/>
      <x:c r="K255" s="70">
        <x:v>76</x:v>
      </x:c>
      <x:c r="L255" s="70">
        <x:v>47</x:v>
      </x:c>
      <x:c r="M255" s="70">
        <x:v>655</x:v>
      </x:c>
      <x:c r="N255" s="70">
        <x:v>38.5</x:v>
      </x:c>
      <x:c r="O255" s="70">
        <x:v>13.9</x:v>
      </x:c>
      <x:c r="P255" s="70">
        <x:v>4</x:v>
      </x:c>
      <x:c r="Q255" s="70">
        <x:v>2</x:v>
      </x:c>
      <x:c r="R255" s="70">
        <x:v>7</x:v>
      </x:c>
      <x:c r="S255" s="70">
        <x:v>3.5</x:v>
      </x:c>
      <x:c r="T255" s="70">
        <x:v>0</x:v>
      </x:c>
      <x:c r="U255" s="70">
        <x:v>1</x:v>
      </x:c>
      <x:c r="V255" s="70">
        <x:v>78</x:v>
      </x:c>
      <x:c r="W255" s="70">
        <x:v>4.5999999999999996</x:v>
      </x:c>
      <x:c r="AM255" s="56"/>
    </x:row>
    <x:row r="256" spans="2:39" ht="15.5" customHeight="1">
      <x:c r="B256" s="69" t="s">
        <x:v>975</x:v>
      </x:c>
      <x:c r="C256" s="70">
        <x:v>17</x:v>
      </x:c>
      <x:c r="D256" s="71"/>
      <x:c r="E256" s="71"/>
      <x:c r="F256" s="71"/>
      <x:c r="G256" s="71"/>
      <x:c r="H256" s="71"/>
      <x:c r="I256" s="71"/>
      <x:c r="J256" s="71"/>
      <x:c r="K256" s="70">
        <x:v>65</x:v>
      </x:c>
      <x:c r="L256" s="70">
        <x:v>40</x:v>
      </x:c>
      <x:c r="M256" s="70">
        <x:v>574</x:v>
      </x:c>
      <x:c r="N256" s="70">
        <x:v>33.799999999999997</x:v>
      </x:c>
      <x:c r="O256" s="70">
        <x:v>14.4</x:v>
      </x:c>
      <x:c r="P256" s="70">
        <x:v>5</x:v>
      </x:c>
      <x:c r="Q256" s="70">
        <x:v>0</x:v>
      </x:c>
      <x:c r="R256" s="70">
        <x:v>0</x:v>
      </x:c>
      <x:c r="S256" s="70">
        <x:v>0</x:v>
      </x:c>
      <x:c r="T256" s="70">
        <x:v>0</x:v>
      </x:c>
      <x:c r="U256" s="70">
        <x:v>1</x:v>
      </x:c>
      <x:c r="V256" s="70">
        <x:v>77</x:v>
      </x:c>
      <x:c r="W256" s="70">
        <x:v>4.5</x:v>
      </x:c>
      <x:c r="AM256" s="56"/>
    </x:row>
    <x:row r="257" spans="2:39" ht="15.5" customHeight="1">
      <x:c r="B257" s="69" t="s">
        <x:v>205</x:v>
      </x:c>
      <x:c r="C257" s="70">
        <x:v>17</x:v>
      </x:c>
      <x:c r="D257" s="71"/>
      <x:c r="E257" s="71"/>
      <x:c r="F257" s="71"/>
      <x:c r="G257" s="71"/>
      <x:c r="H257" s="71"/>
      <x:c r="I257" s="71"/>
      <x:c r="J257" s="71"/>
      <x:c r="K257" s="70">
        <x:v>83</x:v>
      </x:c>
      <x:c r="L257" s="70">
        <x:v>47</x:v>
      </x:c>
      <x:c r="M257" s="70">
        <x:v>602</x:v>
      </x:c>
      <x:c r="N257" s="70">
        <x:v>35.4</x:v>
      </x:c>
      <x:c r="O257" s="70">
        <x:v>12.8</x:v>
      </x:c>
      <x:c r="P257" s="70">
        <x:v>4</x:v>
      </x:c>
      <x:c r="Q257" s="70">
        <x:v>3</x:v>
      </x:c>
      <x:c r="R257" s="70">
        <x:v>8</x:v>
      </x:c>
      <x:c r="S257" s="70">
        <x:v>2.7</x:v>
      </x:c>
      <x:c r="T257" s="70">
        <x:v>0</x:v>
      </x:c>
      <x:c r="U257" s="70">
        <x:v>0</x:v>
      </x:c>
      <x:c r="V257" s="70">
        <x:v>76</x:v>
      </x:c>
      <x:c r="W257" s="70">
        <x:v>4.5</x:v>
      </x:c>
      <x:c r="AM257" s="56"/>
    </x:row>
    <x:row r="258" spans="2:39" ht="15.5" customHeight="1">
      <x:c r="B258" s="69" t="s">
        <x:v>976</x:v>
      </x:c>
      <x:c r="C258" s="70">
        <x:v>17</x:v>
      </x:c>
      <x:c r="D258" s="71"/>
      <x:c r="E258" s="71"/>
      <x:c r="F258" s="71"/>
      <x:c r="G258" s="71"/>
      <x:c r="H258" s="71"/>
      <x:c r="I258" s="71"/>
      <x:c r="J258" s="71"/>
      <x:c r="K258" s="70">
        <x:v>74</x:v>
      </x:c>
      <x:c r="L258" s="70">
        <x:v>46</x:v>
      </x:c>
      <x:c r="M258" s="70">
        <x:v>634</x:v>
      </x:c>
      <x:c r="N258" s="70">
        <x:v>37.299999999999997</x:v>
      </x:c>
      <x:c r="O258" s="70">
        <x:v>13.8</x:v>
      </x:c>
      <x:c r="P258" s="70">
        <x:v>3</x:v>
      </x:c>
      <x:c r="Q258" s="70">
        <x:v>2</x:v>
      </x:c>
      <x:c r="R258" s="70">
        <x:v>10</x:v>
      </x:c>
      <x:c r="S258" s="70">
        <x:v>5</x:v>
      </x:c>
      <x:c r="T258" s="70">
        <x:v>0</x:v>
      </x:c>
      <x:c r="U258" s="70">
        <x:v>1</x:v>
      </x:c>
      <x:c r="V258" s="70">
        <x:v>71</x:v>
      </x:c>
      <x:c r="W258" s="70">
        <x:v>4.2</x:v>
      </x:c>
      <x:c r="AM258" s="56"/>
    </x:row>
    <x:row r="259" spans="2:39" ht="15.5" customHeight="1">
      <x:c r="B259" s="69" t="s">
        <x:v>977</x:v>
      </x:c>
      <x:c r="C259" s="70">
        <x:v>17</x:v>
      </x:c>
      <x:c r="D259" s="71"/>
      <x:c r="E259" s="71"/>
      <x:c r="F259" s="71"/>
      <x:c r="G259" s="71"/>
      <x:c r="H259" s="71"/>
      <x:c r="I259" s="71"/>
      <x:c r="J259" s="71"/>
      <x:c r="K259" s="70">
        <x:v>77</x:v>
      </x:c>
      <x:c r="L259" s="70">
        <x:v>47</x:v>
      </x:c>
      <x:c r="M259" s="70">
        <x:v>641</x:v>
      </x:c>
      <x:c r="N259" s="70">
        <x:v>37.700000000000003</x:v>
      </x:c>
      <x:c r="O259" s="70">
        <x:v>13.6</x:v>
      </x:c>
      <x:c r="P259" s="70">
        <x:v>3</x:v>
      </x:c>
      <x:c r="Q259" s="70">
        <x:v>2</x:v>
      </x:c>
      <x:c r="R259" s="70">
        <x:v>11</x:v>
      </x:c>
      <x:c r="S259" s="70">
        <x:v>5.5</x:v>
      </x:c>
      <x:c r="T259" s="70">
        <x:v>0</x:v>
      </x:c>
      <x:c r="U259" s="70">
        <x:v>1</x:v>
      </x:c>
      <x:c r="V259" s="70">
        <x:v>71</x:v>
      </x:c>
      <x:c r="W259" s="70">
        <x:v>4.2</x:v>
      </x:c>
      <x:c r="AM259" s="56"/>
    </x:row>
    <x:row r="260" spans="2:39" ht="15.5" customHeight="1">
      <x:c r="B260" s="69" t="s">
        <x:v>978</x:v>
      </x:c>
      <x:c r="C260" s="70">
        <x:v>17</x:v>
      </x:c>
      <x:c r="D260" s="71"/>
      <x:c r="E260" s="71"/>
      <x:c r="F260" s="71"/>
      <x:c r="G260" s="71"/>
      <x:c r="H260" s="71"/>
      <x:c r="I260" s="71"/>
      <x:c r="J260" s="71"/>
      <x:c r="K260" s="70">
        <x:v>72</x:v>
      </x:c>
      <x:c r="L260" s="70">
        <x:v>40</x:v>
      </x:c>
      <x:c r="M260" s="70">
        <x:v>599</x:v>
      </x:c>
      <x:c r="N260" s="70">
        <x:v>35.200000000000003</x:v>
      </x:c>
      <x:c r="O260" s="70">
        <x:v>15</x:v>
      </x:c>
      <x:c r="P260" s="70">
        <x:v>3</x:v>
      </x:c>
      <x:c r="Q260" s="70">
        <x:v>2</x:v>
      </x:c>
      <x:c r="R260" s="70">
        <x:v>8</x:v>
      </x:c>
      <x:c r="S260" s="70">
        <x:v>4</x:v>
      </x:c>
      <x:c r="T260" s="70">
        <x:v>0</x:v>
      </x:c>
      <x:c r="U260" s="70">
        <x:v>0</x:v>
      </x:c>
      <x:c r="V260" s="70">
        <x:v>70</x:v>
      </x:c>
      <x:c r="W260" s="70">
        <x:v>4.0999999999999996</x:v>
      </x:c>
      <x:c r="AM260" s="56"/>
    </x:row>
    <x:row r="261" spans="2:39" ht="15.5" customHeight="1">
      <x:c r="B261" s="69" t="s">
        <x:v>206</x:v>
      </x:c>
      <x:c r="C261" s="70">
        <x:v>17</x:v>
      </x:c>
      <x:c r="D261" s="71"/>
      <x:c r="E261" s="71"/>
      <x:c r="F261" s="71"/>
      <x:c r="G261" s="71"/>
      <x:c r="H261" s="71"/>
      <x:c r="I261" s="71"/>
      <x:c r="J261" s="71"/>
      <x:c r="K261" s="70">
        <x:v>91</x:v>
      </x:c>
      <x:c r="L261" s="70">
        <x:v>53</x:v>
      </x:c>
      <x:c r="M261" s="70">
        <x:v>600</x:v>
      </x:c>
      <x:c r="N261" s="70">
        <x:v>35.299999999999997</x:v>
      </x:c>
      <x:c r="O261" s="70">
        <x:v>11.3</x:v>
      </x:c>
      <x:c r="P261" s="70">
        <x:v>3</x:v>
      </x:c>
      <x:c r="Q261" s="70">
        <x:v>8</x:v>
      </x:c>
      <x:c r="R261" s="70">
        <x:v>18</x:v>
      </x:c>
      <x:c r="S261" s="70">
        <x:v>2.2999999999999998</x:v>
      </x:c>
      <x:c r="T261" s="70">
        <x:v>0</x:v>
      </x:c>
      <x:c r="U261" s="70">
        <x:v>1</x:v>
      </x:c>
      <x:c r="V261" s="70">
        <x:v>69</x:v>
      </x:c>
      <x:c r="W261" s="70">
        <x:v>4.0999999999999996</x:v>
      </x:c>
      <x:c r="AM261" s="56"/>
    </x:row>
    <x:row r="262" spans="2:39" ht="15.5" customHeight="1">
      <x:c r="B262" s="69" t="s">
        <x:v>979</x:v>
      </x:c>
      <x:c r="C262" s="70">
        <x:v>17</x:v>
      </x:c>
      <x:c r="D262" s="71"/>
      <x:c r="E262" s="71"/>
      <x:c r="F262" s="71"/>
      <x:c r="G262" s="71"/>
      <x:c r="H262" s="71"/>
      <x:c r="I262" s="71"/>
      <x:c r="J262" s="71"/>
      <x:c r="K262" s="70">
        <x:v>96</x:v>
      </x:c>
      <x:c r="L262" s="70">
        <x:v>56</x:v>
      </x:c>
      <x:c r="M262" s="70">
        <x:v>520</x:v>
      </x:c>
      <x:c r="N262" s="70">
        <x:v>30.6</x:v>
      </x:c>
      <x:c r="O262" s="70">
        <x:v>9.3000000000000007</x:v>
      </x:c>
      <x:c r="P262" s="70">
        <x:v>4</x:v>
      </x:c>
      <x:c r="Q262" s="70">
        <x:v>1</x:v>
      </x:c>
      <x:c r="R262" s="70">
        <x:v>5</x:v>
      </x:c>
      <x:c r="S262" s="70">
        <x:v>5</x:v>
      </x:c>
      <x:c r="T262" s="70">
        <x:v>0</x:v>
      </x:c>
      <x:c r="U262" s="70">
        <x:v>0</x:v>
      </x:c>
      <x:c r="V262" s="70">
        <x:v>68</x:v>
      </x:c>
      <x:c r="W262" s="70">
        <x:v>4</x:v>
      </x:c>
      <x:c r="AM262" s="56"/>
    </x:row>
    <x:row r="263" spans="2:39" ht="15.5" customHeight="1">
      <x:c r="B263" s="69" t="s">
        <x:v>980</x:v>
      </x:c>
      <x:c r="C263" s="70">
        <x:v>17</x:v>
      </x:c>
      <x:c r="D263" s="71"/>
      <x:c r="E263" s="71"/>
      <x:c r="F263" s="71"/>
      <x:c r="G263" s="71"/>
      <x:c r="H263" s="71"/>
      <x:c r="I263" s="71"/>
      <x:c r="J263" s="71"/>
      <x:c r="K263" s="70">
        <x:v>40</x:v>
      </x:c>
      <x:c r="L263" s="70">
        <x:v>26</x:v>
      </x:c>
      <x:c r="M263" s="70">
        <x:v>292</x:v>
      </x:c>
      <x:c r="N263" s="70">
        <x:v>17.2</x:v>
      </x:c>
      <x:c r="O263" s="70">
        <x:v>11.2</x:v>
      </x:c>
      <x:c r="P263" s="70">
        <x:v>6</x:v>
      </x:c>
      <x:c r="Q263" s="70">
        <x:v>13</x:v>
      </x:c>
      <x:c r="R263" s="70">
        <x:v>126</x:v>
      </x:c>
      <x:c r="S263" s="70">
        <x:v>9.6999999999999993</x:v>
      </x:c>
      <x:c r="T263" s="70">
        <x:v>1</x:v>
      </x:c>
      <x:c r="U263" s="70">
        <x:v>1</x:v>
      </x:c>
      <x:c r="V263" s="70">
        <x:v>66</x:v>
      </x:c>
      <x:c r="W263" s="70">
        <x:v>3.9</x:v>
      </x:c>
      <x:c r="AM263" s="56"/>
    </x:row>
    <x:row r="264" spans="2:39" ht="15.5" customHeight="1">
      <x:c r="B264" s="69" t="s">
        <x:v>981</x:v>
      </x:c>
      <x:c r="C264" s="70">
        <x:v>17</x:v>
      </x:c>
      <x:c r="D264" s="71"/>
      <x:c r="E264" s="71"/>
      <x:c r="F264" s="71"/>
      <x:c r="G264" s="71"/>
      <x:c r="H264" s="71"/>
      <x:c r="I264" s="71"/>
      <x:c r="J264" s="71"/>
      <x:c r="K264" s="70">
        <x:v>43</x:v>
      </x:c>
      <x:c r="L264" s="70">
        <x:v>26</x:v>
      </x:c>
      <x:c r="M264" s="70">
        <x:v>374</x:v>
      </x:c>
      <x:c r="N264" s="70">
        <x:v>22</x:v>
      </x:c>
      <x:c r="O264" s="70">
        <x:v>14.4</x:v>
      </x:c>
      <x:c r="P264" s="70">
        <x:v>6</x:v>
      </x:c>
      <x:c r="Q264" s="70">
        <x:v>0</x:v>
      </x:c>
      <x:c r="R264" s="70">
        <x:v>0</x:v>
      </x:c>
      <x:c r="S264" s="70">
        <x:v>0</x:v>
      </x:c>
      <x:c r="T264" s="70">
        <x:v>0</x:v>
      </x:c>
      <x:c r="U264" s="70">
        <x:v>0</x:v>
      </x:c>
      <x:c r="V264" s="70">
        <x:v>66</x:v>
      </x:c>
      <x:c r="W264" s="70">
        <x:v>3.9</x:v>
      </x:c>
      <x:c r="AM264" s="56"/>
    </x:row>
    <x:row r="265" spans="2:39" ht="15.5" customHeight="1">
      <x:c r="B265" s="69" t="s">
        <x:v>982</x:v>
      </x:c>
      <x:c r="C265" s="70">
        <x:v>17</x:v>
      </x:c>
      <x:c r="D265" s="71"/>
      <x:c r="E265" s="71"/>
      <x:c r="F265" s="71"/>
      <x:c r="G265" s="71"/>
      <x:c r="H265" s="71"/>
      <x:c r="I265" s="71"/>
      <x:c r="J265" s="71"/>
      <x:c r="K265" s="70">
        <x:v>57</x:v>
      </x:c>
      <x:c r="L265" s="70">
        <x:v>34</x:v>
      </x:c>
      <x:c r="M265" s="70">
        <x:v>438</x:v>
      </x:c>
      <x:c r="N265" s="70">
        <x:v>25.8</x:v>
      </x:c>
      <x:c r="O265" s="70">
        <x:v>12.9</x:v>
      </x:c>
      <x:c r="P265" s="70">
        <x:v>5</x:v>
      </x:c>
      <x:c r="Q265" s="70">
        <x:v>1</x:v>
      </x:c>
      <x:c r="R265" s="70">
        <x:v>3</x:v>
      </x:c>
      <x:c r="S265" s="70">
        <x:v>3</x:v>
      </x:c>
      <x:c r="T265" s="70">
        <x:v>0</x:v>
      </x:c>
      <x:c r="U265" s="70">
        <x:v>0</x:v>
      </x:c>
      <x:c r="V265" s="70">
        <x:v>65</x:v>
      </x:c>
      <x:c r="W265" s="70">
        <x:v>3.8</x:v>
      </x:c>
      <x:c r="AM265" s="56"/>
    </x:row>
    <x:row r="266" spans="2:39" ht="15.5" customHeight="1">
      <x:c r="B266" s="69" t="s">
        <x:v>209</x:v>
      </x:c>
      <x:c r="C266" s="70">
        <x:v>17</x:v>
      </x:c>
      <x:c r="D266" s="71"/>
      <x:c r="E266" s="71"/>
      <x:c r="F266" s="71"/>
      <x:c r="G266" s="71"/>
      <x:c r="H266" s="71"/>
      <x:c r="I266" s="71"/>
      <x:c r="J266" s="71"/>
      <x:c r="K266" s="70">
        <x:v>70</x:v>
      </x:c>
      <x:c r="L266" s="70">
        <x:v>45</x:v>
      </x:c>
      <x:c r="M266" s="70">
        <x:v>488</x:v>
      </x:c>
      <x:c r="N266" s="70">
        <x:v>28.7</x:v>
      </x:c>
      <x:c r="O266" s="70">
        <x:v>10.8</x:v>
      </x:c>
      <x:c r="P266" s="70">
        <x:v>4</x:v>
      </x:c>
      <x:c r="Q266" s="70">
        <x:v>3</x:v>
      </x:c>
      <x:c r="R266" s="70">
        <x:v>20</x:v>
      </x:c>
      <x:c r="S266" s="70">
        <x:v>6.7</x:v>
      </x:c>
      <x:c r="T266" s="70">
        <x:v>0</x:v>
      </x:c>
      <x:c r="U266" s="70">
        <x:v>0</x:v>
      </x:c>
      <x:c r="V266" s="70">
        <x:v>64</x:v>
      </x:c>
      <x:c r="W266" s="70">
        <x:v>3.8</x:v>
      </x:c>
      <x:c r="AM266" s="56"/>
    </x:row>
    <x:row r="267" spans="2:39" ht="15.5" customHeight="1">
      <x:c r="B267" s="69" t="s">
        <x:v>983</x:v>
      </x:c>
      <x:c r="C267" s="70">
        <x:v>17</x:v>
      </x:c>
      <x:c r="D267" s="71"/>
      <x:c r="E267" s="71"/>
      <x:c r="F267" s="71"/>
      <x:c r="G267" s="71"/>
      <x:c r="H267" s="71"/>
      <x:c r="I267" s="71"/>
      <x:c r="J267" s="71"/>
      <x:c r="K267" s="70">
        <x:v>63</x:v>
      </x:c>
      <x:c r="L267" s="70">
        <x:v>39</x:v>
      </x:c>
      <x:c r="M267" s="70">
        <x:v>532</x:v>
      </x:c>
      <x:c r="N267" s="70">
        <x:v>31.3</x:v>
      </x:c>
      <x:c r="O267" s="70">
        <x:v>13.6</x:v>
      </x:c>
      <x:c r="P267" s="70">
        <x:v>3</x:v>
      </x:c>
      <x:c r="Q267" s="70">
        <x:v>2</x:v>
      </x:c>
      <x:c r="R267" s="70">
        <x:v>8</x:v>
      </x:c>
      <x:c r="S267" s="70">
        <x:v>4</x:v>
      </x:c>
      <x:c r="T267" s="70">
        <x:v>0</x:v>
      </x:c>
      <x:c r="U267" s="70">
        <x:v>2</x:v>
      </x:c>
      <x:c r="V267" s="70">
        <x:v>60</x:v>
      </x:c>
      <x:c r="W267" s="70">
        <x:v>3.5</x:v>
      </x:c>
      <x:c r="AM267" s="56"/>
    </x:row>
    <x:row r="268" spans="2:39" ht="15.5" customHeight="1">
      <x:c r="B268" s="69" t="s">
        <x:v>984</x:v>
      </x:c>
      <x:c r="C268" s="70">
        <x:v>17</x:v>
      </x:c>
      <x:c r="D268" s="71"/>
      <x:c r="E268" s="71"/>
      <x:c r="F268" s="71"/>
      <x:c r="G268" s="71"/>
      <x:c r="H268" s="71"/>
      <x:c r="I268" s="71"/>
      <x:c r="J268" s="71"/>
      <x:c r="K268" s="70">
        <x:v>58</x:v>
      </x:c>
      <x:c r="L268" s="70">
        <x:v>29</x:v>
      </x:c>
      <x:c r="M268" s="70">
        <x:v>488</x:v>
      </x:c>
      <x:c r="N268" s="70">
        <x:v>28.7</x:v>
      </x:c>
      <x:c r="O268" s="70">
        <x:v>16.8</x:v>
      </x:c>
      <x:c r="P268" s="70">
        <x:v>3</x:v>
      </x:c>
      <x:c r="Q268" s="70">
        <x:v>0</x:v>
      </x:c>
      <x:c r="R268" s="70">
        <x:v>0</x:v>
      </x:c>
      <x:c r="S268" s="70">
        <x:v>0</x:v>
      </x:c>
      <x:c r="T268" s="70">
        <x:v>0</x:v>
      </x:c>
      <x:c r="U268" s="70">
        <x:v>0</x:v>
      </x:c>
      <x:c r="V268" s="70">
        <x:v>57</x:v>
      </x:c>
      <x:c r="W268" s="70">
        <x:v>3.4</x:v>
      </x:c>
      <x:c r="AM268" s="56"/>
    </x:row>
    <x:row r="269" spans="2:39" ht="15.5" customHeight="1">
      <x:c r="B269" s="69" t="s">
        <x:v>985</x:v>
      </x:c>
      <x:c r="C269" s="70">
        <x:v>17</x:v>
      </x:c>
      <x:c r="D269" s="71"/>
      <x:c r="E269" s="71"/>
      <x:c r="F269" s="71"/>
      <x:c r="G269" s="71"/>
      <x:c r="H269" s="71"/>
      <x:c r="I269" s="71"/>
      <x:c r="J269" s="71"/>
      <x:c r="K269" s="70">
        <x:v>48</x:v>
      </x:c>
      <x:c r="L269" s="70">
        <x:v>36</x:v>
      </x:c>
      <x:c r="M269" s="70">
        <x:v>488</x:v>
      </x:c>
      <x:c r="N269" s="70">
        <x:v>28.7</x:v>
      </x:c>
      <x:c r="O269" s="70">
        <x:v>13.6</x:v>
      </x:c>
      <x:c r="P269" s="70">
        <x:v>3</x:v>
      </x:c>
      <x:c r="Q269" s="70">
        <x:v>0</x:v>
      </x:c>
      <x:c r="R269" s="70">
        <x:v>2</x:v>
      </x:c>
      <x:c r="S269" s="70">
        <x:v>0</x:v>
      </x:c>
      <x:c r="T269" s="70">
        <x:v>0</x:v>
      </x:c>
      <x:c r="U269" s="70">
        <x:v>0</x:v>
      </x:c>
      <x:c r="V269" s="70">
        <x:v>57</x:v>
      </x:c>
      <x:c r="W269" s="70">
        <x:v>3.4</x:v>
      </x:c>
      <x:c r="AM269" s="56"/>
    </x:row>
    <x:row r="270" spans="2:39" ht="15.5" customHeight="1">
      <x:c r="B270" s="69" t="s">
        <x:v>211</x:v>
      </x:c>
      <x:c r="C270" s="70">
        <x:v>17</x:v>
      </x:c>
      <x:c r="D270" s="71"/>
      <x:c r="E270" s="71"/>
      <x:c r="F270" s="71"/>
      <x:c r="G270" s="71"/>
      <x:c r="H270" s="71"/>
      <x:c r="I270" s="71"/>
      <x:c r="J270" s="71"/>
      <x:c r="K270" s="70">
        <x:v>79</x:v>
      </x:c>
      <x:c r="L270" s="70">
        <x:v>43</x:v>
      </x:c>
      <x:c r="M270" s="70">
        <x:v>483</x:v>
      </x:c>
      <x:c r="N270" s="70">
        <x:v>28.4</x:v>
      </x:c>
      <x:c r="O270" s="70">
        <x:v>11.2</x:v>
      </x:c>
      <x:c r="P270" s="70">
        <x:v>3</x:v>
      </x:c>
      <x:c r="Q270" s="70">
        <x:v>2</x:v>
      </x:c>
      <x:c r="R270" s="70">
        <x:v>11</x:v>
      </x:c>
      <x:c r="S270" s="70">
        <x:v>5.5</x:v>
      </x:c>
      <x:c r="T270" s="70">
        <x:v>0</x:v>
      </x:c>
      <x:c r="U270" s="70">
        <x:v>0</x:v>
      </x:c>
      <x:c r="V270" s="70">
        <x:v>57</x:v>
      </x:c>
      <x:c r="W270" s="70">
        <x:v>3.4</x:v>
      </x:c>
      <x:c r="AM270" s="56"/>
    </x:row>
    <x:row r="271" spans="2:39" ht="15.5" customHeight="1">
      <x:c r="B271" s="69" t="s">
        <x:v>215</x:v>
      </x:c>
      <x:c r="C271" s="70">
        <x:v>17</x:v>
      </x:c>
      <x:c r="D271" s="71"/>
      <x:c r="E271" s="71"/>
      <x:c r="F271" s="71"/>
      <x:c r="G271" s="71"/>
      <x:c r="H271" s="71"/>
      <x:c r="I271" s="71"/>
      <x:c r="J271" s="71"/>
      <x:c r="K271" s="70">
        <x:v>56</x:v>
      </x:c>
      <x:c r="L271" s="70">
        <x:v>32</x:v>
      </x:c>
      <x:c r="M271" s="70">
        <x:v>519</x:v>
      </x:c>
      <x:c r="N271" s="70">
        <x:v>30.5</x:v>
      </x:c>
      <x:c r="O271" s="70">
        <x:v>16.2</x:v>
      </x:c>
      <x:c r="P271" s="70">
        <x:v>2</x:v>
      </x:c>
      <x:c r="Q271" s="70">
        <x:v>0</x:v>
      </x:c>
      <x:c r="R271" s="70">
        <x:v>0</x:v>
      </x:c>
      <x:c r="S271" s="70">
        <x:v>0</x:v>
      </x:c>
      <x:c r="T271" s="70">
        <x:v>0</x:v>
      </x:c>
      <x:c r="U271" s="70">
        <x:v>0</x:v>
      </x:c>
      <x:c r="V271" s="70">
        <x:v>56</x:v>
      </x:c>
      <x:c r="W271" s="70">
        <x:v>3.3</x:v>
      </x:c>
      <x:c r="AM271" s="56"/>
    </x:row>
    <x:row r="272" spans="2:39" ht="15.5" customHeight="1">
      <x:c r="B272" s="69" t="s">
        <x:v>986</x:v>
      </x:c>
      <x:c r="C272" s="70">
        <x:v>17</x:v>
      </x:c>
      <x:c r="D272" s="71"/>
      <x:c r="E272" s="71"/>
      <x:c r="F272" s="71"/>
      <x:c r="G272" s="71"/>
      <x:c r="H272" s="71"/>
      <x:c r="I272" s="71"/>
      <x:c r="J272" s="71"/>
      <x:c r="K272" s="70">
        <x:v>62</x:v>
      </x:c>
      <x:c r="L272" s="70">
        <x:v>43</x:v>
      </x:c>
      <x:c r="M272" s="70">
        <x:v>514</x:v>
      </x:c>
      <x:c r="N272" s="70">
        <x:v>30.2</x:v>
      </x:c>
      <x:c r="O272" s="70">
        <x:v>12</x:v>
      </x:c>
      <x:c r="P272" s="70">
        <x:v>2</x:v>
      </x:c>
      <x:c r="Q272" s="70">
        <x:v>2</x:v>
      </x:c>
      <x:c r="R272" s="70">
        <x:v>11</x:v>
      </x:c>
      <x:c r="S272" s="70">
        <x:v>5.5</x:v>
      </x:c>
      <x:c r="T272" s="70">
        <x:v>0</x:v>
      </x:c>
      <x:c r="U272" s="70">
        <x:v>0</x:v>
      </x:c>
      <x:c r="V272" s="70">
        <x:v>56</x:v>
      </x:c>
      <x:c r="W272" s="70">
        <x:v>3.3</x:v>
      </x:c>
      <x:c r="AM272" s="56"/>
    </x:row>
    <x:row r="273" spans="2:39" ht="15.5" customHeight="1">
      <x:c r="B273" s="69" t="s">
        <x:v>987</x:v>
      </x:c>
      <x:c r="C273" s="70">
        <x:v>17</x:v>
      </x:c>
      <x:c r="D273" s="71"/>
      <x:c r="E273" s="71"/>
      <x:c r="F273" s="71"/>
      <x:c r="G273" s="71"/>
      <x:c r="H273" s="71"/>
      <x:c r="I273" s="71"/>
      <x:c r="J273" s="71"/>
      <x:c r="K273" s="70">
        <x:v>70</x:v>
      </x:c>
      <x:c r="L273" s="70">
        <x:v>43</x:v>
      </x:c>
      <x:c r="M273" s="70">
        <x:v>529</x:v>
      </x:c>
      <x:c r="N273" s="70">
        <x:v>31.1</x:v>
      </x:c>
      <x:c r="O273" s="70">
        <x:v>12.3</x:v>
      </x:c>
      <x:c r="P273" s="70">
        <x:v>2</x:v>
      </x:c>
      <x:c r="Q273" s="70">
        <x:v>2</x:v>
      </x:c>
      <x:c r="R273" s="70">
        <x:v>9</x:v>
      </x:c>
      <x:c r="S273" s="70">
        <x:v>4.5</x:v>
      </x:c>
      <x:c r="T273" s="70">
        <x:v>0</x:v>
      </x:c>
      <x:c r="U273" s="70">
        <x:v>1</x:v>
      </x:c>
      <x:c r="V273" s="70">
        <x:v>56</x:v>
      </x:c>
      <x:c r="W273" s="70">
        <x:v>3.3</x:v>
      </x:c>
      <x:c r="AM273" s="56"/>
    </x:row>
    <x:row r="274" spans="2:39" ht="15.5" customHeight="1">
      <x:c r="B274" s="69" t="s">
        <x:v>988</x:v>
      </x:c>
      <x:c r="C274" s="70">
        <x:v>17</x:v>
      </x:c>
      <x:c r="D274" s="71"/>
      <x:c r="E274" s="71"/>
      <x:c r="F274" s="71"/>
      <x:c r="G274" s="71"/>
      <x:c r="H274" s="71"/>
      <x:c r="I274" s="71"/>
      <x:c r="J274" s="71"/>
      <x:c r="K274" s="70">
        <x:v>50</x:v>
      </x:c>
      <x:c r="L274" s="70">
        <x:v>31</x:v>
      </x:c>
      <x:c r="M274" s="70">
        <x:v>495</x:v>
      </x:c>
      <x:c r="N274" s="70">
        <x:v>29.1</x:v>
      </x:c>
      <x:c r="O274" s="70">
        <x:v>16</x:v>
      </x:c>
      <x:c r="P274" s="70">
        <x:v>3</x:v>
      </x:c>
      <x:c r="Q274" s="70">
        <x:v>2</x:v>
      </x:c>
      <x:c r="R274" s="70">
        <x:v>12</x:v>
      </x:c>
      <x:c r="S274" s="70">
        <x:v>6</x:v>
      </x:c>
      <x:c r="T274" s="70">
        <x:v>0</x:v>
      </x:c>
      <x:c r="U274" s="70">
        <x:v>2</x:v>
      </x:c>
      <x:c r="V274" s="70">
        <x:v>55</x:v>
      </x:c>
      <x:c r="W274" s="70">
        <x:v>3.2</x:v>
      </x:c>
      <x:c r="AM274" s="56"/>
    </x:row>
    <x:row r="275" spans="2:39" ht="15.5" customHeight="1">
      <x:c r="B275" s="69" t="s">
        <x:v>989</x:v>
      </x:c>
      <x:c r="C275" s="70">
        <x:v>13</x:v>
      </x:c>
      <x:c r="D275" s="71"/>
      <x:c r="E275" s="71"/>
      <x:c r="F275" s="71"/>
      <x:c r="G275" s="71"/>
      <x:c r="H275" s="71"/>
      <x:c r="I275" s="71"/>
      <x:c r="J275" s="71"/>
      <x:c r="K275" s="70">
        <x:v>64</x:v>
      </x:c>
      <x:c r="L275" s="70">
        <x:v>44</x:v>
      </x:c>
      <x:c r="M275" s="70">
        <x:v>517</x:v>
      </x:c>
      <x:c r="N275" s="70">
        <x:v>39.799999999999997</x:v>
      </x:c>
      <x:c r="O275" s="70">
        <x:v>11.8</x:v>
      </x:c>
      <x:c r="P275" s="70">
        <x:v>2</x:v>
      </x:c>
      <x:c r="Q275" s="70">
        <x:v>0</x:v>
      </x:c>
      <x:c r="R275" s="70">
        <x:v>0</x:v>
      </x:c>
      <x:c r="S275" s="70">
        <x:v>0</x:v>
      </x:c>
      <x:c r="T275" s="70">
        <x:v>0</x:v>
      </x:c>
      <x:c r="U275" s="70">
        <x:v>0</x:v>
      </x:c>
      <x:c r="V275" s="70">
        <x:v>55</x:v>
      </x:c>
      <x:c r="W275" s="70">
        <x:v>4.2</x:v>
      </x:c>
      <x:c r="AM275" s="56"/>
    </x:row>
    <x:row r="276" spans="2:39" ht="15.5" customHeight="1">
      <x:c r="B276" s="69" t="s">
        <x:v>208</x:v>
      </x:c>
      <x:c r="C276" s="70">
        <x:v>17</x:v>
      </x:c>
      <x:c r="D276" s="71"/>
      <x:c r="E276" s="71"/>
      <x:c r="F276" s="71"/>
      <x:c r="G276" s="71"/>
      <x:c r="H276" s="71"/>
      <x:c r="I276" s="71"/>
      <x:c r="J276" s="71"/>
      <x:c r="K276" s="70">
        <x:v>92</x:v>
      </x:c>
      <x:c r="L276" s="70">
        <x:v>47</x:v>
      </x:c>
      <x:c r="M276" s="70">
        <x:v>505</x:v>
      </x:c>
      <x:c r="N276" s="70">
        <x:v>29.7</x:v>
      </x:c>
      <x:c r="O276" s="70">
        <x:v>10.7</x:v>
      </x:c>
      <x:c r="P276" s="70">
        <x:v>2</x:v>
      </x:c>
      <x:c r="Q276" s="70">
        <x:v>0</x:v>
      </x:c>
      <x:c r="R276" s="70">
        <x:v>0</x:v>
      </x:c>
      <x:c r="S276" s="70">
        <x:v>0</x:v>
      </x:c>
      <x:c r="T276" s="70">
        <x:v>0</x:v>
      </x:c>
      <x:c r="U276" s="70">
        <x:v>0</x:v>
      </x:c>
      <x:c r="V276" s="70">
        <x:v>53</x:v>
      </x:c>
      <x:c r="W276" s="70">
        <x:v>3.1</x:v>
      </x:c>
      <x:c r="AM276" s="56"/>
    </x:row>
    <x:row r="277" spans="2:39" ht="15.5" customHeight="1">
      <x:c r="B277" s="69" t="s">
        <x:v>990</x:v>
      </x:c>
      <x:c r="C277" s="70">
        <x:v>17</x:v>
      </x:c>
      <x:c r="D277" s="71"/>
      <x:c r="E277" s="71"/>
      <x:c r="F277" s="71"/>
      <x:c r="G277" s="71"/>
      <x:c r="H277" s="71"/>
      <x:c r="I277" s="71"/>
      <x:c r="J277" s="71"/>
      <x:c r="K277" s="70">
        <x:v>63</x:v>
      </x:c>
      <x:c r="L277" s="70">
        <x:v>36</x:v>
      </x:c>
      <x:c r="M277" s="70">
        <x:v>493</x:v>
      </x:c>
      <x:c r="N277" s="70">
        <x:v>29</x:v>
      </x:c>
      <x:c r="O277" s="70">
        <x:v>13.7</x:v>
      </x:c>
      <x:c r="P277" s="70">
        <x:v>2</x:v>
      </x:c>
      <x:c r="Q277" s="70">
        <x:v>0</x:v>
      </x:c>
      <x:c r="R277" s="70">
        <x:v>1</x:v>
      </x:c>
      <x:c r="S277" s="70">
        <x:v>0</x:v>
      </x:c>
      <x:c r="T277" s="70">
        <x:v>0</x:v>
      </x:c>
      <x:c r="U277" s="70">
        <x:v>0</x:v>
      </x:c>
      <x:c r="V277" s="70">
        <x:v>53</x:v>
      </x:c>
      <x:c r="W277" s="70">
        <x:v>3.1</x:v>
      </x:c>
      <x:c r="AM277" s="56"/>
    </x:row>
    <x:row r="278" spans="2:39" ht="15.5" customHeight="1">
      <x:c r="B278" s="69" t="s">
        <x:v>296</x:v>
      </x:c>
      <x:c r="C278" s="70">
        <x:v>17</x:v>
      </x:c>
      <x:c r="D278" s="71"/>
      <x:c r="E278" s="71"/>
      <x:c r="F278" s="71"/>
      <x:c r="G278" s="71"/>
      <x:c r="H278" s="71"/>
      <x:c r="I278" s="71"/>
      <x:c r="J278" s="71"/>
      <x:c r="K278" s="70"/>
      <x:c r="L278" s="70"/>
      <x:c r="M278" s="70"/>
      <x:c r="N278" s="70"/>
      <x:c r="O278" s="70">
        <x:v>131</x:v>
      </x:c>
      <x:c r="P278" s="70">
        <x:v>102</x:v>
      </x:c>
      <x:c r="Q278" s="70">
        <x:v>1161</x:v>
      </x:c>
      <x:c r="R278" s="70">
        <x:v>68.3</x:v>
      </x:c>
      <x:c r="S278" s="70">
        <x:v>11.4</x:v>
      </x:c>
      <x:c r="T278" s="70">
        <x:v>8</x:v>
      </x:c>
      <x:c r="U278" s="70">
        <x:v>1</x:v>
      </x:c>
      <x:c r="V278" s="70">
        <x:v>153</x:v>
      </x:c>
      <x:c r="W278" s="70">
        <x:v>9</x:v>
      </x:c>
      <x:c r="AM278" s="56"/>
    </x:row>
    <x:row r="279" spans="2:39" ht="15.5" customHeight="1">
      <x:c r="B279" s="69" t="s">
        <x:v>297</x:v>
      </x:c>
      <x:c r="C279" s="70">
        <x:v>17</x:v>
      </x:c>
      <x:c r="D279" s="71"/>
      <x:c r="E279" s="71"/>
      <x:c r="F279" s="71"/>
      <x:c r="G279" s="71"/>
      <x:c r="H279" s="71"/>
      <x:c r="I279" s="71"/>
      <x:c r="J279" s="71"/>
      <x:c r="K279" s="70"/>
      <x:c r="L279" s="70"/>
      <x:c r="M279" s="70"/>
      <x:c r="N279" s="70"/>
      <x:c r="O279" s="70">
        <x:v>92</x:v>
      </x:c>
      <x:c r="P279" s="70">
        <x:v>65</x:v>
      </x:c>
      <x:c r="Q279" s="70">
        <x:v>859</x:v>
      </x:c>
      <x:c r="R279" s="70">
        <x:v>50.5</x:v>
      </x:c>
      <x:c r="S279" s="70">
        <x:v>13.2</x:v>
      </x:c>
      <x:c r="T279" s="70">
        <x:v>11</x:v>
      </x:c>
      <x:c r="U279" s="70">
        <x:v>0</x:v>
      </x:c>
      <x:c r="V279" s="70">
        <x:v>144</x:v>
      </x:c>
      <x:c r="W279" s="70">
        <x:v>8.5</x:v>
      </x:c>
      <x:c r="AM279" s="56"/>
    </x:row>
    <x:row r="280" spans="2:39" ht="15.5" customHeight="1">
      <x:c r="B280" s="69" t="s">
        <x:v>315</x:v>
      </x:c>
      <x:c r="C280" s="70">
        <x:v>17</x:v>
      </x:c>
      <x:c r="D280" s="71"/>
      <x:c r="E280" s="71"/>
      <x:c r="F280" s="71"/>
      <x:c r="G280" s="71"/>
      <x:c r="H280" s="71"/>
      <x:c r="I280" s="71"/>
      <x:c r="J280" s="71"/>
      <x:c r="K280" s="71"/>
      <x:c r="L280" s="71"/>
      <x:c r="M280" s="71"/>
      <x:c r="N280" s="71"/>
      <x:c r="O280" s="70">
        <x:v>115</x:v>
      </x:c>
      <x:c r="P280" s="70">
        <x:v>83</x:v>
      </x:c>
      <x:c r="Q280" s="70">
        <x:v>845</x:v>
      </x:c>
      <x:c r="R280" s="70">
        <x:v>49.7</x:v>
      </x:c>
      <x:c r="S280" s="70">
        <x:v>10.199999999999999</x:v>
      </x:c>
      <x:c r="T280" s="70">
        <x:v>10</x:v>
      </x:c>
      <x:c r="U280" s="70">
        <x:v>0</x:v>
      </x:c>
      <x:c r="V280" s="70">
        <x:v>135</x:v>
      </x:c>
      <x:c r="W280" s="70">
        <x:v>7.9</x:v>
      </x:c>
      <x:c r="AM280" s="56"/>
    </x:row>
    <x:row r="281" spans="2:39" ht="15.5" customHeight="1">
      <x:c r="B281" s="69" t="s">
        <x:v>299</x:v>
      </x:c>
      <x:c r="C281" s="70">
        <x:v>17</x:v>
      </x:c>
      <x:c r="D281" s="71"/>
      <x:c r="E281" s="71"/>
      <x:c r="F281" s="71"/>
      <x:c r="G281" s="71"/>
      <x:c r="H281" s="71"/>
      <x:c r="I281" s="71"/>
      <x:c r="J281" s="71"/>
      <x:c r="K281" s="71"/>
      <x:c r="L281" s="71"/>
      <x:c r="M281" s="71"/>
      <x:c r="N281" s="71"/>
      <x:c r="O281" s="70">
        <x:v>85</x:v>
      </x:c>
      <x:c r="P281" s="70">
        <x:v>61</x:v>
      </x:c>
      <x:c r="Q281" s="70">
        <x:v>917</x:v>
      </x:c>
      <x:c r="R281" s="70">
        <x:v>53.9</x:v>
      </x:c>
      <x:c r="S281" s="70">
        <x:v>15</x:v>
      </x:c>
      <x:c r="T281" s="70">
        <x:v>7</x:v>
      </x:c>
      <x:c r="U281" s="70">
        <x:v>0</x:v>
      </x:c>
      <x:c r="V281" s="70">
        <x:v>125</x:v>
      </x:c>
      <x:c r="W281" s="70">
        <x:v>7.4</x:v>
      </x:c>
      <x:c r="AM281" s="56"/>
    </x:row>
    <x:row r="282" spans="2:39" ht="15.5" customHeight="1">
      <x:c r="B282" s="69" t="s">
        <x:v>301</x:v>
      </x:c>
      <x:c r="C282" s="70">
        <x:v>17</x:v>
      </x:c>
      <x:c r="D282" s="71"/>
      <x:c r="E282" s="71"/>
      <x:c r="F282" s="71"/>
      <x:c r="G282" s="71"/>
      <x:c r="H282" s="71"/>
      <x:c r="I282" s="71"/>
      <x:c r="J282" s="71"/>
      <x:c r="K282" s="71"/>
      <x:c r="L282" s="71"/>
      <x:c r="M282" s="71"/>
      <x:c r="N282" s="71"/>
      <x:c r="O282" s="70">
        <x:v>110</x:v>
      </x:c>
      <x:c r="P282" s="70">
        <x:v>73</x:v>
      </x:c>
      <x:c r="Q282" s="70">
        <x:v>853</x:v>
      </x:c>
      <x:c r="R282" s="70">
        <x:v>50.2</x:v>
      </x:c>
      <x:c r="S282" s="70">
        <x:v>11.7</x:v>
      </x:c>
      <x:c r="T282" s="70">
        <x:v>7</x:v>
      </x:c>
      <x:c r="U282" s="70">
        <x:v>2</x:v>
      </x:c>
      <x:c r="V282" s="70">
        <x:v>116</x:v>
      </x:c>
      <x:c r="W282" s="70">
        <x:v>6.8</x:v>
      </x:c>
      <x:c r="AM282" s="56"/>
    </x:row>
    <x:row r="283" spans="2:39" ht="15.5" customHeight="1">
      <x:c r="B283" s="69" t="s">
        <x:v>312</x:v>
      </x:c>
      <x:c r="C283" s="70">
        <x:v>17</x:v>
      </x:c>
      <x:c r="D283" s="71"/>
      <x:c r="E283" s="71"/>
      <x:c r="F283" s="71"/>
      <x:c r="G283" s="71"/>
      <x:c r="H283" s="71"/>
      <x:c r="I283" s="71"/>
      <x:c r="J283" s="71"/>
      <x:c r="K283" s="71"/>
      <x:c r="L283" s="71"/>
      <x:c r="M283" s="71"/>
      <x:c r="N283" s="71"/>
      <x:c r="O283" s="70">
        <x:v>109</x:v>
      </x:c>
      <x:c r="P283" s="70">
        <x:v>83</x:v>
      </x:c>
      <x:c r="Q283" s="70">
        <x:v>902</x:v>
      </x:c>
      <x:c r="R283" s="70">
        <x:v>53.1</x:v>
      </x:c>
      <x:c r="S283" s="70">
        <x:v>10.9</x:v>
      </x:c>
      <x:c r="T283" s="70">
        <x:v>5</x:v>
      </x:c>
      <x:c r="U283" s="70">
        <x:v>0</x:v>
      </x:c>
      <x:c r="V283" s="70">
        <x:v>113</x:v>
      </x:c>
      <x:c r="W283" s="70">
        <x:v>6.6</x:v>
      </x:c>
      <x:c r="AM283" s="56"/>
    </x:row>
    <x:row r="284" spans="2:39" ht="15.5" customHeight="1">
      <x:c r="B284" s="69" t="s">
        <x:v>322</x:v>
      </x:c>
      <x:c r="C284" s="70">
        <x:v>17</x:v>
      </x:c>
      <x:c r="D284" s="71"/>
      <x:c r="E284" s="71"/>
      <x:c r="F284" s="71"/>
      <x:c r="G284" s="71"/>
      <x:c r="H284" s="71"/>
      <x:c r="I284" s="71"/>
      <x:c r="J284" s="71"/>
      <x:c r="K284" s="71"/>
      <x:c r="L284" s="71"/>
      <x:c r="M284" s="71"/>
      <x:c r="N284" s="71"/>
      <x:c r="O284" s="70">
        <x:v>99</x:v>
      </x:c>
      <x:c r="P284" s="70">
        <x:v>71</x:v>
      </x:c>
      <x:c r="Q284" s="70">
        <x:v>765</x:v>
      </x:c>
      <x:c r="R284" s="70">
        <x:v>45</x:v>
      </x:c>
      <x:c r="S284" s="70">
        <x:v>10.8</x:v>
      </x:c>
      <x:c r="T284" s="70">
        <x:v>7</x:v>
      </x:c>
      <x:c r="U284" s="70">
        <x:v>0</x:v>
      </x:c>
      <x:c r="V284" s="70">
        <x:v>111</x:v>
      </x:c>
      <x:c r="W284" s="70">
        <x:v>6.5</x:v>
      </x:c>
      <x:c r="AM284" s="56"/>
    </x:row>
    <x:row r="285" spans="2:39" ht="15.5" customHeight="1">
      <x:c r="B285" s="69" t="s">
        <x:v>303</x:v>
      </x:c>
      <x:c r="C285" s="70">
        <x:v>17</x:v>
      </x:c>
      <x:c r="D285" s="71"/>
      <x:c r="E285" s="71"/>
      <x:c r="F285" s="71"/>
      <x:c r="G285" s="71"/>
      <x:c r="H285" s="71"/>
      <x:c r="I285" s="71"/>
      <x:c r="J285" s="71"/>
      <x:c r="K285" s="71"/>
      <x:c r="L285" s="71"/>
      <x:c r="M285" s="71"/>
      <x:c r="N285" s="71"/>
      <x:c r="O285" s="70">
        <x:v>109</x:v>
      </x:c>
      <x:c r="P285" s="70">
        <x:v>64</x:v>
      </x:c>
      <x:c r="Q285" s="70">
        <x:v>879</x:v>
      </x:c>
      <x:c r="R285" s="70">
        <x:v>51.7</x:v>
      </x:c>
      <x:c r="S285" s="70">
        <x:v>13.7</x:v>
      </x:c>
      <x:c r="T285" s="70">
        <x:v>5</x:v>
      </x:c>
      <x:c r="U285" s="70">
        <x:v>0</x:v>
      </x:c>
      <x:c r="V285" s="70">
        <x:v>110</x:v>
      </x:c>
      <x:c r="W285" s="70">
        <x:v>6.5</x:v>
      </x:c>
      <x:c r="AM285" s="56"/>
    </x:row>
    <x:row r="286" spans="2:39" ht="15.5" customHeight="1">
      <x:c r="B286" s="69" t="s">
        <x:v>311</x:v>
      </x:c>
      <x:c r="C286" s="70">
        <x:v>17</x:v>
      </x:c>
      <x:c r="D286" s="71"/>
      <x:c r="E286" s="71"/>
      <x:c r="F286" s="71"/>
      <x:c r="G286" s="71"/>
      <x:c r="H286" s="71"/>
      <x:c r="I286" s="71"/>
      <x:c r="J286" s="71"/>
      <x:c r="K286" s="71"/>
      <x:c r="L286" s="71"/>
      <x:c r="M286" s="71"/>
      <x:c r="N286" s="71"/>
      <x:c r="O286" s="70">
        <x:v>107</x:v>
      </x:c>
      <x:c r="P286" s="70">
        <x:v>85</x:v>
      </x:c>
      <x:c r="Q286" s="70">
        <x:v>833</x:v>
      </x:c>
      <x:c r="R286" s="70">
        <x:v>49</x:v>
      </x:c>
      <x:c r="S286" s="70">
        <x:v>9.8000000000000007</x:v>
      </x:c>
      <x:c r="T286" s="70">
        <x:v>6</x:v>
      </x:c>
      <x:c r="U286" s="70">
        <x:v>1</x:v>
      </x:c>
      <x:c r="V286" s="70">
        <x:v>109</x:v>
      </x:c>
      <x:c r="W286" s="70">
        <x:v>6.4</x:v>
      </x:c>
      <x:c r="AM286" s="56"/>
    </x:row>
    <x:row r="287" spans="2:39" ht="15.5" customHeight="1">
      <x:c r="B287" s="69" t="s">
        <x:v>300</x:v>
      </x:c>
      <x:c r="C287" s="70">
        <x:v>17</x:v>
      </x:c>
      <x:c r="D287" s="71"/>
      <x:c r="E287" s="71"/>
      <x:c r="F287" s="71"/>
      <x:c r="G287" s="71"/>
      <x:c r="H287" s="71"/>
      <x:c r="I287" s="71"/>
      <x:c r="J287" s="71"/>
      <x:c r="K287" s="71"/>
      <x:c r="L287" s="71"/>
      <x:c r="M287" s="71"/>
      <x:c r="N287" s="71"/>
      <x:c r="O287" s="70">
        <x:v>91</x:v>
      </x:c>
      <x:c r="P287" s="70">
        <x:v>66</x:v>
      </x:c>
      <x:c r="Q287" s="70">
        <x:v>744</x:v>
      </x:c>
      <x:c r="R287" s="70">
        <x:v>43.8</x:v>
      </x:c>
      <x:c r="S287" s="70">
        <x:v>11.3</x:v>
      </x:c>
      <x:c r="T287" s="70">
        <x:v>6</x:v>
      </x:c>
      <x:c r="U287" s="70">
        <x:v>0</x:v>
      </x:c>
      <x:c r="V287" s="70">
        <x:v>102</x:v>
      </x:c>
      <x:c r="W287" s="70">
        <x:v>6</x:v>
      </x:c>
      <x:c r="AM287" s="56"/>
    </x:row>
    <x:row r="288" spans="2:39" ht="15.5" customHeight="1">
      <x:c r="B288" s="69" t="s">
        <x:v>304</x:v>
      </x:c>
      <x:c r="C288" s="70">
        <x:v>17</x:v>
      </x:c>
      <x:c r="D288" s="71"/>
      <x:c r="E288" s="71"/>
      <x:c r="F288" s="71"/>
      <x:c r="G288" s="71"/>
      <x:c r="H288" s="71"/>
      <x:c r="I288" s="71"/>
      <x:c r="J288" s="71"/>
      <x:c r="K288" s="71"/>
      <x:c r="L288" s="71"/>
      <x:c r="M288" s="71"/>
      <x:c r="N288" s="71"/>
      <x:c r="O288" s="70">
        <x:v>118</x:v>
      </x:c>
      <x:c r="P288" s="70">
        <x:v>92</x:v>
      </x:c>
      <x:c r="Q288" s="70">
        <x:v>816</x:v>
      </x:c>
      <x:c r="R288" s="70">
        <x:v>48</x:v>
      </x:c>
      <x:c r="S288" s="70">
        <x:v>8.9</x:v>
      </x:c>
      <x:c r="T288" s="70">
        <x:v>5</x:v>
      </x:c>
      <x:c r="U288" s="70">
        <x:v>1</x:v>
      </x:c>
      <x:c r="V288" s="70">
        <x:v>101</x:v>
      </x:c>
      <x:c r="W288" s="70">
        <x:v>5.9</x:v>
      </x:c>
      <x:c r="AM288" s="56"/>
    </x:row>
    <x:row r="289" spans="2:39" ht="15.5" customHeight="1">
      <x:c r="B289" s="69" t="s">
        <x:v>326</x:v>
      </x:c>
      <x:c r="C289" s="70">
        <x:v>17</x:v>
      </x:c>
      <x:c r="D289" s="71"/>
      <x:c r="E289" s="71"/>
      <x:c r="F289" s="71"/>
      <x:c r="G289" s="71"/>
      <x:c r="H289" s="71"/>
      <x:c r="I289" s="71"/>
      <x:c r="J289" s="71"/>
      <x:c r="K289" s="71"/>
      <x:c r="L289" s="71"/>
      <x:c r="M289" s="71"/>
      <x:c r="N289" s="71"/>
      <x:c r="O289" s="70">
        <x:v>55</x:v>
      </x:c>
      <x:c r="P289" s="70">
        <x:v>39</x:v>
      </x:c>
      <x:c r="Q289" s="70">
        <x:v>551</x:v>
      </x:c>
      <x:c r="R289" s="70">
        <x:v>32.4</x:v>
      </x:c>
      <x:c r="S289" s="70">
        <x:v>14.1</x:v>
      </x:c>
      <x:c r="T289" s="70">
        <x:v>8</x:v>
      </x:c>
      <x:c r="U289" s="70">
        <x:v>0</x:v>
      </x:c>
      <x:c r="V289" s="70">
        <x:v>95</x:v>
      </x:c>
      <x:c r="W289" s="70">
        <x:v>5.6</x:v>
      </x:c>
      <x:c r="AM289" s="56"/>
    </x:row>
    <x:row r="290" spans="2:39" ht="15.5" customHeight="1">
      <x:c r="B290" s="69" t="s">
        <x:v>309</x:v>
      </x:c>
      <x:c r="C290" s="70">
        <x:v>17</x:v>
      </x:c>
      <x:c r="D290" s="71"/>
      <x:c r="E290" s="71"/>
      <x:c r="F290" s="71"/>
      <x:c r="G290" s="71"/>
      <x:c r="H290" s="71"/>
      <x:c r="I290" s="71"/>
      <x:c r="J290" s="71"/>
      <x:c r="K290" s="71"/>
      <x:c r="L290" s="71"/>
      <x:c r="M290" s="71"/>
      <x:c r="N290" s="71"/>
      <x:c r="O290" s="70">
        <x:v>81</x:v>
      </x:c>
      <x:c r="P290" s="70">
        <x:v>62</x:v>
      </x:c>
      <x:c r="Q290" s="70">
        <x:v>634</x:v>
      </x:c>
      <x:c r="R290" s="70">
        <x:v>37.299999999999997</x:v>
      </x:c>
      <x:c r="S290" s="70">
        <x:v>10.199999999999999</x:v>
      </x:c>
      <x:c r="T290" s="70">
        <x:v>6</x:v>
      </x:c>
      <x:c r="U290" s="70">
        <x:v>0</x:v>
      </x:c>
      <x:c r="V290" s="70">
        <x:v>91</x:v>
      </x:c>
      <x:c r="W290" s="70">
        <x:v>5.4</x:v>
      </x:c>
      <x:c r="AM290" s="56"/>
    </x:row>
    <x:row r="291" spans="2:39" ht="15.5" customHeight="1">
      <x:c r="B291" s="69" t="s">
        <x:v>306</x:v>
      </x:c>
      <x:c r="C291" s="70">
        <x:v>17</x:v>
      </x:c>
      <x:c r="D291" s="71"/>
      <x:c r="E291" s="71"/>
      <x:c r="F291" s="71"/>
      <x:c r="G291" s="71"/>
      <x:c r="H291" s="71"/>
      <x:c r="I291" s="71"/>
      <x:c r="J291" s="71"/>
      <x:c r="K291" s="71"/>
      <x:c r="L291" s="71"/>
      <x:c r="M291" s="71"/>
      <x:c r="N291" s="71"/>
      <x:c r="O291" s="70">
        <x:v>86</x:v>
      </x:c>
      <x:c r="P291" s="70">
        <x:v>58</x:v>
      </x:c>
      <x:c r="Q291" s="70">
        <x:v>656</x:v>
      </x:c>
      <x:c r="R291" s="70">
        <x:v>38.6</x:v>
      </x:c>
      <x:c r="S291" s="70">
        <x:v>11.3</x:v>
      </x:c>
      <x:c r="T291" s="70">
        <x:v>6</x:v>
      </x:c>
      <x:c r="U291" s="70">
        <x:v>1</x:v>
      </x:c>
      <x:c r="V291" s="70">
        <x:v>90</x:v>
      </x:c>
      <x:c r="W291" s="70">
        <x:v>5.3</x:v>
      </x:c>
      <x:c r="AM291" s="56"/>
    </x:row>
    <x:row r="292" spans="2:39" ht="15.5" customHeight="1">
      <x:c r="B292" s="69" t="s">
        <x:v>305</x:v>
      </x:c>
      <x:c r="C292" s="70">
        <x:v>17</x:v>
      </x:c>
      <x:c r="D292" s="71"/>
      <x:c r="E292" s="71"/>
      <x:c r="F292" s="71"/>
      <x:c r="G292" s="71"/>
      <x:c r="H292" s="71"/>
      <x:c r="I292" s="71"/>
      <x:c r="J292" s="71"/>
      <x:c r="K292" s="71"/>
      <x:c r="L292" s="71"/>
      <x:c r="M292" s="71"/>
      <x:c r="N292" s="71"/>
      <x:c r="O292" s="70">
        <x:v>80</x:v>
      </x:c>
      <x:c r="P292" s="70">
        <x:v>55</x:v>
      </x:c>
      <x:c r="Q292" s="70">
        <x:v>618</x:v>
      </x:c>
      <x:c r="R292" s="70">
        <x:v>36.4</x:v>
      </x:c>
      <x:c r="S292" s="70">
        <x:v>11.2</x:v>
      </x:c>
      <x:c r="T292" s="70">
        <x:v>6</x:v>
      </x:c>
      <x:c r="U292" s="70">
        <x:v>0</x:v>
      </x:c>
      <x:c r="V292" s="70">
        <x:v>89</x:v>
      </x:c>
      <x:c r="W292" s="70">
        <x:v>5.2</x:v>
      </x:c>
      <x:c r="AM292" s="56"/>
    </x:row>
    <x:row r="293" spans="2:39" ht="15.5" customHeight="1">
      <x:c r="B293" s="69" t="s">
        <x:v>991</x:v>
      </x:c>
      <x:c r="C293" s="70">
        <x:v>17</x:v>
      </x:c>
      <x:c r="D293" s="71"/>
      <x:c r="E293" s="71"/>
      <x:c r="F293" s="71"/>
      <x:c r="G293" s="71"/>
      <x:c r="H293" s="71"/>
      <x:c r="I293" s="71"/>
      <x:c r="J293" s="71"/>
      <x:c r="K293" s="71"/>
      <x:c r="L293" s="71"/>
      <x:c r="M293" s="71"/>
      <x:c r="N293" s="71"/>
      <x:c r="O293" s="70">
        <x:v>89</x:v>
      </x:c>
      <x:c r="P293" s="70">
        <x:v>61</x:v>
      </x:c>
      <x:c r="Q293" s="70">
        <x:v>712</x:v>
      </x:c>
      <x:c r="R293" s="70">
        <x:v>41.9</x:v>
      </x:c>
      <x:c r="S293" s="70">
        <x:v>11.7</x:v>
      </x:c>
      <x:c r="T293" s="70">
        <x:v>5</x:v>
      </x:c>
      <x:c r="U293" s="70">
        <x:v>2</x:v>
      </x:c>
      <x:c r="V293" s="70">
        <x:v>89</x:v>
      </x:c>
      <x:c r="W293" s="70">
        <x:v>5.2</x:v>
      </x:c>
      <x:c r="AM293" s="56"/>
    </x:row>
    <x:row r="294" spans="2:39" ht="15.5" customHeight="1">
      <x:c r="B294" s="69" t="s">
        <x:v>298</x:v>
      </x:c>
      <x:c r="C294" s="70">
        <x:v>17</x:v>
      </x:c>
      <x:c r="D294" s="71"/>
      <x:c r="E294" s="71"/>
      <x:c r="F294" s="71"/>
      <x:c r="G294" s="71"/>
      <x:c r="H294" s="71"/>
      <x:c r="I294" s="71"/>
      <x:c r="J294" s="71"/>
      <x:c r="K294" s="71"/>
      <x:c r="L294" s="71"/>
      <x:c r="M294" s="71"/>
      <x:c r="N294" s="71"/>
      <x:c r="O294" s="70">
        <x:v>94</x:v>
      </x:c>
      <x:c r="P294" s="70">
        <x:v>69</x:v>
      </x:c>
      <x:c r="Q294" s="70">
        <x:v>727</x:v>
      </x:c>
      <x:c r="R294" s="70">
        <x:v>42.8</x:v>
      </x:c>
      <x:c r="S294" s="70">
        <x:v>10.5</x:v>
      </x:c>
      <x:c r="T294" s="70">
        <x:v>4</x:v>
      </x:c>
      <x:c r="U294" s="70">
        <x:v>1</x:v>
      </x:c>
      <x:c r="V294" s="70">
        <x:v>86</x:v>
      </x:c>
      <x:c r="W294" s="70">
        <x:v>5.0999999999999996</x:v>
      </x:c>
      <x:c r="AM294" s="56"/>
    </x:row>
    <x:row r="295" spans="2:39" ht="15.5" customHeight="1">
      <x:c r="B295" s="69" t="s">
        <x:v>317</x:v>
      </x:c>
      <x:c r="C295" s="70">
        <x:v>17</x:v>
      </x:c>
      <x:c r="D295" s="71"/>
      <x:c r="E295" s="71"/>
      <x:c r="F295" s="71"/>
      <x:c r="G295" s="71"/>
      <x:c r="H295" s="71"/>
      <x:c r="I295" s="71"/>
      <x:c r="J295" s="71"/>
      <x:c r="K295" s="71"/>
      <x:c r="L295" s="71"/>
      <x:c r="M295" s="71"/>
      <x:c r="N295" s="71"/>
      <x:c r="O295" s="70">
        <x:v>66</x:v>
      </x:c>
      <x:c r="P295" s="70">
        <x:v>44</x:v>
      </x:c>
      <x:c r="Q295" s="70">
        <x:v>472</x:v>
      </x:c>
      <x:c r="R295" s="70">
        <x:v>27.8</x:v>
      </x:c>
      <x:c r="S295" s="70">
        <x:v>10.7</x:v>
      </x:c>
      <x:c r="T295" s="70">
        <x:v>7</x:v>
      </x:c>
      <x:c r="U295" s="70">
        <x:v>0</x:v>
      </x:c>
      <x:c r="V295" s="70">
        <x:v>80</x:v>
      </x:c>
      <x:c r="W295" s="70">
        <x:v>4.7</x:v>
      </x:c>
      <x:c r="AM295" s="56"/>
    </x:row>
    <x:row r="296" spans="2:39" ht="15.5" customHeight="1">
      <x:c r="B296" s="69" t="s">
        <x:v>320</x:v>
      </x:c>
      <x:c r="C296" s="70">
        <x:v>17</x:v>
      </x:c>
      <x:c r="D296" s="71"/>
      <x:c r="E296" s="71"/>
      <x:c r="F296" s="71"/>
      <x:c r="G296" s="71"/>
      <x:c r="H296" s="71"/>
      <x:c r="I296" s="71"/>
      <x:c r="J296" s="71"/>
      <x:c r="K296" s="71"/>
      <x:c r="L296" s="71"/>
      <x:c r="M296" s="71"/>
      <x:c r="N296" s="71"/>
      <x:c r="O296" s="70">
        <x:v>76</x:v>
      </x:c>
      <x:c r="P296" s="70">
        <x:v>58</x:v>
      </x:c>
      <x:c r="Q296" s="70">
        <x:v>604</x:v>
      </x:c>
      <x:c r="R296" s="70">
        <x:v>35.5</x:v>
      </x:c>
      <x:c r="S296" s="70">
        <x:v>10.4</x:v>
      </x:c>
      <x:c r="T296" s="70">
        <x:v>4</x:v>
      </x:c>
      <x:c r="U296" s="70">
        <x:v>0</x:v>
      </x:c>
      <x:c r="V296" s="70">
        <x:v>76</x:v>
      </x:c>
      <x:c r="W296" s="70">
        <x:v>4.5</x:v>
      </x:c>
      <x:c r="AM296" s="56"/>
    </x:row>
    <x:row r="297" spans="2:39" ht="15.5" customHeight="1">
      <x:c r="B297" s="69" t="s">
        <x:v>310</x:v>
      </x:c>
      <x:c r="C297" s="70">
        <x:v>17</x:v>
      </x:c>
      <x:c r="D297" s="71"/>
      <x:c r="E297" s="71"/>
      <x:c r="F297" s="71"/>
      <x:c r="G297" s="71"/>
      <x:c r="H297" s="71"/>
      <x:c r="I297" s="71"/>
      <x:c r="J297" s="71"/>
      <x:c r="K297" s="71"/>
      <x:c r="L297" s="71"/>
      <x:c r="M297" s="71"/>
      <x:c r="N297" s="71"/>
      <x:c r="O297" s="70">
        <x:v>67</x:v>
      </x:c>
      <x:c r="P297" s="70">
        <x:v>43</x:v>
      </x:c>
      <x:c r="Q297" s="70">
        <x:v>434</x:v>
      </x:c>
      <x:c r="R297" s="70">
        <x:v>25.5</x:v>
      </x:c>
      <x:c r="S297" s="70">
        <x:v>10.1</x:v>
      </x:c>
      <x:c r="T297" s="70">
        <x:v>6</x:v>
      </x:c>
      <x:c r="U297" s="70">
        <x:v>0</x:v>
      </x:c>
      <x:c r="V297" s="70">
        <x:v>71</x:v>
      </x:c>
      <x:c r="W297" s="70">
        <x:v>4.2</x:v>
      </x:c>
      <x:c r="AM297" s="56"/>
    </x:row>
    <x:row r="298" spans="2:39" ht="15.5" customHeight="1">
      <x:c r="B298" s="69" t="s">
        <x:v>314</x:v>
      </x:c>
      <x:c r="C298" s="70">
        <x:v>17</x:v>
      </x:c>
      <x:c r="D298" s="71"/>
      <x:c r="E298" s="71"/>
      <x:c r="F298" s="71"/>
      <x:c r="G298" s="71"/>
      <x:c r="H298" s="71"/>
      <x:c r="I298" s="71"/>
      <x:c r="J298" s="71"/>
      <x:c r="K298" s="71"/>
      <x:c r="L298" s="71"/>
      <x:c r="M298" s="71"/>
      <x:c r="N298" s="71"/>
      <x:c r="O298" s="70">
        <x:v>84</x:v>
      </x:c>
      <x:c r="P298" s="70">
        <x:v>59</x:v>
      </x:c>
      <x:c r="Q298" s="70">
        <x:v>610</x:v>
      </x:c>
      <x:c r="R298" s="70">
        <x:v>35.9</x:v>
      </x:c>
      <x:c r="S298" s="70">
        <x:v>10.3</x:v>
      </x:c>
      <x:c r="T298" s="70">
        <x:v>3</x:v>
      </x:c>
      <x:c r="U298" s="70">
        <x:v>0</x:v>
      </x:c>
      <x:c r="V298" s="70">
        <x:v>70</x:v>
      </x:c>
      <x:c r="W298" s="70">
        <x:v>4.0999999999999996</x:v>
      </x:c>
      <x:c r="AM298" s="56"/>
    </x:row>
    <x:row r="299" spans="2:39" ht="15.5" customHeight="1">
      <x:c r="B299" s="69" t="s">
        <x:v>302</x:v>
      </x:c>
      <x:c r="C299" s="70">
        <x:v>17</x:v>
      </x:c>
      <x:c r="D299" s="71"/>
      <x:c r="E299" s="71"/>
      <x:c r="F299" s="71"/>
      <x:c r="G299" s="71"/>
      <x:c r="H299" s="71"/>
      <x:c r="I299" s="71"/>
      <x:c r="J299" s="71"/>
      <x:c r="K299" s="71"/>
      <x:c r="L299" s="71"/>
      <x:c r="M299" s="71"/>
      <x:c r="N299" s="71"/>
      <x:c r="O299" s="70">
        <x:v>77</x:v>
      </x:c>
      <x:c r="P299" s="70">
        <x:v>54</x:v>
      </x:c>
      <x:c r="Q299" s="70">
        <x:v>564</x:v>
      </x:c>
      <x:c r="R299" s="70">
        <x:v>33.200000000000003</x:v>
      </x:c>
      <x:c r="S299" s="70">
        <x:v>10.4</x:v>
      </x:c>
      <x:c r="T299" s="70">
        <x:v>3</x:v>
      </x:c>
      <x:c r="U299" s="70">
        <x:v>0</x:v>
      </x:c>
      <x:c r="V299" s="70">
        <x:v>67</x:v>
      </x:c>
      <x:c r="W299" s="70">
        <x:v>3.9</x:v>
      </x:c>
      <x:c r="AM299" s="56"/>
    </x:row>
    <x:row r="300" spans="2:39" ht="15.5" customHeight="1">
      <x:c r="B300" s="69" t="s">
        <x:v>992</x:v>
      </x:c>
      <x:c r="C300" s="70">
        <x:v>17</x:v>
      </x:c>
      <x:c r="D300" s="71"/>
      <x:c r="E300" s="71"/>
      <x:c r="F300" s="71"/>
      <x:c r="G300" s="71"/>
      <x:c r="H300" s="71"/>
      <x:c r="I300" s="71"/>
      <x:c r="J300" s="71"/>
      <x:c r="K300" s="71"/>
      <x:c r="L300" s="71"/>
      <x:c r="M300" s="71"/>
      <x:c r="N300" s="71"/>
      <x:c r="O300" s="70">
        <x:v>63</x:v>
      </x:c>
      <x:c r="P300" s="70">
        <x:v>45</x:v>
      </x:c>
      <x:c r="Q300" s="70">
        <x:v>525</x:v>
      </x:c>
      <x:c r="R300" s="70">
        <x:v>30.9</x:v>
      </x:c>
      <x:c r="S300" s="70">
        <x:v>11.7</x:v>
      </x:c>
      <x:c r="T300" s="70">
        <x:v>4</x:v>
      </x:c>
      <x:c r="U300" s="70">
        <x:v>1</x:v>
      </x:c>
      <x:c r="V300" s="70">
        <x:v>66</x:v>
      </x:c>
      <x:c r="W300" s="70">
        <x:v>3.9</x:v>
      </x:c>
      <x:c r="AM300" s="56"/>
    </x:row>
    <x:row r="301" spans="2:39" ht="15.5" customHeight="1">
      <x:c r="B301" s="69" t="s">
        <x:v>316</x:v>
      </x:c>
      <x:c r="C301" s="70">
        <x:v>17</x:v>
      </x:c>
      <x:c r="D301" s="71"/>
      <x:c r="E301" s="71"/>
      <x:c r="F301" s="71"/>
      <x:c r="G301" s="71"/>
      <x:c r="H301" s="71"/>
      <x:c r="I301" s="71"/>
      <x:c r="J301" s="71"/>
      <x:c r="K301" s="71"/>
      <x:c r="L301" s="71"/>
      <x:c r="M301" s="71"/>
      <x:c r="N301" s="71"/>
      <x:c r="O301" s="70">
        <x:v>70</x:v>
      </x:c>
      <x:c r="P301" s="70">
        <x:v>48</x:v>
      </x:c>
      <x:c r="Q301" s="70">
        <x:v>497</x:v>
      </x:c>
      <x:c r="R301" s="70">
        <x:v>29.2</x:v>
      </x:c>
      <x:c r="S301" s="70">
        <x:v>10.4</x:v>
      </x:c>
      <x:c r="T301" s="70">
        <x:v>4</x:v>
      </x:c>
      <x:c r="U301" s="70">
        <x:v>1</x:v>
      </x:c>
      <x:c r="V301" s="70">
        <x:v>63</x:v>
      </x:c>
      <x:c r="W301" s="70">
        <x:v>3.7</x:v>
      </x:c>
      <x:c r="AM301" s="56"/>
    </x:row>
    <x:row r="302" spans="2:39" ht="15.5" customHeight="1">
      <x:c r="B302" s="69" t="s">
        <x:v>993</x:v>
      </x:c>
      <x:c r="C302" s="70">
        <x:v>17</x:v>
      </x:c>
      <x:c r="D302" s="71"/>
      <x:c r="E302" s="71"/>
      <x:c r="F302" s="71"/>
      <x:c r="G302" s="71"/>
      <x:c r="H302" s="71"/>
      <x:c r="I302" s="71"/>
      <x:c r="J302" s="71"/>
      <x:c r="K302" s="71"/>
      <x:c r="L302" s="71"/>
      <x:c r="M302" s="71"/>
      <x:c r="N302" s="71"/>
      <x:c r="O302" s="70">
        <x:v>64</x:v>
      </x:c>
      <x:c r="P302" s="70">
        <x:v>42</x:v>
      </x:c>
      <x:c r="Q302" s="70">
        <x:v>420</x:v>
      </x:c>
      <x:c r="R302" s="70">
        <x:v>24.7</x:v>
      </x:c>
      <x:c r="S302" s="70">
        <x:v>10</x:v>
      </x:c>
      <x:c r="T302" s="70">
        <x:v>5</x:v>
      </x:c>
      <x:c r="U302" s="70">
        <x:v>0</x:v>
      </x:c>
      <x:c r="V302" s="70">
        <x:v>63</x:v>
      </x:c>
      <x:c r="W302" s="70">
        <x:v>3.7</x:v>
      </x:c>
      <x:c r="AM302" s="56"/>
    </x:row>
    <x:row r="303" spans="2:39" ht="15.5" customHeight="1">
      <x:c r="B303" s="69" t="s">
        <x:v>994</x:v>
      </x:c>
      <x:c r="C303" s="70">
        <x:v>17</x:v>
      </x:c>
      <x:c r="D303" s="71"/>
      <x:c r="E303" s="71"/>
      <x:c r="F303" s="71"/>
      <x:c r="G303" s="71"/>
      <x:c r="H303" s="71"/>
      <x:c r="I303" s="71"/>
      <x:c r="J303" s="71"/>
      <x:c r="K303" s="71"/>
      <x:c r="L303" s="71"/>
      <x:c r="M303" s="71"/>
      <x:c r="N303" s="71"/>
      <x:c r="O303" s="70">
        <x:v>69</x:v>
      </x:c>
      <x:c r="P303" s="70">
        <x:v>47</x:v>
      </x:c>
      <x:c r="Q303" s="70">
        <x:v>508</x:v>
      </x:c>
      <x:c r="R303" s="70">
        <x:v>29.9</x:v>
      </x:c>
      <x:c r="S303" s="70">
        <x:v>10.8</x:v>
      </x:c>
      <x:c r="T303" s="70">
        <x:v>4</x:v>
      </x:c>
      <x:c r="U303" s="70">
        <x:v>1</x:v>
      </x:c>
      <x:c r="V303" s="70">
        <x:v>63</x:v>
      </x:c>
      <x:c r="W303" s="70">
        <x:v>3.7</x:v>
      </x:c>
      <x:c r="AM303" s="56"/>
    </x:row>
    <x:row r="304" spans="2:39" ht="15.5" customHeight="1">
      <x:c r="B304" s="69" t="s">
        <x:v>995</x:v>
      </x:c>
      <x:c r="C304" s="70">
        <x:v>17</x:v>
      </x:c>
      <x:c r="D304" s="71"/>
      <x:c r="E304" s="71"/>
      <x:c r="F304" s="71"/>
      <x:c r="G304" s="71"/>
      <x:c r="H304" s="71"/>
      <x:c r="I304" s="71"/>
      <x:c r="J304" s="71"/>
      <x:c r="K304" s="71"/>
      <x:c r="L304" s="71"/>
      <x:c r="M304" s="71"/>
      <x:c r="N304" s="71"/>
      <x:c r="O304" s="70">
        <x:v>35</x:v>
      </x:c>
      <x:c r="P304" s="70">
        <x:v>26</x:v>
      </x:c>
      <x:c r="Q304" s="70">
        <x:v>401</x:v>
      </x:c>
      <x:c r="R304" s="70">
        <x:v>23.6</x:v>
      </x:c>
      <x:c r="S304" s="70">
        <x:v>15.4</x:v>
      </x:c>
      <x:c r="T304" s="70">
        <x:v>5</x:v>
      </x:c>
      <x:c r="U304" s="70">
        <x:v>0</x:v>
      </x:c>
      <x:c r="V304" s="70">
        <x:v>62</x:v>
      </x:c>
      <x:c r="W304" s="70">
        <x:v>3.6</x:v>
      </x:c>
      <x:c r="AM304" s="56"/>
    </x:row>
    <x:row r="305" spans="2:39" ht="15.5" customHeight="1">
      <x:c r="B305" s="69" t="s">
        <x:v>308</x:v>
      </x:c>
      <x:c r="C305" s="70">
        <x:v>17</x:v>
      </x:c>
      <x:c r="D305" s="71"/>
      <x:c r="E305" s="71"/>
      <x:c r="F305" s="71"/>
      <x:c r="G305" s="71"/>
      <x:c r="H305" s="71"/>
      <x:c r="I305" s="71"/>
      <x:c r="J305" s="71"/>
      <x:c r="K305" s="71"/>
      <x:c r="L305" s="71"/>
      <x:c r="M305" s="71"/>
      <x:c r="N305" s="71"/>
      <x:c r="O305" s="70">
        <x:v>76</x:v>
      </x:c>
      <x:c r="P305" s="70">
        <x:v>51</x:v>
      </x:c>
      <x:c r="Q305" s="70">
        <x:v>513</x:v>
      </x:c>
      <x:c r="R305" s="70">
        <x:v>30.2</x:v>
      </x:c>
      <x:c r="S305" s="70">
        <x:v>10.1</x:v>
      </x:c>
      <x:c r="T305" s="70">
        <x:v>3</x:v>
      </x:c>
      <x:c r="U305" s="70">
        <x:v>0</x:v>
      </x:c>
      <x:c r="V305" s="70">
        <x:v>62</x:v>
      </x:c>
      <x:c r="W305" s="70">
        <x:v>3.6</x:v>
      </x:c>
      <x:c r="AM305" s="56"/>
    </x:row>
    <x:row r="306" spans="2:39" ht="15.5" customHeight="1">
      <x:c r="B306" s="69" t="s">
        <x:v>313</x:v>
      </x:c>
      <x:c r="C306" s="70">
        <x:v>17</x:v>
      </x:c>
      <x:c r="D306" s="71"/>
      <x:c r="E306" s="71"/>
      <x:c r="F306" s="71"/>
      <x:c r="G306" s="71"/>
      <x:c r="H306" s="71"/>
      <x:c r="I306" s="71"/>
      <x:c r="J306" s="71"/>
      <x:c r="K306" s="71"/>
      <x:c r="L306" s="71"/>
      <x:c r="M306" s="71"/>
      <x:c r="N306" s="71"/>
      <x:c r="O306" s="70">
        <x:v>59</x:v>
      </x:c>
      <x:c r="P306" s="70">
        <x:v>44</x:v>
      </x:c>
      <x:c r="Q306" s="70">
        <x:v>502</x:v>
      </x:c>
      <x:c r="R306" s="70">
        <x:v>29.5</x:v>
      </x:c>
      <x:c r="S306" s="70">
        <x:v>11.4</x:v>
      </x:c>
      <x:c r="T306" s="70">
        <x:v>3</x:v>
      </x:c>
      <x:c r="U306" s="70">
        <x:v>0</x:v>
      </x:c>
      <x:c r="V306" s="70">
        <x:v>59</x:v>
      </x:c>
      <x:c r="W306" s="70">
        <x:v>3.5</x:v>
      </x:c>
      <x:c r="AM306" s="56"/>
    </x:row>
    <x:row r="307" spans="2:39" ht="15.5" customHeight="1">
      <x:c r="B307" s="69" t="s">
        <x:v>996</x:v>
      </x:c>
      <x:c r="C307" s="70">
        <x:v>17</x:v>
      </x:c>
      <x:c r="D307" s="71"/>
      <x:c r="E307" s="71"/>
      <x:c r="F307" s="71"/>
      <x:c r="G307" s="71"/>
      <x:c r="H307" s="71"/>
      <x:c r="I307" s="71"/>
      <x:c r="J307" s="71"/>
      <x:c r="K307" s="71"/>
      <x:c r="L307" s="71"/>
      <x:c r="M307" s="71"/>
      <x:c r="N307" s="71"/>
      <x:c r="O307" s="70">
        <x:v>64</x:v>
      </x:c>
      <x:c r="P307" s="70">
        <x:v>47</x:v>
      </x:c>
      <x:c r="Q307" s="70">
        <x:v>424</x:v>
      </x:c>
      <x:c r="R307" s="70">
        <x:v>24.9</x:v>
      </x:c>
      <x:c r="S307" s="70">
        <x:v>9</x:v>
      </x:c>
      <x:c r="T307" s="70">
        <x:v>4</x:v>
      </x:c>
      <x:c r="U307" s="70">
        <x:v>0</x:v>
      </x:c>
      <x:c r="V307" s="70">
        <x:v>57</x:v>
      </x:c>
      <x:c r="W307" s="70">
        <x:v>3.4</x:v>
      </x:c>
      <x:c r="AM307" s="56"/>
    </x:row>
    <x:row r="308" spans="2:39" ht="15.5" customHeight="1">
      <x:c r="B308" s="69" t="s">
        <x:v>318</x:v>
      </x:c>
      <x:c r="C308" s="70">
        <x:v>17</x:v>
      </x:c>
      <x:c r="D308" s="71"/>
      <x:c r="E308" s="71"/>
      <x:c r="F308" s="71"/>
      <x:c r="G308" s="71"/>
      <x:c r="H308" s="71"/>
      <x:c r="I308" s="71"/>
      <x:c r="J308" s="71"/>
      <x:c r="K308" s="71"/>
      <x:c r="L308" s="71"/>
      <x:c r="M308" s="71"/>
      <x:c r="N308" s="71"/>
      <x:c r="O308" s="70">
        <x:v>56</x:v>
      </x:c>
      <x:c r="P308" s="70">
        <x:v>38</x:v>
      </x:c>
      <x:c r="Q308" s="70">
        <x:v>439</x:v>
      </x:c>
      <x:c r="R308" s="70">
        <x:v>25.8</x:v>
      </x:c>
      <x:c r="S308" s="70">
        <x:v>11.6</x:v>
      </x:c>
      <x:c r="T308" s="70">
        <x:v>3</x:v>
      </x:c>
      <x:c r="U308" s="70">
        <x:v>0</x:v>
      </x:c>
      <x:c r="V308" s="70">
        <x:v>53</x:v>
      </x:c>
      <x:c r="W308" s="70">
        <x:v>3.1</x:v>
      </x:c>
      <x:c r="AM308" s="56"/>
    </x:row>
    <x:row r="309" spans="2:39" ht="15.5" customHeight="1">
      <x:c r="B309" s="69" t="s">
        <x:v>319</x:v>
      </x:c>
      <x:c r="C309" s="70">
        <x:v>17</x:v>
      </x:c>
      <x:c r="D309" s="71"/>
      <x:c r="E309" s="71"/>
      <x:c r="F309" s="71"/>
      <x:c r="G309" s="71"/>
      <x:c r="H309" s="71"/>
      <x:c r="I309" s="71"/>
      <x:c r="J309" s="71"/>
      <x:c r="K309" s="71"/>
      <x:c r="L309" s="71"/>
      <x:c r="M309" s="71"/>
      <x:c r="N309" s="71"/>
      <x:c r="O309" s="70">
        <x:v>47</x:v>
      </x:c>
      <x:c r="P309" s="70">
        <x:v>31</x:v>
      </x:c>
      <x:c r="Q309" s="70">
        <x:v>315</x:v>
      </x:c>
      <x:c r="R309" s="70">
        <x:v>18.5</x:v>
      </x:c>
      <x:c r="S309" s="70">
        <x:v>10.199999999999999</x:v>
      </x:c>
      <x:c r="T309" s="70">
        <x:v>5</x:v>
      </x:c>
      <x:c r="U309" s="70">
        <x:v>0</x:v>
      </x:c>
      <x:c r="V309" s="70">
        <x:v>52</x:v>
      </x:c>
      <x:c r="W309" s="70">
        <x:v>3.1</x:v>
      </x:c>
      <x:c r="AM309" s="56"/>
    </x:row>
    <x:row r="310" spans="2:39" ht="15.5" customHeight="1">
      <x:c r="B310" s="69" t="s">
        <x:v>329</x:v>
      </x:c>
      <x:c r="C310" s="70">
        <x:v>17</x:v>
      </x:c>
      <x:c r="D310" s="71"/>
      <x:c r="E310" s="71"/>
      <x:c r="F310" s="71"/>
      <x:c r="G310" s="71"/>
      <x:c r="H310" s="71"/>
      <x:c r="I310" s="71"/>
      <x:c r="J310" s="71"/>
      <x:c r="K310" s="71"/>
      <x:c r="L310" s="71"/>
      <x:c r="M310" s="71"/>
      <x:c r="N310" s="71"/>
      <x:c r="O310" s="70">
        <x:v>41</x:v>
      </x:c>
      <x:c r="P310" s="70">
        <x:v>28</x:v>
      </x:c>
      <x:c r="Q310" s="70">
        <x:v>294</x:v>
      </x:c>
      <x:c r="R310" s="70">
        <x:v>17.3</x:v>
      </x:c>
      <x:c r="S310" s="70">
        <x:v>10.5</x:v>
      </x:c>
      <x:c r="T310" s="70">
        <x:v>5</x:v>
      </x:c>
      <x:c r="U310" s="70">
        <x:v>0</x:v>
      </x:c>
      <x:c r="V310" s="70">
        <x:v>51</x:v>
      </x:c>
      <x:c r="W310" s="70">
        <x:v>3</x:v>
      </x:c>
      <x:c r="AM310" s="56"/>
    </x:row>
    <x:row r="311" spans="2:39" ht="15.5" customHeight="1">
      <x:c r="B311" s="69" t="s">
        <x:v>307</x:v>
      </x:c>
      <x:c r="C311" s="70">
        <x:v>17</x:v>
      </x:c>
      <x:c r="D311" s="71"/>
      <x:c r="E311" s="71"/>
      <x:c r="F311" s="71"/>
      <x:c r="G311" s="71"/>
      <x:c r="H311" s="71"/>
      <x:c r="I311" s="71"/>
      <x:c r="J311" s="71"/>
      <x:c r="K311" s="71"/>
      <x:c r="L311" s="71"/>
      <x:c r="M311" s="71"/>
      <x:c r="N311" s="71"/>
      <x:c r="O311" s="70">
        <x:v>55</x:v>
      </x:c>
      <x:c r="P311" s="70">
        <x:v>35</x:v>
      </x:c>
      <x:c r="Q311" s="70">
        <x:v>472</x:v>
      </x:c>
      <x:c r="R311" s="70">
        <x:v>27.8</x:v>
      </x:c>
      <x:c r="S311" s="70">
        <x:v>13.5</x:v>
      </x:c>
      <x:c r="T311" s="70">
        <x:v>2</x:v>
      </x:c>
      <x:c r="U311" s="70">
        <x:v>0</x:v>
      </x:c>
      <x:c r="V311" s="70">
        <x:v>50</x:v>
      </x:c>
      <x:c r="W311" s="70">
        <x:v>2.9</x:v>
      </x:c>
      <x:c r="AM311" s="56"/>
    </x:row>
    <x:row r="312" spans="2:39" ht="15.5" customHeight="1">
      <x:c r="B312" s="69" t="s">
        <x:v>997</x:v>
      </x:c>
      <x:c r="C312" s="70">
        <x:v>17</x:v>
      </x:c>
      <x:c r="D312" s="71"/>
      <x:c r="E312" s="71"/>
      <x:c r="F312" s="71"/>
      <x:c r="G312" s="71"/>
      <x:c r="H312" s="71"/>
      <x:c r="I312" s="71"/>
      <x:c r="J312" s="71"/>
      <x:c r="K312" s="71"/>
      <x:c r="L312" s="71"/>
      <x:c r="M312" s="71"/>
      <x:c r="N312" s="71"/>
      <x:c r="O312" s="70">
        <x:v>57</x:v>
      </x:c>
      <x:c r="P312" s="70">
        <x:v>37</x:v>
      </x:c>
      <x:c r="Q312" s="70">
        <x:v>388</x:v>
      </x:c>
      <x:c r="R312" s="70">
        <x:v>22.8</x:v>
      </x:c>
      <x:c r="S312" s="70">
        <x:v>10.5</x:v>
      </x:c>
      <x:c r="T312" s="70">
        <x:v>3</x:v>
      </x:c>
      <x:c r="U312" s="70">
        <x:v>0</x:v>
      </x:c>
      <x:c r="V312" s="70">
        <x:v>48</x:v>
      </x:c>
      <x:c r="W312" s="70">
        <x:v>2.8</x:v>
      </x:c>
      <x:c r="AM312" s="56"/>
    </x:row>
    <x:row r="313" spans="2:39" ht="15.5" customHeight="1">
      <x:c r="B313" s="69" t="s">
        <x:v>332</x:v>
      </x:c>
      <x:c r="C313" s="70">
        <x:v>17</x:v>
      </x:c>
      <x:c r="D313" s="71"/>
      <x:c r="E313" s="71"/>
      <x:c r="F313" s="71"/>
      <x:c r="G313" s="71"/>
      <x:c r="H313" s="71"/>
      <x:c r="I313" s="71"/>
      <x:c r="J313" s="71"/>
      <x:c r="K313" s="71"/>
      <x:c r="L313" s="71"/>
      <x:c r="M313" s="71"/>
      <x:c r="N313" s="71"/>
      <x:c r="O313" s="70">
        <x:v>46</x:v>
      </x:c>
      <x:c r="P313" s="70">
        <x:v>34</x:v>
      </x:c>
      <x:c r="Q313" s="70">
        <x:v>370</x:v>
      </x:c>
      <x:c r="R313" s="70">
        <x:v>21.8</x:v>
      </x:c>
      <x:c r="S313" s="70">
        <x:v>10.9</x:v>
      </x:c>
      <x:c r="T313" s="70">
        <x:v>3</x:v>
      </x:c>
      <x:c r="U313" s="70">
        <x:v>0</x:v>
      </x:c>
      <x:c r="V313" s="70">
        <x:v>47</x:v>
      </x:c>
      <x:c r="W313" s="70">
        <x:v>2.8</x:v>
      </x:c>
      <x:c r="AM313" s="56"/>
    </x:row>
    <x:row r="314" spans="2:39" ht="15.5" customHeight="1">
      <x:c r="B314" s="69" t="s">
        <x:v>328</x:v>
      </x:c>
      <x:c r="C314" s="70">
        <x:v>17</x:v>
      </x:c>
      <x:c r="D314" s="71"/>
      <x:c r="E314" s="71"/>
      <x:c r="F314" s="71"/>
      <x:c r="G314" s="71"/>
      <x:c r="H314" s="71"/>
      <x:c r="I314" s="71"/>
      <x:c r="J314" s="71"/>
      <x:c r="K314" s="71"/>
      <x:c r="L314" s="71"/>
      <x:c r="M314" s="71"/>
      <x:c r="N314" s="71"/>
      <x:c r="O314" s="70">
        <x:v>38</x:v>
      </x:c>
      <x:c r="P314" s="70">
        <x:v>26</x:v>
      </x:c>
      <x:c r="Q314" s="70">
        <x:v>225</x:v>
      </x:c>
      <x:c r="R314" s="70">
        <x:v>13.2</x:v>
      </x:c>
      <x:c r="S314" s="70">
        <x:v>8.6999999999999993</x:v>
      </x:c>
      <x:c r="T314" s="70">
        <x:v>5</x:v>
      </x:c>
      <x:c r="U314" s="70">
        <x:v>0</x:v>
      </x:c>
      <x:c r="V314" s="70">
        <x:v>45</x:v>
      </x:c>
      <x:c r="W314" s="70">
        <x:v>2.6</x:v>
      </x:c>
      <x:c r="AM314" s="56"/>
    </x:row>
    <x:row r="315" spans="2:39" ht="15.5" customHeight="1">
      <x:c r="B315" s="69" t="s">
        <x:v>339</x:v>
      </x:c>
      <x:c r="C315" s="70">
        <x:v>17</x:v>
      </x:c>
      <x:c r="D315" s="71"/>
      <x:c r="E315" s="71"/>
      <x:c r="F315" s="71"/>
      <x:c r="G315" s="71"/>
      <x:c r="H315" s="71"/>
      <x:c r="I315" s="71"/>
      <x:c r="J315" s="71"/>
      <x:c r="K315" s="71"/>
      <x:c r="L315" s="71"/>
      <x:c r="M315" s="71"/>
      <x:c r="N315" s="71"/>
      <x:c r="O315" s="70">
        <x:v>28</x:v>
      </x:c>
      <x:c r="P315" s="70">
        <x:v>16</x:v>
      </x:c>
      <x:c r="Q315" s="70">
        <x:v>206</x:v>
      </x:c>
      <x:c r="R315" s="70">
        <x:v>12.1</x:v>
      </x:c>
      <x:c r="S315" s="70">
        <x:v>12.9</x:v>
      </x:c>
      <x:c r="T315" s="70">
        <x:v>5</x:v>
      </x:c>
      <x:c r="U315" s="70">
        <x:v>0</x:v>
      </x:c>
      <x:c r="V315" s="70">
        <x:v>43</x:v>
      </x:c>
      <x:c r="W315" s="70">
        <x:v>2.5</x:v>
      </x:c>
      <x:c r="AM315" s="56"/>
    </x:row>
    <x:row r="316" spans="2:39" ht="15.5" customHeight="1">
      <x:c r="B316" s="69" t="s">
        <x:v>334</x:v>
      </x:c>
      <x:c r="C316" s="70">
        <x:v>17</x:v>
      </x:c>
      <x:c r="D316" s="71"/>
      <x:c r="E316" s="71"/>
      <x:c r="F316" s="71"/>
      <x:c r="G316" s="71"/>
      <x:c r="H316" s="71"/>
      <x:c r="I316" s="71"/>
      <x:c r="J316" s="71"/>
      <x:c r="K316" s="71"/>
      <x:c r="L316" s="71"/>
      <x:c r="M316" s="71"/>
      <x:c r="N316" s="71"/>
      <x:c r="O316" s="70">
        <x:v>46</x:v>
      </x:c>
      <x:c r="P316" s="70">
        <x:v>38</x:v>
      </x:c>
      <x:c r="Q316" s="70">
        <x:v>386</x:v>
      </x:c>
      <x:c r="R316" s="70">
        <x:v>22.7</x:v>
      </x:c>
      <x:c r="S316" s="70">
        <x:v>10.199999999999999</x:v>
      </x:c>
      <x:c r="T316" s="70">
        <x:v>2</x:v>
      </x:c>
      <x:c r="U316" s="70">
        <x:v>0</x:v>
      </x:c>
      <x:c r="V316" s="70">
        <x:v>42</x:v>
      </x:c>
      <x:c r="W316" s="70">
        <x:v>2.5</x:v>
      </x:c>
      <x:c r="AM316" s="56"/>
    </x:row>
    <x:row r="317" spans="2:39" ht="15.5" customHeight="1">
      <x:c r="B317" s="69" t="s">
        <x:v>333</x:v>
      </x:c>
      <x:c r="C317" s="70">
        <x:v>17</x:v>
      </x:c>
      <x:c r="D317" s="71"/>
      <x:c r="E317" s="71"/>
      <x:c r="F317" s="71"/>
      <x:c r="G317" s="71"/>
      <x:c r="H317" s="71"/>
      <x:c r="I317" s="71"/>
      <x:c r="J317" s="71"/>
      <x:c r="K317" s="71"/>
      <x:c r="L317" s="71"/>
      <x:c r="M317" s="71"/>
      <x:c r="N317" s="71"/>
      <x:c r="O317" s="70">
        <x:v>45</x:v>
      </x:c>
      <x:c r="P317" s="70">
        <x:v>28</x:v>
      </x:c>
      <x:c r="Q317" s="70">
        <x:v>360</x:v>
      </x:c>
      <x:c r="R317" s="70">
        <x:v>21.2</x:v>
      </x:c>
      <x:c r="S317" s="70">
        <x:v>12.9</x:v>
      </x:c>
      <x:c r="T317" s="70">
        <x:v>2</x:v>
      </x:c>
      <x:c r="U317" s="70">
        <x:v>0</x:v>
      </x:c>
      <x:c r="V317" s="70">
        <x:v>41</x:v>
      </x:c>
      <x:c r="W317" s="70">
        <x:v>2.4</x:v>
      </x:c>
      <x:c r="AM317" s="56"/>
    </x:row>
    <x:row r="318" spans="2:39" ht="15.5" customHeight="1">
      <x:c r="B318" s="69" t="s">
        <x:v>998</x:v>
      </x:c>
      <x:c r="C318" s="70">
        <x:v>17</x:v>
      </x:c>
      <x:c r="D318" s="71"/>
      <x:c r="E318" s="71"/>
      <x:c r="F318" s="71"/>
      <x:c r="G318" s="71"/>
      <x:c r="H318" s="71"/>
      <x:c r="I318" s="71"/>
      <x:c r="J318" s="71"/>
      <x:c r="K318" s="71"/>
      <x:c r="L318" s="71"/>
      <x:c r="M318" s="71"/>
      <x:c r="N318" s="71"/>
      <x:c r="O318" s="70">
        <x:v>43</x:v>
      </x:c>
      <x:c r="P318" s="70">
        <x:v>31</x:v>
      </x:c>
      <x:c r="Q318" s="70">
        <x:v>373</x:v>
      </x:c>
      <x:c r="R318" s="70">
        <x:v>21.9</x:v>
      </x:c>
      <x:c r="S318" s="70">
        <x:v>12</x:v>
      </x:c>
      <x:c r="T318" s="70">
        <x:v>2</x:v>
      </x:c>
      <x:c r="U318" s="70">
        <x:v>0</x:v>
      </x:c>
      <x:c r="V318" s="70">
        <x:v>41</x:v>
      </x:c>
      <x:c r="W318" s="70">
        <x:v>2.4</x:v>
      </x:c>
      <x:c r="AM318" s="56"/>
    </x:row>
    <x:row r="319" spans="2:39" ht="15.5" customHeight="1">
      <x:c r="B319" s="69" t="s">
        <x:v>999</x:v>
      </x:c>
      <x:c r="C319" s="70">
        <x:v>17</x:v>
      </x:c>
      <x:c r="D319" s="71"/>
      <x:c r="E319" s="71"/>
      <x:c r="F319" s="71"/>
      <x:c r="G319" s="71"/>
      <x:c r="H319" s="71"/>
      <x:c r="I319" s="71"/>
      <x:c r="J319" s="71"/>
      <x:c r="K319" s="71"/>
      <x:c r="L319" s="71"/>
      <x:c r="M319" s="71"/>
      <x:c r="N319" s="71"/>
      <x:c r="O319" s="70">
        <x:v>58</x:v>
      </x:c>
      <x:c r="P319" s="70">
        <x:v>39</x:v>
      </x:c>
      <x:c r="Q319" s="70">
        <x:v>371</x:v>
      </x:c>
      <x:c r="R319" s="70">
        <x:v>21.8</x:v>
      </x:c>
      <x:c r="S319" s="70">
        <x:v>9.5</x:v>
      </x:c>
      <x:c r="T319" s="70">
        <x:v>2</x:v>
      </x:c>
      <x:c r="U319" s="70">
        <x:v>1</x:v>
      </x:c>
      <x:c r="V319" s="70">
        <x:v>39</x:v>
      </x:c>
      <x:c r="W319" s="70">
        <x:v>2.2999999999999998</x:v>
      </x:c>
      <x:c r="AM319" s="56"/>
    </x:row>
    <x:row r="320" spans="2:39" ht="15.5" customHeight="1">
      <x:c r="B320" s="69" t="s">
        <x:v>1000</x:v>
      </x:c>
      <x:c r="C320" s="70">
        <x:v>17</x:v>
      </x:c>
      <x:c r="D320" s="71"/>
      <x:c r="E320" s="71"/>
      <x:c r="F320" s="71"/>
      <x:c r="G320" s="71"/>
      <x:c r="H320" s="71"/>
      <x:c r="I320" s="71"/>
      <x:c r="J320" s="71"/>
      <x:c r="K320" s="71"/>
      <x:c r="L320" s="71"/>
      <x:c r="M320" s="71"/>
      <x:c r="N320" s="71"/>
      <x:c r="O320" s="70">
        <x:v>57</x:v>
      </x:c>
      <x:c r="P320" s="70">
        <x:v>38</x:v>
      </x:c>
      <x:c r="Q320" s="70">
        <x:v>354</x:v>
      </x:c>
      <x:c r="R320" s="70">
        <x:v>20.8</x:v>
      </x:c>
      <x:c r="S320" s="70">
        <x:v>9.3000000000000007</x:v>
      </x:c>
      <x:c r="T320" s="70">
        <x:v>2</x:v>
      </x:c>
      <x:c r="U320" s="70">
        <x:v>1</x:v>
      </x:c>
      <x:c r="V320" s="70">
        <x:v>37</x:v>
      </x:c>
      <x:c r="W320" s="70">
        <x:v>2.2000000000000002</x:v>
      </x:c>
      <x:c r="AM320" s="56"/>
    </x:row>
    <x:row r="321" spans="2:39" ht="15.5" customHeight="1">
      <x:c r="B321" s="69" t="s">
        <x:v>1001</x:v>
      </x:c>
      <x:c r="C321" s="70">
        <x:v>17</x:v>
      </x:c>
      <x:c r="D321" s="71"/>
      <x:c r="E321" s="71"/>
      <x:c r="F321" s="71"/>
      <x:c r="G321" s="71"/>
      <x:c r="H321" s="71"/>
      <x:c r="I321" s="71"/>
      <x:c r="J321" s="71"/>
      <x:c r="K321" s="71"/>
      <x:c r="L321" s="71"/>
      <x:c r="M321" s="71"/>
      <x:c r="N321" s="71"/>
      <x:c r="O321" s="70">
        <x:v>47</x:v>
      </x:c>
      <x:c r="P321" s="70">
        <x:v>30</x:v>
      </x:c>
      <x:c r="Q321" s="70">
        <x:v>271</x:v>
      </x:c>
      <x:c r="R321" s="70">
        <x:v>15.9</x:v>
      </x:c>
      <x:c r="S321" s="70">
        <x:v>9</x:v>
      </x:c>
      <x:c r="T321" s="70">
        <x:v>3</x:v>
      </x:c>
      <x:c r="U321" s="70">
        <x:v>0</x:v>
      </x:c>
      <x:c r="V321" s="70">
        <x:v>36</x:v>
      </x:c>
      <x:c r="W321" s="70">
        <x:v>2.1</x:v>
      </x:c>
      <x:c r="AM321" s="56"/>
    </x:row>
    <x:row r="322" spans="2:39" ht="15.5" customHeight="1">
      <x:c r="B322" s="69" t="s">
        <x:v>323</x:v>
      </x:c>
      <x:c r="C322" s="70">
        <x:v>17</x:v>
      </x:c>
      <x:c r="D322" s="71"/>
      <x:c r="E322" s="71"/>
      <x:c r="F322" s="71"/>
      <x:c r="G322" s="71"/>
      <x:c r="H322" s="71"/>
      <x:c r="I322" s="71"/>
      <x:c r="J322" s="71"/>
      <x:c r="K322" s="71"/>
      <x:c r="L322" s="71"/>
      <x:c r="M322" s="71"/>
      <x:c r="N322" s="71"/>
      <x:c r="O322" s="70">
        <x:v>31</x:v>
      </x:c>
      <x:c r="P322" s="70">
        <x:v>26</x:v>
      </x:c>
      <x:c r="Q322" s="70">
        <x:v>251</x:v>
      </x:c>
      <x:c r="R322" s="70">
        <x:v>14.8</x:v>
      </x:c>
      <x:c r="S322" s="70">
        <x:v>9.6999999999999993</x:v>
      </x:c>
      <x:c r="T322" s="70">
        <x:v>3</x:v>
      </x:c>
      <x:c r="U322" s="70">
        <x:v>0</x:v>
      </x:c>
      <x:c r="V322" s="70">
        <x:v>34</x:v>
      </x:c>
      <x:c r="W322" s="70">
        <x:v>2</x:v>
      </x:c>
      <x:c r="AM322" s="56"/>
    </x:row>
    <x:row r="323" spans="2:39" ht="15.5" customHeight="1">
      <x:c r="B323" s="69" t="s">
        <x:v>1002</x:v>
      </x:c>
      <x:c r="C323" s="70">
        <x:v>17</x:v>
      </x:c>
      <x:c r="D323" s="71"/>
      <x:c r="E323" s="71"/>
      <x:c r="F323" s="71"/>
      <x:c r="G323" s="71"/>
      <x:c r="H323" s="71"/>
      <x:c r="I323" s="71"/>
      <x:c r="J323" s="71"/>
      <x:c r="K323" s="71"/>
      <x:c r="L323" s="71"/>
      <x:c r="M323" s="71"/>
      <x:c r="N323" s="71"/>
      <x:c r="O323" s="70">
        <x:v>32</x:v>
      </x:c>
      <x:c r="P323" s="70">
        <x:v>22</x:v>
      </x:c>
      <x:c r="Q323" s="70">
        <x:v>260</x:v>
      </x:c>
      <x:c r="R323" s="70">
        <x:v>15.3</x:v>
      </x:c>
      <x:c r="S323" s="70">
        <x:v>11.8</x:v>
      </x:c>
      <x:c r="T323" s="70">
        <x:v>3</x:v>
      </x:c>
      <x:c r="U323" s="70">
        <x:v>1</x:v>
      </x:c>
      <x:c r="V323" s="70">
        <x:v>34</x:v>
      </x:c>
      <x:c r="W323" s="70">
        <x:v>2</x:v>
      </x:c>
      <x:c r="AM323" s="56"/>
    </x:row>
    <x:row r="324" spans="2:39" ht="15.5" customHeight="1">
      <x:c r="B324" s="69" t="s">
        <x:v>325</x:v>
      </x:c>
      <x:c r="C324" s="70">
        <x:v>17</x:v>
      </x:c>
      <x:c r="D324" s="71"/>
      <x:c r="E324" s="71"/>
      <x:c r="F324" s="71"/>
      <x:c r="G324" s="71"/>
      <x:c r="H324" s="71"/>
      <x:c r="I324" s="71"/>
      <x:c r="J324" s="71"/>
      <x:c r="K324" s="71"/>
      <x:c r="L324" s="71"/>
      <x:c r="M324" s="71"/>
      <x:c r="N324" s="71"/>
      <x:c r="O324" s="70">
        <x:v>40</x:v>
      </x:c>
      <x:c r="P324" s="70">
        <x:v>28</x:v>
      </x:c>
      <x:c r="Q324" s="70">
        <x:v>297</x:v>
      </x:c>
      <x:c r="R324" s="70">
        <x:v>17.5</x:v>
      </x:c>
      <x:c r="S324" s="70">
        <x:v>10.6</x:v>
      </x:c>
      <x:c r="T324" s="70">
        <x:v>2</x:v>
      </x:c>
      <x:c r="U324" s="70">
        <x:v>0</x:v>
      </x:c>
      <x:c r="V324" s="70">
        <x:v>33</x:v>
      </x:c>
      <x:c r="W324" s="70">
        <x:v>1.9</x:v>
      </x:c>
      <x:c r="AM324" s="56"/>
    </x:row>
    <x:row r="325" spans="2:39" ht="15.5" customHeight="1">
      <x:c r="B325" s="69" t="s">
        <x:v>337</x:v>
      </x:c>
      <x:c r="C325" s="70">
        <x:v>17</x:v>
      </x:c>
      <x:c r="D325" s="71"/>
      <x:c r="E325" s="71"/>
      <x:c r="F325" s="71"/>
      <x:c r="G325" s="71"/>
      <x:c r="H325" s="71"/>
      <x:c r="I325" s="71"/>
      <x:c r="J325" s="71"/>
      <x:c r="K325" s="71"/>
      <x:c r="L325" s="71"/>
      <x:c r="M325" s="71"/>
      <x:c r="N325" s="71"/>
      <x:c r="O325" s="70">
        <x:v>38</x:v>
      </x:c>
      <x:c r="P325" s="70">
        <x:v>25</x:v>
      </x:c>
      <x:c r="Q325" s="70">
        <x:v>233</x:v>
      </x:c>
      <x:c r="R325" s="70">
        <x:v>13.7</x:v>
      </x:c>
      <x:c r="S325" s="70">
        <x:v>9.3000000000000007</x:v>
      </x:c>
      <x:c r="T325" s="70">
        <x:v>3</x:v>
      </x:c>
      <x:c r="U325" s="70">
        <x:v>0</x:v>
      </x:c>
      <x:c r="V325" s="70">
        <x:v>33</x:v>
      </x:c>
      <x:c r="W325" s="70">
        <x:v>1.9</x:v>
      </x:c>
      <x:c r="AM325" s="56"/>
    </x:row>
    <x:row r="326" spans="2:39" ht="15.5" customHeight="1">
      <x:c r="B326" s="69" t="s">
        <x:v>1003</x:v>
      </x:c>
      <x:c r="C326" s="70">
        <x:v>17</x:v>
      </x:c>
      <x:c r="D326" s="71"/>
      <x:c r="E326" s="71"/>
      <x:c r="F326" s="71"/>
      <x:c r="G326" s="71"/>
      <x:c r="H326" s="71"/>
      <x:c r="I326" s="71"/>
      <x:c r="J326" s="71"/>
      <x:c r="K326" s="71"/>
      <x:c r="L326" s="71"/>
      <x:c r="M326" s="71"/>
      <x:c r="N326" s="71"/>
      <x:c r="O326" s="70">
        <x:v>35</x:v>
      </x:c>
      <x:c r="P326" s="70">
        <x:v>27</x:v>
      </x:c>
      <x:c r="Q326" s="70">
        <x:v>259</x:v>
      </x:c>
      <x:c r="R326" s="70">
        <x:v>15.2</x:v>
      </x:c>
      <x:c r="S326" s="70">
        <x:v>9.6</x:v>
      </x:c>
      <x:c r="T326" s="70">
        <x:v>2</x:v>
      </x:c>
      <x:c r="U326" s="70">
        <x:v>0</x:v>
      </x:c>
      <x:c r="V326" s="70">
        <x:v>30</x:v>
      </x:c>
      <x:c r="W326" s="70">
        <x:v>1.8</x:v>
      </x:c>
      <x:c r="AM326" s="56"/>
    </x:row>
    <x:row r="327" spans="2:39" ht="15.5" customHeight="1">
      <x:c r="B327" s="69" t="s">
        <x:v>327</x:v>
      </x:c>
      <x:c r="C327" s="70">
        <x:v>17</x:v>
      </x:c>
      <x:c r="D327" s="71"/>
      <x:c r="E327" s="71"/>
      <x:c r="F327" s="71"/>
      <x:c r="G327" s="71"/>
      <x:c r="H327" s="71"/>
      <x:c r="I327" s="71"/>
      <x:c r="J327" s="71"/>
      <x:c r="K327" s="71"/>
      <x:c r="L327" s="71"/>
      <x:c r="M327" s="71"/>
      <x:c r="N327" s="71"/>
      <x:c r="O327" s="70">
        <x:v>36</x:v>
      </x:c>
      <x:c r="P327" s="70">
        <x:v>27</x:v>
      </x:c>
      <x:c r="Q327" s="70">
        <x:v>256</x:v>
      </x:c>
      <x:c r="R327" s="70">
        <x:v>15.1</x:v>
      </x:c>
      <x:c r="S327" s="70">
        <x:v>9.5</x:v>
      </x:c>
      <x:c r="T327" s="70">
        <x:v>2</x:v>
      </x:c>
      <x:c r="U327" s="70">
        <x:v>1</x:v>
      </x:c>
      <x:c r="V327" s="70">
        <x:v>28</x:v>
      </x:c>
      <x:c r="W327" s="70">
        <x:v>1.6</x:v>
      </x:c>
      <x:c r="AM327" s="56"/>
    </x:row>
    <x:row r="328" spans="2:39" ht="15.5" customHeight="1">
      <x:c r="B328" s="69" t="s">
        <x:v>321</x:v>
      </x:c>
      <x:c r="C328" s="70">
        <x:v>17</x:v>
      </x:c>
      <x:c r="D328" s="71"/>
      <x:c r="E328" s="71"/>
      <x:c r="F328" s="71"/>
      <x:c r="G328" s="71"/>
      <x:c r="H328" s="71"/>
      <x:c r="I328" s="71"/>
      <x:c r="J328" s="71"/>
      <x:c r="K328" s="71"/>
      <x:c r="L328" s="71"/>
      <x:c r="M328" s="71"/>
      <x:c r="N328" s="71"/>
      <x:c r="O328" s="70">
        <x:v>26</x:v>
      </x:c>
      <x:c r="P328" s="70">
        <x:v>16</x:v>
      </x:c>
      <x:c r="Q328" s="70">
        <x:v>250</x:v>
      </x:c>
      <x:c r="R328" s="70">
        <x:v>14.7</x:v>
      </x:c>
      <x:c r="S328" s="70">
        <x:v>15.6</x:v>
      </x:c>
      <x:c r="T328" s="70">
        <x:v>2</x:v>
      </x:c>
      <x:c r="U328" s="70">
        <x:v>0</x:v>
      </x:c>
      <x:c r="V328" s="70">
        <x:v>28</x:v>
      </x:c>
      <x:c r="W328" s="70">
        <x:v>1.6</x:v>
      </x:c>
      <x:c r="AM328" s="56"/>
    </x:row>
    <x:row r="329" spans="2:39" ht="15.5" customHeight="1">
      <x:c r="B329" s="69" t="s">
        <x:v>340</x:v>
      </x:c>
      <x:c r="C329" s="70">
        <x:v>17</x:v>
      </x:c>
      <x:c r="D329" s="71"/>
      <x:c r="E329" s="71"/>
      <x:c r="F329" s="71"/>
      <x:c r="G329" s="71"/>
      <x:c r="H329" s="71"/>
      <x:c r="I329" s="71"/>
      <x:c r="J329" s="71"/>
      <x:c r="K329" s="71"/>
      <x:c r="L329" s="71"/>
      <x:c r="M329" s="71"/>
      <x:c r="N329" s="71"/>
      <x:c r="O329" s="70">
        <x:v>34</x:v>
      </x:c>
      <x:c r="P329" s="70">
        <x:v>30</x:v>
      </x:c>
      <x:c r="Q329" s="70">
        <x:v>315</x:v>
      </x:c>
      <x:c r="R329" s="70">
        <x:v>18.5</x:v>
      </x:c>
      <x:c r="S329" s="70">
        <x:v>10.5</x:v>
      </x:c>
      <x:c r="T329" s="70">
        <x:v>1</x:v>
      </x:c>
      <x:c r="U329" s="70">
        <x:v>0</x:v>
      </x:c>
      <x:c r="V329" s="70">
        <x:v>28</x:v>
      </x:c>
      <x:c r="W329" s="70">
        <x:v>1.6</x:v>
      </x:c>
      <x:c r="AM329" s="56"/>
    </x:row>
    <x:row r="330" spans="2:39" ht="15.5" customHeight="1">
      <x:c r="B330" s="69" t="s">
        <x:v>1004</x:v>
      </x:c>
      <x:c r="C330" s="70">
        <x:v>17</x:v>
      </x:c>
      <x:c r="D330" s="71"/>
      <x:c r="E330" s="71"/>
      <x:c r="F330" s="71"/>
      <x:c r="G330" s="71"/>
      <x:c r="H330" s="71"/>
      <x:c r="I330" s="71"/>
      <x:c r="J330" s="71"/>
      <x:c r="K330" s="71"/>
      <x:c r="L330" s="71"/>
      <x:c r="M330" s="71"/>
      <x:c r="N330" s="71"/>
      <x:c r="O330" s="70">
        <x:v>22</x:v>
      </x:c>
      <x:c r="P330" s="70">
        <x:v>16</x:v>
      </x:c>
      <x:c r="Q330" s="70">
        <x:v>179</x:v>
      </x:c>
      <x:c r="R330" s="70">
        <x:v>10.5</x:v>
      </x:c>
      <x:c r="S330" s="70">
        <x:v>11.2</x:v>
      </x:c>
      <x:c r="T330" s="70">
        <x:v>2</x:v>
      </x:c>
      <x:c r="U330" s="70">
        <x:v>0</x:v>
      </x:c>
      <x:c r="V330" s="70">
        <x:v>22</x:v>
      </x:c>
      <x:c r="W330" s="70">
        <x:v>1.3</x:v>
      </x:c>
      <x:c r="AM330" s="56"/>
    </x:row>
    <x:row r="331" spans="2:39" ht="15.5" customHeight="1">
      <x:c r="B331" s="69" t="s">
        <x:v>330</x:v>
      </x:c>
      <x:c r="C331" s="70">
        <x:v>17</x:v>
      </x:c>
      <x:c r="D331" s="71"/>
      <x:c r="E331" s="71"/>
      <x:c r="F331" s="71"/>
      <x:c r="G331" s="71"/>
      <x:c r="H331" s="71"/>
      <x:c r="I331" s="71"/>
      <x:c r="J331" s="71"/>
      <x:c r="K331" s="71"/>
      <x:c r="L331" s="71"/>
      <x:c r="M331" s="71"/>
      <x:c r="N331" s="71"/>
      <x:c r="O331" s="70">
        <x:v>16</x:v>
      </x:c>
      <x:c r="P331" s="70">
        <x:v>11</x:v>
      </x:c>
      <x:c r="Q331" s="70">
        <x:v>179</x:v>
      </x:c>
      <x:c r="R331" s="70">
        <x:v>10.5</x:v>
      </x:c>
      <x:c r="S331" s="70">
        <x:v>16.3</x:v>
      </x:c>
      <x:c r="T331" s="70">
        <x:v>2</x:v>
      </x:c>
      <x:c r="U331" s="70">
        <x:v>0</x:v>
      </x:c>
      <x:c r="V331" s="70">
        <x:v>22</x:v>
      </x:c>
      <x:c r="W331" s="70">
        <x:v>1.3</x:v>
      </x:c>
      <x:c r="AM331" s="56"/>
    </x:row>
    <x:row r="332" spans="2:39" ht="15.5" customHeight="1">
      <x:c r="B332" s="69" t="s">
        <x:v>348</x:v>
      </x:c>
      <x:c r="C332" s="70">
        <x:v>17</x:v>
      </x:c>
      <x:c r="D332" s="71"/>
      <x:c r="E332" s="71"/>
      <x:c r="F332" s="71"/>
      <x:c r="G332" s="71"/>
      <x:c r="H332" s="71"/>
      <x:c r="I332" s="71"/>
      <x:c r="J332" s="71"/>
      <x:c r="K332" s="71"/>
      <x:c r="L332" s="71"/>
      <x:c r="M332" s="71"/>
      <x:c r="N332" s="71"/>
      <x:c r="O332" s="70">
        <x:v>35</x:v>
      </x:c>
      <x:c r="P332" s="70">
        <x:v>24</x:v>
      </x:c>
      <x:c r="Q332" s="70">
        <x:v>204</x:v>
      </x:c>
      <x:c r="R332" s="70">
        <x:v>12</x:v>
      </x:c>
      <x:c r="S332" s="70">
        <x:v>8.5</x:v>
      </x:c>
      <x:c r="T332" s="70">
        <x:v>1</x:v>
      </x:c>
      <x:c r="U332" s="70">
        <x:v>0</x:v>
      </x:c>
      <x:c r="V332" s="70">
        <x:v>19</x:v>
      </x:c>
      <x:c r="W332" s="70">
        <x:v>1.1000000000000001</x:v>
      </x:c>
      <x:c r="AM332" s="56"/>
    </x:row>
    <x:row r="333" spans="2:39" ht="15.5" customHeight="1">
      <x:c r="B333" s="69" t="s">
        <x:v>1005</x:v>
      </x:c>
      <x:c r="C333" s="70">
        <x:v>17</x:v>
      </x:c>
      <x:c r="D333" s="71"/>
      <x:c r="E333" s="71"/>
      <x:c r="F333" s="71"/>
      <x:c r="G333" s="71"/>
      <x:c r="H333" s="71"/>
      <x:c r="I333" s="71"/>
      <x:c r="J333" s="71"/>
      <x:c r="K333" s="71"/>
      <x:c r="L333" s="71"/>
      <x:c r="M333" s="71"/>
      <x:c r="N333" s="71"/>
      <x:c r="O333" s="70">
        <x:v>7</x:v>
      </x:c>
      <x:c r="P333" s="70">
        <x:v>6</x:v>
      </x:c>
      <x:c r="Q333" s="70">
        <x:v>49</x:v>
      </x:c>
      <x:c r="R333" s="70">
        <x:v>2.9</x:v>
      </x:c>
      <x:c r="S333" s="70">
        <x:v>8.1999999999999993</x:v>
      </x:c>
      <x:c r="T333" s="70">
        <x:v>3</x:v>
      </x:c>
      <x:c r="U333" s="70">
        <x:v>0</x:v>
      </x:c>
      <x:c r="V333" s="70">
        <x:v>19</x:v>
      </x:c>
      <x:c r="W333" s="70">
        <x:v>1.1000000000000001</x:v>
      </x:c>
      <x:c r="AM333" s="56"/>
    </x:row>
    <x:row r="334" spans="2:39" ht="15.5" customHeight="1">
      <x:c r="B334" s="69" t="s">
        <x:v>335</x:v>
      </x:c>
      <x:c r="C334" s="70">
        <x:v>17</x:v>
      </x:c>
      <x:c r="D334" s="71"/>
      <x:c r="E334" s="71"/>
      <x:c r="F334" s="71"/>
      <x:c r="G334" s="71"/>
      <x:c r="H334" s="71"/>
      <x:c r="I334" s="71"/>
      <x:c r="J334" s="71"/>
      <x:c r="K334" s="71"/>
      <x:c r="L334" s="71"/>
      <x:c r="M334" s="71"/>
      <x:c r="N334" s="71"/>
      <x:c r="O334" s="70">
        <x:v>34</x:v>
      </x:c>
      <x:c r="P334" s="70">
        <x:v>21</x:v>
      </x:c>
      <x:c r="Q334" s="70">
        <x:v>210</x:v>
      </x:c>
      <x:c r="R334" s="70">
        <x:v>12.4</x:v>
      </x:c>
      <x:c r="S334" s="70">
        <x:v>10</x:v>
      </x:c>
      <x:c r="T334" s="70">
        <x:v>1</x:v>
      </x:c>
      <x:c r="U334" s="70">
        <x:v>0</x:v>
      </x:c>
      <x:c r="V334" s="70">
        <x:v>19</x:v>
      </x:c>
      <x:c r="W334" s="70">
        <x:v>1.1000000000000001</x:v>
      </x:c>
      <x:c r="AM334" s="56"/>
    </x:row>
    <x:row r="335" spans="2:39" ht="15.5" customHeight="1">
      <x:c r="B335" s="69" t="s">
        <x:v>349</x:v>
      </x:c>
      <x:c r="C335" s="70">
        <x:v>17</x:v>
      </x:c>
      <x:c r="D335" s="71"/>
      <x:c r="E335" s="71"/>
      <x:c r="F335" s="71"/>
      <x:c r="G335" s="71"/>
      <x:c r="H335" s="71"/>
      <x:c r="I335" s="71"/>
      <x:c r="J335" s="71"/>
      <x:c r="K335" s="71"/>
      <x:c r="L335" s="71"/>
      <x:c r="M335" s="71"/>
      <x:c r="N335" s="71"/>
      <x:c r="O335" s="70">
        <x:v>15</x:v>
      </x:c>
      <x:c r="P335" s="70">
        <x:v>11</x:v>
      </x:c>
      <x:c r="Q335" s="70">
        <x:v>119</x:v>
      </x:c>
      <x:c r="R335" s="70">
        <x:v>7</x:v>
      </x:c>
      <x:c r="S335" s="70">
        <x:v>10.8</x:v>
      </x:c>
      <x:c r="T335" s="70">
        <x:v>2</x:v>
      </x:c>
      <x:c r="U335" s="70">
        <x:v>0</x:v>
      </x:c>
      <x:c r="V335" s="70">
        <x:v>17</x:v>
      </x:c>
      <x:c r="W335" s="70">
        <x:v>1</x:v>
      </x:c>
      <x:c r="AM335" s="56"/>
    </x:row>
    <x:row r="336" spans="2:39" ht="15.5" customHeight="1">
      <x:c r="B336" s="69" t="s">
        <x:v>1006</x:v>
      </x:c>
      <x:c r="C336" s="70">
        <x:v>17</x:v>
      </x:c>
      <x:c r="D336" s="71"/>
      <x:c r="E336" s="71"/>
      <x:c r="F336" s="71"/>
      <x:c r="G336" s="71"/>
      <x:c r="H336" s="71"/>
      <x:c r="I336" s="71"/>
      <x:c r="J336" s="71"/>
      <x:c r="K336" s="71"/>
      <x:c r="L336" s="71"/>
      <x:c r="M336" s="71"/>
      <x:c r="N336" s="71"/>
      <x:c r="O336" s="70">
        <x:v>12</x:v>
      </x:c>
      <x:c r="P336" s="70">
        <x:v>9</x:v>
      </x:c>
      <x:c r="Q336" s="70">
        <x:v>102</x:v>
      </x:c>
      <x:c r="R336" s="70">
        <x:v>6</x:v>
      </x:c>
      <x:c r="S336" s="70">
        <x:v>11.3</x:v>
      </x:c>
      <x:c r="T336" s="70">
        <x:v>2</x:v>
      </x:c>
      <x:c r="U336" s="70">
        <x:v>0</x:v>
      </x:c>
      <x:c r="V336" s="70">
        <x:v>16</x:v>
      </x:c>
      <x:c r="W336" s="70">
        <x:v>0.9</x:v>
      </x:c>
      <x:c r="AM336" s="56"/>
    </x:row>
    <x:row r="337" spans="2:39" ht="15.5" customHeight="1">
      <x:c r="B337" s="69" t="s">
        <x:v>331</x:v>
      </x:c>
      <x:c r="C337" s="70">
        <x:v>17</x:v>
      </x:c>
      <x:c r="D337" s="71"/>
      <x:c r="E337" s="71"/>
      <x:c r="F337" s="71"/>
      <x:c r="G337" s="71"/>
      <x:c r="H337" s="71"/>
      <x:c r="I337" s="71"/>
      <x:c r="J337" s="71"/>
      <x:c r="K337" s="71"/>
      <x:c r="L337" s="71"/>
      <x:c r="M337" s="71"/>
      <x:c r="N337" s="71"/>
      <x:c r="O337" s="70">
        <x:v>13</x:v>
      </x:c>
      <x:c r="P337" s="70">
        <x:v>12</x:v>
      </x:c>
      <x:c r="Q337" s="70">
        <x:v>101</x:v>
      </x:c>
      <x:c r="R337" s="70">
        <x:v>5.9</x:v>
      </x:c>
      <x:c r="S337" s="70">
        <x:v>8.4</x:v>
      </x:c>
      <x:c r="T337" s="70">
        <x:v>2</x:v>
      </x:c>
      <x:c r="U337" s="70">
        <x:v>0</x:v>
      </x:c>
      <x:c r="V337" s="70">
        <x:v>16</x:v>
      </x:c>
      <x:c r="W337" s="70">
        <x:v>0.9</x:v>
      </x:c>
      <x:c r="AM337" s="56"/>
    </x:row>
    <x:row r="338" spans="2:39" ht="15.5" customHeight="1">
      <x:c r="B338" s="69" t="s">
        <x:v>1007</x:v>
      </x:c>
      <x:c r="C338" s="70">
        <x:v>17</x:v>
      </x:c>
      <x:c r="D338" s="71"/>
      <x:c r="E338" s="71"/>
      <x:c r="F338" s="71"/>
      <x:c r="G338" s="71"/>
      <x:c r="H338" s="71"/>
      <x:c r="I338" s="71"/>
      <x:c r="J338" s="71"/>
      <x:c r="K338" s="71"/>
      <x:c r="L338" s="71"/>
      <x:c r="M338" s="71"/>
      <x:c r="N338" s="71"/>
      <x:c r="O338" s="70">
        <x:v>11</x:v>
      </x:c>
      <x:c r="P338" s="70">
        <x:v>11</x:v>
      </x:c>
      <x:c r="Q338" s="70">
        <x:v>93</x:v>
      </x:c>
      <x:c r="R338" s="70">
        <x:v>5.5</x:v>
      </x:c>
      <x:c r="S338" s="70">
        <x:v>8.5</x:v>
      </x:c>
      <x:c r="T338" s="70">
        <x:v>2</x:v>
      </x:c>
      <x:c r="U338" s="70">
        <x:v>0</x:v>
      </x:c>
      <x:c r="V338" s="70">
        <x:v>16</x:v>
      </x:c>
      <x:c r="W338" s="70">
        <x:v>0.9</x:v>
      </x:c>
      <x:c r="AM338" s="56"/>
    </x:row>
    <x:row r="339" spans="2:39" ht="15.5" customHeight="1">
      <x:c r="B339" s="69" t="s">
        <x:v>1008</x:v>
      </x:c>
      <x:c r="C339" s="70">
        <x:v>17</x:v>
      </x:c>
      <x:c r="D339" s="71"/>
      <x:c r="E339" s="71"/>
      <x:c r="F339" s="71"/>
      <x:c r="G339" s="71"/>
      <x:c r="H339" s="71"/>
      <x:c r="I339" s="71"/>
      <x:c r="J339" s="71"/>
      <x:c r="K339" s="71"/>
      <x:c r="L339" s="71"/>
      <x:c r="M339" s="71"/>
      <x:c r="N339" s="71"/>
      <x:c r="O339" s="70">
        <x:v>10</x:v>
      </x:c>
      <x:c r="P339" s="70">
        <x:v>7</x:v>
      </x:c>
      <x:c r="Q339" s="70">
        <x:v>74</x:v>
      </x:c>
      <x:c r="R339" s="70">
        <x:v>4.4000000000000004</x:v>
      </x:c>
      <x:c r="S339" s="70">
        <x:v>10.6</x:v>
      </x:c>
      <x:c r="T339" s="70">
        <x:v>2</x:v>
      </x:c>
      <x:c r="U339" s="70">
        <x:v>0</x:v>
      </x:c>
      <x:c r="V339" s="70">
        <x:v>15</x:v>
      </x:c>
      <x:c r="W339" s="70">
        <x:v>0.9</x:v>
      </x:c>
      <x:c r="AM339" s="56"/>
    </x:row>
    <x:row r="340" spans="2:39" ht="15.5" customHeight="1">
      <x:c r="B340" s="69" t="s">
        <x:v>1009</x:v>
      </x:c>
      <x:c r="C340" s="70">
        <x:v>17</x:v>
      </x:c>
      <x:c r="D340" s="71"/>
      <x:c r="E340" s="71"/>
      <x:c r="F340" s="71"/>
      <x:c r="G340" s="71"/>
      <x:c r="H340" s="71"/>
      <x:c r="I340" s="71"/>
      <x:c r="J340" s="71"/>
      <x:c r="K340" s="71"/>
      <x:c r="L340" s="71"/>
      <x:c r="M340" s="71"/>
      <x:c r="N340" s="71"/>
      <x:c r="O340" s="70">
        <x:v>14</x:v>
      </x:c>
      <x:c r="P340" s="70">
        <x:v>11</x:v>
      </x:c>
      <x:c r="Q340" s="70">
        <x:v>133</x:v>
      </x:c>
      <x:c r="R340" s="70">
        <x:v>7.8</x:v>
      </x:c>
      <x:c r="S340" s="70">
        <x:v>12.1</x:v>
      </x:c>
      <x:c r="T340" s="70">
        <x:v>1</x:v>
      </x:c>
      <x:c r="U340" s="70">
        <x:v>0</x:v>
      </x:c>
      <x:c r="V340" s="70">
        <x:v>13</x:v>
      </x:c>
      <x:c r="W340" s="70">
        <x:v>0.8</x:v>
      </x:c>
      <x:c r="AM340" s="56"/>
    </x:row>
    <x:row r="341" spans="2:39" ht="15.5" customHeight="1">
      <x:c r="B341" s="69" t="s">
        <x:v>1010</x:v>
      </x:c>
      <x:c r="C341" s="70">
        <x:v>17</x:v>
      </x:c>
      <x:c r="D341" s="71"/>
      <x:c r="E341" s="71"/>
      <x:c r="F341" s="71"/>
      <x:c r="G341" s="71"/>
      <x:c r="H341" s="71"/>
      <x:c r="I341" s="71"/>
      <x:c r="J341" s="71"/>
      <x:c r="K341" s="71"/>
      <x:c r="L341" s="71"/>
      <x:c r="M341" s="71"/>
      <x:c r="N341" s="71"/>
      <x:c r="O341" s="70">
        <x:v>24</x:v>
      </x:c>
      <x:c r="P341" s="70">
        <x:v>17</x:v>
      </x:c>
      <x:c r="Q341" s="70">
        <x:v>157</x:v>
      </x:c>
      <x:c r="R341" s="70">
        <x:v>9.1999999999999993</x:v>
      </x:c>
      <x:c r="S341" s="70">
        <x:v>9.1999999999999993</x:v>
      </x:c>
      <x:c r="T341" s="70">
        <x:v>1</x:v>
      </x:c>
      <x:c r="U341" s="70">
        <x:v>0</x:v>
      </x:c>
      <x:c r="V341" s="70">
        <x:v>13</x:v>
      </x:c>
      <x:c r="W341" s="70">
        <x:v>0.8</x:v>
      </x:c>
      <x:c r="AM341" s="56"/>
    </x:row>
    <x:row r="342" spans="2:39" ht="15.5" customHeight="1">
      <x:c r="B342" s="69" t="s">
        <x:v>351</x:v>
      </x:c>
      <x:c r="C342" s="70">
        <x:v>17</x:v>
      </x:c>
      <x:c r="D342" s="71"/>
      <x:c r="E342" s="71"/>
      <x:c r="F342" s="71"/>
      <x:c r="G342" s="71"/>
      <x:c r="H342" s="71"/>
      <x:c r="I342" s="71"/>
      <x:c r="J342" s="71"/>
      <x:c r="K342" s="71"/>
      <x:c r="L342" s="71"/>
      <x:c r="M342" s="71"/>
      <x:c r="N342" s="71"/>
      <x:c r="O342" s="70">
        <x:v>20</x:v>
      </x:c>
      <x:c r="P342" s="70">
        <x:v>10</x:v>
      </x:c>
      <x:c r="Q342" s="70">
        <x:v>161</x:v>
      </x:c>
      <x:c r="R342" s="70">
        <x:v>9.5</x:v>
      </x:c>
      <x:c r="S342" s="70">
        <x:v>16.100000000000001</x:v>
      </x:c>
      <x:c r="T342" s="70">
        <x:v>1</x:v>
      </x:c>
      <x:c r="U342" s="70">
        <x:v>0</x:v>
      </x:c>
      <x:c r="V342" s="70">
        <x:v>13</x:v>
      </x:c>
      <x:c r="W342" s="70">
        <x:v>0.8</x:v>
      </x:c>
      <x:c r="AM342" s="56"/>
    </x:row>
    <x:row r="343" spans="2:39" ht="15.5" customHeight="1">
      <x:c r="B343" s="69" t="s">
        <x:v>342</x:v>
      </x:c>
      <x:c r="C343" s="70">
        <x:v>17</x:v>
      </x:c>
      <x:c r="D343" s="71"/>
      <x:c r="E343" s="71"/>
      <x:c r="F343" s="71"/>
      <x:c r="G343" s="71"/>
      <x:c r="H343" s="71"/>
      <x:c r="I343" s="71"/>
      <x:c r="J343" s="71"/>
      <x:c r="K343" s="71"/>
      <x:c r="L343" s="71"/>
      <x:c r="M343" s="71"/>
      <x:c r="N343" s="71"/>
      <x:c r="O343" s="70">
        <x:v>21</x:v>
      </x:c>
      <x:c r="P343" s="70">
        <x:v>12</x:v>
      </x:c>
      <x:c r="Q343" s="70">
        <x:v>158</x:v>
      </x:c>
      <x:c r="R343" s="70">
        <x:v>9.3000000000000007</x:v>
      </x:c>
      <x:c r="S343" s="70">
        <x:v>13.2</x:v>
      </x:c>
      <x:c r="T343" s="70">
        <x:v>1</x:v>
      </x:c>
      <x:c r="U343" s="70">
        <x:v>0</x:v>
      </x:c>
      <x:c r="V343" s="70">
        <x:v>13</x:v>
      </x:c>
      <x:c r="W343" s="70">
        <x:v>0.8</x:v>
      </x:c>
      <x:c r="AM343" s="56"/>
    </x:row>
    <x:row r="344" spans="2:39" ht="15.5" customHeight="1">
      <x:c r="B344" s="69" t="s">
        <x:v>1011</x:v>
      </x:c>
      <x:c r="C344" s="70">
        <x:v>17</x:v>
      </x:c>
      <x:c r="D344" s="71"/>
      <x:c r="E344" s="71"/>
      <x:c r="F344" s="71"/>
      <x:c r="G344" s="71"/>
      <x:c r="H344" s="71"/>
      <x:c r="I344" s="71"/>
      <x:c r="J344" s="71"/>
      <x:c r="K344" s="71"/>
      <x:c r="L344" s="71"/>
      <x:c r="M344" s="71"/>
      <x:c r="N344" s="71"/>
      <x:c r="O344" s="70">
        <x:v>19</x:v>
      </x:c>
      <x:c r="P344" s="70">
        <x:v>16</x:v>
      </x:c>
      <x:c r="Q344" s="70">
        <x:v>158</x:v>
      </x:c>
      <x:c r="R344" s="70">
        <x:v>9.3000000000000007</x:v>
      </x:c>
      <x:c r="S344" s="70">
        <x:v>9.9</x:v>
      </x:c>
      <x:c r="T344" s="70">
        <x:v>1</x:v>
      </x:c>
      <x:c r="U344" s="70">
        <x:v>0</x:v>
      </x:c>
      <x:c r="V344" s="70">
        <x:v>13</x:v>
      </x:c>
      <x:c r="W344" s="70">
        <x:v>0.8</x:v>
      </x:c>
      <x:c r="AM344" s="56"/>
    </x:row>
    <x:row r="345" spans="2:39" ht="15.5" customHeight="1">
      <x:c r="B345" s="69" t="s">
        <x:v>341</x:v>
      </x:c>
      <x:c r="C345" s="70">
        <x:v>17</x:v>
      </x:c>
      <x:c r="D345" s="71"/>
      <x:c r="E345" s="71"/>
      <x:c r="F345" s="71"/>
      <x:c r="G345" s="71"/>
      <x:c r="H345" s="71"/>
      <x:c r="I345" s="71"/>
      <x:c r="J345" s="71"/>
      <x:c r="K345" s="71"/>
      <x:c r="L345" s="71"/>
      <x:c r="M345" s="71"/>
      <x:c r="N345" s="71"/>
      <x:c r="O345" s="70">
        <x:v>15</x:v>
      </x:c>
      <x:c r="P345" s="70">
        <x:v>11</x:v>
      </x:c>
      <x:c r="Q345" s="70">
        <x:v>159</x:v>
      </x:c>
      <x:c r="R345" s="70">
        <x:v>9.4</x:v>
      </x:c>
      <x:c r="S345" s="70">
        <x:v>14.5</x:v>
      </x:c>
      <x:c r="T345" s="70">
        <x:v>1</x:v>
      </x:c>
      <x:c r="U345" s="70">
        <x:v>0</x:v>
      </x:c>
      <x:c r="V345" s="70">
        <x:v>13</x:v>
      </x:c>
      <x:c r="W345" s="70">
        <x:v>0.8</x:v>
      </x:c>
      <x:c r="AM345" s="56"/>
    </x:row>
    <x:row r="346" spans="2:39" ht="15.5" customHeight="1">
      <x:c r="B346" s="69" t="s">
        <x:v>338</x:v>
      </x:c>
      <x:c r="C346" s="70">
        <x:v>17</x:v>
      </x:c>
      <x:c r="D346" s="71"/>
      <x:c r="E346" s="71"/>
      <x:c r="F346" s="71"/>
      <x:c r="G346" s="71"/>
      <x:c r="H346" s="71"/>
      <x:c r="I346" s="71"/>
      <x:c r="J346" s="71"/>
      <x:c r="K346" s="71"/>
      <x:c r="L346" s="71"/>
      <x:c r="M346" s="71"/>
      <x:c r="N346" s="71"/>
      <x:c r="O346" s="70">
        <x:v>17</x:v>
      </x:c>
      <x:c r="P346" s="70">
        <x:v>12</x:v>
      </x:c>
      <x:c r="Q346" s="70">
        <x:v>136</x:v>
      </x:c>
      <x:c r="R346" s="70">
        <x:v>8</x:v>
      </x:c>
      <x:c r="S346" s="70">
        <x:v>11.3</x:v>
      </x:c>
      <x:c r="T346" s="70">
        <x:v>1</x:v>
      </x:c>
      <x:c r="U346" s="70">
        <x:v>0</x:v>
      </x:c>
      <x:c r="V346" s="70">
        <x:v>12</x:v>
      </x:c>
      <x:c r="W346" s="70">
        <x:v>0.7</x:v>
      </x:c>
      <x:c r="AM346" s="56"/>
    </x:row>
    <x:row r="347" spans="2:39" ht="15.5" customHeight="1">
      <x:c r="B347" s="69" t="s">
        <x:v>336</x:v>
      </x:c>
      <x:c r="C347" s="70">
        <x:v>17</x:v>
      </x:c>
      <x:c r="D347" s="71"/>
      <x:c r="E347" s="71"/>
      <x:c r="F347" s="71"/>
      <x:c r="G347" s="71"/>
      <x:c r="H347" s="71"/>
      <x:c r="I347" s="71"/>
      <x:c r="J347" s="71"/>
      <x:c r="K347" s="71"/>
      <x:c r="L347" s="71"/>
      <x:c r="M347" s="71"/>
      <x:c r="N347" s="71"/>
      <x:c r="O347" s="70">
        <x:v>24</x:v>
      </x:c>
      <x:c r="P347" s="70">
        <x:v>16</x:v>
      </x:c>
      <x:c r="Q347" s="70">
        <x:v>145</x:v>
      </x:c>
      <x:c r="R347" s="70">
        <x:v>8.5</x:v>
      </x:c>
      <x:c r="S347" s="70">
        <x:v>9.1</x:v>
      </x:c>
      <x:c r="T347" s="70">
        <x:v>1</x:v>
      </x:c>
      <x:c r="U347" s="70">
        <x:v>0</x:v>
      </x:c>
      <x:c r="V347" s="70">
        <x:v>12</x:v>
      </x:c>
      <x:c r="W347" s="70">
        <x:v>0.7</x:v>
      </x:c>
      <x:c r="AM347" s="56"/>
    </x:row>
    <x:row r="348" spans="2:39" ht="15.5" customHeight="1">
      <x:c r="B348" s="69" t="s">
        <x:v>1012</x:v>
      </x:c>
      <x:c r="C348" s="70">
        <x:v>17</x:v>
      </x:c>
      <x:c r="D348" s="71"/>
      <x:c r="E348" s="71"/>
      <x:c r="F348" s="71"/>
      <x:c r="G348" s="71"/>
      <x:c r="H348" s="71"/>
      <x:c r="I348" s="71"/>
      <x:c r="J348" s="71"/>
      <x:c r="K348" s="71"/>
      <x:c r="L348" s="71"/>
      <x:c r="M348" s="71"/>
      <x:c r="N348" s="71"/>
      <x:c r="O348" s="70">
        <x:v>14</x:v>
      </x:c>
      <x:c r="P348" s="70">
        <x:v>11</x:v>
      </x:c>
      <x:c r="Q348" s="70">
        <x:v>152</x:v>
      </x:c>
      <x:c r="R348" s="70">
        <x:v>8.9</x:v>
      </x:c>
      <x:c r="S348" s="70">
        <x:v>13.8</x:v>
      </x:c>
      <x:c r="T348" s="70">
        <x:v>1</x:v>
      </x:c>
      <x:c r="U348" s="70">
        <x:v>0</x:v>
      </x:c>
      <x:c r="V348" s="70">
        <x:v>12</x:v>
      </x:c>
      <x:c r="W348" s="70">
        <x:v>0.7</x:v>
      </x:c>
      <x:c r="AM348" s="56"/>
    </x:row>
    <x:row r="349" spans="2:39" ht="15.5" customHeight="1">
      <x:c r="B349" s="69" t="s">
        <x:v>324</x:v>
      </x:c>
      <x:c r="C349" s="70">
        <x:v>17</x:v>
      </x:c>
      <x:c r="D349" s="71"/>
      <x:c r="E349" s="71"/>
      <x:c r="F349" s="71"/>
      <x:c r="G349" s="71"/>
      <x:c r="H349" s="71"/>
      <x:c r="I349" s="71"/>
      <x:c r="J349" s="71"/>
      <x:c r="K349" s="71"/>
      <x:c r="L349" s="71"/>
      <x:c r="M349" s="71"/>
      <x:c r="N349" s="71"/>
      <x:c r="O349" s="70">
        <x:v>15</x:v>
      </x:c>
      <x:c r="P349" s="70">
        <x:v>11</x:v>
      </x:c>
      <x:c r="Q349" s="70">
        <x:v>122</x:v>
      </x:c>
      <x:c r="R349" s="70">
        <x:v>7.2</x:v>
      </x:c>
      <x:c r="S349" s="70">
        <x:v>11.1</x:v>
      </x:c>
      <x:c r="T349" s="70">
        <x:v>1</x:v>
      </x:c>
      <x:c r="U349" s="70">
        <x:v>0</x:v>
      </x:c>
      <x:c r="V349" s="70">
        <x:v>11</x:v>
      </x:c>
      <x:c r="W349" s="70">
        <x:v>0.6</x:v>
      </x:c>
      <x:c r="AM349" s="56"/>
    </x:row>
    <x:row r="350" spans="2:39" ht="15.5" customHeight="1">
      <x:c r="B350" s="69" t="s">
        <x:v>344</x:v>
      </x:c>
      <x:c r="C350" s="70">
        <x:v>17</x:v>
      </x:c>
      <x:c r="D350" s="71"/>
      <x:c r="E350" s="71"/>
      <x:c r="F350" s="71"/>
      <x:c r="G350" s="71"/>
      <x:c r="H350" s="71"/>
      <x:c r="I350" s="71"/>
      <x:c r="J350" s="71"/>
      <x:c r="K350" s="71"/>
      <x:c r="L350" s="71"/>
      <x:c r="M350" s="71"/>
      <x:c r="N350" s="71"/>
      <x:c r="O350" s="70">
        <x:v>14</x:v>
      </x:c>
      <x:c r="P350" s="70">
        <x:v>12</x:v>
      </x:c>
      <x:c r="Q350" s="70">
        <x:v>129</x:v>
      </x:c>
      <x:c r="R350" s="70">
        <x:v>7.6</x:v>
      </x:c>
      <x:c r="S350" s="70">
        <x:v>10.8</x:v>
      </x:c>
      <x:c r="T350" s="70">
        <x:v>1</x:v>
      </x:c>
      <x:c r="U350" s="70">
        <x:v>0</x:v>
      </x:c>
      <x:c r="V350" s="70">
        <x:v>11</x:v>
      </x:c>
      <x:c r="W350" s="70">
        <x:v>0.6</x:v>
      </x:c>
      <x:c r="AM350" s="56"/>
    </x:row>
    <x:row r="351" spans="2:39" ht="15.5" customHeight="1">
      <x:c r="B351" s="69" t="s">
        <x:v>1013</x:v>
      </x:c>
      <x:c r="C351" s="70">
        <x:v>17</x:v>
      </x:c>
      <x:c r="D351" s="71"/>
      <x:c r="E351" s="71"/>
      <x:c r="F351" s="71"/>
      <x:c r="G351" s="71"/>
      <x:c r="H351" s="71"/>
      <x:c r="I351" s="71"/>
      <x:c r="J351" s="71"/>
      <x:c r="K351" s="71"/>
      <x:c r="L351" s="71"/>
      <x:c r="M351" s="71"/>
      <x:c r="N351" s="71"/>
      <x:c r="O351" s="70">
        <x:v>12</x:v>
      </x:c>
      <x:c r="P351" s="70">
        <x:v>8</x:v>
      </x:c>
      <x:c r="Q351" s="70">
        <x:v>127</x:v>
      </x:c>
      <x:c r="R351" s="70">
        <x:v>7.5</x:v>
      </x:c>
      <x:c r="S351" s="70">
        <x:v>15.9</x:v>
      </x:c>
      <x:c r="T351" s="70">
        <x:v>1</x:v>
      </x:c>
      <x:c r="U351" s="70">
        <x:v>0</x:v>
      </x:c>
      <x:c r="V351" s="70">
        <x:v>11</x:v>
      </x:c>
      <x:c r="W351" s="70">
        <x:v>0.6</x:v>
      </x:c>
      <x:c r="AM351" s="56"/>
    </x:row>
    <x:row r="352" spans="2:39" ht="15.5" customHeight="1">
      <x:c r="B352" s="69" t="s">
        <x:v>1014</x:v>
      </x:c>
      <x:c r="C352" s="70">
        <x:v>17</x:v>
      </x:c>
      <x:c r="D352" s="71"/>
      <x:c r="E352" s="71"/>
      <x:c r="F352" s="71"/>
      <x:c r="G352" s="71"/>
      <x:c r="H352" s="71"/>
      <x:c r="I352" s="71"/>
      <x:c r="J352" s="71"/>
      <x:c r="K352" s="71"/>
      <x:c r="L352" s="71"/>
      <x:c r="M352" s="71"/>
      <x:c r="N352" s="71"/>
      <x:c r="O352" s="70">
        <x:v>16</x:v>
      </x:c>
      <x:c r="P352" s="70">
        <x:v>13</x:v>
      </x:c>
      <x:c r="Q352" s="70">
        <x:v>123</x:v>
      </x:c>
      <x:c r="R352" s="70">
        <x:v>7.2</x:v>
      </x:c>
      <x:c r="S352" s="70">
        <x:v>9.5</x:v>
      </x:c>
      <x:c r="T352" s="70">
        <x:v>1</x:v>
      </x:c>
      <x:c r="U352" s="70">
        <x:v>0</x:v>
      </x:c>
      <x:c r="V352" s="70">
        <x:v>11</x:v>
      </x:c>
      <x:c r="W352" s="70">
        <x:v>0.6</x:v>
      </x:c>
      <x:c r="AM352" s="56"/>
    </x:row>
    <x:row r="353" spans="2:39" ht="15.5" customHeight="1">
      <x:c r="B353" s="69" t="s">
        <x:v>1015</x:v>
      </x:c>
      <x:c r="C353" s="70">
        <x:v>17</x:v>
      </x:c>
      <x:c r="D353" s="71"/>
      <x:c r="E353" s="71"/>
      <x:c r="F353" s="71"/>
      <x:c r="G353" s="71"/>
      <x:c r="H353" s="71"/>
      <x:c r="I353" s="71"/>
      <x:c r="J353" s="71"/>
      <x:c r="K353" s="71"/>
      <x:c r="L353" s="71"/>
      <x:c r="M353" s="71"/>
      <x:c r="N353" s="71"/>
      <x:c r="O353" s="70">
        <x:v>16</x:v>
      </x:c>
      <x:c r="P353" s="70">
        <x:v>12</x:v>
      </x:c>
      <x:c r="Q353" s="70">
        <x:v>125</x:v>
      </x:c>
      <x:c r="R353" s="70">
        <x:v>7.4</x:v>
      </x:c>
      <x:c r="S353" s="70">
        <x:v>10.4</x:v>
      </x:c>
      <x:c r="T353" s="70">
        <x:v>1</x:v>
      </x:c>
      <x:c r="U353" s="70">
        <x:v>0</x:v>
      </x:c>
      <x:c r="V353" s="70">
        <x:v>11</x:v>
      </x:c>
      <x:c r="W353" s="70">
        <x:v>0.6</x:v>
      </x:c>
      <x:c r="AM353" s="56"/>
    </x:row>
    <x:row r="354" spans="2:39" ht="15.5" customHeight="1">
      <x:c r="B354" s="69" t="s">
        <x:v>1016</x:v>
      </x:c>
      <x:c r="C354" s="70">
        <x:v>17</x:v>
      </x:c>
      <x:c r="D354" s="71"/>
      <x:c r="E354" s="71"/>
      <x:c r="F354" s="71"/>
      <x:c r="G354" s="71"/>
      <x:c r="H354" s="71"/>
      <x:c r="I354" s="71"/>
      <x:c r="J354" s="71"/>
      <x:c r="K354" s="71"/>
      <x:c r="L354" s="71"/>
      <x:c r="M354" s="71"/>
      <x:c r="N354" s="71"/>
      <x:c r="O354" s="70">
        <x:v>14</x:v>
      </x:c>
      <x:c r="P354" s="70">
        <x:v>11</x:v>
      </x:c>
      <x:c r="Q354" s="70">
        <x:v>120</x:v>
      </x:c>
      <x:c r="R354" s="70">
        <x:v>7.1</x:v>
      </x:c>
      <x:c r="S354" s="70">
        <x:v>10.9</x:v>
      </x:c>
      <x:c r="T354" s="70">
        <x:v>1</x:v>
      </x:c>
      <x:c r="U354" s="70">
        <x:v>0</x:v>
      </x:c>
      <x:c r="V354" s="70">
        <x:v>11</x:v>
      </x:c>
      <x:c r="W354" s="70">
        <x:v>0.6</x:v>
      </x:c>
      <x:c r="AM354" s="56"/>
    </x:row>
    <x:row r="355" spans="2:39" ht="15.5" customHeight="1">
      <x:c r="B355" s="69" t="s">
        <x:v>1017</x:v>
      </x:c>
      <x:c r="C355" s="70">
        <x:v>17</x:v>
      </x:c>
      <x:c r="D355" s="71"/>
      <x:c r="E355" s="71"/>
      <x:c r="F355" s="71"/>
      <x:c r="G355" s="71"/>
      <x:c r="H355" s="71"/>
      <x:c r="I355" s="71"/>
      <x:c r="J355" s="71"/>
      <x:c r="K355" s="71"/>
      <x:c r="L355" s="71"/>
      <x:c r="M355" s="71"/>
      <x:c r="N355" s="71"/>
      <x:c r="O355" s="70">
        <x:v>15</x:v>
      </x:c>
      <x:c r="P355" s="70">
        <x:v>10</x:v>
      </x:c>
      <x:c r="Q355" s="70">
        <x:v>119</x:v>
      </x:c>
      <x:c r="R355" s="70">
        <x:v>7</x:v>
      </x:c>
      <x:c r="S355" s="70">
        <x:v>11.9</x:v>
      </x:c>
      <x:c r="T355" s="70">
        <x:v>1</x:v>
      </x:c>
      <x:c r="U355" s="70">
        <x:v>0</x:v>
      </x:c>
      <x:c r="V355" s="70">
        <x:v>11</x:v>
      </x:c>
      <x:c r="W355" s="70">
        <x:v>0.6</x:v>
      </x:c>
      <x:c r="AM355" s="56"/>
    </x:row>
    <x:row r="356" spans="2:39" ht="15.5" customHeight="1">
      <x:c r="B356" s="69" t="s">
        <x:v>347</x:v>
      </x:c>
      <x:c r="C356" s="70">
        <x:v>17</x:v>
      </x:c>
      <x:c r="D356" s="71"/>
      <x:c r="E356" s="71"/>
      <x:c r="F356" s="71"/>
      <x:c r="G356" s="71"/>
      <x:c r="H356" s="71"/>
      <x:c r="I356" s="71"/>
      <x:c r="J356" s="71"/>
      <x:c r="K356" s="71"/>
      <x:c r="L356" s="71"/>
      <x:c r="M356" s="71"/>
      <x:c r="N356" s="71"/>
      <x:c r="O356" s="70">
        <x:v>13</x:v>
      </x:c>
      <x:c r="P356" s="70">
        <x:v>10</x:v>
      </x:c>
      <x:c r="Q356" s="70">
        <x:v>121</x:v>
      </x:c>
      <x:c r="R356" s="70">
        <x:v>7.1</x:v>
      </x:c>
      <x:c r="S356" s="70">
        <x:v>12.1</x:v>
      </x:c>
      <x:c r="T356" s="70">
        <x:v>1</x:v>
      </x:c>
      <x:c r="U356" s="70">
        <x:v>0</x:v>
      </x:c>
      <x:c r="V356" s="70">
        <x:v>11</x:v>
      </x:c>
      <x:c r="W356" s="70">
        <x:v>0.6</x:v>
      </x:c>
      <x:c r="AM356" s="56"/>
    </x:row>
    <x:row r="357" spans="2:39" ht="15.5" customHeight="1">
      <x:c r="B357" s="69" t="s">
        <x:v>1018</x:v>
      </x:c>
      <x:c r="C357" s="70">
        <x:v>17</x:v>
      </x:c>
      <x:c r="D357" s="71"/>
      <x:c r="E357" s="71"/>
      <x:c r="F357" s="71"/>
      <x:c r="G357" s="71"/>
      <x:c r="H357" s="71"/>
      <x:c r="I357" s="71"/>
      <x:c r="J357" s="71"/>
      <x:c r="K357" s="71"/>
      <x:c r="L357" s="71"/>
      <x:c r="M357" s="71"/>
      <x:c r="N357" s="71"/>
      <x:c r="O357" s="70">
        <x:v>17</x:v>
      </x:c>
      <x:c r="P357" s="70">
        <x:v>13</x:v>
      </x:c>
      <x:c r="Q357" s="70">
        <x:v>129</x:v>
      </x:c>
      <x:c r="R357" s="70">
        <x:v>7.6</x:v>
      </x:c>
      <x:c r="S357" s="70">
        <x:v>9.9</x:v>
      </x:c>
      <x:c r="T357" s="70">
        <x:v>1</x:v>
      </x:c>
      <x:c r="U357" s="70">
        <x:v>0</x:v>
      </x:c>
      <x:c r="V357" s="70">
        <x:v>11</x:v>
      </x:c>
      <x:c r="W357" s="70">
        <x:v>0.6</x:v>
      </x:c>
      <x:c r="AM357" s="56"/>
    </x:row>
    <x:row r="358" spans="2:39" ht="15.5" customHeight="1">
      <x:c r="B358" s="69" t="s">
        <x:v>343</x:v>
      </x:c>
      <x:c r="C358" s="70">
        <x:v>17</x:v>
      </x:c>
      <x:c r="D358" s="71"/>
      <x:c r="E358" s="71"/>
      <x:c r="F358" s="71"/>
      <x:c r="G358" s="71"/>
      <x:c r="H358" s="71"/>
      <x:c r="I358" s="71"/>
      <x:c r="J358" s="71"/>
      <x:c r="K358" s="71"/>
      <x:c r="L358" s="71"/>
      <x:c r="M358" s="71"/>
      <x:c r="N358" s="71"/>
      <x:c r="O358" s="70">
        <x:v>16</x:v>
      </x:c>
      <x:c r="P358" s="70">
        <x:v>12</x:v>
      </x:c>
      <x:c r="Q358" s="70">
        <x:v>124</x:v>
      </x:c>
      <x:c r="R358" s="70">
        <x:v>7.3</x:v>
      </x:c>
      <x:c r="S358" s="70">
        <x:v>10.3</x:v>
      </x:c>
      <x:c r="T358" s="70">
        <x:v>1</x:v>
      </x:c>
      <x:c r="U358" s="70">
        <x:v>0</x:v>
      </x:c>
      <x:c r="V358" s="70">
        <x:v>11</x:v>
      </x:c>
      <x:c r="W358" s="70">
        <x:v>0.6</x:v>
      </x:c>
      <x:c r="AM358" s="56"/>
    </x:row>
    <x:row r="359" spans="2:39" ht="15.5" customHeight="1">
      <x:c r="B359" s="69" t="s">
        <x:v>1019</x:v>
      </x:c>
      <x:c r="C359" s="70">
        <x:v>17</x:v>
      </x:c>
      <x:c r="D359" s="71"/>
      <x:c r="E359" s="71"/>
      <x:c r="F359" s="71"/>
      <x:c r="G359" s="71"/>
      <x:c r="H359" s="71"/>
      <x:c r="I359" s="71"/>
      <x:c r="J359" s="71"/>
      <x:c r="K359" s="71"/>
      <x:c r="L359" s="71"/>
      <x:c r="M359" s="71"/>
      <x:c r="N359" s="71"/>
      <x:c r="O359" s="70">
        <x:v>17</x:v>
      </x:c>
      <x:c r="P359" s="70">
        <x:v>13</x:v>
      </x:c>
      <x:c r="Q359" s="70">
        <x:v>129</x:v>
      </x:c>
      <x:c r="R359" s="70">
        <x:v>7.6</x:v>
      </x:c>
      <x:c r="S359" s="70">
        <x:v>9.9</x:v>
      </x:c>
      <x:c r="T359" s="70">
        <x:v>1</x:v>
      </x:c>
      <x:c r="U359" s="70">
        <x:v>0</x:v>
      </x:c>
      <x:c r="V359" s="70">
        <x:v>11</x:v>
      </x:c>
      <x:c r="W359" s="70">
        <x:v>0.6</x:v>
      </x:c>
      <x:c r="AM359" s="56"/>
    </x:row>
    <x:row r="360" spans="2:39" ht="15.5" customHeight="1">
      <x:c r="B360" s="69" t="s">
        <x:v>346</x:v>
      </x:c>
      <x:c r="C360" s="70">
        <x:v>17</x:v>
      </x:c>
      <x:c r="D360" s="71"/>
      <x:c r="E360" s="71"/>
      <x:c r="F360" s="71"/>
      <x:c r="G360" s="71"/>
      <x:c r="H360" s="71"/>
      <x:c r="I360" s="71"/>
      <x:c r="J360" s="71"/>
      <x:c r="K360" s="71"/>
      <x:c r="L360" s="71"/>
      <x:c r="M360" s="71"/>
      <x:c r="N360" s="71"/>
      <x:c r="O360" s="70">
        <x:v>13</x:v>
      </x:c>
      <x:c r="P360" s="70">
        <x:v>10</x:v>
      </x:c>
      <x:c r="Q360" s="70">
        <x:v>121</x:v>
      </x:c>
      <x:c r="R360" s="70">
        <x:v>7.1</x:v>
      </x:c>
      <x:c r="S360" s="70">
        <x:v>12.1</x:v>
      </x:c>
      <x:c r="T360" s="70">
        <x:v>1</x:v>
      </x:c>
      <x:c r="U360" s="70">
        <x:v>0</x:v>
      </x:c>
      <x:c r="V360" s="70">
        <x:v>11</x:v>
      </x:c>
      <x:c r="W360" s="70">
        <x:v>0.6</x:v>
      </x:c>
      <x:c r="AM360" s="56"/>
    </x:row>
    <x:row r="361" spans="2:39" ht="15.5" customHeight="1">
      <x:c r="B361" s="69" t="s">
        <x:v>1020</x:v>
      </x:c>
      <x:c r="C361" s="70">
        <x:v>17</x:v>
      </x:c>
      <x:c r="D361" s="71"/>
      <x:c r="E361" s="71"/>
      <x:c r="F361" s="71"/>
      <x:c r="G361" s="71"/>
      <x:c r="H361" s="71"/>
      <x:c r="I361" s="71"/>
      <x:c r="J361" s="71"/>
      <x:c r="K361" s="71"/>
      <x:c r="L361" s="71"/>
      <x:c r="M361" s="71"/>
      <x:c r="N361" s="71"/>
      <x:c r="O361" s="70">
        <x:v>16</x:v>
      </x:c>
      <x:c r="P361" s="70">
        <x:v>13</x:v>
      </x:c>
      <x:c r="Q361" s="70">
        <x:v>123</x:v>
      </x:c>
      <x:c r="R361" s="70">
        <x:v>7.2</x:v>
      </x:c>
      <x:c r="S361" s="70">
        <x:v>9.5</x:v>
      </x:c>
      <x:c r="T361" s="70">
        <x:v>1</x:v>
      </x:c>
      <x:c r="U361" s="70">
        <x:v>0</x:v>
      </x:c>
      <x:c r="V361" s="70">
        <x:v>11</x:v>
      </x:c>
      <x:c r="W361" s="70">
        <x:v>0.6</x:v>
      </x:c>
      <x:c r="AM361" s="56"/>
    </x:row>
    <x:row r="362" spans="2:39" ht="15.5" customHeight="1">
      <x:c r="B362" s="69" t="s">
        <x:v>1021</x:v>
      </x:c>
      <x:c r="C362" s="70">
        <x:v>17</x:v>
      </x:c>
      <x:c r="D362" s="71"/>
      <x:c r="E362" s="71"/>
      <x:c r="F362" s="71"/>
      <x:c r="G362" s="71"/>
      <x:c r="H362" s="71"/>
      <x:c r="I362" s="71"/>
      <x:c r="J362" s="71"/>
      <x:c r="K362" s="71"/>
      <x:c r="L362" s="71"/>
      <x:c r="M362" s="71"/>
      <x:c r="N362" s="71"/>
      <x:c r="O362" s="70">
        <x:v>17</x:v>
      </x:c>
      <x:c r="P362" s="70">
        <x:v>12</x:v>
      </x:c>
      <x:c r="Q362" s="70">
        <x:v>120</x:v>
      </x:c>
      <x:c r="R362" s="70">
        <x:v>7.1</x:v>
      </x:c>
      <x:c r="S362" s="70">
        <x:v>10</x:v>
      </x:c>
      <x:c r="T362" s="70">
        <x:v>1</x:v>
      </x:c>
      <x:c r="U362" s="70">
        <x:v>0</x:v>
      </x:c>
      <x:c r="V362" s="70">
        <x:v>11</x:v>
      </x:c>
      <x:c r="W362" s="70">
        <x:v>0.6</x:v>
      </x:c>
      <x:c r="AM362" s="56"/>
    </x:row>
    <x:row r="363" spans="2:39" ht="15.5" customHeight="1">
      <x:c r="B363" s="69" t="s">
        <x:v>1022</x:v>
      </x:c>
      <x:c r="C363" s="70">
        <x:v>17</x:v>
      </x:c>
      <x:c r="D363" s="71"/>
      <x:c r="E363" s="71"/>
      <x:c r="F363" s="71"/>
      <x:c r="G363" s="71"/>
      <x:c r="H363" s="71"/>
      <x:c r="I363" s="71"/>
      <x:c r="J363" s="71"/>
      <x:c r="K363" s="71"/>
      <x:c r="L363" s="71"/>
      <x:c r="M363" s="71"/>
      <x:c r="N363" s="71"/>
      <x:c r="O363" s="70">
        <x:v>16</x:v>
      </x:c>
      <x:c r="P363" s="70">
        <x:v>13</x:v>
      </x:c>
      <x:c r="Q363" s="70">
        <x:v>114</x:v>
      </x:c>
      <x:c r="R363" s="70">
        <x:v>6.7</x:v>
      </x:c>
      <x:c r="S363" s="70">
        <x:v>8.8000000000000007</x:v>
      </x:c>
      <x:c r="T363" s="70">
        <x:v>1</x:v>
      </x:c>
      <x:c r="U363" s="70">
        <x:v>0</x:v>
      </x:c>
      <x:c r="V363" s="70">
        <x:v>10</x:v>
      </x:c>
      <x:c r="W363" s="70">
        <x:v>0.6</x:v>
      </x:c>
      <x:c r="AM363" s="56"/>
    </x:row>
    <x:row r="364" spans="2:39" ht="15.5" customHeight="1">
      <x:c r="B364" s="69" t="s">
        <x:v>1023</x:v>
      </x:c>
      <x:c r="C364" s="70">
        <x:v>17</x:v>
      </x:c>
      <x:c r="D364" s="71"/>
      <x:c r="E364" s="71"/>
      <x:c r="F364" s="71"/>
      <x:c r="G364" s="71"/>
      <x:c r="H364" s="71"/>
      <x:c r="I364" s="71"/>
      <x:c r="J364" s="71"/>
      <x:c r="K364" s="71"/>
      <x:c r="L364" s="71"/>
      <x:c r="M364" s="71"/>
      <x:c r="N364" s="71"/>
      <x:c r="O364" s="70">
        <x:v>11</x:v>
      </x:c>
      <x:c r="P364" s="70">
        <x:v>9</x:v>
      </x:c>
      <x:c r="Q364" s="70">
        <x:v>104</x:v>
      </x:c>
      <x:c r="R364" s="70">
        <x:v>6.1</x:v>
      </x:c>
      <x:c r="S364" s="70">
        <x:v>11.6</x:v>
      </x:c>
      <x:c r="T364" s="70">
        <x:v>1</x:v>
      </x:c>
      <x:c r="U364" s="70">
        <x:v>0</x:v>
      </x:c>
      <x:c r="V364" s="70">
        <x:v>10</x:v>
      </x:c>
      <x:c r="W364" s="70">
        <x:v>0.6</x:v>
      </x:c>
      <x:c r="AM364" s="56"/>
    </x:row>
    <x:row r="365" spans="2:39" ht="15.5" customHeight="1">
      <x:c r="B365" s="69" t="s">
        <x:v>1024</x:v>
      </x:c>
      <x:c r="C365" s="70">
        <x:v>17</x:v>
      </x:c>
      <x:c r="D365" s="71"/>
      <x:c r="E365" s="71"/>
      <x:c r="F365" s="71"/>
      <x:c r="G365" s="71"/>
      <x:c r="H365" s="71"/>
      <x:c r="I365" s="71"/>
      <x:c r="J365" s="71"/>
      <x:c r="K365" s="71"/>
      <x:c r="L365" s="71"/>
      <x:c r="M365" s="71"/>
      <x:c r="N365" s="71"/>
      <x:c r="O365" s="70">
        <x:v>14</x:v>
      </x:c>
      <x:c r="P365" s="70">
        <x:v>11</x:v>
      </x:c>
      <x:c r="Q365" s="70">
        <x:v>117</x:v>
      </x:c>
      <x:c r="R365" s="70">
        <x:v>6.9</x:v>
      </x:c>
      <x:c r="S365" s="70">
        <x:v>10.6</x:v>
      </x:c>
      <x:c r="T365" s="70">
        <x:v>1</x:v>
      </x:c>
      <x:c r="U365" s="70">
        <x:v>0</x:v>
      </x:c>
      <x:c r="V365" s="70">
        <x:v>10</x:v>
      </x:c>
      <x:c r="W365" s="70">
        <x:v>0.6</x:v>
      </x:c>
      <x:c r="AM365" s="56"/>
    </x:row>
    <x:row r="366" spans="2:39" ht="15.5" customHeight="1">
      <x:c r="B366" s="69" t="s">
        <x:v>1025</x:v>
      </x:c>
      <x:c r="C366" s="70">
        <x:v>17</x:v>
      </x:c>
      <x:c r="D366" s="71"/>
      <x:c r="E366" s="71"/>
      <x:c r="F366" s="71"/>
      <x:c r="G366" s="71"/>
      <x:c r="H366" s="71"/>
      <x:c r="I366" s="71"/>
      <x:c r="J366" s="71"/>
      <x:c r="K366" s="71"/>
      <x:c r="L366" s="71"/>
      <x:c r="M366" s="71"/>
      <x:c r="N366" s="71"/>
      <x:c r="O366" s="70">
        <x:v>12</x:v>
      </x:c>
      <x:c r="P366" s="70">
        <x:v>10</x:v>
      </x:c>
      <x:c r="Q366" s="70">
        <x:v>88</x:v>
      </x:c>
      <x:c r="R366" s="70">
        <x:v>5.2</x:v>
      </x:c>
      <x:c r="S366" s="70">
        <x:v>8.8000000000000007</x:v>
      </x:c>
      <x:c r="T366" s="70">
        <x:v>1</x:v>
      </x:c>
      <x:c r="U366" s="70">
        <x:v>0</x:v>
      </x:c>
      <x:c r="V366" s="70">
        <x:v>10</x:v>
      </x:c>
      <x:c r="W366" s="70">
        <x:v>0.6</x:v>
      </x:c>
      <x:c r="AM366" s="56"/>
    </x:row>
    <x:row r="367" spans="2:39" ht="15.5" customHeight="1">
      <x:c r="B367" s="69" t="s">
        <x:v>1026</x:v>
      </x:c>
      <x:c r="C367" s="70">
        <x:v>17</x:v>
      </x:c>
      <x:c r="D367" s="71"/>
      <x:c r="E367" s="71"/>
      <x:c r="F367" s="71"/>
      <x:c r="G367" s="71"/>
      <x:c r="H367" s="71"/>
      <x:c r="I367" s="71"/>
      <x:c r="J367" s="71"/>
      <x:c r="K367" s="71"/>
      <x:c r="L367" s="71"/>
      <x:c r="M367" s="71"/>
      <x:c r="N367" s="71"/>
      <x:c r="O367" s="70">
        <x:v>18</x:v>
      </x:c>
      <x:c r="P367" s="70">
        <x:v>13</x:v>
      </x:c>
      <x:c r="Q367" s="70">
        <x:v>105</x:v>
      </x:c>
      <x:c r="R367" s="70">
        <x:v>6.2</x:v>
      </x:c>
      <x:c r="S367" s="70">
        <x:v>8.1</x:v>
      </x:c>
      <x:c r="T367" s="70">
        <x:v>1</x:v>
      </x:c>
      <x:c r="U367" s="70">
        <x:v>0</x:v>
      </x:c>
      <x:c r="V367" s="70">
        <x:v>10</x:v>
      </x:c>
      <x:c r="W367" s="70">
        <x:v>0.6</x:v>
      </x:c>
      <x:c r="AM367" s="56"/>
    </x:row>
    <x:row r="368" spans="2:39" ht="15.5" customHeight="1">
      <x:c r="B368" s="69" t="s">
        <x:v>350</x:v>
      </x:c>
      <x:c r="C368" s="70">
        <x:v>17</x:v>
      </x:c>
      <x:c r="D368" s="71"/>
      <x:c r="E368" s="71"/>
      <x:c r="F368" s="71"/>
      <x:c r="G368" s="71"/>
      <x:c r="H368" s="71"/>
      <x:c r="I368" s="71"/>
      <x:c r="J368" s="71"/>
      <x:c r="K368" s="71"/>
      <x:c r="L368" s="71"/>
      <x:c r="M368" s="71"/>
      <x:c r="N368" s="71"/>
      <x:c r="O368" s="70">
        <x:v>11</x:v>
      </x:c>
      <x:c r="P368" s="70">
        <x:v>9</x:v>
      </x:c>
      <x:c r="Q368" s="70">
        <x:v>104</x:v>
      </x:c>
      <x:c r="R368" s="70">
        <x:v>6.1</x:v>
      </x:c>
      <x:c r="S368" s="70">
        <x:v>11.6</x:v>
      </x:c>
      <x:c r="T368" s="70">
        <x:v>1</x:v>
      </x:c>
      <x:c r="U368" s="70">
        <x:v>0</x:v>
      </x:c>
      <x:c r="V368" s="70">
        <x:v>10</x:v>
      </x:c>
      <x:c r="W368" s="70">
        <x:v>0.6</x:v>
      </x:c>
      <x:c r="AM368" s="56"/>
    </x:row>
    <x:row r="369" spans="2:39" ht="15.5" customHeight="1">
      <x:c r="B369" s="69" t="s">
        <x:v>1027</x:v>
      </x:c>
      <x:c r="C369" s="70">
        <x:v>17</x:v>
      </x:c>
      <x:c r="D369" s="71"/>
      <x:c r="E369" s="71"/>
      <x:c r="F369" s="71"/>
      <x:c r="G369" s="71"/>
      <x:c r="H369" s="71"/>
      <x:c r="I369" s="71"/>
      <x:c r="J369" s="71"/>
      <x:c r="K369" s="71"/>
      <x:c r="L369" s="71"/>
      <x:c r="M369" s="71"/>
      <x:c r="N369" s="71"/>
      <x:c r="O369" s="70">
        <x:v>13</x:v>
      </x:c>
      <x:c r="P369" s="70">
        <x:v>10</x:v>
      </x:c>
      <x:c r="Q369" s="70">
        <x:v>99</x:v>
      </x:c>
      <x:c r="R369" s="70">
        <x:v>5.8</x:v>
      </x:c>
      <x:c r="S369" s="70">
        <x:v>9.9</x:v>
      </x:c>
      <x:c r="T369" s="70">
        <x:v>1</x:v>
      </x:c>
      <x:c r="U369" s="70">
        <x:v>0</x:v>
      </x:c>
      <x:c r="V369" s="70">
        <x:v>10</x:v>
      </x:c>
      <x:c r="W369" s="70">
        <x:v>0.6</x:v>
      </x:c>
      <x:c r="AM369" s="56"/>
    </x:row>
    <x:row r="370" spans="2:39" ht="15.5" customHeight="1">
      <x:c r="B370" s="69" t="s">
        <x:v>1028</x:v>
      </x:c>
      <x:c r="C370" s="70">
        <x:v>17</x:v>
      </x:c>
      <x:c r="D370" s="71"/>
      <x:c r="E370" s="71"/>
      <x:c r="F370" s="71"/>
      <x:c r="G370" s="71"/>
      <x:c r="H370" s="71"/>
      <x:c r="I370" s="71"/>
      <x:c r="J370" s="71"/>
      <x:c r="K370" s="71"/>
      <x:c r="L370" s="71"/>
      <x:c r="M370" s="71"/>
      <x:c r="N370" s="71"/>
      <x:c r="O370" s="70">
        <x:v>13</x:v>
      </x:c>
      <x:c r="P370" s="70">
        <x:v>12</x:v>
      </x:c>
      <x:c r="Q370" s="70">
        <x:v>95</x:v>
      </x:c>
      <x:c r="R370" s="70">
        <x:v>5.6</x:v>
      </x:c>
      <x:c r="S370" s="70">
        <x:v>7.9</x:v>
      </x:c>
      <x:c r="T370" s="70">
        <x:v>1</x:v>
      </x:c>
      <x:c r="U370" s="70">
        <x:v>0</x:v>
      </x:c>
      <x:c r="V370" s="70">
        <x:v>10</x:v>
      </x:c>
      <x:c r="W370" s="70">
        <x:v>0.6</x:v>
      </x:c>
      <x:c r="AM370" s="56"/>
    </x:row>
    <x:row r="371" spans="2:39" ht="15.5" customHeight="1">
      <x:c r="B371" s="69" t="s">
        <x:v>1029</x:v>
      </x:c>
      <x:c r="C371" s="70">
        <x:v>17</x:v>
      </x:c>
      <x:c r="D371" s="71"/>
      <x:c r="E371" s="71"/>
      <x:c r="F371" s="71"/>
      <x:c r="G371" s="71"/>
      <x:c r="H371" s="71"/>
      <x:c r="I371" s="71"/>
      <x:c r="J371" s="71"/>
      <x:c r="K371" s="71"/>
      <x:c r="L371" s="71"/>
      <x:c r="M371" s="71"/>
      <x:c r="N371" s="71"/>
      <x:c r="O371" s="70">
        <x:v>14</x:v>
      </x:c>
      <x:c r="P371" s="70">
        <x:v>11</x:v>
      </x:c>
      <x:c r="Q371" s="70">
        <x:v>108</x:v>
      </x:c>
      <x:c r="R371" s="70">
        <x:v>6.4</x:v>
      </x:c>
      <x:c r="S371" s="70">
        <x:v>9.8000000000000007</x:v>
      </x:c>
      <x:c r="T371" s="70">
        <x:v>1</x:v>
      </x:c>
      <x:c r="U371" s="70">
        <x:v>0</x:v>
      </x:c>
      <x:c r="V371" s="70">
        <x:v>10</x:v>
      </x:c>
      <x:c r="W371" s="70">
        <x:v>0.6</x:v>
      </x:c>
      <x:c r="AM371" s="56"/>
    </x:row>
    <x:row r="372" spans="2:39" ht="15.5" customHeight="1">
      <x:c r="B372" s="69" t="s">
        <x:v>1030</x:v>
      </x:c>
      <x:c r="C372" s="70">
        <x:v>17</x:v>
      </x:c>
      <x:c r="D372" s="71"/>
      <x:c r="E372" s="71"/>
      <x:c r="F372" s="71"/>
      <x:c r="G372" s="71"/>
      <x:c r="H372" s="71"/>
      <x:c r="I372" s="71"/>
      <x:c r="J372" s="71"/>
      <x:c r="K372" s="71"/>
      <x:c r="L372" s="71"/>
      <x:c r="M372" s="71"/>
      <x:c r="N372" s="71"/>
      <x:c r="O372" s="70">
        <x:v>15</x:v>
      </x:c>
      <x:c r="P372" s="70">
        <x:v>11</x:v>
      </x:c>
      <x:c r="Q372" s="70">
        <x:v>102</x:v>
      </x:c>
      <x:c r="R372" s="70">
        <x:v>6</x:v>
      </x:c>
      <x:c r="S372" s="70">
        <x:v>9.3000000000000007</x:v>
      </x:c>
      <x:c r="T372" s="70">
        <x:v>1</x:v>
      </x:c>
      <x:c r="U372" s="70">
        <x:v>0</x:v>
      </x:c>
      <x:c r="V372" s="70">
        <x:v>10</x:v>
      </x:c>
      <x:c r="W372" s="70">
        <x:v>0.6</x:v>
      </x:c>
      <x:c r="AM372" s="56"/>
    </x:row>
    <x:row r="373" spans="2:39" ht="15.5" customHeight="1">
      <x:c r="B373" s="69" t="s">
        <x:v>1031</x:v>
      </x:c>
      <x:c r="C373" s="70">
        <x:v>17</x:v>
      </x:c>
      <x:c r="D373" s="71"/>
      <x:c r="E373" s="71"/>
      <x:c r="F373" s="71"/>
      <x:c r="G373" s="71"/>
      <x:c r="H373" s="71"/>
      <x:c r="I373" s="71"/>
      <x:c r="J373" s="71"/>
      <x:c r="K373" s="71"/>
      <x:c r="L373" s="71"/>
      <x:c r="M373" s="71"/>
      <x:c r="N373" s="71"/>
      <x:c r="O373" s="70">
        <x:v>17</x:v>
      </x:c>
      <x:c r="P373" s="70">
        <x:v>9</x:v>
      </x:c>
      <x:c r="Q373" s="70">
        <x:v>91</x:v>
      </x:c>
      <x:c r="R373" s="70">
        <x:v>5.4</x:v>
      </x:c>
      <x:c r="S373" s="70">
        <x:v>10.1</x:v>
      </x:c>
      <x:c r="T373" s="70">
        <x:v>1</x:v>
      </x:c>
      <x:c r="U373" s="70">
        <x:v>0</x:v>
      </x:c>
      <x:c r="V373" s="70">
        <x:v>10</x:v>
      </x:c>
      <x:c r="W373" s="70">
        <x:v>0.6</x:v>
      </x:c>
      <x:c r="AM373" s="56"/>
    </x:row>
    <x:row r="374" spans="2:39" ht="15.5" customHeight="1">
      <x:c r="B374" s="69" t="s">
        <x:v>1032</x:v>
      </x:c>
      <x:c r="C374" s="70">
        <x:v>17</x:v>
      </x:c>
      <x:c r="D374" s="71"/>
      <x:c r="E374" s="71"/>
      <x:c r="F374" s="71"/>
      <x:c r="G374" s="71"/>
      <x:c r="H374" s="71"/>
      <x:c r="I374" s="71"/>
      <x:c r="J374" s="71"/>
      <x:c r="K374" s="71"/>
      <x:c r="L374" s="71"/>
      <x:c r="M374" s="71"/>
      <x:c r="N374" s="71"/>
      <x:c r="O374" s="70">
        <x:v>15</x:v>
      </x:c>
      <x:c r="P374" s="70">
        <x:v>11</x:v>
      </x:c>
      <x:c r="Q374" s="70">
        <x:v>113</x:v>
      </x:c>
      <x:c r="R374" s="70">
        <x:v>6.6</x:v>
      </x:c>
      <x:c r="S374" s="70">
        <x:v>10.3</x:v>
      </x:c>
      <x:c r="T374" s="70">
        <x:v>1</x:v>
      </x:c>
      <x:c r="U374" s="70">
        <x:v>0</x:v>
      </x:c>
      <x:c r="V374" s="70">
        <x:v>10</x:v>
      </x:c>
      <x:c r="W374" s="70">
        <x:v>0.6</x:v>
      </x:c>
      <x:c r="AM374" s="56"/>
    </x:row>
    <x:row r="375" spans="2:39" ht="15.5" customHeight="1">
      <x:c r="B375" s="69" t="s">
        <x:v>1033</x:v>
      </x:c>
      <x:c r="C375" s="70">
        <x:v>17</x:v>
      </x:c>
      <x:c r="D375" s="71"/>
      <x:c r="E375" s="71"/>
      <x:c r="F375" s="71"/>
      <x:c r="G375" s="71"/>
      <x:c r="H375" s="71"/>
      <x:c r="I375" s="71"/>
      <x:c r="J375" s="71"/>
      <x:c r="K375" s="71"/>
      <x:c r="L375" s="71"/>
      <x:c r="M375" s="71"/>
      <x:c r="N375" s="71"/>
      <x:c r="O375" s="70">
        <x:v>13</x:v>
      </x:c>
      <x:c r="P375" s="70">
        <x:v>9</x:v>
      </x:c>
      <x:c r="Q375" s="70">
        <x:v>103</x:v>
      </x:c>
      <x:c r="R375" s="70">
        <x:v>6.1</x:v>
      </x:c>
      <x:c r="S375" s="70">
        <x:v>11.4</x:v>
      </x:c>
      <x:c r="T375" s="70">
        <x:v>1</x:v>
      </x:c>
      <x:c r="U375" s="70">
        <x:v>0</x:v>
      </x:c>
      <x:c r="V375" s="70">
        <x:v>10</x:v>
      </x:c>
      <x:c r="W375" s="70">
        <x:v>0.6</x:v>
      </x:c>
      <x:c r="AM375" s="56"/>
    </x:row>
    <x:row r="376" spans="2:39" ht="15.5" customHeight="1">
      <x:c r="B376" s="69" t="s">
        <x:v>1034</x:v>
      </x:c>
      <x:c r="C376" s="70">
        <x:v>17</x:v>
      </x:c>
      <x:c r="D376" s="71"/>
      <x:c r="E376" s="71"/>
      <x:c r="F376" s="71"/>
      <x:c r="G376" s="71"/>
      <x:c r="H376" s="71"/>
      <x:c r="I376" s="71"/>
      <x:c r="J376" s="71"/>
      <x:c r="K376" s="71"/>
      <x:c r="L376" s="71"/>
      <x:c r="M376" s="71"/>
      <x:c r="N376" s="71"/>
      <x:c r="O376" s="70">
        <x:v>14</x:v>
      </x:c>
      <x:c r="P376" s="70">
        <x:v>11</x:v>
      </x:c>
      <x:c r="Q376" s="70">
        <x:v>114</x:v>
      </x:c>
      <x:c r="R376" s="70">
        <x:v>6.7</x:v>
      </x:c>
      <x:c r="S376" s="70">
        <x:v>10.4</x:v>
      </x:c>
      <x:c r="T376" s="70">
        <x:v>1</x:v>
      </x:c>
      <x:c r="U376" s="70">
        <x:v>0</x:v>
      </x:c>
      <x:c r="V376" s="70">
        <x:v>10</x:v>
      </x:c>
      <x:c r="W376" s="70">
        <x:v>0.6</x:v>
      </x:c>
      <x:c r="AM376" s="56"/>
    </x:row>
    <x:row r="377" spans="2:39" ht="15.5" customHeight="1">
      <x:c r="B377" s="69" t="s">
        <x:v>345</x:v>
      </x:c>
      <x:c r="C377" s="70">
        <x:v>17</x:v>
      </x:c>
      <x:c r="D377" s="71"/>
      <x:c r="E377" s="71"/>
      <x:c r="F377" s="71"/>
      <x:c r="G377" s="71"/>
      <x:c r="H377" s="71"/>
      <x:c r="I377" s="71"/>
      <x:c r="J377" s="71"/>
      <x:c r="K377" s="71"/>
      <x:c r="L377" s="71"/>
      <x:c r="M377" s="71"/>
      <x:c r="N377" s="71"/>
      <x:c r="O377" s="70">
        <x:v>16</x:v>
      </x:c>
      <x:c r="P377" s="70">
        <x:v>13</x:v>
      </x:c>
      <x:c r="Q377" s="70">
        <x:v>100</x:v>
      </x:c>
      <x:c r="R377" s="70">
        <x:v>5.9</x:v>
      </x:c>
      <x:c r="S377" s="70">
        <x:v>7.7</x:v>
      </x:c>
      <x:c r="T377" s="70">
        <x:v>1</x:v>
      </x:c>
      <x:c r="U377" s="70">
        <x:v>0</x:v>
      </x:c>
      <x:c r="V377" s="70">
        <x:v>10</x:v>
      </x:c>
      <x:c r="W377" s="70">
        <x:v>0.6</x:v>
      </x:c>
      <x:c r="AM377" s="56"/>
    </x:row>
    <x:row r="378" spans="2:39" ht="15.5" customHeight="1">
      <x:c r="B378" s="69"/>
      <x:c r="C378" s="70"/>
      <x:c r="D378" s="71"/>
      <x:c r="E378" s="71"/>
      <x:c r="F378" s="71"/>
      <x:c r="G378" s="71"/>
      <x:c r="H378" s="71"/>
      <x:c r="I378" s="71"/>
      <x:c r="J378" s="71"/>
      <x:c r="K378" s="71"/>
      <x:c r="L378" s="71"/>
      <x:c r="M378" s="71"/>
      <x:c r="N378" s="71"/>
      <x:c r="O378" s="70"/>
      <x:c r="P378" s="70"/>
      <x:c r="Q378" s="70"/>
      <x:c r="R378" s="70"/>
      <x:c r="S378" s="70"/>
      <x:c r="T378" s="70"/>
      <x:c r="U378" s="70"/>
      <x:c r="V378" s="70"/>
      <x:c r="W378" s="70"/>
      <x:c r="AM378" s="56"/>
    </x:row>
    <x:row r="379" spans="2:39" ht="15.5" customHeight="1">
      <x:c r="B379" s="69"/>
      <x:c r="C379" s="70"/>
      <x:c r="D379" s="71"/>
      <x:c r="E379" s="71"/>
      <x:c r="F379" s="71"/>
      <x:c r="G379" s="71"/>
      <x:c r="H379" s="71"/>
      <x:c r="I379" s="71"/>
      <x:c r="J379" s="71"/>
      <x:c r="K379" s="71"/>
      <x:c r="L379" s="71"/>
      <x:c r="M379" s="71"/>
      <x:c r="N379" s="71"/>
      <x:c r="O379" s="70"/>
      <x:c r="P379" s="70"/>
      <x:c r="Q379" s="70"/>
      <x:c r="R379" s="70"/>
      <x:c r="S379" s="70"/>
      <x:c r="T379" s="70"/>
      <x:c r="U379" s="70"/>
      <x:c r="V379" s="70"/>
      <x:c r="W379" s="70"/>
      <x:c r="AM379" s="56"/>
    </x:row>
    <x:row r="380" spans="2:39" ht="15.5" customHeight="1"/>
    <x:row r="381" spans="2:39" ht="15.5" customHeight="1"/>
    <x:row r="382" spans="2:39" ht="15.5" customHeight="1"/>
    <x:row r="383" spans="2:39" ht="15.5" customHeight="1"/>
    <x:row r="384" spans="2:39" ht="15.5" customHeight="1"/>
    <x:row r="385" ht="15.5" customHeight="1"/>
    <x:row r="386" ht="15.5" customHeight="1"/>
    <x:row r="387" ht="15.5" customHeight="1"/>
    <x:row r="388" ht="15.5" customHeight="1"/>
    <x:row r="389" ht="15.5" customHeight="1"/>
    <x:row r="390" ht="15.5" customHeight="1"/>
    <x:row r="391" ht="15.5" customHeight="1"/>
    <x:row r="392" ht="15.5" customHeight="1"/>
    <x:row r="393" ht="15.5" customHeight="1"/>
    <x:row r="394" ht="15.5" customHeight="1"/>
    <x:row r="395" ht="15.5" customHeight="1"/>
    <x:row r="396" ht="15.5" customHeight="1"/>
    <x:row r="397" ht="15.5" customHeight="1"/>
    <x:row r="398" ht="15.5" customHeight="1"/>
    <x:row r="399" ht="15.5" customHeight="1"/>
    <x:row r="400" ht="15.5" customHeight="1"/>
    <x:row r="401" ht="15.5" customHeight="1"/>
    <x:row r="402" ht="15.5" customHeight="1"/>
    <x:row r="403" ht="15.5" customHeight="1"/>
    <x:row r="404" ht="15.5" customHeight="1"/>
    <x:row r="405" ht="15.5" customHeight="1"/>
    <x:row r="406" ht="15.5" customHeight="1"/>
    <x:row r="407" ht="15.5" customHeight="1"/>
    <x:row r="408" ht="15.5" customHeight="1"/>
    <x:row r="409" ht="15.5" customHeight="1"/>
    <x:row r="410" ht="15.5" customHeight="1"/>
    <x:row r="411" ht="15.5" customHeight="1"/>
    <x:row r="1000">
      <x:c r="XX1000" s="142" t="n">
        <x:v>125713</x:v>
      </x:c>
    </x:row>
  </x:sheetData>
  <x:sheetProtection algorithmName="SHA-512" hashValue="MuhTF/MFcECiwNtDo4mgmZh7QNhIC0YDup+Mj+GbWLW5Y8stsaUfpHojUv+kLeKr40zUAXAG7CBcMze9UV5uYw==" saltValue="T7Q+Yy0w/BOg8q1p4kdxDA==" spinCount="100000" sheet="1" objects="1" scenarios="1" formatCells="0"/>
  <x:hyperlinks>
    <x:hyperlink ref="B8" r:id="rId1" display="https://www.cbssports.com/nfl/players/2871343/justin-jefferson/fantasy/" xr:uid="{849D9736-7425-488D-AD4E-76B2A2DEE2EA}"/>
    <x:hyperlink ref="B9" r:id="rId2" display="https://www.cbssports.com/nfl/players/2006951/cooper-kupp/fantasy/" xr:uid="{6389E22C-2A76-4DBB-97EE-AB4277098F57}"/>
    <x:hyperlink ref="B10" r:id="rId3" display="https://www.cbssports.com/nfl/players/1893167/davante-adams/fantasy/" xr:uid="{72222BBF-359F-4E73-8FB0-966792DACF56}"/>
    <x:hyperlink ref="B11" r:id="rId4" display="https://www.cbssports.com/nfl/players/2966320/jamarr-chase/fantasy/" xr:uid="{65680A56-6DD2-4BFA-B233-CB93E8321E7F}"/>
    <x:hyperlink ref="B12" r:id="rId5" display="https://www.cbssports.com/nfl/players/2131163/tyreek-hill/fantasy/" xr:uid="{C2EA4D16-8801-40C6-9031-DFC2A1BB4E50}"/>
    <x:hyperlink ref="B13" r:id="rId6" display="https://www.cbssports.com/nfl/players/2258303/aj-brown/fantasy/" xr:uid="{8F1799B3-1AD9-44EC-9DEF-8B793604E4A7}"/>
    <x:hyperlink ref="B14" r:id="rId7" display="https://www.cbssports.com/nfl/players/2865251/ceedee-lamb/fantasy/" xr:uid="{A9E9AF5D-F70A-4D30-89D8-761947E254AA}"/>
    <x:hyperlink ref="B15" r:id="rId8" display="https://www.cbssports.com/nfl/players/2967690/amon-ra-st-brown/fantasy/" xr:uid="{7ACB3146-2FE6-45C5-A972-E5B1099F0A59}"/>
    <x:hyperlink ref="B16" r:id="rId9" display="https://www.cbssports.com/nfl/players/2000038/stefon-diggs/fantasy/" xr:uid="{D90F3FCE-C028-47A2-8ED8-A9292E673725}"/>
    <x:hyperlink ref="B17" r:id="rId10" display="https://www.cbssports.com/nfl/players/3123864/garrett-wilson/fantasy/" xr:uid="{617E5CFE-7F02-410F-B4C9-52FD5141EB1A}"/>
    <x:hyperlink ref="B18" r:id="rId11" display="https://www.cbssports.com/nfl/players/2962110/jaylen-waddle/fantasy/" xr:uid="{8AB7DC35-3607-4E9E-9D30-16FA226D3BB4}"/>
    <x:hyperlink ref="B19" r:id="rId12" display="https://www.cbssports.com/nfl/players/2866975/devonta-smith/fantasy/" xr:uid="{BD8100E3-7D5D-4760-AA03-31114F54A536}"/>
    <x:hyperlink ref="B20" r:id="rId13" display="https://www.cbssports.com/nfl/players/2809208/tee-higgins/fantasy/" xr:uid="{84434ACE-89A6-4E39-9C0D-7AFF742F95DB}"/>
    <x:hyperlink ref="B21" r:id="rId14" display="https://www.cbssports.com/nfl/players/1984220/amari-cooper/fantasy/" xr:uid="{702A60B8-9A0F-41F9-9ECC-E1FB29E13263}"/>
    <x:hyperlink ref="B22" r:id="rId15" display="https://www.cbssports.com/nfl/players/2139735/deebo-samuel/fantasy/" xr:uid="{01CC3CC6-249A-4D90-A603-A68DD38AA5AB}"/>
    <x:hyperlink ref="B23" r:id="rId16" display="https://www.cbssports.com/nfl/players/2963666/chris-olave/fantasy/" xr:uid="{B23B2252-8ABB-4903-8741-D98FAFC1DDA2}"/>
    <x:hyperlink ref="B24" r:id="rId17" display="https://www.cbssports.com/nfl/players/2186328/calvin-ridley/fantasy/" xr:uid="{5E6A9659-5BE9-4C51-8F0C-A65E65BF3A23}"/>
    <x:hyperlink ref="B25" r:id="rId18" display="https://www.cbssports.com/nfl/players/1737078/deandre-hopkins/fantasy/" xr:uid="{91B61771-0F65-447E-A589-CEBA2C08A120}"/>
    <x:hyperlink ref="B26" r:id="rId19" display="https://www.cbssports.com/nfl/players/2818150/chris-godwin/fantasy/" xr:uid="{7194C9E1-0813-41F2-8E25-8A8539E5AE7D}"/>
    <x:hyperlink ref="B27" r:id="rId20" display="https://www.cbssports.com/nfl/players/2869806/christian-watson/fantasy/" xr:uid="{6F198C50-BCD7-4B0D-B4D7-5A9CBC97201E}"/>
    <x:hyperlink ref="B28" r:id="rId21" display="https://www.cbssports.com/nfl/players/1737096/keenan-allen/fantasy/" xr:uid="{CD4D4D0E-853B-41C7-9BF9-7A73D85B7E37}"/>
    <x:hyperlink ref="B29" r:id="rId22" display="https://www.cbssports.com/nfl/players/3127902/drake-london/fantasy/" xr:uid="{E7231104-C4AC-405B-974E-FE23D530C56F}"/>
    <x:hyperlink ref="B30" r:id="rId23" display="https://www.cbssports.com/nfl/players/2179328/dj-moore/fantasy/" xr:uid="{BBEDE1B7-0CBB-405E-942D-EE1F89C99102}"/>
    <x:hyperlink ref="B31" r:id="rId24" display="https://www.cbssports.com/nfl/players/1824909/mike-evans/fantasy/" xr:uid="{B3C3F4E2-675D-4821-AAA7-CE4C1A1CC1CA}"/>
    <x:hyperlink ref="B32" r:id="rId25" display="https://www.cbssports.com/nfl/players/2260185/dk-metcalf/fantasy/" xr:uid="{88201E80-3D8E-4536-A503-96A15C6B4AF8}"/>
    <x:hyperlink ref="B33" r:id="rId26" display="https://www.cbssports.com/nfl/players/2804128/marquise-brown/fantasy/" xr:uid="{6D4E8C2A-AE00-43E0-89A2-4FB62A8B5F26}"/>
    <x:hyperlink ref="B34" r:id="rId27" display="https://www.cbssports.com/nfl/players/3123212/george-pickens/fantasy/" xr:uid="{4373868C-4DB5-46C1-8683-EEFC819C7C15}"/>
    <x:hyperlink ref="B35" r:id="rId28" display="https://www.cbssports.com/nfl/players/2741201/jerry-jeudy/fantasy/" xr:uid="{76F375BE-5554-4A64-828C-15C1B17820C8}"/>
    <x:hyperlink ref="B36" r:id="rId29" display="https://www.cbssports.com/nfl/players/2180820/christian-kirk/fantasy/" xr:uid="{BC867336-6CFC-4A98-B943-317095DE4560}"/>
    <x:hyperlink ref="B37" r:id="rId30" display="https://www.cbssports.com/nfl/players/3122944/treylon-burks/fantasy/" xr:uid="{1F2521B6-9720-48E0-8C92-DB46E9EAB7E4}"/>
    <x:hyperlink ref="B38" r:id="rId31" display="https://www.cbssports.com/nfl/players/2139279/terry-mclaurin/fantasy/" xr:uid="{CAE8EF3C-305E-49E6-8A5C-A905621FC7A4}"/>
    <x:hyperlink ref="B39" r:id="rId32" display="https://www.cbssports.com/nfl/players/1860834/tyler-lockett/fantasy/" xr:uid="{8996695D-808A-4CED-86A9-03F812A55B22}"/>
    <x:hyperlink ref="B40" r:id="rId33" display="https://www.cbssports.com/nfl/players/3162290/jordan-addison/fantasy/" xr:uid="{D9227433-09BB-4EF9-9187-E117D5858E84}"/>
    <x:hyperlink ref="B41" r:id="rId34" display="https://www.cbssports.com/nfl/players/2194164/diontae-johnson/fantasy/" xr:uid="{59C64F43-4C7B-4FB3-A641-15E4797ABD64}"/>
    <x:hyperlink ref="B42" r:id="rId35" display="https://www.cbssports.com/nfl/players/2967489/brandon-aiyuk/fantasy/" xr:uid="{A222D909-922E-40A7-8520-C1F63382A695}"/>
    <x:hyperlink ref="B43" r:id="rId36" display="https://www.cbssports.com/nfl/players/2962944/jahan-dotson/fantasy/" xr:uid="{FC11BC66-2FF6-48FB-99DA-B80F60B2D0EC}"/>
    <x:hyperlink ref="B44" r:id="rId37" display="https://www.cbssports.com/nfl/players/1880880/brandin-cooks/fantasy/" xr:uid="{98818E28-B4DD-4547-A63B-AB2208E747A5}"/>
    <x:hyperlink ref="B45" r:id="rId38" display="https://www.cbssports.com/nfl/players/2767487/kadarius-toney/fantasy/" xr:uid="{783A226A-B21B-405B-8BAA-D68C0CCFB5F9}"/>
    <x:hyperlink ref="B46" r:id="rId39" display="https://www.cbssports.com/nfl/players/2183835/jakobi-meyers/fantasy/" xr:uid="{AF42902A-6C0F-4FBB-BB3F-5C92330876FC}"/>
    <x:hyperlink ref="B47" r:id="rId40" display="https://www.cbssports.com/nfl/players/2141655/allen-lazard/fantasy/" xr:uid="{CD342369-6B6C-40A0-A2FE-7292D8E646E5}"/>
    <x:hyperlink ref="B48" r:id="rId41" display="https://www.cbssports.com/nfl/players/1983802/michael-thomas/fantasy/" xr:uid="{A61A5332-1042-470F-A2BC-994BCF4664B7}"/>
    <x:hyperlink ref="B49" r:id="rId42" display="https://www.cbssports.com/nfl/players/2082516/mike-williams/fantasy/" xr:uid="{4D81CDE7-E7E7-485A-83B9-E1CB16A95BAB}"/>
    <x:hyperlink ref="B50" r:id="rId43" display="https://www.cbssports.com/nfl/players/2218461/courtland-sutton/fantasy/" xr:uid="{E87986CC-5CB4-4FDD-8612-62EE2A9B27C9}"/>
    <x:hyperlink ref="B51" r:id="rId44" display="https://www.cbssports.com/nfl/players/2818910/tim-patrick/fantasy/" xr:uid="{E3C50196-5E60-4416-A519-AD209E86181B}"/>
    <x:hyperlink ref="B52" r:id="rId45" display="https://www.cbssports.com/nfl/players/2132282/richie-james/fantasy/" xr:uid="{94136331-DBDE-4D05-A799-1EDCC55DF69A}"/>
    <x:hyperlink ref="B53" r:id="rId46" display="https://www.cbssports.com/nfl/players/2961886/romeo-doubs/fantasy/" xr:uid="{5958C599-C7BD-490F-AF7E-E5F5457E1830}"/>
    <x:hyperlink ref="B54" r:id="rId47" display="https://www.cbssports.com/nfl/players/3127049/zay-flowers/fantasy/" xr:uid="{12ECF5BC-7010-485D-AA47-75E93A84359C}"/>
    <x:hyperlink ref="B55" r:id="rId48" display="https://www.cbssports.com/nfl/players/2240188/michael-pittman/fantasy/" xr:uid="{E17A805D-FD24-47D4-9641-EAE0EA8E5DFB}"/>
    <x:hyperlink ref="B56" r:id="rId49" display="https://www.cbssports.com/nfl/players/3162959/jaxon-smith-njigba/fantasy/" xr:uid="{6F08F530-40DC-4C23-B098-55CBF325DC9A}"/>
    <x:hyperlink ref="B57" r:id="rId50" display="https://www.cbssports.com/nfl/players/2960940/rashod-bateman/fantasy/" xr:uid="{7B5F4B46-F7A9-481B-B5FF-AD1E68C60CA0}"/>
    <x:hyperlink ref="B58" r:id="rId51" display="https://www.cbssports.com/nfl/players/3125968/jameson-williams/fantasy/" xr:uid="{1D2B8550-8951-4BED-B885-56022EE925EC}"/>
    <x:hyperlink ref="B59" r:id="rId52" display="https://www.cbssports.com/nfl/players/2071582/tyler-boyd/fantasy/" xr:uid="{CFC6FECF-AA57-443F-AF05-B3DA6F34A36E}"/>
    <x:hyperlink ref="B60" r:id="rId53" display="https://www.cbssports.com/nfl/players/1824823/odell-beckham-jr/fantasy/" xr:uid="{C080D9D4-3AA3-44C5-B454-418CD26FF232}"/>
    <x:hyperlink ref="B61" r:id="rId54" display="https://www.cbssports.com/nfl/players/2968526/rondale-moore/fantasy/" xr:uid="{DB28AAB4-FD51-411A-B467-4A94ABD64FD3}"/>
    <x:hyperlink ref="B62" r:id="rId55" display="https://www.cbssports.com/nfl/players/2059362/adam-thielen/fantasy/" xr:uid="{57FC3A7E-75C5-42A3-B47B-140A5129FC18}"/>
    <x:hyperlink ref="B63" r:id="rId56" display="https://www.cbssports.com/nfl/players/2139620/juju-smith-schuster/fantasy/" xr:uid="{B7C41410-9CAE-483E-8AC5-D9B5A59D5B86}"/>
    <x:hyperlink ref="B64" r:id="rId57" display="https://www.cbssports.com/nfl/players/2878193/nico-collins/fantasy/" xr:uid="{98745437-1A6E-42D5-A1A0-EFE1A5F6ACD1}"/>
    <x:hyperlink ref="B65" r:id="rId58" display="https://www.cbssports.com/nfl/players/2819119/donovan-peoples-jones/fantasy/" xr:uid="{C086F1B5-D20A-43B8-9BC8-27DD3F924C7A}"/>
    <x:hyperlink ref="B66" r:id="rId59" display="https://www.cbssports.com/nfl/players/2144726/hunter-renfrow/fantasy/" xr:uid="{D0CC2E6F-4D21-4015-B8ED-C14EE0D86A11}"/>
    <x:hyperlink ref="B67" r:id="rId60" display="https://www.cbssports.com/nfl/players/3162609/quentin-johnston/fantasy/" xr:uid="{C803CDD7-DBC8-4EAC-86D7-FF5869EB8677}"/>
    <x:hyperlink ref="B68" r:id="rId61" display="https://www.cbssports.com/nfl/players/2080270/zay-jones/fantasy/" xr:uid="{5BC1EB0D-E4D2-405E-BD4E-2A1E6E81F460}"/>
    <x:hyperlink ref="B69" r:id="rId62" display="https://www.cbssports.com/nfl/players/2783899/isaiah-hodgins/fantasy/" xr:uid="{DF90A816-743D-4E0A-9A4E-784CFEBFA395}"/>
    <x:hyperlink ref="B70" r:id="rId63" display="https://www.cbssports.com/nfl/players/2804813/gabe-davis/fantasy/" xr:uid="{468BEED9-9E67-4E71-B147-5263FB86A3BD}"/>
    <x:hyperlink ref="B71" r:id="rId64" display="https://www.cbssports.com/nfl/players/2963569/elijah-moore/fantasy/" xr:uid="{21481D42-5177-49B5-8889-A43E0C0CDD48}"/>
    <x:hyperlink ref="B72" r:id="rId65" display="https://www.cbssports.com/nfl/players/2131694/russell-gage/fantasy/" xr:uid="{47707B0D-8129-4596-B5F4-C7195001EDC3}"/>
    <x:hyperlink ref="B73" r:id="rId66" display="https://www.cbssports.com/nfl/players/3124107/wandale-robinson/fantasy/" xr:uid="{288A1939-D7D9-4105-92D2-F5325592F4C2}"/>
    <x:hyperlink ref="B74" r:id="rId67" display="https://www.cbssports.com/nfl/players/3126905/jonathan-mingo/fantasy/" xr:uid="{8151C459-9D38-4AAD-A098-1D63460B4BD7}"/>
    <x:hyperlink ref="B75" r:id="rId68" display="https://www.cbssports.com/nfl/players/2223207/greg-dortch/fantasy/" xr:uid="{CDD08330-C071-4D7E-B2CE-8F6E7B5BE5E2}"/>
    <x:hyperlink ref="B76" r:id="rId69" display="https://www.cbssports.com/nfl/players/2184383/kj-osborn/fantasy/" xr:uid="{AE13B459-AF19-43A9-80B3-EE85F6E504FC}"/>
    <x:hyperlink ref="B77" r:id="rId70" display="https://www.cbssports.com/nfl/players/2867325/josh-palmer/fantasy/" xr:uid="{01D50F5F-1C77-4624-AB21-40CF7F15DF2C}"/>
    <x:hyperlink ref="B78" r:id="rId71" display="https://www.cbssports.com/nfl/players/2131252/curtis-samuel/fantasy/" xr:uid="{A4E6C8F8-3E1A-401C-BB1B-550D502667BA}"/>
    <x:hyperlink ref="B79" r:id="rId72" display="https://www.cbssports.com/nfl/players/2240651/darnell-mooney/fantasy/" xr:uid="{20EB36A6-E3DF-4A08-93B5-3F3B5C393CBE}"/>
    <x:hyperlink ref="B80" r:id="rId73" display="https://www.cbssports.com/nfl/players/1996786/sterling-shepard/fantasy/" xr:uid="{2EEC30A9-3995-48E0-9CFE-77E0399EA5FF}"/>
    <x:hyperlink ref="B81" r:id="rId74" display="https://www.cbssports.com/nfl/players/2139271/parris-campbell/fantasy/" xr:uid="{74834230-CAD7-43B4-9031-065786A097A8}"/>
    <x:hyperlink ref="B82" r:id="rId75" display="https://www.cbssports.com/nfl/players/1851283/devante-parker/fantasy/" xr:uid="{F582ED22-B1CC-483F-8305-F1C719F4B96A}"/>
    <x:hyperlink ref="B83" r:id="rId76" display="https://www.cbssports.com/nfl/players/3126874/skyy-moore/fantasy/" xr:uid="{E13B2293-6486-42AB-AFC1-08E9E5FDD282}"/>
    <x:hyperlink ref="B84" r:id="rId77" display="https://www.cbssports.com/nfl/players/1754280/robert-woods/fantasy/" xr:uid="{4823BAEC-7513-4EBF-96D1-6C77CD469C6F}"/>
    <x:hyperlink ref="B85" r:id="rId78" display="https://www.cbssports.com/nfl/players/2250863/rashid-shaheed/fantasy/" xr:uid="{06F9C9DC-7323-4DF5-B4CA-187672A83265}"/>
    <x:hyperlink ref="B86" r:id="rId79" display="https://www.cbssports.com/nfl/players/2186342/van-jefferson/fantasy/" xr:uid="{639A9C37-A462-461F-BCF6-43A1D38B9288}"/>
    <x:hyperlink ref="B87" r:id="rId80" display="https://www.cbssports.com/nfl/players/2071540/marquez-valdes-scantling/fantasy/" xr:uid="{F99814C4-63A3-4B15-9DEA-998C7D825E54}"/>
    <x:hyperlink ref="B88" r:id="rId81" display="https://www.cbssports.com/nfl/players/2131689/dj-chark/fantasy/" xr:uid="{7703740D-F8B4-4F66-A03D-129CC8268D63}"/>
    <x:hyperlink ref="B89" r:id="rId82" display="https://www.cbssports.com/nfl/players/2248618/mecole-hardman/fantasy/" xr:uid="{8BCE5542-F56C-4D01-BCF2-081B4360643E}"/>
    <x:hyperlink ref="B90" r:id="rId83" display="https://www.cbssports.com/nfl/players/2240415/michael-gallup/fantasy/" xr:uid="{7B0D6548-AF01-4F95-B2C2-C119A93A659E}"/>
    <x:hyperlink ref="B91" r:id="rId84" display="https://www.cbssports.com/nfl/players/3124978/rashee-rice/fantasy/" xr:uid="{C68BFC2F-7D4D-4759-BFE4-5EA873E67E23}"/>
    <x:hyperlink ref="B92" r:id="rId85" display="https://www.cbssports.com/nfl/players/1631804/marvin-jones/fantasy/" xr:uid="{CC38FF88-78CA-483B-BFF3-4AA9C9310B11}"/>
    <x:hyperlink ref="B93" r:id="rId86" display="https://www.cbssports.com/nfl/players/2247046/ben-skowronek/fantasy/" xr:uid="{0D442C63-BC59-4A70-A3AB-8B6E1DE0238B}"/>
    <x:hyperlink ref="B94" r:id="rId87" display="https://www.cbssports.com/nfl/players/2260676/chase-claypool/fantasy/" xr:uid="{1D2D29AD-0E7E-4A00-A28F-A837DAF7C280}"/>
    <x:hyperlink ref="B95" r:id="rId88" display="https://www.cbssports.com/nfl/players/2868959/charlie-jones/fantasy/" xr:uid="{2390FFE7-E99C-416F-9104-83E0357755C9}"/>
    <x:hyperlink ref="B96" r:id="rId89" display="https://www.cbssports.com/nfl/players/2183982/darius-slayton/fantasy/" xr:uid="{D066CB7B-4173-4C62-853F-E7477385192C}"/>
    <x:hyperlink ref="B97" r:id="rId90" display="https://www.cbssports.com/nfl/players/2963214/terrace-marshall-jr/fantasy/" xr:uid="{A7E90D43-5270-47F4-81A3-698EB914A0BE}"/>
    <x:hyperlink ref="B98" r:id="rId91" display="https://www.cbssports.com/nfl/players/3171911/jalin-hyatt/fantasy/" xr:uid="{CE3EE8D7-1F2D-47FF-9F23-E66A466B479E}"/>
    <x:hyperlink ref="B99" r:id="rId92" display="https://www.cbssports.com/nfl/players/2061005/corey-davis/fantasy/" xr:uid="{76E6CED6-120A-4F96-AA9A-11296239AECC}"/>
    <x:hyperlink ref="B100" r:id="rId93" display="https://www.cbssports.com/nfl/players/2185954/nick-westbrook-ikhine/fantasy/" xr:uid="{6AAA9BE1-1189-45C4-AC16-44CB1651EE6F}"/>
    <x:hyperlink ref="B101" r:id="rId94" display="https://www.cbssports.com/nfl/players/2186266/olamide-zaccheaus/fantasy/" xr:uid="{FFD4D066-9ACF-4164-8F7C-CABBB76ABDDC}"/>
    <x:hyperlink ref="B102" r:id="rId95" display="https://www.cbssports.com/nfl/players/1871375/chris-moore/fantasy/" xr:uid="{1DFB9436-BC8E-442F-AD7E-FDD661152544}"/>
    <x:hyperlink ref="B103" r:id="rId96" display="https://www.cbssports.com/nfl/players/1889923/allen-robinson/fantasy/" xr:uid="{AA9B6A5C-F296-4D38-A95B-A6298CCDB40B}"/>
    <x:hyperlink ref="B104" r:id="rId97" display="https://www.cbssports.com/nfl/players/2965372/tutu-atwell/fantasy/" xr:uid="{3AD4BFA4-8C88-4883-B667-2355CB7CFB28}"/>
    <x:hyperlink ref="B105" r:id="rId98" display="https://www.cbssports.com/nfl/players/1691489/marquise-goodwin/fantasy/" xr:uid="{FD759876-FA71-43CC-915B-6DAC21A848C3}"/>
    <x:hyperlink ref="B106" r:id="rId99" display="https://www.cbssports.com/nfl/players/3121171/john-metchie-iii/fantasy/" xr:uid="{1AB4D0E3-BE33-49BF-9519-24AAFBBADA96}"/>
    <x:hyperlink ref="B107" r:id="rId100" display="https://www.cbssports.com/nfl/players/2969119/khalil-shakir/fantasy/" xr:uid="{AA5EE2D6-F5AC-4C6F-BBDE-40B374929747}"/>
    <x:hyperlink ref="B108" r:id="rId101" display="https://www.cbssports.com/nfl/players/2142052/patrick-mahomes/fantasy/" xr:uid="{58DC0A9E-FCF2-4FBE-9982-903226149A2A}"/>
    <x:hyperlink ref="B109" r:id="rId102" display="https://www.cbssports.com/nfl/players/2240246/jalen-hurts/fantasy/" xr:uid="{59A68FC4-F3EF-451A-B36B-3DF48CA5D04A}"/>
    <x:hyperlink ref="B110" r:id="rId103" display="https://www.cbssports.com/nfl/players/2181054/josh-allen/fantasy/" xr:uid="{AB5F9976-CB2D-4D24-9FA3-2B2425E91020}"/>
    <x:hyperlink ref="B111" r:id="rId104" display="https://www.cbssports.com/nfl/players/2179798/joe-burrow/fantasy/" xr:uid="{E86B6DE8-4896-4740-9C9F-BF72C509ECD6}"/>
    <x:hyperlink ref="B112" r:id="rId105" display="https://www.cbssports.com/nfl/players/2181169/lamar-jackson/fantasy/" xr:uid="{F5A6E1C2-8A27-4E23-8454-0CC586D5038E}"/>
    <x:hyperlink ref="B113" r:id="rId106" display="https://www.cbssports.com/nfl/players/2221960/justin-herbert/fantasy/" xr:uid="{79B02352-D9F2-45D4-A86F-FD71C91B0E1F}"/>
    <x:hyperlink ref="B114" r:id="rId107" display="https://www.cbssports.com/nfl/players/1272574/kirk-cousins/fantasy/" xr:uid="{C8AA7928-931E-45E8-AA9A-B81C4D3F1F76}"/>
    <x:hyperlink ref="B115" r:id="rId108" display="https://www.cbssports.com/nfl/players/1273205/justin-fields/fantasy/" xr:uid="{512BFC5B-165A-4A00-8CF4-8E181F564D50}"/>
    <x:hyperlink ref="B116" r:id="rId109" display="https://www.cbssports.com/nfl/players/2133482/deshaun-watson/fantasy/" xr:uid="{38E12ED1-3679-4FC4-908D-221F3E57D3CB}"/>
    <x:hyperlink ref="B117" r:id="rId110" display="https://www.cbssports.com/nfl/players/2061053/jared-goff/fantasy/" xr:uid="{0B126D99-DF40-46D6-8ABB-3D90FE4C04D4}"/>
    <x:hyperlink ref="B118" r:id="rId111" display="https://www.cbssports.com/nfl/players/1272242/russell-wilson/fantasy/" xr:uid="{B986CCEF-44F6-4917-ADCC-C3A853D7C944}"/>
    <x:hyperlink ref="B119" r:id="rId112" display="https://www.cbssports.com/nfl/players/2179245/daniel-jones/fantasy/" xr:uid="{D7C23689-4520-4316-82CF-88D36CAEFDBA}"/>
    <x:hyperlink ref="B120" r:id="rId113" display="https://www.cbssports.com/nfl/players/419780/aaron-rodgers/fantasy/" xr:uid="{F888607D-0FEA-4F6A-883B-22E23BDA8811}"/>
    <x:hyperlink ref="B121" r:id="rId114" display="https://www.cbssports.com/nfl/players/1824864/dak-prescott/fantasy/" xr:uid="{4CDA2698-F686-4195-9420-AA2ACAF515D7}"/>
    <x:hyperlink ref="B122" r:id="rId115" display="https://www.cbssports.com/nfl/players/2967185/trevor-lawrence/fantasy/" xr:uid="{692AC8AD-F7AC-41B0-98A4-BEA82A1010C4}"/>
    <x:hyperlink ref="B123" r:id="rId116" display="https://www.cbssports.com/nfl/players/1700358/geno-smith/fantasy/" xr:uid="{0299ACA1-952D-4C32-9172-185400642354}"/>
    <x:hyperlink ref="B124" r:id="rId117" display="https://www.cbssports.com/nfl/players/3163263/anthony-richardson/fantasy/" xr:uid="{FAD2ECD9-66F2-4B3C-A9B6-A1093BF91687}"/>
    <x:hyperlink ref="B125" r:id="rId118" display="https://www.cbssports.com/nfl/players/2961306/brock-purdy/fantasy/" xr:uid="{11D1354C-F93F-4EBA-8909-DFFE3A6ABA1A}"/>
    <x:hyperlink ref="B126" r:id="rId119" display="https://www.cbssports.com/nfl/players/2804969/kenny-pickett/fantasy/" xr:uid="{6E088111-B200-41F3-B882-A79CF1009E31}"/>
    <x:hyperlink ref="B127" r:id="rId120" display="https://www.cbssports.com/nfl/players/3161957/bryce-young/fantasy/" xr:uid="{0E7FA1EF-57FB-4CFE-B3D6-F12C1CDFAFE0}"/>
    <x:hyperlink ref="B128" r:id="rId121" display="https://www.cbssports.com/nfl/players/2741209/tua-tagovailoa/fantasy/" xr:uid="{2DC884D8-CBA2-43ED-9E04-D26747636BEA}"/>
    <x:hyperlink ref="B129" r:id="rId122" display="https://www.cbssports.com/nfl/players/2180829/kyler-murray/fantasy/" xr:uid="{02CB61CC-7DA7-41FE-84AE-ED03C0386F20}"/>
    <x:hyperlink ref="B130" r:id="rId123" display="https://www.cbssports.com/nfl/players/1664819/derek-carr/fantasy/" xr:uid="{D534143D-8CEF-40A7-9250-FCD49A195685}"/>
    <x:hyperlink ref="B131" r:id="rId124" display="https://www.cbssports.com/nfl/players/1114942/matthew-stafford/fantasy/" xr:uid="{A199FB69-4F38-4E38-9967-95BA6A3F92EA}"/>
    <x:hyperlink ref="B132" r:id="rId125" display="https://www.cbssports.com/nfl/players/2239997/jordan-love/fantasy/" xr:uid="{A3091FD3-7AD7-4130-8835-684F64B5D98C}"/>
    <x:hyperlink ref="B133" r:id="rId126" display="https://www.cbssports.com/nfl/players/1760229/jimmy-garoppolo/fantasy/" xr:uid="{CE03F611-3CDE-4CE2-8DD4-D73099596B2F}"/>
    <x:hyperlink ref="B134" r:id="rId127" display="https://www.cbssports.com/nfl/players/3163079/cj-stroud/fantasy/" xr:uid="{EAF25040-1E42-4E9F-A43F-9D7BEF41EC0C}"/>
    <x:hyperlink ref="B135" r:id="rId128" display="https://www.cbssports.com/nfl/players/2864759/desmond-ridder/fantasy/" xr:uid="{E50419EB-6F47-4E17-BB92-B345DD85C489}"/>
    <x:hyperlink ref="B136" r:id="rId129" display="https://www.cbssports.com/nfl/players/2080032/baker-mayfield/fantasy/" xr:uid="{A5193C7C-7DC6-4CC7-A6E9-77ED30A34454}"/>
    <x:hyperlink ref="B137" r:id="rId130" display="https://www.cbssports.com/nfl/players/2741202/mac-jones/fantasy/" xr:uid="{DB44808F-7447-4322-9E37-D6C880634C2A}"/>
    <x:hyperlink ref="B138" r:id="rId131" display="https://www.cbssports.com/nfl/players/3123797/sam-howell/fantasy/" xr:uid="{BE1B4EEB-7DBA-4B6E-848D-21549D2F0DC3}"/>
    <x:hyperlink ref="B139" r:id="rId132" display="https://www.cbssports.com/nfl/players/1273654/ryan-tannehill/fantasy/" xr:uid="{F422628E-2561-4AEF-94DE-6C8B09E8CF0D}"/>
    <x:hyperlink ref="B140" r:id="rId133" display="https://www.cbssports.com/nfl/players/2221839/kyle-trask/fantasy/" xr:uid="{DFE65AD9-C355-4367-AD8D-16F59E7D7AEA}"/>
    <x:hyperlink ref="B141" r:id="rId134" display="https://www.cbssports.com/nfl/players/517243/brian-hoyer/fantasy/" xr:uid="{AD3E602C-38F4-4CAB-941B-1A76663EAD0A}"/>
    <x:hyperlink ref="B142" r:id="rId135" display="https://www.cbssports.com/nfl/players/1877247/jacoby-brissett/fantasy/" xr:uid="{8198F847-647D-489C-877E-36F3AC8F2DFA}"/>
    <x:hyperlink ref="B143" r:id="rId136" display="https://www.cbssports.com/nfl/players/2131261/david-blough/fantasy/" xr:uid="{BF1B5DC9-D3EA-4F2B-AC68-DD696799D55F}"/>
    <x:hyperlink ref="B144" r:id="rId137" display="https://www.cbssports.com/nfl/players/2072143/mike-white/fantasy/" xr:uid="{513DBADB-16B3-45B9-8D22-5E581F13E8A6}"/>
    <x:hyperlink ref="B145" r:id="rId138" display="https://www.cbssports.com/nfl/players/2180320/sam-darnold/fantasy/" xr:uid="{E3A27A0A-5799-4C6E-BFBA-49ED817E62FF}"/>
    <x:hyperlink ref="B146" r:id="rId139" display="https://www.cbssports.com/nfl/players/584648/colt-mccoy/fantasy/" xr:uid="{40105B4B-67E4-4E20-B647-9F50292787C1}"/>
    <x:hyperlink ref="B147" r:id="rId140" display="https://www.cbssports.com/nfl/players/2964377/will-levis/fantasy/" xr:uid="{73C1CA5A-F639-4EAA-B921-3193A661848B}"/>
    <x:hyperlink ref="B148" r:id="rId141" display="https://www.cbssports.com/nfl/players/2174914/taylor-heinicke/fantasy/" xr:uid="{9046B0A7-EAB4-4768-A817-90C7BBF7BA0D}"/>
    <x:hyperlink ref="B149" r:id="rId142" display="https://www.cbssports.com/nfl/players/2818659/pj-walker/fantasy/" xr:uid="{DCC7AF0C-67D8-4BF1-B9FE-7A379EF7B731}"/>
    <x:hyperlink ref="B150" r:id="rId143" display="https://www.cbssports.com/nfl/players/2180697/jarrett-stidham/fantasy/" xr:uid="{FF2C46B3-6404-4A57-A93A-FC34DFDD20B6}"/>
    <x:hyperlink ref="B151" r:id="rId144" display="https://www.cbssports.com/nfl/players/1880862/marcus-mariota/fantasy/" xr:uid="{FB242AA6-E320-4B1F-9ED8-F47C05FC6365}"/>
    <x:hyperlink ref="B152" r:id="rId145" display="https://www.cbssports.com/nfl/players/1998197/jameis-winston/fantasy/" xr:uid="{384CDB4B-D271-453C-A637-364786821405}"/>
    <x:hyperlink ref="B153" r:id="rId146" display="https://www.cbssports.com/nfl/players/1630777/blaine-gabbert/fantasy/" xr:uid="{0C70CC63-9CAA-4AB9-BF77-56B8CB6D44C9}"/>
    <x:hyperlink ref="B154" r:id="rId147" display="https://www.cbssports.com/nfl/players/2866483/bailey-zappe/fantasy/" xr:uid="{EF5D4E02-D689-4CF6-AD77-091957AF3F36}"/>
    <x:hyperlink ref="B155" r:id="rId148" display="https://www.cbssports.com/nfl/players/1243338/tyrod-taylor/fantasy/" xr:uid="{249FD152-2FBF-4B5C-A33E-FEE2599B3AD2}"/>
    <x:hyperlink ref="B156" r:id="rId149" display="https://www.cbssports.com/nfl/players/3120848/max-duggan/fantasy/" xr:uid="{967AA879-3905-4538-A10E-3AB9F696D5AC}"/>
    <x:hyperlink ref="B157" r:id="rId150" display="https://www.cbssports.com/nfl/players/2975722/jaren-hall/fantasy/" xr:uid="{06BA134B-61BC-4F64-B091-1D4C4FA66BCA}"/>
    <x:hyperlink ref="B158" r:id="rId151" display="https://www.cbssports.com/nfl/players/2071844/joshua-dobbs/fantasy/" xr:uid="{725B3156-891C-4D1A-B1EF-1E865C8F6400}"/>
    <x:hyperlink ref="B159" r:id="rId152" display="https://www.cbssports.com/nfl/players/2185479/drew-lock/fantasy/" xr:uid="{826EA23B-4863-472D-BECB-E4035A782186}"/>
    <x:hyperlink ref="B160" r:id="rId153" display="https://www.cbssports.com/nfl/players/2221829/feleipe-franks/fantasy/" xr:uid="{DCAE9A6E-1757-42FB-AA36-248A914FAF63}"/>
    <x:hyperlink ref="B161" r:id="rId154" display="https://www.cbssports.com/nfl/players/1125961/andy-dalton/fantasy/" xr:uid="{072A0EFD-03E4-4C98-B2E4-B02F0E215400}"/>
    <x:hyperlink ref="B162" r:id="rId155" display="https://www.cbssports.com/nfl/players/2805110/hendon-hooker/fantasy/" xr:uid="{B3644474-A5A3-4E63-A5F0-F8EC3C8020B4}"/>
    <x:hyperlink ref="B163" r:id="rId156" display="https://www.cbssports.com/nfl/players/2868716/aidan-oconnell/fantasy/" xr:uid="{F8F10E02-CC84-4DB2-BCCF-89F080707D30}"/>
    <x:hyperlink ref="B164" r:id="rId157" display="https://www.cbssports.com/nfl/players/2963945/tanner-mckee/fantasy/" xr:uid="{A08E4D0D-1726-4F3B-B450-73BEFA28EAF4}"/>
    <x:hyperlink ref="B165" r:id="rId158" display="https://www.cbssports.com/nfl/players/2174210/trevor-siemian/fantasy/" xr:uid="{1AA43D01-947E-426F-804D-F643BD7D01D8}"/>
    <x:hyperlink ref="B166" r:id="rId159" display="https://www.cbssports.com/nfl/players/3159137/tyler-huntley/fantasy/" xr:uid="{8AB6CEB8-04E3-4060-BFF3-5FB1FB349726}"/>
    <x:hyperlink ref="B167" r:id="rId160" display="https://www.cbssports.com/nfl/players/2867381/davis-mills/fantasy/" xr:uid="{3A4FD082-B2CF-4E0F-B8FF-5628D27B1545}"/>
    <x:hyperlink ref="B168" r:id="rId161" display="https://www.cbssports.com/nfl/players/2060476/mitch-trubisky/fantasy/" xr:uid="{A4C2EFE1-BD66-4CCA-8D21-AE1C567C59E6}"/>
    <x:hyperlink ref="B169" r:id="rId162" display="https://www.cbssports.com/nfl/players/2815170/jake-haener/fantasy/" xr:uid="{C0438590-E3DD-4075-B57F-C5323E2D74FC}"/>
    <x:hyperlink ref="B170" r:id="rId163" display="https://www.cbssports.com/nfl/players/2131782/kyle-allen/fantasy/" xr:uid="{EBA385AC-38DA-41A4-A99F-D34CF7274707}"/>
    <x:hyperlink ref="B171" r:id="rId164" display="https://www.cbssports.com/nfl/players/2000176/cooper-rush/fantasy/" xr:uid="{140D1635-16C4-4D95-8766-900A791D463A}"/>
    <x:hyperlink ref="B172" r:id="rId165" display="https://www.cbssports.com/nfl/players/1998463/cj-beathard/fantasy/" xr:uid="{8CDF8502-F36D-4966-86BB-9A19383382C7}"/>
    <x:hyperlink ref="B173" r:id="rId166" display="https://www.cbssports.com/nfl/players/2819104/nick-mullens/fantasy/" xr:uid="{300BC661-FAEE-43A4-952A-3358E2DFDA5B}"/>
    <x:hyperlink ref="B174" r:id="rId167" display="https://www.cbssports.com/nfl/players/2964729/dorian-thompson-robinson/fantasy/" xr:uid="{0A3BA982-FCAB-4084-AFAC-1348B1F96527}"/>
    <x:hyperlink ref="B175" r:id="rId168" display="https://www.cbssports.com/nfl/players/2871628/stetson-bennett/fantasy/" xr:uid="{4E62326B-D423-4DA4-87CD-BAF26C759E16}"/>
    <x:hyperlink ref="B176" r:id="rId169" display="https://www.cbssports.com/nfl/players/2868998/sean-clifford/fantasy/" xr:uid="{25C78365-E3E9-4CAB-99E6-0A955982C703}"/>
    <x:hyperlink ref="B177" r:id="rId170" display="https://www.cbssports.com/nfl/players/2183083/gardner-minshew/fantasy/" xr:uid="{36858BC5-16DC-4C15-87A5-692CB3F39D90}"/>
    <x:hyperlink ref="B178" r:id="rId171" display="https://www.cbssports.com/nfl/players/2804167/malik-willis/fantasy/" xr:uid="{62BFA019-0EBC-4783-8076-85C1C09707B0}"/>
    <x:hyperlink ref="B179" r:id="rId172" display="https://www.cbssports.com/nfl/players/2969444/trey-lance/fantasy/" xr:uid="{4D914872-9C9E-46E9-A88B-CDDA6824E174}"/>
    <x:hyperlink ref="B180" r:id="rId173" display="https://www.cbssports.com/nfl/players/2820090/austin-ekeler/fantasy/" xr:uid="{CD9F5E6E-866F-47FA-B017-911E4A9CBD71}"/>
    <x:hyperlink ref="B181" r:id="rId174" display="https://www.cbssports.com/nfl/players/2136743/christian-mccaffrey/fantasy/" xr:uid="{616BA3EC-5452-449F-A4BC-96CCF6BCE2AA}"/>
    <x:hyperlink ref="B182" r:id="rId175" display="https://www.cbssports.com/nfl/players/2185957/saquon-barkley/fantasy/" xr:uid="{8F05ACDD-9DC4-44E2-851C-D81C7FC45E1C}"/>
    <x:hyperlink ref="B183" r:id="rId176" display="https://www.cbssports.com/nfl/players/2184011/tony-pollard/fantasy/" xr:uid="{54E4EC1E-3F26-4081-A865-570FC9D9849E}"/>
    <x:hyperlink ref="B184" r:id="rId177" display="https://www.cbssports.com/nfl/players/3125832/rhamondre-stevenson/fantasy/" xr:uid="{80CA1A52-5711-4D4B-ABFB-DB4EDB4722A5}"/>
    <x:hyperlink ref="B185" r:id="rId178" display="https://www.cbssports.com/nfl/players/2257876/josh-jacobs/fantasy/" xr:uid="{5E630BEC-797F-404E-B149-82FA6DC22454}"/>
    <x:hyperlink ref="B186" r:id="rId179" display="https://www.cbssports.com/nfl/players/3168163/bijan-robinson/fantasy/" xr:uid="{AB1F337F-79E4-4A6B-9757-10FC4823E38E}"/>
    <x:hyperlink ref="B187" r:id="rId180" display="https://www.cbssports.com/nfl/players/2061188/derrick-henry/fantasy/" xr:uid="{9654CB40-5BA8-496B-A35D-637EA2BF6A31}"/>
    <x:hyperlink ref="B188" r:id="rId181" display="https://www.cbssports.com/nfl/players/2866395/jonathan-taylor/fantasy/" xr:uid="{121D973D-D5B5-4FC1-BC29-918CC08ADC4A}"/>
    <x:hyperlink ref="B189" r:id="rId182" display="https://www.cbssports.com/nfl/players/2071937/aaron-jones/fantasy/" xr:uid="{8A4BE60F-FB71-4B69-BBB6-9417F4DC1B9E}"/>
    <x:hyperlink ref="B190" r:id="rId183" display="https://www.cbssports.com/nfl/players/3123469/breece-hall/fantasy/" xr:uid="{7F230BF3-D676-44C7-A841-968BD9C931E9}"/>
    <x:hyperlink ref="B191" r:id="rId184" display="https://www.cbssports.com/nfl/players/2131143/joe-mixon/fantasy/" xr:uid="{1D9C6802-BCD6-4E5A-8F4A-87D7FCFF4E01}"/>
    <x:hyperlink ref="B192" r:id="rId185" display="https://www.cbssports.com/nfl/players/2131579/nick-chubb/fantasy/" xr:uid="{4A4625FC-E3CE-40E7-9157-E4F7776FCE8B}"/>
    <x:hyperlink ref="B193" r:id="rId186" display="https://www.cbssports.com/nfl/players/2257933/alexander-mattison/fantasy/" xr:uid="{2C39A430-4E24-437F-A257-9935E1562163}"/>
    <x:hyperlink ref="B194" r:id="rId187" display="https://www.cbssports.com/nfl/players/2964236/dameon-pierce/fantasy/" xr:uid="{4E0BFF52-C17C-4E4C-AD58-633EEE8B323D}"/>
    <x:hyperlink ref="B195" r:id="rId188" display="https://www.cbssports.com/nfl/players/2071585/james-conner/fantasy/" xr:uid="{0750E060-D8F2-4C78-9FA6-46229EEDFDD7}"/>
    <x:hyperlink ref="B196" r:id="rId189" display="https://www.cbssports.com/nfl/players/2741200/najee-harris/fantasy/" xr:uid="{97850AC9-68FA-43A6-BFF0-A0B88C8D3C47}"/>
    <x:hyperlink ref="B197" r:id="rId190" display="https://www.cbssports.com/nfl/players/3162723/jahmyr-gibbs/fantasy/" xr:uid="{C82907D7-C62B-4571-961F-5CAD4F4EA514}"/>
    <x:hyperlink ref="B198" r:id="rId191" display="https://www.cbssports.com/nfl/players/2809206/travis-etienne/fantasy/" xr:uid="{C05897E2-AB18-4F34-A309-8867DF834F2F}"/>
    <x:hyperlink ref="B199" r:id="rId192" display="https://www.cbssports.com/nfl/players/2804420/jk-dobbins/fantasy/" xr:uid="{757570D2-2171-445C-B54A-22B0D767A914}"/>
    <x:hyperlink ref="B200" r:id="rId193" display="https://www.cbssports.com/nfl/players/2961719/javonte-williams/fantasy/" xr:uid="{7C7724F2-BDCE-4655-A8FD-649946CD7196}"/>
    <x:hyperlink ref="B201" r:id="rId194" display="https://www.cbssports.com/nfl/players/2261252/david-montgomery/fantasy/" xr:uid="{E23AB29B-E317-45A1-BC6B-B944D7A2241B}"/>
    <x:hyperlink ref="B202" r:id="rId195" display="https://www.cbssports.com/nfl/players/3121372/kenneth-walker-iii/fantasy/" xr:uid="{4EE4FE87-2B6C-4180-A3BE-C470BE6A6789}"/>
    <x:hyperlink ref="B203" r:id="rId196" display="https://www.cbssports.com/nfl/players/3169147/rachaad-white/fantasy/" xr:uid="{5C650EEA-CD9A-4A5E-A8AB-06B8A3A4B028}"/>
    <x:hyperlink ref="B204" r:id="rId197" display="https://www.cbssports.com/nfl/players/2251305/miles-sanders/fantasy/" xr:uid="{057D7ADE-C2E9-41CF-B6F8-FB11249AFABB}"/>
    <x:hyperlink ref="B205" r:id="rId198" display="https://www.cbssports.com/nfl/players/2082721/alvin-kamara/fantasy/" xr:uid="{B76CC94F-94ED-4F87-9316-D173BD06F424}"/>
    <x:hyperlink ref="B206" r:id="rId199" display="https://www.cbssports.com/nfl/players/2871710/dandre-swift/fantasy/" xr:uid="{A05A951D-1131-401B-B209-607DB7A4407B}"/>
    <x:hyperlink ref="B207" r:id="rId200" display="https://www.cbssports.com/nfl/players/2966551/isiah-pacheco/fantasy/" xr:uid="{F1A0DCDC-7FAF-489E-9AF9-F2E73A14E9FE}"/>
    <x:hyperlink ref="B208" r:id="rId201" display="https://www.cbssports.com/nfl/players/2804034/cam-akers/fantasy/" xr:uid="{294532ED-22C0-4EBB-A186-A09136C96B77}"/>
    <x:hyperlink ref="B209" r:id="rId202" display="https://www.cbssports.com/nfl/players/2741207/brian-robinson-jr/fantasy/" xr:uid="{426E9968-617A-4836-A171-8FF4A1337764}"/>
    <x:hyperlink ref="B210" r:id="rId203" display="https://www.cbssports.com/nfl/players/2867083/aj-dillon/fantasy/" xr:uid="{5BB1C16E-D309-489C-8D9A-BF750D832A34}"/>
    <x:hyperlink ref="B211" r:id="rId204" display="https://www.cbssports.com/nfl/players/2131148/samaje-perine/fantasy/" xr:uid="{EF68F819-705C-405F-B4D8-AFA7E7919A1C}"/>
    <x:hyperlink ref="B212" r:id="rId205" display="https://www.cbssports.com/nfl/players/2975698/james-cook/fantasy/" xr:uid="{07AA19E8-137B-44F4-BD1F-A566AFB1D30E}"/>
    <x:hyperlink ref="B213" r:id="rId206" display="https://www.cbssports.com/nfl/players/2144893/rashaad-penny/fantasy/" xr:uid="{80896B7E-D9B8-4D7F-AE6A-AFB735058C01}"/>
    <x:hyperlink ref="B214" r:id="rId207" display="https://www.cbssports.com/nfl/players/2001287/jamaal-williams/fantasy/" xr:uid="{AA7E26AF-8145-4062-B92F-779673C0B0A7}"/>
    <x:hyperlink ref="B215" r:id="rId208" display="https://www.cbssports.com/nfl/players/2186318/damien-harris/fantasy/" xr:uid="{37F7363E-0852-4EAC-9637-2B9D120EC341}"/>
    <x:hyperlink ref="B216" r:id="rId209" display="https://www.cbssports.com/nfl/players/2960976/antonio-gibson/fantasy/" xr:uid="{9DCB661D-727A-4FFA-A278-5A9965887819}"/>
    <x:hyperlink ref="B217" r:id="rId210" display="https://www.cbssports.com/nfl/players/3171161/devon-achane/fantasy/" xr:uid="{21003947-3DD7-41EF-BED1-E9A7AB619CB9}"/>
    <x:hyperlink ref="B218" r:id="rId211" display="https://www.cbssports.com/nfl/players/2253041/khalil-herbert/fantasy/" xr:uid="{13E8D502-AB14-4EAC-81B4-722E0A097058}"/>
    <x:hyperlink ref="B219" r:id="rId212" display="https://www.cbssports.com/nfl/players/3123810/zach-charbonnet/fantasy/" xr:uid="{EAEA82EA-7830-4FD7-B340-6E4482AE4AFC}"/>
    <x:hyperlink ref="B220" r:id="rId213" display="https://www.cbssports.com/nfl/players/3163291/israel-abanikanda/fantasy/" xr:uid="{ED2C400D-E42D-47DC-8386-5B95C7AA188A}"/>
    <x:hyperlink ref="B221" r:id="rId214" display="https://www.cbssports.com/nfl/players/2925161/jeff-wilson/fantasy/" xr:uid="{BF84FF08-4AD2-4241-B835-849F3EC529D3}"/>
    <x:hyperlink ref="B222" r:id="rId215" display="https://www.cbssports.com/nfl/players/2174957/raheem-mostert/fantasy/" xr:uid="{E54CDCBE-64DA-484E-9572-65DF82F66FF8}"/>
    <x:hyperlink ref="B223" r:id="rId216" display="https://www.cbssports.com/nfl/players/2819876/elijah-mitchell/fantasy/" xr:uid="{3BE2C048-E4B8-40B8-8C20-3DD2990075C9}"/>
    <x:hyperlink ref="B224" r:id="rId217" display="https://www.cbssports.com/nfl/players/2866237/deon-jackson/fantasy/" xr:uid="{7F82DE51-69FD-4194-9732-2CE6BF80D842}"/>
    <x:hyperlink ref="B225" r:id="rId218" display="https://www.cbssports.com/nfl/players/3121395/roschon-johnson/fantasy/" xr:uid="{29D17B0D-CD16-463E-9625-0D2741E87EB4}"/>
    <x:hyperlink ref="B226" r:id="rId219" display="https://www.cbssports.com/nfl/players/2975590/tyler-allgeier/fantasy/" xr:uid="{375AD939-CBAF-47C7-9485-3D174E263782}"/>
    <x:hyperlink ref="B227" r:id="rId220" display="https://www.cbssports.com/nfl/players/2241251/devin-singletary/fantasy/" xr:uid="{09EB46D7-DE97-469C-910D-C7983D856945}"/>
    <x:hyperlink ref="B228" r:id="rId221" display="https://www.cbssports.com/nfl/players/2968948/kenneth-gainwell/fantasy/" xr:uid="{C9DD44E0-CC4A-4D44-91E5-15D6FB3DA165}"/>
    <x:hyperlink ref="B229" r:id="rId222" display="https://www.cbssports.com/nfl/players/2925410/gus-edwards/fantasy/" xr:uid="{9F7555A3-8144-4FB2-BFC5-AE4C5C164FD7}"/>
    <x:hyperlink ref="B230" r:id="rId223" display="https://www.cbssports.com/nfl/players/2819247/pierre-strong-jr/fantasy/" xr:uid="{89790098-B4BD-4503-AB37-B9729546FE9B}"/>
    <x:hyperlink ref="B231" r:id="rId224" display="https://www.cbssports.com/nfl/players/2139847/donta-foreman/fantasy/" xr:uid="{198F2795-4B66-46DE-B26A-349BC56F1BC0}"/>
    <x:hyperlink ref="B232" r:id="rId225" display="https://www.cbssports.com/nfl/players/2804554/clyde-edwards-helaire/fantasy/" xr:uid="{1CA4B944-8272-431D-BCF9-153A2243509D}"/>
    <x:hyperlink ref="B233" r:id="rId226" display="https://www.cbssports.com/nfl/players/2965160/chase-brown/fantasy/" xr:uid="{BED5FAE2-1B45-4D9D-AC44-E0CEFB487653}"/>
    <x:hyperlink ref="B234" r:id="rId227" display="https://www.cbssports.com/nfl/players/3162021/tank-bigsby/fantasy/" xr:uid="{4071CBCB-0414-4B2A-BAA5-6E57AD532CBD}"/>
    <x:hyperlink ref="B235" r:id="rId228" display="https://www.cbssports.com/nfl/players/3126535/jaylen-warren/fantasy/" xr:uid="{22CD68AB-BD82-4919-BC27-4CBFF0995573}"/>
    <x:hyperlink ref="B236" r:id="rId229" display="https://www.cbssports.com/nfl/players/3122588/tyjae-spears/fantasy/" xr:uid="{D17ECC93-B67B-4357-A5E7-CBB90C409F8E}"/>
    <x:hyperlink ref="B237" r:id="rId230" display="https://www.cbssports.com/nfl/players/2071773/corey-clement/fantasy/" xr:uid="{AA8AEC99-7CF3-4227-BC45-1E9EDC05FD57}"/>
    <x:hyperlink ref="B238" r:id="rId231" display="https://www.cbssports.com/nfl/players/2129436/jerick-mckinnon/fantasy/" xr:uid="{BD46CAC9-F20D-4EA5-8A1A-F1287A34F8A0}"/>
    <x:hyperlink ref="B239" r:id="rId232" display="https://www.cbssports.com/nfl/players/3162256/kendre-miller/fantasy/" xr:uid="{2F436309-EB8A-4596-BCB7-3FC56F8AD6FA}"/>
    <x:hyperlink ref="B240" r:id="rId233" display="https://www.cbssports.com/nfl/players/2183832/nyheim-hines/fantasy/" xr:uid="{3AB42D91-9092-4422-826C-5DE44A27B442}"/>
    <x:hyperlink ref="B241" r:id="rId234" display="https://www.cbssports.com/nfl/players/2865693/chuba-hubbard/fantasy/" xr:uid="{E42BC721-F28F-47D0-83E8-EBEAE91737B1}"/>
    <x:hyperlink ref="B242" r:id="rId235" display="https://www.cbssports.com/nfl/players/2867472/ty-chandler/fantasy/" xr:uid="{EDC134F2-7E9D-4E4A-A540-7AF6BDBD541C}"/>
    <x:hyperlink ref="B243" r:id="rId236" display="https://www.cbssports.com/nfl/players/2137507/chase-edmonds/fantasy/" xr:uid="{913E044B-ECC6-4361-9FB6-2E2488EE8302}"/>
    <x:hyperlink ref="B244" r:id="rId237" display="https://www.cbssports.com/nfl/players/1996183/cordarrelle-patterson/fantasy/" xr:uid="{0286EA0F-D918-4A20-9951-AEBDCDBEAE66}"/>
    <x:hyperlink ref="B245" r:id="rId238" display="https://www.cbssports.com/nfl/players/1824308/ameer-abdullah/fantasy/" xr:uid="{16DCC99C-01F3-4E9C-904D-843183D10CE5}"/>
    <x:hyperlink ref="B246" r:id="rId239" display="https://www.cbssports.com/nfl/players/3123569/eric-gray/fantasy/" xr:uid="{08597AF2-73E4-4D1E-926C-F35929AE6FA3}"/>
    <x:hyperlink ref="B247" r:id="rId240" display="https://www.cbssports.com/nfl/players/2180329/ronald-jones/fantasy/" xr:uid="{91C467EF-9BF0-47D6-91E3-702886E3795F}"/>
    <x:hyperlink ref="B248" r:id="rId241" display="https://www.cbssports.com/nfl/players/2189504/jamycal-hasty/fantasy/" xr:uid="{10D5B883-3880-4924-93E7-B87763AF3A63}"/>
    <x:hyperlink ref="B249" r:id="rId242" display="https://www.cbssports.com/nfl/players/2962791/keaontay-ingram/fantasy/" xr:uid="{7AC4A5B4-95AC-431D-9F4D-2A2775436BFD}"/>
    <x:hyperlink ref="B250" r:id="rId243" display="https://www.cbssports.com/nfl/players/3121860/zonovan-knight/fantasy/" xr:uid="{C523B97D-668D-4A37-BDE3-8535C7951AB8}"/>
    <x:hyperlink ref="B251" r:id="rId244" display="https://www.cbssports.com/nfl/players/2966543/jerome-ford/fantasy/" xr:uid="{BB1A8082-24FA-4B43-8EBB-3040428FF3A7}"/>
    <x:hyperlink ref="B252" r:id="rId245" display="https://www.cbssports.com/nfl/players/1637004/latavius-murray/fantasy/" xr:uid="{E0E08F4F-7741-43B1-8A02-7AAA178E7ABA}"/>
    <x:hyperlink ref="B253" r:id="rId246" display="https://www.cbssports.com/nfl/players/2967536/jordan-mason/fantasy/" xr:uid="{D0341029-475B-4DD1-B596-15BE48794A3C}"/>
    <x:hyperlink ref="B254" r:id="rId247" display="https://www.cbssports.com/nfl/players/3162483/zach-evans/fantasy/" xr:uid="{DFDB8C15-6971-46E5-B9A5-4401D87E141F}"/>
    <x:hyperlink ref="B255" r:id="rId248" display="https://www.cbssports.com/nfl/players/2240516/zack-moss/fantasy/" xr:uid="{A7ABF2F4-76F3-4C75-81CC-BD2013681281}"/>
    <x:hyperlink ref="B256" r:id="rId249" display="https://www.cbssports.com/nfl/players/2131588/sony-michel/fantasy/" xr:uid="{5A174126-96A4-4776-8D63-05C7A2D7B516}"/>
    <x:hyperlink ref="B257" r:id="rId250" display="https://www.cbssports.com/nfl/players/2183195/joshua-kelley/fantasy/" xr:uid="{792978D5-13D7-4974-87AB-98A330BA5F30}"/>
    <x:hyperlink ref="B258" r:id="rId251" display="https://www.cbssports.com/nfl/players/1683145/kyle-juszczyk/fantasy/" xr:uid="{4AA4CC34-BD0A-4AA5-ACA3-34F905E44DBB}"/>
    <x:hyperlink ref="B259" r:id="rId252" display="https://www.cbssports.com/nfl/players/2819100/matt-breida/fantasy/" xr:uid="{6888ABDD-4DD6-4A9E-B554-5E3EBFED5243}"/>
    <x:hyperlink ref="B260" r:id="rId253" display="https://www.cbssports.com/nfl/players/2222046/trayveon-williams/fantasy/" xr:uid="{996C3778-1396-4A6D-9B16-FDCAC0253394}"/>
    <x:hyperlink ref="B261" r:id="rId254" display="https://www.cbssports.com/nfl/players/2870476/raheem-blackshear/fantasy/" xr:uid="{5E298891-2617-49BA-83E8-BD6B2EABAE0D}"/>
    <x:hyperlink ref="B262" r:id="rId255" display="https://www.cbssports.com/nfl/players/2179704/keshawn-vaughn/fantasy/" xr:uid="{85EAF447-00A6-40FE-BB46-A4335937EAB2}"/>
    <x:hyperlink ref="B263" r:id="rId256" display="https://www.cbssports.com/nfl/players/1851149/ty-montgomery/fantasy/" xr:uid="{D857F95F-9B6E-48A8-A012-B87EE555D4DE}"/>
    <x:hyperlink ref="B264" r:id="rId257" display="https://www.cbssports.com/nfl/players/2871345/zander-horvath/fantasy/" xr:uid="{E3586251-DAB3-4506-91FF-8239A048670E}"/>
    <x:hyperlink ref="B265" r:id="rId258" display="https://www.cbssports.com/nfl/players/2237239/cj-ham/fantasy/" xr:uid="{3B5397E4-01C3-4EEA-9A30-09EE33D9932C}"/>
    <x:hyperlink ref="B266" r:id="rId259" display="https://www.cbssports.com/nfl/players/2968506/hassan-haskins/fantasy/" xr:uid="{50769B4C-B73D-4AD3-AB3D-07B73372AA90}"/>
    <x:hyperlink ref="B267" r:id="rId260" display="https://www.cbssports.com/nfl/players/2249831/travis-homer/fantasy/" xr:uid="{572BFD3E-EC26-4163-9080-8E9E39247C1E}"/>
    <x:hyperlink ref="B268" r:id="rId261" display="https://www.cbssports.com/nfl/players/3121004/snoop-conner/fantasy/" xr:uid="{6A3536E8-B328-4573-8D6A-6EA1511F827D}"/>
    <x:hyperlink ref="B269" r:id="rId262" display="https://www.cbssports.com/nfl/players/3168666/deuce-vaughn/fantasy/" xr:uid="{01C8FB25-6234-4C5E-9C0D-FF01288B36B5}"/>
    <x:hyperlink ref="B270" r:id="rId263" display="https://www.cbssports.com/nfl/players/3117165/dernest-johnson/fantasy/" xr:uid="{9D092F59-47C8-4AE4-8CEA-0BAE56A3CBA9}"/>
    <x:hyperlink ref="B271" r:id="rId264" display="https://www.cbssports.com/nfl/players/3172893/tyson-williams/fantasy/" xr:uid="{BE3C5484-3886-407B-9453-F51CAE182F53}"/>
    <x:hyperlink ref="B272" r:id="rId265" display="https://www.cbssports.com/nfl/players/2818911/patrick-ricard/fantasy/" xr:uid="{5BCC5CA8-6720-42CE-9813-5A46EF8DE396}"/>
    <x:hyperlink ref="B273" r:id="rId266" display="https://www.cbssports.com/nfl/players/2079334/boston-scott/fantasy/" xr:uid="{8DB14CB1-82B5-48EF-A0FA-C3AFEEB40B28}"/>
    <x:hyperlink ref="B274" r:id="rId267" display="https://www.cbssports.com/nfl/players/3121706/lew-nichols-iii/fantasy/" xr:uid="{329D630D-58A6-4A82-9F6C-EA010071A69A}"/>
    <x:hyperlink ref="B275" r:id="rId268" display="https://www.cbssports.com/nfl/players/2252798/rico-dowdle/fantasy/" xr:uid="{EB0E3DE5-487E-4BE5-BD43-3E08C31FD9E7}"/>
    <x:hyperlink ref="B276" r:id="rId269" display="https://www.cbssports.com/nfl/players/2804094/deejay-dallas/fantasy/" xr:uid="{ACB31812-46E9-4B71-B824-A50BDF641EF9}"/>
    <x:hyperlink ref="B277" r:id="rId270" display="https://www.cbssports.com/nfl/players/3121460/kenny-mcintosh/fantasy/" xr:uid="{5F77B140-9AF3-4FEF-8696-B59AC8E28603}"/>
    <x:hyperlink ref="B278" r:id="rId271" display="https://www.cbssports.com/nfl/players/2249805/brittain-brown/fantasy/" xr:uid="{AB4D469F-3EA5-4AD9-842F-00D7974230C2}"/>
    <x:hyperlink ref="B279" r:id="rId272" display="https://www.cbssports.com/nfl/players/3121308/sincere-mccormick/fantasy/" xr:uid="{178B775D-3B27-4242-80E6-EE3280C05968}"/>
    <x:hyperlink ref="B280" r:id="rId273" display="https://www.cbssports.com/nfl/players/1725130/travis-kelce/fantasy/" xr:uid="{C5F8F427-8E2F-4224-AFD7-DCA47BE0CFC0}"/>
    <x:hyperlink ref="B281" r:id="rId274" display="https://www.cbssports.com/nfl/players/2131121/mark-andrews/fantasy/" xr:uid="{5507F618-B5F5-41F6-BB68-FF323F22C12E}"/>
    <x:hyperlink ref="B282" r:id="rId275" display="https://www.cbssports.com/nfl/players/2251097/tj-hockenson/fantasy/" xr:uid="{4D3B856F-3F0F-4A43-8E85-3D3DDCE09E91}"/>
    <x:hyperlink ref="B283" r:id="rId276" display="https://www.cbssports.com/nfl/players/2818265/george-kittle/fantasy/" xr:uid="{AE4D5ADA-0743-4A7E-85A7-C86C2898BFFE}"/>
    <x:hyperlink ref="B284" r:id="rId277" display="https://www.cbssports.com/nfl/players/2132551/dallas-goedert/fantasy/" xr:uid="{B8C9006B-8F96-4FFC-AF55-C3E133EFFF87}"/>
    <x:hyperlink ref="B285" r:id="rId278" display="https://www.cbssports.com/nfl/players/2136474/david-njoku/fantasy/" xr:uid="{E86E0D65-3673-4073-B664-7481D8DB530F}"/>
    <x:hyperlink ref="B286" r:id="rId279" display="https://www.cbssports.com/nfl/players/2965208/chigoziem-okonkwo/fantasy/" xr:uid="{BD4BAF22-978B-4BB5-84E4-CA9CE14AF670}"/>
    <x:hyperlink ref="B287" r:id="rId280" display="https://www.cbssports.com/nfl/players/2964514/kyle-pitts/fantasy/" xr:uid="{826129A5-26C1-4C4C-9733-8F0761ABFD6C}"/>
    <x:hyperlink ref="B288" r:id="rId281" display="https://www.cbssports.com/nfl/players/2079887/evan-engram/fantasy/" xr:uid="{2DEC509E-7B76-4D39-8075-7BAFF5701029}"/>
    <x:hyperlink ref="B289" r:id="rId282" display="https://www.cbssports.com/nfl/players/2961270/pat-freiermuth/fantasy/" xr:uid="{7BF64784-376E-4E6E-A7BD-E751B95948B0}"/>
    <x:hyperlink ref="B290" r:id="rId283" display="https://www.cbssports.com/nfl/players/2136748/dalton-schultz/fantasy/" xr:uid="{D0D531E4-FC16-4621-9A0C-422D3E20485B}"/>
    <x:hyperlink ref="B291" r:id="rId284" display="https://www.cbssports.com/nfl/players/1850793/darren-waller/fantasy/" xr:uid="{18DCC1DF-2B48-4AE1-9EEC-C5E6968C18D4}"/>
    <x:hyperlink ref="B292" r:id="rId285" display="https://www.cbssports.com/nfl/players/2964274/greg-dulcich/fantasy/" xr:uid="{2DB732C1-6E0A-417E-8864-B2877EE9D309}"/>
    <x:hyperlink ref="B293" r:id="rId286" display="https://www.cbssports.com/nfl/players/1853103/tyler-higbee/fantasy/" xr:uid="{2873738D-A14F-466B-8165-1B13365A4425}"/>
    <x:hyperlink ref="B294" r:id="rId287" display="https://www.cbssports.com/nfl/players/2868619/cole-kmet/fantasy/" xr:uid="{6020F655-E82B-49EA-8B8C-CED782ED8723}"/>
    <x:hyperlink ref="B295" r:id="rId288" display="https://www.cbssports.com/nfl/players/2142692/gerald-everett/fantasy/" xr:uid="{BD6B3A8A-F613-4273-B218-135D84733986}"/>
    <x:hyperlink ref="B296" r:id="rId289" display="https://www.cbssports.com/nfl/players/2186637/juwan-johnson/fantasy/" xr:uid="{BAE7DE7B-2EBE-4ABF-B43A-E0EE38177D21}"/>
    <x:hyperlink ref="B297" r:id="rId290" display="https://www.cbssports.com/nfl/players/1685963/zach-ertz/fantasy/" xr:uid="{CA1D2A16-21F4-429C-9D0A-07082A5714FA}"/>
    <x:hyperlink ref="B298" r:id="rId291" display="https://www.cbssports.com/nfl/players/2982991/dalton-kincaid/fantasy/" xr:uid="{F1240674-0180-4949-B238-BB586FA93980}"/>
    <x:hyperlink ref="B299" r:id="rId292" display="https://www.cbssports.com/nfl/players/2963385/trey-mcbride/fantasy/" xr:uid="{5AD4A2C2-58CE-4488-8881-6164C7A53D8A}"/>
    <x:hyperlink ref="B300" r:id="rId293" display="https://www.cbssports.com/nfl/players/2185053/hayden-hurst/fantasy/" xr:uid="{AA8E040D-F0F6-48CD-9D02-3AADFF349233}"/>
    <x:hyperlink ref="B301" r:id="rId294" display="https://www.cbssports.com/nfl/players/2251095/noah-fant/fantasy/" xr:uid="{18B23050-5471-48F0-AAD6-2563587BAB03}"/>
    <x:hyperlink ref="B302" r:id="rId295" display="https://www.cbssports.com/nfl/players/2257888/irv-smith/fantasy/" xr:uid="{5613293C-DEA5-446C-870F-3AB9C37DD34A}"/>
    <x:hyperlink ref="B303" r:id="rId296" display="https://www.cbssports.com/nfl/players/2165249/tyler-conklin/fantasy/" xr:uid="{743DC952-75F3-4584-8EED-596A21CB993D}"/>
    <x:hyperlink ref="B304" r:id="rId297" display="https://www.cbssports.com/nfl/players/2818935/taysom-hill/fantasy/" xr:uid="{F27EACAA-FF99-49D1-B168-9C6F7EAF5303}"/>
    <x:hyperlink ref="B305" r:id="rId298" display="https://www.cbssports.com/nfl/players/3124197/sam-laporta/fantasy/" xr:uid="{2BC7FE16-7600-448C-8559-1502563B549D}"/>
    <x:hyperlink ref="B306" r:id="rId299" display="https://www.cbssports.com/nfl/players/2815179/cade-otton/fantasy/" xr:uid="{DB49171D-8694-4DD4-AAE1-AC9E7794720D}"/>
    <x:hyperlink ref="B307" r:id="rId300" display="https://www.cbssports.com/nfl/players/1691193/logan-thomas/fantasy/" xr:uid="{51E30C46-F7CA-43FD-A0C6-F2990447BF69}"/>
    <x:hyperlink ref="B308" r:id="rId301" display="https://www.cbssports.com/nfl/players/2079848/hunter-henry/fantasy/" xr:uid="{8EC80D76-8431-4FDA-9BCF-3BC579C71523}"/>
    <x:hyperlink ref="B309" r:id="rId302" display="https://www.cbssports.com/nfl/players/3171673/michael-mayer/fantasy/" xr:uid="{29839628-AFCF-47EF-9123-A287C875B921}"/>
    <x:hyperlink ref="B310" r:id="rId303" display="https://www.cbssports.com/nfl/players/2186345/dawson-knox/fantasy/" xr:uid="{5F28FEBC-A2F4-42BA-B58D-EAD53CCBA39E}"/>
    <x:hyperlink ref="B311" r:id="rId304" display="https://www.cbssports.com/nfl/players/3129283/luke-musgrave/fantasy/" xr:uid="{0021D1C0-FBE6-467A-9BDD-1FC6152B9F90}"/>
    <x:hyperlink ref="B312" r:id="rId305" display="https://www.cbssports.com/nfl/players/2787078/jelani-woods/fantasy/" xr:uid="{DEA7DCAC-2186-43DB-A991-FC8BEDF8F7E9}"/>
    <x:hyperlink ref="B313" r:id="rId306" display="https://www.cbssports.com/nfl/players/2820026/robert-tonyan/fantasy/" xr:uid="{901C44C8-6767-484A-A3E8-4ACFA530537D}"/>
    <x:hyperlink ref="B314" r:id="rId307" display="https://www.cbssports.com/nfl/players/2867159/jake-ferguson/fantasy/" xr:uid="{91B565AF-EC36-4EE3-9F91-D6A39F77FB69}"/>
    <x:hyperlink ref="B315" r:id="rId308" display="https://www.cbssports.com/nfl/players/2807423/brock-wright/fantasy/" xr:uid="{4DB60011-F6E8-417C-9380-3C7EB88D8ACA}"/>
    <x:hyperlink ref="B316" r:id="rId309" display="https://www.cbssports.com/nfl/players/2139298/mike-gesicki/fantasy/" xr:uid="{D5A87D6B-2F73-4484-9DE8-1D58E0A28CD6}"/>
    <x:hyperlink ref="B317" r:id="rId310" display="https://www.cbssports.com/nfl/players/2180634/foster-moreau/fantasy/" xr:uid="{BBA1BAF1-14E4-4DA2-9FA1-24A49FF52B0F}"/>
    <x:hyperlink ref="B318" r:id="rId311" display="https://www.cbssports.com/nfl/players/2866903/noah-gray/fantasy/" xr:uid="{019869E7-2DF6-41C3-85CC-39BA3D0CC992}"/>
    <x:hyperlink ref="B319" r:id="rId312" display="https://www.cbssports.com/nfl/players/2067004/austin-hooper/fantasy/" xr:uid="{5457E31C-AF2B-4B7A-B8E6-8D1850195AF8}"/>
    <x:hyperlink ref="B320" r:id="rId313" display="https://www.cbssports.com/nfl/players/2961906/isaiah-likely/fantasy/" xr:uid="{ACA8786F-EAA3-49B0-A835-08E69E1AA11F}"/>
    <x:hyperlink ref="B321" r:id="rId314" display="https://www.cbssports.com/nfl/players/2184618/josh-oliver/fantasy/" xr:uid="{80C1BECC-4BD4-4E4E-9B60-684562A79DBD}"/>
    <x:hyperlink ref="B322" r:id="rId315" display="https://www.cbssports.com/nfl/players/2969027/tommy-tremble/fantasy/" xr:uid="{C52D5F00-CA2B-4DEB-A973-C210F1839D89}"/>
    <x:hyperlink ref="B323" r:id="rId316" display="https://www.cbssports.com/nfl/players/2867522/colby-parkinson/fantasy/" xr:uid="{D0EA59B0-3E79-4827-9123-F5A6DBF24A29}"/>
    <x:hyperlink ref="B324" r:id="rId317" display="https://www.cbssports.com/nfl/players/2174118/cj-uzomah/fantasy/" xr:uid="{28A61763-20A3-460E-993F-E2FFC2271C22}"/>
    <x:hyperlink ref="B325" r:id="rId318" display="https://www.cbssports.com/nfl/players/2081506/jonnu-smith/fantasy/" xr:uid="{35AB7D17-AF8B-4030-9477-6221712D8805}"/>
    <x:hyperlink ref="B326" r:id="rId319" display="https://www.cbssports.com/nfl/players/2183713/donald-parham-jr/fantasy/" xr:uid="{A5EF7CAA-1FB9-4203-93FA-232A37F42E32}"/>
    <x:hyperlink ref="B327" r:id="rId320" display="https://www.cbssports.com/nfl/players/3163963/darnell-washington/fantasy/" xr:uid="{BC9B8BD4-6120-4D70-B930-187D9E3D2CE1}"/>
    <x:hyperlink ref="B328" r:id="rId321" display="https://www.cbssports.com/nfl/players/3123267/davis-allen/fantasy/" xr:uid="{A34347B4-F5A2-44FC-891D-19328701BAB7}"/>
    <x:hyperlink ref="B329" r:id="rId322" display="https://www.cbssports.com/nfl/players/2139628/will-dissly/fantasy/" xr:uid="{984DCFF7-DC89-425D-85F4-F21565538646}"/>
    <x:hyperlink ref="B330" r:id="rId323" display="https://www.cbssports.com/nfl/players/2965963/teagan-quitoriano/fantasy/" xr:uid="{5E4C8401-E3FF-4FD8-BFCE-18654FA43A6D}"/>
    <x:hyperlink ref="B331" r:id="rId324" display="https://www.cbssports.com/nfl/players/3121696/brenton-strange/fantasy/" xr:uid="{0BB4E68A-E982-4EEE-B2C3-5620C46F32C3}"/>
    <x:hyperlink ref="B332" r:id="rId325" display="https://www.cbssports.com/nfl/players/3133332/tucker-kraft/fantasy/" xr:uid="{054C6D26-F4E4-4D61-BD02-7820FCB470F4}"/>
    <x:hyperlink ref="B333" r:id="rId326" display="https://www.cbssports.com/nfl/players/2247146/kylen-granson/fantasy/" xr:uid="{6CEAF350-A5FF-4B27-AB03-5588FB1DF2D2}"/>
    <x:hyperlink ref="B334" r:id="rId327" display="https://www.cbssports.com/nfl/players/2082845/durham-smythe/fantasy/" xr:uid="{619DAEBB-B7B7-47C2-B037-9CC890DDF08A}"/>
    <x:hyperlink ref="B335" r:id="rId328" display="https://www.cbssports.com/nfl/players/2241240/harrison-bryant/fantasy/" xr:uid="{640BC1CB-31F2-4D33-A8D0-3CDF04472BF8}"/>
    <x:hyperlink ref="B336" r:id="rId329" display="https://www.cbssports.com/nfl/players/2968473/luke-schoonmaker/fantasy/" xr:uid="{F3E3E6C4-94B1-4285-8997-D32CB9BBB7BE}"/>
    <x:hyperlink ref="B337" r:id="rId330" display="https://www.cbssports.com/nfl/players/2253359/ian-thomas/fantasy/" xr:uid="{1B94DFFF-6785-478C-A1C8-FDE343A0D4B7}"/>
    <x:hyperlink ref="B338" r:id="rId331" display="https://www.cbssports.com/nfl/players/2239684/jack-stoll/fantasy/" xr:uid="{0E1A86D7-A87A-4432-9832-452B64904BF3}"/>
    <x:hyperlink ref="B339" r:id="rId332" display="https://www.cbssports.com/nfl/players/2181108/josiah-deguara/fantasy/" xr:uid="{18A1B4E6-44F1-45D0-9F0A-863E1729A6CC}"/>
    <x:hyperlink ref="B340" r:id="rId333" display="https://www.cbssports.com/nfl/players/2257291/john-bates/fantasy/" xr:uid="{75FBACBE-4F5D-416C-B11D-02F1652DEEE1}"/>
    <x:hyperlink ref="B341" r:id="rId334" display="https://www.cbssports.com/nfl/players/2867545/peyton-hendershot/fantasy/" xr:uid="{15FFE976-70E1-4C0A-BD0E-A9E758136ECC}"/>
    <x:hyperlink ref="B342" r:id="rId335" display="https://www.cbssports.com/nfl/players/2182228/adam-trautman/fantasy/" xr:uid="{C0282460-4FE6-4720-854F-B3479293829A}"/>
    <x:hyperlink ref="B343" r:id="rId336" display="https://www.cbssports.com/nfl/players/2968469/payne-durham/fantasy/" xr:uid="{4F4BD379-6D88-4604-9A24-1CE88B06836C}"/>
    <x:hyperlink ref="B344" r:id="rId337" display="https://www.cbssports.com/nfl/players/2223251/stephen-sullivan/fantasy/" xr:uid="{436A51EA-80FF-4DCA-8DFE-ED1ED02FD6D9}"/>
    <x:hyperlink ref="B345" r:id="rId338" display="https://www.cbssports.com/nfl/players/1737101/blake-bell/fantasy/" xr:uid="{91D176CA-49F0-4256-B008-BDEB271BF5BB}"/>
    <x:hyperlink ref="B346" r:id="rId339" display="https://www.cbssports.com/nfl/players/2815925/mo-alie-cox/fantasy/" xr:uid="{CEFE5A67-57A8-4D42-BF1B-02DE08EBD631}"/>
    <x:hyperlink ref="B347" r:id="rId340" display="https://www.cbssports.com/nfl/players/2061190/oj-howard/fantasy/" xr:uid="{A90D6029-6F23-4361-B1D0-6AF2F12CFF87}"/>
    <x:hyperlink ref="B348" r:id="rId341" display="https://www.cbssports.com/nfl/players/3122914/elijah-higgins/fantasy/" xr:uid="{E5E3246C-AAEC-4A2F-96BC-3A2C457E80E2}"/>
    <x:hyperlink ref="B349" r:id="rId342" display="https://www.cbssports.com/nfl/players/2963615/daniel-bellinger/fantasy/" xr:uid="{034DA170-805E-4475-B29F-B89A7806E6AE}"/>
    <x:hyperlink ref="B350" r:id="rId343" display="https://www.cbssports.com/nfl/players/1824200/tyler-kroft/fantasy/" xr:uid="{91D5595C-664D-4A85-BE3B-8CEDA8F038DB}"/>
    <x:hyperlink ref="B351" r:id="rId344" display="https://www.cbssports.com/nfl/players/2924888/ross-dwelley/fantasy/" xr:uid="{D1BA7872-FA96-4962-96B0-684543771098}"/>
    <x:hyperlink ref="B352" r:id="rId345" display="https://www.cbssports.com/nfl/players/2142712/jordan-akins/fantasy/" xr:uid="{1D10F982-BE0D-483A-BD3F-D101C3C03011}"/>
    <x:hyperlink ref="B353" r:id="rId346" display="https://www.cbssports.com/nfl/players/26688308/shane-zylstra/fantasy/" xr:uid="{C3C35094-D5D8-4A6C-9208-CAD338F0E771}"/>
    <x:hyperlink ref="B354" r:id="rId347" display="https://www.cbssports.com/nfl/players/3161112/reggie-gilliam/fantasy/" xr:uid="{5819146A-A321-41E1-A4D8-050F8CF1A149}"/>
    <x:hyperlink ref="B355" r:id="rId348" display="https://www.cbssports.com/nfl/players/2183906/brycen-hopkins/fantasy/" xr:uid="{9A72EE00-4FD7-4252-AA12-BFE06CBFE52F}"/>
    <x:hyperlink ref="B356" r:id="rId349" display="https://www.cbssports.com/nfl/players/2835170/dan-arnold/fantasy/" xr:uid="{FA2F1D7B-50AB-42F2-BF2C-4C9E90F04C3B}"/>
    <x:hyperlink ref="B357" r:id="rId350" display="https://www.cbssports.com/nfl/players/2804040/tre-mckitty/fantasy/" xr:uid="{6799BEC7-71B2-4815-8DD6-13001EF32462}"/>
    <x:hyperlink ref="B358" r:id="rId351" display="https://www.cbssports.com/nfl/players/2864800/stone-smartt/fantasy/" xr:uid="{0B558C2B-69CB-4D50-9CA1-F95DC5E88A84}"/>
    <x:hyperlink ref="B359" r:id="rId352" display="https://www.cbssports.com/nfl/players/2963243/zack-kuntz/fantasy/" xr:uid="{53C13EE3-D983-4722-8414-6261DB2F422B}"/>
    <x:hyperlink ref="B360" r:id="rId353" display="https://www.cbssports.com/nfl/players/2963242/james-mitchell/fantasy/" xr:uid="{A240AEF7-38AA-4B88-8AEF-5AA2BE6A67E8}"/>
    <x:hyperlink ref="B361" r:id="rId354" display="https://www.cbssports.com/nfl/players/2260977/luke-farrell/fantasy/" xr:uid="{98D1A9CC-6062-40AD-90CE-3A4AF7D88A48}"/>
    <x:hyperlink ref="B362" r:id="rId355" display="https://www.cbssports.com/nfl/players/2965446/jeremy-ruckert/fantasy/" xr:uid="{B739ADA7-CA34-45F6-A870-7B67856D2160}"/>
    <x:hyperlink ref="B363" r:id="rId356" display="https://www.cbssports.com/nfl/players/2139646/drew-sample/fantasy/" xr:uid="{DC849B9C-8587-4942-965E-B70A857128C6}"/>
    <x:hyperlink ref="B364" r:id="rId357" display="https://www.cbssports.com/nfl/players/2185708/zach-gentry/fantasy/" xr:uid="{5B181B07-411D-492B-8900-EE8A12794E4C}"/>
    <x:hyperlink ref="B365" r:id="rId358" display="https://www.cbssports.com/nfl/players/2001018/eric-saubert/fantasy/" xr:uid="{E541DA2B-7919-4148-A9A5-16CEC54394D5}"/>
    <x:hyperlink ref="B366" r:id="rId359" display="https://www.cbssports.com/nfl/players/2260483/devin-asiasi/fantasy/" xr:uid="{DAA58B9B-3C67-467F-9DCA-3A44664FFDF9}"/>
    <x:hyperlink ref="B367" r:id="rId360" display="https://www.cbssports.com/nfl/players/2245117/albert-okwuegbunam/fantasy/" xr:uid="{9FCC0417-2B58-4A7E-A6FB-16837A1DFB18}"/>
    <x:hyperlink ref="B368" r:id="rId361" display="https://www.cbssports.com/nfl/players/2964535/cameron-latu/fantasy/" xr:uid="{25395093-FD50-4319-8016-23127126DD7C}"/>
    <x:hyperlink ref="B369" r:id="rId362" display="https://www.cbssports.com/nfl/players/2963088/brayden-willis/fantasy/" xr:uid="{658CB32D-F763-4B48-8C02-210D6083DF86}"/>
    <x:hyperlink ref="B370" r:id="rId363" display="https://www.cbssports.com/nfl/players/2867599/connor-heyward/fantasy/" xr:uid="{A6771C16-0852-491E-A8B0-94136AB1815D}"/>
    <x:hyperlink ref="B371" r:id="rId364" display="https://www.cbssports.com/nfl/players/3117107/jesper-horsted/fantasy/" xr:uid="{1C3622F6-A1F4-4E18-92A5-242A942B89D4}"/>
    <x:hyperlink ref="B372" r:id="rId365" display="https://www.cbssports.com/nfl/players/2864581/quintin-morris/fantasy/" xr:uid="{9A037F63-8E06-4363-9218-80B00A0A1D3F}"/>
    <x:hyperlink ref="B373" r:id="rId366" display="https://www.cbssports.com/nfl/players/2167520/chris-manhertz/fantasy/" xr:uid="{02B3A6DD-5C03-479B-9C6D-8965D5C75578}"/>
    <x:hyperlink ref="B374" r:id="rId367" display="https://www.cbssports.com/nfl/players/2183845/lawrence-cager/fantasy/" xr:uid="{55FA2974-E6FA-4179-A90C-6AC232AF631B}"/>
    <x:hyperlink ref="B375" r:id="rId368" display="https://www.cbssports.com/nfl/players/2760856/curtis-hodges/fantasy/" xr:uid="{6572FDA6-F5F4-4318-B6A5-6A99E14675A8}"/>
    <x:hyperlink ref="B376" r:id="rId369" display="https://www.cbssports.com/nfl/players/2962073/will-mallory/fantasy/" xr:uid="{119098F2-45A4-4C49-89C6-33A3B826ED62}"/>
    <x:hyperlink ref="B377" r:id="rId370" display="https://www.cbssports.com/nfl/players/2866273/charlie-kolar/fantasy/" xr:uid="{8583FE91-D045-46EB-9AA7-CAA595F70C2C}"/>
  </x:hyperlinks>
  <x:pageMargins left="0.7" right="0.7" top="0.75" bottom="0.75" header="0.3" footer="0.3"/>
  <x:pageSetup orientation="portrait" horizontalDpi="1200" verticalDpi="1200" r:id="rId371"/>
</x:worksheet>
</file>

<file path=xl/worksheets/sheet4.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4976343F-5777-4714-A495-8F52FE0BA6F2}" mc:Ignorable="x14ac xr xr2 xr3">
  <x:sheetPr codeName="Sheet15">
    <x:tabColor rgb="FF0070C0"/>
  </x:sheetPr>
  <x:dimension ref="A1:DS379"/>
  <x:sheetViews>
    <x:sheetView showGridLines="0" zoomScaleNormal="100" workbookViewId="0">
      <x:selection activeCell="B3" sqref="B3"/>
    </x:sheetView>
  </x:sheetViews>
  <x:sheetFormatPr defaultColWidth="8.08984375" defaultRowHeight="14.5"/>
  <x:cols>
    <x:col min="1" max="1" width="8.08984375" style="44"/>
    <x:col min="2" max="2" width="31.81640625" style="92" customWidth="1"/>
    <x:col min="3" max="6" width="11.1796875" style="92" customWidth="1"/>
    <x:col min="7" max="17" width="11.1796875" style="44" customWidth="1"/>
    <x:col min="18" max="30" width="8.08984375" style="44"/>
    <x:col min="31" max="31" width="11.08984375" style="44" customWidth="1"/>
    <x:col min="32" max="123" width="8.08984375" style="44"/>
    <x:col min="124" max="16384" width="8.08984375" style="75"/>
  </x:cols>
  <x:sheetData>
    <x:row r="1" spans="2:123" ht="15.5" customHeight="1" thickBot="1">
      <x:c r="B1" s="44"/>
      <x:c r="C1" s="44"/>
      <x:c r="D1" s="44"/>
      <x:c r="E1" s="44"/>
      <x:c r="F1" s="44"/>
      <x:c r="T1" s="73"/>
      <x:c r="U1" s="73"/>
      <x:c r="V1" s="73"/>
      <x:c r="W1" s="73"/>
      <x:c r="X1" s="73"/>
      <x:c r="Y1" s="73"/>
      <x:c r="Z1" s="73"/>
      <x:c r="AA1" s="73"/>
      <x:c r="AB1" s="73"/>
      <x:c r="AC1" s="73"/>
      <x:c r="AD1" s="74"/>
      <x:c r="AE1" s="74"/>
      <x:c r="AF1" s="75"/>
      <x:c r="AG1" s="75"/>
      <x:c r="AH1" s="75"/>
      <x:c r="AI1" s="75"/>
      <x:c r="AJ1" s="75"/>
      <x:c r="AK1" s="75"/>
      <x:c r="AL1" s="75"/>
      <x:c r="AM1" s="75"/>
      <x:c r="AN1" s="75"/>
      <x:c r="AO1" s="75"/>
      <x:c r="AP1" s="75"/>
      <x:c r="AQ1" s="75"/>
      <x:c r="AR1" s="75"/>
      <x:c r="AS1" s="75"/>
      <x:c r="AT1" s="75"/>
      <x:c r="AU1" s="75"/>
      <x:c r="AV1" s="75"/>
      <x:c r="AW1" s="75"/>
      <x:c r="AX1" s="75"/>
      <x:c r="AY1" s="75"/>
      <x:c r="AZ1" s="75"/>
      <x:c r="BA1" s="75"/>
      <x:c r="BB1" s="75"/>
      <x:c r="BC1" s="75"/>
      <x:c r="BD1" s="75"/>
      <x:c r="BE1" s="75"/>
      <x:c r="BF1" s="75"/>
      <x:c r="BG1" s="75"/>
      <x:c r="BH1" s="75"/>
      <x:c r="BI1" s="75"/>
      <x:c r="BJ1" s="75"/>
      <x:c r="BK1" s="75"/>
      <x:c r="BL1" s="75"/>
      <x:c r="BM1" s="75"/>
      <x:c r="BN1" s="75"/>
      <x:c r="BO1" s="75"/>
      <x:c r="BP1" s="75"/>
      <x:c r="BQ1" s="75"/>
      <x:c r="BR1" s="75"/>
      <x:c r="BS1" s="75"/>
      <x:c r="BT1" s="75"/>
      <x:c r="BU1" s="75"/>
      <x:c r="BV1" s="75"/>
      <x:c r="BW1" s="75"/>
      <x:c r="BX1" s="75"/>
      <x:c r="BY1" s="75"/>
      <x:c r="BZ1" s="75"/>
      <x:c r="CA1" s="75"/>
      <x:c r="CB1" s="75"/>
      <x:c r="CC1" s="75"/>
      <x:c r="CD1" s="75"/>
      <x:c r="CE1" s="75"/>
      <x:c r="CF1" s="75"/>
      <x:c r="CG1" s="75"/>
      <x:c r="CH1" s="75"/>
      <x:c r="CI1" s="75"/>
      <x:c r="CJ1" s="75"/>
      <x:c r="CK1" s="75"/>
      <x:c r="CL1" s="75"/>
      <x:c r="CM1" s="75"/>
      <x:c r="CN1" s="75"/>
      <x:c r="CO1" s="75"/>
      <x:c r="CP1" s="75"/>
      <x:c r="CQ1" s="75"/>
      <x:c r="CR1" s="75"/>
      <x:c r="CS1" s="75"/>
      <x:c r="CT1" s="75"/>
      <x:c r="CU1" s="75"/>
      <x:c r="CV1" s="75"/>
      <x:c r="CW1" s="75"/>
      <x:c r="CX1" s="75"/>
      <x:c r="CY1" s="75"/>
      <x:c r="CZ1" s="75"/>
      <x:c r="DA1" s="75"/>
      <x:c r="DB1" s="75"/>
      <x:c r="DC1" s="75"/>
      <x:c r="DD1" s="75"/>
      <x:c r="DE1" s="75"/>
      <x:c r="DF1" s="75"/>
      <x:c r="DG1" s="75"/>
      <x:c r="DH1" s="75"/>
      <x:c r="DI1" s="75"/>
      <x:c r="DJ1" s="75"/>
      <x:c r="DK1" s="75"/>
      <x:c r="DL1" s="75"/>
      <x:c r="DM1" s="75"/>
      <x:c r="DN1" s="75"/>
      <x:c r="DO1" s="75"/>
      <x:c r="DP1" s="75"/>
      <x:c r="DQ1" s="75"/>
      <x:c r="DR1" s="75"/>
      <x:c r="DS1" s="75"/>
    </x:row>
    <x:row r="2" spans="2:123" ht="33.5" customHeight="1" thickBot="1">
      <x:c r="B2" s="40" t="s">
        <x:v>123</x:v>
      </x:c>
      <x:c r="C2" s="41"/>
      <x:c r="D2" s="41"/>
      <x:c r="E2" s="41"/>
      <x:c r="F2" s="41"/>
      <x:c r="G2" s="41"/>
      <x:c r="H2" s="41"/>
      <x:c r="I2" s="41"/>
      <x:c r="J2" s="41"/>
      <x:c r="K2" s="41"/>
      <x:c r="L2" s="41"/>
      <x:c r="M2" s="41"/>
      <x:c r="N2" s="41"/>
      <x:c r="O2" s="41"/>
      <x:c r="P2" s="41"/>
      <x:c r="Q2" s="42"/>
      <x:c r="U2" s="76"/>
      <x:c r="V2" s="77"/>
      <x:c r="W2" s="77"/>
      <x:c r="X2" s="77"/>
      <x:c r="Y2" s="77"/>
      <x:c r="Z2" s="77"/>
      <x:c r="AA2" s="77"/>
      <x:c r="AB2" s="77"/>
      <x:c r="AC2" s="77"/>
      <x:c r="AD2" s="77"/>
      <x:c r="AE2" s="77"/>
      <x:c r="AG2" s="77"/>
      <x:c r="AH2" s="75"/>
      <x:c r="AI2" s="75"/>
      <x:c r="AJ2" s="75"/>
      <x:c r="AK2" s="75"/>
      <x:c r="AL2" s="75"/>
      <x:c r="AM2" s="75"/>
      <x:c r="AN2" s="75"/>
      <x:c r="AO2" s="75"/>
      <x:c r="AP2" s="75"/>
      <x:c r="AQ2" s="75"/>
      <x:c r="AR2" s="75"/>
      <x:c r="AS2" s="75"/>
      <x:c r="AT2" s="75"/>
      <x:c r="AU2" s="75"/>
      <x:c r="AV2" s="75"/>
      <x:c r="AW2" s="75"/>
      <x:c r="AX2" s="75"/>
      <x:c r="AY2" s="75"/>
      <x:c r="AZ2" s="75"/>
      <x:c r="BA2" s="75"/>
      <x:c r="BB2" s="75"/>
      <x:c r="BC2" s="75"/>
      <x:c r="BD2" s="75"/>
      <x:c r="BE2" s="75"/>
      <x:c r="BF2" s="75"/>
      <x:c r="BG2" s="75"/>
      <x:c r="BH2" s="75"/>
      <x:c r="BI2" s="75"/>
      <x:c r="BJ2" s="75"/>
      <x:c r="BK2" s="75"/>
      <x:c r="BL2" s="75"/>
      <x:c r="BM2" s="75"/>
      <x:c r="BN2" s="75"/>
      <x:c r="BO2" s="75"/>
      <x:c r="BP2" s="75"/>
      <x:c r="BQ2" s="75"/>
      <x:c r="BR2" s="75"/>
      <x:c r="BS2" s="75"/>
      <x:c r="BT2" s="75"/>
      <x:c r="BU2" s="75"/>
      <x:c r="BV2" s="75"/>
      <x:c r="BW2" s="75"/>
      <x:c r="BX2" s="75"/>
      <x:c r="BY2" s="75"/>
      <x:c r="BZ2" s="75"/>
      <x:c r="CA2" s="75"/>
      <x:c r="CB2" s="75"/>
      <x:c r="CC2" s="75"/>
      <x:c r="CD2" s="75"/>
      <x:c r="CE2" s="75"/>
      <x:c r="CF2" s="75"/>
      <x:c r="CG2" s="75"/>
      <x:c r="CH2" s="75"/>
      <x:c r="CI2" s="75"/>
      <x:c r="CJ2" s="75"/>
      <x:c r="CK2" s="75"/>
      <x:c r="CL2" s="75"/>
      <x:c r="CM2" s="75"/>
      <x:c r="CN2" s="75"/>
      <x:c r="CO2" s="75"/>
      <x:c r="CP2" s="75"/>
      <x:c r="CQ2" s="75"/>
      <x:c r="CR2" s="75"/>
      <x:c r="CS2" s="75"/>
      <x:c r="CT2" s="75"/>
      <x:c r="CU2" s="75"/>
      <x:c r="CV2" s="75"/>
      <x:c r="CW2" s="75"/>
      <x:c r="CX2" s="75"/>
      <x:c r="CY2" s="75"/>
      <x:c r="CZ2" s="75"/>
      <x:c r="DA2" s="75"/>
      <x:c r="DB2" s="75"/>
      <x:c r="DC2" s="75"/>
      <x:c r="DD2" s="75"/>
      <x:c r="DE2" s="75"/>
      <x:c r="DF2" s="75"/>
      <x:c r="DG2" s="75"/>
      <x:c r="DH2" s="75"/>
      <x:c r="DI2" s="75"/>
      <x:c r="DJ2" s="75"/>
      <x:c r="DK2" s="75"/>
      <x:c r="DL2" s="75"/>
      <x:c r="DM2" s="75"/>
      <x:c r="DN2" s="75"/>
      <x:c r="DO2" s="75"/>
      <x:c r="DP2" s="75"/>
      <x:c r="DQ2" s="75"/>
      <x:c r="DR2" s="75"/>
      <x:c r="DS2" s="75"/>
    </x:row>
    <x:row r="3" spans="2:123" ht="15.5" customHeight="1" thickBot="1">
      <x:c r="B3" s="44"/>
      <x:c r="C3" s="44"/>
      <x:c r="D3" s="44"/>
      <x:c r="E3" s="44"/>
      <x:c r="F3" s="44"/>
      <x:c r="U3" s="75"/>
      <x:c r="X3" s="73"/>
      <x:c r="Y3" s="73"/>
      <x:c r="AF3" s="78"/>
      <x:c r="AJ3" s="75"/>
      <x:c r="AK3" s="75"/>
      <x:c r="AL3" s="75"/>
      <x:c r="AM3" s="75"/>
      <x:c r="AN3" s="75"/>
      <x:c r="AO3" s="75"/>
      <x:c r="AP3" s="75"/>
      <x:c r="AQ3" s="75"/>
      <x:c r="AR3" s="75"/>
      <x:c r="AS3" s="75"/>
      <x:c r="AT3" s="75"/>
      <x:c r="AU3" s="75"/>
      <x:c r="AV3" s="75"/>
      <x:c r="AW3" s="75"/>
      <x:c r="AX3" s="75"/>
      <x:c r="AY3" s="75"/>
      <x:c r="AZ3" s="75"/>
      <x:c r="BA3" s="75"/>
      <x:c r="BB3" s="75"/>
      <x:c r="BC3" s="75"/>
      <x:c r="BD3" s="75"/>
      <x:c r="BE3" s="75"/>
      <x:c r="BF3" s="75"/>
      <x:c r="BG3" s="75"/>
      <x:c r="BH3" s="75"/>
      <x:c r="BI3" s="75"/>
      <x:c r="BJ3" s="75"/>
      <x:c r="BK3" s="75"/>
      <x:c r="BL3" s="75"/>
      <x:c r="BM3" s="75"/>
      <x:c r="BN3" s="75"/>
      <x:c r="BO3" s="75"/>
      <x:c r="BP3" s="75"/>
      <x:c r="BQ3" s="75"/>
      <x:c r="BR3" s="75"/>
      <x:c r="BS3" s="75"/>
      <x:c r="BT3" s="75"/>
      <x:c r="BU3" s="75"/>
      <x:c r="BV3" s="75"/>
      <x:c r="BW3" s="75"/>
      <x:c r="BX3" s="75"/>
      <x:c r="BY3" s="75"/>
      <x:c r="BZ3" s="75"/>
      <x:c r="CA3" s="75"/>
      <x:c r="CB3" s="75"/>
      <x:c r="CC3" s="75"/>
      <x:c r="CD3" s="75"/>
      <x:c r="CE3" s="75"/>
      <x:c r="CF3" s="75"/>
      <x:c r="CG3" s="75"/>
      <x:c r="CH3" s="75"/>
      <x:c r="CI3" s="75"/>
      <x:c r="CJ3" s="75"/>
      <x:c r="CK3" s="75"/>
      <x:c r="CL3" s="75"/>
      <x:c r="CM3" s="75"/>
      <x:c r="CN3" s="75"/>
      <x:c r="CO3" s="75"/>
      <x:c r="CP3" s="75"/>
      <x:c r="CQ3" s="75"/>
      <x:c r="CR3" s="75"/>
      <x:c r="CS3" s="75"/>
      <x:c r="CT3" s="75"/>
      <x:c r="CU3" s="75"/>
      <x:c r="CV3" s="75"/>
      <x:c r="CW3" s="75"/>
      <x:c r="CX3" s="75"/>
      <x:c r="CY3" s="75"/>
      <x:c r="CZ3" s="75"/>
      <x:c r="DA3" s="75"/>
      <x:c r="DB3" s="75"/>
      <x:c r="DC3" s="75"/>
      <x:c r="DD3" s="75"/>
      <x:c r="DE3" s="75"/>
      <x:c r="DF3" s="75"/>
      <x:c r="DG3" s="75"/>
      <x:c r="DH3" s="75"/>
      <x:c r="DI3" s="75"/>
      <x:c r="DJ3" s="75"/>
      <x:c r="DK3" s="75"/>
      <x:c r="DL3" s="75"/>
      <x:c r="DM3" s="75"/>
      <x:c r="DN3" s="75"/>
      <x:c r="DO3" s="75"/>
      <x:c r="DP3" s="75"/>
      <x:c r="DQ3" s="75"/>
      <x:c r="DR3" s="75"/>
      <x:c r="DS3" s="75"/>
    </x:row>
    <x:row r="4" spans="2:123" ht="23" thickBot="1">
      <x:c r="B4" s="45" t="s">
        <x:v>453</x:v>
      </x:c>
      <x:c r="C4" s="79"/>
      <x:c r="D4" s="79"/>
      <x:c r="E4" s="79"/>
      <x:c r="F4" s="79"/>
      <x:c r="G4" s="79"/>
      <x:c r="H4" s="79"/>
      <x:c r="I4" s="79"/>
      <x:c r="J4" s="79"/>
      <x:c r="K4" s="79"/>
      <x:c r="L4" s="79"/>
      <x:c r="M4" s="79"/>
      <x:c r="N4" s="79"/>
      <x:c r="O4" s="79"/>
      <x:c r="P4" s="79"/>
      <x:c r="Q4" s="80"/>
      <x:c r="AF4" s="78"/>
      <x:c r="BB4" s="75"/>
      <x:c r="BC4" s="75"/>
      <x:c r="BD4" s="75"/>
      <x:c r="BE4" s="75"/>
      <x:c r="BF4" s="75"/>
      <x:c r="BG4" s="75"/>
      <x:c r="BH4" s="75"/>
      <x:c r="BI4" s="75"/>
      <x:c r="BJ4" s="75"/>
      <x:c r="BK4" s="75"/>
      <x:c r="BL4" s="75"/>
      <x:c r="BM4" s="75"/>
      <x:c r="BN4" s="75"/>
      <x:c r="BO4" s="75"/>
      <x:c r="BP4" s="75"/>
      <x:c r="BQ4" s="75"/>
      <x:c r="BR4" s="75"/>
      <x:c r="BS4" s="75"/>
      <x:c r="BT4" s="75"/>
      <x:c r="BU4" s="75"/>
      <x:c r="BV4" s="75"/>
      <x:c r="BW4" s="75"/>
      <x:c r="BX4" s="75"/>
      <x:c r="BY4" s="75"/>
      <x:c r="BZ4" s="75"/>
      <x:c r="CA4" s="75"/>
      <x:c r="CB4" s="75"/>
      <x:c r="CC4" s="75"/>
      <x:c r="CD4" s="75"/>
      <x:c r="CE4" s="75"/>
      <x:c r="CF4" s="75"/>
      <x:c r="CG4" s="75"/>
      <x:c r="CH4" s="75"/>
      <x:c r="CI4" s="75"/>
      <x:c r="CJ4" s="75"/>
      <x:c r="CK4" s="75"/>
      <x:c r="CL4" s="75"/>
      <x:c r="CM4" s="75"/>
      <x:c r="CN4" s="75"/>
      <x:c r="CO4" s="75"/>
      <x:c r="CP4" s="75"/>
      <x:c r="CQ4" s="75"/>
      <x:c r="CR4" s="75"/>
      <x:c r="CS4" s="75"/>
      <x:c r="CT4" s="75"/>
      <x:c r="CU4" s="75"/>
      <x:c r="CV4" s="75"/>
      <x:c r="CW4" s="75"/>
      <x:c r="CX4" s="75"/>
      <x:c r="CY4" s="75"/>
      <x:c r="CZ4" s="75"/>
      <x:c r="DA4" s="75"/>
      <x:c r="DB4" s="75"/>
      <x:c r="DC4" s="75"/>
      <x:c r="DD4" s="75"/>
      <x:c r="DE4" s="75"/>
      <x:c r="DF4" s="75"/>
      <x:c r="DG4" s="75"/>
      <x:c r="DH4" s="75"/>
      <x:c r="DI4" s="75"/>
      <x:c r="DJ4" s="75"/>
      <x:c r="DK4" s="75"/>
      <x:c r="DL4" s="75"/>
      <x:c r="DM4" s="75"/>
      <x:c r="DN4" s="75"/>
      <x:c r="DO4" s="75"/>
      <x:c r="DP4" s="75"/>
      <x:c r="DQ4" s="75"/>
      <x:c r="DR4" s="75"/>
      <x:c r="DS4" s="75"/>
    </x:row>
    <x:row r="5" spans="2:123" ht="15.5" customHeight="1">
      <x:c r="B5" s="81"/>
      <x:c r="C5" s="81"/>
      <x:c r="D5" s="81"/>
      <x:c r="E5" s="81"/>
      <x:c r="F5" s="81"/>
      <x:c r="G5" s="81"/>
      <x:c r="H5" s="81"/>
      <x:c r="I5" s="81"/>
      <x:c r="J5" s="81"/>
      <x:c r="K5" s="81"/>
      <x:c r="L5" s="81"/>
      <x:c r="M5" s="81"/>
      <x:c r="N5" s="81"/>
      <x:c r="O5" s="81"/>
      <x:c r="P5" s="81"/>
      <x:c r="Q5" s="81"/>
      <x:c r="T5" s="78"/>
      <x:c r="AD5" s="75"/>
      <x:c r="AE5" s="75"/>
      <x:c r="AF5" s="75"/>
      <x:c r="AG5" s="75"/>
      <x:c r="AH5" s="75"/>
      <x:c r="AI5" s="75"/>
      <x:c r="AJ5" s="75"/>
      <x:c r="AK5" s="75"/>
      <x:c r="AL5" s="75"/>
      <x:c r="AM5" s="75"/>
      <x:c r="AN5" s="75"/>
      <x:c r="AO5" s="75"/>
      <x:c r="AP5" s="75"/>
      <x:c r="AQ5" s="75"/>
      <x:c r="AR5" s="75"/>
      <x:c r="AS5" s="75"/>
      <x:c r="AT5" s="75"/>
      <x:c r="AU5" s="75"/>
      <x:c r="AV5" s="75"/>
      <x:c r="AW5" s="75"/>
      <x:c r="AX5" s="75"/>
      <x:c r="AY5" s="75"/>
      <x:c r="AZ5" s="75"/>
      <x:c r="BA5" s="75"/>
      <x:c r="BB5" s="75"/>
      <x:c r="BC5" s="75"/>
      <x:c r="BD5" s="75"/>
      <x:c r="BE5" s="75"/>
      <x:c r="BF5" s="75"/>
      <x:c r="BG5" s="75"/>
      <x:c r="BH5" s="75"/>
      <x:c r="BI5" s="75"/>
      <x:c r="BJ5" s="75"/>
      <x:c r="BK5" s="75"/>
      <x:c r="BL5" s="75"/>
      <x:c r="BM5" s="75"/>
      <x:c r="BN5" s="75"/>
      <x:c r="BO5" s="75"/>
      <x:c r="BP5" s="75"/>
      <x:c r="BQ5" s="75"/>
      <x:c r="BR5" s="75"/>
      <x:c r="BS5" s="75"/>
      <x:c r="BT5" s="75"/>
      <x:c r="BU5" s="75"/>
      <x:c r="BV5" s="75"/>
      <x:c r="BW5" s="75"/>
      <x:c r="BX5" s="75"/>
      <x:c r="BY5" s="75"/>
      <x:c r="BZ5" s="75"/>
      <x:c r="CA5" s="75"/>
      <x:c r="CB5" s="75"/>
      <x:c r="CC5" s="75"/>
      <x:c r="CD5" s="75"/>
      <x:c r="CE5" s="75"/>
      <x:c r="CF5" s="75"/>
      <x:c r="CG5" s="75"/>
      <x:c r="CH5" s="75"/>
      <x:c r="CI5" s="75"/>
      <x:c r="CJ5" s="75"/>
      <x:c r="CK5" s="75"/>
      <x:c r="CL5" s="75"/>
      <x:c r="CM5" s="75"/>
      <x:c r="CN5" s="75"/>
      <x:c r="CO5" s="75"/>
      <x:c r="CP5" s="75"/>
      <x:c r="CQ5" s="75"/>
      <x:c r="CR5" s="75"/>
      <x:c r="CS5" s="75"/>
      <x:c r="CT5" s="75"/>
      <x:c r="CU5" s="75"/>
      <x:c r="CV5" s="75"/>
      <x:c r="CW5" s="75"/>
      <x:c r="CX5" s="75"/>
      <x:c r="CY5" s="75"/>
      <x:c r="CZ5" s="75"/>
      <x:c r="DA5" s="75"/>
      <x:c r="DB5" s="75"/>
      <x:c r="DC5" s="75"/>
      <x:c r="DD5" s="75"/>
      <x:c r="DE5" s="75"/>
      <x:c r="DF5" s="75"/>
      <x:c r="DG5" s="75"/>
      <x:c r="DH5" s="75"/>
      <x:c r="DI5" s="75"/>
      <x:c r="DJ5" s="75"/>
      <x:c r="DK5" s="75"/>
      <x:c r="DL5" s="75"/>
      <x:c r="DM5" s="75"/>
      <x:c r="DN5" s="75"/>
      <x:c r="DO5" s="75"/>
      <x:c r="DP5" s="75"/>
      <x:c r="DQ5" s="75"/>
      <x:c r="DR5" s="75"/>
      <x:c r="DS5" s="75"/>
    </x:row>
    <x:row r="6" spans="2:123" ht="15.5" customHeight="1">
      <x:c r="B6" s="82"/>
      <x:c r="C6" s="82"/>
      <x:c r="D6" s="83"/>
      <x:c r="E6" s="84"/>
      <x:c r="F6" s="84"/>
      <x:c r="G6" s="84"/>
      <x:c r="H6" s="84"/>
      <x:c r="I6" s="84"/>
      <x:c r="J6" s="84"/>
      <x:c r="K6" s="83"/>
      <x:c r="L6" s="84"/>
      <x:c r="M6" s="84"/>
      <x:c r="N6" s="84"/>
      <x:c r="O6" s="83"/>
      <x:c r="P6" s="84"/>
      <x:c r="Q6" s="84"/>
      <x:c r="R6" s="22"/>
      <x:c r="T6" s="78"/>
      <x:c r="AC6" s="78"/>
      <x:c r="AD6" s="75"/>
      <x:c r="AE6" s="75"/>
      <x:c r="AF6" s="75"/>
      <x:c r="AG6" s="75"/>
      <x:c r="AH6" s="75"/>
      <x:c r="AI6" s="75"/>
      <x:c r="AJ6" s="75"/>
      <x:c r="AK6" s="75"/>
      <x:c r="AL6" s="75"/>
      <x:c r="AM6" s="75"/>
      <x:c r="AN6" s="75"/>
      <x:c r="AO6" s="75"/>
      <x:c r="AP6" s="75"/>
      <x:c r="AQ6" s="75"/>
      <x:c r="AR6" s="75"/>
      <x:c r="AS6" s="75"/>
      <x:c r="AT6" s="75"/>
      <x:c r="AU6" s="75"/>
      <x:c r="AV6" s="75"/>
      <x:c r="AW6" s="75"/>
      <x:c r="AX6" s="75"/>
      <x:c r="AY6" s="75"/>
      <x:c r="AZ6" s="75"/>
      <x:c r="BA6" s="75"/>
      <x:c r="BB6" s="75"/>
      <x:c r="BC6" s="75"/>
      <x:c r="BD6" s="75"/>
      <x:c r="BE6" s="75"/>
      <x:c r="BF6" s="75"/>
      <x:c r="BG6" s="75"/>
      <x:c r="BH6" s="75"/>
      <x:c r="BI6" s="75"/>
      <x:c r="BJ6" s="75"/>
      <x:c r="BK6" s="75"/>
      <x:c r="BL6" s="75"/>
      <x:c r="BM6" s="75"/>
      <x:c r="BN6" s="75"/>
      <x:c r="BO6" s="75"/>
      <x:c r="BP6" s="75"/>
      <x:c r="BQ6" s="75"/>
      <x:c r="BR6" s="75"/>
      <x:c r="BS6" s="75"/>
      <x:c r="BT6" s="75"/>
      <x:c r="BU6" s="75"/>
      <x:c r="BV6" s="75"/>
      <x:c r="BW6" s="75"/>
      <x:c r="BX6" s="75"/>
      <x:c r="BY6" s="75"/>
      <x:c r="BZ6" s="75"/>
      <x:c r="CA6" s="75"/>
      <x:c r="CB6" s="75"/>
      <x:c r="CC6" s="75"/>
      <x:c r="CD6" s="75"/>
      <x:c r="CE6" s="75"/>
      <x:c r="CF6" s="75"/>
      <x:c r="CG6" s="75"/>
      <x:c r="CH6" s="75"/>
      <x:c r="CI6" s="75"/>
      <x:c r="CJ6" s="75"/>
      <x:c r="CK6" s="75"/>
      <x:c r="CL6" s="75"/>
      <x:c r="CM6" s="75"/>
      <x:c r="CN6" s="75"/>
      <x:c r="CO6" s="75"/>
      <x:c r="CP6" s="75"/>
      <x:c r="CQ6" s="75"/>
      <x:c r="CR6" s="75"/>
      <x:c r="CS6" s="75"/>
      <x:c r="CT6" s="75"/>
      <x:c r="CU6" s="75"/>
      <x:c r="CV6" s="75"/>
      <x:c r="CW6" s="75"/>
      <x:c r="CX6" s="75"/>
      <x:c r="CY6" s="75"/>
      <x:c r="CZ6" s="75"/>
      <x:c r="DA6" s="75"/>
      <x:c r="DB6" s="75"/>
      <x:c r="DC6" s="75"/>
      <x:c r="DD6" s="75"/>
      <x:c r="DE6" s="75"/>
      <x:c r="DF6" s="75"/>
      <x:c r="DG6" s="75"/>
      <x:c r="DH6" s="75"/>
      <x:c r="DI6" s="75"/>
      <x:c r="DJ6" s="75"/>
      <x:c r="DK6" s="75"/>
      <x:c r="DL6" s="75"/>
      <x:c r="DM6" s="75"/>
      <x:c r="DN6" s="75"/>
      <x:c r="DO6" s="75"/>
      <x:c r="DP6" s="75"/>
      <x:c r="DQ6" s="75"/>
      <x:c r="DR6" s="75"/>
      <x:c r="DS6" s="75"/>
    </x:row>
    <x:row r="7" spans="2:123" ht="15.5" customHeight="1" thickBot="1">
      <x:c r="B7" s="85" t="s">
        <x:v>416</x:v>
      </x:c>
      <x:c r="C7" s="85" t="s">
        <x:v>153</x:v>
      </x:c>
      <x:c r="D7" s="85" t="s">
        <x:v>373</x:v>
      </x:c>
      <x:c r="E7" s="85" t="s">
        <x:v>374</x:v>
      </x:c>
      <x:c r="F7" s="85" t="s">
        <x:v>375</x:v>
      </x:c>
      <x:c r="G7" s="85" t="s">
        <x:v>376</x:v>
      </x:c>
      <x:c r="H7" s="85" t="s">
        <x:v>377</x:v>
      </x:c>
      <x:c r="I7" s="85" t="s">
        <x:v>378</x:v>
      </x:c>
      <x:c r="J7" s="85" t="s">
        <x:v>379</x:v>
      </x:c>
      <x:c r="K7" s="85" t="s">
        <x:v>380</x:v>
      </x:c>
      <x:c r="L7" s="85" t="s">
        <x:v>381</x:v>
      </x:c>
      <x:c r="M7" s="85" t="s">
        <x:v>382</x:v>
      </x:c>
      <x:c r="N7" s="85" t="s">
        <x:v>383</x:v>
      </x:c>
      <x:c r="O7" s="85" t="s">
        <x:v>155</x:v>
      </x:c>
      <x:c r="P7" s="85" t="s">
        <x:v>159</x:v>
      </x:c>
      <x:c r="Q7" s="85" t="s">
        <x:v>160</x:v>
      </x:c>
      <x:c r="R7" s="22"/>
      <x:c r="AD7" s="75"/>
      <x:c r="AE7" s="75"/>
      <x:c r="AF7" s="75"/>
      <x:c r="AG7" s="75"/>
      <x:c r="AH7" s="75"/>
      <x:c r="AI7" s="75"/>
      <x:c r="AJ7" s="75"/>
      <x:c r="AK7" s="75"/>
      <x:c r="AL7" s="75"/>
      <x:c r="AM7" s="75"/>
      <x:c r="AN7" s="75"/>
      <x:c r="AO7" s="75"/>
      <x:c r="AP7" s="75"/>
      <x:c r="AQ7" s="75"/>
      <x:c r="AR7" s="75"/>
      <x:c r="AS7" s="75"/>
      <x:c r="AT7" s="75"/>
      <x:c r="AU7" s="75"/>
      <x:c r="AV7" s="75"/>
      <x:c r="AW7" s="75"/>
      <x:c r="AX7" s="75"/>
      <x:c r="AY7" s="75"/>
      <x:c r="AZ7" s="75"/>
      <x:c r="BA7" s="75"/>
      <x:c r="BB7" s="75"/>
      <x:c r="BC7" s="75"/>
      <x:c r="BD7" s="75"/>
      <x:c r="BE7" s="75"/>
      <x:c r="BF7" s="75"/>
      <x:c r="BG7" s="75"/>
      <x:c r="BH7" s="75"/>
      <x:c r="BI7" s="75"/>
      <x:c r="BJ7" s="75"/>
      <x:c r="BK7" s="75"/>
      <x:c r="BL7" s="75"/>
      <x:c r="BM7" s="75"/>
      <x:c r="BN7" s="75"/>
      <x:c r="BO7" s="75"/>
      <x:c r="BP7" s="75"/>
      <x:c r="BQ7" s="75"/>
      <x:c r="BR7" s="75"/>
      <x:c r="BS7" s="75"/>
      <x:c r="BT7" s="75"/>
      <x:c r="BU7" s="75"/>
      <x:c r="BV7" s="75"/>
      <x:c r="BW7" s="75"/>
      <x:c r="BX7" s="75"/>
      <x:c r="BY7" s="75"/>
      <x:c r="BZ7" s="75"/>
      <x:c r="CA7" s="75"/>
      <x:c r="CB7" s="75"/>
      <x:c r="CC7" s="75"/>
      <x:c r="CD7" s="75"/>
      <x:c r="CE7" s="75"/>
      <x:c r="CF7" s="75"/>
      <x:c r="CG7" s="75"/>
      <x:c r="CH7" s="75"/>
      <x:c r="CI7" s="75"/>
      <x:c r="CJ7" s="75"/>
      <x:c r="CK7" s="75"/>
      <x:c r="CL7" s="75"/>
      <x:c r="CM7" s="75"/>
      <x:c r="CN7" s="75"/>
      <x:c r="CO7" s="75"/>
      <x:c r="CP7" s="75"/>
      <x:c r="CQ7" s="75"/>
      <x:c r="CR7" s="75"/>
      <x:c r="CS7" s="75"/>
      <x:c r="CT7" s="75"/>
      <x:c r="CU7" s="75"/>
      <x:c r="CV7" s="75"/>
      <x:c r="CW7" s="75"/>
      <x:c r="CX7" s="75"/>
      <x:c r="CY7" s="75"/>
      <x:c r="CZ7" s="75"/>
      <x:c r="DA7" s="75"/>
      <x:c r="DB7" s="75"/>
      <x:c r="DC7" s="75"/>
      <x:c r="DD7" s="75"/>
      <x:c r="DE7" s="75"/>
      <x:c r="DF7" s="75"/>
      <x:c r="DG7" s="75"/>
      <x:c r="DH7" s="75"/>
      <x:c r="DI7" s="75"/>
      <x:c r="DJ7" s="75"/>
      <x:c r="DK7" s="75"/>
      <x:c r="DL7" s="75"/>
      <x:c r="DM7" s="75"/>
      <x:c r="DN7" s="75"/>
      <x:c r="DO7" s="75"/>
      <x:c r="DP7" s="75"/>
      <x:c r="DQ7" s="75"/>
      <x:c r="DR7" s="75"/>
      <x:c r="DS7" s="75"/>
    </x:row>
    <x:row r="8" spans="2:123" ht="15.5" customHeight="1">
      <x:c r="B8" s="86" t="s">
        <x:v>389</x:v>
      </x:c>
      <x:c r="C8" s="87">
        <x:v>16</x:v>
      </x:c>
      <x:c r="D8" s="87">
        <x:v>0</x:v>
      </x:c>
      <x:c r="E8" s="87">
        <x:v>54.7</x:v>
      </x:c>
      <x:c r="F8" s="87">
        <x:v>671</x:v>
      </x:c>
      <x:c r="G8" s="87">
        <x:v>14</x:v>
      </x:c>
      <x:c r="H8" s="87">
        <x:v>20</x:v>
      </x:c>
      <x:c r="I8" s="87">
        <x:v>3.6</x:v>
      </x:c>
      <x:c r="J8" s="87">
        <x:v>334</x:v>
      </x:c>
      <x:c r="K8" s="87">
        <x:v>19.600000000000001</x:v>
      </x:c>
      <x:c r="L8" s="87">
        <x:v>0</x:v>
      </x:c>
      <x:c r="M8" s="87">
        <x:v>1774</x:v>
      </x:c>
      <x:c r="N8" s="87">
        <x:v>4645</x:v>
      </x:c>
      <x:c r="O8" s="87">
        <x:v>273.2</x:v>
      </x:c>
      <x:c r="P8" s="87">
        <x:v>238.3</x:v>
      </x:c>
      <x:c r="Q8" s="87">
        <x:v>14</x:v>
      </x:c>
      <x:c r="R8" s="22"/>
      <x:c r="AF8" s="75"/>
      <x:c r="AG8" s="75"/>
      <x:c r="AH8" s="75"/>
      <x:c r="AI8" s="75"/>
      <x:c r="AJ8" s="75"/>
      <x:c r="AK8" s="75"/>
      <x:c r="AL8" s="75"/>
      <x:c r="AM8" s="75"/>
      <x:c r="AN8" s="75"/>
      <x:c r="AO8" s="75"/>
      <x:c r="AP8" s="75"/>
      <x:c r="AQ8" s="75"/>
      <x:c r="AR8" s="75"/>
      <x:c r="AS8" s="75"/>
      <x:c r="AT8" s="75"/>
      <x:c r="AU8" s="75"/>
      <x:c r="AV8" s="75"/>
      <x:c r="AW8" s="75"/>
      <x:c r="AX8" s="75"/>
      <x:c r="AY8" s="75"/>
      <x:c r="AZ8" s="75"/>
      <x:c r="BA8" s="75"/>
      <x:c r="BB8" s="75"/>
      <x:c r="BC8" s="75"/>
      <x:c r="BD8" s="75"/>
      <x:c r="BE8" s="75"/>
      <x:c r="BF8" s="75"/>
      <x:c r="BG8" s="75"/>
      <x:c r="BH8" s="75"/>
      <x:c r="BI8" s="75"/>
      <x:c r="BJ8" s="75"/>
      <x:c r="BK8" s="75"/>
      <x:c r="BL8" s="75"/>
      <x:c r="BM8" s="75"/>
      <x:c r="BN8" s="75"/>
      <x:c r="BO8" s="75"/>
      <x:c r="BP8" s="75"/>
      <x:c r="BQ8" s="75"/>
      <x:c r="BR8" s="75"/>
      <x:c r="BS8" s="75"/>
      <x:c r="BT8" s="75"/>
      <x:c r="BU8" s="75"/>
      <x:c r="BV8" s="75"/>
      <x:c r="BW8" s="75"/>
      <x:c r="BX8" s="75"/>
      <x:c r="BY8" s="75"/>
      <x:c r="BZ8" s="75"/>
      <x:c r="CA8" s="75"/>
      <x:c r="CB8" s="75"/>
      <x:c r="CC8" s="75"/>
      <x:c r="CD8" s="75"/>
      <x:c r="CE8" s="75"/>
      <x:c r="CF8" s="75"/>
      <x:c r="CG8" s="75"/>
      <x:c r="CH8" s="75"/>
      <x:c r="CI8" s="75"/>
      <x:c r="CJ8" s="75"/>
      <x:c r="CK8" s="75"/>
      <x:c r="CL8" s="75"/>
      <x:c r="CM8" s="75"/>
      <x:c r="CN8" s="75"/>
      <x:c r="CO8" s="75"/>
      <x:c r="CP8" s="75"/>
      <x:c r="CQ8" s="75"/>
      <x:c r="CR8" s="75"/>
      <x:c r="CS8" s="75"/>
      <x:c r="CT8" s="75"/>
      <x:c r="CU8" s="75"/>
      <x:c r="CV8" s="75"/>
      <x:c r="CW8" s="75"/>
      <x:c r="CX8" s="75"/>
      <x:c r="CY8" s="75"/>
      <x:c r="CZ8" s="75"/>
      <x:c r="DA8" s="75"/>
      <x:c r="DB8" s="75"/>
      <x:c r="DC8" s="75"/>
      <x:c r="DD8" s="75"/>
      <x:c r="DE8" s="75"/>
      <x:c r="DF8" s="75"/>
      <x:c r="DG8" s="75"/>
      <x:c r="DH8" s="75"/>
      <x:c r="DI8" s="75"/>
      <x:c r="DJ8" s="75"/>
      <x:c r="DK8" s="75"/>
      <x:c r="DL8" s="75"/>
      <x:c r="DM8" s="75"/>
      <x:c r="DN8" s="75"/>
      <x:c r="DO8" s="75"/>
      <x:c r="DP8" s="75"/>
      <x:c r="DQ8" s="75"/>
      <x:c r="DR8" s="75"/>
      <x:c r="DS8" s="75"/>
    </x:row>
    <x:row r="9" spans="2:123" ht="15.5" customHeight="1">
      <x:c r="B9" s="86" t="s">
        <x:v>386</x:v>
      </x:c>
      <x:c r="C9" s="87">
        <x:v>16</x:v>
      </x:c>
      <x:c r="D9" s="87">
        <x:v>0</x:v>
      </x:c>
      <x:c r="E9" s="87">
        <x:v>60.2</x:v>
      </x:c>
      <x:c r="F9" s="87">
        <x:v>631</x:v>
      </x:c>
      <x:c r="G9" s="87">
        <x:v>12</x:v>
      </x:c>
      <x:c r="H9" s="87">
        <x:v>17</x:v>
      </x:c>
      <x:c r="I9" s="87">
        <x:v>3.3</x:v>
      </x:c>
      <x:c r="J9" s="87">
        <x:v>349</x:v>
      </x:c>
      <x:c r="K9" s="87">
        <x:v>20.5</x:v>
      </x:c>
      <x:c r="L9" s="87">
        <x:v>0</x:v>
      </x:c>
      <x:c r="M9" s="87">
        <x:v>1733</x:v>
      </x:c>
      <x:c r="N9" s="87">
        <x:v>4253</x:v>
      </x:c>
      <x:c r="O9" s="87">
        <x:v>250.2</x:v>
      </x:c>
      <x:c r="P9" s="87">
        <x:v>238</x:v>
      </x:c>
      <x:c r="Q9" s="87">
        <x:v>14</x:v>
      </x:c>
      <x:c r="R9" s="22"/>
      <x:c r="AF9" s="75"/>
      <x:c r="AG9" s="75"/>
      <x:c r="AH9" s="75"/>
      <x:c r="AI9" s="75"/>
      <x:c r="AJ9" s="75"/>
      <x:c r="AK9" s="75"/>
      <x:c r="AL9" s="75"/>
      <x:c r="AM9" s="75"/>
      <x:c r="AN9" s="75"/>
      <x:c r="AO9" s="75"/>
      <x:c r="AP9" s="75"/>
      <x:c r="AQ9" s="75"/>
      <x:c r="AR9" s="75"/>
      <x:c r="AS9" s="75"/>
      <x:c r="AT9" s="75"/>
      <x:c r="AU9" s="75"/>
      <x:c r="AV9" s="75"/>
      <x:c r="AW9" s="75"/>
      <x:c r="AX9" s="75"/>
      <x:c r="AY9" s="75"/>
      <x:c r="AZ9" s="75"/>
      <x:c r="BA9" s="75"/>
      <x:c r="BB9" s="75"/>
      <x:c r="BC9" s="75"/>
      <x:c r="BD9" s="75"/>
      <x:c r="BE9" s="75"/>
      <x:c r="BF9" s="75"/>
      <x:c r="BG9" s="75"/>
      <x:c r="BH9" s="75"/>
      <x:c r="BI9" s="75"/>
      <x:c r="BJ9" s="75"/>
      <x:c r="BK9" s="75"/>
      <x:c r="BL9" s="75"/>
      <x:c r="BM9" s="75"/>
      <x:c r="BN9" s="75"/>
      <x:c r="BO9" s="75"/>
      <x:c r="BP9" s="75"/>
      <x:c r="BQ9" s="75"/>
      <x:c r="BR9" s="75"/>
      <x:c r="BS9" s="75"/>
      <x:c r="BT9" s="75"/>
      <x:c r="BU9" s="75"/>
      <x:c r="BV9" s="75"/>
      <x:c r="BW9" s="75"/>
      <x:c r="BX9" s="75"/>
      <x:c r="BY9" s="75"/>
      <x:c r="BZ9" s="75"/>
      <x:c r="CA9" s="75"/>
      <x:c r="CB9" s="75"/>
      <x:c r="CC9" s="75"/>
      <x:c r="CD9" s="75"/>
      <x:c r="CE9" s="75"/>
      <x:c r="CF9" s="75"/>
      <x:c r="CG9" s="75"/>
      <x:c r="CH9" s="75"/>
      <x:c r="CI9" s="75"/>
      <x:c r="CJ9" s="75"/>
      <x:c r="CK9" s="75"/>
      <x:c r="CL9" s="75"/>
      <x:c r="CM9" s="75"/>
      <x:c r="CN9" s="75"/>
      <x:c r="CO9" s="75"/>
      <x:c r="CP9" s="75"/>
      <x:c r="CQ9" s="75"/>
      <x:c r="CR9" s="75"/>
      <x:c r="CS9" s="75"/>
      <x:c r="CT9" s="75"/>
      <x:c r="CU9" s="75"/>
      <x:c r="CV9" s="75"/>
      <x:c r="CW9" s="75"/>
      <x:c r="CX9" s="75"/>
      <x:c r="CY9" s="75"/>
      <x:c r="CZ9" s="75"/>
      <x:c r="DA9" s="75"/>
      <x:c r="DB9" s="75"/>
      <x:c r="DC9" s="75"/>
      <x:c r="DD9" s="75"/>
      <x:c r="DE9" s="75"/>
      <x:c r="DF9" s="75"/>
      <x:c r="DG9" s="75"/>
      <x:c r="DH9" s="75"/>
      <x:c r="DI9" s="75"/>
      <x:c r="DJ9" s="75"/>
      <x:c r="DK9" s="75"/>
      <x:c r="DL9" s="75"/>
      <x:c r="DM9" s="75"/>
      <x:c r="DN9" s="75"/>
      <x:c r="DO9" s="75"/>
      <x:c r="DP9" s="75"/>
      <x:c r="DQ9" s="75"/>
      <x:c r="DR9" s="75"/>
      <x:c r="DS9" s="75"/>
    </x:row>
    <x:row r="10" spans="2:123" ht="15.5" customHeight="1">
      <x:c r="B10" s="86" t="s">
        <x:v>390</x:v>
      </x:c>
      <x:c r="C10" s="87">
        <x:v>12</x:v>
      </x:c>
      <x:c r="D10" s="87">
        <x:v>0</x:v>
      </x:c>
      <x:c r="E10" s="87">
        <x:v>55.8</x:v>
      </x:c>
      <x:c r="F10" s="87">
        <x:v>663</x:v>
      </x:c>
      <x:c r="G10" s="87">
        <x:v>13</x:v>
      </x:c>
      <x:c r="H10" s="87">
        <x:v>18</x:v>
      </x:c>
      <x:c r="I10" s="87">
        <x:v>2.8</x:v>
      </x:c>
      <x:c r="J10" s="87">
        <x:v>337</x:v>
      </x:c>
      <x:c r="K10" s="87">
        <x:v>19.8</x:v>
      </x:c>
      <x:c r="L10" s="87">
        <x:v>0</x:v>
      </x:c>
      <x:c r="M10" s="87">
        <x:v>1857</x:v>
      </x:c>
      <x:c r="N10" s="87">
        <x:v>4491</x:v>
      </x:c>
      <x:c r="O10" s="87">
        <x:v>264.2</x:v>
      </x:c>
      <x:c r="P10" s="87">
        <x:v>224.6</x:v>
      </x:c>
      <x:c r="Q10" s="87">
        <x:v>13.2</x:v>
      </x:c>
      <x:c r="R10" s="22"/>
      <x:c r="AF10" s="75"/>
    </x:row>
    <x:row r="11" spans="2:123" ht="15.5" customHeight="1">
      <x:c r="B11" s="86" t="s">
        <x:v>392</x:v>
      </x:c>
      <x:c r="C11" s="87">
        <x:v>16</x:v>
      </x:c>
      <x:c r="D11" s="87">
        <x:v>0</x:v>
      </x:c>
      <x:c r="E11" s="87">
        <x:v>42.2</x:v>
      </x:c>
      <x:c r="F11" s="87">
        <x:v>685</x:v>
      </x:c>
      <x:c r="G11" s="87">
        <x:v>12</x:v>
      </x:c>
      <x:c r="H11" s="87">
        <x:v>16</x:v>
      </x:c>
      <x:c r="I11" s="87">
        <x:v>3.1</x:v>
      </x:c>
      <x:c r="J11" s="87">
        <x:v>341</x:v>
      </x:c>
      <x:c r="K11" s="87">
        <x:v>20.100000000000001</x:v>
      </x:c>
      <x:c r="L11" s="87">
        <x:v>0</x:v>
      </x:c>
      <x:c r="M11" s="87">
        <x:v>1737</x:v>
      </x:c>
      <x:c r="N11" s="87">
        <x:v>5091</x:v>
      </x:c>
      <x:c r="O11" s="87">
        <x:v>299.5</x:v>
      </x:c>
      <x:c r="P11" s="87">
        <x:v>218.8</x:v>
      </x:c>
      <x:c r="Q11" s="87">
        <x:v>12.9</x:v>
      </x:c>
      <x:c r="R11" s="22"/>
      <x:c r="AF11" s="75"/>
    </x:row>
    <x:row r="12" spans="2:123" ht="15.5" customHeight="1">
      <x:c r="B12" s="86" t="s">
        <x:v>398</x:v>
      </x:c>
      <x:c r="C12" s="87">
        <x:v>16</x:v>
      </x:c>
      <x:c r="D12" s="87">
        <x:v>0</x:v>
      </x:c>
      <x:c r="E12" s="87">
        <x:v>59.2</x:v>
      </x:c>
      <x:c r="F12" s="87">
        <x:v>668</x:v>
      </x:c>
      <x:c r="G12" s="87">
        <x:v>15</x:v>
      </x:c>
      <x:c r="H12" s="87">
        <x:v>20</x:v>
      </x:c>
      <x:c r="I12" s="87">
        <x:v>3.4</x:v>
      </x:c>
      <x:c r="J12" s="87">
        <x:v>388</x:v>
      </x:c>
      <x:c r="K12" s="87">
        <x:v>22.8</x:v>
      </x:c>
      <x:c r="L12" s="87">
        <x:v>0</x:v>
      </x:c>
      <x:c r="M12" s="87">
        <x:v>1749</x:v>
      </x:c>
      <x:c r="N12" s="87">
        <x:v>5052</x:v>
      </x:c>
      <x:c r="O12" s="87">
        <x:v>297.2</x:v>
      </x:c>
      <x:c r="P12" s="87">
        <x:v>209.6</x:v>
      </x:c>
      <x:c r="Q12" s="87">
        <x:v>12.3</x:v>
      </x:c>
      <x:c r="R12" s="22"/>
      <x:c r="AF12" s="75"/>
    </x:row>
    <x:row r="13" spans="2:123" ht="15.5" customHeight="1">
      <x:c r="B13" s="86" t="s">
        <x:v>401</x:v>
      </x:c>
      <x:c r="C13" s="87">
        <x:v>17</x:v>
      </x:c>
      <x:c r="D13" s="87">
        <x:v>0</x:v>
      </x:c>
      <x:c r="E13" s="87">
        <x:v>54.7</x:v>
      </x:c>
      <x:c r="F13" s="87">
        <x:v>654</x:v>
      </x:c>
      <x:c r="G13" s="87">
        <x:v>12</x:v>
      </x:c>
      <x:c r="H13" s="87">
        <x:v>16</x:v>
      </x:c>
      <x:c r="I13" s="87">
        <x:v>3.1</x:v>
      </x:c>
      <x:c r="J13" s="87">
        <x:v>398</x:v>
      </x:c>
      <x:c r="K13" s="87">
        <x:v>23.4</x:v>
      </x:c>
      <x:c r="L13" s="87">
        <x:v>0</x:v>
      </x:c>
      <x:c r="M13" s="87">
        <x:v>1761</x:v>
      </x:c>
      <x:c r="N13" s="87">
        <x:v>4910</x:v>
      </x:c>
      <x:c r="O13" s="87">
        <x:v>288.8</x:v>
      </x:c>
      <x:c r="P13" s="87">
        <x:v>199.3</x:v>
      </x:c>
      <x:c r="Q13" s="87">
        <x:v>11.7</x:v>
      </x:c>
      <x:c r="R13" s="22"/>
      <x:c r="AF13" s="75"/>
    </x:row>
    <x:row r="14" spans="2:123" ht="15.5" customHeight="1">
      <x:c r="B14" s="86" t="s">
        <x:v>394</x:v>
      </x:c>
      <x:c r="C14" s="87">
        <x:v>13</x:v>
      </x:c>
      <x:c r="D14" s="87">
        <x:v>0</x:v>
      </x:c>
      <x:c r="E14" s="87">
        <x:v>56.2</x:v>
      </x:c>
      <x:c r="F14" s="87">
        <x:v>681</x:v>
      </x:c>
      <x:c r="G14" s="87">
        <x:v>15</x:v>
      </x:c>
      <x:c r="H14" s="87">
        <x:v>21</x:v>
      </x:c>
      <x:c r="I14" s="87">
        <x:v>3</x:v>
      </x:c>
      <x:c r="J14" s="87">
        <x:v>406</x:v>
      </x:c>
      <x:c r="K14" s="87">
        <x:v>23.9</x:v>
      </x:c>
      <x:c r="L14" s="87">
        <x:v>0</x:v>
      </x:c>
      <x:c r="M14" s="87">
        <x:v>1559</x:v>
      </x:c>
      <x:c r="N14" s="87">
        <x:v>4989</x:v>
      </x:c>
      <x:c r="O14" s="87">
        <x:v>293.5</x:v>
      </x:c>
      <x:c r="P14" s="87">
        <x:v>198.2</x:v>
      </x:c>
      <x:c r="Q14" s="87">
        <x:v>11.7</x:v>
      </x:c>
      <x:c r="R14" s="22"/>
      <x:c r="AF14" s="75"/>
    </x:row>
    <x:row r="15" spans="2:123" ht="15.5" customHeight="1">
      <x:c r="B15" s="86" t="s">
        <x:v>384</x:v>
      </x:c>
      <x:c r="C15" s="87">
        <x:v>15</x:v>
      </x:c>
      <x:c r="D15" s="87">
        <x:v>0</x:v>
      </x:c>
      <x:c r="E15" s="87">
        <x:v>50.8</x:v>
      </x:c>
      <x:c r="F15" s="87">
        <x:v>678</x:v>
      </x:c>
      <x:c r="G15" s="87">
        <x:v>14</x:v>
      </x:c>
      <x:c r="H15" s="87">
        <x:v>19</x:v>
      </x:c>
      <x:c r="I15" s="87">
        <x:v>3.1</x:v>
      </x:c>
      <x:c r="J15" s="87">
        <x:v>399</x:v>
      </x:c>
      <x:c r="K15" s="87">
        <x:v>23.5</x:v>
      </x:c>
      <x:c r="L15" s="87">
        <x:v>0</x:v>
      </x:c>
      <x:c r="M15" s="87">
        <x:v>1766</x:v>
      </x:c>
      <x:c r="N15" s="87">
        <x:v>5007</x:v>
      </x:c>
      <x:c r="O15" s="87">
        <x:v>294.5</x:v>
      </x:c>
      <x:c r="P15" s="87">
        <x:v>195.4</x:v>
      </x:c>
      <x:c r="Q15" s="87">
        <x:v>11.5</x:v>
      </x:c>
      <x:c r="R15" s="22"/>
      <x:c r="AF15" s="75"/>
    </x:row>
    <x:row r="16" spans="2:123" ht="15.5" customHeight="1">
      <x:c r="B16" s="86" t="s">
        <x:v>408</x:v>
      </x:c>
      <x:c r="C16" s="87">
        <x:v>11</x:v>
      </x:c>
      <x:c r="D16" s="87">
        <x:v>0</x:v>
      </x:c>
      <x:c r="E16" s="87">
        <x:v>50.1</x:v>
      </x:c>
      <x:c r="F16" s="87">
        <x:v>706</x:v>
      </x:c>
      <x:c r="G16" s="87">
        <x:v>15</x:v>
      </x:c>
      <x:c r="H16" s="87">
        <x:v>21</x:v>
      </x:c>
      <x:c r="I16" s="87">
        <x:v>2.8</x:v>
      </x:c>
      <x:c r="J16" s="87">
        <x:v>341</x:v>
      </x:c>
      <x:c r="K16" s="87">
        <x:v>20.100000000000001</x:v>
      </x:c>
      <x:c r="L16" s="87">
        <x:v>0</x:v>
      </x:c>
      <x:c r="M16" s="87">
        <x:v>1661</x:v>
      </x:c>
      <x:c r="N16" s="87">
        <x:v>5177</x:v>
      </x:c>
      <x:c r="O16" s="87">
        <x:v>304.5</x:v>
      </x:c>
      <x:c r="P16" s="87">
        <x:v>186.9</x:v>
      </x:c>
      <x:c r="Q16" s="87">
        <x:v>11</x:v>
      </x:c>
      <x:c r="R16" s="22"/>
      <x:c r="AF16" s="75"/>
    </x:row>
    <x:row r="17" spans="2:32" ht="15.5" customHeight="1">
      <x:c r="B17" s="86" t="s">
        <x:v>411</x:v>
      </x:c>
      <x:c r="C17" s="87">
        <x:v>11</x:v>
      </x:c>
      <x:c r="D17" s="87">
        <x:v>0</x:v>
      </x:c>
      <x:c r="E17" s="87">
        <x:v>46.6</x:v>
      </x:c>
      <x:c r="F17" s="87">
        <x:v>696</x:v>
      </x:c>
      <x:c r="G17" s="87">
        <x:v>13</x:v>
      </x:c>
      <x:c r="H17" s="87">
        <x:v>18</x:v>
      </x:c>
      <x:c r="I17" s="87">
        <x:v>2.5</x:v>
      </x:c>
      <x:c r="J17" s="87">
        <x:v>407</x:v>
      </x:c>
      <x:c r="K17" s="87">
        <x:v>23.9</x:v>
      </x:c>
      <x:c r="L17" s="87">
        <x:v>0</x:v>
      </x:c>
      <x:c r="M17" s="87">
        <x:v>1622</x:v>
      </x:c>
      <x:c r="N17" s="87">
        <x:v>5080</x:v>
      </x:c>
      <x:c r="O17" s="87">
        <x:v>298.8</x:v>
      </x:c>
      <x:c r="P17" s="87">
        <x:v>177.6</x:v>
      </x:c>
      <x:c r="Q17" s="87">
        <x:v>10.4</x:v>
      </x:c>
      <x:c r="R17" s="22"/>
      <x:c r="AF17" s="75"/>
    </x:row>
    <x:row r="18" spans="2:32" ht="15.5" customHeight="1">
      <x:c r="B18" s="86" t="s">
        <x:v>413</x:v>
      </x:c>
      <x:c r="C18" s="87">
        <x:v>12</x:v>
      </x:c>
      <x:c r="D18" s="87">
        <x:v>0</x:v>
      </x:c>
      <x:c r="E18" s="87">
        <x:v>49.9</x:v>
      </x:c>
      <x:c r="F18" s="87">
        <x:v>663</x:v>
      </x:c>
      <x:c r="G18" s="87">
        <x:v>10</x:v>
      </x:c>
      <x:c r="H18" s="87">
        <x:v>14</x:v>
      </x:c>
      <x:c r="I18" s="87">
        <x:v>2.6</x:v>
      </x:c>
      <x:c r="J18" s="87">
        <x:v>438</x:v>
      </x:c>
      <x:c r="K18" s="87">
        <x:v>25.8</x:v>
      </x:c>
      <x:c r="L18" s="87">
        <x:v>0</x:v>
      </x:c>
      <x:c r="M18" s="87">
        <x:v>1624</x:v>
      </x:c>
      <x:c r="N18" s="87">
        <x:v>4954</x:v>
      </x:c>
      <x:c r="O18" s="87">
        <x:v>291.39999999999998</x:v>
      </x:c>
      <x:c r="P18" s="87">
        <x:v>177.5</x:v>
      </x:c>
      <x:c r="Q18" s="87">
        <x:v>10.4</x:v>
      </x:c>
      <x:c r="R18" s="22"/>
      <x:c r="AF18" s="75"/>
    </x:row>
    <x:row r="19" spans="2:32" ht="15.5" customHeight="1">
      <x:c r="B19" s="86" t="s">
        <x:v>396</x:v>
      </x:c>
      <x:c r="C19" s="87">
        <x:v>15</x:v>
      </x:c>
      <x:c r="D19" s="87">
        <x:v>0</x:v>
      </x:c>
      <x:c r="E19" s="87">
        <x:v>54.9</x:v>
      </x:c>
      <x:c r="F19" s="87">
        <x:v>667</x:v>
      </x:c>
      <x:c r="G19" s="87">
        <x:v>17</x:v>
      </x:c>
      <x:c r="H19" s="87">
        <x:v>23</x:v>
      </x:c>
      <x:c r="I19" s="87">
        <x:v>3.6</x:v>
      </x:c>
      <x:c r="J19" s="87">
        <x:v>369</x:v>
      </x:c>
      <x:c r="K19" s="87">
        <x:v>21.7</x:v>
      </x:c>
      <x:c r="L19" s="87">
        <x:v>0</x:v>
      </x:c>
      <x:c r="M19" s="87">
        <x:v>2013</x:v>
      </x:c>
      <x:c r="N19" s="87">
        <x:v>5171</x:v>
      </x:c>
      <x:c r="O19" s="87">
        <x:v>304.2</x:v>
      </x:c>
      <x:c r="P19" s="87">
        <x:v>174.5</x:v>
      </x:c>
      <x:c r="Q19" s="87">
        <x:v>10.3</x:v>
      </x:c>
      <x:c r="R19" s="22"/>
      <x:c r="AF19" s="75"/>
    </x:row>
    <x:row r="20" spans="2:32" ht="15.5" customHeight="1">
      <x:c r="B20" s="86" t="s">
        <x:v>387</x:v>
      </x:c>
      <x:c r="C20" s="87">
        <x:v>13</x:v>
      </x:c>
      <x:c r="D20" s="87">
        <x:v>0</x:v>
      </x:c>
      <x:c r="E20" s="87">
        <x:v>40.700000000000003</x:v>
      </x:c>
      <x:c r="F20" s="87">
        <x:v>687</x:v>
      </x:c>
      <x:c r="G20" s="87">
        <x:v>12</x:v>
      </x:c>
      <x:c r="H20" s="87">
        <x:v>17</x:v>
      </x:c>
      <x:c r="I20" s="87">
        <x:v>2.6</x:v>
      </x:c>
      <x:c r="J20" s="87">
        <x:v>405</x:v>
      </x:c>
      <x:c r="K20" s="87">
        <x:v>23.8</x:v>
      </x:c>
      <x:c r="L20" s="87">
        <x:v>0</x:v>
      </x:c>
      <x:c r="M20" s="87">
        <x:v>1431</x:v>
      </x:c>
      <x:c r="N20" s="87">
        <x:v>4831</x:v>
      </x:c>
      <x:c r="O20" s="87">
        <x:v>284.2</x:v>
      </x:c>
      <x:c r="P20" s="87">
        <x:v>174.3</x:v>
      </x:c>
      <x:c r="Q20" s="87">
        <x:v>10.3</x:v>
      </x:c>
      <x:c r="R20" s="22"/>
      <x:c r="AF20" s="75"/>
    </x:row>
    <x:row r="21" spans="2:32" ht="15.5" customHeight="1">
      <x:c r="B21" s="86" t="s">
        <x:v>406</x:v>
      </x:c>
      <x:c r="C21" s="87">
        <x:v>13</x:v>
      </x:c>
      <x:c r="D21" s="87">
        <x:v>0</x:v>
      </x:c>
      <x:c r="E21" s="87">
        <x:v>71.8</x:v>
      </x:c>
      <x:c r="F21" s="87">
        <x:v>679</x:v>
      </x:c>
      <x:c r="G21" s="87">
        <x:v>13</x:v>
      </x:c>
      <x:c r="H21" s="87">
        <x:v>17</x:v>
      </x:c>
      <x:c r="I21" s="87">
        <x:v>2.7</x:v>
      </x:c>
      <x:c r="J21" s="87">
        <x:v>449</x:v>
      </x:c>
      <x:c r="K21" s="87">
        <x:v>26.4</x:v>
      </x:c>
      <x:c r="L21" s="87">
        <x:v>0</x:v>
      </x:c>
      <x:c r="M21" s="87">
        <x:v>1776</x:v>
      </x:c>
      <x:c r="N21" s="87">
        <x:v>5162</x:v>
      </x:c>
      <x:c r="O21" s="87">
        <x:v>303.60000000000002</x:v>
      </x:c>
      <x:c r="P21" s="87">
        <x:v>174</x:v>
      </x:c>
      <x:c r="Q21" s="87">
        <x:v>10.199999999999999</x:v>
      </x:c>
      <x:c r="R21" s="22"/>
      <x:c r="AF21" s="75"/>
    </x:row>
    <x:row r="22" spans="2:32" ht="15.5" customHeight="1">
      <x:c r="B22" s="86" t="s">
        <x:v>391</x:v>
      </x:c>
      <x:c r="C22" s="87">
        <x:v>12</x:v>
      </x:c>
      <x:c r="D22" s="87">
        <x:v>0</x:v>
      </x:c>
      <x:c r="E22" s="87">
        <x:v>65.400000000000006</x:v>
      </x:c>
      <x:c r="F22" s="87">
        <x:v>696</x:v>
      </x:c>
      <x:c r="G22" s="87">
        <x:v>13</x:v>
      </x:c>
      <x:c r="H22" s="87">
        <x:v>17</x:v>
      </x:c>
      <x:c r="I22" s="87">
        <x:v>3.3</x:v>
      </x:c>
      <x:c r="J22" s="87">
        <x:v>386</x:v>
      </x:c>
      <x:c r="K22" s="87">
        <x:v>22.7</x:v>
      </x:c>
      <x:c r="L22" s="87">
        <x:v>0</x:v>
      </x:c>
      <x:c r="M22" s="87">
        <x:v>1679</x:v>
      </x:c>
      <x:c r="N22" s="87">
        <x:v>5211</x:v>
      </x:c>
      <x:c r="O22" s="87">
        <x:v>306.5</x:v>
      </x:c>
      <x:c r="P22" s="87">
        <x:v>169.2</x:v>
      </x:c>
      <x:c r="Q22" s="87">
        <x:v>10</x:v>
      </x:c>
      <x:c r="R22" s="22"/>
      <x:c r="AF22" s="75"/>
    </x:row>
    <x:row r="23" spans="2:32" ht="15.5" customHeight="1">
      <x:c r="B23" s="86" t="s">
        <x:v>400</x:v>
      </x:c>
      <x:c r="C23" s="87">
        <x:v>13</x:v>
      </x:c>
      <x:c r="D23" s="87">
        <x:v>0</x:v>
      </x:c>
      <x:c r="E23" s="87">
        <x:v>39.799999999999997</x:v>
      </x:c>
      <x:c r="F23" s="87">
        <x:v>697</x:v>
      </x:c>
      <x:c r="G23" s="87">
        <x:v>8</x:v>
      </x:c>
      <x:c r="H23" s="87">
        <x:v>11</x:v>
      </x:c>
      <x:c r="I23" s="87">
        <x:v>2.4</x:v>
      </x:c>
      <x:c r="J23" s="87">
        <x:v>456</x:v>
      </x:c>
      <x:c r="K23" s="87">
        <x:v>26.8</x:v>
      </x:c>
      <x:c r="L23" s="87">
        <x:v>0</x:v>
      </x:c>
      <x:c r="M23" s="87">
        <x:v>1734</x:v>
      </x:c>
      <x:c r="N23" s="87">
        <x:v>4962</x:v>
      </x:c>
      <x:c r="O23" s="87">
        <x:v>291.89999999999998</x:v>
      </x:c>
      <x:c r="P23" s="87">
        <x:v>164.2</x:v>
      </x:c>
      <x:c r="Q23" s="87">
        <x:v>9.6999999999999993</x:v>
      </x:c>
      <x:c r="R23" s="22"/>
      <x:c r="AF23" s="75"/>
    </x:row>
    <x:row r="24" spans="2:32" ht="15.5" customHeight="1">
      <x:c r="B24" s="86" t="s">
        <x:v>395</x:v>
      </x:c>
      <x:c r="C24" s="87">
        <x:v>15</x:v>
      </x:c>
      <x:c r="D24" s="87">
        <x:v>0</x:v>
      </x:c>
      <x:c r="E24" s="87">
        <x:v>52.5</x:v>
      </x:c>
      <x:c r="F24" s="87">
        <x:v>687</x:v>
      </x:c>
      <x:c r="G24" s="87">
        <x:v>13</x:v>
      </x:c>
      <x:c r="H24" s="87">
        <x:v>18</x:v>
      </x:c>
      <x:c r="I24" s="87">
        <x:v>3.3</x:v>
      </x:c>
      <x:c r="J24" s="87">
        <x:v>392</x:v>
      </x:c>
      <x:c r="K24" s="87">
        <x:v>23.1</x:v>
      </x:c>
      <x:c r="L24" s="87">
        <x:v>0</x:v>
      </x:c>
      <x:c r="M24" s="87">
        <x:v>1961</x:v>
      </x:c>
      <x:c r="N24" s="87">
        <x:v>5635</x:v>
      </x:c>
      <x:c r="O24" s="87">
        <x:v>331.5</x:v>
      </x:c>
      <x:c r="P24" s="87">
        <x:v>162.30000000000001</x:v>
      </x:c>
      <x:c r="Q24" s="87">
        <x:v>9.5</x:v>
      </x:c>
      <x:c r="R24" s="22"/>
      <x:c r="AF24" s="75"/>
    </x:row>
    <x:row r="25" spans="2:32" ht="15.5" customHeight="1">
      <x:c r="B25" s="86" t="s">
        <x:v>388</x:v>
      </x:c>
      <x:c r="C25" s="87">
        <x:v>15</x:v>
      </x:c>
      <x:c r="D25" s="87">
        <x:v>0</x:v>
      </x:c>
      <x:c r="E25" s="87">
        <x:v>53.7</x:v>
      </x:c>
      <x:c r="F25" s="87">
        <x:v>681</x:v>
      </x:c>
      <x:c r="G25" s="87">
        <x:v>13</x:v>
      </x:c>
      <x:c r="H25" s="87">
        <x:v>18</x:v>
      </x:c>
      <x:c r="I25" s="87">
        <x:v>3</x:v>
      </x:c>
      <x:c r="J25" s="87">
        <x:v>370</x:v>
      </x:c>
      <x:c r="K25" s="87">
        <x:v>21.8</x:v>
      </x:c>
      <x:c r="L25" s="87">
        <x:v>0</x:v>
      </x:c>
      <x:c r="M25" s="87">
        <x:v>1838</x:v>
      </x:c>
      <x:c r="N25" s="87">
        <x:v>5442</x:v>
      </x:c>
      <x:c r="O25" s="87">
        <x:v>320.10000000000002</x:v>
      </x:c>
      <x:c r="P25" s="87">
        <x:v>161.69999999999999</x:v>
      </x:c>
      <x:c r="Q25" s="87">
        <x:v>9.5</x:v>
      </x:c>
      <x:c r="R25" s="22"/>
      <x:c r="AF25" s="75"/>
    </x:row>
    <x:row r="26" spans="2:32" ht="15.5" customHeight="1">
      <x:c r="B26" s="86" t="s">
        <x:v>405</x:v>
      </x:c>
      <x:c r="C26" s="87">
        <x:v>12</x:v>
      </x:c>
      <x:c r="D26" s="87">
        <x:v>0</x:v>
      </x:c>
      <x:c r="E26" s="87">
        <x:v>52.8</x:v>
      </x:c>
      <x:c r="F26" s="87">
        <x:v>680</x:v>
      </x:c>
      <x:c r="G26" s="87">
        <x:v>15</x:v>
      </x:c>
      <x:c r="H26" s="87">
        <x:v>21</x:v>
      </x:c>
      <x:c r="I26" s="87">
        <x:v>3.2</x:v>
      </x:c>
      <x:c r="J26" s="87">
        <x:v>391</x:v>
      </x:c>
      <x:c r="K26" s="87">
        <x:v>23</x:v>
      </x:c>
      <x:c r="L26" s="87">
        <x:v>0</x:v>
      </x:c>
      <x:c r="M26" s="87">
        <x:v>1783</x:v>
      </x:c>
      <x:c r="N26" s="87">
        <x:v>5354</x:v>
      </x:c>
      <x:c r="O26" s="87">
        <x:v>314.89999999999998</x:v>
      </x:c>
      <x:c r="P26" s="87">
        <x:v>160</x:v>
      </x:c>
      <x:c r="Q26" s="87">
        <x:v>9.4</x:v>
      </x:c>
      <x:c r="R26" s="22"/>
      <x:c r="AF26" s="75"/>
    </x:row>
    <x:row r="27" spans="2:32" ht="15.5" customHeight="1">
      <x:c r="B27" s="86" t="s">
        <x:v>407</x:v>
      </x:c>
      <x:c r="C27" s="87">
        <x:v>14</x:v>
      </x:c>
      <x:c r="D27" s="87">
        <x:v>0</x:v>
      </x:c>
      <x:c r="E27" s="87">
        <x:v>42.1</x:v>
      </x:c>
      <x:c r="F27" s="87">
        <x:v>692</x:v>
      </x:c>
      <x:c r="G27" s="87">
        <x:v>17</x:v>
      </x:c>
      <x:c r="H27" s="87">
        <x:v>23</x:v>
      </x:c>
      <x:c r="I27" s="87">
        <x:v>3.3</x:v>
      </x:c>
      <x:c r="J27" s="87">
        <x:v>402</x:v>
      </x:c>
      <x:c r="K27" s="87">
        <x:v>23.6</x:v>
      </x:c>
      <x:c r="L27" s="87">
        <x:v>0</x:v>
      </x:c>
      <x:c r="M27" s="87">
        <x:v>2042</x:v>
      </x:c>
      <x:c r="N27" s="87">
        <x:v>5500</x:v>
      </x:c>
      <x:c r="O27" s="87">
        <x:v>323.5</x:v>
      </x:c>
      <x:c r="P27" s="87">
        <x:v>157.9</x:v>
      </x:c>
      <x:c r="Q27" s="87">
        <x:v>9.3000000000000007</x:v>
      </x:c>
      <x:c r="R27" s="22"/>
      <x:c r="AF27" s="75"/>
    </x:row>
    <x:row r="28" spans="2:32" ht="15.5" customHeight="1">
      <x:c r="B28" s="86" t="s">
        <x:v>385</x:v>
      </x:c>
      <x:c r="C28" s="87">
        <x:v>16</x:v>
      </x:c>
      <x:c r="D28" s="87">
        <x:v>0</x:v>
      </x:c>
      <x:c r="E28" s="87">
        <x:v>42.7</x:v>
      </x:c>
      <x:c r="F28" s="87">
        <x:v>671</x:v>
      </x:c>
      <x:c r="G28" s="87">
        <x:v>14</x:v>
      </x:c>
      <x:c r="H28" s="87">
        <x:v>19</x:v>
      </x:c>
      <x:c r="I28" s="87">
        <x:v>3.4</x:v>
      </x:c>
      <x:c r="J28" s="87">
        <x:v>383</x:v>
      </x:c>
      <x:c r="K28" s="87">
        <x:v>22.5</x:v>
      </x:c>
      <x:c r="L28" s="87">
        <x:v>0</x:v>
      </x:c>
      <x:c r="M28" s="87">
        <x:v>1886</x:v>
      </x:c>
      <x:c r="N28" s="87">
        <x:v>5288</x:v>
      </x:c>
      <x:c r="O28" s="87">
        <x:v>311.10000000000002</x:v>
      </x:c>
      <x:c r="P28" s="87">
        <x:v>157.1</x:v>
      </x:c>
      <x:c r="Q28" s="87">
        <x:v>9.1999999999999993</x:v>
      </x:c>
      <x:c r="R28" s="22"/>
      <x:c r="AF28" s="75"/>
    </x:row>
    <x:row r="29" spans="2:32" ht="15.5" customHeight="1">
      <x:c r="B29" s="86" t="s">
        <x:v>397</x:v>
      </x:c>
      <x:c r="C29" s="87">
        <x:v>13</x:v>
      </x:c>
      <x:c r="D29" s="87">
        <x:v>0</x:v>
      </x:c>
      <x:c r="E29" s="87">
        <x:v>50.4</x:v>
      </x:c>
      <x:c r="F29" s="87">
        <x:v>690</x:v>
      </x:c>
      <x:c r="G29" s="87">
        <x:v>13</x:v>
      </x:c>
      <x:c r="H29" s="87">
        <x:v>18</x:v>
      </x:c>
      <x:c r="I29" s="87">
        <x:v>2.9</x:v>
      </x:c>
      <x:c r="J29" s="87">
        <x:v>388</x:v>
      </x:c>
      <x:c r="K29" s="87">
        <x:v>22.8</x:v>
      </x:c>
      <x:c r="L29" s="87">
        <x:v>0</x:v>
      </x:c>
      <x:c r="M29" s="87">
        <x:v>1955</x:v>
      </x:c>
      <x:c r="N29" s="87">
        <x:v>5541</x:v>
      </x:c>
      <x:c r="O29" s="87">
        <x:v>325.89999999999998</x:v>
      </x:c>
      <x:c r="P29" s="87">
        <x:v>153.80000000000001</x:v>
      </x:c>
      <x:c r="Q29" s="87">
        <x:v>9</x:v>
      </x:c>
      <x:c r="R29" s="22"/>
      <x:c r="AF29" s="75"/>
    </x:row>
    <x:row r="30" spans="2:32" ht="15.5" customHeight="1">
      <x:c r="B30" s="86" t="s">
        <x:v>393</x:v>
      </x:c>
      <x:c r="C30" s="87">
        <x:v>13</x:v>
      </x:c>
      <x:c r="D30" s="87">
        <x:v>0</x:v>
      </x:c>
      <x:c r="E30" s="87">
        <x:v>42.1</x:v>
      </x:c>
      <x:c r="F30" s="87">
        <x:v>694</x:v>
      </x:c>
      <x:c r="G30" s="87">
        <x:v>16</x:v>
      </x:c>
      <x:c r="H30" s="87">
        <x:v>22</x:v>
      </x:c>
      <x:c r="I30" s="87">
        <x:v>3.1</x:v>
      </x:c>
      <x:c r="J30" s="87">
        <x:v>390</x:v>
      </x:c>
      <x:c r="K30" s="87">
        <x:v>22.9</x:v>
      </x:c>
      <x:c r="L30" s="87">
        <x:v>0</x:v>
      </x:c>
      <x:c r="M30" s="87">
        <x:v>1804</x:v>
      </x:c>
      <x:c r="N30" s="87">
        <x:v>5386</x:v>
      </x:c>
      <x:c r="O30" s="87">
        <x:v>316.8</x:v>
      </x:c>
      <x:c r="P30" s="87">
        <x:v>152.69999999999999</x:v>
      </x:c>
      <x:c r="Q30" s="87">
        <x:v>9</x:v>
      </x:c>
      <x:c r="R30" s="22"/>
      <x:c r="AF30" s="75"/>
    </x:row>
    <x:row r="31" spans="2:32" ht="15.5" customHeight="1">
      <x:c r="B31" s="86" t="s">
        <x:v>403</x:v>
      </x:c>
      <x:c r="C31" s="87">
        <x:v>13</x:v>
      </x:c>
      <x:c r="D31" s="87">
        <x:v>0</x:v>
      </x:c>
      <x:c r="E31" s="87">
        <x:v>50.7</x:v>
      </x:c>
      <x:c r="F31" s="87">
        <x:v>694</x:v>
      </x:c>
      <x:c r="G31" s="87">
        <x:v>12</x:v>
      </x:c>
      <x:c r="H31" s="87">
        <x:v>16</x:v>
      </x:c>
      <x:c r="I31" s="87">
        <x:v>2.7</x:v>
      </x:c>
      <x:c r="J31" s="87">
        <x:v>400</x:v>
      </x:c>
      <x:c r="K31" s="87">
        <x:v>23.5</x:v>
      </x:c>
      <x:c r="L31" s="87">
        <x:v>0</x:v>
      </x:c>
      <x:c r="M31" s="87">
        <x:v>2051</x:v>
      </x:c>
      <x:c r="N31" s="87">
        <x:v>5697</x:v>
      </x:c>
      <x:c r="O31" s="87">
        <x:v>335.1</x:v>
      </x:c>
      <x:c r="P31" s="87">
        <x:v>150.9</x:v>
      </x:c>
      <x:c r="Q31" s="87">
        <x:v>8.9</x:v>
      </x:c>
      <x:c r="R31" s="22"/>
      <x:c r="AF31" s="75"/>
    </x:row>
    <x:row r="32" spans="2:32" ht="15.5" customHeight="1">
      <x:c r="B32" s="86" t="s">
        <x:v>415</x:v>
      </x:c>
      <x:c r="C32" s="87">
        <x:v>12</x:v>
      </x:c>
      <x:c r="D32" s="87">
        <x:v>0</x:v>
      </x:c>
      <x:c r="E32" s="87">
        <x:v>49.5</x:v>
      </x:c>
      <x:c r="F32" s="87">
        <x:v>704</x:v>
      </x:c>
      <x:c r="G32" s="87">
        <x:v>13</x:v>
      </x:c>
      <x:c r="H32" s="87">
        <x:v>18</x:v>
      </x:c>
      <x:c r="I32" s="87">
        <x:v>2.6</x:v>
      </x:c>
      <x:c r="J32" s="87">
        <x:v>375</x:v>
      </x:c>
      <x:c r="K32" s="87">
        <x:v>22.1</x:v>
      </x:c>
      <x:c r="L32" s="87">
        <x:v>0</x:v>
      </x:c>
      <x:c r="M32" s="87">
        <x:v>1746</x:v>
      </x:c>
      <x:c r="N32" s="87">
        <x:v>5186</x:v>
      </x:c>
      <x:c r="O32" s="87">
        <x:v>305.10000000000002</x:v>
      </x:c>
      <x:c r="P32" s="87">
        <x:v>149.1</x:v>
      </x:c>
      <x:c r="Q32" s="87">
        <x:v>8.8000000000000007</x:v>
      </x:c>
      <x:c r="R32" s="22"/>
      <x:c r="AF32" s="75"/>
    </x:row>
    <x:row r="33" spans="2:32" ht="15.5" customHeight="1">
      <x:c r="B33" s="86" t="s">
        <x:v>404</x:v>
      </x:c>
      <x:c r="C33" s="87">
        <x:v>15</x:v>
      </x:c>
      <x:c r="D33" s="87">
        <x:v>0</x:v>
      </x:c>
      <x:c r="E33" s="87">
        <x:v>43.8</x:v>
      </x:c>
      <x:c r="F33" s="87">
        <x:v>675</x:v>
      </x:c>
      <x:c r="G33" s="87">
        <x:v>10</x:v>
      </x:c>
      <x:c r="H33" s="87">
        <x:v>14</x:v>
      </x:c>
      <x:c r="I33" s="87">
        <x:v>2.9</x:v>
      </x:c>
      <x:c r="J33" s="87">
        <x:v>410</x:v>
      </x:c>
      <x:c r="K33" s="87">
        <x:v>24.1</x:v>
      </x:c>
      <x:c r="L33" s="87">
        <x:v>0</x:v>
      </x:c>
      <x:c r="M33" s="87">
        <x:v>1664</x:v>
      </x:c>
      <x:c r="N33" s="87">
        <x:v>5608</x:v>
      </x:c>
      <x:c r="O33" s="87">
        <x:v>329.9</x:v>
      </x:c>
      <x:c r="P33" s="87">
        <x:v>145.19999999999999</x:v>
      </x:c>
      <x:c r="Q33" s="87">
        <x:v>8.5</x:v>
      </x:c>
      <x:c r="R33" s="22"/>
      <x:c r="AF33" s="75"/>
    </x:row>
    <x:row r="34" spans="2:32" ht="15.5" customHeight="1">
      <x:c r="B34" s="86" t="s">
        <x:v>414</x:v>
      </x:c>
      <x:c r="C34" s="87">
        <x:v>18</x:v>
      </x:c>
      <x:c r="D34" s="87">
        <x:v>0</x:v>
      </x:c>
      <x:c r="E34" s="87">
        <x:v>36.6</x:v>
      </x:c>
      <x:c r="F34" s="87">
        <x:v>683</x:v>
      </x:c>
      <x:c r="G34" s="87">
        <x:v>9</x:v>
      </x:c>
      <x:c r="H34" s="87">
        <x:v>13</x:v>
      </x:c>
      <x:c r="I34" s="87">
        <x:v>3</x:v>
      </x:c>
      <x:c r="J34" s="87">
        <x:v>388</x:v>
      </x:c>
      <x:c r="K34" s="87">
        <x:v>22.8</x:v>
      </x:c>
      <x:c r="L34" s="87">
        <x:v>0</x:v>
      </x:c>
      <x:c r="M34" s="87">
        <x:v>1645</x:v>
      </x:c>
      <x:c r="N34" s="87">
        <x:v>5107</x:v>
      </x:c>
      <x:c r="O34" s="87">
        <x:v>300.39999999999998</x:v>
      </x:c>
      <x:c r="P34" s="87">
        <x:v>142.6</x:v>
      </x:c>
      <x:c r="Q34" s="87">
        <x:v>8.4</x:v>
      </x:c>
      <x:c r="R34" s="22"/>
      <x:c r="AF34" s="75"/>
    </x:row>
    <x:row r="35" spans="2:32" ht="15.5" customHeight="1">
      <x:c r="B35" s="86" t="s">
        <x:v>412</x:v>
      </x:c>
      <x:c r="C35" s="87">
        <x:v>11</x:v>
      </x:c>
      <x:c r="D35" s="87">
        <x:v>0</x:v>
      </x:c>
      <x:c r="E35" s="87">
        <x:v>45.2</x:v>
      </x:c>
      <x:c r="F35" s="87">
        <x:v>694</x:v>
      </x:c>
      <x:c r="G35" s="87">
        <x:v>12</x:v>
      </x:c>
      <x:c r="H35" s="87">
        <x:v>16</x:v>
      </x:c>
      <x:c r="I35" s="87">
        <x:v>2.5</x:v>
      </x:c>
      <x:c r="J35" s="87">
        <x:v>472</x:v>
      </x:c>
      <x:c r="K35" s="87">
        <x:v>27.8</x:v>
      </x:c>
      <x:c r="L35" s="87">
        <x:v>0</x:v>
      </x:c>
      <x:c r="M35" s="87">
        <x:v>1965</x:v>
      </x:c>
      <x:c r="N35" s="87">
        <x:v>5619</x:v>
      </x:c>
      <x:c r="O35" s="87">
        <x:v>330.5</x:v>
      </x:c>
      <x:c r="P35" s="87">
        <x:v>140.19999999999999</x:v>
      </x:c>
      <x:c r="Q35" s="87">
        <x:v>8.1999999999999993</x:v>
      </x:c>
      <x:c r="R35" s="22"/>
      <x:c r="AF35" s="75"/>
    </x:row>
    <x:row r="36" spans="2:32" ht="15.5" customHeight="1">
      <x:c r="B36" s="86" t="s">
        <x:v>399</x:v>
      </x:c>
      <x:c r="C36" s="87">
        <x:v>11</x:v>
      </x:c>
      <x:c r="D36" s="87">
        <x:v>0</x:v>
      </x:c>
      <x:c r="E36" s="87">
        <x:v>47.5</x:v>
      </x:c>
      <x:c r="F36" s="87">
        <x:v>689</x:v>
      </x:c>
      <x:c r="G36" s="87">
        <x:v>11</x:v>
      </x:c>
      <x:c r="H36" s="87">
        <x:v>16</x:v>
      </x:c>
      <x:c r="I36" s="87">
        <x:v>2.2999999999999998</x:v>
      </x:c>
      <x:c r="J36" s="87">
        <x:v>412</x:v>
      </x:c>
      <x:c r="K36" s="87">
        <x:v>24.2</x:v>
      </x:c>
      <x:c r="L36" s="87">
        <x:v>0</x:v>
      </x:c>
      <x:c r="M36" s="87">
        <x:v>1530</x:v>
      </x:c>
      <x:c r="N36" s="87">
        <x:v>5165</x:v>
      </x:c>
      <x:c r="O36" s="87">
        <x:v>303.8</x:v>
      </x:c>
      <x:c r="P36" s="87">
        <x:v>139.30000000000001</x:v>
      </x:c>
      <x:c r="Q36" s="87">
        <x:v>8.1999999999999993</x:v>
      </x:c>
      <x:c r="R36" s="22"/>
      <x:c r="AF36" s="75"/>
    </x:row>
    <x:row r="37" spans="2:32" ht="15.5" customHeight="1">
      <x:c r="B37" s="86" t="s">
        <x:v>409</x:v>
      </x:c>
      <x:c r="C37" s="87">
        <x:v>14</x:v>
      </x:c>
      <x:c r="D37" s="87">
        <x:v>0</x:v>
      </x:c>
      <x:c r="E37" s="87">
        <x:v>40.299999999999997</x:v>
      </x:c>
      <x:c r="F37" s="87">
        <x:v>676</x:v>
      </x:c>
      <x:c r="G37" s="87">
        <x:v>9</x:v>
      </x:c>
      <x:c r="H37" s="87">
        <x:v>12</x:v>
      </x:c>
      <x:c r="I37" s="87">
        <x:v>2.6</x:v>
      </x:c>
      <x:c r="J37" s="87">
        <x:v>429</x:v>
      </x:c>
      <x:c r="K37" s="87">
        <x:v>25.2</x:v>
      </x:c>
      <x:c r="L37" s="87">
        <x:v>0</x:v>
      </x:c>
      <x:c r="M37" s="87">
        <x:v>1726</x:v>
      </x:c>
      <x:c r="N37" s="87">
        <x:v>5436</x:v>
      </x:c>
      <x:c r="O37" s="87">
        <x:v>319.8</x:v>
      </x:c>
      <x:c r="P37" s="87">
        <x:v>135.9</x:v>
      </x:c>
      <x:c r="Q37" s="87">
        <x:v>8</x:v>
      </x:c>
      <x:c r="R37" s="22"/>
      <x:c r="AF37" s="75"/>
    </x:row>
    <x:row r="38" spans="2:32" ht="15.5" customHeight="1">
      <x:c r="B38" s="86" t="s">
        <x:v>402</x:v>
      </x:c>
      <x:c r="C38" s="87">
        <x:v>13</x:v>
      </x:c>
      <x:c r="D38" s="87">
        <x:v>0</x:v>
      </x:c>
      <x:c r="E38" s="87">
        <x:v>51.4</x:v>
      </x:c>
      <x:c r="F38" s="87">
        <x:v>692</x:v>
      </x:c>
      <x:c r="G38" s="87">
        <x:v>13</x:v>
      </x:c>
      <x:c r="H38" s="87">
        <x:v>19</x:v>
      </x:c>
      <x:c r="I38" s="87">
        <x:v>2.8</x:v>
      </x:c>
      <x:c r="J38" s="87">
        <x:v>481</x:v>
      </x:c>
      <x:c r="K38" s="87">
        <x:v>28.3</x:v>
      </x:c>
      <x:c r="L38" s="87">
        <x:v>0</x:v>
      </x:c>
      <x:c r="M38" s="87">
        <x:v>1846</x:v>
      </x:c>
      <x:c r="N38" s="87">
        <x:v>5463</x:v>
      </x:c>
      <x:c r="O38" s="87">
        <x:v>321.39999999999998</x:v>
      </x:c>
      <x:c r="P38" s="87">
        <x:v>120.2</x:v>
      </x:c>
      <x:c r="Q38" s="87">
        <x:v>7.1</x:v>
      </x:c>
      <x:c r="R38" s="22"/>
      <x:c r="AF38" s="75"/>
    </x:row>
    <x:row r="39" spans="2:32" ht="15.5" customHeight="1">
      <x:c r="B39" s="86" t="s">
        <x:v>410</x:v>
      </x:c>
      <x:c r="C39" s="87">
        <x:v>9</x:v>
      </x:c>
      <x:c r="D39" s="87">
        <x:v>0</x:v>
      </x:c>
      <x:c r="E39" s="87">
        <x:v>44.4</x:v>
      </x:c>
      <x:c r="F39" s="87">
        <x:v>713</x:v>
      </x:c>
      <x:c r="G39" s="87">
        <x:v>18</x:v>
      </x:c>
      <x:c r="H39" s="87">
        <x:v>25</x:v>
      </x:c>
      <x:c r="I39" s="87">
        <x:v>2.8</x:v>
      </x:c>
      <x:c r="J39" s="87">
        <x:v>478</x:v>
      </x:c>
      <x:c r="K39" s="87">
        <x:v>28.1</x:v>
      </x:c>
      <x:c r="L39" s="87">
        <x:v>0</x:v>
      </x:c>
      <x:c r="M39" s="87">
        <x:v>1970</x:v>
      </x:c>
      <x:c r="N39" s="87">
        <x:v>5876</x:v>
      </x:c>
      <x:c r="O39" s="87">
        <x:v>345.6</x:v>
      </x:c>
      <x:c r="P39" s="87">
        <x:v>115.2</x:v>
      </x:c>
      <x:c r="Q39" s="87">
        <x:v>6.8</x:v>
      </x:c>
      <x:c r="R39" s="22"/>
      <x:c r="AF39" s="75"/>
    </x:row>
    <x:row r="40" spans="2:32" ht="15.5" customHeight="1">
      <x:c r="B40" s="88"/>
      <x:c r="C40" s="89"/>
      <x:c r="D40" s="90"/>
      <x:c r="E40" s="90"/>
      <x:c r="F40" s="90"/>
      <x:c r="G40" s="91"/>
      <x:c r="H40" s="91"/>
      <x:c r="I40" s="91"/>
      <x:c r="J40" s="91"/>
      <x:c r="K40" s="89"/>
      <x:c r="L40" s="89"/>
      <x:c r="M40" s="89"/>
      <x:c r="N40" s="89"/>
      <x:c r="O40" s="89"/>
      <x:c r="P40" s="89"/>
      <x:c r="Q40" s="89"/>
      <x:c r="AF40" s="75"/>
    </x:row>
    <x:row r="41" spans="2:32" ht="15.5" customHeight="1">
      <x:c r="B41" s="88"/>
      <x:c r="C41" s="89"/>
      <x:c r="D41" s="90"/>
      <x:c r="E41" s="90"/>
      <x:c r="F41" s="90"/>
      <x:c r="G41" s="91"/>
      <x:c r="H41" s="91"/>
      <x:c r="I41" s="91"/>
      <x:c r="J41" s="91"/>
      <x:c r="K41" s="89"/>
      <x:c r="L41" s="89"/>
      <x:c r="M41" s="89"/>
      <x:c r="N41" s="89"/>
      <x:c r="O41" s="89"/>
      <x:c r="P41" s="89"/>
      <x:c r="Q41" s="89"/>
      <x:c r="AF41" s="75"/>
    </x:row>
    <x:row r="42" spans="2:32" ht="15.5" customHeight="1">
      <x:c r="B42" s="88"/>
      <x:c r="C42" s="89"/>
      <x:c r="D42" s="90"/>
      <x:c r="E42" s="90"/>
      <x:c r="F42" s="90"/>
      <x:c r="G42" s="91"/>
      <x:c r="H42" s="91"/>
      <x:c r="I42" s="91"/>
      <x:c r="J42" s="91"/>
      <x:c r="K42" s="89"/>
      <x:c r="L42" s="89"/>
      <x:c r="M42" s="89"/>
      <x:c r="N42" s="89"/>
      <x:c r="O42" s="89"/>
      <x:c r="P42" s="89"/>
      <x:c r="Q42" s="89"/>
      <x:c r="AF42" s="75"/>
    </x:row>
    <x:row r="43" spans="2:32" ht="15.5">
      <x:c r="B43" s="88"/>
      <x:c r="C43" s="89"/>
      <x:c r="D43" s="90"/>
      <x:c r="E43" s="90"/>
      <x:c r="F43" s="90"/>
      <x:c r="G43" s="91"/>
      <x:c r="H43" s="91"/>
      <x:c r="I43" s="91"/>
      <x:c r="J43" s="91"/>
      <x:c r="K43" s="89"/>
      <x:c r="L43" s="89"/>
      <x:c r="M43" s="89"/>
      <x:c r="N43" s="89"/>
      <x:c r="O43" s="89"/>
      <x:c r="P43" s="89"/>
      <x:c r="Q43" s="89"/>
      <x:c r="AF43" s="75"/>
    </x:row>
    <x:row r="44" spans="2:32" ht="15.5">
      <x:c r="B44" s="88"/>
      <x:c r="C44" s="89"/>
      <x:c r="D44" s="90"/>
      <x:c r="E44" s="90"/>
      <x:c r="F44" s="90"/>
      <x:c r="G44" s="91"/>
      <x:c r="H44" s="91"/>
      <x:c r="I44" s="91"/>
      <x:c r="J44" s="91"/>
      <x:c r="K44" s="89"/>
      <x:c r="L44" s="89"/>
      <x:c r="M44" s="89"/>
      <x:c r="N44" s="89"/>
      <x:c r="O44" s="89"/>
      <x:c r="P44" s="89"/>
      <x:c r="Q44" s="89"/>
      <x:c r="AF44" s="75"/>
    </x:row>
    <x:row r="45" spans="2:32" ht="15.5">
      <x:c r="B45" s="88"/>
      <x:c r="C45" s="89"/>
      <x:c r="D45" s="90"/>
      <x:c r="E45" s="90"/>
      <x:c r="F45" s="90"/>
      <x:c r="G45" s="91"/>
      <x:c r="H45" s="91"/>
      <x:c r="I45" s="91"/>
      <x:c r="J45" s="91"/>
      <x:c r="K45" s="89"/>
      <x:c r="L45" s="89"/>
      <x:c r="M45" s="89"/>
      <x:c r="N45" s="89"/>
      <x:c r="O45" s="89"/>
      <x:c r="P45" s="89"/>
      <x:c r="Q45" s="89"/>
      <x:c r="AF45" s="75"/>
    </x:row>
    <x:row r="46" spans="2:32" ht="15.5">
      <x:c r="B46" s="88"/>
      <x:c r="C46" s="89"/>
      <x:c r="D46" s="90"/>
      <x:c r="E46" s="90"/>
      <x:c r="F46" s="90"/>
      <x:c r="G46" s="91"/>
      <x:c r="H46" s="91"/>
      <x:c r="I46" s="91"/>
      <x:c r="J46" s="91"/>
      <x:c r="K46" s="89"/>
      <x:c r="L46" s="89"/>
      <x:c r="M46" s="89"/>
      <x:c r="N46" s="89"/>
      <x:c r="O46" s="89"/>
      <x:c r="P46" s="89"/>
      <x:c r="Q46" s="89"/>
      <x:c r="AF46" s="75"/>
    </x:row>
    <x:row r="47" spans="2:32" ht="15.5">
      <x:c r="B47" s="88"/>
      <x:c r="C47" s="89"/>
      <x:c r="D47" s="90"/>
      <x:c r="E47" s="90"/>
      <x:c r="F47" s="90"/>
      <x:c r="G47" s="91"/>
      <x:c r="H47" s="91"/>
      <x:c r="I47" s="91"/>
      <x:c r="J47" s="91"/>
      <x:c r="K47" s="89"/>
      <x:c r="L47" s="89"/>
      <x:c r="M47" s="89"/>
      <x:c r="N47" s="89"/>
      <x:c r="O47" s="89"/>
      <x:c r="P47" s="89"/>
      <x:c r="Q47" s="89"/>
      <x:c r="AF47" s="75"/>
    </x:row>
    <x:row r="48" spans="2:32" ht="15.5">
      <x:c r="B48" s="88"/>
      <x:c r="C48" s="89"/>
      <x:c r="D48" s="90"/>
      <x:c r="E48" s="90"/>
      <x:c r="F48" s="90"/>
      <x:c r="G48" s="91"/>
      <x:c r="H48" s="91"/>
      <x:c r="I48" s="91"/>
      <x:c r="J48" s="91"/>
      <x:c r="K48" s="89"/>
      <x:c r="L48" s="89"/>
      <x:c r="M48" s="89"/>
      <x:c r="N48" s="89"/>
      <x:c r="O48" s="89"/>
      <x:c r="P48" s="89"/>
      <x:c r="Q48" s="89"/>
      <x:c r="AF48" s="75"/>
    </x:row>
    <x:row r="49" spans="2:32" ht="15.5">
      <x:c r="B49" s="88"/>
      <x:c r="C49" s="89"/>
      <x:c r="D49" s="90"/>
      <x:c r="E49" s="90"/>
      <x:c r="F49" s="90"/>
      <x:c r="G49" s="91"/>
      <x:c r="H49" s="91"/>
      <x:c r="I49" s="91"/>
      <x:c r="J49" s="91"/>
      <x:c r="K49" s="89"/>
      <x:c r="L49" s="89"/>
      <x:c r="M49" s="89"/>
      <x:c r="N49" s="89"/>
      <x:c r="O49" s="89"/>
      <x:c r="P49" s="89"/>
      <x:c r="Q49" s="89"/>
      <x:c r="AF49" s="75"/>
    </x:row>
    <x:row r="50" spans="2:32" ht="15.5">
      <x:c r="B50" s="88"/>
      <x:c r="C50" s="89"/>
      <x:c r="D50" s="90"/>
      <x:c r="E50" s="90"/>
      <x:c r="F50" s="90"/>
      <x:c r="G50" s="91"/>
      <x:c r="H50" s="91"/>
      <x:c r="I50" s="91"/>
      <x:c r="J50" s="91"/>
      <x:c r="K50" s="89"/>
      <x:c r="L50" s="89"/>
      <x:c r="M50" s="89"/>
      <x:c r="N50" s="89"/>
      <x:c r="O50" s="89"/>
      <x:c r="P50" s="89"/>
      <x:c r="Q50" s="89"/>
      <x:c r="AF50" s="75"/>
    </x:row>
    <x:row r="51" spans="2:32" ht="15.5">
      <x:c r="B51" s="88"/>
      <x:c r="C51" s="89"/>
      <x:c r="D51" s="90"/>
      <x:c r="E51" s="90"/>
      <x:c r="F51" s="90"/>
      <x:c r="G51" s="91"/>
      <x:c r="H51" s="91"/>
      <x:c r="I51" s="91"/>
      <x:c r="J51" s="91"/>
      <x:c r="K51" s="89"/>
      <x:c r="L51" s="89"/>
      <x:c r="M51" s="89"/>
      <x:c r="N51" s="89"/>
      <x:c r="O51" s="89"/>
      <x:c r="P51" s="89"/>
      <x:c r="Q51" s="89"/>
      <x:c r="AF51" s="75"/>
    </x:row>
    <x:row r="52" spans="2:32" ht="15.5">
      <x:c r="B52" s="88"/>
      <x:c r="C52" s="89"/>
      <x:c r="D52" s="90"/>
      <x:c r="E52" s="90"/>
      <x:c r="F52" s="90"/>
      <x:c r="G52" s="91"/>
      <x:c r="H52" s="91"/>
      <x:c r="I52" s="91"/>
      <x:c r="J52" s="91"/>
      <x:c r="K52" s="89"/>
      <x:c r="L52" s="89"/>
      <x:c r="M52" s="89"/>
      <x:c r="N52" s="89"/>
      <x:c r="O52" s="89"/>
      <x:c r="P52" s="89"/>
      <x:c r="Q52" s="89"/>
      <x:c r="AF52" s="75"/>
    </x:row>
    <x:row r="53" spans="2:32" ht="15.5">
      <x:c r="B53" s="88"/>
      <x:c r="C53" s="89"/>
      <x:c r="D53" s="90"/>
      <x:c r="E53" s="90"/>
      <x:c r="F53" s="90"/>
      <x:c r="G53" s="91"/>
      <x:c r="H53" s="91"/>
      <x:c r="I53" s="91"/>
      <x:c r="J53" s="91"/>
      <x:c r="K53" s="89"/>
      <x:c r="L53" s="89"/>
      <x:c r="M53" s="89"/>
      <x:c r="N53" s="89"/>
      <x:c r="O53" s="89"/>
      <x:c r="P53" s="89"/>
      <x:c r="Q53" s="89"/>
      <x:c r="AF53" s="75"/>
    </x:row>
    <x:row r="54" spans="2:32" ht="15.5">
      <x:c r="B54" s="88"/>
      <x:c r="C54" s="89"/>
      <x:c r="D54" s="90"/>
      <x:c r="E54" s="90"/>
      <x:c r="F54" s="90"/>
      <x:c r="G54" s="91"/>
      <x:c r="H54" s="91"/>
      <x:c r="I54" s="91"/>
      <x:c r="J54" s="91"/>
      <x:c r="K54" s="89"/>
      <x:c r="L54" s="89"/>
      <x:c r="M54" s="89"/>
      <x:c r="N54" s="89"/>
      <x:c r="O54" s="89"/>
      <x:c r="P54" s="89"/>
      <x:c r="Q54" s="89"/>
      <x:c r="AF54" s="75"/>
    </x:row>
    <x:row r="55" spans="2:32" ht="15.5">
      <x:c r="B55" s="88"/>
      <x:c r="C55" s="89"/>
      <x:c r="D55" s="90"/>
      <x:c r="E55" s="90"/>
      <x:c r="F55" s="90"/>
      <x:c r="G55" s="91"/>
      <x:c r="H55" s="91"/>
      <x:c r="I55" s="91"/>
      <x:c r="J55" s="91"/>
      <x:c r="K55" s="89"/>
      <x:c r="L55" s="89"/>
      <x:c r="M55" s="89"/>
      <x:c r="N55" s="89"/>
      <x:c r="O55" s="89"/>
      <x:c r="P55" s="89"/>
      <x:c r="Q55" s="89"/>
      <x:c r="AF55" s="75"/>
    </x:row>
    <x:row r="56" spans="2:32" ht="15.5">
      <x:c r="B56" s="88"/>
      <x:c r="C56" s="89"/>
      <x:c r="D56" s="90"/>
      <x:c r="E56" s="90"/>
      <x:c r="F56" s="90"/>
      <x:c r="G56" s="91"/>
      <x:c r="H56" s="91"/>
      <x:c r="I56" s="91"/>
      <x:c r="J56" s="91"/>
      <x:c r="K56" s="89"/>
      <x:c r="L56" s="89"/>
      <x:c r="M56" s="89"/>
      <x:c r="N56" s="89"/>
      <x:c r="O56" s="89"/>
      <x:c r="P56" s="89"/>
      <x:c r="Q56" s="89"/>
      <x:c r="AF56" s="75"/>
    </x:row>
    <x:row r="57" spans="2:32" ht="15.5">
      <x:c r="B57" s="88"/>
      <x:c r="C57" s="89"/>
      <x:c r="D57" s="90"/>
      <x:c r="E57" s="90"/>
      <x:c r="F57" s="90"/>
      <x:c r="G57" s="91"/>
      <x:c r="H57" s="91"/>
      <x:c r="I57" s="91"/>
      <x:c r="J57" s="91"/>
      <x:c r="K57" s="89"/>
      <x:c r="L57" s="89"/>
      <x:c r="M57" s="89"/>
      <x:c r="N57" s="89"/>
      <x:c r="O57" s="89"/>
      <x:c r="P57" s="89"/>
      <x:c r="Q57" s="89"/>
      <x:c r="AF57" s="75"/>
    </x:row>
    <x:row r="58" spans="2:32" ht="15.5">
      <x:c r="B58" s="88"/>
      <x:c r="C58" s="89"/>
      <x:c r="D58" s="90"/>
      <x:c r="E58" s="90"/>
      <x:c r="F58" s="90"/>
      <x:c r="G58" s="91"/>
      <x:c r="H58" s="91"/>
      <x:c r="I58" s="91"/>
      <x:c r="J58" s="91"/>
      <x:c r="K58" s="89"/>
      <x:c r="L58" s="89"/>
      <x:c r="M58" s="89"/>
      <x:c r="N58" s="89"/>
      <x:c r="O58" s="89"/>
      <x:c r="P58" s="89"/>
      <x:c r="Q58" s="89"/>
      <x:c r="AF58" s="75"/>
    </x:row>
    <x:row r="59" spans="2:32" ht="15.5">
      <x:c r="B59" s="88"/>
      <x:c r="C59" s="89"/>
      <x:c r="D59" s="90"/>
      <x:c r="E59" s="90"/>
      <x:c r="F59" s="90"/>
      <x:c r="G59" s="91"/>
      <x:c r="H59" s="91"/>
      <x:c r="I59" s="91"/>
      <x:c r="J59" s="91"/>
      <x:c r="K59" s="89"/>
      <x:c r="L59" s="89"/>
      <x:c r="M59" s="89"/>
      <x:c r="N59" s="89"/>
      <x:c r="O59" s="89"/>
      <x:c r="P59" s="89"/>
      <x:c r="Q59" s="89"/>
      <x:c r="AF59" s="75"/>
    </x:row>
    <x:row r="60" spans="2:32" ht="15.5">
      <x:c r="B60" s="88"/>
      <x:c r="C60" s="89"/>
      <x:c r="D60" s="90"/>
      <x:c r="E60" s="90"/>
      <x:c r="F60" s="90"/>
      <x:c r="G60" s="91"/>
      <x:c r="H60" s="91"/>
      <x:c r="I60" s="91"/>
      <x:c r="J60" s="91"/>
      <x:c r="K60" s="89"/>
      <x:c r="L60" s="89"/>
      <x:c r="M60" s="89"/>
      <x:c r="N60" s="89"/>
      <x:c r="O60" s="89"/>
      <x:c r="P60" s="89"/>
      <x:c r="Q60" s="89"/>
      <x:c r="AF60" s="75"/>
    </x:row>
    <x:row r="61" spans="2:32" ht="15.5">
      <x:c r="B61" s="88"/>
      <x:c r="C61" s="89"/>
      <x:c r="D61" s="90"/>
      <x:c r="E61" s="90"/>
      <x:c r="F61" s="90"/>
      <x:c r="G61" s="91"/>
      <x:c r="H61" s="91"/>
      <x:c r="I61" s="91"/>
      <x:c r="J61" s="91"/>
      <x:c r="K61" s="89"/>
      <x:c r="L61" s="89"/>
      <x:c r="M61" s="89"/>
      <x:c r="N61" s="89"/>
      <x:c r="O61" s="89"/>
      <x:c r="P61" s="89"/>
      <x:c r="Q61" s="89"/>
      <x:c r="AF61" s="75"/>
    </x:row>
    <x:row r="62" spans="2:32" ht="15.5">
      <x:c r="B62" s="88"/>
      <x:c r="C62" s="89"/>
      <x:c r="D62" s="90"/>
      <x:c r="E62" s="90"/>
      <x:c r="F62" s="90"/>
      <x:c r="G62" s="91"/>
      <x:c r="H62" s="91"/>
      <x:c r="I62" s="91"/>
      <x:c r="J62" s="91"/>
      <x:c r="K62" s="89"/>
      <x:c r="L62" s="89"/>
      <x:c r="M62" s="89"/>
      <x:c r="N62" s="89"/>
      <x:c r="O62" s="89"/>
      <x:c r="P62" s="89"/>
      <x:c r="Q62" s="89"/>
      <x:c r="AF62" s="75"/>
    </x:row>
    <x:row r="63" spans="2:32" ht="15.5">
      <x:c r="B63" s="88"/>
      <x:c r="C63" s="89"/>
      <x:c r="D63" s="90"/>
      <x:c r="E63" s="90"/>
      <x:c r="F63" s="90"/>
      <x:c r="G63" s="91"/>
      <x:c r="H63" s="91"/>
      <x:c r="I63" s="91"/>
      <x:c r="J63" s="91"/>
      <x:c r="K63" s="89"/>
      <x:c r="L63" s="89"/>
      <x:c r="M63" s="89"/>
      <x:c r="N63" s="89"/>
      <x:c r="O63" s="89"/>
      <x:c r="P63" s="89"/>
      <x:c r="Q63" s="89"/>
      <x:c r="AF63" s="75"/>
    </x:row>
    <x:row r="64" spans="2:32" ht="15.5">
      <x:c r="B64" s="88"/>
      <x:c r="C64" s="89"/>
      <x:c r="D64" s="90"/>
      <x:c r="E64" s="90"/>
      <x:c r="F64" s="90"/>
      <x:c r="G64" s="91"/>
      <x:c r="H64" s="91"/>
      <x:c r="I64" s="91"/>
      <x:c r="J64" s="91"/>
      <x:c r="K64" s="89"/>
      <x:c r="L64" s="89"/>
      <x:c r="M64" s="89"/>
      <x:c r="N64" s="89"/>
      <x:c r="O64" s="89"/>
      <x:c r="P64" s="89"/>
      <x:c r="Q64" s="89"/>
      <x:c r="AF64" s="75"/>
    </x:row>
    <x:row r="65" spans="2:32" ht="15.5">
      <x:c r="B65" s="88"/>
      <x:c r="C65" s="89"/>
      <x:c r="D65" s="90"/>
      <x:c r="E65" s="90"/>
      <x:c r="F65" s="90"/>
      <x:c r="G65" s="91"/>
      <x:c r="H65" s="91"/>
      <x:c r="I65" s="91"/>
      <x:c r="J65" s="91"/>
      <x:c r="K65" s="89"/>
      <x:c r="L65" s="89"/>
      <x:c r="M65" s="89"/>
      <x:c r="N65" s="89"/>
      <x:c r="O65" s="89"/>
      <x:c r="P65" s="89"/>
      <x:c r="Q65" s="89"/>
      <x:c r="AF65" s="75"/>
    </x:row>
    <x:row r="66" spans="2:32" ht="15.5">
      <x:c r="B66" s="88"/>
      <x:c r="C66" s="89"/>
      <x:c r="D66" s="90"/>
      <x:c r="E66" s="90"/>
      <x:c r="F66" s="90"/>
      <x:c r="G66" s="91"/>
      <x:c r="H66" s="91"/>
      <x:c r="I66" s="91"/>
      <x:c r="J66" s="91"/>
      <x:c r="K66" s="89"/>
      <x:c r="L66" s="89"/>
      <x:c r="M66" s="89"/>
      <x:c r="N66" s="89"/>
      <x:c r="O66" s="89"/>
      <x:c r="P66" s="89"/>
      <x:c r="Q66" s="89"/>
      <x:c r="AF66" s="75"/>
    </x:row>
    <x:row r="67" spans="2:32" ht="15.5">
      <x:c r="B67" s="88"/>
      <x:c r="C67" s="89"/>
      <x:c r="D67" s="90"/>
      <x:c r="E67" s="90"/>
      <x:c r="F67" s="90"/>
      <x:c r="G67" s="91"/>
      <x:c r="H67" s="91"/>
      <x:c r="I67" s="91"/>
      <x:c r="J67" s="91"/>
      <x:c r="K67" s="89"/>
      <x:c r="L67" s="89"/>
      <x:c r="M67" s="89"/>
      <x:c r="N67" s="89"/>
      <x:c r="O67" s="89"/>
      <x:c r="P67" s="89"/>
      <x:c r="Q67" s="89"/>
      <x:c r="AF67" s="75"/>
    </x:row>
    <x:row r="68" spans="2:32" ht="15.5">
      <x:c r="B68" s="88"/>
      <x:c r="C68" s="89"/>
      <x:c r="D68" s="90"/>
      <x:c r="E68" s="90"/>
      <x:c r="F68" s="90"/>
      <x:c r="G68" s="91"/>
      <x:c r="H68" s="91"/>
      <x:c r="I68" s="91"/>
      <x:c r="J68" s="91"/>
      <x:c r="K68" s="89"/>
      <x:c r="L68" s="89"/>
      <x:c r="M68" s="89"/>
      <x:c r="N68" s="89"/>
      <x:c r="O68" s="89"/>
      <x:c r="P68" s="89"/>
      <x:c r="Q68" s="89"/>
      <x:c r="AF68" s="75"/>
    </x:row>
    <x:row r="69" spans="2:32" ht="15.5">
      <x:c r="B69" s="88"/>
      <x:c r="C69" s="89"/>
      <x:c r="D69" s="90"/>
      <x:c r="E69" s="90"/>
      <x:c r="F69" s="90"/>
      <x:c r="G69" s="91"/>
      <x:c r="H69" s="91"/>
      <x:c r="I69" s="91"/>
      <x:c r="J69" s="91"/>
      <x:c r="K69" s="89"/>
      <x:c r="L69" s="89"/>
      <x:c r="M69" s="89"/>
      <x:c r="N69" s="89"/>
      <x:c r="O69" s="89"/>
      <x:c r="P69" s="89"/>
      <x:c r="Q69" s="89"/>
      <x:c r="AF69" s="75"/>
    </x:row>
    <x:row r="70" spans="2:32" ht="15.5">
      <x:c r="B70" s="88"/>
      <x:c r="C70" s="89"/>
      <x:c r="D70" s="90"/>
      <x:c r="E70" s="90"/>
      <x:c r="F70" s="90"/>
      <x:c r="G70" s="91"/>
      <x:c r="H70" s="91"/>
      <x:c r="I70" s="91"/>
      <x:c r="J70" s="91"/>
      <x:c r="K70" s="89"/>
      <x:c r="L70" s="89"/>
      <x:c r="M70" s="89"/>
      <x:c r="N70" s="89"/>
      <x:c r="O70" s="89"/>
      <x:c r="P70" s="89"/>
      <x:c r="Q70" s="89"/>
      <x:c r="AF70" s="75"/>
    </x:row>
    <x:row r="71" spans="2:32" ht="15.5">
      <x:c r="B71" s="88"/>
      <x:c r="C71" s="89"/>
      <x:c r="D71" s="90"/>
      <x:c r="E71" s="90"/>
      <x:c r="F71" s="90"/>
      <x:c r="G71" s="91"/>
      <x:c r="H71" s="91"/>
      <x:c r="I71" s="91"/>
      <x:c r="J71" s="91"/>
      <x:c r="K71" s="89"/>
      <x:c r="L71" s="89"/>
      <x:c r="M71" s="89"/>
      <x:c r="N71" s="89"/>
      <x:c r="O71" s="89"/>
      <x:c r="P71" s="89"/>
      <x:c r="Q71" s="89"/>
      <x:c r="AF71" s="75"/>
    </x:row>
    <x:row r="72" spans="2:32" ht="15.5">
      <x:c r="B72" s="88"/>
      <x:c r="C72" s="89"/>
      <x:c r="D72" s="90"/>
      <x:c r="E72" s="90"/>
      <x:c r="F72" s="90"/>
      <x:c r="G72" s="91"/>
      <x:c r="H72" s="91"/>
      <x:c r="I72" s="91"/>
      <x:c r="J72" s="91"/>
      <x:c r="K72" s="89"/>
      <x:c r="L72" s="89"/>
      <x:c r="M72" s="89"/>
      <x:c r="N72" s="89"/>
      <x:c r="O72" s="89"/>
      <x:c r="P72" s="89"/>
      <x:c r="Q72" s="89"/>
      <x:c r="AF72" s="75"/>
    </x:row>
    <x:row r="73" spans="2:32" ht="15.5">
      <x:c r="B73" s="88"/>
      <x:c r="C73" s="89"/>
      <x:c r="D73" s="90"/>
      <x:c r="E73" s="90"/>
      <x:c r="F73" s="90"/>
      <x:c r="G73" s="91"/>
      <x:c r="H73" s="91"/>
      <x:c r="I73" s="91"/>
      <x:c r="J73" s="91"/>
      <x:c r="K73" s="89"/>
      <x:c r="L73" s="89"/>
      <x:c r="M73" s="89"/>
      <x:c r="N73" s="89"/>
      <x:c r="O73" s="89"/>
      <x:c r="P73" s="89"/>
      <x:c r="Q73" s="89"/>
      <x:c r="AF73" s="75"/>
    </x:row>
    <x:row r="74" spans="2:32" ht="15.5">
      <x:c r="B74" s="88"/>
      <x:c r="C74" s="89"/>
      <x:c r="D74" s="90"/>
      <x:c r="E74" s="90"/>
      <x:c r="F74" s="90"/>
      <x:c r="G74" s="91"/>
      <x:c r="H74" s="91"/>
      <x:c r="I74" s="91"/>
      <x:c r="J74" s="91"/>
      <x:c r="K74" s="89"/>
      <x:c r="L74" s="89"/>
      <x:c r="M74" s="89"/>
      <x:c r="N74" s="89"/>
      <x:c r="O74" s="89"/>
      <x:c r="P74" s="89"/>
      <x:c r="Q74" s="89"/>
      <x:c r="AF74" s="75"/>
    </x:row>
    <x:row r="75" spans="2:32" ht="15.5">
      <x:c r="B75" s="88"/>
      <x:c r="C75" s="89"/>
      <x:c r="D75" s="90"/>
      <x:c r="E75" s="90"/>
      <x:c r="F75" s="90"/>
      <x:c r="G75" s="91"/>
      <x:c r="H75" s="91"/>
      <x:c r="I75" s="91"/>
      <x:c r="J75" s="91"/>
      <x:c r="K75" s="89"/>
      <x:c r="L75" s="89"/>
      <x:c r="M75" s="89"/>
      <x:c r="N75" s="89"/>
      <x:c r="O75" s="89"/>
      <x:c r="P75" s="89"/>
      <x:c r="Q75" s="89"/>
      <x:c r="AF75" s="75"/>
    </x:row>
    <x:row r="76" spans="2:32" ht="15.5">
      <x:c r="B76" s="88"/>
      <x:c r="C76" s="89"/>
      <x:c r="D76" s="90"/>
      <x:c r="E76" s="90"/>
      <x:c r="F76" s="90"/>
      <x:c r="G76" s="91"/>
      <x:c r="H76" s="91"/>
      <x:c r="I76" s="91"/>
      <x:c r="J76" s="91"/>
      <x:c r="K76" s="89"/>
      <x:c r="L76" s="89"/>
      <x:c r="M76" s="89"/>
      <x:c r="N76" s="89"/>
      <x:c r="O76" s="89"/>
      <x:c r="P76" s="89"/>
      <x:c r="Q76" s="89"/>
      <x:c r="AF76" s="75"/>
    </x:row>
    <x:row r="77" spans="2:32" ht="15.5">
      <x:c r="B77" s="88"/>
      <x:c r="C77" s="89"/>
      <x:c r="D77" s="90"/>
      <x:c r="E77" s="90"/>
      <x:c r="F77" s="90"/>
      <x:c r="G77" s="91"/>
      <x:c r="H77" s="91"/>
      <x:c r="I77" s="91"/>
      <x:c r="J77" s="91"/>
      <x:c r="K77" s="89"/>
      <x:c r="L77" s="89"/>
      <x:c r="M77" s="89"/>
      <x:c r="N77" s="89"/>
      <x:c r="O77" s="89"/>
      <x:c r="P77" s="89"/>
      <x:c r="Q77" s="89"/>
      <x:c r="AF77" s="75"/>
    </x:row>
    <x:row r="78" spans="2:32" ht="15.5">
      <x:c r="B78" s="88"/>
      <x:c r="C78" s="89"/>
      <x:c r="D78" s="90"/>
      <x:c r="E78" s="90"/>
      <x:c r="F78" s="90"/>
      <x:c r="G78" s="91"/>
      <x:c r="H78" s="91"/>
      <x:c r="I78" s="91"/>
      <x:c r="J78" s="91"/>
      <x:c r="K78" s="89"/>
      <x:c r="L78" s="89"/>
      <x:c r="M78" s="89"/>
      <x:c r="N78" s="89"/>
      <x:c r="O78" s="89"/>
      <x:c r="P78" s="89"/>
      <x:c r="Q78" s="89"/>
      <x:c r="AF78" s="75"/>
    </x:row>
    <x:row r="79" spans="2:32" ht="15.5">
      <x:c r="B79" s="88"/>
      <x:c r="C79" s="89"/>
      <x:c r="D79" s="90"/>
      <x:c r="E79" s="90"/>
      <x:c r="F79" s="90"/>
      <x:c r="G79" s="91"/>
      <x:c r="H79" s="91"/>
      <x:c r="I79" s="91"/>
      <x:c r="J79" s="91"/>
      <x:c r="K79" s="89"/>
      <x:c r="L79" s="89"/>
      <x:c r="M79" s="89"/>
      <x:c r="N79" s="89"/>
      <x:c r="O79" s="89"/>
      <x:c r="P79" s="89"/>
      <x:c r="Q79" s="89"/>
      <x:c r="AF79" s="75"/>
    </x:row>
    <x:row r="80" spans="2:32" ht="15.5">
      <x:c r="B80" s="88"/>
      <x:c r="C80" s="89"/>
      <x:c r="D80" s="90"/>
      <x:c r="E80" s="90"/>
      <x:c r="F80" s="90"/>
      <x:c r="G80" s="91"/>
      <x:c r="H80" s="91"/>
      <x:c r="I80" s="91"/>
      <x:c r="J80" s="91"/>
      <x:c r="K80" s="89"/>
      <x:c r="L80" s="89"/>
      <x:c r="M80" s="89"/>
      <x:c r="N80" s="89"/>
      <x:c r="O80" s="89"/>
      <x:c r="P80" s="89"/>
      <x:c r="Q80" s="89"/>
      <x:c r="AF80" s="75"/>
    </x:row>
    <x:row r="81" spans="2:32" ht="15.5">
      <x:c r="B81" s="88"/>
      <x:c r="C81" s="89"/>
      <x:c r="D81" s="90"/>
      <x:c r="E81" s="90"/>
      <x:c r="F81" s="90"/>
      <x:c r="G81" s="91"/>
      <x:c r="H81" s="91"/>
      <x:c r="I81" s="91"/>
      <x:c r="J81" s="91"/>
      <x:c r="K81" s="89"/>
      <x:c r="L81" s="89"/>
      <x:c r="M81" s="89"/>
      <x:c r="N81" s="89"/>
      <x:c r="O81" s="89"/>
      <x:c r="P81" s="89"/>
      <x:c r="Q81" s="89"/>
      <x:c r="AF81" s="75"/>
    </x:row>
    <x:row r="82" spans="2:32" ht="15.5">
      <x:c r="B82" s="88"/>
      <x:c r="C82" s="89"/>
      <x:c r="D82" s="90"/>
      <x:c r="E82" s="90"/>
      <x:c r="F82" s="90"/>
      <x:c r="G82" s="91"/>
      <x:c r="H82" s="91"/>
      <x:c r="I82" s="91"/>
      <x:c r="J82" s="91"/>
      <x:c r="K82" s="89"/>
      <x:c r="L82" s="89"/>
      <x:c r="M82" s="89"/>
      <x:c r="N82" s="89"/>
      <x:c r="O82" s="89"/>
      <x:c r="P82" s="89"/>
      <x:c r="Q82" s="89"/>
      <x:c r="AF82" s="75"/>
    </x:row>
    <x:row r="83" spans="2:32" ht="15.5">
      <x:c r="B83" s="88"/>
      <x:c r="C83" s="89"/>
      <x:c r="D83" s="90"/>
      <x:c r="E83" s="90"/>
      <x:c r="F83" s="90"/>
      <x:c r="G83" s="91"/>
      <x:c r="H83" s="91"/>
      <x:c r="I83" s="91"/>
      <x:c r="J83" s="91"/>
      <x:c r="K83" s="89"/>
      <x:c r="L83" s="89"/>
      <x:c r="M83" s="89"/>
      <x:c r="N83" s="89"/>
      <x:c r="O83" s="89"/>
      <x:c r="P83" s="89"/>
      <x:c r="Q83" s="89"/>
      <x:c r="AF83" s="75"/>
    </x:row>
    <x:row r="84" spans="2:32" ht="15.5">
      <x:c r="B84" s="88"/>
      <x:c r="C84" s="89"/>
      <x:c r="D84" s="90"/>
      <x:c r="E84" s="90"/>
      <x:c r="F84" s="90"/>
      <x:c r="G84" s="91"/>
      <x:c r="H84" s="91"/>
      <x:c r="I84" s="91"/>
      <x:c r="J84" s="91"/>
      <x:c r="K84" s="89"/>
      <x:c r="L84" s="89"/>
      <x:c r="M84" s="89"/>
      <x:c r="N84" s="89"/>
      <x:c r="O84" s="89"/>
      <x:c r="P84" s="89"/>
      <x:c r="Q84" s="89"/>
      <x:c r="AF84" s="75"/>
    </x:row>
    <x:row r="85" spans="2:32" ht="15.5">
      <x:c r="B85" s="88"/>
      <x:c r="C85" s="89"/>
      <x:c r="D85" s="90"/>
      <x:c r="E85" s="90"/>
      <x:c r="F85" s="90"/>
      <x:c r="G85" s="91"/>
      <x:c r="H85" s="91"/>
      <x:c r="I85" s="91"/>
      <x:c r="J85" s="91"/>
      <x:c r="K85" s="89"/>
      <x:c r="L85" s="89"/>
      <x:c r="M85" s="89"/>
      <x:c r="N85" s="89"/>
      <x:c r="O85" s="89"/>
      <x:c r="P85" s="89"/>
      <x:c r="Q85" s="89"/>
      <x:c r="AF85" s="75"/>
    </x:row>
    <x:row r="86" spans="2:32" ht="15.5">
      <x:c r="B86" s="88"/>
      <x:c r="C86" s="89"/>
      <x:c r="D86" s="90"/>
      <x:c r="E86" s="90"/>
      <x:c r="F86" s="90"/>
      <x:c r="G86" s="91"/>
      <x:c r="H86" s="91"/>
      <x:c r="I86" s="91"/>
      <x:c r="J86" s="91"/>
      <x:c r="K86" s="89"/>
      <x:c r="L86" s="89"/>
      <x:c r="M86" s="89"/>
      <x:c r="N86" s="89"/>
      <x:c r="O86" s="89"/>
      <x:c r="P86" s="89"/>
      <x:c r="Q86" s="89"/>
      <x:c r="AF86" s="75"/>
    </x:row>
    <x:row r="87" spans="2:32" ht="15.5">
      <x:c r="B87" s="88"/>
      <x:c r="C87" s="89"/>
      <x:c r="D87" s="90"/>
      <x:c r="E87" s="90"/>
      <x:c r="F87" s="90"/>
      <x:c r="G87" s="91"/>
      <x:c r="H87" s="91"/>
      <x:c r="I87" s="91"/>
      <x:c r="J87" s="91"/>
      <x:c r="K87" s="89"/>
      <x:c r="L87" s="89"/>
      <x:c r="M87" s="89"/>
      <x:c r="N87" s="89"/>
      <x:c r="O87" s="89"/>
      <x:c r="P87" s="89"/>
      <x:c r="Q87" s="89"/>
      <x:c r="AF87" s="75"/>
    </x:row>
    <x:row r="88" spans="2:32" ht="15.5">
      <x:c r="B88" s="88"/>
      <x:c r="C88" s="89"/>
      <x:c r="D88" s="90"/>
      <x:c r="E88" s="90"/>
      <x:c r="F88" s="90"/>
      <x:c r="G88" s="91"/>
      <x:c r="H88" s="91"/>
      <x:c r="I88" s="91"/>
      <x:c r="J88" s="91"/>
      <x:c r="K88" s="89"/>
      <x:c r="L88" s="89"/>
      <x:c r="M88" s="89"/>
      <x:c r="N88" s="89"/>
      <x:c r="O88" s="89"/>
      <x:c r="P88" s="89"/>
      <x:c r="Q88" s="89"/>
      <x:c r="AF88" s="75"/>
    </x:row>
    <x:row r="89" spans="2:32" ht="15.5">
      <x:c r="B89" s="88"/>
      <x:c r="C89" s="89"/>
      <x:c r="D89" s="90"/>
      <x:c r="E89" s="90"/>
      <x:c r="F89" s="90"/>
      <x:c r="G89" s="91"/>
      <x:c r="H89" s="91"/>
      <x:c r="I89" s="91"/>
      <x:c r="J89" s="91"/>
      <x:c r="K89" s="89"/>
      <x:c r="L89" s="89"/>
      <x:c r="M89" s="89"/>
      <x:c r="N89" s="89"/>
      <x:c r="O89" s="89"/>
      <x:c r="P89" s="89"/>
      <x:c r="Q89" s="89"/>
      <x:c r="AF89" s="75"/>
    </x:row>
    <x:row r="90" spans="2:32" ht="15.5">
      <x:c r="B90" s="88"/>
      <x:c r="C90" s="89"/>
      <x:c r="D90" s="90"/>
      <x:c r="E90" s="90"/>
      <x:c r="F90" s="90"/>
      <x:c r="G90" s="91"/>
      <x:c r="H90" s="91"/>
      <x:c r="I90" s="91"/>
      <x:c r="J90" s="91"/>
      <x:c r="K90" s="89"/>
      <x:c r="L90" s="89"/>
      <x:c r="M90" s="89"/>
      <x:c r="N90" s="89"/>
      <x:c r="O90" s="89"/>
      <x:c r="P90" s="89"/>
      <x:c r="Q90" s="89"/>
      <x:c r="AF90" s="75"/>
    </x:row>
    <x:row r="91" spans="2:32" ht="15.5">
      <x:c r="B91" s="88"/>
      <x:c r="C91" s="89"/>
      <x:c r="D91" s="90"/>
      <x:c r="E91" s="90"/>
      <x:c r="F91" s="90"/>
      <x:c r="G91" s="91"/>
      <x:c r="H91" s="91"/>
      <x:c r="I91" s="91"/>
      <x:c r="J91" s="91"/>
      <x:c r="K91" s="89"/>
      <x:c r="L91" s="89"/>
      <x:c r="M91" s="89"/>
      <x:c r="N91" s="89"/>
      <x:c r="O91" s="89"/>
      <x:c r="P91" s="89"/>
      <x:c r="Q91" s="89"/>
      <x:c r="AF91" s="75"/>
    </x:row>
    <x:row r="92" spans="2:32" ht="15.5">
      <x:c r="B92" s="88"/>
      <x:c r="C92" s="89"/>
      <x:c r="D92" s="90"/>
      <x:c r="E92" s="90"/>
      <x:c r="F92" s="90"/>
      <x:c r="G92" s="91"/>
      <x:c r="H92" s="91"/>
      <x:c r="I92" s="91"/>
      <x:c r="J92" s="91"/>
      <x:c r="K92" s="89"/>
      <x:c r="L92" s="89"/>
      <x:c r="M92" s="89"/>
      <x:c r="N92" s="89"/>
      <x:c r="O92" s="89"/>
      <x:c r="P92" s="89"/>
      <x:c r="Q92" s="89"/>
      <x:c r="AF92" s="75"/>
    </x:row>
    <x:row r="93" spans="2:32" ht="15.5">
      <x:c r="B93" s="88"/>
      <x:c r="C93" s="89"/>
      <x:c r="D93" s="90"/>
      <x:c r="E93" s="90"/>
      <x:c r="F93" s="90"/>
      <x:c r="G93" s="91"/>
      <x:c r="H93" s="91"/>
      <x:c r="I93" s="91"/>
      <x:c r="J93" s="91"/>
      <x:c r="K93" s="89"/>
      <x:c r="L93" s="89"/>
      <x:c r="M93" s="89"/>
      <x:c r="N93" s="89"/>
      <x:c r="O93" s="89"/>
      <x:c r="P93" s="89"/>
      <x:c r="Q93" s="89"/>
      <x:c r="AF93" s="75"/>
    </x:row>
    <x:row r="94" spans="2:32" ht="15.5">
      <x:c r="B94" s="88"/>
      <x:c r="C94" s="89"/>
      <x:c r="D94" s="90"/>
      <x:c r="E94" s="90"/>
      <x:c r="F94" s="90"/>
      <x:c r="G94" s="91"/>
      <x:c r="H94" s="91"/>
      <x:c r="I94" s="91"/>
      <x:c r="J94" s="91"/>
      <x:c r="K94" s="89"/>
      <x:c r="L94" s="89"/>
      <x:c r="M94" s="89"/>
      <x:c r="N94" s="89"/>
      <x:c r="O94" s="89"/>
      <x:c r="P94" s="89"/>
      <x:c r="Q94" s="89"/>
      <x:c r="AF94" s="75"/>
    </x:row>
    <x:row r="95" spans="2:32" ht="15.5">
      <x:c r="B95" s="88"/>
      <x:c r="C95" s="89"/>
      <x:c r="D95" s="90"/>
      <x:c r="E95" s="90"/>
      <x:c r="F95" s="90"/>
      <x:c r="G95" s="91"/>
      <x:c r="H95" s="91"/>
      <x:c r="I95" s="91"/>
      <x:c r="J95" s="91"/>
      <x:c r="K95" s="89"/>
      <x:c r="L95" s="89"/>
      <x:c r="M95" s="89"/>
      <x:c r="N95" s="89"/>
      <x:c r="O95" s="89"/>
      <x:c r="P95" s="89"/>
      <x:c r="Q95" s="89"/>
      <x:c r="AF95" s="75"/>
    </x:row>
    <x:row r="96" spans="2:32" ht="15.5">
      <x:c r="B96" s="88"/>
      <x:c r="C96" s="89"/>
      <x:c r="D96" s="90"/>
      <x:c r="E96" s="90"/>
      <x:c r="F96" s="90"/>
      <x:c r="G96" s="91"/>
      <x:c r="H96" s="91"/>
      <x:c r="I96" s="91"/>
      <x:c r="J96" s="91"/>
      <x:c r="K96" s="89"/>
      <x:c r="L96" s="89"/>
      <x:c r="M96" s="89"/>
      <x:c r="N96" s="89"/>
      <x:c r="O96" s="89"/>
      <x:c r="P96" s="89"/>
      <x:c r="Q96" s="89"/>
      <x:c r="AF96" s="75"/>
    </x:row>
    <x:row r="97" spans="2:32" ht="15.5">
      <x:c r="B97" s="88"/>
      <x:c r="C97" s="89"/>
      <x:c r="D97" s="90"/>
      <x:c r="E97" s="90"/>
      <x:c r="F97" s="90"/>
      <x:c r="G97" s="91"/>
      <x:c r="H97" s="91"/>
      <x:c r="I97" s="91"/>
      <x:c r="J97" s="91"/>
      <x:c r="K97" s="89"/>
      <x:c r="L97" s="89"/>
      <x:c r="M97" s="89"/>
      <x:c r="N97" s="89"/>
      <x:c r="O97" s="89"/>
      <x:c r="P97" s="89"/>
      <x:c r="Q97" s="89"/>
      <x:c r="AF97" s="75"/>
    </x:row>
    <x:row r="98" spans="2:32" ht="15.5">
      <x:c r="B98" s="88"/>
      <x:c r="C98" s="89"/>
      <x:c r="D98" s="90"/>
      <x:c r="E98" s="90"/>
      <x:c r="F98" s="90"/>
      <x:c r="G98" s="91"/>
      <x:c r="H98" s="91"/>
      <x:c r="I98" s="91"/>
      <x:c r="J98" s="91"/>
      <x:c r="K98" s="89"/>
      <x:c r="L98" s="89"/>
      <x:c r="M98" s="89"/>
      <x:c r="N98" s="89"/>
      <x:c r="O98" s="89"/>
      <x:c r="P98" s="89"/>
      <x:c r="Q98" s="89"/>
      <x:c r="AF98" s="75"/>
    </x:row>
    <x:row r="99" spans="2:32" ht="15.5">
      <x:c r="B99" s="88"/>
      <x:c r="C99" s="89"/>
      <x:c r="D99" s="90"/>
      <x:c r="E99" s="90"/>
      <x:c r="F99" s="90"/>
      <x:c r="G99" s="91"/>
      <x:c r="H99" s="91"/>
      <x:c r="I99" s="91"/>
      <x:c r="J99" s="91"/>
      <x:c r="K99" s="89"/>
      <x:c r="L99" s="89"/>
      <x:c r="M99" s="89"/>
      <x:c r="N99" s="89"/>
      <x:c r="O99" s="89"/>
      <x:c r="P99" s="89"/>
      <x:c r="Q99" s="89"/>
      <x:c r="AF99" s="75"/>
    </x:row>
    <x:row r="100" spans="2:32" ht="15.5">
      <x:c r="B100" s="88"/>
      <x:c r="C100" s="89"/>
      <x:c r="D100" s="90"/>
      <x:c r="E100" s="90"/>
      <x:c r="F100" s="90"/>
      <x:c r="G100" s="91"/>
      <x:c r="H100" s="91"/>
      <x:c r="I100" s="91"/>
      <x:c r="J100" s="91"/>
      <x:c r="K100" s="89"/>
      <x:c r="L100" s="89"/>
      <x:c r="M100" s="89"/>
      <x:c r="N100" s="89"/>
      <x:c r="O100" s="89"/>
      <x:c r="P100" s="89"/>
      <x:c r="Q100" s="89"/>
      <x:c r="AF100" s="75"/>
    </x:row>
    <x:row r="101" spans="2:32" ht="15.5">
      <x:c r="B101" s="88"/>
      <x:c r="C101" s="89"/>
      <x:c r="D101" s="90"/>
      <x:c r="E101" s="90"/>
      <x:c r="F101" s="90"/>
      <x:c r="G101" s="91"/>
      <x:c r="H101" s="91"/>
      <x:c r="I101" s="91"/>
      <x:c r="J101" s="91"/>
      <x:c r="K101" s="89"/>
      <x:c r="L101" s="89"/>
      <x:c r="M101" s="89"/>
      <x:c r="N101" s="89"/>
      <x:c r="O101" s="89"/>
      <x:c r="P101" s="89"/>
      <x:c r="Q101" s="89"/>
      <x:c r="AF101" s="75"/>
    </x:row>
    <x:row r="102" spans="2:32" ht="15.5">
      <x:c r="B102" s="88"/>
      <x:c r="C102" s="89"/>
      <x:c r="D102" s="90"/>
      <x:c r="E102" s="90"/>
      <x:c r="F102" s="90"/>
      <x:c r="G102" s="91"/>
      <x:c r="H102" s="91"/>
      <x:c r="I102" s="91"/>
      <x:c r="J102" s="91"/>
      <x:c r="K102" s="89"/>
      <x:c r="L102" s="89"/>
      <x:c r="M102" s="89"/>
      <x:c r="N102" s="89"/>
      <x:c r="O102" s="89"/>
      <x:c r="P102" s="89"/>
      <x:c r="Q102" s="89"/>
      <x:c r="AF102" s="75"/>
    </x:row>
    <x:row r="103" spans="2:32" ht="15.5">
      <x:c r="B103" s="88"/>
      <x:c r="C103" s="89"/>
      <x:c r="D103" s="90"/>
      <x:c r="E103" s="90"/>
      <x:c r="F103" s="90"/>
      <x:c r="G103" s="91"/>
      <x:c r="H103" s="91"/>
      <x:c r="I103" s="91"/>
      <x:c r="J103" s="91"/>
      <x:c r="K103" s="89"/>
      <x:c r="L103" s="89"/>
      <x:c r="M103" s="89"/>
      <x:c r="N103" s="89"/>
      <x:c r="O103" s="89"/>
      <x:c r="P103" s="89"/>
      <x:c r="Q103" s="89"/>
      <x:c r="AF103" s="75"/>
    </x:row>
    <x:row r="104" spans="2:32" ht="15.5">
      <x:c r="B104" s="88"/>
      <x:c r="C104" s="89"/>
      <x:c r="D104" s="90"/>
      <x:c r="E104" s="90"/>
      <x:c r="F104" s="90"/>
      <x:c r="G104" s="91"/>
      <x:c r="H104" s="91"/>
      <x:c r="I104" s="91"/>
      <x:c r="J104" s="91"/>
      <x:c r="K104" s="89"/>
      <x:c r="L104" s="89"/>
      <x:c r="M104" s="89"/>
      <x:c r="N104" s="89"/>
      <x:c r="O104" s="89"/>
      <x:c r="P104" s="89"/>
      <x:c r="Q104" s="89"/>
      <x:c r="AF104" s="75"/>
    </x:row>
    <x:row r="105" spans="2:32" ht="15.5">
      <x:c r="B105" s="88"/>
      <x:c r="C105" s="89"/>
      <x:c r="D105" s="90"/>
      <x:c r="E105" s="90"/>
      <x:c r="F105" s="90"/>
      <x:c r="G105" s="91"/>
      <x:c r="H105" s="91"/>
      <x:c r="I105" s="91"/>
      <x:c r="J105" s="91"/>
      <x:c r="K105" s="89"/>
      <x:c r="L105" s="89"/>
      <x:c r="M105" s="89"/>
      <x:c r="N105" s="89"/>
      <x:c r="O105" s="89"/>
      <x:c r="P105" s="89"/>
      <x:c r="Q105" s="89"/>
      <x:c r="AF105" s="75"/>
    </x:row>
    <x:row r="106" spans="2:32" ht="15.5">
      <x:c r="B106" s="88"/>
      <x:c r="C106" s="89"/>
      <x:c r="D106" s="90"/>
      <x:c r="E106" s="90"/>
      <x:c r="F106" s="90"/>
      <x:c r="G106" s="91"/>
      <x:c r="H106" s="91"/>
      <x:c r="I106" s="91"/>
      <x:c r="J106" s="91"/>
      <x:c r="K106" s="89"/>
      <x:c r="L106" s="89"/>
      <x:c r="M106" s="89"/>
      <x:c r="N106" s="89"/>
      <x:c r="O106" s="89"/>
      <x:c r="P106" s="89"/>
      <x:c r="Q106" s="89"/>
      <x:c r="AF106" s="75"/>
    </x:row>
    <x:row r="107" spans="2:32" ht="15.5">
      <x:c r="B107" s="88"/>
      <x:c r="C107" s="89"/>
      <x:c r="D107" s="90"/>
      <x:c r="E107" s="90"/>
      <x:c r="F107" s="90"/>
      <x:c r="G107" s="91"/>
      <x:c r="H107" s="91"/>
      <x:c r="I107" s="91"/>
      <x:c r="J107" s="91"/>
      <x:c r="K107" s="89"/>
      <x:c r="L107" s="89"/>
      <x:c r="M107" s="89"/>
      <x:c r="N107" s="89"/>
      <x:c r="O107" s="89"/>
      <x:c r="P107" s="89"/>
      <x:c r="Q107" s="89"/>
      <x:c r="AF107" s="75"/>
    </x:row>
    <x:row r="108" spans="2:32" ht="15.5">
      <x:c r="B108" s="88"/>
      <x:c r="C108" s="89"/>
      <x:c r="D108" s="89"/>
      <x:c r="E108" s="89"/>
      <x:c r="F108" s="89"/>
      <x:c r="G108" s="89"/>
      <x:c r="H108" s="89"/>
      <x:c r="I108" s="89"/>
      <x:c r="J108" s="89"/>
      <x:c r="K108" s="89"/>
      <x:c r="L108" s="89"/>
      <x:c r="M108" s="89"/>
      <x:c r="N108" s="89"/>
      <x:c r="O108" s="90"/>
      <x:c r="P108" s="90"/>
      <x:c r="Q108" s="90"/>
      <x:c r="AF108" s="75"/>
    </x:row>
    <x:row r="109" spans="2:32" ht="15.5">
      <x:c r="B109" s="88"/>
      <x:c r="C109" s="89"/>
      <x:c r="D109" s="89"/>
      <x:c r="E109" s="89"/>
      <x:c r="F109" s="89"/>
      <x:c r="G109" s="89"/>
      <x:c r="H109" s="89"/>
      <x:c r="I109" s="89"/>
      <x:c r="J109" s="89"/>
      <x:c r="K109" s="89"/>
      <x:c r="L109" s="89"/>
      <x:c r="M109" s="89"/>
      <x:c r="N109" s="89"/>
      <x:c r="O109" s="90"/>
      <x:c r="P109" s="90"/>
      <x:c r="Q109" s="90"/>
      <x:c r="AF109" s="75"/>
    </x:row>
    <x:row r="110" spans="2:32" ht="15.5">
      <x:c r="B110" s="88"/>
      <x:c r="C110" s="89"/>
      <x:c r="D110" s="89"/>
      <x:c r="E110" s="89"/>
      <x:c r="F110" s="89"/>
      <x:c r="G110" s="89"/>
      <x:c r="H110" s="89"/>
      <x:c r="I110" s="89"/>
      <x:c r="J110" s="89"/>
      <x:c r="K110" s="89"/>
      <x:c r="L110" s="89"/>
      <x:c r="M110" s="89"/>
      <x:c r="N110" s="89"/>
      <x:c r="O110" s="90"/>
      <x:c r="P110" s="90"/>
      <x:c r="Q110" s="90"/>
      <x:c r="AF110" s="75"/>
    </x:row>
    <x:row r="111" spans="2:32" ht="15.5">
      <x:c r="B111" s="88"/>
      <x:c r="C111" s="89"/>
      <x:c r="D111" s="89"/>
      <x:c r="E111" s="89"/>
      <x:c r="F111" s="89"/>
      <x:c r="G111" s="89"/>
      <x:c r="H111" s="89"/>
      <x:c r="I111" s="89"/>
      <x:c r="J111" s="89"/>
      <x:c r="K111" s="89"/>
      <x:c r="L111" s="89"/>
      <x:c r="M111" s="89"/>
      <x:c r="N111" s="89"/>
      <x:c r="O111" s="90"/>
      <x:c r="P111" s="90"/>
      <x:c r="Q111" s="90"/>
      <x:c r="AF111" s="75"/>
    </x:row>
    <x:row r="112" spans="2:32" ht="15.5">
      <x:c r="B112" s="88"/>
      <x:c r="C112" s="89"/>
      <x:c r="D112" s="89"/>
      <x:c r="E112" s="89"/>
      <x:c r="F112" s="89"/>
      <x:c r="G112" s="89"/>
      <x:c r="H112" s="89"/>
      <x:c r="I112" s="89"/>
      <x:c r="J112" s="89"/>
      <x:c r="K112" s="89"/>
      <x:c r="L112" s="89"/>
      <x:c r="M112" s="89"/>
      <x:c r="N112" s="89"/>
      <x:c r="O112" s="90"/>
      <x:c r="P112" s="90"/>
      <x:c r="Q112" s="90"/>
      <x:c r="AF112" s="75"/>
    </x:row>
    <x:row r="113" spans="2:32" ht="15.5">
      <x:c r="B113" s="88"/>
      <x:c r="C113" s="89"/>
      <x:c r="D113" s="89"/>
      <x:c r="E113" s="89"/>
      <x:c r="F113" s="89"/>
      <x:c r="G113" s="89"/>
      <x:c r="H113" s="89"/>
      <x:c r="I113" s="89"/>
      <x:c r="J113" s="89"/>
      <x:c r="K113" s="89"/>
      <x:c r="L113" s="89"/>
      <x:c r="M113" s="89"/>
      <x:c r="N113" s="89"/>
      <x:c r="O113" s="90"/>
      <x:c r="P113" s="90"/>
      <x:c r="Q113" s="90"/>
      <x:c r="AF113" s="75"/>
    </x:row>
    <x:row r="114" spans="2:32" ht="15.5">
      <x:c r="B114" s="88"/>
      <x:c r="C114" s="89"/>
      <x:c r="D114" s="89"/>
      <x:c r="E114" s="89"/>
      <x:c r="F114" s="89"/>
      <x:c r="G114" s="89"/>
      <x:c r="H114" s="89"/>
      <x:c r="I114" s="89"/>
      <x:c r="J114" s="89"/>
      <x:c r="K114" s="89"/>
      <x:c r="L114" s="89"/>
      <x:c r="M114" s="89"/>
      <x:c r="N114" s="89"/>
      <x:c r="O114" s="90"/>
      <x:c r="P114" s="90"/>
      <x:c r="Q114" s="90"/>
      <x:c r="AF114" s="75"/>
    </x:row>
    <x:row r="115" spans="2:32" ht="15.5">
      <x:c r="B115" s="88"/>
      <x:c r="C115" s="89"/>
      <x:c r="D115" s="89"/>
      <x:c r="E115" s="89"/>
      <x:c r="F115" s="89"/>
      <x:c r="G115" s="89"/>
      <x:c r="H115" s="89"/>
      <x:c r="I115" s="89"/>
      <x:c r="J115" s="89"/>
      <x:c r="K115" s="89"/>
      <x:c r="L115" s="89"/>
      <x:c r="M115" s="89"/>
      <x:c r="N115" s="89"/>
      <x:c r="O115" s="90"/>
      <x:c r="P115" s="90"/>
      <x:c r="Q115" s="90"/>
      <x:c r="AF115" s="75"/>
    </x:row>
    <x:row r="116" spans="2:32" ht="15.5">
      <x:c r="B116" s="88"/>
      <x:c r="C116" s="89"/>
      <x:c r="D116" s="89"/>
      <x:c r="E116" s="89"/>
      <x:c r="F116" s="89"/>
      <x:c r="G116" s="89"/>
      <x:c r="H116" s="89"/>
      <x:c r="I116" s="89"/>
      <x:c r="J116" s="89"/>
      <x:c r="K116" s="89"/>
      <x:c r="L116" s="89"/>
      <x:c r="M116" s="89"/>
      <x:c r="N116" s="89"/>
      <x:c r="O116" s="90"/>
      <x:c r="P116" s="90"/>
      <x:c r="Q116" s="90"/>
      <x:c r="AF116" s="75"/>
    </x:row>
    <x:row r="117" spans="2:32" ht="15.5">
      <x:c r="B117" s="88"/>
      <x:c r="C117" s="89"/>
      <x:c r="D117" s="89"/>
      <x:c r="E117" s="89"/>
      <x:c r="F117" s="89"/>
      <x:c r="G117" s="89"/>
      <x:c r="H117" s="89"/>
      <x:c r="I117" s="89"/>
      <x:c r="J117" s="89"/>
      <x:c r="K117" s="89"/>
      <x:c r="L117" s="89"/>
      <x:c r="M117" s="89"/>
      <x:c r="N117" s="89"/>
      <x:c r="O117" s="90"/>
      <x:c r="P117" s="90"/>
      <x:c r="Q117" s="90"/>
      <x:c r="AF117" s="75"/>
    </x:row>
    <x:row r="118" spans="2:32" ht="15.5">
      <x:c r="B118" s="88"/>
      <x:c r="C118" s="89"/>
      <x:c r="D118" s="89"/>
      <x:c r="E118" s="89"/>
      <x:c r="F118" s="89"/>
      <x:c r="G118" s="89"/>
      <x:c r="H118" s="89"/>
      <x:c r="I118" s="89"/>
      <x:c r="J118" s="89"/>
      <x:c r="K118" s="89"/>
      <x:c r="L118" s="89"/>
      <x:c r="M118" s="89"/>
      <x:c r="N118" s="89"/>
      <x:c r="O118" s="90"/>
      <x:c r="P118" s="90"/>
      <x:c r="Q118" s="90"/>
      <x:c r="AF118" s="75"/>
    </x:row>
    <x:row r="119" spans="2:32" ht="15.5">
      <x:c r="B119" s="88"/>
      <x:c r="C119" s="89"/>
      <x:c r="D119" s="89"/>
      <x:c r="E119" s="89"/>
      <x:c r="F119" s="89"/>
      <x:c r="G119" s="89"/>
      <x:c r="H119" s="89"/>
      <x:c r="I119" s="89"/>
      <x:c r="J119" s="89"/>
      <x:c r="K119" s="89"/>
      <x:c r="L119" s="89"/>
      <x:c r="M119" s="89"/>
      <x:c r="N119" s="89"/>
      <x:c r="O119" s="90"/>
      <x:c r="P119" s="90"/>
      <x:c r="Q119" s="90"/>
      <x:c r="AF119" s="75"/>
    </x:row>
    <x:row r="120" spans="2:32" ht="15.5">
      <x:c r="B120" s="88"/>
      <x:c r="C120" s="89"/>
      <x:c r="D120" s="89"/>
      <x:c r="E120" s="89"/>
      <x:c r="F120" s="89"/>
      <x:c r="G120" s="89"/>
      <x:c r="H120" s="89"/>
      <x:c r="I120" s="89"/>
      <x:c r="J120" s="89"/>
      <x:c r="K120" s="89"/>
      <x:c r="L120" s="89"/>
      <x:c r="M120" s="89"/>
      <x:c r="N120" s="89"/>
      <x:c r="O120" s="90"/>
      <x:c r="P120" s="90"/>
      <x:c r="Q120" s="90"/>
      <x:c r="AF120" s="75"/>
    </x:row>
    <x:row r="121" spans="2:32" ht="15.5">
      <x:c r="B121" s="88"/>
      <x:c r="C121" s="89"/>
      <x:c r="D121" s="89"/>
      <x:c r="E121" s="89"/>
      <x:c r="F121" s="89"/>
      <x:c r="G121" s="89"/>
      <x:c r="H121" s="89"/>
      <x:c r="I121" s="89"/>
      <x:c r="J121" s="89"/>
      <x:c r="K121" s="89"/>
      <x:c r="L121" s="89"/>
      <x:c r="M121" s="89"/>
      <x:c r="N121" s="89"/>
      <x:c r="O121" s="90"/>
      <x:c r="P121" s="90"/>
      <x:c r="Q121" s="90"/>
      <x:c r="AF121" s="75"/>
    </x:row>
    <x:row r="122" spans="2:32" ht="15.5">
      <x:c r="B122" s="88"/>
      <x:c r="C122" s="89"/>
      <x:c r="D122" s="89"/>
      <x:c r="E122" s="89"/>
      <x:c r="F122" s="89"/>
      <x:c r="G122" s="89"/>
      <x:c r="H122" s="89"/>
      <x:c r="I122" s="89"/>
      <x:c r="J122" s="89"/>
      <x:c r="K122" s="89"/>
      <x:c r="L122" s="89"/>
      <x:c r="M122" s="89"/>
      <x:c r="N122" s="89"/>
      <x:c r="O122" s="90"/>
      <x:c r="P122" s="90"/>
      <x:c r="Q122" s="90"/>
      <x:c r="AF122" s="75"/>
    </x:row>
    <x:row r="123" spans="2:32" ht="15.5">
      <x:c r="B123" s="88"/>
      <x:c r="C123" s="89"/>
      <x:c r="D123" s="89"/>
      <x:c r="E123" s="89"/>
      <x:c r="F123" s="89"/>
      <x:c r="G123" s="89"/>
      <x:c r="H123" s="89"/>
      <x:c r="I123" s="89"/>
      <x:c r="J123" s="89"/>
      <x:c r="K123" s="89"/>
      <x:c r="L123" s="89"/>
      <x:c r="M123" s="89"/>
      <x:c r="N123" s="89"/>
      <x:c r="O123" s="90"/>
      <x:c r="P123" s="90"/>
      <x:c r="Q123" s="90"/>
      <x:c r="AF123" s="75"/>
    </x:row>
    <x:row r="124" spans="2:32" ht="15.5">
      <x:c r="B124" s="88"/>
      <x:c r="C124" s="89"/>
      <x:c r="D124" s="89"/>
      <x:c r="E124" s="89"/>
      <x:c r="F124" s="89"/>
      <x:c r="G124" s="89"/>
      <x:c r="H124" s="89"/>
      <x:c r="I124" s="89"/>
      <x:c r="J124" s="89"/>
      <x:c r="K124" s="89"/>
      <x:c r="L124" s="89"/>
      <x:c r="M124" s="89"/>
      <x:c r="N124" s="89"/>
      <x:c r="O124" s="90"/>
      <x:c r="P124" s="90"/>
      <x:c r="Q124" s="90"/>
      <x:c r="AF124" s="75"/>
    </x:row>
    <x:row r="125" spans="2:32" ht="15.5">
      <x:c r="B125" s="88"/>
      <x:c r="C125" s="89"/>
      <x:c r="D125" s="89"/>
      <x:c r="E125" s="89"/>
      <x:c r="F125" s="89"/>
      <x:c r="G125" s="89"/>
      <x:c r="H125" s="89"/>
      <x:c r="I125" s="89"/>
      <x:c r="J125" s="89"/>
      <x:c r="K125" s="89"/>
      <x:c r="L125" s="89"/>
      <x:c r="M125" s="89"/>
      <x:c r="N125" s="89"/>
      <x:c r="O125" s="90"/>
      <x:c r="P125" s="90"/>
      <x:c r="Q125" s="90"/>
      <x:c r="AF125" s="75"/>
    </x:row>
    <x:row r="126" spans="2:32" ht="15.5">
      <x:c r="B126" s="88"/>
      <x:c r="C126" s="89"/>
      <x:c r="D126" s="89"/>
      <x:c r="E126" s="89"/>
      <x:c r="F126" s="89"/>
      <x:c r="G126" s="89"/>
      <x:c r="H126" s="89"/>
      <x:c r="I126" s="89"/>
      <x:c r="J126" s="89"/>
      <x:c r="K126" s="89"/>
      <x:c r="L126" s="89"/>
      <x:c r="M126" s="89"/>
      <x:c r="N126" s="89"/>
      <x:c r="O126" s="90"/>
      <x:c r="P126" s="90"/>
      <x:c r="Q126" s="90"/>
      <x:c r="AF126" s="75"/>
    </x:row>
    <x:row r="127" spans="2:32" ht="15.5">
      <x:c r="B127" s="88"/>
      <x:c r="C127" s="89"/>
      <x:c r="D127" s="89"/>
      <x:c r="E127" s="89"/>
      <x:c r="F127" s="89"/>
      <x:c r="G127" s="89"/>
      <x:c r="H127" s="89"/>
      <x:c r="I127" s="89"/>
      <x:c r="J127" s="89"/>
      <x:c r="K127" s="89"/>
      <x:c r="L127" s="89"/>
      <x:c r="M127" s="89"/>
      <x:c r="N127" s="89"/>
      <x:c r="O127" s="90"/>
      <x:c r="P127" s="90"/>
      <x:c r="Q127" s="90"/>
      <x:c r="AF127" s="75"/>
    </x:row>
    <x:row r="128" spans="2:32" ht="15.5">
      <x:c r="B128" s="88"/>
      <x:c r="C128" s="89"/>
      <x:c r="D128" s="89"/>
      <x:c r="E128" s="89"/>
      <x:c r="F128" s="89"/>
      <x:c r="G128" s="89"/>
      <x:c r="H128" s="89"/>
      <x:c r="I128" s="89"/>
      <x:c r="J128" s="89"/>
      <x:c r="K128" s="89"/>
      <x:c r="L128" s="89"/>
      <x:c r="M128" s="89"/>
      <x:c r="N128" s="89"/>
      <x:c r="O128" s="90"/>
      <x:c r="P128" s="90"/>
      <x:c r="Q128" s="90"/>
      <x:c r="AF128" s="75"/>
    </x:row>
    <x:row r="129" spans="2:32" ht="15.5">
      <x:c r="B129" s="88"/>
      <x:c r="C129" s="89"/>
      <x:c r="D129" s="89"/>
      <x:c r="E129" s="89"/>
      <x:c r="F129" s="89"/>
      <x:c r="G129" s="89"/>
      <x:c r="H129" s="89"/>
      <x:c r="I129" s="89"/>
      <x:c r="J129" s="89"/>
      <x:c r="K129" s="89"/>
      <x:c r="L129" s="89"/>
      <x:c r="M129" s="89"/>
      <x:c r="N129" s="89"/>
      <x:c r="O129" s="90"/>
      <x:c r="P129" s="90"/>
      <x:c r="Q129" s="90"/>
      <x:c r="AF129" s="75"/>
    </x:row>
    <x:row r="130" spans="2:32" ht="15.5">
      <x:c r="B130" s="88"/>
      <x:c r="C130" s="89"/>
      <x:c r="D130" s="89"/>
      <x:c r="E130" s="89"/>
      <x:c r="F130" s="89"/>
      <x:c r="G130" s="89"/>
      <x:c r="H130" s="89"/>
      <x:c r="I130" s="89"/>
      <x:c r="J130" s="89"/>
      <x:c r="K130" s="89"/>
      <x:c r="L130" s="89"/>
      <x:c r="M130" s="89"/>
      <x:c r="N130" s="89"/>
      <x:c r="O130" s="90"/>
      <x:c r="P130" s="90"/>
      <x:c r="Q130" s="90"/>
      <x:c r="AF130" s="75"/>
    </x:row>
    <x:row r="131" spans="2:32" ht="15.5">
      <x:c r="B131" s="88"/>
      <x:c r="C131" s="89"/>
      <x:c r="D131" s="89"/>
      <x:c r="E131" s="89"/>
      <x:c r="F131" s="89"/>
      <x:c r="G131" s="89"/>
      <x:c r="H131" s="89"/>
      <x:c r="I131" s="89"/>
      <x:c r="J131" s="89"/>
      <x:c r="K131" s="89"/>
      <x:c r="L131" s="89"/>
      <x:c r="M131" s="89"/>
      <x:c r="N131" s="89"/>
      <x:c r="O131" s="90"/>
      <x:c r="P131" s="90"/>
      <x:c r="Q131" s="90"/>
      <x:c r="AF131" s="75"/>
    </x:row>
    <x:row r="132" spans="2:32" ht="15.5">
      <x:c r="B132" s="88"/>
      <x:c r="C132" s="89"/>
      <x:c r="D132" s="89"/>
      <x:c r="E132" s="89"/>
      <x:c r="F132" s="89"/>
      <x:c r="G132" s="89"/>
      <x:c r="H132" s="89"/>
      <x:c r="I132" s="89"/>
      <x:c r="J132" s="89"/>
      <x:c r="K132" s="89"/>
      <x:c r="L132" s="89"/>
      <x:c r="M132" s="89"/>
      <x:c r="N132" s="89"/>
      <x:c r="O132" s="90"/>
      <x:c r="P132" s="90"/>
      <x:c r="Q132" s="90"/>
      <x:c r="AF132" s="75"/>
    </x:row>
    <x:row r="133" spans="2:32" ht="15.5">
      <x:c r="B133" s="88"/>
      <x:c r="C133" s="89"/>
      <x:c r="D133" s="89"/>
      <x:c r="E133" s="89"/>
      <x:c r="F133" s="89"/>
      <x:c r="G133" s="89"/>
      <x:c r="H133" s="89"/>
      <x:c r="I133" s="89"/>
      <x:c r="J133" s="89"/>
      <x:c r="K133" s="89"/>
      <x:c r="L133" s="89"/>
      <x:c r="M133" s="89"/>
      <x:c r="N133" s="89"/>
      <x:c r="O133" s="90"/>
      <x:c r="P133" s="90"/>
      <x:c r="Q133" s="90"/>
      <x:c r="AF133" s="75"/>
    </x:row>
    <x:row r="134" spans="2:32" ht="15.5">
      <x:c r="B134" s="88"/>
      <x:c r="C134" s="89"/>
      <x:c r="D134" s="89"/>
      <x:c r="E134" s="89"/>
      <x:c r="F134" s="89"/>
      <x:c r="G134" s="89"/>
      <x:c r="H134" s="89"/>
      <x:c r="I134" s="89"/>
      <x:c r="J134" s="89"/>
      <x:c r="K134" s="89"/>
      <x:c r="L134" s="89"/>
      <x:c r="M134" s="89"/>
      <x:c r="N134" s="89"/>
      <x:c r="O134" s="90"/>
      <x:c r="P134" s="90"/>
      <x:c r="Q134" s="90"/>
      <x:c r="AF134" s="75"/>
    </x:row>
    <x:row r="135" spans="2:32" ht="15.5">
      <x:c r="B135" s="88"/>
      <x:c r="C135" s="89"/>
      <x:c r="D135" s="89"/>
      <x:c r="E135" s="89"/>
      <x:c r="F135" s="89"/>
      <x:c r="G135" s="89"/>
      <x:c r="H135" s="89"/>
      <x:c r="I135" s="89"/>
      <x:c r="J135" s="89"/>
      <x:c r="K135" s="89"/>
      <x:c r="L135" s="89"/>
      <x:c r="M135" s="89"/>
      <x:c r="N135" s="89"/>
      <x:c r="O135" s="90"/>
      <x:c r="P135" s="90"/>
      <x:c r="Q135" s="90"/>
      <x:c r="AF135" s="75"/>
    </x:row>
    <x:row r="136" spans="2:32" ht="15.5">
      <x:c r="B136" s="88"/>
      <x:c r="C136" s="89"/>
      <x:c r="D136" s="89"/>
      <x:c r="E136" s="89"/>
      <x:c r="F136" s="89"/>
      <x:c r="G136" s="89"/>
      <x:c r="H136" s="89"/>
      <x:c r="I136" s="89"/>
      <x:c r="J136" s="89"/>
      <x:c r="K136" s="89"/>
      <x:c r="L136" s="89"/>
      <x:c r="M136" s="89"/>
      <x:c r="N136" s="89"/>
      <x:c r="O136" s="90"/>
      <x:c r="P136" s="90"/>
      <x:c r="Q136" s="90"/>
      <x:c r="AF136" s="75"/>
    </x:row>
    <x:row r="137" spans="2:32" ht="15.5">
      <x:c r="B137" s="88"/>
      <x:c r="C137" s="89"/>
      <x:c r="D137" s="89"/>
      <x:c r="E137" s="89"/>
      <x:c r="F137" s="89"/>
      <x:c r="G137" s="89"/>
      <x:c r="H137" s="89"/>
      <x:c r="I137" s="89"/>
      <x:c r="J137" s="89"/>
      <x:c r="K137" s="89"/>
      <x:c r="L137" s="89"/>
      <x:c r="M137" s="89"/>
      <x:c r="N137" s="89"/>
      <x:c r="O137" s="90"/>
      <x:c r="P137" s="90"/>
      <x:c r="Q137" s="90"/>
      <x:c r="AF137" s="75"/>
    </x:row>
    <x:row r="138" spans="2:32" ht="15.5">
      <x:c r="B138" s="88"/>
      <x:c r="C138" s="89"/>
      <x:c r="D138" s="89"/>
      <x:c r="E138" s="89"/>
      <x:c r="F138" s="89"/>
      <x:c r="G138" s="89"/>
      <x:c r="H138" s="89"/>
      <x:c r="I138" s="89"/>
      <x:c r="J138" s="89"/>
      <x:c r="K138" s="89"/>
      <x:c r="L138" s="89"/>
      <x:c r="M138" s="89"/>
      <x:c r="N138" s="89"/>
      <x:c r="O138" s="90"/>
      <x:c r="P138" s="90"/>
      <x:c r="Q138" s="90"/>
      <x:c r="AF138" s="75"/>
    </x:row>
    <x:row r="139" spans="2:32" ht="15.5">
      <x:c r="B139" s="88"/>
      <x:c r="C139" s="89"/>
      <x:c r="D139" s="89"/>
      <x:c r="E139" s="89"/>
      <x:c r="F139" s="89"/>
      <x:c r="G139" s="89"/>
      <x:c r="H139" s="89"/>
      <x:c r="I139" s="89"/>
      <x:c r="J139" s="89"/>
      <x:c r="K139" s="89"/>
      <x:c r="L139" s="89"/>
      <x:c r="M139" s="89"/>
      <x:c r="N139" s="89"/>
      <x:c r="O139" s="90"/>
      <x:c r="P139" s="90"/>
      <x:c r="Q139" s="90"/>
      <x:c r="AF139" s="75"/>
    </x:row>
    <x:row r="140" spans="2:32" ht="15.5">
      <x:c r="B140" s="88"/>
      <x:c r="C140" s="89"/>
      <x:c r="D140" s="89"/>
      <x:c r="E140" s="89"/>
      <x:c r="F140" s="89"/>
      <x:c r="G140" s="89"/>
      <x:c r="H140" s="89"/>
      <x:c r="I140" s="89"/>
      <x:c r="J140" s="89"/>
      <x:c r="K140" s="89"/>
      <x:c r="L140" s="89"/>
      <x:c r="M140" s="89"/>
      <x:c r="N140" s="89"/>
      <x:c r="O140" s="90"/>
      <x:c r="P140" s="90"/>
      <x:c r="Q140" s="90"/>
      <x:c r="AF140" s="75"/>
    </x:row>
    <x:row r="141" spans="2:32" ht="15.5">
      <x:c r="B141" s="88"/>
      <x:c r="C141" s="89"/>
      <x:c r="D141" s="89"/>
      <x:c r="E141" s="89"/>
      <x:c r="F141" s="89"/>
      <x:c r="G141" s="89"/>
      <x:c r="H141" s="89"/>
      <x:c r="I141" s="89"/>
      <x:c r="J141" s="89"/>
      <x:c r="K141" s="89"/>
      <x:c r="L141" s="89"/>
      <x:c r="M141" s="89"/>
      <x:c r="N141" s="89"/>
      <x:c r="O141" s="90"/>
      <x:c r="P141" s="90"/>
      <x:c r="Q141" s="90"/>
      <x:c r="AF141" s="75"/>
    </x:row>
    <x:row r="142" spans="2:32" ht="15.5">
      <x:c r="B142" s="88"/>
      <x:c r="C142" s="89"/>
      <x:c r="D142" s="89"/>
      <x:c r="E142" s="89"/>
      <x:c r="F142" s="89"/>
      <x:c r="G142" s="89"/>
      <x:c r="H142" s="89"/>
      <x:c r="I142" s="89"/>
      <x:c r="J142" s="89"/>
      <x:c r="K142" s="89"/>
      <x:c r="L142" s="89"/>
      <x:c r="M142" s="89"/>
      <x:c r="N142" s="89"/>
      <x:c r="O142" s="90"/>
      <x:c r="P142" s="90"/>
      <x:c r="Q142" s="90"/>
      <x:c r="AF142" s="75"/>
    </x:row>
    <x:row r="143" spans="2:32" ht="15.5">
      <x:c r="B143" s="88"/>
      <x:c r="C143" s="89"/>
      <x:c r="D143" s="89"/>
      <x:c r="E143" s="89"/>
      <x:c r="F143" s="89"/>
      <x:c r="G143" s="89"/>
      <x:c r="H143" s="89"/>
      <x:c r="I143" s="89"/>
      <x:c r="J143" s="89"/>
      <x:c r="K143" s="89"/>
      <x:c r="L143" s="89"/>
      <x:c r="M143" s="89"/>
      <x:c r="N143" s="89"/>
      <x:c r="O143" s="90"/>
      <x:c r="P143" s="90"/>
      <x:c r="Q143" s="90"/>
      <x:c r="AF143" s="75"/>
    </x:row>
    <x:row r="144" spans="2:32" ht="15.5">
      <x:c r="B144" s="88"/>
      <x:c r="C144" s="89"/>
      <x:c r="D144" s="89"/>
      <x:c r="E144" s="89"/>
      <x:c r="F144" s="89"/>
      <x:c r="G144" s="89"/>
      <x:c r="H144" s="89"/>
      <x:c r="I144" s="89"/>
      <x:c r="J144" s="89"/>
      <x:c r="K144" s="89"/>
      <x:c r="L144" s="89"/>
      <x:c r="M144" s="89"/>
      <x:c r="N144" s="89"/>
      <x:c r="O144" s="90"/>
      <x:c r="P144" s="90"/>
      <x:c r="Q144" s="90"/>
      <x:c r="AF144" s="75"/>
    </x:row>
    <x:row r="145" spans="2:32" ht="15.5">
      <x:c r="B145" s="88"/>
      <x:c r="C145" s="89"/>
      <x:c r="D145" s="89"/>
      <x:c r="E145" s="89"/>
      <x:c r="F145" s="89"/>
      <x:c r="G145" s="89"/>
      <x:c r="H145" s="89"/>
      <x:c r="I145" s="89"/>
      <x:c r="J145" s="89"/>
      <x:c r="K145" s="89"/>
      <x:c r="L145" s="89"/>
      <x:c r="M145" s="89"/>
      <x:c r="N145" s="89"/>
      <x:c r="O145" s="90"/>
      <x:c r="P145" s="90"/>
      <x:c r="Q145" s="90"/>
      <x:c r="AF145" s="75"/>
    </x:row>
    <x:row r="146" spans="2:32" ht="15.5">
      <x:c r="B146" s="88"/>
      <x:c r="C146" s="89"/>
      <x:c r="D146" s="89"/>
      <x:c r="E146" s="89"/>
      <x:c r="F146" s="89"/>
      <x:c r="G146" s="89"/>
      <x:c r="H146" s="89"/>
      <x:c r="I146" s="89"/>
      <x:c r="J146" s="89"/>
      <x:c r="K146" s="89"/>
      <x:c r="L146" s="89"/>
      <x:c r="M146" s="89"/>
      <x:c r="N146" s="89"/>
      <x:c r="O146" s="90"/>
      <x:c r="P146" s="90"/>
      <x:c r="Q146" s="90"/>
      <x:c r="AF146" s="75"/>
    </x:row>
    <x:row r="147" spans="2:32" ht="15.5">
      <x:c r="B147" s="88"/>
      <x:c r="C147" s="89"/>
      <x:c r="D147" s="89"/>
      <x:c r="E147" s="89"/>
      <x:c r="F147" s="89"/>
      <x:c r="G147" s="89"/>
      <x:c r="H147" s="89"/>
      <x:c r="I147" s="89"/>
      <x:c r="J147" s="89"/>
      <x:c r="K147" s="89"/>
      <x:c r="L147" s="89"/>
      <x:c r="M147" s="89"/>
      <x:c r="N147" s="89"/>
      <x:c r="O147" s="90"/>
      <x:c r="P147" s="90"/>
      <x:c r="Q147" s="90"/>
      <x:c r="AF147" s="75"/>
    </x:row>
    <x:row r="148" spans="2:32" ht="15.5">
      <x:c r="B148" s="88"/>
      <x:c r="C148" s="89"/>
      <x:c r="D148" s="89"/>
      <x:c r="E148" s="89"/>
      <x:c r="F148" s="89"/>
      <x:c r="G148" s="89"/>
      <x:c r="H148" s="89"/>
      <x:c r="I148" s="89"/>
      <x:c r="J148" s="89"/>
      <x:c r="K148" s="89"/>
      <x:c r="L148" s="89"/>
      <x:c r="M148" s="89"/>
      <x:c r="N148" s="89"/>
      <x:c r="O148" s="90"/>
      <x:c r="P148" s="90"/>
      <x:c r="Q148" s="90"/>
      <x:c r="AF148" s="75"/>
    </x:row>
    <x:row r="149" spans="2:32" ht="15.5">
      <x:c r="B149" s="88"/>
      <x:c r="C149" s="89"/>
      <x:c r="D149" s="89"/>
      <x:c r="E149" s="89"/>
      <x:c r="F149" s="89"/>
      <x:c r="G149" s="89"/>
      <x:c r="H149" s="89"/>
      <x:c r="I149" s="89"/>
      <x:c r="J149" s="89"/>
      <x:c r="K149" s="89"/>
      <x:c r="L149" s="89"/>
      <x:c r="M149" s="89"/>
      <x:c r="N149" s="89"/>
      <x:c r="O149" s="90"/>
      <x:c r="P149" s="90"/>
      <x:c r="Q149" s="90"/>
      <x:c r="AF149" s="75"/>
    </x:row>
    <x:row r="150" spans="2:32" ht="15.5">
      <x:c r="B150" s="88"/>
      <x:c r="C150" s="89"/>
      <x:c r="D150" s="89"/>
      <x:c r="E150" s="89"/>
      <x:c r="F150" s="89"/>
      <x:c r="G150" s="89"/>
      <x:c r="H150" s="89"/>
      <x:c r="I150" s="89"/>
      <x:c r="J150" s="89"/>
      <x:c r="K150" s="89"/>
      <x:c r="L150" s="89"/>
      <x:c r="M150" s="89"/>
      <x:c r="N150" s="89"/>
      <x:c r="O150" s="90"/>
      <x:c r="P150" s="90"/>
      <x:c r="Q150" s="90"/>
      <x:c r="AF150" s="75"/>
    </x:row>
    <x:row r="151" spans="2:32" ht="15.5">
      <x:c r="B151" s="88"/>
      <x:c r="C151" s="89"/>
      <x:c r="D151" s="89"/>
      <x:c r="E151" s="89"/>
      <x:c r="F151" s="89"/>
      <x:c r="G151" s="89"/>
      <x:c r="H151" s="89"/>
      <x:c r="I151" s="89"/>
      <x:c r="J151" s="89"/>
      <x:c r="K151" s="89"/>
      <x:c r="L151" s="89"/>
      <x:c r="M151" s="89"/>
      <x:c r="N151" s="89"/>
      <x:c r="O151" s="90"/>
      <x:c r="P151" s="90"/>
      <x:c r="Q151" s="90"/>
      <x:c r="AF151" s="75"/>
    </x:row>
    <x:row r="152" spans="2:32" ht="15.5">
      <x:c r="B152" s="88"/>
      <x:c r="C152" s="89"/>
      <x:c r="D152" s="89"/>
      <x:c r="E152" s="89"/>
      <x:c r="F152" s="89"/>
      <x:c r="G152" s="89"/>
      <x:c r="H152" s="89"/>
      <x:c r="I152" s="89"/>
      <x:c r="J152" s="89"/>
      <x:c r="K152" s="89"/>
      <x:c r="L152" s="89"/>
      <x:c r="M152" s="89"/>
      <x:c r="N152" s="89"/>
      <x:c r="O152" s="90"/>
      <x:c r="P152" s="90"/>
      <x:c r="Q152" s="90"/>
      <x:c r="AF152" s="75"/>
    </x:row>
    <x:row r="153" spans="2:32" ht="15.5">
      <x:c r="B153" s="88"/>
      <x:c r="C153" s="89"/>
      <x:c r="D153" s="89"/>
      <x:c r="E153" s="89"/>
      <x:c r="F153" s="89"/>
      <x:c r="G153" s="89"/>
      <x:c r="H153" s="89"/>
      <x:c r="I153" s="89"/>
      <x:c r="J153" s="89"/>
      <x:c r="K153" s="89"/>
      <x:c r="L153" s="89"/>
      <x:c r="M153" s="89"/>
      <x:c r="N153" s="89"/>
      <x:c r="O153" s="90"/>
      <x:c r="P153" s="90"/>
      <x:c r="Q153" s="90"/>
      <x:c r="AF153" s="75"/>
    </x:row>
    <x:row r="154" spans="2:32" ht="15.5">
      <x:c r="B154" s="88"/>
      <x:c r="C154" s="89"/>
      <x:c r="D154" s="89"/>
      <x:c r="E154" s="89"/>
      <x:c r="F154" s="89"/>
      <x:c r="G154" s="89"/>
      <x:c r="H154" s="89"/>
      <x:c r="I154" s="89"/>
      <x:c r="J154" s="89"/>
      <x:c r="K154" s="89"/>
      <x:c r="L154" s="89"/>
      <x:c r="M154" s="89"/>
      <x:c r="N154" s="89"/>
      <x:c r="O154" s="90"/>
      <x:c r="P154" s="90"/>
      <x:c r="Q154" s="90"/>
      <x:c r="AF154" s="75"/>
    </x:row>
    <x:row r="155" spans="2:32" ht="15.5">
      <x:c r="B155" s="88"/>
      <x:c r="C155" s="89"/>
      <x:c r="D155" s="89"/>
      <x:c r="E155" s="89"/>
      <x:c r="F155" s="89"/>
      <x:c r="G155" s="89"/>
      <x:c r="H155" s="89"/>
      <x:c r="I155" s="89"/>
      <x:c r="J155" s="89"/>
      <x:c r="K155" s="89"/>
      <x:c r="L155" s="89"/>
      <x:c r="M155" s="89"/>
      <x:c r="N155" s="89"/>
      <x:c r="O155" s="90"/>
      <x:c r="P155" s="90"/>
      <x:c r="Q155" s="90"/>
      <x:c r="AF155" s="75"/>
    </x:row>
    <x:row r="156" spans="2:32" ht="15.5">
      <x:c r="B156" s="88"/>
      <x:c r="C156" s="89"/>
      <x:c r="D156" s="89"/>
      <x:c r="E156" s="89"/>
      <x:c r="F156" s="89"/>
      <x:c r="G156" s="89"/>
      <x:c r="H156" s="89"/>
      <x:c r="I156" s="89"/>
      <x:c r="J156" s="89"/>
      <x:c r="K156" s="89"/>
      <x:c r="L156" s="89"/>
      <x:c r="M156" s="89"/>
      <x:c r="N156" s="89"/>
      <x:c r="O156" s="90"/>
      <x:c r="P156" s="90"/>
      <x:c r="Q156" s="90"/>
      <x:c r="AF156" s="75"/>
    </x:row>
    <x:row r="157" spans="2:32" ht="15.5">
      <x:c r="B157" s="88"/>
      <x:c r="C157" s="89"/>
      <x:c r="D157" s="89"/>
      <x:c r="E157" s="89"/>
      <x:c r="F157" s="89"/>
      <x:c r="G157" s="89"/>
      <x:c r="H157" s="89"/>
      <x:c r="I157" s="89"/>
      <x:c r="J157" s="89"/>
      <x:c r="K157" s="89"/>
      <x:c r="L157" s="89"/>
      <x:c r="M157" s="89"/>
      <x:c r="N157" s="89"/>
      <x:c r="O157" s="90"/>
      <x:c r="P157" s="90"/>
      <x:c r="Q157" s="90"/>
      <x:c r="AF157" s="75"/>
    </x:row>
    <x:row r="158" spans="2:32" ht="15.5">
      <x:c r="B158" s="88"/>
      <x:c r="C158" s="89"/>
      <x:c r="D158" s="89"/>
      <x:c r="E158" s="89"/>
      <x:c r="F158" s="89"/>
      <x:c r="G158" s="89"/>
      <x:c r="H158" s="89"/>
      <x:c r="I158" s="89"/>
      <x:c r="J158" s="89"/>
      <x:c r="K158" s="89"/>
      <x:c r="L158" s="89"/>
      <x:c r="M158" s="89"/>
      <x:c r="N158" s="89"/>
      <x:c r="O158" s="90"/>
      <x:c r="P158" s="90"/>
      <x:c r="Q158" s="90"/>
      <x:c r="AF158" s="75"/>
    </x:row>
    <x:row r="159" spans="2:32" ht="15.5">
      <x:c r="B159" s="88"/>
      <x:c r="C159" s="89"/>
      <x:c r="D159" s="89"/>
      <x:c r="E159" s="89"/>
      <x:c r="F159" s="89"/>
      <x:c r="G159" s="89"/>
      <x:c r="H159" s="89"/>
      <x:c r="I159" s="89"/>
      <x:c r="J159" s="89"/>
      <x:c r="K159" s="89"/>
      <x:c r="L159" s="89"/>
      <x:c r="M159" s="89"/>
      <x:c r="N159" s="89"/>
      <x:c r="O159" s="90"/>
      <x:c r="P159" s="90"/>
      <x:c r="Q159" s="90"/>
      <x:c r="AF159" s="75"/>
    </x:row>
    <x:row r="160" spans="2:32" ht="15.5">
      <x:c r="B160" s="88"/>
      <x:c r="C160" s="89"/>
      <x:c r="D160" s="89"/>
      <x:c r="E160" s="89"/>
      <x:c r="F160" s="89"/>
      <x:c r="G160" s="89"/>
      <x:c r="H160" s="89"/>
      <x:c r="I160" s="89"/>
      <x:c r="J160" s="89"/>
      <x:c r="K160" s="89"/>
      <x:c r="L160" s="89"/>
      <x:c r="M160" s="89"/>
      <x:c r="N160" s="89"/>
      <x:c r="O160" s="90"/>
      <x:c r="P160" s="90"/>
      <x:c r="Q160" s="90"/>
      <x:c r="AF160" s="75"/>
    </x:row>
    <x:row r="161" spans="2:32" ht="15.5">
      <x:c r="B161" s="88"/>
      <x:c r="C161" s="89"/>
      <x:c r="D161" s="89"/>
      <x:c r="E161" s="89"/>
      <x:c r="F161" s="89"/>
      <x:c r="G161" s="89"/>
      <x:c r="H161" s="89"/>
      <x:c r="I161" s="89"/>
      <x:c r="J161" s="89"/>
      <x:c r="K161" s="89"/>
      <x:c r="L161" s="89"/>
      <x:c r="M161" s="89"/>
      <x:c r="N161" s="89"/>
      <x:c r="O161" s="90"/>
      <x:c r="P161" s="90"/>
      <x:c r="Q161" s="90"/>
      <x:c r="AF161" s="75"/>
    </x:row>
    <x:row r="162" spans="2:32" ht="15.5">
      <x:c r="B162" s="88"/>
      <x:c r="C162" s="89"/>
      <x:c r="D162" s="89"/>
      <x:c r="E162" s="89"/>
      <x:c r="F162" s="89"/>
      <x:c r="G162" s="89"/>
      <x:c r="H162" s="89"/>
      <x:c r="I162" s="89"/>
      <x:c r="J162" s="89"/>
      <x:c r="K162" s="89"/>
      <x:c r="L162" s="89"/>
      <x:c r="M162" s="89"/>
      <x:c r="N162" s="89"/>
      <x:c r="O162" s="90"/>
      <x:c r="P162" s="90"/>
      <x:c r="Q162" s="90"/>
      <x:c r="AF162" s="75"/>
    </x:row>
    <x:row r="163" spans="2:32" ht="15.5">
      <x:c r="B163" s="88"/>
      <x:c r="C163" s="89"/>
      <x:c r="D163" s="89"/>
      <x:c r="E163" s="89"/>
      <x:c r="F163" s="89"/>
      <x:c r="G163" s="89"/>
      <x:c r="H163" s="89"/>
      <x:c r="I163" s="89"/>
      <x:c r="J163" s="89"/>
      <x:c r="K163" s="89"/>
      <x:c r="L163" s="89"/>
      <x:c r="M163" s="89"/>
      <x:c r="N163" s="89"/>
      <x:c r="O163" s="90"/>
      <x:c r="P163" s="90"/>
      <x:c r="Q163" s="90"/>
      <x:c r="AF163" s="75"/>
    </x:row>
    <x:row r="164" spans="2:32" ht="15.5">
      <x:c r="B164" s="88"/>
      <x:c r="C164" s="89"/>
      <x:c r="D164" s="89"/>
      <x:c r="E164" s="89"/>
      <x:c r="F164" s="89"/>
      <x:c r="G164" s="89"/>
      <x:c r="H164" s="89"/>
      <x:c r="I164" s="89"/>
      <x:c r="J164" s="89"/>
      <x:c r="K164" s="89"/>
      <x:c r="L164" s="89"/>
      <x:c r="M164" s="89"/>
      <x:c r="N164" s="89"/>
      <x:c r="O164" s="90"/>
      <x:c r="P164" s="90"/>
      <x:c r="Q164" s="90"/>
      <x:c r="AF164" s="75"/>
    </x:row>
    <x:row r="165" spans="2:32" ht="15.5">
      <x:c r="B165" s="88"/>
      <x:c r="C165" s="89"/>
      <x:c r="D165" s="89"/>
      <x:c r="E165" s="89"/>
      <x:c r="F165" s="89"/>
      <x:c r="G165" s="89"/>
      <x:c r="H165" s="89"/>
      <x:c r="I165" s="89"/>
      <x:c r="J165" s="89"/>
      <x:c r="K165" s="89"/>
      <x:c r="L165" s="89"/>
      <x:c r="M165" s="89"/>
      <x:c r="N165" s="89"/>
      <x:c r="O165" s="90"/>
      <x:c r="P165" s="90"/>
      <x:c r="Q165" s="90"/>
      <x:c r="AF165" s="75"/>
    </x:row>
    <x:row r="166" spans="2:32" ht="15.5">
      <x:c r="B166" s="88"/>
      <x:c r="C166" s="89"/>
      <x:c r="D166" s="89"/>
      <x:c r="E166" s="89"/>
      <x:c r="F166" s="89"/>
      <x:c r="G166" s="89"/>
      <x:c r="H166" s="89"/>
      <x:c r="I166" s="89"/>
      <x:c r="J166" s="89"/>
      <x:c r="K166" s="89"/>
      <x:c r="L166" s="89"/>
      <x:c r="M166" s="89"/>
      <x:c r="N166" s="89"/>
      <x:c r="O166" s="90"/>
      <x:c r="P166" s="90"/>
      <x:c r="Q166" s="90"/>
      <x:c r="AF166" s="75"/>
    </x:row>
    <x:row r="167" spans="2:32" ht="15.5">
      <x:c r="B167" s="88"/>
      <x:c r="C167" s="89"/>
      <x:c r="D167" s="89"/>
      <x:c r="E167" s="89"/>
      <x:c r="F167" s="89"/>
      <x:c r="G167" s="89"/>
      <x:c r="H167" s="89"/>
      <x:c r="I167" s="89"/>
      <x:c r="J167" s="89"/>
      <x:c r="K167" s="89"/>
      <x:c r="L167" s="89"/>
      <x:c r="M167" s="89"/>
      <x:c r="N167" s="89"/>
      <x:c r="O167" s="90"/>
      <x:c r="P167" s="90"/>
      <x:c r="Q167" s="90"/>
      <x:c r="AF167" s="75"/>
    </x:row>
    <x:row r="168" spans="2:32" ht="15.5">
      <x:c r="B168" s="88"/>
      <x:c r="C168" s="89"/>
      <x:c r="D168" s="89"/>
      <x:c r="E168" s="89"/>
      <x:c r="F168" s="89"/>
      <x:c r="G168" s="89"/>
      <x:c r="H168" s="89"/>
      <x:c r="I168" s="89"/>
      <x:c r="J168" s="89"/>
      <x:c r="K168" s="89"/>
      <x:c r="L168" s="89"/>
      <x:c r="M168" s="89"/>
      <x:c r="N168" s="89"/>
      <x:c r="O168" s="90"/>
      <x:c r="P168" s="90"/>
      <x:c r="Q168" s="90"/>
      <x:c r="AF168" s="75"/>
    </x:row>
    <x:row r="169" spans="2:32" ht="15.5">
      <x:c r="B169" s="88"/>
      <x:c r="C169" s="89"/>
      <x:c r="D169" s="89"/>
      <x:c r="E169" s="89"/>
      <x:c r="F169" s="89"/>
      <x:c r="G169" s="89"/>
      <x:c r="H169" s="89"/>
      <x:c r="I169" s="89"/>
      <x:c r="J169" s="89"/>
      <x:c r="K169" s="89"/>
      <x:c r="L169" s="89"/>
      <x:c r="M169" s="89"/>
      <x:c r="N169" s="89"/>
      <x:c r="O169" s="90"/>
      <x:c r="P169" s="90"/>
      <x:c r="Q169" s="90"/>
      <x:c r="AF169" s="75"/>
    </x:row>
    <x:row r="170" spans="2:32" ht="15.5">
      <x:c r="B170" s="88"/>
      <x:c r="C170" s="89"/>
      <x:c r="D170" s="89"/>
      <x:c r="E170" s="89"/>
      <x:c r="F170" s="89"/>
      <x:c r="G170" s="89"/>
      <x:c r="H170" s="89"/>
      <x:c r="I170" s="89"/>
      <x:c r="J170" s="89"/>
      <x:c r="K170" s="89"/>
      <x:c r="L170" s="89"/>
      <x:c r="M170" s="89"/>
      <x:c r="N170" s="89"/>
      <x:c r="O170" s="90"/>
      <x:c r="P170" s="90"/>
      <x:c r="Q170" s="90"/>
      <x:c r="AF170" s="75"/>
    </x:row>
    <x:row r="171" spans="2:32" ht="15.5">
      <x:c r="B171" s="88"/>
      <x:c r="C171" s="89"/>
      <x:c r="D171" s="89"/>
      <x:c r="E171" s="89"/>
      <x:c r="F171" s="89"/>
      <x:c r="G171" s="89"/>
      <x:c r="H171" s="89"/>
      <x:c r="I171" s="89"/>
      <x:c r="J171" s="89"/>
      <x:c r="K171" s="89"/>
      <x:c r="L171" s="89"/>
      <x:c r="M171" s="89"/>
      <x:c r="N171" s="89"/>
      <x:c r="O171" s="90"/>
      <x:c r="P171" s="90"/>
      <x:c r="Q171" s="90"/>
      <x:c r="AF171" s="75"/>
    </x:row>
    <x:row r="172" spans="2:32" ht="15.5">
      <x:c r="B172" s="88"/>
      <x:c r="C172" s="89"/>
      <x:c r="D172" s="89"/>
      <x:c r="E172" s="89"/>
      <x:c r="F172" s="89"/>
      <x:c r="G172" s="89"/>
      <x:c r="H172" s="89"/>
      <x:c r="I172" s="89"/>
      <x:c r="J172" s="89"/>
      <x:c r="K172" s="89"/>
      <x:c r="L172" s="89"/>
      <x:c r="M172" s="89"/>
      <x:c r="N172" s="89"/>
      <x:c r="O172" s="90"/>
      <x:c r="P172" s="90"/>
      <x:c r="Q172" s="90"/>
      <x:c r="AF172" s="75"/>
    </x:row>
    <x:row r="173" spans="2:32" ht="15.5">
      <x:c r="B173" s="88"/>
      <x:c r="C173" s="89"/>
      <x:c r="D173" s="89"/>
      <x:c r="E173" s="89"/>
      <x:c r="F173" s="89"/>
      <x:c r="G173" s="89"/>
      <x:c r="H173" s="89"/>
      <x:c r="I173" s="89"/>
      <x:c r="J173" s="89"/>
      <x:c r="K173" s="89"/>
      <x:c r="L173" s="89"/>
      <x:c r="M173" s="89"/>
      <x:c r="N173" s="89"/>
      <x:c r="O173" s="90"/>
      <x:c r="P173" s="90"/>
      <x:c r="Q173" s="90"/>
      <x:c r="AF173" s="75"/>
    </x:row>
    <x:row r="174" spans="2:32" ht="15.5">
      <x:c r="B174" s="88"/>
      <x:c r="C174" s="89"/>
      <x:c r="D174" s="89"/>
      <x:c r="E174" s="89"/>
      <x:c r="F174" s="89"/>
      <x:c r="G174" s="89"/>
      <x:c r="H174" s="89"/>
      <x:c r="I174" s="89"/>
      <x:c r="J174" s="89"/>
      <x:c r="K174" s="89"/>
      <x:c r="L174" s="89"/>
      <x:c r="M174" s="89"/>
      <x:c r="N174" s="89"/>
      <x:c r="O174" s="90"/>
      <x:c r="P174" s="90"/>
      <x:c r="Q174" s="90"/>
      <x:c r="AF174" s="75"/>
    </x:row>
    <x:row r="175" spans="2:32" ht="15.5">
      <x:c r="B175" s="88"/>
      <x:c r="C175" s="89"/>
      <x:c r="D175" s="89"/>
      <x:c r="E175" s="89"/>
      <x:c r="F175" s="89"/>
      <x:c r="G175" s="89"/>
      <x:c r="H175" s="89"/>
      <x:c r="I175" s="89"/>
      <x:c r="J175" s="89"/>
      <x:c r="K175" s="89"/>
      <x:c r="L175" s="89"/>
      <x:c r="M175" s="89"/>
      <x:c r="N175" s="89"/>
      <x:c r="O175" s="90"/>
      <x:c r="P175" s="90"/>
      <x:c r="Q175" s="90"/>
      <x:c r="AF175" s="75"/>
    </x:row>
    <x:row r="176" spans="2:32" ht="15.5">
      <x:c r="B176" s="88"/>
      <x:c r="C176" s="89"/>
      <x:c r="D176" s="89"/>
      <x:c r="E176" s="89"/>
      <x:c r="F176" s="89"/>
      <x:c r="G176" s="89"/>
      <x:c r="H176" s="89"/>
      <x:c r="I176" s="89"/>
      <x:c r="J176" s="89"/>
      <x:c r="K176" s="89"/>
      <x:c r="L176" s="89"/>
      <x:c r="M176" s="89"/>
      <x:c r="N176" s="89"/>
      <x:c r="O176" s="90"/>
      <x:c r="P176" s="90"/>
      <x:c r="Q176" s="90"/>
      <x:c r="AF176" s="75"/>
    </x:row>
    <x:row r="177" spans="2:32" ht="15.5">
      <x:c r="B177" s="88"/>
      <x:c r="C177" s="89"/>
      <x:c r="D177" s="89"/>
      <x:c r="E177" s="89"/>
      <x:c r="F177" s="89"/>
      <x:c r="G177" s="89"/>
      <x:c r="H177" s="89"/>
      <x:c r="I177" s="89"/>
      <x:c r="J177" s="89"/>
      <x:c r="K177" s="89"/>
      <x:c r="L177" s="89"/>
      <x:c r="M177" s="89"/>
      <x:c r="N177" s="89"/>
      <x:c r="O177" s="90"/>
      <x:c r="P177" s="90"/>
      <x:c r="Q177" s="90"/>
      <x:c r="AF177" s="75"/>
    </x:row>
    <x:row r="178" spans="2:32" ht="15.5">
      <x:c r="B178" s="88"/>
      <x:c r="C178" s="89"/>
      <x:c r="D178" s="89"/>
      <x:c r="E178" s="89"/>
      <x:c r="F178" s="89"/>
      <x:c r="G178" s="89"/>
      <x:c r="H178" s="89"/>
      <x:c r="I178" s="89"/>
      <x:c r="J178" s="89"/>
      <x:c r="K178" s="89"/>
      <x:c r="L178" s="89"/>
      <x:c r="M178" s="89"/>
      <x:c r="N178" s="89"/>
      <x:c r="O178" s="90"/>
      <x:c r="P178" s="90"/>
      <x:c r="Q178" s="90"/>
      <x:c r="AF178" s="75"/>
    </x:row>
    <x:row r="179" spans="2:32" ht="15.5">
      <x:c r="B179" s="88"/>
      <x:c r="C179" s="89"/>
      <x:c r="D179" s="89"/>
      <x:c r="E179" s="89"/>
      <x:c r="F179" s="89"/>
      <x:c r="G179" s="89"/>
      <x:c r="H179" s="89"/>
      <x:c r="I179" s="89"/>
      <x:c r="J179" s="89"/>
      <x:c r="K179" s="89"/>
      <x:c r="L179" s="89"/>
      <x:c r="M179" s="89"/>
      <x:c r="N179" s="89"/>
      <x:c r="O179" s="90"/>
      <x:c r="P179" s="90"/>
      <x:c r="Q179" s="90"/>
      <x:c r="AF179" s="75"/>
    </x:row>
    <x:row r="180" spans="2:32" ht="15.5">
      <x:c r="B180" s="88"/>
      <x:c r="C180" s="89"/>
      <x:c r="D180" s="90"/>
      <x:c r="E180" s="90"/>
      <x:c r="F180" s="90"/>
      <x:c r="G180" s="90"/>
      <x:c r="H180" s="90"/>
      <x:c r="I180" s="90"/>
      <x:c r="J180" s="90"/>
      <x:c r="K180" s="89"/>
      <x:c r="L180" s="89"/>
      <x:c r="M180" s="89"/>
      <x:c r="N180" s="89"/>
      <x:c r="O180" s="89"/>
      <x:c r="P180" s="89"/>
      <x:c r="Q180" s="89"/>
      <x:c r="AF180" s="75"/>
    </x:row>
    <x:row r="181" spans="2:32" ht="15.5">
      <x:c r="B181" s="88"/>
      <x:c r="C181" s="89"/>
      <x:c r="D181" s="90"/>
      <x:c r="E181" s="90"/>
      <x:c r="F181" s="90"/>
      <x:c r="G181" s="90"/>
      <x:c r="H181" s="90"/>
      <x:c r="I181" s="90"/>
      <x:c r="J181" s="90"/>
      <x:c r="K181" s="89"/>
      <x:c r="L181" s="89"/>
      <x:c r="M181" s="89"/>
      <x:c r="N181" s="89"/>
      <x:c r="O181" s="89"/>
      <x:c r="P181" s="89"/>
      <x:c r="Q181" s="89"/>
      <x:c r="AF181" s="75"/>
    </x:row>
    <x:row r="182" spans="2:32" ht="15.5">
      <x:c r="B182" s="88"/>
      <x:c r="C182" s="89"/>
      <x:c r="D182" s="90"/>
      <x:c r="E182" s="90"/>
      <x:c r="F182" s="90"/>
      <x:c r="G182" s="90"/>
      <x:c r="H182" s="90"/>
      <x:c r="I182" s="90"/>
      <x:c r="J182" s="90"/>
      <x:c r="K182" s="89"/>
      <x:c r="L182" s="89"/>
      <x:c r="M182" s="89"/>
      <x:c r="N182" s="89"/>
      <x:c r="O182" s="89"/>
      <x:c r="P182" s="89"/>
      <x:c r="Q182" s="89"/>
      <x:c r="AF182" s="75"/>
    </x:row>
    <x:row r="183" spans="2:32" ht="15.5">
      <x:c r="B183" s="88"/>
      <x:c r="C183" s="89"/>
      <x:c r="D183" s="90"/>
      <x:c r="E183" s="90"/>
      <x:c r="F183" s="90"/>
      <x:c r="G183" s="90"/>
      <x:c r="H183" s="90"/>
      <x:c r="I183" s="90"/>
      <x:c r="J183" s="90"/>
      <x:c r="K183" s="89"/>
      <x:c r="L183" s="89"/>
      <x:c r="M183" s="89"/>
      <x:c r="N183" s="89"/>
      <x:c r="O183" s="89"/>
      <x:c r="P183" s="89"/>
      <x:c r="Q183" s="89"/>
      <x:c r="AF183" s="75"/>
    </x:row>
    <x:row r="184" spans="2:32" ht="15.5">
      <x:c r="B184" s="88"/>
      <x:c r="C184" s="89"/>
      <x:c r="D184" s="90"/>
      <x:c r="E184" s="90"/>
      <x:c r="F184" s="90"/>
      <x:c r="G184" s="90"/>
      <x:c r="H184" s="90"/>
      <x:c r="I184" s="90"/>
      <x:c r="J184" s="90"/>
      <x:c r="K184" s="89"/>
      <x:c r="L184" s="89"/>
      <x:c r="M184" s="89"/>
      <x:c r="N184" s="89"/>
      <x:c r="O184" s="89"/>
      <x:c r="P184" s="89"/>
      <x:c r="Q184" s="89"/>
      <x:c r="AF184" s="75"/>
    </x:row>
    <x:row r="185" spans="2:32" ht="15.5">
      <x:c r="B185" s="88"/>
      <x:c r="C185" s="89"/>
      <x:c r="D185" s="90"/>
      <x:c r="E185" s="90"/>
      <x:c r="F185" s="90"/>
      <x:c r="G185" s="90"/>
      <x:c r="H185" s="90"/>
      <x:c r="I185" s="90"/>
      <x:c r="J185" s="90"/>
      <x:c r="K185" s="89"/>
      <x:c r="L185" s="89"/>
      <x:c r="M185" s="89"/>
      <x:c r="N185" s="89"/>
      <x:c r="O185" s="89"/>
      <x:c r="P185" s="89"/>
      <x:c r="Q185" s="89"/>
      <x:c r="AF185" s="75"/>
    </x:row>
    <x:row r="186" spans="2:32" ht="15.5">
      <x:c r="B186" s="88"/>
      <x:c r="C186" s="89"/>
      <x:c r="D186" s="90"/>
      <x:c r="E186" s="90"/>
      <x:c r="F186" s="90"/>
      <x:c r="G186" s="90"/>
      <x:c r="H186" s="90"/>
      <x:c r="I186" s="90"/>
      <x:c r="J186" s="90"/>
      <x:c r="K186" s="89"/>
      <x:c r="L186" s="89"/>
      <x:c r="M186" s="89"/>
      <x:c r="N186" s="89"/>
      <x:c r="O186" s="89"/>
      <x:c r="P186" s="89"/>
      <x:c r="Q186" s="89"/>
      <x:c r="AF186" s="75"/>
    </x:row>
    <x:row r="187" spans="2:32" ht="15.5">
      <x:c r="B187" s="88"/>
      <x:c r="C187" s="89"/>
      <x:c r="D187" s="90"/>
      <x:c r="E187" s="90"/>
      <x:c r="F187" s="90"/>
      <x:c r="G187" s="90"/>
      <x:c r="H187" s="90"/>
      <x:c r="I187" s="90"/>
      <x:c r="J187" s="90"/>
      <x:c r="K187" s="89"/>
      <x:c r="L187" s="89"/>
      <x:c r="M187" s="89"/>
      <x:c r="N187" s="89"/>
      <x:c r="O187" s="89"/>
      <x:c r="P187" s="89"/>
      <x:c r="Q187" s="89"/>
      <x:c r="AF187" s="75"/>
    </x:row>
    <x:row r="188" spans="2:32" ht="15.5">
      <x:c r="B188" s="88"/>
      <x:c r="C188" s="89"/>
      <x:c r="D188" s="90"/>
      <x:c r="E188" s="90"/>
      <x:c r="F188" s="90"/>
      <x:c r="G188" s="90"/>
      <x:c r="H188" s="90"/>
      <x:c r="I188" s="90"/>
      <x:c r="J188" s="90"/>
      <x:c r="K188" s="89"/>
      <x:c r="L188" s="89"/>
      <x:c r="M188" s="89"/>
      <x:c r="N188" s="89"/>
      <x:c r="O188" s="89"/>
      <x:c r="P188" s="89"/>
      <x:c r="Q188" s="89"/>
      <x:c r="AF188" s="75"/>
    </x:row>
    <x:row r="189" spans="2:32" ht="15.5">
      <x:c r="B189" s="88"/>
      <x:c r="C189" s="89"/>
      <x:c r="D189" s="90"/>
      <x:c r="E189" s="90"/>
      <x:c r="F189" s="90"/>
      <x:c r="G189" s="90"/>
      <x:c r="H189" s="90"/>
      <x:c r="I189" s="90"/>
      <x:c r="J189" s="90"/>
      <x:c r="K189" s="89"/>
      <x:c r="L189" s="89"/>
      <x:c r="M189" s="89"/>
      <x:c r="N189" s="89"/>
      <x:c r="O189" s="89"/>
      <x:c r="P189" s="89"/>
      <x:c r="Q189" s="89"/>
      <x:c r="AF189" s="75"/>
    </x:row>
    <x:row r="190" spans="2:32" ht="15.5">
      <x:c r="B190" s="88"/>
      <x:c r="C190" s="89"/>
      <x:c r="D190" s="90"/>
      <x:c r="E190" s="90"/>
      <x:c r="F190" s="90"/>
      <x:c r="G190" s="90"/>
      <x:c r="H190" s="90"/>
      <x:c r="I190" s="90"/>
      <x:c r="J190" s="90"/>
      <x:c r="K190" s="89"/>
      <x:c r="L190" s="89"/>
      <x:c r="M190" s="89"/>
      <x:c r="N190" s="89"/>
      <x:c r="O190" s="89"/>
      <x:c r="P190" s="89"/>
      <x:c r="Q190" s="89"/>
      <x:c r="AF190" s="75"/>
    </x:row>
    <x:row r="191" spans="2:32" ht="15.5">
      <x:c r="B191" s="88"/>
      <x:c r="C191" s="89"/>
      <x:c r="D191" s="90"/>
      <x:c r="E191" s="90"/>
      <x:c r="F191" s="90"/>
      <x:c r="G191" s="90"/>
      <x:c r="H191" s="90"/>
      <x:c r="I191" s="90"/>
      <x:c r="J191" s="90"/>
      <x:c r="K191" s="89"/>
      <x:c r="L191" s="89"/>
      <x:c r="M191" s="89"/>
      <x:c r="N191" s="89"/>
      <x:c r="O191" s="89"/>
      <x:c r="P191" s="89"/>
      <x:c r="Q191" s="89"/>
      <x:c r="AF191" s="75"/>
    </x:row>
    <x:row r="192" spans="2:32" ht="15.5">
      <x:c r="B192" s="88"/>
      <x:c r="C192" s="89"/>
      <x:c r="D192" s="90"/>
      <x:c r="E192" s="90"/>
      <x:c r="F192" s="90"/>
      <x:c r="G192" s="90"/>
      <x:c r="H192" s="90"/>
      <x:c r="I192" s="90"/>
      <x:c r="J192" s="90"/>
      <x:c r="K192" s="89"/>
      <x:c r="L192" s="89"/>
      <x:c r="M192" s="89"/>
      <x:c r="N192" s="89"/>
      <x:c r="O192" s="89"/>
      <x:c r="P192" s="89"/>
      <x:c r="Q192" s="89"/>
      <x:c r="AF192" s="75"/>
    </x:row>
    <x:row r="193" spans="2:32" ht="15.5">
      <x:c r="B193" s="88"/>
      <x:c r="C193" s="89"/>
      <x:c r="D193" s="90"/>
      <x:c r="E193" s="90"/>
      <x:c r="F193" s="90"/>
      <x:c r="G193" s="90"/>
      <x:c r="H193" s="90"/>
      <x:c r="I193" s="90"/>
      <x:c r="J193" s="90"/>
      <x:c r="K193" s="89"/>
      <x:c r="L193" s="89"/>
      <x:c r="M193" s="89"/>
      <x:c r="N193" s="89"/>
      <x:c r="O193" s="89"/>
      <x:c r="P193" s="89"/>
      <x:c r="Q193" s="89"/>
      <x:c r="AF193" s="75"/>
    </x:row>
    <x:row r="194" spans="2:32" ht="15.5">
      <x:c r="B194" s="88"/>
      <x:c r="C194" s="89"/>
      <x:c r="D194" s="90"/>
      <x:c r="E194" s="90"/>
      <x:c r="F194" s="90"/>
      <x:c r="G194" s="90"/>
      <x:c r="H194" s="90"/>
      <x:c r="I194" s="90"/>
      <x:c r="J194" s="90"/>
      <x:c r="K194" s="89"/>
      <x:c r="L194" s="89"/>
      <x:c r="M194" s="89"/>
      <x:c r="N194" s="89"/>
      <x:c r="O194" s="89"/>
      <x:c r="P194" s="89"/>
      <x:c r="Q194" s="89"/>
      <x:c r="AF194" s="75"/>
    </x:row>
    <x:row r="195" spans="2:32" ht="15.5">
      <x:c r="B195" s="88"/>
      <x:c r="C195" s="89"/>
      <x:c r="D195" s="90"/>
      <x:c r="E195" s="90"/>
      <x:c r="F195" s="90"/>
      <x:c r="G195" s="90"/>
      <x:c r="H195" s="90"/>
      <x:c r="I195" s="90"/>
      <x:c r="J195" s="90"/>
      <x:c r="K195" s="89"/>
      <x:c r="L195" s="89"/>
      <x:c r="M195" s="89"/>
      <x:c r="N195" s="89"/>
      <x:c r="O195" s="89"/>
      <x:c r="P195" s="89"/>
      <x:c r="Q195" s="89"/>
      <x:c r="AF195" s="75"/>
    </x:row>
    <x:row r="196" spans="2:32" ht="15.5">
      <x:c r="B196" s="88"/>
      <x:c r="C196" s="89"/>
      <x:c r="D196" s="90"/>
      <x:c r="E196" s="90"/>
      <x:c r="F196" s="90"/>
      <x:c r="G196" s="90"/>
      <x:c r="H196" s="90"/>
      <x:c r="I196" s="90"/>
      <x:c r="J196" s="90"/>
      <x:c r="K196" s="89"/>
      <x:c r="L196" s="89"/>
      <x:c r="M196" s="89"/>
      <x:c r="N196" s="89"/>
      <x:c r="O196" s="89"/>
      <x:c r="P196" s="89"/>
      <x:c r="Q196" s="89"/>
      <x:c r="AF196" s="75"/>
    </x:row>
    <x:row r="197" spans="2:32" ht="15.5">
      <x:c r="B197" s="88"/>
      <x:c r="C197" s="89"/>
      <x:c r="D197" s="90"/>
      <x:c r="E197" s="90"/>
      <x:c r="F197" s="90"/>
      <x:c r="G197" s="90"/>
      <x:c r="H197" s="90"/>
      <x:c r="I197" s="90"/>
      <x:c r="J197" s="90"/>
      <x:c r="K197" s="89"/>
      <x:c r="L197" s="89"/>
      <x:c r="M197" s="89"/>
      <x:c r="N197" s="89"/>
      <x:c r="O197" s="89"/>
      <x:c r="P197" s="89"/>
      <x:c r="Q197" s="89"/>
      <x:c r="AF197" s="75"/>
    </x:row>
    <x:row r="198" spans="2:32" ht="15.5">
      <x:c r="B198" s="88"/>
      <x:c r="C198" s="89"/>
      <x:c r="D198" s="90"/>
      <x:c r="E198" s="90"/>
      <x:c r="F198" s="90"/>
      <x:c r="G198" s="90"/>
      <x:c r="H198" s="90"/>
      <x:c r="I198" s="90"/>
      <x:c r="J198" s="90"/>
      <x:c r="K198" s="89"/>
      <x:c r="L198" s="89"/>
      <x:c r="M198" s="89"/>
      <x:c r="N198" s="89"/>
      <x:c r="O198" s="89"/>
      <x:c r="P198" s="89"/>
      <x:c r="Q198" s="89"/>
      <x:c r="AF198" s="75"/>
    </x:row>
    <x:row r="199" spans="2:32" ht="15.5">
      <x:c r="B199" s="88"/>
      <x:c r="C199" s="89"/>
      <x:c r="D199" s="90"/>
      <x:c r="E199" s="90"/>
      <x:c r="F199" s="90"/>
      <x:c r="G199" s="90"/>
      <x:c r="H199" s="90"/>
      <x:c r="I199" s="90"/>
      <x:c r="J199" s="90"/>
      <x:c r="K199" s="89"/>
      <x:c r="L199" s="89"/>
      <x:c r="M199" s="89"/>
      <x:c r="N199" s="89"/>
      <x:c r="O199" s="89"/>
      <x:c r="P199" s="89"/>
      <x:c r="Q199" s="89"/>
      <x:c r="AF199" s="75"/>
    </x:row>
    <x:row r="200" spans="2:32" ht="15.5">
      <x:c r="B200" s="88"/>
      <x:c r="C200" s="89"/>
      <x:c r="D200" s="90"/>
      <x:c r="E200" s="90"/>
      <x:c r="F200" s="90"/>
      <x:c r="G200" s="90"/>
      <x:c r="H200" s="90"/>
      <x:c r="I200" s="90"/>
      <x:c r="J200" s="90"/>
      <x:c r="K200" s="89"/>
      <x:c r="L200" s="89"/>
      <x:c r="M200" s="89"/>
      <x:c r="N200" s="89"/>
      <x:c r="O200" s="89"/>
      <x:c r="P200" s="89"/>
      <x:c r="Q200" s="89"/>
      <x:c r="AF200" s="75"/>
    </x:row>
    <x:row r="201" spans="2:32" ht="15.5">
      <x:c r="B201" s="88"/>
      <x:c r="C201" s="89"/>
      <x:c r="D201" s="90"/>
      <x:c r="E201" s="90"/>
      <x:c r="F201" s="90"/>
      <x:c r="G201" s="90"/>
      <x:c r="H201" s="90"/>
      <x:c r="I201" s="90"/>
      <x:c r="J201" s="90"/>
      <x:c r="K201" s="89"/>
      <x:c r="L201" s="89"/>
      <x:c r="M201" s="89"/>
      <x:c r="N201" s="89"/>
      <x:c r="O201" s="89"/>
      <x:c r="P201" s="89"/>
      <x:c r="Q201" s="89"/>
      <x:c r="AF201" s="75"/>
    </x:row>
    <x:row r="202" spans="2:32" ht="15.5">
      <x:c r="B202" s="88"/>
      <x:c r="C202" s="89"/>
      <x:c r="D202" s="90"/>
      <x:c r="E202" s="90"/>
      <x:c r="F202" s="90"/>
      <x:c r="G202" s="90"/>
      <x:c r="H202" s="90"/>
      <x:c r="I202" s="90"/>
      <x:c r="J202" s="90"/>
      <x:c r="K202" s="89"/>
      <x:c r="L202" s="89"/>
      <x:c r="M202" s="89"/>
      <x:c r="N202" s="89"/>
      <x:c r="O202" s="89"/>
      <x:c r="P202" s="89"/>
      <x:c r="Q202" s="89"/>
      <x:c r="AF202" s="75"/>
    </x:row>
    <x:row r="203" spans="2:32" ht="15.5">
      <x:c r="B203" s="88"/>
      <x:c r="C203" s="89"/>
      <x:c r="D203" s="90"/>
      <x:c r="E203" s="90"/>
      <x:c r="F203" s="90"/>
      <x:c r="G203" s="90"/>
      <x:c r="H203" s="90"/>
      <x:c r="I203" s="90"/>
      <x:c r="J203" s="90"/>
      <x:c r="K203" s="89"/>
      <x:c r="L203" s="89"/>
      <x:c r="M203" s="89"/>
      <x:c r="N203" s="89"/>
      <x:c r="O203" s="89"/>
      <x:c r="P203" s="89"/>
      <x:c r="Q203" s="89"/>
      <x:c r="AF203" s="75"/>
    </x:row>
    <x:row r="204" spans="2:32" ht="15.5">
      <x:c r="B204" s="88"/>
      <x:c r="C204" s="89"/>
      <x:c r="D204" s="90"/>
      <x:c r="E204" s="90"/>
      <x:c r="F204" s="90"/>
      <x:c r="G204" s="90"/>
      <x:c r="H204" s="90"/>
      <x:c r="I204" s="90"/>
      <x:c r="J204" s="90"/>
      <x:c r="K204" s="89"/>
      <x:c r="L204" s="89"/>
      <x:c r="M204" s="89"/>
      <x:c r="N204" s="89"/>
      <x:c r="O204" s="89"/>
      <x:c r="P204" s="89"/>
      <x:c r="Q204" s="89"/>
      <x:c r="AF204" s="75"/>
    </x:row>
    <x:row r="205" spans="2:32" ht="15.5">
      <x:c r="B205" s="88"/>
      <x:c r="C205" s="89"/>
      <x:c r="D205" s="90"/>
      <x:c r="E205" s="90"/>
      <x:c r="F205" s="90"/>
      <x:c r="G205" s="90"/>
      <x:c r="H205" s="90"/>
      <x:c r="I205" s="90"/>
      <x:c r="J205" s="90"/>
      <x:c r="K205" s="89"/>
      <x:c r="L205" s="89"/>
      <x:c r="M205" s="89"/>
      <x:c r="N205" s="89"/>
      <x:c r="O205" s="89"/>
      <x:c r="P205" s="89"/>
      <x:c r="Q205" s="89"/>
      <x:c r="AF205" s="75"/>
    </x:row>
    <x:row r="206" spans="2:32" ht="15.5">
      <x:c r="B206" s="88"/>
      <x:c r="C206" s="89"/>
      <x:c r="D206" s="90"/>
      <x:c r="E206" s="90"/>
      <x:c r="F206" s="90"/>
      <x:c r="G206" s="90"/>
      <x:c r="H206" s="90"/>
      <x:c r="I206" s="90"/>
      <x:c r="J206" s="90"/>
      <x:c r="K206" s="89"/>
      <x:c r="L206" s="89"/>
      <x:c r="M206" s="89"/>
      <x:c r="N206" s="89"/>
      <x:c r="O206" s="89"/>
      <x:c r="P206" s="89"/>
      <x:c r="Q206" s="89"/>
      <x:c r="AF206" s="75"/>
    </x:row>
    <x:row r="207" spans="2:32" ht="15.5">
      <x:c r="B207" s="88"/>
      <x:c r="C207" s="89"/>
      <x:c r="D207" s="90"/>
      <x:c r="E207" s="90"/>
      <x:c r="F207" s="90"/>
      <x:c r="G207" s="90"/>
      <x:c r="H207" s="90"/>
      <x:c r="I207" s="90"/>
      <x:c r="J207" s="90"/>
      <x:c r="K207" s="89"/>
      <x:c r="L207" s="89"/>
      <x:c r="M207" s="89"/>
      <x:c r="N207" s="89"/>
      <x:c r="O207" s="89"/>
      <x:c r="P207" s="89"/>
      <x:c r="Q207" s="89"/>
      <x:c r="AF207" s="75"/>
    </x:row>
    <x:row r="208" spans="2:32" ht="15.5">
      <x:c r="B208" s="88"/>
      <x:c r="C208" s="89"/>
      <x:c r="D208" s="90"/>
      <x:c r="E208" s="90"/>
      <x:c r="F208" s="90"/>
      <x:c r="G208" s="90"/>
      <x:c r="H208" s="90"/>
      <x:c r="I208" s="90"/>
      <x:c r="J208" s="90"/>
      <x:c r="K208" s="89"/>
      <x:c r="L208" s="89"/>
      <x:c r="M208" s="89"/>
      <x:c r="N208" s="89"/>
      <x:c r="O208" s="89"/>
      <x:c r="P208" s="89"/>
      <x:c r="Q208" s="89"/>
      <x:c r="AF208" s="75"/>
    </x:row>
    <x:row r="209" spans="2:32" ht="15.5">
      <x:c r="B209" s="88"/>
      <x:c r="C209" s="89"/>
      <x:c r="D209" s="90"/>
      <x:c r="E209" s="90"/>
      <x:c r="F209" s="90"/>
      <x:c r="G209" s="90"/>
      <x:c r="H209" s="90"/>
      <x:c r="I209" s="90"/>
      <x:c r="J209" s="90"/>
      <x:c r="K209" s="89"/>
      <x:c r="L209" s="89"/>
      <x:c r="M209" s="89"/>
      <x:c r="N209" s="89"/>
      <x:c r="O209" s="89"/>
      <x:c r="P209" s="89"/>
      <x:c r="Q209" s="89"/>
      <x:c r="AF209" s="75"/>
    </x:row>
    <x:row r="210" spans="2:32" ht="15.5">
      <x:c r="B210" s="88"/>
      <x:c r="C210" s="89"/>
      <x:c r="D210" s="90"/>
      <x:c r="E210" s="90"/>
      <x:c r="F210" s="90"/>
      <x:c r="G210" s="90"/>
      <x:c r="H210" s="90"/>
      <x:c r="I210" s="90"/>
      <x:c r="J210" s="90"/>
      <x:c r="K210" s="89"/>
      <x:c r="L210" s="89"/>
      <x:c r="M210" s="89"/>
      <x:c r="N210" s="89"/>
      <x:c r="O210" s="89"/>
      <x:c r="P210" s="89"/>
      <x:c r="Q210" s="89"/>
      <x:c r="AF210" s="75"/>
    </x:row>
    <x:row r="211" spans="2:32" ht="15.5">
      <x:c r="B211" s="88"/>
      <x:c r="C211" s="89"/>
      <x:c r="D211" s="90"/>
      <x:c r="E211" s="90"/>
      <x:c r="F211" s="90"/>
      <x:c r="G211" s="90"/>
      <x:c r="H211" s="90"/>
      <x:c r="I211" s="90"/>
      <x:c r="J211" s="90"/>
      <x:c r="K211" s="89"/>
      <x:c r="L211" s="89"/>
      <x:c r="M211" s="89"/>
      <x:c r="N211" s="89"/>
      <x:c r="O211" s="89"/>
      <x:c r="P211" s="89"/>
      <x:c r="Q211" s="89"/>
      <x:c r="AF211" s="75"/>
    </x:row>
    <x:row r="212" spans="2:32" ht="15.5">
      <x:c r="B212" s="88"/>
      <x:c r="C212" s="89"/>
      <x:c r="D212" s="90"/>
      <x:c r="E212" s="90"/>
      <x:c r="F212" s="90"/>
      <x:c r="G212" s="90"/>
      <x:c r="H212" s="90"/>
      <x:c r="I212" s="90"/>
      <x:c r="J212" s="90"/>
      <x:c r="K212" s="89"/>
      <x:c r="L212" s="89"/>
      <x:c r="M212" s="89"/>
      <x:c r="N212" s="89"/>
      <x:c r="O212" s="89"/>
      <x:c r="P212" s="89"/>
      <x:c r="Q212" s="89"/>
      <x:c r="AF212" s="75"/>
    </x:row>
    <x:row r="213" spans="2:32" ht="15.5">
      <x:c r="B213" s="88"/>
      <x:c r="C213" s="89"/>
      <x:c r="D213" s="90"/>
      <x:c r="E213" s="90"/>
      <x:c r="F213" s="90"/>
      <x:c r="G213" s="90"/>
      <x:c r="H213" s="90"/>
      <x:c r="I213" s="90"/>
      <x:c r="J213" s="90"/>
      <x:c r="K213" s="89"/>
      <x:c r="L213" s="89"/>
      <x:c r="M213" s="89"/>
      <x:c r="N213" s="89"/>
      <x:c r="O213" s="89"/>
      <x:c r="P213" s="89"/>
      <x:c r="Q213" s="89"/>
      <x:c r="AF213" s="75"/>
    </x:row>
    <x:row r="214" spans="2:32" ht="15.5">
      <x:c r="B214" s="88"/>
      <x:c r="C214" s="89"/>
      <x:c r="D214" s="90"/>
      <x:c r="E214" s="90"/>
      <x:c r="F214" s="90"/>
      <x:c r="G214" s="90"/>
      <x:c r="H214" s="90"/>
      <x:c r="I214" s="90"/>
      <x:c r="J214" s="90"/>
      <x:c r="K214" s="89"/>
      <x:c r="L214" s="89"/>
      <x:c r="M214" s="89"/>
      <x:c r="N214" s="89"/>
      <x:c r="O214" s="89"/>
      <x:c r="P214" s="89"/>
      <x:c r="Q214" s="89"/>
      <x:c r="AF214" s="75"/>
    </x:row>
    <x:row r="215" spans="2:32" ht="15.5">
      <x:c r="B215" s="88"/>
      <x:c r="C215" s="89"/>
      <x:c r="D215" s="90"/>
      <x:c r="E215" s="90"/>
      <x:c r="F215" s="90"/>
      <x:c r="G215" s="90"/>
      <x:c r="H215" s="90"/>
      <x:c r="I215" s="90"/>
      <x:c r="J215" s="90"/>
      <x:c r="K215" s="89"/>
      <x:c r="L215" s="89"/>
      <x:c r="M215" s="89"/>
      <x:c r="N215" s="89"/>
      <x:c r="O215" s="89"/>
      <x:c r="P215" s="89"/>
      <x:c r="Q215" s="89"/>
      <x:c r="AF215" s="75"/>
    </x:row>
    <x:row r="216" spans="2:32" ht="15.5">
      <x:c r="B216" s="88"/>
      <x:c r="C216" s="89"/>
      <x:c r="D216" s="90"/>
      <x:c r="E216" s="90"/>
      <x:c r="F216" s="90"/>
      <x:c r="G216" s="90"/>
      <x:c r="H216" s="90"/>
      <x:c r="I216" s="90"/>
      <x:c r="J216" s="90"/>
      <x:c r="K216" s="89"/>
      <x:c r="L216" s="89"/>
      <x:c r="M216" s="89"/>
      <x:c r="N216" s="89"/>
      <x:c r="O216" s="89"/>
      <x:c r="P216" s="89"/>
      <x:c r="Q216" s="89"/>
      <x:c r="AF216" s="75"/>
    </x:row>
    <x:row r="217" spans="2:32" ht="15.5">
      <x:c r="B217" s="88"/>
      <x:c r="C217" s="89"/>
      <x:c r="D217" s="90"/>
      <x:c r="E217" s="90"/>
      <x:c r="F217" s="90"/>
      <x:c r="G217" s="90"/>
      <x:c r="H217" s="90"/>
      <x:c r="I217" s="90"/>
      <x:c r="J217" s="90"/>
      <x:c r="K217" s="89"/>
      <x:c r="L217" s="89"/>
      <x:c r="M217" s="89"/>
      <x:c r="N217" s="89"/>
      <x:c r="O217" s="89"/>
      <x:c r="P217" s="89"/>
      <x:c r="Q217" s="89"/>
      <x:c r="AF217" s="75"/>
    </x:row>
    <x:row r="218" spans="2:32" ht="15.5">
      <x:c r="B218" s="88"/>
      <x:c r="C218" s="89"/>
      <x:c r="D218" s="90"/>
      <x:c r="E218" s="90"/>
      <x:c r="F218" s="90"/>
      <x:c r="G218" s="90"/>
      <x:c r="H218" s="90"/>
      <x:c r="I218" s="90"/>
      <x:c r="J218" s="90"/>
      <x:c r="K218" s="89"/>
      <x:c r="L218" s="89"/>
      <x:c r="M218" s="89"/>
      <x:c r="N218" s="89"/>
      <x:c r="O218" s="89"/>
      <x:c r="P218" s="89"/>
      <x:c r="Q218" s="89"/>
      <x:c r="AF218" s="75"/>
    </x:row>
    <x:row r="219" spans="2:32" ht="15.5">
      <x:c r="B219" s="88"/>
      <x:c r="C219" s="89"/>
      <x:c r="D219" s="90"/>
      <x:c r="E219" s="90"/>
      <x:c r="F219" s="90"/>
      <x:c r="G219" s="90"/>
      <x:c r="H219" s="90"/>
      <x:c r="I219" s="90"/>
      <x:c r="J219" s="90"/>
      <x:c r="K219" s="89"/>
      <x:c r="L219" s="89"/>
      <x:c r="M219" s="89"/>
      <x:c r="N219" s="89"/>
      <x:c r="O219" s="89"/>
      <x:c r="P219" s="89"/>
      <x:c r="Q219" s="89"/>
      <x:c r="AF219" s="75"/>
    </x:row>
    <x:row r="220" spans="2:32" ht="15.5">
      <x:c r="B220" s="88"/>
      <x:c r="C220" s="89"/>
      <x:c r="D220" s="90"/>
      <x:c r="E220" s="90"/>
      <x:c r="F220" s="90"/>
      <x:c r="G220" s="90"/>
      <x:c r="H220" s="90"/>
      <x:c r="I220" s="90"/>
      <x:c r="J220" s="90"/>
      <x:c r="K220" s="89"/>
      <x:c r="L220" s="89"/>
      <x:c r="M220" s="89"/>
      <x:c r="N220" s="89"/>
      <x:c r="O220" s="89"/>
      <x:c r="P220" s="89"/>
      <x:c r="Q220" s="89"/>
      <x:c r="AF220" s="75"/>
    </x:row>
    <x:row r="221" spans="2:32" ht="15.5">
      <x:c r="B221" s="88"/>
      <x:c r="C221" s="89"/>
      <x:c r="D221" s="90"/>
      <x:c r="E221" s="90"/>
      <x:c r="F221" s="90"/>
      <x:c r="G221" s="90"/>
      <x:c r="H221" s="90"/>
      <x:c r="I221" s="90"/>
      <x:c r="J221" s="90"/>
      <x:c r="K221" s="89"/>
      <x:c r="L221" s="89"/>
      <x:c r="M221" s="89"/>
      <x:c r="N221" s="89"/>
      <x:c r="O221" s="89"/>
      <x:c r="P221" s="89"/>
      <x:c r="Q221" s="89"/>
      <x:c r="AF221" s="75"/>
    </x:row>
    <x:row r="222" spans="2:32" ht="15.5">
      <x:c r="B222" s="88"/>
      <x:c r="C222" s="89"/>
      <x:c r="D222" s="90"/>
      <x:c r="E222" s="90"/>
      <x:c r="F222" s="90"/>
      <x:c r="G222" s="90"/>
      <x:c r="H222" s="90"/>
      <x:c r="I222" s="90"/>
      <x:c r="J222" s="90"/>
      <x:c r="K222" s="89"/>
      <x:c r="L222" s="89"/>
      <x:c r="M222" s="89"/>
      <x:c r="N222" s="89"/>
      <x:c r="O222" s="89"/>
      <x:c r="P222" s="89"/>
      <x:c r="Q222" s="89"/>
      <x:c r="AF222" s="75"/>
    </x:row>
    <x:row r="223" spans="2:32" ht="15.5">
      <x:c r="B223" s="88"/>
      <x:c r="C223" s="89"/>
      <x:c r="D223" s="90"/>
      <x:c r="E223" s="90"/>
      <x:c r="F223" s="90"/>
      <x:c r="G223" s="90"/>
      <x:c r="H223" s="90"/>
      <x:c r="I223" s="90"/>
      <x:c r="J223" s="90"/>
      <x:c r="K223" s="89"/>
      <x:c r="L223" s="89"/>
      <x:c r="M223" s="89"/>
      <x:c r="N223" s="89"/>
      <x:c r="O223" s="89"/>
      <x:c r="P223" s="89"/>
      <x:c r="Q223" s="89"/>
      <x:c r="AF223" s="75"/>
    </x:row>
    <x:row r="224" spans="2:32" ht="15.5">
      <x:c r="B224" s="88"/>
      <x:c r="C224" s="89"/>
      <x:c r="D224" s="90"/>
      <x:c r="E224" s="90"/>
      <x:c r="F224" s="90"/>
      <x:c r="G224" s="90"/>
      <x:c r="H224" s="90"/>
      <x:c r="I224" s="90"/>
      <x:c r="J224" s="90"/>
      <x:c r="K224" s="89"/>
      <x:c r="L224" s="89"/>
      <x:c r="M224" s="89"/>
      <x:c r="N224" s="89"/>
      <x:c r="O224" s="89"/>
      <x:c r="P224" s="89"/>
      <x:c r="Q224" s="89"/>
      <x:c r="AF224" s="75"/>
    </x:row>
    <x:row r="225" spans="2:32" ht="15.5">
      <x:c r="B225" s="88"/>
      <x:c r="C225" s="89"/>
      <x:c r="D225" s="90"/>
      <x:c r="E225" s="90"/>
      <x:c r="F225" s="90"/>
      <x:c r="G225" s="90"/>
      <x:c r="H225" s="90"/>
      <x:c r="I225" s="90"/>
      <x:c r="J225" s="90"/>
      <x:c r="K225" s="89"/>
      <x:c r="L225" s="89"/>
      <x:c r="M225" s="89"/>
      <x:c r="N225" s="89"/>
      <x:c r="O225" s="89"/>
      <x:c r="P225" s="89"/>
      <x:c r="Q225" s="89"/>
      <x:c r="AF225" s="75"/>
    </x:row>
    <x:row r="226" spans="2:32" ht="15.5">
      <x:c r="B226" s="88"/>
      <x:c r="C226" s="89"/>
      <x:c r="D226" s="90"/>
      <x:c r="E226" s="90"/>
      <x:c r="F226" s="90"/>
      <x:c r="G226" s="90"/>
      <x:c r="H226" s="90"/>
      <x:c r="I226" s="90"/>
      <x:c r="J226" s="90"/>
      <x:c r="K226" s="89"/>
      <x:c r="L226" s="89"/>
      <x:c r="M226" s="89"/>
      <x:c r="N226" s="89"/>
      <x:c r="O226" s="89"/>
      <x:c r="P226" s="89"/>
      <x:c r="Q226" s="89"/>
      <x:c r="AF226" s="75"/>
    </x:row>
    <x:row r="227" spans="2:32" ht="15.5">
      <x:c r="B227" s="88"/>
      <x:c r="C227" s="89"/>
      <x:c r="D227" s="90"/>
      <x:c r="E227" s="90"/>
      <x:c r="F227" s="90"/>
      <x:c r="G227" s="90"/>
      <x:c r="H227" s="90"/>
      <x:c r="I227" s="90"/>
      <x:c r="J227" s="90"/>
      <x:c r="K227" s="89"/>
      <x:c r="L227" s="89"/>
      <x:c r="M227" s="89"/>
      <x:c r="N227" s="89"/>
      <x:c r="O227" s="89"/>
      <x:c r="P227" s="89"/>
      <x:c r="Q227" s="89"/>
      <x:c r="AF227" s="75"/>
    </x:row>
    <x:row r="228" spans="2:32" ht="15.5">
      <x:c r="B228" s="88"/>
      <x:c r="C228" s="89"/>
      <x:c r="D228" s="90"/>
      <x:c r="E228" s="90"/>
      <x:c r="F228" s="90"/>
      <x:c r="G228" s="90"/>
      <x:c r="H228" s="90"/>
      <x:c r="I228" s="90"/>
      <x:c r="J228" s="90"/>
      <x:c r="K228" s="89"/>
      <x:c r="L228" s="89"/>
      <x:c r="M228" s="89"/>
      <x:c r="N228" s="89"/>
      <x:c r="O228" s="89"/>
      <x:c r="P228" s="89"/>
      <x:c r="Q228" s="89"/>
      <x:c r="AF228" s="75"/>
    </x:row>
    <x:row r="229" spans="2:32" ht="15.5">
      <x:c r="B229" s="88"/>
      <x:c r="C229" s="89"/>
      <x:c r="D229" s="90"/>
      <x:c r="E229" s="90"/>
      <x:c r="F229" s="90"/>
      <x:c r="G229" s="90"/>
      <x:c r="H229" s="90"/>
      <x:c r="I229" s="90"/>
      <x:c r="J229" s="90"/>
      <x:c r="K229" s="89"/>
      <x:c r="L229" s="89"/>
      <x:c r="M229" s="89"/>
      <x:c r="N229" s="89"/>
      <x:c r="O229" s="89"/>
      <x:c r="P229" s="89"/>
      <x:c r="Q229" s="89"/>
      <x:c r="AF229" s="75"/>
    </x:row>
    <x:row r="230" spans="2:32" ht="15.5">
      <x:c r="B230" s="88"/>
      <x:c r="C230" s="89"/>
      <x:c r="D230" s="90"/>
      <x:c r="E230" s="90"/>
      <x:c r="F230" s="90"/>
      <x:c r="G230" s="90"/>
      <x:c r="H230" s="90"/>
      <x:c r="I230" s="90"/>
      <x:c r="J230" s="90"/>
      <x:c r="K230" s="89"/>
      <x:c r="L230" s="89"/>
      <x:c r="M230" s="89"/>
      <x:c r="N230" s="89"/>
      <x:c r="O230" s="89"/>
      <x:c r="P230" s="89"/>
      <x:c r="Q230" s="89"/>
      <x:c r="AF230" s="75"/>
    </x:row>
    <x:row r="231" spans="2:32" ht="15.5">
      <x:c r="B231" s="88"/>
      <x:c r="C231" s="89"/>
      <x:c r="D231" s="90"/>
      <x:c r="E231" s="90"/>
      <x:c r="F231" s="90"/>
      <x:c r="G231" s="90"/>
      <x:c r="H231" s="90"/>
      <x:c r="I231" s="90"/>
      <x:c r="J231" s="90"/>
      <x:c r="K231" s="89"/>
      <x:c r="L231" s="89"/>
      <x:c r="M231" s="89"/>
      <x:c r="N231" s="89"/>
      <x:c r="O231" s="89"/>
      <x:c r="P231" s="89"/>
      <x:c r="Q231" s="89"/>
      <x:c r="AF231" s="75"/>
    </x:row>
    <x:row r="232" spans="2:32" ht="15.5">
      <x:c r="B232" s="88"/>
      <x:c r="C232" s="89"/>
      <x:c r="D232" s="90"/>
      <x:c r="E232" s="90"/>
      <x:c r="F232" s="90"/>
      <x:c r="G232" s="90"/>
      <x:c r="H232" s="90"/>
      <x:c r="I232" s="90"/>
      <x:c r="J232" s="90"/>
      <x:c r="K232" s="89"/>
      <x:c r="L232" s="89"/>
      <x:c r="M232" s="89"/>
      <x:c r="N232" s="89"/>
      <x:c r="O232" s="89"/>
      <x:c r="P232" s="89"/>
      <x:c r="Q232" s="89"/>
      <x:c r="AF232" s="75"/>
    </x:row>
    <x:row r="233" spans="2:32" ht="15.5">
      <x:c r="B233" s="88"/>
      <x:c r="C233" s="89"/>
      <x:c r="D233" s="90"/>
      <x:c r="E233" s="90"/>
      <x:c r="F233" s="90"/>
      <x:c r="G233" s="90"/>
      <x:c r="H233" s="90"/>
      <x:c r="I233" s="90"/>
      <x:c r="J233" s="90"/>
      <x:c r="K233" s="89"/>
      <x:c r="L233" s="89"/>
      <x:c r="M233" s="89"/>
      <x:c r="N233" s="89"/>
      <x:c r="O233" s="89"/>
      <x:c r="P233" s="89"/>
      <x:c r="Q233" s="89"/>
      <x:c r="AF233" s="75"/>
    </x:row>
    <x:row r="234" spans="2:32" ht="15.5">
      <x:c r="B234" s="88"/>
      <x:c r="C234" s="89"/>
      <x:c r="D234" s="90"/>
      <x:c r="E234" s="90"/>
      <x:c r="F234" s="90"/>
      <x:c r="G234" s="90"/>
      <x:c r="H234" s="90"/>
      <x:c r="I234" s="90"/>
      <x:c r="J234" s="90"/>
      <x:c r="K234" s="89"/>
      <x:c r="L234" s="89"/>
      <x:c r="M234" s="89"/>
      <x:c r="N234" s="89"/>
      <x:c r="O234" s="89"/>
      <x:c r="P234" s="89"/>
      <x:c r="Q234" s="89"/>
      <x:c r="AF234" s="75"/>
    </x:row>
    <x:row r="235" spans="2:32" ht="15.5">
      <x:c r="B235" s="88"/>
      <x:c r="C235" s="89"/>
      <x:c r="D235" s="90"/>
      <x:c r="E235" s="90"/>
      <x:c r="F235" s="90"/>
      <x:c r="G235" s="90"/>
      <x:c r="H235" s="90"/>
      <x:c r="I235" s="90"/>
      <x:c r="J235" s="90"/>
      <x:c r="K235" s="89"/>
      <x:c r="L235" s="89"/>
      <x:c r="M235" s="89"/>
      <x:c r="N235" s="89"/>
      <x:c r="O235" s="89"/>
      <x:c r="P235" s="89"/>
      <x:c r="Q235" s="89"/>
      <x:c r="AF235" s="75"/>
    </x:row>
    <x:row r="236" spans="2:32" ht="15.5">
      <x:c r="B236" s="88"/>
      <x:c r="C236" s="89"/>
      <x:c r="D236" s="90"/>
      <x:c r="E236" s="90"/>
      <x:c r="F236" s="90"/>
      <x:c r="G236" s="90"/>
      <x:c r="H236" s="90"/>
      <x:c r="I236" s="90"/>
      <x:c r="J236" s="90"/>
      <x:c r="K236" s="89"/>
      <x:c r="L236" s="89"/>
      <x:c r="M236" s="89"/>
      <x:c r="N236" s="89"/>
      <x:c r="O236" s="89"/>
      <x:c r="P236" s="89"/>
      <x:c r="Q236" s="89"/>
      <x:c r="AF236" s="75"/>
    </x:row>
    <x:row r="237" spans="2:32" ht="15.5">
      <x:c r="B237" s="88"/>
      <x:c r="C237" s="89"/>
      <x:c r="D237" s="90"/>
      <x:c r="E237" s="90"/>
      <x:c r="F237" s="90"/>
      <x:c r="G237" s="90"/>
      <x:c r="H237" s="90"/>
      <x:c r="I237" s="90"/>
      <x:c r="J237" s="90"/>
      <x:c r="K237" s="89"/>
      <x:c r="L237" s="89"/>
      <x:c r="M237" s="89"/>
      <x:c r="N237" s="89"/>
      <x:c r="O237" s="89"/>
      <x:c r="P237" s="89"/>
      <x:c r="Q237" s="89"/>
      <x:c r="AF237" s="75"/>
    </x:row>
    <x:row r="238" spans="2:32" ht="15.5">
      <x:c r="B238" s="88"/>
      <x:c r="C238" s="89"/>
      <x:c r="D238" s="90"/>
      <x:c r="E238" s="90"/>
      <x:c r="F238" s="90"/>
      <x:c r="G238" s="90"/>
      <x:c r="H238" s="90"/>
      <x:c r="I238" s="90"/>
      <x:c r="J238" s="90"/>
      <x:c r="K238" s="89"/>
      <x:c r="L238" s="89"/>
      <x:c r="M238" s="89"/>
      <x:c r="N238" s="89"/>
      <x:c r="O238" s="89"/>
      <x:c r="P238" s="89"/>
      <x:c r="Q238" s="89"/>
      <x:c r="AF238" s="75"/>
    </x:row>
    <x:row r="239" spans="2:32" ht="15.5">
      <x:c r="B239" s="88"/>
      <x:c r="C239" s="89"/>
      <x:c r="D239" s="90"/>
      <x:c r="E239" s="90"/>
      <x:c r="F239" s="90"/>
      <x:c r="G239" s="90"/>
      <x:c r="H239" s="90"/>
      <x:c r="I239" s="90"/>
      <x:c r="J239" s="90"/>
      <x:c r="K239" s="89"/>
      <x:c r="L239" s="89"/>
      <x:c r="M239" s="89"/>
      <x:c r="N239" s="89"/>
      <x:c r="O239" s="89"/>
      <x:c r="P239" s="89"/>
      <x:c r="Q239" s="89"/>
      <x:c r="AF239" s="75"/>
    </x:row>
    <x:row r="240" spans="2:32" ht="15.5">
      <x:c r="B240" s="88"/>
      <x:c r="C240" s="89"/>
      <x:c r="D240" s="90"/>
      <x:c r="E240" s="90"/>
      <x:c r="F240" s="90"/>
      <x:c r="G240" s="90"/>
      <x:c r="H240" s="90"/>
      <x:c r="I240" s="90"/>
      <x:c r="J240" s="90"/>
      <x:c r="K240" s="89"/>
      <x:c r="L240" s="89"/>
      <x:c r="M240" s="89"/>
      <x:c r="N240" s="89"/>
      <x:c r="O240" s="89"/>
      <x:c r="P240" s="89"/>
      <x:c r="Q240" s="89"/>
      <x:c r="AF240" s="75"/>
    </x:row>
    <x:row r="241" spans="2:32" ht="15.5">
      <x:c r="B241" s="88"/>
      <x:c r="C241" s="89"/>
      <x:c r="D241" s="90"/>
      <x:c r="E241" s="90"/>
      <x:c r="F241" s="90"/>
      <x:c r="G241" s="90"/>
      <x:c r="H241" s="90"/>
      <x:c r="I241" s="90"/>
      <x:c r="J241" s="90"/>
      <x:c r="K241" s="89"/>
      <x:c r="L241" s="89"/>
      <x:c r="M241" s="89"/>
      <x:c r="N241" s="89"/>
      <x:c r="O241" s="89"/>
      <x:c r="P241" s="89"/>
      <x:c r="Q241" s="89"/>
      <x:c r="AF241" s="75"/>
    </x:row>
    <x:row r="242" spans="2:32" ht="15.5">
      <x:c r="B242" s="88"/>
      <x:c r="C242" s="89"/>
      <x:c r="D242" s="90"/>
      <x:c r="E242" s="90"/>
      <x:c r="F242" s="90"/>
      <x:c r="G242" s="90"/>
      <x:c r="H242" s="90"/>
      <x:c r="I242" s="90"/>
      <x:c r="J242" s="90"/>
      <x:c r="K242" s="89"/>
      <x:c r="L242" s="89"/>
      <x:c r="M242" s="89"/>
      <x:c r="N242" s="89"/>
      <x:c r="O242" s="89"/>
      <x:c r="P242" s="89"/>
      <x:c r="Q242" s="89"/>
      <x:c r="AF242" s="75"/>
    </x:row>
    <x:row r="243" spans="2:32" ht="15.5">
      <x:c r="B243" s="88"/>
      <x:c r="C243" s="89"/>
      <x:c r="D243" s="90"/>
      <x:c r="E243" s="90"/>
      <x:c r="F243" s="90"/>
      <x:c r="G243" s="90"/>
      <x:c r="H243" s="90"/>
      <x:c r="I243" s="90"/>
      <x:c r="J243" s="90"/>
      <x:c r="K243" s="89"/>
      <x:c r="L243" s="89"/>
      <x:c r="M243" s="89"/>
      <x:c r="N243" s="89"/>
      <x:c r="O243" s="89"/>
      <x:c r="P243" s="89"/>
      <x:c r="Q243" s="89"/>
      <x:c r="AF243" s="75"/>
    </x:row>
    <x:row r="244" spans="2:32" ht="15.5">
      <x:c r="B244" s="88"/>
      <x:c r="C244" s="89"/>
      <x:c r="D244" s="90"/>
      <x:c r="E244" s="90"/>
      <x:c r="F244" s="90"/>
      <x:c r="G244" s="90"/>
      <x:c r="H244" s="90"/>
      <x:c r="I244" s="90"/>
      <x:c r="J244" s="90"/>
      <x:c r="K244" s="89"/>
      <x:c r="L244" s="89"/>
      <x:c r="M244" s="89"/>
      <x:c r="N244" s="89"/>
      <x:c r="O244" s="89"/>
      <x:c r="P244" s="89"/>
      <x:c r="Q244" s="89"/>
      <x:c r="AF244" s="75"/>
    </x:row>
    <x:row r="245" spans="2:32" ht="15.5">
      <x:c r="B245" s="88"/>
      <x:c r="C245" s="89"/>
      <x:c r="D245" s="90"/>
      <x:c r="E245" s="90"/>
      <x:c r="F245" s="90"/>
      <x:c r="G245" s="90"/>
      <x:c r="H245" s="90"/>
      <x:c r="I245" s="90"/>
      <x:c r="J245" s="90"/>
      <x:c r="K245" s="89"/>
      <x:c r="L245" s="89"/>
      <x:c r="M245" s="89"/>
      <x:c r="N245" s="89"/>
      <x:c r="O245" s="89"/>
      <x:c r="P245" s="89"/>
      <x:c r="Q245" s="89"/>
      <x:c r="AF245" s="75"/>
    </x:row>
    <x:row r="246" spans="2:32" ht="15.5">
      <x:c r="B246" s="88"/>
      <x:c r="C246" s="89"/>
      <x:c r="D246" s="90"/>
      <x:c r="E246" s="90"/>
      <x:c r="F246" s="90"/>
      <x:c r="G246" s="90"/>
      <x:c r="H246" s="90"/>
      <x:c r="I246" s="90"/>
      <x:c r="J246" s="90"/>
      <x:c r="K246" s="89"/>
      <x:c r="L246" s="89"/>
      <x:c r="M246" s="89"/>
      <x:c r="N246" s="89"/>
      <x:c r="O246" s="89"/>
      <x:c r="P246" s="89"/>
      <x:c r="Q246" s="89"/>
      <x:c r="AF246" s="75"/>
    </x:row>
    <x:row r="247" spans="2:32" ht="15.5">
      <x:c r="B247" s="88"/>
      <x:c r="C247" s="89"/>
      <x:c r="D247" s="90"/>
      <x:c r="E247" s="90"/>
      <x:c r="F247" s="90"/>
      <x:c r="G247" s="90"/>
      <x:c r="H247" s="90"/>
      <x:c r="I247" s="90"/>
      <x:c r="J247" s="90"/>
      <x:c r="K247" s="89"/>
      <x:c r="L247" s="89"/>
      <x:c r="M247" s="89"/>
      <x:c r="N247" s="89"/>
      <x:c r="O247" s="89"/>
      <x:c r="P247" s="89"/>
      <x:c r="Q247" s="89"/>
      <x:c r="AF247" s="75"/>
    </x:row>
    <x:row r="248" spans="2:32" ht="15.5">
      <x:c r="B248" s="88"/>
      <x:c r="C248" s="89"/>
      <x:c r="D248" s="90"/>
      <x:c r="E248" s="90"/>
      <x:c r="F248" s="90"/>
      <x:c r="G248" s="90"/>
      <x:c r="H248" s="90"/>
      <x:c r="I248" s="90"/>
      <x:c r="J248" s="90"/>
      <x:c r="K248" s="89"/>
      <x:c r="L248" s="89"/>
      <x:c r="M248" s="89"/>
      <x:c r="N248" s="89"/>
      <x:c r="O248" s="89"/>
      <x:c r="P248" s="89"/>
      <x:c r="Q248" s="89"/>
      <x:c r="AF248" s="75"/>
    </x:row>
    <x:row r="249" spans="2:32" ht="15.5">
      <x:c r="B249" s="88"/>
      <x:c r="C249" s="89"/>
      <x:c r="D249" s="90"/>
      <x:c r="E249" s="90"/>
      <x:c r="F249" s="90"/>
      <x:c r="G249" s="90"/>
      <x:c r="H249" s="90"/>
      <x:c r="I249" s="90"/>
      <x:c r="J249" s="90"/>
      <x:c r="K249" s="89"/>
      <x:c r="L249" s="89"/>
      <x:c r="M249" s="89"/>
      <x:c r="N249" s="89"/>
      <x:c r="O249" s="89"/>
      <x:c r="P249" s="89"/>
      <x:c r="Q249" s="89"/>
      <x:c r="AF249" s="75"/>
    </x:row>
    <x:row r="250" spans="2:32" ht="15.5">
      <x:c r="B250" s="88"/>
      <x:c r="C250" s="89"/>
      <x:c r="D250" s="90"/>
      <x:c r="E250" s="90"/>
      <x:c r="F250" s="90"/>
      <x:c r="G250" s="90"/>
      <x:c r="H250" s="90"/>
      <x:c r="I250" s="90"/>
      <x:c r="J250" s="90"/>
      <x:c r="K250" s="89"/>
      <x:c r="L250" s="89"/>
      <x:c r="M250" s="89"/>
      <x:c r="N250" s="89"/>
      <x:c r="O250" s="89"/>
      <x:c r="P250" s="89"/>
      <x:c r="Q250" s="89"/>
      <x:c r="AF250" s="75"/>
    </x:row>
    <x:row r="251" spans="2:32" ht="15.5">
      <x:c r="B251" s="88"/>
      <x:c r="C251" s="89"/>
      <x:c r="D251" s="90"/>
      <x:c r="E251" s="90"/>
      <x:c r="F251" s="90"/>
      <x:c r="G251" s="90"/>
      <x:c r="H251" s="90"/>
      <x:c r="I251" s="90"/>
      <x:c r="J251" s="90"/>
      <x:c r="K251" s="89"/>
      <x:c r="L251" s="89"/>
      <x:c r="M251" s="89"/>
      <x:c r="N251" s="89"/>
      <x:c r="O251" s="89"/>
      <x:c r="P251" s="89"/>
      <x:c r="Q251" s="89"/>
      <x:c r="AF251" s="75"/>
    </x:row>
    <x:row r="252" spans="2:32" ht="15.5">
      <x:c r="B252" s="88"/>
      <x:c r="C252" s="89"/>
      <x:c r="D252" s="90"/>
      <x:c r="E252" s="90"/>
      <x:c r="F252" s="90"/>
      <x:c r="G252" s="90"/>
      <x:c r="H252" s="90"/>
      <x:c r="I252" s="90"/>
      <x:c r="J252" s="90"/>
      <x:c r="K252" s="89"/>
      <x:c r="L252" s="89"/>
      <x:c r="M252" s="89"/>
      <x:c r="N252" s="89"/>
      <x:c r="O252" s="89"/>
      <x:c r="P252" s="89"/>
      <x:c r="Q252" s="89"/>
      <x:c r="AF252" s="75"/>
    </x:row>
    <x:row r="253" spans="2:32" ht="15.5">
      <x:c r="B253" s="88"/>
      <x:c r="C253" s="89"/>
      <x:c r="D253" s="90"/>
      <x:c r="E253" s="90"/>
      <x:c r="F253" s="90"/>
      <x:c r="G253" s="90"/>
      <x:c r="H253" s="90"/>
      <x:c r="I253" s="90"/>
      <x:c r="J253" s="90"/>
      <x:c r="K253" s="89"/>
      <x:c r="L253" s="89"/>
      <x:c r="M253" s="89"/>
      <x:c r="N253" s="89"/>
      <x:c r="O253" s="89"/>
      <x:c r="P253" s="89"/>
      <x:c r="Q253" s="89"/>
      <x:c r="AF253" s="75"/>
    </x:row>
    <x:row r="254" spans="2:32" ht="15.5">
      <x:c r="B254" s="88"/>
      <x:c r="C254" s="89"/>
      <x:c r="D254" s="90"/>
      <x:c r="E254" s="90"/>
      <x:c r="F254" s="90"/>
      <x:c r="G254" s="90"/>
      <x:c r="H254" s="90"/>
      <x:c r="I254" s="90"/>
      <x:c r="J254" s="90"/>
      <x:c r="K254" s="89"/>
      <x:c r="L254" s="89"/>
      <x:c r="M254" s="89"/>
      <x:c r="N254" s="89"/>
      <x:c r="O254" s="89"/>
      <x:c r="P254" s="89"/>
      <x:c r="Q254" s="89"/>
      <x:c r="AF254" s="75"/>
    </x:row>
    <x:row r="255" spans="2:32" ht="15.5">
      <x:c r="B255" s="88"/>
      <x:c r="C255" s="89"/>
      <x:c r="D255" s="90"/>
      <x:c r="E255" s="90"/>
      <x:c r="F255" s="90"/>
      <x:c r="G255" s="90"/>
      <x:c r="H255" s="90"/>
      <x:c r="I255" s="90"/>
      <x:c r="J255" s="90"/>
      <x:c r="K255" s="89"/>
      <x:c r="L255" s="89"/>
      <x:c r="M255" s="89"/>
      <x:c r="N255" s="89"/>
      <x:c r="O255" s="89"/>
      <x:c r="P255" s="89"/>
      <x:c r="Q255" s="89"/>
      <x:c r="AF255" s="75"/>
    </x:row>
    <x:row r="256" spans="2:32" ht="15.5">
      <x:c r="B256" s="88"/>
      <x:c r="C256" s="89"/>
      <x:c r="D256" s="90"/>
      <x:c r="E256" s="90"/>
      <x:c r="F256" s="90"/>
      <x:c r="G256" s="90"/>
      <x:c r="H256" s="90"/>
      <x:c r="I256" s="90"/>
      <x:c r="J256" s="90"/>
      <x:c r="K256" s="89"/>
      <x:c r="L256" s="89"/>
      <x:c r="M256" s="89"/>
      <x:c r="N256" s="89"/>
      <x:c r="O256" s="89"/>
      <x:c r="P256" s="89"/>
      <x:c r="Q256" s="89"/>
      <x:c r="AF256" s="75"/>
    </x:row>
    <x:row r="257" spans="2:32" ht="15.5">
      <x:c r="B257" s="88"/>
      <x:c r="C257" s="89"/>
      <x:c r="D257" s="90"/>
      <x:c r="E257" s="90"/>
      <x:c r="F257" s="90"/>
      <x:c r="G257" s="90"/>
      <x:c r="H257" s="90"/>
      <x:c r="I257" s="90"/>
      <x:c r="J257" s="90"/>
      <x:c r="K257" s="89"/>
      <x:c r="L257" s="89"/>
      <x:c r="M257" s="89"/>
      <x:c r="N257" s="89"/>
      <x:c r="O257" s="89"/>
      <x:c r="P257" s="89"/>
      <x:c r="Q257" s="89"/>
      <x:c r="AF257" s="75"/>
    </x:row>
    <x:row r="258" spans="2:32" ht="15.5">
      <x:c r="B258" s="88"/>
      <x:c r="C258" s="89"/>
      <x:c r="D258" s="90"/>
      <x:c r="E258" s="90"/>
      <x:c r="F258" s="90"/>
      <x:c r="G258" s="90"/>
      <x:c r="H258" s="90"/>
      <x:c r="I258" s="90"/>
      <x:c r="J258" s="90"/>
      <x:c r="K258" s="89"/>
      <x:c r="L258" s="89"/>
      <x:c r="M258" s="89"/>
      <x:c r="N258" s="89"/>
      <x:c r="O258" s="89"/>
      <x:c r="P258" s="89"/>
      <x:c r="Q258" s="89"/>
      <x:c r="AF258" s="75"/>
    </x:row>
    <x:row r="259" spans="2:32" ht="15.5">
      <x:c r="B259" s="88"/>
      <x:c r="C259" s="89"/>
      <x:c r="D259" s="90"/>
      <x:c r="E259" s="90"/>
      <x:c r="F259" s="90"/>
      <x:c r="G259" s="90"/>
      <x:c r="H259" s="90"/>
      <x:c r="I259" s="90"/>
      <x:c r="J259" s="90"/>
      <x:c r="K259" s="89"/>
      <x:c r="L259" s="89"/>
      <x:c r="M259" s="89"/>
      <x:c r="N259" s="89"/>
      <x:c r="O259" s="89"/>
      <x:c r="P259" s="89"/>
      <x:c r="Q259" s="89"/>
      <x:c r="AF259" s="75"/>
    </x:row>
    <x:row r="260" spans="2:32" ht="15.5">
      <x:c r="B260" s="88"/>
      <x:c r="C260" s="89"/>
      <x:c r="D260" s="90"/>
      <x:c r="E260" s="90"/>
      <x:c r="F260" s="90"/>
      <x:c r="G260" s="90"/>
      <x:c r="H260" s="90"/>
      <x:c r="I260" s="90"/>
      <x:c r="J260" s="90"/>
      <x:c r="K260" s="89"/>
      <x:c r="L260" s="89"/>
      <x:c r="M260" s="89"/>
      <x:c r="N260" s="89"/>
      <x:c r="O260" s="89"/>
      <x:c r="P260" s="89"/>
      <x:c r="Q260" s="89"/>
      <x:c r="AF260" s="75"/>
    </x:row>
    <x:row r="261" spans="2:32" ht="15.5">
      <x:c r="B261" s="88"/>
      <x:c r="C261" s="89"/>
      <x:c r="D261" s="90"/>
      <x:c r="E261" s="90"/>
      <x:c r="F261" s="90"/>
      <x:c r="G261" s="90"/>
      <x:c r="H261" s="90"/>
      <x:c r="I261" s="90"/>
      <x:c r="J261" s="90"/>
      <x:c r="K261" s="89"/>
      <x:c r="L261" s="89"/>
      <x:c r="M261" s="89"/>
      <x:c r="N261" s="89"/>
      <x:c r="O261" s="89"/>
      <x:c r="P261" s="89"/>
      <x:c r="Q261" s="89"/>
      <x:c r="AF261" s="75"/>
    </x:row>
    <x:row r="262" spans="2:32" ht="15.5">
      <x:c r="B262" s="88"/>
      <x:c r="C262" s="89"/>
      <x:c r="D262" s="90"/>
      <x:c r="E262" s="90"/>
      <x:c r="F262" s="90"/>
      <x:c r="G262" s="90"/>
      <x:c r="H262" s="90"/>
      <x:c r="I262" s="90"/>
      <x:c r="J262" s="90"/>
      <x:c r="K262" s="89"/>
      <x:c r="L262" s="89"/>
      <x:c r="M262" s="89"/>
      <x:c r="N262" s="89"/>
      <x:c r="O262" s="89"/>
      <x:c r="P262" s="89"/>
      <x:c r="Q262" s="89"/>
      <x:c r="AF262" s="75"/>
    </x:row>
    <x:row r="263" spans="2:32" ht="15.5">
      <x:c r="B263" s="88"/>
      <x:c r="C263" s="89"/>
      <x:c r="D263" s="90"/>
      <x:c r="E263" s="90"/>
      <x:c r="F263" s="90"/>
      <x:c r="G263" s="90"/>
      <x:c r="H263" s="90"/>
      <x:c r="I263" s="90"/>
      <x:c r="J263" s="90"/>
      <x:c r="K263" s="89"/>
      <x:c r="L263" s="89"/>
      <x:c r="M263" s="89"/>
      <x:c r="N263" s="89"/>
      <x:c r="O263" s="89"/>
      <x:c r="P263" s="89"/>
      <x:c r="Q263" s="89"/>
      <x:c r="AF263" s="75"/>
    </x:row>
    <x:row r="264" spans="2:32" ht="15.5">
      <x:c r="B264" s="88"/>
      <x:c r="C264" s="89"/>
      <x:c r="D264" s="90"/>
      <x:c r="E264" s="90"/>
      <x:c r="F264" s="90"/>
      <x:c r="G264" s="90"/>
      <x:c r="H264" s="90"/>
      <x:c r="I264" s="90"/>
      <x:c r="J264" s="90"/>
      <x:c r="K264" s="89"/>
      <x:c r="L264" s="89"/>
      <x:c r="M264" s="89"/>
      <x:c r="N264" s="89"/>
      <x:c r="O264" s="89"/>
      <x:c r="P264" s="89"/>
      <x:c r="Q264" s="89"/>
      <x:c r="AF264" s="75"/>
    </x:row>
    <x:row r="265" spans="2:32" ht="15.5">
      <x:c r="B265" s="88"/>
      <x:c r="C265" s="89"/>
      <x:c r="D265" s="90"/>
      <x:c r="E265" s="90"/>
      <x:c r="F265" s="90"/>
      <x:c r="G265" s="90"/>
      <x:c r="H265" s="90"/>
      <x:c r="I265" s="90"/>
      <x:c r="J265" s="90"/>
      <x:c r="K265" s="89"/>
      <x:c r="L265" s="89"/>
      <x:c r="M265" s="89"/>
      <x:c r="N265" s="89"/>
      <x:c r="O265" s="89"/>
      <x:c r="P265" s="89"/>
      <x:c r="Q265" s="89"/>
      <x:c r="AF265" s="75"/>
    </x:row>
    <x:row r="266" spans="2:32" ht="15.5">
      <x:c r="B266" s="88"/>
      <x:c r="C266" s="89"/>
      <x:c r="D266" s="90"/>
      <x:c r="E266" s="90"/>
      <x:c r="F266" s="90"/>
      <x:c r="G266" s="90"/>
      <x:c r="H266" s="90"/>
      <x:c r="I266" s="90"/>
      <x:c r="J266" s="90"/>
      <x:c r="K266" s="89"/>
      <x:c r="L266" s="89"/>
      <x:c r="M266" s="89"/>
      <x:c r="N266" s="89"/>
      <x:c r="O266" s="89"/>
      <x:c r="P266" s="89"/>
      <x:c r="Q266" s="89"/>
      <x:c r="AF266" s="75"/>
    </x:row>
    <x:row r="267" spans="2:32" ht="15.5">
      <x:c r="B267" s="88"/>
      <x:c r="C267" s="89"/>
      <x:c r="D267" s="90"/>
      <x:c r="E267" s="90"/>
      <x:c r="F267" s="90"/>
      <x:c r="G267" s="90"/>
      <x:c r="H267" s="90"/>
      <x:c r="I267" s="90"/>
      <x:c r="J267" s="90"/>
      <x:c r="K267" s="89"/>
      <x:c r="L267" s="89"/>
      <x:c r="M267" s="89"/>
      <x:c r="N267" s="89"/>
      <x:c r="O267" s="89"/>
      <x:c r="P267" s="89"/>
      <x:c r="Q267" s="89"/>
      <x:c r="AF267" s="75"/>
    </x:row>
    <x:row r="268" spans="2:32" ht="15.5">
      <x:c r="B268" s="88"/>
      <x:c r="C268" s="89"/>
      <x:c r="D268" s="90"/>
      <x:c r="E268" s="90"/>
      <x:c r="F268" s="90"/>
      <x:c r="G268" s="90"/>
      <x:c r="H268" s="90"/>
      <x:c r="I268" s="90"/>
      <x:c r="J268" s="90"/>
      <x:c r="K268" s="89"/>
      <x:c r="L268" s="89"/>
      <x:c r="M268" s="89"/>
      <x:c r="N268" s="89"/>
      <x:c r="O268" s="89"/>
      <x:c r="P268" s="89"/>
      <x:c r="Q268" s="89"/>
      <x:c r="AF268" s="75"/>
    </x:row>
    <x:row r="269" spans="2:32" ht="15.5">
      <x:c r="B269" s="88"/>
      <x:c r="C269" s="89"/>
      <x:c r="D269" s="90"/>
      <x:c r="E269" s="90"/>
      <x:c r="F269" s="90"/>
      <x:c r="G269" s="90"/>
      <x:c r="H269" s="90"/>
      <x:c r="I269" s="90"/>
      <x:c r="J269" s="90"/>
      <x:c r="K269" s="89"/>
      <x:c r="L269" s="89"/>
      <x:c r="M269" s="89"/>
      <x:c r="N269" s="89"/>
      <x:c r="O269" s="89"/>
      <x:c r="P269" s="89"/>
      <x:c r="Q269" s="89"/>
      <x:c r="AF269" s="75"/>
    </x:row>
    <x:row r="270" spans="2:32" ht="15.5">
      <x:c r="B270" s="88"/>
      <x:c r="C270" s="89"/>
      <x:c r="D270" s="90"/>
      <x:c r="E270" s="90"/>
      <x:c r="F270" s="90"/>
      <x:c r="G270" s="90"/>
      <x:c r="H270" s="90"/>
      <x:c r="I270" s="90"/>
      <x:c r="J270" s="90"/>
      <x:c r="K270" s="89"/>
      <x:c r="L270" s="89"/>
      <x:c r="M270" s="89"/>
      <x:c r="N270" s="89"/>
      <x:c r="O270" s="89"/>
      <x:c r="P270" s="89"/>
      <x:c r="Q270" s="89"/>
      <x:c r="AF270" s="75"/>
    </x:row>
    <x:row r="271" spans="2:32" ht="15.5">
      <x:c r="B271" s="88"/>
      <x:c r="C271" s="89"/>
      <x:c r="D271" s="90"/>
      <x:c r="E271" s="90"/>
      <x:c r="F271" s="90"/>
      <x:c r="G271" s="90"/>
      <x:c r="H271" s="90"/>
      <x:c r="I271" s="90"/>
      <x:c r="J271" s="90"/>
      <x:c r="K271" s="89"/>
      <x:c r="L271" s="89"/>
      <x:c r="M271" s="89"/>
      <x:c r="N271" s="89"/>
      <x:c r="O271" s="89"/>
      <x:c r="P271" s="89"/>
      <x:c r="Q271" s="89"/>
      <x:c r="AF271" s="75"/>
    </x:row>
    <x:row r="272" spans="2:32" ht="15.5">
      <x:c r="B272" s="88"/>
      <x:c r="C272" s="89"/>
      <x:c r="D272" s="90"/>
      <x:c r="E272" s="90"/>
      <x:c r="F272" s="90"/>
      <x:c r="G272" s="90"/>
      <x:c r="H272" s="90"/>
      <x:c r="I272" s="90"/>
      <x:c r="J272" s="90"/>
      <x:c r="K272" s="89"/>
      <x:c r="L272" s="89"/>
      <x:c r="M272" s="89"/>
      <x:c r="N272" s="89"/>
      <x:c r="O272" s="89"/>
      <x:c r="P272" s="89"/>
      <x:c r="Q272" s="89"/>
      <x:c r="AF272" s="75"/>
    </x:row>
    <x:row r="273" spans="2:32" ht="15.5">
      <x:c r="B273" s="88"/>
      <x:c r="C273" s="89"/>
      <x:c r="D273" s="90"/>
      <x:c r="E273" s="90"/>
      <x:c r="F273" s="90"/>
      <x:c r="G273" s="90"/>
      <x:c r="H273" s="90"/>
      <x:c r="I273" s="90"/>
      <x:c r="J273" s="90"/>
      <x:c r="K273" s="89"/>
      <x:c r="L273" s="89"/>
      <x:c r="M273" s="89"/>
      <x:c r="N273" s="89"/>
      <x:c r="O273" s="89"/>
      <x:c r="P273" s="89"/>
      <x:c r="Q273" s="89"/>
      <x:c r="AF273" s="75"/>
    </x:row>
    <x:row r="274" spans="2:32" ht="15.5">
      <x:c r="B274" s="88"/>
      <x:c r="C274" s="89"/>
      <x:c r="D274" s="90"/>
      <x:c r="E274" s="90"/>
      <x:c r="F274" s="90"/>
      <x:c r="G274" s="90"/>
      <x:c r="H274" s="90"/>
      <x:c r="I274" s="90"/>
      <x:c r="J274" s="90"/>
      <x:c r="K274" s="89"/>
      <x:c r="L274" s="89"/>
      <x:c r="M274" s="89"/>
      <x:c r="N274" s="89"/>
      <x:c r="O274" s="89"/>
      <x:c r="P274" s="89"/>
      <x:c r="Q274" s="89"/>
      <x:c r="AF274" s="75"/>
    </x:row>
    <x:row r="275" spans="2:32" ht="15.5">
      <x:c r="B275" s="88"/>
      <x:c r="C275" s="89"/>
      <x:c r="D275" s="90"/>
      <x:c r="E275" s="90"/>
      <x:c r="F275" s="90"/>
      <x:c r="G275" s="90"/>
      <x:c r="H275" s="90"/>
      <x:c r="I275" s="90"/>
      <x:c r="J275" s="90"/>
      <x:c r="K275" s="89"/>
      <x:c r="L275" s="89"/>
      <x:c r="M275" s="89"/>
      <x:c r="N275" s="89"/>
      <x:c r="O275" s="89"/>
      <x:c r="P275" s="89"/>
      <x:c r="Q275" s="89"/>
      <x:c r="AF275" s="75"/>
    </x:row>
    <x:row r="276" spans="2:32" ht="15.5">
      <x:c r="B276" s="88"/>
      <x:c r="C276" s="89"/>
      <x:c r="D276" s="90"/>
      <x:c r="E276" s="90"/>
      <x:c r="F276" s="90"/>
      <x:c r="G276" s="90"/>
      <x:c r="H276" s="90"/>
      <x:c r="I276" s="90"/>
      <x:c r="J276" s="90"/>
      <x:c r="K276" s="89"/>
      <x:c r="L276" s="89"/>
      <x:c r="M276" s="89"/>
      <x:c r="N276" s="89"/>
      <x:c r="O276" s="89"/>
      <x:c r="P276" s="89"/>
      <x:c r="Q276" s="89"/>
      <x:c r="AF276" s="75"/>
    </x:row>
    <x:row r="277" spans="2:32" ht="15.5">
      <x:c r="B277" s="88"/>
      <x:c r="C277" s="89"/>
      <x:c r="D277" s="90"/>
      <x:c r="E277" s="90"/>
      <x:c r="F277" s="90"/>
      <x:c r="G277" s="90"/>
      <x:c r="H277" s="90"/>
      <x:c r="I277" s="90"/>
      <x:c r="J277" s="90"/>
      <x:c r="K277" s="89"/>
      <x:c r="L277" s="89"/>
      <x:c r="M277" s="89"/>
      <x:c r="N277" s="89"/>
      <x:c r="O277" s="89"/>
      <x:c r="P277" s="89"/>
      <x:c r="Q277" s="89"/>
      <x:c r="AF277" s="75"/>
    </x:row>
    <x:row r="278" spans="2:32" ht="15.5">
      <x:c r="B278" s="88"/>
      <x:c r="C278" s="89"/>
      <x:c r="D278" s="90"/>
      <x:c r="E278" s="90"/>
      <x:c r="F278" s="90"/>
      <x:c r="G278" s="90"/>
      <x:c r="H278" s="90"/>
      <x:c r="I278" s="90"/>
      <x:c r="J278" s="90"/>
      <x:c r="K278" s="89"/>
      <x:c r="L278" s="89"/>
      <x:c r="M278" s="89"/>
      <x:c r="N278" s="89"/>
      <x:c r="O278" s="89"/>
      <x:c r="P278" s="89"/>
      <x:c r="Q278" s="89"/>
      <x:c r="AF278" s="75"/>
    </x:row>
    <x:row r="279" spans="2:32" ht="15.5">
      <x:c r="B279" s="88"/>
      <x:c r="C279" s="89"/>
      <x:c r="D279" s="90"/>
      <x:c r="E279" s="90"/>
      <x:c r="F279" s="90"/>
      <x:c r="G279" s="90"/>
      <x:c r="H279" s="90"/>
      <x:c r="I279" s="90"/>
      <x:c r="J279" s="90"/>
      <x:c r="K279" s="89"/>
      <x:c r="L279" s="89"/>
      <x:c r="M279" s="89"/>
      <x:c r="N279" s="89"/>
      <x:c r="O279" s="89"/>
      <x:c r="P279" s="89"/>
      <x:c r="Q279" s="89"/>
      <x:c r="AF279" s="75"/>
    </x:row>
    <x:row r="280" spans="2:32" ht="15.5">
      <x:c r="B280" s="88"/>
      <x:c r="C280" s="89"/>
      <x:c r="D280" s="90"/>
      <x:c r="E280" s="90"/>
      <x:c r="F280" s="90"/>
      <x:c r="G280" s="90"/>
      <x:c r="H280" s="90"/>
      <x:c r="I280" s="90"/>
      <x:c r="J280" s="90"/>
      <x:c r="K280" s="90"/>
      <x:c r="L280" s="90"/>
      <x:c r="M280" s="90"/>
      <x:c r="N280" s="90"/>
      <x:c r="O280" s="89"/>
      <x:c r="P280" s="89"/>
      <x:c r="Q280" s="89"/>
      <x:c r="AF280" s="75"/>
    </x:row>
    <x:row r="281" spans="2:32" ht="15.5">
      <x:c r="B281" s="88"/>
      <x:c r="C281" s="89"/>
      <x:c r="D281" s="90"/>
      <x:c r="E281" s="90"/>
      <x:c r="F281" s="90"/>
      <x:c r="G281" s="90"/>
      <x:c r="H281" s="90"/>
      <x:c r="I281" s="90"/>
      <x:c r="J281" s="90"/>
      <x:c r="K281" s="90"/>
      <x:c r="L281" s="90"/>
      <x:c r="M281" s="90"/>
      <x:c r="N281" s="90"/>
      <x:c r="O281" s="89"/>
      <x:c r="P281" s="89"/>
      <x:c r="Q281" s="89"/>
      <x:c r="AF281" s="75"/>
    </x:row>
    <x:row r="282" spans="2:32" ht="15.5">
      <x:c r="B282" s="88"/>
      <x:c r="C282" s="89"/>
      <x:c r="D282" s="90"/>
      <x:c r="E282" s="90"/>
      <x:c r="F282" s="90"/>
      <x:c r="G282" s="90"/>
      <x:c r="H282" s="90"/>
      <x:c r="I282" s="90"/>
      <x:c r="J282" s="90"/>
      <x:c r="K282" s="90"/>
      <x:c r="L282" s="90"/>
      <x:c r="M282" s="90"/>
      <x:c r="N282" s="90"/>
      <x:c r="O282" s="89"/>
      <x:c r="P282" s="89"/>
      <x:c r="Q282" s="89"/>
      <x:c r="AF282" s="75"/>
    </x:row>
    <x:row r="283" spans="2:32" ht="15.5">
      <x:c r="B283" s="88"/>
      <x:c r="C283" s="89"/>
      <x:c r="D283" s="90"/>
      <x:c r="E283" s="90"/>
      <x:c r="F283" s="90"/>
      <x:c r="G283" s="90"/>
      <x:c r="H283" s="90"/>
      <x:c r="I283" s="90"/>
      <x:c r="J283" s="90"/>
      <x:c r="K283" s="90"/>
      <x:c r="L283" s="90"/>
      <x:c r="M283" s="90"/>
      <x:c r="N283" s="90"/>
      <x:c r="O283" s="89"/>
      <x:c r="P283" s="89"/>
      <x:c r="Q283" s="89"/>
      <x:c r="AF283" s="75"/>
    </x:row>
    <x:row r="284" spans="2:32" ht="15.5">
      <x:c r="B284" s="88"/>
      <x:c r="C284" s="89"/>
      <x:c r="D284" s="90"/>
      <x:c r="E284" s="90"/>
      <x:c r="F284" s="90"/>
      <x:c r="G284" s="90"/>
      <x:c r="H284" s="90"/>
      <x:c r="I284" s="90"/>
      <x:c r="J284" s="90"/>
      <x:c r="K284" s="90"/>
      <x:c r="L284" s="90"/>
      <x:c r="M284" s="90"/>
      <x:c r="N284" s="90"/>
      <x:c r="O284" s="89"/>
      <x:c r="P284" s="89"/>
      <x:c r="Q284" s="89"/>
      <x:c r="AF284" s="75"/>
    </x:row>
    <x:row r="285" spans="2:32" ht="15.5">
      <x:c r="B285" s="88"/>
      <x:c r="C285" s="89"/>
      <x:c r="D285" s="90"/>
      <x:c r="E285" s="90"/>
      <x:c r="F285" s="90"/>
      <x:c r="G285" s="90"/>
      <x:c r="H285" s="90"/>
      <x:c r="I285" s="90"/>
      <x:c r="J285" s="90"/>
      <x:c r="K285" s="90"/>
      <x:c r="L285" s="90"/>
      <x:c r="M285" s="90"/>
      <x:c r="N285" s="90"/>
      <x:c r="O285" s="89"/>
      <x:c r="P285" s="89"/>
      <x:c r="Q285" s="89"/>
      <x:c r="AF285" s="75"/>
    </x:row>
    <x:row r="286" spans="2:32" ht="15.5">
      <x:c r="B286" s="88"/>
      <x:c r="C286" s="89"/>
      <x:c r="D286" s="90"/>
      <x:c r="E286" s="90"/>
      <x:c r="F286" s="90"/>
      <x:c r="G286" s="90"/>
      <x:c r="H286" s="90"/>
      <x:c r="I286" s="90"/>
      <x:c r="J286" s="90"/>
      <x:c r="K286" s="90"/>
      <x:c r="L286" s="90"/>
      <x:c r="M286" s="90"/>
      <x:c r="N286" s="90"/>
      <x:c r="O286" s="89"/>
      <x:c r="P286" s="89"/>
      <x:c r="Q286" s="89"/>
      <x:c r="AF286" s="75"/>
    </x:row>
    <x:row r="287" spans="2:32" ht="15.5">
      <x:c r="B287" s="88"/>
      <x:c r="C287" s="89"/>
      <x:c r="D287" s="90"/>
      <x:c r="E287" s="90"/>
      <x:c r="F287" s="90"/>
      <x:c r="G287" s="90"/>
      <x:c r="H287" s="90"/>
      <x:c r="I287" s="90"/>
      <x:c r="J287" s="90"/>
      <x:c r="K287" s="90"/>
      <x:c r="L287" s="90"/>
      <x:c r="M287" s="90"/>
      <x:c r="N287" s="90"/>
      <x:c r="O287" s="89"/>
      <x:c r="P287" s="89"/>
      <x:c r="Q287" s="89"/>
      <x:c r="AF287" s="75"/>
    </x:row>
    <x:row r="288" spans="2:32" ht="15.5">
      <x:c r="B288" s="88"/>
      <x:c r="C288" s="89"/>
      <x:c r="D288" s="90"/>
      <x:c r="E288" s="90"/>
      <x:c r="F288" s="90"/>
      <x:c r="G288" s="90"/>
      <x:c r="H288" s="90"/>
      <x:c r="I288" s="90"/>
      <x:c r="J288" s="90"/>
      <x:c r="K288" s="90"/>
      <x:c r="L288" s="90"/>
      <x:c r="M288" s="90"/>
      <x:c r="N288" s="90"/>
      <x:c r="O288" s="89"/>
      <x:c r="P288" s="89"/>
      <x:c r="Q288" s="89"/>
      <x:c r="AF288" s="75"/>
    </x:row>
    <x:row r="289" spans="2:32" ht="15.5">
      <x:c r="B289" s="88"/>
      <x:c r="C289" s="89"/>
      <x:c r="D289" s="90"/>
      <x:c r="E289" s="90"/>
      <x:c r="F289" s="90"/>
      <x:c r="G289" s="90"/>
      <x:c r="H289" s="90"/>
      <x:c r="I289" s="90"/>
      <x:c r="J289" s="90"/>
      <x:c r="K289" s="90"/>
      <x:c r="L289" s="90"/>
      <x:c r="M289" s="90"/>
      <x:c r="N289" s="90"/>
      <x:c r="O289" s="89"/>
      <x:c r="P289" s="89"/>
      <x:c r="Q289" s="89"/>
      <x:c r="AF289" s="75"/>
    </x:row>
    <x:row r="290" spans="2:32" ht="15.5">
      <x:c r="B290" s="88"/>
      <x:c r="C290" s="89"/>
      <x:c r="D290" s="90"/>
      <x:c r="E290" s="90"/>
      <x:c r="F290" s="90"/>
      <x:c r="G290" s="90"/>
      <x:c r="H290" s="90"/>
      <x:c r="I290" s="90"/>
      <x:c r="J290" s="90"/>
      <x:c r="K290" s="90"/>
      <x:c r="L290" s="90"/>
      <x:c r="M290" s="90"/>
      <x:c r="N290" s="90"/>
      <x:c r="O290" s="89"/>
      <x:c r="P290" s="89"/>
      <x:c r="Q290" s="89"/>
      <x:c r="AF290" s="75"/>
    </x:row>
    <x:row r="291" spans="2:32" ht="15.5">
      <x:c r="B291" s="88"/>
      <x:c r="C291" s="89"/>
      <x:c r="D291" s="90"/>
      <x:c r="E291" s="90"/>
      <x:c r="F291" s="90"/>
      <x:c r="G291" s="90"/>
      <x:c r="H291" s="90"/>
      <x:c r="I291" s="90"/>
      <x:c r="J291" s="90"/>
      <x:c r="K291" s="90"/>
      <x:c r="L291" s="90"/>
      <x:c r="M291" s="90"/>
      <x:c r="N291" s="90"/>
      <x:c r="O291" s="89"/>
      <x:c r="P291" s="89"/>
      <x:c r="Q291" s="89"/>
      <x:c r="AF291" s="75"/>
    </x:row>
    <x:row r="292" spans="2:32" ht="15.5">
      <x:c r="B292" s="88"/>
      <x:c r="C292" s="89"/>
      <x:c r="D292" s="90"/>
      <x:c r="E292" s="90"/>
      <x:c r="F292" s="90"/>
      <x:c r="G292" s="90"/>
      <x:c r="H292" s="90"/>
      <x:c r="I292" s="90"/>
      <x:c r="J292" s="90"/>
      <x:c r="K292" s="90"/>
      <x:c r="L292" s="90"/>
      <x:c r="M292" s="90"/>
      <x:c r="N292" s="90"/>
      <x:c r="O292" s="89"/>
      <x:c r="P292" s="89"/>
      <x:c r="Q292" s="89"/>
      <x:c r="AF292" s="75"/>
    </x:row>
    <x:row r="293" spans="2:32" ht="15.5">
      <x:c r="B293" s="88"/>
      <x:c r="C293" s="89"/>
      <x:c r="D293" s="90"/>
      <x:c r="E293" s="90"/>
      <x:c r="F293" s="90"/>
      <x:c r="G293" s="90"/>
      <x:c r="H293" s="90"/>
      <x:c r="I293" s="90"/>
      <x:c r="J293" s="90"/>
      <x:c r="K293" s="90"/>
      <x:c r="L293" s="90"/>
      <x:c r="M293" s="90"/>
      <x:c r="N293" s="90"/>
      <x:c r="O293" s="89"/>
      <x:c r="P293" s="89"/>
      <x:c r="Q293" s="89"/>
      <x:c r="AF293" s="75"/>
    </x:row>
    <x:row r="294" spans="2:32" ht="15.5">
      <x:c r="B294" s="88"/>
      <x:c r="C294" s="89"/>
      <x:c r="D294" s="90"/>
      <x:c r="E294" s="90"/>
      <x:c r="F294" s="90"/>
      <x:c r="G294" s="90"/>
      <x:c r="H294" s="90"/>
      <x:c r="I294" s="90"/>
      <x:c r="J294" s="90"/>
      <x:c r="K294" s="90"/>
      <x:c r="L294" s="90"/>
      <x:c r="M294" s="90"/>
      <x:c r="N294" s="90"/>
      <x:c r="O294" s="89"/>
      <x:c r="P294" s="89"/>
      <x:c r="Q294" s="89"/>
      <x:c r="AF294" s="75"/>
    </x:row>
    <x:row r="295" spans="2:32" ht="15.5">
      <x:c r="B295" s="88"/>
      <x:c r="C295" s="89"/>
      <x:c r="D295" s="90"/>
      <x:c r="E295" s="90"/>
      <x:c r="F295" s="90"/>
      <x:c r="G295" s="90"/>
      <x:c r="H295" s="90"/>
      <x:c r="I295" s="90"/>
      <x:c r="J295" s="90"/>
      <x:c r="K295" s="90"/>
      <x:c r="L295" s="90"/>
      <x:c r="M295" s="90"/>
      <x:c r="N295" s="90"/>
      <x:c r="O295" s="89"/>
      <x:c r="P295" s="89"/>
      <x:c r="Q295" s="89"/>
      <x:c r="AF295" s="75"/>
    </x:row>
    <x:row r="296" spans="2:32" ht="15.5">
      <x:c r="B296" s="88"/>
      <x:c r="C296" s="89"/>
      <x:c r="D296" s="90"/>
      <x:c r="E296" s="90"/>
      <x:c r="F296" s="90"/>
      <x:c r="G296" s="90"/>
      <x:c r="H296" s="90"/>
      <x:c r="I296" s="90"/>
      <x:c r="J296" s="90"/>
      <x:c r="K296" s="90"/>
      <x:c r="L296" s="90"/>
      <x:c r="M296" s="90"/>
      <x:c r="N296" s="90"/>
      <x:c r="O296" s="89"/>
      <x:c r="P296" s="89"/>
      <x:c r="Q296" s="89"/>
      <x:c r="AF296" s="75"/>
    </x:row>
    <x:row r="297" spans="2:32" ht="15.5">
      <x:c r="B297" s="88"/>
      <x:c r="C297" s="89"/>
      <x:c r="D297" s="90"/>
      <x:c r="E297" s="90"/>
      <x:c r="F297" s="90"/>
      <x:c r="G297" s="90"/>
      <x:c r="H297" s="90"/>
      <x:c r="I297" s="90"/>
      <x:c r="J297" s="90"/>
      <x:c r="K297" s="90"/>
      <x:c r="L297" s="90"/>
      <x:c r="M297" s="90"/>
      <x:c r="N297" s="90"/>
      <x:c r="O297" s="89"/>
      <x:c r="P297" s="89"/>
      <x:c r="Q297" s="89"/>
      <x:c r="AF297" s="75"/>
    </x:row>
    <x:row r="298" spans="2:32" ht="15.5">
      <x:c r="B298" s="88"/>
      <x:c r="C298" s="89"/>
      <x:c r="D298" s="90"/>
      <x:c r="E298" s="90"/>
      <x:c r="F298" s="90"/>
      <x:c r="G298" s="90"/>
      <x:c r="H298" s="90"/>
      <x:c r="I298" s="90"/>
      <x:c r="J298" s="90"/>
      <x:c r="K298" s="90"/>
      <x:c r="L298" s="90"/>
      <x:c r="M298" s="90"/>
      <x:c r="N298" s="90"/>
      <x:c r="O298" s="89"/>
      <x:c r="P298" s="89"/>
      <x:c r="Q298" s="89"/>
      <x:c r="AF298" s="75"/>
    </x:row>
    <x:row r="299" spans="2:32" ht="15.5">
      <x:c r="B299" s="88"/>
      <x:c r="C299" s="89"/>
      <x:c r="D299" s="90"/>
      <x:c r="E299" s="90"/>
      <x:c r="F299" s="90"/>
      <x:c r="G299" s="90"/>
      <x:c r="H299" s="90"/>
      <x:c r="I299" s="90"/>
      <x:c r="J299" s="90"/>
      <x:c r="K299" s="90"/>
      <x:c r="L299" s="90"/>
      <x:c r="M299" s="90"/>
      <x:c r="N299" s="90"/>
      <x:c r="O299" s="89"/>
      <x:c r="P299" s="89"/>
      <x:c r="Q299" s="89"/>
      <x:c r="AF299" s="75"/>
    </x:row>
    <x:row r="300" spans="2:32" ht="15.5">
      <x:c r="B300" s="88"/>
      <x:c r="C300" s="89"/>
      <x:c r="D300" s="90"/>
      <x:c r="E300" s="90"/>
      <x:c r="F300" s="90"/>
      <x:c r="G300" s="90"/>
      <x:c r="H300" s="90"/>
      <x:c r="I300" s="90"/>
      <x:c r="J300" s="90"/>
      <x:c r="K300" s="90"/>
      <x:c r="L300" s="90"/>
      <x:c r="M300" s="90"/>
      <x:c r="N300" s="90"/>
      <x:c r="O300" s="89"/>
      <x:c r="P300" s="89"/>
      <x:c r="Q300" s="89"/>
      <x:c r="AF300" s="75"/>
    </x:row>
    <x:row r="301" spans="2:32" ht="15.5">
      <x:c r="B301" s="88"/>
      <x:c r="C301" s="89"/>
      <x:c r="D301" s="90"/>
      <x:c r="E301" s="90"/>
      <x:c r="F301" s="90"/>
      <x:c r="G301" s="90"/>
      <x:c r="H301" s="90"/>
      <x:c r="I301" s="90"/>
      <x:c r="J301" s="90"/>
      <x:c r="K301" s="90"/>
      <x:c r="L301" s="90"/>
      <x:c r="M301" s="90"/>
      <x:c r="N301" s="90"/>
      <x:c r="O301" s="89"/>
      <x:c r="P301" s="89"/>
      <x:c r="Q301" s="89"/>
      <x:c r="AF301" s="75"/>
    </x:row>
    <x:row r="302" spans="2:32" ht="15.5">
      <x:c r="B302" s="88"/>
      <x:c r="C302" s="89"/>
      <x:c r="D302" s="90"/>
      <x:c r="E302" s="90"/>
      <x:c r="F302" s="90"/>
      <x:c r="G302" s="90"/>
      <x:c r="H302" s="90"/>
      <x:c r="I302" s="90"/>
      <x:c r="J302" s="90"/>
      <x:c r="K302" s="90"/>
      <x:c r="L302" s="90"/>
      <x:c r="M302" s="90"/>
      <x:c r="N302" s="90"/>
      <x:c r="O302" s="89"/>
      <x:c r="P302" s="89"/>
      <x:c r="Q302" s="89"/>
      <x:c r="AF302" s="75"/>
    </x:row>
    <x:row r="303" spans="2:32" ht="15.5">
      <x:c r="B303" s="88"/>
      <x:c r="C303" s="89"/>
      <x:c r="D303" s="90"/>
      <x:c r="E303" s="90"/>
      <x:c r="F303" s="90"/>
      <x:c r="G303" s="90"/>
      <x:c r="H303" s="90"/>
      <x:c r="I303" s="90"/>
      <x:c r="J303" s="90"/>
      <x:c r="K303" s="90"/>
      <x:c r="L303" s="90"/>
      <x:c r="M303" s="90"/>
      <x:c r="N303" s="90"/>
      <x:c r="O303" s="89"/>
      <x:c r="P303" s="89"/>
      <x:c r="Q303" s="89"/>
      <x:c r="AF303" s="75"/>
    </x:row>
    <x:row r="304" spans="2:32" ht="15.5">
      <x:c r="B304" s="88"/>
      <x:c r="C304" s="89"/>
      <x:c r="D304" s="90"/>
      <x:c r="E304" s="90"/>
      <x:c r="F304" s="90"/>
      <x:c r="G304" s="90"/>
      <x:c r="H304" s="90"/>
      <x:c r="I304" s="90"/>
      <x:c r="J304" s="90"/>
      <x:c r="K304" s="90"/>
      <x:c r="L304" s="90"/>
      <x:c r="M304" s="90"/>
      <x:c r="N304" s="90"/>
      <x:c r="O304" s="89"/>
      <x:c r="P304" s="89"/>
      <x:c r="Q304" s="89"/>
      <x:c r="AF304" s="75"/>
    </x:row>
    <x:row r="305" spans="2:32" ht="15.5">
      <x:c r="B305" s="88"/>
      <x:c r="C305" s="89"/>
      <x:c r="D305" s="90"/>
      <x:c r="E305" s="90"/>
      <x:c r="F305" s="90"/>
      <x:c r="G305" s="90"/>
      <x:c r="H305" s="90"/>
      <x:c r="I305" s="90"/>
      <x:c r="J305" s="90"/>
      <x:c r="K305" s="90"/>
      <x:c r="L305" s="90"/>
      <x:c r="M305" s="90"/>
      <x:c r="N305" s="90"/>
      <x:c r="O305" s="89"/>
      <x:c r="P305" s="89"/>
      <x:c r="Q305" s="89"/>
      <x:c r="AF305" s="75"/>
    </x:row>
    <x:row r="306" spans="2:32" ht="15.5">
      <x:c r="B306" s="88"/>
      <x:c r="C306" s="89"/>
      <x:c r="D306" s="90"/>
      <x:c r="E306" s="90"/>
      <x:c r="F306" s="90"/>
      <x:c r="G306" s="90"/>
      <x:c r="H306" s="90"/>
      <x:c r="I306" s="90"/>
      <x:c r="J306" s="90"/>
      <x:c r="K306" s="90"/>
      <x:c r="L306" s="90"/>
      <x:c r="M306" s="90"/>
      <x:c r="N306" s="90"/>
      <x:c r="O306" s="89"/>
      <x:c r="P306" s="89"/>
      <x:c r="Q306" s="89"/>
      <x:c r="AF306" s="75"/>
    </x:row>
    <x:row r="307" spans="2:32" ht="15.5">
      <x:c r="B307" s="88"/>
      <x:c r="C307" s="89"/>
      <x:c r="D307" s="90"/>
      <x:c r="E307" s="90"/>
      <x:c r="F307" s="90"/>
      <x:c r="G307" s="90"/>
      <x:c r="H307" s="90"/>
      <x:c r="I307" s="90"/>
      <x:c r="J307" s="90"/>
      <x:c r="K307" s="90"/>
      <x:c r="L307" s="90"/>
      <x:c r="M307" s="90"/>
      <x:c r="N307" s="90"/>
      <x:c r="O307" s="89"/>
      <x:c r="P307" s="89"/>
      <x:c r="Q307" s="89"/>
      <x:c r="AF307" s="75"/>
    </x:row>
    <x:row r="308" spans="2:32" ht="15.5">
      <x:c r="B308" s="88"/>
      <x:c r="C308" s="89"/>
      <x:c r="D308" s="90"/>
      <x:c r="E308" s="90"/>
      <x:c r="F308" s="90"/>
      <x:c r="G308" s="90"/>
      <x:c r="H308" s="90"/>
      <x:c r="I308" s="90"/>
      <x:c r="J308" s="90"/>
      <x:c r="K308" s="90"/>
      <x:c r="L308" s="90"/>
      <x:c r="M308" s="90"/>
      <x:c r="N308" s="90"/>
      <x:c r="O308" s="89"/>
      <x:c r="P308" s="89"/>
      <x:c r="Q308" s="89"/>
      <x:c r="AF308" s="75"/>
    </x:row>
    <x:row r="309" spans="2:32" ht="15.5">
      <x:c r="B309" s="88"/>
      <x:c r="C309" s="89"/>
      <x:c r="D309" s="90"/>
      <x:c r="E309" s="90"/>
      <x:c r="F309" s="90"/>
      <x:c r="G309" s="90"/>
      <x:c r="H309" s="90"/>
      <x:c r="I309" s="90"/>
      <x:c r="J309" s="90"/>
      <x:c r="K309" s="90"/>
      <x:c r="L309" s="90"/>
      <x:c r="M309" s="90"/>
      <x:c r="N309" s="90"/>
      <x:c r="O309" s="89"/>
      <x:c r="P309" s="89"/>
      <x:c r="Q309" s="89"/>
      <x:c r="AF309" s="75"/>
    </x:row>
    <x:row r="310" spans="2:32" ht="15.5">
      <x:c r="B310" s="88"/>
      <x:c r="C310" s="89"/>
      <x:c r="D310" s="90"/>
      <x:c r="E310" s="90"/>
      <x:c r="F310" s="90"/>
      <x:c r="G310" s="90"/>
      <x:c r="H310" s="90"/>
      <x:c r="I310" s="90"/>
      <x:c r="J310" s="90"/>
      <x:c r="K310" s="90"/>
      <x:c r="L310" s="90"/>
      <x:c r="M310" s="90"/>
      <x:c r="N310" s="90"/>
      <x:c r="O310" s="89"/>
      <x:c r="P310" s="89"/>
      <x:c r="Q310" s="89"/>
      <x:c r="AF310" s="75"/>
    </x:row>
    <x:row r="311" spans="2:32" ht="15.5">
      <x:c r="B311" s="88"/>
      <x:c r="C311" s="89"/>
      <x:c r="D311" s="90"/>
      <x:c r="E311" s="90"/>
      <x:c r="F311" s="90"/>
      <x:c r="G311" s="90"/>
      <x:c r="H311" s="90"/>
      <x:c r="I311" s="90"/>
      <x:c r="J311" s="90"/>
      <x:c r="K311" s="90"/>
      <x:c r="L311" s="90"/>
      <x:c r="M311" s="90"/>
      <x:c r="N311" s="90"/>
      <x:c r="O311" s="89"/>
      <x:c r="P311" s="89"/>
      <x:c r="Q311" s="89"/>
      <x:c r="AF311" s="75"/>
    </x:row>
    <x:row r="312" spans="2:32" ht="15.5">
      <x:c r="B312" s="88"/>
      <x:c r="C312" s="89"/>
      <x:c r="D312" s="90"/>
      <x:c r="E312" s="90"/>
      <x:c r="F312" s="90"/>
      <x:c r="G312" s="90"/>
      <x:c r="H312" s="90"/>
      <x:c r="I312" s="90"/>
      <x:c r="J312" s="90"/>
      <x:c r="K312" s="90"/>
      <x:c r="L312" s="90"/>
      <x:c r="M312" s="90"/>
      <x:c r="N312" s="90"/>
      <x:c r="O312" s="89"/>
      <x:c r="P312" s="89"/>
      <x:c r="Q312" s="89"/>
      <x:c r="AF312" s="75"/>
    </x:row>
    <x:row r="313" spans="2:32" ht="15.5">
      <x:c r="B313" s="88"/>
      <x:c r="C313" s="89"/>
      <x:c r="D313" s="90"/>
      <x:c r="E313" s="90"/>
      <x:c r="F313" s="90"/>
      <x:c r="G313" s="90"/>
      <x:c r="H313" s="90"/>
      <x:c r="I313" s="90"/>
      <x:c r="J313" s="90"/>
      <x:c r="K313" s="90"/>
      <x:c r="L313" s="90"/>
      <x:c r="M313" s="90"/>
      <x:c r="N313" s="90"/>
      <x:c r="O313" s="89"/>
      <x:c r="P313" s="89"/>
      <x:c r="Q313" s="89"/>
      <x:c r="AF313" s="75"/>
    </x:row>
    <x:row r="314" spans="2:32" ht="15.5">
      <x:c r="B314" s="88"/>
      <x:c r="C314" s="89"/>
      <x:c r="D314" s="90"/>
      <x:c r="E314" s="90"/>
      <x:c r="F314" s="90"/>
      <x:c r="G314" s="90"/>
      <x:c r="H314" s="90"/>
      <x:c r="I314" s="90"/>
      <x:c r="J314" s="90"/>
      <x:c r="K314" s="90"/>
      <x:c r="L314" s="90"/>
      <x:c r="M314" s="90"/>
      <x:c r="N314" s="90"/>
      <x:c r="O314" s="89"/>
      <x:c r="P314" s="89"/>
      <x:c r="Q314" s="89"/>
      <x:c r="AF314" s="75"/>
    </x:row>
    <x:row r="315" spans="2:32" ht="15.5">
      <x:c r="B315" s="88"/>
      <x:c r="C315" s="89"/>
      <x:c r="D315" s="90"/>
      <x:c r="E315" s="90"/>
      <x:c r="F315" s="90"/>
      <x:c r="G315" s="90"/>
      <x:c r="H315" s="90"/>
      <x:c r="I315" s="90"/>
      <x:c r="J315" s="90"/>
      <x:c r="K315" s="90"/>
      <x:c r="L315" s="90"/>
      <x:c r="M315" s="90"/>
      <x:c r="N315" s="90"/>
      <x:c r="O315" s="89"/>
      <x:c r="P315" s="89"/>
      <x:c r="Q315" s="89"/>
      <x:c r="AF315" s="75"/>
    </x:row>
    <x:row r="316" spans="2:32" ht="15.5">
      <x:c r="B316" s="88"/>
      <x:c r="C316" s="89"/>
      <x:c r="D316" s="90"/>
      <x:c r="E316" s="90"/>
      <x:c r="F316" s="90"/>
      <x:c r="G316" s="90"/>
      <x:c r="H316" s="90"/>
      <x:c r="I316" s="90"/>
      <x:c r="J316" s="90"/>
      <x:c r="K316" s="90"/>
      <x:c r="L316" s="90"/>
      <x:c r="M316" s="90"/>
      <x:c r="N316" s="90"/>
      <x:c r="O316" s="89"/>
      <x:c r="P316" s="89"/>
      <x:c r="Q316" s="89"/>
      <x:c r="AF316" s="75"/>
    </x:row>
    <x:row r="317" spans="2:32" ht="15.5">
      <x:c r="B317" s="88"/>
      <x:c r="C317" s="89"/>
      <x:c r="D317" s="90"/>
      <x:c r="E317" s="90"/>
      <x:c r="F317" s="90"/>
      <x:c r="G317" s="90"/>
      <x:c r="H317" s="90"/>
      <x:c r="I317" s="90"/>
      <x:c r="J317" s="90"/>
      <x:c r="K317" s="90"/>
      <x:c r="L317" s="90"/>
      <x:c r="M317" s="90"/>
      <x:c r="N317" s="90"/>
      <x:c r="O317" s="89"/>
      <x:c r="P317" s="89"/>
      <x:c r="Q317" s="89"/>
      <x:c r="AF317" s="75"/>
    </x:row>
    <x:row r="318" spans="2:32" ht="15.5">
      <x:c r="B318" s="88"/>
      <x:c r="C318" s="89"/>
      <x:c r="D318" s="90"/>
      <x:c r="E318" s="90"/>
      <x:c r="F318" s="90"/>
      <x:c r="G318" s="90"/>
      <x:c r="H318" s="90"/>
      <x:c r="I318" s="90"/>
      <x:c r="J318" s="90"/>
      <x:c r="K318" s="90"/>
      <x:c r="L318" s="90"/>
      <x:c r="M318" s="90"/>
      <x:c r="N318" s="90"/>
      <x:c r="O318" s="89"/>
      <x:c r="P318" s="89"/>
      <x:c r="Q318" s="89"/>
      <x:c r="AF318" s="75"/>
    </x:row>
    <x:row r="319" spans="2:32" ht="15.5">
      <x:c r="B319" s="88"/>
      <x:c r="C319" s="89"/>
      <x:c r="D319" s="90"/>
      <x:c r="E319" s="90"/>
      <x:c r="F319" s="90"/>
      <x:c r="G319" s="90"/>
      <x:c r="H319" s="90"/>
      <x:c r="I319" s="90"/>
      <x:c r="J319" s="90"/>
      <x:c r="K319" s="90"/>
      <x:c r="L319" s="90"/>
      <x:c r="M319" s="90"/>
      <x:c r="N319" s="90"/>
      <x:c r="O319" s="89"/>
      <x:c r="P319" s="89"/>
      <x:c r="Q319" s="89"/>
      <x:c r="AF319" s="75"/>
    </x:row>
    <x:row r="320" spans="2:32" ht="15.5">
      <x:c r="B320" s="88"/>
      <x:c r="C320" s="89"/>
      <x:c r="D320" s="90"/>
      <x:c r="E320" s="90"/>
      <x:c r="F320" s="90"/>
      <x:c r="G320" s="90"/>
      <x:c r="H320" s="90"/>
      <x:c r="I320" s="90"/>
      <x:c r="J320" s="90"/>
      <x:c r="K320" s="90"/>
      <x:c r="L320" s="90"/>
      <x:c r="M320" s="90"/>
      <x:c r="N320" s="90"/>
      <x:c r="O320" s="89"/>
      <x:c r="P320" s="89"/>
      <x:c r="Q320" s="89"/>
      <x:c r="AF320" s="75"/>
    </x:row>
    <x:row r="321" spans="2:32" ht="15.5">
      <x:c r="B321" s="88"/>
      <x:c r="C321" s="89"/>
      <x:c r="D321" s="90"/>
      <x:c r="E321" s="90"/>
      <x:c r="F321" s="90"/>
      <x:c r="G321" s="90"/>
      <x:c r="H321" s="90"/>
      <x:c r="I321" s="90"/>
      <x:c r="J321" s="90"/>
      <x:c r="K321" s="90"/>
      <x:c r="L321" s="90"/>
      <x:c r="M321" s="90"/>
      <x:c r="N321" s="90"/>
      <x:c r="O321" s="89"/>
      <x:c r="P321" s="89"/>
      <x:c r="Q321" s="89"/>
      <x:c r="AF321" s="75"/>
    </x:row>
    <x:row r="322" spans="2:32" ht="15.5">
      <x:c r="B322" s="88"/>
      <x:c r="C322" s="89"/>
      <x:c r="D322" s="90"/>
      <x:c r="E322" s="90"/>
      <x:c r="F322" s="90"/>
      <x:c r="G322" s="90"/>
      <x:c r="H322" s="90"/>
      <x:c r="I322" s="90"/>
      <x:c r="J322" s="90"/>
      <x:c r="K322" s="90"/>
      <x:c r="L322" s="90"/>
      <x:c r="M322" s="90"/>
      <x:c r="N322" s="90"/>
      <x:c r="O322" s="89"/>
      <x:c r="P322" s="89"/>
      <x:c r="Q322" s="89"/>
      <x:c r="AF322" s="75"/>
    </x:row>
    <x:row r="323" spans="2:32" ht="15.5">
      <x:c r="B323" s="88"/>
      <x:c r="C323" s="89"/>
      <x:c r="D323" s="90"/>
      <x:c r="E323" s="90"/>
      <x:c r="F323" s="90"/>
      <x:c r="G323" s="90"/>
      <x:c r="H323" s="90"/>
      <x:c r="I323" s="90"/>
      <x:c r="J323" s="90"/>
      <x:c r="K323" s="90"/>
      <x:c r="L323" s="90"/>
      <x:c r="M323" s="90"/>
      <x:c r="N323" s="90"/>
      <x:c r="O323" s="89"/>
      <x:c r="P323" s="89"/>
      <x:c r="Q323" s="89"/>
      <x:c r="AF323" s="75"/>
    </x:row>
    <x:row r="324" spans="2:32" ht="15.5">
      <x:c r="B324" s="88"/>
      <x:c r="C324" s="89"/>
      <x:c r="D324" s="90"/>
      <x:c r="E324" s="90"/>
      <x:c r="F324" s="90"/>
      <x:c r="G324" s="90"/>
      <x:c r="H324" s="90"/>
      <x:c r="I324" s="90"/>
      <x:c r="J324" s="90"/>
      <x:c r="K324" s="90"/>
      <x:c r="L324" s="90"/>
      <x:c r="M324" s="90"/>
      <x:c r="N324" s="90"/>
      <x:c r="O324" s="89"/>
      <x:c r="P324" s="89"/>
      <x:c r="Q324" s="89"/>
      <x:c r="AF324" s="75"/>
    </x:row>
    <x:row r="325" spans="2:32" ht="15.5">
      <x:c r="B325" s="88"/>
      <x:c r="C325" s="89"/>
      <x:c r="D325" s="90"/>
      <x:c r="E325" s="90"/>
      <x:c r="F325" s="90"/>
      <x:c r="G325" s="90"/>
      <x:c r="H325" s="90"/>
      <x:c r="I325" s="90"/>
      <x:c r="J325" s="90"/>
      <x:c r="K325" s="90"/>
      <x:c r="L325" s="90"/>
      <x:c r="M325" s="90"/>
      <x:c r="N325" s="90"/>
      <x:c r="O325" s="89"/>
      <x:c r="P325" s="89"/>
      <x:c r="Q325" s="89"/>
      <x:c r="AF325" s="75"/>
    </x:row>
    <x:row r="326" spans="2:32" ht="15.5">
      <x:c r="B326" s="88"/>
      <x:c r="C326" s="89"/>
      <x:c r="D326" s="90"/>
      <x:c r="E326" s="90"/>
      <x:c r="F326" s="90"/>
      <x:c r="G326" s="90"/>
      <x:c r="H326" s="90"/>
      <x:c r="I326" s="90"/>
      <x:c r="J326" s="90"/>
      <x:c r="K326" s="90"/>
      <x:c r="L326" s="90"/>
      <x:c r="M326" s="90"/>
      <x:c r="N326" s="90"/>
      <x:c r="O326" s="89"/>
      <x:c r="P326" s="89"/>
      <x:c r="Q326" s="89"/>
      <x:c r="AF326" s="75"/>
    </x:row>
    <x:row r="327" spans="2:32" ht="15.5">
      <x:c r="B327" s="88"/>
      <x:c r="C327" s="89"/>
      <x:c r="D327" s="90"/>
      <x:c r="E327" s="90"/>
      <x:c r="F327" s="90"/>
      <x:c r="G327" s="90"/>
      <x:c r="H327" s="90"/>
      <x:c r="I327" s="90"/>
      <x:c r="J327" s="90"/>
      <x:c r="K327" s="90"/>
      <x:c r="L327" s="90"/>
      <x:c r="M327" s="90"/>
      <x:c r="N327" s="90"/>
      <x:c r="O327" s="89"/>
      <x:c r="P327" s="89"/>
      <x:c r="Q327" s="89"/>
      <x:c r="AF327" s="75"/>
    </x:row>
    <x:row r="328" spans="2:32" ht="15.5">
      <x:c r="B328" s="88"/>
      <x:c r="C328" s="89"/>
      <x:c r="D328" s="90"/>
      <x:c r="E328" s="90"/>
      <x:c r="F328" s="90"/>
      <x:c r="G328" s="90"/>
      <x:c r="H328" s="90"/>
      <x:c r="I328" s="90"/>
      <x:c r="J328" s="90"/>
      <x:c r="K328" s="90"/>
      <x:c r="L328" s="90"/>
      <x:c r="M328" s="90"/>
      <x:c r="N328" s="90"/>
      <x:c r="O328" s="89"/>
      <x:c r="P328" s="89"/>
      <x:c r="Q328" s="89"/>
      <x:c r="AF328" s="75"/>
    </x:row>
    <x:row r="329" spans="2:32" ht="15.5">
      <x:c r="B329" s="88"/>
      <x:c r="C329" s="89"/>
      <x:c r="D329" s="90"/>
      <x:c r="E329" s="90"/>
      <x:c r="F329" s="90"/>
      <x:c r="G329" s="90"/>
      <x:c r="H329" s="90"/>
      <x:c r="I329" s="90"/>
      <x:c r="J329" s="90"/>
      <x:c r="K329" s="90"/>
      <x:c r="L329" s="90"/>
      <x:c r="M329" s="90"/>
      <x:c r="N329" s="90"/>
      <x:c r="O329" s="89"/>
      <x:c r="P329" s="89"/>
      <x:c r="Q329" s="89"/>
      <x:c r="AF329" s="75"/>
    </x:row>
    <x:row r="330" spans="2:32" ht="15.5">
      <x:c r="B330" s="88"/>
      <x:c r="C330" s="89"/>
      <x:c r="D330" s="90"/>
      <x:c r="E330" s="90"/>
      <x:c r="F330" s="90"/>
      <x:c r="G330" s="90"/>
      <x:c r="H330" s="90"/>
      <x:c r="I330" s="90"/>
      <x:c r="J330" s="90"/>
      <x:c r="K330" s="90"/>
      <x:c r="L330" s="90"/>
      <x:c r="M330" s="90"/>
      <x:c r="N330" s="90"/>
      <x:c r="O330" s="89"/>
      <x:c r="P330" s="89"/>
      <x:c r="Q330" s="89"/>
      <x:c r="AF330" s="75"/>
    </x:row>
    <x:row r="331" spans="2:32" ht="15.5">
      <x:c r="B331" s="88"/>
      <x:c r="C331" s="89"/>
      <x:c r="D331" s="90"/>
      <x:c r="E331" s="90"/>
      <x:c r="F331" s="90"/>
      <x:c r="G331" s="90"/>
      <x:c r="H331" s="90"/>
      <x:c r="I331" s="90"/>
      <x:c r="J331" s="90"/>
      <x:c r="K331" s="90"/>
      <x:c r="L331" s="90"/>
      <x:c r="M331" s="90"/>
      <x:c r="N331" s="90"/>
      <x:c r="O331" s="89"/>
      <x:c r="P331" s="89"/>
      <x:c r="Q331" s="89"/>
      <x:c r="AF331" s="75"/>
    </x:row>
    <x:row r="332" spans="2:32" ht="15.5">
      <x:c r="B332" s="88"/>
      <x:c r="C332" s="89"/>
      <x:c r="D332" s="90"/>
      <x:c r="E332" s="90"/>
      <x:c r="F332" s="90"/>
      <x:c r="G332" s="90"/>
      <x:c r="H332" s="90"/>
      <x:c r="I332" s="90"/>
      <x:c r="J332" s="90"/>
      <x:c r="K332" s="90"/>
      <x:c r="L332" s="90"/>
      <x:c r="M332" s="90"/>
      <x:c r="N332" s="90"/>
      <x:c r="O332" s="89"/>
      <x:c r="P332" s="89"/>
      <x:c r="Q332" s="89"/>
      <x:c r="AF332" s="75"/>
    </x:row>
    <x:row r="333" spans="2:32" ht="15.5">
      <x:c r="B333" s="88"/>
      <x:c r="C333" s="89"/>
      <x:c r="D333" s="90"/>
      <x:c r="E333" s="90"/>
      <x:c r="F333" s="90"/>
      <x:c r="G333" s="90"/>
      <x:c r="H333" s="90"/>
      <x:c r="I333" s="90"/>
      <x:c r="J333" s="90"/>
      <x:c r="K333" s="90"/>
      <x:c r="L333" s="90"/>
      <x:c r="M333" s="90"/>
      <x:c r="N333" s="90"/>
      <x:c r="O333" s="89"/>
      <x:c r="P333" s="89"/>
      <x:c r="Q333" s="89"/>
      <x:c r="AF333" s="75"/>
    </x:row>
    <x:row r="334" spans="2:32" ht="15.5">
      <x:c r="B334" s="88"/>
      <x:c r="C334" s="89"/>
      <x:c r="D334" s="90"/>
      <x:c r="E334" s="90"/>
      <x:c r="F334" s="90"/>
      <x:c r="G334" s="90"/>
      <x:c r="H334" s="90"/>
      <x:c r="I334" s="90"/>
      <x:c r="J334" s="90"/>
      <x:c r="K334" s="90"/>
      <x:c r="L334" s="90"/>
      <x:c r="M334" s="90"/>
      <x:c r="N334" s="90"/>
      <x:c r="O334" s="89"/>
      <x:c r="P334" s="89"/>
      <x:c r="Q334" s="89"/>
      <x:c r="AF334" s="75"/>
    </x:row>
    <x:row r="335" spans="2:32" ht="15.5">
      <x:c r="B335" s="88"/>
      <x:c r="C335" s="89"/>
      <x:c r="D335" s="90"/>
      <x:c r="E335" s="90"/>
      <x:c r="F335" s="90"/>
      <x:c r="G335" s="90"/>
      <x:c r="H335" s="90"/>
      <x:c r="I335" s="90"/>
      <x:c r="J335" s="90"/>
      <x:c r="K335" s="90"/>
      <x:c r="L335" s="90"/>
      <x:c r="M335" s="90"/>
      <x:c r="N335" s="90"/>
      <x:c r="O335" s="89"/>
      <x:c r="P335" s="89"/>
      <x:c r="Q335" s="89"/>
      <x:c r="AF335" s="75"/>
    </x:row>
    <x:row r="336" spans="2:32" ht="15.5">
      <x:c r="B336" s="88"/>
      <x:c r="C336" s="89"/>
      <x:c r="D336" s="90"/>
      <x:c r="E336" s="90"/>
      <x:c r="F336" s="90"/>
      <x:c r="G336" s="90"/>
      <x:c r="H336" s="90"/>
      <x:c r="I336" s="90"/>
      <x:c r="J336" s="90"/>
      <x:c r="K336" s="90"/>
      <x:c r="L336" s="90"/>
      <x:c r="M336" s="90"/>
      <x:c r="N336" s="90"/>
      <x:c r="O336" s="89"/>
      <x:c r="P336" s="89"/>
      <x:c r="Q336" s="89"/>
      <x:c r="AF336" s="75"/>
    </x:row>
    <x:row r="337" spans="2:32" ht="15.5">
      <x:c r="B337" s="88"/>
      <x:c r="C337" s="89"/>
      <x:c r="D337" s="90"/>
      <x:c r="E337" s="90"/>
      <x:c r="F337" s="90"/>
      <x:c r="G337" s="90"/>
      <x:c r="H337" s="90"/>
      <x:c r="I337" s="90"/>
      <x:c r="J337" s="90"/>
      <x:c r="K337" s="90"/>
      <x:c r="L337" s="90"/>
      <x:c r="M337" s="90"/>
      <x:c r="N337" s="90"/>
      <x:c r="O337" s="89"/>
      <x:c r="P337" s="89"/>
      <x:c r="Q337" s="89"/>
      <x:c r="AF337" s="75"/>
    </x:row>
    <x:row r="338" spans="2:32" ht="15.5">
      <x:c r="B338" s="88"/>
      <x:c r="C338" s="89"/>
      <x:c r="D338" s="90"/>
      <x:c r="E338" s="90"/>
      <x:c r="F338" s="90"/>
      <x:c r="G338" s="90"/>
      <x:c r="H338" s="90"/>
      <x:c r="I338" s="90"/>
      <x:c r="J338" s="90"/>
      <x:c r="K338" s="90"/>
      <x:c r="L338" s="90"/>
      <x:c r="M338" s="90"/>
      <x:c r="N338" s="90"/>
      <x:c r="O338" s="89"/>
      <x:c r="P338" s="89"/>
      <x:c r="Q338" s="89"/>
      <x:c r="AF338" s="75"/>
    </x:row>
    <x:row r="339" spans="2:32" ht="15.5">
      <x:c r="B339" s="88"/>
      <x:c r="C339" s="89"/>
      <x:c r="D339" s="90"/>
      <x:c r="E339" s="90"/>
      <x:c r="F339" s="90"/>
      <x:c r="G339" s="90"/>
      <x:c r="H339" s="90"/>
      <x:c r="I339" s="90"/>
      <x:c r="J339" s="90"/>
      <x:c r="K339" s="90"/>
      <x:c r="L339" s="90"/>
      <x:c r="M339" s="90"/>
      <x:c r="N339" s="90"/>
      <x:c r="O339" s="89"/>
      <x:c r="P339" s="89"/>
      <x:c r="Q339" s="89"/>
      <x:c r="AF339" s="75"/>
    </x:row>
    <x:row r="340" spans="2:32" ht="15.5">
      <x:c r="B340" s="88"/>
      <x:c r="C340" s="89"/>
      <x:c r="D340" s="90"/>
      <x:c r="E340" s="90"/>
      <x:c r="F340" s="90"/>
      <x:c r="G340" s="90"/>
      <x:c r="H340" s="90"/>
      <x:c r="I340" s="90"/>
      <x:c r="J340" s="90"/>
      <x:c r="K340" s="90"/>
      <x:c r="L340" s="90"/>
      <x:c r="M340" s="90"/>
      <x:c r="N340" s="90"/>
      <x:c r="O340" s="89"/>
      <x:c r="P340" s="89"/>
      <x:c r="Q340" s="89"/>
      <x:c r="AF340" s="75"/>
    </x:row>
    <x:row r="341" spans="2:32" ht="15.5">
      <x:c r="B341" s="88"/>
      <x:c r="C341" s="89"/>
      <x:c r="D341" s="90"/>
      <x:c r="E341" s="90"/>
      <x:c r="F341" s="90"/>
      <x:c r="G341" s="90"/>
      <x:c r="H341" s="90"/>
      <x:c r="I341" s="90"/>
      <x:c r="J341" s="90"/>
      <x:c r="K341" s="90"/>
      <x:c r="L341" s="90"/>
      <x:c r="M341" s="90"/>
      <x:c r="N341" s="90"/>
      <x:c r="O341" s="89"/>
      <x:c r="P341" s="89"/>
      <x:c r="Q341" s="89"/>
      <x:c r="AF341" s="75"/>
    </x:row>
    <x:row r="342" spans="2:32" ht="15.5">
      <x:c r="B342" s="88"/>
      <x:c r="C342" s="89"/>
      <x:c r="D342" s="90"/>
      <x:c r="E342" s="90"/>
      <x:c r="F342" s="90"/>
      <x:c r="G342" s="90"/>
      <x:c r="H342" s="90"/>
      <x:c r="I342" s="90"/>
      <x:c r="J342" s="90"/>
      <x:c r="K342" s="90"/>
      <x:c r="L342" s="90"/>
      <x:c r="M342" s="90"/>
      <x:c r="N342" s="90"/>
      <x:c r="O342" s="89"/>
      <x:c r="P342" s="89"/>
      <x:c r="Q342" s="89"/>
      <x:c r="AF342" s="75"/>
    </x:row>
    <x:row r="343" spans="2:32" ht="15.5">
      <x:c r="B343" s="88"/>
      <x:c r="C343" s="89"/>
      <x:c r="D343" s="90"/>
      <x:c r="E343" s="90"/>
      <x:c r="F343" s="90"/>
      <x:c r="G343" s="90"/>
      <x:c r="H343" s="90"/>
      <x:c r="I343" s="90"/>
      <x:c r="J343" s="90"/>
      <x:c r="K343" s="90"/>
      <x:c r="L343" s="90"/>
      <x:c r="M343" s="90"/>
      <x:c r="N343" s="90"/>
      <x:c r="O343" s="89"/>
      <x:c r="P343" s="89"/>
      <x:c r="Q343" s="89"/>
      <x:c r="AF343" s="75"/>
    </x:row>
    <x:row r="344" spans="2:32" ht="15.5">
      <x:c r="B344" s="88"/>
      <x:c r="C344" s="89"/>
      <x:c r="D344" s="90"/>
      <x:c r="E344" s="90"/>
      <x:c r="F344" s="90"/>
      <x:c r="G344" s="90"/>
      <x:c r="H344" s="90"/>
      <x:c r="I344" s="90"/>
      <x:c r="J344" s="90"/>
      <x:c r="K344" s="90"/>
      <x:c r="L344" s="90"/>
      <x:c r="M344" s="90"/>
      <x:c r="N344" s="90"/>
      <x:c r="O344" s="89"/>
      <x:c r="P344" s="89"/>
      <x:c r="Q344" s="89"/>
      <x:c r="AF344" s="75"/>
    </x:row>
    <x:row r="345" spans="2:32" ht="15.5">
      <x:c r="B345" s="88"/>
      <x:c r="C345" s="89"/>
      <x:c r="D345" s="90"/>
      <x:c r="E345" s="90"/>
      <x:c r="F345" s="90"/>
      <x:c r="G345" s="90"/>
      <x:c r="H345" s="90"/>
      <x:c r="I345" s="90"/>
      <x:c r="J345" s="90"/>
      <x:c r="K345" s="90"/>
      <x:c r="L345" s="90"/>
      <x:c r="M345" s="90"/>
      <x:c r="N345" s="90"/>
      <x:c r="O345" s="89"/>
      <x:c r="P345" s="89"/>
      <x:c r="Q345" s="89"/>
      <x:c r="AF345" s="75"/>
    </x:row>
    <x:row r="346" spans="2:32" ht="15.5">
      <x:c r="B346" s="88"/>
      <x:c r="C346" s="89"/>
      <x:c r="D346" s="90"/>
      <x:c r="E346" s="90"/>
      <x:c r="F346" s="90"/>
      <x:c r="G346" s="90"/>
      <x:c r="H346" s="90"/>
      <x:c r="I346" s="90"/>
      <x:c r="J346" s="90"/>
      <x:c r="K346" s="90"/>
      <x:c r="L346" s="90"/>
      <x:c r="M346" s="90"/>
      <x:c r="N346" s="90"/>
      <x:c r="O346" s="89"/>
      <x:c r="P346" s="89"/>
      <x:c r="Q346" s="89"/>
      <x:c r="AF346" s="75"/>
    </x:row>
    <x:row r="347" spans="2:32" ht="15.5">
      <x:c r="B347" s="88"/>
      <x:c r="C347" s="89"/>
      <x:c r="D347" s="90"/>
      <x:c r="E347" s="90"/>
      <x:c r="F347" s="90"/>
      <x:c r="G347" s="90"/>
      <x:c r="H347" s="90"/>
      <x:c r="I347" s="90"/>
      <x:c r="J347" s="90"/>
      <x:c r="K347" s="90"/>
      <x:c r="L347" s="90"/>
      <x:c r="M347" s="90"/>
      <x:c r="N347" s="90"/>
      <x:c r="O347" s="89"/>
      <x:c r="P347" s="89"/>
      <x:c r="Q347" s="89"/>
      <x:c r="AF347" s="75"/>
    </x:row>
    <x:row r="348" spans="2:32" ht="15.5">
      <x:c r="B348" s="88"/>
      <x:c r="C348" s="89"/>
      <x:c r="D348" s="90"/>
      <x:c r="E348" s="90"/>
      <x:c r="F348" s="90"/>
      <x:c r="G348" s="90"/>
      <x:c r="H348" s="90"/>
      <x:c r="I348" s="90"/>
      <x:c r="J348" s="90"/>
      <x:c r="K348" s="90"/>
      <x:c r="L348" s="90"/>
      <x:c r="M348" s="90"/>
      <x:c r="N348" s="90"/>
      <x:c r="O348" s="89"/>
      <x:c r="P348" s="89"/>
      <x:c r="Q348" s="89"/>
      <x:c r="AF348" s="75"/>
    </x:row>
    <x:row r="349" spans="2:32" ht="15.5">
      <x:c r="B349" s="88"/>
      <x:c r="C349" s="89"/>
      <x:c r="D349" s="90"/>
      <x:c r="E349" s="90"/>
      <x:c r="F349" s="90"/>
      <x:c r="G349" s="90"/>
      <x:c r="H349" s="90"/>
      <x:c r="I349" s="90"/>
      <x:c r="J349" s="90"/>
      <x:c r="K349" s="90"/>
      <x:c r="L349" s="90"/>
      <x:c r="M349" s="90"/>
      <x:c r="N349" s="90"/>
      <x:c r="O349" s="89"/>
      <x:c r="P349" s="89"/>
      <x:c r="Q349" s="89"/>
      <x:c r="AF349" s="75"/>
    </x:row>
    <x:row r="350" spans="2:32" ht="15.5">
      <x:c r="B350" s="88"/>
      <x:c r="C350" s="89"/>
      <x:c r="D350" s="90"/>
      <x:c r="E350" s="90"/>
      <x:c r="F350" s="90"/>
      <x:c r="G350" s="90"/>
      <x:c r="H350" s="90"/>
      <x:c r="I350" s="90"/>
      <x:c r="J350" s="90"/>
      <x:c r="K350" s="90"/>
      <x:c r="L350" s="90"/>
      <x:c r="M350" s="90"/>
      <x:c r="N350" s="90"/>
      <x:c r="O350" s="89"/>
      <x:c r="P350" s="89"/>
      <x:c r="Q350" s="89"/>
      <x:c r="AF350" s="75"/>
    </x:row>
    <x:row r="351" spans="2:32" ht="15.5">
      <x:c r="B351" s="88"/>
      <x:c r="C351" s="89"/>
      <x:c r="D351" s="90"/>
      <x:c r="E351" s="90"/>
      <x:c r="F351" s="90"/>
      <x:c r="G351" s="90"/>
      <x:c r="H351" s="90"/>
      <x:c r="I351" s="90"/>
      <x:c r="J351" s="90"/>
      <x:c r="K351" s="90"/>
      <x:c r="L351" s="90"/>
      <x:c r="M351" s="90"/>
      <x:c r="N351" s="90"/>
      <x:c r="O351" s="89"/>
      <x:c r="P351" s="89"/>
      <x:c r="Q351" s="89"/>
      <x:c r="AF351" s="75"/>
    </x:row>
    <x:row r="352" spans="2:32" ht="15.5">
      <x:c r="B352" s="88"/>
      <x:c r="C352" s="89"/>
      <x:c r="D352" s="90"/>
      <x:c r="E352" s="90"/>
      <x:c r="F352" s="90"/>
      <x:c r="G352" s="90"/>
      <x:c r="H352" s="90"/>
      <x:c r="I352" s="90"/>
      <x:c r="J352" s="90"/>
      <x:c r="K352" s="90"/>
      <x:c r="L352" s="90"/>
      <x:c r="M352" s="90"/>
      <x:c r="N352" s="90"/>
      <x:c r="O352" s="89"/>
      <x:c r="P352" s="89"/>
      <x:c r="Q352" s="89"/>
      <x:c r="AF352" s="75"/>
    </x:row>
    <x:row r="353" spans="2:32" ht="15.5">
      <x:c r="B353" s="88"/>
      <x:c r="C353" s="89"/>
      <x:c r="D353" s="90"/>
      <x:c r="E353" s="90"/>
      <x:c r="F353" s="90"/>
      <x:c r="G353" s="90"/>
      <x:c r="H353" s="90"/>
      <x:c r="I353" s="90"/>
      <x:c r="J353" s="90"/>
      <x:c r="K353" s="90"/>
      <x:c r="L353" s="90"/>
      <x:c r="M353" s="90"/>
      <x:c r="N353" s="90"/>
      <x:c r="O353" s="89"/>
      <x:c r="P353" s="89"/>
      <x:c r="Q353" s="89"/>
      <x:c r="AF353" s="75"/>
    </x:row>
    <x:row r="354" spans="2:32" ht="15.5">
      <x:c r="B354" s="88"/>
      <x:c r="C354" s="89"/>
      <x:c r="D354" s="90"/>
      <x:c r="E354" s="90"/>
      <x:c r="F354" s="90"/>
      <x:c r="G354" s="90"/>
      <x:c r="H354" s="90"/>
      <x:c r="I354" s="90"/>
      <x:c r="J354" s="90"/>
      <x:c r="K354" s="90"/>
      <x:c r="L354" s="90"/>
      <x:c r="M354" s="90"/>
      <x:c r="N354" s="90"/>
      <x:c r="O354" s="89"/>
      <x:c r="P354" s="89"/>
      <x:c r="Q354" s="89"/>
      <x:c r="AF354" s="75"/>
    </x:row>
    <x:row r="355" spans="2:32" ht="15.5">
      <x:c r="B355" s="88"/>
      <x:c r="C355" s="89"/>
      <x:c r="D355" s="90"/>
      <x:c r="E355" s="90"/>
      <x:c r="F355" s="90"/>
      <x:c r="G355" s="90"/>
      <x:c r="H355" s="90"/>
      <x:c r="I355" s="90"/>
      <x:c r="J355" s="90"/>
      <x:c r="K355" s="90"/>
      <x:c r="L355" s="90"/>
      <x:c r="M355" s="90"/>
      <x:c r="N355" s="90"/>
      <x:c r="O355" s="89"/>
      <x:c r="P355" s="89"/>
      <x:c r="Q355" s="89"/>
      <x:c r="AF355" s="75"/>
    </x:row>
    <x:row r="356" spans="2:32" ht="15.5">
      <x:c r="B356" s="88"/>
      <x:c r="C356" s="89"/>
      <x:c r="D356" s="90"/>
      <x:c r="E356" s="90"/>
      <x:c r="F356" s="90"/>
      <x:c r="G356" s="90"/>
      <x:c r="H356" s="90"/>
      <x:c r="I356" s="90"/>
      <x:c r="J356" s="90"/>
      <x:c r="K356" s="90"/>
      <x:c r="L356" s="90"/>
      <x:c r="M356" s="90"/>
      <x:c r="N356" s="90"/>
      <x:c r="O356" s="89"/>
      <x:c r="P356" s="89"/>
      <x:c r="Q356" s="89"/>
      <x:c r="AF356" s="75"/>
    </x:row>
    <x:row r="357" spans="2:32" ht="15.5">
      <x:c r="B357" s="88"/>
      <x:c r="C357" s="89"/>
      <x:c r="D357" s="90"/>
      <x:c r="E357" s="90"/>
      <x:c r="F357" s="90"/>
      <x:c r="G357" s="90"/>
      <x:c r="H357" s="90"/>
      <x:c r="I357" s="90"/>
      <x:c r="J357" s="90"/>
      <x:c r="K357" s="90"/>
      <x:c r="L357" s="90"/>
      <x:c r="M357" s="90"/>
      <x:c r="N357" s="90"/>
      <x:c r="O357" s="89"/>
      <x:c r="P357" s="89"/>
      <x:c r="Q357" s="89"/>
      <x:c r="AF357" s="75"/>
    </x:row>
    <x:row r="358" spans="2:32" ht="15.5">
      <x:c r="B358" s="88"/>
      <x:c r="C358" s="89"/>
      <x:c r="D358" s="90"/>
      <x:c r="E358" s="90"/>
      <x:c r="F358" s="90"/>
      <x:c r="G358" s="90"/>
      <x:c r="H358" s="90"/>
      <x:c r="I358" s="90"/>
      <x:c r="J358" s="90"/>
      <x:c r="K358" s="90"/>
      <x:c r="L358" s="90"/>
      <x:c r="M358" s="90"/>
      <x:c r="N358" s="90"/>
      <x:c r="O358" s="89"/>
      <x:c r="P358" s="89"/>
      <x:c r="Q358" s="89"/>
      <x:c r="AF358" s="75"/>
    </x:row>
    <x:row r="359" spans="2:32" ht="15.5">
      <x:c r="B359" s="88"/>
      <x:c r="C359" s="89"/>
      <x:c r="D359" s="90"/>
      <x:c r="E359" s="90"/>
      <x:c r="F359" s="90"/>
      <x:c r="G359" s="90"/>
      <x:c r="H359" s="90"/>
      <x:c r="I359" s="90"/>
      <x:c r="J359" s="90"/>
      <x:c r="K359" s="90"/>
      <x:c r="L359" s="90"/>
      <x:c r="M359" s="90"/>
      <x:c r="N359" s="90"/>
      <x:c r="O359" s="89"/>
      <x:c r="P359" s="89"/>
      <x:c r="Q359" s="89"/>
      <x:c r="AF359" s="75"/>
    </x:row>
    <x:row r="360" spans="2:32" ht="15.5">
      <x:c r="B360" s="88"/>
      <x:c r="C360" s="89"/>
      <x:c r="D360" s="90"/>
      <x:c r="E360" s="90"/>
      <x:c r="F360" s="90"/>
      <x:c r="G360" s="90"/>
      <x:c r="H360" s="90"/>
      <x:c r="I360" s="90"/>
      <x:c r="J360" s="90"/>
      <x:c r="K360" s="90"/>
      <x:c r="L360" s="90"/>
      <x:c r="M360" s="90"/>
      <x:c r="N360" s="90"/>
      <x:c r="O360" s="89"/>
      <x:c r="P360" s="89"/>
      <x:c r="Q360" s="89"/>
      <x:c r="AF360" s="75"/>
    </x:row>
    <x:row r="361" spans="2:32" ht="15.5">
      <x:c r="B361" s="88"/>
      <x:c r="C361" s="89"/>
      <x:c r="D361" s="90"/>
      <x:c r="E361" s="90"/>
      <x:c r="F361" s="90"/>
      <x:c r="G361" s="90"/>
      <x:c r="H361" s="90"/>
      <x:c r="I361" s="90"/>
      <x:c r="J361" s="90"/>
      <x:c r="K361" s="90"/>
      <x:c r="L361" s="90"/>
      <x:c r="M361" s="90"/>
      <x:c r="N361" s="90"/>
      <x:c r="O361" s="89"/>
      <x:c r="P361" s="89"/>
      <x:c r="Q361" s="89"/>
      <x:c r="AF361" s="75"/>
    </x:row>
    <x:row r="362" spans="2:32" ht="15.5">
      <x:c r="B362" s="88"/>
      <x:c r="C362" s="89"/>
      <x:c r="D362" s="90"/>
      <x:c r="E362" s="90"/>
      <x:c r="F362" s="90"/>
      <x:c r="G362" s="90"/>
      <x:c r="H362" s="90"/>
      <x:c r="I362" s="90"/>
      <x:c r="J362" s="90"/>
      <x:c r="K362" s="90"/>
      <x:c r="L362" s="90"/>
      <x:c r="M362" s="90"/>
      <x:c r="N362" s="90"/>
      <x:c r="O362" s="89"/>
      <x:c r="P362" s="89"/>
      <x:c r="Q362" s="89"/>
      <x:c r="AF362" s="75"/>
    </x:row>
    <x:row r="363" spans="2:32" ht="15.5">
      <x:c r="B363" s="88"/>
      <x:c r="C363" s="89"/>
      <x:c r="D363" s="90"/>
      <x:c r="E363" s="90"/>
      <x:c r="F363" s="90"/>
      <x:c r="G363" s="90"/>
      <x:c r="H363" s="90"/>
      <x:c r="I363" s="90"/>
      <x:c r="J363" s="90"/>
      <x:c r="K363" s="90"/>
      <x:c r="L363" s="90"/>
      <x:c r="M363" s="90"/>
      <x:c r="N363" s="90"/>
      <x:c r="O363" s="89"/>
      <x:c r="P363" s="89"/>
      <x:c r="Q363" s="89"/>
      <x:c r="AF363" s="75"/>
    </x:row>
    <x:row r="364" spans="2:32" ht="15.5">
      <x:c r="B364" s="88"/>
      <x:c r="C364" s="89"/>
      <x:c r="D364" s="90"/>
      <x:c r="E364" s="90"/>
      <x:c r="F364" s="90"/>
      <x:c r="G364" s="90"/>
      <x:c r="H364" s="90"/>
      <x:c r="I364" s="90"/>
      <x:c r="J364" s="90"/>
      <x:c r="K364" s="90"/>
      <x:c r="L364" s="90"/>
      <x:c r="M364" s="90"/>
      <x:c r="N364" s="90"/>
      <x:c r="O364" s="89"/>
      <x:c r="P364" s="89"/>
      <x:c r="Q364" s="89"/>
      <x:c r="AF364" s="75"/>
    </x:row>
    <x:row r="365" spans="2:32" ht="15.5">
      <x:c r="B365" s="88"/>
      <x:c r="C365" s="89"/>
      <x:c r="D365" s="90"/>
      <x:c r="E365" s="90"/>
      <x:c r="F365" s="90"/>
      <x:c r="G365" s="90"/>
      <x:c r="H365" s="90"/>
      <x:c r="I365" s="90"/>
      <x:c r="J365" s="90"/>
      <x:c r="K365" s="90"/>
      <x:c r="L365" s="90"/>
      <x:c r="M365" s="90"/>
      <x:c r="N365" s="90"/>
      <x:c r="O365" s="89"/>
      <x:c r="P365" s="89"/>
      <x:c r="Q365" s="89"/>
      <x:c r="AF365" s="75"/>
    </x:row>
    <x:row r="366" spans="2:32" ht="15.5">
      <x:c r="B366" s="88"/>
      <x:c r="C366" s="89"/>
      <x:c r="D366" s="90"/>
      <x:c r="E366" s="90"/>
      <x:c r="F366" s="90"/>
      <x:c r="G366" s="90"/>
      <x:c r="H366" s="90"/>
      <x:c r="I366" s="90"/>
      <x:c r="J366" s="90"/>
      <x:c r="K366" s="90"/>
      <x:c r="L366" s="90"/>
      <x:c r="M366" s="90"/>
      <x:c r="N366" s="90"/>
      <x:c r="O366" s="89"/>
      <x:c r="P366" s="89"/>
      <x:c r="Q366" s="89"/>
      <x:c r="AF366" s="75"/>
    </x:row>
    <x:row r="367" spans="2:32" ht="15.5">
      <x:c r="B367" s="88"/>
      <x:c r="C367" s="89"/>
      <x:c r="D367" s="90"/>
      <x:c r="E367" s="90"/>
      <x:c r="F367" s="90"/>
      <x:c r="G367" s="90"/>
      <x:c r="H367" s="90"/>
      <x:c r="I367" s="90"/>
      <x:c r="J367" s="90"/>
      <x:c r="K367" s="90"/>
      <x:c r="L367" s="90"/>
      <x:c r="M367" s="90"/>
      <x:c r="N367" s="90"/>
      <x:c r="O367" s="89"/>
      <x:c r="P367" s="89"/>
      <x:c r="Q367" s="89"/>
      <x:c r="AF367" s="75"/>
    </x:row>
    <x:row r="368" spans="2:32" ht="15.5">
      <x:c r="B368" s="88"/>
      <x:c r="C368" s="89"/>
      <x:c r="D368" s="90"/>
      <x:c r="E368" s="90"/>
      <x:c r="F368" s="90"/>
      <x:c r="G368" s="90"/>
      <x:c r="H368" s="90"/>
      <x:c r="I368" s="90"/>
      <x:c r="J368" s="90"/>
      <x:c r="K368" s="90"/>
      <x:c r="L368" s="90"/>
      <x:c r="M368" s="90"/>
      <x:c r="N368" s="90"/>
      <x:c r="O368" s="89"/>
      <x:c r="P368" s="89"/>
      <x:c r="Q368" s="89"/>
      <x:c r="AF368" s="75"/>
    </x:row>
    <x:row r="369" spans="2:32" ht="15.5">
      <x:c r="B369" s="88"/>
      <x:c r="C369" s="89"/>
      <x:c r="D369" s="90"/>
      <x:c r="E369" s="90"/>
      <x:c r="F369" s="90"/>
      <x:c r="G369" s="90"/>
      <x:c r="H369" s="90"/>
      <x:c r="I369" s="90"/>
      <x:c r="J369" s="90"/>
      <x:c r="K369" s="90"/>
      <x:c r="L369" s="90"/>
      <x:c r="M369" s="90"/>
      <x:c r="N369" s="90"/>
      <x:c r="O369" s="89"/>
      <x:c r="P369" s="89"/>
      <x:c r="Q369" s="89"/>
      <x:c r="AF369" s="75"/>
    </x:row>
    <x:row r="370" spans="2:32" ht="15.5">
      <x:c r="B370" s="88"/>
      <x:c r="C370" s="89"/>
      <x:c r="D370" s="90"/>
      <x:c r="E370" s="90"/>
      <x:c r="F370" s="90"/>
      <x:c r="G370" s="90"/>
      <x:c r="H370" s="90"/>
      <x:c r="I370" s="90"/>
      <x:c r="J370" s="90"/>
      <x:c r="K370" s="90"/>
      <x:c r="L370" s="90"/>
      <x:c r="M370" s="90"/>
      <x:c r="N370" s="90"/>
      <x:c r="O370" s="89"/>
      <x:c r="P370" s="89"/>
      <x:c r="Q370" s="89"/>
      <x:c r="AF370" s="75"/>
    </x:row>
    <x:row r="371" spans="2:32" ht="15.5">
      <x:c r="B371" s="88"/>
      <x:c r="C371" s="89"/>
      <x:c r="D371" s="90"/>
      <x:c r="E371" s="90"/>
      <x:c r="F371" s="90"/>
      <x:c r="G371" s="90"/>
      <x:c r="H371" s="90"/>
      <x:c r="I371" s="90"/>
      <x:c r="J371" s="90"/>
      <x:c r="K371" s="90"/>
      <x:c r="L371" s="90"/>
      <x:c r="M371" s="90"/>
      <x:c r="N371" s="90"/>
      <x:c r="O371" s="89"/>
      <x:c r="P371" s="89"/>
      <x:c r="Q371" s="89"/>
      <x:c r="AF371" s="75"/>
    </x:row>
    <x:row r="372" spans="2:32" ht="15.5">
      <x:c r="B372" s="88"/>
      <x:c r="C372" s="89"/>
      <x:c r="D372" s="90"/>
      <x:c r="E372" s="90"/>
      <x:c r="F372" s="90"/>
      <x:c r="G372" s="90"/>
      <x:c r="H372" s="90"/>
      <x:c r="I372" s="90"/>
      <x:c r="J372" s="90"/>
      <x:c r="K372" s="90"/>
      <x:c r="L372" s="90"/>
      <x:c r="M372" s="90"/>
      <x:c r="N372" s="90"/>
      <x:c r="O372" s="89"/>
      <x:c r="P372" s="89"/>
      <x:c r="Q372" s="89"/>
      <x:c r="AF372" s="75"/>
    </x:row>
    <x:row r="373" spans="2:32" ht="15.5">
      <x:c r="B373" s="88"/>
      <x:c r="C373" s="89"/>
      <x:c r="D373" s="90"/>
      <x:c r="E373" s="90"/>
      <x:c r="F373" s="90"/>
      <x:c r="G373" s="90"/>
      <x:c r="H373" s="90"/>
      <x:c r="I373" s="90"/>
      <x:c r="J373" s="90"/>
      <x:c r="K373" s="90"/>
      <x:c r="L373" s="90"/>
      <x:c r="M373" s="90"/>
      <x:c r="N373" s="90"/>
      <x:c r="O373" s="89"/>
      <x:c r="P373" s="89"/>
      <x:c r="Q373" s="89"/>
      <x:c r="AF373" s="75"/>
    </x:row>
    <x:row r="374" spans="2:32" ht="15.5">
      <x:c r="B374" s="88"/>
      <x:c r="C374" s="89"/>
      <x:c r="D374" s="90"/>
      <x:c r="E374" s="90"/>
      <x:c r="F374" s="90"/>
      <x:c r="G374" s="90"/>
      <x:c r="H374" s="90"/>
      <x:c r="I374" s="90"/>
      <x:c r="J374" s="90"/>
      <x:c r="K374" s="90"/>
      <x:c r="L374" s="90"/>
      <x:c r="M374" s="90"/>
      <x:c r="N374" s="90"/>
      <x:c r="O374" s="89"/>
      <x:c r="P374" s="89"/>
      <x:c r="Q374" s="89"/>
      <x:c r="AF374" s="75"/>
    </x:row>
    <x:row r="375" spans="2:32" ht="15.5">
      <x:c r="B375" s="88"/>
      <x:c r="C375" s="89"/>
      <x:c r="D375" s="90"/>
      <x:c r="E375" s="90"/>
      <x:c r="F375" s="90"/>
      <x:c r="G375" s="90"/>
      <x:c r="H375" s="90"/>
      <x:c r="I375" s="90"/>
      <x:c r="J375" s="90"/>
      <x:c r="K375" s="90"/>
      <x:c r="L375" s="90"/>
      <x:c r="M375" s="90"/>
      <x:c r="N375" s="90"/>
      <x:c r="O375" s="89"/>
      <x:c r="P375" s="89"/>
      <x:c r="Q375" s="89"/>
      <x:c r="AF375" s="75"/>
    </x:row>
    <x:row r="376" spans="2:32" ht="15.5">
      <x:c r="B376" s="88"/>
      <x:c r="C376" s="89"/>
      <x:c r="D376" s="90"/>
      <x:c r="E376" s="90"/>
      <x:c r="F376" s="90"/>
      <x:c r="G376" s="90"/>
      <x:c r="H376" s="90"/>
      <x:c r="I376" s="90"/>
      <x:c r="J376" s="90"/>
      <x:c r="K376" s="90"/>
      <x:c r="L376" s="90"/>
      <x:c r="M376" s="90"/>
      <x:c r="N376" s="90"/>
      <x:c r="O376" s="89"/>
      <x:c r="P376" s="89"/>
      <x:c r="Q376" s="89"/>
      <x:c r="AF376" s="75"/>
    </x:row>
    <x:row r="377" spans="2:32" ht="15.5">
      <x:c r="B377" s="88"/>
      <x:c r="C377" s="89"/>
      <x:c r="D377" s="90"/>
      <x:c r="E377" s="90"/>
      <x:c r="F377" s="90"/>
      <x:c r="G377" s="90"/>
      <x:c r="H377" s="90"/>
      <x:c r="I377" s="90"/>
      <x:c r="J377" s="90"/>
      <x:c r="K377" s="90"/>
      <x:c r="L377" s="90"/>
      <x:c r="M377" s="90"/>
      <x:c r="N377" s="90"/>
      <x:c r="O377" s="89"/>
      <x:c r="P377" s="89"/>
      <x:c r="Q377" s="89"/>
      <x:c r="AF377" s="75"/>
    </x:row>
    <x:row r="378" spans="2:32" ht="15.5">
      <x:c r="B378" s="88"/>
      <x:c r="C378" s="89"/>
      <x:c r="D378" s="90"/>
      <x:c r="E378" s="90"/>
      <x:c r="F378" s="90"/>
      <x:c r="G378" s="90"/>
      <x:c r="H378" s="90"/>
      <x:c r="I378" s="90"/>
      <x:c r="J378" s="90"/>
      <x:c r="K378" s="90"/>
      <x:c r="L378" s="90"/>
      <x:c r="M378" s="90"/>
      <x:c r="N378" s="90"/>
      <x:c r="O378" s="89"/>
      <x:c r="P378" s="89"/>
      <x:c r="Q378" s="89"/>
      <x:c r="AF378" s="75"/>
    </x:row>
    <x:row r="379" spans="2:32" ht="15.5">
      <x:c r="B379" s="88"/>
      <x:c r="C379" s="89"/>
      <x:c r="D379" s="90"/>
      <x:c r="E379" s="90"/>
      <x:c r="F379" s="90"/>
      <x:c r="G379" s="90"/>
      <x:c r="H379" s="90"/>
      <x:c r="I379" s="90"/>
      <x:c r="J379" s="90"/>
      <x:c r="K379" s="90"/>
      <x:c r="L379" s="90"/>
      <x:c r="M379" s="90"/>
      <x:c r="N379" s="90"/>
      <x:c r="O379" s="89"/>
      <x:c r="P379" s="89"/>
      <x:c r="Q379" s="89"/>
      <x:c r="AF379" s="75"/>
    </x:row>
    <x:row r="1000">
      <x:c r="XX1000" s="142" t="n">
        <x:v>125713</x:v>
      </x:c>
    </x:row>
  </x:sheetData>
  <x:hyperlinks>
    <x:hyperlink ref="B8" r:id="rId1" display="https://www.cbssports.com/nfl/teams/PHI/philadelphia-eagles/" xr:uid="{66A20A28-8401-4EA2-B5AA-3A4217B27685}"/>
    <x:hyperlink ref="B9" r:id="rId2" display="https://www.cbssports.com/nfl/teams/NO/new-orleans-saints/" xr:uid="{6D1CC512-B906-45CC-AB95-673D85E4F02B}"/>
    <x:hyperlink ref="B10" r:id="rId3" display="https://www.cbssports.com/nfl/teams/NYJ/new-york-jets/" xr:uid="{9106ACCB-EAC2-4944-B7CB-3FEDB5BB1F92}"/>
    <x:hyperlink ref="B11" r:id="rId4" display="https://www.cbssports.com/nfl/teams/NE/new-england-patriots/" xr:uid="{7DF2C90E-BBE6-4C06-A2E0-92188B3D467A}"/>
    <x:hyperlink ref="B12" r:id="rId5" display="https://www.cbssports.com/nfl/teams/PIT/pittsburgh-steelers/" xr:uid="{B4FBFB96-FC6B-4665-8973-5F74C332FC60}"/>
    <x:hyperlink ref="B13" r:id="rId6" display="https://www.cbssports.com/nfl/teams/BAL/baltimore-ravens/" xr:uid="{958DCE26-8076-44DA-9323-CC5E0C1BBA05}"/>
    <x:hyperlink ref="B14" r:id="rId7" display="https://www.cbssports.com/nfl/teams/KC/kansas-city-chiefs/" xr:uid="{BF7ABB56-EB77-40EB-8729-450400D7CB28}"/>
    <x:hyperlink ref="B15" r:id="rId8" display="https://www.cbssports.com/nfl/teams/HOU/houston-texans/" xr:uid="{80B0A447-7AAB-4ED3-B719-F21506AC5F26}"/>
    <x:hyperlink ref="B16" r:id="rId9" display="https://www.cbssports.com/nfl/teams/SF/san-francisco-49ers/" xr:uid="{C9A0EA2C-43C5-4002-A5E6-9B78BC8FDC46}"/>
    <x:hyperlink ref="B17" r:id="rId10" display="https://www.cbssports.com/nfl/teams/JAC/jacksonville-jaguars/" xr:uid="{0360593F-F39B-4245-B0DC-4F79FDF22839}"/>
    <x:hyperlink ref="B18" r:id="rId11" display="https://www.cbssports.com/nfl/teams/MIA/miami-dolphins/" xr:uid="{69737661-C29D-4BF9-9CEF-B467387BEFF5}"/>
    <x:hyperlink ref="B19" r:id="rId12" display="https://www.cbssports.com/nfl/teams/CIN/cincinnati-bengals/" xr:uid="{FA93171B-BAA2-4F19-BC5D-28DE9956F02E}"/>
    <x:hyperlink ref="B20" r:id="rId13" display="https://www.cbssports.com/nfl/teams/BUF/buffalo-bills/" xr:uid="{10DC74AE-FC4E-40A2-AA76-6BE7F1C1D692}"/>
    <x:hyperlink ref="B21" r:id="rId14" display="https://www.cbssports.com/nfl/teams/GB/green-bay-packers/" xr:uid="{F5E55C54-AF86-43DB-97F3-3B9A6E3B43AF}"/>
    <x:hyperlink ref="B22" r:id="rId15" display="https://www.cbssports.com/nfl/teams/DAL/dallas-cowboys/" xr:uid="{15D5B2CD-B0C2-4067-A4CB-76904AE7378B}"/>
    <x:hyperlink ref="B23" r:id="rId16" display="https://www.cbssports.com/nfl/teams/TEN/tennessee-titans/" xr:uid="{3F0F7DD6-0323-4895-A69B-B5A4AE1A9633}"/>
    <x:hyperlink ref="B24" r:id="rId17" display="https://www.cbssports.com/nfl/teams/CAR/carolina-panthers/" xr:uid="{9897785F-DB38-4B7C-8B75-4CA64D611DFD}"/>
    <x:hyperlink ref="B25" r:id="rId18" display="https://www.cbssports.com/nfl/teams/CLE/cleveland-browns/" xr:uid="{AC912BF9-8DAB-4454-8ED4-0C16E9FEBCC2}"/>
    <x:hyperlink ref="B26" r:id="rId19" display="https://www.cbssports.com/nfl/teams/WAS/washington-commanders/" xr:uid="{3024294F-36C9-45CF-840E-4CC4CE16E559}"/>
    <x:hyperlink ref="B27" r:id="rId20" display="https://www.cbssports.com/nfl/teams/SEA/seattle-seahawks/" xr:uid="{94C4B6E3-4DD9-455B-B2C1-484528058AAE}"/>
    <x:hyperlink ref="B28" r:id="rId21" display="https://www.cbssports.com/nfl/teams/DET/detroit-lions/" xr:uid="{878E329B-24A4-413C-A819-C9577EC9FD21}"/>
    <x:hyperlink ref="B29" r:id="rId22" display="https://www.cbssports.com/nfl/teams/LAC/los-angeles-chargers/" xr:uid="{6796F0F2-0D2D-4FB0-84BC-19EB7CD0CFC9}"/>
    <x:hyperlink ref="B30" r:id="rId23" display="https://www.cbssports.com/nfl/teams/IND/indianapolis-colts/" xr:uid="{9ED312BA-7447-40A5-A9DD-0DBB10262CFD}"/>
    <x:hyperlink ref="B31" r:id="rId24" display="https://www.cbssports.com/nfl/teams/NYG/new-york-giants/" xr:uid="{6C03C305-5A62-4A0B-BC7D-A37932DB71B2}"/>
    <x:hyperlink ref="B32" r:id="rId25" display="https://www.cbssports.com/nfl/teams/TB/tampa-bay-buccaneers/" xr:uid="{96B30978-8450-4801-B407-C1EC8D5476B1}"/>
    <x:hyperlink ref="B33" r:id="rId26" display="https://www.cbssports.com/nfl/teams/LAR/los-angeles-rams/" xr:uid="{43397E49-5DBB-4647-8FBD-785B1C71E3D0}"/>
    <x:hyperlink ref="B34" r:id="rId27" display="https://www.cbssports.com/nfl/teams/DEN/denver-broncos/" xr:uid="{558306E5-6C64-41CB-A6D2-976CD33BC562}"/>
    <x:hyperlink ref="B35" r:id="rId28" display="https://www.cbssports.com/nfl/teams/MIN/minnesota-vikings/" xr:uid="{220FAFFE-34F2-4FE9-90F2-3979958461AA}"/>
    <x:hyperlink ref="B36" r:id="rId29" display="https://www.cbssports.com/nfl/teams/ARI/arizona-cardinals/" xr:uid="{40987851-C488-46B6-AD20-9431101F6A5C}"/>
    <x:hyperlink ref="B37" r:id="rId30" display="https://www.cbssports.com/nfl/teams/ATL/atlanta-falcons/" xr:uid="{985E3336-E68B-4D66-B77E-937479F5A644}"/>
    <x:hyperlink ref="B38" r:id="rId31" display="https://www.cbssports.com/nfl/teams/CHI/chicago-bears/" xr:uid="{BBCF47B7-D583-45FF-A155-EA61640335E4}"/>
    <x:hyperlink ref="B39" r:id="rId32" display="https://www.cbssports.com/nfl/teams/LV/las-vegas-raiders/" xr:uid="{6B6B8CBE-FEBF-4572-84A9-F585DCA96E69}"/>
  </x:hyperlinks>
  <x:pageMargins left="0.7" right="0.7" top="0.75" bottom="0.75" header="0.3" footer="0.3"/>
  <x:pageSetup orientation="portrait" horizontalDpi="1200" verticalDpi="1200" r:id="rId33"/>
  <x:drawing r:id="rId34"/>
</x:worksheet>
</file>

<file path=xl/worksheets/sheet5.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5D201013-892D-4637-B805-1AA9ECE87E8D}" mc:Ignorable="x14ac xr xr2 xr3">
  <x:sheetPr codeName="Sheet16">
    <x:tabColor rgb="FF0070C0"/>
  </x:sheetPr>
  <x:dimension ref="A1:DS379"/>
  <x:sheetViews>
    <x:sheetView showGridLines="0" zoomScaleNormal="100" workbookViewId="0"/>
  </x:sheetViews>
  <x:sheetFormatPr defaultColWidth="8.08984375" defaultRowHeight="14.5"/>
  <x:cols>
    <x:col min="1" max="1" width="8.08984375" style="44"/>
    <x:col min="2" max="2" width="31.81640625" style="92" customWidth="1"/>
    <x:col min="3" max="6" width="11.1796875" style="92" customWidth="1"/>
    <x:col min="7" max="20" width="11.1796875" style="44" customWidth="1"/>
    <x:col min="21" max="30" width="8.08984375" style="44"/>
    <x:col min="31" max="31" width="11.08984375" style="44" customWidth="1"/>
    <x:col min="32" max="123" width="8.08984375" style="44"/>
    <x:col min="124" max="16384" width="8.08984375" style="75"/>
  </x:cols>
  <x:sheetData>
    <x:row r="1" spans="2:123" ht="14.75" customHeight="1" thickBot="1">
      <x:c r="B1" s="44"/>
      <x:c r="C1" s="44"/>
      <x:c r="D1" s="44"/>
      <x:c r="E1" s="44"/>
      <x:c r="F1" s="44"/>
      <x:c r="T1" s="73"/>
      <x:c r="U1" s="73"/>
      <x:c r="V1" s="73"/>
      <x:c r="W1" s="73"/>
      <x:c r="X1" s="73"/>
      <x:c r="Y1" s="73"/>
      <x:c r="Z1" s="73"/>
      <x:c r="AA1" s="73"/>
      <x:c r="AB1" s="73"/>
      <x:c r="AC1" s="73"/>
      <x:c r="AD1" s="74"/>
      <x:c r="AE1" s="74"/>
      <x:c r="AF1" s="75"/>
      <x:c r="AG1" s="75"/>
      <x:c r="AH1" s="75"/>
      <x:c r="AI1" s="75"/>
      <x:c r="AJ1" s="75"/>
      <x:c r="AK1" s="75"/>
      <x:c r="AL1" s="75"/>
      <x:c r="AM1" s="75"/>
      <x:c r="AN1" s="75"/>
      <x:c r="AO1" s="75"/>
      <x:c r="AP1" s="75"/>
      <x:c r="AQ1" s="75"/>
      <x:c r="AR1" s="75"/>
      <x:c r="AS1" s="75"/>
      <x:c r="AT1" s="75"/>
      <x:c r="AU1" s="75"/>
      <x:c r="AV1" s="75"/>
      <x:c r="AW1" s="75"/>
      <x:c r="AX1" s="75"/>
      <x:c r="AY1" s="75"/>
      <x:c r="AZ1" s="75"/>
      <x:c r="BA1" s="75"/>
      <x:c r="BB1" s="75"/>
      <x:c r="BC1" s="75"/>
      <x:c r="BD1" s="75"/>
      <x:c r="BE1" s="75"/>
      <x:c r="BF1" s="75"/>
      <x:c r="BG1" s="75"/>
      <x:c r="BH1" s="75"/>
      <x:c r="BI1" s="75"/>
      <x:c r="BJ1" s="75"/>
      <x:c r="BK1" s="75"/>
      <x:c r="BL1" s="75"/>
      <x:c r="BM1" s="75"/>
      <x:c r="BN1" s="75"/>
      <x:c r="BO1" s="75"/>
      <x:c r="BP1" s="75"/>
      <x:c r="BQ1" s="75"/>
      <x:c r="BR1" s="75"/>
      <x:c r="BS1" s="75"/>
      <x:c r="BT1" s="75"/>
      <x:c r="BU1" s="75"/>
      <x:c r="BV1" s="75"/>
      <x:c r="BW1" s="75"/>
      <x:c r="BX1" s="75"/>
      <x:c r="BY1" s="75"/>
      <x:c r="BZ1" s="75"/>
      <x:c r="CA1" s="75"/>
      <x:c r="CB1" s="75"/>
      <x:c r="CC1" s="75"/>
      <x:c r="CD1" s="75"/>
      <x:c r="CE1" s="75"/>
      <x:c r="CF1" s="75"/>
      <x:c r="CG1" s="75"/>
      <x:c r="CH1" s="75"/>
      <x:c r="CI1" s="75"/>
      <x:c r="CJ1" s="75"/>
      <x:c r="CK1" s="75"/>
      <x:c r="CL1" s="75"/>
      <x:c r="CM1" s="75"/>
      <x:c r="CN1" s="75"/>
      <x:c r="CO1" s="75"/>
      <x:c r="CP1" s="75"/>
      <x:c r="CQ1" s="75"/>
      <x:c r="CR1" s="75"/>
      <x:c r="CS1" s="75"/>
      <x:c r="CT1" s="75"/>
      <x:c r="CU1" s="75"/>
      <x:c r="CV1" s="75"/>
      <x:c r="CW1" s="75"/>
      <x:c r="CX1" s="75"/>
      <x:c r="CY1" s="75"/>
      <x:c r="CZ1" s="75"/>
      <x:c r="DA1" s="75"/>
      <x:c r="DB1" s="75"/>
      <x:c r="DC1" s="75"/>
      <x:c r="DD1" s="75"/>
      <x:c r="DE1" s="75"/>
      <x:c r="DF1" s="75"/>
      <x:c r="DG1" s="75"/>
      <x:c r="DH1" s="75"/>
      <x:c r="DI1" s="75"/>
      <x:c r="DJ1" s="75"/>
      <x:c r="DK1" s="75"/>
      <x:c r="DL1" s="75"/>
      <x:c r="DM1" s="75"/>
      <x:c r="DN1" s="75"/>
      <x:c r="DO1" s="75"/>
      <x:c r="DP1" s="75"/>
      <x:c r="DQ1" s="75"/>
      <x:c r="DR1" s="75"/>
      <x:c r="DS1" s="75"/>
    </x:row>
    <x:row r="2" spans="2:123" ht="33.5" customHeight="1" thickBot="1">
      <x:c r="B2" s="40" t="s">
        <x:v>123</x:v>
      </x:c>
      <x:c r="C2" s="41"/>
      <x:c r="D2" s="41"/>
      <x:c r="E2" s="41"/>
      <x:c r="F2" s="41"/>
      <x:c r="G2" s="41"/>
      <x:c r="H2" s="41"/>
      <x:c r="I2" s="41"/>
      <x:c r="J2" s="41"/>
      <x:c r="K2" s="41"/>
      <x:c r="L2" s="41"/>
      <x:c r="M2" s="41"/>
      <x:c r="N2" s="41"/>
      <x:c r="O2" s="41"/>
      <x:c r="P2" s="41"/>
      <x:c r="Q2" s="41"/>
      <x:c r="R2" s="41"/>
      <x:c r="S2" s="41"/>
      <x:c r="T2" s="42"/>
      <x:c r="U2" s="76"/>
      <x:c r="V2" s="77"/>
      <x:c r="W2" s="77"/>
      <x:c r="X2" s="77"/>
      <x:c r="Y2" s="77"/>
      <x:c r="Z2" s="77"/>
      <x:c r="AA2" s="77"/>
      <x:c r="AB2" s="77"/>
      <x:c r="AC2" s="77"/>
      <x:c r="AD2" s="77"/>
      <x:c r="AE2" s="77"/>
      <x:c r="AG2" s="77"/>
      <x:c r="AH2" s="75"/>
      <x:c r="AI2" s="75"/>
      <x:c r="AJ2" s="75"/>
      <x:c r="AK2" s="75"/>
      <x:c r="AL2" s="75"/>
      <x:c r="AM2" s="75"/>
      <x:c r="AN2" s="75"/>
      <x:c r="AO2" s="75"/>
      <x:c r="AP2" s="75"/>
      <x:c r="AQ2" s="75"/>
      <x:c r="AR2" s="75"/>
      <x:c r="AS2" s="75"/>
      <x:c r="AT2" s="75"/>
      <x:c r="AU2" s="75"/>
      <x:c r="AV2" s="75"/>
      <x:c r="AW2" s="75"/>
      <x:c r="AX2" s="75"/>
      <x:c r="AY2" s="75"/>
      <x:c r="AZ2" s="75"/>
      <x:c r="BA2" s="75"/>
      <x:c r="BB2" s="75"/>
      <x:c r="BC2" s="75"/>
      <x:c r="BD2" s="75"/>
      <x:c r="BE2" s="75"/>
      <x:c r="BF2" s="75"/>
      <x:c r="BG2" s="75"/>
      <x:c r="BH2" s="75"/>
      <x:c r="BI2" s="75"/>
      <x:c r="BJ2" s="75"/>
      <x:c r="BK2" s="75"/>
      <x:c r="BL2" s="75"/>
      <x:c r="BM2" s="75"/>
      <x:c r="BN2" s="75"/>
      <x:c r="BO2" s="75"/>
      <x:c r="BP2" s="75"/>
      <x:c r="BQ2" s="75"/>
      <x:c r="BR2" s="75"/>
      <x:c r="BS2" s="75"/>
      <x:c r="BT2" s="75"/>
      <x:c r="BU2" s="75"/>
      <x:c r="BV2" s="75"/>
      <x:c r="BW2" s="75"/>
      <x:c r="BX2" s="75"/>
      <x:c r="BY2" s="75"/>
      <x:c r="BZ2" s="75"/>
      <x:c r="CA2" s="75"/>
      <x:c r="CB2" s="75"/>
      <x:c r="CC2" s="75"/>
      <x:c r="CD2" s="75"/>
      <x:c r="CE2" s="75"/>
      <x:c r="CF2" s="75"/>
      <x:c r="CG2" s="75"/>
      <x:c r="CH2" s="75"/>
      <x:c r="CI2" s="75"/>
      <x:c r="CJ2" s="75"/>
      <x:c r="CK2" s="75"/>
      <x:c r="CL2" s="75"/>
      <x:c r="CM2" s="75"/>
      <x:c r="CN2" s="75"/>
      <x:c r="CO2" s="75"/>
      <x:c r="CP2" s="75"/>
      <x:c r="CQ2" s="75"/>
      <x:c r="CR2" s="75"/>
      <x:c r="CS2" s="75"/>
      <x:c r="CT2" s="75"/>
      <x:c r="CU2" s="75"/>
      <x:c r="CV2" s="75"/>
      <x:c r="CW2" s="75"/>
      <x:c r="CX2" s="75"/>
      <x:c r="CY2" s="75"/>
      <x:c r="CZ2" s="75"/>
      <x:c r="DA2" s="75"/>
      <x:c r="DB2" s="75"/>
      <x:c r="DC2" s="75"/>
      <x:c r="DD2" s="75"/>
      <x:c r="DE2" s="75"/>
      <x:c r="DF2" s="75"/>
      <x:c r="DG2" s="75"/>
      <x:c r="DH2" s="75"/>
      <x:c r="DI2" s="75"/>
      <x:c r="DJ2" s="75"/>
      <x:c r="DK2" s="75"/>
      <x:c r="DL2" s="75"/>
      <x:c r="DM2" s="75"/>
      <x:c r="DN2" s="75"/>
      <x:c r="DO2" s="75"/>
      <x:c r="DP2" s="75"/>
      <x:c r="DQ2" s="75"/>
      <x:c r="DR2" s="75"/>
      <x:c r="DS2" s="75"/>
    </x:row>
    <x:row r="3" spans="2:123" ht="15.5" customHeight="1" thickBot="1">
      <x:c r="B3" s="44"/>
      <x:c r="C3" s="44"/>
      <x:c r="D3" s="44"/>
      <x:c r="E3" s="44"/>
      <x:c r="F3" s="44"/>
      <x:c r="U3" s="75"/>
      <x:c r="X3" s="73"/>
      <x:c r="Y3" s="73"/>
      <x:c r="AF3" s="78"/>
      <x:c r="AJ3" s="75"/>
      <x:c r="AK3" s="75"/>
      <x:c r="AL3" s="75"/>
      <x:c r="AM3" s="75"/>
      <x:c r="AN3" s="75"/>
      <x:c r="AO3" s="75"/>
      <x:c r="AP3" s="75"/>
      <x:c r="AQ3" s="75"/>
      <x:c r="AR3" s="75"/>
      <x:c r="AS3" s="75"/>
      <x:c r="AT3" s="75"/>
      <x:c r="AU3" s="75"/>
      <x:c r="AV3" s="75"/>
      <x:c r="AW3" s="75"/>
      <x:c r="AX3" s="75"/>
      <x:c r="AY3" s="75"/>
      <x:c r="AZ3" s="75"/>
      <x:c r="BA3" s="75"/>
      <x:c r="BB3" s="75"/>
      <x:c r="BC3" s="75"/>
      <x:c r="BD3" s="75"/>
      <x:c r="BE3" s="75"/>
      <x:c r="BF3" s="75"/>
      <x:c r="BG3" s="75"/>
      <x:c r="BH3" s="75"/>
      <x:c r="BI3" s="75"/>
      <x:c r="BJ3" s="75"/>
      <x:c r="BK3" s="75"/>
      <x:c r="BL3" s="75"/>
      <x:c r="BM3" s="75"/>
      <x:c r="BN3" s="75"/>
      <x:c r="BO3" s="75"/>
      <x:c r="BP3" s="75"/>
      <x:c r="BQ3" s="75"/>
      <x:c r="BR3" s="75"/>
      <x:c r="BS3" s="75"/>
      <x:c r="BT3" s="75"/>
      <x:c r="BU3" s="75"/>
      <x:c r="BV3" s="75"/>
      <x:c r="BW3" s="75"/>
      <x:c r="BX3" s="75"/>
      <x:c r="BY3" s="75"/>
      <x:c r="BZ3" s="75"/>
      <x:c r="CA3" s="75"/>
      <x:c r="CB3" s="75"/>
      <x:c r="CC3" s="75"/>
      <x:c r="CD3" s="75"/>
      <x:c r="CE3" s="75"/>
      <x:c r="CF3" s="75"/>
      <x:c r="CG3" s="75"/>
      <x:c r="CH3" s="75"/>
      <x:c r="CI3" s="75"/>
      <x:c r="CJ3" s="75"/>
      <x:c r="CK3" s="75"/>
      <x:c r="CL3" s="75"/>
      <x:c r="CM3" s="75"/>
      <x:c r="CN3" s="75"/>
      <x:c r="CO3" s="75"/>
      <x:c r="CP3" s="75"/>
      <x:c r="CQ3" s="75"/>
      <x:c r="CR3" s="75"/>
      <x:c r="CS3" s="75"/>
      <x:c r="CT3" s="75"/>
      <x:c r="CU3" s="75"/>
      <x:c r="CV3" s="75"/>
      <x:c r="CW3" s="75"/>
      <x:c r="CX3" s="75"/>
      <x:c r="CY3" s="75"/>
      <x:c r="CZ3" s="75"/>
      <x:c r="DA3" s="75"/>
      <x:c r="DB3" s="75"/>
      <x:c r="DC3" s="75"/>
      <x:c r="DD3" s="75"/>
      <x:c r="DE3" s="75"/>
      <x:c r="DF3" s="75"/>
      <x:c r="DG3" s="75"/>
      <x:c r="DH3" s="75"/>
      <x:c r="DI3" s="75"/>
      <x:c r="DJ3" s="75"/>
      <x:c r="DK3" s="75"/>
      <x:c r="DL3" s="75"/>
      <x:c r="DM3" s="75"/>
      <x:c r="DN3" s="75"/>
      <x:c r="DO3" s="75"/>
      <x:c r="DP3" s="75"/>
      <x:c r="DQ3" s="75"/>
      <x:c r="DR3" s="75"/>
      <x:c r="DS3" s="75"/>
    </x:row>
    <x:row r="4" spans="2:123" ht="23" thickBot="1">
      <x:c r="B4" s="45" t="s">
        <x:v>454</x:v>
      </x:c>
      <x:c r="C4" s="79"/>
      <x:c r="D4" s="79"/>
      <x:c r="E4" s="79"/>
      <x:c r="F4" s="79"/>
      <x:c r="G4" s="79"/>
      <x:c r="H4" s="79"/>
      <x:c r="I4" s="79"/>
      <x:c r="J4" s="79"/>
      <x:c r="K4" s="79"/>
      <x:c r="L4" s="79"/>
      <x:c r="M4" s="79"/>
      <x:c r="N4" s="79"/>
      <x:c r="O4" s="79"/>
      <x:c r="P4" s="79"/>
      <x:c r="Q4" s="79"/>
      <x:c r="R4" s="79"/>
      <x:c r="S4" s="79"/>
      <x:c r="T4" s="80"/>
      <x:c r="AF4" s="78"/>
      <x:c r="BB4" s="75"/>
      <x:c r="BC4" s="75"/>
      <x:c r="BD4" s="75"/>
      <x:c r="BE4" s="75"/>
      <x:c r="BF4" s="75"/>
      <x:c r="BG4" s="75"/>
      <x:c r="BH4" s="75"/>
      <x:c r="BI4" s="75"/>
      <x:c r="BJ4" s="75"/>
      <x:c r="BK4" s="75"/>
      <x:c r="BL4" s="75"/>
      <x:c r="BM4" s="75"/>
      <x:c r="BN4" s="75"/>
      <x:c r="BO4" s="75"/>
      <x:c r="BP4" s="75"/>
      <x:c r="BQ4" s="75"/>
      <x:c r="BR4" s="75"/>
      <x:c r="BS4" s="75"/>
      <x:c r="BT4" s="75"/>
      <x:c r="BU4" s="75"/>
      <x:c r="BV4" s="75"/>
      <x:c r="BW4" s="75"/>
      <x:c r="BX4" s="75"/>
      <x:c r="BY4" s="75"/>
      <x:c r="BZ4" s="75"/>
      <x:c r="CA4" s="75"/>
      <x:c r="CB4" s="75"/>
      <x:c r="CC4" s="75"/>
      <x:c r="CD4" s="75"/>
      <x:c r="CE4" s="75"/>
      <x:c r="CF4" s="75"/>
      <x:c r="CG4" s="75"/>
      <x:c r="CH4" s="75"/>
      <x:c r="CI4" s="75"/>
      <x:c r="CJ4" s="75"/>
      <x:c r="CK4" s="75"/>
      <x:c r="CL4" s="75"/>
      <x:c r="CM4" s="75"/>
      <x:c r="CN4" s="75"/>
      <x:c r="CO4" s="75"/>
      <x:c r="CP4" s="75"/>
      <x:c r="CQ4" s="75"/>
      <x:c r="CR4" s="75"/>
      <x:c r="CS4" s="75"/>
      <x:c r="CT4" s="75"/>
      <x:c r="CU4" s="75"/>
      <x:c r="CV4" s="75"/>
      <x:c r="CW4" s="75"/>
      <x:c r="CX4" s="75"/>
      <x:c r="CY4" s="75"/>
      <x:c r="CZ4" s="75"/>
      <x:c r="DA4" s="75"/>
      <x:c r="DB4" s="75"/>
      <x:c r="DC4" s="75"/>
      <x:c r="DD4" s="75"/>
      <x:c r="DE4" s="75"/>
      <x:c r="DF4" s="75"/>
      <x:c r="DG4" s="75"/>
      <x:c r="DH4" s="75"/>
      <x:c r="DI4" s="75"/>
      <x:c r="DJ4" s="75"/>
      <x:c r="DK4" s="75"/>
      <x:c r="DL4" s="75"/>
      <x:c r="DM4" s="75"/>
      <x:c r="DN4" s="75"/>
      <x:c r="DO4" s="75"/>
      <x:c r="DP4" s="75"/>
      <x:c r="DQ4" s="75"/>
      <x:c r="DR4" s="75"/>
      <x:c r="DS4" s="75"/>
    </x:row>
    <x:row r="5" spans="2:123" ht="15.5" customHeight="1">
      <x:c r="B5" s="81"/>
      <x:c r="C5" s="81"/>
      <x:c r="D5" s="81"/>
      <x:c r="E5" s="81"/>
      <x:c r="F5" s="81"/>
      <x:c r="G5" s="81"/>
      <x:c r="H5" s="81"/>
      <x:c r="I5" s="81"/>
      <x:c r="J5" s="81"/>
      <x:c r="K5" s="81"/>
      <x:c r="L5" s="81"/>
      <x:c r="M5" s="81"/>
      <x:c r="N5" s="81"/>
      <x:c r="O5" s="81"/>
      <x:c r="P5" s="81"/>
      <x:c r="Q5" s="81"/>
      <x:c r="T5" s="78"/>
      <x:c r="AD5" s="75"/>
      <x:c r="AE5" s="75"/>
      <x:c r="AF5" s="75"/>
      <x:c r="AG5" s="75"/>
      <x:c r="AH5" s="75"/>
      <x:c r="AI5" s="75"/>
      <x:c r="AJ5" s="75"/>
      <x:c r="AK5" s="75"/>
      <x:c r="AL5" s="75"/>
      <x:c r="AM5" s="75"/>
      <x:c r="AN5" s="75"/>
      <x:c r="AO5" s="75"/>
      <x:c r="AP5" s="75"/>
      <x:c r="AQ5" s="75"/>
      <x:c r="AR5" s="75"/>
      <x:c r="AS5" s="75"/>
      <x:c r="AT5" s="75"/>
      <x:c r="AU5" s="75"/>
      <x:c r="AV5" s="75"/>
      <x:c r="AW5" s="75"/>
      <x:c r="AX5" s="75"/>
      <x:c r="AY5" s="75"/>
      <x:c r="AZ5" s="75"/>
      <x:c r="BA5" s="75"/>
      <x:c r="BB5" s="75"/>
      <x:c r="BC5" s="75"/>
      <x:c r="BD5" s="75"/>
      <x:c r="BE5" s="75"/>
      <x:c r="BF5" s="75"/>
      <x:c r="BG5" s="75"/>
      <x:c r="BH5" s="75"/>
      <x:c r="BI5" s="75"/>
      <x:c r="BJ5" s="75"/>
      <x:c r="BK5" s="75"/>
      <x:c r="BL5" s="75"/>
      <x:c r="BM5" s="75"/>
      <x:c r="BN5" s="75"/>
      <x:c r="BO5" s="75"/>
      <x:c r="BP5" s="75"/>
      <x:c r="BQ5" s="75"/>
      <x:c r="BR5" s="75"/>
      <x:c r="BS5" s="75"/>
      <x:c r="BT5" s="75"/>
      <x:c r="BU5" s="75"/>
      <x:c r="BV5" s="75"/>
      <x:c r="BW5" s="75"/>
      <x:c r="BX5" s="75"/>
      <x:c r="BY5" s="75"/>
      <x:c r="BZ5" s="75"/>
      <x:c r="CA5" s="75"/>
      <x:c r="CB5" s="75"/>
      <x:c r="CC5" s="75"/>
      <x:c r="CD5" s="75"/>
      <x:c r="CE5" s="75"/>
      <x:c r="CF5" s="75"/>
      <x:c r="CG5" s="75"/>
      <x:c r="CH5" s="75"/>
      <x:c r="CI5" s="75"/>
      <x:c r="CJ5" s="75"/>
      <x:c r="CK5" s="75"/>
      <x:c r="CL5" s="75"/>
      <x:c r="CM5" s="75"/>
      <x:c r="CN5" s="75"/>
      <x:c r="CO5" s="75"/>
      <x:c r="CP5" s="75"/>
      <x:c r="CQ5" s="75"/>
      <x:c r="CR5" s="75"/>
      <x:c r="CS5" s="75"/>
      <x:c r="CT5" s="75"/>
      <x:c r="CU5" s="75"/>
      <x:c r="CV5" s="75"/>
      <x:c r="CW5" s="75"/>
      <x:c r="CX5" s="75"/>
      <x:c r="CY5" s="75"/>
      <x:c r="CZ5" s="75"/>
      <x:c r="DA5" s="75"/>
      <x:c r="DB5" s="75"/>
      <x:c r="DC5" s="75"/>
      <x:c r="DD5" s="75"/>
      <x:c r="DE5" s="75"/>
      <x:c r="DF5" s="75"/>
      <x:c r="DG5" s="75"/>
      <x:c r="DH5" s="75"/>
      <x:c r="DI5" s="75"/>
      <x:c r="DJ5" s="75"/>
      <x:c r="DK5" s="75"/>
      <x:c r="DL5" s="75"/>
      <x:c r="DM5" s="75"/>
      <x:c r="DN5" s="75"/>
      <x:c r="DO5" s="75"/>
      <x:c r="DP5" s="75"/>
      <x:c r="DQ5" s="75"/>
      <x:c r="DR5" s="75"/>
      <x:c r="DS5" s="75"/>
    </x:row>
    <x:row r="6" spans="2:123" ht="15.5" customHeight="1">
      <x:c r="B6" s="93"/>
      <x:c r="C6" s="93"/>
      <x:c r="D6" s="94"/>
      <x:c r="E6" s="95"/>
      <x:c r="F6" s="95"/>
      <x:c r="G6" s="95"/>
      <x:c r="H6" s="95"/>
      <x:c r="I6" s="95"/>
      <x:c r="J6" s="95"/>
      <x:c r="K6" s="94"/>
      <x:c r="L6" s="95"/>
      <x:c r="M6" s="95"/>
      <x:c r="N6" s="95"/>
      <x:c r="O6" s="94"/>
      <x:c r="P6" s="95"/>
      <x:c r="Q6" s="95"/>
      <x:c r="T6" s="78"/>
      <x:c r="AC6" s="78"/>
      <x:c r="AD6" s="75"/>
      <x:c r="AE6" s="75"/>
      <x:c r="AF6" s="75"/>
      <x:c r="AG6" s="75"/>
      <x:c r="AH6" s="75"/>
      <x:c r="AI6" s="75"/>
      <x:c r="AJ6" s="75"/>
      <x:c r="AK6" s="75"/>
      <x:c r="AL6" s="75"/>
      <x:c r="AM6" s="75"/>
      <x:c r="AN6" s="75"/>
      <x:c r="AO6" s="75"/>
      <x:c r="AP6" s="75"/>
      <x:c r="AQ6" s="75"/>
      <x:c r="AR6" s="75"/>
      <x:c r="AS6" s="75"/>
      <x:c r="AT6" s="75"/>
      <x:c r="AU6" s="75"/>
      <x:c r="AV6" s="75"/>
      <x:c r="AW6" s="75"/>
      <x:c r="AX6" s="75"/>
      <x:c r="AY6" s="75"/>
      <x:c r="AZ6" s="75"/>
      <x:c r="BA6" s="75"/>
      <x:c r="BB6" s="75"/>
      <x:c r="BC6" s="75"/>
      <x:c r="BD6" s="75"/>
      <x:c r="BE6" s="75"/>
      <x:c r="BF6" s="75"/>
      <x:c r="BG6" s="75"/>
      <x:c r="BH6" s="75"/>
      <x:c r="BI6" s="75"/>
      <x:c r="BJ6" s="75"/>
      <x:c r="BK6" s="75"/>
      <x:c r="BL6" s="75"/>
      <x:c r="BM6" s="75"/>
      <x:c r="BN6" s="75"/>
      <x:c r="BO6" s="75"/>
      <x:c r="BP6" s="75"/>
      <x:c r="BQ6" s="75"/>
      <x:c r="BR6" s="75"/>
      <x:c r="BS6" s="75"/>
      <x:c r="BT6" s="75"/>
      <x:c r="BU6" s="75"/>
      <x:c r="BV6" s="75"/>
      <x:c r="BW6" s="75"/>
      <x:c r="BX6" s="75"/>
      <x:c r="BY6" s="75"/>
      <x:c r="BZ6" s="75"/>
      <x:c r="CA6" s="75"/>
      <x:c r="CB6" s="75"/>
      <x:c r="CC6" s="75"/>
      <x:c r="CD6" s="75"/>
      <x:c r="CE6" s="75"/>
      <x:c r="CF6" s="75"/>
      <x:c r="CG6" s="75"/>
      <x:c r="CH6" s="75"/>
      <x:c r="CI6" s="75"/>
      <x:c r="CJ6" s="75"/>
      <x:c r="CK6" s="75"/>
      <x:c r="CL6" s="75"/>
      <x:c r="CM6" s="75"/>
      <x:c r="CN6" s="75"/>
      <x:c r="CO6" s="75"/>
      <x:c r="CP6" s="75"/>
      <x:c r="CQ6" s="75"/>
      <x:c r="CR6" s="75"/>
      <x:c r="CS6" s="75"/>
      <x:c r="CT6" s="75"/>
      <x:c r="CU6" s="75"/>
      <x:c r="CV6" s="75"/>
      <x:c r="CW6" s="75"/>
      <x:c r="CX6" s="75"/>
      <x:c r="CY6" s="75"/>
      <x:c r="CZ6" s="75"/>
      <x:c r="DA6" s="75"/>
      <x:c r="DB6" s="75"/>
      <x:c r="DC6" s="75"/>
      <x:c r="DD6" s="75"/>
      <x:c r="DE6" s="75"/>
      <x:c r="DF6" s="75"/>
      <x:c r="DG6" s="75"/>
      <x:c r="DH6" s="75"/>
      <x:c r="DI6" s="75"/>
      <x:c r="DJ6" s="75"/>
      <x:c r="DK6" s="75"/>
      <x:c r="DL6" s="75"/>
      <x:c r="DM6" s="75"/>
      <x:c r="DN6" s="75"/>
      <x:c r="DO6" s="75"/>
      <x:c r="DP6" s="75"/>
      <x:c r="DQ6" s="75"/>
      <x:c r="DR6" s="75"/>
      <x:c r="DS6" s="75"/>
    </x:row>
    <x:row r="7" spans="2:123" ht="15.5" customHeight="1" thickBot="1">
      <x:c r="B7" s="85" t="s">
        <x:v>146</x:v>
      </x:c>
      <x:c r="C7" s="85" t="s">
        <x:v>147</x:v>
      </x:c>
      <x:c r="D7" s="85" t="s">
        <x:v>438</x:v>
      </x:c>
      <x:c r="E7" s="85" t="s">
        <x:v>439</x:v>
      </x:c>
      <x:c r="F7" s="85" t="s">
        <x:v>440</x:v>
      </x:c>
      <x:c r="G7" s="85">
        <x:v>44945</x:v>
      </x:c>
      <x:c r="H7" s="85" t="s">
        <x:v>441</x:v>
      </x:c>
      <x:c r="I7" s="85" t="s">
        <x:v>442</x:v>
      </x:c>
      <x:c r="J7" s="85" t="s">
        <x:v>443</x:v>
      </x:c>
      <x:c r="K7" s="85" t="s">
        <x:v>444</x:v>
      </x:c>
      <x:c r="L7" s="85" t="s">
        <x:v>445</x:v>
      </x:c>
      <x:c r="M7" s="85" t="s">
        <x:v>446</x:v>
      </x:c>
      <x:c r="N7" s="85" t="s">
        <x:v>447</x:v>
      </x:c>
      <x:c r="O7" s="85" t="s">
        <x:v>448</x:v>
      </x:c>
      <x:c r="P7" s="85" t="s">
        <x:v>449</x:v>
      </x:c>
      <x:c r="Q7" s="85" t="s">
        <x:v>450</x:v>
      </x:c>
      <x:c r="R7" s="85" t="s">
        <x:v>451</x:v>
      </x:c>
      <x:c r="S7" s="85" t="s">
        <x:v>159</x:v>
      </x:c>
      <x:c r="T7" s="85" t="s">
        <x:v>160</x:v>
      </x:c>
      <x:c r="U7" s="22"/>
      <x:c r="V7" s="22"/>
      <x:c r="W7" s="22"/>
      <x:c r="X7" s="22"/>
      <x:c r="Y7" s="22"/>
      <x:c r="Z7" s="22"/>
      <x:c r="AA7" s="22"/>
      <x:c r="AB7" s="22"/>
      <x:c r="AC7" s="22"/>
      <x:c r="AD7" s="22"/>
      <x:c r="AE7" s="22"/>
      <x:c r="AF7" s="22"/>
      <x:c r="AG7" s="22"/>
      <x:c r="AH7" s="22"/>
      <x:c r="AI7" s="22"/>
      <x:c r="AJ7" s="56"/>
      <x:c r="AK7" s="56"/>
      <x:c r="AL7" s="56"/>
      <x:c r="AM7" s="75"/>
      <x:c r="AN7" s="75"/>
      <x:c r="AO7" s="75"/>
      <x:c r="AP7" s="75"/>
      <x:c r="AQ7" s="75"/>
      <x:c r="AR7" s="75"/>
      <x:c r="AS7" s="75"/>
      <x:c r="AT7" s="75"/>
      <x:c r="AU7" s="75"/>
      <x:c r="AV7" s="75"/>
      <x:c r="AW7" s="75"/>
      <x:c r="AX7" s="75"/>
      <x:c r="AY7" s="75"/>
      <x:c r="AZ7" s="75"/>
      <x:c r="BA7" s="75"/>
      <x:c r="BB7" s="75"/>
      <x:c r="BC7" s="75"/>
      <x:c r="BD7" s="75"/>
      <x:c r="BE7" s="75"/>
      <x:c r="BF7" s="75"/>
      <x:c r="BG7" s="75"/>
      <x:c r="BH7" s="75"/>
      <x:c r="BI7" s="75"/>
      <x:c r="BJ7" s="75"/>
      <x:c r="BK7" s="75"/>
      <x:c r="BL7" s="75"/>
      <x:c r="BM7" s="75"/>
      <x:c r="BN7" s="75"/>
      <x:c r="BO7" s="75"/>
      <x:c r="BP7" s="75"/>
      <x:c r="BQ7" s="75"/>
      <x:c r="BR7" s="75"/>
      <x:c r="BS7" s="75"/>
      <x:c r="BT7" s="75"/>
      <x:c r="BU7" s="75"/>
      <x:c r="BV7" s="75"/>
      <x:c r="BW7" s="75"/>
      <x:c r="BX7" s="75"/>
      <x:c r="BY7" s="75"/>
      <x:c r="BZ7" s="75"/>
      <x:c r="CA7" s="75"/>
      <x:c r="CB7" s="75"/>
      <x:c r="CC7" s="75"/>
      <x:c r="CD7" s="75"/>
      <x:c r="CE7" s="75"/>
      <x:c r="CF7" s="75"/>
      <x:c r="CG7" s="75"/>
      <x:c r="CH7" s="75"/>
      <x:c r="CI7" s="75"/>
      <x:c r="CJ7" s="75"/>
      <x:c r="CK7" s="75"/>
      <x:c r="CL7" s="75"/>
      <x:c r="CM7" s="75"/>
      <x:c r="CN7" s="75"/>
      <x:c r="CO7" s="75"/>
      <x:c r="CP7" s="75"/>
      <x:c r="CQ7" s="75"/>
      <x:c r="CR7" s="75"/>
      <x:c r="CS7" s="75"/>
      <x:c r="CT7" s="75"/>
      <x:c r="CU7" s="75"/>
      <x:c r="CV7" s="75"/>
      <x:c r="CW7" s="75"/>
      <x:c r="CX7" s="75"/>
      <x:c r="CY7" s="75"/>
      <x:c r="CZ7" s="75"/>
      <x:c r="DA7" s="75"/>
      <x:c r="DB7" s="75"/>
      <x:c r="DC7" s="75"/>
      <x:c r="DD7" s="75"/>
      <x:c r="DE7" s="75"/>
      <x:c r="DF7" s="75"/>
      <x:c r="DG7" s="75"/>
      <x:c r="DH7" s="75"/>
      <x:c r="DI7" s="75"/>
      <x:c r="DJ7" s="75"/>
      <x:c r="DK7" s="75"/>
      <x:c r="DL7" s="75"/>
      <x:c r="DM7" s="75"/>
      <x:c r="DN7" s="75"/>
      <x:c r="DO7" s="75"/>
      <x:c r="DP7" s="75"/>
      <x:c r="DQ7" s="75"/>
      <x:c r="DR7" s="75"/>
      <x:c r="DS7" s="75"/>
    </x:row>
    <x:row r="8" spans="2:123" ht="15.5" customHeight="1">
      <x:c r="B8" s="96" t="s">
        <x:v>419</x:v>
      </x:c>
      <x:c r="C8" s="97">
        <x:v>17</x:v>
      </x:c>
      <x:c r="D8" s="97">
        <x:v>39</x:v>
      </x:c>
      <x:c r="E8" s="97">
        <x:v>44</x:v>
      </x:c>
      <x:c r="F8" s="97" t="s">
        <x:v>245</x:v>
      </x:c>
      <x:c r="G8" s="97">
        <x:v>0.308</x:v>
      </x:c>
      <x:c r="H8" s="97">
        <x:v>0.308</x:v>
      </x:c>
      <x:c r="I8" s="97">
        <x:v>11.8</x:v>
      </x:c>
      <x:c r="J8" s="97">
        <x:v>11.9</x:v>
      </x:c>
      <x:c r="K8" s="97">
        <x:v>11.6</x:v>
      </x:c>
      <x:c r="L8" s="97">
        <x:v>11.7</x:v>
      </x:c>
      <x:c r="M8" s="97">
        <x:v>10.5</x:v>
      </x:c>
      <x:c r="N8" s="97">
        <x:v>12</x:v>
      </x:c>
      <x:c r="O8" s="97">
        <x:v>4.57</x:v>
      </x:c>
      <x:c r="P8" s="97">
        <x:v>4.57</x:v>
      </x:c>
      <x:c r="Q8" s="97">
        <x:v>54</x:v>
      </x:c>
      <x:c r="R8" s="97">
        <x:v>56</x:v>
      </x:c>
      <x:c r="S8" s="97">
        <x:v>171</x:v>
      </x:c>
      <x:c r="T8" s="97">
        <x:v>10.1</x:v>
      </x:c>
      <x:c r="U8" s="22"/>
      <x:c r="V8" s="22"/>
      <x:c r="W8" s="22"/>
      <x:c r="X8" s="22"/>
      <x:c r="Y8" s="22"/>
      <x:c r="Z8" s="22"/>
      <x:c r="AA8" s="22"/>
      <x:c r="AB8" s="22"/>
      <x:c r="AC8" s="22"/>
      <x:c r="AD8" s="22"/>
      <x:c r="AE8" s="22"/>
      <x:c r="AF8" s="22"/>
      <x:c r="AG8" s="22"/>
      <x:c r="AH8" s="22"/>
      <x:c r="AI8" s="22"/>
      <x:c r="AJ8" s="22"/>
      <x:c r="AK8" s="22"/>
      <x:c r="AL8" s="56"/>
      <x:c r="AM8" s="75"/>
      <x:c r="AN8" s="75"/>
      <x:c r="AO8" s="75"/>
      <x:c r="AP8" s="75"/>
      <x:c r="AQ8" s="75"/>
      <x:c r="AR8" s="75"/>
      <x:c r="AS8" s="75"/>
      <x:c r="AT8" s="75"/>
      <x:c r="AU8" s="75"/>
      <x:c r="AV8" s="75"/>
      <x:c r="AW8" s="75"/>
      <x:c r="AX8" s="75"/>
      <x:c r="AY8" s="75"/>
      <x:c r="AZ8" s="75"/>
      <x:c r="BA8" s="75"/>
      <x:c r="BB8" s="75"/>
      <x:c r="BC8" s="75"/>
      <x:c r="BD8" s="75"/>
      <x:c r="BE8" s="75"/>
      <x:c r="BF8" s="75"/>
      <x:c r="BG8" s="75"/>
      <x:c r="BH8" s="75"/>
      <x:c r="BI8" s="75"/>
      <x:c r="BJ8" s="75"/>
      <x:c r="BK8" s="75"/>
      <x:c r="BL8" s="75"/>
      <x:c r="BM8" s="75"/>
      <x:c r="BN8" s="75"/>
      <x:c r="BO8" s="75"/>
      <x:c r="BP8" s="75"/>
      <x:c r="BQ8" s="75"/>
      <x:c r="BR8" s="75"/>
      <x:c r="BS8" s="75"/>
      <x:c r="BT8" s="75"/>
      <x:c r="BU8" s="75"/>
      <x:c r="BV8" s="75"/>
      <x:c r="BW8" s="75"/>
      <x:c r="BX8" s="75"/>
      <x:c r="BY8" s="75"/>
      <x:c r="BZ8" s="75"/>
      <x:c r="CA8" s="75"/>
      <x:c r="CB8" s="75"/>
      <x:c r="CC8" s="75"/>
      <x:c r="CD8" s="75"/>
      <x:c r="CE8" s="75"/>
      <x:c r="CF8" s="75"/>
      <x:c r="CG8" s="75"/>
      <x:c r="CH8" s="75"/>
      <x:c r="CI8" s="75"/>
      <x:c r="CJ8" s="75"/>
      <x:c r="CK8" s="75"/>
      <x:c r="CL8" s="75"/>
      <x:c r="CM8" s="75"/>
      <x:c r="CN8" s="75"/>
      <x:c r="CO8" s="75"/>
      <x:c r="CP8" s="75"/>
      <x:c r="CQ8" s="75"/>
      <x:c r="CR8" s="75"/>
      <x:c r="CS8" s="75"/>
      <x:c r="CT8" s="75"/>
      <x:c r="CU8" s="75"/>
      <x:c r="CV8" s="75"/>
      <x:c r="CW8" s="75"/>
      <x:c r="CX8" s="75"/>
      <x:c r="CY8" s="75"/>
      <x:c r="CZ8" s="75"/>
      <x:c r="DA8" s="75"/>
      <x:c r="DB8" s="75"/>
      <x:c r="DC8" s="75"/>
      <x:c r="DD8" s="75"/>
      <x:c r="DE8" s="75"/>
      <x:c r="DF8" s="75"/>
      <x:c r="DG8" s="75"/>
      <x:c r="DH8" s="75"/>
      <x:c r="DI8" s="75"/>
      <x:c r="DJ8" s="75"/>
      <x:c r="DK8" s="75"/>
      <x:c r="DL8" s="75"/>
      <x:c r="DM8" s="75"/>
      <x:c r="DN8" s="75"/>
      <x:c r="DO8" s="75"/>
      <x:c r="DP8" s="75"/>
      <x:c r="DQ8" s="75"/>
      <x:c r="DR8" s="75"/>
      <x:c r="DS8" s="75"/>
    </x:row>
    <x:row r="9" spans="2:123" ht="15.5" customHeight="1">
      <x:c r="B9" s="96" t="s">
        <x:v>418</x:v>
      </x:c>
      <x:c r="C9" s="97">
        <x:v>17</x:v>
      </x:c>
      <x:c r="D9" s="97">
        <x:v>35</x:v>
      </x:c>
      <x:c r="E9" s="97">
        <x:v>38</x:v>
      </x:c>
      <x:c r="F9" s="97" t="s">
        <x:v>245</x:v>
      </x:c>
      <x:c r="G9" s="97">
        <x:v>0.26400000000000001</x:v>
      </x:c>
      <x:c r="H9" s="97">
        <x:v>0.26500000000000001</x:v>
      </x:c>
      <x:c r="I9" s="97">
        <x:v>10.6</x:v>
      </x:c>
      <x:c r="J9" s="97">
        <x:v>10.7</x:v>
      </x:c>
      <x:c r="K9" s="97">
        <x:v>10.4</x:v>
      </x:c>
      <x:c r="L9" s="97">
        <x:v>11.8</x:v>
      </x:c>
      <x:c r="M9" s="97">
        <x:v>7.6</x:v>
      </x:c>
      <x:c r="N9" s="97">
        <x:v>8.5</x:v>
      </x:c>
      <x:c r="O9" s="97">
        <x:v>5.6</x:v>
      </x:c>
      <x:c r="P9" s="97">
        <x:v>5.6</x:v>
      </x:c>
      <x:c r="Q9" s="97">
        <x:v>46</x:v>
      </x:c>
      <x:c r="R9" s="97">
        <x:v>47</x:v>
      </x:c>
      <x:c r="S9" s="97">
        <x:v>151</x:v>
      </x:c>
      <x:c r="T9" s="97">
        <x:v>8.9</x:v>
      </x:c>
      <x:c r="U9" s="22"/>
      <x:c r="V9" s="22"/>
      <x:c r="W9" s="22"/>
      <x:c r="X9" s="22"/>
      <x:c r="Y9" s="22"/>
      <x:c r="Z9" s="22"/>
      <x:c r="AA9" s="22"/>
      <x:c r="AB9" s="22"/>
      <x:c r="AC9" s="22"/>
      <x:c r="AD9" s="22"/>
      <x:c r="AE9" s="22"/>
      <x:c r="AF9" s="22"/>
      <x:c r="AG9" s="22"/>
      <x:c r="AH9" s="22"/>
      <x:c r="AI9" s="22"/>
      <x:c r="AJ9" s="22"/>
      <x:c r="AK9" s="22"/>
      <x:c r="AL9" s="56"/>
      <x:c r="AM9" s="75"/>
      <x:c r="AN9" s="75"/>
      <x:c r="AO9" s="75"/>
      <x:c r="AP9" s="75"/>
      <x:c r="AQ9" s="75"/>
      <x:c r="AR9" s="75"/>
      <x:c r="AS9" s="75"/>
      <x:c r="AT9" s="75"/>
      <x:c r="AU9" s="75"/>
      <x:c r="AV9" s="75"/>
      <x:c r="AW9" s="75"/>
      <x:c r="AX9" s="75"/>
      <x:c r="AY9" s="75"/>
      <x:c r="AZ9" s="75"/>
      <x:c r="BA9" s="75"/>
      <x:c r="BB9" s="75"/>
      <x:c r="BC9" s="75"/>
      <x:c r="BD9" s="75"/>
      <x:c r="BE9" s="75"/>
      <x:c r="BF9" s="75"/>
      <x:c r="BG9" s="75"/>
      <x:c r="BH9" s="75"/>
      <x:c r="BI9" s="75"/>
      <x:c r="BJ9" s="75"/>
      <x:c r="BK9" s="75"/>
      <x:c r="BL9" s="75"/>
      <x:c r="BM9" s="75"/>
      <x:c r="BN9" s="75"/>
      <x:c r="BO9" s="75"/>
      <x:c r="BP9" s="75"/>
      <x:c r="BQ9" s="75"/>
      <x:c r="BR9" s="75"/>
      <x:c r="BS9" s="75"/>
      <x:c r="BT9" s="75"/>
      <x:c r="BU9" s="75"/>
      <x:c r="BV9" s="75"/>
      <x:c r="BW9" s="75"/>
      <x:c r="BX9" s="75"/>
      <x:c r="BY9" s="75"/>
      <x:c r="BZ9" s="75"/>
      <x:c r="CA9" s="75"/>
      <x:c r="CB9" s="75"/>
      <x:c r="CC9" s="75"/>
      <x:c r="CD9" s="75"/>
      <x:c r="CE9" s="75"/>
      <x:c r="CF9" s="75"/>
      <x:c r="CG9" s="75"/>
      <x:c r="CH9" s="75"/>
      <x:c r="CI9" s="75"/>
      <x:c r="CJ9" s="75"/>
      <x:c r="CK9" s="75"/>
      <x:c r="CL9" s="75"/>
      <x:c r="CM9" s="75"/>
      <x:c r="CN9" s="75"/>
      <x:c r="CO9" s="75"/>
      <x:c r="CP9" s="75"/>
      <x:c r="CQ9" s="75"/>
      <x:c r="CR9" s="75"/>
      <x:c r="CS9" s="75"/>
      <x:c r="CT9" s="75"/>
      <x:c r="CU9" s="75"/>
      <x:c r="CV9" s="75"/>
      <x:c r="CW9" s="75"/>
      <x:c r="CX9" s="75"/>
      <x:c r="CY9" s="75"/>
      <x:c r="CZ9" s="75"/>
      <x:c r="DA9" s="75"/>
      <x:c r="DB9" s="75"/>
      <x:c r="DC9" s="75"/>
      <x:c r="DD9" s="75"/>
      <x:c r="DE9" s="75"/>
      <x:c r="DF9" s="75"/>
      <x:c r="DG9" s="75"/>
      <x:c r="DH9" s="75"/>
      <x:c r="DI9" s="75"/>
      <x:c r="DJ9" s="75"/>
      <x:c r="DK9" s="75"/>
      <x:c r="DL9" s="75"/>
      <x:c r="DM9" s="75"/>
      <x:c r="DN9" s="75"/>
      <x:c r="DO9" s="75"/>
      <x:c r="DP9" s="75"/>
      <x:c r="DQ9" s="75"/>
      <x:c r="DR9" s="75"/>
      <x:c r="DS9" s="75"/>
    </x:row>
    <x:row r="10" spans="2:123" ht="15.5" customHeight="1">
      <x:c r="B10" s="96" t="s">
        <x:v>417</x:v>
      </x:c>
      <x:c r="C10" s="97">
        <x:v>17</x:v>
      </x:c>
      <x:c r="D10" s="97">
        <x:v>32</x:v>
      </x:c>
      <x:c r="E10" s="97">
        <x:v>36</x:v>
      </x:c>
      <x:c r="F10" s="97" t="s">
        <x:v>245</x:v>
      </x:c>
      <x:c r="G10" s="97">
        <x:v>0.251</x:v>
      </x:c>
      <x:c r="H10" s="97">
        <x:v>0.252</x:v>
      </x:c>
      <x:c r="I10" s="97">
        <x:v>9</x:v>
      </x:c>
      <x:c r="J10" s="97">
        <x:v>9.1</x:v>
      </x:c>
      <x:c r="K10" s="97">
        <x:v>8.9</x:v>
      </x:c>
      <x:c r="L10" s="97">
        <x:v>9</x:v>
      </x:c>
      <x:c r="M10" s="97">
        <x:v>10.4</x:v>
      </x:c>
      <x:c r="N10" s="97">
        <x:v>11.6</x:v>
      </x:c>
      <x:c r="O10" s="97">
        <x:v>3.17</x:v>
      </x:c>
      <x:c r="P10" s="97">
        <x:v>3.17</x:v>
      </x:c>
      <x:c r="Q10" s="97">
        <x:v>51</x:v>
      </x:c>
      <x:c r="R10" s="97">
        <x:v>52</x:v>
      </x:c>
      <x:c r="S10" s="97">
        <x:v>147</x:v>
      </x:c>
      <x:c r="T10" s="97">
        <x:v>8.6</x:v>
      </x:c>
      <x:c r="U10" s="22"/>
      <x:c r="V10" s="22"/>
      <x:c r="W10" s="22"/>
      <x:c r="X10" s="22"/>
      <x:c r="Y10" s="22"/>
      <x:c r="Z10" s="22"/>
      <x:c r="AA10" s="22"/>
      <x:c r="AB10" s="22"/>
      <x:c r="AC10" s="22"/>
      <x:c r="AD10" s="22"/>
      <x:c r="AE10" s="22"/>
      <x:c r="AF10" s="22"/>
      <x:c r="AG10" s="22"/>
      <x:c r="AH10" s="22"/>
      <x:c r="AI10" s="22"/>
      <x:c r="AJ10" s="22"/>
      <x:c r="AK10" s="22"/>
      <x:c r="AL10" s="56"/>
    </x:row>
    <x:row r="11" spans="2:123" ht="15.5" customHeight="1">
      <x:c r="B11" s="96" t="s">
        <x:v>426</x:v>
      </x:c>
      <x:c r="C11" s="97">
        <x:v>17</x:v>
      </x:c>
      <x:c r="D11" s="97">
        <x:v>35</x:v>
      </x:c>
      <x:c r="E11" s="97">
        <x:v>42</x:v>
      </x:c>
      <x:c r="F11" s="97" t="s">
        <x:v>245</x:v>
      </x:c>
      <x:c r="G11" s="97">
        <x:v>0.27600000000000002</x:v>
      </x:c>
      <x:c r="H11" s="97">
        <x:v>0.27600000000000002</x:v>
      </x:c>
      <x:c r="I11" s="97">
        <x:v>7.7</x:v>
      </x:c>
      <x:c r="J11" s="97">
        <x:v>7.8</x:v>
      </x:c>
      <x:c r="K11" s="97">
        <x:v>12</x:v>
      </x:c>
      <x:c r="L11" s="97">
        <x:v>13.2</x:v>
      </x:c>
      <x:c r="M11" s="97">
        <x:v>10.199999999999999</x:v>
      </x:c>
      <x:c r="N11" s="97">
        <x:v>12.3</x:v>
      </x:c>
      <x:c r="O11" s="97">
        <x:v>4.55</x:v>
      </x:c>
      <x:c r="P11" s="97">
        <x:v>4.55</x:v>
      </x:c>
      <x:c r="Q11" s="97">
        <x:v>42</x:v>
      </x:c>
      <x:c r="R11" s="97">
        <x:v>43</x:v>
      </x:c>
      <x:c r="S11" s="97">
        <x:v>147</x:v>
      </x:c>
      <x:c r="T11" s="97">
        <x:v>8.6</x:v>
      </x:c>
      <x:c r="U11" s="22"/>
      <x:c r="V11" s="22"/>
      <x:c r="W11" s="22"/>
      <x:c r="X11" s="22"/>
      <x:c r="Y11" s="22"/>
      <x:c r="Z11" s="22"/>
      <x:c r="AA11" s="22"/>
      <x:c r="AB11" s="22"/>
      <x:c r="AC11" s="22"/>
      <x:c r="AD11" s="22"/>
      <x:c r="AE11" s="22"/>
      <x:c r="AF11" s="22"/>
      <x:c r="AG11" s="22"/>
      <x:c r="AH11" s="22"/>
      <x:c r="AI11" s="22"/>
      <x:c r="AJ11" s="22"/>
      <x:c r="AK11" s="22"/>
      <x:c r="AL11" s="56"/>
    </x:row>
    <x:row r="12" spans="2:123" ht="15.5" customHeight="1">
      <x:c r="B12" s="96" t="s">
        <x:v>420</x:v>
      </x:c>
      <x:c r="C12" s="97">
        <x:v>17</x:v>
      </x:c>
      <x:c r="D12" s="97">
        <x:v>31</x:v>
      </x:c>
      <x:c r="E12" s="97">
        <x:v>34</x:v>
      </x:c>
      <x:c r="F12" s="97" t="s">
        <x:v>245</x:v>
      </x:c>
      <x:c r="G12" s="97">
        <x:v>0.255</x:v>
      </x:c>
      <x:c r="H12" s="97">
        <x:v>0.255</x:v>
      </x:c>
      <x:c r="I12" s="97">
        <x:v>8.8000000000000007</x:v>
      </x:c>
      <x:c r="J12" s="97">
        <x:v>8.9</x:v>
      </x:c>
      <x:c r="K12" s="97">
        <x:v>8.6999999999999993</x:v>
      </x:c>
      <x:c r="L12" s="97">
        <x:v>9.6</x:v>
      </x:c>
      <x:c r="M12" s="97">
        <x:v>7.8</x:v>
      </x:c>
      <x:c r="N12" s="97">
        <x:v>8.6</x:v>
      </x:c>
      <x:c r="O12" s="97">
        <x:v>5.4</x:v>
      </x:c>
      <x:c r="P12" s="97">
        <x:v>5.4</x:v>
      </x:c>
      <x:c r="Q12" s="97">
        <x:v>53</x:v>
      </x:c>
      <x:c r="R12" s="97">
        <x:v>54</x:v>
      </x:c>
      <x:c r="S12" s="97">
        <x:v>146</x:v>
      </x:c>
      <x:c r="T12" s="97">
        <x:v>8.6</x:v>
      </x:c>
      <x:c r="U12" s="22"/>
      <x:c r="V12" s="22"/>
      <x:c r="W12" s="22"/>
      <x:c r="X12" s="22"/>
      <x:c r="Y12" s="22"/>
      <x:c r="Z12" s="22"/>
      <x:c r="AA12" s="22"/>
      <x:c r="AB12" s="22"/>
      <x:c r="AC12" s="22"/>
      <x:c r="AD12" s="22"/>
      <x:c r="AE12" s="22"/>
      <x:c r="AF12" s="22"/>
      <x:c r="AG12" s="22"/>
      <x:c r="AH12" s="22"/>
      <x:c r="AI12" s="22"/>
      <x:c r="AJ12" s="22"/>
      <x:c r="AK12" s="22"/>
      <x:c r="AL12" s="56"/>
    </x:row>
    <x:row r="13" spans="2:123" ht="15.5" customHeight="1">
      <x:c r="B13" s="96" t="s">
        <x:v>433</x:v>
      </x:c>
      <x:c r="C13" s="97">
        <x:v>17</x:v>
      </x:c>
      <x:c r="D13" s="97">
        <x:v>34</x:v>
      </x:c>
      <x:c r="E13" s="97">
        <x:v>38</x:v>
      </x:c>
      <x:c r="F13" s="97" t="s">
        <x:v>245</x:v>
      </x:c>
      <x:c r="G13" s="97">
        <x:v>0.25700000000000001</x:v>
      </x:c>
      <x:c r="H13" s="97">
        <x:v>0.25700000000000001</x:v>
      </x:c>
      <x:c r="I13" s="97">
        <x:v>10.3</x:v>
      </x:c>
      <x:c r="J13" s="97">
        <x:v>10.4</x:v>
      </x:c>
      <x:c r="K13" s="97">
        <x:v>10.5</x:v>
      </x:c>
      <x:c r="L13" s="97">
        <x:v>10.7</x:v>
      </x:c>
      <x:c r="M13" s="97">
        <x:v>7.4</x:v>
      </x:c>
      <x:c r="N13" s="97">
        <x:v>10.199999999999999</x:v>
      </x:c>
      <x:c r="O13" s="97">
        <x:v>5.5</x:v>
      </x:c>
      <x:c r="P13" s="97">
        <x:v>5.5</x:v>
      </x:c>
      <x:c r="Q13" s="97">
        <x:v>43</x:v>
      </x:c>
      <x:c r="R13" s="97">
        <x:v>45</x:v>
      </x:c>
      <x:c r="S13" s="97">
        <x:v>145</x:v>
      </x:c>
      <x:c r="T13" s="97">
        <x:v>8.5</x:v>
      </x:c>
      <x:c r="U13" s="22"/>
      <x:c r="V13" s="22"/>
      <x:c r="W13" s="22"/>
      <x:c r="X13" s="22"/>
      <x:c r="Y13" s="22"/>
      <x:c r="Z13" s="22"/>
      <x:c r="AA13" s="22"/>
      <x:c r="AB13" s="22"/>
      <x:c r="AC13" s="22"/>
      <x:c r="AD13" s="22"/>
      <x:c r="AE13" s="22"/>
      <x:c r="AF13" s="22"/>
      <x:c r="AG13" s="22"/>
      <x:c r="AH13" s="22"/>
      <x:c r="AI13" s="22"/>
      <x:c r="AJ13" s="22"/>
      <x:c r="AK13" s="22"/>
      <x:c r="AL13" s="56"/>
    </x:row>
    <x:row r="14" spans="2:123" ht="15.5" customHeight="1">
      <x:c r="B14" s="96" t="s">
        <x:v>838</x:v>
      </x:c>
      <x:c r="C14" s="97">
        <x:v>17</x:v>
      </x:c>
      <x:c r="D14" s="97">
        <x:v>34</x:v>
      </x:c>
      <x:c r="E14" s="97">
        <x:v>38</x:v>
      </x:c>
      <x:c r="F14" s="97" t="s">
        <x:v>245</x:v>
      </x:c>
      <x:c r="G14" s="97">
        <x:v>0.26500000000000001</x:v>
      </x:c>
      <x:c r="H14" s="97">
        <x:v>0.26500000000000001</x:v>
      </x:c>
      <x:c r="I14" s="97">
        <x:v>8</x:v>
      </x:c>
      <x:c r="J14" s="97">
        <x:v>8.1</x:v>
      </x:c>
      <x:c r="K14" s="97">
        <x:v>12.5</x:v>
      </x:c>
      <x:c r="L14" s="97">
        <x:v>14.3</x:v>
      </x:c>
      <x:c r="M14" s="97">
        <x:v>7.6</x:v>
      </x:c>
      <x:c r="N14" s="97">
        <x:v>8.5</x:v>
      </x:c>
      <x:c r="O14" s="97">
        <x:v>5.6</x:v>
      </x:c>
      <x:c r="P14" s="97">
        <x:v>5.6</x:v>
      </x:c>
      <x:c r="Q14" s="97">
        <x:v>43</x:v>
      </x:c>
      <x:c r="R14" s="97">
        <x:v>47</x:v>
      </x:c>
      <x:c r="S14" s="97">
        <x:v>145</x:v>
      </x:c>
      <x:c r="T14" s="97">
        <x:v>8.5</x:v>
      </x:c>
      <x:c r="U14" s="22"/>
      <x:c r="V14" s="22"/>
      <x:c r="W14" s="22"/>
      <x:c r="X14" s="22"/>
      <x:c r="Y14" s="22"/>
      <x:c r="Z14" s="22"/>
      <x:c r="AA14" s="22"/>
      <x:c r="AB14" s="22"/>
      <x:c r="AC14" s="22"/>
      <x:c r="AD14" s="22"/>
      <x:c r="AE14" s="22"/>
      <x:c r="AF14" s="22"/>
      <x:c r="AG14" s="22"/>
      <x:c r="AH14" s="22"/>
      <x:c r="AI14" s="22"/>
      <x:c r="AJ14" s="22"/>
      <x:c r="AK14" s="22"/>
      <x:c r="AL14" s="56"/>
    </x:row>
    <x:row r="15" spans="2:123" ht="15.5" customHeight="1">
      <x:c r="B15" s="96" t="s">
        <x:v>839</x:v>
      </x:c>
      <x:c r="C15" s="97">
        <x:v>17</x:v>
      </x:c>
      <x:c r="D15" s="97">
        <x:v>31</x:v>
      </x:c>
      <x:c r="E15" s="97">
        <x:v>37</x:v>
      </x:c>
      <x:c r="F15" s="97" t="s">
        <x:v>245</x:v>
      </x:c>
      <x:c r="G15" s="97">
        <x:v>0.24099999999999999</x:v>
      </x:c>
      <x:c r="H15" s="97">
        <x:v>0.24099999999999999</x:v>
      </x:c>
      <x:c r="I15" s="97">
        <x:v>9.6</x:v>
      </x:c>
      <x:c r="J15" s="97">
        <x:v>10.7</x:v>
      </x:c>
      <x:c r="K15" s="97">
        <x:v>7.8</x:v>
      </x:c>
      <x:c r="L15" s="97">
        <x:v>7.9</x:v>
      </x:c>
      <x:c r="M15" s="97">
        <x:v>8</x:v>
      </x:c>
      <x:c r="N15" s="97">
        <x:v>10</x:v>
      </x:c>
      <x:c r="O15" s="97">
        <x:v>5.0999999999999996</x:v>
      </x:c>
      <x:c r="P15" s="97">
        <x:v>5.0999999999999996</x:v>
      </x:c>
      <x:c r="Q15" s="97">
        <x:v>49</x:v>
      </x:c>
      <x:c r="R15" s="97">
        <x:v>50</x:v>
      </x:c>
      <x:c r="S15" s="97">
        <x:v>142</x:v>
      </x:c>
      <x:c r="T15" s="97">
        <x:v>8.4</x:v>
      </x:c>
      <x:c r="U15" s="22"/>
      <x:c r="V15" s="22"/>
      <x:c r="W15" s="22"/>
      <x:c r="X15" s="22"/>
      <x:c r="Y15" s="22"/>
      <x:c r="Z15" s="22"/>
      <x:c r="AA15" s="22"/>
      <x:c r="AB15" s="22"/>
      <x:c r="AC15" s="22"/>
      <x:c r="AD15" s="22"/>
      <x:c r="AE15" s="22"/>
      <x:c r="AF15" s="22"/>
      <x:c r="AG15" s="22"/>
      <x:c r="AH15" s="22"/>
      <x:c r="AI15" s="22"/>
      <x:c r="AJ15" s="22"/>
      <x:c r="AK15" s="22"/>
      <x:c r="AL15" s="56"/>
    </x:row>
    <x:row r="16" spans="2:123" ht="15.5" customHeight="1">
      <x:c r="B16" s="96" t="s">
        <x:v>423</x:v>
      </x:c>
      <x:c r="C16" s="97">
        <x:v>17</x:v>
      </x:c>
      <x:c r="D16" s="97">
        <x:v>30</x:v>
      </x:c>
      <x:c r="E16" s="97">
        <x:v>34</x:v>
      </x:c>
      <x:c r="F16" s="97" t="s">
        <x:v>245</x:v>
      </x:c>
      <x:c r="G16" s="97">
        <x:v>0.253</x:v>
      </x:c>
      <x:c r="H16" s="97">
        <x:v>0.253</x:v>
      </x:c>
      <x:c r="I16" s="97">
        <x:v>7</x:v>
      </x:c>
      <x:c r="J16" s="97">
        <x:v>7.1</x:v>
      </x:c>
      <x:c r="K16" s="97">
        <x:v>8.1999999999999993</x:v>
      </x:c>
      <x:c r="L16" s="97">
        <x:v>8.3000000000000007</x:v>
      </x:c>
      <x:c r="M16" s="97">
        <x:v>9</x:v>
      </x:c>
      <x:c r="N16" s="97">
        <x:v>10</x:v>
      </x:c>
      <x:c r="O16" s="97">
        <x:v>5.4</x:v>
      </x:c>
      <x:c r="P16" s="97">
        <x:v>5.4</x:v>
      </x:c>
      <x:c r="Q16" s="97">
        <x:v>49</x:v>
      </x:c>
      <x:c r="R16" s="97">
        <x:v>50</x:v>
      </x:c>
      <x:c r="S16" s="97">
        <x:v>139</x:v>
      </x:c>
      <x:c r="T16" s="97">
        <x:v>8.1999999999999993</x:v>
      </x:c>
      <x:c r="U16" s="22"/>
      <x:c r="V16" s="22"/>
      <x:c r="W16" s="22"/>
      <x:c r="X16" s="22"/>
      <x:c r="Y16" s="22"/>
      <x:c r="Z16" s="22"/>
      <x:c r="AA16" s="22"/>
      <x:c r="AB16" s="22"/>
      <x:c r="AC16" s="22"/>
      <x:c r="AD16" s="22"/>
      <x:c r="AE16" s="22"/>
      <x:c r="AF16" s="22"/>
      <x:c r="AG16" s="22"/>
      <x:c r="AH16" s="22"/>
      <x:c r="AI16" s="22"/>
      <x:c r="AJ16" s="22"/>
      <x:c r="AK16" s="22"/>
      <x:c r="AL16" s="56"/>
    </x:row>
    <x:row r="17" spans="2:38" ht="15.5" customHeight="1">
      <x:c r="B17" s="96" t="s">
        <x:v>427</x:v>
      </x:c>
      <x:c r="C17" s="97">
        <x:v>17</x:v>
      </x:c>
      <x:c r="D17" s="97">
        <x:v>29</x:v>
      </x:c>
      <x:c r="E17" s="97">
        <x:v>34</x:v>
      </x:c>
      <x:c r="F17" s="97" t="s">
        <x:v>245</x:v>
      </x:c>
      <x:c r="G17" s="97">
        <x:v>0.22900000000000001</x:v>
      </x:c>
      <x:c r="H17" s="97">
        <x:v>0.22900000000000001</x:v>
      </x:c>
      <x:c r="I17" s="97">
        <x:v>6.8</x:v>
      </x:c>
      <x:c r="J17" s="97">
        <x:v>6.9</x:v>
      </x:c>
      <x:c r="K17" s="97">
        <x:v>8.3000000000000007</x:v>
      </x:c>
      <x:c r="L17" s="97">
        <x:v>8.5</x:v>
      </x:c>
      <x:c r="M17" s="97">
        <x:v>8.6</x:v>
      </x:c>
      <x:c r="N17" s="97">
        <x:v>10.6</x:v>
      </x:c>
      <x:c r="O17" s="97">
        <x:v>4.82</x:v>
      </x:c>
      <x:c r="P17" s="97">
        <x:v>4.82</x:v>
      </x:c>
      <x:c r="Q17" s="97">
        <x:v>51</x:v>
      </x:c>
      <x:c r="R17" s="97">
        <x:v>52</x:v>
      </x:c>
      <x:c r="S17" s="97">
        <x:v>138</x:v>
      </x:c>
      <x:c r="T17" s="97">
        <x:v>8.1</x:v>
      </x:c>
      <x:c r="U17" s="22"/>
      <x:c r="V17" s="22"/>
      <x:c r="W17" s="22"/>
      <x:c r="X17" s="22"/>
      <x:c r="Y17" s="22"/>
      <x:c r="Z17" s="22"/>
      <x:c r="AA17" s="22"/>
      <x:c r="AB17" s="22"/>
      <x:c r="AC17" s="22"/>
      <x:c r="AD17" s="22"/>
      <x:c r="AE17" s="22"/>
      <x:c r="AF17" s="22"/>
      <x:c r="AG17" s="22"/>
      <x:c r="AH17" s="22"/>
      <x:c r="AI17" s="22"/>
      <x:c r="AJ17" s="22"/>
      <x:c r="AK17" s="22"/>
      <x:c r="AL17" s="56"/>
    </x:row>
    <x:row r="18" spans="2:38" ht="15.5" customHeight="1">
      <x:c r="B18" s="96" t="s">
        <x:v>840</x:v>
      </x:c>
      <x:c r="C18" s="97">
        <x:v>17</x:v>
      </x:c>
      <x:c r="D18" s="97">
        <x:v>31</x:v>
      </x:c>
      <x:c r="E18" s="97">
        <x:v>34</x:v>
      </x:c>
      <x:c r="F18" s="97" t="s">
        <x:v>245</x:v>
      </x:c>
      <x:c r="G18" s="97">
        <x:v>0.253</x:v>
      </x:c>
      <x:c r="H18" s="97">
        <x:v>0.253</x:v>
      </x:c>
      <x:c r="I18" s="97">
        <x:v>7.8</x:v>
      </x:c>
      <x:c r="J18" s="97">
        <x:v>7.8</x:v>
      </x:c>
      <x:c r="K18" s="97">
        <x:v>8.3000000000000007</x:v>
      </x:c>
      <x:c r="L18" s="97">
        <x:v>8.4</x:v>
      </x:c>
      <x:c r="M18" s="97">
        <x:v>9.1999999999999993</x:v>
      </x:c>
      <x:c r="N18" s="97">
        <x:v>10.199999999999999</x:v>
      </x:c>
      <x:c r="O18" s="97">
        <x:v>5.4</x:v>
      </x:c>
      <x:c r="P18" s="97">
        <x:v>5.4</x:v>
      </x:c>
      <x:c r="Q18" s="97">
        <x:v>45</x:v>
      </x:c>
      <x:c r="R18" s="97">
        <x:v>46</x:v>
      </x:c>
      <x:c r="S18" s="97">
        <x:v>138</x:v>
      </x:c>
      <x:c r="T18" s="97">
        <x:v>8.1</x:v>
      </x:c>
      <x:c r="U18" s="22"/>
      <x:c r="V18" s="22"/>
      <x:c r="W18" s="22"/>
      <x:c r="X18" s="22"/>
      <x:c r="Y18" s="22"/>
      <x:c r="Z18" s="22"/>
      <x:c r="AA18" s="22"/>
      <x:c r="AB18" s="22"/>
      <x:c r="AC18" s="22"/>
      <x:c r="AD18" s="22"/>
      <x:c r="AE18" s="22"/>
      <x:c r="AF18" s="22"/>
      <x:c r="AG18" s="22"/>
      <x:c r="AH18" s="22"/>
      <x:c r="AI18" s="22"/>
      <x:c r="AJ18" s="22"/>
      <x:c r="AK18" s="22"/>
      <x:c r="AL18" s="56"/>
    </x:row>
    <x:row r="19" spans="2:38" ht="15.5" customHeight="1">
      <x:c r="B19" s="96" t="s">
        <x:v>432</x:v>
      </x:c>
      <x:c r="C19" s="97">
        <x:v>17</x:v>
      </x:c>
      <x:c r="D19" s="97">
        <x:v>32</x:v>
      </x:c>
      <x:c r="E19" s="97">
        <x:v>38</x:v>
      </x:c>
      <x:c r="F19" s="97" t="s">
        <x:v>245</x:v>
      </x:c>
      <x:c r="G19" s="97">
        <x:v>0.26300000000000001</x:v>
      </x:c>
      <x:c r="H19" s="97">
        <x:v>0.26300000000000001</x:v>
      </x:c>
      <x:c r="I19" s="97">
        <x:v>8.6</x:v>
      </x:c>
      <x:c r="J19" s="97">
        <x:v>8.6999999999999993</x:v>
      </x:c>
      <x:c r="K19" s="97">
        <x:v>10</x:v>
      </x:c>
      <x:c r="L19" s="97">
        <x:v>10.7</x:v>
      </x:c>
      <x:c r="M19" s="97">
        <x:v>7.6</x:v>
      </x:c>
      <x:c r="N19" s="97">
        <x:v>9.4</x:v>
      </x:c>
      <x:c r="O19" s="97">
        <x:v>5.6</x:v>
      </x:c>
      <x:c r="P19" s="97">
        <x:v>5.6</x:v>
      </x:c>
      <x:c r="Q19" s="97">
        <x:v>41</x:v>
      </x:c>
      <x:c r="R19" s="97">
        <x:v>42</x:v>
      </x:c>
      <x:c r="S19" s="97">
        <x:v>137</x:v>
      </x:c>
      <x:c r="T19" s="97">
        <x:v>8.1</x:v>
      </x:c>
      <x:c r="U19" s="22"/>
      <x:c r="V19" s="22"/>
      <x:c r="W19" s="22"/>
      <x:c r="X19" s="22"/>
      <x:c r="Y19" s="22"/>
      <x:c r="Z19" s="22"/>
      <x:c r="AA19" s="22"/>
      <x:c r="AB19" s="22"/>
      <x:c r="AC19" s="22"/>
      <x:c r="AD19" s="22"/>
      <x:c r="AE19" s="22"/>
      <x:c r="AF19" s="22"/>
      <x:c r="AG19" s="22"/>
      <x:c r="AH19" s="22"/>
      <x:c r="AI19" s="22"/>
      <x:c r="AJ19" s="22"/>
      <x:c r="AK19" s="22"/>
      <x:c r="AL19" s="56"/>
    </x:row>
    <x:row r="20" spans="2:38" ht="15.5" customHeight="1">
      <x:c r="B20" s="96" t="s">
        <x:v>421</x:v>
      </x:c>
      <x:c r="C20" s="97">
        <x:v>17</x:v>
      </x:c>
      <x:c r="D20" s="97">
        <x:v>29</x:v>
      </x:c>
      <x:c r="E20" s="97">
        <x:v>36</x:v>
      </x:c>
      <x:c r="F20" s="97" t="s">
        <x:v>245</x:v>
      </x:c>
      <x:c r="G20" s="97">
        <x:v>0.23200000000000001</x:v>
      </x:c>
      <x:c r="H20" s="97">
        <x:v>0.23200000000000001</x:v>
      </x:c>
      <x:c r="I20" s="97">
        <x:v>6.9</x:v>
      </x:c>
      <x:c r="J20" s="97">
        <x:v>7.7</x:v>
      </x:c>
      <x:c r="K20" s="97">
        <x:v>11</x:v>
      </x:c>
      <x:c r="L20" s="97">
        <x:v>12.1</x:v>
      </x:c>
      <x:c r="M20" s="97">
        <x:v>6.7</x:v>
      </x:c>
      <x:c r="N20" s="97">
        <x:v>10</x:v>
      </x:c>
      <x:c r="O20" s="97">
        <x:v>3.7</x:v>
      </x:c>
      <x:c r="P20" s="97">
        <x:v>3.7</x:v>
      </x:c>
      <x:c r="Q20" s="97">
        <x:v>49</x:v>
      </x:c>
      <x:c r="R20" s="97">
        <x:v>50</x:v>
      </x:c>
      <x:c r="S20" s="97">
        <x:v>136</x:v>
      </x:c>
      <x:c r="T20" s="97">
        <x:v>8</x:v>
      </x:c>
      <x:c r="U20" s="22"/>
      <x:c r="V20" s="22"/>
      <x:c r="W20" s="22"/>
      <x:c r="X20" s="22"/>
      <x:c r="Y20" s="22"/>
      <x:c r="Z20" s="22"/>
      <x:c r="AA20" s="22"/>
      <x:c r="AB20" s="22"/>
      <x:c r="AC20" s="22"/>
      <x:c r="AD20" s="22"/>
      <x:c r="AE20" s="22"/>
      <x:c r="AF20" s="22"/>
      <x:c r="AG20" s="22"/>
      <x:c r="AH20" s="22"/>
      <x:c r="AI20" s="22"/>
      <x:c r="AJ20" s="22"/>
      <x:c r="AK20" s="22"/>
      <x:c r="AL20" s="56"/>
    </x:row>
    <x:row r="21" spans="2:38" ht="15.5" customHeight="1">
      <x:c r="B21" s="96" t="s">
        <x:v>422</x:v>
      </x:c>
      <x:c r="C21" s="97">
        <x:v>17</x:v>
      </x:c>
      <x:c r="D21" s="97">
        <x:v>29</x:v>
      </x:c>
      <x:c r="E21" s="97">
        <x:v>35</x:v>
      </x:c>
      <x:c r="F21" s="97" t="s">
        <x:v>245</x:v>
      </x:c>
      <x:c r="G21" s="97">
        <x:v>0.22700000000000001</x:v>
      </x:c>
      <x:c r="H21" s="97">
        <x:v>0.22700000000000001</x:v>
      </x:c>
      <x:c r="I21" s="97">
        <x:v>8.4</x:v>
      </x:c>
      <x:c r="J21" s="97">
        <x:v>8.5</x:v>
      </x:c>
      <x:c r="K21" s="97">
        <x:v>9.4</x:v>
      </x:c>
      <x:c r="L21" s="97">
        <x:v>10.7</x:v>
      </x:c>
      <x:c r="M21" s="97">
        <x:v>6.5</x:v>
      </x:c>
      <x:c r="N21" s="97">
        <x:v>9.6999999999999993</x:v>
      </x:c>
      <x:c r="O21" s="97">
        <x:v>4.82</x:v>
      </x:c>
      <x:c r="P21" s="97">
        <x:v>4.82</x:v>
      </x:c>
      <x:c r="Q21" s="97">
        <x:v>49</x:v>
      </x:c>
      <x:c r="R21" s="97">
        <x:v>50</x:v>
      </x:c>
      <x:c r="S21" s="97">
        <x:v>136</x:v>
      </x:c>
      <x:c r="T21" s="97">
        <x:v>8</x:v>
      </x:c>
      <x:c r="U21" s="22"/>
      <x:c r="V21" s="22"/>
      <x:c r="W21" s="22"/>
      <x:c r="X21" s="22"/>
      <x:c r="Y21" s="22"/>
      <x:c r="Z21" s="22"/>
      <x:c r="AA21" s="22"/>
      <x:c r="AB21" s="22"/>
      <x:c r="AC21" s="22"/>
      <x:c r="AD21" s="22"/>
      <x:c r="AE21" s="22"/>
      <x:c r="AF21" s="22"/>
      <x:c r="AG21" s="22"/>
      <x:c r="AH21" s="22"/>
      <x:c r="AI21" s="22"/>
      <x:c r="AJ21" s="22"/>
      <x:c r="AK21" s="22"/>
      <x:c r="AL21" s="56"/>
    </x:row>
    <x:row r="22" spans="2:38" ht="15.5" customHeight="1">
      <x:c r="B22" s="96" t="s">
        <x:v>841</x:v>
      </x:c>
      <x:c r="C22" s="97">
        <x:v>17</x:v>
      </x:c>
      <x:c r="D22" s="97">
        <x:v>32</x:v>
      </x:c>
      <x:c r="E22" s="97">
        <x:v>39</x:v>
      </x:c>
      <x:c r="F22" s="97" t="s">
        <x:v>245</x:v>
      </x:c>
      <x:c r="G22" s="97">
        <x:v>0.32200000000000001</x:v>
      </x:c>
      <x:c r="H22" s="97">
        <x:v>0.32500000000000001</x:v>
      </x:c>
      <x:c r="I22" s="97">
        <x:v>9</x:v>
      </x:c>
      <x:c r="J22" s="97">
        <x:v>9.3000000000000007</x:v>
      </x:c>
      <x:c r="K22" s="97">
        <x:v>10.3</x:v>
      </x:c>
      <x:c r="L22" s="97">
        <x:v>11.5</x:v>
      </x:c>
      <x:c r="M22" s="97">
        <x:v>9</x:v>
      </x:c>
      <x:c r="N22" s="97">
        <x:v>11.7</x:v>
      </x:c>
      <x:c r="O22" s="97">
        <x:v>3.54</x:v>
      </x:c>
      <x:c r="P22" s="97">
        <x:v>3.54</x:v>
      </x:c>
      <x:c r="Q22" s="97">
        <x:v>39</x:v>
      </x:c>
      <x:c r="R22" s="97">
        <x:v>44</x:v>
      </x:c>
      <x:c r="S22" s="97">
        <x:v>135</x:v>
      </x:c>
      <x:c r="T22" s="97">
        <x:v>7.9</x:v>
      </x:c>
      <x:c r="U22" s="22"/>
      <x:c r="V22" s="22"/>
      <x:c r="W22" s="22"/>
      <x:c r="X22" s="22"/>
      <x:c r="Y22" s="22"/>
      <x:c r="Z22" s="22"/>
      <x:c r="AA22" s="22"/>
      <x:c r="AB22" s="22"/>
      <x:c r="AC22" s="22"/>
      <x:c r="AD22" s="22"/>
      <x:c r="AE22" s="22"/>
      <x:c r="AF22" s="22"/>
      <x:c r="AG22" s="22"/>
      <x:c r="AH22" s="22"/>
      <x:c r="AI22" s="22"/>
      <x:c r="AJ22" s="22"/>
      <x:c r="AK22" s="22"/>
      <x:c r="AL22" s="56"/>
    </x:row>
    <x:row r="23" spans="2:38" ht="15.5" customHeight="1">
      <x:c r="B23" s="96" t="s">
        <x:v>425</x:v>
      </x:c>
      <x:c r="C23" s="97">
        <x:v>17</x:v>
      </x:c>
      <x:c r="D23" s="97">
        <x:v>34</x:v>
      </x:c>
      <x:c r="E23" s="97">
        <x:v>38</x:v>
      </x:c>
      <x:c r="F23" s="97" t="s">
        <x:v>245</x:v>
      </x:c>
      <x:c r="G23" s="97">
        <x:v>0.26700000000000002</x:v>
      </x:c>
      <x:c r="H23" s="97">
        <x:v>0.26700000000000002</x:v>
      </x:c>
      <x:c r="I23" s="97">
        <x:v>7.3</x:v>
      </x:c>
      <x:c r="J23" s="97">
        <x:v>7.4</x:v>
      </x:c>
      <x:c r="K23" s="97">
        <x:v>9.9</x:v>
      </x:c>
      <x:c r="L23" s="97">
        <x:v>10.8</x:v>
      </x:c>
      <x:c r="M23" s="97">
        <x:v>11.4</x:v>
      </x:c>
      <x:c r="N23" s="97">
        <x:v>12.6</x:v>
      </x:c>
      <x:c r="O23" s="97">
        <x:v>4.83</x:v>
      </x:c>
      <x:c r="P23" s="97">
        <x:v>4.83</x:v>
      </x:c>
      <x:c r="Q23" s="97">
        <x:v>33</x:v>
      </x:c>
      <x:c r="R23" s="97">
        <x:v>36</x:v>
      </x:c>
      <x:c r="S23" s="97">
        <x:v>135</x:v>
      </x:c>
      <x:c r="T23" s="97">
        <x:v>7.9</x:v>
      </x:c>
      <x:c r="U23" s="22"/>
      <x:c r="V23" s="22"/>
      <x:c r="W23" s="22"/>
      <x:c r="X23" s="22"/>
      <x:c r="Y23" s="22"/>
      <x:c r="Z23" s="22"/>
      <x:c r="AA23" s="22"/>
      <x:c r="AB23" s="22"/>
      <x:c r="AC23" s="22"/>
      <x:c r="AD23" s="22"/>
      <x:c r="AE23" s="22"/>
      <x:c r="AF23" s="22"/>
      <x:c r="AG23" s="22"/>
      <x:c r="AH23" s="22"/>
      <x:c r="AI23" s="22"/>
      <x:c r="AJ23" s="22"/>
      <x:c r="AK23" s="22"/>
      <x:c r="AL23" s="56"/>
    </x:row>
    <x:row r="24" spans="2:38" ht="15.5" customHeight="1">
      <x:c r="B24" s="96" t="s">
        <x:v>431</x:v>
      </x:c>
      <x:c r="C24" s="97">
        <x:v>17</x:v>
      </x:c>
      <x:c r="D24" s="97">
        <x:v>32</x:v>
      </x:c>
      <x:c r="E24" s="97">
        <x:v>36</x:v>
      </x:c>
      <x:c r="F24" s="97" t="s">
        <x:v>245</x:v>
      </x:c>
      <x:c r="G24" s="97">
        <x:v>0.25700000000000001</x:v>
      </x:c>
      <x:c r="H24" s="97">
        <x:v>0.25700000000000001</x:v>
      </x:c>
      <x:c r="I24" s="97">
        <x:v>8.5</x:v>
      </x:c>
      <x:c r="J24" s="97">
        <x:v>8.6</x:v>
      </x:c>
      <x:c r="K24" s="97">
        <x:v>9.6999999999999993</x:v>
      </x:c>
      <x:c r="L24" s="97">
        <x:v>9.8000000000000007</x:v>
      </x:c>
      <x:c r="M24" s="97">
        <x:v>8.1999999999999993</x:v>
      </x:c>
      <x:c r="N24" s="97">
        <x:v>10.1</x:v>
      </x:c>
      <x:c r="O24" s="97">
        <x:v>5.5</x:v>
      </x:c>
      <x:c r="P24" s="97">
        <x:v>5.5</x:v>
      </x:c>
      <x:c r="Q24" s="97">
        <x:v>37</x:v>
      </x:c>
      <x:c r="R24" s="97">
        <x:v>40</x:v>
      </x:c>
      <x:c r="S24" s="97">
        <x:v>133</x:v>
      </x:c>
      <x:c r="T24" s="97">
        <x:v>7.8</x:v>
      </x:c>
      <x:c r="U24" s="22"/>
      <x:c r="V24" s="22"/>
      <x:c r="W24" s="22"/>
      <x:c r="X24" s="22"/>
      <x:c r="Y24" s="22"/>
      <x:c r="Z24" s="22"/>
      <x:c r="AA24" s="22"/>
      <x:c r="AB24" s="22"/>
      <x:c r="AC24" s="22"/>
      <x:c r="AD24" s="22"/>
      <x:c r="AE24" s="22"/>
      <x:c r="AF24" s="22"/>
      <x:c r="AG24" s="22"/>
      <x:c r="AH24" s="22"/>
      <x:c r="AI24" s="22"/>
      <x:c r="AJ24" s="22"/>
      <x:c r="AK24" s="22"/>
      <x:c r="AL24" s="56"/>
    </x:row>
    <x:row r="25" spans="2:38" ht="15.5" customHeight="1">
      <x:c r="B25" s="96" t="s">
        <x:v>437</x:v>
      </x:c>
      <x:c r="C25" s="97">
        <x:v>17</x:v>
      </x:c>
      <x:c r="D25" s="97">
        <x:v>30</x:v>
      </x:c>
      <x:c r="E25" s="97">
        <x:v>34</x:v>
      </x:c>
      <x:c r="F25" s="97" t="s">
        <x:v>245</x:v>
      </x:c>
      <x:c r="G25" s="97">
        <x:v>0.23899999999999999</x:v>
      </x:c>
      <x:c r="H25" s="97">
        <x:v>0.24</x:v>
      </x:c>
      <x:c r="I25" s="97">
        <x:v>7.8</x:v>
      </x:c>
      <x:c r="J25" s="97">
        <x:v>7.9</x:v>
      </x:c>
      <x:c r="K25" s="97">
        <x:v>9.8000000000000007</x:v>
      </x:c>
      <x:c r="L25" s="97">
        <x:v>10</x:v>
      </x:c>
      <x:c r="M25" s="97">
        <x:v>6.9</x:v>
      </x:c>
      <x:c r="N25" s="97">
        <x:v>9.6</x:v>
      </x:c>
      <x:c r="O25" s="97">
        <x:v>5.0999999999999996</x:v>
      </x:c>
      <x:c r="P25" s="97">
        <x:v>5.0999999999999996</x:v>
      </x:c>
      <x:c r="Q25" s="97">
        <x:v>41</x:v>
      </x:c>
      <x:c r="R25" s="97">
        <x:v>41</x:v>
      </x:c>
      <x:c r="S25" s="97">
        <x:v>131</x:v>
      </x:c>
      <x:c r="T25" s="97">
        <x:v>7.7</x:v>
      </x:c>
      <x:c r="U25" s="22"/>
      <x:c r="V25" s="22"/>
      <x:c r="W25" s="22"/>
      <x:c r="X25" s="22"/>
      <x:c r="Y25" s="22"/>
      <x:c r="Z25" s="22"/>
      <x:c r="AA25" s="22"/>
      <x:c r="AB25" s="22"/>
      <x:c r="AC25" s="22"/>
      <x:c r="AD25" s="22"/>
      <x:c r="AE25" s="22"/>
      <x:c r="AF25" s="22"/>
      <x:c r="AG25" s="22"/>
      <x:c r="AH25" s="22"/>
      <x:c r="AI25" s="22"/>
      <x:c r="AJ25" s="22"/>
      <x:c r="AK25" s="22"/>
      <x:c r="AL25" s="56"/>
    </x:row>
    <x:row r="26" spans="2:38" ht="15.5" customHeight="1">
      <x:c r="B26" s="96" t="s">
        <x:v>842</x:v>
      </x:c>
      <x:c r="C26" s="97">
        <x:v>17</x:v>
      </x:c>
      <x:c r="D26" s="97">
        <x:v>31</x:v>
      </x:c>
      <x:c r="E26" s="97">
        <x:v>37</x:v>
      </x:c>
      <x:c r="F26" s="97" t="s">
        <x:v>245</x:v>
      </x:c>
      <x:c r="G26" s="97">
        <x:v>0.312</x:v>
      </x:c>
      <x:c r="H26" s="97">
        <x:v>0.316</x:v>
      </x:c>
      <x:c r="I26" s="97">
        <x:v>8.6999999999999993</x:v>
      </x:c>
      <x:c r="J26" s="97">
        <x:v>9</x:v>
      </x:c>
      <x:c r="K26" s="97">
        <x:v>10</x:v>
      </x:c>
      <x:c r="L26" s="97">
        <x:v>11.1</x:v>
      </x:c>
      <x:c r="M26" s="97">
        <x:v>8.6999999999999993</x:v>
      </x:c>
      <x:c r="N26" s="97">
        <x:v>11.4</x:v>
      </x:c>
      <x:c r="O26" s="97">
        <x:v>3.44</x:v>
      </x:c>
      <x:c r="P26" s="97">
        <x:v>3.44</x:v>
      </x:c>
      <x:c r="Q26" s="97">
        <x:v>37</x:v>
      </x:c>
      <x:c r="R26" s="97">
        <x:v>42</x:v>
      </x:c>
      <x:c r="S26" s="97">
        <x:v>130</x:v>
      </x:c>
      <x:c r="T26" s="97">
        <x:v>7.6</x:v>
      </x:c>
      <x:c r="U26" s="22"/>
      <x:c r="V26" s="22"/>
      <x:c r="W26" s="22"/>
      <x:c r="X26" s="22"/>
      <x:c r="Y26" s="22"/>
      <x:c r="Z26" s="22"/>
      <x:c r="AA26" s="22"/>
      <x:c r="AB26" s="22"/>
      <x:c r="AC26" s="22"/>
      <x:c r="AD26" s="22"/>
      <x:c r="AE26" s="22"/>
      <x:c r="AF26" s="22"/>
      <x:c r="AG26" s="22"/>
      <x:c r="AH26" s="22"/>
      <x:c r="AI26" s="22"/>
      <x:c r="AJ26" s="22"/>
      <x:c r="AK26" s="22"/>
      <x:c r="AL26" s="56"/>
    </x:row>
    <x:row r="27" spans="2:38" ht="15.5" customHeight="1">
      <x:c r="B27" s="96" t="s">
        <x:v>843</x:v>
      </x:c>
      <x:c r="C27" s="97">
        <x:v>17</x:v>
      </x:c>
      <x:c r="D27" s="97">
        <x:v>31</x:v>
      </x:c>
      <x:c r="E27" s="97">
        <x:v>35</x:v>
      </x:c>
      <x:c r="F27" s="97" t="s">
        <x:v>245</x:v>
      </x:c>
      <x:c r="G27" s="97">
        <x:v>0.247</x:v>
      </x:c>
      <x:c r="H27" s="97">
        <x:v>0.247</x:v>
      </x:c>
      <x:c r="I27" s="97">
        <x:v>7.6</x:v>
      </x:c>
      <x:c r="J27" s="97">
        <x:v>7.6</x:v>
      </x:c>
      <x:c r="K27" s="97">
        <x:v>8</x:v>
      </x:c>
      <x:c r="L27" s="97">
        <x:v>8.1</x:v>
      </x:c>
      <x:c r="M27" s="97">
        <x:v>9.6999999999999993</x:v>
      </x:c>
      <x:c r="N27" s="97">
        <x:v>12.3</x:v>
      </x:c>
      <x:c r="O27" s="97">
        <x:v>5.2</x:v>
      </x:c>
      <x:c r="P27" s="97">
        <x:v>5.2</x:v>
      </x:c>
      <x:c r="Q27" s="97">
        <x:v>37</x:v>
      </x:c>
      <x:c r="R27" s="97">
        <x:v>40</x:v>
      </x:c>
      <x:c r="S27" s="97">
        <x:v>130</x:v>
      </x:c>
      <x:c r="T27" s="97">
        <x:v>7.6</x:v>
      </x:c>
      <x:c r="U27" s="22"/>
      <x:c r="V27" s="22"/>
      <x:c r="W27" s="22"/>
      <x:c r="X27" s="22"/>
      <x:c r="Y27" s="22"/>
      <x:c r="Z27" s="22"/>
      <x:c r="AA27" s="22"/>
      <x:c r="AB27" s="22"/>
      <x:c r="AC27" s="22"/>
      <x:c r="AD27" s="22"/>
      <x:c r="AE27" s="22"/>
      <x:c r="AF27" s="22"/>
      <x:c r="AG27" s="22"/>
      <x:c r="AH27" s="22"/>
      <x:c r="AI27" s="22"/>
      <x:c r="AJ27" s="22"/>
      <x:c r="AK27" s="22"/>
      <x:c r="AL27" s="56"/>
    </x:row>
    <x:row r="28" spans="2:38" ht="15.5" customHeight="1">
      <x:c r="B28" s="96" t="s">
        <x:v>436</x:v>
      </x:c>
      <x:c r="C28" s="97">
        <x:v>17</x:v>
      </x:c>
      <x:c r="D28" s="97">
        <x:v>29</x:v>
      </x:c>
      <x:c r="E28" s="97">
        <x:v>33</x:v>
      </x:c>
      <x:c r="F28" s="97" t="s">
        <x:v>245</x:v>
      </x:c>
      <x:c r="G28" s="97">
        <x:v>0.254</x:v>
      </x:c>
      <x:c r="H28" s="97">
        <x:v>0.254</x:v>
      </x:c>
      <x:c r="I28" s="97">
        <x:v>7</x:v>
      </x:c>
      <x:c r="J28" s="97">
        <x:v>7</x:v>
      </x:c>
      <x:c r="K28" s="97">
        <x:v>8.9</x:v>
      </x:c>
      <x:c r="L28" s="97">
        <x:v>10</x:v>
      </x:c>
      <x:c r="M28" s="97">
        <x:v>7.3</x:v>
      </x:c>
      <x:c r="N28" s="97">
        <x:v>9</x:v>
      </x:c>
      <x:c r="O28" s="97">
        <x:v>5.4</x:v>
      </x:c>
      <x:c r="P28" s="97">
        <x:v>5.4</x:v>
      </x:c>
      <x:c r="Q28" s="97">
        <x:v>38</x:v>
      </x:c>
      <x:c r="R28" s="97">
        <x:v>40</x:v>
      </x:c>
      <x:c r="S28" s="97">
        <x:v>125</x:v>
      </x:c>
      <x:c r="T28" s="97">
        <x:v>7.4</x:v>
      </x:c>
      <x:c r="U28" s="22"/>
      <x:c r="V28" s="22"/>
      <x:c r="W28" s="22"/>
      <x:c r="X28" s="22"/>
      <x:c r="Y28" s="22"/>
      <x:c r="Z28" s="22"/>
      <x:c r="AA28" s="22"/>
      <x:c r="AB28" s="22"/>
      <x:c r="AC28" s="22"/>
      <x:c r="AD28" s="22"/>
      <x:c r="AE28" s="22"/>
      <x:c r="AF28" s="22"/>
      <x:c r="AG28" s="22"/>
      <x:c r="AH28" s="22"/>
      <x:c r="AI28" s="22"/>
      <x:c r="AJ28" s="22"/>
      <x:c r="AK28" s="22"/>
      <x:c r="AL28" s="56"/>
    </x:row>
    <x:row r="29" spans="2:38" ht="15.5" customHeight="1">
      <x:c r="B29" s="96" t="s">
        <x:v>844</x:v>
      </x:c>
      <x:c r="C29" s="97">
        <x:v>17</x:v>
      </x:c>
      <x:c r="D29" s="97">
        <x:v>25</x:v>
      </x:c>
      <x:c r="E29" s="97">
        <x:v>30</x:v>
      </x:c>
      <x:c r="F29" s="97" t="s">
        <x:v>245</x:v>
      </x:c>
      <x:c r="G29" s="97">
        <x:v>0.252</x:v>
      </x:c>
      <x:c r="H29" s="97">
        <x:v>0.255</x:v>
      </x:c>
      <x:c r="I29" s="97">
        <x:v>7.1</x:v>
      </x:c>
      <x:c r="J29" s="97">
        <x:v>7.3</x:v>
      </x:c>
      <x:c r="K29" s="97">
        <x:v>8.1</x:v>
      </x:c>
      <x:c r="L29" s="97">
        <x:v>9</x:v>
      </x:c>
      <x:c r="M29" s="97">
        <x:v>7.1</x:v>
      </x:c>
      <x:c r="N29" s="97">
        <x:v>9.1999999999999993</x:v>
      </x:c>
      <x:c r="O29" s="97">
        <x:v>2.77</x:v>
      </x:c>
      <x:c r="P29" s="97">
        <x:v>2.77</x:v>
      </x:c>
      <x:c r="Q29" s="97">
        <x:v>47</x:v>
      </x:c>
      <x:c r="R29" s="97">
        <x:v>52</x:v>
      </x:c>
      <x:c r="S29" s="97">
        <x:v>122</x:v>
      </x:c>
      <x:c r="T29" s="97">
        <x:v>7.2</x:v>
      </x:c>
      <x:c r="U29" s="22"/>
      <x:c r="V29" s="22"/>
      <x:c r="W29" s="22"/>
      <x:c r="X29" s="22"/>
      <x:c r="Y29" s="22"/>
      <x:c r="Z29" s="22"/>
      <x:c r="AA29" s="22"/>
      <x:c r="AB29" s="22"/>
      <x:c r="AC29" s="22"/>
      <x:c r="AD29" s="22"/>
      <x:c r="AE29" s="22"/>
      <x:c r="AF29" s="22"/>
      <x:c r="AG29" s="22"/>
      <x:c r="AH29" s="22"/>
      <x:c r="AI29" s="22"/>
      <x:c r="AJ29" s="22"/>
      <x:c r="AK29" s="22"/>
      <x:c r="AL29" s="56"/>
    </x:row>
    <x:row r="30" spans="2:38" ht="15.5" customHeight="1">
      <x:c r="B30" s="96" t="s">
        <x:v>845</x:v>
      </x:c>
      <x:c r="C30" s="97">
        <x:v>17</x:v>
      </x:c>
      <x:c r="D30" s="97">
        <x:v>28</x:v>
      </x:c>
      <x:c r="E30" s="97">
        <x:v>34</x:v>
      </x:c>
      <x:c r="F30" s="97" t="s">
        <x:v>245</x:v>
      </x:c>
      <x:c r="G30" s="97">
        <x:v>0.216</x:v>
      </x:c>
      <x:c r="H30" s="97">
        <x:v>0.216</x:v>
      </x:c>
      <x:c r="I30" s="97">
        <x:v>8.6</x:v>
      </x:c>
      <x:c r="J30" s="97">
        <x:v>8.6999999999999993</x:v>
      </x:c>
      <x:c r="K30" s="97">
        <x:v>10.3</x:v>
      </x:c>
      <x:c r="L30" s="97">
        <x:v>11.3</x:v>
      </x:c>
      <x:c r="M30" s="97">
        <x:v>6.2</x:v>
      </x:c>
      <x:c r="N30" s="97">
        <x:v>8.5</x:v>
      </x:c>
      <x:c r="O30" s="97">
        <x:v>2.97</x:v>
      </x:c>
      <x:c r="P30" s="97">
        <x:v>2.97</x:v>
      </x:c>
      <x:c r="Q30" s="97">
        <x:v>36</x:v>
      </x:c>
      <x:c r="R30" s="97">
        <x:v>38</x:v>
      </x:c>
      <x:c r="S30" s="97">
        <x:v>120</x:v>
      </x:c>
      <x:c r="T30" s="97">
        <x:v>7.1</x:v>
      </x:c>
      <x:c r="U30" s="22"/>
      <x:c r="V30" s="22"/>
      <x:c r="W30" s="22"/>
      <x:c r="X30" s="22"/>
      <x:c r="Y30" s="22"/>
      <x:c r="Z30" s="22"/>
      <x:c r="AA30" s="22"/>
      <x:c r="AB30" s="22"/>
      <x:c r="AC30" s="22"/>
      <x:c r="AD30" s="22"/>
      <x:c r="AE30" s="22"/>
      <x:c r="AF30" s="22"/>
      <x:c r="AG30" s="22"/>
      <x:c r="AH30" s="22"/>
      <x:c r="AI30" s="22"/>
      <x:c r="AJ30" s="22"/>
      <x:c r="AK30" s="22"/>
      <x:c r="AL30" s="56"/>
    </x:row>
    <x:row r="31" spans="2:38" ht="15.5" customHeight="1">
      <x:c r="B31" s="96" t="s">
        <x:v>430</x:v>
      </x:c>
      <x:c r="C31" s="97">
        <x:v>17</x:v>
      </x:c>
      <x:c r="D31" s="97">
        <x:v>27</x:v>
      </x:c>
      <x:c r="E31" s="97">
        <x:v>31</x:v>
      </x:c>
      <x:c r="F31" s="97" t="s">
        <x:v>245</x:v>
      </x:c>
      <x:c r="G31" s="97">
        <x:v>0.218</x:v>
      </x:c>
      <x:c r="H31" s="97">
        <x:v>0.219</x:v>
      </x:c>
      <x:c r="I31" s="97">
        <x:v>7.7</x:v>
      </x:c>
      <x:c r="J31" s="97">
        <x:v>7.9</x:v>
      </x:c>
      <x:c r="K31" s="97">
        <x:v>7.1</x:v>
      </x:c>
      <x:c r="L31" s="97">
        <x:v>7.6</x:v>
      </x:c>
      <x:c r="M31" s="97">
        <x:v>7.4</x:v>
      </x:c>
      <x:c r="N31" s="97">
        <x:v>9.1999999999999993</x:v>
      </x:c>
      <x:c r="O31" s="97">
        <x:v>4.6399999999999997</x:v>
      </x:c>
      <x:c r="P31" s="97">
        <x:v>4.6399999999999997</x:v>
      </x:c>
      <x:c r="Q31" s="97">
        <x:v>33</x:v>
      </x:c>
      <x:c r="R31" s="97">
        <x:v>35</x:v>
      </x:c>
      <x:c r="S31" s="97">
        <x:v>114</x:v>
      </x:c>
      <x:c r="T31" s="97">
        <x:v>6.7</x:v>
      </x:c>
      <x:c r="U31" s="22"/>
      <x:c r="V31" s="22"/>
      <x:c r="W31" s="22"/>
      <x:c r="X31" s="22"/>
      <x:c r="Y31" s="22"/>
      <x:c r="Z31" s="22"/>
      <x:c r="AA31" s="22"/>
      <x:c r="AB31" s="22"/>
      <x:c r="AC31" s="22"/>
      <x:c r="AD31" s="22"/>
      <x:c r="AE31" s="22"/>
      <x:c r="AF31" s="22"/>
      <x:c r="AG31" s="22"/>
      <x:c r="AH31" s="22"/>
      <x:c r="AI31" s="22"/>
      <x:c r="AJ31" s="22"/>
      <x:c r="AK31" s="22"/>
      <x:c r="AL31" s="56"/>
    </x:row>
    <x:row r="32" spans="2:38" ht="15.5" customHeight="1">
      <x:c r="B32" s="96" t="s">
        <x:v>846</x:v>
      </x:c>
      <x:c r="C32" s="97">
        <x:v>17</x:v>
      </x:c>
      <x:c r="D32" s="97">
        <x:v>26</x:v>
      </x:c>
      <x:c r="E32" s="97">
        <x:v>31</x:v>
      </x:c>
      <x:c r="F32" s="97" t="s">
        <x:v>245</x:v>
      </x:c>
      <x:c r="G32" s="97">
        <x:v>0.25800000000000001</x:v>
      </x:c>
      <x:c r="H32" s="97">
        <x:v>0.26</x:v>
      </x:c>
      <x:c r="I32" s="97">
        <x:v>7.2</x:v>
      </x:c>
      <x:c r="J32" s="97">
        <x:v>7.4</x:v>
      </x:c>
      <x:c r="K32" s="97">
        <x:v>8.1999999999999993</x:v>
      </x:c>
      <x:c r="L32" s="97">
        <x:v>9.1999999999999993</x:v>
      </x:c>
      <x:c r="M32" s="97">
        <x:v>7.2</x:v>
      </x:c>
      <x:c r="N32" s="97">
        <x:v>9.4</x:v>
      </x:c>
      <x:c r="O32" s="97">
        <x:v>2.84</x:v>
      </x:c>
      <x:c r="P32" s="97">
        <x:v>2.84</x:v>
      </x:c>
      <x:c r="Q32" s="97">
        <x:v>33</x:v>
      </x:c>
      <x:c r="R32" s="97">
        <x:v>37</x:v>
      </x:c>
      <x:c r="S32" s="97">
        <x:v>111</x:v>
      </x:c>
      <x:c r="T32" s="97">
        <x:v>6.5</x:v>
      </x:c>
      <x:c r="U32" s="22"/>
      <x:c r="V32" s="22"/>
      <x:c r="W32" s="22"/>
      <x:c r="X32" s="22"/>
      <x:c r="Y32" s="22"/>
      <x:c r="Z32" s="22"/>
      <x:c r="AA32" s="22"/>
      <x:c r="AB32" s="22"/>
      <x:c r="AC32" s="22"/>
      <x:c r="AD32" s="22"/>
      <x:c r="AE32" s="22"/>
      <x:c r="AF32" s="22"/>
      <x:c r="AG32" s="22"/>
      <x:c r="AH32" s="22"/>
      <x:c r="AI32" s="22"/>
      <x:c r="AJ32" s="22"/>
      <x:c r="AK32" s="22"/>
      <x:c r="AL32" s="56"/>
    </x:row>
    <x:row r="33" spans="2:38" ht="15.5" customHeight="1">
      <x:c r="B33" s="96" t="s">
        <x:v>424</x:v>
      </x:c>
      <x:c r="C33" s="97">
        <x:v>17</x:v>
      </x:c>
      <x:c r="D33" s="97">
        <x:v>25</x:v>
      </x:c>
      <x:c r="E33" s="97">
        <x:v>28</x:v>
      </x:c>
      <x:c r="F33" s="97" t="s">
        <x:v>245</x:v>
      </x:c>
      <x:c r="G33" s="97">
        <x:v>0.20499999999999999</x:v>
      </x:c>
      <x:c r="H33" s="97">
        <x:v>0.20499999999999999</x:v>
      </x:c>
      <x:c r="I33" s="97">
        <x:v>8.1999999999999993</x:v>
      </x:c>
      <x:c r="J33" s="97">
        <x:v>8.3000000000000007</x:v>
      </x:c>
      <x:c r="K33" s="97">
        <x:v>6.7</x:v>
      </x:c>
      <x:c r="L33" s="97">
        <x:v>7.3</x:v>
      </x:c>
      <x:c r="M33" s="97">
        <x:v>7.5</x:v>
      </x:c>
      <x:c r="N33" s="97">
        <x:v>8.4</x:v>
      </x:c>
      <x:c r="O33" s="97">
        <x:v>2.71</x:v>
      </x:c>
      <x:c r="P33" s="97">
        <x:v>2.71</x:v>
      </x:c>
      <x:c r="Q33" s="97">
        <x:v>35</x:v>
      </x:c>
      <x:c r="R33" s="97">
        <x:v>35</x:v>
      </x:c>
      <x:c r="S33" s="97">
        <x:v>110</x:v>
      </x:c>
      <x:c r="T33" s="97">
        <x:v>6.5</x:v>
      </x:c>
      <x:c r="U33" s="22"/>
      <x:c r="V33" s="22"/>
      <x:c r="W33" s="22"/>
      <x:c r="X33" s="22"/>
      <x:c r="Y33" s="22"/>
      <x:c r="Z33" s="22"/>
      <x:c r="AA33" s="22"/>
      <x:c r="AB33" s="22"/>
      <x:c r="AC33" s="22"/>
      <x:c r="AD33" s="22"/>
      <x:c r="AE33" s="22"/>
      <x:c r="AF33" s="22"/>
      <x:c r="AG33" s="22"/>
      <x:c r="AH33" s="22"/>
      <x:c r="AI33" s="22"/>
      <x:c r="AJ33" s="22"/>
      <x:c r="AK33" s="22"/>
      <x:c r="AL33" s="56"/>
    </x:row>
    <x:row r="34" spans="2:38" ht="15.5" customHeight="1">
      <x:c r="B34" s="96" t="s">
        <x:v>847</x:v>
      </x:c>
      <x:c r="C34" s="97">
        <x:v>17</x:v>
      </x:c>
      <x:c r="D34" s="97">
        <x:v>25</x:v>
      </x:c>
      <x:c r="E34" s="97">
        <x:v>27</x:v>
      </x:c>
      <x:c r="F34" s="97" t="s">
        <x:v>245</x:v>
      </x:c>
      <x:c r="G34" s="97">
        <x:v>0.20200000000000001</x:v>
      </x:c>
      <x:c r="H34" s="97">
        <x:v>0.20300000000000001</x:v>
      </x:c>
      <x:c r="I34" s="97">
        <x:v>7.4</x:v>
      </x:c>
      <x:c r="J34" s="97">
        <x:v>7.5</x:v>
      </x:c>
      <x:c r="K34" s="97">
        <x:v>7.6</x:v>
      </x:c>
      <x:c r="L34" s="97">
        <x:v>7.7</x:v>
      </x:c>
      <x:c r="M34" s="97">
        <x:v>6.1</x:v>
      </x:c>
      <x:c r="N34" s="97">
        <x:v>6.8</x:v>
      </x:c>
      <x:c r="O34" s="97">
        <x:v>4.0199999999999996</x:v>
      </x:c>
      <x:c r="P34" s="97">
        <x:v>4.0199999999999996</x:v>
      </x:c>
      <x:c r="Q34" s="97">
        <x:v>31</x:v>
      </x:c>
      <x:c r="R34" s="97">
        <x:v>33</x:v>
      </x:c>
      <x:c r="S34" s="97">
        <x:v>106</x:v>
      </x:c>
      <x:c r="T34" s="97">
        <x:v>6.2</x:v>
      </x:c>
      <x:c r="U34" s="22"/>
      <x:c r="V34" s="22"/>
      <x:c r="W34" s="22"/>
      <x:c r="X34" s="22"/>
      <x:c r="Y34" s="22"/>
      <x:c r="Z34" s="22"/>
      <x:c r="AA34" s="22"/>
      <x:c r="AB34" s="22"/>
      <x:c r="AC34" s="22"/>
      <x:c r="AD34" s="22"/>
      <x:c r="AE34" s="22"/>
      <x:c r="AF34" s="22"/>
      <x:c r="AG34" s="22"/>
      <x:c r="AH34" s="22"/>
      <x:c r="AI34" s="22"/>
      <x:c r="AJ34" s="22"/>
      <x:c r="AK34" s="22"/>
      <x:c r="AL34" s="56"/>
    </x:row>
    <x:row r="35" spans="2:38" ht="15.5" customHeight="1">
      <x:c r="B35" s="96" t="s">
        <x:v>428</x:v>
      </x:c>
      <x:c r="C35" s="97">
        <x:v>17</x:v>
      </x:c>
      <x:c r="D35" s="97">
        <x:v>26</x:v>
      </x:c>
      <x:c r="E35" s="97">
        <x:v>29</x:v>
      </x:c>
      <x:c r="F35" s="97" t="s">
        <x:v>245</x:v>
      </x:c>
      <x:c r="G35" s="97">
        <x:v>0.2</x:v>
      </x:c>
      <x:c r="H35" s="97">
        <x:v>0.2</x:v>
      </x:c>
      <x:c r="I35" s="97">
        <x:v>5.5</x:v>
      </x:c>
      <x:c r="J35" s="97">
        <x:v>5.5</x:v>
      </x:c>
      <x:c r="K35" s="97">
        <x:v>8</x:v>
      </x:c>
      <x:c r="L35" s="97">
        <x:v>8.1</x:v>
      </x:c>
      <x:c r="M35" s="97">
        <x:v>7.7</x:v>
      </x:c>
      <x:c r="N35" s="97">
        <x:v>9.3000000000000007</x:v>
      </x:c>
      <x:c r="O35" s="97">
        <x:v>4.21</x:v>
      </x:c>
      <x:c r="P35" s="97">
        <x:v>4.21</x:v>
      </x:c>
      <x:c r="Q35" s="97">
        <x:v>25</x:v>
      </x:c>
      <x:c r="R35" s="97">
        <x:v>28</x:v>
      </x:c>
      <x:c r="S35" s="97">
        <x:v>103</x:v>
      </x:c>
      <x:c r="T35" s="97">
        <x:v>6.1</x:v>
      </x:c>
      <x:c r="U35" s="22"/>
      <x:c r="V35" s="22"/>
      <x:c r="W35" s="22"/>
      <x:c r="X35" s="22"/>
      <x:c r="Y35" s="22"/>
      <x:c r="Z35" s="22"/>
      <x:c r="AA35" s="22"/>
      <x:c r="AB35" s="22"/>
      <x:c r="AC35" s="22"/>
      <x:c r="AD35" s="22"/>
      <x:c r="AE35" s="22"/>
      <x:c r="AF35" s="22"/>
      <x:c r="AG35" s="22"/>
      <x:c r="AH35" s="22"/>
      <x:c r="AI35" s="22"/>
      <x:c r="AJ35" s="22"/>
      <x:c r="AK35" s="22"/>
      <x:c r="AL35" s="56"/>
    </x:row>
    <x:row r="36" spans="2:38" ht="15.5" customHeight="1">
      <x:c r="B36" s="96" t="s">
        <x:v>429</x:v>
      </x:c>
      <x:c r="C36" s="97">
        <x:v>17</x:v>
      </x:c>
      <x:c r="D36" s="97">
        <x:v>21</x:v>
      </x:c>
      <x:c r="E36" s="97">
        <x:v>27</x:v>
      </x:c>
      <x:c r="F36" s="97" t="s">
        <x:v>245</x:v>
      </x:c>
      <x:c r="G36" s="97">
        <x:v>0.17399999999999999</x:v>
      </x:c>
      <x:c r="H36" s="97">
        <x:v>0.17399999999999999</x:v>
      </x:c>
      <x:c r="I36" s="97">
        <x:v>4.78</x:v>
      </x:c>
      <x:c r="J36" s="97">
        <x:v>4.83</x:v>
      </x:c>
      <x:c r="K36" s="97">
        <x:v>6.9</x:v>
      </x:c>
      <x:c r="L36" s="97">
        <x:v>8.1999999999999993</x:v>
      </x:c>
      <x:c r="M36" s="97">
        <x:v>5.7</x:v>
      </x:c>
      <x:c r="N36" s="97">
        <x:v>8.5</x:v>
      </x:c>
      <x:c r="O36" s="97">
        <x:v>3.69</x:v>
      </x:c>
      <x:c r="P36" s="97">
        <x:v>3.69</x:v>
      </x:c>
      <x:c r="Q36" s="97">
        <x:v>32</x:v>
      </x:c>
      <x:c r="R36" s="97">
        <x:v>33</x:v>
      </x:c>
      <x:c r="S36" s="97">
        <x:v>95</x:v>
      </x:c>
      <x:c r="T36" s="97">
        <x:v>5.6</x:v>
      </x:c>
      <x:c r="U36" s="22"/>
      <x:c r="V36" s="22"/>
      <x:c r="W36" s="22"/>
      <x:c r="X36" s="22"/>
      <x:c r="Y36" s="22"/>
      <x:c r="Z36" s="22"/>
      <x:c r="AA36" s="22"/>
      <x:c r="AB36" s="22"/>
      <x:c r="AC36" s="22"/>
      <x:c r="AD36" s="22"/>
      <x:c r="AE36" s="22"/>
      <x:c r="AF36" s="22"/>
      <x:c r="AG36" s="22"/>
      <x:c r="AH36" s="22"/>
      <x:c r="AI36" s="22"/>
      <x:c r="AJ36" s="22"/>
      <x:c r="AK36" s="22"/>
      <x:c r="AL36" s="56"/>
    </x:row>
    <x:row r="37" spans="2:38" ht="15.5" customHeight="1">
      <x:c r="B37" s="96" t="s">
        <x:v>434</x:v>
      </x:c>
      <x:c r="C37" s="97">
        <x:v>17</x:v>
      </x:c>
      <x:c r="D37" s="97">
        <x:v>19</x:v>
      </x:c>
      <x:c r="E37" s="97">
        <x:v>26</x:v>
      </x:c>
      <x:c r="F37" s="97" t="s">
        <x:v>245</x:v>
      </x:c>
      <x:c r="G37" s="97">
        <x:v>0.151</x:v>
      </x:c>
      <x:c r="H37" s="97">
        <x:v>0.151</x:v>
      </x:c>
      <x:c r="I37" s="97">
        <x:v>4.7300000000000004</x:v>
      </x:c>
      <x:c r="J37" s="97">
        <x:v>4.7699999999999996</x:v>
      </x:c>
      <x:c r="K37" s="97">
        <x:v>5.9</x:v>
      </x:c>
      <x:c r="L37" s="97">
        <x:v>7</x:v>
      </x:c>
      <x:c r="M37" s="97">
        <x:v>5.9</x:v>
      </x:c>
      <x:c r="N37" s="97">
        <x:v>8.8000000000000007</x:v>
      </x:c>
      <x:c r="O37" s="97">
        <x:v>2.36</x:v>
      </x:c>
      <x:c r="P37" s="97">
        <x:v>2.36</x:v>
      </x:c>
      <x:c r="Q37" s="97">
        <x:v>28</x:v>
      </x:c>
      <x:c r="R37" s="97">
        <x:v>29</x:v>
      </x:c>
      <x:c r="S37" s="97">
        <x:v>85</x:v>
      </x:c>
      <x:c r="T37" s="97">
        <x:v>5</x:v>
      </x:c>
      <x:c r="U37" s="22"/>
      <x:c r="V37" s="22"/>
      <x:c r="W37" s="22"/>
      <x:c r="X37" s="22"/>
      <x:c r="Y37" s="22"/>
      <x:c r="Z37" s="22"/>
      <x:c r="AA37" s="22"/>
      <x:c r="AB37" s="22"/>
      <x:c r="AC37" s="22"/>
      <x:c r="AD37" s="22"/>
      <x:c r="AE37" s="22"/>
      <x:c r="AF37" s="22"/>
      <x:c r="AG37" s="22"/>
      <x:c r="AH37" s="22"/>
      <x:c r="AI37" s="22"/>
      <x:c r="AJ37" s="22"/>
      <x:c r="AK37" s="22"/>
      <x:c r="AL37" s="56"/>
    </x:row>
    <x:row r="38" spans="2:38" ht="15.5" customHeight="1">
      <x:c r="B38" s="96" t="s">
        <x:v>848</x:v>
      </x:c>
      <x:c r="C38" s="97">
        <x:v>17</x:v>
      </x:c>
      <x:c r="D38" s="97">
        <x:v>19</x:v>
      </x:c>
      <x:c r="E38" s="97">
        <x:v>28</x:v>
      </x:c>
      <x:c r="F38" s="97" t="s">
        <x:v>245</x:v>
      </x:c>
      <x:c r="G38" s="97">
        <x:v>0.26400000000000001</x:v>
      </x:c>
      <x:c r="H38" s="97">
        <x:v>0.26400000000000001</x:v>
      </x:c>
      <x:c r="I38" s="97">
        <x:v>5.2</x:v>
      </x:c>
      <x:c r="J38" s="97">
        <x:v>5.8</x:v>
      </x:c>
      <x:c r="K38" s="97">
        <x:v>6.1</x:v>
      </x:c>
      <x:c r="L38" s="97">
        <x:v>8</x:v>
      </x:c>
      <x:c r="M38" s="97">
        <x:v>4.04</x:v>
      </x:c>
      <x:c r="N38" s="97">
        <x:v>6.7</x:v>
      </x:c>
      <x:c r="O38" s="97">
        <x:v>2.99</x:v>
      </x:c>
      <x:c r="P38" s="97">
        <x:v>2.99</x:v>
      </x:c>
      <x:c r="Q38" s="97">
        <x:v>21</x:v>
      </x:c>
      <x:c r="R38" s="97">
        <x:v>28</x:v>
      </x:c>
      <x:c r="S38" s="97">
        <x:v>78</x:v>
      </x:c>
      <x:c r="T38" s="97">
        <x:v>4.5999999999999996</x:v>
      </x:c>
      <x:c r="U38" s="22"/>
      <x:c r="V38" s="22"/>
      <x:c r="W38" s="22"/>
      <x:c r="X38" s="22"/>
      <x:c r="Y38" s="22"/>
      <x:c r="Z38" s="22"/>
      <x:c r="AA38" s="22"/>
      <x:c r="AB38" s="22"/>
      <x:c r="AC38" s="22"/>
      <x:c r="AD38" s="22"/>
      <x:c r="AE38" s="22"/>
      <x:c r="AF38" s="22"/>
      <x:c r="AG38" s="22"/>
      <x:c r="AH38" s="22"/>
      <x:c r="AI38" s="22"/>
      <x:c r="AJ38" s="22"/>
      <x:c r="AK38" s="22"/>
      <x:c r="AL38" s="56"/>
    </x:row>
    <x:row r="39" spans="2:38" ht="15.5" customHeight="1">
      <x:c r="B39" s="96" t="s">
        <x:v>849</x:v>
      </x:c>
      <x:c r="C39" s="97">
        <x:v>17</x:v>
      </x:c>
      <x:c r="D39" s="97">
        <x:v>14</x:v>
      </x:c>
      <x:c r="E39" s="97">
        <x:v>19</x:v>
      </x:c>
      <x:c r="F39" s="97" t="s">
        <x:v>245</x:v>
      </x:c>
      <x:c r="G39" s="97">
        <x:v>0.123</x:v>
      </x:c>
      <x:c r="H39" s="97">
        <x:v>0.123</x:v>
      </x:c>
      <x:c r="I39" s="97">
        <x:v>3.38</x:v>
      </x:c>
      <x:c r="J39" s="97">
        <x:v>3.75</x:v>
      </x:c>
      <x:c r="K39" s="97">
        <x:v>5.8</x:v>
      </x:c>
      <x:c r="L39" s="97">
        <x:v>7.7</x:v>
      </x:c>
      <x:c r="M39" s="97">
        <x:v>3.53</x:v>
      </x:c>
      <x:c r="N39" s="97">
        <x:v>5.5</x:v>
      </x:c>
      <x:c r="O39" s="97">
        <x:v>0.85299999999999998</x:v>
      </x:c>
      <x:c r="P39" s="97">
        <x:v>0.85299999999999998</x:v>
      </x:c>
      <x:c r="Q39" s="97">
        <x:v>18</x:v>
      </x:c>
      <x:c r="R39" s="97">
        <x:v>23</x:v>
      </x:c>
      <x:c r="S39" s="97">
        <x:v>60</x:v>
      </x:c>
      <x:c r="T39" s="97">
        <x:v>3.5</x:v>
      </x:c>
      <x:c r="U39" s="22"/>
      <x:c r="V39" s="22"/>
      <x:c r="W39" s="22"/>
      <x:c r="X39" s="22"/>
      <x:c r="Y39" s="22"/>
      <x:c r="Z39" s="22"/>
      <x:c r="AA39" s="22"/>
      <x:c r="AB39" s="22"/>
      <x:c r="AC39" s="22"/>
      <x:c r="AD39" s="22"/>
      <x:c r="AE39" s="22"/>
      <x:c r="AF39" s="22"/>
      <x:c r="AG39" s="22"/>
      <x:c r="AH39" s="22"/>
      <x:c r="AI39" s="22"/>
      <x:c r="AJ39" s="22"/>
      <x:c r="AK39" s="22"/>
      <x:c r="AL39" s="56"/>
    </x:row>
    <x:row r="40" spans="2:38" ht="15.5" customHeight="1">
      <x:c r="B40" s="96" t="s">
        <x:v>435</x:v>
      </x:c>
      <x:c r="C40" s="97">
        <x:v>17</x:v>
      </x:c>
      <x:c r="D40" s="97">
        <x:v>12</x:v>
      </x:c>
      <x:c r="E40" s="97">
        <x:v>18</x:v>
      </x:c>
      <x:c r="F40" s="97" t="s">
        <x:v>245</x:v>
      </x:c>
      <x:c r="G40" s="97">
        <x:v>9.9000000000000005E-2</x:v>
      </x:c>
      <x:c r="H40" s="97">
        <x:v>9.9000000000000005E-2</x:v>
      </x:c>
      <x:c r="I40" s="97">
        <x:v>3.42</x:v>
      </x:c>
      <x:c r="J40" s="97">
        <x:v>3.8</x:v>
      </x:c>
      <x:c r="K40" s="97">
        <x:v>4.71</x:v>
      </x:c>
      <x:c r="L40" s="97">
        <x:v>6.2</x:v>
      </x:c>
      <x:c r="M40" s="97">
        <x:v>2.85</x:v>
      </x:c>
      <x:c r="N40" s="97">
        <x:v>4.7300000000000004</x:v>
      </x:c>
      <x:c r="O40" s="97">
        <x:v>1.28</x:v>
      </x:c>
      <x:c r="P40" s="97">
        <x:v>1.28</x:v>
      </x:c>
      <x:c r="Q40" s="97">
        <x:v>14</x:v>
      </x:c>
      <x:c r="R40" s="97">
        <x:v>20</x:v>
      </x:c>
      <x:c r="S40" s="97">
        <x:v>50</x:v>
      </x:c>
      <x:c r="T40" s="97">
        <x:v>2.9</x:v>
      </x:c>
      <x:c r="U40" s="22"/>
      <x:c r="V40" s="22"/>
      <x:c r="W40" s="22"/>
      <x:c r="X40" s="22"/>
      <x:c r="Y40" s="22"/>
      <x:c r="Z40" s="22"/>
      <x:c r="AA40" s="22"/>
      <x:c r="AB40" s="22"/>
      <x:c r="AC40" s="22"/>
      <x:c r="AD40" s="22"/>
      <x:c r="AE40" s="22"/>
      <x:c r="AF40" s="22"/>
      <x:c r="AG40" s="22"/>
      <x:c r="AH40" s="22"/>
      <x:c r="AI40" s="22"/>
      <x:c r="AJ40" s="22"/>
      <x:c r="AK40" s="22"/>
      <x:c r="AL40" s="56"/>
    </x:row>
    <x:row r="41" spans="2:38" ht="15.5" customHeight="1">
      <x:c r="B41" s="88"/>
      <x:c r="C41" s="89"/>
      <x:c r="D41" s="90"/>
      <x:c r="E41" s="90"/>
      <x:c r="F41" s="90"/>
      <x:c r="G41" s="91"/>
      <x:c r="H41" s="91"/>
      <x:c r="I41" s="91"/>
      <x:c r="J41" s="91"/>
      <x:c r="K41" s="89"/>
      <x:c r="L41" s="89"/>
      <x:c r="M41" s="89"/>
      <x:c r="N41" s="89"/>
      <x:c r="O41" s="89"/>
      <x:c r="P41" s="89"/>
      <x:c r="Q41" s="89"/>
      <x:c r="AF41" s="75"/>
    </x:row>
    <x:row r="42" spans="2:38" ht="15.5" customHeight="1">
      <x:c r="B42" s="88"/>
      <x:c r="C42" s="89"/>
      <x:c r="D42" s="90"/>
      <x:c r="E42" s="90"/>
      <x:c r="F42" s="90"/>
      <x:c r="G42" s="91"/>
      <x:c r="H42" s="91"/>
      <x:c r="I42" s="91"/>
      <x:c r="J42" s="91"/>
      <x:c r="K42" s="89"/>
      <x:c r="L42" s="89"/>
      <x:c r="M42" s="89"/>
      <x:c r="N42" s="89"/>
      <x:c r="O42" s="89"/>
      <x:c r="P42" s="89"/>
      <x:c r="Q42" s="89"/>
      <x:c r="AF42" s="75"/>
    </x:row>
    <x:row r="43" spans="2:38" ht="15.5">
      <x:c r="B43" s="88"/>
      <x:c r="C43" s="89"/>
      <x:c r="D43" s="90"/>
      <x:c r="E43" s="90"/>
      <x:c r="F43" s="90"/>
      <x:c r="G43" s="91"/>
      <x:c r="H43" s="91"/>
      <x:c r="I43" s="91"/>
      <x:c r="J43" s="91"/>
      <x:c r="K43" s="89"/>
      <x:c r="L43" s="89"/>
      <x:c r="M43" s="89"/>
      <x:c r="N43" s="89"/>
      <x:c r="O43" s="89"/>
      <x:c r="P43" s="89"/>
      <x:c r="Q43" s="89"/>
      <x:c r="AF43" s="75"/>
    </x:row>
    <x:row r="44" spans="2:38" ht="15.5">
      <x:c r="B44" s="88"/>
      <x:c r="C44" s="89"/>
      <x:c r="D44" s="90"/>
      <x:c r="E44" s="90"/>
      <x:c r="F44" s="90"/>
      <x:c r="G44" s="91"/>
      <x:c r="H44" s="91"/>
      <x:c r="I44" s="91"/>
      <x:c r="J44" s="91"/>
      <x:c r="K44" s="89"/>
      <x:c r="L44" s="89"/>
      <x:c r="M44" s="89"/>
      <x:c r="N44" s="89"/>
      <x:c r="O44" s="89"/>
      <x:c r="P44" s="89"/>
      <x:c r="Q44" s="89"/>
      <x:c r="AF44" s="75"/>
    </x:row>
    <x:row r="45" spans="2:38" ht="15.5">
      <x:c r="B45" s="88"/>
      <x:c r="C45" s="89"/>
      <x:c r="D45" s="90"/>
      <x:c r="E45" s="90"/>
      <x:c r="F45" s="90"/>
      <x:c r="G45" s="91"/>
      <x:c r="H45" s="91"/>
      <x:c r="I45" s="91"/>
      <x:c r="J45" s="91"/>
      <x:c r="K45" s="89"/>
      <x:c r="L45" s="89"/>
      <x:c r="M45" s="89"/>
      <x:c r="N45" s="89"/>
      <x:c r="O45" s="89"/>
      <x:c r="P45" s="89"/>
      <x:c r="Q45" s="89"/>
      <x:c r="AF45" s="75"/>
    </x:row>
    <x:row r="46" spans="2:38" ht="15.5">
      <x:c r="B46" s="88"/>
      <x:c r="C46" s="89"/>
      <x:c r="D46" s="90"/>
      <x:c r="E46" s="90"/>
      <x:c r="F46" s="90"/>
      <x:c r="G46" s="91"/>
      <x:c r="H46" s="91"/>
      <x:c r="I46" s="91"/>
      <x:c r="J46" s="91"/>
      <x:c r="K46" s="89"/>
      <x:c r="L46" s="89"/>
      <x:c r="M46" s="89"/>
      <x:c r="N46" s="89"/>
      <x:c r="O46" s="89"/>
      <x:c r="P46" s="89"/>
      <x:c r="Q46" s="89"/>
      <x:c r="AF46" s="75"/>
    </x:row>
    <x:row r="47" spans="2:38" ht="15.5">
      <x:c r="B47" s="88"/>
      <x:c r="C47" s="89"/>
      <x:c r="D47" s="90"/>
      <x:c r="E47" s="90"/>
      <x:c r="F47" s="90"/>
      <x:c r="G47" s="91"/>
      <x:c r="H47" s="91"/>
      <x:c r="I47" s="91"/>
      <x:c r="J47" s="91"/>
      <x:c r="K47" s="89"/>
      <x:c r="L47" s="89"/>
      <x:c r="M47" s="89"/>
      <x:c r="N47" s="89"/>
      <x:c r="O47" s="89"/>
      <x:c r="P47" s="89"/>
      <x:c r="Q47" s="89"/>
      <x:c r="AF47" s="75"/>
    </x:row>
    <x:row r="48" spans="2:38" ht="15.5">
      <x:c r="B48" s="88"/>
      <x:c r="C48" s="89"/>
      <x:c r="D48" s="90"/>
      <x:c r="E48" s="90"/>
      <x:c r="F48" s="90"/>
      <x:c r="G48" s="91"/>
      <x:c r="H48" s="91"/>
      <x:c r="I48" s="91"/>
      <x:c r="J48" s="91"/>
      <x:c r="K48" s="89"/>
      <x:c r="L48" s="89"/>
      <x:c r="M48" s="89"/>
      <x:c r="N48" s="89"/>
      <x:c r="O48" s="89"/>
      <x:c r="P48" s="89"/>
      <x:c r="Q48" s="89"/>
      <x:c r="AF48" s="75"/>
    </x:row>
    <x:row r="49" spans="2:32" ht="15.5">
      <x:c r="B49" s="88"/>
      <x:c r="C49" s="89"/>
      <x:c r="D49" s="90"/>
      <x:c r="E49" s="90"/>
      <x:c r="F49" s="90"/>
      <x:c r="G49" s="91"/>
      <x:c r="H49" s="91"/>
      <x:c r="I49" s="91"/>
      <x:c r="J49" s="91"/>
      <x:c r="K49" s="89"/>
      <x:c r="L49" s="89"/>
      <x:c r="M49" s="89"/>
      <x:c r="N49" s="89"/>
      <x:c r="O49" s="89"/>
      <x:c r="P49" s="89"/>
      <x:c r="Q49" s="89"/>
      <x:c r="AF49" s="75"/>
    </x:row>
    <x:row r="50" spans="2:32" ht="15.5">
      <x:c r="B50" s="88"/>
      <x:c r="C50" s="89"/>
      <x:c r="D50" s="90"/>
      <x:c r="E50" s="90"/>
      <x:c r="F50" s="90"/>
      <x:c r="G50" s="91"/>
      <x:c r="H50" s="91"/>
      <x:c r="I50" s="91"/>
      <x:c r="J50" s="91"/>
      <x:c r="K50" s="89"/>
      <x:c r="L50" s="89"/>
      <x:c r="M50" s="89"/>
      <x:c r="N50" s="89"/>
      <x:c r="O50" s="89"/>
      <x:c r="P50" s="89"/>
      <x:c r="Q50" s="89"/>
      <x:c r="AF50" s="75"/>
    </x:row>
    <x:row r="51" spans="2:32" ht="15.5">
      <x:c r="B51" s="88"/>
      <x:c r="C51" s="89"/>
      <x:c r="D51" s="90"/>
      <x:c r="E51" s="90"/>
      <x:c r="F51" s="90"/>
      <x:c r="G51" s="91"/>
      <x:c r="H51" s="91"/>
      <x:c r="I51" s="91"/>
      <x:c r="J51" s="91"/>
      <x:c r="K51" s="89"/>
      <x:c r="L51" s="89"/>
      <x:c r="M51" s="89"/>
      <x:c r="N51" s="89"/>
      <x:c r="O51" s="89"/>
      <x:c r="P51" s="89"/>
      <x:c r="Q51" s="89"/>
      <x:c r="AF51" s="75"/>
    </x:row>
    <x:row r="52" spans="2:32" ht="15.5">
      <x:c r="B52" s="88"/>
      <x:c r="C52" s="89"/>
      <x:c r="D52" s="90"/>
      <x:c r="E52" s="90"/>
      <x:c r="F52" s="90"/>
      <x:c r="G52" s="91"/>
      <x:c r="H52" s="91"/>
      <x:c r="I52" s="91"/>
      <x:c r="J52" s="91"/>
      <x:c r="K52" s="89"/>
      <x:c r="L52" s="89"/>
      <x:c r="M52" s="89"/>
      <x:c r="N52" s="89"/>
      <x:c r="O52" s="89"/>
      <x:c r="P52" s="89"/>
      <x:c r="Q52" s="89"/>
      <x:c r="AF52" s="75"/>
    </x:row>
    <x:row r="53" spans="2:32" ht="15.5">
      <x:c r="B53" s="88"/>
      <x:c r="C53" s="89"/>
      <x:c r="D53" s="90"/>
      <x:c r="E53" s="90"/>
      <x:c r="F53" s="90"/>
      <x:c r="G53" s="91"/>
      <x:c r="H53" s="91"/>
      <x:c r="I53" s="91"/>
      <x:c r="J53" s="91"/>
      <x:c r="K53" s="89"/>
      <x:c r="L53" s="89"/>
      <x:c r="M53" s="89"/>
      <x:c r="N53" s="89"/>
      <x:c r="O53" s="89"/>
      <x:c r="P53" s="89"/>
      <x:c r="Q53" s="89"/>
      <x:c r="AF53" s="75"/>
    </x:row>
    <x:row r="54" spans="2:32" ht="15.5">
      <x:c r="B54" s="88"/>
      <x:c r="C54" s="89"/>
      <x:c r="D54" s="90"/>
      <x:c r="E54" s="90"/>
      <x:c r="F54" s="90"/>
      <x:c r="G54" s="91"/>
      <x:c r="H54" s="91"/>
      <x:c r="I54" s="91"/>
      <x:c r="J54" s="91"/>
      <x:c r="K54" s="89"/>
      <x:c r="L54" s="89"/>
      <x:c r="M54" s="89"/>
      <x:c r="N54" s="89"/>
      <x:c r="O54" s="89"/>
      <x:c r="P54" s="89"/>
      <x:c r="Q54" s="89"/>
      <x:c r="AF54" s="75"/>
    </x:row>
    <x:row r="55" spans="2:32" ht="15.5">
      <x:c r="B55" s="88"/>
      <x:c r="C55" s="89"/>
      <x:c r="D55" s="90"/>
      <x:c r="E55" s="90"/>
      <x:c r="F55" s="90"/>
      <x:c r="G55" s="91"/>
      <x:c r="H55" s="91"/>
      <x:c r="I55" s="91"/>
      <x:c r="J55" s="91"/>
      <x:c r="K55" s="89"/>
      <x:c r="L55" s="89"/>
      <x:c r="M55" s="89"/>
      <x:c r="N55" s="89"/>
      <x:c r="O55" s="89"/>
      <x:c r="P55" s="89"/>
      <x:c r="Q55" s="89"/>
      <x:c r="AF55" s="75"/>
    </x:row>
    <x:row r="56" spans="2:32" ht="15.5">
      <x:c r="B56" s="88"/>
      <x:c r="C56" s="89"/>
      <x:c r="D56" s="90"/>
      <x:c r="E56" s="90"/>
      <x:c r="F56" s="90"/>
      <x:c r="G56" s="91"/>
      <x:c r="H56" s="91"/>
      <x:c r="I56" s="91"/>
      <x:c r="J56" s="91"/>
      <x:c r="K56" s="89"/>
      <x:c r="L56" s="89"/>
      <x:c r="M56" s="89"/>
      <x:c r="N56" s="89"/>
      <x:c r="O56" s="89"/>
      <x:c r="P56" s="89"/>
      <x:c r="Q56" s="89"/>
      <x:c r="AF56" s="75"/>
    </x:row>
    <x:row r="57" spans="2:32" ht="15.5">
      <x:c r="B57" s="88"/>
      <x:c r="C57" s="89"/>
      <x:c r="D57" s="90"/>
      <x:c r="E57" s="90"/>
      <x:c r="F57" s="90"/>
      <x:c r="G57" s="91"/>
      <x:c r="H57" s="91"/>
      <x:c r="I57" s="91"/>
      <x:c r="J57" s="91"/>
      <x:c r="K57" s="89"/>
      <x:c r="L57" s="89"/>
      <x:c r="M57" s="89"/>
      <x:c r="N57" s="89"/>
      <x:c r="O57" s="89"/>
      <x:c r="P57" s="89"/>
      <x:c r="Q57" s="89"/>
      <x:c r="AF57" s="75"/>
    </x:row>
    <x:row r="58" spans="2:32" ht="15.5">
      <x:c r="B58" s="88"/>
      <x:c r="C58" s="89"/>
      <x:c r="D58" s="90"/>
      <x:c r="E58" s="90"/>
      <x:c r="F58" s="90"/>
      <x:c r="G58" s="91"/>
      <x:c r="H58" s="91"/>
      <x:c r="I58" s="91"/>
      <x:c r="J58" s="91"/>
      <x:c r="K58" s="89"/>
      <x:c r="L58" s="89"/>
      <x:c r="M58" s="89"/>
      <x:c r="N58" s="89"/>
      <x:c r="O58" s="89"/>
      <x:c r="P58" s="89"/>
      <x:c r="Q58" s="89"/>
      <x:c r="AF58" s="75"/>
    </x:row>
    <x:row r="59" spans="2:32" ht="15.5">
      <x:c r="B59" s="88"/>
      <x:c r="C59" s="89"/>
      <x:c r="D59" s="90"/>
      <x:c r="E59" s="90"/>
      <x:c r="F59" s="90"/>
      <x:c r="G59" s="91"/>
      <x:c r="H59" s="91"/>
      <x:c r="I59" s="91"/>
      <x:c r="J59" s="91"/>
      <x:c r="K59" s="89"/>
      <x:c r="L59" s="89"/>
      <x:c r="M59" s="89"/>
      <x:c r="N59" s="89"/>
      <x:c r="O59" s="89"/>
      <x:c r="P59" s="89"/>
      <x:c r="Q59" s="89"/>
      <x:c r="AF59" s="75"/>
    </x:row>
    <x:row r="60" spans="2:32" ht="15.5">
      <x:c r="B60" s="88"/>
      <x:c r="C60" s="89"/>
      <x:c r="D60" s="90"/>
      <x:c r="E60" s="90"/>
      <x:c r="F60" s="90"/>
      <x:c r="G60" s="91"/>
      <x:c r="H60" s="91"/>
      <x:c r="I60" s="91"/>
      <x:c r="J60" s="91"/>
      <x:c r="K60" s="89"/>
      <x:c r="L60" s="89"/>
      <x:c r="M60" s="89"/>
      <x:c r="N60" s="89"/>
      <x:c r="O60" s="89"/>
      <x:c r="P60" s="89"/>
      <x:c r="Q60" s="89"/>
      <x:c r="AF60" s="75"/>
    </x:row>
    <x:row r="61" spans="2:32" ht="15.5">
      <x:c r="B61" s="88"/>
      <x:c r="C61" s="89"/>
      <x:c r="D61" s="90"/>
      <x:c r="E61" s="90"/>
      <x:c r="F61" s="90"/>
      <x:c r="G61" s="91"/>
      <x:c r="H61" s="91"/>
      <x:c r="I61" s="91"/>
      <x:c r="J61" s="91"/>
      <x:c r="K61" s="89"/>
      <x:c r="L61" s="89"/>
      <x:c r="M61" s="89"/>
      <x:c r="N61" s="89"/>
      <x:c r="O61" s="89"/>
      <x:c r="P61" s="89"/>
      <x:c r="Q61" s="89"/>
      <x:c r="AF61" s="75"/>
    </x:row>
    <x:row r="62" spans="2:32" ht="15.5">
      <x:c r="B62" s="88"/>
      <x:c r="C62" s="89"/>
      <x:c r="D62" s="90"/>
      <x:c r="E62" s="90"/>
      <x:c r="F62" s="90"/>
      <x:c r="G62" s="91"/>
      <x:c r="H62" s="91"/>
      <x:c r="I62" s="91"/>
      <x:c r="J62" s="91"/>
      <x:c r="K62" s="89"/>
      <x:c r="L62" s="89"/>
      <x:c r="M62" s="89"/>
      <x:c r="N62" s="89"/>
      <x:c r="O62" s="89"/>
      <x:c r="P62" s="89"/>
      <x:c r="Q62" s="89"/>
      <x:c r="AF62" s="75"/>
    </x:row>
    <x:row r="63" spans="2:32" ht="15.5">
      <x:c r="B63" s="88"/>
      <x:c r="C63" s="89"/>
      <x:c r="D63" s="90"/>
      <x:c r="E63" s="90"/>
      <x:c r="F63" s="90"/>
      <x:c r="G63" s="91"/>
      <x:c r="H63" s="91"/>
      <x:c r="I63" s="91"/>
      <x:c r="J63" s="91"/>
      <x:c r="K63" s="89"/>
      <x:c r="L63" s="89"/>
      <x:c r="M63" s="89"/>
      <x:c r="N63" s="89"/>
      <x:c r="O63" s="89"/>
      <x:c r="P63" s="89"/>
      <x:c r="Q63" s="89"/>
      <x:c r="AF63" s="75"/>
    </x:row>
    <x:row r="64" spans="2:32" ht="15.5">
      <x:c r="B64" s="88"/>
      <x:c r="C64" s="89"/>
      <x:c r="D64" s="90"/>
      <x:c r="E64" s="90"/>
      <x:c r="F64" s="90"/>
      <x:c r="G64" s="91"/>
      <x:c r="H64" s="91"/>
      <x:c r="I64" s="91"/>
      <x:c r="J64" s="91"/>
      <x:c r="K64" s="89"/>
      <x:c r="L64" s="89"/>
      <x:c r="M64" s="89"/>
      <x:c r="N64" s="89"/>
      <x:c r="O64" s="89"/>
      <x:c r="P64" s="89"/>
      <x:c r="Q64" s="89"/>
      <x:c r="AF64" s="75"/>
    </x:row>
    <x:row r="65" spans="2:32" ht="15.5">
      <x:c r="B65" s="88"/>
      <x:c r="C65" s="89"/>
      <x:c r="D65" s="90"/>
      <x:c r="E65" s="90"/>
      <x:c r="F65" s="90"/>
      <x:c r="G65" s="91"/>
      <x:c r="H65" s="91"/>
      <x:c r="I65" s="91"/>
      <x:c r="J65" s="91"/>
      <x:c r="K65" s="89"/>
      <x:c r="L65" s="89"/>
      <x:c r="M65" s="89"/>
      <x:c r="N65" s="89"/>
      <x:c r="O65" s="89"/>
      <x:c r="P65" s="89"/>
      <x:c r="Q65" s="89"/>
      <x:c r="AF65" s="75"/>
    </x:row>
    <x:row r="66" spans="2:32" ht="15.5">
      <x:c r="B66" s="88"/>
      <x:c r="C66" s="89"/>
      <x:c r="D66" s="90"/>
      <x:c r="E66" s="90"/>
      <x:c r="F66" s="90"/>
      <x:c r="G66" s="91"/>
      <x:c r="H66" s="91"/>
      <x:c r="I66" s="91"/>
      <x:c r="J66" s="91"/>
      <x:c r="K66" s="89"/>
      <x:c r="L66" s="89"/>
      <x:c r="M66" s="89"/>
      <x:c r="N66" s="89"/>
      <x:c r="O66" s="89"/>
      <x:c r="P66" s="89"/>
      <x:c r="Q66" s="89"/>
      <x:c r="AF66" s="75"/>
    </x:row>
    <x:row r="67" spans="2:32" ht="15.5">
      <x:c r="B67" s="88"/>
      <x:c r="C67" s="89"/>
      <x:c r="D67" s="90"/>
      <x:c r="E67" s="90"/>
      <x:c r="F67" s="90"/>
      <x:c r="G67" s="91"/>
      <x:c r="H67" s="91"/>
      <x:c r="I67" s="91"/>
      <x:c r="J67" s="91"/>
      <x:c r="K67" s="89"/>
      <x:c r="L67" s="89"/>
      <x:c r="M67" s="89"/>
      <x:c r="N67" s="89"/>
      <x:c r="O67" s="89"/>
      <x:c r="P67" s="89"/>
      <x:c r="Q67" s="89"/>
      <x:c r="AF67" s="75"/>
    </x:row>
    <x:row r="68" spans="2:32" ht="15.5">
      <x:c r="B68" s="88"/>
      <x:c r="C68" s="89"/>
      <x:c r="D68" s="90"/>
      <x:c r="E68" s="90"/>
      <x:c r="F68" s="90"/>
      <x:c r="G68" s="91"/>
      <x:c r="H68" s="91"/>
      <x:c r="I68" s="91"/>
      <x:c r="J68" s="91"/>
      <x:c r="K68" s="89"/>
      <x:c r="L68" s="89"/>
      <x:c r="M68" s="89"/>
      <x:c r="N68" s="89"/>
      <x:c r="O68" s="89"/>
      <x:c r="P68" s="89"/>
      <x:c r="Q68" s="89"/>
      <x:c r="AF68" s="75"/>
    </x:row>
    <x:row r="69" spans="2:32" ht="15.5">
      <x:c r="B69" s="88"/>
      <x:c r="C69" s="89"/>
      <x:c r="D69" s="90"/>
      <x:c r="E69" s="90"/>
      <x:c r="F69" s="90"/>
      <x:c r="G69" s="91"/>
      <x:c r="H69" s="91"/>
      <x:c r="I69" s="91"/>
      <x:c r="J69" s="91"/>
      <x:c r="K69" s="89"/>
      <x:c r="L69" s="89"/>
      <x:c r="M69" s="89"/>
      <x:c r="N69" s="89"/>
      <x:c r="O69" s="89"/>
      <x:c r="P69" s="89"/>
      <x:c r="Q69" s="89"/>
      <x:c r="AF69" s="75"/>
    </x:row>
    <x:row r="70" spans="2:32" ht="15.5">
      <x:c r="B70" s="88"/>
      <x:c r="C70" s="89"/>
      <x:c r="D70" s="90"/>
      <x:c r="E70" s="90"/>
      <x:c r="F70" s="90"/>
      <x:c r="G70" s="91"/>
      <x:c r="H70" s="91"/>
      <x:c r="I70" s="91"/>
      <x:c r="J70" s="91"/>
      <x:c r="K70" s="89"/>
      <x:c r="L70" s="89"/>
      <x:c r="M70" s="89"/>
      <x:c r="N70" s="89"/>
      <x:c r="O70" s="89"/>
      <x:c r="P70" s="89"/>
      <x:c r="Q70" s="89"/>
      <x:c r="AF70" s="75"/>
    </x:row>
    <x:row r="71" spans="2:32" ht="15.5">
      <x:c r="B71" s="88"/>
      <x:c r="C71" s="89"/>
      <x:c r="D71" s="90"/>
      <x:c r="E71" s="90"/>
      <x:c r="F71" s="90"/>
      <x:c r="G71" s="91"/>
      <x:c r="H71" s="91"/>
      <x:c r="I71" s="91"/>
      <x:c r="J71" s="91"/>
      <x:c r="K71" s="89"/>
      <x:c r="L71" s="89"/>
      <x:c r="M71" s="89"/>
      <x:c r="N71" s="89"/>
      <x:c r="O71" s="89"/>
      <x:c r="P71" s="89"/>
      <x:c r="Q71" s="89"/>
      <x:c r="AF71" s="75"/>
    </x:row>
    <x:row r="72" spans="2:32" ht="15.5">
      <x:c r="B72" s="88"/>
      <x:c r="C72" s="89"/>
      <x:c r="D72" s="90"/>
      <x:c r="E72" s="90"/>
      <x:c r="F72" s="90"/>
      <x:c r="G72" s="91"/>
      <x:c r="H72" s="91"/>
      <x:c r="I72" s="91"/>
      <x:c r="J72" s="91"/>
      <x:c r="K72" s="89"/>
      <x:c r="L72" s="89"/>
      <x:c r="M72" s="89"/>
      <x:c r="N72" s="89"/>
      <x:c r="O72" s="89"/>
      <x:c r="P72" s="89"/>
      <x:c r="Q72" s="89"/>
      <x:c r="AF72" s="75"/>
    </x:row>
    <x:row r="73" spans="2:32" ht="15.5">
      <x:c r="B73" s="88"/>
      <x:c r="C73" s="89"/>
      <x:c r="D73" s="90"/>
      <x:c r="E73" s="90"/>
      <x:c r="F73" s="90"/>
      <x:c r="G73" s="91"/>
      <x:c r="H73" s="91"/>
      <x:c r="I73" s="91"/>
      <x:c r="J73" s="91"/>
      <x:c r="K73" s="89"/>
      <x:c r="L73" s="89"/>
      <x:c r="M73" s="89"/>
      <x:c r="N73" s="89"/>
      <x:c r="O73" s="89"/>
      <x:c r="P73" s="89"/>
      <x:c r="Q73" s="89"/>
      <x:c r="AF73" s="75"/>
    </x:row>
    <x:row r="74" spans="2:32" ht="15.5">
      <x:c r="B74" s="88"/>
      <x:c r="C74" s="89"/>
      <x:c r="D74" s="90"/>
      <x:c r="E74" s="90"/>
      <x:c r="F74" s="90"/>
      <x:c r="G74" s="91"/>
      <x:c r="H74" s="91"/>
      <x:c r="I74" s="91"/>
      <x:c r="J74" s="91"/>
      <x:c r="K74" s="89"/>
      <x:c r="L74" s="89"/>
      <x:c r="M74" s="89"/>
      <x:c r="N74" s="89"/>
      <x:c r="O74" s="89"/>
      <x:c r="P74" s="89"/>
      <x:c r="Q74" s="89"/>
      <x:c r="AF74" s="75"/>
    </x:row>
    <x:row r="75" spans="2:32" ht="15.5">
      <x:c r="B75" s="88"/>
      <x:c r="C75" s="89"/>
      <x:c r="D75" s="90"/>
      <x:c r="E75" s="90"/>
      <x:c r="F75" s="90"/>
      <x:c r="G75" s="91"/>
      <x:c r="H75" s="91"/>
      <x:c r="I75" s="91"/>
      <x:c r="J75" s="91"/>
      <x:c r="K75" s="89"/>
      <x:c r="L75" s="89"/>
      <x:c r="M75" s="89"/>
      <x:c r="N75" s="89"/>
      <x:c r="O75" s="89"/>
      <x:c r="P75" s="89"/>
      <x:c r="Q75" s="89"/>
      <x:c r="AF75" s="75"/>
    </x:row>
    <x:row r="76" spans="2:32" ht="15.5">
      <x:c r="B76" s="88"/>
      <x:c r="C76" s="89"/>
      <x:c r="D76" s="90"/>
      <x:c r="E76" s="90"/>
      <x:c r="F76" s="90"/>
      <x:c r="G76" s="91"/>
      <x:c r="H76" s="91"/>
      <x:c r="I76" s="91"/>
      <x:c r="J76" s="91"/>
      <x:c r="K76" s="89"/>
      <x:c r="L76" s="89"/>
      <x:c r="M76" s="89"/>
      <x:c r="N76" s="89"/>
      <x:c r="O76" s="89"/>
      <x:c r="P76" s="89"/>
      <x:c r="Q76" s="89"/>
      <x:c r="AF76" s="75"/>
    </x:row>
    <x:row r="77" spans="2:32" ht="15.5">
      <x:c r="B77" s="88"/>
      <x:c r="C77" s="89"/>
      <x:c r="D77" s="90"/>
      <x:c r="E77" s="90"/>
      <x:c r="F77" s="90"/>
      <x:c r="G77" s="91"/>
      <x:c r="H77" s="91"/>
      <x:c r="I77" s="91"/>
      <x:c r="J77" s="91"/>
      <x:c r="K77" s="89"/>
      <x:c r="L77" s="89"/>
      <x:c r="M77" s="89"/>
      <x:c r="N77" s="89"/>
      <x:c r="O77" s="89"/>
      <x:c r="P77" s="89"/>
      <x:c r="Q77" s="89"/>
      <x:c r="AF77" s="75"/>
    </x:row>
    <x:row r="78" spans="2:32" ht="15.5">
      <x:c r="B78" s="88"/>
      <x:c r="C78" s="89"/>
      <x:c r="D78" s="90"/>
      <x:c r="E78" s="90"/>
      <x:c r="F78" s="90"/>
      <x:c r="G78" s="91"/>
      <x:c r="H78" s="91"/>
      <x:c r="I78" s="91"/>
      <x:c r="J78" s="91"/>
      <x:c r="K78" s="89"/>
      <x:c r="L78" s="89"/>
      <x:c r="M78" s="89"/>
      <x:c r="N78" s="89"/>
      <x:c r="O78" s="89"/>
      <x:c r="P78" s="89"/>
      <x:c r="Q78" s="89"/>
      <x:c r="AF78" s="75"/>
    </x:row>
    <x:row r="79" spans="2:32" ht="15.5">
      <x:c r="B79" s="88"/>
      <x:c r="C79" s="89"/>
      <x:c r="D79" s="90"/>
      <x:c r="E79" s="90"/>
      <x:c r="F79" s="90"/>
      <x:c r="G79" s="91"/>
      <x:c r="H79" s="91"/>
      <x:c r="I79" s="91"/>
      <x:c r="J79" s="91"/>
      <x:c r="K79" s="89"/>
      <x:c r="L79" s="89"/>
      <x:c r="M79" s="89"/>
      <x:c r="N79" s="89"/>
      <x:c r="O79" s="89"/>
      <x:c r="P79" s="89"/>
      <x:c r="Q79" s="89"/>
      <x:c r="AF79" s="75"/>
    </x:row>
    <x:row r="80" spans="2:32" ht="15.5">
      <x:c r="B80" s="88"/>
      <x:c r="C80" s="89"/>
      <x:c r="D80" s="90"/>
      <x:c r="E80" s="90"/>
      <x:c r="F80" s="90"/>
      <x:c r="G80" s="91"/>
      <x:c r="H80" s="91"/>
      <x:c r="I80" s="91"/>
      <x:c r="J80" s="91"/>
      <x:c r="K80" s="89"/>
      <x:c r="L80" s="89"/>
      <x:c r="M80" s="89"/>
      <x:c r="N80" s="89"/>
      <x:c r="O80" s="89"/>
      <x:c r="P80" s="89"/>
      <x:c r="Q80" s="89"/>
      <x:c r="AF80" s="75"/>
    </x:row>
    <x:row r="81" spans="2:32" ht="15.5">
      <x:c r="B81" s="88"/>
      <x:c r="C81" s="89"/>
      <x:c r="D81" s="90"/>
      <x:c r="E81" s="90"/>
      <x:c r="F81" s="90"/>
      <x:c r="G81" s="91"/>
      <x:c r="H81" s="91"/>
      <x:c r="I81" s="91"/>
      <x:c r="J81" s="91"/>
      <x:c r="K81" s="89"/>
      <x:c r="L81" s="89"/>
      <x:c r="M81" s="89"/>
      <x:c r="N81" s="89"/>
      <x:c r="O81" s="89"/>
      <x:c r="P81" s="89"/>
      <x:c r="Q81" s="89"/>
      <x:c r="AF81" s="75"/>
    </x:row>
    <x:row r="82" spans="2:32" ht="15.5">
      <x:c r="B82" s="88"/>
      <x:c r="C82" s="89"/>
      <x:c r="D82" s="90"/>
      <x:c r="E82" s="90"/>
      <x:c r="F82" s="90"/>
      <x:c r="G82" s="91"/>
      <x:c r="H82" s="91"/>
      <x:c r="I82" s="91"/>
      <x:c r="J82" s="91"/>
      <x:c r="K82" s="89"/>
      <x:c r="L82" s="89"/>
      <x:c r="M82" s="89"/>
      <x:c r="N82" s="89"/>
      <x:c r="O82" s="89"/>
      <x:c r="P82" s="89"/>
      <x:c r="Q82" s="89"/>
      <x:c r="AF82" s="75"/>
    </x:row>
    <x:row r="83" spans="2:32" ht="15.5">
      <x:c r="B83" s="88"/>
      <x:c r="C83" s="89"/>
      <x:c r="D83" s="90"/>
      <x:c r="E83" s="90"/>
      <x:c r="F83" s="90"/>
      <x:c r="G83" s="91"/>
      <x:c r="H83" s="91"/>
      <x:c r="I83" s="91"/>
      <x:c r="J83" s="91"/>
      <x:c r="K83" s="89"/>
      <x:c r="L83" s="89"/>
      <x:c r="M83" s="89"/>
      <x:c r="N83" s="89"/>
      <x:c r="O83" s="89"/>
      <x:c r="P83" s="89"/>
      <x:c r="Q83" s="89"/>
      <x:c r="AF83" s="75"/>
    </x:row>
    <x:row r="84" spans="2:32" ht="15.5">
      <x:c r="B84" s="88"/>
      <x:c r="C84" s="89"/>
      <x:c r="D84" s="90"/>
      <x:c r="E84" s="90"/>
      <x:c r="F84" s="90"/>
      <x:c r="G84" s="91"/>
      <x:c r="H84" s="91"/>
      <x:c r="I84" s="91"/>
      <x:c r="J84" s="91"/>
      <x:c r="K84" s="89"/>
      <x:c r="L84" s="89"/>
      <x:c r="M84" s="89"/>
      <x:c r="N84" s="89"/>
      <x:c r="O84" s="89"/>
      <x:c r="P84" s="89"/>
      <x:c r="Q84" s="89"/>
      <x:c r="AF84" s="75"/>
    </x:row>
    <x:row r="85" spans="2:32" ht="15.5">
      <x:c r="B85" s="88"/>
      <x:c r="C85" s="89"/>
      <x:c r="D85" s="90"/>
      <x:c r="E85" s="90"/>
      <x:c r="F85" s="90"/>
      <x:c r="G85" s="91"/>
      <x:c r="H85" s="91"/>
      <x:c r="I85" s="91"/>
      <x:c r="J85" s="91"/>
      <x:c r="K85" s="89"/>
      <x:c r="L85" s="89"/>
      <x:c r="M85" s="89"/>
      <x:c r="N85" s="89"/>
      <x:c r="O85" s="89"/>
      <x:c r="P85" s="89"/>
      <x:c r="Q85" s="89"/>
      <x:c r="AF85" s="75"/>
    </x:row>
    <x:row r="86" spans="2:32" ht="15.5">
      <x:c r="B86" s="88"/>
      <x:c r="C86" s="89"/>
      <x:c r="D86" s="90"/>
      <x:c r="E86" s="90"/>
      <x:c r="F86" s="90"/>
      <x:c r="G86" s="91"/>
      <x:c r="H86" s="91"/>
      <x:c r="I86" s="91"/>
      <x:c r="J86" s="91"/>
      <x:c r="K86" s="89"/>
      <x:c r="L86" s="89"/>
      <x:c r="M86" s="89"/>
      <x:c r="N86" s="89"/>
      <x:c r="O86" s="89"/>
      <x:c r="P86" s="89"/>
      <x:c r="Q86" s="89"/>
      <x:c r="AF86" s="75"/>
    </x:row>
    <x:row r="87" spans="2:32" ht="15.5">
      <x:c r="B87" s="88"/>
      <x:c r="C87" s="89"/>
      <x:c r="D87" s="90"/>
      <x:c r="E87" s="90"/>
      <x:c r="F87" s="90"/>
      <x:c r="G87" s="91"/>
      <x:c r="H87" s="91"/>
      <x:c r="I87" s="91"/>
      <x:c r="J87" s="91"/>
      <x:c r="K87" s="89"/>
      <x:c r="L87" s="89"/>
      <x:c r="M87" s="89"/>
      <x:c r="N87" s="89"/>
      <x:c r="O87" s="89"/>
      <x:c r="P87" s="89"/>
      <x:c r="Q87" s="89"/>
      <x:c r="AF87" s="75"/>
    </x:row>
    <x:row r="88" spans="2:32" ht="15.5">
      <x:c r="B88" s="88"/>
      <x:c r="C88" s="89"/>
      <x:c r="D88" s="90"/>
      <x:c r="E88" s="90"/>
      <x:c r="F88" s="90"/>
      <x:c r="G88" s="91"/>
      <x:c r="H88" s="91"/>
      <x:c r="I88" s="91"/>
      <x:c r="J88" s="91"/>
      <x:c r="K88" s="89"/>
      <x:c r="L88" s="89"/>
      <x:c r="M88" s="89"/>
      <x:c r="N88" s="89"/>
      <x:c r="O88" s="89"/>
      <x:c r="P88" s="89"/>
      <x:c r="Q88" s="89"/>
      <x:c r="AF88" s="75"/>
    </x:row>
    <x:row r="89" spans="2:32" ht="15.5">
      <x:c r="B89" s="88"/>
      <x:c r="C89" s="89"/>
      <x:c r="D89" s="90"/>
      <x:c r="E89" s="90"/>
      <x:c r="F89" s="90"/>
      <x:c r="G89" s="91"/>
      <x:c r="H89" s="91"/>
      <x:c r="I89" s="91"/>
      <x:c r="J89" s="91"/>
      <x:c r="K89" s="89"/>
      <x:c r="L89" s="89"/>
      <x:c r="M89" s="89"/>
      <x:c r="N89" s="89"/>
      <x:c r="O89" s="89"/>
      <x:c r="P89" s="89"/>
      <x:c r="Q89" s="89"/>
      <x:c r="AF89" s="75"/>
    </x:row>
    <x:row r="90" spans="2:32" ht="15.5">
      <x:c r="B90" s="88"/>
      <x:c r="C90" s="89"/>
      <x:c r="D90" s="90"/>
      <x:c r="E90" s="90"/>
      <x:c r="F90" s="90"/>
      <x:c r="G90" s="91"/>
      <x:c r="H90" s="91"/>
      <x:c r="I90" s="91"/>
      <x:c r="J90" s="91"/>
      <x:c r="K90" s="89"/>
      <x:c r="L90" s="89"/>
      <x:c r="M90" s="89"/>
      <x:c r="N90" s="89"/>
      <x:c r="O90" s="89"/>
      <x:c r="P90" s="89"/>
      <x:c r="Q90" s="89"/>
      <x:c r="AF90" s="75"/>
    </x:row>
    <x:row r="91" spans="2:32" ht="15.5">
      <x:c r="B91" s="88"/>
      <x:c r="C91" s="89"/>
      <x:c r="D91" s="90"/>
      <x:c r="E91" s="90"/>
      <x:c r="F91" s="90"/>
      <x:c r="G91" s="91"/>
      <x:c r="H91" s="91"/>
      <x:c r="I91" s="91"/>
      <x:c r="J91" s="91"/>
      <x:c r="K91" s="89"/>
      <x:c r="L91" s="89"/>
      <x:c r="M91" s="89"/>
      <x:c r="N91" s="89"/>
      <x:c r="O91" s="89"/>
      <x:c r="P91" s="89"/>
      <x:c r="Q91" s="89"/>
      <x:c r="AF91" s="75"/>
    </x:row>
    <x:row r="92" spans="2:32" ht="15.5">
      <x:c r="B92" s="88"/>
      <x:c r="C92" s="89"/>
      <x:c r="D92" s="90"/>
      <x:c r="E92" s="90"/>
      <x:c r="F92" s="90"/>
      <x:c r="G92" s="91"/>
      <x:c r="H92" s="91"/>
      <x:c r="I92" s="91"/>
      <x:c r="J92" s="91"/>
      <x:c r="K92" s="89"/>
      <x:c r="L92" s="89"/>
      <x:c r="M92" s="89"/>
      <x:c r="N92" s="89"/>
      <x:c r="O92" s="89"/>
      <x:c r="P92" s="89"/>
      <x:c r="Q92" s="89"/>
      <x:c r="AF92" s="75"/>
    </x:row>
    <x:row r="93" spans="2:32" ht="15.5">
      <x:c r="B93" s="88"/>
      <x:c r="C93" s="89"/>
      <x:c r="D93" s="90"/>
      <x:c r="E93" s="90"/>
      <x:c r="F93" s="90"/>
      <x:c r="G93" s="91"/>
      <x:c r="H93" s="91"/>
      <x:c r="I93" s="91"/>
      <x:c r="J93" s="91"/>
      <x:c r="K93" s="89"/>
      <x:c r="L93" s="89"/>
      <x:c r="M93" s="89"/>
      <x:c r="N93" s="89"/>
      <x:c r="O93" s="89"/>
      <x:c r="P93" s="89"/>
      <x:c r="Q93" s="89"/>
      <x:c r="AF93" s="75"/>
    </x:row>
    <x:row r="94" spans="2:32" ht="15.5">
      <x:c r="B94" s="88"/>
      <x:c r="C94" s="89"/>
      <x:c r="D94" s="90"/>
      <x:c r="E94" s="90"/>
      <x:c r="F94" s="90"/>
      <x:c r="G94" s="91"/>
      <x:c r="H94" s="91"/>
      <x:c r="I94" s="91"/>
      <x:c r="J94" s="91"/>
      <x:c r="K94" s="89"/>
      <x:c r="L94" s="89"/>
      <x:c r="M94" s="89"/>
      <x:c r="N94" s="89"/>
      <x:c r="O94" s="89"/>
      <x:c r="P94" s="89"/>
      <x:c r="Q94" s="89"/>
      <x:c r="AF94" s="75"/>
    </x:row>
    <x:row r="95" spans="2:32" ht="15.5">
      <x:c r="B95" s="88"/>
      <x:c r="C95" s="89"/>
      <x:c r="D95" s="90"/>
      <x:c r="E95" s="90"/>
      <x:c r="F95" s="90"/>
      <x:c r="G95" s="91"/>
      <x:c r="H95" s="91"/>
      <x:c r="I95" s="91"/>
      <x:c r="J95" s="91"/>
      <x:c r="K95" s="89"/>
      <x:c r="L95" s="89"/>
      <x:c r="M95" s="89"/>
      <x:c r="N95" s="89"/>
      <x:c r="O95" s="89"/>
      <x:c r="P95" s="89"/>
      <x:c r="Q95" s="89"/>
      <x:c r="AF95" s="75"/>
    </x:row>
    <x:row r="96" spans="2:32" ht="15.5">
      <x:c r="B96" s="88"/>
      <x:c r="C96" s="89"/>
      <x:c r="D96" s="90"/>
      <x:c r="E96" s="90"/>
      <x:c r="F96" s="90"/>
      <x:c r="G96" s="91"/>
      <x:c r="H96" s="91"/>
      <x:c r="I96" s="91"/>
      <x:c r="J96" s="91"/>
      <x:c r="K96" s="89"/>
      <x:c r="L96" s="89"/>
      <x:c r="M96" s="89"/>
      <x:c r="N96" s="89"/>
      <x:c r="O96" s="89"/>
      <x:c r="P96" s="89"/>
      <x:c r="Q96" s="89"/>
      <x:c r="AF96" s="75"/>
    </x:row>
    <x:row r="97" spans="2:32" ht="15.5">
      <x:c r="B97" s="88"/>
      <x:c r="C97" s="89"/>
      <x:c r="D97" s="90"/>
      <x:c r="E97" s="90"/>
      <x:c r="F97" s="90"/>
      <x:c r="G97" s="91"/>
      <x:c r="H97" s="91"/>
      <x:c r="I97" s="91"/>
      <x:c r="J97" s="91"/>
      <x:c r="K97" s="89"/>
      <x:c r="L97" s="89"/>
      <x:c r="M97" s="89"/>
      <x:c r="N97" s="89"/>
      <x:c r="O97" s="89"/>
      <x:c r="P97" s="89"/>
      <x:c r="Q97" s="89"/>
      <x:c r="AF97" s="75"/>
    </x:row>
    <x:row r="98" spans="2:32" ht="15.5">
      <x:c r="B98" s="88"/>
      <x:c r="C98" s="89"/>
      <x:c r="D98" s="90"/>
      <x:c r="E98" s="90"/>
      <x:c r="F98" s="90"/>
      <x:c r="G98" s="91"/>
      <x:c r="H98" s="91"/>
      <x:c r="I98" s="91"/>
      <x:c r="J98" s="91"/>
      <x:c r="K98" s="89"/>
      <x:c r="L98" s="89"/>
      <x:c r="M98" s="89"/>
      <x:c r="N98" s="89"/>
      <x:c r="O98" s="89"/>
      <x:c r="P98" s="89"/>
      <x:c r="Q98" s="89"/>
      <x:c r="AF98" s="75"/>
    </x:row>
    <x:row r="99" spans="2:32" ht="15.5">
      <x:c r="B99" s="88"/>
      <x:c r="C99" s="89"/>
      <x:c r="D99" s="90"/>
      <x:c r="E99" s="90"/>
      <x:c r="F99" s="90"/>
      <x:c r="G99" s="91"/>
      <x:c r="H99" s="91"/>
      <x:c r="I99" s="91"/>
      <x:c r="J99" s="91"/>
      <x:c r="K99" s="89"/>
      <x:c r="L99" s="89"/>
      <x:c r="M99" s="89"/>
      <x:c r="N99" s="89"/>
      <x:c r="O99" s="89"/>
      <x:c r="P99" s="89"/>
      <x:c r="Q99" s="89"/>
      <x:c r="AF99" s="75"/>
    </x:row>
    <x:row r="100" spans="2:32" ht="15.5">
      <x:c r="B100" s="88"/>
      <x:c r="C100" s="89"/>
      <x:c r="D100" s="90"/>
      <x:c r="E100" s="90"/>
      <x:c r="F100" s="90"/>
      <x:c r="G100" s="91"/>
      <x:c r="H100" s="91"/>
      <x:c r="I100" s="91"/>
      <x:c r="J100" s="91"/>
      <x:c r="K100" s="89"/>
      <x:c r="L100" s="89"/>
      <x:c r="M100" s="89"/>
      <x:c r="N100" s="89"/>
      <x:c r="O100" s="89"/>
      <x:c r="P100" s="89"/>
      <x:c r="Q100" s="89"/>
      <x:c r="AF100" s="75"/>
    </x:row>
    <x:row r="101" spans="2:32" ht="15.5">
      <x:c r="B101" s="88"/>
      <x:c r="C101" s="89"/>
      <x:c r="D101" s="90"/>
      <x:c r="E101" s="90"/>
      <x:c r="F101" s="90"/>
      <x:c r="G101" s="91"/>
      <x:c r="H101" s="91"/>
      <x:c r="I101" s="91"/>
      <x:c r="J101" s="91"/>
      <x:c r="K101" s="89"/>
      <x:c r="L101" s="89"/>
      <x:c r="M101" s="89"/>
      <x:c r="N101" s="89"/>
      <x:c r="O101" s="89"/>
      <x:c r="P101" s="89"/>
      <x:c r="Q101" s="89"/>
      <x:c r="AF101" s="75"/>
    </x:row>
    <x:row r="102" spans="2:32" ht="15.5">
      <x:c r="B102" s="88"/>
      <x:c r="C102" s="89"/>
      <x:c r="D102" s="90"/>
      <x:c r="E102" s="90"/>
      <x:c r="F102" s="90"/>
      <x:c r="G102" s="91"/>
      <x:c r="H102" s="91"/>
      <x:c r="I102" s="91"/>
      <x:c r="J102" s="91"/>
      <x:c r="K102" s="89"/>
      <x:c r="L102" s="89"/>
      <x:c r="M102" s="89"/>
      <x:c r="N102" s="89"/>
      <x:c r="O102" s="89"/>
      <x:c r="P102" s="89"/>
      <x:c r="Q102" s="89"/>
      <x:c r="AF102" s="75"/>
    </x:row>
    <x:row r="103" spans="2:32" ht="15.5">
      <x:c r="B103" s="88"/>
      <x:c r="C103" s="89"/>
      <x:c r="D103" s="90"/>
      <x:c r="E103" s="90"/>
      <x:c r="F103" s="90"/>
      <x:c r="G103" s="91"/>
      <x:c r="H103" s="91"/>
      <x:c r="I103" s="91"/>
      <x:c r="J103" s="91"/>
      <x:c r="K103" s="89"/>
      <x:c r="L103" s="89"/>
      <x:c r="M103" s="89"/>
      <x:c r="N103" s="89"/>
      <x:c r="O103" s="89"/>
      <x:c r="P103" s="89"/>
      <x:c r="Q103" s="89"/>
      <x:c r="AF103" s="75"/>
    </x:row>
    <x:row r="104" spans="2:32" ht="15.5">
      <x:c r="B104" s="88"/>
      <x:c r="C104" s="89"/>
      <x:c r="D104" s="90"/>
      <x:c r="E104" s="90"/>
      <x:c r="F104" s="90"/>
      <x:c r="G104" s="91"/>
      <x:c r="H104" s="91"/>
      <x:c r="I104" s="91"/>
      <x:c r="J104" s="91"/>
      <x:c r="K104" s="89"/>
      <x:c r="L104" s="89"/>
      <x:c r="M104" s="89"/>
      <x:c r="N104" s="89"/>
      <x:c r="O104" s="89"/>
      <x:c r="P104" s="89"/>
      <x:c r="Q104" s="89"/>
      <x:c r="AF104" s="75"/>
    </x:row>
    <x:row r="105" spans="2:32" ht="15.5">
      <x:c r="B105" s="88"/>
      <x:c r="C105" s="89"/>
      <x:c r="D105" s="90"/>
      <x:c r="E105" s="90"/>
      <x:c r="F105" s="90"/>
      <x:c r="G105" s="91"/>
      <x:c r="H105" s="91"/>
      <x:c r="I105" s="91"/>
      <x:c r="J105" s="91"/>
      <x:c r="K105" s="89"/>
      <x:c r="L105" s="89"/>
      <x:c r="M105" s="89"/>
      <x:c r="N105" s="89"/>
      <x:c r="O105" s="89"/>
      <x:c r="P105" s="89"/>
      <x:c r="Q105" s="89"/>
      <x:c r="AF105" s="75"/>
    </x:row>
    <x:row r="106" spans="2:32" ht="15.5">
      <x:c r="B106" s="88"/>
      <x:c r="C106" s="89"/>
      <x:c r="D106" s="90"/>
      <x:c r="E106" s="90"/>
      <x:c r="F106" s="90"/>
      <x:c r="G106" s="91"/>
      <x:c r="H106" s="91"/>
      <x:c r="I106" s="91"/>
      <x:c r="J106" s="91"/>
      <x:c r="K106" s="89"/>
      <x:c r="L106" s="89"/>
      <x:c r="M106" s="89"/>
      <x:c r="N106" s="89"/>
      <x:c r="O106" s="89"/>
      <x:c r="P106" s="89"/>
      <x:c r="Q106" s="89"/>
      <x:c r="AF106" s="75"/>
    </x:row>
    <x:row r="107" spans="2:32" ht="15.5">
      <x:c r="B107" s="88"/>
      <x:c r="C107" s="89"/>
      <x:c r="D107" s="90"/>
      <x:c r="E107" s="90"/>
      <x:c r="F107" s="90"/>
      <x:c r="G107" s="91"/>
      <x:c r="H107" s="91"/>
      <x:c r="I107" s="91"/>
      <x:c r="J107" s="91"/>
      <x:c r="K107" s="89"/>
      <x:c r="L107" s="89"/>
      <x:c r="M107" s="89"/>
      <x:c r="N107" s="89"/>
      <x:c r="O107" s="89"/>
      <x:c r="P107" s="89"/>
      <x:c r="Q107" s="89"/>
      <x:c r="AF107" s="75"/>
    </x:row>
    <x:row r="108" spans="2:32" ht="15.5">
      <x:c r="B108" s="88"/>
      <x:c r="C108" s="89"/>
      <x:c r="D108" s="89"/>
      <x:c r="E108" s="89"/>
      <x:c r="F108" s="89"/>
      <x:c r="G108" s="89"/>
      <x:c r="H108" s="89"/>
      <x:c r="I108" s="89"/>
      <x:c r="J108" s="89"/>
      <x:c r="K108" s="89"/>
      <x:c r="L108" s="89"/>
      <x:c r="M108" s="89"/>
      <x:c r="N108" s="89"/>
      <x:c r="O108" s="90"/>
      <x:c r="P108" s="90"/>
      <x:c r="Q108" s="90"/>
      <x:c r="AF108" s="75"/>
    </x:row>
    <x:row r="109" spans="2:32" ht="15.5">
      <x:c r="B109" s="88"/>
      <x:c r="C109" s="89"/>
      <x:c r="D109" s="89"/>
      <x:c r="E109" s="89"/>
      <x:c r="F109" s="89"/>
      <x:c r="G109" s="89"/>
      <x:c r="H109" s="89"/>
      <x:c r="I109" s="89"/>
      <x:c r="J109" s="89"/>
      <x:c r="K109" s="89"/>
      <x:c r="L109" s="89"/>
      <x:c r="M109" s="89"/>
      <x:c r="N109" s="89"/>
      <x:c r="O109" s="90"/>
      <x:c r="P109" s="90"/>
      <x:c r="Q109" s="90"/>
      <x:c r="AF109" s="75"/>
    </x:row>
    <x:row r="110" spans="2:32" ht="15.5">
      <x:c r="B110" s="88"/>
      <x:c r="C110" s="89"/>
      <x:c r="D110" s="89"/>
      <x:c r="E110" s="89"/>
      <x:c r="F110" s="89"/>
      <x:c r="G110" s="89"/>
      <x:c r="H110" s="89"/>
      <x:c r="I110" s="89"/>
      <x:c r="J110" s="89"/>
      <x:c r="K110" s="89"/>
      <x:c r="L110" s="89"/>
      <x:c r="M110" s="89"/>
      <x:c r="N110" s="89"/>
      <x:c r="O110" s="90"/>
      <x:c r="P110" s="90"/>
      <x:c r="Q110" s="90"/>
      <x:c r="AF110" s="75"/>
    </x:row>
    <x:row r="111" spans="2:32" ht="15.5">
      <x:c r="B111" s="88"/>
      <x:c r="C111" s="89"/>
      <x:c r="D111" s="89"/>
      <x:c r="E111" s="89"/>
      <x:c r="F111" s="89"/>
      <x:c r="G111" s="89"/>
      <x:c r="H111" s="89"/>
      <x:c r="I111" s="89"/>
      <x:c r="J111" s="89"/>
      <x:c r="K111" s="89"/>
      <x:c r="L111" s="89"/>
      <x:c r="M111" s="89"/>
      <x:c r="N111" s="89"/>
      <x:c r="O111" s="90"/>
      <x:c r="P111" s="90"/>
      <x:c r="Q111" s="90"/>
      <x:c r="AF111" s="75"/>
    </x:row>
    <x:row r="112" spans="2:32" ht="15.5">
      <x:c r="B112" s="88"/>
      <x:c r="C112" s="89"/>
      <x:c r="D112" s="89"/>
      <x:c r="E112" s="89"/>
      <x:c r="F112" s="89"/>
      <x:c r="G112" s="89"/>
      <x:c r="H112" s="89"/>
      <x:c r="I112" s="89"/>
      <x:c r="J112" s="89"/>
      <x:c r="K112" s="89"/>
      <x:c r="L112" s="89"/>
      <x:c r="M112" s="89"/>
      <x:c r="N112" s="89"/>
      <x:c r="O112" s="90"/>
      <x:c r="P112" s="90"/>
      <x:c r="Q112" s="90"/>
      <x:c r="AF112" s="75"/>
    </x:row>
    <x:row r="113" spans="2:32" ht="15.5">
      <x:c r="B113" s="88"/>
      <x:c r="C113" s="89"/>
      <x:c r="D113" s="89"/>
      <x:c r="E113" s="89"/>
      <x:c r="F113" s="89"/>
      <x:c r="G113" s="89"/>
      <x:c r="H113" s="89"/>
      <x:c r="I113" s="89"/>
      <x:c r="J113" s="89"/>
      <x:c r="K113" s="89"/>
      <x:c r="L113" s="89"/>
      <x:c r="M113" s="89"/>
      <x:c r="N113" s="89"/>
      <x:c r="O113" s="90"/>
      <x:c r="P113" s="90"/>
      <x:c r="Q113" s="90"/>
      <x:c r="AF113" s="75"/>
    </x:row>
    <x:row r="114" spans="2:32" ht="15.5">
      <x:c r="B114" s="88"/>
      <x:c r="C114" s="89"/>
      <x:c r="D114" s="89"/>
      <x:c r="E114" s="89"/>
      <x:c r="F114" s="89"/>
      <x:c r="G114" s="89"/>
      <x:c r="H114" s="89"/>
      <x:c r="I114" s="89"/>
      <x:c r="J114" s="89"/>
      <x:c r="K114" s="89"/>
      <x:c r="L114" s="89"/>
      <x:c r="M114" s="89"/>
      <x:c r="N114" s="89"/>
      <x:c r="O114" s="90"/>
      <x:c r="P114" s="90"/>
      <x:c r="Q114" s="90"/>
      <x:c r="AF114" s="75"/>
    </x:row>
    <x:row r="115" spans="2:32" ht="15.5">
      <x:c r="B115" s="88"/>
      <x:c r="C115" s="89"/>
      <x:c r="D115" s="89"/>
      <x:c r="E115" s="89"/>
      <x:c r="F115" s="89"/>
      <x:c r="G115" s="89"/>
      <x:c r="H115" s="89"/>
      <x:c r="I115" s="89"/>
      <x:c r="J115" s="89"/>
      <x:c r="K115" s="89"/>
      <x:c r="L115" s="89"/>
      <x:c r="M115" s="89"/>
      <x:c r="N115" s="89"/>
      <x:c r="O115" s="90"/>
      <x:c r="P115" s="90"/>
      <x:c r="Q115" s="90"/>
      <x:c r="AF115" s="75"/>
    </x:row>
    <x:row r="116" spans="2:32" ht="15.5">
      <x:c r="B116" s="88"/>
      <x:c r="C116" s="89"/>
      <x:c r="D116" s="89"/>
      <x:c r="E116" s="89"/>
      <x:c r="F116" s="89"/>
      <x:c r="G116" s="89"/>
      <x:c r="H116" s="89"/>
      <x:c r="I116" s="89"/>
      <x:c r="J116" s="89"/>
      <x:c r="K116" s="89"/>
      <x:c r="L116" s="89"/>
      <x:c r="M116" s="89"/>
      <x:c r="N116" s="89"/>
      <x:c r="O116" s="90"/>
      <x:c r="P116" s="90"/>
      <x:c r="Q116" s="90"/>
      <x:c r="AF116" s="75"/>
    </x:row>
    <x:row r="117" spans="2:32" ht="15.5">
      <x:c r="B117" s="88"/>
      <x:c r="C117" s="89"/>
      <x:c r="D117" s="89"/>
      <x:c r="E117" s="89"/>
      <x:c r="F117" s="89"/>
      <x:c r="G117" s="89"/>
      <x:c r="H117" s="89"/>
      <x:c r="I117" s="89"/>
      <x:c r="J117" s="89"/>
      <x:c r="K117" s="89"/>
      <x:c r="L117" s="89"/>
      <x:c r="M117" s="89"/>
      <x:c r="N117" s="89"/>
      <x:c r="O117" s="90"/>
      <x:c r="P117" s="90"/>
      <x:c r="Q117" s="90"/>
      <x:c r="AF117" s="75"/>
    </x:row>
    <x:row r="118" spans="2:32" ht="15.5">
      <x:c r="B118" s="88"/>
      <x:c r="C118" s="89"/>
      <x:c r="D118" s="89"/>
      <x:c r="E118" s="89"/>
      <x:c r="F118" s="89"/>
      <x:c r="G118" s="89"/>
      <x:c r="H118" s="89"/>
      <x:c r="I118" s="89"/>
      <x:c r="J118" s="89"/>
      <x:c r="K118" s="89"/>
      <x:c r="L118" s="89"/>
      <x:c r="M118" s="89"/>
      <x:c r="N118" s="89"/>
      <x:c r="O118" s="90"/>
      <x:c r="P118" s="90"/>
      <x:c r="Q118" s="90"/>
      <x:c r="AF118" s="75"/>
    </x:row>
    <x:row r="119" spans="2:32" ht="15.5">
      <x:c r="B119" s="88"/>
      <x:c r="C119" s="89"/>
      <x:c r="D119" s="89"/>
      <x:c r="E119" s="89"/>
      <x:c r="F119" s="89"/>
      <x:c r="G119" s="89"/>
      <x:c r="H119" s="89"/>
      <x:c r="I119" s="89"/>
      <x:c r="J119" s="89"/>
      <x:c r="K119" s="89"/>
      <x:c r="L119" s="89"/>
      <x:c r="M119" s="89"/>
      <x:c r="N119" s="89"/>
      <x:c r="O119" s="90"/>
      <x:c r="P119" s="90"/>
      <x:c r="Q119" s="90"/>
      <x:c r="AF119" s="75"/>
    </x:row>
    <x:row r="120" spans="2:32" ht="15.5">
      <x:c r="B120" s="88"/>
      <x:c r="C120" s="89"/>
      <x:c r="D120" s="89"/>
      <x:c r="E120" s="89"/>
      <x:c r="F120" s="89"/>
      <x:c r="G120" s="89"/>
      <x:c r="H120" s="89"/>
      <x:c r="I120" s="89"/>
      <x:c r="J120" s="89"/>
      <x:c r="K120" s="89"/>
      <x:c r="L120" s="89"/>
      <x:c r="M120" s="89"/>
      <x:c r="N120" s="89"/>
      <x:c r="O120" s="90"/>
      <x:c r="P120" s="90"/>
      <x:c r="Q120" s="90"/>
      <x:c r="AF120" s="75"/>
    </x:row>
    <x:row r="121" spans="2:32" ht="15.5">
      <x:c r="B121" s="88"/>
      <x:c r="C121" s="89"/>
      <x:c r="D121" s="89"/>
      <x:c r="E121" s="89"/>
      <x:c r="F121" s="89"/>
      <x:c r="G121" s="89"/>
      <x:c r="H121" s="89"/>
      <x:c r="I121" s="89"/>
      <x:c r="J121" s="89"/>
      <x:c r="K121" s="89"/>
      <x:c r="L121" s="89"/>
      <x:c r="M121" s="89"/>
      <x:c r="N121" s="89"/>
      <x:c r="O121" s="90"/>
      <x:c r="P121" s="90"/>
      <x:c r="Q121" s="90"/>
      <x:c r="AF121" s="75"/>
    </x:row>
    <x:row r="122" spans="2:32" ht="15.5">
      <x:c r="B122" s="88"/>
      <x:c r="C122" s="89"/>
      <x:c r="D122" s="89"/>
      <x:c r="E122" s="89"/>
      <x:c r="F122" s="89"/>
      <x:c r="G122" s="89"/>
      <x:c r="H122" s="89"/>
      <x:c r="I122" s="89"/>
      <x:c r="J122" s="89"/>
      <x:c r="K122" s="89"/>
      <x:c r="L122" s="89"/>
      <x:c r="M122" s="89"/>
      <x:c r="N122" s="89"/>
      <x:c r="O122" s="90"/>
      <x:c r="P122" s="90"/>
      <x:c r="Q122" s="90"/>
      <x:c r="AF122" s="75"/>
    </x:row>
    <x:row r="123" spans="2:32" ht="15.5">
      <x:c r="B123" s="88"/>
      <x:c r="C123" s="89"/>
      <x:c r="D123" s="89"/>
      <x:c r="E123" s="89"/>
      <x:c r="F123" s="89"/>
      <x:c r="G123" s="89"/>
      <x:c r="H123" s="89"/>
      <x:c r="I123" s="89"/>
      <x:c r="J123" s="89"/>
      <x:c r="K123" s="89"/>
      <x:c r="L123" s="89"/>
      <x:c r="M123" s="89"/>
      <x:c r="N123" s="89"/>
      <x:c r="O123" s="90"/>
      <x:c r="P123" s="90"/>
      <x:c r="Q123" s="90"/>
      <x:c r="AF123" s="75"/>
    </x:row>
    <x:row r="124" spans="2:32" ht="15.5">
      <x:c r="B124" s="88"/>
      <x:c r="C124" s="89"/>
      <x:c r="D124" s="89"/>
      <x:c r="E124" s="89"/>
      <x:c r="F124" s="89"/>
      <x:c r="G124" s="89"/>
      <x:c r="H124" s="89"/>
      <x:c r="I124" s="89"/>
      <x:c r="J124" s="89"/>
      <x:c r="K124" s="89"/>
      <x:c r="L124" s="89"/>
      <x:c r="M124" s="89"/>
      <x:c r="N124" s="89"/>
      <x:c r="O124" s="90"/>
      <x:c r="P124" s="90"/>
      <x:c r="Q124" s="90"/>
      <x:c r="AF124" s="75"/>
    </x:row>
    <x:row r="125" spans="2:32" ht="15.5">
      <x:c r="B125" s="88"/>
      <x:c r="C125" s="89"/>
      <x:c r="D125" s="89"/>
      <x:c r="E125" s="89"/>
      <x:c r="F125" s="89"/>
      <x:c r="G125" s="89"/>
      <x:c r="H125" s="89"/>
      <x:c r="I125" s="89"/>
      <x:c r="J125" s="89"/>
      <x:c r="K125" s="89"/>
      <x:c r="L125" s="89"/>
      <x:c r="M125" s="89"/>
      <x:c r="N125" s="89"/>
      <x:c r="O125" s="90"/>
      <x:c r="P125" s="90"/>
      <x:c r="Q125" s="90"/>
      <x:c r="AF125" s="75"/>
    </x:row>
    <x:row r="126" spans="2:32" ht="15.5">
      <x:c r="B126" s="88"/>
      <x:c r="C126" s="89"/>
      <x:c r="D126" s="89"/>
      <x:c r="E126" s="89"/>
      <x:c r="F126" s="89"/>
      <x:c r="G126" s="89"/>
      <x:c r="H126" s="89"/>
      <x:c r="I126" s="89"/>
      <x:c r="J126" s="89"/>
      <x:c r="K126" s="89"/>
      <x:c r="L126" s="89"/>
      <x:c r="M126" s="89"/>
      <x:c r="N126" s="89"/>
      <x:c r="O126" s="90"/>
      <x:c r="P126" s="90"/>
      <x:c r="Q126" s="90"/>
      <x:c r="AF126" s="75"/>
    </x:row>
    <x:row r="127" spans="2:32" ht="15.5">
      <x:c r="B127" s="88"/>
      <x:c r="C127" s="89"/>
      <x:c r="D127" s="89"/>
      <x:c r="E127" s="89"/>
      <x:c r="F127" s="89"/>
      <x:c r="G127" s="89"/>
      <x:c r="H127" s="89"/>
      <x:c r="I127" s="89"/>
      <x:c r="J127" s="89"/>
      <x:c r="K127" s="89"/>
      <x:c r="L127" s="89"/>
      <x:c r="M127" s="89"/>
      <x:c r="N127" s="89"/>
      <x:c r="O127" s="90"/>
      <x:c r="P127" s="90"/>
      <x:c r="Q127" s="90"/>
      <x:c r="AF127" s="75"/>
    </x:row>
    <x:row r="128" spans="2:32" ht="15.5">
      <x:c r="B128" s="88"/>
      <x:c r="C128" s="89"/>
      <x:c r="D128" s="89"/>
      <x:c r="E128" s="89"/>
      <x:c r="F128" s="89"/>
      <x:c r="G128" s="89"/>
      <x:c r="H128" s="89"/>
      <x:c r="I128" s="89"/>
      <x:c r="J128" s="89"/>
      <x:c r="K128" s="89"/>
      <x:c r="L128" s="89"/>
      <x:c r="M128" s="89"/>
      <x:c r="N128" s="89"/>
      <x:c r="O128" s="90"/>
      <x:c r="P128" s="90"/>
      <x:c r="Q128" s="90"/>
      <x:c r="AF128" s="75"/>
    </x:row>
    <x:row r="129" spans="2:32" ht="15.5">
      <x:c r="B129" s="88"/>
      <x:c r="C129" s="89"/>
      <x:c r="D129" s="89"/>
      <x:c r="E129" s="89"/>
      <x:c r="F129" s="89"/>
      <x:c r="G129" s="89"/>
      <x:c r="H129" s="89"/>
      <x:c r="I129" s="89"/>
      <x:c r="J129" s="89"/>
      <x:c r="K129" s="89"/>
      <x:c r="L129" s="89"/>
      <x:c r="M129" s="89"/>
      <x:c r="N129" s="89"/>
      <x:c r="O129" s="90"/>
      <x:c r="P129" s="90"/>
      <x:c r="Q129" s="90"/>
      <x:c r="AF129" s="75"/>
    </x:row>
    <x:row r="130" spans="2:32" ht="15.5">
      <x:c r="B130" s="88"/>
      <x:c r="C130" s="89"/>
      <x:c r="D130" s="89"/>
      <x:c r="E130" s="89"/>
      <x:c r="F130" s="89"/>
      <x:c r="G130" s="89"/>
      <x:c r="H130" s="89"/>
      <x:c r="I130" s="89"/>
      <x:c r="J130" s="89"/>
      <x:c r="K130" s="89"/>
      <x:c r="L130" s="89"/>
      <x:c r="M130" s="89"/>
      <x:c r="N130" s="89"/>
      <x:c r="O130" s="90"/>
      <x:c r="P130" s="90"/>
      <x:c r="Q130" s="90"/>
      <x:c r="AF130" s="75"/>
    </x:row>
    <x:row r="131" spans="2:32" ht="15.5">
      <x:c r="B131" s="88"/>
      <x:c r="C131" s="89"/>
      <x:c r="D131" s="89"/>
      <x:c r="E131" s="89"/>
      <x:c r="F131" s="89"/>
      <x:c r="G131" s="89"/>
      <x:c r="H131" s="89"/>
      <x:c r="I131" s="89"/>
      <x:c r="J131" s="89"/>
      <x:c r="K131" s="89"/>
      <x:c r="L131" s="89"/>
      <x:c r="M131" s="89"/>
      <x:c r="N131" s="89"/>
      <x:c r="O131" s="90"/>
      <x:c r="P131" s="90"/>
      <x:c r="Q131" s="90"/>
      <x:c r="AF131" s="75"/>
    </x:row>
    <x:row r="132" spans="2:32" ht="15.5">
      <x:c r="B132" s="88"/>
      <x:c r="C132" s="89"/>
      <x:c r="D132" s="89"/>
      <x:c r="E132" s="89"/>
      <x:c r="F132" s="89"/>
      <x:c r="G132" s="89"/>
      <x:c r="H132" s="89"/>
      <x:c r="I132" s="89"/>
      <x:c r="J132" s="89"/>
      <x:c r="K132" s="89"/>
      <x:c r="L132" s="89"/>
      <x:c r="M132" s="89"/>
      <x:c r="N132" s="89"/>
      <x:c r="O132" s="90"/>
      <x:c r="P132" s="90"/>
      <x:c r="Q132" s="90"/>
      <x:c r="AF132" s="75"/>
    </x:row>
    <x:row r="133" spans="2:32" ht="15.5">
      <x:c r="B133" s="88"/>
      <x:c r="C133" s="89"/>
      <x:c r="D133" s="89"/>
      <x:c r="E133" s="89"/>
      <x:c r="F133" s="89"/>
      <x:c r="G133" s="89"/>
      <x:c r="H133" s="89"/>
      <x:c r="I133" s="89"/>
      <x:c r="J133" s="89"/>
      <x:c r="K133" s="89"/>
      <x:c r="L133" s="89"/>
      <x:c r="M133" s="89"/>
      <x:c r="N133" s="89"/>
      <x:c r="O133" s="90"/>
      <x:c r="P133" s="90"/>
      <x:c r="Q133" s="90"/>
      <x:c r="AF133" s="75"/>
    </x:row>
    <x:row r="134" spans="2:32" ht="15.5">
      <x:c r="B134" s="88"/>
      <x:c r="C134" s="89"/>
      <x:c r="D134" s="89"/>
      <x:c r="E134" s="89"/>
      <x:c r="F134" s="89"/>
      <x:c r="G134" s="89"/>
      <x:c r="H134" s="89"/>
      <x:c r="I134" s="89"/>
      <x:c r="J134" s="89"/>
      <x:c r="K134" s="89"/>
      <x:c r="L134" s="89"/>
      <x:c r="M134" s="89"/>
      <x:c r="N134" s="89"/>
      <x:c r="O134" s="90"/>
      <x:c r="P134" s="90"/>
      <x:c r="Q134" s="90"/>
      <x:c r="AF134" s="75"/>
    </x:row>
    <x:row r="135" spans="2:32" ht="15.5">
      <x:c r="B135" s="88"/>
      <x:c r="C135" s="89"/>
      <x:c r="D135" s="89"/>
      <x:c r="E135" s="89"/>
      <x:c r="F135" s="89"/>
      <x:c r="G135" s="89"/>
      <x:c r="H135" s="89"/>
      <x:c r="I135" s="89"/>
      <x:c r="J135" s="89"/>
      <x:c r="K135" s="89"/>
      <x:c r="L135" s="89"/>
      <x:c r="M135" s="89"/>
      <x:c r="N135" s="89"/>
      <x:c r="O135" s="90"/>
      <x:c r="P135" s="90"/>
      <x:c r="Q135" s="90"/>
      <x:c r="AF135" s="75"/>
    </x:row>
    <x:row r="136" spans="2:32" ht="15.5">
      <x:c r="B136" s="88"/>
      <x:c r="C136" s="89"/>
      <x:c r="D136" s="89"/>
      <x:c r="E136" s="89"/>
      <x:c r="F136" s="89"/>
      <x:c r="G136" s="89"/>
      <x:c r="H136" s="89"/>
      <x:c r="I136" s="89"/>
      <x:c r="J136" s="89"/>
      <x:c r="K136" s="89"/>
      <x:c r="L136" s="89"/>
      <x:c r="M136" s="89"/>
      <x:c r="N136" s="89"/>
      <x:c r="O136" s="90"/>
      <x:c r="P136" s="90"/>
      <x:c r="Q136" s="90"/>
      <x:c r="AF136" s="75"/>
    </x:row>
    <x:row r="137" spans="2:32" ht="15.5">
      <x:c r="B137" s="88"/>
      <x:c r="C137" s="89"/>
      <x:c r="D137" s="89"/>
      <x:c r="E137" s="89"/>
      <x:c r="F137" s="89"/>
      <x:c r="G137" s="89"/>
      <x:c r="H137" s="89"/>
      <x:c r="I137" s="89"/>
      <x:c r="J137" s="89"/>
      <x:c r="K137" s="89"/>
      <x:c r="L137" s="89"/>
      <x:c r="M137" s="89"/>
      <x:c r="N137" s="89"/>
      <x:c r="O137" s="90"/>
      <x:c r="P137" s="90"/>
      <x:c r="Q137" s="90"/>
      <x:c r="AF137" s="75"/>
    </x:row>
    <x:row r="138" spans="2:32" ht="15.5">
      <x:c r="B138" s="88"/>
      <x:c r="C138" s="89"/>
      <x:c r="D138" s="89"/>
      <x:c r="E138" s="89"/>
      <x:c r="F138" s="89"/>
      <x:c r="G138" s="89"/>
      <x:c r="H138" s="89"/>
      <x:c r="I138" s="89"/>
      <x:c r="J138" s="89"/>
      <x:c r="K138" s="89"/>
      <x:c r="L138" s="89"/>
      <x:c r="M138" s="89"/>
      <x:c r="N138" s="89"/>
      <x:c r="O138" s="90"/>
      <x:c r="P138" s="90"/>
      <x:c r="Q138" s="90"/>
      <x:c r="AF138" s="75"/>
    </x:row>
    <x:row r="139" spans="2:32" ht="15.5">
      <x:c r="B139" s="88"/>
      <x:c r="C139" s="89"/>
      <x:c r="D139" s="89"/>
      <x:c r="E139" s="89"/>
      <x:c r="F139" s="89"/>
      <x:c r="G139" s="89"/>
      <x:c r="H139" s="89"/>
      <x:c r="I139" s="89"/>
      <x:c r="J139" s="89"/>
      <x:c r="K139" s="89"/>
      <x:c r="L139" s="89"/>
      <x:c r="M139" s="89"/>
      <x:c r="N139" s="89"/>
      <x:c r="O139" s="90"/>
      <x:c r="P139" s="90"/>
      <x:c r="Q139" s="90"/>
      <x:c r="AF139" s="75"/>
    </x:row>
    <x:row r="140" spans="2:32" ht="15.5">
      <x:c r="B140" s="88"/>
      <x:c r="C140" s="89"/>
      <x:c r="D140" s="89"/>
      <x:c r="E140" s="89"/>
      <x:c r="F140" s="89"/>
      <x:c r="G140" s="89"/>
      <x:c r="H140" s="89"/>
      <x:c r="I140" s="89"/>
      <x:c r="J140" s="89"/>
      <x:c r="K140" s="89"/>
      <x:c r="L140" s="89"/>
      <x:c r="M140" s="89"/>
      <x:c r="N140" s="89"/>
      <x:c r="O140" s="90"/>
      <x:c r="P140" s="90"/>
      <x:c r="Q140" s="90"/>
      <x:c r="AF140" s="75"/>
    </x:row>
    <x:row r="141" spans="2:32" ht="15.5">
      <x:c r="B141" s="88"/>
      <x:c r="C141" s="89"/>
      <x:c r="D141" s="89"/>
      <x:c r="E141" s="89"/>
      <x:c r="F141" s="89"/>
      <x:c r="G141" s="89"/>
      <x:c r="H141" s="89"/>
      <x:c r="I141" s="89"/>
      <x:c r="J141" s="89"/>
      <x:c r="K141" s="89"/>
      <x:c r="L141" s="89"/>
      <x:c r="M141" s="89"/>
      <x:c r="N141" s="89"/>
      <x:c r="O141" s="90"/>
      <x:c r="P141" s="90"/>
      <x:c r="Q141" s="90"/>
      <x:c r="AF141" s="75"/>
    </x:row>
    <x:row r="142" spans="2:32" ht="15.5">
      <x:c r="B142" s="88"/>
      <x:c r="C142" s="89"/>
      <x:c r="D142" s="89"/>
      <x:c r="E142" s="89"/>
      <x:c r="F142" s="89"/>
      <x:c r="G142" s="89"/>
      <x:c r="H142" s="89"/>
      <x:c r="I142" s="89"/>
      <x:c r="J142" s="89"/>
      <x:c r="K142" s="89"/>
      <x:c r="L142" s="89"/>
      <x:c r="M142" s="89"/>
      <x:c r="N142" s="89"/>
      <x:c r="O142" s="90"/>
      <x:c r="P142" s="90"/>
      <x:c r="Q142" s="90"/>
      <x:c r="AF142" s="75"/>
    </x:row>
    <x:row r="143" spans="2:32" ht="15.5">
      <x:c r="B143" s="88"/>
      <x:c r="C143" s="89"/>
      <x:c r="D143" s="89"/>
      <x:c r="E143" s="89"/>
      <x:c r="F143" s="89"/>
      <x:c r="G143" s="89"/>
      <x:c r="H143" s="89"/>
      <x:c r="I143" s="89"/>
      <x:c r="J143" s="89"/>
      <x:c r="K143" s="89"/>
      <x:c r="L143" s="89"/>
      <x:c r="M143" s="89"/>
      <x:c r="N143" s="89"/>
      <x:c r="O143" s="90"/>
      <x:c r="P143" s="90"/>
      <x:c r="Q143" s="90"/>
      <x:c r="AF143" s="75"/>
    </x:row>
    <x:row r="144" spans="2:32" ht="15.5">
      <x:c r="B144" s="88"/>
      <x:c r="C144" s="89"/>
      <x:c r="D144" s="89"/>
      <x:c r="E144" s="89"/>
      <x:c r="F144" s="89"/>
      <x:c r="G144" s="89"/>
      <x:c r="H144" s="89"/>
      <x:c r="I144" s="89"/>
      <x:c r="J144" s="89"/>
      <x:c r="K144" s="89"/>
      <x:c r="L144" s="89"/>
      <x:c r="M144" s="89"/>
      <x:c r="N144" s="89"/>
      <x:c r="O144" s="90"/>
      <x:c r="P144" s="90"/>
      <x:c r="Q144" s="90"/>
      <x:c r="AF144" s="75"/>
    </x:row>
    <x:row r="145" spans="2:32" ht="15.5">
      <x:c r="B145" s="88"/>
      <x:c r="C145" s="89"/>
      <x:c r="D145" s="89"/>
      <x:c r="E145" s="89"/>
      <x:c r="F145" s="89"/>
      <x:c r="G145" s="89"/>
      <x:c r="H145" s="89"/>
      <x:c r="I145" s="89"/>
      <x:c r="J145" s="89"/>
      <x:c r="K145" s="89"/>
      <x:c r="L145" s="89"/>
      <x:c r="M145" s="89"/>
      <x:c r="N145" s="89"/>
      <x:c r="O145" s="90"/>
      <x:c r="P145" s="90"/>
      <x:c r="Q145" s="90"/>
      <x:c r="AF145" s="75"/>
    </x:row>
    <x:row r="146" spans="2:32" ht="15.5">
      <x:c r="B146" s="88"/>
      <x:c r="C146" s="89"/>
      <x:c r="D146" s="89"/>
      <x:c r="E146" s="89"/>
      <x:c r="F146" s="89"/>
      <x:c r="G146" s="89"/>
      <x:c r="H146" s="89"/>
      <x:c r="I146" s="89"/>
      <x:c r="J146" s="89"/>
      <x:c r="K146" s="89"/>
      <x:c r="L146" s="89"/>
      <x:c r="M146" s="89"/>
      <x:c r="N146" s="89"/>
      <x:c r="O146" s="90"/>
      <x:c r="P146" s="90"/>
      <x:c r="Q146" s="90"/>
      <x:c r="AF146" s="75"/>
    </x:row>
    <x:row r="147" spans="2:32" ht="15.5">
      <x:c r="B147" s="88"/>
      <x:c r="C147" s="89"/>
      <x:c r="D147" s="89"/>
      <x:c r="E147" s="89"/>
      <x:c r="F147" s="89"/>
      <x:c r="G147" s="89"/>
      <x:c r="H147" s="89"/>
      <x:c r="I147" s="89"/>
      <x:c r="J147" s="89"/>
      <x:c r="K147" s="89"/>
      <x:c r="L147" s="89"/>
      <x:c r="M147" s="89"/>
      <x:c r="N147" s="89"/>
      <x:c r="O147" s="90"/>
      <x:c r="P147" s="90"/>
      <x:c r="Q147" s="90"/>
      <x:c r="AF147" s="75"/>
    </x:row>
    <x:row r="148" spans="2:32" ht="15.5">
      <x:c r="B148" s="88"/>
      <x:c r="C148" s="89"/>
      <x:c r="D148" s="89"/>
      <x:c r="E148" s="89"/>
      <x:c r="F148" s="89"/>
      <x:c r="G148" s="89"/>
      <x:c r="H148" s="89"/>
      <x:c r="I148" s="89"/>
      <x:c r="J148" s="89"/>
      <x:c r="K148" s="89"/>
      <x:c r="L148" s="89"/>
      <x:c r="M148" s="89"/>
      <x:c r="N148" s="89"/>
      <x:c r="O148" s="90"/>
      <x:c r="P148" s="90"/>
      <x:c r="Q148" s="90"/>
      <x:c r="AF148" s="75"/>
    </x:row>
    <x:row r="149" spans="2:32" ht="15.5">
      <x:c r="B149" s="88"/>
      <x:c r="C149" s="89"/>
      <x:c r="D149" s="89"/>
      <x:c r="E149" s="89"/>
      <x:c r="F149" s="89"/>
      <x:c r="G149" s="89"/>
      <x:c r="H149" s="89"/>
      <x:c r="I149" s="89"/>
      <x:c r="J149" s="89"/>
      <x:c r="K149" s="89"/>
      <x:c r="L149" s="89"/>
      <x:c r="M149" s="89"/>
      <x:c r="N149" s="89"/>
      <x:c r="O149" s="90"/>
      <x:c r="P149" s="90"/>
      <x:c r="Q149" s="90"/>
      <x:c r="AF149" s="75"/>
    </x:row>
    <x:row r="150" spans="2:32" ht="15.5">
      <x:c r="B150" s="88"/>
      <x:c r="C150" s="89"/>
      <x:c r="D150" s="89"/>
      <x:c r="E150" s="89"/>
      <x:c r="F150" s="89"/>
      <x:c r="G150" s="89"/>
      <x:c r="H150" s="89"/>
      <x:c r="I150" s="89"/>
      <x:c r="J150" s="89"/>
      <x:c r="K150" s="89"/>
      <x:c r="L150" s="89"/>
      <x:c r="M150" s="89"/>
      <x:c r="N150" s="89"/>
      <x:c r="O150" s="90"/>
      <x:c r="P150" s="90"/>
      <x:c r="Q150" s="90"/>
      <x:c r="AF150" s="75"/>
    </x:row>
    <x:row r="151" spans="2:32" ht="15.5">
      <x:c r="B151" s="88"/>
      <x:c r="C151" s="89"/>
      <x:c r="D151" s="89"/>
      <x:c r="E151" s="89"/>
      <x:c r="F151" s="89"/>
      <x:c r="G151" s="89"/>
      <x:c r="H151" s="89"/>
      <x:c r="I151" s="89"/>
      <x:c r="J151" s="89"/>
      <x:c r="K151" s="89"/>
      <x:c r="L151" s="89"/>
      <x:c r="M151" s="89"/>
      <x:c r="N151" s="89"/>
      <x:c r="O151" s="90"/>
      <x:c r="P151" s="90"/>
      <x:c r="Q151" s="90"/>
      <x:c r="AF151" s="75"/>
    </x:row>
    <x:row r="152" spans="2:32" ht="15.5">
      <x:c r="B152" s="88"/>
      <x:c r="C152" s="89"/>
      <x:c r="D152" s="89"/>
      <x:c r="E152" s="89"/>
      <x:c r="F152" s="89"/>
      <x:c r="G152" s="89"/>
      <x:c r="H152" s="89"/>
      <x:c r="I152" s="89"/>
      <x:c r="J152" s="89"/>
      <x:c r="K152" s="89"/>
      <x:c r="L152" s="89"/>
      <x:c r="M152" s="89"/>
      <x:c r="N152" s="89"/>
      <x:c r="O152" s="90"/>
      <x:c r="P152" s="90"/>
      <x:c r="Q152" s="90"/>
      <x:c r="AF152" s="75"/>
    </x:row>
    <x:row r="153" spans="2:32" ht="15.5">
      <x:c r="B153" s="88"/>
      <x:c r="C153" s="89"/>
      <x:c r="D153" s="89"/>
      <x:c r="E153" s="89"/>
      <x:c r="F153" s="89"/>
      <x:c r="G153" s="89"/>
      <x:c r="H153" s="89"/>
      <x:c r="I153" s="89"/>
      <x:c r="J153" s="89"/>
      <x:c r="K153" s="89"/>
      <x:c r="L153" s="89"/>
      <x:c r="M153" s="89"/>
      <x:c r="N153" s="89"/>
      <x:c r="O153" s="90"/>
      <x:c r="P153" s="90"/>
      <x:c r="Q153" s="90"/>
      <x:c r="AF153" s="75"/>
    </x:row>
    <x:row r="154" spans="2:32" ht="15.5">
      <x:c r="B154" s="88"/>
      <x:c r="C154" s="89"/>
      <x:c r="D154" s="89"/>
      <x:c r="E154" s="89"/>
      <x:c r="F154" s="89"/>
      <x:c r="G154" s="89"/>
      <x:c r="H154" s="89"/>
      <x:c r="I154" s="89"/>
      <x:c r="J154" s="89"/>
      <x:c r="K154" s="89"/>
      <x:c r="L154" s="89"/>
      <x:c r="M154" s="89"/>
      <x:c r="N154" s="89"/>
      <x:c r="O154" s="90"/>
      <x:c r="P154" s="90"/>
      <x:c r="Q154" s="90"/>
      <x:c r="AF154" s="75"/>
    </x:row>
    <x:row r="155" spans="2:32" ht="15.5">
      <x:c r="B155" s="88"/>
      <x:c r="C155" s="89"/>
      <x:c r="D155" s="89"/>
      <x:c r="E155" s="89"/>
      <x:c r="F155" s="89"/>
      <x:c r="G155" s="89"/>
      <x:c r="H155" s="89"/>
      <x:c r="I155" s="89"/>
      <x:c r="J155" s="89"/>
      <x:c r="K155" s="89"/>
      <x:c r="L155" s="89"/>
      <x:c r="M155" s="89"/>
      <x:c r="N155" s="89"/>
      <x:c r="O155" s="90"/>
      <x:c r="P155" s="90"/>
      <x:c r="Q155" s="90"/>
      <x:c r="AF155" s="75"/>
    </x:row>
    <x:row r="156" spans="2:32" ht="15.5">
      <x:c r="B156" s="88"/>
      <x:c r="C156" s="89"/>
      <x:c r="D156" s="89"/>
      <x:c r="E156" s="89"/>
      <x:c r="F156" s="89"/>
      <x:c r="G156" s="89"/>
      <x:c r="H156" s="89"/>
      <x:c r="I156" s="89"/>
      <x:c r="J156" s="89"/>
      <x:c r="K156" s="89"/>
      <x:c r="L156" s="89"/>
      <x:c r="M156" s="89"/>
      <x:c r="N156" s="89"/>
      <x:c r="O156" s="90"/>
      <x:c r="P156" s="90"/>
      <x:c r="Q156" s="90"/>
      <x:c r="AF156" s="75"/>
    </x:row>
    <x:row r="157" spans="2:32" ht="15.5">
      <x:c r="B157" s="88"/>
      <x:c r="C157" s="89"/>
      <x:c r="D157" s="89"/>
      <x:c r="E157" s="89"/>
      <x:c r="F157" s="89"/>
      <x:c r="G157" s="89"/>
      <x:c r="H157" s="89"/>
      <x:c r="I157" s="89"/>
      <x:c r="J157" s="89"/>
      <x:c r="K157" s="89"/>
      <x:c r="L157" s="89"/>
      <x:c r="M157" s="89"/>
      <x:c r="N157" s="89"/>
      <x:c r="O157" s="90"/>
      <x:c r="P157" s="90"/>
      <x:c r="Q157" s="90"/>
      <x:c r="AF157" s="75"/>
    </x:row>
    <x:row r="158" spans="2:32" ht="15.5">
      <x:c r="B158" s="88"/>
      <x:c r="C158" s="89"/>
      <x:c r="D158" s="89"/>
      <x:c r="E158" s="89"/>
      <x:c r="F158" s="89"/>
      <x:c r="G158" s="89"/>
      <x:c r="H158" s="89"/>
      <x:c r="I158" s="89"/>
      <x:c r="J158" s="89"/>
      <x:c r="K158" s="89"/>
      <x:c r="L158" s="89"/>
      <x:c r="M158" s="89"/>
      <x:c r="N158" s="89"/>
      <x:c r="O158" s="90"/>
      <x:c r="P158" s="90"/>
      <x:c r="Q158" s="90"/>
      <x:c r="AF158" s="75"/>
    </x:row>
    <x:row r="159" spans="2:32" ht="15.5">
      <x:c r="B159" s="88"/>
      <x:c r="C159" s="89"/>
      <x:c r="D159" s="89"/>
      <x:c r="E159" s="89"/>
      <x:c r="F159" s="89"/>
      <x:c r="G159" s="89"/>
      <x:c r="H159" s="89"/>
      <x:c r="I159" s="89"/>
      <x:c r="J159" s="89"/>
      <x:c r="K159" s="89"/>
      <x:c r="L159" s="89"/>
      <x:c r="M159" s="89"/>
      <x:c r="N159" s="89"/>
      <x:c r="O159" s="90"/>
      <x:c r="P159" s="90"/>
      <x:c r="Q159" s="90"/>
      <x:c r="AF159" s="75"/>
    </x:row>
    <x:row r="160" spans="2:32" ht="15.5">
      <x:c r="B160" s="88"/>
      <x:c r="C160" s="89"/>
      <x:c r="D160" s="89"/>
      <x:c r="E160" s="89"/>
      <x:c r="F160" s="89"/>
      <x:c r="G160" s="89"/>
      <x:c r="H160" s="89"/>
      <x:c r="I160" s="89"/>
      <x:c r="J160" s="89"/>
      <x:c r="K160" s="89"/>
      <x:c r="L160" s="89"/>
      <x:c r="M160" s="89"/>
      <x:c r="N160" s="89"/>
      <x:c r="O160" s="90"/>
      <x:c r="P160" s="90"/>
      <x:c r="Q160" s="90"/>
      <x:c r="AF160" s="75"/>
    </x:row>
    <x:row r="161" spans="2:32" ht="15.5">
      <x:c r="B161" s="88"/>
      <x:c r="C161" s="89"/>
      <x:c r="D161" s="89"/>
      <x:c r="E161" s="89"/>
      <x:c r="F161" s="89"/>
      <x:c r="G161" s="89"/>
      <x:c r="H161" s="89"/>
      <x:c r="I161" s="89"/>
      <x:c r="J161" s="89"/>
      <x:c r="K161" s="89"/>
      <x:c r="L161" s="89"/>
      <x:c r="M161" s="89"/>
      <x:c r="N161" s="89"/>
      <x:c r="O161" s="90"/>
      <x:c r="P161" s="90"/>
      <x:c r="Q161" s="90"/>
      <x:c r="AF161" s="75"/>
    </x:row>
    <x:row r="162" spans="2:32" ht="15.5">
      <x:c r="B162" s="88"/>
      <x:c r="C162" s="89"/>
      <x:c r="D162" s="89"/>
      <x:c r="E162" s="89"/>
      <x:c r="F162" s="89"/>
      <x:c r="G162" s="89"/>
      <x:c r="H162" s="89"/>
      <x:c r="I162" s="89"/>
      <x:c r="J162" s="89"/>
      <x:c r="K162" s="89"/>
      <x:c r="L162" s="89"/>
      <x:c r="M162" s="89"/>
      <x:c r="N162" s="89"/>
      <x:c r="O162" s="90"/>
      <x:c r="P162" s="90"/>
      <x:c r="Q162" s="90"/>
      <x:c r="AF162" s="75"/>
    </x:row>
    <x:row r="163" spans="2:32" ht="15.5">
      <x:c r="B163" s="88"/>
      <x:c r="C163" s="89"/>
      <x:c r="D163" s="89"/>
      <x:c r="E163" s="89"/>
      <x:c r="F163" s="89"/>
      <x:c r="G163" s="89"/>
      <x:c r="H163" s="89"/>
      <x:c r="I163" s="89"/>
      <x:c r="J163" s="89"/>
      <x:c r="K163" s="89"/>
      <x:c r="L163" s="89"/>
      <x:c r="M163" s="89"/>
      <x:c r="N163" s="89"/>
      <x:c r="O163" s="90"/>
      <x:c r="P163" s="90"/>
      <x:c r="Q163" s="90"/>
      <x:c r="AF163" s="75"/>
    </x:row>
    <x:row r="164" spans="2:32" ht="15.5">
      <x:c r="B164" s="88"/>
      <x:c r="C164" s="89"/>
      <x:c r="D164" s="89"/>
      <x:c r="E164" s="89"/>
      <x:c r="F164" s="89"/>
      <x:c r="G164" s="89"/>
      <x:c r="H164" s="89"/>
      <x:c r="I164" s="89"/>
      <x:c r="J164" s="89"/>
      <x:c r="K164" s="89"/>
      <x:c r="L164" s="89"/>
      <x:c r="M164" s="89"/>
      <x:c r="N164" s="89"/>
      <x:c r="O164" s="90"/>
      <x:c r="P164" s="90"/>
      <x:c r="Q164" s="90"/>
      <x:c r="AF164" s="75"/>
    </x:row>
    <x:row r="165" spans="2:32" ht="15.5">
      <x:c r="B165" s="88"/>
      <x:c r="C165" s="89"/>
      <x:c r="D165" s="89"/>
      <x:c r="E165" s="89"/>
      <x:c r="F165" s="89"/>
      <x:c r="G165" s="89"/>
      <x:c r="H165" s="89"/>
      <x:c r="I165" s="89"/>
      <x:c r="J165" s="89"/>
      <x:c r="K165" s="89"/>
      <x:c r="L165" s="89"/>
      <x:c r="M165" s="89"/>
      <x:c r="N165" s="89"/>
      <x:c r="O165" s="90"/>
      <x:c r="P165" s="90"/>
      <x:c r="Q165" s="90"/>
      <x:c r="AF165" s="75"/>
    </x:row>
    <x:row r="166" spans="2:32" ht="15.5">
      <x:c r="B166" s="88"/>
      <x:c r="C166" s="89"/>
      <x:c r="D166" s="89"/>
      <x:c r="E166" s="89"/>
      <x:c r="F166" s="89"/>
      <x:c r="G166" s="89"/>
      <x:c r="H166" s="89"/>
      <x:c r="I166" s="89"/>
      <x:c r="J166" s="89"/>
      <x:c r="K166" s="89"/>
      <x:c r="L166" s="89"/>
      <x:c r="M166" s="89"/>
      <x:c r="N166" s="89"/>
      <x:c r="O166" s="90"/>
      <x:c r="P166" s="90"/>
      <x:c r="Q166" s="90"/>
      <x:c r="AF166" s="75"/>
    </x:row>
    <x:row r="167" spans="2:32" ht="15.5">
      <x:c r="B167" s="88"/>
      <x:c r="C167" s="89"/>
      <x:c r="D167" s="89"/>
      <x:c r="E167" s="89"/>
      <x:c r="F167" s="89"/>
      <x:c r="G167" s="89"/>
      <x:c r="H167" s="89"/>
      <x:c r="I167" s="89"/>
      <x:c r="J167" s="89"/>
      <x:c r="K167" s="89"/>
      <x:c r="L167" s="89"/>
      <x:c r="M167" s="89"/>
      <x:c r="N167" s="89"/>
      <x:c r="O167" s="90"/>
      <x:c r="P167" s="90"/>
      <x:c r="Q167" s="90"/>
      <x:c r="AF167" s="75"/>
    </x:row>
    <x:row r="168" spans="2:32" ht="15.5">
      <x:c r="B168" s="88"/>
      <x:c r="C168" s="89"/>
      <x:c r="D168" s="89"/>
      <x:c r="E168" s="89"/>
      <x:c r="F168" s="89"/>
      <x:c r="G168" s="89"/>
      <x:c r="H168" s="89"/>
      <x:c r="I168" s="89"/>
      <x:c r="J168" s="89"/>
      <x:c r="K168" s="89"/>
      <x:c r="L168" s="89"/>
      <x:c r="M168" s="89"/>
      <x:c r="N168" s="89"/>
      <x:c r="O168" s="90"/>
      <x:c r="P168" s="90"/>
      <x:c r="Q168" s="90"/>
      <x:c r="AF168" s="75"/>
    </x:row>
    <x:row r="169" spans="2:32" ht="15.5">
      <x:c r="B169" s="88"/>
      <x:c r="C169" s="89"/>
      <x:c r="D169" s="89"/>
      <x:c r="E169" s="89"/>
      <x:c r="F169" s="89"/>
      <x:c r="G169" s="89"/>
      <x:c r="H169" s="89"/>
      <x:c r="I169" s="89"/>
      <x:c r="J169" s="89"/>
      <x:c r="K169" s="89"/>
      <x:c r="L169" s="89"/>
      <x:c r="M169" s="89"/>
      <x:c r="N169" s="89"/>
      <x:c r="O169" s="90"/>
      <x:c r="P169" s="90"/>
      <x:c r="Q169" s="90"/>
      <x:c r="AF169" s="75"/>
    </x:row>
    <x:row r="170" spans="2:32" ht="15.5">
      <x:c r="B170" s="88"/>
      <x:c r="C170" s="89"/>
      <x:c r="D170" s="89"/>
      <x:c r="E170" s="89"/>
      <x:c r="F170" s="89"/>
      <x:c r="G170" s="89"/>
      <x:c r="H170" s="89"/>
      <x:c r="I170" s="89"/>
      <x:c r="J170" s="89"/>
      <x:c r="K170" s="89"/>
      <x:c r="L170" s="89"/>
      <x:c r="M170" s="89"/>
      <x:c r="N170" s="89"/>
      <x:c r="O170" s="90"/>
      <x:c r="P170" s="90"/>
      <x:c r="Q170" s="90"/>
      <x:c r="AF170" s="75"/>
    </x:row>
    <x:row r="171" spans="2:32" ht="15.5">
      <x:c r="B171" s="88"/>
      <x:c r="C171" s="89"/>
      <x:c r="D171" s="89"/>
      <x:c r="E171" s="89"/>
      <x:c r="F171" s="89"/>
      <x:c r="G171" s="89"/>
      <x:c r="H171" s="89"/>
      <x:c r="I171" s="89"/>
      <x:c r="J171" s="89"/>
      <x:c r="K171" s="89"/>
      <x:c r="L171" s="89"/>
      <x:c r="M171" s="89"/>
      <x:c r="N171" s="89"/>
      <x:c r="O171" s="90"/>
      <x:c r="P171" s="90"/>
      <x:c r="Q171" s="90"/>
      <x:c r="AF171" s="75"/>
    </x:row>
    <x:row r="172" spans="2:32" ht="15.5">
      <x:c r="B172" s="88"/>
      <x:c r="C172" s="89"/>
      <x:c r="D172" s="89"/>
      <x:c r="E172" s="89"/>
      <x:c r="F172" s="89"/>
      <x:c r="G172" s="89"/>
      <x:c r="H172" s="89"/>
      <x:c r="I172" s="89"/>
      <x:c r="J172" s="89"/>
      <x:c r="K172" s="89"/>
      <x:c r="L172" s="89"/>
      <x:c r="M172" s="89"/>
      <x:c r="N172" s="89"/>
      <x:c r="O172" s="90"/>
      <x:c r="P172" s="90"/>
      <x:c r="Q172" s="90"/>
      <x:c r="AF172" s="75"/>
    </x:row>
    <x:row r="173" spans="2:32" ht="15.5">
      <x:c r="B173" s="88"/>
      <x:c r="C173" s="89"/>
      <x:c r="D173" s="89"/>
      <x:c r="E173" s="89"/>
      <x:c r="F173" s="89"/>
      <x:c r="G173" s="89"/>
      <x:c r="H173" s="89"/>
      <x:c r="I173" s="89"/>
      <x:c r="J173" s="89"/>
      <x:c r="K173" s="89"/>
      <x:c r="L173" s="89"/>
      <x:c r="M173" s="89"/>
      <x:c r="N173" s="89"/>
      <x:c r="O173" s="90"/>
      <x:c r="P173" s="90"/>
      <x:c r="Q173" s="90"/>
      <x:c r="AF173" s="75"/>
    </x:row>
    <x:row r="174" spans="2:32" ht="15.5">
      <x:c r="B174" s="88"/>
      <x:c r="C174" s="89"/>
      <x:c r="D174" s="89"/>
      <x:c r="E174" s="89"/>
      <x:c r="F174" s="89"/>
      <x:c r="G174" s="89"/>
      <x:c r="H174" s="89"/>
      <x:c r="I174" s="89"/>
      <x:c r="J174" s="89"/>
      <x:c r="K174" s="89"/>
      <x:c r="L174" s="89"/>
      <x:c r="M174" s="89"/>
      <x:c r="N174" s="89"/>
      <x:c r="O174" s="90"/>
      <x:c r="P174" s="90"/>
      <x:c r="Q174" s="90"/>
      <x:c r="AF174" s="75"/>
    </x:row>
    <x:row r="175" spans="2:32" ht="15.5">
      <x:c r="B175" s="88"/>
      <x:c r="C175" s="89"/>
      <x:c r="D175" s="89"/>
      <x:c r="E175" s="89"/>
      <x:c r="F175" s="89"/>
      <x:c r="G175" s="89"/>
      <x:c r="H175" s="89"/>
      <x:c r="I175" s="89"/>
      <x:c r="J175" s="89"/>
      <x:c r="K175" s="89"/>
      <x:c r="L175" s="89"/>
      <x:c r="M175" s="89"/>
      <x:c r="N175" s="89"/>
      <x:c r="O175" s="90"/>
      <x:c r="P175" s="90"/>
      <x:c r="Q175" s="90"/>
      <x:c r="AF175" s="75"/>
    </x:row>
    <x:row r="176" spans="2:32" ht="15.5">
      <x:c r="B176" s="88"/>
      <x:c r="C176" s="89"/>
      <x:c r="D176" s="89"/>
      <x:c r="E176" s="89"/>
      <x:c r="F176" s="89"/>
      <x:c r="G176" s="89"/>
      <x:c r="H176" s="89"/>
      <x:c r="I176" s="89"/>
      <x:c r="J176" s="89"/>
      <x:c r="K176" s="89"/>
      <x:c r="L176" s="89"/>
      <x:c r="M176" s="89"/>
      <x:c r="N176" s="89"/>
      <x:c r="O176" s="90"/>
      <x:c r="P176" s="90"/>
      <x:c r="Q176" s="90"/>
      <x:c r="AF176" s="75"/>
    </x:row>
    <x:row r="177" spans="2:32" ht="15.5">
      <x:c r="B177" s="88"/>
      <x:c r="C177" s="89"/>
      <x:c r="D177" s="89"/>
      <x:c r="E177" s="89"/>
      <x:c r="F177" s="89"/>
      <x:c r="G177" s="89"/>
      <x:c r="H177" s="89"/>
      <x:c r="I177" s="89"/>
      <x:c r="J177" s="89"/>
      <x:c r="K177" s="89"/>
      <x:c r="L177" s="89"/>
      <x:c r="M177" s="89"/>
      <x:c r="N177" s="89"/>
      <x:c r="O177" s="90"/>
      <x:c r="P177" s="90"/>
      <x:c r="Q177" s="90"/>
      <x:c r="AF177" s="75"/>
    </x:row>
    <x:row r="178" spans="2:32" ht="15.5">
      <x:c r="B178" s="88"/>
      <x:c r="C178" s="89"/>
      <x:c r="D178" s="89"/>
      <x:c r="E178" s="89"/>
      <x:c r="F178" s="89"/>
      <x:c r="G178" s="89"/>
      <x:c r="H178" s="89"/>
      <x:c r="I178" s="89"/>
      <x:c r="J178" s="89"/>
      <x:c r="K178" s="89"/>
      <x:c r="L178" s="89"/>
      <x:c r="M178" s="89"/>
      <x:c r="N178" s="89"/>
      <x:c r="O178" s="90"/>
      <x:c r="P178" s="90"/>
      <x:c r="Q178" s="90"/>
      <x:c r="AF178" s="75"/>
    </x:row>
    <x:row r="179" spans="2:32" ht="15.5">
      <x:c r="B179" s="88"/>
      <x:c r="C179" s="89"/>
      <x:c r="D179" s="89"/>
      <x:c r="E179" s="89"/>
      <x:c r="F179" s="89"/>
      <x:c r="G179" s="89"/>
      <x:c r="H179" s="89"/>
      <x:c r="I179" s="89"/>
      <x:c r="J179" s="89"/>
      <x:c r="K179" s="89"/>
      <x:c r="L179" s="89"/>
      <x:c r="M179" s="89"/>
      <x:c r="N179" s="89"/>
      <x:c r="O179" s="90"/>
      <x:c r="P179" s="90"/>
      <x:c r="Q179" s="90"/>
      <x:c r="AF179" s="75"/>
    </x:row>
    <x:row r="180" spans="2:32" ht="15.5">
      <x:c r="B180" s="88"/>
      <x:c r="C180" s="89"/>
      <x:c r="D180" s="90"/>
      <x:c r="E180" s="90"/>
      <x:c r="F180" s="90"/>
      <x:c r="G180" s="90"/>
      <x:c r="H180" s="90"/>
      <x:c r="I180" s="90"/>
      <x:c r="J180" s="90"/>
      <x:c r="K180" s="89"/>
      <x:c r="L180" s="89"/>
      <x:c r="M180" s="89"/>
      <x:c r="N180" s="89"/>
      <x:c r="O180" s="89"/>
      <x:c r="P180" s="89"/>
      <x:c r="Q180" s="89"/>
      <x:c r="AF180" s="75"/>
    </x:row>
    <x:row r="181" spans="2:32" ht="15.5">
      <x:c r="B181" s="88"/>
      <x:c r="C181" s="89"/>
      <x:c r="D181" s="90"/>
      <x:c r="E181" s="90"/>
      <x:c r="F181" s="90"/>
      <x:c r="G181" s="90"/>
      <x:c r="H181" s="90"/>
      <x:c r="I181" s="90"/>
      <x:c r="J181" s="90"/>
      <x:c r="K181" s="89"/>
      <x:c r="L181" s="89"/>
      <x:c r="M181" s="89"/>
      <x:c r="N181" s="89"/>
      <x:c r="O181" s="89"/>
      <x:c r="P181" s="89"/>
      <x:c r="Q181" s="89"/>
      <x:c r="AF181" s="75"/>
    </x:row>
    <x:row r="182" spans="2:32" ht="15.5">
      <x:c r="B182" s="88"/>
      <x:c r="C182" s="89"/>
      <x:c r="D182" s="90"/>
      <x:c r="E182" s="90"/>
      <x:c r="F182" s="90"/>
      <x:c r="G182" s="90"/>
      <x:c r="H182" s="90"/>
      <x:c r="I182" s="90"/>
      <x:c r="J182" s="90"/>
      <x:c r="K182" s="89"/>
      <x:c r="L182" s="89"/>
      <x:c r="M182" s="89"/>
      <x:c r="N182" s="89"/>
      <x:c r="O182" s="89"/>
      <x:c r="P182" s="89"/>
      <x:c r="Q182" s="89"/>
      <x:c r="AF182" s="75"/>
    </x:row>
    <x:row r="183" spans="2:32" ht="15.5">
      <x:c r="B183" s="88"/>
      <x:c r="C183" s="89"/>
      <x:c r="D183" s="90"/>
      <x:c r="E183" s="90"/>
      <x:c r="F183" s="90"/>
      <x:c r="G183" s="90"/>
      <x:c r="H183" s="90"/>
      <x:c r="I183" s="90"/>
      <x:c r="J183" s="90"/>
      <x:c r="K183" s="89"/>
      <x:c r="L183" s="89"/>
      <x:c r="M183" s="89"/>
      <x:c r="N183" s="89"/>
      <x:c r="O183" s="89"/>
      <x:c r="P183" s="89"/>
      <x:c r="Q183" s="89"/>
      <x:c r="AF183" s="75"/>
    </x:row>
    <x:row r="184" spans="2:32" ht="15.5">
      <x:c r="B184" s="88"/>
      <x:c r="C184" s="89"/>
      <x:c r="D184" s="90"/>
      <x:c r="E184" s="90"/>
      <x:c r="F184" s="90"/>
      <x:c r="G184" s="90"/>
      <x:c r="H184" s="90"/>
      <x:c r="I184" s="90"/>
      <x:c r="J184" s="90"/>
      <x:c r="K184" s="89"/>
      <x:c r="L184" s="89"/>
      <x:c r="M184" s="89"/>
      <x:c r="N184" s="89"/>
      <x:c r="O184" s="89"/>
      <x:c r="P184" s="89"/>
      <x:c r="Q184" s="89"/>
      <x:c r="AF184" s="75"/>
    </x:row>
    <x:row r="185" spans="2:32" ht="15.5">
      <x:c r="B185" s="88"/>
      <x:c r="C185" s="89"/>
      <x:c r="D185" s="90"/>
      <x:c r="E185" s="90"/>
      <x:c r="F185" s="90"/>
      <x:c r="G185" s="90"/>
      <x:c r="H185" s="90"/>
      <x:c r="I185" s="90"/>
      <x:c r="J185" s="90"/>
      <x:c r="K185" s="89"/>
      <x:c r="L185" s="89"/>
      <x:c r="M185" s="89"/>
      <x:c r="N185" s="89"/>
      <x:c r="O185" s="89"/>
      <x:c r="P185" s="89"/>
      <x:c r="Q185" s="89"/>
      <x:c r="AF185" s="75"/>
    </x:row>
    <x:row r="186" spans="2:32" ht="15.5">
      <x:c r="B186" s="88"/>
      <x:c r="C186" s="89"/>
      <x:c r="D186" s="90"/>
      <x:c r="E186" s="90"/>
      <x:c r="F186" s="90"/>
      <x:c r="G186" s="90"/>
      <x:c r="H186" s="90"/>
      <x:c r="I186" s="90"/>
      <x:c r="J186" s="90"/>
      <x:c r="K186" s="89"/>
      <x:c r="L186" s="89"/>
      <x:c r="M186" s="89"/>
      <x:c r="N186" s="89"/>
      <x:c r="O186" s="89"/>
      <x:c r="P186" s="89"/>
      <x:c r="Q186" s="89"/>
      <x:c r="AF186" s="75"/>
    </x:row>
    <x:row r="187" spans="2:32" ht="15.5">
      <x:c r="B187" s="88"/>
      <x:c r="C187" s="89"/>
      <x:c r="D187" s="90"/>
      <x:c r="E187" s="90"/>
      <x:c r="F187" s="90"/>
      <x:c r="G187" s="90"/>
      <x:c r="H187" s="90"/>
      <x:c r="I187" s="90"/>
      <x:c r="J187" s="90"/>
      <x:c r="K187" s="89"/>
      <x:c r="L187" s="89"/>
      <x:c r="M187" s="89"/>
      <x:c r="N187" s="89"/>
      <x:c r="O187" s="89"/>
      <x:c r="P187" s="89"/>
      <x:c r="Q187" s="89"/>
      <x:c r="AF187" s="75"/>
    </x:row>
    <x:row r="188" spans="2:32" ht="15.5">
      <x:c r="B188" s="88"/>
      <x:c r="C188" s="89"/>
      <x:c r="D188" s="90"/>
      <x:c r="E188" s="90"/>
      <x:c r="F188" s="90"/>
      <x:c r="G188" s="90"/>
      <x:c r="H188" s="90"/>
      <x:c r="I188" s="90"/>
      <x:c r="J188" s="90"/>
      <x:c r="K188" s="89"/>
      <x:c r="L188" s="89"/>
      <x:c r="M188" s="89"/>
      <x:c r="N188" s="89"/>
      <x:c r="O188" s="89"/>
      <x:c r="P188" s="89"/>
      <x:c r="Q188" s="89"/>
      <x:c r="AF188" s="75"/>
    </x:row>
    <x:row r="189" spans="2:32" ht="15.5">
      <x:c r="B189" s="88"/>
      <x:c r="C189" s="89"/>
      <x:c r="D189" s="90"/>
      <x:c r="E189" s="90"/>
      <x:c r="F189" s="90"/>
      <x:c r="G189" s="90"/>
      <x:c r="H189" s="90"/>
      <x:c r="I189" s="90"/>
      <x:c r="J189" s="90"/>
      <x:c r="K189" s="89"/>
      <x:c r="L189" s="89"/>
      <x:c r="M189" s="89"/>
      <x:c r="N189" s="89"/>
      <x:c r="O189" s="89"/>
      <x:c r="P189" s="89"/>
      <x:c r="Q189" s="89"/>
      <x:c r="AF189" s="75"/>
    </x:row>
    <x:row r="190" spans="2:32" ht="15.5">
      <x:c r="B190" s="88"/>
      <x:c r="C190" s="89"/>
      <x:c r="D190" s="90"/>
      <x:c r="E190" s="90"/>
      <x:c r="F190" s="90"/>
      <x:c r="G190" s="90"/>
      <x:c r="H190" s="90"/>
      <x:c r="I190" s="90"/>
      <x:c r="J190" s="90"/>
      <x:c r="K190" s="89"/>
      <x:c r="L190" s="89"/>
      <x:c r="M190" s="89"/>
      <x:c r="N190" s="89"/>
      <x:c r="O190" s="89"/>
      <x:c r="P190" s="89"/>
      <x:c r="Q190" s="89"/>
      <x:c r="AF190" s="75"/>
    </x:row>
    <x:row r="191" spans="2:32" ht="15.5">
      <x:c r="B191" s="88"/>
      <x:c r="C191" s="89"/>
      <x:c r="D191" s="90"/>
      <x:c r="E191" s="90"/>
      <x:c r="F191" s="90"/>
      <x:c r="G191" s="90"/>
      <x:c r="H191" s="90"/>
      <x:c r="I191" s="90"/>
      <x:c r="J191" s="90"/>
      <x:c r="K191" s="89"/>
      <x:c r="L191" s="89"/>
      <x:c r="M191" s="89"/>
      <x:c r="N191" s="89"/>
      <x:c r="O191" s="89"/>
      <x:c r="P191" s="89"/>
      <x:c r="Q191" s="89"/>
      <x:c r="AF191" s="75"/>
    </x:row>
    <x:row r="192" spans="2:32" ht="15.5">
      <x:c r="B192" s="88"/>
      <x:c r="C192" s="89"/>
      <x:c r="D192" s="90"/>
      <x:c r="E192" s="90"/>
      <x:c r="F192" s="90"/>
      <x:c r="G192" s="90"/>
      <x:c r="H192" s="90"/>
      <x:c r="I192" s="90"/>
      <x:c r="J192" s="90"/>
      <x:c r="K192" s="89"/>
      <x:c r="L192" s="89"/>
      <x:c r="M192" s="89"/>
      <x:c r="N192" s="89"/>
      <x:c r="O192" s="89"/>
      <x:c r="P192" s="89"/>
      <x:c r="Q192" s="89"/>
      <x:c r="AF192" s="75"/>
    </x:row>
    <x:row r="193" spans="2:32" ht="15.5">
      <x:c r="B193" s="88"/>
      <x:c r="C193" s="89"/>
      <x:c r="D193" s="90"/>
      <x:c r="E193" s="90"/>
      <x:c r="F193" s="90"/>
      <x:c r="G193" s="90"/>
      <x:c r="H193" s="90"/>
      <x:c r="I193" s="90"/>
      <x:c r="J193" s="90"/>
      <x:c r="K193" s="89"/>
      <x:c r="L193" s="89"/>
      <x:c r="M193" s="89"/>
      <x:c r="N193" s="89"/>
      <x:c r="O193" s="89"/>
      <x:c r="P193" s="89"/>
      <x:c r="Q193" s="89"/>
      <x:c r="AF193" s="75"/>
    </x:row>
    <x:row r="194" spans="2:32" ht="15.5">
      <x:c r="B194" s="88"/>
      <x:c r="C194" s="89"/>
      <x:c r="D194" s="90"/>
      <x:c r="E194" s="90"/>
      <x:c r="F194" s="90"/>
      <x:c r="G194" s="90"/>
      <x:c r="H194" s="90"/>
      <x:c r="I194" s="90"/>
      <x:c r="J194" s="90"/>
      <x:c r="K194" s="89"/>
      <x:c r="L194" s="89"/>
      <x:c r="M194" s="89"/>
      <x:c r="N194" s="89"/>
      <x:c r="O194" s="89"/>
      <x:c r="P194" s="89"/>
      <x:c r="Q194" s="89"/>
      <x:c r="AF194" s="75"/>
    </x:row>
    <x:row r="195" spans="2:32" ht="15.5">
      <x:c r="B195" s="88"/>
      <x:c r="C195" s="89"/>
      <x:c r="D195" s="90"/>
      <x:c r="E195" s="90"/>
      <x:c r="F195" s="90"/>
      <x:c r="G195" s="90"/>
      <x:c r="H195" s="90"/>
      <x:c r="I195" s="90"/>
      <x:c r="J195" s="90"/>
      <x:c r="K195" s="89"/>
      <x:c r="L195" s="89"/>
      <x:c r="M195" s="89"/>
      <x:c r="N195" s="89"/>
      <x:c r="O195" s="89"/>
      <x:c r="P195" s="89"/>
      <x:c r="Q195" s="89"/>
      <x:c r="AF195" s="75"/>
    </x:row>
    <x:row r="196" spans="2:32" ht="15.5">
      <x:c r="B196" s="88"/>
      <x:c r="C196" s="89"/>
      <x:c r="D196" s="90"/>
      <x:c r="E196" s="90"/>
      <x:c r="F196" s="90"/>
      <x:c r="G196" s="90"/>
      <x:c r="H196" s="90"/>
      <x:c r="I196" s="90"/>
      <x:c r="J196" s="90"/>
      <x:c r="K196" s="89"/>
      <x:c r="L196" s="89"/>
      <x:c r="M196" s="89"/>
      <x:c r="N196" s="89"/>
      <x:c r="O196" s="89"/>
      <x:c r="P196" s="89"/>
      <x:c r="Q196" s="89"/>
      <x:c r="AF196" s="75"/>
    </x:row>
    <x:row r="197" spans="2:32" ht="15.5">
      <x:c r="B197" s="88"/>
      <x:c r="C197" s="89"/>
      <x:c r="D197" s="90"/>
      <x:c r="E197" s="90"/>
      <x:c r="F197" s="90"/>
      <x:c r="G197" s="90"/>
      <x:c r="H197" s="90"/>
      <x:c r="I197" s="90"/>
      <x:c r="J197" s="90"/>
      <x:c r="K197" s="89"/>
      <x:c r="L197" s="89"/>
      <x:c r="M197" s="89"/>
      <x:c r="N197" s="89"/>
      <x:c r="O197" s="89"/>
      <x:c r="P197" s="89"/>
      <x:c r="Q197" s="89"/>
      <x:c r="AF197" s="75"/>
    </x:row>
    <x:row r="198" spans="2:32" ht="15.5">
      <x:c r="B198" s="88"/>
      <x:c r="C198" s="89"/>
      <x:c r="D198" s="90"/>
      <x:c r="E198" s="90"/>
      <x:c r="F198" s="90"/>
      <x:c r="G198" s="90"/>
      <x:c r="H198" s="90"/>
      <x:c r="I198" s="90"/>
      <x:c r="J198" s="90"/>
      <x:c r="K198" s="89"/>
      <x:c r="L198" s="89"/>
      <x:c r="M198" s="89"/>
      <x:c r="N198" s="89"/>
      <x:c r="O198" s="89"/>
      <x:c r="P198" s="89"/>
      <x:c r="Q198" s="89"/>
      <x:c r="AF198" s="75"/>
    </x:row>
    <x:row r="199" spans="2:32" ht="15.5">
      <x:c r="B199" s="88"/>
      <x:c r="C199" s="89"/>
      <x:c r="D199" s="90"/>
      <x:c r="E199" s="90"/>
      <x:c r="F199" s="90"/>
      <x:c r="G199" s="90"/>
      <x:c r="H199" s="90"/>
      <x:c r="I199" s="90"/>
      <x:c r="J199" s="90"/>
      <x:c r="K199" s="89"/>
      <x:c r="L199" s="89"/>
      <x:c r="M199" s="89"/>
      <x:c r="N199" s="89"/>
      <x:c r="O199" s="89"/>
      <x:c r="P199" s="89"/>
      <x:c r="Q199" s="89"/>
      <x:c r="AF199" s="75"/>
    </x:row>
    <x:row r="200" spans="2:32" ht="15.5">
      <x:c r="B200" s="88"/>
      <x:c r="C200" s="89"/>
      <x:c r="D200" s="90"/>
      <x:c r="E200" s="90"/>
      <x:c r="F200" s="90"/>
      <x:c r="G200" s="90"/>
      <x:c r="H200" s="90"/>
      <x:c r="I200" s="90"/>
      <x:c r="J200" s="90"/>
      <x:c r="K200" s="89"/>
      <x:c r="L200" s="89"/>
      <x:c r="M200" s="89"/>
      <x:c r="N200" s="89"/>
      <x:c r="O200" s="89"/>
      <x:c r="P200" s="89"/>
      <x:c r="Q200" s="89"/>
      <x:c r="AF200" s="75"/>
    </x:row>
    <x:row r="201" spans="2:32" ht="15.5">
      <x:c r="B201" s="88"/>
      <x:c r="C201" s="89"/>
      <x:c r="D201" s="90"/>
      <x:c r="E201" s="90"/>
      <x:c r="F201" s="90"/>
      <x:c r="G201" s="90"/>
      <x:c r="H201" s="90"/>
      <x:c r="I201" s="90"/>
      <x:c r="J201" s="90"/>
      <x:c r="K201" s="89"/>
      <x:c r="L201" s="89"/>
      <x:c r="M201" s="89"/>
      <x:c r="N201" s="89"/>
      <x:c r="O201" s="89"/>
      <x:c r="P201" s="89"/>
      <x:c r="Q201" s="89"/>
      <x:c r="AF201" s="75"/>
    </x:row>
    <x:row r="202" spans="2:32" ht="15.5">
      <x:c r="B202" s="88"/>
      <x:c r="C202" s="89"/>
      <x:c r="D202" s="90"/>
      <x:c r="E202" s="90"/>
      <x:c r="F202" s="90"/>
      <x:c r="G202" s="90"/>
      <x:c r="H202" s="90"/>
      <x:c r="I202" s="90"/>
      <x:c r="J202" s="90"/>
      <x:c r="K202" s="89"/>
      <x:c r="L202" s="89"/>
      <x:c r="M202" s="89"/>
      <x:c r="N202" s="89"/>
      <x:c r="O202" s="89"/>
      <x:c r="P202" s="89"/>
      <x:c r="Q202" s="89"/>
      <x:c r="AF202" s="75"/>
    </x:row>
    <x:row r="203" spans="2:32" ht="15.5">
      <x:c r="B203" s="88"/>
      <x:c r="C203" s="89"/>
      <x:c r="D203" s="90"/>
      <x:c r="E203" s="90"/>
      <x:c r="F203" s="90"/>
      <x:c r="G203" s="90"/>
      <x:c r="H203" s="90"/>
      <x:c r="I203" s="90"/>
      <x:c r="J203" s="90"/>
      <x:c r="K203" s="89"/>
      <x:c r="L203" s="89"/>
      <x:c r="M203" s="89"/>
      <x:c r="N203" s="89"/>
      <x:c r="O203" s="89"/>
      <x:c r="P203" s="89"/>
      <x:c r="Q203" s="89"/>
      <x:c r="AF203" s="75"/>
    </x:row>
    <x:row r="204" spans="2:32" ht="15.5">
      <x:c r="B204" s="88"/>
      <x:c r="C204" s="89"/>
      <x:c r="D204" s="90"/>
      <x:c r="E204" s="90"/>
      <x:c r="F204" s="90"/>
      <x:c r="G204" s="90"/>
      <x:c r="H204" s="90"/>
      <x:c r="I204" s="90"/>
      <x:c r="J204" s="90"/>
      <x:c r="K204" s="89"/>
      <x:c r="L204" s="89"/>
      <x:c r="M204" s="89"/>
      <x:c r="N204" s="89"/>
      <x:c r="O204" s="89"/>
      <x:c r="P204" s="89"/>
      <x:c r="Q204" s="89"/>
      <x:c r="AF204" s="75"/>
    </x:row>
    <x:row r="205" spans="2:32" ht="15.5">
      <x:c r="B205" s="88"/>
      <x:c r="C205" s="89"/>
      <x:c r="D205" s="90"/>
      <x:c r="E205" s="90"/>
      <x:c r="F205" s="90"/>
      <x:c r="G205" s="90"/>
      <x:c r="H205" s="90"/>
      <x:c r="I205" s="90"/>
      <x:c r="J205" s="90"/>
      <x:c r="K205" s="89"/>
      <x:c r="L205" s="89"/>
      <x:c r="M205" s="89"/>
      <x:c r="N205" s="89"/>
      <x:c r="O205" s="89"/>
      <x:c r="P205" s="89"/>
      <x:c r="Q205" s="89"/>
      <x:c r="AF205" s="75"/>
    </x:row>
    <x:row r="206" spans="2:32" ht="15.5">
      <x:c r="B206" s="88"/>
      <x:c r="C206" s="89"/>
      <x:c r="D206" s="90"/>
      <x:c r="E206" s="90"/>
      <x:c r="F206" s="90"/>
      <x:c r="G206" s="90"/>
      <x:c r="H206" s="90"/>
      <x:c r="I206" s="90"/>
      <x:c r="J206" s="90"/>
      <x:c r="K206" s="89"/>
      <x:c r="L206" s="89"/>
      <x:c r="M206" s="89"/>
      <x:c r="N206" s="89"/>
      <x:c r="O206" s="89"/>
      <x:c r="P206" s="89"/>
      <x:c r="Q206" s="89"/>
      <x:c r="AF206" s="75"/>
    </x:row>
    <x:row r="207" spans="2:32" ht="15.5">
      <x:c r="B207" s="88"/>
      <x:c r="C207" s="89"/>
      <x:c r="D207" s="90"/>
      <x:c r="E207" s="90"/>
      <x:c r="F207" s="90"/>
      <x:c r="G207" s="90"/>
      <x:c r="H207" s="90"/>
      <x:c r="I207" s="90"/>
      <x:c r="J207" s="90"/>
      <x:c r="K207" s="89"/>
      <x:c r="L207" s="89"/>
      <x:c r="M207" s="89"/>
      <x:c r="N207" s="89"/>
      <x:c r="O207" s="89"/>
      <x:c r="P207" s="89"/>
      <x:c r="Q207" s="89"/>
      <x:c r="AF207" s="75"/>
    </x:row>
    <x:row r="208" spans="2:32" ht="15.5">
      <x:c r="B208" s="88"/>
      <x:c r="C208" s="89"/>
      <x:c r="D208" s="90"/>
      <x:c r="E208" s="90"/>
      <x:c r="F208" s="90"/>
      <x:c r="G208" s="90"/>
      <x:c r="H208" s="90"/>
      <x:c r="I208" s="90"/>
      <x:c r="J208" s="90"/>
      <x:c r="K208" s="89"/>
      <x:c r="L208" s="89"/>
      <x:c r="M208" s="89"/>
      <x:c r="N208" s="89"/>
      <x:c r="O208" s="89"/>
      <x:c r="P208" s="89"/>
      <x:c r="Q208" s="89"/>
      <x:c r="AF208" s="75"/>
    </x:row>
    <x:row r="209" spans="2:32" ht="15.5">
      <x:c r="B209" s="88"/>
      <x:c r="C209" s="89"/>
      <x:c r="D209" s="90"/>
      <x:c r="E209" s="90"/>
      <x:c r="F209" s="90"/>
      <x:c r="G209" s="90"/>
      <x:c r="H209" s="90"/>
      <x:c r="I209" s="90"/>
      <x:c r="J209" s="90"/>
      <x:c r="K209" s="89"/>
      <x:c r="L209" s="89"/>
      <x:c r="M209" s="89"/>
      <x:c r="N209" s="89"/>
      <x:c r="O209" s="89"/>
      <x:c r="P209" s="89"/>
      <x:c r="Q209" s="89"/>
      <x:c r="AF209" s="75"/>
    </x:row>
    <x:row r="210" spans="2:32" ht="15.5">
      <x:c r="B210" s="88"/>
      <x:c r="C210" s="89"/>
      <x:c r="D210" s="90"/>
      <x:c r="E210" s="90"/>
      <x:c r="F210" s="90"/>
      <x:c r="G210" s="90"/>
      <x:c r="H210" s="90"/>
      <x:c r="I210" s="90"/>
      <x:c r="J210" s="90"/>
      <x:c r="K210" s="89"/>
      <x:c r="L210" s="89"/>
      <x:c r="M210" s="89"/>
      <x:c r="N210" s="89"/>
      <x:c r="O210" s="89"/>
      <x:c r="P210" s="89"/>
      <x:c r="Q210" s="89"/>
      <x:c r="AF210" s="75"/>
    </x:row>
    <x:row r="211" spans="2:32" ht="15.5">
      <x:c r="B211" s="88"/>
      <x:c r="C211" s="89"/>
      <x:c r="D211" s="90"/>
      <x:c r="E211" s="90"/>
      <x:c r="F211" s="90"/>
      <x:c r="G211" s="90"/>
      <x:c r="H211" s="90"/>
      <x:c r="I211" s="90"/>
      <x:c r="J211" s="90"/>
      <x:c r="K211" s="89"/>
      <x:c r="L211" s="89"/>
      <x:c r="M211" s="89"/>
      <x:c r="N211" s="89"/>
      <x:c r="O211" s="89"/>
      <x:c r="P211" s="89"/>
      <x:c r="Q211" s="89"/>
      <x:c r="AF211" s="75"/>
    </x:row>
    <x:row r="212" spans="2:32" ht="15.5">
      <x:c r="B212" s="88"/>
      <x:c r="C212" s="89"/>
      <x:c r="D212" s="90"/>
      <x:c r="E212" s="90"/>
      <x:c r="F212" s="90"/>
      <x:c r="G212" s="90"/>
      <x:c r="H212" s="90"/>
      <x:c r="I212" s="90"/>
      <x:c r="J212" s="90"/>
      <x:c r="K212" s="89"/>
      <x:c r="L212" s="89"/>
      <x:c r="M212" s="89"/>
      <x:c r="N212" s="89"/>
      <x:c r="O212" s="89"/>
      <x:c r="P212" s="89"/>
      <x:c r="Q212" s="89"/>
      <x:c r="AF212" s="75"/>
    </x:row>
    <x:row r="213" spans="2:32" ht="15.5">
      <x:c r="B213" s="88"/>
      <x:c r="C213" s="89"/>
      <x:c r="D213" s="90"/>
      <x:c r="E213" s="90"/>
      <x:c r="F213" s="90"/>
      <x:c r="G213" s="90"/>
      <x:c r="H213" s="90"/>
      <x:c r="I213" s="90"/>
      <x:c r="J213" s="90"/>
      <x:c r="K213" s="89"/>
      <x:c r="L213" s="89"/>
      <x:c r="M213" s="89"/>
      <x:c r="N213" s="89"/>
      <x:c r="O213" s="89"/>
      <x:c r="P213" s="89"/>
      <x:c r="Q213" s="89"/>
      <x:c r="AF213" s="75"/>
    </x:row>
    <x:row r="214" spans="2:32" ht="15.5">
      <x:c r="B214" s="88"/>
      <x:c r="C214" s="89"/>
      <x:c r="D214" s="90"/>
      <x:c r="E214" s="90"/>
      <x:c r="F214" s="90"/>
      <x:c r="G214" s="90"/>
      <x:c r="H214" s="90"/>
      <x:c r="I214" s="90"/>
      <x:c r="J214" s="90"/>
      <x:c r="K214" s="89"/>
      <x:c r="L214" s="89"/>
      <x:c r="M214" s="89"/>
      <x:c r="N214" s="89"/>
      <x:c r="O214" s="89"/>
      <x:c r="P214" s="89"/>
      <x:c r="Q214" s="89"/>
      <x:c r="AF214" s="75"/>
    </x:row>
    <x:row r="215" spans="2:32" ht="15.5">
      <x:c r="B215" s="88"/>
      <x:c r="C215" s="89"/>
      <x:c r="D215" s="90"/>
      <x:c r="E215" s="90"/>
      <x:c r="F215" s="90"/>
      <x:c r="G215" s="90"/>
      <x:c r="H215" s="90"/>
      <x:c r="I215" s="90"/>
      <x:c r="J215" s="90"/>
      <x:c r="K215" s="89"/>
      <x:c r="L215" s="89"/>
      <x:c r="M215" s="89"/>
      <x:c r="N215" s="89"/>
      <x:c r="O215" s="89"/>
      <x:c r="P215" s="89"/>
      <x:c r="Q215" s="89"/>
      <x:c r="AF215" s="75"/>
    </x:row>
    <x:row r="216" spans="2:32" ht="15.5">
      <x:c r="B216" s="88"/>
      <x:c r="C216" s="89"/>
      <x:c r="D216" s="90"/>
      <x:c r="E216" s="90"/>
      <x:c r="F216" s="90"/>
      <x:c r="G216" s="90"/>
      <x:c r="H216" s="90"/>
      <x:c r="I216" s="90"/>
      <x:c r="J216" s="90"/>
      <x:c r="K216" s="89"/>
      <x:c r="L216" s="89"/>
      <x:c r="M216" s="89"/>
      <x:c r="N216" s="89"/>
      <x:c r="O216" s="89"/>
      <x:c r="P216" s="89"/>
      <x:c r="Q216" s="89"/>
      <x:c r="AF216" s="75"/>
    </x:row>
    <x:row r="217" spans="2:32" ht="15.5">
      <x:c r="B217" s="88"/>
      <x:c r="C217" s="89"/>
      <x:c r="D217" s="90"/>
      <x:c r="E217" s="90"/>
      <x:c r="F217" s="90"/>
      <x:c r="G217" s="90"/>
      <x:c r="H217" s="90"/>
      <x:c r="I217" s="90"/>
      <x:c r="J217" s="90"/>
      <x:c r="K217" s="89"/>
      <x:c r="L217" s="89"/>
      <x:c r="M217" s="89"/>
      <x:c r="N217" s="89"/>
      <x:c r="O217" s="89"/>
      <x:c r="P217" s="89"/>
      <x:c r="Q217" s="89"/>
      <x:c r="AF217" s="75"/>
    </x:row>
    <x:row r="218" spans="2:32" ht="15.5">
      <x:c r="B218" s="88"/>
      <x:c r="C218" s="89"/>
      <x:c r="D218" s="90"/>
      <x:c r="E218" s="90"/>
      <x:c r="F218" s="90"/>
      <x:c r="G218" s="90"/>
      <x:c r="H218" s="90"/>
      <x:c r="I218" s="90"/>
      <x:c r="J218" s="90"/>
      <x:c r="K218" s="89"/>
      <x:c r="L218" s="89"/>
      <x:c r="M218" s="89"/>
      <x:c r="N218" s="89"/>
      <x:c r="O218" s="89"/>
      <x:c r="P218" s="89"/>
      <x:c r="Q218" s="89"/>
      <x:c r="AF218" s="75"/>
    </x:row>
    <x:row r="219" spans="2:32" ht="15.5">
      <x:c r="B219" s="88"/>
      <x:c r="C219" s="89"/>
      <x:c r="D219" s="90"/>
      <x:c r="E219" s="90"/>
      <x:c r="F219" s="90"/>
      <x:c r="G219" s="90"/>
      <x:c r="H219" s="90"/>
      <x:c r="I219" s="90"/>
      <x:c r="J219" s="90"/>
      <x:c r="K219" s="89"/>
      <x:c r="L219" s="89"/>
      <x:c r="M219" s="89"/>
      <x:c r="N219" s="89"/>
      <x:c r="O219" s="89"/>
      <x:c r="P219" s="89"/>
      <x:c r="Q219" s="89"/>
      <x:c r="AF219" s="75"/>
    </x:row>
    <x:row r="220" spans="2:32" ht="15.5">
      <x:c r="B220" s="88"/>
      <x:c r="C220" s="89"/>
      <x:c r="D220" s="90"/>
      <x:c r="E220" s="90"/>
      <x:c r="F220" s="90"/>
      <x:c r="G220" s="90"/>
      <x:c r="H220" s="90"/>
      <x:c r="I220" s="90"/>
      <x:c r="J220" s="90"/>
      <x:c r="K220" s="89"/>
      <x:c r="L220" s="89"/>
      <x:c r="M220" s="89"/>
      <x:c r="N220" s="89"/>
      <x:c r="O220" s="89"/>
      <x:c r="P220" s="89"/>
      <x:c r="Q220" s="89"/>
      <x:c r="AF220" s="75"/>
    </x:row>
    <x:row r="221" spans="2:32" ht="15.5">
      <x:c r="B221" s="88"/>
      <x:c r="C221" s="89"/>
      <x:c r="D221" s="90"/>
      <x:c r="E221" s="90"/>
      <x:c r="F221" s="90"/>
      <x:c r="G221" s="90"/>
      <x:c r="H221" s="90"/>
      <x:c r="I221" s="90"/>
      <x:c r="J221" s="90"/>
      <x:c r="K221" s="89"/>
      <x:c r="L221" s="89"/>
      <x:c r="M221" s="89"/>
      <x:c r="N221" s="89"/>
      <x:c r="O221" s="89"/>
      <x:c r="P221" s="89"/>
      <x:c r="Q221" s="89"/>
      <x:c r="AF221" s="75"/>
    </x:row>
    <x:row r="222" spans="2:32" ht="15.5">
      <x:c r="B222" s="88"/>
      <x:c r="C222" s="89"/>
      <x:c r="D222" s="90"/>
      <x:c r="E222" s="90"/>
      <x:c r="F222" s="90"/>
      <x:c r="G222" s="90"/>
      <x:c r="H222" s="90"/>
      <x:c r="I222" s="90"/>
      <x:c r="J222" s="90"/>
      <x:c r="K222" s="89"/>
      <x:c r="L222" s="89"/>
      <x:c r="M222" s="89"/>
      <x:c r="N222" s="89"/>
      <x:c r="O222" s="89"/>
      <x:c r="P222" s="89"/>
      <x:c r="Q222" s="89"/>
      <x:c r="AF222" s="75"/>
    </x:row>
    <x:row r="223" spans="2:32" ht="15.5">
      <x:c r="B223" s="88"/>
      <x:c r="C223" s="89"/>
      <x:c r="D223" s="90"/>
      <x:c r="E223" s="90"/>
      <x:c r="F223" s="90"/>
      <x:c r="G223" s="90"/>
      <x:c r="H223" s="90"/>
      <x:c r="I223" s="90"/>
      <x:c r="J223" s="90"/>
      <x:c r="K223" s="89"/>
      <x:c r="L223" s="89"/>
      <x:c r="M223" s="89"/>
      <x:c r="N223" s="89"/>
      <x:c r="O223" s="89"/>
      <x:c r="P223" s="89"/>
      <x:c r="Q223" s="89"/>
      <x:c r="AF223" s="75"/>
    </x:row>
    <x:row r="224" spans="2:32" ht="15.5">
      <x:c r="B224" s="88"/>
      <x:c r="C224" s="89"/>
      <x:c r="D224" s="90"/>
      <x:c r="E224" s="90"/>
      <x:c r="F224" s="90"/>
      <x:c r="G224" s="90"/>
      <x:c r="H224" s="90"/>
      <x:c r="I224" s="90"/>
      <x:c r="J224" s="90"/>
      <x:c r="K224" s="89"/>
      <x:c r="L224" s="89"/>
      <x:c r="M224" s="89"/>
      <x:c r="N224" s="89"/>
      <x:c r="O224" s="89"/>
      <x:c r="P224" s="89"/>
      <x:c r="Q224" s="89"/>
      <x:c r="AF224" s="75"/>
    </x:row>
    <x:row r="225" spans="2:32" ht="15.5">
      <x:c r="B225" s="88"/>
      <x:c r="C225" s="89"/>
      <x:c r="D225" s="90"/>
      <x:c r="E225" s="90"/>
      <x:c r="F225" s="90"/>
      <x:c r="G225" s="90"/>
      <x:c r="H225" s="90"/>
      <x:c r="I225" s="90"/>
      <x:c r="J225" s="90"/>
      <x:c r="K225" s="89"/>
      <x:c r="L225" s="89"/>
      <x:c r="M225" s="89"/>
      <x:c r="N225" s="89"/>
      <x:c r="O225" s="89"/>
      <x:c r="P225" s="89"/>
      <x:c r="Q225" s="89"/>
      <x:c r="AF225" s="75"/>
    </x:row>
    <x:row r="226" spans="2:32" ht="15.5">
      <x:c r="B226" s="88"/>
      <x:c r="C226" s="89"/>
      <x:c r="D226" s="90"/>
      <x:c r="E226" s="90"/>
      <x:c r="F226" s="90"/>
      <x:c r="G226" s="90"/>
      <x:c r="H226" s="90"/>
      <x:c r="I226" s="90"/>
      <x:c r="J226" s="90"/>
      <x:c r="K226" s="89"/>
      <x:c r="L226" s="89"/>
      <x:c r="M226" s="89"/>
      <x:c r="N226" s="89"/>
      <x:c r="O226" s="89"/>
      <x:c r="P226" s="89"/>
      <x:c r="Q226" s="89"/>
      <x:c r="AF226" s="75"/>
    </x:row>
    <x:row r="227" spans="2:32" ht="15.5">
      <x:c r="B227" s="88"/>
      <x:c r="C227" s="89"/>
      <x:c r="D227" s="90"/>
      <x:c r="E227" s="90"/>
      <x:c r="F227" s="90"/>
      <x:c r="G227" s="90"/>
      <x:c r="H227" s="90"/>
      <x:c r="I227" s="90"/>
      <x:c r="J227" s="90"/>
      <x:c r="K227" s="89"/>
      <x:c r="L227" s="89"/>
      <x:c r="M227" s="89"/>
      <x:c r="N227" s="89"/>
      <x:c r="O227" s="89"/>
      <x:c r="P227" s="89"/>
      <x:c r="Q227" s="89"/>
      <x:c r="AF227" s="75"/>
    </x:row>
    <x:row r="228" spans="2:32" ht="15.5">
      <x:c r="B228" s="88"/>
      <x:c r="C228" s="89"/>
      <x:c r="D228" s="90"/>
      <x:c r="E228" s="90"/>
      <x:c r="F228" s="90"/>
      <x:c r="G228" s="90"/>
      <x:c r="H228" s="90"/>
      <x:c r="I228" s="90"/>
      <x:c r="J228" s="90"/>
      <x:c r="K228" s="89"/>
      <x:c r="L228" s="89"/>
      <x:c r="M228" s="89"/>
      <x:c r="N228" s="89"/>
      <x:c r="O228" s="89"/>
      <x:c r="P228" s="89"/>
      <x:c r="Q228" s="89"/>
      <x:c r="AF228" s="75"/>
    </x:row>
    <x:row r="229" spans="2:32" ht="15.5">
      <x:c r="B229" s="88"/>
      <x:c r="C229" s="89"/>
      <x:c r="D229" s="90"/>
      <x:c r="E229" s="90"/>
      <x:c r="F229" s="90"/>
      <x:c r="G229" s="90"/>
      <x:c r="H229" s="90"/>
      <x:c r="I229" s="90"/>
      <x:c r="J229" s="90"/>
      <x:c r="K229" s="89"/>
      <x:c r="L229" s="89"/>
      <x:c r="M229" s="89"/>
      <x:c r="N229" s="89"/>
      <x:c r="O229" s="89"/>
      <x:c r="P229" s="89"/>
      <x:c r="Q229" s="89"/>
      <x:c r="AF229" s="75"/>
    </x:row>
    <x:row r="230" spans="2:32" ht="15.5">
      <x:c r="B230" s="88"/>
      <x:c r="C230" s="89"/>
      <x:c r="D230" s="90"/>
      <x:c r="E230" s="90"/>
      <x:c r="F230" s="90"/>
      <x:c r="G230" s="90"/>
      <x:c r="H230" s="90"/>
      <x:c r="I230" s="90"/>
      <x:c r="J230" s="90"/>
      <x:c r="K230" s="89"/>
      <x:c r="L230" s="89"/>
      <x:c r="M230" s="89"/>
      <x:c r="N230" s="89"/>
      <x:c r="O230" s="89"/>
      <x:c r="P230" s="89"/>
      <x:c r="Q230" s="89"/>
      <x:c r="AF230" s="75"/>
    </x:row>
    <x:row r="231" spans="2:32" ht="15.5">
      <x:c r="B231" s="88"/>
      <x:c r="C231" s="89"/>
      <x:c r="D231" s="90"/>
      <x:c r="E231" s="90"/>
      <x:c r="F231" s="90"/>
      <x:c r="G231" s="90"/>
      <x:c r="H231" s="90"/>
      <x:c r="I231" s="90"/>
      <x:c r="J231" s="90"/>
      <x:c r="K231" s="89"/>
      <x:c r="L231" s="89"/>
      <x:c r="M231" s="89"/>
      <x:c r="N231" s="89"/>
      <x:c r="O231" s="89"/>
      <x:c r="P231" s="89"/>
      <x:c r="Q231" s="89"/>
      <x:c r="AF231" s="75"/>
    </x:row>
    <x:row r="232" spans="2:32" ht="15.5">
      <x:c r="B232" s="88"/>
      <x:c r="C232" s="89"/>
      <x:c r="D232" s="90"/>
      <x:c r="E232" s="90"/>
      <x:c r="F232" s="90"/>
      <x:c r="G232" s="90"/>
      <x:c r="H232" s="90"/>
      <x:c r="I232" s="90"/>
      <x:c r="J232" s="90"/>
      <x:c r="K232" s="89"/>
      <x:c r="L232" s="89"/>
      <x:c r="M232" s="89"/>
      <x:c r="N232" s="89"/>
      <x:c r="O232" s="89"/>
      <x:c r="P232" s="89"/>
      <x:c r="Q232" s="89"/>
      <x:c r="AF232" s="75"/>
    </x:row>
    <x:row r="233" spans="2:32" ht="15.5">
      <x:c r="B233" s="88"/>
      <x:c r="C233" s="89"/>
      <x:c r="D233" s="90"/>
      <x:c r="E233" s="90"/>
      <x:c r="F233" s="90"/>
      <x:c r="G233" s="90"/>
      <x:c r="H233" s="90"/>
      <x:c r="I233" s="90"/>
      <x:c r="J233" s="90"/>
      <x:c r="K233" s="89"/>
      <x:c r="L233" s="89"/>
      <x:c r="M233" s="89"/>
      <x:c r="N233" s="89"/>
      <x:c r="O233" s="89"/>
      <x:c r="P233" s="89"/>
      <x:c r="Q233" s="89"/>
      <x:c r="AF233" s="75"/>
    </x:row>
    <x:row r="234" spans="2:32" ht="15.5">
      <x:c r="B234" s="88"/>
      <x:c r="C234" s="89"/>
      <x:c r="D234" s="90"/>
      <x:c r="E234" s="90"/>
      <x:c r="F234" s="90"/>
      <x:c r="G234" s="90"/>
      <x:c r="H234" s="90"/>
      <x:c r="I234" s="90"/>
      <x:c r="J234" s="90"/>
      <x:c r="K234" s="89"/>
      <x:c r="L234" s="89"/>
      <x:c r="M234" s="89"/>
      <x:c r="N234" s="89"/>
      <x:c r="O234" s="89"/>
      <x:c r="P234" s="89"/>
      <x:c r="Q234" s="89"/>
      <x:c r="AF234" s="75"/>
    </x:row>
    <x:row r="235" spans="2:32" ht="15.5">
      <x:c r="B235" s="88"/>
      <x:c r="C235" s="89"/>
      <x:c r="D235" s="90"/>
      <x:c r="E235" s="90"/>
      <x:c r="F235" s="90"/>
      <x:c r="G235" s="90"/>
      <x:c r="H235" s="90"/>
      <x:c r="I235" s="90"/>
      <x:c r="J235" s="90"/>
      <x:c r="K235" s="89"/>
      <x:c r="L235" s="89"/>
      <x:c r="M235" s="89"/>
      <x:c r="N235" s="89"/>
      <x:c r="O235" s="89"/>
      <x:c r="P235" s="89"/>
      <x:c r="Q235" s="89"/>
      <x:c r="AF235" s="75"/>
    </x:row>
    <x:row r="236" spans="2:32" ht="15.5">
      <x:c r="B236" s="88"/>
      <x:c r="C236" s="89"/>
      <x:c r="D236" s="90"/>
      <x:c r="E236" s="90"/>
      <x:c r="F236" s="90"/>
      <x:c r="G236" s="90"/>
      <x:c r="H236" s="90"/>
      <x:c r="I236" s="90"/>
      <x:c r="J236" s="90"/>
      <x:c r="K236" s="89"/>
      <x:c r="L236" s="89"/>
      <x:c r="M236" s="89"/>
      <x:c r="N236" s="89"/>
      <x:c r="O236" s="89"/>
      <x:c r="P236" s="89"/>
      <x:c r="Q236" s="89"/>
      <x:c r="AF236" s="75"/>
    </x:row>
    <x:row r="237" spans="2:32" ht="15.5">
      <x:c r="B237" s="88"/>
      <x:c r="C237" s="89"/>
      <x:c r="D237" s="90"/>
      <x:c r="E237" s="90"/>
      <x:c r="F237" s="90"/>
      <x:c r="G237" s="90"/>
      <x:c r="H237" s="90"/>
      <x:c r="I237" s="90"/>
      <x:c r="J237" s="90"/>
      <x:c r="K237" s="89"/>
      <x:c r="L237" s="89"/>
      <x:c r="M237" s="89"/>
      <x:c r="N237" s="89"/>
      <x:c r="O237" s="89"/>
      <x:c r="P237" s="89"/>
      <x:c r="Q237" s="89"/>
      <x:c r="AF237" s="75"/>
    </x:row>
    <x:row r="238" spans="2:32" ht="15.5">
      <x:c r="B238" s="88"/>
      <x:c r="C238" s="89"/>
      <x:c r="D238" s="90"/>
      <x:c r="E238" s="90"/>
      <x:c r="F238" s="90"/>
      <x:c r="G238" s="90"/>
      <x:c r="H238" s="90"/>
      <x:c r="I238" s="90"/>
      <x:c r="J238" s="90"/>
      <x:c r="K238" s="89"/>
      <x:c r="L238" s="89"/>
      <x:c r="M238" s="89"/>
      <x:c r="N238" s="89"/>
      <x:c r="O238" s="89"/>
      <x:c r="P238" s="89"/>
      <x:c r="Q238" s="89"/>
      <x:c r="AF238" s="75"/>
    </x:row>
    <x:row r="239" spans="2:32" ht="15.5">
      <x:c r="B239" s="88"/>
      <x:c r="C239" s="89"/>
      <x:c r="D239" s="90"/>
      <x:c r="E239" s="90"/>
      <x:c r="F239" s="90"/>
      <x:c r="G239" s="90"/>
      <x:c r="H239" s="90"/>
      <x:c r="I239" s="90"/>
      <x:c r="J239" s="90"/>
      <x:c r="K239" s="89"/>
      <x:c r="L239" s="89"/>
      <x:c r="M239" s="89"/>
      <x:c r="N239" s="89"/>
      <x:c r="O239" s="89"/>
      <x:c r="P239" s="89"/>
      <x:c r="Q239" s="89"/>
      <x:c r="AF239" s="75"/>
    </x:row>
    <x:row r="240" spans="2:32" ht="15.5">
      <x:c r="B240" s="88"/>
      <x:c r="C240" s="89"/>
      <x:c r="D240" s="90"/>
      <x:c r="E240" s="90"/>
      <x:c r="F240" s="90"/>
      <x:c r="G240" s="90"/>
      <x:c r="H240" s="90"/>
      <x:c r="I240" s="90"/>
      <x:c r="J240" s="90"/>
      <x:c r="K240" s="89"/>
      <x:c r="L240" s="89"/>
      <x:c r="M240" s="89"/>
      <x:c r="N240" s="89"/>
      <x:c r="O240" s="89"/>
      <x:c r="P240" s="89"/>
      <x:c r="Q240" s="89"/>
      <x:c r="AF240" s="75"/>
    </x:row>
    <x:row r="241" spans="2:32" ht="15.5">
      <x:c r="B241" s="88"/>
      <x:c r="C241" s="89"/>
      <x:c r="D241" s="90"/>
      <x:c r="E241" s="90"/>
      <x:c r="F241" s="90"/>
      <x:c r="G241" s="90"/>
      <x:c r="H241" s="90"/>
      <x:c r="I241" s="90"/>
      <x:c r="J241" s="90"/>
      <x:c r="K241" s="89"/>
      <x:c r="L241" s="89"/>
      <x:c r="M241" s="89"/>
      <x:c r="N241" s="89"/>
      <x:c r="O241" s="89"/>
      <x:c r="P241" s="89"/>
      <x:c r="Q241" s="89"/>
      <x:c r="AF241" s="75"/>
    </x:row>
    <x:row r="242" spans="2:32" ht="15.5">
      <x:c r="B242" s="88"/>
      <x:c r="C242" s="89"/>
      <x:c r="D242" s="90"/>
      <x:c r="E242" s="90"/>
      <x:c r="F242" s="90"/>
      <x:c r="G242" s="90"/>
      <x:c r="H242" s="90"/>
      <x:c r="I242" s="90"/>
      <x:c r="J242" s="90"/>
      <x:c r="K242" s="89"/>
      <x:c r="L242" s="89"/>
      <x:c r="M242" s="89"/>
      <x:c r="N242" s="89"/>
      <x:c r="O242" s="89"/>
      <x:c r="P242" s="89"/>
      <x:c r="Q242" s="89"/>
      <x:c r="AF242" s="75"/>
    </x:row>
    <x:row r="243" spans="2:32" ht="15.5">
      <x:c r="B243" s="88"/>
      <x:c r="C243" s="89"/>
      <x:c r="D243" s="90"/>
      <x:c r="E243" s="90"/>
      <x:c r="F243" s="90"/>
      <x:c r="G243" s="90"/>
      <x:c r="H243" s="90"/>
      <x:c r="I243" s="90"/>
      <x:c r="J243" s="90"/>
      <x:c r="K243" s="89"/>
      <x:c r="L243" s="89"/>
      <x:c r="M243" s="89"/>
      <x:c r="N243" s="89"/>
      <x:c r="O243" s="89"/>
      <x:c r="P243" s="89"/>
      <x:c r="Q243" s="89"/>
      <x:c r="AF243" s="75"/>
    </x:row>
    <x:row r="244" spans="2:32" ht="15.5">
      <x:c r="B244" s="88"/>
      <x:c r="C244" s="89"/>
      <x:c r="D244" s="90"/>
      <x:c r="E244" s="90"/>
      <x:c r="F244" s="90"/>
      <x:c r="G244" s="90"/>
      <x:c r="H244" s="90"/>
      <x:c r="I244" s="90"/>
      <x:c r="J244" s="90"/>
      <x:c r="K244" s="89"/>
      <x:c r="L244" s="89"/>
      <x:c r="M244" s="89"/>
      <x:c r="N244" s="89"/>
      <x:c r="O244" s="89"/>
      <x:c r="P244" s="89"/>
      <x:c r="Q244" s="89"/>
      <x:c r="AF244" s="75"/>
    </x:row>
    <x:row r="245" spans="2:32" ht="15.5">
      <x:c r="B245" s="88"/>
      <x:c r="C245" s="89"/>
      <x:c r="D245" s="90"/>
      <x:c r="E245" s="90"/>
      <x:c r="F245" s="90"/>
      <x:c r="G245" s="90"/>
      <x:c r="H245" s="90"/>
      <x:c r="I245" s="90"/>
      <x:c r="J245" s="90"/>
      <x:c r="K245" s="89"/>
      <x:c r="L245" s="89"/>
      <x:c r="M245" s="89"/>
      <x:c r="N245" s="89"/>
      <x:c r="O245" s="89"/>
      <x:c r="P245" s="89"/>
      <x:c r="Q245" s="89"/>
      <x:c r="AF245" s="75"/>
    </x:row>
    <x:row r="246" spans="2:32" ht="15.5">
      <x:c r="B246" s="88"/>
      <x:c r="C246" s="89"/>
      <x:c r="D246" s="90"/>
      <x:c r="E246" s="90"/>
      <x:c r="F246" s="90"/>
      <x:c r="G246" s="90"/>
      <x:c r="H246" s="90"/>
      <x:c r="I246" s="90"/>
      <x:c r="J246" s="90"/>
      <x:c r="K246" s="89"/>
      <x:c r="L246" s="89"/>
      <x:c r="M246" s="89"/>
      <x:c r="N246" s="89"/>
      <x:c r="O246" s="89"/>
      <x:c r="P246" s="89"/>
      <x:c r="Q246" s="89"/>
      <x:c r="AF246" s="75"/>
    </x:row>
    <x:row r="247" spans="2:32" ht="15.5">
      <x:c r="B247" s="88"/>
      <x:c r="C247" s="89"/>
      <x:c r="D247" s="90"/>
      <x:c r="E247" s="90"/>
      <x:c r="F247" s="90"/>
      <x:c r="G247" s="90"/>
      <x:c r="H247" s="90"/>
      <x:c r="I247" s="90"/>
      <x:c r="J247" s="90"/>
      <x:c r="K247" s="89"/>
      <x:c r="L247" s="89"/>
      <x:c r="M247" s="89"/>
      <x:c r="N247" s="89"/>
      <x:c r="O247" s="89"/>
      <x:c r="P247" s="89"/>
      <x:c r="Q247" s="89"/>
      <x:c r="AF247" s="75"/>
    </x:row>
    <x:row r="248" spans="2:32" ht="15.5">
      <x:c r="B248" s="88"/>
      <x:c r="C248" s="89"/>
      <x:c r="D248" s="90"/>
      <x:c r="E248" s="90"/>
      <x:c r="F248" s="90"/>
      <x:c r="G248" s="90"/>
      <x:c r="H248" s="90"/>
      <x:c r="I248" s="90"/>
      <x:c r="J248" s="90"/>
      <x:c r="K248" s="89"/>
      <x:c r="L248" s="89"/>
      <x:c r="M248" s="89"/>
      <x:c r="N248" s="89"/>
      <x:c r="O248" s="89"/>
      <x:c r="P248" s="89"/>
      <x:c r="Q248" s="89"/>
      <x:c r="AF248" s="75"/>
    </x:row>
    <x:row r="249" spans="2:32" ht="15.5">
      <x:c r="B249" s="88"/>
      <x:c r="C249" s="89"/>
      <x:c r="D249" s="90"/>
      <x:c r="E249" s="90"/>
      <x:c r="F249" s="90"/>
      <x:c r="G249" s="90"/>
      <x:c r="H249" s="90"/>
      <x:c r="I249" s="90"/>
      <x:c r="J249" s="90"/>
      <x:c r="K249" s="89"/>
      <x:c r="L249" s="89"/>
      <x:c r="M249" s="89"/>
      <x:c r="N249" s="89"/>
      <x:c r="O249" s="89"/>
      <x:c r="P249" s="89"/>
      <x:c r="Q249" s="89"/>
      <x:c r="AF249" s="75"/>
    </x:row>
    <x:row r="250" spans="2:32" ht="15.5">
      <x:c r="B250" s="88"/>
      <x:c r="C250" s="89"/>
      <x:c r="D250" s="90"/>
      <x:c r="E250" s="90"/>
      <x:c r="F250" s="90"/>
      <x:c r="G250" s="90"/>
      <x:c r="H250" s="90"/>
      <x:c r="I250" s="90"/>
      <x:c r="J250" s="90"/>
      <x:c r="K250" s="89"/>
      <x:c r="L250" s="89"/>
      <x:c r="M250" s="89"/>
      <x:c r="N250" s="89"/>
      <x:c r="O250" s="89"/>
      <x:c r="P250" s="89"/>
      <x:c r="Q250" s="89"/>
      <x:c r="AF250" s="75"/>
    </x:row>
    <x:row r="251" spans="2:32" ht="15.5">
      <x:c r="B251" s="88"/>
      <x:c r="C251" s="89"/>
      <x:c r="D251" s="90"/>
      <x:c r="E251" s="90"/>
      <x:c r="F251" s="90"/>
      <x:c r="G251" s="90"/>
      <x:c r="H251" s="90"/>
      <x:c r="I251" s="90"/>
      <x:c r="J251" s="90"/>
      <x:c r="K251" s="89"/>
      <x:c r="L251" s="89"/>
      <x:c r="M251" s="89"/>
      <x:c r="N251" s="89"/>
      <x:c r="O251" s="89"/>
      <x:c r="P251" s="89"/>
      <x:c r="Q251" s="89"/>
      <x:c r="AF251" s="75"/>
    </x:row>
    <x:row r="252" spans="2:32" ht="15.5">
      <x:c r="B252" s="88"/>
      <x:c r="C252" s="89"/>
      <x:c r="D252" s="90"/>
      <x:c r="E252" s="90"/>
      <x:c r="F252" s="90"/>
      <x:c r="G252" s="90"/>
      <x:c r="H252" s="90"/>
      <x:c r="I252" s="90"/>
      <x:c r="J252" s="90"/>
      <x:c r="K252" s="89"/>
      <x:c r="L252" s="89"/>
      <x:c r="M252" s="89"/>
      <x:c r="N252" s="89"/>
      <x:c r="O252" s="89"/>
      <x:c r="P252" s="89"/>
      <x:c r="Q252" s="89"/>
      <x:c r="AF252" s="75"/>
    </x:row>
    <x:row r="253" spans="2:32" ht="15.5">
      <x:c r="B253" s="88"/>
      <x:c r="C253" s="89"/>
      <x:c r="D253" s="90"/>
      <x:c r="E253" s="90"/>
      <x:c r="F253" s="90"/>
      <x:c r="G253" s="90"/>
      <x:c r="H253" s="90"/>
      <x:c r="I253" s="90"/>
      <x:c r="J253" s="90"/>
      <x:c r="K253" s="89"/>
      <x:c r="L253" s="89"/>
      <x:c r="M253" s="89"/>
      <x:c r="N253" s="89"/>
      <x:c r="O253" s="89"/>
      <x:c r="P253" s="89"/>
      <x:c r="Q253" s="89"/>
      <x:c r="AF253" s="75"/>
    </x:row>
    <x:row r="254" spans="2:32" ht="15.5">
      <x:c r="B254" s="88"/>
      <x:c r="C254" s="89"/>
      <x:c r="D254" s="90"/>
      <x:c r="E254" s="90"/>
      <x:c r="F254" s="90"/>
      <x:c r="G254" s="90"/>
      <x:c r="H254" s="90"/>
      <x:c r="I254" s="90"/>
      <x:c r="J254" s="90"/>
      <x:c r="K254" s="89"/>
      <x:c r="L254" s="89"/>
      <x:c r="M254" s="89"/>
      <x:c r="N254" s="89"/>
      <x:c r="O254" s="89"/>
      <x:c r="P254" s="89"/>
      <x:c r="Q254" s="89"/>
      <x:c r="AF254" s="75"/>
    </x:row>
    <x:row r="255" spans="2:32" ht="15.5">
      <x:c r="B255" s="88"/>
      <x:c r="C255" s="89"/>
      <x:c r="D255" s="90"/>
      <x:c r="E255" s="90"/>
      <x:c r="F255" s="90"/>
      <x:c r="G255" s="90"/>
      <x:c r="H255" s="90"/>
      <x:c r="I255" s="90"/>
      <x:c r="J255" s="90"/>
      <x:c r="K255" s="89"/>
      <x:c r="L255" s="89"/>
      <x:c r="M255" s="89"/>
      <x:c r="N255" s="89"/>
      <x:c r="O255" s="89"/>
      <x:c r="P255" s="89"/>
      <x:c r="Q255" s="89"/>
      <x:c r="AF255" s="75"/>
    </x:row>
    <x:row r="256" spans="2:32" ht="15.5">
      <x:c r="B256" s="88"/>
      <x:c r="C256" s="89"/>
      <x:c r="D256" s="90"/>
      <x:c r="E256" s="90"/>
      <x:c r="F256" s="90"/>
      <x:c r="G256" s="90"/>
      <x:c r="H256" s="90"/>
      <x:c r="I256" s="90"/>
      <x:c r="J256" s="90"/>
      <x:c r="K256" s="89"/>
      <x:c r="L256" s="89"/>
      <x:c r="M256" s="89"/>
      <x:c r="N256" s="89"/>
      <x:c r="O256" s="89"/>
      <x:c r="P256" s="89"/>
      <x:c r="Q256" s="89"/>
      <x:c r="AF256" s="75"/>
    </x:row>
    <x:row r="257" spans="2:32" ht="15.5">
      <x:c r="B257" s="88"/>
      <x:c r="C257" s="89"/>
      <x:c r="D257" s="90"/>
      <x:c r="E257" s="90"/>
      <x:c r="F257" s="90"/>
      <x:c r="G257" s="90"/>
      <x:c r="H257" s="90"/>
      <x:c r="I257" s="90"/>
      <x:c r="J257" s="90"/>
      <x:c r="K257" s="89"/>
      <x:c r="L257" s="89"/>
      <x:c r="M257" s="89"/>
      <x:c r="N257" s="89"/>
      <x:c r="O257" s="89"/>
      <x:c r="P257" s="89"/>
      <x:c r="Q257" s="89"/>
      <x:c r="AF257" s="75"/>
    </x:row>
    <x:row r="258" spans="2:32" ht="15.5">
      <x:c r="B258" s="88"/>
      <x:c r="C258" s="89"/>
      <x:c r="D258" s="90"/>
      <x:c r="E258" s="90"/>
      <x:c r="F258" s="90"/>
      <x:c r="G258" s="90"/>
      <x:c r="H258" s="90"/>
      <x:c r="I258" s="90"/>
      <x:c r="J258" s="90"/>
      <x:c r="K258" s="89"/>
      <x:c r="L258" s="89"/>
      <x:c r="M258" s="89"/>
      <x:c r="N258" s="89"/>
      <x:c r="O258" s="89"/>
      <x:c r="P258" s="89"/>
      <x:c r="Q258" s="89"/>
      <x:c r="AF258" s="75"/>
    </x:row>
    <x:row r="259" spans="2:32" ht="15.5">
      <x:c r="B259" s="88"/>
      <x:c r="C259" s="89"/>
      <x:c r="D259" s="90"/>
      <x:c r="E259" s="90"/>
      <x:c r="F259" s="90"/>
      <x:c r="G259" s="90"/>
      <x:c r="H259" s="90"/>
      <x:c r="I259" s="90"/>
      <x:c r="J259" s="90"/>
      <x:c r="K259" s="89"/>
      <x:c r="L259" s="89"/>
      <x:c r="M259" s="89"/>
      <x:c r="N259" s="89"/>
      <x:c r="O259" s="89"/>
      <x:c r="P259" s="89"/>
      <x:c r="Q259" s="89"/>
      <x:c r="AF259" s="75"/>
    </x:row>
    <x:row r="260" spans="2:32" ht="15.5">
      <x:c r="B260" s="88"/>
      <x:c r="C260" s="89"/>
      <x:c r="D260" s="90"/>
      <x:c r="E260" s="90"/>
      <x:c r="F260" s="90"/>
      <x:c r="G260" s="90"/>
      <x:c r="H260" s="90"/>
      <x:c r="I260" s="90"/>
      <x:c r="J260" s="90"/>
      <x:c r="K260" s="89"/>
      <x:c r="L260" s="89"/>
      <x:c r="M260" s="89"/>
      <x:c r="N260" s="89"/>
      <x:c r="O260" s="89"/>
      <x:c r="P260" s="89"/>
      <x:c r="Q260" s="89"/>
      <x:c r="AF260" s="75"/>
    </x:row>
    <x:row r="261" spans="2:32" ht="15.5">
      <x:c r="B261" s="88"/>
      <x:c r="C261" s="89"/>
      <x:c r="D261" s="90"/>
      <x:c r="E261" s="90"/>
      <x:c r="F261" s="90"/>
      <x:c r="G261" s="90"/>
      <x:c r="H261" s="90"/>
      <x:c r="I261" s="90"/>
      <x:c r="J261" s="90"/>
      <x:c r="K261" s="89"/>
      <x:c r="L261" s="89"/>
      <x:c r="M261" s="89"/>
      <x:c r="N261" s="89"/>
      <x:c r="O261" s="89"/>
      <x:c r="P261" s="89"/>
      <x:c r="Q261" s="89"/>
      <x:c r="AF261" s="75"/>
    </x:row>
    <x:row r="262" spans="2:32" ht="15.5">
      <x:c r="B262" s="88"/>
      <x:c r="C262" s="89"/>
      <x:c r="D262" s="90"/>
      <x:c r="E262" s="90"/>
      <x:c r="F262" s="90"/>
      <x:c r="G262" s="90"/>
      <x:c r="H262" s="90"/>
      <x:c r="I262" s="90"/>
      <x:c r="J262" s="90"/>
      <x:c r="K262" s="89"/>
      <x:c r="L262" s="89"/>
      <x:c r="M262" s="89"/>
      <x:c r="N262" s="89"/>
      <x:c r="O262" s="89"/>
      <x:c r="P262" s="89"/>
      <x:c r="Q262" s="89"/>
      <x:c r="AF262" s="75"/>
    </x:row>
    <x:row r="263" spans="2:32" ht="15.5">
      <x:c r="B263" s="88"/>
      <x:c r="C263" s="89"/>
      <x:c r="D263" s="90"/>
      <x:c r="E263" s="90"/>
      <x:c r="F263" s="90"/>
      <x:c r="G263" s="90"/>
      <x:c r="H263" s="90"/>
      <x:c r="I263" s="90"/>
      <x:c r="J263" s="90"/>
      <x:c r="K263" s="89"/>
      <x:c r="L263" s="89"/>
      <x:c r="M263" s="89"/>
      <x:c r="N263" s="89"/>
      <x:c r="O263" s="89"/>
      <x:c r="P263" s="89"/>
      <x:c r="Q263" s="89"/>
      <x:c r="AF263" s="75"/>
    </x:row>
    <x:row r="264" spans="2:32" ht="15.5">
      <x:c r="B264" s="88"/>
      <x:c r="C264" s="89"/>
      <x:c r="D264" s="90"/>
      <x:c r="E264" s="90"/>
      <x:c r="F264" s="90"/>
      <x:c r="G264" s="90"/>
      <x:c r="H264" s="90"/>
      <x:c r="I264" s="90"/>
      <x:c r="J264" s="90"/>
      <x:c r="K264" s="89"/>
      <x:c r="L264" s="89"/>
      <x:c r="M264" s="89"/>
      <x:c r="N264" s="89"/>
      <x:c r="O264" s="89"/>
      <x:c r="P264" s="89"/>
      <x:c r="Q264" s="89"/>
      <x:c r="AF264" s="75"/>
    </x:row>
    <x:row r="265" spans="2:32" ht="15.5">
      <x:c r="B265" s="88"/>
      <x:c r="C265" s="89"/>
      <x:c r="D265" s="90"/>
      <x:c r="E265" s="90"/>
      <x:c r="F265" s="90"/>
      <x:c r="G265" s="90"/>
      <x:c r="H265" s="90"/>
      <x:c r="I265" s="90"/>
      <x:c r="J265" s="90"/>
      <x:c r="K265" s="89"/>
      <x:c r="L265" s="89"/>
      <x:c r="M265" s="89"/>
      <x:c r="N265" s="89"/>
      <x:c r="O265" s="89"/>
      <x:c r="P265" s="89"/>
      <x:c r="Q265" s="89"/>
      <x:c r="AF265" s="75"/>
    </x:row>
    <x:row r="266" spans="2:32" ht="15.5">
      <x:c r="B266" s="88"/>
      <x:c r="C266" s="89"/>
      <x:c r="D266" s="90"/>
      <x:c r="E266" s="90"/>
      <x:c r="F266" s="90"/>
      <x:c r="G266" s="90"/>
      <x:c r="H266" s="90"/>
      <x:c r="I266" s="90"/>
      <x:c r="J266" s="90"/>
      <x:c r="K266" s="89"/>
      <x:c r="L266" s="89"/>
      <x:c r="M266" s="89"/>
      <x:c r="N266" s="89"/>
      <x:c r="O266" s="89"/>
      <x:c r="P266" s="89"/>
      <x:c r="Q266" s="89"/>
      <x:c r="AF266" s="75"/>
    </x:row>
    <x:row r="267" spans="2:32" ht="15.5">
      <x:c r="B267" s="88"/>
      <x:c r="C267" s="89"/>
      <x:c r="D267" s="90"/>
      <x:c r="E267" s="90"/>
      <x:c r="F267" s="90"/>
      <x:c r="G267" s="90"/>
      <x:c r="H267" s="90"/>
      <x:c r="I267" s="90"/>
      <x:c r="J267" s="90"/>
      <x:c r="K267" s="89"/>
      <x:c r="L267" s="89"/>
      <x:c r="M267" s="89"/>
      <x:c r="N267" s="89"/>
      <x:c r="O267" s="89"/>
      <x:c r="P267" s="89"/>
      <x:c r="Q267" s="89"/>
      <x:c r="AF267" s="75"/>
    </x:row>
    <x:row r="268" spans="2:32" ht="15.5">
      <x:c r="B268" s="88"/>
      <x:c r="C268" s="89"/>
      <x:c r="D268" s="90"/>
      <x:c r="E268" s="90"/>
      <x:c r="F268" s="90"/>
      <x:c r="G268" s="90"/>
      <x:c r="H268" s="90"/>
      <x:c r="I268" s="90"/>
      <x:c r="J268" s="90"/>
      <x:c r="K268" s="89"/>
      <x:c r="L268" s="89"/>
      <x:c r="M268" s="89"/>
      <x:c r="N268" s="89"/>
      <x:c r="O268" s="89"/>
      <x:c r="P268" s="89"/>
      <x:c r="Q268" s="89"/>
      <x:c r="AF268" s="75"/>
    </x:row>
    <x:row r="269" spans="2:32" ht="15.5">
      <x:c r="B269" s="88"/>
      <x:c r="C269" s="89"/>
      <x:c r="D269" s="90"/>
      <x:c r="E269" s="90"/>
      <x:c r="F269" s="90"/>
      <x:c r="G269" s="90"/>
      <x:c r="H269" s="90"/>
      <x:c r="I269" s="90"/>
      <x:c r="J269" s="90"/>
      <x:c r="K269" s="89"/>
      <x:c r="L269" s="89"/>
      <x:c r="M269" s="89"/>
      <x:c r="N269" s="89"/>
      <x:c r="O269" s="89"/>
      <x:c r="P269" s="89"/>
      <x:c r="Q269" s="89"/>
      <x:c r="AF269" s="75"/>
    </x:row>
    <x:row r="270" spans="2:32" ht="15.5">
      <x:c r="B270" s="88"/>
      <x:c r="C270" s="89"/>
      <x:c r="D270" s="90"/>
      <x:c r="E270" s="90"/>
      <x:c r="F270" s="90"/>
      <x:c r="G270" s="90"/>
      <x:c r="H270" s="90"/>
      <x:c r="I270" s="90"/>
      <x:c r="J270" s="90"/>
      <x:c r="K270" s="89"/>
      <x:c r="L270" s="89"/>
      <x:c r="M270" s="89"/>
      <x:c r="N270" s="89"/>
      <x:c r="O270" s="89"/>
      <x:c r="P270" s="89"/>
      <x:c r="Q270" s="89"/>
      <x:c r="AF270" s="75"/>
    </x:row>
    <x:row r="271" spans="2:32" ht="15.5">
      <x:c r="B271" s="88"/>
      <x:c r="C271" s="89"/>
      <x:c r="D271" s="90"/>
      <x:c r="E271" s="90"/>
      <x:c r="F271" s="90"/>
      <x:c r="G271" s="90"/>
      <x:c r="H271" s="90"/>
      <x:c r="I271" s="90"/>
      <x:c r="J271" s="90"/>
      <x:c r="K271" s="89"/>
      <x:c r="L271" s="89"/>
      <x:c r="M271" s="89"/>
      <x:c r="N271" s="89"/>
      <x:c r="O271" s="89"/>
      <x:c r="P271" s="89"/>
      <x:c r="Q271" s="89"/>
      <x:c r="AF271" s="75"/>
    </x:row>
    <x:row r="272" spans="2:32" ht="15.5">
      <x:c r="B272" s="88"/>
      <x:c r="C272" s="89"/>
      <x:c r="D272" s="90"/>
      <x:c r="E272" s="90"/>
      <x:c r="F272" s="90"/>
      <x:c r="G272" s="90"/>
      <x:c r="H272" s="90"/>
      <x:c r="I272" s="90"/>
      <x:c r="J272" s="90"/>
      <x:c r="K272" s="89"/>
      <x:c r="L272" s="89"/>
      <x:c r="M272" s="89"/>
      <x:c r="N272" s="89"/>
      <x:c r="O272" s="89"/>
      <x:c r="P272" s="89"/>
      <x:c r="Q272" s="89"/>
      <x:c r="AF272" s="75"/>
    </x:row>
    <x:row r="273" spans="2:32" ht="15.5">
      <x:c r="B273" s="88"/>
      <x:c r="C273" s="89"/>
      <x:c r="D273" s="90"/>
      <x:c r="E273" s="90"/>
      <x:c r="F273" s="90"/>
      <x:c r="G273" s="90"/>
      <x:c r="H273" s="90"/>
      <x:c r="I273" s="90"/>
      <x:c r="J273" s="90"/>
      <x:c r="K273" s="89"/>
      <x:c r="L273" s="89"/>
      <x:c r="M273" s="89"/>
      <x:c r="N273" s="89"/>
      <x:c r="O273" s="89"/>
      <x:c r="P273" s="89"/>
      <x:c r="Q273" s="89"/>
      <x:c r="AF273" s="75"/>
    </x:row>
    <x:row r="274" spans="2:32" ht="15.5">
      <x:c r="B274" s="88"/>
      <x:c r="C274" s="89"/>
      <x:c r="D274" s="90"/>
      <x:c r="E274" s="90"/>
      <x:c r="F274" s="90"/>
      <x:c r="G274" s="90"/>
      <x:c r="H274" s="90"/>
      <x:c r="I274" s="90"/>
      <x:c r="J274" s="90"/>
      <x:c r="K274" s="89"/>
      <x:c r="L274" s="89"/>
      <x:c r="M274" s="89"/>
      <x:c r="N274" s="89"/>
      <x:c r="O274" s="89"/>
      <x:c r="P274" s="89"/>
      <x:c r="Q274" s="89"/>
      <x:c r="AF274" s="75"/>
    </x:row>
    <x:row r="275" spans="2:32" ht="15.5">
      <x:c r="B275" s="88"/>
      <x:c r="C275" s="89"/>
      <x:c r="D275" s="90"/>
      <x:c r="E275" s="90"/>
      <x:c r="F275" s="90"/>
      <x:c r="G275" s="90"/>
      <x:c r="H275" s="90"/>
      <x:c r="I275" s="90"/>
      <x:c r="J275" s="90"/>
      <x:c r="K275" s="89"/>
      <x:c r="L275" s="89"/>
      <x:c r="M275" s="89"/>
      <x:c r="N275" s="89"/>
      <x:c r="O275" s="89"/>
      <x:c r="P275" s="89"/>
      <x:c r="Q275" s="89"/>
      <x:c r="AF275" s="75"/>
    </x:row>
    <x:row r="276" spans="2:32" ht="15.5">
      <x:c r="B276" s="88"/>
      <x:c r="C276" s="89"/>
      <x:c r="D276" s="90"/>
      <x:c r="E276" s="90"/>
      <x:c r="F276" s="90"/>
      <x:c r="G276" s="90"/>
      <x:c r="H276" s="90"/>
      <x:c r="I276" s="90"/>
      <x:c r="J276" s="90"/>
      <x:c r="K276" s="89"/>
      <x:c r="L276" s="89"/>
      <x:c r="M276" s="89"/>
      <x:c r="N276" s="89"/>
      <x:c r="O276" s="89"/>
      <x:c r="P276" s="89"/>
      <x:c r="Q276" s="89"/>
      <x:c r="AF276" s="75"/>
    </x:row>
    <x:row r="277" spans="2:32" ht="15.5">
      <x:c r="B277" s="88"/>
      <x:c r="C277" s="89"/>
      <x:c r="D277" s="90"/>
      <x:c r="E277" s="90"/>
      <x:c r="F277" s="90"/>
      <x:c r="G277" s="90"/>
      <x:c r="H277" s="90"/>
      <x:c r="I277" s="90"/>
      <x:c r="J277" s="90"/>
      <x:c r="K277" s="89"/>
      <x:c r="L277" s="89"/>
      <x:c r="M277" s="89"/>
      <x:c r="N277" s="89"/>
      <x:c r="O277" s="89"/>
      <x:c r="P277" s="89"/>
      <x:c r="Q277" s="89"/>
      <x:c r="AF277" s="75"/>
    </x:row>
    <x:row r="278" spans="2:32" ht="15.5">
      <x:c r="B278" s="88"/>
      <x:c r="C278" s="89"/>
      <x:c r="D278" s="90"/>
      <x:c r="E278" s="90"/>
      <x:c r="F278" s="90"/>
      <x:c r="G278" s="90"/>
      <x:c r="H278" s="90"/>
      <x:c r="I278" s="90"/>
      <x:c r="J278" s="90"/>
      <x:c r="K278" s="89"/>
      <x:c r="L278" s="89"/>
      <x:c r="M278" s="89"/>
      <x:c r="N278" s="89"/>
      <x:c r="O278" s="89"/>
      <x:c r="P278" s="89"/>
      <x:c r="Q278" s="89"/>
      <x:c r="AF278" s="75"/>
    </x:row>
    <x:row r="279" spans="2:32" ht="15.5">
      <x:c r="B279" s="88"/>
      <x:c r="C279" s="89"/>
      <x:c r="D279" s="90"/>
      <x:c r="E279" s="90"/>
      <x:c r="F279" s="90"/>
      <x:c r="G279" s="90"/>
      <x:c r="H279" s="90"/>
      <x:c r="I279" s="90"/>
      <x:c r="J279" s="90"/>
      <x:c r="K279" s="89"/>
      <x:c r="L279" s="89"/>
      <x:c r="M279" s="89"/>
      <x:c r="N279" s="89"/>
      <x:c r="O279" s="89"/>
      <x:c r="P279" s="89"/>
      <x:c r="Q279" s="89"/>
      <x:c r="AF279" s="75"/>
    </x:row>
    <x:row r="280" spans="2:32" ht="15.5">
      <x:c r="B280" s="88"/>
      <x:c r="C280" s="89"/>
      <x:c r="D280" s="90"/>
      <x:c r="E280" s="90"/>
      <x:c r="F280" s="90"/>
      <x:c r="G280" s="90"/>
      <x:c r="H280" s="90"/>
      <x:c r="I280" s="90"/>
      <x:c r="J280" s="90"/>
      <x:c r="K280" s="90"/>
      <x:c r="L280" s="90"/>
      <x:c r="M280" s="90"/>
      <x:c r="N280" s="90"/>
      <x:c r="O280" s="89"/>
      <x:c r="P280" s="89"/>
      <x:c r="Q280" s="89"/>
      <x:c r="AF280" s="75"/>
    </x:row>
    <x:row r="281" spans="2:32" ht="15.5">
      <x:c r="B281" s="88"/>
      <x:c r="C281" s="89"/>
      <x:c r="D281" s="90"/>
      <x:c r="E281" s="90"/>
      <x:c r="F281" s="90"/>
      <x:c r="G281" s="90"/>
      <x:c r="H281" s="90"/>
      <x:c r="I281" s="90"/>
      <x:c r="J281" s="90"/>
      <x:c r="K281" s="90"/>
      <x:c r="L281" s="90"/>
      <x:c r="M281" s="90"/>
      <x:c r="N281" s="90"/>
      <x:c r="O281" s="89"/>
      <x:c r="P281" s="89"/>
      <x:c r="Q281" s="89"/>
      <x:c r="AF281" s="75"/>
    </x:row>
    <x:row r="282" spans="2:32" ht="15.5">
      <x:c r="B282" s="88"/>
      <x:c r="C282" s="89"/>
      <x:c r="D282" s="90"/>
      <x:c r="E282" s="90"/>
      <x:c r="F282" s="90"/>
      <x:c r="G282" s="90"/>
      <x:c r="H282" s="90"/>
      <x:c r="I282" s="90"/>
      <x:c r="J282" s="90"/>
      <x:c r="K282" s="90"/>
      <x:c r="L282" s="90"/>
      <x:c r="M282" s="90"/>
      <x:c r="N282" s="90"/>
      <x:c r="O282" s="89"/>
      <x:c r="P282" s="89"/>
      <x:c r="Q282" s="89"/>
      <x:c r="AF282" s="75"/>
    </x:row>
    <x:row r="283" spans="2:32" ht="15.5">
      <x:c r="B283" s="88"/>
      <x:c r="C283" s="89"/>
      <x:c r="D283" s="90"/>
      <x:c r="E283" s="90"/>
      <x:c r="F283" s="90"/>
      <x:c r="G283" s="90"/>
      <x:c r="H283" s="90"/>
      <x:c r="I283" s="90"/>
      <x:c r="J283" s="90"/>
      <x:c r="K283" s="90"/>
      <x:c r="L283" s="90"/>
      <x:c r="M283" s="90"/>
      <x:c r="N283" s="90"/>
      <x:c r="O283" s="89"/>
      <x:c r="P283" s="89"/>
      <x:c r="Q283" s="89"/>
      <x:c r="AF283" s="75"/>
    </x:row>
    <x:row r="284" spans="2:32" ht="15.5">
      <x:c r="B284" s="88"/>
      <x:c r="C284" s="89"/>
      <x:c r="D284" s="90"/>
      <x:c r="E284" s="90"/>
      <x:c r="F284" s="90"/>
      <x:c r="G284" s="90"/>
      <x:c r="H284" s="90"/>
      <x:c r="I284" s="90"/>
      <x:c r="J284" s="90"/>
      <x:c r="K284" s="90"/>
      <x:c r="L284" s="90"/>
      <x:c r="M284" s="90"/>
      <x:c r="N284" s="90"/>
      <x:c r="O284" s="89"/>
      <x:c r="P284" s="89"/>
      <x:c r="Q284" s="89"/>
      <x:c r="AF284" s="75"/>
    </x:row>
    <x:row r="285" spans="2:32" ht="15.5">
      <x:c r="B285" s="88"/>
      <x:c r="C285" s="89"/>
      <x:c r="D285" s="90"/>
      <x:c r="E285" s="90"/>
      <x:c r="F285" s="90"/>
      <x:c r="G285" s="90"/>
      <x:c r="H285" s="90"/>
      <x:c r="I285" s="90"/>
      <x:c r="J285" s="90"/>
      <x:c r="K285" s="90"/>
      <x:c r="L285" s="90"/>
      <x:c r="M285" s="90"/>
      <x:c r="N285" s="90"/>
      <x:c r="O285" s="89"/>
      <x:c r="P285" s="89"/>
      <x:c r="Q285" s="89"/>
      <x:c r="AF285" s="75"/>
    </x:row>
    <x:row r="286" spans="2:32" ht="15.5">
      <x:c r="B286" s="88"/>
      <x:c r="C286" s="89"/>
      <x:c r="D286" s="90"/>
      <x:c r="E286" s="90"/>
      <x:c r="F286" s="90"/>
      <x:c r="G286" s="90"/>
      <x:c r="H286" s="90"/>
      <x:c r="I286" s="90"/>
      <x:c r="J286" s="90"/>
      <x:c r="K286" s="90"/>
      <x:c r="L286" s="90"/>
      <x:c r="M286" s="90"/>
      <x:c r="N286" s="90"/>
      <x:c r="O286" s="89"/>
      <x:c r="P286" s="89"/>
      <x:c r="Q286" s="89"/>
      <x:c r="AF286" s="75"/>
    </x:row>
    <x:row r="287" spans="2:32" ht="15.5">
      <x:c r="B287" s="88"/>
      <x:c r="C287" s="89"/>
      <x:c r="D287" s="90"/>
      <x:c r="E287" s="90"/>
      <x:c r="F287" s="90"/>
      <x:c r="G287" s="90"/>
      <x:c r="H287" s="90"/>
      <x:c r="I287" s="90"/>
      <x:c r="J287" s="90"/>
      <x:c r="K287" s="90"/>
      <x:c r="L287" s="90"/>
      <x:c r="M287" s="90"/>
      <x:c r="N287" s="90"/>
      <x:c r="O287" s="89"/>
      <x:c r="P287" s="89"/>
      <x:c r="Q287" s="89"/>
      <x:c r="AF287" s="75"/>
    </x:row>
    <x:row r="288" spans="2:32" ht="15.5">
      <x:c r="B288" s="88"/>
      <x:c r="C288" s="89"/>
      <x:c r="D288" s="90"/>
      <x:c r="E288" s="90"/>
      <x:c r="F288" s="90"/>
      <x:c r="G288" s="90"/>
      <x:c r="H288" s="90"/>
      <x:c r="I288" s="90"/>
      <x:c r="J288" s="90"/>
      <x:c r="K288" s="90"/>
      <x:c r="L288" s="90"/>
      <x:c r="M288" s="90"/>
      <x:c r="N288" s="90"/>
      <x:c r="O288" s="89"/>
      <x:c r="P288" s="89"/>
      <x:c r="Q288" s="89"/>
      <x:c r="AF288" s="75"/>
    </x:row>
    <x:row r="289" spans="2:32" ht="15.5">
      <x:c r="B289" s="88"/>
      <x:c r="C289" s="89"/>
      <x:c r="D289" s="90"/>
      <x:c r="E289" s="90"/>
      <x:c r="F289" s="90"/>
      <x:c r="G289" s="90"/>
      <x:c r="H289" s="90"/>
      <x:c r="I289" s="90"/>
      <x:c r="J289" s="90"/>
      <x:c r="K289" s="90"/>
      <x:c r="L289" s="90"/>
      <x:c r="M289" s="90"/>
      <x:c r="N289" s="90"/>
      <x:c r="O289" s="89"/>
      <x:c r="P289" s="89"/>
      <x:c r="Q289" s="89"/>
      <x:c r="AF289" s="75"/>
    </x:row>
    <x:row r="290" spans="2:32" ht="15.5">
      <x:c r="B290" s="88"/>
      <x:c r="C290" s="89"/>
      <x:c r="D290" s="90"/>
      <x:c r="E290" s="90"/>
      <x:c r="F290" s="90"/>
      <x:c r="G290" s="90"/>
      <x:c r="H290" s="90"/>
      <x:c r="I290" s="90"/>
      <x:c r="J290" s="90"/>
      <x:c r="K290" s="90"/>
      <x:c r="L290" s="90"/>
      <x:c r="M290" s="90"/>
      <x:c r="N290" s="90"/>
      <x:c r="O290" s="89"/>
      <x:c r="P290" s="89"/>
      <x:c r="Q290" s="89"/>
      <x:c r="AF290" s="75"/>
    </x:row>
    <x:row r="291" spans="2:32" ht="15.5">
      <x:c r="B291" s="88"/>
      <x:c r="C291" s="89"/>
      <x:c r="D291" s="90"/>
      <x:c r="E291" s="90"/>
      <x:c r="F291" s="90"/>
      <x:c r="G291" s="90"/>
      <x:c r="H291" s="90"/>
      <x:c r="I291" s="90"/>
      <x:c r="J291" s="90"/>
      <x:c r="K291" s="90"/>
      <x:c r="L291" s="90"/>
      <x:c r="M291" s="90"/>
      <x:c r="N291" s="90"/>
      <x:c r="O291" s="89"/>
      <x:c r="P291" s="89"/>
      <x:c r="Q291" s="89"/>
      <x:c r="AF291" s="75"/>
    </x:row>
    <x:row r="292" spans="2:32" ht="15.5">
      <x:c r="B292" s="88"/>
      <x:c r="C292" s="89"/>
      <x:c r="D292" s="90"/>
      <x:c r="E292" s="90"/>
      <x:c r="F292" s="90"/>
      <x:c r="G292" s="90"/>
      <x:c r="H292" s="90"/>
      <x:c r="I292" s="90"/>
      <x:c r="J292" s="90"/>
      <x:c r="K292" s="90"/>
      <x:c r="L292" s="90"/>
      <x:c r="M292" s="90"/>
      <x:c r="N292" s="90"/>
      <x:c r="O292" s="89"/>
      <x:c r="P292" s="89"/>
      <x:c r="Q292" s="89"/>
      <x:c r="AF292" s="75"/>
    </x:row>
    <x:row r="293" spans="2:32" ht="15.5">
      <x:c r="B293" s="88"/>
      <x:c r="C293" s="89"/>
      <x:c r="D293" s="90"/>
      <x:c r="E293" s="90"/>
      <x:c r="F293" s="90"/>
      <x:c r="G293" s="90"/>
      <x:c r="H293" s="90"/>
      <x:c r="I293" s="90"/>
      <x:c r="J293" s="90"/>
      <x:c r="K293" s="90"/>
      <x:c r="L293" s="90"/>
      <x:c r="M293" s="90"/>
      <x:c r="N293" s="90"/>
      <x:c r="O293" s="89"/>
      <x:c r="P293" s="89"/>
      <x:c r="Q293" s="89"/>
      <x:c r="AF293" s="75"/>
    </x:row>
    <x:row r="294" spans="2:32" ht="15.5">
      <x:c r="B294" s="88"/>
      <x:c r="C294" s="89"/>
      <x:c r="D294" s="90"/>
      <x:c r="E294" s="90"/>
      <x:c r="F294" s="90"/>
      <x:c r="G294" s="90"/>
      <x:c r="H294" s="90"/>
      <x:c r="I294" s="90"/>
      <x:c r="J294" s="90"/>
      <x:c r="K294" s="90"/>
      <x:c r="L294" s="90"/>
      <x:c r="M294" s="90"/>
      <x:c r="N294" s="90"/>
      <x:c r="O294" s="89"/>
      <x:c r="P294" s="89"/>
      <x:c r="Q294" s="89"/>
      <x:c r="AF294" s="75"/>
    </x:row>
    <x:row r="295" spans="2:32" ht="15.5">
      <x:c r="B295" s="88"/>
      <x:c r="C295" s="89"/>
      <x:c r="D295" s="90"/>
      <x:c r="E295" s="90"/>
      <x:c r="F295" s="90"/>
      <x:c r="G295" s="90"/>
      <x:c r="H295" s="90"/>
      <x:c r="I295" s="90"/>
      <x:c r="J295" s="90"/>
      <x:c r="K295" s="90"/>
      <x:c r="L295" s="90"/>
      <x:c r="M295" s="90"/>
      <x:c r="N295" s="90"/>
      <x:c r="O295" s="89"/>
      <x:c r="P295" s="89"/>
      <x:c r="Q295" s="89"/>
      <x:c r="AF295" s="75"/>
    </x:row>
    <x:row r="296" spans="2:32" ht="15.5">
      <x:c r="B296" s="88"/>
      <x:c r="C296" s="89"/>
      <x:c r="D296" s="90"/>
      <x:c r="E296" s="90"/>
      <x:c r="F296" s="90"/>
      <x:c r="G296" s="90"/>
      <x:c r="H296" s="90"/>
      <x:c r="I296" s="90"/>
      <x:c r="J296" s="90"/>
      <x:c r="K296" s="90"/>
      <x:c r="L296" s="90"/>
      <x:c r="M296" s="90"/>
      <x:c r="N296" s="90"/>
      <x:c r="O296" s="89"/>
      <x:c r="P296" s="89"/>
      <x:c r="Q296" s="89"/>
      <x:c r="AF296" s="75"/>
    </x:row>
    <x:row r="297" spans="2:32" ht="15.5">
      <x:c r="B297" s="88"/>
      <x:c r="C297" s="89"/>
      <x:c r="D297" s="90"/>
      <x:c r="E297" s="90"/>
      <x:c r="F297" s="90"/>
      <x:c r="G297" s="90"/>
      <x:c r="H297" s="90"/>
      <x:c r="I297" s="90"/>
      <x:c r="J297" s="90"/>
      <x:c r="K297" s="90"/>
      <x:c r="L297" s="90"/>
      <x:c r="M297" s="90"/>
      <x:c r="N297" s="90"/>
      <x:c r="O297" s="89"/>
      <x:c r="P297" s="89"/>
      <x:c r="Q297" s="89"/>
      <x:c r="AF297" s="75"/>
    </x:row>
    <x:row r="298" spans="2:32" ht="15.5">
      <x:c r="B298" s="88"/>
      <x:c r="C298" s="89"/>
      <x:c r="D298" s="90"/>
      <x:c r="E298" s="90"/>
      <x:c r="F298" s="90"/>
      <x:c r="G298" s="90"/>
      <x:c r="H298" s="90"/>
      <x:c r="I298" s="90"/>
      <x:c r="J298" s="90"/>
      <x:c r="K298" s="90"/>
      <x:c r="L298" s="90"/>
      <x:c r="M298" s="90"/>
      <x:c r="N298" s="90"/>
      <x:c r="O298" s="89"/>
      <x:c r="P298" s="89"/>
      <x:c r="Q298" s="89"/>
      <x:c r="AF298" s="75"/>
    </x:row>
    <x:row r="299" spans="2:32" ht="15.5">
      <x:c r="B299" s="88"/>
      <x:c r="C299" s="89"/>
      <x:c r="D299" s="90"/>
      <x:c r="E299" s="90"/>
      <x:c r="F299" s="90"/>
      <x:c r="G299" s="90"/>
      <x:c r="H299" s="90"/>
      <x:c r="I299" s="90"/>
      <x:c r="J299" s="90"/>
      <x:c r="K299" s="90"/>
      <x:c r="L299" s="90"/>
      <x:c r="M299" s="90"/>
      <x:c r="N299" s="90"/>
      <x:c r="O299" s="89"/>
      <x:c r="P299" s="89"/>
      <x:c r="Q299" s="89"/>
      <x:c r="AF299" s="75"/>
    </x:row>
    <x:row r="300" spans="2:32" ht="15.5">
      <x:c r="B300" s="88"/>
      <x:c r="C300" s="89"/>
      <x:c r="D300" s="90"/>
      <x:c r="E300" s="90"/>
      <x:c r="F300" s="90"/>
      <x:c r="G300" s="90"/>
      <x:c r="H300" s="90"/>
      <x:c r="I300" s="90"/>
      <x:c r="J300" s="90"/>
      <x:c r="K300" s="90"/>
      <x:c r="L300" s="90"/>
      <x:c r="M300" s="90"/>
      <x:c r="N300" s="90"/>
      <x:c r="O300" s="89"/>
      <x:c r="P300" s="89"/>
      <x:c r="Q300" s="89"/>
      <x:c r="AF300" s="75"/>
    </x:row>
    <x:row r="301" spans="2:32" ht="15.5">
      <x:c r="B301" s="88"/>
      <x:c r="C301" s="89"/>
      <x:c r="D301" s="90"/>
      <x:c r="E301" s="90"/>
      <x:c r="F301" s="90"/>
      <x:c r="G301" s="90"/>
      <x:c r="H301" s="90"/>
      <x:c r="I301" s="90"/>
      <x:c r="J301" s="90"/>
      <x:c r="K301" s="90"/>
      <x:c r="L301" s="90"/>
      <x:c r="M301" s="90"/>
      <x:c r="N301" s="90"/>
      <x:c r="O301" s="89"/>
      <x:c r="P301" s="89"/>
      <x:c r="Q301" s="89"/>
      <x:c r="AF301" s="75"/>
    </x:row>
    <x:row r="302" spans="2:32" ht="15.5">
      <x:c r="B302" s="88"/>
      <x:c r="C302" s="89"/>
      <x:c r="D302" s="90"/>
      <x:c r="E302" s="90"/>
      <x:c r="F302" s="90"/>
      <x:c r="G302" s="90"/>
      <x:c r="H302" s="90"/>
      <x:c r="I302" s="90"/>
      <x:c r="J302" s="90"/>
      <x:c r="K302" s="90"/>
      <x:c r="L302" s="90"/>
      <x:c r="M302" s="90"/>
      <x:c r="N302" s="90"/>
      <x:c r="O302" s="89"/>
      <x:c r="P302" s="89"/>
      <x:c r="Q302" s="89"/>
      <x:c r="AF302" s="75"/>
    </x:row>
    <x:row r="303" spans="2:32" ht="15.5">
      <x:c r="B303" s="88"/>
      <x:c r="C303" s="89"/>
      <x:c r="D303" s="90"/>
      <x:c r="E303" s="90"/>
      <x:c r="F303" s="90"/>
      <x:c r="G303" s="90"/>
      <x:c r="H303" s="90"/>
      <x:c r="I303" s="90"/>
      <x:c r="J303" s="90"/>
      <x:c r="K303" s="90"/>
      <x:c r="L303" s="90"/>
      <x:c r="M303" s="90"/>
      <x:c r="N303" s="90"/>
      <x:c r="O303" s="89"/>
      <x:c r="P303" s="89"/>
      <x:c r="Q303" s="89"/>
      <x:c r="AF303" s="75"/>
    </x:row>
    <x:row r="304" spans="2:32" ht="15.5">
      <x:c r="B304" s="88"/>
      <x:c r="C304" s="89"/>
      <x:c r="D304" s="90"/>
      <x:c r="E304" s="90"/>
      <x:c r="F304" s="90"/>
      <x:c r="G304" s="90"/>
      <x:c r="H304" s="90"/>
      <x:c r="I304" s="90"/>
      <x:c r="J304" s="90"/>
      <x:c r="K304" s="90"/>
      <x:c r="L304" s="90"/>
      <x:c r="M304" s="90"/>
      <x:c r="N304" s="90"/>
      <x:c r="O304" s="89"/>
      <x:c r="P304" s="89"/>
      <x:c r="Q304" s="89"/>
      <x:c r="AF304" s="75"/>
    </x:row>
    <x:row r="305" spans="2:32" ht="15.5">
      <x:c r="B305" s="88"/>
      <x:c r="C305" s="89"/>
      <x:c r="D305" s="90"/>
      <x:c r="E305" s="90"/>
      <x:c r="F305" s="90"/>
      <x:c r="G305" s="90"/>
      <x:c r="H305" s="90"/>
      <x:c r="I305" s="90"/>
      <x:c r="J305" s="90"/>
      <x:c r="K305" s="90"/>
      <x:c r="L305" s="90"/>
      <x:c r="M305" s="90"/>
      <x:c r="N305" s="90"/>
      <x:c r="O305" s="89"/>
      <x:c r="P305" s="89"/>
      <x:c r="Q305" s="89"/>
      <x:c r="AF305" s="75"/>
    </x:row>
    <x:row r="306" spans="2:32" ht="15.5">
      <x:c r="B306" s="88"/>
      <x:c r="C306" s="89"/>
      <x:c r="D306" s="90"/>
      <x:c r="E306" s="90"/>
      <x:c r="F306" s="90"/>
      <x:c r="G306" s="90"/>
      <x:c r="H306" s="90"/>
      <x:c r="I306" s="90"/>
      <x:c r="J306" s="90"/>
      <x:c r="K306" s="90"/>
      <x:c r="L306" s="90"/>
      <x:c r="M306" s="90"/>
      <x:c r="N306" s="90"/>
      <x:c r="O306" s="89"/>
      <x:c r="P306" s="89"/>
      <x:c r="Q306" s="89"/>
      <x:c r="AF306" s="75"/>
    </x:row>
    <x:row r="307" spans="2:32" ht="15.5">
      <x:c r="B307" s="88"/>
      <x:c r="C307" s="89"/>
      <x:c r="D307" s="90"/>
      <x:c r="E307" s="90"/>
      <x:c r="F307" s="90"/>
      <x:c r="G307" s="90"/>
      <x:c r="H307" s="90"/>
      <x:c r="I307" s="90"/>
      <x:c r="J307" s="90"/>
      <x:c r="K307" s="90"/>
      <x:c r="L307" s="90"/>
      <x:c r="M307" s="90"/>
      <x:c r="N307" s="90"/>
      <x:c r="O307" s="89"/>
      <x:c r="P307" s="89"/>
      <x:c r="Q307" s="89"/>
      <x:c r="AF307" s="75"/>
    </x:row>
    <x:row r="308" spans="2:32" ht="15.5">
      <x:c r="B308" s="88"/>
      <x:c r="C308" s="89"/>
      <x:c r="D308" s="90"/>
      <x:c r="E308" s="90"/>
      <x:c r="F308" s="90"/>
      <x:c r="G308" s="90"/>
      <x:c r="H308" s="90"/>
      <x:c r="I308" s="90"/>
      <x:c r="J308" s="90"/>
      <x:c r="K308" s="90"/>
      <x:c r="L308" s="90"/>
      <x:c r="M308" s="90"/>
      <x:c r="N308" s="90"/>
      <x:c r="O308" s="89"/>
      <x:c r="P308" s="89"/>
      <x:c r="Q308" s="89"/>
      <x:c r="AF308" s="75"/>
    </x:row>
    <x:row r="309" spans="2:32" ht="15.5">
      <x:c r="B309" s="88"/>
      <x:c r="C309" s="89"/>
      <x:c r="D309" s="90"/>
      <x:c r="E309" s="90"/>
      <x:c r="F309" s="90"/>
      <x:c r="G309" s="90"/>
      <x:c r="H309" s="90"/>
      <x:c r="I309" s="90"/>
      <x:c r="J309" s="90"/>
      <x:c r="K309" s="90"/>
      <x:c r="L309" s="90"/>
      <x:c r="M309" s="90"/>
      <x:c r="N309" s="90"/>
      <x:c r="O309" s="89"/>
      <x:c r="P309" s="89"/>
      <x:c r="Q309" s="89"/>
      <x:c r="AF309" s="75"/>
    </x:row>
    <x:row r="310" spans="2:32" ht="15.5">
      <x:c r="B310" s="88"/>
      <x:c r="C310" s="89"/>
      <x:c r="D310" s="90"/>
      <x:c r="E310" s="90"/>
      <x:c r="F310" s="90"/>
      <x:c r="G310" s="90"/>
      <x:c r="H310" s="90"/>
      <x:c r="I310" s="90"/>
      <x:c r="J310" s="90"/>
      <x:c r="K310" s="90"/>
      <x:c r="L310" s="90"/>
      <x:c r="M310" s="90"/>
      <x:c r="N310" s="90"/>
      <x:c r="O310" s="89"/>
      <x:c r="P310" s="89"/>
      <x:c r="Q310" s="89"/>
      <x:c r="AF310" s="75"/>
    </x:row>
    <x:row r="311" spans="2:32" ht="15.5">
      <x:c r="B311" s="88"/>
      <x:c r="C311" s="89"/>
      <x:c r="D311" s="90"/>
      <x:c r="E311" s="90"/>
      <x:c r="F311" s="90"/>
      <x:c r="G311" s="90"/>
      <x:c r="H311" s="90"/>
      <x:c r="I311" s="90"/>
      <x:c r="J311" s="90"/>
      <x:c r="K311" s="90"/>
      <x:c r="L311" s="90"/>
      <x:c r="M311" s="90"/>
      <x:c r="N311" s="90"/>
      <x:c r="O311" s="89"/>
      <x:c r="P311" s="89"/>
      <x:c r="Q311" s="89"/>
      <x:c r="AF311" s="75"/>
    </x:row>
    <x:row r="312" spans="2:32" ht="15.5">
      <x:c r="B312" s="88"/>
      <x:c r="C312" s="89"/>
      <x:c r="D312" s="90"/>
      <x:c r="E312" s="90"/>
      <x:c r="F312" s="90"/>
      <x:c r="G312" s="90"/>
      <x:c r="H312" s="90"/>
      <x:c r="I312" s="90"/>
      <x:c r="J312" s="90"/>
      <x:c r="K312" s="90"/>
      <x:c r="L312" s="90"/>
      <x:c r="M312" s="90"/>
      <x:c r="N312" s="90"/>
      <x:c r="O312" s="89"/>
      <x:c r="P312" s="89"/>
      <x:c r="Q312" s="89"/>
      <x:c r="AF312" s="75"/>
    </x:row>
    <x:row r="313" spans="2:32" ht="15.5">
      <x:c r="B313" s="88"/>
      <x:c r="C313" s="89"/>
      <x:c r="D313" s="90"/>
      <x:c r="E313" s="90"/>
      <x:c r="F313" s="90"/>
      <x:c r="G313" s="90"/>
      <x:c r="H313" s="90"/>
      <x:c r="I313" s="90"/>
      <x:c r="J313" s="90"/>
      <x:c r="K313" s="90"/>
      <x:c r="L313" s="90"/>
      <x:c r="M313" s="90"/>
      <x:c r="N313" s="90"/>
      <x:c r="O313" s="89"/>
      <x:c r="P313" s="89"/>
      <x:c r="Q313" s="89"/>
      <x:c r="AF313" s="75"/>
    </x:row>
    <x:row r="314" spans="2:32" ht="15.5">
      <x:c r="B314" s="88"/>
      <x:c r="C314" s="89"/>
      <x:c r="D314" s="90"/>
      <x:c r="E314" s="90"/>
      <x:c r="F314" s="90"/>
      <x:c r="G314" s="90"/>
      <x:c r="H314" s="90"/>
      <x:c r="I314" s="90"/>
      <x:c r="J314" s="90"/>
      <x:c r="K314" s="90"/>
      <x:c r="L314" s="90"/>
      <x:c r="M314" s="90"/>
      <x:c r="N314" s="90"/>
      <x:c r="O314" s="89"/>
      <x:c r="P314" s="89"/>
      <x:c r="Q314" s="89"/>
      <x:c r="AF314" s="75"/>
    </x:row>
    <x:row r="315" spans="2:32" ht="15.5">
      <x:c r="B315" s="88"/>
      <x:c r="C315" s="89"/>
      <x:c r="D315" s="90"/>
      <x:c r="E315" s="90"/>
      <x:c r="F315" s="90"/>
      <x:c r="G315" s="90"/>
      <x:c r="H315" s="90"/>
      <x:c r="I315" s="90"/>
      <x:c r="J315" s="90"/>
      <x:c r="K315" s="90"/>
      <x:c r="L315" s="90"/>
      <x:c r="M315" s="90"/>
      <x:c r="N315" s="90"/>
      <x:c r="O315" s="89"/>
      <x:c r="P315" s="89"/>
      <x:c r="Q315" s="89"/>
      <x:c r="AF315" s="75"/>
    </x:row>
    <x:row r="316" spans="2:32" ht="15.5">
      <x:c r="B316" s="88"/>
      <x:c r="C316" s="89"/>
      <x:c r="D316" s="90"/>
      <x:c r="E316" s="90"/>
      <x:c r="F316" s="90"/>
      <x:c r="G316" s="90"/>
      <x:c r="H316" s="90"/>
      <x:c r="I316" s="90"/>
      <x:c r="J316" s="90"/>
      <x:c r="K316" s="90"/>
      <x:c r="L316" s="90"/>
      <x:c r="M316" s="90"/>
      <x:c r="N316" s="90"/>
      <x:c r="O316" s="89"/>
      <x:c r="P316" s="89"/>
      <x:c r="Q316" s="89"/>
      <x:c r="AF316" s="75"/>
    </x:row>
    <x:row r="317" spans="2:32" ht="15.5">
      <x:c r="B317" s="88"/>
      <x:c r="C317" s="89"/>
      <x:c r="D317" s="90"/>
      <x:c r="E317" s="90"/>
      <x:c r="F317" s="90"/>
      <x:c r="G317" s="90"/>
      <x:c r="H317" s="90"/>
      <x:c r="I317" s="90"/>
      <x:c r="J317" s="90"/>
      <x:c r="K317" s="90"/>
      <x:c r="L317" s="90"/>
      <x:c r="M317" s="90"/>
      <x:c r="N317" s="90"/>
      <x:c r="O317" s="89"/>
      <x:c r="P317" s="89"/>
      <x:c r="Q317" s="89"/>
      <x:c r="AF317" s="75"/>
    </x:row>
    <x:row r="318" spans="2:32" ht="15.5">
      <x:c r="B318" s="88"/>
      <x:c r="C318" s="89"/>
      <x:c r="D318" s="90"/>
      <x:c r="E318" s="90"/>
      <x:c r="F318" s="90"/>
      <x:c r="G318" s="90"/>
      <x:c r="H318" s="90"/>
      <x:c r="I318" s="90"/>
      <x:c r="J318" s="90"/>
      <x:c r="K318" s="90"/>
      <x:c r="L318" s="90"/>
      <x:c r="M318" s="90"/>
      <x:c r="N318" s="90"/>
      <x:c r="O318" s="89"/>
      <x:c r="P318" s="89"/>
      <x:c r="Q318" s="89"/>
      <x:c r="AF318" s="75"/>
    </x:row>
    <x:row r="319" spans="2:32" ht="15.5">
      <x:c r="B319" s="88"/>
      <x:c r="C319" s="89"/>
      <x:c r="D319" s="90"/>
      <x:c r="E319" s="90"/>
      <x:c r="F319" s="90"/>
      <x:c r="G319" s="90"/>
      <x:c r="H319" s="90"/>
      <x:c r="I319" s="90"/>
      <x:c r="J319" s="90"/>
      <x:c r="K319" s="90"/>
      <x:c r="L319" s="90"/>
      <x:c r="M319" s="90"/>
      <x:c r="N319" s="90"/>
      <x:c r="O319" s="89"/>
      <x:c r="P319" s="89"/>
      <x:c r="Q319" s="89"/>
      <x:c r="AF319" s="75"/>
    </x:row>
    <x:row r="320" spans="2:32" ht="15.5">
      <x:c r="B320" s="88"/>
      <x:c r="C320" s="89"/>
      <x:c r="D320" s="90"/>
      <x:c r="E320" s="90"/>
      <x:c r="F320" s="90"/>
      <x:c r="G320" s="90"/>
      <x:c r="H320" s="90"/>
      <x:c r="I320" s="90"/>
      <x:c r="J320" s="90"/>
      <x:c r="K320" s="90"/>
      <x:c r="L320" s="90"/>
      <x:c r="M320" s="90"/>
      <x:c r="N320" s="90"/>
      <x:c r="O320" s="89"/>
      <x:c r="P320" s="89"/>
      <x:c r="Q320" s="89"/>
      <x:c r="AF320" s="75"/>
    </x:row>
    <x:row r="321" spans="2:32" ht="15.5">
      <x:c r="B321" s="88"/>
      <x:c r="C321" s="89"/>
      <x:c r="D321" s="90"/>
      <x:c r="E321" s="90"/>
      <x:c r="F321" s="90"/>
      <x:c r="G321" s="90"/>
      <x:c r="H321" s="90"/>
      <x:c r="I321" s="90"/>
      <x:c r="J321" s="90"/>
      <x:c r="K321" s="90"/>
      <x:c r="L321" s="90"/>
      <x:c r="M321" s="90"/>
      <x:c r="N321" s="90"/>
      <x:c r="O321" s="89"/>
      <x:c r="P321" s="89"/>
      <x:c r="Q321" s="89"/>
      <x:c r="AF321" s="75"/>
    </x:row>
    <x:row r="322" spans="2:32" ht="15.5">
      <x:c r="B322" s="88"/>
      <x:c r="C322" s="89"/>
      <x:c r="D322" s="90"/>
      <x:c r="E322" s="90"/>
      <x:c r="F322" s="90"/>
      <x:c r="G322" s="90"/>
      <x:c r="H322" s="90"/>
      <x:c r="I322" s="90"/>
      <x:c r="J322" s="90"/>
      <x:c r="K322" s="90"/>
      <x:c r="L322" s="90"/>
      <x:c r="M322" s="90"/>
      <x:c r="N322" s="90"/>
      <x:c r="O322" s="89"/>
      <x:c r="P322" s="89"/>
      <x:c r="Q322" s="89"/>
      <x:c r="AF322" s="75"/>
    </x:row>
    <x:row r="323" spans="2:32" ht="15.5">
      <x:c r="B323" s="88"/>
      <x:c r="C323" s="89"/>
      <x:c r="D323" s="90"/>
      <x:c r="E323" s="90"/>
      <x:c r="F323" s="90"/>
      <x:c r="G323" s="90"/>
      <x:c r="H323" s="90"/>
      <x:c r="I323" s="90"/>
      <x:c r="J323" s="90"/>
      <x:c r="K323" s="90"/>
      <x:c r="L323" s="90"/>
      <x:c r="M323" s="90"/>
      <x:c r="N323" s="90"/>
      <x:c r="O323" s="89"/>
      <x:c r="P323" s="89"/>
      <x:c r="Q323" s="89"/>
      <x:c r="AF323" s="75"/>
    </x:row>
    <x:row r="324" spans="2:32" ht="15.5">
      <x:c r="B324" s="88"/>
      <x:c r="C324" s="89"/>
      <x:c r="D324" s="90"/>
      <x:c r="E324" s="90"/>
      <x:c r="F324" s="90"/>
      <x:c r="G324" s="90"/>
      <x:c r="H324" s="90"/>
      <x:c r="I324" s="90"/>
      <x:c r="J324" s="90"/>
      <x:c r="K324" s="90"/>
      <x:c r="L324" s="90"/>
      <x:c r="M324" s="90"/>
      <x:c r="N324" s="90"/>
      <x:c r="O324" s="89"/>
      <x:c r="P324" s="89"/>
      <x:c r="Q324" s="89"/>
      <x:c r="AF324" s="75"/>
    </x:row>
    <x:row r="325" spans="2:32" ht="15.5">
      <x:c r="B325" s="88"/>
      <x:c r="C325" s="89"/>
      <x:c r="D325" s="90"/>
      <x:c r="E325" s="90"/>
      <x:c r="F325" s="90"/>
      <x:c r="G325" s="90"/>
      <x:c r="H325" s="90"/>
      <x:c r="I325" s="90"/>
      <x:c r="J325" s="90"/>
      <x:c r="K325" s="90"/>
      <x:c r="L325" s="90"/>
      <x:c r="M325" s="90"/>
      <x:c r="N325" s="90"/>
      <x:c r="O325" s="89"/>
      <x:c r="P325" s="89"/>
      <x:c r="Q325" s="89"/>
      <x:c r="AF325" s="75"/>
    </x:row>
    <x:row r="326" spans="2:32" ht="15.5">
      <x:c r="B326" s="88"/>
      <x:c r="C326" s="89"/>
      <x:c r="D326" s="90"/>
      <x:c r="E326" s="90"/>
      <x:c r="F326" s="90"/>
      <x:c r="G326" s="90"/>
      <x:c r="H326" s="90"/>
      <x:c r="I326" s="90"/>
      <x:c r="J326" s="90"/>
      <x:c r="K326" s="90"/>
      <x:c r="L326" s="90"/>
      <x:c r="M326" s="90"/>
      <x:c r="N326" s="90"/>
      <x:c r="O326" s="89"/>
      <x:c r="P326" s="89"/>
      <x:c r="Q326" s="89"/>
      <x:c r="AF326" s="75"/>
    </x:row>
    <x:row r="327" spans="2:32" ht="15.5">
      <x:c r="B327" s="88"/>
      <x:c r="C327" s="89"/>
      <x:c r="D327" s="90"/>
      <x:c r="E327" s="90"/>
      <x:c r="F327" s="90"/>
      <x:c r="G327" s="90"/>
      <x:c r="H327" s="90"/>
      <x:c r="I327" s="90"/>
      <x:c r="J327" s="90"/>
      <x:c r="K327" s="90"/>
      <x:c r="L327" s="90"/>
      <x:c r="M327" s="90"/>
      <x:c r="N327" s="90"/>
      <x:c r="O327" s="89"/>
      <x:c r="P327" s="89"/>
      <x:c r="Q327" s="89"/>
      <x:c r="AF327" s="75"/>
    </x:row>
    <x:row r="328" spans="2:32" ht="15.5">
      <x:c r="B328" s="88"/>
      <x:c r="C328" s="89"/>
      <x:c r="D328" s="90"/>
      <x:c r="E328" s="90"/>
      <x:c r="F328" s="90"/>
      <x:c r="G328" s="90"/>
      <x:c r="H328" s="90"/>
      <x:c r="I328" s="90"/>
      <x:c r="J328" s="90"/>
      <x:c r="K328" s="90"/>
      <x:c r="L328" s="90"/>
      <x:c r="M328" s="90"/>
      <x:c r="N328" s="90"/>
      <x:c r="O328" s="89"/>
      <x:c r="P328" s="89"/>
      <x:c r="Q328" s="89"/>
      <x:c r="AF328" s="75"/>
    </x:row>
    <x:row r="329" spans="2:32" ht="15.5">
      <x:c r="B329" s="88"/>
      <x:c r="C329" s="89"/>
      <x:c r="D329" s="90"/>
      <x:c r="E329" s="90"/>
      <x:c r="F329" s="90"/>
      <x:c r="G329" s="90"/>
      <x:c r="H329" s="90"/>
      <x:c r="I329" s="90"/>
      <x:c r="J329" s="90"/>
      <x:c r="K329" s="90"/>
      <x:c r="L329" s="90"/>
      <x:c r="M329" s="90"/>
      <x:c r="N329" s="90"/>
      <x:c r="O329" s="89"/>
      <x:c r="P329" s="89"/>
      <x:c r="Q329" s="89"/>
      <x:c r="AF329" s="75"/>
    </x:row>
    <x:row r="330" spans="2:32" ht="15.5">
      <x:c r="B330" s="88"/>
      <x:c r="C330" s="89"/>
      <x:c r="D330" s="90"/>
      <x:c r="E330" s="90"/>
      <x:c r="F330" s="90"/>
      <x:c r="G330" s="90"/>
      <x:c r="H330" s="90"/>
      <x:c r="I330" s="90"/>
      <x:c r="J330" s="90"/>
      <x:c r="K330" s="90"/>
      <x:c r="L330" s="90"/>
      <x:c r="M330" s="90"/>
      <x:c r="N330" s="90"/>
      <x:c r="O330" s="89"/>
      <x:c r="P330" s="89"/>
      <x:c r="Q330" s="89"/>
      <x:c r="AF330" s="75"/>
    </x:row>
    <x:row r="331" spans="2:32" ht="15.5">
      <x:c r="B331" s="88"/>
      <x:c r="C331" s="89"/>
      <x:c r="D331" s="90"/>
      <x:c r="E331" s="90"/>
      <x:c r="F331" s="90"/>
      <x:c r="G331" s="90"/>
      <x:c r="H331" s="90"/>
      <x:c r="I331" s="90"/>
      <x:c r="J331" s="90"/>
      <x:c r="K331" s="90"/>
      <x:c r="L331" s="90"/>
      <x:c r="M331" s="90"/>
      <x:c r="N331" s="90"/>
      <x:c r="O331" s="89"/>
      <x:c r="P331" s="89"/>
      <x:c r="Q331" s="89"/>
      <x:c r="AF331" s="75"/>
    </x:row>
    <x:row r="332" spans="2:32" ht="15.5">
      <x:c r="B332" s="88"/>
      <x:c r="C332" s="89"/>
      <x:c r="D332" s="90"/>
      <x:c r="E332" s="90"/>
      <x:c r="F332" s="90"/>
      <x:c r="G332" s="90"/>
      <x:c r="H332" s="90"/>
      <x:c r="I332" s="90"/>
      <x:c r="J332" s="90"/>
      <x:c r="K332" s="90"/>
      <x:c r="L332" s="90"/>
      <x:c r="M332" s="90"/>
      <x:c r="N332" s="90"/>
      <x:c r="O332" s="89"/>
      <x:c r="P332" s="89"/>
      <x:c r="Q332" s="89"/>
      <x:c r="AF332" s="75"/>
    </x:row>
    <x:row r="333" spans="2:32" ht="15.5">
      <x:c r="B333" s="88"/>
      <x:c r="C333" s="89"/>
      <x:c r="D333" s="90"/>
      <x:c r="E333" s="90"/>
      <x:c r="F333" s="90"/>
      <x:c r="G333" s="90"/>
      <x:c r="H333" s="90"/>
      <x:c r="I333" s="90"/>
      <x:c r="J333" s="90"/>
      <x:c r="K333" s="90"/>
      <x:c r="L333" s="90"/>
      <x:c r="M333" s="90"/>
      <x:c r="N333" s="90"/>
      <x:c r="O333" s="89"/>
      <x:c r="P333" s="89"/>
      <x:c r="Q333" s="89"/>
      <x:c r="AF333" s="75"/>
    </x:row>
    <x:row r="334" spans="2:32" ht="15.5">
      <x:c r="B334" s="88"/>
      <x:c r="C334" s="89"/>
      <x:c r="D334" s="90"/>
      <x:c r="E334" s="90"/>
      <x:c r="F334" s="90"/>
      <x:c r="G334" s="90"/>
      <x:c r="H334" s="90"/>
      <x:c r="I334" s="90"/>
      <x:c r="J334" s="90"/>
      <x:c r="K334" s="90"/>
      <x:c r="L334" s="90"/>
      <x:c r="M334" s="90"/>
      <x:c r="N334" s="90"/>
      <x:c r="O334" s="89"/>
      <x:c r="P334" s="89"/>
      <x:c r="Q334" s="89"/>
      <x:c r="AF334" s="75"/>
    </x:row>
    <x:row r="335" spans="2:32" ht="15.5">
      <x:c r="B335" s="88"/>
      <x:c r="C335" s="89"/>
      <x:c r="D335" s="90"/>
      <x:c r="E335" s="90"/>
      <x:c r="F335" s="90"/>
      <x:c r="G335" s="90"/>
      <x:c r="H335" s="90"/>
      <x:c r="I335" s="90"/>
      <x:c r="J335" s="90"/>
      <x:c r="K335" s="90"/>
      <x:c r="L335" s="90"/>
      <x:c r="M335" s="90"/>
      <x:c r="N335" s="90"/>
      <x:c r="O335" s="89"/>
      <x:c r="P335" s="89"/>
      <x:c r="Q335" s="89"/>
      <x:c r="AF335" s="75"/>
    </x:row>
    <x:row r="336" spans="2:32" ht="15.5">
      <x:c r="B336" s="88"/>
      <x:c r="C336" s="89"/>
      <x:c r="D336" s="90"/>
      <x:c r="E336" s="90"/>
      <x:c r="F336" s="90"/>
      <x:c r="G336" s="90"/>
      <x:c r="H336" s="90"/>
      <x:c r="I336" s="90"/>
      <x:c r="J336" s="90"/>
      <x:c r="K336" s="90"/>
      <x:c r="L336" s="90"/>
      <x:c r="M336" s="90"/>
      <x:c r="N336" s="90"/>
      <x:c r="O336" s="89"/>
      <x:c r="P336" s="89"/>
      <x:c r="Q336" s="89"/>
      <x:c r="AF336" s="75"/>
    </x:row>
    <x:row r="337" spans="2:32" ht="15.5">
      <x:c r="B337" s="88"/>
      <x:c r="C337" s="89"/>
      <x:c r="D337" s="90"/>
      <x:c r="E337" s="90"/>
      <x:c r="F337" s="90"/>
      <x:c r="G337" s="90"/>
      <x:c r="H337" s="90"/>
      <x:c r="I337" s="90"/>
      <x:c r="J337" s="90"/>
      <x:c r="K337" s="90"/>
      <x:c r="L337" s="90"/>
      <x:c r="M337" s="90"/>
      <x:c r="N337" s="90"/>
      <x:c r="O337" s="89"/>
      <x:c r="P337" s="89"/>
      <x:c r="Q337" s="89"/>
      <x:c r="AF337" s="75"/>
    </x:row>
    <x:row r="338" spans="2:32" ht="15.5">
      <x:c r="B338" s="88"/>
      <x:c r="C338" s="89"/>
      <x:c r="D338" s="90"/>
      <x:c r="E338" s="90"/>
      <x:c r="F338" s="90"/>
      <x:c r="G338" s="90"/>
      <x:c r="H338" s="90"/>
      <x:c r="I338" s="90"/>
      <x:c r="J338" s="90"/>
      <x:c r="K338" s="90"/>
      <x:c r="L338" s="90"/>
      <x:c r="M338" s="90"/>
      <x:c r="N338" s="90"/>
      <x:c r="O338" s="89"/>
      <x:c r="P338" s="89"/>
      <x:c r="Q338" s="89"/>
      <x:c r="AF338" s="75"/>
    </x:row>
    <x:row r="339" spans="2:32" ht="15.5">
      <x:c r="B339" s="88"/>
      <x:c r="C339" s="89"/>
      <x:c r="D339" s="90"/>
      <x:c r="E339" s="90"/>
      <x:c r="F339" s="90"/>
      <x:c r="G339" s="90"/>
      <x:c r="H339" s="90"/>
      <x:c r="I339" s="90"/>
      <x:c r="J339" s="90"/>
      <x:c r="K339" s="90"/>
      <x:c r="L339" s="90"/>
      <x:c r="M339" s="90"/>
      <x:c r="N339" s="90"/>
      <x:c r="O339" s="89"/>
      <x:c r="P339" s="89"/>
      <x:c r="Q339" s="89"/>
      <x:c r="AF339" s="75"/>
    </x:row>
    <x:row r="340" spans="2:32" ht="15.5">
      <x:c r="B340" s="88"/>
      <x:c r="C340" s="89"/>
      <x:c r="D340" s="90"/>
      <x:c r="E340" s="90"/>
      <x:c r="F340" s="90"/>
      <x:c r="G340" s="90"/>
      <x:c r="H340" s="90"/>
      <x:c r="I340" s="90"/>
      <x:c r="J340" s="90"/>
      <x:c r="K340" s="90"/>
      <x:c r="L340" s="90"/>
      <x:c r="M340" s="90"/>
      <x:c r="N340" s="90"/>
      <x:c r="O340" s="89"/>
      <x:c r="P340" s="89"/>
      <x:c r="Q340" s="89"/>
      <x:c r="AF340" s="75"/>
    </x:row>
    <x:row r="341" spans="2:32" ht="15.5">
      <x:c r="B341" s="88"/>
      <x:c r="C341" s="89"/>
      <x:c r="D341" s="90"/>
      <x:c r="E341" s="90"/>
      <x:c r="F341" s="90"/>
      <x:c r="G341" s="90"/>
      <x:c r="H341" s="90"/>
      <x:c r="I341" s="90"/>
      <x:c r="J341" s="90"/>
      <x:c r="K341" s="90"/>
      <x:c r="L341" s="90"/>
      <x:c r="M341" s="90"/>
      <x:c r="N341" s="90"/>
      <x:c r="O341" s="89"/>
      <x:c r="P341" s="89"/>
      <x:c r="Q341" s="89"/>
      <x:c r="AF341" s="75"/>
    </x:row>
    <x:row r="342" spans="2:32" ht="15.5">
      <x:c r="B342" s="88"/>
      <x:c r="C342" s="89"/>
      <x:c r="D342" s="90"/>
      <x:c r="E342" s="90"/>
      <x:c r="F342" s="90"/>
      <x:c r="G342" s="90"/>
      <x:c r="H342" s="90"/>
      <x:c r="I342" s="90"/>
      <x:c r="J342" s="90"/>
      <x:c r="K342" s="90"/>
      <x:c r="L342" s="90"/>
      <x:c r="M342" s="90"/>
      <x:c r="N342" s="90"/>
      <x:c r="O342" s="89"/>
      <x:c r="P342" s="89"/>
      <x:c r="Q342" s="89"/>
      <x:c r="AF342" s="75"/>
    </x:row>
    <x:row r="343" spans="2:32" ht="15.5">
      <x:c r="B343" s="88"/>
      <x:c r="C343" s="89"/>
      <x:c r="D343" s="90"/>
      <x:c r="E343" s="90"/>
      <x:c r="F343" s="90"/>
      <x:c r="G343" s="90"/>
      <x:c r="H343" s="90"/>
      <x:c r="I343" s="90"/>
      <x:c r="J343" s="90"/>
      <x:c r="K343" s="90"/>
      <x:c r="L343" s="90"/>
      <x:c r="M343" s="90"/>
      <x:c r="N343" s="90"/>
      <x:c r="O343" s="89"/>
      <x:c r="P343" s="89"/>
      <x:c r="Q343" s="89"/>
      <x:c r="AF343" s="75"/>
    </x:row>
    <x:row r="344" spans="2:32" ht="15.5">
      <x:c r="B344" s="88"/>
      <x:c r="C344" s="89"/>
      <x:c r="D344" s="90"/>
      <x:c r="E344" s="90"/>
      <x:c r="F344" s="90"/>
      <x:c r="G344" s="90"/>
      <x:c r="H344" s="90"/>
      <x:c r="I344" s="90"/>
      <x:c r="J344" s="90"/>
      <x:c r="K344" s="90"/>
      <x:c r="L344" s="90"/>
      <x:c r="M344" s="90"/>
      <x:c r="N344" s="90"/>
      <x:c r="O344" s="89"/>
      <x:c r="P344" s="89"/>
      <x:c r="Q344" s="89"/>
      <x:c r="AF344" s="75"/>
    </x:row>
    <x:row r="345" spans="2:32" ht="15.5">
      <x:c r="B345" s="88"/>
      <x:c r="C345" s="89"/>
      <x:c r="D345" s="90"/>
      <x:c r="E345" s="90"/>
      <x:c r="F345" s="90"/>
      <x:c r="G345" s="90"/>
      <x:c r="H345" s="90"/>
      <x:c r="I345" s="90"/>
      <x:c r="J345" s="90"/>
      <x:c r="K345" s="90"/>
      <x:c r="L345" s="90"/>
      <x:c r="M345" s="90"/>
      <x:c r="N345" s="90"/>
      <x:c r="O345" s="89"/>
      <x:c r="P345" s="89"/>
      <x:c r="Q345" s="89"/>
      <x:c r="AF345" s="75"/>
    </x:row>
    <x:row r="346" spans="2:32" ht="15.5">
      <x:c r="B346" s="88"/>
      <x:c r="C346" s="89"/>
      <x:c r="D346" s="90"/>
      <x:c r="E346" s="90"/>
      <x:c r="F346" s="90"/>
      <x:c r="G346" s="90"/>
      <x:c r="H346" s="90"/>
      <x:c r="I346" s="90"/>
      <x:c r="J346" s="90"/>
      <x:c r="K346" s="90"/>
      <x:c r="L346" s="90"/>
      <x:c r="M346" s="90"/>
      <x:c r="N346" s="90"/>
      <x:c r="O346" s="89"/>
      <x:c r="P346" s="89"/>
      <x:c r="Q346" s="89"/>
      <x:c r="AF346" s="75"/>
    </x:row>
    <x:row r="347" spans="2:32" ht="15.5">
      <x:c r="B347" s="88"/>
      <x:c r="C347" s="89"/>
      <x:c r="D347" s="90"/>
      <x:c r="E347" s="90"/>
      <x:c r="F347" s="90"/>
      <x:c r="G347" s="90"/>
      <x:c r="H347" s="90"/>
      <x:c r="I347" s="90"/>
      <x:c r="J347" s="90"/>
      <x:c r="K347" s="90"/>
      <x:c r="L347" s="90"/>
      <x:c r="M347" s="90"/>
      <x:c r="N347" s="90"/>
      <x:c r="O347" s="89"/>
      <x:c r="P347" s="89"/>
      <x:c r="Q347" s="89"/>
      <x:c r="AF347" s="75"/>
    </x:row>
    <x:row r="348" spans="2:32" ht="15.5">
      <x:c r="B348" s="88"/>
      <x:c r="C348" s="89"/>
      <x:c r="D348" s="90"/>
      <x:c r="E348" s="90"/>
      <x:c r="F348" s="90"/>
      <x:c r="G348" s="90"/>
      <x:c r="H348" s="90"/>
      <x:c r="I348" s="90"/>
      <x:c r="J348" s="90"/>
      <x:c r="K348" s="90"/>
      <x:c r="L348" s="90"/>
      <x:c r="M348" s="90"/>
      <x:c r="N348" s="90"/>
      <x:c r="O348" s="89"/>
      <x:c r="P348" s="89"/>
      <x:c r="Q348" s="89"/>
      <x:c r="AF348" s="75"/>
    </x:row>
    <x:row r="349" spans="2:32" ht="15.5">
      <x:c r="B349" s="88"/>
      <x:c r="C349" s="89"/>
      <x:c r="D349" s="90"/>
      <x:c r="E349" s="90"/>
      <x:c r="F349" s="90"/>
      <x:c r="G349" s="90"/>
      <x:c r="H349" s="90"/>
      <x:c r="I349" s="90"/>
      <x:c r="J349" s="90"/>
      <x:c r="K349" s="90"/>
      <x:c r="L349" s="90"/>
      <x:c r="M349" s="90"/>
      <x:c r="N349" s="90"/>
      <x:c r="O349" s="89"/>
      <x:c r="P349" s="89"/>
      <x:c r="Q349" s="89"/>
      <x:c r="AF349" s="75"/>
    </x:row>
    <x:row r="350" spans="2:32" ht="15.5">
      <x:c r="B350" s="88"/>
      <x:c r="C350" s="89"/>
      <x:c r="D350" s="90"/>
      <x:c r="E350" s="90"/>
      <x:c r="F350" s="90"/>
      <x:c r="G350" s="90"/>
      <x:c r="H350" s="90"/>
      <x:c r="I350" s="90"/>
      <x:c r="J350" s="90"/>
      <x:c r="K350" s="90"/>
      <x:c r="L350" s="90"/>
      <x:c r="M350" s="90"/>
      <x:c r="N350" s="90"/>
      <x:c r="O350" s="89"/>
      <x:c r="P350" s="89"/>
      <x:c r="Q350" s="89"/>
      <x:c r="AF350" s="75"/>
    </x:row>
    <x:row r="351" spans="2:32" ht="15.5">
      <x:c r="B351" s="88"/>
      <x:c r="C351" s="89"/>
      <x:c r="D351" s="90"/>
      <x:c r="E351" s="90"/>
      <x:c r="F351" s="90"/>
      <x:c r="G351" s="90"/>
      <x:c r="H351" s="90"/>
      <x:c r="I351" s="90"/>
      <x:c r="J351" s="90"/>
      <x:c r="K351" s="90"/>
      <x:c r="L351" s="90"/>
      <x:c r="M351" s="90"/>
      <x:c r="N351" s="90"/>
      <x:c r="O351" s="89"/>
      <x:c r="P351" s="89"/>
      <x:c r="Q351" s="89"/>
      <x:c r="AF351" s="75"/>
    </x:row>
    <x:row r="352" spans="2:32" ht="15.5">
      <x:c r="B352" s="88"/>
      <x:c r="C352" s="89"/>
      <x:c r="D352" s="90"/>
      <x:c r="E352" s="90"/>
      <x:c r="F352" s="90"/>
      <x:c r="G352" s="90"/>
      <x:c r="H352" s="90"/>
      <x:c r="I352" s="90"/>
      <x:c r="J352" s="90"/>
      <x:c r="K352" s="90"/>
      <x:c r="L352" s="90"/>
      <x:c r="M352" s="90"/>
      <x:c r="N352" s="90"/>
      <x:c r="O352" s="89"/>
      <x:c r="P352" s="89"/>
      <x:c r="Q352" s="89"/>
      <x:c r="AF352" s="75"/>
    </x:row>
    <x:row r="353" spans="2:32" ht="15.5">
      <x:c r="B353" s="88"/>
      <x:c r="C353" s="89"/>
      <x:c r="D353" s="90"/>
      <x:c r="E353" s="90"/>
      <x:c r="F353" s="90"/>
      <x:c r="G353" s="90"/>
      <x:c r="H353" s="90"/>
      <x:c r="I353" s="90"/>
      <x:c r="J353" s="90"/>
      <x:c r="K353" s="90"/>
      <x:c r="L353" s="90"/>
      <x:c r="M353" s="90"/>
      <x:c r="N353" s="90"/>
      <x:c r="O353" s="89"/>
      <x:c r="P353" s="89"/>
      <x:c r="Q353" s="89"/>
      <x:c r="AF353" s="75"/>
    </x:row>
    <x:row r="354" spans="2:32" ht="15.5">
      <x:c r="B354" s="88"/>
      <x:c r="C354" s="89"/>
      <x:c r="D354" s="90"/>
      <x:c r="E354" s="90"/>
      <x:c r="F354" s="90"/>
      <x:c r="G354" s="90"/>
      <x:c r="H354" s="90"/>
      <x:c r="I354" s="90"/>
      <x:c r="J354" s="90"/>
      <x:c r="K354" s="90"/>
      <x:c r="L354" s="90"/>
      <x:c r="M354" s="90"/>
      <x:c r="N354" s="90"/>
      <x:c r="O354" s="89"/>
      <x:c r="P354" s="89"/>
      <x:c r="Q354" s="89"/>
      <x:c r="AF354" s="75"/>
    </x:row>
    <x:row r="355" spans="2:32" ht="15.5">
      <x:c r="B355" s="88"/>
      <x:c r="C355" s="89"/>
      <x:c r="D355" s="90"/>
      <x:c r="E355" s="90"/>
      <x:c r="F355" s="90"/>
      <x:c r="G355" s="90"/>
      <x:c r="H355" s="90"/>
      <x:c r="I355" s="90"/>
      <x:c r="J355" s="90"/>
      <x:c r="K355" s="90"/>
      <x:c r="L355" s="90"/>
      <x:c r="M355" s="90"/>
      <x:c r="N355" s="90"/>
      <x:c r="O355" s="89"/>
      <x:c r="P355" s="89"/>
      <x:c r="Q355" s="89"/>
      <x:c r="AF355" s="75"/>
    </x:row>
    <x:row r="356" spans="2:32" ht="15.5">
      <x:c r="B356" s="88"/>
      <x:c r="C356" s="89"/>
      <x:c r="D356" s="90"/>
      <x:c r="E356" s="90"/>
      <x:c r="F356" s="90"/>
      <x:c r="G356" s="90"/>
      <x:c r="H356" s="90"/>
      <x:c r="I356" s="90"/>
      <x:c r="J356" s="90"/>
      <x:c r="K356" s="90"/>
      <x:c r="L356" s="90"/>
      <x:c r="M356" s="90"/>
      <x:c r="N356" s="90"/>
      <x:c r="O356" s="89"/>
      <x:c r="P356" s="89"/>
      <x:c r="Q356" s="89"/>
      <x:c r="AF356" s="75"/>
    </x:row>
    <x:row r="357" spans="2:32" ht="15.5">
      <x:c r="B357" s="88"/>
      <x:c r="C357" s="89"/>
      <x:c r="D357" s="90"/>
      <x:c r="E357" s="90"/>
      <x:c r="F357" s="90"/>
      <x:c r="G357" s="90"/>
      <x:c r="H357" s="90"/>
      <x:c r="I357" s="90"/>
      <x:c r="J357" s="90"/>
      <x:c r="K357" s="90"/>
      <x:c r="L357" s="90"/>
      <x:c r="M357" s="90"/>
      <x:c r="N357" s="90"/>
      <x:c r="O357" s="89"/>
      <x:c r="P357" s="89"/>
      <x:c r="Q357" s="89"/>
      <x:c r="AF357" s="75"/>
    </x:row>
    <x:row r="358" spans="2:32" ht="15.5">
      <x:c r="B358" s="88"/>
      <x:c r="C358" s="89"/>
      <x:c r="D358" s="90"/>
      <x:c r="E358" s="90"/>
      <x:c r="F358" s="90"/>
      <x:c r="G358" s="90"/>
      <x:c r="H358" s="90"/>
      <x:c r="I358" s="90"/>
      <x:c r="J358" s="90"/>
      <x:c r="K358" s="90"/>
      <x:c r="L358" s="90"/>
      <x:c r="M358" s="90"/>
      <x:c r="N358" s="90"/>
      <x:c r="O358" s="89"/>
      <x:c r="P358" s="89"/>
      <x:c r="Q358" s="89"/>
      <x:c r="AF358" s="75"/>
    </x:row>
    <x:row r="359" spans="2:32" ht="15.5">
      <x:c r="B359" s="88"/>
      <x:c r="C359" s="89"/>
      <x:c r="D359" s="90"/>
      <x:c r="E359" s="90"/>
      <x:c r="F359" s="90"/>
      <x:c r="G359" s="90"/>
      <x:c r="H359" s="90"/>
      <x:c r="I359" s="90"/>
      <x:c r="J359" s="90"/>
      <x:c r="K359" s="90"/>
      <x:c r="L359" s="90"/>
      <x:c r="M359" s="90"/>
      <x:c r="N359" s="90"/>
      <x:c r="O359" s="89"/>
      <x:c r="P359" s="89"/>
      <x:c r="Q359" s="89"/>
      <x:c r="AF359" s="75"/>
    </x:row>
    <x:row r="360" spans="2:32" ht="15.5">
      <x:c r="B360" s="88"/>
      <x:c r="C360" s="89"/>
      <x:c r="D360" s="90"/>
      <x:c r="E360" s="90"/>
      <x:c r="F360" s="90"/>
      <x:c r="G360" s="90"/>
      <x:c r="H360" s="90"/>
      <x:c r="I360" s="90"/>
      <x:c r="J360" s="90"/>
      <x:c r="K360" s="90"/>
      <x:c r="L360" s="90"/>
      <x:c r="M360" s="90"/>
      <x:c r="N360" s="90"/>
      <x:c r="O360" s="89"/>
      <x:c r="P360" s="89"/>
      <x:c r="Q360" s="89"/>
      <x:c r="AF360" s="75"/>
    </x:row>
    <x:row r="361" spans="2:32" ht="15.5">
      <x:c r="B361" s="88"/>
      <x:c r="C361" s="89"/>
      <x:c r="D361" s="90"/>
      <x:c r="E361" s="90"/>
      <x:c r="F361" s="90"/>
      <x:c r="G361" s="90"/>
      <x:c r="H361" s="90"/>
      <x:c r="I361" s="90"/>
      <x:c r="J361" s="90"/>
      <x:c r="K361" s="90"/>
      <x:c r="L361" s="90"/>
      <x:c r="M361" s="90"/>
      <x:c r="N361" s="90"/>
      <x:c r="O361" s="89"/>
      <x:c r="P361" s="89"/>
      <x:c r="Q361" s="89"/>
      <x:c r="AF361" s="75"/>
    </x:row>
    <x:row r="362" spans="2:32" ht="15.5">
      <x:c r="B362" s="88"/>
      <x:c r="C362" s="89"/>
      <x:c r="D362" s="90"/>
      <x:c r="E362" s="90"/>
      <x:c r="F362" s="90"/>
      <x:c r="G362" s="90"/>
      <x:c r="H362" s="90"/>
      <x:c r="I362" s="90"/>
      <x:c r="J362" s="90"/>
      <x:c r="K362" s="90"/>
      <x:c r="L362" s="90"/>
      <x:c r="M362" s="90"/>
      <x:c r="N362" s="90"/>
      <x:c r="O362" s="89"/>
      <x:c r="P362" s="89"/>
      <x:c r="Q362" s="89"/>
      <x:c r="AF362" s="75"/>
    </x:row>
    <x:row r="363" spans="2:32" ht="15.5">
      <x:c r="B363" s="88"/>
      <x:c r="C363" s="89"/>
      <x:c r="D363" s="90"/>
      <x:c r="E363" s="90"/>
      <x:c r="F363" s="90"/>
      <x:c r="G363" s="90"/>
      <x:c r="H363" s="90"/>
      <x:c r="I363" s="90"/>
      <x:c r="J363" s="90"/>
      <x:c r="K363" s="90"/>
      <x:c r="L363" s="90"/>
      <x:c r="M363" s="90"/>
      <x:c r="N363" s="90"/>
      <x:c r="O363" s="89"/>
      <x:c r="P363" s="89"/>
      <x:c r="Q363" s="89"/>
      <x:c r="AF363" s="75"/>
    </x:row>
    <x:row r="364" spans="2:32" ht="15.5">
      <x:c r="B364" s="88"/>
      <x:c r="C364" s="89"/>
      <x:c r="D364" s="90"/>
      <x:c r="E364" s="90"/>
      <x:c r="F364" s="90"/>
      <x:c r="G364" s="90"/>
      <x:c r="H364" s="90"/>
      <x:c r="I364" s="90"/>
      <x:c r="J364" s="90"/>
      <x:c r="K364" s="90"/>
      <x:c r="L364" s="90"/>
      <x:c r="M364" s="90"/>
      <x:c r="N364" s="90"/>
      <x:c r="O364" s="89"/>
      <x:c r="P364" s="89"/>
      <x:c r="Q364" s="89"/>
      <x:c r="AF364" s="75"/>
    </x:row>
    <x:row r="365" spans="2:32" ht="15.5">
      <x:c r="B365" s="88"/>
      <x:c r="C365" s="89"/>
      <x:c r="D365" s="90"/>
      <x:c r="E365" s="90"/>
      <x:c r="F365" s="90"/>
      <x:c r="G365" s="90"/>
      <x:c r="H365" s="90"/>
      <x:c r="I365" s="90"/>
      <x:c r="J365" s="90"/>
      <x:c r="K365" s="90"/>
      <x:c r="L365" s="90"/>
      <x:c r="M365" s="90"/>
      <x:c r="N365" s="90"/>
      <x:c r="O365" s="89"/>
      <x:c r="P365" s="89"/>
      <x:c r="Q365" s="89"/>
      <x:c r="AF365" s="75"/>
    </x:row>
    <x:row r="366" spans="2:32" ht="15.5">
      <x:c r="B366" s="88"/>
      <x:c r="C366" s="89"/>
      <x:c r="D366" s="90"/>
      <x:c r="E366" s="90"/>
      <x:c r="F366" s="90"/>
      <x:c r="G366" s="90"/>
      <x:c r="H366" s="90"/>
      <x:c r="I366" s="90"/>
      <x:c r="J366" s="90"/>
      <x:c r="K366" s="90"/>
      <x:c r="L366" s="90"/>
      <x:c r="M366" s="90"/>
      <x:c r="N366" s="90"/>
      <x:c r="O366" s="89"/>
      <x:c r="P366" s="89"/>
      <x:c r="Q366" s="89"/>
      <x:c r="AF366" s="75"/>
    </x:row>
    <x:row r="367" spans="2:32" ht="15.5">
      <x:c r="B367" s="88"/>
      <x:c r="C367" s="89"/>
      <x:c r="D367" s="90"/>
      <x:c r="E367" s="90"/>
      <x:c r="F367" s="90"/>
      <x:c r="G367" s="90"/>
      <x:c r="H367" s="90"/>
      <x:c r="I367" s="90"/>
      <x:c r="J367" s="90"/>
      <x:c r="K367" s="90"/>
      <x:c r="L367" s="90"/>
      <x:c r="M367" s="90"/>
      <x:c r="N367" s="90"/>
      <x:c r="O367" s="89"/>
      <x:c r="P367" s="89"/>
      <x:c r="Q367" s="89"/>
      <x:c r="AF367" s="75"/>
    </x:row>
    <x:row r="368" spans="2:32" ht="15.5">
      <x:c r="B368" s="88"/>
      <x:c r="C368" s="89"/>
      <x:c r="D368" s="90"/>
      <x:c r="E368" s="90"/>
      <x:c r="F368" s="90"/>
      <x:c r="G368" s="90"/>
      <x:c r="H368" s="90"/>
      <x:c r="I368" s="90"/>
      <x:c r="J368" s="90"/>
      <x:c r="K368" s="90"/>
      <x:c r="L368" s="90"/>
      <x:c r="M368" s="90"/>
      <x:c r="N368" s="90"/>
      <x:c r="O368" s="89"/>
      <x:c r="P368" s="89"/>
      <x:c r="Q368" s="89"/>
      <x:c r="AF368" s="75"/>
    </x:row>
    <x:row r="369" spans="2:32" ht="15.5">
      <x:c r="B369" s="88"/>
      <x:c r="C369" s="89"/>
      <x:c r="D369" s="90"/>
      <x:c r="E369" s="90"/>
      <x:c r="F369" s="90"/>
      <x:c r="G369" s="90"/>
      <x:c r="H369" s="90"/>
      <x:c r="I369" s="90"/>
      <x:c r="J369" s="90"/>
      <x:c r="K369" s="90"/>
      <x:c r="L369" s="90"/>
      <x:c r="M369" s="90"/>
      <x:c r="N369" s="90"/>
      <x:c r="O369" s="89"/>
      <x:c r="P369" s="89"/>
      <x:c r="Q369" s="89"/>
      <x:c r="AF369" s="75"/>
    </x:row>
    <x:row r="370" spans="2:32" ht="15.5">
      <x:c r="B370" s="88"/>
      <x:c r="C370" s="89"/>
      <x:c r="D370" s="90"/>
      <x:c r="E370" s="90"/>
      <x:c r="F370" s="90"/>
      <x:c r="G370" s="90"/>
      <x:c r="H370" s="90"/>
      <x:c r="I370" s="90"/>
      <x:c r="J370" s="90"/>
      <x:c r="K370" s="90"/>
      <x:c r="L370" s="90"/>
      <x:c r="M370" s="90"/>
      <x:c r="N370" s="90"/>
      <x:c r="O370" s="89"/>
      <x:c r="P370" s="89"/>
      <x:c r="Q370" s="89"/>
      <x:c r="AF370" s="75"/>
    </x:row>
    <x:row r="371" spans="2:32" ht="15.5">
      <x:c r="B371" s="88"/>
      <x:c r="C371" s="89"/>
      <x:c r="D371" s="90"/>
      <x:c r="E371" s="90"/>
      <x:c r="F371" s="90"/>
      <x:c r="G371" s="90"/>
      <x:c r="H371" s="90"/>
      <x:c r="I371" s="90"/>
      <x:c r="J371" s="90"/>
      <x:c r="K371" s="90"/>
      <x:c r="L371" s="90"/>
      <x:c r="M371" s="90"/>
      <x:c r="N371" s="90"/>
      <x:c r="O371" s="89"/>
      <x:c r="P371" s="89"/>
      <x:c r="Q371" s="89"/>
      <x:c r="AF371" s="75"/>
    </x:row>
    <x:row r="372" spans="2:32" ht="15.5">
      <x:c r="B372" s="88"/>
      <x:c r="C372" s="89"/>
      <x:c r="D372" s="90"/>
      <x:c r="E372" s="90"/>
      <x:c r="F372" s="90"/>
      <x:c r="G372" s="90"/>
      <x:c r="H372" s="90"/>
      <x:c r="I372" s="90"/>
      <x:c r="J372" s="90"/>
      <x:c r="K372" s="90"/>
      <x:c r="L372" s="90"/>
      <x:c r="M372" s="90"/>
      <x:c r="N372" s="90"/>
      <x:c r="O372" s="89"/>
      <x:c r="P372" s="89"/>
      <x:c r="Q372" s="89"/>
      <x:c r="AF372" s="75"/>
    </x:row>
    <x:row r="373" spans="2:32" ht="15.5">
      <x:c r="B373" s="88"/>
      <x:c r="C373" s="89"/>
      <x:c r="D373" s="90"/>
      <x:c r="E373" s="90"/>
      <x:c r="F373" s="90"/>
      <x:c r="G373" s="90"/>
      <x:c r="H373" s="90"/>
      <x:c r="I373" s="90"/>
      <x:c r="J373" s="90"/>
      <x:c r="K373" s="90"/>
      <x:c r="L373" s="90"/>
      <x:c r="M373" s="90"/>
      <x:c r="N373" s="90"/>
      <x:c r="O373" s="89"/>
      <x:c r="P373" s="89"/>
      <x:c r="Q373" s="89"/>
      <x:c r="AF373" s="75"/>
    </x:row>
    <x:row r="374" spans="2:32" ht="15.5">
      <x:c r="B374" s="88"/>
      <x:c r="C374" s="89"/>
      <x:c r="D374" s="90"/>
      <x:c r="E374" s="90"/>
      <x:c r="F374" s="90"/>
      <x:c r="G374" s="90"/>
      <x:c r="H374" s="90"/>
      <x:c r="I374" s="90"/>
      <x:c r="J374" s="90"/>
      <x:c r="K374" s="90"/>
      <x:c r="L374" s="90"/>
      <x:c r="M374" s="90"/>
      <x:c r="N374" s="90"/>
      <x:c r="O374" s="89"/>
      <x:c r="P374" s="89"/>
      <x:c r="Q374" s="89"/>
      <x:c r="AF374" s="75"/>
    </x:row>
    <x:row r="375" spans="2:32" ht="15.5">
      <x:c r="B375" s="88"/>
      <x:c r="C375" s="89"/>
      <x:c r="D375" s="90"/>
      <x:c r="E375" s="90"/>
      <x:c r="F375" s="90"/>
      <x:c r="G375" s="90"/>
      <x:c r="H375" s="90"/>
      <x:c r="I375" s="90"/>
      <x:c r="J375" s="90"/>
      <x:c r="K375" s="90"/>
      <x:c r="L375" s="90"/>
      <x:c r="M375" s="90"/>
      <x:c r="N375" s="90"/>
      <x:c r="O375" s="89"/>
      <x:c r="P375" s="89"/>
      <x:c r="Q375" s="89"/>
      <x:c r="AF375" s="75"/>
    </x:row>
    <x:row r="376" spans="2:32" ht="15.5">
      <x:c r="B376" s="88"/>
      <x:c r="C376" s="89"/>
      <x:c r="D376" s="90"/>
      <x:c r="E376" s="90"/>
      <x:c r="F376" s="90"/>
      <x:c r="G376" s="90"/>
      <x:c r="H376" s="90"/>
      <x:c r="I376" s="90"/>
      <x:c r="J376" s="90"/>
      <x:c r="K376" s="90"/>
      <x:c r="L376" s="90"/>
      <x:c r="M376" s="90"/>
      <x:c r="N376" s="90"/>
      <x:c r="O376" s="89"/>
      <x:c r="P376" s="89"/>
      <x:c r="Q376" s="89"/>
      <x:c r="AF376" s="75"/>
    </x:row>
    <x:row r="377" spans="2:32" ht="15.5">
      <x:c r="B377" s="88"/>
      <x:c r="C377" s="89"/>
      <x:c r="D377" s="90"/>
      <x:c r="E377" s="90"/>
      <x:c r="F377" s="90"/>
      <x:c r="G377" s="90"/>
      <x:c r="H377" s="90"/>
      <x:c r="I377" s="90"/>
      <x:c r="J377" s="90"/>
      <x:c r="K377" s="90"/>
      <x:c r="L377" s="90"/>
      <x:c r="M377" s="90"/>
      <x:c r="N377" s="90"/>
      <x:c r="O377" s="89"/>
      <x:c r="P377" s="89"/>
      <x:c r="Q377" s="89"/>
      <x:c r="AF377" s="75"/>
    </x:row>
    <x:row r="378" spans="2:32" ht="15.5">
      <x:c r="B378" s="88"/>
      <x:c r="C378" s="89"/>
      <x:c r="D378" s="90"/>
      <x:c r="E378" s="90"/>
      <x:c r="F378" s="90"/>
      <x:c r="G378" s="90"/>
      <x:c r="H378" s="90"/>
      <x:c r="I378" s="90"/>
      <x:c r="J378" s="90"/>
      <x:c r="K378" s="90"/>
      <x:c r="L378" s="90"/>
      <x:c r="M378" s="90"/>
      <x:c r="N378" s="90"/>
      <x:c r="O378" s="89"/>
      <x:c r="P378" s="89"/>
      <x:c r="Q378" s="89"/>
      <x:c r="AF378" s="75"/>
    </x:row>
    <x:row r="379" spans="2:32" ht="15.5">
      <x:c r="B379" s="88"/>
      <x:c r="C379" s="89"/>
      <x:c r="D379" s="90"/>
      <x:c r="E379" s="90"/>
      <x:c r="F379" s="90"/>
      <x:c r="G379" s="90"/>
      <x:c r="H379" s="90"/>
      <x:c r="I379" s="90"/>
      <x:c r="J379" s="90"/>
      <x:c r="K379" s="90"/>
      <x:c r="L379" s="90"/>
      <x:c r="M379" s="90"/>
      <x:c r="N379" s="90"/>
      <x:c r="O379" s="89"/>
      <x:c r="P379" s="89"/>
      <x:c r="Q379" s="89"/>
      <x:c r="AF379" s="75"/>
    </x:row>
    <x:row r="1000">
      <x:c r="XX1000" s="142" t="n">
        <x:v>125713</x:v>
      </x:c>
    </x:row>
  </x:sheetData>
  <x:sheetProtection algorithmName="SHA-512" hashValue="cxItejCZOFLwyM4Gh5QzbHrY4AHzxL3Mj36YBkhrGzNiEpV0ZYtZvpJyGsYIgz7iQvDmQ/HVI9G8QTAcUZTY2g==" saltValue="BgX4OdBnsMqAQgHlWwKMsA==" spinCount="100000" sheet="1" objects="1" scenarios="1" formatCells="0"/>
  <x:hyperlinks>
    <x:hyperlink ref="B8" r:id="rId1" display="https://www.cbssports.com/nfl/players/1985374/justin-tucker/fantasy/" xr:uid="{C924F124-CD02-4654-9980-BC7F3072099E}"/>
    <x:hyperlink ref="B10" r:id="rId2" display="https://www.cbssports.com/nfl/players/1664151/dustin-hopkins/fantasy/" xr:uid="{6DBB4BDE-58A6-44D7-9B53-C80BCC263797}"/>
    <x:hyperlink ref="B11" r:id="rId3" display="https://www.cbssports.com/nfl/players/2820093/younghoe-koo/fantasy/" xr:uid="{92D7A1CC-F146-4EFA-B988-6F172198403F}"/>
    <x:hyperlink ref="B12" r:id="rId4" display="https://www.cbssports.com/nfl/players/2080295/jake-elliott/fantasy/" xr:uid="{B58FAF6D-9B7F-4E7D-9734-2AD90DD37A0F}"/>
    <x:hyperlink ref="B13" r:id="rId5" display="https://www.cbssports.com/nfl/players/2188356/tyler-bass/fantasy/" xr:uid="{0CE90F5D-D2C7-40BC-AD21-4AF8EE9DBF75}"/>
    <x:hyperlink ref="B14" r:id="rId6" display="https://www.cbssports.com/nfl/players/2968527/jake-moody/fantasy/" xr:uid="{68A38EB3-A3D4-48F6-AD2C-BA405EB1964E}"/>
    <x:hyperlink ref="B15" r:id="rId7" display="https://www.cbssports.com/nfl/players/2962681/evan-mcpherson/fantasy/" xr:uid="{AF578E85-4B64-41A9-8510-F026893A7778}"/>
    <x:hyperlink ref="B16" r:id="rId8" display="https://www.cbssports.com/nfl/players/2079862/daniel-carlson/fantasy/" xr:uid="{4C1C7CEF-D737-4EE5-B4C4-9C5B495E611E}"/>
    <x:hyperlink ref="B17" r:id="rId9" display="https://www.cbssports.com/nfl/players/2865368/riley-patterson/fantasy/" xr:uid="{DD93A260-4804-4ADE-A200-3B0600F16CF0}"/>
    <x:hyperlink ref="B18" r:id="rId10" display="https://www.cbssports.com/nfl/players/1971893/greg-zuerlein/fantasy/" xr:uid="{45BB292C-44CC-4EC1-A9E2-A12F1167ED72}"/>
    <x:hyperlink ref="B19" r:id="rId11" display="https://www.cbssports.com/nfl/players/2169640/jason-myers/fantasy/" xr:uid="{D74C2BEF-CE1E-4334-9890-C745E3D76AD0}"/>
    <x:hyperlink ref="B20" r:id="rId12" display="https://www.cbssports.com/nfl/players/2926810/greg-joseph/fantasy/" xr:uid="{AD86E665-812C-4A76-8F88-83EEE3A26077}"/>
    <x:hyperlink ref="B21" r:id="rId13" display="https://www.cbssports.com/nfl/players/2131909/jason-sanders/fantasy/" xr:uid="{DCB2C0AA-48C7-4C74-B4E9-350EE9F3200B}"/>
    <x:hyperlink ref="B23" r:id="rId14" display="https://www.cbssports.com/nfl/players/2221833/eddy-pineiro/fantasy/" xr:uid="{9B419359-CF05-4AB4-BABB-ECE6C22DADAD}"/>
    <x:hyperlink ref="B24" r:id="rId15" display="https://www.cbssports.com/nfl/players/3103638/tristan-vizcaino/fantasy/" xr:uid="{EC0EFAB4-E851-431E-94D3-69D5B75B64B1}"/>
    <x:hyperlink ref="B25" r:id="rId16" display="https://www.cbssports.com/nfl/players/558839/graham-gano/fantasy/" xr:uid="{0B562395-2604-4ACD-9499-B232161F0E9B}"/>
    <x:hyperlink ref="B26" r:id="rId17" display="https://www.cbssports.com/nfl/players/1724930/chris-boswell/fantasy/" xr:uid="{01AB29AE-DAC9-41D6-BD3B-1255F31B9268}"/>
    <x:hyperlink ref="B27" r:id="rId18" display="https://www.cbssports.com/nfl/players/2132690/cairo-santos/fantasy/" xr:uid="{7F1A6386-1E9B-44F0-B19D-357CD0849858}"/>
    <x:hyperlink ref="B28" r:id="rId19" display="https://www.cbssports.com/nfl/players/2870511/matt-gay/fantasy/" xr:uid="{C737E8D2-BC22-4737-A7CC-768804117F31}"/>
    <x:hyperlink ref="B29" r:id="rId20" display="https://www.cbssports.com/nfl/players/1996562/kaimi-fairbairn/fantasy/" xr:uid="{6B95ABDF-D7C6-4E7A-9ED6-A1F39A429EBF}"/>
    <x:hyperlink ref="B30" r:id="rId21" display="https://www.cbssports.com/nfl/players/2925140/mike-badgley/fantasy/" xr:uid="{3149DB43-C400-496E-AD92-0DF27CAB3CBF}"/>
    <x:hyperlink ref="B31" r:id="rId22" display="https://www.cbssports.com/nfl/players/2008545/wil-lutz/fantasy/" xr:uid="{B8BA1094-BB74-4BF4-B5B9-7D02ED57D6CE}"/>
    <x:hyperlink ref="B32" r:id="rId23" display="https://www.cbssports.com/nfl/players/2964074/chad-ryland/fantasy/" xr:uid="{E20E0DE1-569A-42B8-921E-8948BDC771F2}"/>
    <x:hyperlink ref="B33" r:id="rId24" display="https://www.cbssports.com/nfl/players/3167644/tanner-brown/fantasy/" xr:uid="{6EBB42D3-9B60-473F-AA34-241C0CB0B41B}"/>
    <x:hyperlink ref="B34" r:id="rId25" display="https://www.cbssports.com/nfl/players/3121034/cade-york/fantasy/" xr:uid="{41A35238-6BE0-4A94-B370-B6D6E6C287E9}"/>
    <x:hyperlink ref="B35" r:id="rId26" display="https://www.cbssports.com/nfl/players/2866578/anders-carlson/fantasy/" xr:uid="{37DFB3D1-4532-4075-A822-304AA407D7C7}"/>
    <x:hyperlink ref="B36" r:id="rId27" display="https://www.cbssports.com/nfl/players/1109832/matt-prater/fantasy/" xr:uid="{C6F1F0EC-3BB8-4E70-9B81-02E28B9ACF22}"/>
    <x:hyperlink ref="B37" r:id="rId28" display="https://www.cbssports.com/nfl/players/2165272/chase-mclaughlin/fantasy/" xr:uid="{5ACEBB60-82C7-4977-B3FD-B4CAAF8B1F68}"/>
    <x:hyperlink ref="B38" r:id="rId29" display="https://www.cbssports.com/nfl/players/2251107/caleb-shudak/fantasy/" xr:uid="{F3959EF1-CCDD-4E1A-ABE4-56B36378FC14}"/>
    <x:hyperlink ref="B39" r:id="rId30" display="https://www.cbssports.com/nfl/players/1630817/brett-maher/fantasy/" xr:uid="{879D1375-27EF-4325-A2D3-744A1AFF925F}"/>
    <x:hyperlink ref="B40" r:id="rId31" display="https://www.cbssports.com/nfl/players/2079797/elliott-fry/fantasy/" xr:uid="{C1A52A22-BE27-4EB0-ABA2-94BB142B05B1}"/>
    <x:hyperlink ref="B22" r:id="rId32" display="Brandon McManus K  JAC" xr:uid="{3CEA47ED-C246-4A90-9669-1FCA9DFF2B5E}"/>
    <x:hyperlink ref="B9" r:id="rId33" xr:uid="{F965CD90-2EA1-4224-91FC-5A8C16FF09E5}"/>
  </x:hyperlinks>
  <x:pageMargins left="0.7" right="0.7" top="0.75" bottom="0.75" header="0.3" footer="0.3"/>
  <x:pageSetup orientation="portrait" horizontalDpi="1200" verticalDpi="1200" r:id="rId34"/>
  <x:drawing r:id="rId35"/>
</x:worksheet>
</file>

<file path=xl/worksheets/sheet6.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ACBC8E8F-441E-4E4A-80C6-967F47F9A724}" mc:Ignorable="x14ac xr xr2 xr3">
  <x:sheetPr codeName="Sheet5">
    <x:tabColor rgb="FFFF3300"/>
  </x:sheetPr>
  <x:dimension ref="A1:AB286"/>
  <x:sheetViews>
    <x:sheetView showGridLines="0" workbookViewId="0">
      <x:selection activeCell="I22" sqref="I22"/>
    </x:sheetView>
  </x:sheetViews>
  <x:sheetFormatPr defaultColWidth="11.1796875" defaultRowHeight="14.5"/>
  <x:cols>
    <x:col min="1" max="1" width="8.90625" style="3" customWidth="1"/>
    <x:col min="2" max="2" width="30.6328125" style="3" customWidth="1"/>
    <x:col min="3" max="3" width="15.6328125" style="3" customWidth="1"/>
    <x:col min="4" max="4" width="16.81640625" style="3" bestFit="1" customWidth="1"/>
    <x:col min="5" max="8" width="15.6328125" style="3" customWidth="1"/>
    <x:col min="9" max="10" width="30.6328125" style="18" customWidth="1"/>
    <x:col min="11" max="23" width="15.6328125" style="18" customWidth="1"/>
    <x:col min="24" max="16384" width="11.1796875" style="18"/>
  </x:cols>
  <x:sheetData>
    <x:row r="1" spans="2:28" ht="15.5" customHeight="1" thickBot="1"/>
    <x:row r="2" spans="2:28" ht="31.5" thickBot="1">
      <x:c r="B2" s="40" t="s">
        <x:v>123</x:v>
      </x:c>
      <x:c r="C2" s="41"/>
      <x:c r="D2" s="41"/>
      <x:c r="E2" s="41"/>
      <x:c r="F2" s="41"/>
      <x:c r="G2" s="41"/>
      <x:c r="H2" s="41"/>
      <x:c r="I2" s="41"/>
      <x:c r="J2" s="42"/>
    </x:row>
    <x:row r="3" spans="2:28" ht="15" thickBot="1">
      <x:c r="B3" s="53"/>
      <x:c r="C3" s="53"/>
      <x:c r="D3" s="53"/>
      <x:c r="E3" s="53"/>
      <x:c r="F3" s="53"/>
      <x:c r="G3" s="53"/>
      <x:c r="H3" s="53"/>
      <x:c r="I3" s="53"/>
      <x:c r="J3" s="53"/>
    </x:row>
    <x:row r="4" spans="2:28" ht="23" thickBot="1">
      <x:c r="B4" s="45" t="str">
        <x:f>FileName</x:f>
        <x:v>Cleaning Up Fantasy Football</x:v>
      </x:c>
      <x:c r="C4" s="46"/>
      <x:c r="D4" s="46"/>
      <x:c r="E4" s="46"/>
      <x:c r="F4" s="46"/>
      <x:c r="G4" s="46"/>
      <x:c r="H4" s="46"/>
      <x:c r="I4" s="46"/>
      <x:c r="J4" s="47"/>
      <x:c r="O4" s="53"/>
      <x:c r="V4" s="53"/>
    </x:row>
    <x:row r="5" spans="2:28" ht="15" thickBot="1">
      <x:c r="B5" s="44"/>
      <x:c r="C5" s="44"/>
      <x:c r="D5" s="44"/>
      <x:c r="E5" s="44"/>
      <x:c r="F5" s="44"/>
      <x:c r="G5" s="44"/>
      <x:c r="H5" s="44"/>
      <x:c r="I5" s="44"/>
      <x:c r="J5" s="44"/>
      <x:c r="K5" s="53"/>
      <x:c r="L5" s="53"/>
      <x:c r="M5" s="53"/>
      <x:c r="N5" s="53"/>
      <x:c r="O5" s="53"/>
      <x:c r="V5" s="53"/>
    </x:row>
    <x:row r="6" spans="2:28" ht="22.5">
      <x:c r="B6" s="44"/>
      <x:c r="C6" s="44"/>
      <x:c r="D6" s="44"/>
      <x:c r="E6" s="44"/>
      <x:c r="F6" s="44"/>
      <x:c r="H6" s="48" t="s">
        <x:v>126</x:v>
      </x:c>
      <x:c r="I6" s="49"/>
      <x:c r="M6" s="53"/>
      <x:c r="N6" s="53"/>
      <x:c r="O6" s="53"/>
      <x:c r="P6" s="53"/>
      <x:c r="Q6" s="53"/>
      <x:c r="R6" s="53"/>
      <x:c r="S6" s="53"/>
      <x:c r="T6" s="53"/>
      <x:c r="U6" s="53"/>
      <x:c r="V6" s="53"/>
      <x:c r="W6" s="53"/>
      <x:c r="X6" s="53"/>
      <x:c r="Y6" s="53"/>
      <x:c r="Z6" s="53"/>
      <x:c r="AA6" s="53"/>
      <x:c r="AB6" s="53"/>
    </x:row>
    <x:row r="7" spans="2:28" ht="23" thickBot="1">
      <x:c r="B7" s="44"/>
      <x:c r="C7" s="44"/>
      <x:c r="D7" s="44"/>
      <x:c r="E7" s="44"/>
      <x:c r="F7" s="44"/>
      <x:c r="H7" s="50" t="s">
        <x:v>124</x:v>
      </x:c>
      <x:c r="I7" s="51"/>
      <x:c r="M7" s="53"/>
      <x:c r="N7" s="53"/>
      <x:c r="O7" s="53"/>
      <x:c r="P7" s="98"/>
      <x:c r="Q7" s="98"/>
      <x:c r="R7" s="98"/>
      <x:c r="S7" s="98"/>
      <x:c r="T7" s="98"/>
      <x:c r="U7" s="98"/>
      <x:c r="V7" s="98"/>
      <x:c r="W7" s="98"/>
      <x:c r="X7" s="98"/>
      <x:c r="Y7" s="98"/>
      <x:c r="Z7" s="98"/>
      <x:c r="AA7" s="98"/>
      <x:c r="AB7" s="98"/>
    </x:row>
    <x:row r="8" spans="2:28">
      <x:c r="B8" s="44"/>
      <x:c r="C8" s="44"/>
      <x:c r="D8" s="44"/>
      <x:c r="E8" s="44"/>
      <x:c r="F8" s="44"/>
      <x:c r="G8" s="53"/>
      <x:c r="H8" s="53"/>
      <x:c r="I8" s="53"/>
      <x:c r="J8" s="53"/>
      <x:c r="K8" s="53"/>
      <x:c r="L8" s="53"/>
      <x:c r="M8" s="53"/>
      <x:c r="N8" s="53"/>
      <x:c r="O8" s="53"/>
      <x:c r="P8" s="99"/>
      <x:c r="Q8" s="53"/>
      <x:c r="R8" s="53"/>
      <x:c r="S8" s="53"/>
      <x:c r="T8" s="53"/>
      <x:c r="U8" s="53"/>
      <x:c r="V8" s="53"/>
      <x:c r="W8" s="53"/>
      <x:c r="X8" s="53"/>
      <x:c r="Y8" s="53"/>
      <x:c r="Z8" s="53"/>
      <x:c r="AA8" s="53"/>
      <x:c r="AB8" s="53"/>
    </x:row>
    <x:row r="9" spans="2:28" ht="15" thickBot="1">
      <x:c r="B9" s="44"/>
      <x:c r="C9" s="44"/>
      <x:c r="D9" s="44"/>
      <x:c r="E9" s="44"/>
      <x:c r="F9" s="44"/>
      <x:c r="G9" s="18"/>
      <x:c r="H9" s="18"/>
      <x:c r="K9" s="53"/>
      <x:c r="L9" s="53"/>
      <x:c r="M9" s="53"/>
      <x:c r="N9" s="53"/>
      <x:c r="O9" s="53"/>
      <x:c r="P9" s="99"/>
      <x:c r="Q9" s="53"/>
      <x:c r="R9" s="53"/>
      <x:c r="S9" s="53"/>
      <x:c r="T9" s="53"/>
      <x:c r="U9" s="53"/>
      <x:c r="V9" s="53"/>
      <x:c r="W9" s="53"/>
      <x:c r="X9" s="53"/>
      <x:c r="Y9" s="53"/>
      <x:c r="Z9" s="53"/>
      <x:c r="AA9" s="53"/>
      <x:c r="AB9" s="53"/>
    </x:row>
    <x:row r="10" spans="2:28" ht="22.5">
      <x:c r="B10" s="44"/>
      <x:c r="C10" s="44"/>
      <x:c r="D10" s="44"/>
      <x:c r="E10" s="44"/>
      <x:c r="F10" s="44"/>
      <x:c r="H10" s="48" t="s">
        <x:v>127</x:v>
      </x:c>
      <x:c r="I10" s="49"/>
      <x:c r="K10" s="53"/>
      <x:c r="L10" s="53"/>
      <x:c r="M10" s="53"/>
      <x:c r="N10" s="53"/>
      <x:c r="O10" s="53"/>
      <x:c r="P10" s="53"/>
      <x:c r="Q10" s="53"/>
      <x:c r="R10" s="53"/>
      <x:c r="S10" s="53"/>
      <x:c r="T10" s="53"/>
      <x:c r="U10" s="53"/>
      <x:c r="V10" s="53"/>
      <x:c r="W10" s="53"/>
      <x:c r="X10" s="53"/>
      <x:c r="Y10" s="53"/>
      <x:c r="Z10" s="53"/>
      <x:c r="AA10" s="53"/>
      <x:c r="AB10" s="53"/>
    </x:row>
    <x:row r="11" spans="2:28" ht="15" thickBot="1">
      <x:c r="B11" s="44"/>
      <x:c r="C11" s="44"/>
      <x:c r="D11" s="44"/>
      <x:c r="E11" s="44"/>
      <x:c r="F11" s="53"/>
      <x:c r="H11" s="52" t="s">
        <x:v>836</x:v>
      </x:c>
      <x:c r="I11" s="51"/>
      <x:c r="K11" s="53"/>
      <x:c r="L11" s="53"/>
      <x:c r="M11" s="53"/>
      <x:c r="N11" s="53"/>
      <x:c r="O11" s="53"/>
      <x:c r="P11" s="53"/>
      <x:c r="Q11" s="53"/>
      <x:c r="R11" s="53"/>
      <x:c r="S11" s="53"/>
      <x:c r="T11" s="53"/>
      <x:c r="U11" s="53"/>
      <x:c r="V11" s="53"/>
      <x:c r="W11" s="53"/>
      <x:c r="X11" s="53"/>
      <x:c r="Y11" s="53"/>
      <x:c r="Z11" s="53"/>
      <x:c r="AA11" s="53"/>
      <x:c r="AB11" s="53"/>
    </x:row>
    <x:row r="12" spans="2:28">
      <x:c r="B12" s="92"/>
      <x:c r="C12" s="92"/>
      <x:c r="D12" s="92"/>
      <x:c r="E12" s="92"/>
      <x:c r="F12" s="100"/>
      <x:c r="G12" s="53"/>
      <x:c r="H12" s="53"/>
      <x:c r="I12" s="53"/>
      <x:c r="J12" s="53"/>
      <x:c r="K12" s="53"/>
      <x:c r="L12" s="53"/>
      <x:c r="M12" s="53"/>
      <x:c r="N12" s="53"/>
      <x:c r="O12" s="53"/>
      <x:c r="P12" s="53"/>
      <x:c r="Q12" s="53"/>
      <x:c r="R12" s="53"/>
      <x:c r="S12" s="53"/>
      <x:c r="T12" s="53"/>
      <x:c r="U12" s="53"/>
      <x:c r="V12" s="53"/>
      <x:c r="W12" s="53"/>
      <x:c r="X12" s="53"/>
      <x:c r="Y12" s="53"/>
      <x:c r="Z12" s="53"/>
      <x:c r="AA12" s="53"/>
      <x:c r="AB12" s="53"/>
    </x:row>
    <x:row r="13" spans="2:28" ht="15.5" customHeight="1" thickBot="1">
      <x:c r="B13" s="53"/>
      <x:c r="C13" s="53"/>
      <x:c r="D13" s="53"/>
      <x:c r="E13" s="53"/>
      <x:c r="F13" s="53"/>
      <x:c r="G13" s="53"/>
      <x:c r="H13" s="53"/>
      <x:c r="I13" s="53"/>
      <x:c r="J13" s="53"/>
    </x:row>
    <x:row r="14" spans="2:28" ht="23" thickBot="1">
      <x:c r="B14" s="45" t="s">
        <x:v>21</x:v>
      </x:c>
      <x:c r="C14" s="46"/>
      <x:c r="D14" s="46"/>
      <x:c r="E14" s="46"/>
      <x:c r="F14" s="46"/>
      <x:c r="G14" s="46"/>
      <x:c r="H14" s="46"/>
      <x:c r="I14" s="46"/>
      <x:c r="J14" s="47"/>
    </x:row>
    <x:row r="15" spans="2:28" ht="14.5" customHeight="1">
      <x:c r="B15" s="101" t="s">
        <x:v>835</x:v>
      </x:c>
      <x:c r="C15" s="101"/>
      <x:c r="D15" s="101"/>
      <x:c r="E15" s="101"/>
      <x:c r="F15" s="101"/>
      <x:c r="G15" s="101"/>
      <x:c r="H15" s="101"/>
      <x:c r="I15" s="101"/>
      <x:c r="J15" s="101"/>
    </x:row>
    <x:row r="16" spans="2:28">
      <x:c r="B16" s="101"/>
      <x:c r="C16" s="101"/>
      <x:c r="D16" s="101"/>
      <x:c r="E16" s="101"/>
      <x:c r="F16" s="101"/>
      <x:c r="G16" s="101"/>
      <x:c r="H16" s="101"/>
      <x:c r="I16" s="101"/>
      <x:c r="J16" s="101"/>
    </x:row>
    <x:row r="17" spans="1:10" ht="38.5" customHeight="1">
      <x:c r="B17" s="101"/>
      <x:c r="C17" s="101"/>
      <x:c r="D17" s="101"/>
      <x:c r="E17" s="101"/>
      <x:c r="F17" s="101"/>
      <x:c r="G17" s="101"/>
      <x:c r="H17" s="101"/>
      <x:c r="I17" s="101"/>
      <x:c r="J17" s="101"/>
    </x:row>
    <x:row r="18" spans="1:10" ht="15" thickBot="1">
      <x:c r="B18" s="102"/>
      <x:c r="C18" s="102"/>
      <x:c r="D18" s="102"/>
      <x:c r="E18" s="102"/>
      <x:c r="F18" s="102"/>
      <x:c r="G18" s="102"/>
      <x:c r="H18" s="102"/>
    </x:row>
    <x:row r="19" spans="1:10" ht="23" thickBot="1">
      <x:c r="A19" s="103"/>
      <x:c r="B19" s="45" t="s">
        <x:v>455</x:v>
      </x:c>
      <x:c r="C19" s="46"/>
      <x:c r="D19" s="46"/>
      <x:c r="E19" s="46"/>
      <x:c r="F19" s="46"/>
      <x:c r="G19" s="46"/>
      <x:c r="H19" s="46"/>
      <x:c r="I19" s="46"/>
      <x:c r="J19" s="47"/>
    </x:row>
    <x:row r="20" spans="1:10" ht="15.5" customHeight="1">
      <x:c r="A20" s="103"/>
    </x:row>
    <x:row r="21" spans="1:10" ht="15.5" customHeight="1" thickBot="1">
      <x:c r="B21" s="114" t="s">
        <x:v>362</x:v>
      </x:c>
      <x:c r="F21" s="18"/>
      <x:c r="G21" s="18"/>
      <x:c r="I21" s="17" t="s">
        <x:v>355</x:v>
      </x:c>
      <x:c r="J21" s="17" t="s">
        <x:v>356</x:v>
      </x:c>
    </x:row>
    <x:row r="22" spans="1:10" ht="15.5" customHeight="1" thickBot="1">
      <x:c r="A22" s="30">
        <x:v>1</x:v>
      </x:c>
      <x:c r="B22" s="103" t="s">
        <x:v>357</x:v>
      </x:c>
      <x:c r="F22" s="18"/>
      <x:c r="G22" s="18"/>
      <x:c r="I22" s="36"/>
      <x:c r="J22" s="140">
        <x:f>BackgroundCalcs!AY2</x:f>
        <x:v>1491</x:v>
      </x:c>
    </x:row>
    <x:row r="23" spans="1:10" ht="15.5" customHeight="1" thickBot="1">
      <x:c r="A23" s="30">
        <x:v>2</x:v>
      </x:c>
      <x:c r="B23" s="103" t="s">
        <x:v>832</x:v>
      </x:c>
      <x:c r="F23" s="18"/>
      <x:c r="G23" s="18"/>
      <x:c r="I23" s="36"/>
      <x:c r="J23" s="140">
        <x:f>BackgroundCalcs!AY3</x:f>
        <x:v>11</x:v>
      </x:c>
    </x:row>
    <x:row r="24" spans="1:10" ht="15.5" customHeight="1" thickBot="1">
      <x:c r="A24" s="30">
        <x:v>3</x:v>
      </x:c>
      <x:c r="B24" s="103" t="s">
        <x:v>830</x:v>
      </x:c>
      <x:c r="F24" s="18"/>
      <x:c r="G24" s="18"/>
      <x:c r="I24" s="36"/>
      <x:c r="J24" s="140">
        <x:f>BackgroundCalcs!AY4</x:f>
        <x:v>88</x:v>
      </x:c>
    </x:row>
    <x:row r="25" spans="1:10" ht="15.5" customHeight="1" thickBot="1">
      <x:c r="A25" s="30">
        <x:v>4</x:v>
      </x:c>
      <x:c r="B25" s="103" t="s">
        <x:v>358</x:v>
      </x:c>
      <x:c r="F25" s="18"/>
      <x:c r="G25" s="18"/>
      <x:c r="I25" s="36"/>
      <x:c r="J25" s="140" t="str">
        <x:f>BackgroundCalcs!AY5</x:f>
        <x:v>Travis Kelce TE  KC</x:v>
      </x:c>
    </x:row>
    <x:row r="26" spans="1:10" ht="15.5" customHeight="1" thickBot="1">
      <x:c r="A26" s="30">
        <x:v>5</x:v>
      </x:c>
      <x:c r="B26" s="103" t="s">
        <x:v>834</x:v>
      </x:c>
      <x:c r="F26" s="18"/>
      <x:c r="G26" s="18"/>
      <x:c r="H26" s="17"/>
      <x:c r="I26" s="36"/>
      <x:c r="J26" s="140">
        <x:f>BackgroundCalcs!AY6</x:f>
        <x:v>21</x:v>
      </x:c>
    </x:row>
    <x:row r="27" spans="1:10" ht="15.5" customHeight="1" thickBot="1">
      <x:c r="A27" s="30">
        <x:v>6</x:v>
      </x:c>
      <x:c r="B27" s="103" t="s">
        <x:v>360</x:v>
      </x:c>
      <x:c r="F27" s="18"/>
      <x:c r="G27" s="18"/>
      <x:c r="H27" s="33"/>
      <x:c r="I27" s="36"/>
      <x:c r="J27" s="140" t="str">
        <x:f>BackgroundCalcs!AY7</x:f>
        <x:v>Clyde Edwards-Helaire</x:v>
      </x:c>
    </x:row>
    <x:row r="28" spans="1:10" ht="15.5" customHeight="1" thickBot="1">
      <x:c r="A28" s="30">
        <x:v>7</x:v>
      </x:c>
      <x:c r="B28" s="103" t="s">
        <x:v>359</x:v>
      </x:c>
      <x:c r="F28" s="18"/>
      <x:c r="G28" s="18"/>
      <x:c r="I28" s="36"/>
      <x:c r="J28" s="140" t="str">
        <x:f>BackgroundCalcs!AY8</x:f>
        <x:v>Clyde Edwards-Helaire</x:v>
      </x:c>
    </x:row>
    <x:row r="29" spans="1:10" ht="15.5" customHeight="1" thickBot="1">
      <x:c r="A29" s="103"/>
      <x:c r="B29" s="115"/>
    </x:row>
    <x:row r="30" spans="1:10" ht="23" thickBot="1">
      <x:c r="A30" s="103"/>
      <x:c r="B30" s="45" t="s">
        <x:v>361</x:v>
      </x:c>
      <x:c r="C30" s="46"/>
      <x:c r="D30" s="46"/>
      <x:c r="E30" s="46"/>
      <x:c r="F30" s="46"/>
      <x:c r="G30" s="46"/>
      <x:c r="H30" s="46"/>
      <x:c r="I30" s="46"/>
      <x:c r="J30" s="47"/>
    </x:row>
    <x:row r="31" spans="1:10" ht="15.5" customHeight="1">
      <x:c r="A31" s="103"/>
    </x:row>
    <x:row r="32" spans="1:10" ht="15.5" customHeight="1">
      <x:c r="B32" s="114" t="s">
        <x:v>458</x:v>
      </x:c>
    </x:row>
    <x:row r="33" spans="1:23" ht="15.5" customHeight="1">
      <x:c r="B33" s="104"/>
      <x:c r="C33" s="105"/>
      <x:c r="D33" s="106" t="s">
        <x:v>161</x:v>
      </x:c>
      <x:c r="E33" s="107"/>
      <x:c r="F33" s="107"/>
      <x:c r="G33" s="107"/>
      <x:c r="H33" s="107"/>
      <x:c r="I33" s="107"/>
      <x:c r="J33" s="107"/>
      <x:c r="K33" s="106" t="s">
        <x:v>162</x:v>
      </x:c>
      <x:c r="L33" s="107"/>
      <x:c r="M33" s="107"/>
      <x:c r="N33" s="107"/>
      <x:c r="O33" s="106" t="s">
        <x:v>163</x:v>
      </x:c>
      <x:c r="P33" s="107"/>
      <x:c r="Q33" s="107"/>
      <x:c r="R33" s="107"/>
      <x:c r="S33" s="107"/>
      <x:c r="T33" s="107"/>
      <x:c r="U33" s="108" t="s">
        <x:v>164</x:v>
      </x:c>
      <x:c r="V33" s="106" t="s">
        <x:v>165</x:v>
      </x:c>
      <x:c r="W33" s="109"/>
    </x:row>
    <x:row r="34" spans="1:23" ht="15.5" customHeight="1" thickBot="1">
      <x:c r="B34" s="38" t="s">
        <x:v>363</x:v>
      </x:c>
      <x:c r="C34" s="110" t="s">
        <x:v>147</x:v>
      </x:c>
      <x:c r="D34" s="110" t="s">
        <x:v>148</x:v>
      </x:c>
      <x:c r="E34" s="110" t="s">
        <x:v>149</x:v>
      </x:c>
      <x:c r="F34" s="110" t="s">
        <x:v>150</x:v>
      </x:c>
      <x:c r="G34" s="110" t="s">
        <x:v>151</x:v>
      </x:c>
      <x:c r="H34" s="110" t="s">
        <x:v>152</x:v>
      </x:c>
      <x:c r="I34" s="110" t="s">
        <x:v>153</x:v>
      </x:c>
      <x:c r="J34" s="110" t="s">
        <x:v>154</x:v>
      </x:c>
      <x:c r="K34" s="110" t="s">
        <x:v>148</x:v>
      </x:c>
      <x:c r="L34" s="110" t="s">
        <x:v>150</x:v>
      </x:c>
      <x:c r="M34" s="110" t="s">
        <x:v>155</x:v>
      </x:c>
      <x:c r="N34" s="110" t="s">
        <x:v>152</x:v>
      </x:c>
      <x:c r="O34" s="110" t="s">
        <x:v>156</x:v>
      </x:c>
      <x:c r="P34" s="110" t="s">
        <x:v>157</x:v>
      </x:c>
      <x:c r="Q34" s="110" t="s">
        <x:v>150</x:v>
      </x:c>
      <x:c r="R34" s="110" t="s">
        <x:v>151</x:v>
      </x:c>
      <x:c r="S34" s="110" t="s">
        <x:v>155</x:v>
      </x:c>
      <x:c r="T34" s="110" t="s">
        <x:v>152</x:v>
      </x:c>
      <x:c r="U34" s="110" t="s">
        <x:v>158</x:v>
      </x:c>
      <x:c r="V34" s="110" t="s">
        <x:v>159</x:v>
      </x:c>
      <x:c r="W34" s="110" t="s">
        <x:v>160</x:v>
      </x:c>
    </x:row>
    <x:row r="35" spans="1:23" ht="15.5" customHeight="1">
      <x:c r="B35" s="39" t="str">
        <x:f>BackgroundCalcs!Q2</x:f>
        <x:v>Brandin Cooks</x:v>
      </x:c>
      <x:c r="C35" s="4"/>
      <x:c r="D35" s="4"/>
      <x:c r="E35" s="4"/>
      <x:c r="F35" s="4"/>
      <x:c r="G35" s="4"/>
      <x:c r="H35" s="4"/>
      <x:c r="I35" s="4"/>
      <x:c r="J35" s="4"/>
      <x:c r="K35" s="4"/>
      <x:c r="L35" s="4"/>
      <x:c r="M35" s="4"/>
      <x:c r="N35" s="4"/>
      <x:c r="O35" s="4"/>
      <x:c r="P35" s="4"/>
      <x:c r="Q35" s="4"/>
      <x:c r="R35" s="4"/>
      <x:c r="S35" s="4"/>
      <x:c r="T35" s="4"/>
      <x:c r="U35" s="4"/>
      <x:c r="V35" s="4"/>
      <x:c r="W35" s="4"/>
    </x:row>
    <x:row r="37" spans="1:23" ht="15.5" customHeight="1" thickBot="1">
      <x:c r="B37" s="114"/>
      <x:c r="I37" s="17" t="s">
        <x:v>355</x:v>
      </x:c>
      <x:c r="J37" s="17" t="s">
        <x:v>356</x:v>
      </x:c>
    </x:row>
    <x:row r="38" spans="1:23" ht="15.5" customHeight="1" thickBot="1">
      <x:c r="A38" s="30">
        <x:v>8</x:v>
      </x:c>
      <x:c r="B38" s="103" t="str">
        <x:f>"How many rushing yards are projected for "&amp;B35&amp;"?"</x:f>
        <x:v>How many rushing yards are projected for Brandin Cooks?</x:v>
      </x:c>
      <x:c r="I38" s="37"/>
      <x:c r="J38" s="141">
        <x:f>BackgroundCalcs!AY9</x:f>
        <x:v>60</x:v>
      </x:c>
    </x:row>
    <x:row r="39" spans="1:23" ht="15.5" customHeight="1" thickBot="1">
      <x:c r="A39" s="30">
        <x:v>9</x:v>
      </x:c>
      <x:c r="B39" s="111" t="str">
        <x:f>"How many touch downs are projected for "&amp;B35&amp;"?"</x:f>
        <x:v>How many touch downs are projected for Brandin Cooks?</x:v>
      </x:c>
      <x:c r="I39" s="37"/>
      <x:c r="J39" s="141">
        <x:f>BackgroundCalcs!AY10</x:f>
        <x:v>42.6</x:v>
      </x:c>
    </x:row>
    <x:row r="40" spans="1:23" ht="15.5" customHeight="1" thickBot="1">
      <x:c r="A40" s="30">
        <x:v>10</x:v>
      </x:c>
      <x:c r="B40" s="103" t="str">
        <x:f>"How many total fantasy points are projected for "&amp;B35&amp;"?"</x:f>
        <x:v>How many total fantasy points are projected for Brandin Cooks?</x:v>
      </x:c>
      <x:c r="I40" s="37"/>
      <x:c r="J40" s="141">
        <x:f>BackgroundCalcs!AY11</x:f>
        <x:v>107</x:v>
      </x:c>
    </x:row>
    <x:row r="41" spans="1:23" ht="15.5" customHeight="1" thickBot="1">
      <x:c r="A41" s="30">
        <x:v>11</x:v>
      </x:c>
      <x:c r="B41" s="111" t="s">
        <x:v>831</x:v>
      </x:c>
      <x:c r="C41" s="18"/>
      <x:c r="D41" s="18"/>
      <x:c r="E41" s="18"/>
      <x:c r="I41" s="37"/>
      <x:c r="J41" s="141">
        <x:f>BackgroundCalcs!AY12</x:f>
        <x:v>1111.6000000000001</x:v>
      </x:c>
    </x:row>
    <x:row r="42" spans="1:23" ht="15.5" customHeight="1">
      <x:c r="A42" s="18"/>
      <x:c r="B42" s="18"/>
      <x:c r="C42" s="18"/>
      <x:c r="D42" s="18"/>
      <x:c r="E42" s="18"/>
      <x:c r="F42" s="18"/>
      <x:c r="G42" s="18"/>
      <x:c r="H42" s="18"/>
    </x:row>
    <x:row r="43" spans="1:23" ht="15.5" customHeight="1">
      <x:c r="A43" s="18"/>
      <x:c r="B43" s="114" t="s">
        <x:v>456</x:v>
      </x:c>
      <x:c r="C43" s="18"/>
      <x:c r="D43" s="18"/>
      <x:c r="E43" s="18"/>
      <x:c r="F43" s="18"/>
      <x:c r="G43" s="18"/>
      <x:c r="H43" s="18"/>
    </x:row>
    <x:row r="44" spans="1:23" ht="15.5" customHeight="1">
      <x:c r="A44" s="18"/>
      <x:c r="B44" s="18"/>
      <x:c r="C44" s="18"/>
      <x:c r="D44" s="18"/>
      <x:c r="E44" s="18"/>
      <x:c r="F44" s="18"/>
      <x:c r="G44" s="18"/>
      <x:c r="H44" s="18"/>
      <x:c r="I44" s="34"/>
    </x:row>
    <x:row r="45" spans="1:23" ht="15" thickBot="1">
      <x:c r="B45" s="38" t="s">
        <x:v>363</x:v>
      </x:c>
      <x:c r="C45" s="38" t="s">
        <x:v>354</x:v>
      </x:c>
      <x:c r="D45" s="38" t="s">
        <x:v>93</x:v>
      </x:c>
      <x:c r="E45" s="38" t="s">
        <x:v>364</x:v>
      </x:c>
    </x:row>
    <x:row r="46" spans="1:23">
      <x:c r="B46" s="39" t="str">
        <x:f>BackgroundCalcs!Q3</x:f>
        <x:v>Sam Howell</x:v>
      </x:c>
      <x:c r="C46" s="112" t="s">
        <x:v>368</x:v>
      </x:c>
      <x:c r="D46" s="4" t="s">
        <x:v>529</x:v>
      </x:c>
      <x:c r="E46" s="112"/>
    </x:row>
    <x:row r="47" spans="1:23">
      <x:c r="B47" s="39" t="str">
        <x:f>BackgroundCalcs!Q4</x:f>
        <x:v>Breece Hall</x:v>
      </x:c>
      <x:c r="C47" s="112" t="s">
        <x:v>367</x:v>
      </x:c>
      <x:c r="D47" s="4" t="s">
        <x:v>529</x:v>
      </x:c>
      <x:c r="E47" s="112"/>
    </x:row>
    <x:row r="48" spans="1:23">
      <x:c r="B48" s="39" t="str">
        <x:f>BackgroundCalcs!Q5</x:f>
        <x:v>Tyler Allgeier</x:v>
      </x:c>
      <x:c r="C48" s="4" t="s">
        <x:v>367</x:v>
      </x:c>
      <x:c r="D48" s="4" t="s">
        <x:v>529</x:v>
      </x:c>
      <x:c r="E48" s="112"/>
    </x:row>
    <x:row r="49" spans="1:10">
      <x:c r="B49" s="39" t="str">
        <x:f>BackgroundCalcs!Q6</x:f>
        <x:v>Jalen Nailor</x:v>
      </x:c>
      <x:c r="C49" s="4" t="s">
        <x:v>369</x:v>
      </x:c>
      <x:c r="D49" s="4" t="s">
        <x:v>529</x:v>
      </x:c>
      <x:c r="E49" s="112"/>
    </x:row>
    <x:row r="50" spans="1:10">
      <x:c r="B50" s="39" t="str">
        <x:f>BackgroundCalcs!Q7</x:f>
        <x:v>Calvin Ridley</x:v>
      </x:c>
      <x:c r="C50" s="4" t="s">
        <x:v>369</x:v>
      </x:c>
      <x:c r="D50" s="4" t="s">
        <x:v>529</x:v>
      </x:c>
      <x:c r="E50" s="112"/>
    </x:row>
    <x:row r="51" spans="1:10">
      <x:c r="B51" s="39" t="str">
        <x:f>BackgroundCalcs!Q8</x:f>
        <x:v>Tucker Kraft</x:v>
      </x:c>
      <x:c r="C51" s="4" t="s">
        <x:v>370</x:v>
      </x:c>
      <x:c r="D51" s="4" t="s">
        <x:v>529</x:v>
      </x:c>
      <x:c r="E51" s="112"/>
    </x:row>
    <x:row r="52" spans="1:10">
      <x:c r="B52" s="39" t="str">
        <x:f>BackgroundCalcs!Q9</x:f>
        <x:v>Minnesota</x:v>
      </x:c>
      <x:c r="C52" s="4" t="s">
        <x:v>371</x:v>
      </x:c>
      <x:c r="D52" s="4" t="s">
        <x:v>453</x:v>
      </x:c>
      <x:c r="E52" s="112"/>
    </x:row>
    <x:row r="53" spans="1:10">
      <x:c r="B53" s="39" t="str">
        <x:f>BackgroundCalcs!Q10</x:f>
        <x:v>Joshua Karty</x:v>
      </x:c>
      <x:c r="C53" s="4" t="s">
        <x:v>372</x:v>
      </x:c>
      <x:c r="D53" s="4" t="s">
        <x:v>454</x:v>
      </x:c>
      <x:c r="E53" s="112"/>
    </x:row>
    <x:row r="54" spans="1:10" ht="15" thickBot="1">
      <x:c r="D54" s="113"/>
      <x:c r="I54" s="17" t="s">
        <x:v>355</x:v>
      </x:c>
      <x:c r="J54" s="17" t="s">
        <x:v>356</x:v>
      </x:c>
    </x:row>
    <x:row r="55" spans="1:10" ht="15" thickBot="1">
      <x:c r="A55" s="30">
        <x:v>12</x:v>
      </x:c>
      <x:c r="B55" s="103" t="s">
        <x:v>365</x:v>
      </x:c>
      <x:c r="H55" s="17"/>
      <x:c r="I55" s="37"/>
      <x:c r="J55" s="141">
        <x:f>BackgroundCalcs!AY13</x:f>
        <x:v>51.9</x:v>
      </x:c>
    </x:row>
    <x:row r="57" spans="1:10" ht="15.5" customHeight="1">
      <x:c r="B57" s="114" t="s">
        <x:v>459</x:v>
      </x:c>
      <x:c r="E57" s="4"/>
      <x:c r="F57" s="32"/>
      <x:c r="G57" s="33"/>
      <x:c r="H57" s="33"/>
      <x:c r="I57" s="34"/>
    </x:row>
    <x:row r="58" spans="1:10" ht="15.5" customHeight="1">
      <x:c r="B58" s="18"/>
      <x:c r="C58" s="18"/>
      <x:c r="D58" s="18"/>
      <x:c r="E58" s="4"/>
      <x:c r="F58" s="32"/>
      <x:c r="G58" s="33"/>
      <x:c r="H58" s="33"/>
      <x:c r="I58" s="34"/>
    </x:row>
    <x:row r="59" spans="1:10" ht="15.5" customHeight="1" thickBot="1">
      <x:c r="B59" s="38" t="s">
        <x:v>457</x:v>
      </x:c>
      <x:c r="C59" s="38" t="s">
        <x:v>354</x:v>
      </x:c>
      <x:c r="D59" s="18"/>
      <x:c r="E59" s="111"/>
      <x:c r="F59" s="113"/>
      <x:c r="G59" s="111"/>
      <x:c r="H59" s="111"/>
      <x:c r="I59" s="34"/>
    </x:row>
    <x:row r="60" spans="1:10" ht="15.5" customHeight="1">
      <x:c r="B60" s="31" t="str">
        <x:f>BackgroundCalcs!Q11</x:f>
        <x:v>ARI</x:v>
      </x:c>
      <x:c r="C60" s="31" t="str">
        <x:f>BackgroundCalcs!Q12</x:f>
        <x:v>RB</x:v>
      </x:c>
      <x:c r="D60" s="18"/>
    </x:row>
    <x:row r="61" spans="1:10" ht="15.5" customHeight="1" thickBot="1">
      <x:c r="B61" s="18"/>
      <x:c r="C61" s="18"/>
      <x:c r="D61" s="18"/>
      <x:c r="I61" s="17" t="s">
        <x:v>355</x:v>
      </x:c>
      <x:c r="J61" s="17" t="s">
        <x:v>356</x:v>
      </x:c>
    </x:row>
    <x:row r="62" spans="1:10" ht="15.5" customHeight="1" thickBot="1">
      <x:c r="A62" s="30">
        <x:v>13</x:v>
      </x:c>
      <x:c r="B62" s="103" t="str">
        <x:f>"What is the sum of the Fantasy Points Per Game (FPPG) field for all of the "&amp;C60&amp;"s on the "&amp;B60&amp;" team?"</x:f>
        <x:v>What is the sum of the Fantasy Points Per Game (FPPG) field for all of the RBs on the ARI team?</x:v>
      </x:c>
      <x:c r="H62" s="18"/>
      <x:c r="I62" s="37"/>
      <x:c r="J62" s="141">
        <x:f>BackgroundCalcs!AY14</x:f>
        <x:v>17.900000000000002</x:v>
      </x:c>
    </x:row>
    <x:row r="63" spans="1:10" ht="15.5" customHeight="1">
      <x:c r="B63" s="18"/>
      <x:c r="C63" s="18"/>
      <x:c r="D63" s="18"/>
    </x:row>
    <x:row r="64" spans="1:10" ht="15.5" customHeight="1">
      <x:c r="D64" s="112"/>
    </x:row>
    <x:row r="65" spans="2:4" ht="15.5" customHeight="1">
      <x:c r="D65" s="4"/>
    </x:row>
    <x:row r="66" spans="2:4" ht="15.5" customHeight="1">
      <x:c r="D66" s="4"/>
    </x:row>
    <x:row r="67" spans="2:4" ht="15.5" customHeight="1">
      <x:c r="D67" s="4"/>
    </x:row>
    <x:row r="68" spans="2:4" ht="15.5" customHeight="1">
      <x:c r="D68" s="4"/>
    </x:row>
    <x:row r="69" spans="2:4" ht="15.5" customHeight="1"/>
    <x:row r="70" spans="2:4" ht="15.5" customHeight="1">
      <x:c r="B70" s="18"/>
      <x:c r="C70" s="18"/>
      <x:c r="D70" s="18"/>
    </x:row>
    <x:row r="71" spans="2:4" ht="15.5" customHeight="1">
      <x:c r="B71" s="18"/>
      <x:c r="C71" s="18"/>
      <x:c r="D71" s="18"/>
    </x:row>
    <x:row r="72" spans="2:4" ht="15.5" customHeight="1">
      <x:c r="B72" s="18"/>
      <x:c r="C72" s="18"/>
      <x:c r="D72" s="18"/>
    </x:row>
    <x:row r="73" spans="2:4" ht="15.5" customHeight="1">
      <x:c r="B73" s="18"/>
      <x:c r="C73" s="18"/>
      <x:c r="D73" s="18"/>
    </x:row>
    <x:row r="74" spans="2:4" ht="15.5" customHeight="1">
      <x:c r="B74" s="18"/>
      <x:c r="C74" s="18"/>
      <x:c r="D74" s="18"/>
    </x:row>
    <x:row r="75" spans="2:4" ht="15.5" customHeight="1"/>
    <x:row r="76" spans="2:4" ht="15.5" customHeight="1"/>
    <x:row r="77" spans="2:4" ht="15.5" customHeight="1"/>
    <x:row r="78" spans="2:4" ht="15.5" customHeight="1"/>
    <x:row r="79" spans="2:4" ht="15.5" customHeight="1"/>
    <x:row r="80" spans="2:4" ht="15.5" customHeight="1"/>
    <x:row r="81" ht="15.5" customHeight="1"/>
    <x:row r="82" ht="15.5" customHeight="1"/>
    <x:row r="83" ht="15.5" customHeight="1"/>
    <x:row r="84" ht="15.5" customHeight="1"/>
    <x:row r="85" ht="15.5" customHeight="1"/>
    <x:row r="86" ht="15.5" customHeight="1"/>
    <x:row r="87" ht="15.5" customHeight="1"/>
    <x:row r="88" ht="15.5" customHeight="1"/>
    <x:row r="89" ht="15.5" customHeight="1"/>
    <x:row r="90" ht="15.5" customHeight="1"/>
    <x:row r="91" ht="15.5" customHeight="1"/>
    <x:row r="92" ht="15.5" customHeight="1"/>
    <x:row r="93" ht="15.5" customHeight="1"/>
    <x:row r="94" ht="15.5" customHeight="1"/>
    <x:row r="95" ht="15.5" customHeight="1"/>
    <x:row r="96" ht="15.5" customHeight="1"/>
    <x:row r="97" ht="15.5" customHeight="1"/>
    <x:row r="98" ht="15.5" customHeight="1"/>
    <x:row r="99" ht="15.5" customHeight="1"/>
    <x:row r="100" ht="15.5" customHeight="1"/>
    <x:row r="101" ht="15.5" customHeight="1"/>
    <x:row r="102" ht="15.5" customHeight="1"/>
    <x:row r="103" ht="15.5" customHeight="1"/>
    <x:row r="104" ht="15.5" customHeight="1"/>
    <x:row r="105" ht="15.5" customHeight="1"/>
    <x:row r="106" ht="15.5" customHeight="1"/>
    <x:row r="107" ht="15.5" customHeight="1"/>
    <x:row r="108" ht="15.5" customHeight="1"/>
    <x:row r="109" ht="15.5" customHeight="1"/>
    <x:row r="110" ht="15.5" customHeight="1"/>
    <x:row r="111" ht="15.5" customHeight="1"/>
    <x:row r="112" ht="15.5" customHeight="1"/>
    <x:row r="113" ht="15.5" customHeight="1"/>
    <x:row r="114" ht="15.5" customHeight="1"/>
    <x:row r="115" ht="15.5" customHeight="1"/>
    <x:row r="116" ht="15.5" customHeight="1"/>
    <x:row r="117" ht="15.5" customHeight="1"/>
    <x:row r="118" ht="15.5" customHeight="1"/>
    <x:row r="119" ht="15.5" customHeight="1"/>
    <x:row r="120" ht="15.5" customHeight="1"/>
    <x:row r="121" ht="15.5" customHeight="1"/>
    <x:row r="122" ht="15.5" customHeight="1"/>
    <x:row r="123" ht="15.5" customHeight="1"/>
    <x:row r="124" ht="15.5" customHeight="1"/>
    <x:row r="125" ht="15.5" customHeight="1"/>
    <x:row r="126" ht="15.5" customHeight="1"/>
    <x:row r="127" ht="15.5" customHeight="1"/>
    <x:row r="128" ht="15.5" customHeight="1"/>
    <x:row r="129" ht="15.5" customHeight="1"/>
    <x:row r="130" ht="15.5" customHeight="1"/>
    <x:row r="131" ht="15.5" customHeight="1"/>
    <x:row r="132" ht="15.5" customHeight="1"/>
    <x:row r="133" ht="15.5" customHeight="1"/>
    <x:row r="134" ht="15.5" customHeight="1"/>
    <x:row r="135" ht="15.5" customHeight="1"/>
    <x:row r="136" ht="15.5" customHeight="1"/>
    <x:row r="137" ht="15.5" customHeight="1"/>
    <x:row r="138" ht="15.5" customHeight="1"/>
    <x:row r="139" ht="15.5" customHeight="1"/>
    <x:row r="140" ht="15.5" customHeight="1"/>
    <x:row r="141" ht="15.5" customHeight="1"/>
    <x:row r="142" ht="15.5" customHeight="1"/>
    <x:row r="143" ht="15.5" customHeight="1"/>
    <x:row r="144" ht="15.5" customHeight="1"/>
    <x:row r="145" ht="15.5" customHeight="1"/>
    <x:row r="146" ht="15.5" customHeight="1"/>
    <x:row r="147" ht="15.5" customHeight="1"/>
    <x:row r="148" ht="15.5" customHeight="1"/>
    <x:row r="149" ht="15.5" customHeight="1"/>
    <x:row r="150" ht="15.5" customHeight="1"/>
    <x:row r="151" ht="15.5" customHeight="1"/>
    <x:row r="152" ht="15.5" customHeight="1"/>
    <x:row r="153" ht="15.5" customHeight="1"/>
    <x:row r="154" ht="15.5" customHeight="1"/>
    <x:row r="155" ht="15.5" customHeight="1"/>
    <x:row r="156" ht="15.5" customHeight="1"/>
    <x:row r="157" ht="15.5" customHeight="1"/>
    <x:row r="158" ht="15.5" customHeight="1"/>
    <x:row r="159" ht="15.5" customHeight="1"/>
    <x:row r="160" ht="15.5" customHeight="1"/>
    <x:row r="161" ht="15.5" customHeight="1"/>
    <x:row r="162" ht="15.5" customHeight="1"/>
    <x:row r="163" ht="15.5" customHeight="1"/>
    <x:row r="164" ht="15.5" customHeight="1"/>
    <x:row r="165" ht="15.5" customHeight="1"/>
    <x:row r="166" ht="15.5" customHeight="1"/>
    <x:row r="167" ht="15.5" customHeight="1"/>
    <x:row r="168" ht="15.5" customHeight="1"/>
    <x:row r="169" ht="15.5" customHeight="1"/>
    <x:row r="170" ht="15.5" customHeight="1"/>
    <x:row r="171" ht="15.5" customHeight="1"/>
    <x:row r="172" ht="15.5" customHeight="1"/>
    <x:row r="173" ht="15.5" customHeight="1"/>
    <x:row r="174" ht="15.5" customHeight="1"/>
    <x:row r="175" ht="15.5" customHeight="1"/>
    <x:row r="176" ht="15.5" customHeight="1"/>
    <x:row r="177" ht="15.5" customHeight="1"/>
    <x:row r="178" ht="15.5" customHeight="1"/>
    <x:row r="179" ht="15.5" customHeight="1"/>
    <x:row r="180" ht="15.5" customHeight="1"/>
    <x:row r="181" ht="15.5" customHeight="1"/>
    <x:row r="182" ht="15.5" customHeight="1"/>
    <x:row r="183" ht="15.5" customHeight="1"/>
    <x:row r="184" ht="15.5" customHeight="1"/>
    <x:row r="185" ht="15.5" customHeight="1"/>
    <x:row r="186" ht="15.5" customHeight="1"/>
    <x:row r="187" ht="15.5" customHeight="1"/>
    <x:row r="188" ht="15.5" customHeight="1"/>
    <x:row r="189" ht="15.5" customHeight="1"/>
    <x:row r="190" ht="15.5" customHeight="1"/>
    <x:row r="191" ht="15.5" customHeight="1"/>
    <x:row r="192" ht="15.5" customHeight="1"/>
    <x:row r="193" ht="15.5" customHeight="1"/>
    <x:row r="194" ht="15.5" customHeight="1"/>
    <x:row r="195" ht="15.5" customHeight="1"/>
    <x:row r="196" ht="15.5" customHeight="1"/>
    <x:row r="197" ht="15.5" customHeight="1"/>
    <x:row r="198" ht="15.5" customHeight="1"/>
    <x:row r="199" ht="15.5" customHeight="1"/>
    <x:row r="200" ht="15.5" customHeight="1"/>
    <x:row r="201" ht="15.5" customHeight="1"/>
    <x:row r="202" ht="15.5" customHeight="1"/>
    <x:row r="203" ht="15.5" customHeight="1"/>
    <x:row r="204" ht="15.5" customHeight="1"/>
    <x:row r="205" ht="15.5" customHeight="1"/>
    <x:row r="206" ht="15.5" customHeight="1"/>
    <x:row r="207" ht="15.5" customHeight="1"/>
    <x:row r="208" ht="15.5" customHeight="1"/>
    <x:row r="209" ht="15.5" customHeight="1"/>
    <x:row r="210" ht="15.5" customHeight="1"/>
    <x:row r="211" ht="15.5" customHeight="1"/>
    <x:row r="212" ht="15.5" customHeight="1"/>
    <x:row r="213" ht="15.5" customHeight="1"/>
    <x:row r="214" ht="15.5" customHeight="1"/>
    <x:row r="215" ht="15.5" customHeight="1"/>
    <x:row r="216" ht="15.5" customHeight="1"/>
    <x:row r="217" ht="15.5" customHeight="1"/>
    <x:row r="218" ht="15.5" customHeight="1"/>
    <x:row r="219" ht="15.5" customHeight="1"/>
    <x:row r="220" ht="15.5" customHeight="1"/>
    <x:row r="221" ht="15.5" customHeight="1"/>
    <x:row r="222" ht="15.5" customHeight="1"/>
    <x:row r="223" ht="15.5" customHeight="1"/>
    <x:row r="224" ht="15.5" customHeight="1"/>
    <x:row r="225" ht="15.5" customHeight="1"/>
    <x:row r="226" ht="15.5" customHeight="1"/>
    <x:row r="227" ht="15.5" customHeight="1"/>
    <x:row r="228" ht="15.5" customHeight="1"/>
    <x:row r="229" ht="15.5" customHeight="1"/>
    <x:row r="230" ht="15.5" customHeight="1"/>
    <x:row r="231" ht="15.5" customHeight="1"/>
    <x:row r="232" ht="15.5" customHeight="1"/>
    <x:row r="233" ht="15.5" customHeight="1"/>
    <x:row r="234" ht="15.5" customHeight="1"/>
    <x:row r="235" ht="15.5" customHeight="1"/>
    <x:row r="236" ht="15.5" customHeight="1"/>
    <x:row r="237" ht="15.5" customHeight="1"/>
    <x:row r="238" ht="15.5" customHeight="1"/>
    <x:row r="239" ht="15.5" customHeight="1"/>
    <x:row r="240" ht="15.5" customHeight="1"/>
    <x:row r="241" ht="15.5" customHeight="1"/>
    <x:row r="242" ht="15.5" customHeight="1"/>
    <x:row r="243" ht="15.5" customHeight="1"/>
    <x:row r="244" ht="15.5" customHeight="1"/>
    <x:row r="245" ht="15.5" customHeight="1"/>
    <x:row r="246" ht="15.5" customHeight="1"/>
    <x:row r="247" ht="15.5" customHeight="1"/>
    <x:row r="248" ht="15.5" customHeight="1"/>
    <x:row r="249" ht="15.5" customHeight="1"/>
    <x:row r="250" ht="15.5" customHeight="1"/>
    <x:row r="251" ht="15.5" customHeight="1"/>
    <x:row r="252" ht="15.5" customHeight="1"/>
    <x:row r="253" ht="15.5" customHeight="1"/>
    <x:row r="254" ht="15.5" customHeight="1"/>
    <x:row r="255" ht="15.5" customHeight="1"/>
    <x:row r="256" ht="15.5" customHeight="1"/>
    <x:row r="257" ht="15.5" customHeight="1"/>
    <x:row r="258" ht="15.5" customHeight="1"/>
    <x:row r="259" ht="15.5" customHeight="1"/>
    <x:row r="260" ht="15.5" customHeight="1"/>
    <x:row r="261" ht="15.5" customHeight="1"/>
    <x:row r="262" ht="15.5" customHeight="1"/>
    <x:row r="263" ht="15.5" customHeight="1"/>
    <x:row r="264" ht="15.5" customHeight="1"/>
    <x:row r="265" ht="15.5" customHeight="1"/>
    <x:row r="266" ht="15.5" customHeight="1"/>
    <x:row r="267" ht="15.5" customHeight="1"/>
    <x:row r="268" ht="15.5" customHeight="1"/>
    <x:row r="269" ht="15.5" customHeight="1"/>
    <x:row r="270" ht="15.5" customHeight="1"/>
    <x:row r="271" ht="15.5" customHeight="1"/>
    <x:row r="272" ht="15.5" customHeight="1"/>
    <x:row r="273" ht="15.5" customHeight="1"/>
    <x:row r="274" ht="15.5" customHeight="1"/>
    <x:row r="275" ht="15.5" customHeight="1"/>
    <x:row r="276" ht="15.5" customHeight="1"/>
    <x:row r="277" ht="15.5" customHeight="1"/>
    <x:row r="278" ht="15.5" customHeight="1"/>
    <x:row r="279" ht="15.5" customHeight="1"/>
    <x:row r="280" ht="15.5" customHeight="1"/>
    <x:row r="281" ht="15.5" customHeight="1"/>
    <x:row r="282" ht="15.5" customHeight="1"/>
    <x:row r="283" ht="15.5" customHeight="1"/>
    <x:row r="284" ht="15.5" customHeight="1"/>
    <x:row r="285" ht="15.5" customHeight="1"/>
    <x:row r="286" ht="15.5" customHeight="1"/>
    <x:row r="1000">
      <x:c r="XX1000" s="142" t="n">
        <x:v>125713</x:v>
      </x:c>
    </x:row>
  </x:sheetData>
  <x:sheetProtection algorithmName="SHA-512" hashValue="imRmBj0dJtsiIV9peLpdGOPSNn9Cotv5NCMJrUAtzeyYfkyZZE5xEBBVNWINRpylbSlH4fKLcOko/7jrd+H3vw==" saltValue="ssle9YFvHET8m9MBe/ulGQ==" spinCount="100000" sheet="1" objects="1" scenarios="1" formatCells="0"/>
  <x:mergeCells count="1">
    <x:mergeCell ref="B15:J17"/>
  </x:mergeCells>
  <x:hyperlinks>
    <x:hyperlink ref="H11" r:id="rId1" xr:uid="{A411A010-584B-4B72-8F2A-8FC03D4ADA91}"/>
  </x:hyperlinks>
  <x:pageMargins left="0.7" right="0.7" top="0.75" bottom="0.75" header="0.3" footer="0.3"/>
  <x:drawing r:id="rId2"/>
</x:worksheet>
</file>

<file path=xl/worksheets/sheet7.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CB5D7AED-7FC4-428D-813D-0B28373AF508}" mc:Ignorable="x14ac xr xr2 xr3">
  <x:sheetPr codeName="Sheet12"/>
  <x:dimension ref="A1:H253"/>
  <x:sheetViews>
    <x:sheetView workbookViewId="0">
      <x:selection activeCell="C21" sqref="C21"/>
    </x:sheetView>
  </x:sheetViews>
  <x:sheetFormatPr defaultColWidth="0" defaultRowHeight="14.9" customHeight="1" zeroHeight="1"/>
  <x:cols>
    <x:col min="1" max="1" width="3.1796875" style="22" customWidth="1"/>
    <x:col min="2" max="2" width="24.81640625" style="22" customWidth="1"/>
    <x:col min="3" max="3" width="14.36328125" style="22" customWidth="1"/>
    <x:col min="4" max="4" width="17.81640625" style="22" bestFit="1" customWidth="1"/>
    <x:col min="5" max="5" width="17.81640625" style="22" customWidth="1"/>
    <x:col min="6" max="6" width="3.1796875" style="22" customWidth="1"/>
    <x:col min="7" max="8" width="0" style="22" hidden="1" customWidth="1"/>
    <x:col min="9" max="16384" width="8.81640625" style="22" hidden="1"/>
  </x:cols>
  <x:sheetData>
    <x:row r="1" spans="1:7" ht="14.5">
      <x:c r="A1" s="21"/>
      <x:c r="B1" s="21"/>
      <x:c r="C1" s="21"/>
      <x:c r="D1" s="21"/>
      <x:c r="E1" s="21"/>
      <x:c r="F1" s="21"/>
      <x:c r="G1" s="21"/>
    </x:row>
    <x:row r="2" spans="1:7" ht="31">
      <x:c r="A2" s="21"/>
      <x:c r="B2" s="119" t="s">
        <x:v>123</x:v>
      </x:c>
      <x:c r="C2" s="119"/>
      <x:c r="D2" s="119"/>
      <x:c r="E2" s="119"/>
      <x:c r="F2" s="21"/>
      <x:c r="G2" s="21"/>
    </x:row>
    <x:row r="3" spans="1:7" ht="14.5">
      <x:c r="A3" s="21"/>
      <x:c r="B3" s="21"/>
      <x:c r="C3" s="21"/>
      <x:c r="D3" s="21"/>
      <x:c r="E3" s="21"/>
      <x:c r="F3" s="21"/>
      <x:c r="G3" s="21"/>
    </x:row>
    <x:row r="4" spans="1:7" ht="22.5">
      <x:c r="A4" s="21"/>
      <x:c r="B4" s="120" t="str">
        <x:f>"Results for "&amp;FileName</x:f>
        <x:v>Results for Cleaning Up Fantasy Football</x:v>
      </x:c>
      <x:c r="C4" s="120"/>
      <x:c r="D4" s="120"/>
      <x:c r="E4" s="120"/>
      <x:c r="F4" s="21"/>
      <x:c r="G4" s="21"/>
    </x:row>
    <x:row r="5" spans="1:7" ht="14.5">
      <x:c r="A5" s="21"/>
      <x:c r="B5" s="24"/>
      <x:c r="C5" s="21"/>
      <x:c r="D5" s="21"/>
      <x:c r="E5" s="21"/>
      <x:c r="F5" s="21"/>
      <x:c r="G5" s="21"/>
    </x:row>
    <x:row r="6" spans="1:7" ht="18.5">
      <x:c r="A6" s="21"/>
      <x:c r="B6" s="26" t="s">
        <x:v>96</x:v>
      </x:c>
      <x:c r="C6" s="27">
        <x:f>COUNTIF(C10:C241,TRUE)</x:f>
        <x:v>0</x:v>
      </x:c>
      <x:c r="D6" s="26"/>
      <x:c r="E6" s="27"/>
      <x:c r="F6" s="21"/>
      <x:c r="G6" s="21"/>
    </x:row>
    <x:row r="7" spans="1:7" ht="18.5">
      <x:c r="A7" s="21"/>
      <x:c r="B7" s="26" t="s">
        <x:v>97</x:v>
      </x:c>
      <x:c r="C7" s="28">
        <x:f>CurrentScore/COUNT(B10:B241)</x:f>
        <x:v>0</x:v>
      </x:c>
      <x:c r="D7" s="26"/>
      <x:c r="E7" s="28"/>
      <x:c r="F7" s="21"/>
      <x:c r="G7" s="21"/>
    </x:row>
    <x:row r="8" spans="1:7" ht="14.5">
      <x:c r="A8" s="21"/>
      <x:c r="B8" s="21"/>
      <x:c r="C8" s="24"/>
      <x:c r="D8" s="21"/>
      <x:c r="E8" s="21"/>
      <x:c r="F8" s="21"/>
      <x:c r="G8" s="21"/>
    </x:row>
    <x:row r="9" spans="1:7" ht="14.5">
      <x:c r="A9" s="21"/>
      <x:c r="B9" s="29" t="s">
        <x:v>129</x:v>
      </x:c>
      <x:c r="C9" s="29" t="s">
        <x:v>76</x:v>
      </x:c>
      <x:c r="D9" s="29"/>
      <x:c r="E9" s="21"/>
      <x:c r="F9" s="21"/>
      <x:c r="G9" s="21"/>
    </x:row>
    <x:row r="10" spans="1:7" ht="14.5">
      <x:c r="A10" s="21"/>
      <x:c r="B10" s="24">
        <x:v>1</x:v>
      </x:c>
      <x:c r="C10" s="24" t="b">
        <x:f>IF(BackgroundCalcs!BB2=1,TRUE,FALSE)</x:f>
        <x:v>0</x:v>
      </x:c>
      <x:c r="D10" s="25"/>
      <x:c r="E10" s="24"/>
      <x:c r="F10" s="21"/>
      <x:c r="G10" s="21"/>
    </x:row>
    <x:row r="11" spans="1:7" ht="14.5">
      <x:c r="A11" s="21"/>
      <x:c r="B11" s="24">
        <x:v>2</x:v>
      </x:c>
      <x:c r="C11" s="24" t="b">
        <x:f>IF(BackgroundCalcs!BB3=1,TRUE,FALSE)</x:f>
        <x:v>0</x:v>
      </x:c>
      <x:c r="D11" s="25"/>
      <x:c r="E11" s="23"/>
      <x:c r="F11" s="21"/>
      <x:c r="G11" s="21"/>
    </x:row>
    <x:row r="12" spans="1:7" ht="14.5">
      <x:c r="A12" s="21"/>
      <x:c r="B12" s="24">
        <x:v>3</x:v>
      </x:c>
      <x:c r="C12" s="24" t="b">
        <x:f>IF(BackgroundCalcs!BB4=1,TRUE,FALSE)</x:f>
        <x:v>0</x:v>
      </x:c>
      <x:c r="D12" s="25"/>
      <x:c r="E12" s="21"/>
      <x:c r="F12" s="21"/>
      <x:c r="G12" s="21"/>
    </x:row>
    <x:row r="13" spans="1:7" ht="14.5">
      <x:c r="A13" s="21"/>
      <x:c r="B13" s="24">
        <x:v>4</x:v>
      </x:c>
      <x:c r="C13" s="24" t="b">
        <x:f>IF(BackgroundCalcs!BB5=1,TRUE,FALSE)</x:f>
        <x:v>0</x:v>
      </x:c>
      <x:c r="D13" s="25"/>
      <x:c r="E13" s="23"/>
      <x:c r="F13" s="21"/>
      <x:c r="G13" s="21"/>
    </x:row>
    <x:row r="14" spans="1:7" ht="14.5">
      <x:c r="A14" s="21"/>
      <x:c r="B14" s="24">
        <x:v>5</x:v>
      </x:c>
      <x:c r="C14" s="24" t="b">
        <x:f>IF(BackgroundCalcs!BB6=1,TRUE,FALSE)</x:f>
        <x:v>0</x:v>
      </x:c>
      <x:c r="D14" s="25"/>
      <x:c r="E14" s="23"/>
      <x:c r="F14" s="21"/>
      <x:c r="G14" s="21"/>
    </x:row>
    <x:row r="15" spans="1:7" ht="14.5">
      <x:c r="A15" s="21"/>
      <x:c r="B15" s="24">
        <x:v>6</x:v>
      </x:c>
      <x:c r="C15" s="24" t="b">
        <x:f>IF(BackgroundCalcs!BB7=1,TRUE,FALSE)</x:f>
        <x:v>0</x:v>
      </x:c>
      <x:c r="D15" s="25"/>
      <x:c r="E15" s="23"/>
      <x:c r="F15" s="21"/>
      <x:c r="G15" s="21"/>
    </x:row>
    <x:row r="16" spans="1:7" ht="14.5">
      <x:c r="A16" s="21"/>
      <x:c r="B16" s="24">
        <x:v>7</x:v>
      </x:c>
      <x:c r="C16" s="24" t="b">
        <x:f>IF(BackgroundCalcs!BB8=1,TRUE,FALSE)</x:f>
        <x:v>0</x:v>
      </x:c>
      <x:c r="D16" s="25"/>
      <x:c r="E16" s="23"/>
      <x:c r="F16" s="21"/>
      <x:c r="G16" s="21"/>
    </x:row>
    <x:row r="17" spans="1:7" ht="14.5">
      <x:c r="A17" s="21"/>
      <x:c r="B17" s="24">
        <x:v>8</x:v>
      </x:c>
      <x:c r="C17" s="24" t="b">
        <x:f>IF(BackgroundCalcs!BB9=1,TRUE,FALSE)</x:f>
        <x:v>0</x:v>
      </x:c>
      <x:c r="D17" s="25"/>
      <x:c r="E17" s="23"/>
      <x:c r="F17" s="21"/>
      <x:c r="G17" s="21"/>
    </x:row>
    <x:row r="18" spans="1:7" ht="14.5">
      <x:c r="A18" s="21"/>
      <x:c r="B18" s="24">
        <x:v>9</x:v>
      </x:c>
      <x:c r="C18" s="24" t="b">
        <x:f>IF(BackgroundCalcs!BB10=1,TRUE,FALSE)</x:f>
        <x:v>0</x:v>
      </x:c>
      <x:c r="D18" s="25"/>
      <x:c r="E18" s="23"/>
      <x:c r="F18" s="21"/>
      <x:c r="G18" s="21"/>
    </x:row>
    <x:row r="19" spans="1:7" ht="14.5">
      <x:c r="A19" s="21"/>
      <x:c r="B19" s="24">
        <x:v>10</x:v>
      </x:c>
      <x:c r="C19" s="24" t="b">
        <x:f>IF(BackgroundCalcs!BB11=1,TRUE,FALSE)</x:f>
        <x:v>0</x:v>
      </x:c>
      <x:c r="D19" s="25"/>
      <x:c r="E19" s="23"/>
      <x:c r="F19" s="21"/>
      <x:c r="G19" s="21"/>
    </x:row>
    <x:row r="20" spans="1:7" ht="14.5">
      <x:c r="A20" s="21"/>
      <x:c r="B20" s="24">
        <x:v>11</x:v>
      </x:c>
      <x:c r="C20" s="24" t="b">
        <x:f>IF(BackgroundCalcs!BB12=1,TRUE,FALSE)</x:f>
        <x:v>0</x:v>
      </x:c>
      <x:c r="D20" s="25"/>
      <x:c r="E20" s="23"/>
      <x:c r="F20" s="21"/>
      <x:c r="G20" s="21"/>
    </x:row>
    <x:row r="21" spans="1:7" ht="14.5">
      <x:c r="A21" s="21"/>
      <x:c r="B21" s="24">
        <x:v>12</x:v>
      </x:c>
      <x:c r="C21" s="24" t="b">
        <x:f>IF(BackgroundCalcs!BB13=1,TRUE,FALSE)</x:f>
        <x:v>0</x:v>
      </x:c>
      <x:c r="D21" s="25"/>
      <x:c r="E21" s="23"/>
      <x:c r="F21" s="21"/>
      <x:c r="G21" s="21"/>
    </x:row>
    <x:row r="22" spans="1:7" ht="14.5">
      <x:c r="A22" s="21"/>
      <x:c r="B22" s="24">
        <x:v>13</x:v>
      </x:c>
      <x:c r="C22" s="24" t="b">
        <x:f>IF(BackgroundCalcs!BB14=1,TRUE,FALSE)</x:f>
        <x:v>0</x:v>
      </x:c>
      <x:c r="D22" s="25"/>
      <x:c r="E22" s="23"/>
      <x:c r="F22" s="21"/>
      <x:c r="G22" s="21"/>
    </x:row>
    <x:row r="23" spans="1:7" ht="14.5">
      <x:c r="A23" s="21"/>
      <x:c r="B23" s="24"/>
      <x:c r="C23" s="24"/>
      <x:c r="D23" s="25"/>
      <x:c r="E23" s="23"/>
      <x:c r="F23" s="21"/>
      <x:c r="G23" s="21"/>
    </x:row>
    <x:row r="24" spans="1:7" ht="14.5">
      <x:c r="A24" s="21"/>
      <x:c r="B24" s="24"/>
      <x:c r="C24" s="24"/>
      <x:c r="D24" s="25"/>
      <x:c r="E24" s="23"/>
      <x:c r="F24" s="21"/>
      <x:c r="G24" s="21"/>
    </x:row>
    <x:row r="25" spans="1:7" ht="14.5">
      <x:c r="A25" s="21"/>
      <x:c r="B25" s="24"/>
      <x:c r="C25" s="24"/>
      <x:c r="D25" s="25"/>
      <x:c r="E25" s="23"/>
      <x:c r="F25" s="21"/>
      <x:c r="G25" s="21"/>
    </x:row>
    <x:row r="26" spans="1:7" ht="14.5">
      <x:c r="A26" s="21"/>
      <x:c r="B26" s="24"/>
      <x:c r="C26" s="24"/>
      <x:c r="D26" s="25"/>
      <x:c r="E26" s="23"/>
      <x:c r="F26" s="21"/>
      <x:c r="G26" s="21"/>
    </x:row>
    <x:row r="27" spans="1:7" ht="14.5">
      <x:c r="A27" s="21"/>
      <x:c r="B27" s="24"/>
      <x:c r="C27" s="24"/>
      <x:c r="D27" s="25"/>
      <x:c r="E27" s="23"/>
      <x:c r="F27" s="21"/>
      <x:c r="G27" s="21"/>
    </x:row>
    <x:row r="28" spans="1:7" ht="14.5">
      <x:c r="A28" s="21"/>
      <x:c r="B28" s="24"/>
      <x:c r="C28" s="24"/>
      <x:c r="D28" s="25"/>
      <x:c r="E28" s="23"/>
      <x:c r="F28" s="21"/>
      <x:c r="G28" s="21"/>
    </x:row>
    <x:row r="29" spans="1:7" ht="14.5">
      <x:c r="A29" s="21"/>
      <x:c r="B29" s="24"/>
      <x:c r="C29" s="24"/>
      <x:c r="D29" s="25"/>
      <x:c r="E29" s="23"/>
      <x:c r="F29" s="21"/>
      <x:c r="G29" s="21"/>
    </x:row>
    <x:row r="30" spans="1:7" ht="14.5">
      <x:c r="A30" s="21"/>
      <x:c r="B30" s="24"/>
      <x:c r="C30" s="24"/>
      <x:c r="D30" s="25"/>
      <x:c r="E30" s="23"/>
      <x:c r="F30" s="21"/>
      <x:c r="G30" s="21"/>
    </x:row>
    <x:row r="31" spans="1:7" ht="14.5">
      <x:c r="A31" s="21"/>
      <x:c r="B31" s="24"/>
      <x:c r="C31" s="24"/>
      <x:c r="D31" s="25"/>
      <x:c r="E31" s="23"/>
      <x:c r="F31" s="21"/>
      <x:c r="G31" s="21"/>
    </x:row>
    <x:row r="32" spans="1:7" ht="14.5">
      <x:c r="A32" s="21"/>
      <x:c r="B32" s="24"/>
      <x:c r="C32" s="24"/>
      <x:c r="D32" s="25"/>
      <x:c r="E32" s="23"/>
      <x:c r="F32" s="21"/>
      <x:c r="G32" s="21"/>
    </x:row>
    <x:row r="33" spans="1:7" ht="14.5">
      <x:c r="A33" s="21"/>
      <x:c r="B33" s="24"/>
      <x:c r="C33" s="24"/>
      <x:c r="D33" s="25"/>
      <x:c r="E33" s="23"/>
      <x:c r="F33" s="21"/>
      <x:c r="G33" s="21"/>
    </x:row>
    <x:row r="34" spans="1:7" ht="14.5">
      <x:c r="A34" s="21"/>
      <x:c r="B34" s="24"/>
      <x:c r="C34" s="24"/>
      <x:c r="D34" s="25"/>
      <x:c r="E34" s="23"/>
      <x:c r="F34" s="21"/>
      <x:c r="G34" s="21"/>
    </x:row>
    <x:row r="35" spans="1:7" ht="14.5">
      <x:c r="A35" s="21"/>
      <x:c r="B35" s="24"/>
      <x:c r="C35" s="24"/>
      <x:c r="D35" s="25"/>
      <x:c r="E35" s="23"/>
      <x:c r="F35" s="21"/>
      <x:c r="G35" s="21"/>
    </x:row>
    <x:row r="36" spans="1:7" ht="14.5">
      <x:c r="A36" s="21"/>
      <x:c r="B36" s="24"/>
      <x:c r="C36" s="24"/>
      <x:c r="D36" s="25"/>
      <x:c r="E36" s="23"/>
      <x:c r="F36" s="21"/>
      <x:c r="G36" s="21"/>
    </x:row>
    <x:row r="37" spans="1:7" ht="14.5">
      <x:c r="A37" s="21"/>
      <x:c r="B37" s="24"/>
      <x:c r="C37" s="24"/>
      <x:c r="D37" s="25"/>
      <x:c r="E37" s="23"/>
      <x:c r="F37" s="21"/>
      <x:c r="G37" s="21"/>
    </x:row>
    <x:row r="38" spans="1:7" ht="14.5">
      <x:c r="A38" s="21"/>
      <x:c r="B38" s="24"/>
      <x:c r="C38" s="24"/>
      <x:c r="D38" s="25"/>
      <x:c r="E38" s="23"/>
      <x:c r="F38" s="21"/>
      <x:c r="G38" s="21"/>
    </x:row>
    <x:row r="39" spans="1:7" ht="14.5">
      <x:c r="A39" s="21"/>
      <x:c r="B39" s="24"/>
      <x:c r="C39" s="24"/>
      <x:c r="D39" s="25"/>
      <x:c r="E39" s="23"/>
      <x:c r="F39" s="21"/>
      <x:c r="G39" s="21"/>
    </x:row>
    <x:row r="40" spans="1:7" ht="14.5">
      <x:c r="A40" s="21"/>
      <x:c r="B40" s="24"/>
      <x:c r="C40" s="24"/>
      <x:c r="D40" s="25"/>
      <x:c r="E40" s="23"/>
      <x:c r="F40" s="21"/>
      <x:c r="G40" s="21"/>
    </x:row>
    <x:row r="41" spans="1:7" ht="14.5">
      <x:c r="A41" s="21"/>
      <x:c r="B41" s="24"/>
      <x:c r="C41" s="24"/>
      <x:c r="D41" s="25"/>
      <x:c r="E41" s="23"/>
      <x:c r="F41" s="21"/>
      <x:c r="G41" s="21"/>
    </x:row>
    <x:row r="42" spans="1:7" ht="14.5">
      <x:c r="A42" s="21"/>
      <x:c r="B42" s="24"/>
      <x:c r="C42" s="24"/>
      <x:c r="D42" s="25"/>
      <x:c r="E42" s="23"/>
      <x:c r="F42" s="21"/>
      <x:c r="G42" s="21"/>
    </x:row>
    <x:row r="43" spans="1:7" ht="14.5">
      <x:c r="A43" s="21"/>
      <x:c r="B43" s="24"/>
      <x:c r="C43" s="24"/>
      <x:c r="D43" s="25"/>
      <x:c r="E43" s="23"/>
      <x:c r="F43" s="21"/>
      <x:c r="G43" s="21"/>
    </x:row>
    <x:row r="44" spans="1:7" ht="14.5">
      <x:c r="A44" s="21"/>
      <x:c r="B44" s="24"/>
      <x:c r="C44" s="24"/>
      <x:c r="D44" s="25"/>
      <x:c r="E44" s="23"/>
      <x:c r="F44" s="21"/>
      <x:c r="G44" s="21"/>
    </x:row>
    <x:row r="45" spans="1:7" ht="14.5">
      <x:c r="A45" s="21"/>
      <x:c r="B45" s="24"/>
      <x:c r="C45" s="24"/>
      <x:c r="D45" s="25"/>
      <x:c r="E45" s="23"/>
      <x:c r="F45" s="21"/>
      <x:c r="G45" s="21"/>
    </x:row>
    <x:row r="46" spans="1:7" ht="14.5">
      <x:c r="A46" s="21"/>
      <x:c r="B46" s="24"/>
      <x:c r="C46" s="24"/>
      <x:c r="D46" s="25"/>
      <x:c r="E46" s="23"/>
      <x:c r="F46" s="21"/>
      <x:c r="G46" s="21"/>
    </x:row>
    <x:row r="47" spans="1:7" ht="14.5">
      <x:c r="A47" s="21"/>
      <x:c r="B47" s="24"/>
      <x:c r="C47" s="24"/>
      <x:c r="D47" s="25"/>
      <x:c r="E47" s="23"/>
      <x:c r="F47" s="21"/>
      <x:c r="G47" s="21"/>
    </x:row>
    <x:row r="48" spans="1:7" ht="14.5">
      <x:c r="A48" s="21"/>
      <x:c r="B48" s="24"/>
      <x:c r="C48" s="24"/>
      <x:c r="D48" s="25"/>
      <x:c r="E48" s="23"/>
      <x:c r="F48" s="21"/>
      <x:c r="G48" s="21"/>
    </x:row>
    <x:row r="49" spans="1:7" ht="14.5">
      <x:c r="A49" s="21"/>
      <x:c r="B49" s="24"/>
      <x:c r="C49" s="24"/>
      <x:c r="D49" s="25"/>
      <x:c r="E49" s="23"/>
      <x:c r="F49" s="21"/>
      <x:c r="G49" s="21"/>
    </x:row>
    <x:row r="50" spans="1:7" ht="14.5">
      <x:c r="A50" s="21"/>
      <x:c r="B50" s="24"/>
      <x:c r="C50" s="24"/>
      <x:c r="D50" s="25"/>
      <x:c r="E50" s="23"/>
      <x:c r="F50" s="21"/>
      <x:c r="G50" s="21"/>
    </x:row>
    <x:row r="51" spans="1:7" ht="14.5">
      <x:c r="A51" s="21"/>
      <x:c r="B51" s="24"/>
      <x:c r="C51" s="24"/>
      <x:c r="D51" s="25"/>
      <x:c r="E51" s="23"/>
      <x:c r="F51" s="21"/>
      <x:c r="G51" s="21"/>
    </x:row>
    <x:row r="52" spans="1:7" ht="14.5">
      <x:c r="A52" s="21"/>
      <x:c r="B52" s="24"/>
      <x:c r="C52" s="24"/>
      <x:c r="D52" s="25"/>
      <x:c r="E52" s="23"/>
      <x:c r="F52" s="21"/>
      <x:c r="G52" s="21"/>
    </x:row>
    <x:row r="53" spans="1:7" ht="14.5">
      <x:c r="A53" s="21"/>
      <x:c r="B53" s="24"/>
      <x:c r="C53" s="24"/>
      <x:c r="D53" s="25"/>
      <x:c r="E53" s="23"/>
      <x:c r="F53" s="21"/>
      <x:c r="G53" s="21"/>
    </x:row>
    <x:row r="54" spans="1:7" ht="14.5">
      <x:c r="A54" s="21"/>
      <x:c r="B54" s="24"/>
      <x:c r="C54" s="24"/>
      <x:c r="D54" s="25"/>
      <x:c r="E54" s="23"/>
      <x:c r="F54" s="21"/>
      <x:c r="G54" s="21"/>
    </x:row>
    <x:row r="55" spans="1:7" ht="14.5">
      <x:c r="A55" s="21"/>
      <x:c r="B55" s="24"/>
      <x:c r="C55" s="24"/>
      <x:c r="D55" s="25"/>
      <x:c r="E55" s="23"/>
      <x:c r="F55" s="21"/>
      <x:c r="G55" s="21"/>
    </x:row>
    <x:row r="56" spans="1:7" ht="14.5">
      <x:c r="A56" s="21"/>
      <x:c r="B56" s="24"/>
      <x:c r="C56" s="24"/>
      <x:c r="D56" s="25"/>
      <x:c r="E56" s="23"/>
      <x:c r="F56" s="21"/>
      <x:c r="G56" s="21"/>
    </x:row>
    <x:row r="57" spans="1:7" ht="14.5">
      <x:c r="A57" s="21"/>
      <x:c r="B57" s="24"/>
      <x:c r="C57" s="24"/>
      <x:c r="D57" s="25"/>
      <x:c r="E57" s="23"/>
      <x:c r="F57" s="21"/>
      <x:c r="G57" s="21"/>
    </x:row>
    <x:row r="58" spans="1:7" ht="14.5">
      <x:c r="A58" s="21"/>
      <x:c r="B58" s="24"/>
      <x:c r="C58" s="24"/>
      <x:c r="D58" s="25"/>
      <x:c r="E58" s="23"/>
      <x:c r="F58" s="21"/>
      <x:c r="G58" s="21"/>
    </x:row>
    <x:row r="59" spans="1:7" ht="14.5">
      <x:c r="A59" s="21"/>
      <x:c r="B59" s="24"/>
      <x:c r="C59" s="24"/>
      <x:c r="D59" s="25"/>
      <x:c r="E59" s="23"/>
      <x:c r="F59" s="21"/>
      <x:c r="G59" s="21"/>
    </x:row>
    <x:row r="60" spans="1:7" ht="14.5">
      <x:c r="A60" s="21"/>
      <x:c r="B60" s="24"/>
      <x:c r="C60" s="24"/>
      <x:c r="D60" s="25"/>
      <x:c r="E60" s="23"/>
      <x:c r="F60" s="21"/>
      <x:c r="G60" s="21"/>
    </x:row>
    <x:row r="61" spans="1:7" ht="14.5">
      <x:c r="A61" s="21"/>
      <x:c r="B61" s="24"/>
      <x:c r="C61" s="24"/>
      <x:c r="D61" s="25"/>
      <x:c r="E61" s="23"/>
      <x:c r="F61" s="21"/>
      <x:c r="G61" s="21"/>
    </x:row>
    <x:row r="62" spans="1:7" ht="14.5">
      <x:c r="A62" s="21"/>
      <x:c r="B62" s="24"/>
      <x:c r="C62" s="24"/>
      <x:c r="D62" s="25"/>
      <x:c r="E62" s="23"/>
      <x:c r="F62" s="21"/>
      <x:c r="G62" s="21"/>
    </x:row>
    <x:row r="63" spans="1:7" ht="14.5">
      <x:c r="A63" s="21"/>
      <x:c r="B63" s="24"/>
      <x:c r="C63" s="24"/>
      <x:c r="D63" s="25"/>
      <x:c r="E63" s="23"/>
      <x:c r="F63" s="21"/>
      <x:c r="G63" s="21"/>
    </x:row>
    <x:row r="64" spans="1:7" ht="14.5">
      <x:c r="A64" s="21"/>
      <x:c r="B64" s="24"/>
      <x:c r="C64" s="24"/>
      <x:c r="D64" s="25"/>
      <x:c r="E64" s="23"/>
      <x:c r="F64" s="21"/>
      <x:c r="G64" s="21"/>
    </x:row>
    <x:row r="65" spans="1:7" ht="14.5">
      <x:c r="A65" s="21"/>
      <x:c r="B65" s="24"/>
      <x:c r="C65" s="24"/>
      <x:c r="D65" s="25"/>
      <x:c r="E65" s="23"/>
      <x:c r="F65" s="21"/>
      <x:c r="G65" s="21"/>
    </x:row>
    <x:row r="66" spans="1:7" ht="14.5">
      <x:c r="A66" s="21"/>
      <x:c r="B66" s="24"/>
      <x:c r="C66" s="24"/>
      <x:c r="D66" s="25"/>
      <x:c r="E66" s="23"/>
      <x:c r="F66" s="21"/>
      <x:c r="G66" s="21"/>
    </x:row>
    <x:row r="67" spans="1:7" ht="14.5">
      <x:c r="A67" s="21"/>
      <x:c r="B67" s="24"/>
      <x:c r="C67" s="24"/>
      <x:c r="D67" s="25"/>
      <x:c r="E67" s="23"/>
      <x:c r="F67" s="21"/>
      <x:c r="G67" s="21"/>
    </x:row>
    <x:row r="68" spans="1:7" ht="14.5">
      <x:c r="A68" s="21"/>
      <x:c r="B68" s="24"/>
      <x:c r="C68" s="24"/>
      <x:c r="D68" s="25"/>
      <x:c r="E68" s="23"/>
      <x:c r="F68" s="21"/>
      <x:c r="G68" s="21"/>
    </x:row>
    <x:row r="69" spans="1:7" ht="14.5">
      <x:c r="A69" s="21"/>
      <x:c r="B69" s="24"/>
      <x:c r="C69" s="24"/>
      <x:c r="D69" s="25"/>
      <x:c r="E69" s="23"/>
      <x:c r="F69" s="21"/>
      <x:c r="G69" s="21"/>
    </x:row>
    <x:row r="70" spans="1:7" ht="14.5">
      <x:c r="A70" s="21"/>
      <x:c r="B70" s="24"/>
      <x:c r="C70" s="24"/>
      <x:c r="D70" s="25"/>
      <x:c r="E70" s="23"/>
      <x:c r="F70" s="21"/>
      <x:c r="G70" s="21"/>
    </x:row>
    <x:row r="71" spans="1:7" ht="14.5">
      <x:c r="A71" s="21"/>
      <x:c r="B71" s="24"/>
      <x:c r="C71" s="24"/>
      <x:c r="D71" s="25"/>
      <x:c r="E71" s="23"/>
      <x:c r="F71" s="21"/>
      <x:c r="G71" s="21"/>
    </x:row>
    <x:row r="72" spans="1:7" ht="14.5">
      <x:c r="A72" s="21"/>
      <x:c r="B72" s="24"/>
      <x:c r="C72" s="24"/>
      <x:c r="D72" s="25"/>
      <x:c r="E72" s="23"/>
      <x:c r="F72" s="21"/>
      <x:c r="G72" s="21"/>
    </x:row>
    <x:row r="73" spans="1:7" ht="14.5">
      <x:c r="A73" s="21"/>
      <x:c r="B73" s="24"/>
      <x:c r="C73" s="24"/>
      <x:c r="D73" s="25"/>
      <x:c r="E73" s="23"/>
      <x:c r="F73" s="21"/>
      <x:c r="G73" s="21"/>
    </x:row>
    <x:row r="74" spans="1:7" ht="14.5">
      <x:c r="A74" s="21"/>
      <x:c r="B74" s="24"/>
      <x:c r="C74" s="24"/>
      <x:c r="D74" s="25"/>
      <x:c r="E74" s="23"/>
      <x:c r="F74" s="21"/>
      <x:c r="G74" s="21"/>
    </x:row>
    <x:row r="75" spans="1:7" ht="14.5">
      <x:c r="A75" s="21"/>
      <x:c r="B75" s="24"/>
      <x:c r="C75" s="24"/>
      <x:c r="D75" s="25"/>
      <x:c r="E75" s="23"/>
      <x:c r="F75" s="21"/>
      <x:c r="G75" s="21"/>
    </x:row>
    <x:row r="76" spans="1:7" ht="14.5">
      <x:c r="A76" s="21"/>
      <x:c r="B76" s="24"/>
      <x:c r="C76" s="24"/>
      <x:c r="D76" s="25"/>
      <x:c r="E76" s="23"/>
      <x:c r="F76" s="21"/>
      <x:c r="G76" s="21"/>
    </x:row>
    <x:row r="77" spans="1:7" ht="14.5">
      <x:c r="A77" s="21"/>
      <x:c r="B77" s="24"/>
      <x:c r="C77" s="24"/>
      <x:c r="D77" s="25"/>
      <x:c r="E77" s="23"/>
      <x:c r="F77" s="21"/>
      <x:c r="G77" s="21"/>
    </x:row>
    <x:row r="78" spans="1:7" ht="14.5">
      <x:c r="A78" s="21"/>
      <x:c r="B78" s="24"/>
      <x:c r="C78" s="24"/>
      <x:c r="D78" s="25"/>
      <x:c r="E78" s="23"/>
      <x:c r="F78" s="21"/>
      <x:c r="G78" s="21"/>
    </x:row>
    <x:row r="79" spans="1:7" ht="14.5">
      <x:c r="A79" s="21"/>
      <x:c r="B79" s="24"/>
      <x:c r="C79" s="24"/>
      <x:c r="D79" s="25"/>
      <x:c r="E79" s="23"/>
      <x:c r="F79" s="21"/>
      <x:c r="G79" s="21"/>
    </x:row>
    <x:row r="80" spans="1:7" ht="14.5">
      <x:c r="A80" s="21"/>
      <x:c r="B80" s="24"/>
      <x:c r="C80" s="24"/>
      <x:c r="D80" s="25"/>
      <x:c r="E80" s="23"/>
      <x:c r="F80" s="21"/>
      <x:c r="G80" s="21"/>
    </x:row>
    <x:row r="81" spans="1:7" ht="14.5">
      <x:c r="A81" s="21"/>
      <x:c r="B81" s="24"/>
      <x:c r="C81" s="24"/>
      <x:c r="D81" s="25"/>
      <x:c r="E81" s="23"/>
      <x:c r="F81" s="21"/>
      <x:c r="G81" s="21"/>
    </x:row>
    <x:row r="82" spans="1:7" ht="14.5">
      <x:c r="A82" s="21"/>
      <x:c r="B82" s="24"/>
      <x:c r="C82" s="24"/>
      <x:c r="D82" s="25"/>
      <x:c r="E82" s="23"/>
      <x:c r="F82" s="21"/>
      <x:c r="G82" s="21"/>
    </x:row>
    <x:row r="83" spans="1:7" ht="14.5">
      <x:c r="A83" s="21"/>
      <x:c r="B83" s="24"/>
      <x:c r="C83" s="24"/>
      <x:c r="D83" s="25"/>
      <x:c r="E83" s="23"/>
      <x:c r="F83" s="21"/>
      <x:c r="G83" s="21"/>
    </x:row>
    <x:row r="84" spans="1:7" ht="14.5">
      <x:c r="A84" s="21"/>
      <x:c r="B84" s="24"/>
      <x:c r="C84" s="24"/>
      <x:c r="D84" s="25"/>
      <x:c r="E84" s="23"/>
      <x:c r="F84" s="21"/>
      <x:c r="G84" s="21"/>
    </x:row>
    <x:row r="85" spans="1:7" ht="14.5">
      <x:c r="A85" s="21"/>
      <x:c r="B85" s="24"/>
      <x:c r="C85" s="24"/>
      <x:c r="D85" s="25"/>
      <x:c r="E85" s="23"/>
      <x:c r="F85" s="21"/>
      <x:c r="G85" s="21"/>
    </x:row>
    <x:row r="86" spans="1:7" ht="14.5">
      <x:c r="A86" s="21"/>
      <x:c r="B86" s="24"/>
      <x:c r="C86" s="24"/>
      <x:c r="D86" s="25"/>
      <x:c r="E86" s="23"/>
      <x:c r="F86" s="21"/>
      <x:c r="G86" s="21"/>
    </x:row>
    <x:row r="87" spans="1:7" ht="14.5">
      <x:c r="A87" s="21"/>
      <x:c r="B87" s="24"/>
      <x:c r="C87" s="24"/>
      <x:c r="D87" s="25"/>
      <x:c r="E87" s="23"/>
      <x:c r="F87" s="21"/>
      <x:c r="G87" s="21"/>
    </x:row>
    <x:row r="88" spans="1:7" ht="14.5">
      <x:c r="A88" s="21"/>
      <x:c r="B88" s="24"/>
      <x:c r="C88" s="24"/>
      <x:c r="D88" s="25"/>
      <x:c r="E88" s="23"/>
      <x:c r="F88" s="21"/>
      <x:c r="G88" s="21"/>
    </x:row>
    <x:row r="89" spans="1:7" ht="14.5">
      <x:c r="A89" s="21"/>
      <x:c r="B89" s="24"/>
      <x:c r="C89" s="24"/>
      <x:c r="D89" s="25"/>
      <x:c r="E89" s="23"/>
      <x:c r="F89" s="21"/>
      <x:c r="G89" s="21"/>
    </x:row>
    <x:row r="90" spans="1:7" ht="14.5">
      <x:c r="A90" s="21"/>
      <x:c r="B90" s="24"/>
      <x:c r="C90" s="24"/>
      <x:c r="D90" s="25"/>
      <x:c r="E90" s="23"/>
      <x:c r="F90" s="21"/>
      <x:c r="G90" s="21"/>
    </x:row>
    <x:row r="91" spans="1:7" ht="14.5">
      <x:c r="A91" s="21"/>
      <x:c r="B91" s="24"/>
      <x:c r="C91" s="24"/>
      <x:c r="D91" s="25"/>
      <x:c r="E91" s="23"/>
      <x:c r="F91" s="21"/>
      <x:c r="G91" s="21"/>
    </x:row>
    <x:row r="92" spans="1:7" ht="14.5">
      <x:c r="A92" s="21"/>
      <x:c r="B92" s="24"/>
      <x:c r="C92" s="24"/>
      <x:c r="D92" s="25"/>
      <x:c r="E92" s="23"/>
      <x:c r="F92" s="21"/>
      <x:c r="G92" s="21"/>
    </x:row>
    <x:row r="93" spans="1:7" ht="14.5">
      <x:c r="A93" s="21"/>
      <x:c r="B93" s="24"/>
      <x:c r="C93" s="24"/>
      <x:c r="D93" s="25"/>
      <x:c r="E93" s="23"/>
      <x:c r="F93" s="21"/>
      <x:c r="G93" s="21"/>
    </x:row>
    <x:row r="94" spans="1:7" ht="14.5">
      <x:c r="A94" s="21"/>
      <x:c r="B94" s="24"/>
      <x:c r="C94" s="24"/>
      <x:c r="D94" s="25"/>
      <x:c r="E94" s="23"/>
      <x:c r="F94" s="21"/>
      <x:c r="G94" s="21"/>
    </x:row>
    <x:row r="95" spans="1:7" ht="14.5">
      <x:c r="A95" s="21"/>
      <x:c r="B95" s="24"/>
      <x:c r="C95" s="24"/>
      <x:c r="D95" s="25"/>
      <x:c r="E95" s="23"/>
      <x:c r="F95" s="21"/>
      <x:c r="G95" s="21"/>
    </x:row>
    <x:row r="96" spans="1:7" ht="14.5">
      <x:c r="A96" s="21"/>
      <x:c r="B96" s="24"/>
      <x:c r="C96" s="24"/>
      <x:c r="D96" s="25"/>
      <x:c r="E96" s="23"/>
      <x:c r="F96" s="21"/>
      <x:c r="G96" s="21"/>
    </x:row>
    <x:row r="97" spans="1:7" ht="14.5">
      <x:c r="A97" s="21"/>
      <x:c r="B97" s="24"/>
      <x:c r="C97" s="24"/>
      <x:c r="D97" s="25"/>
      <x:c r="E97" s="23"/>
      <x:c r="F97" s="21"/>
      <x:c r="G97" s="21"/>
    </x:row>
    <x:row r="98" spans="1:7" ht="14.5">
      <x:c r="A98" s="21"/>
      <x:c r="B98" s="24"/>
      <x:c r="C98" s="24"/>
      <x:c r="D98" s="25"/>
      <x:c r="E98" s="23"/>
      <x:c r="F98" s="21"/>
      <x:c r="G98" s="21"/>
    </x:row>
    <x:row r="99" spans="1:7" ht="14.5">
      <x:c r="A99" s="21"/>
      <x:c r="B99" s="24"/>
      <x:c r="C99" s="24"/>
      <x:c r="D99" s="25"/>
      <x:c r="E99" s="23"/>
      <x:c r="F99" s="21"/>
      <x:c r="G99" s="21"/>
    </x:row>
    <x:row r="100" spans="1:7" ht="14.5">
      <x:c r="A100" s="21"/>
      <x:c r="B100" s="24"/>
      <x:c r="C100" s="24"/>
      <x:c r="D100" s="25"/>
      <x:c r="E100" s="23"/>
      <x:c r="F100" s="21"/>
      <x:c r="G100" s="21"/>
    </x:row>
    <x:row r="101" spans="1:7" ht="14.5">
      <x:c r="A101" s="21"/>
      <x:c r="B101" s="24"/>
      <x:c r="C101" s="24"/>
      <x:c r="D101" s="25"/>
      <x:c r="E101" s="23"/>
      <x:c r="F101" s="21"/>
      <x:c r="G101" s="21"/>
    </x:row>
    <x:row r="102" spans="1:7" ht="14.5">
      <x:c r="A102" s="21"/>
      <x:c r="B102" s="24"/>
      <x:c r="C102" s="24"/>
      <x:c r="D102" s="25"/>
      <x:c r="E102" s="23"/>
      <x:c r="F102" s="21"/>
      <x:c r="G102" s="21"/>
    </x:row>
    <x:row r="103" spans="1:7" ht="14.5">
      <x:c r="A103" s="21"/>
      <x:c r="B103" s="24"/>
      <x:c r="C103" s="24"/>
      <x:c r="D103" s="25"/>
      <x:c r="E103" s="23"/>
      <x:c r="F103" s="21"/>
      <x:c r="G103" s="21"/>
    </x:row>
    <x:row r="104" spans="1:7" ht="14.5">
      <x:c r="A104" s="21"/>
      <x:c r="B104" s="24"/>
      <x:c r="C104" s="24"/>
      <x:c r="D104" s="25"/>
      <x:c r="E104" s="23"/>
      <x:c r="F104" s="21"/>
      <x:c r="G104" s="21"/>
    </x:row>
    <x:row r="105" spans="1:7" ht="14.5">
      <x:c r="A105" s="21"/>
      <x:c r="B105" s="24"/>
      <x:c r="C105" s="24"/>
      <x:c r="D105" s="25"/>
      <x:c r="E105" s="23"/>
      <x:c r="F105" s="21"/>
      <x:c r="G105" s="21"/>
    </x:row>
    <x:row r="106" spans="1:7" ht="14.5">
      <x:c r="A106" s="21"/>
      <x:c r="B106" s="24"/>
      <x:c r="C106" s="24"/>
      <x:c r="D106" s="25"/>
      <x:c r="E106" s="23"/>
      <x:c r="F106" s="21"/>
      <x:c r="G106" s="21"/>
    </x:row>
    <x:row r="107" spans="1:7" ht="14.5">
      <x:c r="A107" s="21"/>
      <x:c r="B107" s="24"/>
      <x:c r="C107" s="24"/>
      <x:c r="D107" s="25"/>
      <x:c r="E107" s="23"/>
      <x:c r="F107" s="21"/>
      <x:c r="G107" s="21"/>
    </x:row>
    <x:row r="108" spans="1:7" ht="14.5">
      <x:c r="A108" s="21"/>
      <x:c r="B108" s="24"/>
      <x:c r="C108" s="24"/>
      <x:c r="D108" s="25"/>
      <x:c r="E108" s="23"/>
      <x:c r="F108" s="21"/>
      <x:c r="G108" s="21"/>
    </x:row>
    <x:row r="109" spans="1:7" ht="14.5">
      <x:c r="A109" s="21"/>
      <x:c r="B109" s="24"/>
      <x:c r="C109" s="24"/>
      <x:c r="D109" s="25"/>
      <x:c r="E109" s="23"/>
      <x:c r="F109" s="21"/>
      <x:c r="G109" s="21"/>
    </x:row>
    <x:row r="110" spans="1:7" ht="14.5">
      <x:c r="A110" s="21"/>
      <x:c r="B110" s="24"/>
      <x:c r="C110" s="24"/>
      <x:c r="D110" s="23"/>
      <x:c r="E110" s="23"/>
      <x:c r="F110" s="21"/>
      <x:c r="G110" s="21"/>
    </x:row>
    <x:row r="111" spans="1:7" ht="14.5">
      <x:c r="A111" s="21"/>
      <x:c r="B111" s="24"/>
      <x:c r="C111" s="24"/>
      <x:c r="D111" s="23"/>
      <x:c r="E111" s="23"/>
      <x:c r="F111" s="21"/>
      <x:c r="G111" s="21"/>
    </x:row>
    <x:row r="112" spans="1:7" ht="14.5">
      <x:c r="A112" s="21"/>
      <x:c r="B112" s="24"/>
      <x:c r="C112" s="24"/>
      <x:c r="D112" s="23"/>
      <x:c r="E112" s="23"/>
      <x:c r="F112" s="21"/>
      <x:c r="G112" s="21"/>
    </x:row>
    <x:row r="113" spans="1:7" ht="14.5">
      <x:c r="A113" s="21"/>
      <x:c r="B113" s="24"/>
      <x:c r="C113" s="24"/>
      <x:c r="D113" s="23"/>
      <x:c r="E113" s="23"/>
      <x:c r="F113" s="21"/>
      <x:c r="G113" s="21"/>
    </x:row>
    <x:row r="114" spans="1:7" ht="14.5">
      <x:c r="A114" s="21"/>
      <x:c r="B114" s="24"/>
      <x:c r="C114" s="24"/>
      <x:c r="D114" s="23"/>
      <x:c r="E114" s="23"/>
      <x:c r="F114" s="21"/>
      <x:c r="G114" s="21"/>
    </x:row>
    <x:row r="115" spans="1:7" ht="14.5">
      <x:c r="A115" s="21"/>
      <x:c r="B115" s="24"/>
      <x:c r="C115" s="24"/>
      <x:c r="D115" s="23"/>
      <x:c r="E115" s="23"/>
      <x:c r="F115" s="21"/>
      <x:c r="G115" s="21"/>
    </x:row>
    <x:row r="116" spans="1:7" ht="14.5">
      <x:c r="A116" s="21"/>
      <x:c r="B116" s="24"/>
      <x:c r="C116" s="24"/>
      <x:c r="D116" s="23"/>
      <x:c r="E116" s="23"/>
      <x:c r="F116" s="21"/>
      <x:c r="G116" s="21"/>
    </x:row>
    <x:row r="117" spans="1:7" ht="14.5">
      <x:c r="A117" s="21"/>
      <x:c r="B117" s="24"/>
      <x:c r="C117" s="24"/>
      <x:c r="D117" s="23"/>
      <x:c r="E117" s="23"/>
      <x:c r="F117" s="21"/>
      <x:c r="G117" s="21"/>
    </x:row>
    <x:row r="118" spans="1:7" ht="14.5">
      <x:c r="A118" s="21"/>
      <x:c r="B118" s="24"/>
      <x:c r="C118" s="24"/>
      <x:c r="D118" s="23"/>
      <x:c r="E118" s="23"/>
      <x:c r="F118" s="21"/>
      <x:c r="G118" s="21"/>
    </x:row>
    <x:row r="119" spans="1:7" ht="14.5">
      <x:c r="A119" s="21"/>
      <x:c r="B119" s="24"/>
      <x:c r="C119" s="24"/>
      <x:c r="D119" s="23"/>
      <x:c r="E119" s="23"/>
      <x:c r="F119" s="21"/>
      <x:c r="G119" s="21"/>
    </x:row>
    <x:row r="120" spans="1:7" ht="14.5">
      <x:c r="A120" s="21"/>
      <x:c r="B120" s="24"/>
      <x:c r="C120" s="24"/>
      <x:c r="D120" s="23"/>
      <x:c r="E120" s="23"/>
      <x:c r="F120" s="21"/>
      <x:c r="G120" s="21"/>
    </x:row>
    <x:row r="121" spans="1:7" ht="14.5">
      <x:c r="A121" s="21"/>
      <x:c r="B121" s="24"/>
      <x:c r="C121" s="24"/>
      <x:c r="D121" s="23"/>
      <x:c r="E121" s="23"/>
      <x:c r="F121" s="21"/>
      <x:c r="G121" s="21"/>
    </x:row>
    <x:row r="122" spans="1:7" ht="14.5">
      <x:c r="A122" s="21"/>
      <x:c r="B122" s="24"/>
      <x:c r="C122" s="24"/>
      <x:c r="D122" s="23"/>
      <x:c r="E122" s="23"/>
      <x:c r="F122" s="21"/>
      <x:c r="G122" s="21"/>
    </x:row>
    <x:row r="123" spans="1:7" ht="14.5">
      <x:c r="A123" s="21"/>
      <x:c r="B123" s="24"/>
      <x:c r="C123" s="24"/>
      <x:c r="D123" s="23"/>
      <x:c r="E123" s="23"/>
      <x:c r="F123" s="21"/>
      <x:c r="G123" s="21"/>
    </x:row>
    <x:row r="124" spans="1:7" ht="14.5">
      <x:c r="A124" s="21"/>
      <x:c r="B124" s="24"/>
      <x:c r="C124" s="24"/>
      <x:c r="D124" s="23"/>
      <x:c r="E124" s="23"/>
      <x:c r="F124" s="21"/>
      <x:c r="G124" s="21"/>
    </x:row>
    <x:row r="125" spans="1:7" ht="14.5">
      <x:c r="A125" s="21"/>
      <x:c r="B125" s="24"/>
      <x:c r="C125" s="24"/>
      <x:c r="D125" s="23"/>
      <x:c r="E125" s="23"/>
      <x:c r="F125" s="21"/>
      <x:c r="G125" s="21"/>
    </x:row>
    <x:row r="126" spans="1:7" ht="14.5">
      <x:c r="A126" s="21"/>
      <x:c r="B126" s="24"/>
      <x:c r="C126" s="24"/>
      <x:c r="D126" s="23"/>
      <x:c r="E126" s="23"/>
      <x:c r="F126" s="21"/>
      <x:c r="G126" s="21"/>
    </x:row>
    <x:row r="127" spans="1:7" ht="14.5">
      <x:c r="A127" s="21"/>
      <x:c r="B127" s="24"/>
      <x:c r="C127" s="24"/>
      <x:c r="D127" s="23"/>
      <x:c r="E127" s="23"/>
      <x:c r="F127" s="21"/>
      <x:c r="G127" s="21"/>
    </x:row>
    <x:row r="128" spans="1:7" ht="14.5">
      <x:c r="A128" s="21"/>
      <x:c r="B128" s="24"/>
      <x:c r="C128" s="24"/>
      <x:c r="D128" s="23"/>
      <x:c r="E128" s="23"/>
      <x:c r="F128" s="21"/>
      <x:c r="G128" s="21"/>
    </x:row>
    <x:row r="129" spans="1:7" ht="14.5">
      <x:c r="A129" s="21"/>
      <x:c r="B129" s="24"/>
      <x:c r="C129" s="24"/>
      <x:c r="D129" s="23"/>
      <x:c r="E129" s="23"/>
      <x:c r="F129" s="21"/>
      <x:c r="G129" s="21"/>
    </x:row>
    <x:row r="130" spans="1:7" ht="14.5">
      <x:c r="A130" s="21"/>
      <x:c r="B130" s="24"/>
      <x:c r="C130" s="24"/>
      <x:c r="D130" s="23"/>
      <x:c r="E130" s="23"/>
      <x:c r="F130" s="21"/>
      <x:c r="G130" s="21"/>
    </x:row>
    <x:row r="131" spans="1:7" ht="14.5">
      <x:c r="A131" s="21"/>
      <x:c r="B131" s="24"/>
      <x:c r="C131" s="24"/>
      <x:c r="D131" s="23"/>
      <x:c r="E131" s="23"/>
      <x:c r="F131" s="21"/>
      <x:c r="G131" s="21"/>
    </x:row>
    <x:row r="132" spans="1:7" ht="14.5">
      <x:c r="A132" s="21"/>
      <x:c r="B132" s="24"/>
      <x:c r="C132" s="24"/>
      <x:c r="D132" s="23"/>
      <x:c r="E132" s="23"/>
      <x:c r="F132" s="21"/>
      <x:c r="G132" s="21"/>
    </x:row>
    <x:row r="133" spans="1:7" ht="14.5">
      <x:c r="A133" s="21"/>
      <x:c r="B133" s="24"/>
      <x:c r="C133" s="24"/>
      <x:c r="D133" s="23"/>
      <x:c r="E133" s="23"/>
      <x:c r="F133" s="21"/>
      <x:c r="G133" s="21"/>
    </x:row>
    <x:row r="134" spans="1:7" ht="14.5">
      <x:c r="A134" s="21"/>
      <x:c r="B134" s="24"/>
      <x:c r="C134" s="24"/>
      <x:c r="D134" s="23"/>
      <x:c r="E134" s="23"/>
      <x:c r="F134" s="21"/>
      <x:c r="G134" s="21"/>
    </x:row>
    <x:row r="135" spans="1:7" ht="14.5">
      <x:c r="A135" s="21"/>
      <x:c r="B135" s="24"/>
      <x:c r="C135" s="24"/>
      <x:c r="D135" s="23"/>
      <x:c r="E135" s="23"/>
      <x:c r="F135" s="21"/>
      <x:c r="G135" s="21"/>
    </x:row>
    <x:row r="136" spans="1:7" ht="14.5">
      <x:c r="A136" s="21"/>
      <x:c r="B136" s="24"/>
      <x:c r="C136" s="24"/>
      <x:c r="D136" s="23"/>
      <x:c r="E136" s="23"/>
      <x:c r="F136" s="21"/>
      <x:c r="G136" s="21"/>
    </x:row>
    <x:row r="137" spans="1:7" ht="14.5">
      <x:c r="A137" s="21"/>
      <x:c r="B137" s="24"/>
      <x:c r="C137" s="24"/>
      <x:c r="D137" s="23"/>
      <x:c r="E137" s="23"/>
      <x:c r="F137" s="21"/>
      <x:c r="G137" s="21"/>
    </x:row>
    <x:row r="138" spans="1:7" ht="14.5">
      <x:c r="A138" s="21"/>
      <x:c r="B138" s="24"/>
      <x:c r="C138" s="24"/>
      <x:c r="D138" s="23"/>
      <x:c r="E138" s="23"/>
      <x:c r="F138" s="21"/>
      <x:c r="G138" s="21"/>
    </x:row>
    <x:row r="139" spans="1:7" ht="14.5">
      <x:c r="A139" s="21"/>
      <x:c r="B139" s="24"/>
      <x:c r="C139" s="24"/>
      <x:c r="D139" s="23"/>
      <x:c r="E139" s="23"/>
      <x:c r="F139" s="21"/>
      <x:c r="G139" s="21"/>
    </x:row>
    <x:row r="140" spans="1:7" ht="14.5">
      <x:c r="A140" s="21"/>
      <x:c r="B140" s="24"/>
      <x:c r="C140" s="24"/>
      <x:c r="D140" s="23"/>
      <x:c r="E140" s="23"/>
      <x:c r="F140" s="21"/>
      <x:c r="G140" s="21"/>
    </x:row>
    <x:row r="141" spans="1:7" ht="14.5">
      <x:c r="A141" s="21"/>
      <x:c r="B141" s="24"/>
      <x:c r="C141" s="24"/>
      <x:c r="D141" s="23"/>
      <x:c r="E141" s="23"/>
      <x:c r="F141" s="21"/>
      <x:c r="G141" s="21"/>
    </x:row>
    <x:row r="142" spans="1:7" ht="14.5">
      <x:c r="B142" s="72"/>
      <x:c r="C142" s="72"/>
      <x:c r="D142" s="116"/>
      <x:c r="E142" s="116"/>
    </x:row>
    <x:row r="143" spans="1:7" ht="14.5">
      <x:c r="B143" s="72"/>
      <x:c r="C143" s="72"/>
      <x:c r="D143" s="116"/>
      <x:c r="E143" s="116"/>
    </x:row>
    <x:row r="144" spans="1:7" ht="14.5">
      <x:c r="B144" s="72"/>
      <x:c r="C144" s="72"/>
      <x:c r="D144" s="116"/>
      <x:c r="E144" s="116"/>
    </x:row>
    <x:row r="145" spans="2:5" ht="14.5">
      <x:c r="B145" s="72"/>
      <x:c r="C145" s="72"/>
      <x:c r="D145" s="116"/>
      <x:c r="E145" s="116"/>
    </x:row>
    <x:row r="146" spans="2:5" ht="14.5">
      <x:c r="B146" s="72"/>
      <x:c r="C146" s="72"/>
      <x:c r="D146" s="116"/>
      <x:c r="E146" s="116"/>
    </x:row>
    <x:row r="147" spans="2:5" ht="14.5">
      <x:c r="B147" s="72"/>
      <x:c r="C147" s="72"/>
      <x:c r="D147" s="116"/>
      <x:c r="E147" s="116"/>
    </x:row>
    <x:row r="148" spans="2:5" ht="14.5">
      <x:c r="B148" s="72"/>
      <x:c r="C148" s="72"/>
      <x:c r="D148" s="116"/>
      <x:c r="E148" s="116"/>
    </x:row>
    <x:row r="149" spans="2:5" ht="14.5">
      <x:c r="B149" s="72"/>
      <x:c r="C149" s="72"/>
      <x:c r="D149" s="116"/>
      <x:c r="E149" s="116"/>
    </x:row>
    <x:row r="150" spans="2:5" ht="14.5">
      <x:c r="B150" s="72"/>
      <x:c r="C150" s="72"/>
      <x:c r="D150" s="116"/>
      <x:c r="E150" s="116"/>
    </x:row>
    <x:row r="151" spans="2:5" ht="14.5">
      <x:c r="B151" s="72"/>
      <x:c r="C151" s="72"/>
      <x:c r="D151" s="116"/>
      <x:c r="E151" s="116"/>
    </x:row>
    <x:row r="152" spans="2:5" ht="14.5">
      <x:c r="B152" s="72"/>
      <x:c r="C152" s="72"/>
      <x:c r="D152" s="116"/>
      <x:c r="E152" s="116"/>
    </x:row>
    <x:row r="153" spans="2:5" ht="14.5">
      <x:c r="B153" s="72"/>
      <x:c r="C153" s="72"/>
      <x:c r="D153" s="116"/>
      <x:c r="E153" s="116"/>
    </x:row>
    <x:row r="154" spans="2:5" ht="14.5">
      <x:c r="B154" s="72"/>
      <x:c r="C154" s="72"/>
      <x:c r="D154" s="116"/>
      <x:c r="E154" s="116"/>
    </x:row>
    <x:row r="155" spans="2:5" ht="14.5">
      <x:c r="B155" s="72"/>
      <x:c r="C155" s="72"/>
      <x:c r="D155" s="116"/>
      <x:c r="E155" s="116"/>
    </x:row>
    <x:row r="156" spans="2:5" ht="14.5">
      <x:c r="B156" s="72"/>
      <x:c r="C156" s="72"/>
      <x:c r="D156" s="116"/>
      <x:c r="E156" s="116"/>
    </x:row>
    <x:row r="157" spans="2:5" ht="14.5">
      <x:c r="B157" s="72"/>
      <x:c r="C157" s="72"/>
      <x:c r="D157" s="116"/>
      <x:c r="E157" s="116"/>
    </x:row>
    <x:row r="158" spans="2:5" ht="14.5">
      <x:c r="B158" s="72"/>
      <x:c r="C158" s="72"/>
      <x:c r="D158" s="116"/>
      <x:c r="E158" s="116"/>
    </x:row>
    <x:row r="159" spans="2:5" ht="14.5">
      <x:c r="B159" s="72"/>
      <x:c r="C159" s="72"/>
      <x:c r="D159" s="116"/>
      <x:c r="E159" s="116"/>
    </x:row>
    <x:row r="160" spans="2:5" ht="14.5">
      <x:c r="B160" s="72"/>
      <x:c r="C160" s="72"/>
      <x:c r="D160" s="116"/>
      <x:c r="E160" s="116"/>
    </x:row>
    <x:row r="161" spans="2:5" ht="14.5">
      <x:c r="B161" s="72"/>
      <x:c r="C161" s="72"/>
      <x:c r="D161" s="116"/>
      <x:c r="E161" s="116"/>
    </x:row>
    <x:row r="162" spans="2:5" ht="14.5">
      <x:c r="B162" s="72"/>
      <x:c r="C162" s="72"/>
      <x:c r="D162" s="116"/>
      <x:c r="E162" s="116"/>
    </x:row>
    <x:row r="163" spans="2:5" ht="14.5">
      <x:c r="B163" s="72"/>
      <x:c r="C163" s="72"/>
      <x:c r="D163" s="116"/>
      <x:c r="E163" s="116"/>
    </x:row>
    <x:row r="164" spans="2:5" ht="14.5">
      <x:c r="B164" s="72"/>
      <x:c r="C164" s="72"/>
      <x:c r="D164" s="116"/>
      <x:c r="E164" s="116"/>
    </x:row>
    <x:row r="165" spans="2:5" ht="14.5">
      <x:c r="B165" s="72"/>
      <x:c r="C165" s="72"/>
      <x:c r="D165" s="116"/>
      <x:c r="E165" s="116"/>
    </x:row>
    <x:row r="166" spans="2:5" ht="14.5">
      <x:c r="B166" s="72"/>
      <x:c r="C166" s="72"/>
      <x:c r="D166" s="116"/>
      <x:c r="E166" s="116"/>
    </x:row>
    <x:row r="167" spans="2:5" ht="14.5">
      <x:c r="B167" s="72"/>
      <x:c r="C167" s="72"/>
      <x:c r="D167" s="116"/>
      <x:c r="E167" s="116"/>
    </x:row>
    <x:row r="168" spans="2:5" ht="14.5">
      <x:c r="B168" s="72"/>
      <x:c r="C168" s="72"/>
      <x:c r="D168" s="116"/>
      <x:c r="E168" s="116"/>
    </x:row>
    <x:row r="169" spans="2:5" ht="14.5">
      <x:c r="B169" s="72"/>
      <x:c r="C169" s="72"/>
      <x:c r="D169" s="116"/>
      <x:c r="E169" s="116"/>
    </x:row>
    <x:row r="170" spans="2:5" ht="14.5">
      <x:c r="B170" s="72"/>
      <x:c r="C170" s="72"/>
      <x:c r="D170" s="116"/>
      <x:c r="E170" s="116"/>
    </x:row>
    <x:row r="171" spans="2:5" ht="14.5">
      <x:c r="B171" s="72"/>
      <x:c r="C171" s="72"/>
      <x:c r="D171" s="116"/>
      <x:c r="E171" s="116"/>
    </x:row>
    <x:row r="172" spans="2:5" ht="14.5">
      <x:c r="B172" s="72"/>
      <x:c r="C172" s="72"/>
      <x:c r="D172" s="116"/>
      <x:c r="E172" s="116"/>
    </x:row>
    <x:row r="173" spans="2:5" ht="14.5">
      <x:c r="B173" s="72"/>
      <x:c r="C173" s="72"/>
      <x:c r="D173" s="116"/>
      <x:c r="E173" s="116"/>
    </x:row>
    <x:row r="174" spans="2:5" ht="14.5">
      <x:c r="B174" s="72"/>
      <x:c r="C174" s="72"/>
      <x:c r="D174" s="116"/>
      <x:c r="E174" s="116"/>
    </x:row>
    <x:row r="175" spans="2:5" ht="14.5">
      <x:c r="B175" s="72"/>
      <x:c r="C175" s="72"/>
      <x:c r="D175" s="116"/>
      <x:c r="E175" s="116"/>
    </x:row>
    <x:row r="176" spans="2:5" ht="14.5">
      <x:c r="B176" s="72"/>
      <x:c r="C176" s="72"/>
      <x:c r="D176" s="116"/>
      <x:c r="E176" s="116"/>
    </x:row>
    <x:row r="177" spans="2:5" ht="14.5">
      <x:c r="B177" s="72"/>
      <x:c r="C177" s="72"/>
      <x:c r="D177" s="116"/>
      <x:c r="E177" s="116"/>
    </x:row>
    <x:row r="178" spans="2:5" ht="14.5">
      <x:c r="B178" s="72"/>
      <x:c r="C178" s="72"/>
      <x:c r="D178" s="116"/>
      <x:c r="E178" s="116"/>
    </x:row>
    <x:row r="179" spans="2:5" ht="14.5">
      <x:c r="B179" s="72"/>
      <x:c r="C179" s="72"/>
      <x:c r="D179" s="116"/>
      <x:c r="E179" s="116"/>
    </x:row>
    <x:row r="180" spans="2:5" ht="14.5">
      <x:c r="B180" s="72"/>
      <x:c r="C180" s="72"/>
      <x:c r="D180" s="116"/>
      <x:c r="E180" s="116"/>
    </x:row>
    <x:row r="181" spans="2:5" ht="14.5">
      <x:c r="B181" s="72"/>
      <x:c r="C181" s="72"/>
      <x:c r="D181" s="116"/>
      <x:c r="E181" s="116"/>
    </x:row>
    <x:row r="182" spans="2:5" ht="14.5">
      <x:c r="B182" s="72"/>
      <x:c r="C182" s="72"/>
      <x:c r="D182" s="116"/>
      <x:c r="E182" s="116"/>
    </x:row>
    <x:row r="183" spans="2:5" ht="14.5">
      <x:c r="B183" s="72"/>
      <x:c r="C183" s="72"/>
      <x:c r="D183" s="116"/>
      <x:c r="E183" s="116"/>
    </x:row>
    <x:row r="184" spans="2:5" ht="14.5">
      <x:c r="B184" s="72"/>
      <x:c r="C184" s="72"/>
      <x:c r="D184" s="116"/>
      <x:c r="E184" s="116"/>
    </x:row>
    <x:row r="185" spans="2:5" ht="14.5">
      <x:c r="B185" s="72"/>
      <x:c r="C185" s="72"/>
      <x:c r="D185" s="116"/>
      <x:c r="E185" s="116"/>
    </x:row>
    <x:row r="186" spans="2:5" ht="14.5">
      <x:c r="B186" s="72"/>
      <x:c r="C186" s="72"/>
      <x:c r="D186" s="116"/>
      <x:c r="E186" s="116"/>
    </x:row>
    <x:row r="187" spans="2:5" ht="14.5">
      <x:c r="B187" s="72"/>
      <x:c r="C187" s="72"/>
      <x:c r="D187" s="116"/>
      <x:c r="E187" s="116"/>
    </x:row>
    <x:row r="188" spans="2:5" ht="14.5">
      <x:c r="B188" s="72"/>
      <x:c r="C188" s="72"/>
      <x:c r="D188" s="116"/>
      <x:c r="E188" s="116"/>
    </x:row>
    <x:row r="189" spans="2:5" ht="14.5">
      <x:c r="B189" s="72"/>
      <x:c r="C189" s="72"/>
      <x:c r="D189" s="116"/>
      <x:c r="E189" s="116"/>
    </x:row>
    <x:row r="190" spans="2:5" ht="14.5">
      <x:c r="B190" s="72"/>
      <x:c r="C190" s="72"/>
      <x:c r="D190" s="116"/>
      <x:c r="E190" s="116"/>
    </x:row>
    <x:row r="191" spans="2:5" ht="14.5">
      <x:c r="B191" s="72"/>
      <x:c r="C191" s="72"/>
      <x:c r="D191" s="116"/>
      <x:c r="E191" s="116"/>
    </x:row>
    <x:row r="192" spans="2:5" ht="14.5">
      <x:c r="B192" s="72"/>
      <x:c r="C192" s="72"/>
      <x:c r="D192" s="116"/>
      <x:c r="E192" s="116"/>
    </x:row>
    <x:row r="193" spans="2:5" ht="14.5">
      <x:c r="B193" s="72"/>
      <x:c r="C193" s="72"/>
      <x:c r="D193" s="116"/>
      <x:c r="E193" s="116"/>
    </x:row>
    <x:row r="194" spans="2:5" ht="14.5">
      <x:c r="B194" s="72"/>
      <x:c r="C194" s="72"/>
      <x:c r="D194" s="116"/>
      <x:c r="E194" s="116"/>
    </x:row>
    <x:row r="195" spans="2:5" ht="14.5">
      <x:c r="B195" s="72"/>
      <x:c r="C195" s="72"/>
      <x:c r="D195" s="116"/>
      <x:c r="E195" s="116"/>
    </x:row>
    <x:row r="196" spans="2:5" ht="14.5">
      <x:c r="B196" s="72"/>
      <x:c r="C196" s="72"/>
      <x:c r="D196" s="116"/>
      <x:c r="E196" s="116"/>
    </x:row>
    <x:row r="197" spans="2:5" ht="14.5">
      <x:c r="B197" s="72"/>
      <x:c r="C197" s="72"/>
      <x:c r="D197" s="116"/>
      <x:c r="E197" s="116"/>
    </x:row>
    <x:row r="198" spans="2:5" ht="14.5">
      <x:c r="B198" s="72"/>
      <x:c r="C198" s="72"/>
      <x:c r="D198" s="116"/>
      <x:c r="E198" s="116"/>
    </x:row>
    <x:row r="199" spans="2:5" ht="14.5">
      <x:c r="B199" s="72"/>
      <x:c r="C199" s="72"/>
      <x:c r="D199" s="116"/>
      <x:c r="E199" s="116"/>
    </x:row>
    <x:row r="200" spans="2:5" ht="14.5">
      <x:c r="B200" s="72"/>
      <x:c r="C200" s="72"/>
      <x:c r="D200" s="116"/>
      <x:c r="E200" s="116"/>
    </x:row>
    <x:row r="201" spans="2:5" ht="14.5">
      <x:c r="B201" s="72"/>
      <x:c r="C201" s="72"/>
      <x:c r="D201" s="116"/>
      <x:c r="E201" s="116"/>
    </x:row>
    <x:row r="202" spans="2:5" ht="14.5">
      <x:c r="B202" s="72"/>
      <x:c r="C202" s="72"/>
      <x:c r="D202" s="116"/>
      <x:c r="E202" s="116"/>
    </x:row>
    <x:row r="203" spans="2:5" ht="14.5">
      <x:c r="B203" s="72"/>
      <x:c r="C203" s="72"/>
      <x:c r="D203" s="116"/>
      <x:c r="E203" s="116"/>
    </x:row>
    <x:row r="204" spans="2:5" ht="14.5">
      <x:c r="B204" s="72"/>
      <x:c r="C204" s="72"/>
      <x:c r="D204" s="116"/>
      <x:c r="E204" s="116"/>
    </x:row>
    <x:row r="205" spans="2:5" ht="14.5">
      <x:c r="B205" s="72"/>
      <x:c r="C205" s="72"/>
      <x:c r="D205" s="116"/>
      <x:c r="E205" s="116"/>
    </x:row>
    <x:row r="206" spans="2:5" ht="14.5">
      <x:c r="B206" s="72"/>
      <x:c r="C206" s="72"/>
      <x:c r="D206" s="116"/>
      <x:c r="E206" s="116"/>
    </x:row>
    <x:row r="207" spans="2:5" ht="14.5">
      <x:c r="B207" s="72"/>
      <x:c r="C207" s="72"/>
      <x:c r="D207" s="116"/>
      <x:c r="E207" s="116"/>
    </x:row>
    <x:row r="208" spans="2:5" ht="14.5">
      <x:c r="B208" s="72"/>
      <x:c r="C208" s="72"/>
      <x:c r="D208" s="116"/>
      <x:c r="E208" s="116"/>
    </x:row>
    <x:row r="209" spans="2:5" ht="14.5">
      <x:c r="B209" s="72"/>
      <x:c r="C209" s="72"/>
      <x:c r="D209" s="116"/>
      <x:c r="E209" s="116"/>
    </x:row>
    <x:row r="210" spans="2:5" ht="14.5">
      <x:c r="B210" s="72"/>
      <x:c r="C210" s="72"/>
      <x:c r="D210" s="116"/>
      <x:c r="E210" s="116"/>
    </x:row>
    <x:row r="211" spans="2:5" ht="14.5">
      <x:c r="B211" s="72"/>
      <x:c r="C211" s="72"/>
      <x:c r="D211" s="116"/>
      <x:c r="E211" s="116"/>
    </x:row>
    <x:row r="212" spans="2:5" ht="14.5">
      <x:c r="B212" s="72"/>
      <x:c r="C212" s="72"/>
      <x:c r="D212" s="116"/>
      <x:c r="E212" s="116"/>
    </x:row>
    <x:row r="213" spans="2:5" ht="14.5">
      <x:c r="B213" s="72"/>
      <x:c r="C213" s="72"/>
      <x:c r="D213" s="116"/>
      <x:c r="E213" s="116"/>
    </x:row>
    <x:row r="214" spans="2:5" ht="14.5">
      <x:c r="B214" s="72"/>
      <x:c r="C214" s="72"/>
      <x:c r="D214" s="116"/>
      <x:c r="E214" s="116"/>
    </x:row>
    <x:row r="215" spans="2:5" ht="14.5">
      <x:c r="B215" s="72"/>
      <x:c r="C215" s="72"/>
      <x:c r="D215" s="116"/>
      <x:c r="E215" s="116"/>
    </x:row>
    <x:row r="216" spans="2:5" ht="14.5">
      <x:c r="B216" s="72"/>
      <x:c r="C216" s="72"/>
      <x:c r="D216" s="116"/>
      <x:c r="E216" s="116"/>
    </x:row>
    <x:row r="217" spans="2:5" ht="14.5">
      <x:c r="B217" s="72"/>
      <x:c r="C217" s="72"/>
      <x:c r="D217" s="116"/>
      <x:c r="E217" s="116"/>
    </x:row>
    <x:row r="218" spans="2:5" ht="14.5">
      <x:c r="B218" s="72"/>
      <x:c r="C218" s="72"/>
      <x:c r="D218" s="116"/>
      <x:c r="E218" s="116"/>
    </x:row>
    <x:row r="219" spans="2:5" ht="14.5">
      <x:c r="B219" s="72"/>
      <x:c r="C219" s="72"/>
      <x:c r="D219" s="116"/>
      <x:c r="E219" s="116"/>
    </x:row>
    <x:row r="220" spans="2:5" ht="14.5">
      <x:c r="B220" s="72"/>
      <x:c r="C220" s="72"/>
      <x:c r="D220" s="116"/>
      <x:c r="E220" s="116"/>
    </x:row>
    <x:row r="221" spans="2:5" ht="14.5">
      <x:c r="B221" s="72"/>
      <x:c r="C221" s="72"/>
      <x:c r="D221" s="116"/>
      <x:c r="E221" s="116"/>
    </x:row>
    <x:row r="222" spans="2:5" ht="14.5">
      <x:c r="B222" s="72"/>
      <x:c r="C222" s="72"/>
      <x:c r="D222" s="116"/>
      <x:c r="E222" s="116"/>
    </x:row>
    <x:row r="223" spans="2:5" ht="14.5">
      <x:c r="B223" s="72"/>
      <x:c r="C223" s="72"/>
      <x:c r="D223" s="116"/>
      <x:c r="E223" s="116"/>
    </x:row>
    <x:row r="224" spans="2:5" ht="14.5">
      <x:c r="B224" s="72"/>
      <x:c r="C224" s="72"/>
      <x:c r="D224" s="116"/>
      <x:c r="E224" s="116"/>
    </x:row>
    <x:row r="225" spans="2:5" ht="14.5">
      <x:c r="B225" s="72"/>
      <x:c r="C225" s="72"/>
      <x:c r="D225" s="116"/>
      <x:c r="E225" s="116"/>
    </x:row>
    <x:row r="226" spans="2:5" ht="14.5">
      <x:c r="B226" s="72"/>
      <x:c r="C226" s="72"/>
      <x:c r="D226" s="116"/>
      <x:c r="E226" s="116"/>
    </x:row>
    <x:row r="227" spans="2:5" ht="14.5">
      <x:c r="B227" s="72"/>
      <x:c r="C227" s="72"/>
      <x:c r="D227" s="116"/>
      <x:c r="E227" s="116"/>
    </x:row>
    <x:row r="228" spans="2:5" ht="14.5">
      <x:c r="B228" s="72"/>
      <x:c r="C228" s="72"/>
      <x:c r="D228" s="116"/>
      <x:c r="E228" s="116"/>
    </x:row>
    <x:row r="229" spans="2:5" ht="14.5">
      <x:c r="B229" s="72"/>
      <x:c r="C229" s="72"/>
      <x:c r="D229" s="116"/>
      <x:c r="E229" s="116"/>
    </x:row>
    <x:row r="230" spans="2:5" ht="14.5">
      <x:c r="B230" s="72"/>
      <x:c r="C230" s="72"/>
      <x:c r="D230" s="116"/>
      <x:c r="E230" s="116"/>
    </x:row>
    <x:row r="231" spans="2:5" ht="14.5">
      <x:c r="B231" s="72"/>
      <x:c r="C231" s="72"/>
      <x:c r="D231" s="116"/>
      <x:c r="E231" s="116"/>
    </x:row>
    <x:row r="232" spans="2:5" ht="14.5">
      <x:c r="B232" s="72"/>
      <x:c r="C232" s="72"/>
      <x:c r="D232" s="116"/>
      <x:c r="E232" s="116"/>
    </x:row>
    <x:row r="233" spans="2:5" ht="14.5">
      <x:c r="B233" s="72"/>
      <x:c r="C233" s="72"/>
      <x:c r="D233" s="116"/>
      <x:c r="E233" s="116"/>
    </x:row>
    <x:row r="234" spans="2:5" ht="14.5">
      <x:c r="B234" s="72"/>
      <x:c r="C234" s="72"/>
      <x:c r="D234" s="116"/>
      <x:c r="E234" s="116"/>
    </x:row>
    <x:row r="235" spans="2:5" ht="14.5">
      <x:c r="B235" s="72"/>
      <x:c r="C235" s="72"/>
      <x:c r="D235" s="116"/>
      <x:c r="E235" s="116"/>
    </x:row>
    <x:row r="236" spans="2:5" ht="14.5">
      <x:c r="B236" s="72"/>
      <x:c r="C236" s="72"/>
      <x:c r="D236" s="116"/>
      <x:c r="E236" s="116"/>
    </x:row>
    <x:row r="237" spans="2:5" ht="14.5">
      <x:c r="C237" s="72"/>
      <x:c r="D237" s="116"/>
      <x:c r="E237" s="116"/>
    </x:row>
    <x:row r="238" spans="2:5" ht="14.5">
      <x:c r="C238" s="72"/>
      <x:c r="D238" s="116"/>
      <x:c r="E238" s="116"/>
    </x:row>
    <x:row r="239" spans="2:5" ht="14.5">
      <x:c r="C239" s="72"/>
      <x:c r="D239" s="116"/>
      <x:c r="E239" s="116"/>
    </x:row>
    <x:row r="240" spans="2:5" ht="14.5">
      <x:c r="C240" s="72"/>
      <x:c r="D240" s="116"/>
      <x:c r="E240" s="116"/>
    </x:row>
    <x:row r="241" spans="3:5" ht="14.5">
      <x:c r="C241" s="72"/>
      <x:c r="D241" s="116"/>
      <x:c r="E241" s="116"/>
    </x:row>
    <x:row r="242" spans="3:5" ht="14.5" hidden="1"/>
    <x:row r="243" spans="3:5" ht="14.5" hidden="1"/>
    <x:row r="244" spans="3:5" ht="14.5" hidden="1"/>
    <x:row r="245" spans="3:5" ht="14.5" hidden="1"/>
    <x:row r="246" spans="3:5" ht="14.5" hidden="1"/>
    <x:row r="247" spans="3:5" ht="14.5" hidden="1"/>
    <x:row r="248" spans="3:5" ht="14.5" hidden="1"/>
    <x:row r="249" spans="3:5" ht="14.5" hidden="1"/>
    <x:row r="250" spans="3:5" ht="14.5" hidden="1"/>
    <x:row r="251" spans="3:5" ht="14.9" customHeight="1"/>
    <x:row r="252" spans="3:5" ht="14.9" customHeight="1"/>
    <x:row r="253" spans="3:5" ht="14.9" customHeight="1"/>
    <x:row r="1000">
      <x:c r="XX1000" s="142" t="n">
        <x:v>125713</x:v>
      </x:c>
    </x:row>
  </x:sheetData>
  <x:pageMargins left="0.7" right="0.7" top="0.75" bottom="0.75" header="0.3" footer="0.3"/>
  <x:pageSetup orientation="portrait" horizontalDpi="1200" verticalDpi="1200" r:id="rId1"/>
</x: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F166-8E67-4745-985C-9FBF2D0E0897}">
  <sheetPr codeName="Sheet11"/>
  <dimension ref="A1:CF225"/>
  <sheetViews>
    <sheetView workbookViewId="0">
      <selection activeCell="A8" sqref="A8"/>
    </sheetView>
  </sheetViews>
  <sheetFormatPr defaultColWidth="8.81640625" defaultRowHeight="14.5"/>
  <cols>
    <col min="1" max="1" width="3.81640625" style="4" customWidth="1"/>
    <col min="2" max="2" width="23.54296875" style="4" bestFit="1" customWidth="1"/>
    <col min="3" max="3" width="3.81640625" style="4" customWidth="1"/>
    <col min="4" max="4" width="20.08984375" style="4" customWidth="1"/>
    <col min="5" max="5" width="3.81640625" style="4" customWidth="1"/>
    <col min="6" max="6" width="23.81640625" style="4" bestFit="1" customWidth="1"/>
    <col min="7" max="7" width="15.36328125" style="4" customWidth="1"/>
    <col min="8" max="8" width="18.81640625" style="4" bestFit="1" customWidth="1"/>
    <col min="9" max="9" width="65.453125" style="4" bestFit="1" customWidth="1"/>
    <col min="10" max="11" width="15.36328125" style="4" customWidth="1"/>
    <col min="12" max="12" width="3.81640625" style="4" customWidth="1"/>
    <col min="13" max="13" width="23.81640625" style="4" bestFit="1" customWidth="1"/>
    <col min="14" max="14" width="15.36328125" style="4" customWidth="1"/>
    <col min="15" max="15" width="3.81640625" style="4" customWidth="1"/>
    <col min="16" max="16" width="19.54296875" style="4" customWidth="1"/>
    <col min="17" max="17" width="18" style="4" bestFit="1" customWidth="1"/>
    <col min="18" max="18" width="3.81640625" style="4" customWidth="1"/>
    <col min="19" max="19" width="18" style="4" bestFit="1" customWidth="1"/>
    <col min="20" max="20" width="3.81640625" style="4" customWidth="1"/>
    <col min="21" max="23" width="15.08984375" style="4" customWidth="1"/>
    <col min="24" max="24" width="17.1796875" style="4" bestFit="1" customWidth="1"/>
    <col min="25" max="25" width="3.81640625" style="4" customWidth="1"/>
    <col min="26" max="26" width="16" style="4" bestFit="1" customWidth="1"/>
    <col min="27" max="34" width="16" style="4" customWidth="1"/>
    <col min="35" max="45" width="17.08984375" style="4" bestFit="1" customWidth="1"/>
    <col min="46" max="46" width="3.81640625" style="4" customWidth="1"/>
    <col min="47" max="47" width="9.36328125" style="4" bestFit="1" customWidth="1"/>
    <col min="48" max="48" width="29.36328125" style="4" customWidth="1"/>
    <col min="49" max="50" width="11.81640625" style="4" customWidth="1"/>
    <col min="51" max="51" width="21.08984375" style="4" customWidth="1"/>
    <col min="52" max="52" width="3.81640625" style="4" customWidth="1"/>
    <col min="53" max="54" width="21.08984375" style="4" customWidth="1"/>
    <col min="55" max="55" width="3.81640625" style="4" customWidth="1"/>
    <col min="56" max="75" width="14.81640625" style="4" customWidth="1"/>
    <col min="76" max="16384" width="8.81640625" style="4"/>
  </cols>
  <sheetData>
    <row r="1" spans="1:84">
      <c r="B1" s="5" t="s">
        <v>2</v>
      </c>
      <c r="D1" s="5" t="s">
        <v>0</v>
      </c>
      <c r="F1" s="5" t="s">
        <v>5</v>
      </c>
      <c r="G1" s="5" t="s">
        <v>6</v>
      </c>
      <c r="H1" s="5" t="s">
        <v>7</v>
      </c>
      <c r="I1" s="5" t="s">
        <v>8</v>
      </c>
      <c r="J1" s="5" t="s">
        <v>25</v>
      </c>
      <c r="K1" s="11" t="s">
        <v>18</v>
      </c>
      <c r="M1" s="5" t="s">
        <v>5</v>
      </c>
      <c r="N1" s="5" t="s">
        <v>10</v>
      </c>
      <c r="P1" s="5" t="s">
        <v>16</v>
      </c>
      <c r="Q1" s="5" t="s">
        <v>26</v>
      </c>
      <c r="S1" s="5" t="s">
        <v>27</v>
      </c>
      <c r="U1" s="5" t="s">
        <v>13</v>
      </c>
      <c r="V1" s="5" t="s">
        <v>14</v>
      </c>
      <c r="W1" s="5" t="s">
        <v>15</v>
      </c>
      <c r="X1" s="5" t="s">
        <v>12</v>
      </c>
      <c r="Z1" s="5" t="s">
        <v>28</v>
      </c>
      <c r="AA1" s="5" t="s">
        <v>29</v>
      </c>
      <c r="AB1" s="5" t="s">
        <v>30</v>
      </c>
      <c r="AC1" s="5" t="s">
        <v>31</v>
      </c>
      <c r="AD1" s="5" t="s">
        <v>32</v>
      </c>
      <c r="AE1" s="5" t="s">
        <v>33</v>
      </c>
      <c r="AF1" s="5" t="s">
        <v>34</v>
      </c>
      <c r="AG1" s="5" t="s">
        <v>35</v>
      </c>
      <c r="AH1" s="5" t="s">
        <v>36</v>
      </c>
      <c r="AI1" s="5" t="s">
        <v>37</v>
      </c>
      <c r="AJ1" s="5" t="s">
        <v>38</v>
      </c>
      <c r="AK1" s="5" t="s">
        <v>39</v>
      </c>
      <c r="AL1" s="5" t="s">
        <v>40</v>
      </c>
      <c r="AM1" s="5" t="s">
        <v>41</v>
      </c>
      <c r="AN1" s="5" t="s">
        <v>42</v>
      </c>
      <c r="AO1" s="5" t="s">
        <v>43</v>
      </c>
      <c r="AP1" s="5" t="s">
        <v>44</v>
      </c>
      <c r="AQ1" s="5" t="s">
        <v>45</v>
      </c>
      <c r="AR1" s="5" t="s">
        <v>46</v>
      </c>
      <c r="AS1" s="5" t="s">
        <v>47</v>
      </c>
      <c r="AU1" s="5" t="s">
        <v>48</v>
      </c>
      <c r="AV1" s="5" t="s">
        <v>93</v>
      </c>
      <c r="AW1" s="5" t="s">
        <v>94</v>
      </c>
      <c r="AX1" s="5" t="s">
        <v>95</v>
      </c>
      <c r="AY1" s="5" t="s">
        <v>49</v>
      </c>
      <c r="BA1" s="5" t="s">
        <v>50</v>
      </c>
      <c r="BB1" s="11" t="s">
        <v>76</v>
      </c>
      <c r="BD1" s="5" t="s">
        <v>51</v>
      </c>
      <c r="BE1" s="5" t="s">
        <v>52</v>
      </c>
      <c r="BF1" s="5" t="s">
        <v>53</v>
      </c>
      <c r="BG1" s="5" t="s">
        <v>54</v>
      </c>
      <c r="BH1" s="5" t="s">
        <v>55</v>
      </c>
      <c r="BI1" s="5" t="s">
        <v>56</v>
      </c>
      <c r="BJ1" s="5" t="s">
        <v>57</v>
      </c>
      <c r="BK1" s="5" t="s">
        <v>58</v>
      </c>
      <c r="BL1" s="5" t="s">
        <v>59</v>
      </c>
      <c r="BM1" s="5" t="s">
        <v>60</v>
      </c>
      <c r="BN1" s="5" t="s">
        <v>61</v>
      </c>
      <c r="BO1" s="5" t="s">
        <v>62</v>
      </c>
      <c r="BP1" s="5" t="s">
        <v>63</v>
      </c>
      <c r="BQ1" s="5" t="s">
        <v>64</v>
      </c>
      <c r="BR1" s="5" t="s">
        <v>65</v>
      </c>
      <c r="BS1" s="5" t="s">
        <v>66</v>
      </c>
      <c r="BT1" s="5" t="s">
        <v>67</v>
      </c>
      <c r="BU1" s="5" t="s">
        <v>68</v>
      </c>
      <c r="BV1" s="5" t="s">
        <v>69</v>
      </c>
      <c r="BW1" s="5" t="s">
        <v>70</v>
      </c>
      <c r="BZ1" s="4" t="s">
        <v>367</v>
      </c>
      <c r="CA1" s="4" t="s">
        <v>369</v>
      </c>
      <c r="CB1" s="4" t="s">
        <v>368</v>
      </c>
      <c r="CC1" s="4" t="s">
        <v>370</v>
      </c>
      <c r="CD1" s="4" t="s">
        <v>372</v>
      </c>
      <c r="CE1" s="4" t="s">
        <v>371</v>
      </c>
      <c r="CF1" s="4" t="s">
        <v>516</v>
      </c>
    </row>
    <row r="2" spans="1:84">
      <c r="B2" s="4" t="s">
        <v>145</v>
      </c>
      <c r="D2" s="6"/>
      <c r="F2" s="6" t="s">
        <v>144</v>
      </c>
      <c r="G2" s="6" t="s">
        <v>462</v>
      </c>
      <c r="H2" s="6" t="s">
        <v>530</v>
      </c>
      <c r="I2" s="6" t="s">
        <v>833</v>
      </c>
      <c r="J2" s="6" t="s">
        <v>20</v>
      </c>
      <c r="K2" s="14" t="b">
        <f>IF(PRODUCT(BB2:BB101)=1,TRUE,FALSE)</f>
        <v>0</v>
      </c>
      <c r="M2" s="4" t="s">
        <v>100</v>
      </c>
      <c r="N2" s="4" t="s">
        <v>19</v>
      </c>
      <c r="P2" s="4" t="s">
        <v>517</v>
      </c>
      <c r="Q2" s="2" t="str" cm="1">
        <f t="array" ref="Q2">IF(RandomMethod="Numbers",S2,IF(RandomMethod="Scenarios",INDEX(Z2:AS2,RandomScenarioNumber),"Error"))</f>
        <v>Brandin Cooks</v>
      </c>
      <c r="S2" s="2" t="s">
        <v>1064</v>
      </c>
      <c r="U2" s="1">
        <v>1</v>
      </c>
      <c r="V2" s="1">
        <v>60</v>
      </c>
      <c r="W2" s="1">
        <v>1</v>
      </c>
      <c r="X2" s="2" t="s">
        <v>591</v>
      </c>
      <c r="Y2" s="2"/>
      <c r="Z2" s="2" t="s">
        <v>688</v>
      </c>
      <c r="AA2" s="2" t="s">
        <v>760</v>
      </c>
      <c r="AB2" s="2" t="s">
        <v>1041</v>
      </c>
      <c r="AC2" s="2" t="s">
        <v>1098</v>
      </c>
      <c r="AD2" s="2" t="s">
        <v>625</v>
      </c>
      <c r="AE2" s="2" t="s">
        <v>755</v>
      </c>
      <c r="AF2" s="2" t="s">
        <v>750</v>
      </c>
      <c r="AG2" s="2" t="s">
        <v>566</v>
      </c>
      <c r="AH2" s="2" t="s">
        <v>737</v>
      </c>
      <c r="AI2" s="2" t="s">
        <v>568</v>
      </c>
      <c r="AJ2" s="2" t="s">
        <v>1139</v>
      </c>
      <c r="AK2" s="2" t="s">
        <v>752</v>
      </c>
      <c r="AL2" s="2" t="s">
        <v>1046</v>
      </c>
      <c r="AM2" s="2" t="s">
        <v>723</v>
      </c>
      <c r="AN2" s="2" t="s">
        <v>698</v>
      </c>
      <c r="AO2" s="2" t="s">
        <v>705</v>
      </c>
      <c r="AP2" s="2" t="s">
        <v>651</v>
      </c>
      <c r="AQ2" s="2" t="s">
        <v>1069</v>
      </c>
      <c r="AR2" s="2" t="s">
        <v>712</v>
      </c>
      <c r="AS2" s="2" t="s">
        <v>1064</v>
      </c>
      <c r="AU2" s="4">
        <v>1</v>
      </c>
      <c r="AV2" s="6" t="s">
        <v>144</v>
      </c>
      <c r="AW2" s="4" t="s">
        <v>462</v>
      </c>
      <c r="AX2" s="4" t="s">
        <v>460</v>
      </c>
      <c r="AY2" s="13" cm="1">
        <f t="array" ref="AY2">IF(RandomMethod="Numbers",BA2,IF(RandomMethod="Scenarios",INDEX(BD2:BW2,RandomScenarioNumber),"Error"))</f>
        <v>1491</v>
      </c>
      <c r="BA2" s="2" cm="1">
        <f t="array" aca="1" ref="BA2" ca="1">INDIRECT("'"&amp;AV2&amp;"'!"&amp;AW2)</f>
        <v>0</v>
      </c>
      <c r="BB2" s="15">
        <v>0</v>
      </c>
      <c r="BC2" s="2"/>
      <c r="BD2" s="2">
        <v>1491</v>
      </c>
      <c r="BE2" s="2">
        <v>1491</v>
      </c>
      <c r="BF2" s="2">
        <v>1491</v>
      </c>
      <c r="BG2" s="2">
        <v>1491</v>
      </c>
      <c r="BH2" s="2">
        <v>1491</v>
      </c>
      <c r="BI2" s="2">
        <v>1491</v>
      </c>
      <c r="BJ2" s="2">
        <v>1491</v>
      </c>
      <c r="BK2" s="2">
        <v>1491</v>
      </c>
      <c r="BL2" s="2">
        <v>1491</v>
      </c>
      <c r="BM2" s="2">
        <v>1491</v>
      </c>
      <c r="BN2" s="2">
        <v>1491</v>
      </c>
      <c r="BO2" s="2">
        <v>1491</v>
      </c>
      <c r="BP2" s="2">
        <v>1491</v>
      </c>
      <c r="BQ2" s="2">
        <v>1491</v>
      </c>
      <c r="BR2" s="2">
        <v>1491</v>
      </c>
      <c r="BS2" s="2">
        <v>1491</v>
      </c>
      <c r="BT2" s="2">
        <v>1491</v>
      </c>
      <c r="BU2" s="2">
        <v>1491</v>
      </c>
      <c r="BV2" s="2">
        <v>1491</v>
      </c>
      <c r="BW2" s="2">
        <v>1491</v>
      </c>
      <c r="BZ2" s="4" t="s">
        <v>581</v>
      </c>
      <c r="CA2" s="4" t="s">
        <v>557</v>
      </c>
      <c r="CB2" s="4" t="s">
        <v>558</v>
      </c>
      <c r="CC2" s="4" t="s">
        <v>559</v>
      </c>
      <c r="CD2" s="4" t="s">
        <v>570</v>
      </c>
      <c r="CE2" s="4" t="s">
        <v>384</v>
      </c>
      <c r="CF2" s="4" t="s">
        <v>353</v>
      </c>
    </row>
    <row r="3" spans="1:84">
      <c r="F3" s="6" t="s">
        <v>529</v>
      </c>
      <c r="G3" s="6" t="s">
        <v>531</v>
      </c>
      <c r="H3" s="6" t="s">
        <v>531</v>
      </c>
      <c r="I3" s="6" t="s">
        <v>532</v>
      </c>
      <c r="J3" s="6" t="s">
        <v>20</v>
      </c>
      <c r="K3" s="14" t="b">
        <f t="shared" ref="K3" si="0">IF(PRODUCT(BB3:BB102)=1,TRUE,FALSE)</f>
        <v>0</v>
      </c>
      <c r="M3" s="4" t="s">
        <v>21</v>
      </c>
      <c r="N3" s="4" t="s">
        <v>534</v>
      </c>
      <c r="P3" s="4" t="s">
        <v>368</v>
      </c>
      <c r="Q3" s="2" t="str" cm="1">
        <f t="array" ref="Q3">IF(RandomMethod="Numbers",S3,IF(RandomMethod="Scenarios",INDEX(Z3:AS3,RandomScenarioNumber),"Error"))</f>
        <v>Sam Howell</v>
      </c>
      <c r="R3" s="12"/>
      <c r="S3" s="2" t="s">
        <v>554</v>
      </c>
      <c r="U3" s="1">
        <v>1</v>
      </c>
      <c r="V3" s="1">
        <v>71</v>
      </c>
      <c r="W3" s="1">
        <v>1</v>
      </c>
      <c r="X3" s="2" t="s">
        <v>1041</v>
      </c>
      <c r="Y3" s="2"/>
      <c r="Z3" s="2" t="s">
        <v>677</v>
      </c>
      <c r="AA3" s="2" t="s">
        <v>747</v>
      </c>
      <c r="AB3" s="2" t="s">
        <v>608</v>
      </c>
      <c r="AC3" s="2" t="s">
        <v>1041</v>
      </c>
      <c r="AD3" s="2" t="s">
        <v>763</v>
      </c>
      <c r="AE3" s="2" t="s">
        <v>578</v>
      </c>
      <c r="AF3" s="2" t="s">
        <v>1045</v>
      </c>
      <c r="AG3" s="2" t="s">
        <v>598</v>
      </c>
      <c r="AH3" s="2" t="s">
        <v>554</v>
      </c>
      <c r="AI3" s="2" t="s">
        <v>668</v>
      </c>
      <c r="AJ3" s="2" t="s">
        <v>763</v>
      </c>
      <c r="AK3" s="2" t="s">
        <v>674</v>
      </c>
      <c r="AL3" s="2" t="s">
        <v>1037</v>
      </c>
      <c r="AM3" s="2" t="s">
        <v>668</v>
      </c>
      <c r="AN3" s="2" t="s">
        <v>1038</v>
      </c>
      <c r="AO3" s="2" t="s">
        <v>631</v>
      </c>
      <c r="AP3" s="2" t="s">
        <v>635</v>
      </c>
      <c r="AQ3" s="2" t="s">
        <v>759</v>
      </c>
      <c r="AR3" s="2" t="s">
        <v>693</v>
      </c>
      <c r="AS3" s="2" t="s">
        <v>554</v>
      </c>
      <c r="AU3" s="4">
        <v>2</v>
      </c>
      <c r="AV3" s="6" t="s">
        <v>144</v>
      </c>
      <c r="AW3" s="4" t="s">
        <v>463</v>
      </c>
      <c r="AX3" s="4" t="s">
        <v>464</v>
      </c>
      <c r="AY3" s="13" cm="1">
        <f t="array" ref="AY3">IF(RandomMethod="Numbers",BA3,IF(RandomMethod="Scenarios",INDEX(BD3:BW3,RandomScenarioNumber),"Error"))</f>
        <v>11</v>
      </c>
      <c r="BA3" s="2" cm="1">
        <f t="array" aca="1" ref="BA3" ca="1">INDIRECT("'"&amp;AV3&amp;"'!"&amp;AW3)</f>
        <v>0</v>
      </c>
      <c r="BB3" s="15">
        <v>0</v>
      </c>
      <c r="BC3" s="2"/>
      <c r="BD3" s="2">
        <v>11</v>
      </c>
      <c r="BE3" s="2">
        <v>11</v>
      </c>
      <c r="BF3" s="2">
        <v>11</v>
      </c>
      <c r="BG3" s="2">
        <v>11</v>
      </c>
      <c r="BH3" s="2">
        <v>11</v>
      </c>
      <c r="BI3" s="2">
        <v>11</v>
      </c>
      <c r="BJ3" s="2">
        <v>11</v>
      </c>
      <c r="BK3" s="2">
        <v>11</v>
      </c>
      <c r="BL3" s="2">
        <v>11</v>
      </c>
      <c r="BM3" s="2">
        <v>11</v>
      </c>
      <c r="BN3" s="2">
        <v>11</v>
      </c>
      <c r="BO3" s="2">
        <v>11</v>
      </c>
      <c r="BP3" s="2">
        <v>11</v>
      </c>
      <c r="BQ3" s="2">
        <v>11</v>
      </c>
      <c r="BR3" s="2">
        <v>11</v>
      </c>
      <c r="BS3" s="2">
        <v>11</v>
      </c>
      <c r="BT3" s="2">
        <v>11</v>
      </c>
      <c r="BU3" s="2">
        <v>11</v>
      </c>
      <c r="BV3" s="2">
        <v>11</v>
      </c>
      <c r="BW3" s="2">
        <v>11</v>
      </c>
      <c r="BZ3" s="4" t="s">
        <v>571</v>
      </c>
      <c r="CA3" s="4" t="s">
        <v>562</v>
      </c>
      <c r="CB3" s="4" t="s">
        <v>563</v>
      </c>
      <c r="CC3" s="4" t="s">
        <v>564</v>
      </c>
      <c r="CD3" s="4" t="s">
        <v>560</v>
      </c>
      <c r="CE3" s="4" t="s">
        <v>385</v>
      </c>
      <c r="CF3" s="4" t="s">
        <v>486</v>
      </c>
    </row>
    <row r="4" spans="1:84">
      <c r="A4" s="7"/>
      <c r="B4" s="5" t="s">
        <v>71</v>
      </c>
      <c r="D4" s="5" t="s">
        <v>1</v>
      </c>
      <c r="F4" s="4" t="s">
        <v>454</v>
      </c>
      <c r="G4" s="6" t="s">
        <v>531</v>
      </c>
      <c r="H4" s="6" t="s">
        <v>531</v>
      </c>
      <c r="I4" s="6" t="s">
        <v>533</v>
      </c>
      <c r="J4" s="6" t="s">
        <v>20</v>
      </c>
      <c r="K4" s="14" t="b">
        <f>IF(PRODUCT(BB5:BB104)=1,TRUE,FALSE)</f>
        <v>0</v>
      </c>
      <c r="M4" s="6" t="s">
        <v>144</v>
      </c>
      <c r="N4" s="6" t="s">
        <v>535</v>
      </c>
      <c r="O4" s="7"/>
      <c r="P4" s="4" t="s">
        <v>518</v>
      </c>
      <c r="Q4" s="2" t="str" cm="1">
        <f t="array" ref="Q4">IF(RandomMethod="Numbers",S4,IF(RandomMethod="Scenarios",INDEX(Z4:AS4,RandomScenarioNumber),"Error"))</f>
        <v>Breece Hall</v>
      </c>
      <c r="S4" s="2" t="s">
        <v>752</v>
      </c>
      <c r="U4" s="1">
        <v>1</v>
      </c>
      <c r="V4" s="1">
        <v>100</v>
      </c>
      <c r="W4" s="1">
        <v>1</v>
      </c>
      <c r="X4" s="2" t="s">
        <v>758</v>
      </c>
      <c r="Y4" s="2"/>
      <c r="Z4" s="2" t="s">
        <v>789</v>
      </c>
      <c r="AA4" s="2" t="s">
        <v>1093</v>
      </c>
      <c r="AB4" s="2" t="s">
        <v>734</v>
      </c>
      <c r="AC4" s="2" t="s">
        <v>644</v>
      </c>
      <c r="AD4" s="2" t="s">
        <v>752</v>
      </c>
      <c r="AE4" s="2" t="s">
        <v>1068</v>
      </c>
      <c r="AF4" s="2" t="s">
        <v>1085</v>
      </c>
      <c r="AG4" s="2" t="s">
        <v>1067</v>
      </c>
      <c r="AH4" s="2" t="s">
        <v>750</v>
      </c>
      <c r="AI4" s="2" t="s">
        <v>1071</v>
      </c>
      <c r="AJ4" s="2" t="s">
        <v>625</v>
      </c>
      <c r="AK4" s="2" t="s">
        <v>1084</v>
      </c>
      <c r="AL4" s="2" t="s">
        <v>713</v>
      </c>
      <c r="AM4" s="2" t="s">
        <v>1066</v>
      </c>
      <c r="AN4" s="2" t="s">
        <v>1085</v>
      </c>
      <c r="AO4" s="2" t="s">
        <v>734</v>
      </c>
      <c r="AP4" s="2" t="s">
        <v>1065</v>
      </c>
      <c r="AQ4" s="2" t="s">
        <v>634</v>
      </c>
      <c r="AR4" s="2" t="s">
        <v>602</v>
      </c>
      <c r="AS4" s="2" t="s">
        <v>752</v>
      </c>
      <c r="AT4" s="7"/>
      <c r="AU4" s="4">
        <v>3</v>
      </c>
      <c r="AV4" s="6" t="s">
        <v>144</v>
      </c>
      <c r="AW4" s="4" t="s">
        <v>465</v>
      </c>
      <c r="AX4" s="4" t="s">
        <v>466</v>
      </c>
      <c r="AY4" s="13" cm="1">
        <f t="array" ref="AY4">IF(RandomMethod="Numbers",BA4,IF(RandomMethod="Scenarios",INDEX(BD4:BW4,RandomScenarioNumber),"Error"))</f>
        <v>88</v>
      </c>
      <c r="AZ4" s="7"/>
      <c r="BA4" s="2" cm="1">
        <f t="array" aca="1" ref="BA4" ca="1">INDIRECT("'"&amp;AV4&amp;"'!"&amp;AW4)</f>
        <v>0</v>
      </c>
      <c r="BB4" s="15">
        <v>0</v>
      </c>
      <c r="BC4" s="2"/>
      <c r="BD4" s="2">
        <v>88</v>
      </c>
      <c r="BE4" s="2">
        <v>88</v>
      </c>
      <c r="BF4" s="2">
        <v>88</v>
      </c>
      <c r="BG4" s="2">
        <v>88</v>
      </c>
      <c r="BH4" s="2">
        <v>88</v>
      </c>
      <c r="BI4" s="2">
        <v>88</v>
      </c>
      <c r="BJ4" s="2">
        <v>88</v>
      </c>
      <c r="BK4" s="2">
        <v>88</v>
      </c>
      <c r="BL4" s="2">
        <v>88</v>
      </c>
      <c r="BM4" s="2">
        <v>88</v>
      </c>
      <c r="BN4" s="2">
        <v>88</v>
      </c>
      <c r="BO4" s="2">
        <v>88</v>
      </c>
      <c r="BP4" s="2">
        <v>88</v>
      </c>
      <c r="BQ4" s="2">
        <v>88</v>
      </c>
      <c r="BR4" s="2">
        <v>88</v>
      </c>
      <c r="BS4" s="2">
        <v>88</v>
      </c>
      <c r="BT4" s="2">
        <v>88</v>
      </c>
      <c r="BU4" s="2">
        <v>88</v>
      </c>
      <c r="BV4" s="2">
        <v>88</v>
      </c>
      <c r="BW4" s="2">
        <v>88</v>
      </c>
      <c r="BZ4" s="4" t="s">
        <v>586</v>
      </c>
      <c r="CA4" s="4" t="s">
        <v>602</v>
      </c>
      <c r="CB4" s="4" t="s">
        <v>554</v>
      </c>
      <c r="CC4" s="4" t="s">
        <v>678</v>
      </c>
      <c r="CD4" s="4" t="s">
        <v>555</v>
      </c>
      <c r="CE4" s="4" t="s">
        <v>386</v>
      </c>
      <c r="CF4" s="4" t="s">
        <v>487</v>
      </c>
    </row>
    <row r="5" spans="1:84">
      <c r="B5" s="4" t="s">
        <v>1161</v>
      </c>
      <c r="D5" s="6"/>
      <c r="M5" s="6" t="s">
        <v>144</v>
      </c>
      <c r="N5" s="4" t="s">
        <v>536</v>
      </c>
      <c r="P5" s="4" t="s">
        <v>519</v>
      </c>
      <c r="Q5" s="2" t="str" cm="1">
        <f t="array" ref="Q5">IF(RandomMethod="Numbers",S5,IF(RandomMethod="Scenarios",INDEX(Z5:AS5,RandomScenarioNumber),"Error"))</f>
        <v>Tyler Allgeier</v>
      </c>
      <c r="R5" s="2"/>
      <c r="S5" s="2" t="s">
        <v>607</v>
      </c>
      <c r="U5" s="1">
        <v>1</v>
      </c>
      <c r="V5" s="1">
        <v>100</v>
      </c>
      <c r="W5" s="1">
        <v>1</v>
      </c>
      <c r="X5" s="2" t="s">
        <v>1065</v>
      </c>
      <c r="Y5" s="2"/>
      <c r="Z5" s="2" t="s">
        <v>667</v>
      </c>
      <c r="AA5" s="2" t="s">
        <v>1070</v>
      </c>
      <c r="AB5" s="2" t="s">
        <v>1072</v>
      </c>
      <c r="AC5" s="2" t="s">
        <v>781</v>
      </c>
      <c r="AD5" s="2" t="s">
        <v>612</v>
      </c>
      <c r="AE5" s="2" t="s">
        <v>786</v>
      </c>
      <c r="AF5" s="2" t="s">
        <v>562</v>
      </c>
      <c r="AG5" s="2" t="s">
        <v>577</v>
      </c>
      <c r="AH5" s="2" t="s">
        <v>612</v>
      </c>
      <c r="AI5" s="2" t="s">
        <v>567</v>
      </c>
      <c r="AJ5" s="2" t="s">
        <v>1071</v>
      </c>
      <c r="AK5" s="2" t="s">
        <v>639</v>
      </c>
      <c r="AL5" s="2" t="s">
        <v>1081</v>
      </c>
      <c r="AM5" s="2" t="s">
        <v>557</v>
      </c>
      <c r="AN5" s="2" t="s">
        <v>793</v>
      </c>
      <c r="AO5" s="2" t="s">
        <v>1088</v>
      </c>
      <c r="AP5" s="2" t="s">
        <v>1083</v>
      </c>
      <c r="AQ5" s="2" t="s">
        <v>577</v>
      </c>
      <c r="AR5" s="2" t="s">
        <v>743</v>
      </c>
      <c r="AS5" s="2" t="s">
        <v>607</v>
      </c>
      <c r="AU5" s="4">
        <v>4</v>
      </c>
      <c r="AV5" s="6" t="s">
        <v>144</v>
      </c>
      <c r="AW5" s="4" t="s">
        <v>467</v>
      </c>
      <c r="AX5" s="4" t="s">
        <v>468</v>
      </c>
      <c r="AY5" s="13" t="str" cm="1">
        <f t="array" ref="AY5">IF(RandomMethod="Numbers",BA5,IF(RandomMethod="Scenarios",INDEX(BD5:BW5,RandomScenarioNumber),"Error"))</f>
        <v>Travis Kelce TE  KC</v>
      </c>
      <c r="BA5" s="2" cm="1">
        <f t="array" aca="1" ref="BA5" ca="1">INDIRECT("'"&amp;AV5&amp;"'!"&amp;AW5)</f>
        <v>0</v>
      </c>
      <c r="BB5" s="15">
        <v>0</v>
      </c>
      <c r="BC5" s="2"/>
      <c r="BD5" s="2" t="s">
        <v>296</v>
      </c>
      <c r="BE5" s="2" t="s">
        <v>296</v>
      </c>
      <c r="BF5" s="2" t="s">
        <v>296</v>
      </c>
      <c r="BG5" s="2" t="s">
        <v>296</v>
      </c>
      <c r="BH5" s="2" t="s">
        <v>296</v>
      </c>
      <c r="BI5" s="2" t="s">
        <v>296</v>
      </c>
      <c r="BJ5" s="2" t="s">
        <v>296</v>
      </c>
      <c r="BK5" s="2" t="s">
        <v>296</v>
      </c>
      <c r="BL5" s="2" t="s">
        <v>296</v>
      </c>
      <c r="BM5" s="2" t="s">
        <v>296</v>
      </c>
      <c r="BN5" s="2" t="s">
        <v>296</v>
      </c>
      <c r="BO5" s="2" t="s">
        <v>296</v>
      </c>
      <c r="BP5" s="2" t="s">
        <v>296</v>
      </c>
      <c r="BQ5" s="2" t="s">
        <v>296</v>
      </c>
      <c r="BR5" s="2" t="s">
        <v>296</v>
      </c>
      <c r="BS5" s="2" t="s">
        <v>296</v>
      </c>
      <c r="BT5" s="2" t="s">
        <v>296</v>
      </c>
      <c r="BU5" s="2" t="s">
        <v>296</v>
      </c>
      <c r="BV5" s="2" t="s">
        <v>296</v>
      </c>
      <c r="BW5" s="2" t="s">
        <v>296</v>
      </c>
      <c r="BZ5" s="4" t="s">
        <v>552</v>
      </c>
      <c r="CA5" s="4" t="s">
        <v>582</v>
      </c>
      <c r="CB5" s="4" t="s">
        <v>573</v>
      </c>
      <c r="CC5" s="4" t="s">
        <v>574</v>
      </c>
      <c r="CD5" s="4" t="s">
        <v>610</v>
      </c>
      <c r="CE5" s="4" t="s">
        <v>387</v>
      </c>
      <c r="CF5" s="4" t="s">
        <v>488</v>
      </c>
    </row>
    <row r="6" spans="1:84">
      <c r="G6" s="6"/>
      <c r="H6" s="6"/>
      <c r="I6" s="6"/>
      <c r="J6" s="6"/>
      <c r="K6" s="14"/>
      <c r="M6" s="4" t="s">
        <v>142</v>
      </c>
      <c r="N6" s="4" t="s">
        <v>143</v>
      </c>
      <c r="P6" s="4" t="s">
        <v>520</v>
      </c>
      <c r="Q6" s="2" t="str" cm="1">
        <f t="array" ref="Q6">IF(RandomMethod="Numbers",S6,IF(RandomMethod="Scenarios",INDEX(Z6:AS6,RandomScenarioNumber),"Error"))</f>
        <v>Jalen Nailor</v>
      </c>
      <c r="S6" s="2" t="s">
        <v>808</v>
      </c>
      <c r="U6" s="1">
        <v>1</v>
      </c>
      <c r="V6" s="1">
        <v>100</v>
      </c>
      <c r="W6" s="1">
        <v>1</v>
      </c>
      <c r="X6" s="2" t="s">
        <v>798</v>
      </c>
      <c r="Y6" s="2"/>
      <c r="Z6" s="2" t="s">
        <v>1107</v>
      </c>
      <c r="AA6" s="2" t="s">
        <v>729</v>
      </c>
      <c r="AB6" s="2" t="s">
        <v>1101</v>
      </c>
      <c r="AC6" s="2" t="s">
        <v>611</v>
      </c>
      <c r="AD6" s="2" t="s">
        <v>780</v>
      </c>
      <c r="AE6" s="2" t="s">
        <v>624</v>
      </c>
      <c r="AF6" s="2" t="s">
        <v>1121</v>
      </c>
      <c r="AG6" s="2" t="s">
        <v>1120</v>
      </c>
      <c r="AH6" s="2" t="s">
        <v>653</v>
      </c>
      <c r="AI6" s="2" t="s">
        <v>699</v>
      </c>
      <c r="AJ6" s="2" t="s">
        <v>1120</v>
      </c>
      <c r="AK6" s="2" t="s">
        <v>822</v>
      </c>
      <c r="AL6" s="2" t="s">
        <v>1111</v>
      </c>
      <c r="AM6" s="2" t="s">
        <v>1119</v>
      </c>
      <c r="AN6" s="2" t="s">
        <v>757</v>
      </c>
      <c r="AO6" s="2" t="s">
        <v>615</v>
      </c>
      <c r="AP6" s="2" t="s">
        <v>606</v>
      </c>
      <c r="AQ6" s="2" t="s">
        <v>1130</v>
      </c>
      <c r="AR6" s="2" t="s">
        <v>1132</v>
      </c>
      <c r="AS6" s="2" t="s">
        <v>808</v>
      </c>
      <c r="AU6" s="4">
        <v>5</v>
      </c>
      <c r="AV6" s="6" t="s">
        <v>144</v>
      </c>
      <c r="AW6" s="4" t="s">
        <v>469</v>
      </c>
      <c r="AX6" s="4" t="s">
        <v>470</v>
      </c>
      <c r="AY6" s="13" cm="1">
        <f t="array" ref="AY6">IF(RandomMethod="Numbers",BA6,IF(RandomMethod="Scenarios",INDEX(BD6:BW6,RandomScenarioNumber),"Error"))</f>
        <v>21</v>
      </c>
      <c r="BA6" s="2" cm="1">
        <f t="array" aca="1" ref="BA6" ca="1">INDIRECT("'"&amp;AV6&amp;"'!"&amp;AW6)</f>
        <v>0</v>
      </c>
      <c r="BB6" s="15">
        <v>0</v>
      </c>
      <c r="BC6" s="2"/>
      <c r="BD6" s="2">
        <v>21</v>
      </c>
      <c r="BE6" s="2">
        <v>21</v>
      </c>
      <c r="BF6" s="2">
        <v>21</v>
      </c>
      <c r="BG6" s="2">
        <v>21</v>
      </c>
      <c r="BH6" s="2">
        <v>21</v>
      </c>
      <c r="BI6" s="2">
        <v>21</v>
      </c>
      <c r="BJ6" s="2">
        <v>21</v>
      </c>
      <c r="BK6" s="2">
        <v>21</v>
      </c>
      <c r="BL6" s="2">
        <v>21</v>
      </c>
      <c r="BM6" s="2">
        <v>21</v>
      </c>
      <c r="BN6" s="2">
        <v>21</v>
      </c>
      <c r="BO6" s="2">
        <v>21</v>
      </c>
      <c r="BP6" s="2">
        <v>21</v>
      </c>
      <c r="BQ6" s="2">
        <v>21</v>
      </c>
      <c r="BR6" s="2">
        <v>21</v>
      </c>
      <c r="BS6" s="2">
        <v>21</v>
      </c>
      <c r="BT6" s="2">
        <v>21</v>
      </c>
      <c r="BU6" s="2">
        <v>21</v>
      </c>
      <c r="BV6" s="2">
        <v>21</v>
      </c>
      <c r="BW6" s="2">
        <v>21</v>
      </c>
      <c r="BZ6" s="4" t="s">
        <v>576</v>
      </c>
      <c r="CA6" s="4" t="s">
        <v>592</v>
      </c>
      <c r="CB6" s="4" t="s">
        <v>668</v>
      </c>
      <c r="CC6" s="4" t="s">
        <v>584</v>
      </c>
      <c r="CD6" s="4" t="s">
        <v>575</v>
      </c>
      <c r="CE6" s="4" t="s">
        <v>388</v>
      </c>
      <c r="CF6" s="4" t="s">
        <v>489</v>
      </c>
    </row>
    <row r="7" spans="1:84">
      <c r="B7" s="5" t="s">
        <v>72</v>
      </c>
      <c r="D7" s="5" t="s">
        <v>4</v>
      </c>
      <c r="G7" s="6"/>
      <c r="H7" s="6"/>
      <c r="I7" s="6"/>
      <c r="J7" s="6"/>
      <c r="K7" s="14"/>
      <c r="M7" s="6"/>
      <c r="P7" s="4" t="s">
        <v>521</v>
      </c>
      <c r="Q7" s="2" t="str" cm="1">
        <f t="array" ref="Q7">IF(RandomMethod="Numbers",S7,IF(RandomMethod="Scenarios",INDEX(Z7:AS7,RandomScenarioNumber),"Error"))</f>
        <v>Calvin Ridley</v>
      </c>
      <c r="S7" s="2" t="s">
        <v>591</v>
      </c>
      <c r="U7" s="1">
        <v>1</v>
      </c>
      <c r="V7" s="1">
        <v>100</v>
      </c>
      <c r="W7" s="1">
        <v>1</v>
      </c>
      <c r="X7" s="2" t="s">
        <v>695</v>
      </c>
      <c r="Y7" s="2"/>
      <c r="Z7" s="2" t="s">
        <v>751</v>
      </c>
      <c r="AA7" s="2" t="s">
        <v>767</v>
      </c>
      <c r="AB7" s="2" t="s">
        <v>729</v>
      </c>
      <c r="AC7" s="2" t="s">
        <v>712</v>
      </c>
      <c r="AD7" s="2" t="s">
        <v>1115</v>
      </c>
      <c r="AE7" s="2" t="s">
        <v>1109</v>
      </c>
      <c r="AF7" s="2" t="s">
        <v>596</v>
      </c>
      <c r="AG7" s="2" t="s">
        <v>591</v>
      </c>
      <c r="AH7" s="2" t="s">
        <v>629</v>
      </c>
      <c r="AI7" s="2" t="s">
        <v>661</v>
      </c>
      <c r="AJ7" s="2" t="s">
        <v>620</v>
      </c>
      <c r="AK7" s="2" t="s">
        <v>576</v>
      </c>
      <c r="AL7" s="2" t="s">
        <v>1122</v>
      </c>
      <c r="AM7" s="2" t="s">
        <v>1102</v>
      </c>
      <c r="AN7" s="2" t="s">
        <v>1107</v>
      </c>
      <c r="AO7" s="2" t="s">
        <v>684</v>
      </c>
      <c r="AP7" s="2" t="s">
        <v>611</v>
      </c>
      <c r="AQ7" s="2" t="s">
        <v>1108</v>
      </c>
      <c r="AR7" s="2" t="s">
        <v>629</v>
      </c>
      <c r="AS7" s="2" t="s">
        <v>591</v>
      </c>
      <c r="AU7" s="4">
        <v>6</v>
      </c>
      <c r="AV7" s="6" t="s">
        <v>144</v>
      </c>
      <c r="AW7" s="4" t="s">
        <v>471</v>
      </c>
      <c r="AX7" s="4" t="s">
        <v>472</v>
      </c>
      <c r="AY7" s="13" t="str" cm="1">
        <f t="array" ref="AY7">IF(RandomMethod="Numbers",BA7,IF(RandomMethod="Scenarios",INDEX(BD7:BW7,RandomScenarioNumber),"Error"))</f>
        <v>Clyde Edwards-Helaire</v>
      </c>
      <c r="BA7" s="2" cm="1">
        <f t="array" aca="1" ref="BA7" ca="1">INDIRECT("'"&amp;AV7&amp;"'!"&amp;AW7)</f>
        <v>0</v>
      </c>
      <c r="BB7" s="15">
        <v>0</v>
      </c>
      <c r="BC7" s="2"/>
      <c r="BD7" s="2" t="s">
        <v>762</v>
      </c>
      <c r="BE7" s="2" t="s">
        <v>762</v>
      </c>
      <c r="BF7" s="2" t="s">
        <v>762</v>
      </c>
      <c r="BG7" s="2" t="s">
        <v>762</v>
      </c>
      <c r="BH7" s="2" t="s">
        <v>762</v>
      </c>
      <c r="BI7" s="2" t="s">
        <v>762</v>
      </c>
      <c r="BJ7" s="2" t="s">
        <v>762</v>
      </c>
      <c r="BK7" s="2" t="s">
        <v>762</v>
      </c>
      <c r="BL7" s="2" t="s">
        <v>762</v>
      </c>
      <c r="BM7" s="2" t="s">
        <v>762</v>
      </c>
      <c r="BN7" s="2" t="s">
        <v>762</v>
      </c>
      <c r="BO7" s="2" t="s">
        <v>762</v>
      </c>
      <c r="BP7" s="2" t="s">
        <v>762</v>
      </c>
      <c r="BQ7" s="2" t="s">
        <v>762</v>
      </c>
      <c r="BR7" s="2" t="s">
        <v>762</v>
      </c>
      <c r="BS7" s="2" t="s">
        <v>762</v>
      </c>
      <c r="BT7" s="2" t="s">
        <v>762</v>
      </c>
      <c r="BU7" s="2" t="s">
        <v>762</v>
      </c>
      <c r="BV7" s="2" t="s">
        <v>762</v>
      </c>
      <c r="BW7" s="2" t="s">
        <v>762</v>
      </c>
      <c r="BZ7" s="4" t="s">
        <v>566</v>
      </c>
      <c r="CA7" s="4" t="s">
        <v>1062</v>
      </c>
      <c r="CB7" s="4" t="s">
        <v>617</v>
      </c>
      <c r="CC7" s="4" t="s">
        <v>651</v>
      </c>
      <c r="CD7" s="4" t="s">
        <v>657</v>
      </c>
      <c r="CE7" s="4" t="s">
        <v>389</v>
      </c>
      <c r="CF7" s="4" t="s">
        <v>490</v>
      </c>
    </row>
    <row r="8" spans="1:84">
      <c r="B8" s="4">
        <v>19</v>
      </c>
      <c r="D8" s="4" t="b">
        <v>0</v>
      </c>
      <c r="P8" s="4" t="s">
        <v>370</v>
      </c>
      <c r="Q8" s="2" t="str" cm="1">
        <f t="array" ref="Q8">IF(RandomMethod="Numbers",S8,IF(RandomMethod="Scenarios",INDEX(Z8:AS8,RandomScenarioNumber),"Error"))</f>
        <v>Tucker Kraft</v>
      </c>
      <c r="R8" s="7"/>
      <c r="S8" s="2" t="s">
        <v>660</v>
      </c>
      <c r="T8" s="7"/>
      <c r="U8" s="1">
        <v>1</v>
      </c>
      <c r="V8" s="1">
        <v>101</v>
      </c>
      <c r="W8" s="1">
        <v>1</v>
      </c>
      <c r="X8" s="2" t="s">
        <v>1155</v>
      </c>
      <c r="Y8" s="2"/>
      <c r="Z8" s="2" t="s">
        <v>790</v>
      </c>
      <c r="AA8" s="2" t="s">
        <v>618</v>
      </c>
      <c r="AB8" s="2" t="s">
        <v>564</v>
      </c>
      <c r="AC8" s="2" t="s">
        <v>669</v>
      </c>
      <c r="AD8" s="2" t="s">
        <v>584</v>
      </c>
      <c r="AE8" s="2" t="s">
        <v>660</v>
      </c>
      <c r="AF8" s="2" t="s">
        <v>632</v>
      </c>
      <c r="AG8" s="2" t="s">
        <v>736</v>
      </c>
      <c r="AH8" s="2" t="s">
        <v>1157</v>
      </c>
      <c r="AI8" s="2" t="s">
        <v>814</v>
      </c>
      <c r="AJ8" s="2" t="s">
        <v>732</v>
      </c>
      <c r="AK8" s="2" t="s">
        <v>599</v>
      </c>
      <c r="AL8" s="2" t="s">
        <v>784</v>
      </c>
      <c r="AM8" s="2" t="s">
        <v>728</v>
      </c>
      <c r="AN8" s="2" t="s">
        <v>736</v>
      </c>
      <c r="AO8" s="2" t="s">
        <v>1148</v>
      </c>
      <c r="AP8" s="2" t="s">
        <v>609</v>
      </c>
      <c r="AQ8" s="2" t="s">
        <v>589</v>
      </c>
      <c r="AR8" s="2" t="s">
        <v>766</v>
      </c>
      <c r="AS8" s="2" t="s">
        <v>660</v>
      </c>
      <c r="AU8" s="4">
        <v>7</v>
      </c>
      <c r="AV8" s="6" t="s">
        <v>144</v>
      </c>
      <c r="AW8" s="4" t="s">
        <v>473</v>
      </c>
      <c r="AX8" s="4" t="s">
        <v>474</v>
      </c>
      <c r="AY8" s="13" t="str" cm="1">
        <f t="array" ref="AY8">IF(RandomMethod="Numbers",BA8,IF(RandomMethod="Scenarios",INDEX(BD8:BW8,RandomScenarioNumber),"Error"))</f>
        <v>Clyde Edwards-Helaire</v>
      </c>
      <c r="BA8" s="2" cm="1">
        <f t="array" aca="1" ref="BA8" ca="1">INDIRECT("'"&amp;AV8&amp;"'!"&amp;AW8)</f>
        <v>0</v>
      </c>
      <c r="BB8" s="15">
        <v>0</v>
      </c>
      <c r="BC8" s="2"/>
      <c r="BD8" s="2" t="s">
        <v>762</v>
      </c>
      <c r="BE8" s="2" t="s">
        <v>762</v>
      </c>
      <c r="BF8" s="2" t="s">
        <v>762</v>
      </c>
      <c r="BG8" s="2" t="s">
        <v>762</v>
      </c>
      <c r="BH8" s="2" t="s">
        <v>762</v>
      </c>
      <c r="BI8" s="2" t="s">
        <v>762</v>
      </c>
      <c r="BJ8" s="2" t="s">
        <v>762</v>
      </c>
      <c r="BK8" s="2" t="s">
        <v>762</v>
      </c>
      <c r="BL8" s="2" t="s">
        <v>762</v>
      </c>
      <c r="BM8" s="2" t="s">
        <v>762</v>
      </c>
      <c r="BN8" s="2" t="s">
        <v>762</v>
      </c>
      <c r="BO8" s="2" t="s">
        <v>762</v>
      </c>
      <c r="BP8" s="2" t="s">
        <v>762</v>
      </c>
      <c r="BQ8" s="2" t="s">
        <v>762</v>
      </c>
      <c r="BR8" s="2" t="s">
        <v>762</v>
      </c>
      <c r="BS8" s="2" t="s">
        <v>762</v>
      </c>
      <c r="BT8" s="2" t="s">
        <v>762</v>
      </c>
      <c r="BU8" s="2" t="s">
        <v>762</v>
      </c>
      <c r="BV8" s="2" t="s">
        <v>762</v>
      </c>
      <c r="BW8" s="2" t="s">
        <v>762</v>
      </c>
      <c r="BZ8" s="4" t="s">
        <v>1098</v>
      </c>
      <c r="CA8" s="4" t="s">
        <v>587</v>
      </c>
      <c r="CB8" s="4" t="s">
        <v>635</v>
      </c>
      <c r="CC8" s="4" t="s">
        <v>711</v>
      </c>
      <c r="CD8" s="4" t="s">
        <v>1054</v>
      </c>
      <c r="CE8" s="4" t="s">
        <v>390</v>
      </c>
      <c r="CF8" s="4" t="s">
        <v>491</v>
      </c>
    </row>
    <row r="9" spans="1:84">
      <c r="M9" s="6"/>
      <c r="P9" s="4" t="s">
        <v>371</v>
      </c>
      <c r="Q9" s="2" t="str" cm="1">
        <f t="array" ref="Q9">IF(RandomMethod="Numbers",S9,IF(RandomMethod="Scenarios",INDEX(Z9:AS9,RandomScenarioNumber),"Error"))</f>
        <v>Minnesota</v>
      </c>
      <c r="S9" s="2" t="s">
        <v>391</v>
      </c>
      <c r="U9" s="1">
        <v>1</v>
      </c>
      <c r="V9" s="1">
        <v>32</v>
      </c>
      <c r="W9" s="1">
        <v>1</v>
      </c>
      <c r="X9" s="2" t="s">
        <v>392</v>
      </c>
      <c r="Y9" s="2"/>
      <c r="Z9" s="2" t="s">
        <v>397</v>
      </c>
      <c r="AA9" s="2" t="s">
        <v>412</v>
      </c>
      <c r="AB9" s="2" t="s">
        <v>398</v>
      </c>
      <c r="AC9" s="2" t="s">
        <v>392</v>
      </c>
      <c r="AD9" s="2" t="s">
        <v>405</v>
      </c>
      <c r="AE9" s="2" t="s">
        <v>413</v>
      </c>
      <c r="AF9" s="2" t="s">
        <v>393</v>
      </c>
      <c r="AG9" s="2" t="s">
        <v>406</v>
      </c>
      <c r="AH9" s="2" t="s">
        <v>390</v>
      </c>
      <c r="AI9" s="2" t="s">
        <v>404</v>
      </c>
      <c r="AJ9" s="2" t="s">
        <v>386</v>
      </c>
      <c r="AK9" s="2" t="s">
        <v>388</v>
      </c>
      <c r="AL9" s="2" t="s">
        <v>384</v>
      </c>
      <c r="AM9" s="2" t="s">
        <v>410</v>
      </c>
      <c r="AN9" s="2" t="s">
        <v>414</v>
      </c>
      <c r="AO9" s="2" t="s">
        <v>398</v>
      </c>
      <c r="AP9" s="2" t="s">
        <v>414</v>
      </c>
      <c r="AQ9" s="2" t="s">
        <v>385</v>
      </c>
      <c r="AR9" s="2" t="s">
        <v>411</v>
      </c>
      <c r="AS9" s="2" t="s">
        <v>391</v>
      </c>
      <c r="AU9" s="4">
        <v>8</v>
      </c>
      <c r="AV9" s="6" t="s">
        <v>144</v>
      </c>
      <c r="AW9" s="4" t="s">
        <v>475</v>
      </c>
      <c r="AX9" s="4" t="s">
        <v>476</v>
      </c>
      <c r="AY9" s="13" cm="1">
        <f t="array" ref="AY9">IF(RandomMethod="Numbers",BA9,IF(RandomMethod="Scenarios",INDEX(BD9:BW9,RandomScenarioNumber),"Error"))</f>
        <v>60</v>
      </c>
      <c r="BA9" s="2" cm="1">
        <f t="array" aca="1" ref="BA9" ca="1">INDIRECT("'"&amp;AV9&amp;"'!"&amp;AW9)</f>
        <v>0</v>
      </c>
      <c r="BB9" s="15">
        <v>0</v>
      </c>
      <c r="BC9" s="2"/>
      <c r="BD9" s="2">
        <v>718</v>
      </c>
      <c r="BE9" s="2">
        <v>0</v>
      </c>
      <c r="BF9" s="2">
        <v>22</v>
      </c>
      <c r="BG9" s="2">
        <v>100</v>
      </c>
      <c r="BH9" s="2">
        <v>961</v>
      </c>
      <c r="BI9" s="2">
        <v>21</v>
      </c>
      <c r="BJ9" s="2">
        <v>491</v>
      </c>
      <c r="BK9" s="2">
        <v>99</v>
      </c>
      <c r="BL9" s="2">
        <v>20</v>
      </c>
      <c r="BM9" s="2">
        <v>151</v>
      </c>
      <c r="BN9" s="2">
        <v>0</v>
      </c>
      <c r="BO9" s="2">
        <v>629</v>
      </c>
      <c r="BP9" s="2">
        <v>10</v>
      </c>
      <c r="BQ9" s="2">
        <v>183</v>
      </c>
      <c r="BR9" s="2">
        <v>0</v>
      </c>
      <c r="BS9" s="2">
        <v>0</v>
      </c>
      <c r="BT9" s="2">
        <v>0</v>
      </c>
      <c r="BU9" s="2">
        <v>561</v>
      </c>
      <c r="BV9" s="2">
        <v>60</v>
      </c>
      <c r="BW9" s="2">
        <v>700</v>
      </c>
      <c r="BZ9" s="4" t="s">
        <v>773</v>
      </c>
      <c r="CA9" s="4" t="s">
        <v>577</v>
      </c>
      <c r="CB9" s="4" t="s">
        <v>568</v>
      </c>
      <c r="CC9" s="4" t="s">
        <v>594</v>
      </c>
      <c r="CD9" s="4" t="s">
        <v>1055</v>
      </c>
      <c r="CE9" s="4" t="s">
        <v>391</v>
      </c>
      <c r="CF9" s="4" t="s">
        <v>492</v>
      </c>
    </row>
    <row r="10" spans="1:84">
      <c r="B10" s="5" t="s">
        <v>73</v>
      </c>
      <c r="D10" s="5" t="s">
        <v>3</v>
      </c>
      <c r="P10" s="4" t="s">
        <v>372</v>
      </c>
      <c r="Q10" s="2" t="str" cm="1">
        <f t="array" ref="Q10">IF(RandomMethod="Numbers",S10,IF(RandomMethod="Scenarios",INDEX(Z10:AS10,RandomScenarioNumber),"Error"))</f>
        <v>Joshua Karty</v>
      </c>
      <c r="S10" s="2" t="s">
        <v>665</v>
      </c>
      <c r="U10" s="1">
        <v>1</v>
      </c>
      <c r="V10" s="1">
        <v>33</v>
      </c>
      <c r="W10" s="1">
        <v>1</v>
      </c>
      <c r="X10" s="2" t="s">
        <v>652</v>
      </c>
      <c r="Y10" s="2"/>
      <c r="Z10" s="2" t="s">
        <v>1057</v>
      </c>
      <c r="AA10" s="2" t="s">
        <v>575</v>
      </c>
      <c r="AB10" s="2" t="s">
        <v>595</v>
      </c>
      <c r="AC10" s="2" t="s">
        <v>575</v>
      </c>
      <c r="AD10" s="2" t="s">
        <v>647</v>
      </c>
      <c r="AE10" s="2" t="s">
        <v>652</v>
      </c>
      <c r="AF10" s="2" t="s">
        <v>665</v>
      </c>
      <c r="AG10" s="2" t="s">
        <v>683</v>
      </c>
      <c r="AH10" s="2" t="s">
        <v>580</v>
      </c>
      <c r="AI10" s="2" t="s">
        <v>565</v>
      </c>
      <c r="AJ10" s="2" t="s">
        <v>1055</v>
      </c>
      <c r="AK10" s="2" t="s">
        <v>1057</v>
      </c>
      <c r="AL10" s="2" t="s">
        <v>565</v>
      </c>
      <c r="AM10" s="2" t="s">
        <v>585</v>
      </c>
      <c r="AN10" s="2" t="s">
        <v>1055</v>
      </c>
      <c r="AO10" s="2" t="s">
        <v>1058</v>
      </c>
      <c r="AP10" s="2" t="s">
        <v>1061</v>
      </c>
      <c r="AQ10" s="2" t="s">
        <v>1061</v>
      </c>
      <c r="AR10" s="2" t="s">
        <v>1058</v>
      </c>
      <c r="AS10" s="2" t="s">
        <v>665</v>
      </c>
      <c r="AU10" s="4">
        <v>9</v>
      </c>
      <c r="AV10" s="6" t="s">
        <v>144</v>
      </c>
      <c r="AW10" s="4" t="s">
        <v>477</v>
      </c>
      <c r="AX10" s="4" t="s">
        <v>478</v>
      </c>
      <c r="AY10" s="13" cm="1">
        <f t="array" ref="AY10">IF(RandomMethod="Numbers",BA10,IF(RandomMethod="Scenarios",INDEX(BD10:BW10,RandomScenarioNumber),"Error"))</f>
        <v>42.6</v>
      </c>
      <c r="BA10" s="2" cm="1">
        <f t="array" aca="1" ref="BA10" ca="1">INDIRECT("'"&amp;AV10&amp;"'!"&amp;AW10)</f>
        <v>0</v>
      </c>
      <c r="BB10" s="15">
        <v>0</v>
      </c>
      <c r="BC10" s="2"/>
      <c r="BD10" s="2">
        <v>10</v>
      </c>
      <c r="BE10" s="2">
        <v>2</v>
      </c>
      <c r="BF10" s="2">
        <v>1</v>
      </c>
      <c r="BG10" s="2">
        <v>85.1</v>
      </c>
      <c r="BH10" s="2">
        <v>11</v>
      </c>
      <c r="BI10" s="2">
        <v>1</v>
      </c>
      <c r="BJ10" s="2">
        <v>4</v>
      </c>
      <c r="BK10" s="2">
        <v>77.099999999999994</v>
      </c>
      <c r="BL10" s="2">
        <v>1</v>
      </c>
      <c r="BM10" s="2">
        <v>35</v>
      </c>
      <c r="BN10" s="2">
        <v>3</v>
      </c>
      <c r="BO10" s="2">
        <v>10</v>
      </c>
      <c r="BP10" s="2">
        <v>1</v>
      </c>
      <c r="BQ10" s="2">
        <v>23</v>
      </c>
      <c r="BR10" s="2">
        <v>5</v>
      </c>
      <c r="BS10" s="2">
        <v>2</v>
      </c>
      <c r="BT10" s="2">
        <v>5</v>
      </c>
      <c r="BU10" s="2">
        <v>6</v>
      </c>
      <c r="BV10" s="2">
        <v>42.6</v>
      </c>
      <c r="BW10" s="2">
        <v>8</v>
      </c>
      <c r="BZ10" s="4" t="s">
        <v>620</v>
      </c>
      <c r="CA10" s="4" t="s">
        <v>607</v>
      </c>
      <c r="CB10" s="4" t="s">
        <v>677</v>
      </c>
      <c r="CC10" s="4" t="s">
        <v>646</v>
      </c>
      <c r="CD10" s="4" t="s">
        <v>590</v>
      </c>
      <c r="CE10" s="4" t="s">
        <v>392</v>
      </c>
      <c r="CF10" s="4" t="s">
        <v>493</v>
      </c>
    </row>
    <row r="11" spans="1:84">
      <c r="B11" s="4">
        <v>20</v>
      </c>
      <c r="D11" s="4">
        <f>ROUND((endTime-startTime)*3600*24,0)+60*activateCount</f>
        <v>780</v>
      </c>
      <c r="P11" s="4" t="s">
        <v>352</v>
      </c>
      <c r="Q11" s="2" t="str" cm="1">
        <f t="array" ref="Q11">IF(RandomMethod="Numbers",S11,IF(RandomMethod="Scenarios",INDEX(Z11:AS11,RandomScenarioNumber),"Error"))</f>
        <v>ARI</v>
      </c>
      <c r="R11" s="7"/>
      <c r="S11" s="2" t="s">
        <v>511</v>
      </c>
      <c r="T11" s="7"/>
      <c r="U11" s="1">
        <v>1</v>
      </c>
      <c r="V11" s="1">
        <v>32</v>
      </c>
      <c r="W11" s="1">
        <v>1</v>
      </c>
      <c r="X11" s="2" t="s">
        <v>515</v>
      </c>
      <c r="Y11" s="2"/>
      <c r="Z11" s="2" t="s">
        <v>493</v>
      </c>
      <c r="AA11" s="2" t="s">
        <v>500</v>
      </c>
      <c r="AB11" s="2" t="s">
        <v>511</v>
      </c>
      <c r="AC11" s="2" t="s">
        <v>502</v>
      </c>
      <c r="AD11" s="2" t="s">
        <v>497</v>
      </c>
      <c r="AE11" s="2" t="s">
        <v>499</v>
      </c>
      <c r="AF11" s="2" t="s">
        <v>353</v>
      </c>
      <c r="AG11" s="2" t="s">
        <v>505</v>
      </c>
      <c r="AH11" s="2" t="s">
        <v>366</v>
      </c>
      <c r="AI11" s="2" t="s">
        <v>503</v>
      </c>
      <c r="AJ11" s="2" t="s">
        <v>491</v>
      </c>
      <c r="AK11" s="2" t="s">
        <v>503</v>
      </c>
      <c r="AL11" s="2" t="s">
        <v>495</v>
      </c>
      <c r="AM11" s="2" t="s">
        <v>487</v>
      </c>
      <c r="AN11" s="2" t="s">
        <v>497</v>
      </c>
      <c r="AO11" s="2" t="s">
        <v>496</v>
      </c>
      <c r="AP11" s="2" t="s">
        <v>490</v>
      </c>
      <c r="AQ11" s="2" t="s">
        <v>489</v>
      </c>
      <c r="AR11" s="2" t="s">
        <v>499</v>
      </c>
      <c r="AS11" s="2" t="s">
        <v>511</v>
      </c>
      <c r="AU11" s="4">
        <v>10</v>
      </c>
      <c r="AV11" s="6" t="s">
        <v>144</v>
      </c>
      <c r="AW11" s="4" t="s">
        <v>479</v>
      </c>
      <c r="AX11" s="4" t="s">
        <v>480</v>
      </c>
      <c r="AY11" s="13" cm="1">
        <f t="array" ref="AY11">IF(RandomMethod="Numbers",BA11,IF(RandomMethod="Scenarios",INDEX(BD11:BW11,RandomScenarioNumber),"Error"))</f>
        <v>107</v>
      </c>
      <c r="BA11" s="2" cm="1">
        <f t="array" aca="1" ref="BA11" ca="1">INDIRECT("'"&amp;AV11&amp;"'!"&amp;AW11)</f>
        <v>0</v>
      </c>
      <c r="BB11" s="15">
        <v>0</v>
      </c>
      <c r="BC11" s="2"/>
      <c r="BD11" s="2">
        <v>141</v>
      </c>
      <c r="BE11" s="2">
        <v>22</v>
      </c>
      <c r="BF11" s="2">
        <v>9</v>
      </c>
      <c r="BG11" s="2">
        <v>182</v>
      </c>
      <c r="BH11" s="2">
        <v>167</v>
      </c>
      <c r="BI11" s="2">
        <v>9</v>
      </c>
      <c r="BJ11" s="2">
        <v>71</v>
      </c>
      <c r="BK11" s="2">
        <v>183</v>
      </c>
      <c r="BL11" s="2">
        <v>7</v>
      </c>
      <c r="BM11" s="2">
        <v>351</v>
      </c>
      <c r="BN11" s="2">
        <v>19</v>
      </c>
      <c r="BO11" s="2">
        <v>121</v>
      </c>
      <c r="BP11" s="2">
        <v>8</v>
      </c>
      <c r="BQ11" s="2">
        <v>231</v>
      </c>
      <c r="BR11" s="2">
        <v>52</v>
      </c>
      <c r="BS11" s="2">
        <v>28</v>
      </c>
      <c r="BT11" s="2">
        <v>113</v>
      </c>
      <c r="BU11" s="2">
        <v>86</v>
      </c>
      <c r="BV11" s="2">
        <v>107</v>
      </c>
      <c r="BW11" s="2">
        <v>127</v>
      </c>
      <c r="BZ11" s="4" t="s">
        <v>1099</v>
      </c>
      <c r="CA11" s="4" t="s">
        <v>680</v>
      </c>
      <c r="CB11" s="4" t="s">
        <v>631</v>
      </c>
      <c r="CC11" s="4" t="s">
        <v>579</v>
      </c>
      <c r="CD11" s="4" t="s">
        <v>619</v>
      </c>
      <c r="CE11" s="4" t="s">
        <v>393</v>
      </c>
      <c r="CF11" s="4" t="s">
        <v>494</v>
      </c>
    </row>
    <row r="12" spans="1:84">
      <c r="P12" s="4" t="s">
        <v>354</v>
      </c>
      <c r="Q12" s="2" t="str" cm="1">
        <f t="array" ref="Q12">IF(RandomMethod="Numbers",S12,IF(RandomMethod="Scenarios",INDEX(Z12:AS12,RandomScenarioNumber),"Error"))</f>
        <v>RB</v>
      </c>
      <c r="S12" s="2" t="s">
        <v>369</v>
      </c>
      <c r="U12" s="1">
        <v>1</v>
      </c>
      <c r="V12" s="1">
        <v>4</v>
      </c>
      <c r="W12" s="1">
        <v>1</v>
      </c>
      <c r="X12" s="2" t="s">
        <v>368</v>
      </c>
      <c r="Y12" s="2"/>
      <c r="Z12" s="2" t="s">
        <v>370</v>
      </c>
      <c r="AA12" s="2" t="s">
        <v>368</v>
      </c>
      <c r="AB12" s="2" t="s">
        <v>367</v>
      </c>
      <c r="AC12" s="2" t="s">
        <v>368</v>
      </c>
      <c r="AD12" s="2" t="s">
        <v>368</v>
      </c>
      <c r="AE12" s="2" t="s">
        <v>367</v>
      </c>
      <c r="AF12" s="2" t="s">
        <v>370</v>
      </c>
      <c r="AG12" s="2" t="s">
        <v>368</v>
      </c>
      <c r="AH12" s="2" t="s">
        <v>367</v>
      </c>
      <c r="AI12" s="2" t="s">
        <v>369</v>
      </c>
      <c r="AJ12" s="2" t="s">
        <v>369</v>
      </c>
      <c r="AK12" s="2" t="s">
        <v>370</v>
      </c>
      <c r="AL12" s="2" t="s">
        <v>369</v>
      </c>
      <c r="AM12" s="2" t="s">
        <v>368</v>
      </c>
      <c r="AN12" s="2" t="s">
        <v>370</v>
      </c>
      <c r="AO12" s="2" t="s">
        <v>368</v>
      </c>
      <c r="AP12" s="2" t="s">
        <v>367</v>
      </c>
      <c r="AQ12" s="2" t="s">
        <v>369</v>
      </c>
      <c r="AR12" s="2" t="s">
        <v>369</v>
      </c>
      <c r="AS12" s="2" t="s">
        <v>369</v>
      </c>
      <c r="AU12" s="4">
        <v>11</v>
      </c>
      <c r="AV12" s="6" t="s">
        <v>144</v>
      </c>
      <c r="AW12" s="4" t="s">
        <v>481</v>
      </c>
      <c r="AX12" s="4" t="s">
        <v>482</v>
      </c>
      <c r="AY12" s="13" cm="1">
        <f t="array" ref="AY12">IF(RandomMethod="Numbers",BA12,IF(RandomMethod="Scenarios",INDEX(BD12:BW12,RandomScenarioNumber),"Error"))</f>
        <v>1111.6000000000001</v>
      </c>
      <c r="BA12" s="2" cm="1">
        <f t="array" aca="1" ref="BA12" ca="1">INDIRECT("'"&amp;AV12&amp;"'!"&amp;AW12)</f>
        <v>0</v>
      </c>
      <c r="BB12" s="15">
        <v>0</v>
      </c>
      <c r="BC12" s="2"/>
      <c r="BD12" s="2">
        <v>1458.1</v>
      </c>
      <c r="BE12" s="2">
        <v>275.10000000000002</v>
      </c>
      <c r="BF12" s="2">
        <v>346.79999999999995</v>
      </c>
      <c r="BG12" s="2">
        <v>2103</v>
      </c>
      <c r="BH12" s="2">
        <v>1738.8</v>
      </c>
      <c r="BI12" s="2">
        <v>386.2</v>
      </c>
      <c r="BJ12" s="2">
        <v>995.1</v>
      </c>
      <c r="BK12" s="2">
        <v>1875.1</v>
      </c>
      <c r="BL12" s="2">
        <v>336.59999999999997</v>
      </c>
      <c r="BM12" s="2">
        <v>6288.5</v>
      </c>
      <c r="BN12" s="2">
        <v>113.2</v>
      </c>
      <c r="BO12" s="2">
        <v>1205</v>
      </c>
      <c r="BP12" s="2">
        <v>308.10000000000002</v>
      </c>
      <c r="BQ12" s="2">
        <v>4819.9000000000005</v>
      </c>
      <c r="BR12" s="2">
        <v>498.8</v>
      </c>
      <c r="BS12" s="2">
        <v>370.90000000000003</v>
      </c>
      <c r="BT12" s="2">
        <v>1299.5999999999999</v>
      </c>
      <c r="BU12" s="2">
        <v>991.30000000000007</v>
      </c>
      <c r="BV12" s="2">
        <v>1111.6000000000001</v>
      </c>
      <c r="BW12" s="2">
        <v>1438.8000000000002</v>
      </c>
      <c r="BZ12" s="4" t="s">
        <v>661</v>
      </c>
      <c r="CA12" s="4" t="s">
        <v>716</v>
      </c>
      <c r="CB12" s="4" t="s">
        <v>598</v>
      </c>
      <c r="CC12" s="4" t="s">
        <v>599</v>
      </c>
      <c r="CD12" s="4" t="s">
        <v>1056</v>
      </c>
      <c r="CE12" s="4" t="s">
        <v>394</v>
      </c>
      <c r="CF12" s="4" t="s">
        <v>495</v>
      </c>
    </row>
    <row r="13" spans="1:84">
      <c r="B13" s="5" t="s">
        <v>74</v>
      </c>
      <c r="D13" s="5" t="s">
        <v>18</v>
      </c>
      <c r="Q13" s="2"/>
      <c r="S13" s="2"/>
      <c r="U13" s="1"/>
      <c r="V13" s="1"/>
      <c r="W13" s="1"/>
      <c r="X13" s="2"/>
      <c r="Y13" s="2"/>
      <c r="Z13" s="2"/>
      <c r="AA13" s="2"/>
      <c r="AB13" s="2"/>
      <c r="AC13" s="2"/>
      <c r="AD13" s="2"/>
      <c r="AE13" s="2"/>
      <c r="AF13" s="2"/>
      <c r="AG13" s="2"/>
      <c r="AH13" s="2"/>
      <c r="AI13" s="2"/>
      <c r="AJ13" s="2"/>
      <c r="AK13" s="2"/>
      <c r="AL13" s="2"/>
      <c r="AM13" s="2"/>
      <c r="AN13" s="2"/>
      <c r="AO13" s="2"/>
      <c r="AP13" s="2"/>
      <c r="AQ13" s="2"/>
      <c r="AR13" s="2"/>
      <c r="AS13" s="2"/>
      <c r="AU13" s="4">
        <v>12</v>
      </c>
      <c r="AV13" s="6" t="s">
        <v>144</v>
      </c>
      <c r="AW13" s="4" t="s">
        <v>483</v>
      </c>
      <c r="AX13" s="4" t="s">
        <v>485</v>
      </c>
      <c r="AY13" s="13" cm="1">
        <f t="array" ref="AY13">IF(RandomMethod="Numbers",BA13,IF(RandomMethod="Scenarios",INDEX(BD13:BW13,RandomScenarioNumber),"Error"))</f>
        <v>51.9</v>
      </c>
      <c r="BA13" s="2" cm="1">
        <f t="array" aca="1" ref="BA13" ca="1">INDIRECT("'"&amp;AV13&amp;"'!"&amp;AW13)</f>
        <v>0</v>
      </c>
      <c r="BB13" s="15">
        <v>0</v>
      </c>
      <c r="BC13" s="2"/>
      <c r="BD13" s="2">
        <v>55.699999999999996</v>
      </c>
      <c r="BE13" s="2">
        <v>38.299999999999997</v>
      </c>
      <c r="BF13" s="2">
        <v>67.100000000000009</v>
      </c>
      <c r="BG13" s="2">
        <v>49</v>
      </c>
      <c r="BH13" s="2">
        <v>48.8</v>
      </c>
      <c r="BI13" s="2">
        <v>67.5</v>
      </c>
      <c r="BJ13" s="2">
        <v>49.7</v>
      </c>
      <c r="BK13" s="2">
        <v>66.300000000000011</v>
      </c>
      <c r="BL13" s="2">
        <v>72.899999999999991</v>
      </c>
      <c r="BM13" s="2">
        <v>67.399999999999991</v>
      </c>
      <c r="BN13" s="2">
        <v>53.2</v>
      </c>
      <c r="BO13" s="2">
        <v>56.2</v>
      </c>
      <c r="BP13" s="2">
        <v>49.5</v>
      </c>
      <c r="BQ13" s="2">
        <v>76.7</v>
      </c>
      <c r="BR13" s="2">
        <v>44.2</v>
      </c>
      <c r="BS13" s="2">
        <v>61.500000000000007</v>
      </c>
      <c r="BT13" s="2">
        <v>66</v>
      </c>
      <c r="BU13" s="2">
        <v>51.099999999999994</v>
      </c>
      <c r="BV13" s="2">
        <v>51.9</v>
      </c>
      <c r="BW13" s="2">
        <v>72.400000000000006</v>
      </c>
      <c r="BZ13" s="4" t="s">
        <v>561</v>
      </c>
      <c r="CA13" s="4" t="s">
        <v>639</v>
      </c>
      <c r="CB13" s="4" t="s">
        <v>655</v>
      </c>
      <c r="CC13" s="4" t="s">
        <v>728</v>
      </c>
      <c r="CD13" s="4" t="s">
        <v>652</v>
      </c>
      <c r="CE13" s="4" t="s">
        <v>395</v>
      </c>
      <c r="CF13" s="4" t="s">
        <v>496</v>
      </c>
    </row>
    <row r="14" spans="1:84">
      <c r="B14" s="4" t="s">
        <v>1162</v>
      </c>
      <c r="D14" s="4" t="b">
        <f>IF(PRODUCT(BB2:BB34)=1,TRUE,FALSE)</f>
        <v>0</v>
      </c>
      <c r="Q14" s="2"/>
      <c r="S14" s="2"/>
      <c r="U14" s="1"/>
      <c r="V14" s="1"/>
      <c r="W14" s="1"/>
      <c r="X14" s="2"/>
      <c r="Y14" s="2"/>
      <c r="Z14" s="2"/>
      <c r="AA14" s="2"/>
      <c r="AB14" s="2"/>
      <c r="AC14" s="2"/>
      <c r="AD14" s="2"/>
      <c r="AE14" s="2"/>
      <c r="AF14" s="2"/>
      <c r="AG14" s="2"/>
      <c r="AH14" s="2"/>
      <c r="AI14" s="2"/>
      <c r="AJ14" s="2"/>
      <c r="AK14" s="2"/>
      <c r="AL14" s="2"/>
      <c r="AM14" s="2"/>
      <c r="AN14" s="2"/>
      <c r="AO14" s="2"/>
      <c r="AP14" s="2"/>
      <c r="AQ14" s="2"/>
      <c r="AR14" s="2"/>
      <c r="AS14" s="2"/>
      <c r="AU14" s="4">
        <v>13</v>
      </c>
      <c r="AV14" s="6" t="s">
        <v>144</v>
      </c>
      <c r="AW14" s="4" t="s">
        <v>484</v>
      </c>
      <c r="AX14" s="4" t="s">
        <v>461</v>
      </c>
      <c r="AY14" s="13" cm="1">
        <f t="array" ref="AY14">IF(RandomMethod="Numbers",BA14,IF(RandomMethod="Scenarios",INDEX(BD14:BW14,RandomScenarioNumber),"Error"))</f>
        <v>17.900000000000002</v>
      </c>
      <c r="BA14" s="2" cm="1">
        <f t="array" aca="1" ref="BA14" ca="1">INDIRECT("'"&amp;AV14&amp;"'!"&amp;AW14)</f>
        <v>0</v>
      </c>
      <c r="BB14" s="15">
        <v>0</v>
      </c>
      <c r="BC14" s="2"/>
      <c r="BD14" s="2">
        <v>10.5</v>
      </c>
      <c r="BE14" s="2">
        <v>18.5</v>
      </c>
      <c r="BF14" s="2">
        <v>20.2</v>
      </c>
      <c r="BG14" s="2">
        <v>20.100000000000001</v>
      </c>
      <c r="BH14" s="2">
        <v>25.5</v>
      </c>
      <c r="BI14" s="2">
        <v>22.900000000000002</v>
      </c>
      <c r="BJ14" s="2">
        <v>9.6999999999999993</v>
      </c>
      <c r="BK14" s="2">
        <v>17.799999999999997</v>
      </c>
      <c r="BL14" s="2">
        <v>21.4</v>
      </c>
      <c r="BM14" s="2">
        <v>19.900000000000002</v>
      </c>
      <c r="BN14" s="2">
        <v>14.1</v>
      </c>
      <c r="BO14" s="2">
        <v>7.1</v>
      </c>
      <c r="BP14" s="2">
        <v>23.400000000000002</v>
      </c>
      <c r="BQ14" s="2">
        <v>14.2</v>
      </c>
      <c r="BR14" s="2">
        <v>6.5</v>
      </c>
      <c r="BS14" s="2">
        <v>21.1</v>
      </c>
      <c r="BT14" s="2">
        <v>20.100000000000001</v>
      </c>
      <c r="BU14" s="2">
        <v>26</v>
      </c>
      <c r="BV14" s="2">
        <v>17.900000000000002</v>
      </c>
      <c r="BW14" s="2">
        <v>15.1</v>
      </c>
      <c r="BZ14" s="4" t="s">
        <v>706</v>
      </c>
      <c r="CA14" s="4" t="s">
        <v>700</v>
      </c>
      <c r="CB14" s="4" t="s">
        <v>622</v>
      </c>
      <c r="CC14" s="4" t="s">
        <v>627</v>
      </c>
      <c r="CD14" s="4" t="s">
        <v>580</v>
      </c>
      <c r="CE14" s="4" t="s">
        <v>396</v>
      </c>
      <c r="CF14" s="4" t="s">
        <v>497</v>
      </c>
    </row>
    <row r="15" spans="1:84">
      <c r="Q15" s="2"/>
      <c r="S15" s="2"/>
      <c r="U15" s="1"/>
      <c r="V15" s="1"/>
      <c r="W15" s="1"/>
      <c r="X15" s="2"/>
      <c r="Y15" s="2"/>
      <c r="Z15" s="2"/>
      <c r="AA15" s="2"/>
      <c r="AB15" s="2"/>
      <c r="AC15" s="2"/>
      <c r="AD15" s="2"/>
      <c r="AE15" s="2"/>
      <c r="AF15" s="2"/>
      <c r="AG15" s="2"/>
      <c r="AH15" s="2"/>
      <c r="AI15" s="2"/>
      <c r="AJ15" s="2"/>
      <c r="AK15" s="2"/>
      <c r="AL15" s="2"/>
      <c r="AM15" s="2"/>
      <c r="AN15" s="2"/>
      <c r="AO15" s="2"/>
      <c r="AP15" s="2"/>
      <c r="AQ15" s="2"/>
      <c r="AR15" s="2"/>
      <c r="AS15" s="2"/>
      <c r="AV15" s="6"/>
      <c r="AY15" s="13"/>
      <c r="BA15" s="2"/>
      <c r="BB15" s="15"/>
      <c r="BC15" s="2"/>
      <c r="BD15" s="2"/>
      <c r="BE15" s="2"/>
      <c r="BF15" s="2"/>
      <c r="BG15" s="2"/>
      <c r="BH15" s="2"/>
      <c r="BI15" s="2"/>
      <c r="BJ15" s="2"/>
      <c r="BK15" s="2"/>
      <c r="BL15" s="2"/>
      <c r="BM15" s="2"/>
      <c r="BN15" s="2"/>
      <c r="BO15" s="2"/>
      <c r="BP15" s="2"/>
      <c r="BQ15" s="2"/>
      <c r="BR15" s="2"/>
      <c r="BS15" s="2"/>
      <c r="BT15" s="2"/>
      <c r="BU15" s="2"/>
      <c r="BV15" s="2"/>
      <c r="BW15" s="2"/>
      <c r="BZ15" s="4" t="s">
        <v>606</v>
      </c>
      <c r="CA15" s="4" t="s">
        <v>634</v>
      </c>
      <c r="CB15" s="4" t="s">
        <v>578</v>
      </c>
      <c r="CC15" s="4" t="s">
        <v>609</v>
      </c>
      <c r="CD15" s="4" t="s">
        <v>585</v>
      </c>
      <c r="CE15" s="4" t="s">
        <v>397</v>
      </c>
      <c r="CF15" s="4" t="s">
        <v>498</v>
      </c>
    </row>
    <row r="16" spans="1:84">
      <c r="B16" s="5" t="s">
        <v>9</v>
      </c>
      <c r="D16" s="5" t="s">
        <v>22</v>
      </c>
      <c r="Q16" s="2"/>
      <c r="S16" s="2"/>
      <c r="U16" s="1"/>
      <c r="V16" s="1"/>
      <c r="W16" s="1"/>
      <c r="X16" s="2"/>
      <c r="Y16" s="2"/>
      <c r="Z16" s="2"/>
      <c r="AA16" s="2"/>
      <c r="AB16" s="2"/>
      <c r="AC16" s="2"/>
      <c r="AD16" s="2"/>
      <c r="AE16" s="2"/>
      <c r="AF16" s="2"/>
      <c r="AG16" s="2"/>
      <c r="AH16" s="2"/>
      <c r="AI16" s="2"/>
      <c r="AJ16" s="2"/>
      <c r="AK16" s="2"/>
      <c r="AL16" s="2"/>
      <c r="AM16" s="2"/>
      <c r="AN16" s="2"/>
      <c r="AO16" s="2"/>
      <c r="AP16" s="2"/>
      <c r="AQ16" s="2"/>
      <c r="AR16" s="2"/>
      <c r="AS16" s="2"/>
      <c r="AV16" s="6"/>
      <c r="AY16" s="13"/>
      <c r="BA16" s="2"/>
      <c r="BB16" s="15"/>
      <c r="BC16" s="2"/>
      <c r="BD16" s="2"/>
      <c r="BE16" s="2"/>
      <c r="BF16" s="2"/>
      <c r="BG16" s="2"/>
      <c r="BH16" s="2"/>
      <c r="BI16" s="2"/>
      <c r="BJ16" s="2"/>
      <c r="BK16" s="2"/>
      <c r="BL16" s="2"/>
      <c r="BM16" s="2"/>
      <c r="BN16" s="2"/>
      <c r="BO16" s="2"/>
      <c r="BP16" s="2"/>
      <c r="BQ16" s="2"/>
      <c r="BR16" s="2"/>
      <c r="BS16" s="2"/>
      <c r="BT16" s="2"/>
      <c r="BU16" s="2"/>
      <c r="BV16" s="2"/>
      <c r="BW16" s="2"/>
      <c r="BZ16" s="4" t="s">
        <v>1100</v>
      </c>
      <c r="CA16" s="4" t="s">
        <v>662</v>
      </c>
      <c r="CB16" s="4" t="s">
        <v>583</v>
      </c>
      <c r="CC16" s="4" t="s">
        <v>604</v>
      </c>
      <c r="CD16" s="4" t="s">
        <v>1057</v>
      </c>
      <c r="CE16" s="4" t="s">
        <v>398</v>
      </c>
      <c r="CF16" s="4" t="s">
        <v>499</v>
      </c>
    </row>
    <row r="17" spans="2:84">
      <c r="B17" s="4">
        <f>COUNTA(F2:F26)</f>
        <v>3</v>
      </c>
      <c r="D17" s="4">
        <v>6802</v>
      </c>
      <c r="Q17" s="2"/>
      <c r="S17" s="2"/>
      <c r="U17" s="1"/>
      <c r="V17" s="1"/>
      <c r="W17" s="1"/>
      <c r="X17" s="2"/>
      <c r="Y17" s="2"/>
      <c r="Z17" s="2"/>
      <c r="AA17" s="2"/>
      <c r="AB17" s="2"/>
      <c r="AC17" s="2"/>
      <c r="AD17" s="2"/>
      <c r="AE17" s="2"/>
      <c r="AF17" s="2"/>
      <c r="AG17" s="2"/>
      <c r="AH17" s="2"/>
      <c r="AI17" s="2"/>
      <c r="AJ17" s="2"/>
      <c r="AK17" s="2"/>
      <c r="AL17" s="2"/>
      <c r="AM17" s="2"/>
      <c r="AN17" s="2"/>
      <c r="AO17" s="2"/>
      <c r="AP17" s="2"/>
      <c r="AQ17" s="2"/>
      <c r="AR17" s="2"/>
      <c r="AS17" s="2"/>
      <c r="AV17" s="6"/>
      <c r="AY17" s="13"/>
      <c r="BA17" s="2"/>
      <c r="BB17" s="15"/>
      <c r="BC17" s="2"/>
      <c r="BD17" s="2"/>
      <c r="BE17" s="2"/>
      <c r="BF17" s="2"/>
      <c r="BG17" s="2"/>
      <c r="BH17" s="2"/>
      <c r="BI17" s="2"/>
      <c r="BJ17" s="2"/>
      <c r="BK17" s="2"/>
      <c r="BL17" s="2"/>
      <c r="BM17" s="2"/>
      <c r="BN17" s="2"/>
      <c r="BO17" s="2"/>
      <c r="BP17" s="2"/>
      <c r="BQ17" s="2"/>
      <c r="BR17" s="2"/>
      <c r="BS17" s="2"/>
      <c r="BT17" s="2"/>
      <c r="BU17" s="2"/>
      <c r="BV17" s="2"/>
      <c r="BW17" s="2"/>
      <c r="BZ17" s="4" t="s">
        <v>666</v>
      </c>
      <c r="CA17" s="4" t="s">
        <v>658</v>
      </c>
      <c r="CB17" s="4" t="s">
        <v>659</v>
      </c>
      <c r="CC17" s="4" t="s">
        <v>1133</v>
      </c>
      <c r="CD17" s="4" t="s">
        <v>605</v>
      </c>
      <c r="CE17" s="4" t="s">
        <v>399</v>
      </c>
      <c r="CF17" s="4" t="s">
        <v>500</v>
      </c>
    </row>
    <row r="18" spans="2:84">
      <c r="Q18" s="2"/>
      <c r="S18" s="2"/>
      <c r="U18" s="1"/>
      <c r="V18" s="1"/>
      <c r="W18" s="1"/>
      <c r="X18" s="2"/>
      <c r="Y18" s="2"/>
      <c r="Z18" s="2"/>
      <c r="AA18" s="2"/>
      <c r="AB18" s="2"/>
      <c r="AC18" s="2"/>
      <c r="AD18" s="2"/>
      <c r="AE18" s="2"/>
      <c r="AF18" s="2"/>
      <c r="AG18" s="2"/>
      <c r="AH18" s="2"/>
      <c r="AI18" s="2"/>
      <c r="AJ18" s="2"/>
      <c r="AK18" s="2"/>
      <c r="AL18" s="2"/>
      <c r="AM18" s="2"/>
      <c r="AN18" s="2"/>
      <c r="AO18" s="2"/>
      <c r="AP18" s="2"/>
      <c r="AQ18" s="2"/>
      <c r="AR18" s="2"/>
      <c r="AS18" s="2"/>
      <c r="AV18" s="6"/>
      <c r="AY18" s="13"/>
      <c r="BA18" s="2"/>
      <c r="BB18" s="15"/>
      <c r="BC18" s="2"/>
      <c r="BD18" s="2"/>
      <c r="BE18" s="2"/>
      <c r="BF18" s="2"/>
      <c r="BG18" s="2"/>
      <c r="BH18" s="2"/>
      <c r="BI18" s="2"/>
      <c r="BJ18" s="2"/>
      <c r="BK18" s="2"/>
      <c r="BL18" s="2"/>
      <c r="BM18" s="2"/>
      <c r="BN18" s="2"/>
      <c r="BO18" s="2"/>
      <c r="BP18" s="2"/>
      <c r="BQ18" s="2"/>
      <c r="BR18" s="2"/>
      <c r="BS18" s="2"/>
      <c r="BT18" s="2"/>
      <c r="BU18" s="2"/>
      <c r="BV18" s="2"/>
      <c r="BW18" s="2"/>
      <c r="BZ18" s="4" t="s">
        <v>615</v>
      </c>
      <c r="CA18" s="4" t="s">
        <v>625</v>
      </c>
      <c r="CB18" s="4" t="s">
        <v>1035</v>
      </c>
      <c r="CC18" s="4" t="s">
        <v>569</v>
      </c>
      <c r="CD18" s="4" t="s">
        <v>647</v>
      </c>
      <c r="CE18" s="4" t="s">
        <v>400</v>
      </c>
      <c r="CF18" s="4" t="s">
        <v>501</v>
      </c>
    </row>
    <row r="19" spans="2:84">
      <c r="B19" s="5" t="s">
        <v>11</v>
      </c>
      <c r="D19" s="5" t="s">
        <v>23</v>
      </c>
      <c r="Q19" s="2"/>
      <c r="S19" s="2"/>
      <c r="U19" s="1"/>
      <c r="V19" s="1"/>
      <c r="W19" s="1"/>
      <c r="X19" s="2"/>
      <c r="Y19" s="2"/>
      <c r="Z19" s="2"/>
      <c r="AA19" s="2"/>
      <c r="AB19" s="2"/>
      <c r="AC19" s="2"/>
      <c r="AD19" s="2"/>
      <c r="AE19" s="2"/>
      <c r="AF19" s="2"/>
      <c r="AG19" s="2"/>
      <c r="AH19" s="2"/>
      <c r="AI19" s="2"/>
      <c r="AJ19" s="2"/>
      <c r="AK19" s="2"/>
      <c r="AL19" s="2"/>
      <c r="AM19" s="2"/>
      <c r="AN19" s="2"/>
      <c r="AO19" s="2"/>
      <c r="AP19" s="2"/>
      <c r="AQ19" s="2"/>
      <c r="AR19" s="2"/>
      <c r="AS19" s="2"/>
      <c r="AV19" s="6"/>
      <c r="AY19" s="13"/>
      <c r="BA19" s="2"/>
      <c r="BB19" s="15"/>
      <c r="BC19" s="2"/>
      <c r="BD19" s="2"/>
      <c r="BE19" s="2"/>
      <c r="BF19" s="2"/>
      <c r="BG19" s="2"/>
      <c r="BH19" s="2"/>
      <c r="BI19" s="2"/>
      <c r="BJ19" s="2"/>
      <c r="BK19" s="2"/>
      <c r="BL19" s="2"/>
      <c r="BM19" s="2"/>
      <c r="BN19" s="2"/>
      <c r="BO19" s="2"/>
      <c r="BP19" s="2"/>
      <c r="BQ19" s="2"/>
      <c r="BR19" s="2"/>
      <c r="BS19" s="2"/>
      <c r="BT19" s="2"/>
      <c r="BU19" s="2"/>
      <c r="BV19" s="2"/>
      <c r="BW19" s="2"/>
      <c r="BZ19" s="4" t="s">
        <v>675</v>
      </c>
      <c r="CA19" s="4" t="s">
        <v>730</v>
      </c>
      <c r="CB19" s="4" t="s">
        <v>1036</v>
      </c>
      <c r="CC19" s="4" t="s">
        <v>690</v>
      </c>
      <c r="CD19" s="4" t="s">
        <v>691</v>
      </c>
      <c r="CE19" s="4" t="s">
        <v>401</v>
      </c>
      <c r="CF19" s="4" t="s">
        <v>502</v>
      </c>
    </row>
    <row r="20" spans="2:84">
      <c r="B20" s="4">
        <f>COUNTA(M2:M100)</f>
        <v>5</v>
      </c>
      <c r="D20" s="4">
        <v>-1324</v>
      </c>
      <c r="G20" s="3"/>
      <c r="Q20" s="2"/>
      <c r="S20" s="2"/>
      <c r="U20" s="1"/>
      <c r="V20" s="1"/>
      <c r="W20" s="1"/>
      <c r="X20" s="2"/>
      <c r="Y20" s="2"/>
      <c r="Z20" s="2"/>
      <c r="AA20" s="2"/>
      <c r="AB20" s="2"/>
      <c r="AC20" s="2"/>
      <c r="AD20" s="2"/>
      <c r="AE20" s="2"/>
      <c r="AF20" s="2"/>
      <c r="AG20" s="2"/>
      <c r="AH20" s="2"/>
      <c r="AI20" s="2"/>
      <c r="AJ20" s="2"/>
      <c r="AK20" s="2"/>
      <c r="AL20" s="2"/>
      <c r="AM20" s="2"/>
      <c r="AN20" s="2"/>
      <c r="AO20" s="2"/>
      <c r="AP20" s="2"/>
      <c r="AQ20" s="2"/>
      <c r="AR20" s="2"/>
      <c r="AS20" s="2"/>
      <c r="AV20" s="6"/>
      <c r="AY20" s="13"/>
      <c r="BA20" s="2"/>
      <c r="BB20" s="15"/>
      <c r="BC20" s="2"/>
      <c r="BD20" s="2"/>
      <c r="BE20" s="2"/>
      <c r="BF20" s="2"/>
      <c r="BG20" s="2"/>
      <c r="BH20" s="2"/>
      <c r="BI20" s="2"/>
      <c r="BJ20" s="2"/>
      <c r="BK20" s="2"/>
      <c r="BL20" s="2"/>
      <c r="BM20" s="2"/>
      <c r="BN20" s="2"/>
      <c r="BO20" s="2"/>
      <c r="BP20" s="2"/>
      <c r="BQ20" s="2"/>
      <c r="BR20" s="2"/>
      <c r="BS20" s="2"/>
      <c r="BT20" s="2"/>
      <c r="BU20" s="2"/>
      <c r="BV20" s="2"/>
      <c r="BW20" s="2"/>
      <c r="BZ20" s="4" t="s">
        <v>624</v>
      </c>
      <c r="CA20" s="4" t="s">
        <v>1063</v>
      </c>
      <c r="CB20" s="4" t="s">
        <v>685</v>
      </c>
      <c r="CC20" s="4" t="s">
        <v>702</v>
      </c>
      <c r="CD20" s="4" t="s">
        <v>1058</v>
      </c>
      <c r="CE20" s="4" t="s">
        <v>402</v>
      </c>
      <c r="CF20" s="4" t="s">
        <v>503</v>
      </c>
    </row>
    <row r="21" spans="2:84">
      <c r="G21" s="3"/>
      <c r="Q21" s="2"/>
      <c r="S21" s="2"/>
      <c r="U21" s="1"/>
      <c r="V21" s="1"/>
      <c r="W21" s="1"/>
      <c r="X21" s="2"/>
      <c r="Y21" s="2"/>
      <c r="Z21" s="2"/>
      <c r="AA21" s="2"/>
      <c r="AB21" s="2"/>
      <c r="AC21" s="2"/>
      <c r="AD21" s="2"/>
      <c r="AE21" s="2"/>
      <c r="AF21" s="2"/>
      <c r="AG21" s="2"/>
      <c r="AH21" s="2"/>
      <c r="AI21" s="2"/>
      <c r="AJ21" s="2"/>
      <c r="AK21" s="2"/>
      <c r="AL21" s="2"/>
      <c r="AM21" s="2"/>
      <c r="AN21" s="2"/>
      <c r="AO21" s="2"/>
      <c r="AP21" s="2"/>
      <c r="AQ21" s="2"/>
      <c r="AR21" s="2"/>
      <c r="AS21" s="2"/>
      <c r="AV21" s="6"/>
      <c r="AY21" s="13"/>
      <c r="BA21" s="2"/>
      <c r="BB21" s="15"/>
      <c r="BC21" s="2"/>
      <c r="BD21" s="2"/>
      <c r="BE21" s="2"/>
      <c r="BF21" s="2"/>
      <c r="BG21" s="2"/>
      <c r="BH21" s="2"/>
      <c r="BI21" s="2"/>
      <c r="BJ21" s="2"/>
      <c r="BK21" s="2"/>
      <c r="BL21" s="2"/>
      <c r="BM21" s="2"/>
      <c r="BN21" s="2"/>
      <c r="BO21" s="2"/>
      <c r="BP21" s="2"/>
      <c r="BQ21" s="2"/>
      <c r="BR21" s="2"/>
      <c r="BS21" s="2"/>
      <c r="BT21" s="2"/>
      <c r="BU21" s="2"/>
      <c r="BV21" s="2"/>
      <c r="BW21" s="2"/>
      <c r="BZ21" s="4" t="s">
        <v>596</v>
      </c>
      <c r="CA21" s="4" t="s">
        <v>672</v>
      </c>
      <c r="CB21" s="4" t="s">
        <v>650</v>
      </c>
      <c r="CC21" s="4" t="s">
        <v>636</v>
      </c>
      <c r="CD21" s="4" t="s">
        <v>565</v>
      </c>
      <c r="CE21" s="4" t="s">
        <v>403</v>
      </c>
      <c r="CF21" s="4" t="s">
        <v>504</v>
      </c>
    </row>
    <row r="22" spans="2:84">
      <c r="B22" s="5" t="s">
        <v>17</v>
      </c>
      <c r="D22" s="5" t="s">
        <v>24</v>
      </c>
      <c r="G22" s="3"/>
      <c r="Q22" s="2"/>
      <c r="S22" s="2"/>
      <c r="U22" s="1"/>
      <c r="V22" s="1"/>
      <c r="W22" s="1"/>
      <c r="X22" s="2"/>
      <c r="Y22" s="2"/>
      <c r="Z22" s="2"/>
      <c r="AA22" s="2"/>
      <c r="AB22" s="2"/>
      <c r="AC22" s="2"/>
      <c r="AD22" s="2"/>
      <c r="AE22" s="2"/>
      <c r="AF22" s="2"/>
      <c r="AG22" s="2"/>
      <c r="AH22" s="2"/>
      <c r="AI22" s="2"/>
      <c r="AJ22" s="2"/>
      <c r="AK22" s="2"/>
      <c r="AL22" s="2"/>
      <c r="AM22" s="2"/>
      <c r="AN22" s="2"/>
      <c r="AO22" s="2"/>
      <c r="AP22" s="2"/>
      <c r="AQ22" s="2"/>
      <c r="AR22" s="2"/>
      <c r="AS22" s="2"/>
      <c r="AV22" s="6"/>
      <c r="AY22" s="13"/>
      <c r="BA22" s="2"/>
      <c r="BB22" s="15"/>
      <c r="BC22" s="2"/>
      <c r="BD22" s="2"/>
      <c r="BE22" s="2"/>
      <c r="BF22" s="2"/>
      <c r="BG22" s="2"/>
      <c r="BH22" s="2"/>
      <c r="BI22" s="2"/>
      <c r="BJ22" s="2"/>
      <c r="BK22" s="2"/>
      <c r="BL22" s="2"/>
      <c r="BM22" s="2"/>
      <c r="BN22" s="2"/>
      <c r="BO22" s="2"/>
      <c r="BP22" s="2"/>
      <c r="BQ22" s="2"/>
      <c r="BR22" s="2"/>
      <c r="BS22" s="2"/>
      <c r="BT22" s="2"/>
      <c r="BU22" s="2"/>
      <c r="BV22" s="2"/>
      <c r="BW22" s="2"/>
      <c r="BZ22" s="4" t="s">
        <v>556</v>
      </c>
      <c r="CA22" s="4" t="s">
        <v>654</v>
      </c>
      <c r="CB22" s="4" t="s">
        <v>593</v>
      </c>
      <c r="CC22" s="4" t="s">
        <v>669</v>
      </c>
      <c r="CD22" s="4" t="s">
        <v>687</v>
      </c>
      <c r="CE22" s="4" t="s">
        <v>404</v>
      </c>
      <c r="CF22" s="4" t="s">
        <v>505</v>
      </c>
    </row>
    <row r="23" spans="2:84">
      <c r="B23" s="4">
        <f>COUNTA(X2:X1000)</f>
        <v>11</v>
      </c>
      <c r="D23" s="4">
        <v>1</v>
      </c>
      <c r="G23" s="3"/>
      <c r="Q23" s="2"/>
      <c r="S23" s="2"/>
      <c r="U23" s="1"/>
      <c r="V23" s="1"/>
      <c r="W23" s="1"/>
      <c r="X23" s="2"/>
      <c r="Y23" s="2"/>
      <c r="Z23" s="2"/>
      <c r="AA23" s="2"/>
      <c r="AB23" s="2"/>
      <c r="AC23" s="2"/>
      <c r="AD23" s="2"/>
      <c r="AE23" s="2"/>
      <c r="AF23" s="2"/>
      <c r="AG23" s="2"/>
      <c r="AH23" s="2"/>
      <c r="AI23" s="2"/>
      <c r="AJ23" s="2"/>
      <c r="AK23" s="2"/>
      <c r="AL23" s="2"/>
      <c r="AM23" s="2"/>
      <c r="AN23" s="2"/>
      <c r="AO23" s="2"/>
      <c r="AP23" s="2"/>
      <c r="AQ23" s="2"/>
      <c r="AR23" s="2"/>
      <c r="AS23" s="2"/>
      <c r="AV23" s="6"/>
      <c r="AY23" s="13"/>
      <c r="BA23" s="2"/>
      <c r="BB23" s="15"/>
      <c r="BC23" s="2"/>
      <c r="BD23" s="2"/>
      <c r="BE23" s="2"/>
      <c r="BF23" s="2"/>
      <c r="BG23" s="2"/>
      <c r="BH23" s="2"/>
      <c r="BI23" s="2"/>
      <c r="BJ23" s="2"/>
      <c r="BK23" s="2"/>
      <c r="BL23" s="2"/>
      <c r="BM23" s="2"/>
      <c r="BN23" s="2"/>
      <c r="BO23" s="2"/>
      <c r="BP23" s="2"/>
      <c r="BQ23" s="2"/>
      <c r="BR23" s="2"/>
      <c r="BS23" s="2"/>
      <c r="BT23" s="2"/>
      <c r="BU23" s="2"/>
      <c r="BV23" s="2"/>
      <c r="BW23" s="2"/>
      <c r="BZ23" s="4" t="s">
        <v>653</v>
      </c>
      <c r="CA23" s="4" t="s">
        <v>630</v>
      </c>
      <c r="CB23" s="4" t="s">
        <v>626</v>
      </c>
      <c r="CC23" s="4" t="s">
        <v>589</v>
      </c>
      <c r="CD23" s="4" t="s">
        <v>1059</v>
      </c>
      <c r="CE23" s="4" t="s">
        <v>405</v>
      </c>
      <c r="CF23" s="4" t="s">
        <v>506</v>
      </c>
    </row>
    <row r="24" spans="2:84">
      <c r="G24" s="3"/>
      <c r="Q24" s="2"/>
      <c r="S24" s="2"/>
      <c r="U24" s="1"/>
      <c r="V24" s="1"/>
      <c r="W24" s="1"/>
      <c r="X24" s="2"/>
      <c r="Y24" s="2"/>
      <c r="Z24" s="2"/>
      <c r="AA24" s="2"/>
      <c r="AB24" s="2"/>
      <c r="AC24" s="2"/>
      <c r="AD24" s="2"/>
      <c r="AE24" s="2"/>
      <c r="AF24" s="2"/>
      <c r="AG24" s="2"/>
      <c r="AH24" s="2"/>
      <c r="AI24" s="2"/>
      <c r="AJ24" s="2"/>
      <c r="AK24" s="2"/>
      <c r="AL24" s="2"/>
      <c r="AM24" s="2"/>
      <c r="AN24" s="2"/>
      <c r="AO24" s="2"/>
      <c r="AP24" s="2"/>
      <c r="AQ24" s="2"/>
      <c r="AR24" s="2"/>
      <c r="AS24" s="2"/>
      <c r="AV24" s="6"/>
      <c r="AY24" s="13"/>
      <c r="BA24" s="2"/>
      <c r="BB24" s="15"/>
      <c r="BC24" s="2"/>
      <c r="BD24" s="2"/>
      <c r="BE24" s="2"/>
      <c r="BF24" s="2"/>
      <c r="BG24" s="2"/>
      <c r="BH24" s="2"/>
      <c r="BI24" s="2"/>
      <c r="BJ24" s="2"/>
      <c r="BK24" s="2"/>
      <c r="BL24" s="2"/>
      <c r="BM24" s="2"/>
      <c r="BN24" s="2"/>
      <c r="BO24" s="2"/>
      <c r="BP24" s="2"/>
      <c r="BQ24" s="2"/>
      <c r="BR24" s="2"/>
      <c r="BS24" s="2"/>
      <c r="BT24" s="2"/>
      <c r="BU24" s="2"/>
      <c r="BV24" s="2"/>
      <c r="BW24" s="2"/>
      <c r="BZ24" s="4" t="s">
        <v>1101</v>
      </c>
      <c r="CA24" s="4" t="s">
        <v>688</v>
      </c>
      <c r="CB24" s="4" t="s">
        <v>663</v>
      </c>
      <c r="CC24" s="4" t="s">
        <v>744</v>
      </c>
      <c r="CD24" s="4" t="s">
        <v>665</v>
      </c>
      <c r="CE24" s="4" t="s">
        <v>406</v>
      </c>
      <c r="CF24" s="4" t="s">
        <v>507</v>
      </c>
    </row>
    <row r="25" spans="2:84">
      <c r="B25" s="5" t="s">
        <v>75</v>
      </c>
      <c r="D25" s="5" t="s">
        <v>82</v>
      </c>
      <c r="G25" s="3"/>
      <c r="Q25" s="2"/>
      <c r="S25" s="2"/>
      <c r="U25" s="1"/>
      <c r="V25" s="1"/>
      <c r="W25" s="1"/>
      <c r="X25" s="2"/>
      <c r="Y25" s="2"/>
      <c r="Z25" s="2"/>
      <c r="AA25" s="2"/>
      <c r="AB25" s="2"/>
      <c r="AC25" s="2"/>
      <c r="AD25" s="2"/>
      <c r="AE25" s="2"/>
      <c r="AF25" s="2"/>
      <c r="AG25" s="2"/>
      <c r="AH25" s="2"/>
      <c r="AI25" s="2"/>
      <c r="AJ25" s="2"/>
      <c r="AK25" s="2"/>
      <c r="AL25" s="2"/>
      <c r="AM25" s="2"/>
      <c r="AN25" s="2"/>
      <c r="AO25" s="2"/>
      <c r="AP25" s="2"/>
      <c r="AQ25" s="2"/>
      <c r="AR25" s="2"/>
      <c r="AS25" s="2"/>
      <c r="AV25" s="6"/>
      <c r="AY25" s="13"/>
      <c r="BA25" s="2"/>
      <c r="BB25" s="15"/>
      <c r="BC25" s="2"/>
      <c r="BD25" s="2"/>
      <c r="BE25" s="2"/>
      <c r="BF25" s="2"/>
      <c r="BG25" s="2"/>
      <c r="BH25" s="2"/>
      <c r="BI25" s="2"/>
      <c r="BJ25" s="2"/>
      <c r="BK25" s="2"/>
      <c r="BL25" s="2"/>
      <c r="BM25" s="2"/>
      <c r="BN25" s="2"/>
      <c r="BO25" s="2"/>
      <c r="BP25" s="2"/>
      <c r="BQ25" s="2"/>
      <c r="BR25" s="2"/>
      <c r="BS25" s="2"/>
      <c r="BT25" s="2"/>
      <c r="BU25" s="2"/>
      <c r="BV25" s="2"/>
      <c r="BW25" s="2"/>
      <c r="BZ25" s="4" t="s">
        <v>611</v>
      </c>
      <c r="CA25" s="4" t="s">
        <v>597</v>
      </c>
      <c r="CB25" s="4" t="s">
        <v>608</v>
      </c>
      <c r="CC25" s="4" t="s">
        <v>682</v>
      </c>
      <c r="CD25" s="4" t="s">
        <v>642</v>
      </c>
      <c r="CE25" s="4" t="s">
        <v>407</v>
      </c>
      <c r="CF25" s="4" t="s">
        <v>508</v>
      </c>
    </row>
    <row r="26" spans="2:84">
      <c r="B26" s="4">
        <f>COUNTA(AV2:AV1530)</f>
        <v>13</v>
      </c>
      <c r="D26" s="4">
        <v>13</v>
      </c>
      <c r="G26" s="3"/>
      <c r="Q26" s="2"/>
      <c r="S26" s="2"/>
      <c r="U26" s="1"/>
      <c r="V26" s="1"/>
      <c r="W26" s="1"/>
      <c r="X26" s="2"/>
      <c r="Y26" s="2"/>
      <c r="Z26" s="2"/>
      <c r="AA26" s="2"/>
      <c r="AB26" s="2"/>
      <c r="AC26" s="2"/>
      <c r="AD26" s="2"/>
      <c r="AE26" s="2"/>
      <c r="AF26" s="2"/>
      <c r="AG26" s="2"/>
      <c r="AH26" s="2"/>
      <c r="AI26" s="2"/>
      <c r="AJ26" s="2"/>
      <c r="AK26" s="2"/>
      <c r="AL26" s="2"/>
      <c r="AM26" s="2"/>
      <c r="AN26" s="2"/>
      <c r="AO26" s="2"/>
      <c r="AP26" s="2"/>
      <c r="AQ26" s="2"/>
      <c r="AR26" s="2"/>
      <c r="AS26" s="2"/>
      <c r="AV26" s="6"/>
      <c r="AY26" s="13"/>
      <c r="BA26" s="2"/>
      <c r="BB26" s="15"/>
      <c r="BC26" s="2"/>
      <c r="BD26" s="2"/>
      <c r="BE26" s="2"/>
      <c r="BF26" s="2"/>
      <c r="BG26" s="2"/>
      <c r="BH26" s="2"/>
      <c r="BI26" s="2"/>
      <c r="BJ26" s="2"/>
      <c r="BK26" s="2"/>
      <c r="BL26" s="2"/>
      <c r="BM26" s="2"/>
      <c r="BN26" s="2"/>
      <c r="BO26" s="2"/>
      <c r="BP26" s="2"/>
      <c r="BQ26" s="2"/>
      <c r="BR26" s="2"/>
      <c r="BS26" s="2"/>
      <c r="BT26" s="2"/>
      <c r="BU26" s="2"/>
      <c r="BV26" s="2"/>
      <c r="BW26" s="2"/>
      <c r="BZ26" s="4" t="s">
        <v>601</v>
      </c>
      <c r="CA26" s="4" t="s">
        <v>567</v>
      </c>
      <c r="CB26" s="4" t="s">
        <v>613</v>
      </c>
      <c r="CC26" s="4" t="s">
        <v>718</v>
      </c>
      <c r="CD26" s="4" t="s">
        <v>1060</v>
      </c>
      <c r="CE26" s="4" t="s">
        <v>408</v>
      </c>
      <c r="CF26" s="4" t="s">
        <v>509</v>
      </c>
    </row>
    <row r="27" spans="2:84">
      <c r="G27" s="3"/>
      <c r="Q27" s="2"/>
      <c r="S27" s="2"/>
      <c r="U27" s="1"/>
      <c r="V27" s="1"/>
      <c r="W27" s="1"/>
      <c r="X27" s="2"/>
      <c r="Y27" s="2"/>
      <c r="Z27" s="2"/>
      <c r="AA27" s="2"/>
      <c r="AB27" s="2"/>
      <c r="AC27" s="2"/>
      <c r="AD27" s="2"/>
      <c r="AE27" s="2"/>
      <c r="AF27" s="2"/>
      <c r="AG27" s="2"/>
      <c r="AH27" s="2"/>
      <c r="AI27" s="2"/>
      <c r="AJ27" s="2"/>
      <c r="AK27" s="2"/>
      <c r="AL27" s="2"/>
      <c r="AM27" s="2"/>
      <c r="AN27" s="2"/>
      <c r="AO27" s="2"/>
      <c r="AP27" s="2"/>
      <c r="AQ27" s="2"/>
      <c r="AR27" s="2"/>
      <c r="AS27" s="2"/>
      <c r="AV27" s="6"/>
      <c r="AY27" s="13"/>
      <c r="BA27" s="2"/>
      <c r="BB27" s="15"/>
      <c r="BC27" s="2"/>
      <c r="BD27" s="2"/>
      <c r="BE27" s="2"/>
      <c r="BF27" s="2"/>
      <c r="BG27" s="2"/>
      <c r="BH27" s="2"/>
      <c r="BI27" s="2"/>
      <c r="BJ27" s="2"/>
      <c r="BK27" s="2"/>
      <c r="BL27" s="2"/>
      <c r="BM27" s="2"/>
      <c r="BN27" s="2"/>
      <c r="BO27" s="2"/>
      <c r="BP27" s="2"/>
      <c r="BQ27" s="2"/>
      <c r="BR27" s="2"/>
      <c r="BS27" s="2"/>
      <c r="BT27" s="2"/>
      <c r="BU27" s="2"/>
      <c r="BV27" s="2"/>
      <c r="BW27" s="2"/>
      <c r="BZ27" s="4" t="s">
        <v>591</v>
      </c>
      <c r="CA27" s="4" t="s">
        <v>807</v>
      </c>
      <c r="CB27" s="4" t="s">
        <v>603</v>
      </c>
      <c r="CC27" s="4" t="s">
        <v>1134</v>
      </c>
      <c r="CD27" s="4" t="s">
        <v>595</v>
      </c>
      <c r="CE27" s="4" t="s">
        <v>409</v>
      </c>
      <c r="CF27" s="4" t="s">
        <v>366</v>
      </c>
    </row>
    <row r="28" spans="2:84">
      <c r="B28" s="5" t="s">
        <v>78</v>
      </c>
      <c r="D28" s="5" t="s">
        <v>83</v>
      </c>
      <c r="G28" s="3"/>
      <c r="Q28" s="2"/>
      <c r="S28" s="2"/>
      <c r="U28" s="1"/>
      <c r="V28" s="1"/>
      <c r="W28" s="1"/>
      <c r="X28" s="2"/>
      <c r="Y28" s="2"/>
      <c r="Z28" s="2"/>
      <c r="AA28" s="2"/>
      <c r="AB28" s="2"/>
      <c r="AC28" s="2"/>
      <c r="AD28" s="2"/>
      <c r="AE28" s="2"/>
      <c r="AF28" s="2"/>
      <c r="AG28" s="2"/>
      <c r="AH28" s="2"/>
      <c r="AI28" s="2"/>
      <c r="AJ28" s="2"/>
      <c r="AK28" s="2"/>
      <c r="AL28" s="2"/>
      <c r="AM28" s="2"/>
      <c r="AN28" s="2"/>
      <c r="AO28" s="2"/>
      <c r="AP28" s="2"/>
      <c r="AQ28" s="2"/>
      <c r="AR28" s="2"/>
      <c r="AS28" s="2"/>
      <c r="AV28" s="6"/>
      <c r="AY28" s="13"/>
      <c r="BA28" s="2"/>
      <c r="BB28" s="15"/>
      <c r="BC28" s="2"/>
      <c r="BD28" s="2"/>
      <c r="BE28" s="2"/>
      <c r="BF28" s="2"/>
      <c r="BG28" s="2"/>
      <c r="BH28" s="2"/>
      <c r="BI28" s="2"/>
      <c r="BJ28" s="2"/>
      <c r="BK28" s="2"/>
      <c r="BL28" s="2"/>
      <c r="BM28" s="2"/>
      <c r="BN28" s="2"/>
      <c r="BO28" s="2"/>
      <c r="BP28" s="2"/>
      <c r="BQ28" s="2"/>
      <c r="BR28" s="2"/>
      <c r="BS28" s="2"/>
      <c r="BT28" s="2"/>
      <c r="BU28" s="2"/>
      <c r="BV28" s="2"/>
      <c r="BW28" s="2"/>
      <c r="BZ28" s="4" t="s">
        <v>629</v>
      </c>
      <c r="CA28" s="4" t="s">
        <v>612</v>
      </c>
      <c r="CB28" s="4" t="s">
        <v>723</v>
      </c>
      <c r="CC28" s="4" t="s">
        <v>1135</v>
      </c>
      <c r="CD28" s="4" t="s">
        <v>1061</v>
      </c>
      <c r="CE28" s="4" t="s">
        <v>410</v>
      </c>
      <c r="CF28" s="4" t="s">
        <v>510</v>
      </c>
    </row>
    <row r="29" spans="2:84">
      <c r="B29" s="4" t="b">
        <v>1</v>
      </c>
      <c r="D29" s="16">
        <v>45513.500775462962</v>
      </c>
      <c r="G29" s="3"/>
      <c r="Q29" s="2"/>
      <c r="S29" s="2"/>
      <c r="U29" s="1"/>
      <c r="V29" s="1"/>
      <c r="W29" s="1"/>
      <c r="X29" s="2"/>
      <c r="Y29" s="2"/>
      <c r="Z29" s="2"/>
      <c r="AA29" s="2"/>
      <c r="AB29" s="2"/>
      <c r="AC29" s="2"/>
      <c r="AD29" s="2"/>
      <c r="AE29" s="2"/>
      <c r="AF29" s="2"/>
      <c r="AG29" s="2"/>
      <c r="AH29" s="2"/>
      <c r="AI29" s="2"/>
      <c r="AJ29" s="2"/>
      <c r="AK29" s="2"/>
      <c r="AL29" s="2"/>
      <c r="AM29" s="2"/>
      <c r="AN29" s="2"/>
      <c r="AO29" s="2"/>
      <c r="AP29" s="2"/>
      <c r="AQ29" s="2"/>
      <c r="AR29" s="2"/>
      <c r="AS29" s="2"/>
      <c r="AV29" s="6"/>
      <c r="AY29" s="13"/>
      <c r="BA29" s="2"/>
      <c r="BB29" s="15"/>
      <c r="BC29" s="2"/>
      <c r="BD29" s="2"/>
      <c r="BE29" s="2"/>
      <c r="BF29" s="2"/>
      <c r="BG29" s="2"/>
      <c r="BH29" s="2"/>
      <c r="BI29" s="2"/>
      <c r="BJ29" s="2"/>
      <c r="BK29" s="2"/>
      <c r="BL29" s="2"/>
      <c r="BM29" s="2"/>
      <c r="BN29" s="2"/>
      <c r="BO29" s="2"/>
      <c r="BP29" s="2"/>
      <c r="BQ29" s="2"/>
      <c r="BR29" s="2"/>
      <c r="BS29" s="2"/>
      <c r="BT29" s="2"/>
      <c r="BU29" s="2"/>
      <c r="BV29" s="2"/>
      <c r="BW29" s="2"/>
      <c r="BZ29" s="4" t="s">
        <v>742</v>
      </c>
      <c r="CA29" s="4" t="s">
        <v>676</v>
      </c>
      <c r="CB29" s="4" t="s">
        <v>1037</v>
      </c>
      <c r="CC29" s="4" t="s">
        <v>623</v>
      </c>
      <c r="CD29" s="4" t="s">
        <v>628</v>
      </c>
      <c r="CE29" s="4" t="s">
        <v>411</v>
      </c>
      <c r="CF29" s="4" t="s">
        <v>511</v>
      </c>
    </row>
    <row r="30" spans="2:84">
      <c r="G30" s="3"/>
      <c r="Q30" s="2"/>
      <c r="S30" s="2"/>
      <c r="U30" s="1"/>
      <c r="V30" s="1"/>
      <c r="W30" s="1"/>
      <c r="X30" s="2"/>
      <c r="Y30" s="2"/>
      <c r="Z30" s="2"/>
      <c r="AA30" s="2"/>
      <c r="AB30" s="2"/>
      <c r="AC30" s="2"/>
      <c r="AD30" s="2"/>
      <c r="AE30" s="2"/>
      <c r="AF30" s="2"/>
      <c r="AG30" s="2"/>
      <c r="AH30" s="2"/>
      <c r="AI30" s="2"/>
      <c r="AJ30" s="2"/>
      <c r="AK30" s="2"/>
      <c r="AL30" s="2"/>
      <c r="AM30" s="2"/>
      <c r="AN30" s="2"/>
      <c r="AO30" s="2"/>
      <c r="AP30" s="2"/>
      <c r="AQ30" s="2"/>
      <c r="AR30" s="2"/>
      <c r="AS30" s="2"/>
      <c r="AV30" s="6"/>
      <c r="AY30" s="13"/>
      <c r="BA30" s="2"/>
      <c r="BB30" s="15"/>
      <c r="BC30" s="2"/>
      <c r="BD30" s="2"/>
      <c r="BE30" s="2"/>
      <c r="BF30" s="2"/>
      <c r="BG30" s="2"/>
      <c r="BH30" s="2"/>
      <c r="BI30" s="2"/>
      <c r="BJ30" s="2"/>
      <c r="BK30" s="2"/>
      <c r="BL30" s="2"/>
      <c r="BM30" s="2"/>
      <c r="BN30" s="2"/>
      <c r="BO30" s="2"/>
      <c r="BP30" s="2"/>
      <c r="BQ30" s="2"/>
      <c r="BR30" s="2"/>
      <c r="BS30" s="2"/>
      <c r="BT30" s="2"/>
      <c r="BU30" s="2"/>
      <c r="BV30" s="2"/>
      <c r="BW30" s="2"/>
      <c r="BZ30" s="4" t="s">
        <v>1102</v>
      </c>
      <c r="CA30" s="4" t="s">
        <v>572</v>
      </c>
      <c r="CB30" s="4" t="s">
        <v>645</v>
      </c>
      <c r="CC30" s="4" t="s">
        <v>660</v>
      </c>
      <c r="CD30" s="4" t="s">
        <v>637</v>
      </c>
      <c r="CE30" s="4" t="s">
        <v>412</v>
      </c>
      <c r="CF30" s="4" t="s">
        <v>512</v>
      </c>
    </row>
    <row r="31" spans="2:84">
      <c r="B31" s="5" t="s">
        <v>77</v>
      </c>
      <c r="D31" s="5" t="s">
        <v>84</v>
      </c>
      <c r="G31" s="3"/>
      <c r="Q31" s="2"/>
      <c r="S31" s="2"/>
      <c r="U31" s="1"/>
      <c r="V31" s="1"/>
      <c r="W31" s="1"/>
      <c r="X31" s="2"/>
      <c r="Y31" s="2"/>
      <c r="Z31" s="2"/>
      <c r="AA31" s="2"/>
      <c r="AB31" s="2"/>
      <c r="AC31" s="2"/>
      <c r="AD31" s="2"/>
      <c r="AE31" s="2"/>
      <c r="AF31" s="2"/>
      <c r="AG31" s="2"/>
      <c r="AH31" s="2"/>
      <c r="AI31" s="2"/>
      <c r="AJ31" s="2"/>
      <c r="AK31" s="2"/>
      <c r="AL31" s="2"/>
      <c r="AM31" s="2"/>
      <c r="AN31" s="2"/>
      <c r="AO31" s="2"/>
      <c r="AP31" s="2"/>
      <c r="AQ31" s="2"/>
      <c r="AR31" s="2"/>
      <c r="AS31" s="2"/>
      <c r="AV31" s="6"/>
      <c r="AY31" s="13"/>
      <c r="BA31" s="2"/>
      <c r="BB31" s="15"/>
      <c r="BC31" s="2"/>
      <c r="BD31" s="2"/>
      <c r="BE31" s="2"/>
      <c r="BF31" s="2"/>
      <c r="BG31" s="2"/>
      <c r="BH31" s="2"/>
      <c r="BI31" s="2"/>
      <c r="BJ31" s="2"/>
      <c r="BK31" s="2"/>
      <c r="BL31" s="2"/>
      <c r="BM31" s="2"/>
      <c r="BN31" s="2"/>
      <c r="BO31" s="2"/>
      <c r="BP31" s="2"/>
      <c r="BQ31" s="2"/>
      <c r="BR31" s="2"/>
      <c r="BS31" s="2"/>
      <c r="BT31" s="2"/>
      <c r="BU31" s="2"/>
      <c r="BV31" s="2"/>
      <c r="BW31" s="2"/>
      <c r="BZ31" s="4" t="s">
        <v>643</v>
      </c>
      <c r="CA31" s="4" t="s">
        <v>1064</v>
      </c>
      <c r="CB31" s="4" t="s">
        <v>1038</v>
      </c>
      <c r="CC31" s="4" t="s">
        <v>632</v>
      </c>
      <c r="CD31" s="4" t="s">
        <v>670</v>
      </c>
      <c r="CE31" s="4" t="s">
        <v>413</v>
      </c>
      <c r="CF31" s="4" t="s">
        <v>513</v>
      </c>
    </row>
    <row r="32" spans="2:84">
      <c r="B32" s="16">
        <v>0</v>
      </c>
      <c r="D32" s="4">
        <f>totalTime*24*3600</f>
        <v>0</v>
      </c>
      <c r="G32" s="3"/>
      <c r="Q32" s="2"/>
      <c r="S32" s="2"/>
      <c r="U32" s="1"/>
      <c r="V32" s="1"/>
      <c r="W32" s="1"/>
      <c r="X32" s="2"/>
      <c r="Y32" s="2"/>
      <c r="Z32" s="2"/>
      <c r="AA32" s="2"/>
      <c r="AB32" s="2"/>
      <c r="AC32" s="2"/>
      <c r="AD32" s="2"/>
      <c r="AE32" s="2"/>
      <c r="AF32" s="2"/>
      <c r="AG32" s="2"/>
      <c r="AH32" s="2"/>
      <c r="AI32" s="2"/>
      <c r="AJ32" s="2"/>
      <c r="AK32" s="2"/>
      <c r="AL32" s="2"/>
      <c r="AM32" s="2"/>
      <c r="AN32" s="2"/>
      <c r="AO32" s="2"/>
      <c r="AP32" s="2"/>
      <c r="AQ32" s="2"/>
      <c r="AR32" s="2"/>
      <c r="AS32" s="2"/>
      <c r="AV32" s="6"/>
      <c r="AY32" s="13"/>
      <c r="BA32" s="2"/>
      <c r="BB32" s="15"/>
      <c r="BC32" s="2"/>
      <c r="BD32" s="2"/>
      <c r="BE32" s="2"/>
      <c r="BF32" s="2"/>
      <c r="BG32" s="2"/>
      <c r="BH32" s="2"/>
      <c r="BI32" s="2"/>
      <c r="BJ32" s="2"/>
      <c r="BK32" s="2"/>
      <c r="BL32" s="2"/>
      <c r="BM32" s="2"/>
      <c r="BN32" s="2"/>
      <c r="BO32" s="2"/>
      <c r="BP32" s="2"/>
      <c r="BQ32" s="2"/>
      <c r="BR32" s="2"/>
      <c r="BS32" s="2"/>
      <c r="BT32" s="2"/>
      <c r="BU32" s="2"/>
      <c r="BV32" s="2"/>
      <c r="BW32" s="2"/>
      <c r="BZ32" s="4" t="s">
        <v>633</v>
      </c>
      <c r="CA32" s="4" t="s">
        <v>644</v>
      </c>
      <c r="CB32" s="4" t="s">
        <v>797</v>
      </c>
      <c r="CC32" s="4" t="s">
        <v>694</v>
      </c>
      <c r="CD32" s="4" t="s">
        <v>614</v>
      </c>
      <c r="CE32" s="4" t="s">
        <v>414</v>
      </c>
      <c r="CF32" s="4" t="s">
        <v>514</v>
      </c>
    </row>
    <row r="33" spans="2:84">
      <c r="Q33" s="2"/>
      <c r="S33" s="2"/>
      <c r="U33" s="1"/>
      <c r="V33" s="1"/>
      <c r="W33" s="1"/>
      <c r="X33" s="2"/>
      <c r="Y33" s="2"/>
      <c r="Z33" s="2"/>
      <c r="AA33" s="2"/>
      <c r="AB33" s="2"/>
      <c r="AC33" s="2"/>
      <c r="AD33" s="2"/>
      <c r="AE33" s="2"/>
      <c r="AF33" s="2"/>
      <c r="AG33" s="2"/>
      <c r="AH33" s="2"/>
      <c r="AI33" s="2"/>
      <c r="AJ33" s="2"/>
      <c r="AK33" s="2"/>
      <c r="AL33" s="2"/>
      <c r="AM33" s="2"/>
      <c r="AN33" s="2"/>
      <c r="AO33" s="2"/>
      <c r="AP33" s="2"/>
      <c r="AQ33" s="2"/>
      <c r="AR33" s="2"/>
      <c r="AS33" s="2"/>
      <c r="AV33" s="6"/>
      <c r="AY33" s="13"/>
      <c r="BA33" s="2"/>
      <c r="BB33" s="15"/>
      <c r="BC33" s="2"/>
      <c r="BD33" s="2"/>
      <c r="BE33" s="2"/>
      <c r="BF33" s="2"/>
      <c r="BG33" s="2"/>
      <c r="BH33" s="2"/>
      <c r="BI33" s="2"/>
      <c r="BJ33" s="2"/>
      <c r="BK33" s="2"/>
      <c r="BL33" s="2"/>
      <c r="BM33" s="2"/>
      <c r="BN33" s="2"/>
      <c r="BO33" s="2"/>
      <c r="BP33" s="2"/>
      <c r="BQ33" s="2"/>
      <c r="BR33" s="2"/>
      <c r="BS33" s="2"/>
      <c r="BT33" s="2"/>
      <c r="BU33" s="2"/>
      <c r="BV33" s="2"/>
      <c r="BW33" s="2"/>
      <c r="BZ33" s="4" t="s">
        <v>745</v>
      </c>
      <c r="CA33" s="4" t="s">
        <v>752</v>
      </c>
      <c r="CB33" s="4" t="s">
        <v>1039</v>
      </c>
      <c r="CC33" s="4" t="s">
        <v>698</v>
      </c>
      <c r="CD33" s="4" t="s">
        <v>600</v>
      </c>
      <c r="CE33" s="4" t="s">
        <v>415</v>
      </c>
      <c r="CF33" s="4" t="s">
        <v>515</v>
      </c>
    </row>
    <row r="34" spans="2:84">
      <c r="Q34" s="2"/>
      <c r="S34" s="2"/>
      <c r="U34" s="1"/>
      <c r="V34" s="1"/>
      <c r="W34" s="1"/>
      <c r="X34" s="2"/>
      <c r="Y34" s="2"/>
      <c r="Z34" s="2"/>
      <c r="AA34" s="2"/>
      <c r="AB34" s="2"/>
      <c r="AC34" s="2"/>
      <c r="AD34" s="2"/>
      <c r="AE34" s="2"/>
      <c r="AF34" s="2"/>
      <c r="AG34" s="2"/>
      <c r="AH34" s="2"/>
      <c r="AI34" s="2"/>
      <c r="AJ34" s="2"/>
      <c r="AK34" s="2"/>
      <c r="AL34" s="2"/>
      <c r="AM34" s="2"/>
      <c r="AN34" s="2"/>
      <c r="AO34" s="2"/>
      <c r="AP34" s="2"/>
      <c r="AQ34" s="2"/>
      <c r="AR34" s="2"/>
      <c r="AS34" s="2"/>
      <c r="AV34" s="6"/>
      <c r="AY34" s="13"/>
      <c r="BA34" s="2"/>
      <c r="BB34" s="15"/>
      <c r="BC34" s="2"/>
      <c r="BD34" s="2"/>
      <c r="BE34" s="2"/>
      <c r="BF34" s="2"/>
      <c r="BG34" s="2"/>
      <c r="BH34" s="2"/>
      <c r="BI34" s="2"/>
      <c r="BJ34" s="2"/>
      <c r="BK34" s="2"/>
      <c r="BL34" s="2"/>
      <c r="BM34" s="2"/>
      <c r="BN34" s="2"/>
      <c r="BO34" s="2"/>
      <c r="BP34" s="2"/>
      <c r="BQ34" s="2"/>
      <c r="BR34" s="2"/>
      <c r="BS34" s="2"/>
      <c r="BT34" s="2"/>
      <c r="BU34" s="2"/>
      <c r="BV34" s="2"/>
      <c r="BW34" s="2"/>
      <c r="BZ34" s="4" t="s">
        <v>671</v>
      </c>
      <c r="CA34" s="4" t="s">
        <v>553</v>
      </c>
      <c r="CB34" s="4" t="s">
        <v>674</v>
      </c>
      <c r="CC34" s="4" t="s">
        <v>748</v>
      </c>
      <c r="CD34" s="4" t="s">
        <v>683</v>
      </c>
      <c r="CE34" s="4" t="s">
        <v>703</v>
      </c>
    </row>
    <row r="35" spans="2:84">
      <c r="B35" s="17" t="s">
        <v>79</v>
      </c>
      <c r="Q35" s="2"/>
      <c r="S35" s="2"/>
      <c r="U35" s="1"/>
      <c r="V35" s="1"/>
      <c r="W35" s="1"/>
      <c r="X35" s="2"/>
      <c r="Y35" s="2"/>
      <c r="Z35" s="2"/>
      <c r="AA35" s="2"/>
      <c r="AB35" s="2"/>
      <c r="AC35" s="2"/>
      <c r="AD35" s="2"/>
      <c r="AE35" s="2"/>
      <c r="AF35" s="2"/>
      <c r="AG35" s="2"/>
      <c r="AH35" s="2"/>
      <c r="AI35" s="2"/>
      <c r="AJ35" s="2"/>
      <c r="AK35" s="2"/>
      <c r="AL35" s="2"/>
      <c r="AM35" s="2"/>
      <c r="AN35" s="2"/>
      <c r="AO35" s="2"/>
      <c r="AP35" s="2"/>
      <c r="AQ35" s="2"/>
      <c r="AR35" s="2"/>
      <c r="AS35" s="2"/>
      <c r="AV35" s="6"/>
      <c r="AY35" s="13"/>
      <c r="BA35" s="2"/>
      <c r="BB35" s="15"/>
      <c r="BC35" s="2"/>
      <c r="BD35" s="2"/>
      <c r="BE35" s="2"/>
      <c r="BF35" s="2"/>
      <c r="BG35" s="2"/>
      <c r="BH35" s="2"/>
      <c r="BI35" s="2"/>
      <c r="BJ35" s="2"/>
      <c r="BK35" s="2"/>
      <c r="BL35" s="2"/>
      <c r="BM35" s="2"/>
      <c r="BN35" s="2"/>
      <c r="BO35" s="2"/>
      <c r="BP35" s="2"/>
      <c r="BQ35" s="2"/>
      <c r="BR35" s="2"/>
      <c r="BS35" s="2"/>
      <c r="BT35" s="2"/>
      <c r="BU35" s="2"/>
      <c r="BV35" s="2"/>
      <c r="BW35" s="2"/>
      <c r="BZ35" s="4" t="s">
        <v>815</v>
      </c>
      <c r="CA35" s="4" t="s">
        <v>649</v>
      </c>
      <c r="CB35" s="4" t="s">
        <v>708</v>
      </c>
      <c r="CC35" s="4" t="s">
        <v>618</v>
      </c>
      <c r="CD35" s="4" t="s">
        <v>703</v>
      </c>
      <c r="CE35" s="4" t="s">
        <v>703</v>
      </c>
    </row>
    <row r="36" spans="2:84">
      <c r="B36" s="18" t="s">
        <v>80</v>
      </c>
      <c r="Q36" s="2"/>
      <c r="S36" s="2"/>
      <c r="U36" s="1"/>
      <c r="V36" s="1"/>
      <c r="W36" s="1"/>
      <c r="X36" s="2"/>
      <c r="Y36" s="2"/>
      <c r="Z36" s="2"/>
      <c r="AA36" s="2"/>
      <c r="AB36" s="2"/>
      <c r="AC36" s="2"/>
      <c r="AD36" s="2"/>
      <c r="AE36" s="2"/>
      <c r="AF36" s="2"/>
      <c r="AG36" s="2"/>
      <c r="AH36" s="2"/>
      <c r="AI36" s="2"/>
      <c r="AJ36" s="2"/>
      <c r="AK36" s="2"/>
      <c r="AL36" s="2"/>
      <c r="AM36" s="2"/>
      <c r="AN36" s="2"/>
      <c r="AO36" s="2"/>
      <c r="AP36" s="2"/>
      <c r="AQ36" s="2"/>
      <c r="AR36" s="2"/>
      <c r="AS36" s="2"/>
      <c r="AV36" s="6"/>
      <c r="AY36" s="13"/>
      <c r="BA36" s="2"/>
      <c r="BB36" s="15"/>
      <c r="BC36" s="2"/>
      <c r="BD36" s="2"/>
      <c r="BE36" s="2"/>
      <c r="BF36" s="2"/>
      <c r="BG36" s="2"/>
      <c r="BH36" s="2"/>
      <c r="BI36" s="2"/>
      <c r="BJ36" s="2"/>
      <c r="BK36" s="2"/>
      <c r="BL36" s="2"/>
      <c r="BM36" s="2"/>
      <c r="BN36" s="2"/>
      <c r="BO36" s="2"/>
      <c r="BP36" s="2"/>
      <c r="BQ36" s="2"/>
      <c r="BR36" s="2"/>
      <c r="BS36" s="2"/>
      <c r="BT36" s="2"/>
      <c r="BU36" s="2"/>
      <c r="BV36" s="2"/>
      <c r="BW36" s="2"/>
      <c r="BZ36" s="4" t="s">
        <v>638</v>
      </c>
      <c r="CA36" s="4" t="s">
        <v>765</v>
      </c>
      <c r="CB36" s="4" t="s">
        <v>717</v>
      </c>
      <c r="CC36" s="4" t="s">
        <v>656</v>
      </c>
      <c r="CD36" s="4" t="s">
        <v>703</v>
      </c>
      <c r="CE36" s="4" t="s">
        <v>703</v>
      </c>
    </row>
    <row r="37" spans="2:84">
      <c r="B37" s="18" t="s">
        <v>81</v>
      </c>
      <c r="Q37" s="2"/>
      <c r="S37" s="2"/>
      <c r="U37" s="1"/>
      <c r="V37" s="1"/>
      <c r="W37" s="1"/>
      <c r="X37" s="2"/>
      <c r="Y37" s="2"/>
      <c r="Z37" s="2"/>
      <c r="AA37" s="2"/>
      <c r="AB37" s="2"/>
      <c r="AC37" s="2"/>
      <c r="AD37" s="2"/>
      <c r="AE37" s="2"/>
      <c r="AF37" s="2"/>
      <c r="AG37" s="2"/>
      <c r="AH37" s="2"/>
      <c r="AI37" s="2"/>
      <c r="AJ37" s="2"/>
      <c r="AK37" s="2"/>
      <c r="AL37" s="2"/>
      <c r="AM37" s="2"/>
      <c r="AN37" s="2"/>
      <c r="AO37" s="2"/>
      <c r="AP37" s="2"/>
      <c r="AQ37" s="2"/>
      <c r="AR37" s="2"/>
      <c r="AS37" s="2"/>
      <c r="AV37" s="6"/>
      <c r="AY37" s="13"/>
      <c r="BA37" s="2"/>
      <c r="BB37" s="15"/>
      <c r="BC37" s="2"/>
      <c r="BD37" s="2"/>
      <c r="BE37" s="2"/>
      <c r="BF37" s="2"/>
      <c r="BG37" s="2"/>
      <c r="BH37" s="2"/>
      <c r="BI37" s="2"/>
      <c r="BJ37" s="2"/>
      <c r="BK37" s="2"/>
      <c r="BL37" s="2"/>
      <c r="BM37" s="2"/>
      <c r="BN37" s="2"/>
      <c r="BO37" s="2"/>
      <c r="BP37" s="2"/>
      <c r="BQ37" s="2"/>
      <c r="BR37" s="2"/>
      <c r="BS37" s="2"/>
      <c r="BT37" s="2"/>
      <c r="BU37" s="2"/>
      <c r="BV37" s="2"/>
      <c r="BW37" s="2"/>
      <c r="BZ37" s="4" t="s">
        <v>684</v>
      </c>
      <c r="CA37" s="4" t="s">
        <v>746</v>
      </c>
      <c r="CB37" s="4" t="s">
        <v>769</v>
      </c>
      <c r="CC37" s="4" t="s">
        <v>766</v>
      </c>
      <c r="CD37" s="4" t="s">
        <v>703</v>
      </c>
      <c r="CE37" s="4" t="s">
        <v>703</v>
      </c>
    </row>
    <row r="38" spans="2:84">
      <c r="B38" s="18" t="s">
        <v>121</v>
      </c>
      <c r="Q38" s="2"/>
      <c r="S38" s="2"/>
      <c r="U38" s="1"/>
      <c r="V38" s="1"/>
      <c r="W38" s="1"/>
      <c r="X38" s="2"/>
      <c r="Y38" s="2"/>
      <c r="Z38" s="2"/>
      <c r="AA38" s="2"/>
      <c r="AB38" s="2"/>
      <c r="AC38" s="2"/>
      <c r="AD38" s="2"/>
      <c r="AE38" s="2"/>
      <c r="AF38" s="2"/>
      <c r="AG38" s="2"/>
      <c r="AH38" s="2"/>
      <c r="AI38" s="2"/>
      <c r="AJ38" s="2"/>
      <c r="AK38" s="2"/>
      <c r="AL38" s="2"/>
      <c r="AM38" s="2"/>
      <c r="AN38" s="2"/>
      <c r="AO38" s="2"/>
      <c r="AP38" s="2"/>
      <c r="AQ38" s="2"/>
      <c r="AR38" s="2"/>
      <c r="AS38" s="2"/>
      <c r="AV38" s="6"/>
      <c r="AY38" s="13"/>
      <c r="BA38" s="2"/>
      <c r="BB38" s="15"/>
      <c r="BC38" s="2"/>
      <c r="BD38" s="2"/>
      <c r="BE38" s="2"/>
      <c r="BF38" s="2"/>
      <c r="BG38" s="2"/>
      <c r="BH38" s="2"/>
      <c r="BI38" s="2"/>
      <c r="BJ38" s="2"/>
      <c r="BK38" s="2"/>
      <c r="BL38" s="2"/>
      <c r="BM38" s="2"/>
      <c r="BN38" s="2"/>
      <c r="BO38" s="2"/>
      <c r="BP38" s="2"/>
      <c r="BQ38" s="2"/>
      <c r="BR38" s="2"/>
      <c r="BS38" s="2"/>
      <c r="BT38" s="2"/>
      <c r="BU38" s="2"/>
      <c r="BV38" s="2"/>
      <c r="BW38" s="2"/>
      <c r="BZ38" s="4" t="s">
        <v>704</v>
      </c>
      <c r="CA38" s="4" t="s">
        <v>771</v>
      </c>
      <c r="CB38" s="4" t="s">
        <v>731</v>
      </c>
      <c r="CC38" s="4" t="s">
        <v>736</v>
      </c>
      <c r="CD38" s="4" t="s">
        <v>703</v>
      </c>
      <c r="CE38" s="4" t="s">
        <v>703</v>
      </c>
    </row>
    <row r="39" spans="2:84">
      <c r="B39" s="18" t="s">
        <v>122</v>
      </c>
      <c r="Q39" s="2"/>
      <c r="S39" s="2"/>
      <c r="U39" s="1"/>
      <c r="V39" s="1"/>
      <c r="W39" s="1"/>
      <c r="X39" s="2"/>
      <c r="Y39" s="2"/>
      <c r="Z39" s="2"/>
      <c r="AA39" s="2"/>
      <c r="AB39" s="2"/>
      <c r="AC39" s="2"/>
      <c r="AD39" s="2"/>
      <c r="AE39" s="2"/>
      <c r="AF39" s="2"/>
      <c r="AG39" s="2"/>
      <c r="AH39" s="2"/>
      <c r="AI39" s="2"/>
      <c r="AJ39" s="2"/>
      <c r="AK39" s="2"/>
      <c r="AL39" s="2"/>
      <c r="AM39" s="2"/>
      <c r="AN39" s="2"/>
      <c r="AO39" s="2"/>
      <c r="AP39" s="2"/>
      <c r="AQ39" s="2"/>
      <c r="AR39" s="2"/>
      <c r="AS39" s="2"/>
      <c r="AV39" s="6"/>
      <c r="AY39" s="13"/>
      <c r="BA39" s="2"/>
      <c r="BB39" s="15"/>
      <c r="BC39" s="2"/>
      <c r="BD39" s="2"/>
      <c r="BE39" s="2"/>
      <c r="BF39" s="2"/>
      <c r="BG39" s="2"/>
      <c r="BH39" s="2"/>
      <c r="BI39" s="2"/>
      <c r="BJ39" s="2"/>
      <c r="BK39" s="2"/>
      <c r="BL39" s="2"/>
      <c r="BM39" s="2"/>
      <c r="BN39" s="2"/>
      <c r="BO39" s="2"/>
      <c r="BP39" s="2"/>
      <c r="BQ39" s="2"/>
      <c r="BR39" s="2"/>
      <c r="BS39" s="2"/>
      <c r="BT39" s="2"/>
      <c r="BU39" s="2"/>
      <c r="BV39" s="2"/>
      <c r="BW39" s="2"/>
      <c r="BZ39" s="4" t="s">
        <v>692</v>
      </c>
      <c r="CA39" s="4" t="s">
        <v>758</v>
      </c>
      <c r="CB39" s="4" t="s">
        <v>588</v>
      </c>
      <c r="CC39" s="4" t="s">
        <v>796</v>
      </c>
      <c r="CD39" s="4" t="s">
        <v>703</v>
      </c>
      <c r="CE39" s="4" t="s">
        <v>703</v>
      </c>
    </row>
    <row r="40" spans="2:84">
      <c r="Q40" s="2"/>
      <c r="S40" s="2"/>
      <c r="U40" s="1"/>
      <c r="V40" s="1"/>
      <c r="W40" s="1"/>
      <c r="X40" s="2"/>
      <c r="Y40" s="2"/>
      <c r="Z40" s="2"/>
      <c r="AA40" s="2"/>
      <c r="AB40" s="2"/>
      <c r="AC40" s="2"/>
      <c r="AD40" s="2"/>
      <c r="AE40" s="2"/>
      <c r="AF40" s="2"/>
      <c r="AG40" s="2"/>
      <c r="AH40" s="2"/>
      <c r="AI40" s="2"/>
      <c r="AJ40" s="2"/>
      <c r="AK40" s="2"/>
      <c r="AL40" s="2"/>
      <c r="AM40" s="2"/>
      <c r="AN40" s="2"/>
      <c r="AO40" s="2"/>
      <c r="AP40" s="2"/>
      <c r="AQ40" s="2"/>
      <c r="AR40" s="2"/>
      <c r="AS40" s="2"/>
      <c r="AV40" s="6"/>
      <c r="AY40" s="13"/>
      <c r="BA40" s="2"/>
      <c r="BB40" s="15"/>
      <c r="BC40" s="2"/>
      <c r="BD40" s="2"/>
      <c r="BE40" s="2"/>
      <c r="BF40" s="2"/>
      <c r="BG40" s="2"/>
      <c r="BH40" s="2"/>
      <c r="BI40" s="2"/>
      <c r="BJ40" s="2"/>
      <c r="BK40" s="2"/>
      <c r="BL40" s="2"/>
      <c r="BM40" s="2"/>
      <c r="BN40" s="2"/>
      <c r="BO40" s="2"/>
      <c r="BP40" s="2"/>
      <c r="BQ40" s="2"/>
      <c r="BR40" s="2"/>
      <c r="BS40" s="2"/>
      <c r="BT40" s="2"/>
      <c r="BU40" s="2"/>
      <c r="BV40" s="2"/>
      <c r="BW40" s="2"/>
      <c r="BZ40" s="4" t="s">
        <v>1103</v>
      </c>
      <c r="CA40" s="4" t="s">
        <v>1065</v>
      </c>
      <c r="CB40" s="4" t="s">
        <v>1040</v>
      </c>
      <c r="CC40" s="4" t="s">
        <v>772</v>
      </c>
      <c r="CD40" s="4" t="s">
        <v>703</v>
      </c>
      <c r="CE40" s="4" t="s">
        <v>703</v>
      </c>
    </row>
    <row r="41" spans="2:84">
      <c r="Q41" s="2"/>
      <c r="S41" s="2"/>
      <c r="U41" s="1"/>
      <c r="V41" s="1"/>
      <c r="W41" s="1"/>
      <c r="X41" s="2"/>
      <c r="Y41" s="2"/>
      <c r="Z41" s="2"/>
      <c r="AA41" s="2"/>
      <c r="AB41" s="2"/>
      <c r="AC41" s="2"/>
      <c r="AD41" s="2"/>
      <c r="AE41" s="2"/>
      <c r="AF41" s="2"/>
      <c r="AG41" s="2"/>
      <c r="AH41" s="2"/>
      <c r="AI41" s="2"/>
      <c r="AJ41" s="2"/>
      <c r="AK41" s="2"/>
      <c r="AL41" s="2"/>
      <c r="AM41" s="2"/>
      <c r="AN41" s="2"/>
      <c r="AO41" s="2"/>
      <c r="AP41" s="2"/>
      <c r="AQ41" s="2"/>
      <c r="AR41" s="2"/>
      <c r="AS41" s="2"/>
      <c r="AV41" s="6"/>
      <c r="AY41" s="13"/>
      <c r="BA41" s="2"/>
      <c r="BB41" s="15"/>
      <c r="BC41" s="2"/>
      <c r="BD41" s="2"/>
      <c r="BE41" s="2"/>
      <c r="BF41" s="2"/>
      <c r="BG41" s="2"/>
      <c r="BH41" s="2"/>
      <c r="BI41" s="2"/>
      <c r="BJ41" s="2"/>
      <c r="BK41" s="2"/>
      <c r="BL41" s="2"/>
      <c r="BM41" s="2"/>
      <c r="BN41" s="2"/>
      <c r="BO41" s="2"/>
      <c r="BP41" s="2"/>
      <c r="BQ41" s="2"/>
      <c r="BR41" s="2"/>
      <c r="BS41" s="2"/>
      <c r="BT41" s="2"/>
      <c r="BU41" s="2"/>
      <c r="BV41" s="2"/>
      <c r="BW41" s="2"/>
      <c r="BZ41" s="4" t="s">
        <v>729</v>
      </c>
      <c r="CA41" s="4" t="s">
        <v>1066</v>
      </c>
      <c r="CB41" s="4" t="s">
        <v>1041</v>
      </c>
      <c r="CC41" s="4" t="s">
        <v>770</v>
      </c>
      <c r="CD41" s="4" t="s">
        <v>703</v>
      </c>
      <c r="CE41" s="4" t="s">
        <v>703</v>
      </c>
    </row>
    <row r="42" spans="2:84">
      <c r="Q42" s="2"/>
      <c r="S42" s="2"/>
      <c r="U42" s="1"/>
      <c r="V42" s="1"/>
      <c r="W42" s="1"/>
      <c r="X42" s="2"/>
      <c r="Y42" s="2"/>
      <c r="Z42" s="2"/>
      <c r="AA42" s="2"/>
      <c r="AB42" s="2"/>
      <c r="AC42" s="2"/>
      <c r="AD42" s="2"/>
      <c r="AE42" s="2"/>
      <c r="AF42" s="2"/>
      <c r="AG42" s="2"/>
      <c r="AH42" s="2"/>
      <c r="AI42" s="2"/>
      <c r="AJ42" s="2"/>
      <c r="AK42" s="2"/>
      <c r="AL42" s="2"/>
      <c r="AM42" s="2"/>
      <c r="AN42" s="2"/>
      <c r="AO42" s="2"/>
      <c r="AP42" s="2"/>
      <c r="AQ42" s="2"/>
      <c r="AR42" s="2"/>
      <c r="AS42" s="2"/>
      <c r="AV42" s="6"/>
      <c r="AY42" s="13"/>
      <c r="BA42" s="2"/>
      <c r="BB42" s="15"/>
      <c r="BC42" s="2"/>
      <c r="BD42" s="2"/>
      <c r="BE42" s="2"/>
      <c r="BF42" s="2"/>
      <c r="BG42" s="2"/>
      <c r="BH42" s="2"/>
      <c r="BI42" s="2"/>
      <c r="BJ42" s="2"/>
      <c r="BK42" s="2"/>
      <c r="BL42" s="2"/>
      <c r="BM42" s="2"/>
      <c r="BN42" s="2"/>
      <c r="BO42" s="2"/>
      <c r="BP42" s="2"/>
      <c r="BQ42" s="2"/>
      <c r="BR42" s="2"/>
      <c r="BS42" s="2"/>
      <c r="BT42" s="2"/>
      <c r="BU42" s="2"/>
      <c r="BV42" s="2"/>
      <c r="BW42" s="2"/>
      <c r="BZ42" s="4" t="s">
        <v>1104</v>
      </c>
      <c r="CA42" s="4" t="s">
        <v>1067</v>
      </c>
      <c r="CB42" s="4" t="s">
        <v>755</v>
      </c>
      <c r="CC42" s="4" t="s">
        <v>799</v>
      </c>
      <c r="CD42" s="4" t="s">
        <v>703</v>
      </c>
      <c r="CE42" s="4" t="s">
        <v>703</v>
      </c>
    </row>
    <row r="43" spans="2:84">
      <c r="Q43" s="2"/>
      <c r="S43" s="2"/>
      <c r="U43" s="1"/>
      <c r="V43" s="1"/>
      <c r="W43" s="1"/>
      <c r="X43" s="2"/>
      <c r="Y43" s="2"/>
      <c r="Z43" s="2"/>
      <c r="AA43" s="2"/>
      <c r="AB43" s="2"/>
      <c r="AC43" s="2"/>
      <c r="AD43" s="2"/>
      <c r="AE43" s="2"/>
      <c r="AF43" s="2"/>
      <c r="AG43" s="2"/>
      <c r="AH43" s="2"/>
      <c r="AI43" s="2"/>
      <c r="AJ43" s="2"/>
      <c r="AK43" s="2"/>
      <c r="AL43" s="2"/>
      <c r="AM43" s="2"/>
      <c r="AN43" s="2"/>
      <c r="AO43" s="2"/>
      <c r="AP43" s="2"/>
      <c r="AQ43" s="2"/>
      <c r="AR43" s="2"/>
      <c r="AS43" s="2"/>
      <c r="AV43" s="6"/>
      <c r="AY43" s="13"/>
      <c r="BA43" s="2"/>
      <c r="BB43" s="15"/>
      <c r="BC43" s="2"/>
      <c r="BD43" s="2"/>
      <c r="BE43" s="2"/>
      <c r="BF43" s="2"/>
      <c r="BG43" s="2"/>
      <c r="BH43" s="2"/>
      <c r="BI43" s="2"/>
      <c r="BJ43" s="2"/>
      <c r="BK43" s="2"/>
      <c r="BL43" s="2"/>
      <c r="BM43" s="2"/>
      <c r="BN43" s="2"/>
      <c r="BO43" s="2"/>
      <c r="BP43" s="2"/>
      <c r="BQ43" s="2"/>
      <c r="BR43" s="2"/>
      <c r="BS43" s="2"/>
      <c r="BT43" s="2"/>
      <c r="BU43" s="2"/>
      <c r="BV43" s="2"/>
      <c r="BW43" s="2"/>
      <c r="BZ43" s="4" t="s">
        <v>699</v>
      </c>
      <c r="CA43" s="4" t="s">
        <v>804</v>
      </c>
      <c r="CB43" s="4" t="s">
        <v>1042</v>
      </c>
      <c r="CC43" s="4" t="s">
        <v>1136</v>
      </c>
      <c r="CD43" s="4" t="s">
        <v>703</v>
      </c>
      <c r="CE43" s="4" t="s">
        <v>703</v>
      </c>
    </row>
    <row r="44" spans="2:84">
      <c r="Q44" s="2"/>
      <c r="S44" s="2"/>
      <c r="U44" s="1"/>
      <c r="V44" s="1"/>
      <c r="W44" s="1"/>
      <c r="X44" s="2"/>
      <c r="Y44" s="2"/>
      <c r="Z44" s="2"/>
      <c r="AA44" s="2"/>
      <c r="AB44" s="2"/>
      <c r="AC44" s="2"/>
      <c r="AD44" s="2"/>
      <c r="AE44" s="2"/>
      <c r="AF44" s="2"/>
      <c r="AG44" s="2"/>
      <c r="AH44" s="2"/>
      <c r="AI44" s="2"/>
      <c r="AJ44" s="2"/>
      <c r="AK44" s="2"/>
      <c r="AL44" s="2"/>
      <c r="AM44" s="2"/>
      <c r="AN44" s="2"/>
      <c r="AO44" s="2"/>
      <c r="AP44" s="2"/>
      <c r="AQ44" s="2"/>
      <c r="AR44" s="2"/>
      <c r="AS44" s="2"/>
      <c r="AV44" s="6"/>
      <c r="AY44" s="13"/>
      <c r="BA44" s="2"/>
      <c r="BB44" s="15"/>
      <c r="BC44" s="2"/>
      <c r="BD44" s="2"/>
      <c r="BE44" s="2"/>
      <c r="BF44" s="2"/>
      <c r="BG44" s="2"/>
      <c r="BH44" s="2"/>
      <c r="BI44" s="2"/>
      <c r="BJ44" s="2"/>
      <c r="BK44" s="2"/>
      <c r="BL44" s="2"/>
      <c r="BM44" s="2"/>
      <c r="BN44" s="2"/>
      <c r="BO44" s="2"/>
      <c r="BP44" s="2"/>
      <c r="BQ44" s="2"/>
      <c r="BR44" s="2"/>
      <c r="BS44" s="2"/>
      <c r="BT44" s="2"/>
      <c r="BU44" s="2"/>
      <c r="BV44" s="2"/>
      <c r="BW44" s="2"/>
      <c r="BZ44" s="4" t="s">
        <v>648</v>
      </c>
      <c r="CA44" s="4" t="s">
        <v>1068</v>
      </c>
      <c r="CB44" s="4" t="s">
        <v>763</v>
      </c>
      <c r="CC44" s="4" t="s">
        <v>1137</v>
      </c>
      <c r="CD44" s="4" t="s">
        <v>703</v>
      </c>
      <c r="CE44" s="4" t="s">
        <v>703</v>
      </c>
    </row>
    <row r="45" spans="2:84">
      <c r="Q45" s="2"/>
      <c r="S45" s="2"/>
      <c r="U45" s="1"/>
      <c r="V45" s="1"/>
      <c r="W45" s="1"/>
      <c r="X45" s="2"/>
      <c r="Y45" s="2"/>
      <c r="Z45" s="2"/>
      <c r="AA45" s="2"/>
      <c r="AB45" s="2"/>
      <c r="AC45" s="2"/>
      <c r="AD45" s="2"/>
      <c r="AE45" s="2"/>
      <c r="AF45" s="2"/>
      <c r="AG45" s="2"/>
      <c r="AH45" s="2"/>
      <c r="AI45" s="2"/>
      <c r="AJ45" s="2"/>
      <c r="AK45" s="2"/>
      <c r="AL45" s="2"/>
      <c r="AM45" s="2"/>
      <c r="AN45" s="2"/>
      <c r="AO45" s="2"/>
      <c r="AP45" s="2"/>
      <c r="AQ45" s="2"/>
      <c r="AR45" s="2"/>
      <c r="AS45" s="2"/>
      <c r="AV45" s="6"/>
      <c r="AY45" s="13"/>
      <c r="BA45" s="2"/>
      <c r="BB45" s="15"/>
      <c r="BC45" s="2"/>
      <c r="BD45" s="2"/>
      <c r="BE45" s="2"/>
      <c r="BF45" s="2"/>
      <c r="BG45" s="2"/>
      <c r="BH45" s="2"/>
      <c r="BI45" s="2"/>
      <c r="BJ45" s="2"/>
      <c r="BK45" s="2"/>
      <c r="BL45" s="2"/>
      <c r="BM45" s="2"/>
      <c r="BN45" s="2"/>
      <c r="BO45" s="2"/>
      <c r="BP45" s="2"/>
      <c r="BQ45" s="2"/>
      <c r="BR45" s="2"/>
      <c r="BS45" s="2"/>
      <c r="BT45" s="2"/>
      <c r="BU45" s="2"/>
      <c r="BV45" s="2"/>
      <c r="BW45" s="2"/>
      <c r="BZ45" s="4" t="s">
        <v>739</v>
      </c>
      <c r="CA45" s="4" t="s">
        <v>774</v>
      </c>
      <c r="CB45" s="4" t="s">
        <v>1043</v>
      </c>
      <c r="CC45" s="4" t="s">
        <v>641</v>
      </c>
      <c r="CD45" s="4" t="s">
        <v>703</v>
      </c>
      <c r="CE45" s="4" t="s">
        <v>703</v>
      </c>
    </row>
    <row r="46" spans="2:84">
      <c r="Q46" s="2"/>
      <c r="S46" s="2"/>
      <c r="U46" s="1"/>
      <c r="V46" s="1"/>
      <c r="W46" s="1"/>
      <c r="X46" s="2"/>
      <c r="Y46" s="2"/>
      <c r="Z46" s="2"/>
      <c r="AA46" s="2"/>
      <c r="AB46" s="2"/>
      <c r="AC46" s="2"/>
      <c r="AD46" s="2"/>
      <c r="AE46" s="2"/>
      <c r="AF46" s="2"/>
      <c r="AG46" s="2"/>
      <c r="AH46" s="2"/>
      <c r="AI46" s="2"/>
      <c r="AJ46" s="2"/>
      <c r="AK46" s="2"/>
      <c r="AL46" s="2"/>
      <c r="AM46" s="2"/>
      <c r="AN46" s="2"/>
      <c r="AO46" s="2"/>
      <c r="AP46" s="2"/>
      <c r="AQ46" s="2"/>
      <c r="AR46" s="2"/>
      <c r="AS46" s="2"/>
      <c r="AV46" s="6"/>
      <c r="AY46" s="13"/>
      <c r="BA46" s="2"/>
      <c r="BB46" s="15"/>
      <c r="BC46" s="2"/>
      <c r="BD46" s="2"/>
      <c r="BE46" s="2"/>
      <c r="BF46" s="2"/>
      <c r="BG46" s="2"/>
      <c r="BH46" s="2"/>
      <c r="BI46" s="2"/>
      <c r="BJ46" s="2"/>
      <c r="BK46" s="2"/>
      <c r="BL46" s="2"/>
      <c r="BM46" s="2"/>
      <c r="BN46" s="2"/>
      <c r="BO46" s="2"/>
      <c r="BP46" s="2"/>
      <c r="BQ46" s="2"/>
      <c r="BR46" s="2"/>
      <c r="BS46" s="2"/>
      <c r="BT46" s="2"/>
      <c r="BU46" s="2"/>
      <c r="BV46" s="2"/>
      <c r="BW46" s="2"/>
      <c r="BZ46" s="4" t="s">
        <v>719</v>
      </c>
      <c r="CA46" s="4" t="s">
        <v>826</v>
      </c>
      <c r="CB46" s="4" t="s">
        <v>1044</v>
      </c>
      <c r="CC46" s="4" t="s">
        <v>715</v>
      </c>
      <c r="CD46" s="4" t="s">
        <v>703</v>
      </c>
      <c r="CE46" s="4" t="s">
        <v>703</v>
      </c>
    </row>
    <row r="47" spans="2:84">
      <c r="Q47" s="2"/>
      <c r="S47" s="2"/>
      <c r="U47" s="1"/>
      <c r="V47" s="1"/>
      <c r="W47" s="1"/>
      <c r="X47" s="2"/>
      <c r="Y47" s="2"/>
      <c r="Z47" s="2"/>
      <c r="AA47" s="2"/>
      <c r="AB47" s="2"/>
      <c r="AC47" s="2"/>
      <c r="AD47" s="2"/>
      <c r="AE47" s="2"/>
      <c r="AF47" s="2"/>
      <c r="AG47" s="2"/>
      <c r="AH47" s="2"/>
      <c r="AI47" s="2"/>
      <c r="AJ47" s="2"/>
      <c r="AK47" s="2"/>
      <c r="AL47" s="2"/>
      <c r="AM47" s="2"/>
      <c r="AN47" s="2"/>
      <c r="AO47" s="2"/>
      <c r="AP47" s="2"/>
      <c r="AQ47" s="2"/>
      <c r="AR47" s="2"/>
      <c r="AS47" s="2"/>
      <c r="AV47" s="6"/>
      <c r="AY47" s="13"/>
      <c r="BA47" s="2"/>
      <c r="BB47" s="15"/>
      <c r="BC47" s="2"/>
      <c r="BD47" s="2"/>
      <c r="BE47" s="2"/>
      <c r="BF47" s="2"/>
      <c r="BG47" s="2"/>
      <c r="BH47" s="2"/>
      <c r="BI47" s="2"/>
      <c r="BJ47" s="2"/>
      <c r="BK47" s="2"/>
      <c r="BL47" s="2"/>
      <c r="BM47" s="2"/>
      <c r="BN47" s="2"/>
      <c r="BO47" s="2"/>
      <c r="BP47" s="2"/>
      <c r="BQ47" s="2"/>
      <c r="BR47" s="2"/>
      <c r="BS47" s="2"/>
      <c r="BT47" s="2"/>
      <c r="BU47" s="2"/>
      <c r="BV47" s="2"/>
      <c r="BW47" s="2"/>
      <c r="BZ47" s="4" t="s">
        <v>726</v>
      </c>
      <c r="CA47" s="4" t="s">
        <v>743</v>
      </c>
      <c r="CB47" s="4" t="s">
        <v>1045</v>
      </c>
      <c r="CC47" s="4" t="s">
        <v>686</v>
      </c>
      <c r="CD47" s="4" t="s">
        <v>703</v>
      </c>
      <c r="CE47" s="4" t="s">
        <v>703</v>
      </c>
    </row>
    <row r="48" spans="2:84">
      <c r="Q48" s="2"/>
      <c r="S48" s="2"/>
      <c r="U48" s="1"/>
      <c r="V48" s="1"/>
      <c r="W48" s="1"/>
      <c r="X48" s="2"/>
      <c r="Y48" s="2"/>
      <c r="Z48" s="2"/>
      <c r="AA48" s="2"/>
      <c r="AB48" s="2"/>
      <c r="AC48" s="2"/>
      <c r="AD48" s="2"/>
      <c r="AE48" s="2"/>
      <c r="AF48" s="2"/>
      <c r="AG48" s="2"/>
      <c r="AH48" s="2"/>
      <c r="AI48" s="2"/>
      <c r="AJ48" s="2"/>
      <c r="AK48" s="2"/>
      <c r="AL48" s="2"/>
      <c r="AM48" s="2"/>
      <c r="AN48" s="2"/>
      <c r="AO48" s="2"/>
      <c r="AP48" s="2"/>
      <c r="AQ48" s="2"/>
      <c r="AR48" s="2"/>
      <c r="AS48" s="2"/>
      <c r="AV48" s="6"/>
      <c r="AY48" s="13"/>
      <c r="BA48" s="2"/>
      <c r="BB48" s="15"/>
      <c r="BC48" s="2"/>
      <c r="BD48" s="2"/>
      <c r="BE48" s="2"/>
      <c r="BF48" s="2"/>
      <c r="BG48" s="2"/>
      <c r="BH48" s="2"/>
      <c r="BI48" s="2"/>
      <c r="BJ48" s="2"/>
      <c r="BK48" s="2"/>
      <c r="BL48" s="2"/>
      <c r="BM48" s="2"/>
      <c r="BN48" s="2"/>
      <c r="BO48" s="2"/>
      <c r="BP48" s="2"/>
      <c r="BQ48" s="2"/>
      <c r="BR48" s="2"/>
      <c r="BS48" s="2"/>
      <c r="BT48" s="2"/>
      <c r="BU48" s="2"/>
      <c r="BV48" s="2"/>
      <c r="BW48" s="2"/>
      <c r="BZ48" s="4" t="s">
        <v>1105</v>
      </c>
      <c r="CA48" s="4" t="s">
        <v>1069</v>
      </c>
      <c r="CB48" s="4" t="s">
        <v>775</v>
      </c>
      <c r="CC48" s="4" t="s">
        <v>724</v>
      </c>
      <c r="CD48" s="4" t="s">
        <v>703</v>
      </c>
      <c r="CE48" s="4" t="s">
        <v>703</v>
      </c>
    </row>
    <row r="49" spans="4:83">
      <c r="Q49" s="2"/>
      <c r="S49" s="2"/>
      <c r="U49" s="1"/>
      <c r="V49" s="1"/>
      <c r="W49" s="1"/>
      <c r="X49" s="2"/>
      <c r="Y49" s="2"/>
      <c r="Z49" s="2"/>
      <c r="AA49" s="2"/>
      <c r="AB49" s="2"/>
      <c r="AC49" s="2"/>
      <c r="AD49" s="2"/>
      <c r="AE49" s="2"/>
      <c r="AF49" s="2"/>
      <c r="AG49" s="2"/>
      <c r="AH49" s="2"/>
      <c r="AI49" s="2"/>
      <c r="AJ49" s="2"/>
      <c r="AK49" s="2"/>
      <c r="AL49" s="2"/>
      <c r="AM49" s="2"/>
      <c r="AN49" s="2"/>
      <c r="AO49" s="2"/>
      <c r="AP49" s="2"/>
      <c r="AQ49" s="2"/>
      <c r="AR49" s="2"/>
      <c r="AS49" s="2"/>
      <c r="AV49" s="6"/>
      <c r="AY49" s="13"/>
      <c r="BA49" s="2"/>
      <c r="BB49" s="15"/>
      <c r="BC49" s="2"/>
      <c r="BD49" s="2"/>
      <c r="BE49" s="2"/>
      <c r="BF49" s="2"/>
      <c r="BG49" s="2"/>
      <c r="BH49" s="2"/>
      <c r="BI49" s="2"/>
      <c r="BJ49" s="2"/>
      <c r="BK49" s="2"/>
      <c r="BL49" s="2"/>
      <c r="BM49" s="2"/>
      <c r="BN49" s="2"/>
      <c r="BO49" s="2"/>
      <c r="BP49" s="2"/>
      <c r="BQ49" s="2"/>
      <c r="BR49" s="2"/>
      <c r="BS49" s="2"/>
      <c r="BT49" s="2"/>
      <c r="BU49" s="2"/>
      <c r="BV49" s="2"/>
      <c r="BW49" s="2"/>
      <c r="BZ49" s="4" t="s">
        <v>828</v>
      </c>
      <c r="CA49" s="4" t="s">
        <v>1070</v>
      </c>
      <c r="CB49" s="4" t="s">
        <v>1046</v>
      </c>
      <c r="CC49" s="4" t="s">
        <v>790</v>
      </c>
      <c r="CD49" s="4" t="s">
        <v>703</v>
      </c>
      <c r="CE49" s="4" t="s">
        <v>703</v>
      </c>
    </row>
    <row r="50" spans="4:83">
      <c r="Q50" s="2"/>
      <c r="S50" s="2"/>
      <c r="U50" s="1"/>
      <c r="V50" s="1"/>
      <c r="W50" s="1"/>
      <c r="X50" s="2"/>
      <c r="Y50" s="2"/>
      <c r="Z50" s="2"/>
      <c r="AA50" s="2"/>
      <c r="AB50" s="2"/>
      <c r="AC50" s="2"/>
      <c r="AD50" s="2"/>
      <c r="AE50" s="2"/>
      <c r="AF50" s="2"/>
      <c r="AG50" s="2"/>
      <c r="AH50" s="2"/>
      <c r="AI50" s="2"/>
      <c r="AJ50" s="2"/>
      <c r="AK50" s="2"/>
      <c r="AL50" s="2"/>
      <c r="AM50" s="2"/>
      <c r="AN50" s="2"/>
      <c r="AO50" s="2"/>
      <c r="AP50" s="2"/>
      <c r="AQ50" s="2"/>
      <c r="AR50" s="2"/>
      <c r="AS50" s="2"/>
      <c r="AV50" s="6"/>
      <c r="AY50" s="13"/>
      <c r="BA50" s="2"/>
      <c r="BB50" s="15"/>
      <c r="BC50" s="2"/>
      <c r="BD50" s="2"/>
      <c r="BE50" s="2"/>
      <c r="BF50" s="2"/>
      <c r="BG50" s="2"/>
      <c r="BH50" s="2"/>
      <c r="BI50" s="2"/>
      <c r="BJ50" s="2"/>
      <c r="BK50" s="2"/>
      <c r="BL50" s="2"/>
      <c r="BM50" s="2"/>
      <c r="BN50" s="2"/>
      <c r="BO50" s="2"/>
      <c r="BP50" s="2"/>
      <c r="BQ50" s="2"/>
      <c r="BR50" s="2"/>
      <c r="BS50" s="2"/>
      <c r="BT50" s="2"/>
      <c r="BU50" s="2"/>
      <c r="BV50" s="2"/>
      <c r="BW50" s="2"/>
      <c r="BZ50" s="4" t="s">
        <v>712</v>
      </c>
      <c r="CA50" s="4" t="s">
        <v>713</v>
      </c>
      <c r="CB50" s="4" t="s">
        <v>1047</v>
      </c>
      <c r="CC50" s="4" t="s">
        <v>1138</v>
      </c>
      <c r="CD50" s="4" t="s">
        <v>703</v>
      </c>
      <c r="CE50" s="4" t="s">
        <v>703</v>
      </c>
    </row>
    <row r="51" spans="4:83">
      <c r="Q51" s="2"/>
      <c r="S51" s="2"/>
      <c r="U51" s="1"/>
      <c r="V51" s="1"/>
      <c r="W51" s="1"/>
      <c r="X51" s="2"/>
      <c r="Y51" s="2"/>
      <c r="Z51" s="2"/>
      <c r="AA51" s="2"/>
      <c r="AB51" s="2"/>
      <c r="AC51" s="2"/>
      <c r="AD51" s="2"/>
      <c r="AE51" s="2"/>
      <c r="AF51" s="2"/>
      <c r="AG51" s="2"/>
      <c r="AH51" s="2"/>
      <c r="AI51" s="2"/>
      <c r="AJ51" s="2"/>
      <c r="AK51" s="2"/>
      <c r="AL51" s="2"/>
      <c r="AM51" s="2"/>
      <c r="AN51" s="2"/>
      <c r="AO51" s="2"/>
      <c r="AP51" s="2"/>
      <c r="AQ51" s="2"/>
      <c r="AR51" s="2"/>
      <c r="AS51" s="2"/>
      <c r="AV51" s="6"/>
      <c r="AY51" s="13"/>
      <c r="BA51" s="2"/>
      <c r="BB51" s="15"/>
      <c r="BC51" s="2"/>
      <c r="BD51" s="2"/>
      <c r="BE51" s="2"/>
      <c r="BF51" s="2"/>
      <c r="BG51" s="2"/>
      <c r="BH51" s="2"/>
      <c r="BI51" s="2"/>
      <c r="BJ51" s="2"/>
      <c r="BK51" s="2"/>
      <c r="BL51" s="2"/>
      <c r="BM51" s="2"/>
      <c r="BN51" s="2"/>
      <c r="BO51" s="2"/>
      <c r="BP51" s="2"/>
      <c r="BQ51" s="2"/>
      <c r="BR51" s="2"/>
      <c r="BS51" s="2"/>
      <c r="BT51" s="2"/>
      <c r="BU51" s="2"/>
      <c r="BV51" s="2"/>
      <c r="BW51" s="2"/>
      <c r="BZ51" s="4" t="s">
        <v>810</v>
      </c>
      <c r="CA51" s="4" t="s">
        <v>786</v>
      </c>
      <c r="CB51" s="4" t="s">
        <v>747</v>
      </c>
      <c r="CC51" s="4" t="s">
        <v>732</v>
      </c>
      <c r="CD51" s="4" t="s">
        <v>703</v>
      </c>
      <c r="CE51" s="4" t="s">
        <v>703</v>
      </c>
    </row>
    <row r="52" spans="4:83">
      <c r="Q52" s="2"/>
      <c r="S52" s="2"/>
      <c r="U52" s="1"/>
      <c r="V52" s="1"/>
      <c r="W52" s="1"/>
      <c r="X52" s="2"/>
      <c r="Y52" s="2"/>
      <c r="Z52" s="2"/>
      <c r="AA52" s="2"/>
      <c r="AB52" s="2"/>
      <c r="AC52" s="2"/>
      <c r="AD52" s="2"/>
      <c r="AE52" s="2"/>
      <c r="AF52" s="2"/>
      <c r="AG52" s="2"/>
      <c r="AH52" s="2"/>
      <c r="AI52" s="2"/>
      <c r="AJ52" s="2"/>
      <c r="AK52" s="2"/>
      <c r="AL52" s="2"/>
      <c r="AM52" s="2"/>
      <c r="AN52" s="2"/>
      <c r="AO52" s="2"/>
      <c r="AP52" s="2"/>
      <c r="AQ52" s="2"/>
      <c r="AR52" s="2"/>
      <c r="AS52" s="2"/>
      <c r="AV52" s="6"/>
      <c r="AY52" s="13"/>
      <c r="BA52" s="2"/>
      <c r="BB52" s="15"/>
      <c r="BC52" s="2"/>
      <c r="BD52" s="2"/>
      <c r="BE52" s="2"/>
      <c r="BF52" s="2"/>
      <c r="BG52" s="2"/>
      <c r="BH52" s="2"/>
      <c r="BI52" s="2"/>
      <c r="BJ52" s="2"/>
      <c r="BK52" s="2"/>
      <c r="BL52" s="2"/>
      <c r="BM52" s="2"/>
      <c r="BN52" s="2"/>
      <c r="BO52" s="2"/>
      <c r="BP52" s="2"/>
      <c r="BQ52" s="2"/>
      <c r="BR52" s="2"/>
      <c r="BS52" s="2"/>
      <c r="BT52" s="2"/>
      <c r="BU52" s="2"/>
      <c r="BV52" s="2"/>
      <c r="BW52" s="2"/>
      <c r="BZ52" s="4" t="s">
        <v>1106</v>
      </c>
      <c r="CA52" s="4" t="s">
        <v>1071</v>
      </c>
      <c r="CB52" s="4" t="s">
        <v>1048</v>
      </c>
      <c r="CC52" s="4" t="s">
        <v>705</v>
      </c>
      <c r="CD52" s="4" t="s">
        <v>703</v>
      </c>
      <c r="CE52" s="4" t="s">
        <v>703</v>
      </c>
    </row>
    <row r="53" spans="4:83">
      <c r="Q53" s="2"/>
      <c r="S53" s="2"/>
      <c r="U53" s="1"/>
      <c r="V53" s="1"/>
      <c r="W53" s="1"/>
      <c r="X53" s="2"/>
      <c r="Y53" s="2"/>
      <c r="Z53" s="2"/>
      <c r="AA53" s="2"/>
      <c r="AB53" s="2"/>
      <c r="AC53" s="2"/>
      <c r="AD53" s="2"/>
      <c r="AE53" s="2"/>
      <c r="AF53" s="2"/>
      <c r="AG53" s="2"/>
      <c r="AH53" s="2"/>
      <c r="AI53" s="2"/>
      <c r="AJ53" s="2"/>
      <c r="AK53" s="2"/>
      <c r="AL53" s="2"/>
      <c r="AM53" s="2"/>
      <c r="AN53" s="2"/>
      <c r="AO53" s="2"/>
      <c r="AP53" s="2"/>
      <c r="AQ53" s="2"/>
      <c r="AR53" s="2"/>
      <c r="AS53" s="2"/>
      <c r="AV53" s="6"/>
      <c r="AY53" s="13"/>
      <c r="BA53" s="2"/>
      <c r="BB53" s="15"/>
      <c r="BC53" s="2"/>
      <c r="BD53" s="2"/>
      <c r="BE53" s="2"/>
      <c r="BF53" s="2"/>
      <c r="BG53" s="2"/>
      <c r="BH53" s="2"/>
      <c r="BI53" s="2"/>
      <c r="BJ53" s="2"/>
      <c r="BK53" s="2"/>
      <c r="BL53" s="2"/>
      <c r="BM53" s="2"/>
      <c r="BN53" s="2"/>
      <c r="BO53" s="2"/>
      <c r="BP53" s="2"/>
      <c r="BQ53" s="2"/>
      <c r="BR53" s="2"/>
      <c r="BS53" s="2"/>
      <c r="BT53" s="2"/>
      <c r="BU53" s="2"/>
      <c r="BV53" s="2"/>
      <c r="BW53" s="2"/>
      <c r="BZ53" s="4" t="s">
        <v>1107</v>
      </c>
      <c r="CA53" s="4" t="s">
        <v>783</v>
      </c>
      <c r="CB53" s="4" t="s">
        <v>701</v>
      </c>
      <c r="CC53" s="4" t="s">
        <v>802</v>
      </c>
      <c r="CD53" s="4" t="s">
        <v>703</v>
      </c>
      <c r="CE53" s="4" t="s">
        <v>703</v>
      </c>
    </row>
    <row r="54" spans="4:83">
      <c r="Q54" s="2"/>
      <c r="S54" s="2"/>
      <c r="U54" s="1"/>
      <c r="V54" s="1"/>
      <c r="W54" s="1"/>
      <c r="X54" s="2"/>
      <c r="Y54" s="2"/>
      <c r="Z54" s="2"/>
      <c r="AA54" s="2"/>
      <c r="AB54" s="2"/>
      <c r="AC54" s="2"/>
      <c r="AD54" s="2"/>
      <c r="AE54" s="2"/>
      <c r="AF54" s="2"/>
      <c r="AG54" s="2"/>
      <c r="AH54" s="2"/>
      <c r="AI54" s="2"/>
      <c r="AJ54" s="2"/>
      <c r="AK54" s="2"/>
      <c r="AL54" s="2"/>
      <c r="AM54" s="2"/>
      <c r="AN54" s="2"/>
      <c r="AO54" s="2"/>
      <c r="AP54" s="2"/>
      <c r="AQ54" s="2"/>
      <c r="AR54" s="2"/>
      <c r="AS54" s="2"/>
      <c r="AV54" s="6"/>
      <c r="AY54" s="13"/>
      <c r="BA54" s="2"/>
      <c r="BB54" s="15"/>
      <c r="BC54" s="2"/>
      <c r="BD54" s="2"/>
      <c r="BE54" s="2"/>
      <c r="BF54" s="2"/>
      <c r="BG54" s="2"/>
      <c r="BH54" s="2"/>
      <c r="BI54" s="2"/>
      <c r="BJ54" s="2"/>
      <c r="BK54" s="2"/>
      <c r="BL54" s="2"/>
      <c r="BM54" s="2"/>
      <c r="BN54" s="2"/>
      <c r="BO54" s="2"/>
      <c r="BP54" s="2"/>
      <c r="BQ54" s="2"/>
      <c r="BR54" s="2"/>
      <c r="BS54" s="2"/>
      <c r="BT54" s="2"/>
      <c r="BU54" s="2"/>
      <c r="BV54" s="2"/>
      <c r="BW54" s="2"/>
      <c r="BZ54" s="4" t="s">
        <v>1108</v>
      </c>
      <c r="CA54" s="4" t="s">
        <v>762</v>
      </c>
      <c r="CB54" s="4" t="s">
        <v>779</v>
      </c>
      <c r="CC54" s="4" t="s">
        <v>738</v>
      </c>
      <c r="CD54" s="4" t="s">
        <v>703</v>
      </c>
      <c r="CE54" s="4" t="s">
        <v>703</v>
      </c>
    </row>
    <row r="55" spans="4:83">
      <c r="Q55" s="2"/>
      <c r="S55" s="2"/>
      <c r="U55" s="1"/>
      <c r="V55" s="1"/>
      <c r="W55" s="1"/>
      <c r="X55" s="2"/>
      <c r="Y55" s="2"/>
      <c r="Z55" s="2"/>
      <c r="AA55" s="2"/>
      <c r="AB55" s="2"/>
      <c r="AC55" s="2"/>
      <c r="AD55" s="2"/>
      <c r="AE55" s="2"/>
      <c r="AF55" s="2"/>
      <c r="AG55" s="2"/>
      <c r="AH55" s="2"/>
      <c r="AI55" s="2"/>
      <c r="AJ55" s="2"/>
      <c r="AK55" s="2"/>
      <c r="AL55" s="2"/>
      <c r="AM55" s="2"/>
      <c r="AN55" s="2"/>
      <c r="AO55" s="2"/>
      <c r="AP55" s="2"/>
      <c r="AQ55" s="2"/>
      <c r="AR55" s="2"/>
      <c r="AS55" s="2"/>
      <c r="AV55" s="6"/>
      <c r="AY55" s="13"/>
      <c r="BA55" s="2"/>
      <c r="BB55" s="15"/>
      <c r="BC55" s="2"/>
      <c r="BD55" s="2"/>
      <c r="BE55" s="2"/>
      <c r="BF55" s="2"/>
      <c r="BG55" s="2"/>
      <c r="BH55" s="2"/>
      <c r="BI55" s="2"/>
      <c r="BJ55" s="2"/>
      <c r="BK55" s="2"/>
      <c r="BL55" s="2"/>
      <c r="BM55" s="2"/>
      <c r="BN55" s="2"/>
      <c r="BO55" s="2"/>
      <c r="BP55" s="2"/>
      <c r="BQ55" s="2"/>
      <c r="BR55" s="2"/>
      <c r="BS55" s="2"/>
      <c r="BT55" s="2"/>
      <c r="BU55" s="2"/>
      <c r="BV55" s="2"/>
      <c r="BW55" s="2"/>
      <c r="BZ55" s="4" t="s">
        <v>695</v>
      </c>
      <c r="CA55" s="4" t="s">
        <v>1072</v>
      </c>
      <c r="CB55" s="4" t="s">
        <v>737</v>
      </c>
      <c r="CC55" s="4" t="s">
        <v>760</v>
      </c>
      <c r="CD55" s="4" t="s">
        <v>703</v>
      </c>
      <c r="CE55" s="4" t="s">
        <v>703</v>
      </c>
    </row>
    <row r="56" spans="4:83">
      <c r="Q56" s="2"/>
      <c r="S56" s="2"/>
      <c r="U56" s="1"/>
      <c r="V56" s="1"/>
      <c r="W56" s="1"/>
      <c r="X56" s="2"/>
      <c r="Y56" s="2"/>
      <c r="Z56" s="2"/>
      <c r="AA56" s="2"/>
      <c r="AB56" s="2"/>
      <c r="AC56" s="2"/>
      <c r="AD56" s="2"/>
      <c r="AE56" s="2"/>
      <c r="AF56" s="2"/>
      <c r="AG56" s="2"/>
      <c r="AH56" s="2"/>
      <c r="AI56" s="2"/>
      <c r="AJ56" s="2"/>
      <c r="AK56" s="2"/>
      <c r="AL56" s="2"/>
      <c r="AM56" s="2"/>
      <c r="AN56" s="2"/>
      <c r="AO56" s="2"/>
      <c r="AP56" s="2"/>
      <c r="AQ56" s="2"/>
      <c r="AR56" s="2"/>
      <c r="AS56" s="2"/>
      <c r="AV56" s="6"/>
      <c r="AY56" s="13"/>
      <c r="BA56" s="2"/>
      <c r="BB56" s="15"/>
      <c r="BC56" s="2"/>
      <c r="BD56" s="2"/>
      <c r="BE56" s="2"/>
      <c r="BF56" s="2"/>
      <c r="BG56" s="2"/>
      <c r="BH56" s="2"/>
      <c r="BI56" s="2"/>
      <c r="BJ56" s="2"/>
      <c r="BK56" s="2"/>
      <c r="BL56" s="2"/>
      <c r="BM56" s="2"/>
      <c r="BN56" s="2"/>
      <c r="BO56" s="2"/>
      <c r="BP56" s="2"/>
      <c r="BQ56" s="2"/>
      <c r="BR56" s="2"/>
      <c r="BS56" s="2"/>
      <c r="BT56" s="2"/>
      <c r="BU56" s="2"/>
      <c r="BV56" s="2"/>
      <c r="BW56" s="2"/>
      <c r="BZ56" s="4" t="s">
        <v>679</v>
      </c>
      <c r="CA56" s="4" t="s">
        <v>778</v>
      </c>
      <c r="CB56" s="4" t="s">
        <v>801</v>
      </c>
      <c r="CC56" s="4" t="s">
        <v>824</v>
      </c>
      <c r="CD56" s="4" t="s">
        <v>703</v>
      </c>
      <c r="CE56" s="4" t="s">
        <v>703</v>
      </c>
    </row>
    <row r="57" spans="4:83">
      <c r="Q57" s="2"/>
      <c r="S57" s="2"/>
      <c r="U57" s="1"/>
      <c r="V57" s="1"/>
      <c r="W57" s="1"/>
      <c r="X57" s="2"/>
      <c r="Y57" s="2"/>
      <c r="Z57" s="2"/>
      <c r="AA57" s="2"/>
      <c r="AB57" s="2"/>
      <c r="AC57" s="2"/>
      <c r="AD57" s="2"/>
      <c r="AE57" s="2"/>
      <c r="AF57" s="2"/>
      <c r="AG57" s="2"/>
      <c r="AH57" s="2"/>
      <c r="AI57" s="2"/>
      <c r="AJ57" s="2"/>
      <c r="AK57" s="2"/>
      <c r="AL57" s="2"/>
      <c r="AM57" s="2"/>
      <c r="AN57" s="2"/>
      <c r="AO57" s="2"/>
      <c r="AP57" s="2"/>
      <c r="AQ57" s="2"/>
      <c r="AR57" s="2"/>
      <c r="AS57" s="2"/>
      <c r="AV57" s="6"/>
      <c r="AY57" s="13"/>
      <c r="BA57" s="2"/>
      <c r="BB57" s="15"/>
      <c r="BC57" s="2"/>
      <c r="BD57" s="2"/>
      <c r="BE57" s="2"/>
      <c r="BF57" s="2"/>
      <c r="BG57" s="2"/>
      <c r="BH57" s="2"/>
      <c r="BI57" s="2"/>
      <c r="BJ57" s="2"/>
      <c r="BK57" s="2"/>
      <c r="BL57" s="2"/>
      <c r="BM57" s="2"/>
      <c r="BN57" s="2"/>
      <c r="BO57" s="2"/>
      <c r="BP57" s="2"/>
      <c r="BQ57" s="2"/>
      <c r="BR57" s="2"/>
      <c r="BS57" s="2"/>
      <c r="BT57" s="2"/>
      <c r="BU57" s="2"/>
      <c r="BV57" s="2"/>
      <c r="BW57" s="2"/>
      <c r="BZ57" s="4" t="s">
        <v>1109</v>
      </c>
      <c r="CA57" s="4" t="s">
        <v>1073</v>
      </c>
      <c r="CB57" s="4" t="s">
        <v>640</v>
      </c>
      <c r="CC57" s="4" t="s">
        <v>1139</v>
      </c>
      <c r="CD57" s="4" t="s">
        <v>703</v>
      </c>
      <c r="CE57" s="4" t="s">
        <v>703</v>
      </c>
    </row>
    <row r="58" spans="4:83">
      <c r="Q58" s="2"/>
      <c r="S58" s="2"/>
      <c r="U58" s="1"/>
      <c r="V58" s="1"/>
      <c r="W58" s="1"/>
      <c r="X58" s="2"/>
      <c r="Y58" s="2"/>
      <c r="Z58" s="2"/>
      <c r="AA58" s="2"/>
      <c r="AB58" s="2"/>
      <c r="AC58" s="2"/>
      <c r="AD58" s="2"/>
      <c r="AE58" s="2"/>
      <c r="AF58" s="2"/>
      <c r="AG58" s="2"/>
      <c r="AH58" s="2"/>
      <c r="AI58" s="2"/>
      <c r="AJ58" s="2"/>
      <c r="AK58" s="2"/>
      <c r="AL58" s="2"/>
      <c r="AM58" s="2"/>
      <c r="AN58" s="2"/>
      <c r="AO58" s="2"/>
      <c r="AP58" s="2"/>
      <c r="AQ58" s="2"/>
      <c r="AR58" s="2"/>
      <c r="AS58" s="2"/>
      <c r="AV58" s="6"/>
      <c r="AY58" s="13"/>
      <c r="BA58" s="2"/>
      <c r="BB58" s="15"/>
      <c r="BC58" s="2"/>
      <c r="BD58" s="2"/>
      <c r="BE58" s="2"/>
      <c r="BF58" s="2"/>
      <c r="BG58" s="2"/>
      <c r="BH58" s="2"/>
      <c r="BI58" s="2"/>
      <c r="BJ58" s="2"/>
      <c r="BK58" s="2"/>
      <c r="BL58" s="2"/>
      <c r="BM58" s="2"/>
      <c r="BN58" s="2"/>
      <c r="BO58" s="2"/>
      <c r="BP58" s="2"/>
      <c r="BQ58" s="2"/>
      <c r="BR58" s="2"/>
      <c r="BS58" s="2"/>
      <c r="BT58" s="2"/>
      <c r="BU58" s="2"/>
      <c r="BV58" s="2"/>
      <c r="BW58" s="2"/>
      <c r="BZ58" s="4" t="s">
        <v>749</v>
      </c>
      <c r="CA58" s="4" t="s">
        <v>1074</v>
      </c>
      <c r="CB58" s="4" t="s">
        <v>1049</v>
      </c>
      <c r="CC58" s="4" t="s">
        <v>776</v>
      </c>
      <c r="CD58" s="4" t="s">
        <v>703</v>
      </c>
      <c r="CE58" s="4" t="s">
        <v>703</v>
      </c>
    </row>
    <row r="59" spans="4:83">
      <c r="Q59" s="2"/>
      <c r="S59" s="2"/>
      <c r="U59" s="1"/>
      <c r="V59" s="1"/>
      <c r="W59" s="1"/>
      <c r="X59" s="2"/>
      <c r="Y59" s="2"/>
      <c r="Z59" s="2"/>
      <c r="AA59" s="2"/>
      <c r="AB59" s="2"/>
      <c r="AC59" s="2"/>
      <c r="AD59" s="2"/>
      <c r="AE59" s="2"/>
      <c r="AF59" s="2"/>
      <c r="AG59" s="2"/>
      <c r="AH59" s="2"/>
      <c r="AI59" s="2"/>
      <c r="AJ59" s="2"/>
      <c r="AK59" s="2"/>
      <c r="AL59" s="2"/>
      <c r="AM59" s="2"/>
      <c r="AN59" s="2"/>
      <c r="AO59" s="2"/>
      <c r="AP59" s="2"/>
      <c r="AQ59" s="2"/>
      <c r="AR59" s="2"/>
      <c r="AS59" s="2"/>
      <c r="AV59" s="6"/>
      <c r="AY59" s="13"/>
      <c r="BA59" s="2"/>
      <c r="BB59" s="15"/>
      <c r="BC59" s="2"/>
      <c r="BD59" s="2"/>
      <c r="BE59" s="2"/>
      <c r="BF59" s="2"/>
      <c r="BG59" s="2"/>
      <c r="BH59" s="2"/>
      <c r="BI59" s="2"/>
      <c r="BJ59" s="2"/>
      <c r="BK59" s="2"/>
      <c r="BL59" s="2"/>
      <c r="BM59" s="2"/>
      <c r="BN59" s="2"/>
      <c r="BO59" s="2"/>
      <c r="BP59" s="2"/>
      <c r="BQ59" s="2"/>
      <c r="BR59" s="2"/>
      <c r="BS59" s="2"/>
      <c r="BT59" s="2"/>
      <c r="BU59" s="2"/>
      <c r="BV59" s="2"/>
      <c r="BW59" s="2"/>
      <c r="BZ59" s="4" t="s">
        <v>1110</v>
      </c>
      <c r="CA59" s="4" t="s">
        <v>720</v>
      </c>
      <c r="CB59" s="4" t="s">
        <v>759</v>
      </c>
      <c r="CC59" s="4" t="s">
        <v>825</v>
      </c>
      <c r="CD59" s="4" t="s">
        <v>703</v>
      </c>
      <c r="CE59" s="4" t="s">
        <v>703</v>
      </c>
    </row>
    <row r="60" spans="4:83">
      <c r="Q60" s="2"/>
      <c r="S60" s="2"/>
      <c r="U60" s="1"/>
      <c r="V60" s="1"/>
      <c r="W60" s="1"/>
      <c r="X60" s="2"/>
      <c r="Y60" s="2"/>
      <c r="Z60" s="2"/>
      <c r="AA60" s="2"/>
      <c r="AB60" s="2"/>
      <c r="AC60" s="2"/>
      <c r="AD60" s="2"/>
      <c r="AE60" s="2"/>
      <c r="AF60" s="2"/>
      <c r="AG60" s="2"/>
      <c r="AH60" s="2"/>
      <c r="AI60" s="2"/>
      <c r="AJ60" s="2"/>
      <c r="AK60" s="2"/>
      <c r="AL60" s="2"/>
      <c r="AM60" s="2"/>
      <c r="AN60" s="2"/>
      <c r="AO60" s="2"/>
      <c r="AP60" s="2"/>
      <c r="AQ60" s="2"/>
      <c r="AR60" s="2"/>
      <c r="AS60" s="2"/>
      <c r="AV60" s="6"/>
      <c r="AY60" s="13"/>
      <c r="BA60" s="2"/>
      <c r="BB60" s="15"/>
      <c r="BC60" s="2"/>
      <c r="BD60" s="2"/>
      <c r="BE60" s="2"/>
      <c r="BF60" s="2"/>
      <c r="BG60" s="2"/>
      <c r="BH60" s="2"/>
      <c r="BI60" s="2"/>
      <c r="BJ60" s="2"/>
      <c r="BK60" s="2"/>
      <c r="BL60" s="2"/>
      <c r="BM60" s="2"/>
      <c r="BN60" s="2"/>
      <c r="BO60" s="2"/>
      <c r="BP60" s="2"/>
      <c r="BQ60" s="2"/>
      <c r="BR60" s="2"/>
      <c r="BS60" s="2"/>
      <c r="BT60" s="2"/>
      <c r="BU60" s="2"/>
      <c r="BV60" s="2"/>
      <c r="BW60" s="2"/>
      <c r="BZ60" s="4" t="s">
        <v>753</v>
      </c>
      <c r="CA60" s="4" t="s">
        <v>1075</v>
      </c>
      <c r="CB60" s="4" t="s">
        <v>1050</v>
      </c>
      <c r="CC60" s="4" t="s">
        <v>1140</v>
      </c>
      <c r="CD60" s="4" t="s">
        <v>703</v>
      </c>
      <c r="CE60" s="4" t="s">
        <v>703</v>
      </c>
    </row>
    <row r="61" spans="4:83">
      <c r="Q61" s="2"/>
      <c r="S61" s="2"/>
      <c r="U61" s="1"/>
      <c r="V61" s="1"/>
      <c r="W61" s="1"/>
      <c r="X61" s="2"/>
      <c r="Y61" s="2"/>
      <c r="Z61" s="2"/>
      <c r="AA61" s="2"/>
      <c r="AB61" s="2"/>
      <c r="AC61" s="2"/>
      <c r="AD61" s="2"/>
      <c r="AE61" s="2"/>
      <c r="AF61" s="2"/>
      <c r="AG61" s="2"/>
      <c r="AH61" s="2"/>
      <c r="AI61" s="2"/>
      <c r="AJ61" s="2"/>
      <c r="AK61" s="2"/>
      <c r="AL61" s="2"/>
      <c r="AM61" s="2"/>
      <c r="AN61" s="2"/>
      <c r="AO61" s="2"/>
      <c r="AP61" s="2"/>
      <c r="AQ61" s="2"/>
      <c r="AR61" s="2"/>
      <c r="AS61" s="2"/>
      <c r="AV61" s="6"/>
      <c r="AY61" s="13"/>
      <c r="BA61" s="2"/>
      <c r="BB61" s="15"/>
      <c r="BC61" s="2"/>
      <c r="BD61" s="2"/>
      <c r="BE61" s="2"/>
      <c r="BF61" s="2"/>
      <c r="BG61" s="2"/>
      <c r="BH61" s="2"/>
      <c r="BI61" s="2"/>
      <c r="BJ61" s="2"/>
      <c r="BK61" s="2"/>
      <c r="BL61" s="2"/>
      <c r="BM61" s="2"/>
      <c r="BN61" s="2"/>
      <c r="BO61" s="2"/>
      <c r="BP61" s="2"/>
      <c r="BQ61" s="2"/>
      <c r="BR61" s="2"/>
      <c r="BS61" s="2"/>
      <c r="BT61" s="2"/>
      <c r="BU61" s="2"/>
      <c r="BV61" s="2"/>
      <c r="BW61" s="2"/>
      <c r="BZ61" s="4" t="s">
        <v>733</v>
      </c>
      <c r="CA61" s="4" t="s">
        <v>750</v>
      </c>
      <c r="CB61" s="4" t="s">
        <v>697</v>
      </c>
      <c r="CC61" s="4" t="s">
        <v>764</v>
      </c>
      <c r="CD61" s="4" t="s">
        <v>703</v>
      </c>
      <c r="CE61" s="4" t="s">
        <v>703</v>
      </c>
    </row>
    <row r="62" spans="4:83">
      <c r="D62" s="18" t="e">
        <f>"I finished the "&amp;FileName&amp;" in "&amp;#REF!&amp;" seconds. Sign up for the Microsoft Excel Collegiate Challenge and give it a try! #ExcelEsports #ExcelAtEller"</f>
        <v>#REF!</v>
      </c>
      <c r="Q62" s="2"/>
      <c r="S62" s="2"/>
      <c r="U62" s="1"/>
      <c r="V62" s="1"/>
      <c r="W62" s="1"/>
      <c r="X62" s="2"/>
      <c r="Y62" s="2"/>
      <c r="Z62" s="2"/>
      <c r="AA62" s="2"/>
      <c r="AB62" s="2"/>
      <c r="AC62" s="2"/>
      <c r="AD62" s="2"/>
      <c r="AE62" s="2"/>
      <c r="AF62" s="2"/>
      <c r="AG62" s="2"/>
      <c r="AH62" s="2"/>
      <c r="AI62" s="2"/>
      <c r="AJ62" s="2"/>
      <c r="AK62" s="2"/>
      <c r="AL62" s="2"/>
      <c r="AM62" s="2"/>
      <c r="AN62" s="2"/>
      <c r="AO62" s="2"/>
      <c r="AP62" s="2"/>
      <c r="AQ62" s="2"/>
      <c r="AR62" s="2"/>
      <c r="AS62" s="2"/>
      <c r="AV62" s="6"/>
      <c r="AY62" s="13"/>
      <c r="BA62" s="2"/>
      <c r="BB62" s="15"/>
      <c r="BC62" s="2"/>
      <c r="BD62" s="2"/>
      <c r="BE62" s="2"/>
      <c r="BF62" s="2"/>
      <c r="BG62" s="2"/>
      <c r="BH62" s="2"/>
      <c r="BI62" s="2"/>
      <c r="BJ62" s="2"/>
      <c r="BK62" s="2"/>
      <c r="BL62" s="2"/>
      <c r="BM62" s="2"/>
      <c r="BN62" s="2"/>
      <c r="BO62" s="2"/>
      <c r="BP62" s="2"/>
      <c r="BQ62" s="2"/>
      <c r="BR62" s="2"/>
      <c r="BS62" s="2"/>
      <c r="BT62" s="2"/>
      <c r="BU62" s="2"/>
      <c r="BV62" s="2"/>
      <c r="BW62" s="2"/>
      <c r="BZ62" s="4" t="s">
        <v>798</v>
      </c>
      <c r="CA62" s="4" t="s">
        <v>1076</v>
      </c>
      <c r="CB62" s="4" t="s">
        <v>1051</v>
      </c>
      <c r="CC62" s="4" t="s">
        <v>1141</v>
      </c>
      <c r="CD62" s="4" t="s">
        <v>703</v>
      </c>
      <c r="CE62" s="4" t="s">
        <v>703</v>
      </c>
    </row>
    <row r="63" spans="4:83">
      <c r="Q63" s="2"/>
      <c r="S63" s="2"/>
      <c r="U63" s="1"/>
      <c r="V63" s="1"/>
      <c r="W63" s="1"/>
      <c r="X63" s="2"/>
      <c r="Y63" s="2"/>
      <c r="Z63" s="2"/>
      <c r="AA63" s="2"/>
      <c r="AB63" s="2"/>
      <c r="AC63" s="2"/>
      <c r="AD63" s="2"/>
      <c r="AE63" s="2"/>
      <c r="AF63" s="2"/>
      <c r="AG63" s="2"/>
      <c r="AH63" s="2"/>
      <c r="AI63" s="2"/>
      <c r="AJ63" s="2"/>
      <c r="AK63" s="2"/>
      <c r="AL63" s="2"/>
      <c r="AM63" s="2"/>
      <c r="AN63" s="2"/>
      <c r="AO63" s="2"/>
      <c r="AP63" s="2"/>
      <c r="AQ63" s="2"/>
      <c r="AR63" s="2"/>
      <c r="AS63" s="2"/>
      <c r="AV63" s="6"/>
      <c r="AY63" s="13"/>
      <c r="BA63" s="2"/>
      <c r="BB63" s="15"/>
      <c r="BC63" s="2"/>
      <c r="BD63" s="2"/>
      <c r="BE63" s="2"/>
      <c r="BF63" s="2"/>
      <c r="BG63" s="2"/>
      <c r="BH63" s="2"/>
      <c r="BI63" s="2"/>
      <c r="BJ63" s="2"/>
      <c r="BK63" s="2"/>
      <c r="BL63" s="2"/>
      <c r="BM63" s="2"/>
      <c r="BN63" s="2"/>
      <c r="BO63" s="2"/>
      <c r="BP63" s="2"/>
      <c r="BQ63" s="2"/>
      <c r="BR63" s="2"/>
      <c r="BS63" s="2"/>
      <c r="BT63" s="2"/>
      <c r="BU63" s="2"/>
      <c r="BV63" s="2"/>
      <c r="BW63" s="2"/>
      <c r="BZ63" s="4" t="s">
        <v>710</v>
      </c>
      <c r="CA63" s="4" t="s">
        <v>734</v>
      </c>
      <c r="CB63" s="4" t="s">
        <v>735</v>
      </c>
      <c r="CC63" s="4" t="s">
        <v>741</v>
      </c>
      <c r="CD63" s="4" t="s">
        <v>703</v>
      </c>
      <c r="CE63" s="4" t="s">
        <v>703</v>
      </c>
    </row>
    <row r="64" spans="4:83">
      <c r="D64" s="117"/>
      <c r="Q64" s="2"/>
      <c r="S64" s="2"/>
      <c r="U64" s="1"/>
      <c r="V64" s="1"/>
      <c r="W64" s="1"/>
      <c r="X64" s="2"/>
      <c r="Y64" s="2"/>
      <c r="Z64" s="2"/>
      <c r="AA64" s="2"/>
      <c r="AB64" s="2"/>
      <c r="AC64" s="2"/>
      <c r="AD64" s="2"/>
      <c r="AE64" s="2"/>
      <c r="AF64" s="2"/>
      <c r="AG64" s="2"/>
      <c r="AH64" s="2"/>
      <c r="AI64" s="2"/>
      <c r="AJ64" s="2"/>
      <c r="AK64" s="2"/>
      <c r="AL64" s="2"/>
      <c r="AM64" s="2"/>
      <c r="AN64" s="2"/>
      <c r="AO64" s="2"/>
      <c r="AP64" s="2"/>
      <c r="AQ64" s="2"/>
      <c r="AR64" s="2"/>
      <c r="AS64" s="2"/>
      <c r="AV64" s="6"/>
      <c r="AY64" s="13"/>
      <c r="BA64" s="2"/>
      <c r="BB64" s="15"/>
      <c r="BC64" s="2"/>
      <c r="BD64" s="2"/>
      <c r="BE64" s="2"/>
      <c r="BF64" s="2"/>
      <c r="BG64" s="2"/>
      <c r="BH64" s="2"/>
      <c r="BI64" s="2"/>
      <c r="BJ64" s="2"/>
      <c r="BK64" s="2"/>
      <c r="BL64" s="2"/>
      <c r="BM64" s="2"/>
      <c r="BN64" s="2"/>
      <c r="BO64" s="2"/>
      <c r="BP64" s="2"/>
      <c r="BQ64" s="2"/>
      <c r="BR64" s="2"/>
      <c r="BS64" s="2"/>
      <c r="BT64" s="2"/>
      <c r="BU64" s="2"/>
      <c r="BV64" s="2"/>
      <c r="BW64" s="2"/>
      <c r="BZ64" s="4" t="s">
        <v>1111</v>
      </c>
      <c r="CA64" s="4" t="s">
        <v>722</v>
      </c>
      <c r="CB64" s="4" t="s">
        <v>714</v>
      </c>
      <c r="CC64" s="4" t="s">
        <v>1142</v>
      </c>
      <c r="CD64" s="4" t="s">
        <v>703</v>
      </c>
      <c r="CE64" s="4" t="s">
        <v>703</v>
      </c>
    </row>
    <row r="65" spans="4:83">
      <c r="D65" s="118" t="s">
        <v>101</v>
      </c>
      <c r="Q65" s="2"/>
      <c r="S65" s="2"/>
      <c r="U65" s="1"/>
      <c r="V65" s="1"/>
      <c r="W65" s="1"/>
      <c r="X65" s="2"/>
      <c r="Y65" s="2"/>
      <c r="Z65" s="2"/>
      <c r="AA65" s="2"/>
      <c r="AB65" s="2"/>
      <c r="AC65" s="2"/>
      <c r="AD65" s="2"/>
      <c r="AE65" s="2"/>
      <c r="AF65" s="2"/>
      <c r="AG65" s="2"/>
      <c r="AH65" s="2"/>
      <c r="AI65" s="2"/>
      <c r="AJ65" s="2"/>
      <c r="AK65" s="2"/>
      <c r="AL65" s="2"/>
      <c r="AM65" s="2"/>
      <c r="AN65" s="2"/>
      <c r="AO65" s="2"/>
      <c r="AP65" s="2"/>
      <c r="AQ65" s="2"/>
      <c r="AR65" s="2"/>
      <c r="AS65" s="2"/>
      <c r="AV65" s="6"/>
      <c r="AY65" s="13"/>
      <c r="BA65" s="2"/>
      <c r="BB65" s="15"/>
      <c r="BC65" s="2"/>
      <c r="BD65" s="2"/>
      <c r="BE65" s="2"/>
      <c r="BF65" s="2"/>
      <c r="BG65" s="2"/>
      <c r="BH65" s="2"/>
      <c r="BI65" s="2"/>
      <c r="BJ65" s="2"/>
      <c r="BK65" s="2"/>
      <c r="BL65" s="2"/>
      <c r="BM65" s="2"/>
      <c r="BN65" s="2"/>
      <c r="BO65" s="2"/>
      <c r="BP65" s="2"/>
      <c r="BQ65" s="2"/>
      <c r="BR65" s="2"/>
      <c r="BS65" s="2"/>
      <c r="BT65" s="2"/>
      <c r="BU65" s="2"/>
      <c r="BV65" s="2"/>
      <c r="BW65" s="2"/>
      <c r="BZ65" s="4" t="s">
        <v>1112</v>
      </c>
      <c r="CA65" s="4" t="s">
        <v>696</v>
      </c>
      <c r="CB65" s="4" t="s">
        <v>1052</v>
      </c>
      <c r="CC65" s="4" t="s">
        <v>725</v>
      </c>
      <c r="CD65" s="4" t="s">
        <v>703</v>
      </c>
      <c r="CE65" s="4" t="s">
        <v>703</v>
      </c>
    </row>
    <row r="66" spans="4:83">
      <c r="Q66" s="2"/>
      <c r="S66" s="2"/>
      <c r="U66" s="1"/>
      <c r="V66" s="1"/>
      <c r="W66" s="1"/>
      <c r="X66" s="2"/>
      <c r="Y66" s="2"/>
      <c r="Z66" s="2"/>
      <c r="AA66" s="2"/>
      <c r="AB66" s="2"/>
      <c r="AC66" s="2"/>
      <c r="AD66" s="2"/>
      <c r="AE66" s="2"/>
      <c r="AF66" s="2"/>
      <c r="AG66" s="2"/>
      <c r="AH66" s="2"/>
      <c r="AI66" s="2"/>
      <c r="AJ66" s="2"/>
      <c r="AK66" s="2"/>
      <c r="AL66" s="2"/>
      <c r="AM66" s="2"/>
      <c r="AN66" s="2"/>
      <c r="AO66" s="2"/>
      <c r="AP66" s="2"/>
      <c r="AQ66" s="2"/>
      <c r="AR66" s="2"/>
      <c r="AS66" s="2"/>
      <c r="AV66" s="6"/>
      <c r="AY66" s="13"/>
      <c r="BA66" s="2"/>
      <c r="BB66" s="15"/>
      <c r="BC66" s="2"/>
      <c r="BD66" s="2"/>
      <c r="BE66" s="2"/>
      <c r="BF66" s="2"/>
      <c r="BG66" s="2"/>
      <c r="BH66" s="2"/>
      <c r="BI66" s="2"/>
      <c r="BJ66" s="2"/>
      <c r="BK66" s="2"/>
      <c r="BL66" s="2"/>
      <c r="BM66" s="2"/>
      <c r="BN66" s="2"/>
      <c r="BO66" s="2"/>
      <c r="BP66" s="2"/>
      <c r="BQ66" s="2"/>
      <c r="BR66" s="2"/>
      <c r="BS66" s="2"/>
      <c r="BT66" s="2"/>
      <c r="BU66" s="2"/>
      <c r="BV66" s="2"/>
      <c r="BW66" s="2"/>
      <c r="BZ66" s="4" t="s">
        <v>1113</v>
      </c>
      <c r="CA66" s="4" t="s">
        <v>740</v>
      </c>
      <c r="CB66" s="4" t="s">
        <v>689</v>
      </c>
      <c r="CC66" s="4" t="s">
        <v>829</v>
      </c>
      <c r="CD66" s="4" t="s">
        <v>703</v>
      </c>
      <c r="CE66" s="4" t="s">
        <v>703</v>
      </c>
    </row>
    <row r="67" spans="4:83">
      <c r="D67" s="18" t="s">
        <v>102</v>
      </c>
      <c r="Q67" s="2"/>
      <c r="S67" s="2"/>
      <c r="U67" s="1"/>
      <c r="V67" s="1"/>
      <c r="W67" s="1"/>
      <c r="X67" s="2"/>
      <c r="Y67" s="2"/>
      <c r="Z67" s="2"/>
      <c r="AA67" s="2"/>
      <c r="AB67" s="2"/>
      <c r="AC67" s="2"/>
      <c r="AD67" s="2"/>
      <c r="AE67" s="2"/>
      <c r="AF67" s="2"/>
      <c r="AG67" s="2"/>
      <c r="AH67" s="2"/>
      <c r="AI67" s="2"/>
      <c r="AJ67" s="2"/>
      <c r="AK67" s="2"/>
      <c r="AL67" s="2"/>
      <c r="AM67" s="2"/>
      <c r="AN67" s="2"/>
      <c r="AO67" s="2"/>
      <c r="AP67" s="2"/>
      <c r="AQ67" s="2"/>
      <c r="AR67" s="2"/>
      <c r="AS67" s="2"/>
      <c r="AV67" s="6"/>
      <c r="AY67" s="13"/>
      <c r="BA67" s="2"/>
      <c r="BB67" s="15"/>
      <c r="BC67" s="2"/>
      <c r="BD67" s="2"/>
      <c r="BE67" s="2"/>
      <c r="BF67" s="2"/>
      <c r="BG67" s="2"/>
      <c r="BH67" s="2"/>
      <c r="BI67" s="2"/>
      <c r="BJ67" s="2"/>
      <c r="BK67" s="2"/>
      <c r="BL67" s="2"/>
      <c r="BM67" s="2"/>
      <c r="BN67" s="2"/>
      <c r="BO67" s="2"/>
      <c r="BP67" s="2"/>
      <c r="BQ67" s="2"/>
      <c r="BR67" s="2"/>
      <c r="BS67" s="2"/>
      <c r="BT67" s="2"/>
      <c r="BU67" s="2"/>
      <c r="BV67" s="2"/>
      <c r="BW67" s="2"/>
      <c r="BZ67" s="4" t="s">
        <v>785</v>
      </c>
      <c r="CA67" s="4" t="s">
        <v>1077</v>
      </c>
      <c r="CB67" s="4" t="s">
        <v>787</v>
      </c>
      <c r="CC67" s="4" t="s">
        <v>812</v>
      </c>
      <c r="CD67" s="4" t="s">
        <v>703</v>
      </c>
      <c r="CE67" s="4" t="s">
        <v>703</v>
      </c>
    </row>
    <row r="68" spans="4:83">
      <c r="Q68" s="2"/>
      <c r="S68" s="2"/>
      <c r="U68" s="1"/>
      <c r="V68" s="1"/>
      <c r="W68" s="1"/>
      <c r="X68" s="2"/>
      <c r="Y68" s="2"/>
      <c r="Z68" s="2"/>
      <c r="AA68" s="2"/>
      <c r="AB68" s="2"/>
      <c r="AC68" s="2"/>
      <c r="AD68" s="2"/>
      <c r="AE68" s="2"/>
      <c r="AF68" s="2"/>
      <c r="AG68" s="2"/>
      <c r="AH68" s="2"/>
      <c r="AI68" s="2"/>
      <c r="AJ68" s="2"/>
      <c r="AK68" s="2"/>
      <c r="AL68" s="2"/>
      <c r="AM68" s="2"/>
      <c r="AN68" s="2"/>
      <c r="AO68" s="2"/>
      <c r="AP68" s="2"/>
      <c r="AQ68" s="2"/>
      <c r="AR68" s="2"/>
      <c r="AS68" s="2"/>
      <c r="AV68" s="6"/>
      <c r="AY68" s="13"/>
      <c r="BA68" s="2"/>
      <c r="BB68" s="15"/>
      <c r="BC68" s="2"/>
      <c r="BD68" s="2"/>
      <c r="BE68" s="2"/>
      <c r="BF68" s="2"/>
      <c r="BG68" s="2"/>
      <c r="BH68" s="2"/>
      <c r="BI68" s="2"/>
      <c r="BJ68" s="2"/>
      <c r="BK68" s="2"/>
      <c r="BL68" s="2"/>
      <c r="BM68" s="2"/>
      <c r="BN68" s="2"/>
      <c r="BO68" s="2"/>
      <c r="BP68" s="2"/>
      <c r="BQ68" s="2"/>
      <c r="BR68" s="2"/>
      <c r="BS68" s="2"/>
      <c r="BT68" s="2"/>
      <c r="BU68" s="2"/>
      <c r="BV68" s="2"/>
      <c r="BW68" s="2"/>
      <c r="BZ68" s="4" t="s">
        <v>819</v>
      </c>
      <c r="CA68" s="4" t="s">
        <v>667</v>
      </c>
      <c r="CB68" s="4" t="s">
        <v>693</v>
      </c>
      <c r="CC68" s="4" t="s">
        <v>756</v>
      </c>
      <c r="CD68" s="4" t="s">
        <v>703</v>
      </c>
      <c r="CE68" s="4" t="s">
        <v>703</v>
      </c>
    </row>
    <row r="69" spans="4:83">
      <c r="D69" s="20"/>
      <c r="Q69" s="2"/>
      <c r="S69" s="2"/>
      <c r="U69" s="1"/>
      <c r="V69" s="1"/>
      <c r="W69" s="1"/>
      <c r="X69" s="2"/>
      <c r="Y69" s="2"/>
      <c r="Z69" s="2"/>
      <c r="AA69" s="2"/>
      <c r="AB69" s="2"/>
      <c r="AC69" s="2"/>
      <c r="AD69" s="2"/>
      <c r="AE69" s="2"/>
      <c r="AF69" s="2"/>
      <c r="AG69" s="2"/>
      <c r="AH69" s="2"/>
      <c r="AI69" s="2"/>
      <c r="AJ69" s="2"/>
      <c r="AK69" s="2"/>
      <c r="AL69" s="2"/>
      <c r="AM69" s="2"/>
      <c r="AN69" s="2"/>
      <c r="AO69" s="2"/>
      <c r="AP69" s="2"/>
      <c r="AQ69" s="2"/>
      <c r="AR69" s="2"/>
      <c r="AS69" s="2"/>
      <c r="AV69" s="6"/>
      <c r="AY69" s="13"/>
      <c r="BA69" s="2"/>
      <c r="BB69" s="15"/>
      <c r="BC69" s="2"/>
      <c r="BD69" s="2"/>
      <c r="BE69" s="2"/>
      <c r="BF69" s="2"/>
      <c r="BG69" s="2"/>
      <c r="BH69" s="2"/>
      <c r="BI69" s="2"/>
      <c r="BJ69" s="2"/>
      <c r="BK69" s="2"/>
      <c r="BL69" s="2"/>
      <c r="BM69" s="2"/>
      <c r="BN69" s="2"/>
      <c r="BO69" s="2"/>
      <c r="BP69" s="2"/>
      <c r="BQ69" s="2"/>
      <c r="BR69" s="2"/>
      <c r="BS69" s="2"/>
      <c r="BT69" s="2"/>
      <c r="BU69" s="2"/>
      <c r="BV69" s="2"/>
      <c r="BW69" s="2"/>
      <c r="BZ69" s="4" t="s">
        <v>767</v>
      </c>
      <c r="CA69" s="4" t="s">
        <v>616</v>
      </c>
      <c r="CB69" s="4" t="s">
        <v>1053</v>
      </c>
      <c r="CC69" s="4" t="s">
        <v>809</v>
      </c>
      <c r="CD69" s="4" t="s">
        <v>703</v>
      </c>
      <c r="CE69" s="4" t="s">
        <v>703</v>
      </c>
    </row>
    <row r="70" spans="4:83">
      <c r="Q70" s="2"/>
      <c r="S70" s="2"/>
      <c r="U70" s="1"/>
      <c r="V70" s="1"/>
      <c r="W70" s="1"/>
      <c r="X70" s="2"/>
      <c r="Y70" s="2"/>
      <c r="Z70" s="2"/>
      <c r="AA70" s="2"/>
      <c r="AB70" s="2"/>
      <c r="AC70" s="2"/>
      <c r="AD70" s="2"/>
      <c r="AE70" s="2"/>
      <c r="AF70" s="2"/>
      <c r="AG70" s="2"/>
      <c r="AH70" s="2"/>
      <c r="AI70" s="2"/>
      <c r="AJ70" s="2"/>
      <c r="AK70" s="2"/>
      <c r="AL70" s="2"/>
      <c r="AM70" s="2"/>
      <c r="AN70" s="2"/>
      <c r="AO70" s="2"/>
      <c r="AP70" s="2"/>
      <c r="AQ70" s="2"/>
      <c r="AR70" s="2"/>
      <c r="AS70" s="2"/>
      <c r="AV70" s="6"/>
      <c r="AY70" s="13"/>
      <c r="BA70" s="2"/>
      <c r="BB70" s="15"/>
      <c r="BC70" s="2"/>
      <c r="BD70" s="2"/>
      <c r="BE70" s="2"/>
      <c r="BF70" s="2"/>
      <c r="BG70" s="2"/>
      <c r="BH70" s="2"/>
      <c r="BI70" s="2"/>
      <c r="BJ70" s="2"/>
      <c r="BK70" s="2"/>
      <c r="BL70" s="2"/>
      <c r="BM70" s="2"/>
      <c r="BN70" s="2"/>
      <c r="BO70" s="2"/>
      <c r="BP70" s="2"/>
      <c r="BQ70" s="2"/>
      <c r="BR70" s="2"/>
      <c r="BS70" s="2"/>
      <c r="BT70" s="2"/>
      <c r="BU70" s="2"/>
      <c r="BV70" s="2"/>
      <c r="BW70" s="2"/>
      <c r="BZ70" s="4" t="s">
        <v>792</v>
      </c>
      <c r="CA70" s="4" t="s">
        <v>707</v>
      </c>
      <c r="CB70" s="4" t="s">
        <v>681</v>
      </c>
      <c r="CC70" s="4" t="s">
        <v>791</v>
      </c>
      <c r="CD70" s="4" t="s">
        <v>703</v>
      </c>
      <c r="CE70" s="4" t="s">
        <v>703</v>
      </c>
    </row>
    <row r="71" spans="4:83">
      <c r="D71" s="18" t="e">
        <f>"https://twitter.com/intent/tweet?text=I+finished+the+MECC+Commission+Calculator+in+"&amp;#REF!&amp;"+seconds.+Sign+up+for+the+Microsoft+Excel+Collegiate+Challenge+and+give+it+a+try!&amp;hashtags=ExcelEsports,ExcelAtEller"</f>
        <v>#REF!</v>
      </c>
      <c r="Q71" s="2"/>
      <c r="S71" s="2"/>
      <c r="U71" s="1"/>
      <c r="V71" s="1"/>
      <c r="W71" s="1"/>
      <c r="X71" s="2"/>
      <c r="Y71" s="2"/>
      <c r="Z71" s="2"/>
      <c r="AA71" s="2"/>
      <c r="AB71" s="2"/>
      <c r="AC71" s="2"/>
      <c r="AD71" s="2"/>
      <c r="AE71" s="2"/>
      <c r="AF71" s="2"/>
      <c r="AG71" s="2"/>
      <c r="AH71" s="2"/>
      <c r="AI71" s="2"/>
      <c r="AJ71" s="2"/>
      <c r="AK71" s="2"/>
      <c r="AL71" s="2"/>
      <c r="AM71" s="2"/>
      <c r="AN71" s="2"/>
      <c r="AO71" s="2"/>
      <c r="AP71" s="2"/>
      <c r="AQ71" s="2"/>
      <c r="AR71" s="2"/>
      <c r="AS71" s="2"/>
      <c r="AV71" s="6"/>
      <c r="AY71" s="13"/>
      <c r="BA71" s="2"/>
      <c r="BB71" s="15"/>
      <c r="BC71" s="2"/>
      <c r="BD71" s="2"/>
      <c r="BE71" s="2"/>
      <c r="BF71" s="2"/>
      <c r="BG71" s="2"/>
      <c r="BH71" s="2"/>
      <c r="BI71" s="2"/>
      <c r="BJ71" s="2"/>
      <c r="BK71" s="2"/>
      <c r="BL71" s="2"/>
      <c r="BM71" s="2"/>
      <c r="BN71" s="2"/>
      <c r="BO71" s="2"/>
      <c r="BP71" s="2"/>
      <c r="BQ71" s="2"/>
      <c r="BR71" s="2"/>
      <c r="BS71" s="2"/>
      <c r="BT71" s="2"/>
      <c r="BU71" s="2"/>
      <c r="BV71" s="2"/>
      <c r="BW71" s="2"/>
      <c r="BZ71" s="4" t="s">
        <v>800</v>
      </c>
      <c r="CA71" s="4" t="s">
        <v>1078</v>
      </c>
      <c r="CB71" s="4" t="s">
        <v>673</v>
      </c>
      <c r="CC71" s="4" t="s">
        <v>784</v>
      </c>
      <c r="CD71" s="4" t="s">
        <v>703</v>
      </c>
      <c r="CE71" s="4" t="s">
        <v>703</v>
      </c>
    </row>
    <row r="72" spans="4:83">
      <c r="Q72" s="2"/>
      <c r="S72" s="2"/>
      <c r="U72" s="1"/>
      <c r="V72" s="1"/>
      <c r="W72" s="1"/>
      <c r="X72" s="2"/>
      <c r="Y72" s="2"/>
      <c r="Z72" s="2"/>
      <c r="AA72" s="2"/>
      <c r="AB72" s="2"/>
      <c r="AC72" s="2"/>
      <c r="AD72" s="2"/>
      <c r="AE72" s="2"/>
      <c r="AF72" s="2"/>
      <c r="AG72" s="2"/>
      <c r="AH72" s="2"/>
      <c r="AI72" s="2"/>
      <c r="AJ72" s="2"/>
      <c r="AK72" s="2"/>
      <c r="AL72" s="2"/>
      <c r="AM72" s="2"/>
      <c r="AN72" s="2"/>
      <c r="AO72" s="2"/>
      <c r="AP72" s="2"/>
      <c r="AQ72" s="2"/>
      <c r="AR72" s="2"/>
      <c r="AS72" s="2"/>
      <c r="AV72" s="6"/>
      <c r="AY72" s="13"/>
      <c r="BA72" s="2"/>
      <c r="BB72" s="15"/>
      <c r="BC72" s="2"/>
      <c r="BD72" s="2"/>
      <c r="BE72" s="2"/>
      <c r="BF72" s="2"/>
      <c r="BG72" s="2"/>
      <c r="BH72" s="2"/>
      <c r="BI72" s="2"/>
      <c r="BJ72" s="2"/>
      <c r="BK72" s="2"/>
      <c r="BL72" s="2"/>
      <c r="BM72" s="2"/>
      <c r="BN72" s="2"/>
      <c r="BO72" s="2"/>
      <c r="BP72" s="2"/>
      <c r="BQ72" s="2"/>
      <c r="BR72" s="2"/>
      <c r="BS72" s="2"/>
      <c r="BT72" s="2"/>
      <c r="BU72" s="2"/>
      <c r="BV72" s="2"/>
      <c r="BW72" s="2"/>
      <c r="BZ72" s="4" t="s">
        <v>1114</v>
      </c>
      <c r="CA72" s="4" t="s">
        <v>1079</v>
      </c>
      <c r="CC72" s="4" t="s">
        <v>1143</v>
      </c>
      <c r="CD72" s="4" t="s">
        <v>703</v>
      </c>
      <c r="CE72" s="4" t="s">
        <v>703</v>
      </c>
    </row>
    <row r="73" spans="4:83">
      <c r="Q73" s="2"/>
      <c r="S73" s="2"/>
      <c r="U73" s="1"/>
      <c r="V73" s="1"/>
      <c r="W73" s="1"/>
      <c r="X73" s="2"/>
      <c r="Y73" s="2"/>
      <c r="Z73" s="2"/>
      <c r="AA73" s="2"/>
      <c r="AB73" s="2"/>
      <c r="AC73" s="2"/>
      <c r="AD73" s="2"/>
      <c r="AE73" s="2"/>
      <c r="AF73" s="2"/>
      <c r="AG73" s="2"/>
      <c r="AH73" s="2"/>
      <c r="AI73" s="2"/>
      <c r="AJ73" s="2"/>
      <c r="AK73" s="2"/>
      <c r="AL73" s="2"/>
      <c r="AM73" s="2"/>
      <c r="AN73" s="2"/>
      <c r="AO73" s="2"/>
      <c r="AP73" s="2"/>
      <c r="AQ73" s="2"/>
      <c r="AR73" s="2"/>
      <c r="AS73" s="2"/>
      <c r="AV73" s="6"/>
      <c r="AY73" s="13"/>
      <c r="BA73" s="2"/>
      <c r="BB73" s="15"/>
      <c r="BC73" s="2"/>
      <c r="BD73" s="2"/>
      <c r="BE73" s="2"/>
      <c r="BF73" s="2"/>
      <c r="BG73" s="2"/>
      <c r="BH73" s="2"/>
      <c r="BI73" s="2"/>
      <c r="BJ73" s="2"/>
      <c r="BK73" s="2"/>
      <c r="BL73" s="2"/>
      <c r="BM73" s="2"/>
      <c r="BN73" s="2"/>
      <c r="BO73" s="2"/>
      <c r="BP73" s="2"/>
      <c r="BQ73" s="2"/>
      <c r="BR73" s="2"/>
      <c r="BS73" s="2"/>
      <c r="BT73" s="2"/>
      <c r="BU73" s="2"/>
      <c r="BV73" s="2"/>
      <c r="BW73" s="2"/>
      <c r="BZ73" s="4" t="s">
        <v>1115</v>
      </c>
      <c r="CA73" s="4" t="s">
        <v>1080</v>
      </c>
      <c r="CB73" s="4" t="s">
        <v>703</v>
      </c>
      <c r="CC73" s="4" t="s">
        <v>721</v>
      </c>
      <c r="CD73" s="4" t="s">
        <v>703</v>
      </c>
      <c r="CE73" s="4" t="s">
        <v>703</v>
      </c>
    </row>
    <row r="74" spans="4:83">
      <c r="Q74" s="2"/>
      <c r="S74" s="2"/>
      <c r="U74" s="1"/>
      <c r="V74" s="1"/>
      <c r="W74" s="1"/>
      <c r="X74" s="2"/>
      <c r="Y74" s="2"/>
      <c r="Z74" s="2"/>
      <c r="AA74" s="2"/>
      <c r="AB74" s="2"/>
      <c r="AC74" s="2"/>
      <c r="AD74" s="2"/>
      <c r="AE74" s="2"/>
      <c r="AF74" s="2"/>
      <c r="AG74" s="2"/>
      <c r="AH74" s="2"/>
      <c r="AI74" s="2"/>
      <c r="AJ74" s="2"/>
      <c r="AK74" s="2"/>
      <c r="AL74" s="2"/>
      <c r="AM74" s="2"/>
      <c r="AN74" s="2"/>
      <c r="AO74" s="2"/>
      <c r="AP74" s="2"/>
      <c r="AQ74" s="2"/>
      <c r="AR74" s="2"/>
      <c r="AS74" s="2"/>
      <c r="AV74" s="6"/>
      <c r="AY74" s="13"/>
      <c r="BA74" s="2"/>
      <c r="BB74" s="15"/>
      <c r="BC74" s="2"/>
      <c r="BD74" s="2"/>
      <c r="BE74" s="2"/>
      <c r="BF74" s="2"/>
      <c r="BG74" s="2"/>
      <c r="BH74" s="2"/>
      <c r="BI74" s="2"/>
      <c r="BJ74" s="2"/>
      <c r="BK74" s="2"/>
      <c r="BL74" s="2"/>
      <c r="BM74" s="2"/>
      <c r="BN74" s="2"/>
      <c r="BO74" s="2"/>
      <c r="BP74" s="2"/>
      <c r="BQ74" s="2"/>
      <c r="BR74" s="2"/>
      <c r="BS74" s="2"/>
      <c r="BT74" s="2"/>
      <c r="BU74" s="2"/>
      <c r="BV74" s="2"/>
      <c r="BW74" s="2"/>
      <c r="BZ74" s="4" t="s">
        <v>1116</v>
      </c>
      <c r="CA74" s="4" t="s">
        <v>789</v>
      </c>
      <c r="CB74" s="4" t="s">
        <v>703</v>
      </c>
      <c r="CC74" s="4" t="s">
        <v>814</v>
      </c>
      <c r="CD74" s="4" t="s">
        <v>703</v>
      </c>
      <c r="CE74" s="4" t="s">
        <v>703</v>
      </c>
    </row>
    <row r="75" spans="4:83">
      <c r="Q75" s="2"/>
      <c r="S75" s="2"/>
      <c r="U75" s="1"/>
      <c r="V75" s="1"/>
      <c r="W75" s="1"/>
      <c r="X75" s="2"/>
      <c r="Y75" s="2"/>
      <c r="Z75" s="2"/>
      <c r="AA75" s="2"/>
      <c r="AB75" s="2"/>
      <c r="AC75" s="2"/>
      <c r="AD75" s="2"/>
      <c r="AE75" s="2"/>
      <c r="AF75" s="2"/>
      <c r="AG75" s="2"/>
      <c r="AH75" s="2"/>
      <c r="AI75" s="2"/>
      <c r="AJ75" s="2"/>
      <c r="AK75" s="2"/>
      <c r="AL75" s="2"/>
      <c r="AM75" s="2"/>
      <c r="AN75" s="2"/>
      <c r="AO75" s="2"/>
      <c r="AP75" s="2"/>
      <c r="AQ75" s="2"/>
      <c r="AR75" s="2"/>
      <c r="AS75" s="2"/>
      <c r="AV75" s="6"/>
      <c r="AY75" s="13"/>
      <c r="BA75" s="2"/>
      <c r="BB75" s="15"/>
      <c r="BC75" s="2"/>
      <c r="BD75" s="2"/>
      <c r="BE75" s="2"/>
      <c r="BF75" s="2"/>
      <c r="BG75" s="2"/>
      <c r="BH75" s="2"/>
      <c r="BI75" s="2"/>
      <c r="BJ75" s="2"/>
      <c r="BK75" s="2"/>
      <c r="BL75" s="2"/>
      <c r="BM75" s="2"/>
      <c r="BN75" s="2"/>
      <c r="BO75" s="2"/>
      <c r="BP75" s="2"/>
      <c r="BQ75" s="2"/>
      <c r="BR75" s="2"/>
      <c r="BS75" s="2"/>
      <c r="BT75" s="2"/>
      <c r="BU75" s="2"/>
      <c r="BV75" s="2"/>
      <c r="BW75" s="2"/>
      <c r="BZ75" s="4" t="s">
        <v>1117</v>
      </c>
      <c r="CA75" s="4" t="s">
        <v>768</v>
      </c>
      <c r="CB75" s="4" t="s">
        <v>703</v>
      </c>
      <c r="CC75" s="4" t="s">
        <v>805</v>
      </c>
      <c r="CD75" s="4" t="s">
        <v>703</v>
      </c>
      <c r="CE75" s="4" t="s">
        <v>703</v>
      </c>
    </row>
    <row r="76" spans="4:83">
      <c r="Q76" s="2"/>
      <c r="S76" s="2"/>
      <c r="U76" s="1"/>
      <c r="V76" s="1"/>
      <c r="W76" s="1"/>
      <c r="X76" s="2"/>
      <c r="Y76" s="2"/>
      <c r="Z76" s="2"/>
      <c r="AA76" s="2"/>
      <c r="AB76" s="2"/>
      <c r="AC76" s="2"/>
      <c r="AD76" s="2"/>
      <c r="AE76" s="2"/>
      <c r="AF76" s="2"/>
      <c r="AG76" s="2"/>
      <c r="AH76" s="2"/>
      <c r="AI76" s="2"/>
      <c r="AJ76" s="2"/>
      <c r="AK76" s="2"/>
      <c r="AL76" s="2"/>
      <c r="AM76" s="2"/>
      <c r="AN76" s="2"/>
      <c r="AO76" s="2"/>
      <c r="AP76" s="2"/>
      <c r="AQ76" s="2"/>
      <c r="AR76" s="2"/>
      <c r="AS76" s="2"/>
      <c r="AV76" s="6"/>
      <c r="AY76" s="13"/>
      <c r="BA76" s="2"/>
      <c r="BB76" s="15"/>
      <c r="BC76" s="2"/>
      <c r="BD76" s="2"/>
      <c r="BE76" s="2"/>
      <c r="BF76" s="2"/>
      <c r="BG76" s="2"/>
      <c r="BH76" s="2"/>
      <c r="BI76" s="2"/>
      <c r="BJ76" s="2"/>
      <c r="BK76" s="2"/>
      <c r="BL76" s="2"/>
      <c r="BM76" s="2"/>
      <c r="BN76" s="2"/>
      <c r="BO76" s="2"/>
      <c r="BP76" s="2"/>
      <c r="BQ76" s="2"/>
      <c r="BR76" s="2"/>
      <c r="BS76" s="2"/>
      <c r="BT76" s="2"/>
      <c r="BU76" s="2"/>
      <c r="BV76" s="2"/>
      <c r="BW76" s="2"/>
      <c r="BZ76" s="4" t="s">
        <v>761</v>
      </c>
      <c r="CA76" s="4" t="s">
        <v>1081</v>
      </c>
      <c r="CB76" s="4" t="s">
        <v>703</v>
      </c>
      <c r="CC76" s="4" t="s">
        <v>1144</v>
      </c>
      <c r="CD76" s="4" t="s">
        <v>703</v>
      </c>
      <c r="CE76" s="4" t="s">
        <v>703</v>
      </c>
    </row>
    <row r="77" spans="4:83">
      <c r="Q77" s="2"/>
      <c r="S77" s="2"/>
      <c r="U77" s="1"/>
      <c r="V77" s="1"/>
      <c r="W77" s="1"/>
      <c r="X77" s="2"/>
      <c r="Y77" s="2"/>
      <c r="Z77" s="2"/>
      <c r="AA77" s="2"/>
      <c r="AB77" s="2"/>
      <c r="AC77" s="2"/>
      <c r="AD77" s="2"/>
      <c r="AE77" s="2"/>
      <c r="AF77" s="2"/>
      <c r="AG77" s="2"/>
      <c r="AH77" s="2"/>
      <c r="AI77" s="2"/>
      <c r="AJ77" s="2"/>
      <c r="AK77" s="2"/>
      <c r="AL77" s="2"/>
      <c r="AM77" s="2"/>
      <c r="AN77" s="2"/>
      <c r="AO77" s="2"/>
      <c r="AP77" s="2"/>
      <c r="AQ77" s="2"/>
      <c r="AR77" s="2"/>
      <c r="AS77" s="2"/>
      <c r="AV77" s="6"/>
      <c r="AY77" s="13"/>
      <c r="BA77" s="2"/>
      <c r="BB77" s="15"/>
      <c r="BC77" s="2"/>
      <c r="BD77" s="2"/>
      <c r="BE77" s="2"/>
      <c r="BF77" s="2"/>
      <c r="BG77" s="2"/>
      <c r="BH77" s="2"/>
      <c r="BI77" s="2"/>
      <c r="BJ77" s="2"/>
      <c r="BK77" s="2"/>
      <c r="BL77" s="2"/>
      <c r="BM77" s="2"/>
      <c r="BN77" s="2"/>
      <c r="BO77" s="2"/>
      <c r="BP77" s="2"/>
      <c r="BQ77" s="2"/>
      <c r="BR77" s="2"/>
      <c r="BS77" s="2"/>
      <c r="BT77" s="2"/>
      <c r="BU77" s="2"/>
      <c r="BV77" s="2"/>
      <c r="BW77" s="2"/>
      <c r="BZ77" s="4" t="s">
        <v>1118</v>
      </c>
      <c r="CA77" s="4" t="s">
        <v>811</v>
      </c>
      <c r="CB77" s="4" t="s">
        <v>703</v>
      </c>
      <c r="CC77" s="4" t="s">
        <v>1145</v>
      </c>
      <c r="CD77" s="4" t="s">
        <v>703</v>
      </c>
      <c r="CE77" s="4" t="s">
        <v>703</v>
      </c>
    </row>
    <row r="78" spans="4:83">
      <c r="Q78" s="2"/>
      <c r="S78" s="2"/>
      <c r="U78" s="1"/>
      <c r="V78" s="1"/>
      <c r="W78" s="1"/>
      <c r="X78" s="2"/>
      <c r="Y78" s="2"/>
      <c r="Z78" s="2"/>
      <c r="AA78" s="2"/>
      <c r="AB78" s="2"/>
      <c r="AC78" s="2"/>
      <c r="AD78" s="2"/>
      <c r="AE78" s="2"/>
      <c r="AF78" s="2"/>
      <c r="AG78" s="2"/>
      <c r="AH78" s="2"/>
      <c r="AI78" s="2"/>
      <c r="AJ78" s="2"/>
      <c r="AK78" s="2"/>
      <c r="AL78" s="2"/>
      <c r="AM78" s="2"/>
      <c r="AN78" s="2"/>
      <c r="AO78" s="2"/>
      <c r="AP78" s="2"/>
      <c r="AQ78" s="2"/>
      <c r="AR78" s="2"/>
      <c r="AS78" s="2"/>
      <c r="AV78" s="6"/>
      <c r="AY78" s="13"/>
      <c r="BA78" s="2"/>
      <c r="BB78" s="15"/>
      <c r="BC78" s="2"/>
      <c r="BD78" s="2"/>
      <c r="BE78" s="2"/>
      <c r="BF78" s="2"/>
      <c r="BG78" s="2"/>
      <c r="BH78" s="2"/>
      <c r="BI78" s="2"/>
      <c r="BJ78" s="2"/>
      <c r="BK78" s="2"/>
      <c r="BL78" s="2"/>
      <c r="BM78" s="2"/>
      <c r="BN78" s="2"/>
      <c r="BO78" s="2"/>
      <c r="BP78" s="2"/>
      <c r="BQ78" s="2"/>
      <c r="BR78" s="2"/>
      <c r="BS78" s="2"/>
      <c r="BT78" s="2"/>
      <c r="BU78" s="2"/>
      <c r="BV78" s="2"/>
      <c r="BW78" s="2"/>
      <c r="BZ78" s="4" t="s">
        <v>751</v>
      </c>
      <c r="CA78" s="4" t="s">
        <v>621</v>
      </c>
      <c r="CB78" s="4" t="s">
        <v>703</v>
      </c>
      <c r="CC78" s="4" t="s">
        <v>1146</v>
      </c>
      <c r="CD78" s="4" t="s">
        <v>703</v>
      </c>
      <c r="CE78" s="4" t="s">
        <v>703</v>
      </c>
    </row>
    <row r="79" spans="4:83">
      <c r="Q79" s="2"/>
      <c r="S79" s="2"/>
      <c r="U79" s="1"/>
      <c r="V79" s="1"/>
      <c r="W79" s="1"/>
      <c r="X79" s="2"/>
      <c r="Y79" s="2"/>
      <c r="Z79" s="2"/>
      <c r="AA79" s="2"/>
      <c r="AB79" s="2"/>
      <c r="AC79" s="2"/>
      <c r="AD79" s="2"/>
      <c r="AE79" s="2"/>
      <c r="AF79" s="2"/>
      <c r="AG79" s="2"/>
      <c r="AH79" s="2"/>
      <c r="AI79" s="2"/>
      <c r="AJ79" s="2"/>
      <c r="AK79" s="2"/>
      <c r="AL79" s="2"/>
      <c r="AM79" s="2"/>
      <c r="AN79" s="2"/>
      <c r="AO79" s="2"/>
      <c r="AP79" s="2"/>
      <c r="AQ79" s="2"/>
      <c r="AR79" s="2"/>
      <c r="AS79" s="2"/>
      <c r="AV79" s="6"/>
      <c r="AY79" s="13"/>
      <c r="BA79" s="2"/>
      <c r="BB79" s="15"/>
      <c r="BC79" s="2"/>
      <c r="BD79" s="2"/>
      <c r="BE79" s="2"/>
      <c r="BF79" s="2"/>
      <c r="BG79" s="2"/>
      <c r="BH79" s="2"/>
      <c r="BI79" s="2"/>
      <c r="BJ79" s="2"/>
      <c r="BK79" s="2"/>
      <c r="BL79" s="2"/>
      <c r="BM79" s="2"/>
      <c r="BN79" s="2"/>
      <c r="BO79" s="2"/>
      <c r="BP79" s="2"/>
      <c r="BQ79" s="2"/>
      <c r="BR79" s="2"/>
      <c r="BS79" s="2"/>
      <c r="BT79" s="2"/>
      <c r="BU79" s="2"/>
      <c r="BV79" s="2"/>
      <c r="BW79" s="2"/>
      <c r="BZ79" s="4" t="s">
        <v>1119</v>
      </c>
      <c r="CA79" s="4" t="s">
        <v>1082</v>
      </c>
      <c r="CB79" s="4" t="s">
        <v>703</v>
      </c>
      <c r="CC79" s="4" t="s">
        <v>1147</v>
      </c>
      <c r="CD79" s="4" t="s">
        <v>703</v>
      </c>
      <c r="CE79" s="4" t="s">
        <v>703</v>
      </c>
    </row>
    <row r="80" spans="4:83">
      <c r="Q80" s="2"/>
      <c r="S80" s="2"/>
      <c r="U80" s="1"/>
      <c r="V80" s="1"/>
      <c r="W80" s="1"/>
      <c r="X80" s="2"/>
      <c r="Y80" s="2"/>
      <c r="Z80" s="2"/>
      <c r="AA80" s="2"/>
      <c r="AB80" s="2"/>
      <c r="AC80" s="2"/>
      <c r="AD80" s="2"/>
      <c r="AE80" s="2"/>
      <c r="AF80" s="2"/>
      <c r="AG80" s="2"/>
      <c r="AH80" s="2"/>
      <c r="AI80" s="2"/>
      <c r="AJ80" s="2"/>
      <c r="AK80" s="2"/>
      <c r="AL80" s="2"/>
      <c r="AM80" s="2"/>
      <c r="AN80" s="2"/>
      <c r="AO80" s="2"/>
      <c r="AP80" s="2"/>
      <c r="AQ80" s="2"/>
      <c r="AR80" s="2"/>
      <c r="AS80" s="2"/>
      <c r="AV80" s="6"/>
      <c r="AY80" s="13"/>
      <c r="BA80" s="2"/>
      <c r="BB80" s="15"/>
      <c r="BC80" s="2"/>
      <c r="BD80" s="2"/>
      <c r="BE80" s="2"/>
      <c r="BF80" s="2"/>
      <c r="BG80" s="2"/>
      <c r="BH80" s="2"/>
      <c r="BI80" s="2"/>
      <c r="BJ80" s="2"/>
      <c r="BK80" s="2"/>
      <c r="BL80" s="2"/>
      <c r="BM80" s="2"/>
      <c r="BN80" s="2"/>
      <c r="BO80" s="2"/>
      <c r="BP80" s="2"/>
      <c r="BQ80" s="2"/>
      <c r="BR80" s="2"/>
      <c r="BS80" s="2"/>
      <c r="BT80" s="2"/>
      <c r="BU80" s="2"/>
      <c r="BV80" s="2"/>
      <c r="BW80" s="2"/>
      <c r="BZ80" s="4" t="s">
        <v>1120</v>
      </c>
      <c r="CA80" s="4" t="s">
        <v>1083</v>
      </c>
      <c r="CB80" s="4" t="s">
        <v>703</v>
      </c>
      <c r="CC80" s="4" t="s">
        <v>823</v>
      </c>
      <c r="CD80" s="4" t="s">
        <v>703</v>
      </c>
      <c r="CE80" s="4" t="s">
        <v>703</v>
      </c>
    </row>
    <row r="81" spans="17:83">
      <c r="Q81" s="2"/>
      <c r="S81" s="2"/>
      <c r="U81" s="1"/>
      <c r="V81" s="1"/>
      <c r="W81" s="1"/>
      <c r="X81" s="2"/>
      <c r="Y81" s="2"/>
      <c r="Z81" s="2"/>
      <c r="AA81" s="2"/>
      <c r="AB81" s="2"/>
      <c r="AC81" s="2"/>
      <c r="AD81" s="2"/>
      <c r="AE81" s="2"/>
      <c r="AF81" s="2"/>
      <c r="AG81" s="2"/>
      <c r="AH81" s="2"/>
      <c r="AI81" s="2"/>
      <c r="AJ81" s="2"/>
      <c r="AK81" s="2"/>
      <c r="AL81" s="2"/>
      <c r="AM81" s="2"/>
      <c r="AN81" s="2"/>
      <c r="AO81" s="2"/>
      <c r="AP81" s="2"/>
      <c r="AQ81" s="2"/>
      <c r="AR81" s="2"/>
      <c r="AS81" s="2"/>
      <c r="AV81" s="6"/>
      <c r="AY81" s="13"/>
      <c r="BA81" s="2"/>
      <c r="BB81" s="15"/>
      <c r="BC81" s="2"/>
      <c r="BD81" s="2"/>
      <c r="BE81" s="2"/>
      <c r="BF81" s="2"/>
      <c r="BG81" s="2"/>
      <c r="BH81" s="2"/>
      <c r="BI81" s="2"/>
      <c r="BJ81" s="2"/>
      <c r="BK81" s="2"/>
      <c r="BL81" s="2"/>
      <c r="BM81" s="2"/>
      <c r="BN81" s="2"/>
      <c r="BO81" s="2"/>
      <c r="BP81" s="2"/>
      <c r="BQ81" s="2"/>
      <c r="BR81" s="2"/>
      <c r="BS81" s="2"/>
      <c r="BT81" s="2"/>
      <c r="BU81" s="2"/>
      <c r="BV81" s="2"/>
      <c r="BW81" s="2"/>
      <c r="BZ81" s="4" t="s">
        <v>777</v>
      </c>
      <c r="CA81" s="4" t="s">
        <v>1084</v>
      </c>
      <c r="CB81" s="4" t="s">
        <v>703</v>
      </c>
      <c r="CC81" s="4" t="s">
        <v>1148</v>
      </c>
      <c r="CD81" s="4" t="s">
        <v>703</v>
      </c>
      <c r="CE81" s="4" t="s">
        <v>703</v>
      </c>
    </row>
    <row r="82" spans="17:83">
      <c r="Q82" s="2"/>
      <c r="S82" s="2"/>
      <c r="U82" s="1"/>
      <c r="V82" s="1"/>
      <c r="W82" s="1"/>
      <c r="X82" s="2"/>
      <c r="Y82" s="2"/>
      <c r="Z82" s="2"/>
      <c r="AA82" s="2"/>
      <c r="AB82" s="2"/>
      <c r="AC82" s="2"/>
      <c r="AD82" s="2"/>
      <c r="AE82" s="2"/>
      <c r="AF82" s="2"/>
      <c r="AG82" s="2"/>
      <c r="AH82" s="2"/>
      <c r="AI82" s="2"/>
      <c r="AJ82" s="2"/>
      <c r="AK82" s="2"/>
      <c r="AL82" s="2"/>
      <c r="AM82" s="2"/>
      <c r="AN82" s="2"/>
      <c r="AO82" s="2"/>
      <c r="AP82" s="2"/>
      <c r="AQ82" s="2"/>
      <c r="AR82" s="2"/>
      <c r="AS82" s="2"/>
      <c r="AV82" s="6"/>
      <c r="AY82" s="13"/>
      <c r="BA82" s="2"/>
      <c r="BB82" s="15"/>
      <c r="BC82" s="2"/>
      <c r="BD82" s="2"/>
      <c r="BE82" s="2"/>
      <c r="BF82" s="2"/>
      <c r="BG82" s="2"/>
      <c r="BH82" s="2"/>
      <c r="BI82" s="2"/>
      <c r="BJ82" s="2"/>
      <c r="BK82" s="2"/>
      <c r="BL82" s="2"/>
      <c r="BM82" s="2"/>
      <c r="BN82" s="2"/>
      <c r="BO82" s="2"/>
      <c r="BP82" s="2"/>
      <c r="BQ82" s="2"/>
      <c r="BR82" s="2"/>
      <c r="BS82" s="2"/>
      <c r="BT82" s="2"/>
      <c r="BU82" s="2"/>
      <c r="BV82" s="2"/>
      <c r="BW82" s="2"/>
      <c r="BZ82" s="4" t="s">
        <v>1121</v>
      </c>
      <c r="CA82" s="4" t="s">
        <v>1085</v>
      </c>
      <c r="CB82" s="4" t="s">
        <v>703</v>
      </c>
      <c r="CC82" s="4" t="s">
        <v>813</v>
      </c>
      <c r="CD82" s="4" t="s">
        <v>703</v>
      </c>
      <c r="CE82" s="4" t="s">
        <v>703</v>
      </c>
    </row>
    <row r="83" spans="17:83">
      <c r="Q83" s="2"/>
      <c r="S83" s="2"/>
      <c r="U83" s="1"/>
      <c r="V83" s="1"/>
      <c r="W83" s="1"/>
      <c r="X83" s="2"/>
      <c r="Y83" s="2"/>
      <c r="Z83" s="2"/>
      <c r="AA83" s="2"/>
      <c r="AB83" s="2"/>
      <c r="AC83" s="2"/>
      <c r="AD83" s="2"/>
      <c r="AE83" s="2"/>
      <c r="AF83" s="2"/>
      <c r="AG83" s="2"/>
      <c r="AH83" s="2"/>
      <c r="AI83" s="2"/>
      <c r="AJ83" s="2"/>
      <c r="AK83" s="2"/>
      <c r="AL83" s="2"/>
      <c r="AM83" s="2"/>
      <c r="AN83" s="2"/>
      <c r="AO83" s="2"/>
      <c r="AP83" s="2"/>
      <c r="AQ83" s="2"/>
      <c r="AR83" s="2"/>
      <c r="AS83" s="2"/>
      <c r="AV83" s="6"/>
      <c r="AY83" s="13"/>
      <c r="BA83" s="2"/>
      <c r="BB83" s="15"/>
      <c r="BC83" s="2"/>
      <c r="BD83" s="2"/>
      <c r="BE83" s="2"/>
      <c r="BF83" s="2"/>
      <c r="BG83" s="2"/>
      <c r="BH83" s="2"/>
      <c r="BI83" s="2"/>
      <c r="BJ83" s="2"/>
      <c r="BK83" s="2"/>
      <c r="BL83" s="2"/>
      <c r="BM83" s="2"/>
      <c r="BN83" s="2"/>
      <c r="BO83" s="2"/>
      <c r="BP83" s="2"/>
      <c r="BQ83" s="2"/>
      <c r="BR83" s="2"/>
      <c r="BS83" s="2"/>
      <c r="BT83" s="2"/>
      <c r="BU83" s="2"/>
      <c r="BV83" s="2"/>
      <c r="BW83" s="2"/>
      <c r="BZ83" s="4" t="s">
        <v>1122</v>
      </c>
      <c r="CA83" s="4" t="s">
        <v>1086</v>
      </c>
      <c r="CB83" s="4" t="s">
        <v>703</v>
      </c>
      <c r="CC83" s="4" t="s">
        <v>1149</v>
      </c>
      <c r="CD83" s="4" t="s">
        <v>703</v>
      </c>
      <c r="CE83" s="4" t="s">
        <v>703</v>
      </c>
    </row>
    <row r="84" spans="17:83">
      <c r="Q84" s="2"/>
      <c r="S84" s="2"/>
      <c r="U84" s="1"/>
      <c r="V84" s="1"/>
      <c r="W84" s="1"/>
      <c r="X84" s="2"/>
      <c r="Y84" s="2"/>
      <c r="Z84" s="2"/>
      <c r="AA84" s="2"/>
      <c r="AB84" s="2"/>
      <c r="AC84" s="2"/>
      <c r="AD84" s="2"/>
      <c r="AE84" s="2"/>
      <c r="AF84" s="2"/>
      <c r="AG84" s="2"/>
      <c r="AH84" s="2"/>
      <c r="AI84" s="2"/>
      <c r="AJ84" s="2"/>
      <c r="AK84" s="2"/>
      <c r="AL84" s="2"/>
      <c r="AM84" s="2"/>
      <c r="AN84" s="2"/>
      <c r="AO84" s="2"/>
      <c r="AP84" s="2"/>
      <c r="AQ84" s="2"/>
      <c r="AR84" s="2"/>
      <c r="AS84" s="2"/>
      <c r="AV84" s="6"/>
      <c r="AY84" s="13"/>
      <c r="BA84" s="2"/>
      <c r="BB84" s="15"/>
      <c r="BC84" s="2"/>
      <c r="BD84" s="2"/>
      <c r="BE84" s="2"/>
      <c r="BF84" s="2"/>
      <c r="BG84" s="2"/>
      <c r="BH84" s="2"/>
      <c r="BI84" s="2"/>
      <c r="BJ84" s="2"/>
      <c r="BK84" s="2"/>
      <c r="BL84" s="2"/>
      <c r="BM84" s="2"/>
      <c r="BN84" s="2"/>
      <c r="BO84" s="2"/>
      <c r="BP84" s="2"/>
      <c r="BQ84" s="2"/>
      <c r="BR84" s="2"/>
      <c r="BS84" s="2"/>
      <c r="BT84" s="2"/>
      <c r="BU84" s="2"/>
      <c r="BV84" s="2"/>
      <c r="BW84" s="2"/>
      <c r="BZ84" s="4" t="s">
        <v>803</v>
      </c>
      <c r="CA84" s="4" t="s">
        <v>793</v>
      </c>
      <c r="CB84" s="4" t="s">
        <v>703</v>
      </c>
      <c r="CC84" s="4" t="s">
        <v>821</v>
      </c>
      <c r="CD84" s="4" t="s">
        <v>703</v>
      </c>
      <c r="CE84" s="4" t="s">
        <v>703</v>
      </c>
    </row>
    <row r="85" spans="17:83">
      <c r="Q85" s="2"/>
      <c r="S85" s="2"/>
      <c r="U85" s="1"/>
      <c r="V85" s="1"/>
      <c r="W85" s="1"/>
      <c r="X85" s="2"/>
      <c r="Y85" s="2"/>
      <c r="Z85" s="2"/>
      <c r="AA85" s="2"/>
      <c r="AB85" s="2"/>
      <c r="AC85" s="2"/>
      <c r="AD85" s="2"/>
      <c r="AE85" s="2"/>
      <c r="AF85" s="2"/>
      <c r="AG85" s="2"/>
      <c r="AH85" s="2"/>
      <c r="AI85" s="2"/>
      <c r="AJ85" s="2"/>
      <c r="AK85" s="2"/>
      <c r="AL85" s="2"/>
      <c r="AM85" s="2"/>
      <c r="AN85" s="2"/>
      <c r="AO85" s="2"/>
      <c r="AP85" s="2"/>
      <c r="AQ85" s="2"/>
      <c r="AR85" s="2"/>
      <c r="AS85" s="2"/>
      <c r="AV85" s="6"/>
      <c r="AY85" s="13"/>
      <c r="BA85" s="2"/>
      <c r="BB85" s="15"/>
      <c r="BC85" s="2"/>
      <c r="BD85" s="2"/>
      <c r="BE85" s="2"/>
      <c r="BF85" s="2"/>
      <c r="BG85" s="2"/>
      <c r="BH85" s="2"/>
      <c r="BI85" s="2"/>
      <c r="BJ85" s="2"/>
      <c r="BK85" s="2"/>
      <c r="BL85" s="2"/>
      <c r="BM85" s="2"/>
      <c r="BN85" s="2"/>
      <c r="BO85" s="2"/>
      <c r="BP85" s="2"/>
      <c r="BQ85" s="2"/>
      <c r="BR85" s="2"/>
      <c r="BS85" s="2"/>
      <c r="BT85" s="2"/>
      <c r="BU85" s="2"/>
      <c r="BV85" s="2"/>
      <c r="BW85" s="2"/>
      <c r="BZ85" s="4" t="s">
        <v>788</v>
      </c>
      <c r="CA85" s="4" t="s">
        <v>1087</v>
      </c>
      <c r="CB85" s="4" t="s">
        <v>703</v>
      </c>
      <c r="CC85" s="4" t="s">
        <v>1150</v>
      </c>
      <c r="CD85" s="4" t="s">
        <v>703</v>
      </c>
      <c r="CE85" s="4" t="s">
        <v>703</v>
      </c>
    </row>
    <row r="86" spans="17:83">
      <c r="Q86" s="2"/>
      <c r="S86" s="2"/>
      <c r="U86" s="1"/>
      <c r="V86" s="1"/>
      <c r="W86" s="1"/>
      <c r="X86" s="2"/>
      <c r="Y86" s="2"/>
      <c r="Z86" s="2"/>
      <c r="AA86" s="2"/>
      <c r="AB86" s="2"/>
      <c r="AC86" s="2"/>
      <c r="AD86" s="2"/>
      <c r="AE86" s="2"/>
      <c r="AF86" s="2"/>
      <c r="AG86" s="2"/>
      <c r="AH86" s="2"/>
      <c r="AI86" s="2"/>
      <c r="AJ86" s="2"/>
      <c r="AK86" s="2"/>
      <c r="AL86" s="2"/>
      <c r="AM86" s="2"/>
      <c r="AN86" s="2"/>
      <c r="AO86" s="2"/>
      <c r="AP86" s="2"/>
      <c r="AQ86" s="2"/>
      <c r="AR86" s="2"/>
      <c r="AS86" s="2"/>
      <c r="AV86" s="6"/>
      <c r="AY86" s="13"/>
      <c r="BA86" s="2"/>
      <c r="BB86" s="15"/>
      <c r="BC86" s="2"/>
      <c r="BD86" s="2"/>
      <c r="BE86" s="2"/>
      <c r="BF86" s="2"/>
      <c r="BG86" s="2"/>
      <c r="BH86" s="2"/>
      <c r="BI86" s="2"/>
      <c r="BJ86" s="2"/>
      <c r="BK86" s="2"/>
      <c r="BL86" s="2"/>
      <c r="BM86" s="2"/>
      <c r="BN86" s="2"/>
      <c r="BO86" s="2"/>
      <c r="BP86" s="2"/>
      <c r="BQ86" s="2"/>
      <c r="BR86" s="2"/>
      <c r="BS86" s="2"/>
      <c r="BT86" s="2"/>
      <c r="BU86" s="2"/>
      <c r="BV86" s="2"/>
      <c r="BW86" s="2"/>
      <c r="BZ86" s="4" t="s">
        <v>780</v>
      </c>
      <c r="CA86" s="4" t="s">
        <v>806</v>
      </c>
      <c r="CB86" s="4" t="s">
        <v>703</v>
      </c>
      <c r="CC86" s="4" t="s">
        <v>709</v>
      </c>
      <c r="CD86" s="4" t="s">
        <v>703</v>
      </c>
      <c r="CE86" s="4" t="s">
        <v>703</v>
      </c>
    </row>
    <row r="87" spans="17:83">
      <c r="Q87" s="2"/>
      <c r="S87" s="2"/>
      <c r="U87" s="1"/>
      <c r="V87" s="1"/>
      <c r="W87" s="1"/>
      <c r="X87" s="2"/>
      <c r="Y87" s="2"/>
      <c r="Z87" s="2"/>
      <c r="AA87" s="2"/>
      <c r="AB87" s="2"/>
      <c r="AC87" s="2"/>
      <c r="AD87" s="2"/>
      <c r="AE87" s="2"/>
      <c r="AF87" s="2"/>
      <c r="AG87" s="2"/>
      <c r="AH87" s="2"/>
      <c r="AI87" s="2"/>
      <c r="AJ87" s="2"/>
      <c r="AK87" s="2"/>
      <c r="AL87" s="2"/>
      <c r="AM87" s="2"/>
      <c r="AN87" s="2"/>
      <c r="AO87" s="2"/>
      <c r="AP87" s="2"/>
      <c r="AQ87" s="2"/>
      <c r="AR87" s="2"/>
      <c r="AS87" s="2"/>
      <c r="AV87" s="6"/>
      <c r="AY87" s="13"/>
      <c r="BA87" s="2"/>
      <c r="BB87" s="15"/>
      <c r="BC87" s="2"/>
      <c r="BD87" s="2"/>
      <c r="BE87" s="2"/>
      <c r="BF87" s="2"/>
      <c r="BG87" s="2"/>
      <c r="BH87" s="2"/>
      <c r="BI87" s="2"/>
      <c r="BJ87" s="2"/>
      <c r="BK87" s="2"/>
      <c r="BL87" s="2"/>
      <c r="BM87" s="2"/>
      <c r="BN87" s="2"/>
      <c r="BO87" s="2"/>
      <c r="BP87" s="2"/>
      <c r="BQ87" s="2"/>
      <c r="BR87" s="2"/>
      <c r="BS87" s="2"/>
      <c r="BT87" s="2"/>
      <c r="BU87" s="2"/>
      <c r="BV87" s="2"/>
      <c r="BW87" s="2"/>
      <c r="BZ87" s="4" t="s">
        <v>1123</v>
      </c>
      <c r="CA87" s="4" t="s">
        <v>1088</v>
      </c>
      <c r="CB87" s="4" t="s">
        <v>703</v>
      </c>
      <c r="CC87" s="4" t="s">
        <v>1151</v>
      </c>
      <c r="CD87" s="4" t="s">
        <v>703</v>
      </c>
      <c r="CE87" s="4" t="s">
        <v>703</v>
      </c>
    </row>
    <row r="88" spans="17:83">
      <c r="Q88" s="2"/>
      <c r="S88" s="2"/>
      <c r="U88" s="1"/>
      <c r="V88" s="1"/>
      <c r="W88" s="1"/>
      <c r="X88" s="2"/>
      <c r="Y88" s="2"/>
      <c r="Z88" s="2"/>
      <c r="AA88" s="2"/>
      <c r="AB88" s="2"/>
      <c r="AC88" s="2"/>
      <c r="AD88" s="2"/>
      <c r="AE88" s="2"/>
      <c r="AF88" s="2"/>
      <c r="AG88" s="2"/>
      <c r="AH88" s="2"/>
      <c r="AI88" s="2"/>
      <c r="AJ88" s="2"/>
      <c r="AK88" s="2"/>
      <c r="AL88" s="2"/>
      <c r="AM88" s="2"/>
      <c r="AN88" s="2"/>
      <c r="AO88" s="2"/>
      <c r="AP88" s="2"/>
      <c r="AQ88" s="2"/>
      <c r="AR88" s="2"/>
      <c r="AS88" s="2"/>
      <c r="AV88" s="6"/>
      <c r="AY88" s="13"/>
      <c r="BA88" s="2"/>
      <c r="BB88" s="15"/>
      <c r="BC88" s="2"/>
      <c r="BD88" s="2"/>
      <c r="BE88" s="2"/>
      <c r="BF88" s="2"/>
      <c r="BG88" s="2"/>
      <c r="BH88" s="2"/>
      <c r="BI88" s="2"/>
      <c r="BJ88" s="2"/>
      <c r="BK88" s="2"/>
      <c r="BL88" s="2"/>
      <c r="BM88" s="2"/>
      <c r="BN88" s="2"/>
      <c r="BO88" s="2"/>
      <c r="BP88" s="2"/>
      <c r="BQ88" s="2"/>
      <c r="BR88" s="2"/>
      <c r="BS88" s="2"/>
      <c r="BT88" s="2"/>
      <c r="BU88" s="2"/>
      <c r="BV88" s="2"/>
      <c r="BW88" s="2"/>
      <c r="BZ88" s="4" t="s">
        <v>1124</v>
      </c>
      <c r="CA88" s="4" t="s">
        <v>820</v>
      </c>
      <c r="CB88" s="4" t="s">
        <v>703</v>
      </c>
      <c r="CC88" s="4" t="s">
        <v>1152</v>
      </c>
      <c r="CD88" s="4" t="s">
        <v>703</v>
      </c>
      <c r="CE88" s="4" t="s">
        <v>703</v>
      </c>
    </row>
    <row r="89" spans="17:83">
      <c r="Q89" s="2"/>
      <c r="S89" s="2"/>
      <c r="U89" s="1"/>
      <c r="V89" s="1"/>
      <c r="W89" s="1"/>
      <c r="X89" s="2"/>
      <c r="Y89" s="2"/>
      <c r="Z89" s="2"/>
      <c r="AA89" s="2"/>
      <c r="AB89" s="2"/>
      <c r="AC89" s="2"/>
      <c r="AD89" s="2"/>
      <c r="AE89" s="2"/>
      <c r="AF89" s="2"/>
      <c r="AG89" s="2"/>
      <c r="AH89" s="2"/>
      <c r="AI89" s="2"/>
      <c r="AJ89" s="2"/>
      <c r="AK89" s="2"/>
      <c r="AL89" s="2"/>
      <c r="AM89" s="2"/>
      <c r="AN89" s="2"/>
      <c r="AO89" s="2"/>
      <c r="AP89" s="2"/>
      <c r="AQ89" s="2"/>
      <c r="AR89" s="2"/>
      <c r="AS89" s="2"/>
      <c r="AV89" s="6"/>
      <c r="AY89" s="13"/>
      <c r="BA89" s="2"/>
      <c r="BB89" s="15"/>
      <c r="BC89" s="2"/>
      <c r="BD89" s="2"/>
      <c r="BE89" s="2"/>
      <c r="BF89" s="2"/>
      <c r="BG89" s="2"/>
      <c r="BH89" s="2"/>
      <c r="BI89" s="2"/>
      <c r="BJ89" s="2"/>
      <c r="BK89" s="2"/>
      <c r="BL89" s="2"/>
      <c r="BM89" s="2"/>
      <c r="BN89" s="2"/>
      <c r="BO89" s="2"/>
      <c r="BP89" s="2"/>
      <c r="BQ89" s="2"/>
      <c r="BR89" s="2"/>
      <c r="BS89" s="2"/>
      <c r="BT89" s="2"/>
      <c r="BU89" s="2"/>
      <c r="BV89" s="2"/>
      <c r="BW89" s="2"/>
      <c r="BZ89" s="4" t="s">
        <v>1125</v>
      </c>
      <c r="CA89" s="4" t="s">
        <v>1089</v>
      </c>
      <c r="CB89" s="4" t="s">
        <v>703</v>
      </c>
      <c r="CC89" s="4" t="s">
        <v>1153</v>
      </c>
      <c r="CD89" s="4" t="s">
        <v>703</v>
      </c>
      <c r="CE89" s="4" t="s">
        <v>703</v>
      </c>
    </row>
    <row r="90" spans="17:83">
      <c r="Q90" s="2"/>
      <c r="S90" s="2"/>
      <c r="U90" s="1"/>
      <c r="V90" s="1"/>
      <c r="W90" s="1"/>
      <c r="X90" s="2"/>
      <c r="Y90" s="2"/>
      <c r="Z90" s="2"/>
      <c r="AA90" s="2"/>
      <c r="AB90" s="2"/>
      <c r="AC90" s="2"/>
      <c r="AD90" s="2"/>
      <c r="AE90" s="2"/>
      <c r="AF90" s="2"/>
      <c r="AG90" s="2"/>
      <c r="AH90" s="2"/>
      <c r="AI90" s="2"/>
      <c r="AJ90" s="2"/>
      <c r="AK90" s="2"/>
      <c r="AL90" s="2"/>
      <c r="AM90" s="2"/>
      <c r="AN90" s="2"/>
      <c r="AO90" s="2"/>
      <c r="AP90" s="2"/>
      <c r="AQ90" s="2"/>
      <c r="AR90" s="2"/>
      <c r="AS90" s="2"/>
      <c r="AV90" s="6"/>
      <c r="AY90" s="13"/>
      <c r="BA90" s="2"/>
      <c r="BB90" s="15"/>
      <c r="BC90" s="2"/>
      <c r="BD90" s="2"/>
      <c r="BE90" s="2"/>
      <c r="BF90" s="2"/>
      <c r="BG90" s="2"/>
      <c r="BH90" s="2"/>
      <c r="BI90" s="2"/>
      <c r="BJ90" s="2"/>
      <c r="BK90" s="2"/>
      <c r="BL90" s="2"/>
      <c r="BM90" s="2"/>
      <c r="BN90" s="2"/>
      <c r="BO90" s="2"/>
      <c r="BP90" s="2"/>
      <c r="BQ90" s="2"/>
      <c r="BR90" s="2"/>
      <c r="BS90" s="2"/>
      <c r="BT90" s="2"/>
      <c r="BU90" s="2"/>
      <c r="BV90" s="2"/>
      <c r="BW90" s="2"/>
      <c r="BZ90" s="4" t="s">
        <v>795</v>
      </c>
      <c r="CA90" s="4" t="s">
        <v>1090</v>
      </c>
      <c r="CB90" s="4" t="s">
        <v>703</v>
      </c>
      <c r="CC90" s="4" t="s">
        <v>1154</v>
      </c>
      <c r="CD90" s="4" t="s">
        <v>703</v>
      </c>
      <c r="CE90" s="4" t="s">
        <v>703</v>
      </c>
    </row>
    <row r="91" spans="17:83">
      <c r="Q91" s="2"/>
      <c r="S91" s="2"/>
      <c r="U91" s="1"/>
      <c r="V91" s="1"/>
      <c r="W91" s="1"/>
      <c r="X91" s="2"/>
      <c r="Y91" s="2"/>
      <c r="Z91" s="2"/>
      <c r="AA91" s="2"/>
      <c r="AB91" s="2"/>
      <c r="AC91" s="2"/>
      <c r="AD91" s="2"/>
      <c r="AE91" s="2"/>
      <c r="AF91" s="2"/>
      <c r="AG91" s="2"/>
      <c r="AH91" s="2"/>
      <c r="AI91" s="2"/>
      <c r="AJ91" s="2"/>
      <c r="AK91" s="2"/>
      <c r="AL91" s="2"/>
      <c r="AM91" s="2"/>
      <c r="AN91" s="2"/>
      <c r="AO91" s="2"/>
      <c r="AP91" s="2"/>
      <c r="AQ91" s="2"/>
      <c r="AR91" s="2"/>
      <c r="AS91" s="2"/>
      <c r="AV91" s="6"/>
      <c r="AY91" s="13"/>
      <c r="BA91" s="2"/>
      <c r="BB91" s="15"/>
      <c r="BC91" s="2"/>
      <c r="BD91" s="2"/>
      <c r="BE91" s="2"/>
      <c r="BF91" s="2"/>
      <c r="BG91" s="2"/>
      <c r="BH91" s="2"/>
      <c r="BI91" s="2"/>
      <c r="BJ91" s="2"/>
      <c r="BK91" s="2"/>
      <c r="BL91" s="2"/>
      <c r="BM91" s="2"/>
      <c r="BN91" s="2"/>
      <c r="BO91" s="2"/>
      <c r="BP91" s="2"/>
      <c r="BQ91" s="2"/>
      <c r="BR91" s="2"/>
      <c r="BS91" s="2"/>
      <c r="BT91" s="2"/>
      <c r="BU91" s="2"/>
      <c r="BV91" s="2"/>
      <c r="BW91" s="2"/>
      <c r="BZ91" s="4" t="s">
        <v>1126</v>
      </c>
      <c r="CA91" s="4" t="s">
        <v>754</v>
      </c>
      <c r="CB91" s="4" t="s">
        <v>703</v>
      </c>
      <c r="CC91" s="4" t="s">
        <v>664</v>
      </c>
      <c r="CD91" s="4" t="s">
        <v>703</v>
      </c>
      <c r="CE91" s="4" t="s">
        <v>703</v>
      </c>
    </row>
    <row r="92" spans="17:83">
      <c r="Q92" s="2"/>
      <c r="S92" s="2"/>
      <c r="U92" s="1"/>
      <c r="V92" s="1"/>
      <c r="W92" s="1"/>
      <c r="X92" s="2"/>
      <c r="Y92" s="2"/>
      <c r="Z92" s="2"/>
      <c r="AA92" s="2"/>
      <c r="AB92" s="2"/>
      <c r="AC92" s="2"/>
      <c r="AD92" s="2"/>
      <c r="AE92" s="2"/>
      <c r="AF92" s="2"/>
      <c r="AG92" s="2"/>
      <c r="AH92" s="2"/>
      <c r="AI92" s="2"/>
      <c r="AJ92" s="2"/>
      <c r="AK92" s="2"/>
      <c r="AL92" s="2"/>
      <c r="AM92" s="2"/>
      <c r="AN92" s="2"/>
      <c r="AO92" s="2"/>
      <c r="AP92" s="2"/>
      <c r="AQ92" s="2"/>
      <c r="AR92" s="2"/>
      <c r="AS92" s="2"/>
      <c r="AV92" s="6"/>
      <c r="AY92" s="13"/>
      <c r="BA92" s="2"/>
      <c r="BB92" s="15"/>
      <c r="BC92" s="2"/>
      <c r="BD92" s="2"/>
      <c r="BE92" s="2"/>
      <c r="BF92" s="2"/>
      <c r="BG92" s="2"/>
      <c r="BH92" s="2"/>
      <c r="BI92" s="2"/>
      <c r="BJ92" s="2"/>
      <c r="BK92" s="2"/>
      <c r="BL92" s="2"/>
      <c r="BM92" s="2"/>
      <c r="BN92" s="2"/>
      <c r="BO92" s="2"/>
      <c r="BP92" s="2"/>
      <c r="BQ92" s="2"/>
      <c r="BR92" s="2"/>
      <c r="BS92" s="2"/>
      <c r="BT92" s="2"/>
      <c r="BU92" s="2"/>
      <c r="BV92" s="2"/>
      <c r="BW92" s="2"/>
      <c r="BZ92" s="4" t="s">
        <v>1127</v>
      </c>
      <c r="CA92" s="4" t="s">
        <v>781</v>
      </c>
      <c r="CB92" s="4" t="s">
        <v>703</v>
      </c>
      <c r="CC92" s="4" t="s">
        <v>827</v>
      </c>
      <c r="CD92" s="4" t="s">
        <v>703</v>
      </c>
      <c r="CE92" s="4" t="s">
        <v>703</v>
      </c>
    </row>
    <row r="93" spans="17:83">
      <c r="Q93" s="2"/>
      <c r="S93" s="2"/>
      <c r="U93" s="1"/>
      <c r="V93" s="1"/>
      <c r="W93" s="1"/>
      <c r="X93" s="2"/>
      <c r="Y93" s="2"/>
      <c r="Z93" s="2"/>
      <c r="AA93" s="2"/>
      <c r="AB93" s="2"/>
      <c r="AC93" s="2"/>
      <c r="AD93" s="2"/>
      <c r="AE93" s="2"/>
      <c r="AF93" s="2"/>
      <c r="AG93" s="2"/>
      <c r="AH93" s="2"/>
      <c r="AI93" s="2"/>
      <c r="AJ93" s="2"/>
      <c r="AK93" s="2"/>
      <c r="AL93" s="2"/>
      <c r="AM93" s="2"/>
      <c r="AN93" s="2"/>
      <c r="AO93" s="2"/>
      <c r="AP93" s="2"/>
      <c r="AQ93" s="2"/>
      <c r="AR93" s="2"/>
      <c r="AS93" s="2"/>
      <c r="AV93" s="6"/>
      <c r="AY93" s="13"/>
      <c r="BA93" s="2"/>
      <c r="BB93" s="15"/>
      <c r="BC93" s="2"/>
      <c r="BD93" s="2"/>
      <c r="BE93" s="2"/>
      <c r="BF93" s="2"/>
      <c r="BG93" s="2"/>
      <c r="BH93" s="2"/>
      <c r="BI93" s="2"/>
      <c r="BJ93" s="2"/>
      <c r="BK93" s="2"/>
      <c r="BL93" s="2"/>
      <c r="BM93" s="2"/>
      <c r="BN93" s="2"/>
      <c r="BO93" s="2"/>
      <c r="BP93" s="2"/>
      <c r="BQ93" s="2"/>
      <c r="BR93" s="2"/>
      <c r="BS93" s="2"/>
      <c r="BT93" s="2"/>
      <c r="BU93" s="2"/>
      <c r="BV93" s="2"/>
      <c r="BW93" s="2"/>
      <c r="BZ93" s="4" t="s">
        <v>1128</v>
      </c>
      <c r="CA93" s="4" t="s">
        <v>1091</v>
      </c>
      <c r="CB93" s="4" t="s">
        <v>703</v>
      </c>
      <c r="CC93" s="4" t="s">
        <v>818</v>
      </c>
      <c r="CD93" s="4" t="s">
        <v>703</v>
      </c>
      <c r="CE93" s="4" t="s">
        <v>703</v>
      </c>
    </row>
    <row r="94" spans="17:83">
      <c r="Q94" s="2"/>
      <c r="S94" s="2"/>
      <c r="U94" s="1"/>
      <c r="V94" s="1"/>
      <c r="W94" s="1"/>
      <c r="X94" s="2"/>
      <c r="Y94" s="2"/>
      <c r="Z94" s="2"/>
      <c r="AA94" s="2"/>
      <c r="AB94" s="2"/>
      <c r="AC94" s="2"/>
      <c r="AD94" s="2"/>
      <c r="AE94" s="2"/>
      <c r="AF94" s="2"/>
      <c r="AG94" s="2"/>
      <c r="AH94" s="2"/>
      <c r="AI94" s="2"/>
      <c r="AJ94" s="2"/>
      <c r="AK94" s="2"/>
      <c r="AL94" s="2"/>
      <c r="AM94" s="2"/>
      <c r="AN94" s="2"/>
      <c r="AO94" s="2"/>
      <c r="AP94" s="2"/>
      <c r="AQ94" s="2"/>
      <c r="AR94" s="2"/>
      <c r="AS94" s="2"/>
      <c r="AV94" s="6"/>
      <c r="AY94" s="13"/>
      <c r="BA94" s="2"/>
      <c r="BB94" s="15"/>
      <c r="BC94" s="2"/>
      <c r="BD94" s="2"/>
      <c r="BE94" s="2"/>
      <c r="BF94" s="2"/>
      <c r="BG94" s="2"/>
      <c r="BH94" s="2"/>
      <c r="BI94" s="2"/>
      <c r="BJ94" s="2"/>
      <c r="BK94" s="2"/>
      <c r="BL94" s="2"/>
      <c r="BM94" s="2"/>
      <c r="BN94" s="2"/>
      <c r="BO94" s="2"/>
      <c r="BP94" s="2"/>
      <c r="BQ94" s="2"/>
      <c r="BR94" s="2"/>
      <c r="BS94" s="2"/>
      <c r="BT94" s="2"/>
      <c r="BU94" s="2"/>
      <c r="BV94" s="2"/>
      <c r="BW94" s="2"/>
      <c r="BZ94" s="4" t="s">
        <v>808</v>
      </c>
      <c r="CA94" s="4" t="s">
        <v>1092</v>
      </c>
      <c r="CB94" s="4" t="s">
        <v>703</v>
      </c>
      <c r="CC94" s="4" t="s">
        <v>782</v>
      </c>
      <c r="CD94" s="4" t="s">
        <v>703</v>
      </c>
      <c r="CE94" s="4" t="s">
        <v>703</v>
      </c>
    </row>
    <row r="95" spans="17:83">
      <c r="Q95" s="2"/>
      <c r="S95" s="2"/>
      <c r="U95" s="1"/>
      <c r="V95" s="1"/>
      <c r="W95" s="1"/>
      <c r="X95" s="2"/>
      <c r="Y95" s="2"/>
      <c r="Z95" s="2"/>
      <c r="AA95" s="2"/>
      <c r="AB95" s="2"/>
      <c r="AC95" s="2"/>
      <c r="AD95" s="2"/>
      <c r="AE95" s="2"/>
      <c r="AF95" s="2"/>
      <c r="AG95" s="2"/>
      <c r="AH95" s="2"/>
      <c r="AI95" s="2"/>
      <c r="AJ95" s="2"/>
      <c r="AK95" s="2"/>
      <c r="AL95" s="2"/>
      <c r="AM95" s="2"/>
      <c r="AN95" s="2"/>
      <c r="AO95" s="2"/>
      <c r="AP95" s="2"/>
      <c r="AQ95" s="2"/>
      <c r="AR95" s="2"/>
      <c r="AS95" s="2"/>
      <c r="AV95" s="6"/>
      <c r="AY95" s="13"/>
      <c r="BA95" s="2"/>
      <c r="BB95" s="15"/>
      <c r="BC95" s="2"/>
      <c r="BD95" s="2"/>
      <c r="BE95" s="2"/>
      <c r="BF95" s="2"/>
      <c r="BG95" s="2"/>
      <c r="BH95" s="2"/>
      <c r="BI95" s="2"/>
      <c r="BJ95" s="2"/>
      <c r="BK95" s="2"/>
      <c r="BL95" s="2"/>
      <c r="BM95" s="2"/>
      <c r="BN95" s="2"/>
      <c r="BO95" s="2"/>
      <c r="BP95" s="2"/>
      <c r="BQ95" s="2"/>
      <c r="BR95" s="2"/>
      <c r="BS95" s="2"/>
      <c r="BT95" s="2"/>
      <c r="BU95" s="2"/>
      <c r="BV95" s="2"/>
      <c r="BW95" s="2"/>
      <c r="BZ95" s="4" t="s">
        <v>822</v>
      </c>
      <c r="CA95" s="4" t="s">
        <v>1093</v>
      </c>
      <c r="CB95" s="4" t="s">
        <v>703</v>
      </c>
      <c r="CC95" s="4" t="s">
        <v>1155</v>
      </c>
      <c r="CD95" s="4" t="s">
        <v>703</v>
      </c>
      <c r="CE95" s="4" t="s">
        <v>703</v>
      </c>
    </row>
    <row r="96" spans="17:83">
      <c r="Q96" s="2"/>
      <c r="S96" s="2"/>
      <c r="U96" s="1"/>
      <c r="V96" s="1"/>
      <c r="W96" s="1"/>
      <c r="X96" s="2"/>
      <c r="Y96" s="2"/>
      <c r="Z96" s="2"/>
      <c r="AA96" s="2"/>
      <c r="AB96" s="2"/>
      <c r="AC96" s="2"/>
      <c r="AD96" s="2"/>
      <c r="AE96" s="2"/>
      <c r="AF96" s="2"/>
      <c r="AG96" s="2"/>
      <c r="AH96" s="2"/>
      <c r="AI96" s="2"/>
      <c r="AJ96" s="2"/>
      <c r="AK96" s="2"/>
      <c r="AL96" s="2"/>
      <c r="AM96" s="2"/>
      <c r="AN96" s="2"/>
      <c r="AO96" s="2"/>
      <c r="AP96" s="2"/>
      <c r="AQ96" s="2"/>
      <c r="AR96" s="2"/>
      <c r="AS96" s="2"/>
      <c r="AV96" s="6"/>
      <c r="AY96" s="13"/>
      <c r="BA96" s="2"/>
      <c r="BB96" s="15"/>
      <c r="BC96" s="2"/>
      <c r="BD96" s="2"/>
      <c r="BE96" s="2"/>
      <c r="BF96" s="2"/>
      <c r="BG96" s="2"/>
      <c r="BH96" s="2"/>
      <c r="BI96" s="2"/>
      <c r="BJ96" s="2"/>
      <c r="BK96" s="2"/>
      <c r="BL96" s="2"/>
      <c r="BM96" s="2"/>
      <c r="BN96" s="2"/>
      <c r="BO96" s="2"/>
      <c r="BP96" s="2"/>
      <c r="BQ96" s="2"/>
      <c r="BR96" s="2"/>
      <c r="BS96" s="2"/>
      <c r="BT96" s="2"/>
      <c r="BU96" s="2"/>
      <c r="BV96" s="2"/>
      <c r="BW96" s="2"/>
      <c r="BZ96" s="4" t="s">
        <v>757</v>
      </c>
      <c r="CA96" s="4" t="s">
        <v>816</v>
      </c>
      <c r="CB96" s="4" t="s">
        <v>703</v>
      </c>
      <c r="CC96" s="4" t="s">
        <v>1156</v>
      </c>
      <c r="CD96" s="4" t="s">
        <v>703</v>
      </c>
      <c r="CE96" s="4" t="s">
        <v>703</v>
      </c>
    </row>
    <row r="97" spans="17:83">
      <c r="Q97" s="2"/>
      <c r="S97" s="2"/>
      <c r="U97" s="1"/>
      <c r="V97" s="1"/>
      <c r="W97" s="1"/>
      <c r="X97" s="2"/>
      <c r="Y97" s="2"/>
      <c r="Z97" s="2"/>
      <c r="AA97" s="2"/>
      <c r="AB97" s="2"/>
      <c r="AC97" s="2"/>
      <c r="AD97" s="2"/>
      <c r="AE97" s="2"/>
      <c r="AF97" s="2"/>
      <c r="AG97" s="2"/>
      <c r="AH97" s="2"/>
      <c r="AI97" s="2"/>
      <c r="AJ97" s="2"/>
      <c r="AK97" s="2"/>
      <c r="AL97" s="2"/>
      <c r="AM97" s="2"/>
      <c r="AN97" s="2"/>
      <c r="AO97" s="2"/>
      <c r="AP97" s="2"/>
      <c r="AQ97" s="2"/>
      <c r="AR97" s="2"/>
      <c r="AS97" s="2"/>
      <c r="AV97" s="6"/>
      <c r="AY97" s="13"/>
      <c r="BA97" s="2"/>
      <c r="BB97" s="15"/>
      <c r="BC97" s="2"/>
      <c r="BD97" s="2"/>
      <c r="BE97" s="2"/>
      <c r="BF97" s="2"/>
      <c r="BG97" s="2"/>
      <c r="BH97" s="2"/>
      <c r="BI97" s="2"/>
      <c r="BJ97" s="2"/>
      <c r="BK97" s="2"/>
      <c r="BL97" s="2"/>
      <c r="BM97" s="2"/>
      <c r="BN97" s="2"/>
      <c r="BO97" s="2"/>
      <c r="BP97" s="2"/>
      <c r="BQ97" s="2"/>
      <c r="BR97" s="2"/>
      <c r="BS97" s="2"/>
      <c r="BT97" s="2"/>
      <c r="BU97" s="2"/>
      <c r="BV97" s="2"/>
      <c r="BW97" s="2"/>
      <c r="BZ97" s="4" t="s">
        <v>1129</v>
      </c>
      <c r="CA97" s="4" t="s">
        <v>727</v>
      </c>
      <c r="CB97" s="4" t="s">
        <v>703</v>
      </c>
      <c r="CC97" s="4" t="s">
        <v>1157</v>
      </c>
      <c r="CD97" s="4" t="s">
        <v>703</v>
      </c>
      <c r="CE97" s="4" t="s">
        <v>703</v>
      </c>
    </row>
    <row r="98" spans="17:83">
      <c r="Q98" s="2"/>
      <c r="S98" s="2"/>
      <c r="U98" s="1"/>
      <c r="V98" s="1"/>
      <c r="W98" s="1"/>
      <c r="X98" s="2"/>
      <c r="Y98" s="2"/>
      <c r="Z98" s="2"/>
      <c r="AA98" s="2"/>
      <c r="AB98" s="2"/>
      <c r="AC98" s="2"/>
      <c r="AD98" s="2"/>
      <c r="AE98" s="2"/>
      <c r="AF98" s="2"/>
      <c r="AG98" s="2"/>
      <c r="AH98" s="2"/>
      <c r="AI98" s="2"/>
      <c r="AJ98" s="2"/>
      <c r="AK98" s="2"/>
      <c r="AL98" s="2"/>
      <c r="AM98" s="2"/>
      <c r="AN98" s="2"/>
      <c r="AO98" s="2"/>
      <c r="AP98" s="2"/>
      <c r="AQ98" s="2"/>
      <c r="AR98" s="2"/>
      <c r="AS98" s="2"/>
      <c r="AV98" s="6"/>
      <c r="AY98" s="13"/>
      <c r="BA98" s="2"/>
      <c r="BB98" s="15"/>
      <c r="BC98" s="2"/>
      <c r="BD98" s="2"/>
      <c r="BE98" s="2"/>
      <c r="BF98" s="2"/>
      <c r="BG98" s="2"/>
      <c r="BH98" s="2"/>
      <c r="BI98" s="2"/>
      <c r="BJ98" s="2"/>
      <c r="BK98" s="2"/>
      <c r="BL98" s="2"/>
      <c r="BM98" s="2"/>
      <c r="BN98" s="2"/>
      <c r="BO98" s="2"/>
      <c r="BP98" s="2"/>
      <c r="BQ98" s="2"/>
      <c r="BR98" s="2"/>
      <c r="BS98" s="2"/>
      <c r="BT98" s="2"/>
      <c r="BU98" s="2"/>
      <c r="BV98" s="2"/>
      <c r="BW98" s="2"/>
      <c r="BZ98" s="4" t="s">
        <v>1130</v>
      </c>
      <c r="CA98" s="4" t="s">
        <v>1094</v>
      </c>
      <c r="CB98" s="4" t="s">
        <v>703</v>
      </c>
      <c r="CC98" s="4" t="s">
        <v>1158</v>
      </c>
      <c r="CD98" s="4" t="s">
        <v>703</v>
      </c>
      <c r="CE98" s="4" t="s">
        <v>703</v>
      </c>
    </row>
    <row r="99" spans="17:83">
      <c r="Q99" s="2"/>
      <c r="S99" s="2"/>
      <c r="U99" s="1"/>
      <c r="V99" s="1"/>
      <c r="W99" s="1"/>
      <c r="X99" s="2"/>
      <c r="Y99" s="2"/>
      <c r="Z99" s="2"/>
      <c r="AA99" s="2"/>
      <c r="AB99" s="2"/>
      <c r="AC99" s="2"/>
      <c r="AD99" s="2"/>
      <c r="AE99" s="2"/>
      <c r="AF99" s="2"/>
      <c r="AG99" s="2"/>
      <c r="AH99" s="2"/>
      <c r="AI99" s="2"/>
      <c r="AJ99" s="2"/>
      <c r="AK99" s="2"/>
      <c r="AL99" s="2"/>
      <c r="AM99" s="2"/>
      <c r="AN99" s="2"/>
      <c r="AO99" s="2"/>
      <c r="AP99" s="2"/>
      <c r="AQ99" s="2"/>
      <c r="AR99" s="2"/>
      <c r="AS99" s="2"/>
      <c r="AV99" s="6"/>
      <c r="AY99" s="13"/>
      <c r="BA99" s="2"/>
      <c r="BB99" s="15"/>
      <c r="BC99" s="2"/>
      <c r="BD99" s="2"/>
      <c r="BE99" s="2"/>
      <c r="BF99" s="2"/>
      <c r="BG99" s="2"/>
      <c r="BH99" s="2"/>
      <c r="BI99" s="2"/>
      <c r="BJ99" s="2"/>
      <c r="BK99" s="2"/>
      <c r="BL99" s="2"/>
      <c r="BM99" s="2"/>
      <c r="BN99" s="2"/>
      <c r="BO99" s="2"/>
      <c r="BP99" s="2"/>
      <c r="BQ99" s="2"/>
      <c r="BR99" s="2"/>
      <c r="BS99" s="2"/>
      <c r="BT99" s="2"/>
      <c r="BU99" s="2"/>
      <c r="BV99" s="2"/>
      <c r="BW99" s="2"/>
      <c r="BZ99" s="4" t="s">
        <v>1131</v>
      </c>
      <c r="CA99" s="4" t="s">
        <v>1095</v>
      </c>
      <c r="CB99" s="4" t="s">
        <v>703</v>
      </c>
      <c r="CC99" s="4" t="s">
        <v>1159</v>
      </c>
      <c r="CD99" s="4" t="s">
        <v>703</v>
      </c>
      <c r="CE99" s="4" t="s">
        <v>703</v>
      </c>
    </row>
    <row r="100" spans="17:83">
      <c r="Q100" s="2"/>
      <c r="S100" s="2"/>
      <c r="U100" s="1"/>
      <c r="V100" s="1"/>
      <c r="W100" s="1"/>
      <c r="X100" s="2"/>
      <c r="Y100" s="2"/>
      <c r="Z100" s="2"/>
      <c r="AA100" s="2"/>
      <c r="AB100" s="2"/>
      <c r="AC100" s="2"/>
      <c r="AD100" s="2"/>
      <c r="AE100" s="2"/>
      <c r="AF100" s="2"/>
      <c r="AG100" s="2"/>
      <c r="AH100" s="2"/>
      <c r="AI100" s="2"/>
      <c r="AJ100" s="2"/>
      <c r="AK100" s="2"/>
      <c r="AL100" s="2"/>
      <c r="AM100" s="2"/>
      <c r="AN100" s="2"/>
      <c r="AO100" s="2"/>
      <c r="AP100" s="2"/>
      <c r="AQ100" s="2"/>
      <c r="AR100" s="2"/>
      <c r="AS100" s="2"/>
      <c r="AV100" s="6"/>
      <c r="AY100" s="13"/>
      <c r="BA100" s="2"/>
      <c r="BB100" s="15"/>
      <c r="BC100" s="2"/>
      <c r="BD100" s="2"/>
      <c r="BE100" s="2"/>
      <c r="BF100" s="2"/>
      <c r="BG100" s="2"/>
      <c r="BH100" s="2"/>
      <c r="BI100" s="2"/>
      <c r="BJ100" s="2"/>
      <c r="BK100" s="2"/>
      <c r="BL100" s="2"/>
      <c r="BM100" s="2"/>
      <c r="BN100" s="2"/>
      <c r="BO100" s="2"/>
      <c r="BP100" s="2"/>
      <c r="BQ100" s="2"/>
      <c r="BR100" s="2"/>
      <c r="BS100" s="2"/>
      <c r="BT100" s="2"/>
      <c r="BU100" s="2"/>
      <c r="BV100" s="2"/>
      <c r="BW100" s="2"/>
      <c r="BZ100" s="4" t="s">
        <v>794</v>
      </c>
      <c r="CA100" s="4" t="s">
        <v>1096</v>
      </c>
      <c r="CB100" s="4" t="s">
        <v>703</v>
      </c>
      <c r="CC100" s="4" t="s">
        <v>1160</v>
      </c>
      <c r="CD100" s="4" t="s">
        <v>703</v>
      </c>
      <c r="CE100" s="4" t="s">
        <v>703</v>
      </c>
    </row>
    <row r="101" spans="17:83">
      <c r="Q101" s="2"/>
      <c r="S101" s="2"/>
      <c r="U101" s="1"/>
      <c r="V101" s="1"/>
      <c r="W101" s="1"/>
      <c r="X101" s="2"/>
      <c r="AV101" s="6"/>
      <c r="AY101" s="13"/>
      <c r="BA101" s="2"/>
      <c r="BB101" s="15"/>
      <c r="BC101" s="2"/>
      <c r="BD101" s="2"/>
      <c r="BE101" s="2"/>
      <c r="BF101" s="2"/>
      <c r="BG101" s="2"/>
      <c r="BH101" s="2"/>
      <c r="BI101" s="2"/>
      <c r="BJ101" s="2"/>
      <c r="BK101" s="2"/>
      <c r="BL101" s="2"/>
      <c r="BM101" s="2"/>
      <c r="BN101" s="2"/>
      <c r="BO101" s="2"/>
      <c r="BP101" s="2"/>
      <c r="BQ101" s="2"/>
      <c r="BR101" s="2"/>
      <c r="BS101" s="2"/>
      <c r="BT101" s="2"/>
      <c r="BU101" s="2"/>
      <c r="BV101" s="2"/>
      <c r="BW101" s="2"/>
      <c r="BZ101" s="4" t="s">
        <v>1132</v>
      </c>
      <c r="CA101" s="4" t="s">
        <v>1097</v>
      </c>
      <c r="CB101" s="4" t="s">
        <v>703</v>
      </c>
      <c r="CC101" s="4" t="s">
        <v>817</v>
      </c>
      <c r="CD101" s="4" t="s">
        <v>703</v>
      </c>
      <c r="CE101" s="4" t="s">
        <v>703</v>
      </c>
    </row>
    <row r="102" spans="17:83">
      <c r="Q102" s="2"/>
      <c r="S102" s="2"/>
      <c r="U102" s="1"/>
      <c r="V102" s="1"/>
      <c r="W102" s="1"/>
      <c r="X102" s="2"/>
      <c r="AV102" s="6"/>
      <c r="AY102" s="13"/>
      <c r="BA102" s="2"/>
      <c r="BB102" s="15"/>
      <c r="BZ102" s="4" t="s">
        <v>703</v>
      </c>
      <c r="CA102" s="4" t="s">
        <v>703</v>
      </c>
      <c r="CB102" s="4" t="s">
        <v>703</v>
      </c>
      <c r="CD102" s="4" t="s">
        <v>703</v>
      </c>
      <c r="CE102" s="4" t="s">
        <v>703</v>
      </c>
    </row>
    <row r="103" spans="17:83">
      <c r="Q103" s="2"/>
      <c r="S103" s="2"/>
      <c r="U103" s="1"/>
      <c r="V103" s="1"/>
      <c r="W103" s="1"/>
      <c r="X103" s="2"/>
      <c r="AV103" s="6"/>
      <c r="AY103" s="13"/>
      <c r="BA103" s="2"/>
      <c r="BB103" s="15"/>
    </row>
    <row r="104" spans="17:83">
      <c r="Q104" s="2"/>
      <c r="S104" s="2"/>
      <c r="U104" s="1"/>
      <c r="V104" s="1"/>
      <c r="W104" s="1"/>
      <c r="X104" s="2"/>
      <c r="AV104" s="6"/>
      <c r="AY104" s="13"/>
      <c r="BA104" s="2"/>
      <c r="BB104" s="15"/>
    </row>
    <row r="105" spans="17:83">
      <c r="Q105" s="2"/>
      <c r="S105" s="2"/>
      <c r="U105" s="1"/>
      <c r="V105" s="1"/>
      <c r="W105" s="1"/>
      <c r="X105" s="2"/>
      <c r="AV105" s="6"/>
      <c r="AY105" s="13"/>
      <c r="BA105" s="2"/>
      <c r="BB105" s="15"/>
    </row>
    <row r="106" spans="17:83">
      <c r="Q106" s="2"/>
      <c r="S106" s="2"/>
      <c r="U106" s="1"/>
      <c r="V106" s="1"/>
      <c r="W106" s="1"/>
      <c r="X106" s="2"/>
      <c r="AV106" s="6"/>
      <c r="AY106" s="13"/>
      <c r="BA106" s="2"/>
      <c r="BB106" s="15"/>
    </row>
    <row r="107" spans="17:83">
      <c r="Q107" s="2"/>
      <c r="S107" s="2"/>
      <c r="U107" s="1"/>
      <c r="V107" s="1"/>
      <c r="W107" s="1"/>
      <c r="X107" s="2"/>
      <c r="AV107" s="6"/>
      <c r="AY107" s="13"/>
      <c r="BA107" s="2"/>
      <c r="BB107" s="15"/>
    </row>
    <row r="108" spans="17:83">
      <c r="Q108" s="2"/>
      <c r="S108" s="2"/>
      <c r="U108" s="1"/>
      <c r="V108" s="1"/>
      <c r="W108" s="1"/>
      <c r="X108" s="2"/>
      <c r="AV108" s="6"/>
      <c r="AY108" s="13"/>
      <c r="BA108" s="2"/>
      <c r="BB108" s="15"/>
    </row>
    <row r="109" spans="17:83">
      <c r="Q109" s="2"/>
      <c r="S109" s="2"/>
      <c r="U109" s="1"/>
      <c r="V109" s="1"/>
      <c r="W109" s="1"/>
      <c r="X109" s="2"/>
      <c r="AV109" s="6"/>
      <c r="AY109" s="13"/>
      <c r="BA109" s="2"/>
      <c r="BB109" s="15"/>
    </row>
    <row r="110" spans="17:83">
      <c r="Q110" s="2"/>
      <c r="S110" s="2"/>
      <c r="U110" s="1"/>
      <c r="V110" s="1"/>
      <c r="W110" s="1"/>
      <c r="X110" s="2"/>
      <c r="AV110" s="6"/>
      <c r="AY110" s="13"/>
      <c r="BA110" s="2"/>
      <c r="BB110" s="15"/>
    </row>
    <row r="111" spans="17:83">
      <c r="Q111" s="2"/>
      <c r="S111" s="2"/>
      <c r="U111" s="1"/>
      <c r="V111" s="1"/>
      <c r="W111" s="1"/>
      <c r="X111" s="2"/>
    </row>
    <row r="112" spans="17:83">
      <c r="Q112" s="2"/>
      <c r="S112" s="2"/>
      <c r="U112" s="1"/>
      <c r="V112" s="1"/>
      <c r="W112" s="1"/>
      <c r="X112" s="2"/>
    </row>
    <row r="113" spans="17:24">
      <c r="Q113" s="2"/>
      <c r="S113" s="2"/>
      <c r="U113" s="1"/>
      <c r="V113" s="1"/>
      <c r="W113" s="1"/>
      <c r="X113" s="2"/>
    </row>
    <row r="114" spans="17:24">
      <c r="Q114" s="2"/>
      <c r="S114" s="2"/>
      <c r="U114" s="1"/>
      <c r="V114" s="1"/>
      <c r="W114" s="1"/>
      <c r="X114" s="2"/>
    </row>
    <row r="115" spans="17:24">
      <c r="Q115" s="2"/>
      <c r="S115" s="2"/>
      <c r="U115" s="1"/>
      <c r="V115" s="1"/>
      <c r="W115" s="1"/>
      <c r="X115" s="2"/>
    </row>
    <row r="116" spans="17:24">
      <c r="Q116" s="2"/>
      <c r="S116" s="2"/>
      <c r="U116" s="1"/>
      <c r="V116" s="1"/>
      <c r="W116" s="1"/>
      <c r="X116" s="2"/>
    </row>
    <row r="117" spans="17:24">
      <c r="Q117" s="2"/>
      <c r="S117" s="2"/>
      <c r="U117" s="1"/>
      <c r="V117" s="1"/>
      <c r="W117" s="1"/>
      <c r="X117" s="2"/>
    </row>
    <row r="118" spans="17:24">
      <c r="Q118" s="2"/>
      <c r="S118" s="2"/>
      <c r="U118" s="1"/>
      <c r="V118" s="1"/>
      <c r="W118" s="1"/>
      <c r="X118" s="2"/>
    </row>
    <row r="119" spans="17:24">
      <c r="Q119" s="2"/>
      <c r="S119" s="2"/>
      <c r="U119" s="1"/>
      <c r="V119" s="1"/>
      <c r="W119" s="1"/>
      <c r="X119" s="2"/>
    </row>
    <row r="120" spans="17:24">
      <c r="Q120" s="2"/>
      <c r="S120" s="2"/>
      <c r="U120" s="1"/>
      <c r="V120" s="1"/>
      <c r="W120" s="1"/>
      <c r="X120" s="2"/>
    </row>
    <row r="121" spans="17:24">
      <c r="Q121" s="2"/>
      <c r="S121" s="2"/>
      <c r="U121" s="1"/>
      <c r="V121" s="1"/>
      <c r="W121" s="1"/>
      <c r="X121" s="2"/>
    </row>
    <row r="122" spans="17:24">
      <c r="Q122" s="2"/>
      <c r="S122" s="2"/>
      <c r="U122" s="1"/>
      <c r="V122" s="1"/>
      <c r="W122" s="1"/>
      <c r="X122" s="2"/>
    </row>
    <row r="123" spans="17:24">
      <c r="Q123" s="2"/>
      <c r="S123" s="2"/>
      <c r="U123" s="1"/>
      <c r="V123" s="1"/>
      <c r="W123" s="1"/>
      <c r="X123" s="2"/>
    </row>
    <row r="124" spans="17:24">
      <c r="Q124" s="2"/>
      <c r="S124" s="2"/>
      <c r="U124" s="1"/>
      <c r="V124" s="1"/>
      <c r="W124" s="1"/>
      <c r="X124" s="2"/>
    </row>
    <row r="125" spans="17:24">
      <c r="Q125" s="2"/>
      <c r="S125" s="2"/>
      <c r="U125" s="1"/>
      <c r="V125" s="1"/>
      <c r="W125" s="1"/>
      <c r="X125" s="2"/>
    </row>
    <row r="126" spans="17:24">
      <c r="Q126" s="2"/>
      <c r="S126" s="2"/>
      <c r="U126" s="1"/>
      <c r="V126" s="1"/>
      <c r="W126" s="1"/>
      <c r="X126" s="2"/>
    </row>
    <row r="127" spans="17:24">
      <c r="Q127" s="2"/>
      <c r="S127" s="2"/>
      <c r="U127" s="1"/>
      <c r="V127" s="1"/>
      <c r="W127" s="1"/>
      <c r="X127" s="2"/>
    </row>
    <row r="128" spans="17:24">
      <c r="Q128" s="2"/>
      <c r="S128" s="2"/>
      <c r="U128" s="1"/>
      <c r="V128" s="1"/>
      <c r="W128" s="1"/>
      <c r="X128" s="2"/>
    </row>
    <row r="129" spans="17:24">
      <c r="Q129" s="2"/>
      <c r="S129" s="2"/>
      <c r="U129" s="1"/>
      <c r="V129" s="1"/>
      <c r="W129" s="1"/>
      <c r="X129" s="2"/>
    </row>
    <row r="130" spans="17:24">
      <c r="Q130" s="2"/>
      <c r="S130" s="2"/>
      <c r="U130" s="1"/>
      <c r="V130" s="1"/>
      <c r="W130" s="1"/>
      <c r="X130" s="2"/>
    </row>
    <row r="131" spans="17:24">
      <c r="Q131" s="2"/>
      <c r="S131" s="2"/>
      <c r="U131" s="1"/>
      <c r="V131" s="1"/>
      <c r="W131" s="1"/>
      <c r="X131" s="2"/>
    </row>
    <row r="132" spans="17:24">
      <c r="Q132" s="2"/>
      <c r="S132" s="2"/>
      <c r="U132" s="1"/>
      <c r="V132" s="1"/>
      <c r="W132" s="1"/>
      <c r="X132" s="2"/>
    </row>
    <row r="133" spans="17:24">
      <c r="Q133" s="2"/>
      <c r="S133" s="2"/>
      <c r="U133" s="1"/>
      <c r="V133" s="1"/>
      <c r="W133" s="1"/>
      <c r="X133" s="2"/>
    </row>
    <row r="134" spans="17:24">
      <c r="Q134" s="2"/>
      <c r="S134" s="2"/>
      <c r="U134" s="1"/>
      <c r="V134" s="1"/>
      <c r="W134" s="1"/>
      <c r="X134" s="2"/>
    </row>
    <row r="135" spans="17:24">
      <c r="Q135" s="2"/>
      <c r="S135" s="2"/>
      <c r="U135" s="1"/>
      <c r="V135" s="1"/>
      <c r="W135" s="1"/>
      <c r="X135" s="2"/>
    </row>
    <row r="136" spans="17:24">
      <c r="Q136" s="2"/>
      <c r="S136" s="2"/>
      <c r="U136" s="1"/>
      <c r="V136" s="1"/>
      <c r="W136" s="1"/>
      <c r="X136" s="2"/>
    </row>
    <row r="137" spans="17:24">
      <c r="Q137" s="2"/>
      <c r="S137" s="2"/>
      <c r="U137" s="1"/>
      <c r="V137" s="1"/>
      <c r="W137" s="1"/>
      <c r="X137" s="2"/>
    </row>
    <row r="138" spans="17:24">
      <c r="Q138" s="2"/>
      <c r="S138" s="2"/>
      <c r="U138" s="1"/>
      <c r="V138" s="1"/>
      <c r="W138" s="1"/>
      <c r="X138" s="2"/>
    </row>
    <row r="139" spans="17:24">
      <c r="Q139" s="2"/>
      <c r="S139" s="2"/>
      <c r="U139" s="1"/>
      <c r="V139" s="1"/>
      <c r="W139" s="1"/>
      <c r="X139" s="2"/>
    </row>
    <row r="140" spans="17:24">
      <c r="Q140" s="2"/>
      <c r="S140" s="2"/>
      <c r="U140" s="1"/>
      <c r="V140" s="1"/>
      <c r="W140" s="1"/>
      <c r="X140" s="2"/>
    </row>
    <row r="141" spans="17:24">
      <c r="Q141" s="2"/>
      <c r="S141" s="2"/>
      <c r="U141" s="1"/>
      <c r="V141" s="1"/>
      <c r="W141" s="1"/>
      <c r="X141" s="2"/>
    </row>
    <row r="142" spans="17:24">
      <c r="Q142" s="2"/>
      <c r="S142" s="2"/>
      <c r="U142" s="1"/>
      <c r="V142" s="1"/>
      <c r="W142" s="1"/>
      <c r="X142" s="2"/>
    </row>
    <row r="143" spans="17:24">
      <c r="Q143" s="2"/>
      <c r="S143" s="2"/>
      <c r="U143" s="1"/>
      <c r="V143" s="1"/>
      <c r="W143" s="1"/>
      <c r="X143" s="2"/>
    </row>
    <row r="144" spans="17:24">
      <c r="Q144" s="2"/>
      <c r="S144" s="2"/>
      <c r="U144" s="1"/>
      <c r="V144" s="1"/>
      <c r="W144" s="1"/>
      <c r="X144" s="2"/>
    </row>
    <row r="145" spans="17:24">
      <c r="Q145" s="2"/>
      <c r="S145" s="2"/>
      <c r="U145" s="1"/>
      <c r="V145" s="1"/>
      <c r="W145" s="1"/>
      <c r="X145" s="2"/>
    </row>
    <row r="146" spans="17:24">
      <c r="Q146" s="2"/>
      <c r="S146" s="2"/>
      <c r="U146" s="1"/>
      <c r="V146" s="1"/>
      <c r="W146" s="1"/>
      <c r="X146" s="2"/>
    </row>
    <row r="147" spans="17:24">
      <c r="Q147" s="2"/>
      <c r="S147" s="2"/>
      <c r="U147" s="1"/>
      <c r="V147" s="1"/>
      <c r="W147" s="1"/>
      <c r="X147" s="2"/>
    </row>
    <row r="148" spans="17:24">
      <c r="Q148" s="2"/>
      <c r="S148" s="2"/>
      <c r="U148" s="1"/>
      <c r="V148" s="1"/>
      <c r="W148" s="1"/>
      <c r="X148" s="2"/>
    </row>
    <row r="149" spans="17:24">
      <c r="Q149" s="2"/>
      <c r="S149" s="2"/>
      <c r="U149" s="1"/>
      <c r="V149" s="1"/>
      <c r="W149" s="1"/>
      <c r="X149" s="2"/>
    </row>
    <row r="150" spans="17:24">
      <c r="Q150" s="2"/>
      <c r="S150" s="2"/>
      <c r="U150" s="1"/>
      <c r="V150" s="1"/>
      <c r="W150" s="1"/>
      <c r="X150" s="2"/>
    </row>
    <row r="151" spans="17:24">
      <c r="Q151" s="2"/>
      <c r="S151" s="2"/>
      <c r="U151" s="1"/>
      <c r="V151" s="1"/>
      <c r="W151" s="1"/>
      <c r="X151" s="2"/>
    </row>
    <row r="152" spans="17:24">
      <c r="Q152" s="2"/>
      <c r="S152" s="2"/>
      <c r="U152" s="1"/>
      <c r="V152" s="1"/>
      <c r="W152" s="1"/>
      <c r="X152" s="2"/>
    </row>
    <row r="153" spans="17:24">
      <c r="Q153" s="2"/>
      <c r="S153" s="2"/>
      <c r="U153" s="1"/>
      <c r="V153" s="1"/>
      <c r="W153" s="1"/>
      <c r="X153" s="2"/>
    </row>
    <row r="154" spans="17:24">
      <c r="Q154" s="2"/>
      <c r="S154" s="2"/>
      <c r="U154" s="1"/>
      <c r="V154" s="1"/>
      <c r="W154" s="1"/>
      <c r="X154" s="2"/>
    </row>
    <row r="155" spans="17:24">
      <c r="Q155" s="2"/>
      <c r="S155" s="2"/>
      <c r="U155" s="1"/>
      <c r="V155" s="1"/>
      <c r="W155" s="1"/>
      <c r="X155" s="2"/>
    </row>
    <row r="156" spans="17:24">
      <c r="Q156" s="2"/>
      <c r="S156" s="2"/>
      <c r="U156" s="1"/>
      <c r="V156" s="1"/>
      <c r="W156" s="1"/>
      <c r="X156" s="2"/>
    </row>
    <row r="157" spans="17:24">
      <c r="Q157" s="2"/>
      <c r="S157" s="2"/>
      <c r="U157" s="1"/>
      <c r="V157" s="1"/>
      <c r="W157" s="1"/>
      <c r="X157" s="2"/>
    </row>
    <row r="158" spans="17:24">
      <c r="Q158" s="2"/>
      <c r="S158" s="2"/>
      <c r="U158" s="1"/>
      <c r="V158" s="1"/>
      <c r="W158" s="1"/>
      <c r="X158" s="2"/>
    </row>
    <row r="159" spans="17:24">
      <c r="Q159" s="2"/>
      <c r="S159" s="2"/>
      <c r="U159" s="1"/>
      <c r="V159" s="1"/>
      <c r="W159" s="1"/>
      <c r="X159" s="2"/>
    </row>
    <row r="160" spans="17:24">
      <c r="Q160" s="2"/>
      <c r="S160" s="2"/>
      <c r="U160" s="1"/>
      <c r="V160" s="1"/>
      <c r="W160" s="1"/>
      <c r="X160" s="2"/>
    </row>
    <row r="161" spans="17:24">
      <c r="Q161" s="2"/>
      <c r="S161" s="2"/>
      <c r="U161" s="1"/>
      <c r="V161" s="1"/>
      <c r="W161" s="1"/>
      <c r="X161" s="2"/>
    </row>
    <row r="162" spans="17:24">
      <c r="Q162" s="2"/>
      <c r="S162" s="2"/>
      <c r="U162" s="1"/>
      <c r="V162" s="1"/>
      <c r="W162" s="1"/>
      <c r="X162" s="2"/>
    </row>
    <row r="163" spans="17:24">
      <c r="Q163" s="2"/>
      <c r="S163" s="2"/>
      <c r="U163" s="1"/>
      <c r="V163" s="1"/>
      <c r="W163" s="1"/>
      <c r="X163" s="2"/>
    </row>
    <row r="164" spans="17:24">
      <c r="Q164" s="2"/>
      <c r="S164" s="2"/>
      <c r="U164" s="1"/>
      <c r="V164" s="1"/>
      <c r="W164" s="1"/>
      <c r="X164" s="2"/>
    </row>
    <row r="165" spans="17:24">
      <c r="Q165" s="2"/>
      <c r="S165" s="2"/>
      <c r="U165" s="1"/>
      <c r="V165" s="1"/>
      <c r="W165" s="1"/>
      <c r="X165" s="2"/>
    </row>
    <row r="166" spans="17:24">
      <c r="Q166" s="2"/>
      <c r="S166" s="2"/>
      <c r="U166" s="1"/>
      <c r="V166" s="1"/>
      <c r="W166" s="1"/>
      <c r="X166" s="2"/>
    </row>
    <row r="167" spans="17:24">
      <c r="Q167" s="2"/>
      <c r="S167" s="2"/>
      <c r="U167" s="1"/>
      <c r="V167" s="1"/>
      <c r="W167" s="1"/>
      <c r="X167" s="2"/>
    </row>
    <row r="168" spans="17:24">
      <c r="Q168" s="2"/>
      <c r="S168" s="2"/>
      <c r="U168" s="1"/>
      <c r="V168" s="1"/>
      <c r="W168" s="1"/>
      <c r="X168" s="2"/>
    </row>
    <row r="169" spans="17:24">
      <c r="Q169" s="2"/>
      <c r="S169" s="2"/>
      <c r="U169" s="1"/>
      <c r="V169" s="1"/>
      <c r="W169" s="1"/>
      <c r="X169" s="2"/>
    </row>
    <row r="170" spans="17:24">
      <c r="Q170" s="2"/>
      <c r="S170" s="2"/>
      <c r="U170" s="1"/>
      <c r="V170" s="1"/>
      <c r="W170" s="1"/>
      <c r="X170" s="2"/>
    </row>
    <row r="171" spans="17:24">
      <c r="Q171" s="2"/>
      <c r="S171" s="2"/>
      <c r="U171" s="1"/>
      <c r="V171" s="1"/>
      <c r="W171" s="1"/>
      <c r="X171" s="2"/>
    </row>
    <row r="172" spans="17:24">
      <c r="Q172" s="2"/>
      <c r="S172" s="2"/>
      <c r="U172" s="1"/>
      <c r="V172" s="1"/>
      <c r="W172" s="1"/>
      <c r="X172" s="2"/>
    </row>
    <row r="173" spans="17:24">
      <c r="Q173" s="2"/>
      <c r="S173" s="2"/>
      <c r="U173" s="1"/>
      <c r="V173" s="1"/>
      <c r="W173" s="1"/>
      <c r="X173" s="2"/>
    </row>
    <row r="174" spans="17:24">
      <c r="Q174" s="2"/>
      <c r="S174" s="2"/>
      <c r="U174" s="1"/>
      <c r="V174" s="1"/>
      <c r="W174" s="1"/>
      <c r="X174" s="2"/>
    </row>
    <row r="175" spans="17:24">
      <c r="Q175" s="2"/>
      <c r="S175" s="2"/>
      <c r="U175" s="1"/>
      <c r="V175" s="1"/>
      <c r="W175" s="1"/>
      <c r="X175" s="2"/>
    </row>
    <row r="176" spans="17:24">
      <c r="Q176" s="2"/>
      <c r="S176" s="2"/>
      <c r="U176" s="1"/>
      <c r="V176" s="1"/>
      <c r="W176" s="1"/>
      <c r="X176" s="2"/>
    </row>
    <row r="177" spans="17:24">
      <c r="Q177" s="2"/>
      <c r="S177" s="2"/>
      <c r="U177" s="1"/>
      <c r="V177" s="1"/>
      <c r="W177" s="1"/>
      <c r="X177" s="2"/>
    </row>
    <row r="178" spans="17:24">
      <c r="Q178" s="2"/>
      <c r="S178" s="2"/>
      <c r="U178" s="1"/>
      <c r="V178" s="1"/>
      <c r="W178" s="1"/>
      <c r="X178" s="2"/>
    </row>
    <row r="179" spans="17:24">
      <c r="Q179" s="2"/>
      <c r="S179" s="2"/>
      <c r="U179" s="1"/>
      <c r="V179" s="1"/>
      <c r="W179" s="1"/>
      <c r="X179" s="2"/>
    </row>
    <row r="180" spans="17:24">
      <c r="Q180" s="2"/>
      <c r="S180" s="2"/>
      <c r="U180" s="1"/>
      <c r="V180" s="1"/>
      <c r="W180" s="1"/>
      <c r="X180" s="2"/>
    </row>
    <row r="181" spans="17:24">
      <c r="Q181" s="2"/>
      <c r="S181" s="2"/>
      <c r="U181" s="1"/>
      <c r="V181" s="1"/>
      <c r="W181" s="1"/>
      <c r="X181" s="2"/>
    </row>
    <row r="182" spans="17:24">
      <c r="Q182" s="2"/>
      <c r="S182" s="2"/>
      <c r="U182" s="1"/>
      <c r="V182" s="1"/>
      <c r="W182" s="1"/>
      <c r="X182" s="2"/>
    </row>
    <row r="183" spans="17:24">
      <c r="Q183" s="2"/>
      <c r="S183" s="2"/>
      <c r="U183" s="1"/>
      <c r="V183" s="1"/>
      <c r="W183" s="1"/>
      <c r="X183" s="2"/>
    </row>
    <row r="184" spans="17:24">
      <c r="Q184" s="2"/>
      <c r="S184" s="2"/>
      <c r="U184" s="1"/>
      <c r="V184" s="1"/>
      <c r="W184" s="1"/>
      <c r="X184" s="2"/>
    </row>
    <row r="185" spans="17:24">
      <c r="Q185" s="2"/>
      <c r="S185" s="2"/>
      <c r="U185" s="1"/>
      <c r="V185" s="1"/>
      <c r="W185" s="1"/>
      <c r="X185" s="2"/>
    </row>
    <row r="186" spans="17:24">
      <c r="Q186" s="2"/>
      <c r="S186" s="2"/>
      <c r="U186" s="1"/>
      <c r="V186" s="1"/>
      <c r="W186" s="1"/>
      <c r="X186" s="2"/>
    </row>
    <row r="187" spans="17:24">
      <c r="Q187" s="2"/>
      <c r="S187" s="2"/>
      <c r="U187" s="1"/>
      <c r="V187" s="1"/>
      <c r="W187" s="1"/>
      <c r="X187" s="2"/>
    </row>
    <row r="188" spans="17:24">
      <c r="Q188" s="2"/>
      <c r="S188" s="2"/>
      <c r="U188" s="1"/>
      <c r="V188" s="1"/>
      <c r="W188" s="1"/>
      <c r="X188" s="2"/>
    </row>
    <row r="189" spans="17:24">
      <c r="Q189" s="2"/>
      <c r="S189" s="2"/>
      <c r="U189" s="1"/>
      <c r="V189" s="1"/>
      <c r="W189" s="1"/>
      <c r="X189" s="2"/>
    </row>
    <row r="190" spans="17:24">
      <c r="Q190" s="2"/>
      <c r="S190" s="2"/>
      <c r="U190" s="1"/>
      <c r="V190" s="1"/>
      <c r="W190" s="1"/>
      <c r="X190" s="2"/>
    </row>
    <row r="191" spans="17:24">
      <c r="Q191" s="2"/>
      <c r="S191" s="2"/>
      <c r="U191" s="1"/>
      <c r="V191" s="1"/>
      <c r="W191" s="1"/>
      <c r="X191" s="2"/>
    </row>
    <row r="192" spans="17:24">
      <c r="Q192" s="2"/>
      <c r="S192" s="2"/>
      <c r="U192" s="1"/>
      <c r="V192" s="1"/>
      <c r="W192" s="1"/>
      <c r="X192" s="2"/>
    </row>
    <row r="193" spans="17:24">
      <c r="Q193" s="2"/>
      <c r="S193" s="2"/>
      <c r="U193" s="1"/>
      <c r="V193" s="1"/>
      <c r="W193" s="1"/>
      <c r="X193" s="2"/>
    </row>
    <row r="194" spans="17:24">
      <c r="Q194" s="2"/>
      <c r="S194" s="2"/>
      <c r="U194" s="1"/>
      <c r="V194" s="1"/>
      <c r="W194" s="1"/>
      <c r="X194" s="2"/>
    </row>
    <row r="195" spans="17:24">
      <c r="Q195" s="2"/>
      <c r="S195" s="2"/>
      <c r="U195" s="1"/>
      <c r="V195" s="1"/>
      <c r="W195" s="1"/>
      <c r="X195" s="2"/>
    </row>
    <row r="196" spans="17:24">
      <c r="Q196" s="2"/>
      <c r="S196" s="2"/>
      <c r="U196" s="1"/>
      <c r="V196" s="1"/>
      <c r="W196" s="1"/>
      <c r="X196" s="2"/>
    </row>
    <row r="197" spans="17:24">
      <c r="Q197" s="2"/>
      <c r="S197" s="2"/>
      <c r="U197" s="1"/>
      <c r="V197" s="1"/>
      <c r="W197" s="1"/>
      <c r="X197" s="2"/>
    </row>
    <row r="198" spans="17:24">
      <c r="Q198" s="2"/>
      <c r="S198" s="2"/>
      <c r="U198" s="1"/>
      <c r="V198" s="1"/>
      <c r="W198" s="1"/>
      <c r="X198" s="2"/>
    </row>
    <row r="199" spans="17:24">
      <c r="Q199" s="2"/>
      <c r="S199" s="2"/>
      <c r="U199" s="1"/>
      <c r="V199" s="1"/>
      <c r="W199" s="1"/>
      <c r="X199" s="2"/>
    </row>
    <row r="200" spans="17:24">
      <c r="Q200" s="2"/>
      <c r="S200" s="2"/>
      <c r="U200" s="1"/>
      <c r="V200" s="1"/>
      <c r="W200" s="1"/>
      <c r="X200" s="2"/>
    </row>
    <row r="201" spans="17:24">
      <c r="Q201" s="2"/>
      <c r="S201" s="2"/>
      <c r="U201" s="1"/>
      <c r="V201" s="1"/>
      <c r="W201" s="1"/>
      <c r="X201" s="2"/>
    </row>
    <row r="202" spans="17:24">
      <c r="Q202" s="2"/>
      <c r="S202" s="2"/>
      <c r="U202" s="1"/>
      <c r="V202" s="1"/>
      <c r="W202" s="1"/>
      <c r="X202" s="2"/>
    </row>
    <row r="203" spans="17:24">
      <c r="Q203" s="2"/>
      <c r="S203" s="2"/>
      <c r="U203" s="1"/>
      <c r="V203" s="1"/>
      <c r="W203" s="1"/>
      <c r="X203" s="2"/>
    </row>
    <row r="204" spans="17:24">
      <c r="Q204" s="2"/>
      <c r="S204" s="2"/>
      <c r="U204" s="1"/>
      <c r="V204" s="1"/>
      <c r="W204" s="1"/>
      <c r="X204" s="2"/>
    </row>
    <row r="205" spans="17:24">
      <c r="Q205" s="2"/>
      <c r="S205" s="2"/>
      <c r="U205" s="1"/>
      <c r="V205" s="1"/>
      <c r="W205" s="1"/>
      <c r="X205" s="2"/>
    </row>
    <row r="206" spans="17:24">
      <c r="Q206" s="2"/>
      <c r="S206" s="2"/>
      <c r="U206" s="1"/>
      <c r="V206" s="1"/>
      <c r="W206" s="1"/>
      <c r="X206" s="2"/>
    </row>
    <row r="207" spans="17:24">
      <c r="Q207" s="2"/>
      <c r="S207" s="2"/>
      <c r="U207" s="1"/>
      <c r="V207" s="1"/>
      <c r="W207" s="1"/>
      <c r="X207" s="2"/>
    </row>
    <row r="208" spans="17:24">
      <c r="Q208" s="2"/>
      <c r="S208" s="2"/>
      <c r="U208" s="1"/>
      <c r="V208" s="1"/>
      <c r="W208" s="1"/>
      <c r="X208" s="2"/>
    </row>
    <row r="209" spans="17:24">
      <c r="Q209" s="2"/>
      <c r="S209" s="2"/>
      <c r="U209" s="1"/>
      <c r="V209" s="1"/>
      <c r="W209" s="1"/>
      <c r="X209" s="2"/>
    </row>
    <row r="210" spans="17:24">
      <c r="Q210" s="2"/>
      <c r="S210" s="2"/>
      <c r="U210" s="1"/>
      <c r="V210" s="1"/>
      <c r="W210" s="1"/>
      <c r="X210" s="2"/>
    </row>
    <row r="211" spans="17:24">
      <c r="Q211" s="2"/>
      <c r="S211" s="2"/>
      <c r="U211" s="1"/>
      <c r="V211" s="1"/>
      <c r="W211" s="1"/>
      <c r="X211" s="2"/>
    </row>
    <row r="212" spans="17:24">
      <c r="Q212" s="2"/>
      <c r="S212" s="2"/>
      <c r="U212" s="1"/>
      <c r="V212" s="1"/>
      <c r="W212" s="1"/>
      <c r="X212" s="2"/>
    </row>
    <row r="213" spans="17:24">
      <c r="Q213" s="2"/>
      <c r="S213" s="2"/>
      <c r="U213" s="1"/>
      <c r="V213" s="1"/>
      <c r="W213" s="1"/>
      <c r="X213" s="2"/>
    </row>
    <row r="214" spans="17:24">
      <c r="Q214" s="2"/>
      <c r="S214" s="2"/>
      <c r="U214" s="1"/>
      <c r="V214" s="1"/>
      <c r="W214" s="1"/>
      <c r="X214" s="2"/>
    </row>
    <row r="215" spans="17:24">
      <c r="Q215" s="2"/>
      <c r="S215" s="2"/>
      <c r="U215" s="1"/>
      <c r="V215" s="1"/>
      <c r="W215" s="1"/>
      <c r="X215" s="2"/>
    </row>
    <row r="216" spans="17:24">
      <c r="Q216" s="2"/>
      <c r="S216" s="2"/>
      <c r="U216" s="1"/>
      <c r="V216" s="1"/>
      <c r="W216" s="1"/>
      <c r="X216" s="2"/>
    </row>
    <row r="217" spans="17:24">
      <c r="Q217" s="2"/>
      <c r="S217" s="2"/>
      <c r="U217" s="1"/>
      <c r="V217" s="1"/>
      <c r="W217" s="1"/>
      <c r="X217" s="2"/>
    </row>
    <row r="218" spans="17:24">
      <c r="Q218" s="2"/>
      <c r="S218" s="2"/>
      <c r="U218" s="1"/>
      <c r="V218" s="1"/>
      <c r="W218" s="1"/>
      <c r="X218" s="2"/>
    </row>
    <row r="219" spans="17:24">
      <c r="Q219" s="2"/>
      <c r="S219" s="2"/>
      <c r="U219" s="1"/>
      <c r="V219" s="1"/>
      <c r="W219" s="1"/>
      <c r="X219" s="2"/>
    </row>
    <row r="220" spans="17:24">
      <c r="Q220" s="2"/>
      <c r="S220" s="2"/>
      <c r="U220" s="1"/>
      <c r="V220" s="1"/>
      <c r="W220" s="1"/>
      <c r="X220" s="2"/>
    </row>
    <row r="221" spans="17:24">
      <c r="Q221" s="2"/>
      <c r="S221" s="2"/>
      <c r="U221" s="1"/>
      <c r="V221" s="1"/>
      <c r="W221" s="1"/>
      <c r="X221" s="2"/>
    </row>
    <row r="222" spans="17:24">
      <c r="Q222" s="2"/>
      <c r="S222" s="2"/>
      <c r="U222" s="1"/>
      <c r="V222" s="1"/>
      <c r="W222" s="1"/>
      <c r="X222" s="2"/>
    </row>
    <row r="223" spans="17:24">
      <c r="Q223" s="2"/>
      <c r="S223" s="2"/>
      <c r="U223" s="1"/>
      <c r="V223" s="1"/>
      <c r="W223" s="1"/>
      <c r="X223" s="2"/>
    </row>
    <row r="224" spans="17:24">
      <c r="Q224" s="2"/>
      <c r="S224" s="2"/>
      <c r="U224" s="1"/>
      <c r="V224" s="1"/>
      <c r="W224" s="1"/>
      <c r="X224" s="2"/>
    </row>
    <row r="225" spans="17:24">
      <c r="Q225" s="2"/>
      <c r="S225" s="2"/>
      <c r="U225" s="1"/>
      <c r="V225" s="1"/>
      <c r="W225" s="1"/>
      <c r="X225" s="2"/>
    </row>
  </sheetData>
  <phoneticPr fontId="6" type="noConversion"/>
  <hyperlinks>
    <hyperlink ref="D65" r:id="rId1" xr:uid="{9DBA56ED-5479-4856-9DD1-189E54A1A28B}"/>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H76"/>
  <sheetViews>
    <sheetView workbookViewId="0">
      <selection activeCell="D2" sqref="D2"/>
    </sheetView>
  </sheetViews>
  <sheetFormatPr defaultColWidth="8.81640625" defaultRowHeight="14.5"/>
  <cols>
    <col min="1" max="3" width="21" style="4" customWidth="1"/>
    <col min="4" max="4" width="24.36328125" style="4" bestFit="1" customWidth="1"/>
    <col min="5" max="16384" width="8.81640625" style="3"/>
  </cols>
  <sheetData>
    <row r="1" spans="1:8">
      <c r="A1" s="5" t="s">
        <v>103</v>
      </c>
      <c r="B1" s="5" t="s">
        <v>104</v>
      </c>
      <c r="C1" s="5" t="s">
        <v>105</v>
      </c>
      <c r="D1" s="5" t="s">
        <v>106</v>
      </c>
    </row>
    <row r="2" spans="1:8">
      <c r="A2" s="2" t="e">
        <f>#REF!</f>
        <v>#REF!</v>
      </c>
      <c r="B2" s="2" t="e">
        <f>#REF!</f>
        <v>#REF!</v>
      </c>
      <c r="C2" s="2" t="e">
        <f>#REF!</f>
        <v>#REF!</v>
      </c>
      <c r="D2" s="2">
        <f>ROUND(BackgroundCalcs!D32,0)</f>
        <v>0</v>
      </c>
    </row>
    <row r="10" spans="1:8">
      <c r="H10" s="8"/>
    </row>
    <row r="11" spans="1:8">
      <c r="H11" s="9"/>
    </row>
    <row r="12" spans="1:8">
      <c r="H12" s="9"/>
    </row>
    <row r="14" spans="1:8">
      <c r="H14" s="8"/>
    </row>
    <row r="15" spans="1:8">
      <c r="H15" s="8"/>
    </row>
    <row r="16" spans="1:8">
      <c r="H16" s="8"/>
    </row>
    <row r="17" spans="8:8">
      <c r="H17" s="8"/>
    </row>
    <row r="18" spans="8:8">
      <c r="H18" s="8"/>
    </row>
    <row r="20" spans="8:8">
      <c r="H20" s="9"/>
    </row>
    <row r="21" spans="8:8">
      <c r="H21" s="10"/>
    </row>
    <row r="22" spans="8:8">
      <c r="H22" s="10"/>
    </row>
    <row r="23" spans="8:8">
      <c r="H23" s="10"/>
    </row>
    <row r="25" spans="8:8">
      <c r="H25" s="9"/>
    </row>
    <row r="26" spans="8:8">
      <c r="H26" s="10"/>
    </row>
    <row r="28" spans="8:8">
      <c r="H28" s="10"/>
    </row>
    <row r="29" spans="8:8">
      <c r="H29" s="10"/>
    </row>
    <row r="30" spans="8:8">
      <c r="H30" s="10"/>
    </row>
    <row r="31" spans="8:8">
      <c r="H31" s="10"/>
    </row>
    <row r="32" spans="8:8">
      <c r="H32" s="10"/>
    </row>
    <row r="33" spans="8:8">
      <c r="H33" s="10"/>
    </row>
    <row r="35" spans="8:8">
      <c r="H35" s="9"/>
    </row>
    <row r="36" spans="8:8">
      <c r="H36" s="10"/>
    </row>
    <row r="37" spans="8:8">
      <c r="H37" s="10"/>
    </row>
    <row r="38" spans="8:8">
      <c r="H38" s="10"/>
    </row>
    <row r="40" spans="8:8">
      <c r="H40" s="9"/>
    </row>
    <row r="41" spans="8:8">
      <c r="H41" s="10"/>
    </row>
    <row r="43" spans="8:8">
      <c r="H43" s="9"/>
    </row>
    <row r="44" spans="8:8">
      <c r="H44" s="10"/>
    </row>
    <row r="46" spans="8:8">
      <c r="H46" s="9"/>
    </row>
    <row r="47" spans="8:8">
      <c r="H47" s="10"/>
    </row>
    <row r="48" spans="8:8">
      <c r="H48" s="10"/>
    </row>
    <row r="49" spans="8:8">
      <c r="H49" s="10"/>
    </row>
    <row r="50" spans="8:8">
      <c r="H50" s="10"/>
    </row>
    <row r="51" spans="8:8">
      <c r="H51" s="10"/>
    </row>
    <row r="52" spans="8:8">
      <c r="H52" s="10"/>
    </row>
    <row r="53" spans="8:8">
      <c r="H53" s="10"/>
    </row>
    <row r="54" spans="8:8">
      <c r="H54" s="10"/>
    </row>
    <row r="55" spans="8:8">
      <c r="H55" s="10"/>
    </row>
    <row r="56" spans="8:8">
      <c r="H56" s="10"/>
    </row>
    <row r="57" spans="8:8">
      <c r="H57" s="10"/>
    </row>
    <row r="58" spans="8:8">
      <c r="H58" s="10"/>
    </row>
    <row r="59" spans="8:8">
      <c r="H59" s="10"/>
    </row>
    <row r="60" spans="8:8">
      <c r="H60" s="10"/>
    </row>
    <row r="61" spans="8:8">
      <c r="H61" s="10"/>
    </row>
    <row r="63" spans="8:8">
      <c r="H63" s="10"/>
    </row>
    <row r="64" spans="8:8">
      <c r="H64" s="10"/>
    </row>
    <row r="65" spans="8:8">
      <c r="H65" s="10"/>
    </row>
    <row r="67" spans="8:8">
      <c r="H67" s="9"/>
    </row>
    <row r="68" spans="8:8">
      <c r="H68" s="10"/>
    </row>
    <row r="70" spans="8:8">
      <c r="H70" s="10"/>
    </row>
    <row r="71" spans="8:8">
      <c r="H71" s="10"/>
    </row>
    <row r="72" spans="8:8">
      <c r="H72" s="10"/>
    </row>
    <row r="73" spans="8:8">
      <c r="H73" s="10"/>
    </row>
    <row r="74" spans="8:8">
      <c r="H74" s="10"/>
    </row>
    <row r="75" spans="8:8">
      <c r="H75" s="8"/>
    </row>
    <row r="76" spans="8:8">
      <c r="H76" s="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61055-155C-445F-BBD4-3909BBE38A7E}">
  <sheetPr codeName="Sheet3"/>
  <dimension ref="A1:H500"/>
  <sheetViews>
    <sheetView zoomScale="130" zoomScaleNormal="130" workbookViewId="0"/>
  </sheetViews>
  <sheetFormatPr defaultRowHeight="14.5"/>
  <cols>
    <col min="1" max="1" width="8.7265625" style="3"/>
    <col min="2" max="2" width="12.1796875" style="4" bestFit="1" customWidth="1"/>
    <col min="3" max="3" width="21.81640625" style="3" bestFit="1" customWidth="1"/>
    <col min="4" max="4" width="7.1796875" style="3" customWidth="1"/>
    <col min="5" max="5" width="31.81640625" style="3" customWidth="1"/>
    <col min="6" max="6" width="5.81640625" style="3" bestFit="1" customWidth="1"/>
    <col min="7" max="7" width="41.08984375" style="3" bestFit="1" customWidth="1"/>
    <col min="8" max="8" width="16.81640625" style="3" bestFit="1" customWidth="1"/>
    <col min="9" max="16384" width="8.7265625" style="3"/>
  </cols>
  <sheetData>
    <row r="1" spans="1:8">
      <c r="B1" s="4" t="s">
        <v>85</v>
      </c>
      <c r="C1" s="3" t="s">
        <v>86</v>
      </c>
      <c r="D1" s="3" t="s">
        <v>87</v>
      </c>
      <c r="E1" s="3" t="s">
        <v>88</v>
      </c>
      <c r="F1" s="3" t="s">
        <v>89</v>
      </c>
      <c r="G1" s="3" t="s">
        <v>90</v>
      </c>
      <c r="H1" s="3" t="s">
        <v>91</v>
      </c>
    </row>
    <row r="2" spans="1:8">
      <c r="A2" s="4">
        <v>1</v>
      </c>
      <c r="B2" s="4" t="str">
        <f>IF(ISNUMBER(A2),"CELL","")</f>
        <v>CELL</v>
      </c>
      <c r="C2" s="19" t="str" cm="1">
        <f t="array" ref="C2">IF(ISNUMBER(A2),IF(A2=A1,INDEX(BackgroundCalcs!$AV$2:$AV$500,'Grading Formulas'!$A2),"Question Results"),"")</f>
        <v>Question Results</v>
      </c>
      <c r="D2" s="6" t="str" cm="1">
        <f t="array" ref="D2">IF(ISNUMBER($A2),IF(A2=A1,INDEX(BackgroundCalcs!$AW$2:$AW$500,'Grading Formulas'!$A2),"C"&amp;A2+9),"")</f>
        <v>C10</v>
      </c>
      <c r="E2" s="3" t="str" cm="1">
        <f t="array" ref="E2">IF(ISNUMBER($A2),IF(A2=A1,"Reference2(False,True,"&amp;INDEX(BackgroundCalcs!$AX$2:$AX$500,'Grading Formulas'!$A2)&amp;")","MOEValue(.0001)"),"")</f>
        <v>MOEValue(.0001)</v>
      </c>
      <c r="F2" s="3">
        <f>IF(ISNUMBER($A2),IF(A2=A1,-1000,1),"")</f>
        <v>1</v>
      </c>
      <c r="G2" s="3" t="str">
        <f>IF(ISNUMBER($A2),IF(A2=A1,"You should not be referencing the answer cell","Correct"),"")</f>
        <v>Correct</v>
      </c>
      <c r="H2" s="3" t="str">
        <f>IF(ISNUMBER($A2),IF(A2=A1,"N/A","Incorrect"),"")</f>
        <v>Incorrect</v>
      </c>
    </row>
    <row r="3" spans="1:8">
      <c r="A3" s="4">
        <v>1</v>
      </c>
      <c r="B3" s="4" t="str">
        <f t="shared" ref="B3:B27" si="0">IF(ISNUMBER(A3),"CELL","")</f>
        <v>CELL</v>
      </c>
      <c r="C3" s="19" t="str" cm="1">
        <f t="array" ref="C3">IF(ISNUMBER(A3),IF(A3=A2,INDEX(BackgroundCalcs!$AV$2:$AV$500,'Grading Formulas'!$A3),"Question Results"),"")</f>
        <v>Case Questions</v>
      </c>
      <c r="D3" s="6" t="str" cm="1">
        <f t="array" ref="D3">IF(ISNUMBER($A3),IF(A3=A2,INDEX(BackgroundCalcs!$AW$2:$AW$500,'Grading Formulas'!$A3),"C"&amp;A3+9),"")</f>
        <v>I22</v>
      </c>
      <c r="E3" s="3" t="str" cm="1">
        <f t="array" ref="E3">IF(ISNUMBER($A3),IF(A3=A2,"Reference2(False,True,"&amp;INDEX(BackgroundCalcs!$AX$2:$AX$500,'Grading Formulas'!$A3)&amp;")","MOEValue(.0001)"),"")</f>
        <v>Reference2(False,True,J22)</v>
      </c>
      <c r="F3" s="3">
        <f t="shared" ref="F3:F27" si="1">IF(ISNUMBER($A3),IF(A3=A2,-1000,1),"")</f>
        <v>-1000</v>
      </c>
      <c r="G3" s="3" t="str">
        <f t="shared" ref="G3:G27" si="2">IF(ISNUMBER($A3),IF(A3=A2,"You should not be referencing the answer cell","Correct"),"")</f>
        <v>You should not be referencing the answer cell</v>
      </c>
      <c r="H3" s="3" t="str">
        <f t="shared" ref="H3:H27" si="3">IF(ISNUMBER($A3),IF(A3=A2,"N/A","Incorrect"),"")</f>
        <v>N/A</v>
      </c>
    </row>
    <row r="4" spans="1:8">
      <c r="A4" s="4">
        <f t="shared" ref="A4:A67" si="4">IF(A2&lt;NumAnswers,A2+1,"")</f>
        <v>2</v>
      </c>
      <c r="B4" s="4" t="str">
        <f t="shared" si="0"/>
        <v>CELL</v>
      </c>
      <c r="C4" s="19" t="str" cm="1">
        <f t="array" ref="C4">IF(ISNUMBER(A4),IF(A4=A3,INDEX(BackgroundCalcs!$AV$2:$AV$500,'Grading Formulas'!$A4),"Question Results"),"")</f>
        <v>Question Results</v>
      </c>
      <c r="D4" s="6" t="str" cm="1">
        <f t="array" ref="D4">IF(ISNUMBER($A4),IF(A4=A3,INDEX(BackgroundCalcs!$AW$2:$AW$500,'Grading Formulas'!$A4),"C"&amp;A4+9),"")</f>
        <v>C11</v>
      </c>
      <c r="E4" s="3" t="str" cm="1">
        <f t="array" ref="E4">IF(ISNUMBER($A4),IF(A4=A3,"Reference2(False,True,"&amp;INDEX(BackgroundCalcs!$AX$2:$AX$500,'Grading Formulas'!$A4)&amp;")","MOEValue(.0001)"),"")</f>
        <v>MOEValue(.0001)</v>
      </c>
      <c r="F4" s="3">
        <f t="shared" si="1"/>
        <v>1</v>
      </c>
      <c r="G4" s="3" t="str">
        <f t="shared" si="2"/>
        <v>Correct</v>
      </c>
      <c r="H4" s="3" t="str">
        <f t="shared" si="3"/>
        <v>Incorrect</v>
      </c>
    </row>
    <row r="5" spans="1:8">
      <c r="A5" s="4">
        <f t="shared" si="4"/>
        <v>2</v>
      </c>
      <c r="B5" s="4" t="str">
        <f t="shared" si="0"/>
        <v>CELL</v>
      </c>
      <c r="C5" s="19" t="str" cm="1">
        <f t="array" ref="C5">IF(ISNUMBER(A5),IF(A5=A4,INDEX(BackgroundCalcs!$AV$2:$AV$500,'Grading Formulas'!$A5),"Question Results"),"")</f>
        <v>Case Questions</v>
      </c>
      <c r="D5" s="6" t="str" cm="1">
        <f t="array" ref="D5">IF(ISNUMBER($A5),IF(A5=A4,INDEX(BackgroundCalcs!$AW$2:$AW$500,'Grading Formulas'!$A5),"C"&amp;A5+9),"")</f>
        <v>I23</v>
      </c>
      <c r="E5" s="3" t="str" cm="1">
        <f t="array" ref="E5">IF(ISNUMBER($A5),IF(A5=A4,"Reference2(False,True,"&amp;INDEX(BackgroundCalcs!$AX$2:$AX$500,'Grading Formulas'!$A5)&amp;")","MOEValue(.0001)"),"")</f>
        <v>Reference2(False,True,J23)</v>
      </c>
      <c r="F5" s="3">
        <f t="shared" si="1"/>
        <v>-1000</v>
      </c>
      <c r="G5" s="3" t="str">
        <f t="shared" si="2"/>
        <v>You should not be referencing the answer cell</v>
      </c>
      <c r="H5" s="3" t="str">
        <f t="shared" si="3"/>
        <v>N/A</v>
      </c>
    </row>
    <row r="6" spans="1:8">
      <c r="A6" s="4">
        <f t="shared" si="4"/>
        <v>3</v>
      </c>
      <c r="B6" s="4" t="str">
        <f t="shared" si="0"/>
        <v>CELL</v>
      </c>
      <c r="C6" s="19" t="str" cm="1">
        <f t="array" ref="C6">IF(ISNUMBER(A6),IF(A6=A5,INDEX(BackgroundCalcs!$AV$2:$AV$500,'Grading Formulas'!$A6),"Question Results"),"")</f>
        <v>Question Results</v>
      </c>
      <c r="D6" s="6" t="str" cm="1">
        <f t="array" ref="D6">IF(ISNUMBER($A6),IF(A6=A5,INDEX(BackgroundCalcs!$AW$2:$AW$500,'Grading Formulas'!$A6),"C"&amp;A6+9),"")</f>
        <v>C12</v>
      </c>
      <c r="E6" s="3" t="str" cm="1">
        <f t="array" ref="E6">IF(ISNUMBER($A6),IF(A6=A5,"Reference2(False,True,"&amp;INDEX(BackgroundCalcs!$AX$2:$AX$500,'Grading Formulas'!$A6)&amp;")","MOEValue(.0001)"),"")</f>
        <v>MOEValue(.0001)</v>
      </c>
      <c r="F6" s="3">
        <f t="shared" si="1"/>
        <v>1</v>
      </c>
      <c r="G6" s="3" t="str">
        <f t="shared" si="2"/>
        <v>Correct</v>
      </c>
      <c r="H6" s="3" t="str">
        <f t="shared" si="3"/>
        <v>Incorrect</v>
      </c>
    </row>
    <row r="7" spans="1:8">
      <c r="A7" s="4">
        <f t="shared" si="4"/>
        <v>3</v>
      </c>
      <c r="B7" s="4" t="str">
        <f t="shared" si="0"/>
        <v>CELL</v>
      </c>
      <c r="C7" s="19" t="str" cm="1">
        <f t="array" ref="C7">IF(ISNUMBER(A7),IF(A7=A6,INDEX(BackgroundCalcs!$AV$2:$AV$500,'Grading Formulas'!$A7),"Question Results"),"")</f>
        <v>Case Questions</v>
      </c>
      <c r="D7" s="6" t="str" cm="1">
        <f t="array" ref="D7">IF(ISNUMBER($A7),IF(A7=A6,INDEX(BackgroundCalcs!$AW$2:$AW$500,'Grading Formulas'!$A7),"C"&amp;A7+9),"")</f>
        <v>I24</v>
      </c>
      <c r="E7" s="3" t="str" cm="1">
        <f t="array" ref="E7">IF(ISNUMBER($A7),IF(A7=A6,"Reference2(False,True,"&amp;INDEX(BackgroundCalcs!$AX$2:$AX$500,'Grading Formulas'!$A7)&amp;")","MOEValue(.0001)"),"")</f>
        <v>Reference2(False,True,J24)</v>
      </c>
      <c r="F7" s="3">
        <f t="shared" si="1"/>
        <v>-1000</v>
      </c>
      <c r="G7" s="3" t="str">
        <f t="shared" si="2"/>
        <v>You should not be referencing the answer cell</v>
      </c>
      <c r="H7" s="3" t="str">
        <f t="shared" si="3"/>
        <v>N/A</v>
      </c>
    </row>
    <row r="8" spans="1:8">
      <c r="A8" s="4">
        <f t="shared" si="4"/>
        <v>4</v>
      </c>
      <c r="B8" s="4" t="str">
        <f t="shared" si="0"/>
        <v>CELL</v>
      </c>
      <c r="C8" s="19" t="str" cm="1">
        <f t="array" ref="C8">IF(ISNUMBER(A8),IF(A8=A7,INDEX(BackgroundCalcs!$AV$2:$AV$500,'Grading Formulas'!$A8),"Question Results"),"")</f>
        <v>Question Results</v>
      </c>
      <c r="D8" s="6" t="str" cm="1">
        <f t="array" ref="D8">IF(ISNUMBER($A8),IF(A8=A7,INDEX(BackgroundCalcs!$AW$2:$AW$500,'Grading Formulas'!$A8),"C"&amp;A8+9),"")</f>
        <v>C13</v>
      </c>
      <c r="E8" s="3" t="str" cm="1">
        <f t="array" ref="E8">IF(ISNUMBER($A8),IF(A8=A7,"Reference2(False,True,"&amp;INDEX(BackgroundCalcs!$AX$2:$AX$500,'Grading Formulas'!$A8)&amp;")","MOEValue(.0001)"),"")</f>
        <v>MOEValue(.0001)</v>
      </c>
      <c r="F8" s="3">
        <f t="shared" si="1"/>
        <v>1</v>
      </c>
      <c r="G8" s="3" t="str">
        <f t="shared" si="2"/>
        <v>Correct</v>
      </c>
      <c r="H8" s="3" t="str">
        <f t="shared" si="3"/>
        <v>Incorrect</v>
      </c>
    </row>
    <row r="9" spans="1:8">
      <c r="A9" s="4">
        <f t="shared" si="4"/>
        <v>4</v>
      </c>
      <c r="B9" s="4" t="str">
        <f t="shared" si="0"/>
        <v>CELL</v>
      </c>
      <c r="C9" s="19" t="str" cm="1">
        <f t="array" ref="C9">IF(ISNUMBER(A9),IF(A9=A8,INDEX(BackgroundCalcs!$AV$2:$AV$500,'Grading Formulas'!$A9),"Question Results"),"")</f>
        <v>Case Questions</v>
      </c>
      <c r="D9" s="6" t="str" cm="1">
        <f t="array" ref="D9">IF(ISNUMBER($A9),IF(A9=A8,INDEX(BackgroundCalcs!$AW$2:$AW$500,'Grading Formulas'!$A9),"C"&amp;A9+9),"")</f>
        <v>I25</v>
      </c>
      <c r="E9" s="3" t="str" cm="1">
        <f t="array" ref="E9">IF(ISNUMBER($A9),IF(A9=A8,"Reference2(False,True,"&amp;INDEX(BackgroundCalcs!$AX$2:$AX$500,'Grading Formulas'!$A9)&amp;")","MOEValue(.0001)"),"")</f>
        <v>Reference2(False,True,J25)</v>
      </c>
      <c r="F9" s="3">
        <f t="shared" si="1"/>
        <v>-1000</v>
      </c>
      <c r="G9" s="3" t="str">
        <f t="shared" si="2"/>
        <v>You should not be referencing the answer cell</v>
      </c>
      <c r="H9" s="3" t="str">
        <f t="shared" si="3"/>
        <v>N/A</v>
      </c>
    </row>
    <row r="10" spans="1:8">
      <c r="A10" s="4">
        <f t="shared" si="4"/>
        <v>5</v>
      </c>
      <c r="B10" s="4" t="str">
        <f t="shared" si="0"/>
        <v>CELL</v>
      </c>
      <c r="C10" s="19" t="str" cm="1">
        <f t="array" ref="C10">IF(ISNUMBER(A10),IF(A10=A9,INDEX(BackgroundCalcs!$AV$2:$AV$500,'Grading Formulas'!$A10),"Question Results"),"")</f>
        <v>Question Results</v>
      </c>
      <c r="D10" s="6" t="str" cm="1">
        <f t="array" ref="D10">IF(ISNUMBER($A10),IF(A10=A9,INDEX(BackgroundCalcs!$AW$2:$AW$500,'Grading Formulas'!$A10),"C"&amp;A10+9),"")</f>
        <v>C14</v>
      </c>
      <c r="E10" s="3" t="str" cm="1">
        <f t="array" ref="E10">IF(ISNUMBER($A10),IF(A10=A9,"Reference2(False,True,"&amp;INDEX(BackgroundCalcs!$AX$2:$AX$500,'Grading Formulas'!$A10)&amp;")","MOEValue(.0001)"),"")</f>
        <v>MOEValue(.0001)</v>
      </c>
      <c r="F10" s="3">
        <f t="shared" si="1"/>
        <v>1</v>
      </c>
      <c r="G10" s="3" t="str">
        <f t="shared" si="2"/>
        <v>Correct</v>
      </c>
      <c r="H10" s="3" t="str">
        <f t="shared" si="3"/>
        <v>Incorrect</v>
      </c>
    </row>
    <row r="11" spans="1:8">
      <c r="A11" s="4">
        <f t="shared" si="4"/>
        <v>5</v>
      </c>
      <c r="B11" s="4" t="str">
        <f t="shared" si="0"/>
        <v>CELL</v>
      </c>
      <c r="C11" s="19" t="str" cm="1">
        <f t="array" ref="C11">IF(ISNUMBER(A11),IF(A11=A10,INDEX(BackgroundCalcs!$AV$2:$AV$500,'Grading Formulas'!$A11),"Question Results"),"")</f>
        <v>Case Questions</v>
      </c>
      <c r="D11" s="6" t="str" cm="1">
        <f t="array" ref="D11">IF(ISNUMBER($A11),IF(A11=A10,INDEX(BackgroundCalcs!$AW$2:$AW$500,'Grading Formulas'!$A11),"C"&amp;A11+9),"")</f>
        <v>I26</v>
      </c>
      <c r="E11" s="3" t="str" cm="1">
        <f t="array" ref="E11">IF(ISNUMBER($A11),IF(A11=A10,"Reference2(False,True,"&amp;INDEX(BackgroundCalcs!$AX$2:$AX$500,'Grading Formulas'!$A11)&amp;")","MOEValue(.0001)"),"")</f>
        <v>Reference2(False,True,J26)</v>
      </c>
      <c r="F11" s="3">
        <f t="shared" si="1"/>
        <v>-1000</v>
      </c>
      <c r="G11" s="3" t="str">
        <f t="shared" si="2"/>
        <v>You should not be referencing the answer cell</v>
      </c>
      <c r="H11" s="3" t="str">
        <f t="shared" si="3"/>
        <v>N/A</v>
      </c>
    </row>
    <row r="12" spans="1:8">
      <c r="A12" s="4">
        <f t="shared" si="4"/>
        <v>6</v>
      </c>
      <c r="B12" s="4" t="str">
        <f t="shared" si="0"/>
        <v>CELL</v>
      </c>
      <c r="C12" s="19" t="str" cm="1">
        <f t="array" ref="C12">IF(ISNUMBER(A12),IF(A12=A11,INDEX(BackgroundCalcs!$AV$2:$AV$500,'Grading Formulas'!$A12),"Question Results"),"")</f>
        <v>Question Results</v>
      </c>
      <c r="D12" s="6" t="str" cm="1">
        <f t="array" ref="D12">IF(ISNUMBER($A12),IF(A12=A11,INDEX(BackgroundCalcs!$AW$2:$AW$500,'Grading Formulas'!$A12),"C"&amp;A12+9),"")</f>
        <v>C15</v>
      </c>
      <c r="E12" s="3" t="str" cm="1">
        <f t="array" ref="E12">IF(ISNUMBER($A12),IF(A12=A11,"Reference2(False,True,"&amp;INDEX(BackgroundCalcs!$AX$2:$AX$500,'Grading Formulas'!$A12)&amp;")","MOEValue(.0001)"),"")</f>
        <v>MOEValue(.0001)</v>
      </c>
      <c r="F12" s="3">
        <f t="shared" si="1"/>
        <v>1</v>
      </c>
      <c r="G12" s="3" t="str">
        <f t="shared" si="2"/>
        <v>Correct</v>
      </c>
      <c r="H12" s="3" t="str">
        <f t="shared" si="3"/>
        <v>Incorrect</v>
      </c>
    </row>
    <row r="13" spans="1:8">
      <c r="A13" s="4">
        <f t="shared" si="4"/>
        <v>6</v>
      </c>
      <c r="B13" s="4" t="str">
        <f t="shared" si="0"/>
        <v>CELL</v>
      </c>
      <c r="C13" s="19" t="str" cm="1">
        <f t="array" ref="C13">IF(ISNUMBER(A13),IF(A13=A12,INDEX(BackgroundCalcs!$AV$2:$AV$500,'Grading Formulas'!$A13),"Question Results"),"")</f>
        <v>Case Questions</v>
      </c>
      <c r="D13" s="6" t="str" cm="1">
        <f t="array" ref="D13">IF(ISNUMBER($A13),IF(A13=A12,INDEX(BackgroundCalcs!$AW$2:$AW$500,'Grading Formulas'!$A13),"C"&amp;A13+9),"")</f>
        <v>I27</v>
      </c>
      <c r="E13" s="3" t="str" cm="1">
        <f t="array" ref="E13">IF(ISNUMBER($A13),IF(A13=A12,"Reference2(False,True,"&amp;INDEX(BackgroundCalcs!$AX$2:$AX$500,'Grading Formulas'!$A13)&amp;")","MOEValue(.0001)"),"")</f>
        <v>Reference2(False,True,J27)</v>
      </c>
      <c r="F13" s="3">
        <f t="shared" si="1"/>
        <v>-1000</v>
      </c>
      <c r="G13" s="3" t="str">
        <f t="shared" si="2"/>
        <v>You should not be referencing the answer cell</v>
      </c>
      <c r="H13" s="3" t="str">
        <f t="shared" si="3"/>
        <v>N/A</v>
      </c>
    </row>
    <row r="14" spans="1:8">
      <c r="A14" s="4">
        <f t="shared" si="4"/>
        <v>7</v>
      </c>
      <c r="B14" s="4" t="str">
        <f t="shared" si="0"/>
        <v>CELL</v>
      </c>
      <c r="C14" s="19" t="str" cm="1">
        <f t="array" ref="C14">IF(ISNUMBER(A14),IF(A14=A13,INDEX(BackgroundCalcs!$AV$2:$AV$500,'Grading Formulas'!$A14),"Question Results"),"")</f>
        <v>Question Results</v>
      </c>
      <c r="D14" s="6" t="str" cm="1">
        <f t="array" ref="D14">IF(ISNUMBER($A14),IF(A14=A13,INDEX(BackgroundCalcs!$AW$2:$AW$500,'Grading Formulas'!$A14),"C"&amp;A14+9),"")</f>
        <v>C16</v>
      </c>
      <c r="E14" s="3" t="str" cm="1">
        <f t="array" ref="E14">IF(ISNUMBER($A14),IF(A14=A13,"Reference2(False,True,"&amp;INDEX(BackgroundCalcs!$AX$2:$AX$500,'Grading Formulas'!$A14)&amp;")","MOEValue(.0001)"),"")</f>
        <v>MOEValue(.0001)</v>
      </c>
      <c r="F14" s="3">
        <f t="shared" si="1"/>
        <v>1</v>
      </c>
      <c r="G14" s="3" t="str">
        <f t="shared" si="2"/>
        <v>Correct</v>
      </c>
      <c r="H14" s="3" t="str">
        <f t="shared" si="3"/>
        <v>Incorrect</v>
      </c>
    </row>
    <row r="15" spans="1:8">
      <c r="A15" s="4">
        <f t="shared" si="4"/>
        <v>7</v>
      </c>
      <c r="B15" s="4" t="str">
        <f t="shared" si="0"/>
        <v>CELL</v>
      </c>
      <c r="C15" s="19" t="str" cm="1">
        <f t="array" ref="C15">IF(ISNUMBER(A15),IF(A15=A14,INDEX(BackgroundCalcs!$AV$2:$AV$500,'Grading Formulas'!$A15),"Question Results"),"")</f>
        <v>Case Questions</v>
      </c>
      <c r="D15" s="6" t="str" cm="1">
        <f t="array" ref="D15">IF(ISNUMBER($A15),IF(A15=A14,INDEX(BackgroundCalcs!$AW$2:$AW$500,'Grading Formulas'!$A15),"C"&amp;A15+9),"")</f>
        <v>I28</v>
      </c>
      <c r="E15" s="3" t="str" cm="1">
        <f t="array" ref="E15">IF(ISNUMBER($A15),IF(A15=A14,"Reference2(False,True,"&amp;INDEX(BackgroundCalcs!$AX$2:$AX$500,'Grading Formulas'!$A15)&amp;")","MOEValue(.0001)"),"")</f>
        <v>Reference2(False,True,J28)</v>
      </c>
      <c r="F15" s="3">
        <f t="shared" si="1"/>
        <v>-1000</v>
      </c>
      <c r="G15" s="3" t="str">
        <f t="shared" si="2"/>
        <v>You should not be referencing the answer cell</v>
      </c>
      <c r="H15" s="3" t="str">
        <f t="shared" si="3"/>
        <v>N/A</v>
      </c>
    </row>
    <row r="16" spans="1:8">
      <c r="A16" s="4">
        <f t="shared" si="4"/>
        <v>8</v>
      </c>
      <c r="B16" s="4" t="str">
        <f t="shared" si="0"/>
        <v>CELL</v>
      </c>
      <c r="C16" s="19" t="str" cm="1">
        <f t="array" ref="C16">IF(ISNUMBER(A16),IF(A16=A15,INDEX(BackgroundCalcs!$AV$2:$AV$500,'Grading Formulas'!$A16),"Question Results"),"")</f>
        <v>Question Results</v>
      </c>
      <c r="D16" s="6" t="str" cm="1">
        <f t="array" ref="D16">IF(ISNUMBER($A16),IF(A16=A15,INDEX(BackgroundCalcs!$AW$2:$AW$500,'Grading Formulas'!$A16),"C"&amp;A16+9),"")</f>
        <v>C17</v>
      </c>
      <c r="E16" s="3" t="str" cm="1">
        <f t="array" ref="E16">IF(ISNUMBER($A16),IF(A16=A15,"Reference2(False,True,"&amp;INDEX(BackgroundCalcs!$AX$2:$AX$500,'Grading Formulas'!$A16)&amp;")","MOEValue(.0001)"),"")</f>
        <v>MOEValue(.0001)</v>
      </c>
      <c r="F16" s="3">
        <f t="shared" si="1"/>
        <v>1</v>
      </c>
      <c r="G16" s="3" t="str">
        <f t="shared" si="2"/>
        <v>Correct</v>
      </c>
      <c r="H16" s="3" t="str">
        <f t="shared" si="3"/>
        <v>Incorrect</v>
      </c>
    </row>
    <row r="17" spans="1:8">
      <c r="A17" s="4">
        <f t="shared" si="4"/>
        <v>8</v>
      </c>
      <c r="B17" s="4" t="str">
        <f t="shared" si="0"/>
        <v>CELL</v>
      </c>
      <c r="C17" s="19" t="str" cm="1">
        <f t="array" ref="C17">IF(ISNUMBER(A17),IF(A17=A16,INDEX(BackgroundCalcs!$AV$2:$AV$500,'Grading Formulas'!$A17),"Question Results"),"")</f>
        <v>Case Questions</v>
      </c>
      <c r="D17" s="6" t="str" cm="1">
        <f t="array" ref="D17">IF(ISNUMBER($A17),IF(A17=A16,INDEX(BackgroundCalcs!$AW$2:$AW$500,'Grading Formulas'!$A17),"C"&amp;A17+9),"")</f>
        <v>I38</v>
      </c>
      <c r="E17" s="3" t="str" cm="1">
        <f t="array" ref="E17">IF(ISNUMBER($A17),IF(A17=A16,"Reference2(False,True,"&amp;INDEX(BackgroundCalcs!$AX$2:$AX$500,'Grading Formulas'!$A17)&amp;")","MOEValue(.0001)"),"")</f>
        <v>Reference2(False,True,J38)</v>
      </c>
      <c r="F17" s="3">
        <f t="shared" si="1"/>
        <v>-1000</v>
      </c>
      <c r="G17" s="3" t="str">
        <f t="shared" si="2"/>
        <v>You should not be referencing the answer cell</v>
      </c>
      <c r="H17" s="3" t="str">
        <f t="shared" si="3"/>
        <v>N/A</v>
      </c>
    </row>
    <row r="18" spans="1:8">
      <c r="A18" s="4">
        <f t="shared" si="4"/>
        <v>9</v>
      </c>
      <c r="B18" s="4" t="str">
        <f t="shared" si="0"/>
        <v>CELL</v>
      </c>
      <c r="C18" s="19" t="str" cm="1">
        <f t="array" ref="C18">IF(ISNUMBER(A18),IF(A18=A17,INDEX(BackgroundCalcs!$AV$2:$AV$500,'Grading Formulas'!$A18),"Question Results"),"")</f>
        <v>Question Results</v>
      </c>
      <c r="D18" s="6" t="str" cm="1">
        <f t="array" ref="D18">IF(ISNUMBER($A18),IF(A18=A17,INDEX(BackgroundCalcs!$AW$2:$AW$500,'Grading Formulas'!$A18),"C"&amp;A18+9),"")</f>
        <v>C18</v>
      </c>
      <c r="E18" s="3" t="str" cm="1">
        <f t="array" ref="E18">IF(ISNUMBER($A18),IF(A18=A17,"Reference2(False,True,"&amp;INDEX(BackgroundCalcs!$AX$2:$AX$500,'Grading Formulas'!$A18)&amp;")","MOEValue(.0001)"),"")</f>
        <v>MOEValue(.0001)</v>
      </c>
      <c r="F18" s="3">
        <f t="shared" si="1"/>
        <v>1</v>
      </c>
      <c r="G18" s="3" t="str">
        <f t="shared" si="2"/>
        <v>Correct</v>
      </c>
      <c r="H18" s="3" t="str">
        <f t="shared" si="3"/>
        <v>Incorrect</v>
      </c>
    </row>
    <row r="19" spans="1:8">
      <c r="A19" s="4">
        <f t="shared" si="4"/>
        <v>9</v>
      </c>
      <c r="B19" s="4" t="str">
        <f t="shared" si="0"/>
        <v>CELL</v>
      </c>
      <c r="C19" s="19" t="str" cm="1">
        <f t="array" ref="C19">IF(ISNUMBER(A19),IF(A19=A18,INDEX(BackgroundCalcs!$AV$2:$AV$500,'Grading Formulas'!$A19),"Question Results"),"")</f>
        <v>Case Questions</v>
      </c>
      <c r="D19" s="6" t="str" cm="1">
        <f t="array" ref="D19">IF(ISNUMBER($A19),IF(A19=A18,INDEX(BackgroundCalcs!$AW$2:$AW$500,'Grading Formulas'!$A19),"C"&amp;A19+9),"")</f>
        <v>I39</v>
      </c>
      <c r="E19" s="3" t="str" cm="1">
        <f t="array" ref="E19">IF(ISNUMBER($A19),IF(A19=A18,"Reference2(False,True,"&amp;INDEX(BackgroundCalcs!$AX$2:$AX$500,'Grading Formulas'!$A19)&amp;")","MOEValue(.0001)"),"")</f>
        <v>Reference2(False,True,J39)</v>
      </c>
      <c r="F19" s="3">
        <f t="shared" si="1"/>
        <v>-1000</v>
      </c>
      <c r="G19" s="3" t="str">
        <f t="shared" si="2"/>
        <v>You should not be referencing the answer cell</v>
      </c>
      <c r="H19" s="3" t="str">
        <f t="shared" si="3"/>
        <v>N/A</v>
      </c>
    </row>
    <row r="20" spans="1:8">
      <c r="A20" s="4">
        <f t="shared" si="4"/>
        <v>10</v>
      </c>
      <c r="B20" s="4" t="str">
        <f t="shared" si="0"/>
        <v>CELL</v>
      </c>
      <c r="C20" s="19" t="str" cm="1">
        <f t="array" ref="C20">IF(ISNUMBER(A20),IF(A20=A19,INDEX(BackgroundCalcs!$AV$2:$AV$500,'Grading Formulas'!$A20),"Question Results"),"")</f>
        <v>Question Results</v>
      </c>
      <c r="D20" s="6" t="str" cm="1">
        <f t="array" ref="D20">IF(ISNUMBER($A20),IF(A20=A19,INDEX(BackgroundCalcs!$AW$2:$AW$500,'Grading Formulas'!$A20),"C"&amp;A20+9),"")</f>
        <v>C19</v>
      </c>
      <c r="E20" s="3" t="str" cm="1">
        <f t="array" ref="E20">IF(ISNUMBER($A20),IF(A20=A19,"Reference2(False,True,"&amp;INDEX(BackgroundCalcs!$AX$2:$AX$500,'Grading Formulas'!$A20)&amp;")","MOEValue(.0001)"),"")</f>
        <v>MOEValue(.0001)</v>
      </c>
      <c r="F20" s="3">
        <f t="shared" si="1"/>
        <v>1</v>
      </c>
      <c r="G20" s="3" t="str">
        <f t="shared" si="2"/>
        <v>Correct</v>
      </c>
      <c r="H20" s="3" t="str">
        <f t="shared" si="3"/>
        <v>Incorrect</v>
      </c>
    </row>
    <row r="21" spans="1:8">
      <c r="A21" s="4">
        <f t="shared" si="4"/>
        <v>10</v>
      </c>
      <c r="B21" s="4" t="str">
        <f t="shared" si="0"/>
        <v>CELL</v>
      </c>
      <c r="C21" s="19" t="str" cm="1">
        <f t="array" ref="C21">IF(ISNUMBER(A21),IF(A21=A20,INDEX(BackgroundCalcs!$AV$2:$AV$500,'Grading Formulas'!$A21),"Question Results"),"")</f>
        <v>Case Questions</v>
      </c>
      <c r="D21" s="6" t="str" cm="1">
        <f t="array" ref="D21">IF(ISNUMBER($A21),IF(A21=A20,INDEX(BackgroundCalcs!$AW$2:$AW$500,'Grading Formulas'!$A21),"C"&amp;A21+9),"")</f>
        <v>I40</v>
      </c>
      <c r="E21" s="3" t="str" cm="1">
        <f t="array" ref="E21">IF(ISNUMBER($A21),IF(A21=A20,"Reference2(False,True,"&amp;INDEX(BackgroundCalcs!$AX$2:$AX$500,'Grading Formulas'!$A21)&amp;")","MOEValue(.0001)"),"")</f>
        <v>Reference2(False,True,J40)</v>
      </c>
      <c r="F21" s="3">
        <f t="shared" si="1"/>
        <v>-1000</v>
      </c>
      <c r="G21" s="3" t="str">
        <f t="shared" si="2"/>
        <v>You should not be referencing the answer cell</v>
      </c>
      <c r="H21" s="3" t="str">
        <f t="shared" si="3"/>
        <v>N/A</v>
      </c>
    </row>
    <row r="22" spans="1:8">
      <c r="A22" s="4">
        <f t="shared" si="4"/>
        <v>11</v>
      </c>
      <c r="B22" s="4" t="str">
        <f t="shared" si="0"/>
        <v>CELL</v>
      </c>
      <c r="C22" s="19" t="str" cm="1">
        <f t="array" ref="C22">IF(ISNUMBER(A22),IF(A22=A21,INDEX(BackgroundCalcs!$AV$2:$AV$500,'Grading Formulas'!$A22),"Question Results"),"")</f>
        <v>Question Results</v>
      </c>
      <c r="D22" s="6" t="str" cm="1">
        <f t="array" ref="D22">IF(ISNUMBER($A22),IF(A22=A21,INDEX(BackgroundCalcs!$AW$2:$AW$500,'Grading Formulas'!$A22),"C"&amp;A22+9),"")</f>
        <v>C20</v>
      </c>
      <c r="E22" s="3" t="str" cm="1">
        <f t="array" ref="E22">IF(ISNUMBER($A22),IF(A22=A21,"Reference2(False,True,"&amp;INDEX(BackgroundCalcs!$AX$2:$AX$500,'Grading Formulas'!$A22)&amp;")","MOEValue(.0001)"),"")</f>
        <v>MOEValue(.0001)</v>
      </c>
      <c r="F22" s="3">
        <f t="shared" si="1"/>
        <v>1</v>
      </c>
      <c r="G22" s="3" t="str">
        <f t="shared" si="2"/>
        <v>Correct</v>
      </c>
      <c r="H22" s="3" t="str">
        <f t="shared" si="3"/>
        <v>Incorrect</v>
      </c>
    </row>
    <row r="23" spans="1:8">
      <c r="A23" s="4">
        <f t="shared" si="4"/>
        <v>11</v>
      </c>
      <c r="B23" s="4" t="str">
        <f t="shared" si="0"/>
        <v>CELL</v>
      </c>
      <c r="C23" s="19" t="str" cm="1">
        <f t="array" ref="C23">IF(ISNUMBER(A23),IF(A23=A22,INDEX(BackgroundCalcs!$AV$2:$AV$500,'Grading Formulas'!$A23),"Question Results"),"")</f>
        <v>Case Questions</v>
      </c>
      <c r="D23" s="6" t="str" cm="1">
        <f t="array" ref="D23">IF(ISNUMBER($A23),IF(A23=A22,INDEX(BackgroundCalcs!$AW$2:$AW$500,'Grading Formulas'!$A23),"C"&amp;A23+9),"")</f>
        <v>I41</v>
      </c>
      <c r="E23" s="3" t="str" cm="1">
        <f t="array" ref="E23">IF(ISNUMBER($A23),IF(A23=A22,"Reference2(False,True,"&amp;INDEX(BackgroundCalcs!$AX$2:$AX$500,'Grading Formulas'!$A23)&amp;")","MOEValue(.0001)"),"")</f>
        <v>Reference2(False,True,J41)</v>
      </c>
      <c r="F23" s="3">
        <f t="shared" si="1"/>
        <v>-1000</v>
      </c>
      <c r="G23" s="3" t="str">
        <f t="shared" si="2"/>
        <v>You should not be referencing the answer cell</v>
      </c>
      <c r="H23" s="3" t="str">
        <f t="shared" si="3"/>
        <v>N/A</v>
      </c>
    </row>
    <row r="24" spans="1:8">
      <c r="A24" s="4">
        <f t="shared" si="4"/>
        <v>12</v>
      </c>
      <c r="B24" s="4" t="str">
        <f t="shared" si="0"/>
        <v>CELL</v>
      </c>
      <c r="C24" s="19" t="str" cm="1">
        <f t="array" ref="C24">IF(ISNUMBER(A24),IF(A24=A23,INDEX(BackgroundCalcs!$AV$2:$AV$500,'Grading Formulas'!$A24),"Question Results"),"")</f>
        <v>Question Results</v>
      </c>
      <c r="D24" s="6" t="str" cm="1">
        <f t="array" ref="D24">IF(ISNUMBER($A24),IF(A24=A23,INDEX(BackgroundCalcs!$AW$2:$AW$500,'Grading Formulas'!$A24),"C"&amp;A24+9),"")</f>
        <v>C21</v>
      </c>
      <c r="E24" s="3" t="str" cm="1">
        <f t="array" ref="E24">IF(ISNUMBER($A24),IF(A24=A23,"Reference2(False,True,"&amp;INDEX(BackgroundCalcs!$AX$2:$AX$500,'Grading Formulas'!$A24)&amp;")","MOEValue(.0001)"),"")</f>
        <v>MOEValue(.0001)</v>
      </c>
      <c r="F24" s="3">
        <f t="shared" si="1"/>
        <v>1</v>
      </c>
      <c r="G24" s="3" t="str">
        <f t="shared" si="2"/>
        <v>Correct</v>
      </c>
      <c r="H24" s="3" t="str">
        <f t="shared" si="3"/>
        <v>Incorrect</v>
      </c>
    </row>
    <row r="25" spans="1:8">
      <c r="A25" s="4">
        <f t="shared" si="4"/>
        <v>12</v>
      </c>
      <c r="B25" s="4" t="str">
        <f t="shared" si="0"/>
        <v>CELL</v>
      </c>
      <c r="C25" s="19" t="str" cm="1">
        <f t="array" ref="C25">IF(ISNUMBER(A25),IF(A25=A24,INDEX(BackgroundCalcs!$AV$2:$AV$500,'Grading Formulas'!$A25),"Question Results"),"")</f>
        <v>Case Questions</v>
      </c>
      <c r="D25" s="6" t="str" cm="1">
        <f t="array" ref="D25">IF(ISNUMBER($A25),IF(A25=A24,INDEX(BackgroundCalcs!$AW$2:$AW$500,'Grading Formulas'!$A25),"C"&amp;A25+9),"")</f>
        <v>I55</v>
      </c>
      <c r="E25" s="3" t="str" cm="1">
        <f t="array" ref="E25">IF(ISNUMBER($A25),IF(A25=A24,"Reference2(False,True,"&amp;INDEX(BackgroundCalcs!$AX$2:$AX$500,'Grading Formulas'!$A25)&amp;")","MOEValue(.0001)"),"")</f>
        <v>Reference2(False,True,J55)</v>
      </c>
      <c r="F25" s="3">
        <f t="shared" si="1"/>
        <v>-1000</v>
      </c>
      <c r="G25" s="3" t="str">
        <f t="shared" si="2"/>
        <v>You should not be referencing the answer cell</v>
      </c>
      <c r="H25" s="3" t="str">
        <f t="shared" si="3"/>
        <v>N/A</v>
      </c>
    </row>
    <row r="26" spans="1:8">
      <c r="A26" s="4">
        <f t="shared" si="4"/>
        <v>13</v>
      </c>
      <c r="B26" s="4" t="str">
        <f t="shared" si="0"/>
        <v>CELL</v>
      </c>
      <c r="C26" s="19" t="str" cm="1">
        <f t="array" ref="C26">IF(ISNUMBER(A26),IF(A26=A25,INDEX(BackgroundCalcs!$AV$2:$AV$500,'Grading Formulas'!$A26),"Question Results"),"")</f>
        <v>Question Results</v>
      </c>
      <c r="D26" s="6" t="str" cm="1">
        <f t="array" ref="D26">IF(ISNUMBER($A26),IF(A26=A25,INDEX(BackgroundCalcs!$AW$2:$AW$500,'Grading Formulas'!$A26),"C"&amp;A26+9),"")</f>
        <v>C22</v>
      </c>
      <c r="E26" s="3" t="str" cm="1">
        <f t="array" ref="E26">IF(ISNUMBER($A26),IF(A26=A25,"Reference2(False,True,"&amp;INDEX(BackgroundCalcs!$AX$2:$AX$500,'Grading Formulas'!$A26)&amp;")","MOEValue(.0001)"),"")</f>
        <v>MOEValue(.0001)</v>
      </c>
      <c r="F26" s="3">
        <f t="shared" si="1"/>
        <v>1</v>
      </c>
      <c r="G26" s="3" t="str">
        <f t="shared" si="2"/>
        <v>Correct</v>
      </c>
      <c r="H26" s="3" t="str">
        <f t="shared" si="3"/>
        <v>Incorrect</v>
      </c>
    </row>
    <row r="27" spans="1:8">
      <c r="A27" s="4">
        <f t="shared" si="4"/>
        <v>13</v>
      </c>
      <c r="B27" s="4" t="str">
        <f t="shared" si="0"/>
        <v>CELL</v>
      </c>
      <c r="C27" s="19" t="str" cm="1">
        <f t="array" ref="C27">IF(ISNUMBER(A27),IF(A27=A26,INDEX(BackgroundCalcs!$AV$2:$AV$500,'Grading Formulas'!$A27),"Question Results"),"")</f>
        <v>Case Questions</v>
      </c>
      <c r="D27" s="6" t="str" cm="1">
        <f t="array" ref="D27">IF(ISNUMBER($A27),IF(A27=A26,INDEX(BackgroundCalcs!$AW$2:$AW$500,'Grading Formulas'!$A27),"C"&amp;A27+9),"")</f>
        <v>I62</v>
      </c>
      <c r="E27" s="3" t="str" cm="1">
        <f t="array" ref="E27">IF(ISNUMBER($A27),IF(A27=A26,"Reference2(False,True,"&amp;INDEX(BackgroundCalcs!$AX$2:$AX$500,'Grading Formulas'!$A27)&amp;")","MOEValue(.0001)"),"")</f>
        <v>Reference2(False,True,J62)</v>
      </c>
      <c r="F27" s="3">
        <f t="shared" si="1"/>
        <v>-1000</v>
      </c>
      <c r="G27" s="3" t="str">
        <f t="shared" si="2"/>
        <v>You should not be referencing the answer cell</v>
      </c>
      <c r="H27" s="3" t="str">
        <f t="shared" si="3"/>
        <v>N/A</v>
      </c>
    </row>
    <row r="28" spans="1:8">
      <c r="A28" s="4" t="str">
        <f t="shared" si="4"/>
        <v/>
      </c>
      <c r="B28" s="4" t="str">
        <f t="shared" ref="B28:B91" si="5">IF(ISNUMBER(A28),"CELL","")</f>
        <v/>
      </c>
      <c r="C28" s="19" t="str" cm="1">
        <f t="array" ref="C28">IF(ISNUMBER(A28),IF(A28=A27,INDEX(BackgroundCalcs!$AV$2:$AV$500,'Grading Formulas'!$A28),"Question Results"),"")</f>
        <v/>
      </c>
      <c r="D28" s="6" t="str" cm="1">
        <f t="array" ref="D28">IF(ISNUMBER($A28),IF(A28=A27,INDEX(BackgroundCalcs!$AW$2:$AW$500,'Grading Formulas'!$A28),"C"&amp;A28+9),"")</f>
        <v/>
      </c>
      <c r="E28" s="3" t="str" cm="1">
        <f t="array" ref="E28">IF(ISNUMBER($A28),IF(A28=A27,"Reference2(False,True,"&amp;INDEX(BackgroundCalcs!$AX$2:$AX$500,'Grading Formulas'!$A28)&amp;")","MOEValue(.0001)"),"")</f>
        <v/>
      </c>
      <c r="F28" s="3" t="str">
        <f t="shared" ref="F28:F91" si="6">IF(ISNUMBER($A28),IF(A28=A27,-1000,1),"")</f>
        <v/>
      </c>
      <c r="G28" s="3" t="str">
        <f t="shared" ref="G28:G91" si="7">IF(ISNUMBER($A28),IF(A28=A27,"You should not be referencing the answer cell","Correct"),"")</f>
        <v/>
      </c>
      <c r="H28" s="3" t="str">
        <f t="shared" ref="H28:H91" si="8">IF(ISNUMBER($A28),IF(A28=A27,"N/A","Incorrect"),"")</f>
        <v/>
      </c>
    </row>
    <row r="29" spans="1:8">
      <c r="A29" s="4" t="str">
        <f t="shared" si="4"/>
        <v/>
      </c>
      <c r="B29" s="4" t="str">
        <f t="shared" si="5"/>
        <v/>
      </c>
      <c r="C29" s="19" t="str" cm="1">
        <f t="array" ref="C29">IF(ISNUMBER(A29),IF(A29=A28,INDEX(BackgroundCalcs!$AV$2:$AV$500,'Grading Formulas'!$A29),"Question Results"),"")</f>
        <v/>
      </c>
      <c r="D29" s="6" t="str" cm="1">
        <f t="array" ref="D29">IF(ISNUMBER($A29),IF(A29=A28,INDEX(BackgroundCalcs!$AW$2:$AW$500,'Grading Formulas'!$A29),"C"&amp;A29+9),"")</f>
        <v/>
      </c>
      <c r="E29" s="3" t="str" cm="1">
        <f t="array" ref="E29">IF(ISNUMBER($A29),IF(A29=A28,"Reference2(False,True,"&amp;INDEX(BackgroundCalcs!$AX$2:$AX$500,'Grading Formulas'!$A29)&amp;")","MOEValue(.0001)"),"")</f>
        <v/>
      </c>
      <c r="F29" s="3" t="str">
        <f t="shared" si="6"/>
        <v/>
      </c>
      <c r="G29" s="3" t="str">
        <f t="shared" si="7"/>
        <v/>
      </c>
      <c r="H29" s="3" t="str">
        <f t="shared" si="8"/>
        <v/>
      </c>
    </row>
    <row r="30" spans="1:8">
      <c r="A30" s="4" t="str">
        <f t="shared" si="4"/>
        <v/>
      </c>
      <c r="B30" s="4" t="str">
        <f t="shared" si="5"/>
        <v/>
      </c>
      <c r="C30" s="19" t="str" cm="1">
        <f t="array" ref="C30">IF(ISNUMBER(A30),IF(A30=A29,INDEX(BackgroundCalcs!$AV$2:$AV$500,'Grading Formulas'!$A30),"Question Results"),"")</f>
        <v/>
      </c>
      <c r="D30" s="6" t="str" cm="1">
        <f t="array" ref="D30">IF(ISNUMBER($A30),IF(A30=A29,INDEX(BackgroundCalcs!$AW$2:$AW$500,'Grading Formulas'!$A30),"C"&amp;A30+9),"")</f>
        <v/>
      </c>
      <c r="E30" s="3" t="str" cm="1">
        <f t="array" ref="E30">IF(ISNUMBER($A30),IF(A30=A29,"Reference2(False,True,"&amp;INDEX(BackgroundCalcs!$AX$2:$AX$500,'Grading Formulas'!$A30)&amp;")","MOEValue(.0001)"),"")</f>
        <v/>
      </c>
      <c r="F30" s="3" t="str">
        <f t="shared" si="6"/>
        <v/>
      </c>
      <c r="G30" s="3" t="str">
        <f t="shared" si="7"/>
        <v/>
      </c>
      <c r="H30" s="3" t="str">
        <f t="shared" si="8"/>
        <v/>
      </c>
    </row>
    <row r="31" spans="1:8">
      <c r="A31" s="4" t="str">
        <f t="shared" si="4"/>
        <v/>
      </c>
      <c r="B31" s="4" t="str">
        <f t="shared" si="5"/>
        <v/>
      </c>
      <c r="C31" s="19" t="str" cm="1">
        <f t="array" ref="C31">IF(ISNUMBER(A31),IF(A31=A30,INDEX(BackgroundCalcs!$AV$2:$AV$500,'Grading Formulas'!$A31),"Question Results"),"")</f>
        <v/>
      </c>
      <c r="D31" s="6" t="str" cm="1">
        <f t="array" ref="D31">IF(ISNUMBER($A31),IF(A31=A30,INDEX(BackgroundCalcs!$AW$2:$AW$500,'Grading Formulas'!$A31),"C"&amp;A31+9),"")</f>
        <v/>
      </c>
      <c r="E31" s="3" t="str" cm="1">
        <f t="array" ref="E31">IF(ISNUMBER($A31),IF(A31=A30,"Reference2(False,True,"&amp;INDEX(BackgroundCalcs!$AX$2:$AX$500,'Grading Formulas'!$A31)&amp;")","MOEValue(.0001)"),"")</f>
        <v/>
      </c>
      <c r="F31" s="3" t="str">
        <f t="shared" si="6"/>
        <v/>
      </c>
      <c r="G31" s="3" t="str">
        <f t="shared" si="7"/>
        <v/>
      </c>
      <c r="H31" s="3" t="str">
        <f t="shared" si="8"/>
        <v/>
      </c>
    </row>
    <row r="32" spans="1:8">
      <c r="A32" s="4" t="str">
        <f t="shared" si="4"/>
        <v/>
      </c>
      <c r="B32" s="4" t="str">
        <f t="shared" si="5"/>
        <v/>
      </c>
      <c r="C32" s="19" t="str" cm="1">
        <f t="array" ref="C32">IF(ISNUMBER(A32),IF(A32=A31,INDEX(BackgroundCalcs!$AV$2:$AV$500,'Grading Formulas'!$A32),"Question Results"),"")</f>
        <v/>
      </c>
      <c r="D32" s="6" t="str" cm="1">
        <f t="array" ref="D32">IF(ISNUMBER($A32),IF(A32=A31,INDEX(BackgroundCalcs!$AW$2:$AW$500,'Grading Formulas'!$A32),"C"&amp;A32+9),"")</f>
        <v/>
      </c>
      <c r="E32" s="3" t="str" cm="1">
        <f t="array" ref="E32">IF(ISNUMBER($A32),IF(A32=A31,"Reference2(False,True,"&amp;INDEX(BackgroundCalcs!$AX$2:$AX$500,'Grading Formulas'!$A32)&amp;")","MOEValue(.0001)"),"")</f>
        <v/>
      </c>
      <c r="F32" s="3" t="str">
        <f t="shared" si="6"/>
        <v/>
      </c>
      <c r="G32" s="3" t="str">
        <f t="shared" si="7"/>
        <v/>
      </c>
      <c r="H32" s="3" t="str">
        <f t="shared" si="8"/>
        <v/>
      </c>
    </row>
    <row r="33" spans="1:8">
      <c r="A33" s="4" t="str">
        <f t="shared" si="4"/>
        <v/>
      </c>
      <c r="B33" s="4" t="str">
        <f t="shared" si="5"/>
        <v/>
      </c>
      <c r="C33" s="19" t="str" cm="1">
        <f t="array" ref="C33">IF(ISNUMBER(A33),IF(A33=A32,INDEX(BackgroundCalcs!$AV$2:$AV$500,'Grading Formulas'!$A33),"Question Results"),"")</f>
        <v/>
      </c>
      <c r="D33" s="6" t="str" cm="1">
        <f t="array" ref="D33">IF(ISNUMBER($A33),IF(A33=A32,INDEX(BackgroundCalcs!$AW$2:$AW$500,'Grading Formulas'!$A33),"C"&amp;A33+9),"")</f>
        <v/>
      </c>
      <c r="E33" s="3" t="str" cm="1">
        <f t="array" ref="E33">IF(ISNUMBER($A33),IF(A33=A32,"Reference2(False,True,"&amp;INDEX(BackgroundCalcs!$AX$2:$AX$500,'Grading Formulas'!$A33)&amp;")","MOEValue(.0001)"),"")</f>
        <v/>
      </c>
      <c r="F33" s="3" t="str">
        <f t="shared" si="6"/>
        <v/>
      </c>
      <c r="G33" s="3" t="str">
        <f t="shared" si="7"/>
        <v/>
      </c>
      <c r="H33" s="3" t="str">
        <f t="shared" si="8"/>
        <v/>
      </c>
    </row>
    <row r="34" spans="1:8">
      <c r="A34" s="4" t="str">
        <f t="shared" si="4"/>
        <v/>
      </c>
      <c r="B34" s="4" t="str">
        <f t="shared" si="5"/>
        <v/>
      </c>
      <c r="C34" s="19" t="str" cm="1">
        <f t="array" ref="C34">IF(ISNUMBER(A34),IF(A34=A33,INDEX(BackgroundCalcs!$AV$2:$AV$500,'Grading Formulas'!$A34),"Question Results"),"")</f>
        <v/>
      </c>
      <c r="D34" s="6" t="str" cm="1">
        <f t="array" ref="D34">IF(ISNUMBER($A34),IF(A34=A33,INDEX(BackgroundCalcs!$AW$2:$AW$500,'Grading Formulas'!$A34),"C"&amp;A34+9),"")</f>
        <v/>
      </c>
      <c r="E34" s="3" t="str" cm="1">
        <f t="array" ref="E34">IF(ISNUMBER($A34),IF(A34=A33,"Reference2(False,True,"&amp;INDEX(BackgroundCalcs!$AX$2:$AX$500,'Grading Formulas'!$A34)&amp;")","MOEValue(.0001)"),"")</f>
        <v/>
      </c>
      <c r="F34" s="3" t="str">
        <f t="shared" si="6"/>
        <v/>
      </c>
      <c r="G34" s="3" t="str">
        <f t="shared" si="7"/>
        <v/>
      </c>
      <c r="H34" s="3" t="str">
        <f t="shared" si="8"/>
        <v/>
      </c>
    </row>
    <row r="35" spans="1:8">
      <c r="A35" s="4" t="str">
        <f t="shared" si="4"/>
        <v/>
      </c>
      <c r="B35" s="4" t="str">
        <f t="shared" si="5"/>
        <v/>
      </c>
      <c r="C35" s="19" t="str" cm="1">
        <f t="array" ref="C35">IF(ISNUMBER(A35),IF(A35=A34,INDEX(BackgroundCalcs!$AV$2:$AV$500,'Grading Formulas'!$A35),"Question Results"),"")</f>
        <v/>
      </c>
      <c r="D35" s="6" t="str" cm="1">
        <f t="array" ref="D35">IF(ISNUMBER($A35),IF(A35=A34,INDEX(BackgroundCalcs!$AW$2:$AW$500,'Grading Formulas'!$A35),"C"&amp;A35+9),"")</f>
        <v/>
      </c>
      <c r="E35" s="3" t="str" cm="1">
        <f t="array" ref="E35">IF(ISNUMBER($A35),IF(A35=A34,"Reference2(False,True,"&amp;INDEX(BackgroundCalcs!$AX$2:$AX$500,'Grading Formulas'!$A35)&amp;")","MOEValue(.0001)"),"")</f>
        <v/>
      </c>
      <c r="F35" s="3" t="str">
        <f t="shared" si="6"/>
        <v/>
      </c>
      <c r="G35" s="3" t="str">
        <f t="shared" si="7"/>
        <v/>
      </c>
      <c r="H35" s="3" t="str">
        <f t="shared" si="8"/>
        <v/>
      </c>
    </row>
    <row r="36" spans="1:8">
      <c r="A36" s="4" t="str">
        <f t="shared" si="4"/>
        <v/>
      </c>
      <c r="B36" s="4" t="str">
        <f t="shared" si="5"/>
        <v/>
      </c>
      <c r="C36" s="19" t="str" cm="1">
        <f t="array" ref="C36">IF(ISNUMBER(A36),IF(A36=A35,INDEX(BackgroundCalcs!$AV$2:$AV$500,'Grading Formulas'!$A36),"Question Results"),"")</f>
        <v/>
      </c>
      <c r="D36" s="6" t="str" cm="1">
        <f t="array" ref="D36">IF(ISNUMBER($A36),IF(A36=A35,INDEX(BackgroundCalcs!$AW$2:$AW$500,'Grading Formulas'!$A36),"C"&amp;A36+9),"")</f>
        <v/>
      </c>
      <c r="E36" s="3" t="str" cm="1">
        <f t="array" ref="E36">IF(ISNUMBER($A36),IF(A36=A35,"Reference2(False,True,"&amp;INDEX(BackgroundCalcs!$AX$2:$AX$500,'Grading Formulas'!$A36)&amp;")","MOEValue(.0001)"),"")</f>
        <v/>
      </c>
      <c r="F36" s="3" t="str">
        <f t="shared" si="6"/>
        <v/>
      </c>
      <c r="G36" s="3" t="str">
        <f t="shared" si="7"/>
        <v/>
      </c>
      <c r="H36" s="3" t="str">
        <f t="shared" si="8"/>
        <v/>
      </c>
    </row>
    <row r="37" spans="1:8">
      <c r="A37" s="4" t="str">
        <f t="shared" si="4"/>
        <v/>
      </c>
      <c r="B37" s="4" t="str">
        <f t="shared" si="5"/>
        <v/>
      </c>
      <c r="C37" s="19" t="str" cm="1">
        <f t="array" ref="C37">IF(ISNUMBER(A37),IF(A37=A36,INDEX(BackgroundCalcs!$AV$2:$AV$500,'Grading Formulas'!$A37),"Question Results"),"")</f>
        <v/>
      </c>
      <c r="D37" s="6" t="str" cm="1">
        <f t="array" ref="D37">IF(ISNUMBER($A37),IF(A37=A36,INDEX(BackgroundCalcs!$AW$2:$AW$500,'Grading Formulas'!$A37),"C"&amp;A37+9),"")</f>
        <v/>
      </c>
      <c r="E37" s="3" t="str" cm="1">
        <f t="array" ref="E37">IF(ISNUMBER($A37),IF(A37=A36,"Reference2(False,True,"&amp;INDEX(BackgroundCalcs!$AX$2:$AX$500,'Grading Formulas'!$A37)&amp;")","MOEValue(.0001)"),"")</f>
        <v/>
      </c>
      <c r="F37" s="3" t="str">
        <f t="shared" si="6"/>
        <v/>
      </c>
      <c r="G37" s="3" t="str">
        <f t="shared" si="7"/>
        <v/>
      </c>
      <c r="H37" s="3" t="str">
        <f t="shared" si="8"/>
        <v/>
      </c>
    </row>
    <row r="38" spans="1:8">
      <c r="A38" s="4" t="str">
        <f t="shared" si="4"/>
        <v/>
      </c>
      <c r="B38" s="4" t="str">
        <f t="shared" si="5"/>
        <v/>
      </c>
      <c r="C38" s="19" t="str" cm="1">
        <f t="array" ref="C38">IF(ISNUMBER(A38),IF(A38=A37,INDEX(BackgroundCalcs!$AV$2:$AV$500,'Grading Formulas'!$A38),"Question Results"),"")</f>
        <v/>
      </c>
      <c r="D38" s="6" t="str" cm="1">
        <f t="array" ref="D38">IF(ISNUMBER($A38),IF(A38=A37,INDEX(BackgroundCalcs!$AW$2:$AW$500,'Grading Formulas'!$A38),"C"&amp;A38+9),"")</f>
        <v/>
      </c>
      <c r="E38" s="3" t="str" cm="1">
        <f t="array" ref="E38">IF(ISNUMBER($A38),IF(A38=A37,"Reference2(False,True,"&amp;INDEX(BackgroundCalcs!$AX$2:$AX$500,'Grading Formulas'!$A38)&amp;")","MOEValue(.0001)"),"")</f>
        <v/>
      </c>
      <c r="F38" s="3" t="str">
        <f t="shared" si="6"/>
        <v/>
      </c>
      <c r="G38" s="3" t="str">
        <f t="shared" si="7"/>
        <v/>
      </c>
      <c r="H38" s="3" t="str">
        <f t="shared" si="8"/>
        <v/>
      </c>
    </row>
    <row r="39" spans="1:8">
      <c r="A39" s="4" t="str">
        <f t="shared" si="4"/>
        <v/>
      </c>
      <c r="B39" s="4" t="str">
        <f t="shared" si="5"/>
        <v/>
      </c>
      <c r="C39" s="19" t="str" cm="1">
        <f t="array" ref="C39">IF(ISNUMBER(A39),IF(A39=A38,INDEX(BackgroundCalcs!$AV$2:$AV$500,'Grading Formulas'!$A39),"Question Results"),"")</f>
        <v/>
      </c>
      <c r="D39" s="6" t="str" cm="1">
        <f t="array" ref="D39">IF(ISNUMBER($A39),IF(A39=A38,INDEX(BackgroundCalcs!$AW$2:$AW$500,'Grading Formulas'!$A39),"C"&amp;A39+9),"")</f>
        <v/>
      </c>
      <c r="E39" s="3" t="str" cm="1">
        <f t="array" ref="E39">IF(ISNUMBER($A39),IF(A39=A38,"Reference2(False,True,"&amp;INDEX(BackgroundCalcs!$AX$2:$AX$500,'Grading Formulas'!$A39)&amp;")","MOEValue(.0001)"),"")</f>
        <v/>
      </c>
      <c r="F39" s="3" t="str">
        <f t="shared" si="6"/>
        <v/>
      </c>
      <c r="G39" s="3" t="str">
        <f t="shared" si="7"/>
        <v/>
      </c>
      <c r="H39" s="3" t="str">
        <f t="shared" si="8"/>
        <v/>
      </c>
    </row>
    <row r="40" spans="1:8">
      <c r="A40" s="4" t="str">
        <f t="shared" si="4"/>
        <v/>
      </c>
      <c r="B40" s="4" t="str">
        <f t="shared" si="5"/>
        <v/>
      </c>
      <c r="C40" s="19" t="str" cm="1">
        <f t="array" ref="C40">IF(ISNUMBER(A40),IF(A40=A39,INDEX(BackgroundCalcs!$AV$2:$AV$500,'Grading Formulas'!$A40),"Question Results"),"")</f>
        <v/>
      </c>
      <c r="D40" s="6" t="str" cm="1">
        <f t="array" ref="D40">IF(ISNUMBER($A40),IF(A40=A39,INDEX(BackgroundCalcs!$AW$2:$AW$500,'Grading Formulas'!$A40),"C"&amp;A40+9),"")</f>
        <v/>
      </c>
      <c r="E40" s="3" t="str" cm="1">
        <f t="array" ref="E40">IF(ISNUMBER($A40),IF(A40=A39,"Reference2(False,True,"&amp;INDEX(BackgroundCalcs!$AX$2:$AX$500,'Grading Formulas'!$A40)&amp;")","MOEValue(.0001)"),"")</f>
        <v/>
      </c>
      <c r="F40" s="3" t="str">
        <f t="shared" si="6"/>
        <v/>
      </c>
      <c r="G40" s="3" t="str">
        <f t="shared" si="7"/>
        <v/>
      </c>
      <c r="H40" s="3" t="str">
        <f t="shared" si="8"/>
        <v/>
      </c>
    </row>
    <row r="41" spans="1:8">
      <c r="A41" s="4" t="str">
        <f t="shared" si="4"/>
        <v/>
      </c>
      <c r="B41" s="4" t="str">
        <f t="shared" si="5"/>
        <v/>
      </c>
      <c r="C41" s="19" t="str" cm="1">
        <f t="array" ref="C41">IF(ISNUMBER(A41),IF(A41=A40,INDEX(BackgroundCalcs!$AV$2:$AV$500,'Grading Formulas'!$A41),"Question Results"),"")</f>
        <v/>
      </c>
      <c r="D41" s="6" t="str" cm="1">
        <f t="array" ref="D41">IF(ISNUMBER($A41),IF(A41=A40,INDEX(BackgroundCalcs!$AW$2:$AW$500,'Grading Formulas'!$A41),"C"&amp;A41+9),"")</f>
        <v/>
      </c>
      <c r="E41" s="3" t="str" cm="1">
        <f t="array" ref="E41">IF(ISNUMBER($A41),IF(A41=A40,"Reference2(False,True,"&amp;INDEX(BackgroundCalcs!$AX$2:$AX$500,'Grading Formulas'!$A41)&amp;")","MOEValue(.0001)"),"")</f>
        <v/>
      </c>
      <c r="F41" s="3" t="str">
        <f t="shared" si="6"/>
        <v/>
      </c>
      <c r="G41" s="3" t="str">
        <f t="shared" si="7"/>
        <v/>
      </c>
      <c r="H41" s="3" t="str">
        <f t="shared" si="8"/>
        <v/>
      </c>
    </row>
    <row r="42" spans="1:8">
      <c r="A42" s="4" t="str">
        <f t="shared" si="4"/>
        <v/>
      </c>
      <c r="B42" s="4" t="str">
        <f t="shared" si="5"/>
        <v/>
      </c>
      <c r="C42" s="19" t="str" cm="1">
        <f t="array" ref="C42">IF(ISNUMBER(A42),IF(A42=A41,INDEX(BackgroundCalcs!$AV$2:$AV$500,'Grading Formulas'!$A42),"Question Results"),"")</f>
        <v/>
      </c>
      <c r="D42" s="6" t="str" cm="1">
        <f t="array" ref="D42">IF(ISNUMBER($A42),IF(A42=A41,INDEX(BackgroundCalcs!$AW$2:$AW$500,'Grading Formulas'!$A42),"C"&amp;A42+9),"")</f>
        <v/>
      </c>
      <c r="E42" s="3" t="str" cm="1">
        <f t="array" ref="E42">IF(ISNUMBER($A42),IF(A42=A41,"Reference2(False,True,"&amp;INDEX(BackgroundCalcs!$AX$2:$AX$500,'Grading Formulas'!$A42)&amp;")","MOEValue(.0001)"),"")</f>
        <v/>
      </c>
      <c r="F42" s="3" t="str">
        <f t="shared" si="6"/>
        <v/>
      </c>
      <c r="G42" s="3" t="str">
        <f t="shared" si="7"/>
        <v/>
      </c>
      <c r="H42" s="3" t="str">
        <f t="shared" si="8"/>
        <v/>
      </c>
    </row>
    <row r="43" spans="1:8">
      <c r="A43" s="4" t="str">
        <f t="shared" si="4"/>
        <v/>
      </c>
      <c r="B43" s="4" t="str">
        <f t="shared" si="5"/>
        <v/>
      </c>
      <c r="C43" s="19" t="str" cm="1">
        <f t="array" ref="C43">IF(ISNUMBER(A43),IF(A43=A42,INDEX(BackgroundCalcs!$AV$2:$AV$500,'Grading Formulas'!$A43),"Question Results"),"")</f>
        <v/>
      </c>
      <c r="D43" s="6" t="str" cm="1">
        <f t="array" ref="D43">IF(ISNUMBER($A43),IF(A43=A42,INDEX(BackgroundCalcs!$AW$2:$AW$500,'Grading Formulas'!$A43),"C"&amp;A43+9),"")</f>
        <v/>
      </c>
      <c r="E43" s="3" t="str" cm="1">
        <f t="array" ref="E43">IF(ISNUMBER($A43),IF(A43=A42,"Reference2(False,True,"&amp;INDEX(BackgroundCalcs!$AX$2:$AX$500,'Grading Formulas'!$A43)&amp;")","MOEValue(.0001)"),"")</f>
        <v/>
      </c>
      <c r="F43" s="3" t="str">
        <f t="shared" si="6"/>
        <v/>
      </c>
      <c r="G43" s="3" t="str">
        <f t="shared" si="7"/>
        <v/>
      </c>
      <c r="H43" s="3" t="str">
        <f t="shared" si="8"/>
        <v/>
      </c>
    </row>
    <row r="44" spans="1:8">
      <c r="A44" s="4" t="str">
        <f t="shared" si="4"/>
        <v/>
      </c>
      <c r="B44" s="4" t="str">
        <f t="shared" si="5"/>
        <v/>
      </c>
      <c r="C44" s="19" t="str" cm="1">
        <f t="array" ref="C44">IF(ISNUMBER(A44),IF(A44=A43,INDEX(BackgroundCalcs!$AV$2:$AV$500,'Grading Formulas'!$A44),"Question Results"),"")</f>
        <v/>
      </c>
      <c r="D44" s="6" t="str" cm="1">
        <f t="array" ref="D44">IF(ISNUMBER($A44),IF(A44=A43,INDEX(BackgroundCalcs!$AW$2:$AW$500,'Grading Formulas'!$A44),"C"&amp;A44+9),"")</f>
        <v/>
      </c>
      <c r="E44" s="3" t="str" cm="1">
        <f t="array" ref="E44">IF(ISNUMBER($A44),IF(A44=A43,"Reference2(False,True,"&amp;INDEX(BackgroundCalcs!$AX$2:$AX$500,'Grading Formulas'!$A44)&amp;")","MOEValue(.0001)"),"")</f>
        <v/>
      </c>
      <c r="F44" s="3" t="str">
        <f t="shared" si="6"/>
        <v/>
      </c>
      <c r="G44" s="3" t="str">
        <f t="shared" si="7"/>
        <v/>
      </c>
      <c r="H44" s="3" t="str">
        <f t="shared" si="8"/>
        <v/>
      </c>
    </row>
    <row r="45" spans="1:8">
      <c r="A45" s="4" t="str">
        <f t="shared" si="4"/>
        <v/>
      </c>
      <c r="B45" s="4" t="str">
        <f t="shared" si="5"/>
        <v/>
      </c>
      <c r="C45" s="19" t="str" cm="1">
        <f t="array" ref="C45">IF(ISNUMBER(A45),IF(A45=A44,INDEX(BackgroundCalcs!$AV$2:$AV$500,'Grading Formulas'!$A45),"Question Results"),"")</f>
        <v/>
      </c>
      <c r="D45" s="6" t="str" cm="1">
        <f t="array" ref="D45">IF(ISNUMBER($A45),IF(A45=A44,INDEX(BackgroundCalcs!$AW$2:$AW$500,'Grading Formulas'!$A45),"C"&amp;A45+9),"")</f>
        <v/>
      </c>
      <c r="E45" s="3" t="str" cm="1">
        <f t="array" ref="E45">IF(ISNUMBER($A45),IF(A45=A44,"Reference2(False,True,"&amp;INDEX(BackgroundCalcs!$AX$2:$AX$500,'Grading Formulas'!$A45)&amp;")","MOEValue(.0001)"),"")</f>
        <v/>
      </c>
      <c r="F45" s="3" t="str">
        <f t="shared" si="6"/>
        <v/>
      </c>
      <c r="G45" s="3" t="str">
        <f t="shared" si="7"/>
        <v/>
      </c>
      <c r="H45" s="3" t="str">
        <f t="shared" si="8"/>
        <v/>
      </c>
    </row>
    <row r="46" spans="1:8">
      <c r="A46" s="4" t="str">
        <f t="shared" si="4"/>
        <v/>
      </c>
      <c r="B46" s="4" t="str">
        <f t="shared" si="5"/>
        <v/>
      </c>
      <c r="C46" s="19" t="str" cm="1">
        <f t="array" ref="C46">IF(ISNUMBER(A46),IF(A46=A45,INDEX(BackgroundCalcs!$AV$2:$AV$500,'Grading Formulas'!$A46),"Question Results"),"")</f>
        <v/>
      </c>
      <c r="D46" s="6" t="str" cm="1">
        <f t="array" ref="D46">IF(ISNUMBER($A46),IF(A46=A45,INDEX(BackgroundCalcs!$AW$2:$AW$500,'Grading Formulas'!$A46),"C"&amp;A46+9),"")</f>
        <v/>
      </c>
      <c r="E46" s="3" t="str" cm="1">
        <f t="array" ref="E46">IF(ISNUMBER($A46),IF(A46=A45,"Reference2(False,True,"&amp;INDEX(BackgroundCalcs!$AX$2:$AX$500,'Grading Formulas'!$A46)&amp;")","MOEValue(.0001)"),"")</f>
        <v/>
      </c>
      <c r="F46" s="3" t="str">
        <f t="shared" si="6"/>
        <v/>
      </c>
      <c r="G46" s="3" t="str">
        <f t="shared" si="7"/>
        <v/>
      </c>
      <c r="H46" s="3" t="str">
        <f t="shared" si="8"/>
        <v/>
      </c>
    </row>
    <row r="47" spans="1:8">
      <c r="A47" s="4" t="str">
        <f t="shared" si="4"/>
        <v/>
      </c>
      <c r="B47" s="4" t="str">
        <f t="shared" si="5"/>
        <v/>
      </c>
      <c r="C47" s="19" t="str" cm="1">
        <f t="array" ref="C47">IF(ISNUMBER(A47),IF(A47=A46,INDEX(BackgroundCalcs!$AV$2:$AV$500,'Grading Formulas'!$A47),"Question Results"),"")</f>
        <v/>
      </c>
      <c r="D47" s="6" t="str" cm="1">
        <f t="array" ref="D47">IF(ISNUMBER($A47),IF(A47=A46,INDEX(BackgroundCalcs!$AW$2:$AW$500,'Grading Formulas'!$A47),"C"&amp;A47+9),"")</f>
        <v/>
      </c>
      <c r="E47" s="3" t="str" cm="1">
        <f t="array" ref="E47">IF(ISNUMBER($A47),IF(A47=A46,"Reference2(False,True,"&amp;INDEX(BackgroundCalcs!$AX$2:$AX$500,'Grading Formulas'!$A47)&amp;")","MOEValue(.0001)"),"")</f>
        <v/>
      </c>
      <c r="F47" s="3" t="str">
        <f t="shared" si="6"/>
        <v/>
      </c>
      <c r="G47" s="3" t="str">
        <f t="shared" si="7"/>
        <v/>
      </c>
      <c r="H47" s="3" t="str">
        <f t="shared" si="8"/>
        <v/>
      </c>
    </row>
    <row r="48" spans="1:8">
      <c r="A48" s="4" t="str">
        <f t="shared" si="4"/>
        <v/>
      </c>
      <c r="B48" s="4" t="str">
        <f t="shared" si="5"/>
        <v/>
      </c>
      <c r="C48" s="19" t="str" cm="1">
        <f t="array" ref="C48">IF(ISNUMBER(A48),IF(A48=A47,INDEX(BackgroundCalcs!$AV$2:$AV$500,'Grading Formulas'!$A48),"Question Results"),"")</f>
        <v/>
      </c>
      <c r="D48" s="6" t="str" cm="1">
        <f t="array" ref="D48">IF(ISNUMBER($A48),IF(A48=A47,INDEX(BackgroundCalcs!$AW$2:$AW$500,'Grading Formulas'!$A48),"C"&amp;A48+9),"")</f>
        <v/>
      </c>
      <c r="E48" s="3" t="str" cm="1">
        <f t="array" ref="E48">IF(ISNUMBER($A48),IF(A48=A47,"Reference2(False,True,"&amp;INDEX(BackgroundCalcs!$AX$2:$AX$500,'Grading Formulas'!$A48)&amp;")","MOEValue(.0001)"),"")</f>
        <v/>
      </c>
      <c r="F48" s="3" t="str">
        <f t="shared" si="6"/>
        <v/>
      </c>
      <c r="G48" s="3" t="str">
        <f t="shared" si="7"/>
        <v/>
      </c>
      <c r="H48" s="3" t="str">
        <f t="shared" si="8"/>
        <v/>
      </c>
    </row>
    <row r="49" spans="1:8">
      <c r="A49" s="4" t="str">
        <f t="shared" si="4"/>
        <v/>
      </c>
      <c r="B49" s="4" t="str">
        <f t="shared" si="5"/>
        <v/>
      </c>
      <c r="C49" s="19" t="str" cm="1">
        <f t="array" ref="C49">IF(ISNUMBER(A49),IF(A49=A48,INDEX(BackgroundCalcs!$AV$2:$AV$500,'Grading Formulas'!$A49),"Question Results"),"")</f>
        <v/>
      </c>
      <c r="D49" s="6" t="str" cm="1">
        <f t="array" ref="D49">IF(ISNUMBER($A49),IF(A49=A48,INDEX(BackgroundCalcs!$AW$2:$AW$500,'Grading Formulas'!$A49),"C"&amp;A49+9),"")</f>
        <v/>
      </c>
      <c r="E49" s="3" t="str" cm="1">
        <f t="array" ref="E49">IF(ISNUMBER($A49),IF(A49=A48,"Reference2(False,True,"&amp;INDEX(BackgroundCalcs!$AX$2:$AX$500,'Grading Formulas'!$A49)&amp;")","MOEValue(.0001)"),"")</f>
        <v/>
      </c>
      <c r="F49" s="3" t="str">
        <f t="shared" si="6"/>
        <v/>
      </c>
      <c r="G49" s="3" t="str">
        <f t="shared" si="7"/>
        <v/>
      </c>
      <c r="H49" s="3" t="str">
        <f t="shared" si="8"/>
        <v/>
      </c>
    </row>
    <row r="50" spans="1:8">
      <c r="A50" s="4" t="str">
        <f t="shared" si="4"/>
        <v/>
      </c>
      <c r="B50" s="4" t="str">
        <f t="shared" si="5"/>
        <v/>
      </c>
      <c r="C50" s="19" t="str" cm="1">
        <f t="array" ref="C50">IF(ISNUMBER(A50),IF(A50=A49,INDEX(BackgroundCalcs!$AV$2:$AV$500,'Grading Formulas'!$A50),"Question Results"),"")</f>
        <v/>
      </c>
      <c r="D50" s="6" t="str" cm="1">
        <f t="array" ref="D50">IF(ISNUMBER($A50),IF(A50=A49,INDEX(BackgroundCalcs!$AW$2:$AW$500,'Grading Formulas'!$A50),"C"&amp;A50+9),"")</f>
        <v/>
      </c>
      <c r="E50" s="3" t="str" cm="1">
        <f t="array" ref="E50">IF(ISNUMBER($A50),IF(A50=A49,"Reference2(False,True,"&amp;INDEX(BackgroundCalcs!$AX$2:$AX$500,'Grading Formulas'!$A50)&amp;")","MOEValue(.0001)"),"")</f>
        <v/>
      </c>
      <c r="F50" s="3" t="str">
        <f t="shared" si="6"/>
        <v/>
      </c>
      <c r="G50" s="3" t="str">
        <f t="shared" si="7"/>
        <v/>
      </c>
      <c r="H50" s="3" t="str">
        <f t="shared" si="8"/>
        <v/>
      </c>
    </row>
    <row r="51" spans="1:8">
      <c r="A51" s="4" t="str">
        <f t="shared" si="4"/>
        <v/>
      </c>
      <c r="B51" s="4" t="str">
        <f t="shared" si="5"/>
        <v/>
      </c>
      <c r="C51" s="19" t="str" cm="1">
        <f t="array" ref="C51">IF(ISNUMBER(A51),IF(A51=A50,INDEX(BackgroundCalcs!$AV$2:$AV$500,'Grading Formulas'!$A51),"Question Results"),"")</f>
        <v/>
      </c>
      <c r="D51" s="6" t="str" cm="1">
        <f t="array" ref="D51">IF(ISNUMBER($A51),IF(A51=A50,INDEX(BackgroundCalcs!$AW$2:$AW$500,'Grading Formulas'!$A51),"C"&amp;A51+9),"")</f>
        <v/>
      </c>
      <c r="E51" s="3" t="str" cm="1">
        <f t="array" ref="E51">IF(ISNUMBER($A51),IF(A51=A50,"Reference2(False,True,"&amp;INDEX(BackgroundCalcs!$AX$2:$AX$500,'Grading Formulas'!$A51)&amp;")","MOEValue(.0001)"),"")</f>
        <v/>
      </c>
      <c r="F51" s="3" t="str">
        <f t="shared" si="6"/>
        <v/>
      </c>
      <c r="G51" s="3" t="str">
        <f t="shared" si="7"/>
        <v/>
      </c>
      <c r="H51" s="3" t="str">
        <f t="shared" si="8"/>
        <v/>
      </c>
    </row>
    <row r="52" spans="1:8">
      <c r="A52" s="4" t="str">
        <f t="shared" si="4"/>
        <v/>
      </c>
      <c r="B52" s="4" t="str">
        <f t="shared" si="5"/>
        <v/>
      </c>
      <c r="C52" s="19" t="str" cm="1">
        <f t="array" ref="C52">IF(ISNUMBER(A52),IF(A52=A51,INDEX(BackgroundCalcs!$AV$2:$AV$500,'Grading Formulas'!$A52),"Question Results"),"")</f>
        <v/>
      </c>
      <c r="D52" s="6" t="str" cm="1">
        <f t="array" ref="D52">IF(ISNUMBER($A52),IF(A52=A51,INDEX(BackgroundCalcs!$AW$2:$AW$500,'Grading Formulas'!$A52),"C"&amp;A52+9),"")</f>
        <v/>
      </c>
      <c r="E52" s="3" t="str" cm="1">
        <f t="array" ref="E52">IF(ISNUMBER($A52),IF(A52=A51,"Reference2(False,True,"&amp;INDEX(BackgroundCalcs!$AX$2:$AX$500,'Grading Formulas'!$A52)&amp;")","MOEValue(.0001)"),"")</f>
        <v/>
      </c>
      <c r="F52" s="3" t="str">
        <f t="shared" si="6"/>
        <v/>
      </c>
      <c r="G52" s="3" t="str">
        <f t="shared" si="7"/>
        <v/>
      </c>
      <c r="H52" s="3" t="str">
        <f t="shared" si="8"/>
        <v/>
      </c>
    </row>
    <row r="53" spans="1:8">
      <c r="A53" s="4" t="str">
        <f t="shared" si="4"/>
        <v/>
      </c>
      <c r="B53" s="4" t="str">
        <f t="shared" si="5"/>
        <v/>
      </c>
      <c r="C53" s="19" t="str" cm="1">
        <f t="array" ref="C53">IF(ISNUMBER(A53),IF(A53=A52,INDEX(BackgroundCalcs!$AV$2:$AV$500,'Grading Formulas'!$A53),"Question Results"),"")</f>
        <v/>
      </c>
      <c r="D53" s="6" t="str" cm="1">
        <f t="array" ref="D53">IF(ISNUMBER($A53),IF(A53=A52,INDEX(BackgroundCalcs!$AW$2:$AW$500,'Grading Formulas'!$A53),"C"&amp;A53+9),"")</f>
        <v/>
      </c>
      <c r="E53" s="3" t="str" cm="1">
        <f t="array" ref="E53">IF(ISNUMBER($A53),IF(A53=A52,"Reference2(False,True,"&amp;INDEX(BackgroundCalcs!$AX$2:$AX$500,'Grading Formulas'!$A53)&amp;")","MOEValue(.0001)"),"")</f>
        <v/>
      </c>
      <c r="F53" s="3" t="str">
        <f t="shared" si="6"/>
        <v/>
      </c>
      <c r="G53" s="3" t="str">
        <f t="shared" si="7"/>
        <v/>
      </c>
      <c r="H53" s="3" t="str">
        <f t="shared" si="8"/>
        <v/>
      </c>
    </row>
    <row r="54" spans="1:8">
      <c r="A54" s="4" t="str">
        <f t="shared" si="4"/>
        <v/>
      </c>
      <c r="B54" s="4" t="str">
        <f t="shared" si="5"/>
        <v/>
      </c>
      <c r="C54" s="19" t="str" cm="1">
        <f t="array" ref="C54">IF(ISNUMBER(A54),IF(A54=A53,INDEX(BackgroundCalcs!$AV$2:$AV$500,'Grading Formulas'!$A54),"Question Results"),"")</f>
        <v/>
      </c>
      <c r="D54" s="6" t="str" cm="1">
        <f t="array" ref="D54">IF(ISNUMBER($A54),IF(A54=A53,INDEX(BackgroundCalcs!$AW$2:$AW$500,'Grading Formulas'!$A54),"C"&amp;A54+9),"")</f>
        <v/>
      </c>
      <c r="E54" s="3" t="str" cm="1">
        <f t="array" ref="E54">IF(ISNUMBER($A54),IF(A54=A53,"Reference2(False,True,"&amp;INDEX(BackgroundCalcs!$AX$2:$AX$500,'Grading Formulas'!$A54)&amp;")","MOEValue(.0001)"),"")</f>
        <v/>
      </c>
      <c r="F54" s="3" t="str">
        <f t="shared" si="6"/>
        <v/>
      </c>
      <c r="G54" s="3" t="str">
        <f t="shared" si="7"/>
        <v/>
      </c>
      <c r="H54" s="3" t="str">
        <f t="shared" si="8"/>
        <v/>
      </c>
    </row>
    <row r="55" spans="1:8">
      <c r="A55" s="4" t="str">
        <f t="shared" si="4"/>
        <v/>
      </c>
      <c r="B55" s="4" t="str">
        <f t="shared" si="5"/>
        <v/>
      </c>
      <c r="C55" s="19" t="str" cm="1">
        <f t="array" ref="C55">IF(ISNUMBER(A55),IF(A55=A54,INDEX(BackgroundCalcs!$AV$2:$AV$500,'Grading Formulas'!$A55),"Question Results"),"")</f>
        <v/>
      </c>
      <c r="D55" s="6" t="str" cm="1">
        <f t="array" ref="D55">IF(ISNUMBER($A55),IF(A55=A54,INDEX(BackgroundCalcs!$AW$2:$AW$500,'Grading Formulas'!$A55),"C"&amp;A55+9),"")</f>
        <v/>
      </c>
      <c r="E55" s="3" t="str" cm="1">
        <f t="array" ref="E55">IF(ISNUMBER($A55),IF(A55=A54,"Reference2(False,True,"&amp;INDEX(BackgroundCalcs!$AX$2:$AX$500,'Grading Formulas'!$A55)&amp;")","MOEValue(.0001)"),"")</f>
        <v/>
      </c>
      <c r="F55" s="3" t="str">
        <f t="shared" si="6"/>
        <v/>
      </c>
      <c r="G55" s="3" t="str">
        <f t="shared" si="7"/>
        <v/>
      </c>
      <c r="H55" s="3" t="str">
        <f t="shared" si="8"/>
        <v/>
      </c>
    </row>
    <row r="56" spans="1:8">
      <c r="A56" s="4" t="str">
        <f t="shared" si="4"/>
        <v/>
      </c>
      <c r="B56" s="4" t="str">
        <f t="shared" si="5"/>
        <v/>
      </c>
      <c r="C56" s="19" t="str" cm="1">
        <f t="array" ref="C56">IF(ISNUMBER(A56),IF(A56=A55,INDEX(BackgroundCalcs!$AV$2:$AV$500,'Grading Formulas'!$A56),"Question Results"),"")</f>
        <v/>
      </c>
      <c r="D56" s="6" t="str" cm="1">
        <f t="array" ref="D56">IF(ISNUMBER($A56),IF(A56=A55,INDEX(BackgroundCalcs!$AW$2:$AW$500,'Grading Formulas'!$A56),"C"&amp;A56+9),"")</f>
        <v/>
      </c>
      <c r="E56" s="3" t="str" cm="1">
        <f t="array" ref="E56">IF(ISNUMBER($A56),IF(A56=A55,"Reference2(False,True,"&amp;INDEX(BackgroundCalcs!$AX$2:$AX$500,'Grading Formulas'!$A56)&amp;")","MOEValue(.0001)"),"")</f>
        <v/>
      </c>
      <c r="F56" s="3" t="str">
        <f t="shared" si="6"/>
        <v/>
      </c>
      <c r="G56" s="3" t="str">
        <f t="shared" si="7"/>
        <v/>
      </c>
      <c r="H56" s="3" t="str">
        <f t="shared" si="8"/>
        <v/>
      </c>
    </row>
    <row r="57" spans="1:8">
      <c r="A57" s="4" t="str">
        <f t="shared" si="4"/>
        <v/>
      </c>
      <c r="B57" s="4" t="str">
        <f t="shared" si="5"/>
        <v/>
      </c>
      <c r="C57" s="19" t="str" cm="1">
        <f t="array" ref="C57">IF(ISNUMBER(A57),IF(A57=A56,INDEX(BackgroundCalcs!$AV$2:$AV$500,'Grading Formulas'!$A57),"Question Results"),"")</f>
        <v/>
      </c>
      <c r="D57" s="6" t="str" cm="1">
        <f t="array" ref="D57">IF(ISNUMBER($A57),IF(A57=A56,INDEX(BackgroundCalcs!$AW$2:$AW$500,'Grading Formulas'!$A57),"C"&amp;A57+9),"")</f>
        <v/>
      </c>
      <c r="E57" s="3" t="str" cm="1">
        <f t="array" ref="E57">IF(ISNUMBER($A57),IF(A57=A56,"Reference2(False,True,"&amp;INDEX(BackgroundCalcs!$AX$2:$AX$500,'Grading Formulas'!$A57)&amp;")","MOEValue(.0001)"),"")</f>
        <v/>
      </c>
      <c r="F57" s="3" t="str">
        <f t="shared" si="6"/>
        <v/>
      </c>
      <c r="G57" s="3" t="str">
        <f t="shared" si="7"/>
        <v/>
      </c>
      <c r="H57" s="3" t="str">
        <f t="shared" si="8"/>
        <v/>
      </c>
    </row>
    <row r="58" spans="1:8">
      <c r="A58" s="4" t="str">
        <f t="shared" si="4"/>
        <v/>
      </c>
      <c r="B58" s="4" t="str">
        <f t="shared" si="5"/>
        <v/>
      </c>
      <c r="C58" s="19" t="str" cm="1">
        <f t="array" ref="C58">IF(ISNUMBER(A58),IF(A58=A57,INDEX(BackgroundCalcs!$AV$2:$AV$500,'Grading Formulas'!$A58),"Question Results"),"")</f>
        <v/>
      </c>
      <c r="D58" s="6" t="str" cm="1">
        <f t="array" ref="D58">IF(ISNUMBER($A58),IF(A58=A57,INDEX(BackgroundCalcs!$AW$2:$AW$500,'Grading Formulas'!$A58),"C"&amp;A58+9),"")</f>
        <v/>
      </c>
      <c r="E58" s="3" t="str" cm="1">
        <f t="array" ref="E58">IF(ISNUMBER($A58),IF(A58=A57,"Reference2(False,True,"&amp;INDEX(BackgroundCalcs!$AX$2:$AX$500,'Grading Formulas'!$A58)&amp;")","MOEValue(.0001)"),"")</f>
        <v/>
      </c>
      <c r="F58" s="3" t="str">
        <f t="shared" si="6"/>
        <v/>
      </c>
      <c r="G58" s="3" t="str">
        <f t="shared" si="7"/>
        <v/>
      </c>
      <c r="H58" s="3" t="str">
        <f t="shared" si="8"/>
        <v/>
      </c>
    </row>
    <row r="59" spans="1:8">
      <c r="A59" s="4" t="str">
        <f t="shared" si="4"/>
        <v/>
      </c>
      <c r="B59" s="4" t="str">
        <f t="shared" si="5"/>
        <v/>
      </c>
      <c r="C59" s="19" t="str" cm="1">
        <f t="array" ref="C59">IF(ISNUMBER(A59),IF(A59=A58,INDEX(BackgroundCalcs!$AV$2:$AV$500,'Grading Formulas'!$A59),"Question Results"),"")</f>
        <v/>
      </c>
      <c r="D59" s="6" t="str" cm="1">
        <f t="array" ref="D59">IF(ISNUMBER($A59),IF(A59=A58,INDEX(BackgroundCalcs!$AW$2:$AW$500,'Grading Formulas'!$A59),"C"&amp;A59+9),"")</f>
        <v/>
      </c>
      <c r="E59" s="3" t="str" cm="1">
        <f t="array" ref="E59">IF(ISNUMBER($A59),IF(A59=A58,"Reference2(False,True,"&amp;INDEX(BackgroundCalcs!$AX$2:$AX$500,'Grading Formulas'!$A59)&amp;")","MOEValue(.0001)"),"")</f>
        <v/>
      </c>
      <c r="F59" s="3" t="str">
        <f t="shared" si="6"/>
        <v/>
      </c>
      <c r="G59" s="3" t="str">
        <f t="shared" si="7"/>
        <v/>
      </c>
      <c r="H59" s="3" t="str">
        <f t="shared" si="8"/>
        <v/>
      </c>
    </row>
    <row r="60" spans="1:8">
      <c r="A60" s="4" t="str">
        <f t="shared" si="4"/>
        <v/>
      </c>
      <c r="B60" s="4" t="str">
        <f t="shared" si="5"/>
        <v/>
      </c>
      <c r="C60" s="19" t="str" cm="1">
        <f t="array" ref="C60">IF(ISNUMBER(A60),IF(A60=A59,INDEX(BackgroundCalcs!$AV$2:$AV$500,'Grading Formulas'!$A60),"Question Results"),"")</f>
        <v/>
      </c>
      <c r="D60" s="6" t="str" cm="1">
        <f t="array" ref="D60">IF(ISNUMBER($A60),IF(A60=A59,INDEX(BackgroundCalcs!$AW$2:$AW$500,'Grading Formulas'!$A60),"C"&amp;A60+9),"")</f>
        <v/>
      </c>
      <c r="E60" s="3" t="str" cm="1">
        <f t="array" ref="E60">IF(ISNUMBER($A60),IF(A60=A59,"Reference2(False,True,"&amp;INDEX(BackgroundCalcs!$AX$2:$AX$500,'Grading Formulas'!$A60)&amp;")","MOEValue(.0001)"),"")</f>
        <v/>
      </c>
      <c r="F60" s="3" t="str">
        <f t="shared" si="6"/>
        <v/>
      </c>
      <c r="G60" s="3" t="str">
        <f t="shared" si="7"/>
        <v/>
      </c>
      <c r="H60" s="3" t="str">
        <f t="shared" si="8"/>
        <v/>
      </c>
    </row>
    <row r="61" spans="1:8">
      <c r="A61" s="4" t="str">
        <f t="shared" si="4"/>
        <v/>
      </c>
      <c r="B61" s="4" t="str">
        <f t="shared" si="5"/>
        <v/>
      </c>
      <c r="C61" s="19" t="str" cm="1">
        <f t="array" ref="C61">IF(ISNUMBER(A61),IF(A61=A60,INDEX(BackgroundCalcs!$AV$2:$AV$500,'Grading Formulas'!$A61),"Question Results"),"")</f>
        <v/>
      </c>
      <c r="D61" s="6" t="str" cm="1">
        <f t="array" ref="D61">IF(ISNUMBER($A61),IF(A61=A60,INDEX(BackgroundCalcs!$AW$2:$AW$500,'Grading Formulas'!$A61),"C"&amp;A61+9),"")</f>
        <v/>
      </c>
      <c r="E61" s="3" t="str" cm="1">
        <f t="array" ref="E61">IF(ISNUMBER($A61),IF(A61=A60,"Reference2(False,True,"&amp;INDEX(BackgroundCalcs!$AX$2:$AX$500,'Grading Formulas'!$A61)&amp;")","MOEValue(.0001)"),"")</f>
        <v/>
      </c>
      <c r="F61" s="3" t="str">
        <f t="shared" si="6"/>
        <v/>
      </c>
      <c r="G61" s="3" t="str">
        <f t="shared" si="7"/>
        <v/>
      </c>
      <c r="H61" s="3" t="str">
        <f t="shared" si="8"/>
        <v/>
      </c>
    </row>
    <row r="62" spans="1:8">
      <c r="A62" s="4" t="str">
        <f t="shared" si="4"/>
        <v/>
      </c>
      <c r="B62" s="4" t="str">
        <f t="shared" si="5"/>
        <v/>
      </c>
      <c r="C62" s="19" t="str" cm="1">
        <f t="array" ref="C62">IF(ISNUMBER(A62),IF(A62=A61,INDEX(BackgroundCalcs!$AV$2:$AV$500,'Grading Formulas'!$A62),"Question Results"),"")</f>
        <v/>
      </c>
      <c r="D62" s="6" t="str" cm="1">
        <f t="array" ref="D62">IF(ISNUMBER($A62),IF(A62=A61,INDEX(BackgroundCalcs!$AW$2:$AW$500,'Grading Formulas'!$A62),"C"&amp;A62+9),"")</f>
        <v/>
      </c>
      <c r="E62" s="3" t="str" cm="1">
        <f t="array" ref="E62">IF(ISNUMBER($A62),IF(A62=A61,"Reference2(False,True,"&amp;INDEX(BackgroundCalcs!$AX$2:$AX$500,'Grading Formulas'!$A62)&amp;")","MOEValue(.0001)"),"")</f>
        <v/>
      </c>
      <c r="F62" s="3" t="str">
        <f t="shared" si="6"/>
        <v/>
      </c>
      <c r="G62" s="3" t="str">
        <f t="shared" si="7"/>
        <v/>
      </c>
      <c r="H62" s="3" t="str">
        <f t="shared" si="8"/>
        <v/>
      </c>
    </row>
    <row r="63" spans="1:8">
      <c r="A63" s="4" t="str">
        <f t="shared" si="4"/>
        <v/>
      </c>
      <c r="B63" s="4" t="str">
        <f t="shared" si="5"/>
        <v/>
      </c>
      <c r="C63" s="19" t="str" cm="1">
        <f t="array" ref="C63">IF(ISNUMBER(A63),IF(A63=A62,INDEX(BackgroundCalcs!$AV$2:$AV$500,'Grading Formulas'!$A63),"Question Results"),"")</f>
        <v/>
      </c>
      <c r="D63" s="6" t="str" cm="1">
        <f t="array" ref="D63">IF(ISNUMBER($A63),IF(A63=A62,INDEX(BackgroundCalcs!$AW$2:$AW$500,'Grading Formulas'!$A63),"C"&amp;A63+9),"")</f>
        <v/>
      </c>
      <c r="E63" s="3" t="str" cm="1">
        <f t="array" ref="E63">IF(ISNUMBER($A63),IF(A63=A62,"Reference2(False,True,"&amp;INDEX(BackgroundCalcs!$AX$2:$AX$500,'Grading Formulas'!$A63)&amp;")","MOEValue(.0001)"),"")</f>
        <v/>
      </c>
      <c r="F63" s="3" t="str">
        <f t="shared" si="6"/>
        <v/>
      </c>
      <c r="G63" s="3" t="str">
        <f t="shared" si="7"/>
        <v/>
      </c>
      <c r="H63" s="3" t="str">
        <f t="shared" si="8"/>
        <v/>
      </c>
    </row>
    <row r="64" spans="1:8">
      <c r="A64" s="4" t="str">
        <f t="shared" si="4"/>
        <v/>
      </c>
      <c r="B64" s="4" t="str">
        <f t="shared" si="5"/>
        <v/>
      </c>
      <c r="C64" s="19" t="str" cm="1">
        <f t="array" ref="C64">IF(ISNUMBER(A64),IF(A64=A63,INDEX(BackgroundCalcs!$AV$2:$AV$500,'Grading Formulas'!$A64),"Question Results"),"")</f>
        <v/>
      </c>
      <c r="D64" s="6" t="str" cm="1">
        <f t="array" ref="D64">IF(ISNUMBER($A64),IF(A64=A63,INDEX(BackgroundCalcs!$AW$2:$AW$500,'Grading Formulas'!$A64),"C"&amp;A64+9),"")</f>
        <v/>
      </c>
      <c r="E64" s="3" t="str" cm="1">
        <f t="array" ref="E64">IF(ISNUMBER($A64),IF(A64=A63,"Reference2(False,True,"&amp;INDEX(BackgroundCalcs!$AX$2:$AX$500,'Grading Formulas'!$A64)&amp;")","MOEValue(.0001)"),"")</f>
        <v/>
      </c>
      <c r="F64" s="3" t="str">
        <f t="shared" si="6"/>
        <v/>
      </c>
      <c r="G64" s="3" t="str">
        <f t="shared" si="7"/>
        <v/>
      </c>
      <c r="H64" s="3" t="str">
        <f t="shared" si="8"/>
        <v/>
      </c>
    </row>
    <row r="65" spans="1:8">
      <c r="A65" s="4" t="str">
        <f t="shared" si="4"/>
        <v/>
      </c>
      <c r="B65" s="4" t="str">
        <f t="shared" si="5"/>
        <v/>
      </c>
      <c r="C65" s="19" t="str" cm="1">
        <f t="array" ref="C65">IF(ISNUMBER(A65),IF(A65=A64,INDEX(BackgroundCalcs!$AV$2:$AV$500,'Grading Formulas'!$A65),"Question Results"),"")</f>
        <v/>
      </c>
      <c r="D65" s="6" t="str" cm="1">
        <f t="array" ref="D65">IF(ISNUMBER($A65),IF(A65=A64,INDEX(BackgroundCalcs!$AW$2:$AW$500,'Grading Formulas'!$A65),"C"&amp;A65+9),"")</f>
        <v/>
      </c>
      <c r="E65" s="3" t="str" cm="1">
        <f t="array" ref="E65">IF(ISNUMBER($A65),IF(A65=A64,"Reference2(False,True,"&amp;INDEX(BackgroundCalcs!$AX$2:$AX$500,'Grading Formulas'!$A65)&amp;")","MOEValue(.0001)"),"")</f>
        <v/>
      </c>
      <c r="F65" s="3" t="str">
        <f t="shared" si="6"/>
        <v/>
      </c>
      <c r="G65" s="3" t="str">
        <f t="shared" si="7"/>
        <v/>
      </c>
      <c r="H65" s="3" t="str">
        <f t="shared" si="8"/>
        <v/>
      </c>
    </row>
    <row r="66" spans="1:8">
      <c r="A66" s="4" t="str">
        <f t="shared" si="4"/>
        <v/>
      </c>
      <c r="B66" s="4" t="str">
        <f t="shared" si="5"/>
        <v/>
      </c>
      <c r="C66" s="19" t="str" cm="1">
        <f t="array" ref="C66">IF(ISNUMBER(A66),IF(A66=A65,INDEX(BackgroundCalcs!$AV$2:$AV$500,'Grading Formulas'!$A66),"Question Results"),"")</f>
        <v/>
      </c>
      <c r="D66" s="6" t="str" cm="1">
        <f t="array" ref="D66">IF(ISNUMBER($A66),IF(A66=A65,INDEX(BackgroundCalcs!$AW$2:$AW$500,'Grading Formulas'!$A66),"C"&amp;A66+9),"")</f>
        <v/>
      </c>
      <c r="E66" s="3" t="str" cm="1">
        <f t="array" ref="E66">IF(ISNUMBER($A66),IF(A66=A65,"Reference2(False,True,"&amp;INDEX(BackgroundCalcs!$AX$2:$AX$500,'Grading Formulas'!$A66)&amp;")","MOEValue(.0001)"),"")</f>
        <v/>
      </c>
      <c r="F66" s="3" t="str">
        <f t="shared" si="6"/>
        <v/>
      </c>
      <c r="G66" s="3" t="str">
        <f t="shared" si="7"/>
        <v/>
      </c>
      <c r="H66" s="3" t="str">
        <f t="shared" si="8"/>
        <v/>
      </c>
    </row>
    <row r="67" spans="1:8">
      <c r="A67" s="4" t="str">
        <f t="shared" si="4"/>
        <v/>
      </c>
      <c r="B67" s="4" t="str">
        <f t="shared" si="5"/>
        <v/>
      </c>
      <c r="C67" s="19" t="str" cm="1">
        <f t="array" ref="C67">IF(ISNUMBER(A67),IF(A67=A66,INDEX(BackgroundCalcs!$AV$2:$AV$500,'Grading Formulas'!$A67),"Question Results"),"")</f>
        <v/>
      </c>
      <c r="D67" s="6" t="str" cm="1">
        <f t="array" ref="D67">IF(ISNUMBER($A67),IF(A67=A66,INDEX(BackgroundCalcs!$AW$2:$AW$500,'Grading Formulas'!$A67),"C"&amp;A67+9),"")</f>
        <v/>
      </c>
      <c r="E67" s="3" t="str" cm="1">
        <f t="array" ref="E67">IF(ISNUMBER($A67),IF(A67=A66,"Reference2(False,True,"&amp;INDEX(BackgroundCalcs!$AX$2:$AX$500,'Grading Formulas'!$A67)&amp;")","MOEValue(.0001)"),"")</f>
        <v/>
      </c>
      <c r="F67" s="3" t="str">
        <f t="shared" si="6"/>
        <v/>
      </c>
      <c r="G67" s="3" t="str">
        <f t="shared" si="7"/>
        <v/>
      </c>
      <c r="H67" s="3" t="str">
        <f t="shared" si="8"/>
        <v/>
      </c>
    </row>
    <row r="68" spans="1:8">
      <c r="A68" s="4" t="str">
        <f t="shared" ref="A68:A131" si="9">IF(A66&lt;NumAnswers,A66+1,"")</f>
        <v/>
      </c>
      <c r="B68" s="4" t="str">
        <f t="shared" si="5"/>
        <v/>
      </c>
      <c r="C68" s="19" t="str" cm="1">
        <f t="array" ref="C68">IF(ISNUMBER(A68),IF(A68=A67,INDEX(BackgroundCalcs!$AV$2:$AV$500,'Grading Formulas'!$A68),"Question Results"),"")</f>
        <v/>
      </c>
      <c r="D68" s="6" t="str" cm="1">
        <f t="array" ref="D68">IF(ISNUMBER($A68),IF(A68=A67,INDEX(BackgroundCalcs!$AW$2:$AW$500,'Grading Formulas'!$A68),"C"&amp;A68+9),"")</f>
        <v/>
      </c>
      <c r="E68" s="3" t="str" cm="1">
        <f t="array" ref="E68">IF(ISNUMBER($A68),IF(A68=A67,"Reference2(False,True,"&amp;INDEX(BackgroundCalcs!$AX$2:$AX$500,'Grading Formulas'!$A68)&amp;")","MOEValue(.0001)"),"")</f>
        <v/>
      </c>
      <c r="F68" s="3" t="str">
        <f t="shared" si="6"/>
        <v/>
      </c>
      <c r="G68" s="3" t="str">
        <f t="shared" si="7"/>
        <v/>
      </c>
      <c r="H68" s="3" t="str">
        <f t="shared" si="8"/>
        <v/>
      </c>
    </row>
    <row r="69" spans="1:8">
      <c r="A69" s="4" t="str">
        <f t="shared" si="9"/>
        <v/>
      </c>
      <c r="B69" s="4" t="str">
        <f t="shared" si="5"/>
        <v/>
      </c>
      <c r="C69" s="19" t="str" cm="1">
        <f t="array" ref="C69">IF(ISNUMBER(A69),IF(A69=A68,INDEX(BackgroundCalcs!$AV$2:$AV$500,'Grading Formulas'!$A69),"Question Results"),"")</f>
        <v/>
      </c>
      <c r="D69" s="6" t="str" cm="1">
        <f t="array" ref="D69">IF(ISNUMBER($A69),IF(A69=A68,INDEX(BackgroundCalcs!$AW$2:$AW$500,'Grading Formulas'!$A69),"C"&amp;A69+9),"")</f>
        <v/>
      </c>
      <c r="E69" s="3" t="str" cm="1">
        <f t="array" ref="E69">IF(ISNUMBER($A69),IF(A69=A68,"Reference2(False,True,"&amp;INDEX(BackgroundCalcs!$AX$2:$AX$500,'Grading Formulas'!$A69)&amp;")","MOEValue(.0001)"),"")</f>
        <v/>
      </c>
      <c r="F69" s="3" t="str">
        <f t="shared" si="6"/>
        <v/>
      </c>
      <c r="G69" s="3" t="str">
        <f t="shared" si="7"/>
        <v/>
      </c>
      <c r="H69" s="3" t="str">
        <f t="shared" si="8"/>
        <v/>
      </c>
    </row>
    <row r="70" spans="1:8">
      <c r="A70" s="4" t="str">
        <f t="shared" si="9"/>
        <v/>
      </c>
      <c r="B70" s="4" t="str">
        <f t="shared" si="5"/>
        <v/>
      </c>
      <c r="C70" s="19" t="str" cm="1">
        <f t="array" ref="C70">IF(ISNUMBER(A70),IF(A70=A69,INDEX(BackgroundCalcs!$AV$2:$AV$500,'Grading Formulas'!$A70),"Question Results"),"")</f>
        <v/>
      </c>
      <c r="D70" s="6" t="str" cm="1">
        <f t="array" ref="D70">IF(ISNUMBER($A70),IF(A70=A69,INDEX(BackgroundCalcs!$AW$2:$AW$500,'Grading Formulas'!$A70),"C"&amp;A70+9),"")</f>
        <v/>
      </c>
      <c r="E70" s="3" t="str" cm="1">
        <f t="array" ref="E70">IF(ISNUMBER($A70),IF(A70=A69,"Reference2(False,True,"&amp;INDEX(BackgroundCalcs!$AX$2:$AX$500,'Grading Formulas'!$A70)&amp;")","MOEValue(.0001)"),"")</f>
        <v/>
      </c>
      <c r="F70" s="3" t="str">
        <f t="shared" si="6"/>
        <v/>
      </c>
      <c r="G70" s="3" t="str">
        <f t="shared" si="7"/>
        <v/>
      </c>
      <c r="H70" s="3" t="str">
        <f t="shared" si="8"/>
        <v/>
      </c>
    </row>
    <row r="71" spans="1:8">
      <c r="A71" s="4" t="str">
        <f t="shared" si="9"/>
        <v/>
      </c>
      <c r="B71" s="4" t="str">
        <f t="shared" si="5"/>
        <v/>
      </c>
      <c r="C71" s="19" t="str" cm="1">
        <f t="array" ref="C71">IF(ISNUMBER(A71),IF(A71=A70,INDEX(BackgroundCalcs!$AV$2:$AV$500,'Grading Formulas'!$A71),"Question Results"),"")</f>
        <v/>
      </c>
      <c r="D71" s="6" t="str" cm="1">
        <f t="array" ref="D71">IF(ISNUMBER($A71),IF(A71=A70,INDEX(BackgroundCalcs!$AW$2:$AW$500,'Grading Formulas'!$A71),"C"&amp;A71+9),"")</f>
        <v/>
      </c>
      <c r="E71" s="3" t="str" cm="1">
        <f t="array" ref="E71">IF(ISNUMBER($A71),IF(A71=A70,"Reference2(False,True,"&amp;INDEX(BackgroundCalcs!$AX$2:$AX$500,'Grading Formulas'!$A71)&amp;")","MOEValue(.0001)"),"")</f>
        <v/>
      </c>
      <c r="F71" s="3" t="str">
        <f t="shared" si="6"/>
        <v/>
      </c>
      <c r="G71" s="3" t="str">
        <f t="shared" si="7"/>
        <v/>
      </c>
      <c r="H71" s="3" t="str">
        <f t="shared" si="8"/>
        <v/>
      </c>
    </row>
    <row r="72" spans="1:8">
      <c r="A72" s="4" t="str">
        <f t="shared" si="9"/>
        <v/>
      </c>
      <c r="B72" s="4" t="str">
        <f t="shared" si="5"/>
        <v/>
      </c>
      <c r="C72" s="19" t="str" cm="1">
        <f t="array" ref="C72">IF(ISNUMBER(A72),IF(A72=A71,INDEX(BackgroundCalcs!$AV$2:$AV$500,'Grading Formulas'!$A72),"Question Results"),"")</f>
        <v/>
      </c>
      <c r="D72" s="6" t="str" cm="1">
        <f t="array" ref="D72">IF(ISNUMBER($A72),IF(A72=A71,INDEX(BackgroundCalcs!$AW$2:$AW$500,'Grading Formulas'!$A72),"C"&amp;A72+9),"")</f>
        <v/>
      </c>
      <c r="E72" s="3" t="str" cm="1">
        <f t="array" ref="E72">IF(ISNUMBER($A72),IF(A72=A71,"Reference2(False,True,"&amp;INDEX(BackgroundCalcs!$AX$2:$AX$500,'Grading Formulas'!$A72)&amp;")","MOEValue(.0001)"),"")</f>
        <v/>
      </c>
      <c r="F72" s="3" t="str">
        <f t="shared" si="6"/>
        <v/>
      </c>
      <c r="G72" s="3" t="str">
        <f t="shared" si="7"/>
        <v/>
      </c>
      <c r="H72" s="3" t="str">
        <f t="shared" si="8"/>
        <v/>
      </c>
    </row>
    <row r="73" spans="1:8">
      <c r="A73" s="4" t="str">
        <f t="shared" si="9"/>
        <v/>
      </c>
      <c r="B73" s="4" t="str">
        <f t="shared" si="5"/>
        <v/>
      </c>
      <c r="C73" s="19" t="str" cm="1">
        <f t="array" ref="C73">IF(ISNUMBER(A73),IF(A73=A72,INDEX(BackgroundCalcs!$AV$2:$AV$500,'Grading Formulas'!$A73),"Question Results"),"")</f>
        <v/>
      </c>
      <c r="D73" s="6" t="str" cm="1">
        <f t="array" ref="D73">IF(ISNUMBER($A73),IF(A73=A72,INDEX(BackgroundCalcs!$AW$2:$AW$500,'Grading Formulas'!$A73),"C"&amp;A73+9),"")</f>
        <v/>
      </c>
      <c r="E73" s="3" t="str" cm="1">
        <f t="array" ref="E73">IF(ISNUMBER($A73),IF(A73=A72,"Reference2(False,True,"&amp;INDEX(BackgroundCalcs!$AX$2:$AX$500,'Grading Formulas'!$A73)&amp;")","MOEValue(.0001)"),"")</f>
        <v/>
      </c>
      <c r="F73" s="3" t="str">
        <f t="shared" si="6"/>
        <v/>
      </c>
      <c r="G73" s="3" t="str">
        <f t="shared" si="7"/>
        <v/>
      </c>
      <c r="H73" s="3" t="str">
        <f t="shared" si="8"/>
        <v/>
      </c>
    </row>
    <row r="74" spans="1:8">
      <c r="A74" s="4" t="str">
        <f t="shared" si="9"/>
        <v/>
      </c>
      <c r="B74" s="4" t="str">
        <f t="shared" si="5"/>
        <v/>
      </c>
      <c r="C74" s="19" t="str" cm="1">
        <f t="array" ref="C74">IF(ISNUMBER(A74),IF(A74=A73,INDEX(BackgroundCalcs!$AV$2:$AV$500,'Grading Formulas'!$A74),"Question Results"),"")</f>
        <v/>
      </c>
      <c r="D74" s="6" t="str" cm="1">
        <f t="array" ref="D74">IF(ISNUMBER($A74),IF(A74=A73,INDEX(BackgroundCalcs!$AW$2:$AW$500,'Grading Formulas'!$A74),"C"&amp;A74+9),"")</f>
        <v/>
      </c>
      <c r="E74" s="3" t="str" cm="1">
        <f t="array" ref="E74">IF(ISNUMBER($A74),IF(A74=A73,"Reference2(False,True,"&amp;INDEX(BackgroundCalcs!$AX$2:$AX$500,'Grading Formulas'!$A74)&amp;")","MOEValue(.0001)"),"")</f>
        <v/>
      </c>
      <c r="F74" s="3" t="str">
        <f t="shared" si="6"/>
        <v/>
      </c>
      <c r="G74" s="3" t="str">
        <f t="shared" si="7"/>
        <v/>
      </c>
      <c r="H74" s="3" t="str">
        <f t="shared" si="8"/>
        <v/>
      </c>
    </row>
    <row r="75" spans="1:8">
      <c r="A75" s="4" t="str">
        <f t="shared" si="9"/>
        <v/>
      </c>
      <c r="B75" s="4" t="str">
        <f t="shared" si="5"/>
        <v/>
      </c>
      <c r="C75" s="19" t="str" cm="1">
        <f t="array" ref="C75">IF(ISNUMBER(A75),IF(A75=A74,INDEX(BackgroundCalcs!$AV$2:$AV$500,'Grading Formulas'!$A75),"Question Results"),"")</f>
        <v/>
      </c>
      <c r="D75" s="6" t="str" cm="1">
        <f t="array" ref="D75">IF(ISNUMBER($A75),IF(A75=A74,INDEX(BackgroundCalcs!$AW$2:$AW$500,'Grading Formulas'!$A75),"C"&amp;A75+9),"")</f>
        <v/>
      </c>
      <c r="E75" s="3" t="str" cm="1">
        <f t="array" ref="E75">IF(ISNUMBER($A75),IF(A75=A74,"Reference2(False,True,"&amp;INDEX(BackgroundCalcs!$AX$2:$AX$500,'Grading Formulas'!$A75)&amp;")","MOEValue(.0001)"),"")</f>
        <v/>
      </c>
      <c r="F75" s="3" t="str">
        <f t="shared" si="6"/>
        <v/>
      </c>
      <c r="G75" s="3" t="str">
        <f t="shared" si="7"/>
        <v/>
      </c>
      <c r="H75" s="3" t="str">
        <f t="shared" si="8"/>
        <v/>
      </c>
    </row>
    <row r="76" spans="1:8">
      <c r="A76" s="4" t="str">
        <f t="shared" si="9"/>
        <v/>
      </c>
      <c r="B76" s="4" t="str">
        <f t="shared" si="5"/>
        <v/>
      </c>
      <c r="C76" s="19" t="str" cm="1">
        <f t="array" ref="C76">IF(ISNUMBER(A76),IF(A76=A75,INDEX(BackgroundCalcs!$AV$2:$AV$500,'Grading Formulas'!$A76),"Question Results"),"")</f>
        <v/>
      </c>
      <c r="D76" s="6" t="str" cm="1">
        <f t="array" ref="D76">IF(ISNUMBER($A76),IF(A76=A75,INDEX(BackgroundCalcs!$AW$2:$AW$500,'Grading Formulas'!$A76),"C"&amp;A76+9),"")</f>
        <v/>
      </c>
      <c r="E76" s="3" t="str" cm="1">
        <f t="array" ref="E76">IF(ISNUMBER($A76),IF(A76=A75,"Reference2(False,True,"&amp;INDEX(BackgroundCalcs!$AX$2:$AX$500,'Grading Formulas'!$A76)&amp;")","MOEValue(.0001)"),"")</f>
        <v/>
      </c>
      <c r="F76" s="3" t="str">
        <f t="shared" si="6"/>
        <v/>
      </c>
      <c r="G76" s="3" t="str">
        <f t="shared" si="7"/>
        <v/>
      </c>
      <c r="H76" s="3" t="str">
        <f t="shared" si="8"/>
        <v/>
      </c>
    </row>
    <row r="77" spans="1:8">
      <c r="A77" s="4" t="str">
        <f t="shared" si="9"/>
        <v/>
      </c>
      <c r="B77" s="4" t="str">
        <f t="shared" si="5"/>
        <v/>
      </c>
      <c r="C77" s="19" t="str" cm="1">
        <f t="array" ref="C77">IF(ISNUMBER(A77),IF(A77=A76,INDEX(BackgroundCalcs!$AV$2:$AV$500,'Grading Formulas'!$A77),"Question Results"),"")</f>
        <v/>
      </c>
      <c r="D77" s="6" t="str" cm="1">
        <f t="array" ref="D77">IF(ISNUMBER($A77),IF(A77=A76,INDEX(BackgroundCalcs!$AW$2:$AW$500,'Grading Formulas'!$A77),"C"&amp;A77+9),"")</f>
        <v/>
      </c>
      <c r="E77" s="3" t="str" cm="1">
        <f t="array" ref="E77">IF(ISNUMBER($A77),IF(A77=A76,"Reference2(False,True,"&amp;INDEX(BackgroundCalcs!$AX$2:$AX$500,'Grading Formulas'!$A77)&amp;")","MOEValue(.0001)"),"")</f>
        <v/>
      </c>
      <c r="F77" s="3" t="str">
        <f t="shared" si="6"/>
        <v/>
      </c>
      <c r="G77" s="3" t="str">
        <f t="shared" si="7"/>
        <v/>
      </c>
      <c r="H77" s="3" t="str">
        <f t="shared" si="8"/>
        <v/>
      </c>
    </row>
    <row r="78" spans="1:8">
      <c r="A78" s="4" t="str">
        <f t="shared" si="9"/>
        <v/>
      </c>
      <c r="B78" s="4" t="str">
        <f t="shared" si="5"/>
        <v/>
      </c>
      <c r="C78" s="19" t="str" cm="1">
        <f t="array" ref="C78">IF(ISNUMBER(A78),IF(A78=A77,INDEX(BackgroundCalcs!$AV$2:$AV$500,'Grading Formulas'!$A78),"Question Results"),"")</f>
        <v/>
      </c>
      <c r="D78" s="6" t="str" cm="1">
        <f t="array" ref="D78">IF(ISNUMBER($A78),IF(A78=A77,INDEX(BackgroundCalcs!$AW$2:$AW$500,'Grading Formulas'!$A78),"C"&amp;A78+9),"")</f>
        <v/>
      </c>
      <c r="E78" s="3" t="str" cm="1">
        <f t="array" ref="E78">IF(ISNUMBER($A78),IF(A78=A77,"Reference2(False,True,"&amp;INDEX(BackgroundCalcs!$AX$2:$AX$500,'Grading Formulas'!$A78)&amp;")","MOEValue(.0001)"),"")</f>
        <v/>
      </c>
      <c r="F78" s="3" t="str">
        <f t="shared" si="6"/>
        <v/>
      </c>
      <c r="G78" s="3" t="str">
        <f t="shared" si="7"/>
        <v/>
      </c>
      <c r="H78" s="3" t="str">
        <f t="shared" si="8"/>
        <v/>
      </c>
    </row>
    <row r="79" spans="1:8">
      <c r="A79" s="4" t="str">
        <f t="shared" si="9"/>
        <v/>
      </c>
      <c r="B79" s="4" t="str">
        <f t="shared" si="5"/>
        <v/>
      </c>
      <c r="C79" s="19" t="str" cm="1">
        <f t="array" ref="C79">IF(ISNUMBER(A79),IF(A79=A78,INDEX(BackgroundCalcs!$AV$2:$AV$500,'Grading Formulas'!$A79),"Question Results"),"")</f>
        <v/>
      </c>
      <c r="D79" s="6" t="str" cm="1">
        <f t="array" ref="D79">IF(ISNUMBER($A79),IF(A79=A78,INDEX(BackgroundCalcs!$AW$2:$AW$500,'Grading Formulas'!$A79),"C"&amp;A79+9),"")</f>
        <v/>
      </c>
      <c r="E79" s="3" t="str" cm="1">
        <f t="array" ref="E79">IF(ISNUMBER($A79),IF(A79=A78,"Reference2(False,True,"&amp;INDEX(BackgroundCalcs!$AX$2:$AX$500,'Grading Formulas'!$A79)&amp;")","MOEValue(.0001)"),"")</f>
        <v/>
      </c>
      <c r="F79" s="3" t="str">
        <f t="shared" si="6"/>
        <v/>
      </c>
      <c r="G79" s="3" t="str">
        <f t="shared" si="7"/>
        <v/>
      </c>
      <c r="H79" s="3" t="str">
        <f t="shared" si="8"/>
        <v/>
      </c>
    </row>
    <row r="80" spans="1:8">
      <c r="A80" s="4" t="str">
        <f t="shared" si="9"/>
        <v/>
      </c>
      <c r="B80" s="4" t="str">
        <f t="shared" si="5"/>
        <v/>
      </c>
      <c r="C80" s="19" t="str" cm="1">
        <f t="array" ref="C80">IF(ISNUMBER(A80),IF(A80=A79,INDEX(BackgroundCalcs!$AV$2:$AV$500,'Grading Formulas'!$A80),"Question Results"),"")</f>
        <v/>
      </c>
      <c r="D80" s="6" t="str" cm="1">
        <f t="array" ref="D80">IF(ISNUMBER($A80),IF(A80=A79,INDEX(BackgroundCalcs!$AW$2:$AW$500,'Grading Formulas'!$A80),"C"&amp;A80+9),"")</f>
        <v/>
      </c>
      <c r="E80" s="3" t="str" cm="1">
        <f t="array" ref="E80">IF(ISNUMBER($A80),IF(A80=A79,"Reference2(False,True,"&amp;INDEX(BackgroundCalcs!$AX$2:$AX$500,'Grading Formulas'!$A80)&amp;")","MOEValue(.0001)"),"")</f>
        <v/>
      </c>
      <c r="F80" s="3" t="str">
        <f t="shared" si="6"/>
        <v/>
      </c>
      <c r="G80" s="3" t="str">
        <f t="shared" si="7"/>
        <v/>
      </c>
      <c r="H80" s="3" t="str">
        <f t="shared" si="8"/>
        <v/>
      </c>
    </row>
    <row r="81" spans="1:8">
      <c r="A81" s="4" t="str">
        <f t="shared" si="9"/>
        <v/>
      </c>
      <c r="B81" s="4" t="str">
        <f t="shared" si="5"/>
        <v/>
      </c>
      <c r="C81" s="19" t="str" cm="1">
        <f t="array" ref="C81">IF(ISNUMBER(A81),IF(A81=A80,INDEX(BackgroundCalcs!$AV$2:$AV$500,'Grading Formulas'!$A81),"Question Results"),"")</f>
        <v/>
      </c>
      <c r="D81" s="6" t="str" cm="1">
        <f t="array" ref="D81">IF(ISNUMBER($A81),IF(A81=A80,INDEX(BackgroundCalcs!$AW$2:$AW$500,'Grading Formulas'!$A81),"C"&amp;A81+9),"")</f>
        <v/>
      </c>
      <c r="E81" s="3" t="str" cm="1">
        <f t="array" ref="E81">IF(ISNUMBER($A81),IF(A81=A80,"Reference2(False,True,"&amp;INDEX(BackgroundCalcs!$AX$2:$AX$500,'Grading Formulas'!$A81)&amp;")","MOEValue(.0001)"),"")</f>
        <v/>
      </c>
      <c r="F81" s="3" t="str">
        <f t="shared" si="6"/>
        <v/>
      </c>
      <c r="G81" s="3" t="str">
        <f t="shared" si="7"/>
        <v/>
      </c>
      <c r="H81" s="3" t="str">
        <f t="shared" si="8"/>
        <v/>
      </c>
    </row>
    <row r="82" spans="1:8">
      <c r="A82" s="4" t="str">
        <f t="shared" si="9"/>
        <v/>
      </c>
      <c r="B82" s="4" t="str">
        <f t="shared" si="5"/>
        <v/>
      </c>
      <c r="C82" s="19" t="str" cm="1">
        <f t="array" ref="C82">IF(ISNUMBER(A82),IF(A82=A81,INDEX(BackgroundCalcs!$AV$2:$AV$500,'Grading Formulas'!$A82),"Question Results"),"")</f>
        <v/>
      </c>
      <c r="D82" s="6" t="str" cm="1">
        <f t="array" ref="D82">IF(ISNUMBER($A82),IF(A82=A81,INDEX(BackgroundCalcs!$AW$2:$AW$500,'Grading Formulas'!$A82),"C"&amp;A82+9),"")</f>
        <v/>
      </c>
      <c r="E82" s="3" t="str" cm="1">
        <f t="array" ref="E82">IF(ISNUMBER($A82),IF(A82=A81,"Reference2(False,True,"&amp;INDEX(BackgroundCalcs!$AX$2:$AX$500,'Grading Formulas'!$A82)&amp;")","MOEValue(.0001)"),"")</f>
        <v/>
      </c>
      <c r="F82" s="3" t="str">
        <f t="shared" si="6"/>
        <v/>
      </c>
      <c r="G82" s="3" t="str">
        <f t="shared" si="7"/>
        <v/>
      </c>
      <c r="H82" s="3" t="str">
        <f t="shared" si="8"/>
        <v/>
      </c>
    </row>
    <row r="83" spans="1:8">
      <c r="A83" s="4" t="str">
        <f t="shared" si="9"/>
        <v/>
      </c>
      <c r="B83" s="4" t="str">
        <f t="shared" si="5"/>
        <v/>
      </c>
      <c r="C83" s="19" t="str" cm="1">
        <f t="array" ref="C83">IF(ISNUMBER(A83),IF(A83=A82,INDEX(BackgroundCalcs!$AV$2:$AV$500,'Grading Formulas'!$A83),"Question Results"),"")</f>
        <v/>
      </c>
      <c r="D83" s="6" t="str" cm="1">
        <f t="array" ref="D83">IF(ISNUMBER($A83),IF(A83=A82,INDEX(BackgroundCalcs!$AW$2:$AW$500,'Grading Formulas'!$A83),"C"&amp;A83+9),"")</f>
        <v/>
      </c>
      <c r="E83" s="3" t="str" cm="1">
        <f t="array" ref="E83">IF(ISNUMBER($A83),IF(A83=A82,"Reference2(False,True,"&amp;INDEX(BackgroundCalcs!$AX$2:$AX$500,'Grading Formulas'!$A83)&amp;")","MOEValue(.0001)"),"")</f>
        <v/>
      </c>
      <c r="F83" s="3" t="str">
        <f t="shared" si="6"/>
        <v/>
      </c>
      <c r="G83" s="3" t="str">
        <f t="shared" si="7"/>
        <v/>
      </c>
      <c r="H83" s="3" t="str">
        <f t="shared" si="8"/>
        <v/>
      </c>
    </row>
    <row r="84" spans="1:8">
      <c r="A84" s="4" t="str">
        <f t="shared" si="9"/>
        <v/>
      </c>
      <c r="B84" s="4" t="str">
        <f t="shared" si="5"/>
        <v/>
      </c>
      <c r="C84" s="19" t="str" cm="1">
        <f t="array" ref="C84">IF(ISNUMBER(A84),IF(A84=A83,INDEX(BackgroundCalcs!$AV$2:$AV$500,'Grading Formulas'!$A84),"Question Results"),"")</f>
        <v/>
      </c>
      <c r="D84" s="6" t="str" cm="1">
        <f t="array" ref="D84">IF(ISNUMBER($A84),IF(A84=A83,INDEX(BackgroundCalcs!$AW$2:$AW$500,'Grading Formulas'!$A84),"C"&amp;A84+9),"")</f>
        <v/>
      </c>
      <c r="E84" s="3" t="str" cm="1">
        <f t="array" ref="E84">IF(ISNUMBER($A84),IF(A84=A83,"Reference2(False,True,"&amp;INDEX(BackgroundCalcs!$AX$2:$AX$500,'Grading Formulas'!$A84)&amp;")","MOEValue(.0001)"),"")</f>
        <v/>
      </c>
      <c r="F84" s="3" t="str">
        <f t="shared" si="6"/>
        <v/>
      </c>
      <c r="G84" s="3" t="str">
        <f t="shared" si="7"/>
        <v/>
      </c>
      <c r="H84" s="3" t="str">
        <f t="shared" si="8"/>
        <v/>
      </c>
    </row>
    <row r="85" spans="1:8">
      <c r="A85" s="4" t="str">
        <f t="shared" si="9"/>
        <v/>
      </c>
      <c r="B85" s="4" t="str">
        <f t="shared" si="5"/>
        <v/>
      </c>
      <c r="C85" s="19" t="str" cm="1">
        <f t="array" ref="C85">IF(ISNUMBER(A85),IF(A85=A84,INDEX(BackgroundCalcs!$AV$2:$AV$500,'Grading Formulas'!$A85),"Question Results"),"")</f>
        <v/>
      </c>
      <c r="D85" s="6" t="str" cm="1">
        <f t="array" ref="D85">IF(ISNUMBER($A85),IF(A85=A84,INDEX(BackgroundCalcs!$AW$2:$AW$500,'Grading Formulas'!$A85),"C"&amp;A85+9),"")</f>
        <v/>
      </c>
      <c r="E85" s="3" t="str" cm="1">
        <f t="array" ref="E85">IF(ISNUMBER($A85),IF(A85=A84,"Reference2(False,True,"&amp;INDEX(BackgroundCalcs!$AX$2:$AX$500,'Grading Formulas'!$A85)&amp;")","MOEValue(.0001)"),"")</f>
        <v/>
      </c>
      <c r="F85" s="3" t="str">
        <f t="shared" si="6"/>
        <v/>
      </c>
      <c r="G85" s="3" t="str">
        <f t="shared" si="7"/>
        <v/>
      </c>
      <c r="H85" s="3" t="str">
        <f t="shared" si="8"/>
        <v/>
      </c>
    </row>
    <row r="86" spans="1:8">
      <c r="A86" s="4" t="str">
        <f t="shared" si="9"/>
        <v/>
      </c>
      <c r="B86" s="4" t="str">
        <f t="shared" si="5"/>
        <v/>
      </c>
      <c r="C86" s="19" t="str" cm="1">
        <f t="array" ref="C86">IF(ISNUMBER(A86),IF(A86=A85,INDEX(BackgroundCalcs!$AV$2:$AV$500,'Grading Formulas'!$A86),"Question Results"),"")</f>
        <v/>
      </c>
      <c r="D86" s="6" t="str" cm="1">
        <f t="array" ref="D86">IF(ISNUMBER($A86),IF(A86=A85,INDEX(BackgroundCalcs!$AW$2:$AW$500,'Grading Formulas'!$A86),"C"&amp;A86+9),"")</f>
        <v/>
      </c>
      <c r="E86" s="3" t="str" cm="1">
        <f t="array" ref="E86">IF(ISNUMBER($A86),IF(A86=A85,"Reference2(False,True,"&amp;INDEX(BackgroundCalcs!$AX$2:$AX$500,'Grading Formulas'!$A86)&amp;")","MOEValue(.0001)"),"")</f>
        <v/>
      </c>
      <c r="F86" s="3" t="str">
        <f t="shared" si="6"/>
        <v/>
      </c>
      <c r="G86" s="3" t="str">
        <f t="shared" si="7"/>
        <v/>
      </c>
      <c r="H86" s="3" t="str">
        <f t="shared" si="8"/>
        <v/>
      </c>
    </row>
    <row r="87" spans="1:8">
      <c r="A87" s="4" t="str">
        <f t="shared" si="9"/>
        <v/>
      </c>
      <c r="B87" s="4" t="str">
        <f t="shared" si="5"/>
        <v/>
      </c>
      <c r="C87" s="19" t="str" cm="1">
        <f t="array" ref="C87">IF(ISNUMBER(A87),IF(A87=A86,INDEX(BackgroundCalcs!$AV$2:$AV$500,'Grading Formulas'!$A87),"Question Results"),"")</f>
        <v/>
      </c>
      <c r="D87" s="6" t="str" cm="1">
        <f t="array" ref="D87">IF(ISNUMBER($A87),IF(A87=A86,INDEX(BackgroundCalcs!$AW$2:$AW$500,'Grading Formulas'!$A87),"C"&amp;A87+9),"")</f>
        <v/>
      </c>
      <c r="E87" s="3" t="str" cm="1">
        <f t="array" ref="E87">IF(ISNUMBER($A87),IF(A87=A86,"Reference2(False,True,"&amp;INDEX(BackgroundCalcs!$AX$2:$AX$500,'Grading Formulas'!$A87)&amp;")","MOEValue(.0001)"),"")</f>
        <v/>
      </c>
      <c r="F87" s="3" t="str">
        <f t="shared" si="6"/>
        <v/>
      </c>
      <c r="G87" s="3" t="str">
        <f t="shared" si="7"/>
        <v/>
      </c>
      <c r="H87" s="3" t="str">
        <f t="shared" si="8"/>
        <v/>
      </c>
    </row>
    <row r="88" spans="1:8">
      <c r="A88" s="4" t="str">
        <f t="shared" si="9"/>
        <v/>
      </c>
      <c r="B88" s="4" t="str">
        <f t="shared" si="5"/>
        <v/>
      </c>
      <c r="C88" s="19" t="str" cm="1">
        <f t="array" ref="C88">IF(ISNUMBER(A88),IF(A88=A87,INDEX(BackgroundCalcs!$AV$2:$AV$500,'Grading Formulas'!$A88),"Question Results"),"")</f>
        <v/>
      </c>
      <c r="D88" s="6" t="str" cm="1">
        <f t="array" ref="D88">IF(ISNUMBER($A88),IF(A88=A87,INDEX(BackgroundCalcs!$AW$2:$AW$500,'Grading Formulas'!$A88),"C"&amp;A88+9),"")</f>
        <v/>
      </c>
      <c r="E88" s="3" t="str" cm="1">
        <f t="array" ref="E88">IF(ISNUMBER($A88),IF(A88=A87,"Reference2(False,True,"&amp;INDEX(BackgroundCalcs!$AX$2:$AX$500,'Grading Formulas'!$A88)&amp;")","MOEValue(.0001)"),"")</f>
        <v/>
      </c>
      <c r="F88" s="3" t="str">
        <f t="shared" si="6"/>
        <v/>
      </c>
      <c r="G88" s="3" t="str">
        <f t="shared" si="7"/>
        <v/>
      </c>
      <c r="H88" s="3" t="str">
        <f t="shared" si="8"/>
        <v/>
      </c>
    </row>
    <row r="89" spans="1:8">
      <c r="A89" s="4" t="str">
        <f t="shared" si="9"/>
        <v/>
      </c>
      <c r="B89" s="4" t="str">
        <f t="shared" si="5"/>
        <v/>
      </c>
      <c r="C89" s="19" t="str" cm="1">
        <f t="array" ref="C89">IF(ISNUMBER(A89),IF(A89=A88,INDEX(BackgroundCalcs!$AV$2:$AV$500,'Grading Formulas'!$A89),"Question Results"),"")</f>
        <v/>
      </c>
      <c r="D89" s="6" t="str" cm="1">
        <f t="array" ref="D89">IF(ISNUMBER($A89),IF(A89=A88,INDEX(BackgroundCalcs!$AW$2:$AW$500,'Grading Formulas'!$A89),"C"&amp;A89+9),"")</f>
        <v/>
      </c>
      <c r="E89" s="3" t="str" cm="1">
        <f t="array" ref="E89">IF(ISNUMBER($A89),IF(A89=A88,"Reference2(False,True,"&amp;INDEX(BackgroundCalcs!$AX$2:$AX$500,'Grading Formulas'!$A89)&amp;")","MOEValue(.0001)"),"")</f>
        <v/>
      </c>
      <c r="F89" s="3" t="str">
        <f t="shared" si="6"/>
        <v/>
      </c>
      <c r="G89" s="3" t="str">
        <f t="shared" si="7"/>
        <v/>
      </c>
      <c r="H89" s="3" t="str">
        <f t="shared" si="8"/>
        <v/>
      </c>
    </row>
    <row r="90" spans="1:8">
      <c r="A90" s="4" t="str">
        <f t="shared" si="9"/>
        <v/>
      </c>
      <c r="B90" s="4" t="str">
        <f t="shared" si="5"/>
        <v/>
      </c>
      <c r="C90" s="19" t="str" cm="1">
        <f t="array" ref="C90">IF(ISNUMBER(A90),IF(A90=A89,INDEX(BackgroundCalcs!$AV$2:$AV$500,'Grading Formulas'!$A90),"Question Results"),"")</f>
        <v/>
      </c>
      <c r="D90" s="6" t="str" cm="1">
        <f t="array" ref="D90">IF(ISNUMBER($A90),IF(A90=A89,INDEX(BackgroundCalcs!$AW$2:$AW$500,'Grading Formulas'!$A90),"C"&amp;A90+9),"")</f>
        <v/>
      </c>
      <c r="E90" s="3" t="str" cm="1">
        <f t="array" ref="E90">IF(ISNUMBER($A90),IF(A90=A89,"Reference2(False,True,"&amp;INDEX(BackgroundCalcs!$AX$2:$AX$500,'Grading Formulas'!$A90)&amp;")","MOEValue(.0001)"),"")</f>
        <v/>
      </c>
      <c r="F90" s="3" t="str">
        <f t="shared" si="6"/>
        <v/>
      </c>
      <c r="G90" s="3" t="str">
        <f t="shared" si="7"/>
        <v/>
      </c>
      <c r="H90" s="3" t="str">
        <f t="shared" si="8"/>
        <v/>
      </c>
    </row>
    <row r="91" spans="1:8">
      <c r="A91" s="4" t="str">
        <f t="shared" si="9"/>
        <v/>
      </c>
      <c r="B91" s="4" t="str">
        <f t="shared" si="5"/>
        <v/>
      </c>
      <c r="C91" s="19" t="str" cm="1">
        <f t="array" ref="C91">IF(ISNUMBER(A91),IF(A91=A90,INDEX(BackgroundCalcs!$AV$2:$AV$500,'Grading Formulas'!$A91),"Question Results"),"")</f>
        <v/>
      </c>
      <c r="D91" s="6" t="str" cm="1">
        <f t="array" ref="D91">IF(ISNUMBER($A91),IF(A91=A90,INDEX(BackgroundCalcs!$AW$2:$AW$500,'Grading Formulas'!$A91),"C"&amp;A91+9),"")</f>
        <v/>
      </c>
      <c r="E91" s="3" t="str" cm="1">
        <f t="array" ref="E91">IF(ISNUMBER($A91),IF(A91=A90,"Reference2(False,True,"&amp;INDEX(BackgroundCalcs!$AX$2:$AX$500,'Grading Formulas'!$A91)&amp;")","MOEValue(.0001)"),"")</f>
        <v/>
      </c>
      <c r="F91" s="3" t="str">
        <f t="shared" si="6"/>
        <v/>
      </c>
      <c r="G91" s="3" t="str">
        <f t="shared" si="7"/>
        <v/>
      </c>
      <c r="H91" s="3" t="str">
        <f t="shared" si="8"/>
        <v/>
      </c>
    </row>
    <row r="92" spans="1:8">
      <c r="A92" s="4" t="str">
        <f t="shared" si="9"/>
        <v/>
      </c>
      <c r="B92" s="4" t="str">
        <f t="shared" ref="B92:B155" si="10">IF(ISNUMBER(A92),"CELL","")</f>
        <v/>
      </c>
      <c r="C92" s="19" t="str" cm="1">
        <f t="array" ref="C92">IF(ISNUMBER(A92),IF(A92=A91,INDEX(BackgroundCalcs!$AV$2:$AV$500,'Grading Formulas'!$A92),"Question Results"),"")</f>
        <v/>
      </c>
      <c r="D92" s="6" t="str" cm="1">
        <f t="array" ref="D92">IF(ISNUMBER($A92),IF(A92=A91,INDEX(BackgroundCalcs!$AW$2:$AW$500,'Grading Formulas'!$A92),"C"&amp;A92+9),"")</f>
        <v/>
      </c>
      <c r="E92" s="3" t="str" cm="1">
        <f t="array" ref="E92">IF(ISNUMBER($A92),IF(A92=A91,"Reference2(False,True,"&amp;INDEX(BackgroundCalcs!$AX$2:$AX$500,'Grading Formulas'!$A92)&amp;")","MOEValue(.0001)"),"")</f>
        <v/>
      </c>
      <c r="F92" s="3" t="str">
        <f t="shared" ref="F92:F155" si="11">IF(ISNUMBER($A92),IF(A92=A91,-1000,1),"")</f>
        <v/>
      </c>
      <c r="G92" s="3" t="str">
        <f t="shared" ref="G92:G155" si="12">IF(ISNUMBER($A92),IF(A92=A91,"You should not be referencing the answer cell","Correct"),"")</f>
        <v/>
      </c>
      <c r="H92" s="3" t="str">
        <f t="shared" ref="H92:H155" si="13">IF(ISNUMBER($A92),IF(A92=A91,"N/A","Incorrect"),"")</f>
        <v/>
      </c>
    </row>
    <row r="93" spans="1:8">
      <c r="A93" s="4" t="str">
        <f t="shared" si="9"/>
        <v/>
      </c>
      <c r="B93" s="4" t="str">
        <f t="shared" si="10"/>
        <v/>
      </c>
      <c r="C93" s="19" t="str" cm="1">
        <f t="array" ref="C93">IF(ISNUMBER(A93),IF(A93=A92,INDEX(BackgroundCalcs!$AV$2:$AV$500,'Grading Formulas'!$A93),"Question Results"),"")</f>
        <v/>
      </c>
      <c r="D93" s="6" t="str" cm="1">
        <f t="array" ref="D93">IF(ISNUMBER($A93),IF(A93=A92,INDEX(BackgroundCalcs!$AW$2:$AW$500,'Grading Formulas'!$A93),"C"&amp;A93+9),"")</f>
        <v/>
      </c>
      <c r="E93" s="3" t="str" cm="1">
        <f t="array" ref="E93">IF(ISNUMBER($A93),IF(A93=A92,"Reference2(False,True,"&amp;INDEX(BackgroundCalcs!$AX$2:$AX$500,'Grading Formulas'!$A93)&amp;")","MOEValue(.0001)"),"")</f>
        <v/>
      </c>
      <c r="F93" s="3" t="str">
        <f t="shared" si="11"/>
        <v/>
      </c>
      <c r="G93" s="3" t="str">
        <f t="shared" si="12"/>
        <v/>
      </c>
      <c r="H93" s="3" t="str">
        <f t="shared" si="13"/>
        <v/>
      </c>
    </row>
    <row r="94" spans="1:8">
      <c r="A94" s="4" t="str">
        <f t="shared" si="9"/>
        <v/>
      </c>
      <c r="B94" s="4" t="str">
        <f t="shared" si="10"/>
        <v/>
      </c>
      <c r="C94" s="19" t="str" cm="1">
        <f t="array" ref="C94">IF(ISNUMBER(A94),IF(A94=A93,INDEX(BackgroundCalcs!$AV$2:$AV$500,'Grading Formulas'!$A94),"Question Results"),"")</f>
        <v/>
      </c>
      <c r="D94" s="6" t="str" cm="1">
        <f t="array" ref="D94">IF(ISNUMBER($A94),IF(A94=A93,INDEX(BackgroundCalcs!$AW$2:$AW$500,'Grading Formulas'!$A94),"C"&amp;A94+9),"")</f>
        <v/>
      </c>
      <c r="E94" s="3" t="str" cm="1">
        <f t="array" ref="E94">IF(ISNUMBER($A94),IF(A94=A93,"Reference2(False,True,"&amp;INDEX(BackgroundCalcs!$AX$2:$AX$500,'Grading Formulas'!$A94)&amp;")","MOEValue(.0001)"),"")</f>
        <v/>
      </c>
      <c r="F94" s="3" t="str">
        <f t="shared" si="11"/>
        <v/>
      </c>
      <c r="G94" s="3" t="str">
        <f t="shared" si="12"/>
        <v/>
      </c>
      <c r="H94" s="3" t="str">
        <f t="shared" si="13"/>
        <v/>
      </c>
    </row>
    <row r="95" spans="1:8">
      <c r="A95" s="4" t="str">
        <f t="shared" si="9"/>
        <v/>
      </c>
      <c r="B95" s="4" t="str">
        <f t="shared" si="10"/>
        <v/>
      </c>
      <c r="C95" s="19" t="str" cm="1">
        <f t="array" ref="C95">IF(ISNUMBER(A95),IF(A95=A94,INDEX(BackgroundCalcs!$AV$2:$AV$500,'Grading Formulas'!$A95),"Question Results"),"")</f>
        <v/>
      </c>
      <c r="D95" s="6" t="str" cm="1">
        <f t="array" ref="D95">IF(ISNUMBER($A95),IF(A95=A94,INDEX(BackgroundCalcs!$AW$2:$AW$500,'Grading Formulas'!$A95),"C"&amp;A95+9),"")</f>
        <v/>
      </c>
      <c r="E95" s="3" t="str" cm="1">
        <f t="array" ref="E95">IF(ISNUMBER($A95),IF(A95=A94,"Reference2(False,True,"&amp;INDEX(BackgroundCalcs!$AX$2:$AX$500,'Grading Formulas'!$A95)&amp;")","MOEValue(.0001)"),"")</f>
        <v/>
      </c>
      <c r="F95" s="3" t="str">
        <f t="shared" si="11"/>
        <v/>
      </c>
      <c r="G95" s="3" t="str">
        <f t="shared" si="12"/>
        <v/>
      </c>
      <c r="H95" s="3" t="str">
        <f t="shared" si="13"/>
        <v/>
      </c>
    </row>
    <row r="96" spans="1:8">
      <c r="A96" s="4" t="str">
        <f t="shared" si="9"/>
        <v/>
      </c>
      <c r="B96" s="4" t="str">
        <f t="shared" si="10"/>
        <v/>
      </c>
      <c r="C96" s="19" t="str" cm="1">
        <f t="array" ref="C96">IF(ISNUMBER(A96),IF(A96=A95,INDEX(BackgroundCalcs!$AV$2:$AV$500,'Grading Formulas'!$A96),"Question Results"),"")</f>
        <v/>
      </c>
      <c r="D96" s="6" t="str" cm="1">
        <f t="array" ref="D96">IF(ISNUMBER($A96),IF(A96=A95,INDEX(BackgroundCalcs!$AW$2:$AW$500,'Grading Formulas'!$A96),"C"&amp;A96+9),"")</f>
        <v/>
      </c>
      <c r="E96" s="3" t="str" cm="1">
        <f t="array" ref="E96">IF(ISNUMBER($A96),IF(A96=A95,"Reference2(False,True,"&amp;INDEX(BackgroundCalcs!$AX$2:$AX$500,'Grading Formulas'!$A96)&amp;")","MOEValue(.0001)"),"")</f>
        <v/>
      </c>
      <c r="F96" s="3" t="str">
        <f t="shared" si="11"/>
        <v/>
      </c>
      <c r="G96" s="3" t="str">
        <f t="shared" si="12"/>
        <v/>
      </c>
      <c r="H96" s="3" t="str">
        <f t="shared" si="13"/>
        <v/>
      </c>
    </row>
    <row r="97" spans="1:8">
      <c r="A97" s="4" t="str">
        <f t="shared" si="9"/>
        <v/>
      </c>
      <c r="B97" s="4" t="str">
        <f t="shared" si="10"/>
        <v/>
      </c>
      <c r="C97" s="19" t="str" cm="1">
        <f t="array" ref="C97">IF(ISNUMBER(A97),IF(A97=A96,INDEX(BackgroundCalcs!$AV$2:$AV$500,'Grading Formulas'!$A97),"Question Results"),"")</f>
        <v/>
      </c>
      <c r="D97" s="6" t="str" cm="1">
        <f t="array" ref="D97">IF(ISNUMBER($A97),IF(A97=A96,INDEX(BackgroundCalcs!$AW$2:$AW$500,'Grading Formulas'!$A97),"C"&amp;A97+9),"")</f>
        <v/>
      </c>
      <c r="E97" s="3" t="str" cm="1">
        <f t="array" ref="E97">IF(ISNUMBER($A97),IF(A97=A96,"Reference2(False,True,"&amp;INDEX(BackgroundCalcs!$AX$2:$AX$500,'Grading Formulas'!$A97)&amp;")","MOEValue(.0001)"),"")</f>
        <v/>
      </c>
      <c r="F97" s="3" t="str">
        <f t="shared" si="11"/>
        <v/>
      </c>
      <c r="G97" s="3" t="str">
        <f t="shared" si="12"/>
        <v/>
      </c>
      <c r="H97" s="3" t="str">
        <f t="shared" si="13"/>
        <v/>
      </c>
    </row>
    <row r="98" spans="1:8">
      <c r="A98" s="4" t="str">
        <f t="shared" si="9"/>
        <v/>
      </c>
      <c r="B98" s="4" t="str">
        <f t="shared" si="10"/>
        <v/>
      </c>
      <c r="C98" s="19" t="str" cm="1">
        <f t="array" ref="C98">IF(ISNUMBER(A98),IF(A98=A97,INDEX(BackgroundCalcs!$AV$2:$AV$500,'Grading Formulas'!$A98),"Question Results"),"")</f>
        <v/>
      </c>
      <c r="D98" s="6" t="str" cm="1">
        <f t="array" ref="D98">IF(ISNUMBER($A98),IF(A98=A97,INDEX(BackgroundCalcs!$AW$2:$AW$500,'Grading Formulas'!$A98),"C"&amp;A98+9),"")</f>
        <v/>
      </c>
      <c r="E98" s="3" t="str" cm="1">
        <f t="array" ref="E98">IF(ISNUMBER($A98),IF(A98=A97,"Reference2(False,True,"&amp;INDEX(BackgroundCalcs!$AX$2:$AX$500,'Grading Formulas'!$A98)&amp;")","MOEValue(.0001)"),"")</f>
        <v/>
      </c>
      <c r="F98" s="3" t="str">
        <f t="shared" si="11"/>
        <v/>
      </c>
      <c r="G98" s="3" t="str">
        <f t="shared" si="12"/>
        <v/>
      </c>
      <c r="H98" s="3" t="str">
        <f t="shared" si="13"/>
        <v/>
      </c>
    </row>
    <row r="99" spans="1:8">
      <c r="A99" s="4" t="str">
        <f t="shared" si="9"/>
        <v/>
      </c>
      <c r="B99" s="4" t="str">
        <f t="shared" si="10"/>
        <v/>
      </c>
      <c r="C99" s="19" t="str" cm="1">
        <f t="array" ref="C99">IF(ISNUMBER(A99),IF(A99=A98,INDEX(BackgroundCalcs!$AV$2:$AV$500,'Grading Formulas'!$A99),"Question Results"),"")</f>
        <v/>
      </c>
      <c r="D99" s="6" t="str" cm="1">
        <f t="array" ref="D99">IF(ISNUMBER($A99),IF(A99=A98,INDEX(BackgroundCalcs!$AW$2:$AW$500,'Grading Formulas'!$A99),"C"&amp;A99+9),"")</f>
        <v/>
      </c>
      <c r="E99" s="3" t="str" cm="1">
        <f t="array" ref="E99">IF(ISNUMBER($A99),IF(A99=A98,"Reference2(False,True,"&amp;INDEX(BackgroundCalcs!$AX$2:$AX$500,'Grading Formulas'!$A99)&amp;")","MOEValue(.0001)"),"")</f>
        <v/>
      </c>
      <c r="F99" s="3" t="str">
        <f t="shared" si="11"/>
        <v/>
      </c>
      <c r="G99" s="3" t="str">
        <f t="shared" si="12"/>
        <v/>
      </c>
      <c r="H99" s="3" t="str">
        <f t="shared" si="13"/>
        <v/>
      </c>
    </row>
    <row r="100" spans="1:8">
      <c r="A100" s="4" t="str">
        <f t="shared" si="9"/>
        <v/>
      </c>
      <c r="B100" s="4" t="str">
        <f t="shared" si="10"/>
        <v/>
      </c>
      <c r="C100" s="19" t="str" cm="1">
        <f t="array" ref="C100">IF(ISNUMBER(A100),IF(A100=A99,INDEX(BackgroundCalcs!$AV$2:$AV$500,'Grading Formulas'!$A100),"Question Results"),"")</f>
        <v/>
      </c>
      <c r="D100" s="6" t="str" cm="1">
        <f t="array" ref="D100">IF(ISNUMBER($A100),IF(A100=A99,INDEX(BackgroundCalcs!$AW$2:$AW$500,'Grading Formulas'!$A100),"C"&amp;A100+9),"")</f>
        <v/>
      </c>
      <c r="E100" s="3" t="str" cm="1">
        <f t="array" ref="E100">IF(ISNUMBER($A100),IF(A100=A99,"Reference2(False,True,"&amp;INDEX(BackgroundCalcs!$AX$2:$AX$500,'Grading Formulas'!$A100)&amp;")","MOEValue(.0001)"),"")</f>
        <v/>
      </c>
      <c r="F100" s="3" t="str">
        <f t="shared" si="11"/>
        <v/>
      </c>
      <c r="G100" s="3" t="str">
        <f t="shared" si="12"/>
        <v/>
      </c>
      <c r="H100" s="3" t="str">
        <f t="shared" si="13"/>
        <v/>
      </c>
    </row>
    <row r="101" spans="1:8">
      <c r="A101" s="4" t="str">
        <f t="shared" si="9"/>
        <v/>
      </c>
      <c r="B101" s="4" t="str">
        <f t="shared" si="10"/>
        <v/>
      </c>
      <c r="C101" s="19" t="str" cm="1">
        <f t="array" ref="C101">IF(ISNUMBER(A101),IF(A101=A100,INDEX(BackgroundCalcs!$AV$2:$AV$500,'Grading Formulas'!$A101),"Question Results"),"")</f>
        <v/>
      </c>
      <c r="D101" s="6" t="str" cm="1">
        <f t="array" ref="D101">IF(ISNUMBER($A101),IF(A101=A100,INDEX(BackgroundCalcs!$AW$2:$AW$500,'Grading Formulas'!$A101),"C"&amp;A101+9),"")</f>
        <v/>
      </c>
      <c r="E101" s="3" t="str" cm="1">
        <f t="array" ref="E101">IF(ISNUMBER($A101),IF(A101=A100,"Reference2(False,True,"&amp;INDEX(BackgroundCalcs!$AX$2:$AX$500,'Grading Formulas'!$A101)&amp;")","MOEValue(.0001)"),"")</f>
        <v/>
      </c>
      <c r="F101" s="3" t="str">
        <f t="shared" si="11"/>
        <v/>
      </c>
      <c r="G101" s="3" t="str">
        <f t="shared" si="12"/>
        <v/>
      </c>
      <c r="H101" s="3" t="str">
        <f t="shared" si="13"/>
        <v/>
      </c>
    </row>
    <row r="102" spans="1:8">
      <c r="A102" s="4" t="str">
        <f t="shared" si="9"/>
        <v/>
      </c>
      <c r="B102" s="4" t="str">
        <f t="shared" si="10"/>
        <v/>
      </c>
      <c r="C102" s="19" t="str" cm="1">
        <f t="array" ref="C102">IF(ISNUMBER(A102),IF(A102=A101,INDEX(BackgroundCalcs!$AV$2:$AV$500,'Grading Formulas'!$A102),"Question Results"),"")</f>
        <v/>
      </c>
      <c r="D102" s="6" t="str" cm="1">
        <f t="array" ref="D102">IF(ISNUMBER($A102),IF(A102=A101,INDEX(BackgroundCalcs!$AW$2:$AW$500,'Grading Formulas'!$A102),"C"&amp;A102+9),"")</f>
        <v/>
      </c>
      <c r="E102" s="3" t="str" cm="1">
        <f t="array" ref="E102">IF(ISNUMBER($A102),IF(A102=A101,"Reference2(False,True,"&amp;INDEX(BackgroundCalcs!$AX$2:$AX$500,'Grading Formulas'!$A102)&amp;")","MOEValue(.0001)"),"")</f>
        <v/>
      </c>
      <c r="F102" s="3" t="str">
        <f t="shared" si="11"/>
        <v/>
      </c>
      <c r="G102" s="3" t="str">
        <f t="shared" si="12"/>
        <v/>
      </c>
      <c r="H102" s="3" t="str">
        <f t="shared" si="13"/>
        <v/>
      </c>
    </row>
    <row r="103" spans="1:8">
      <c r="A103" s="4" t="str">
        <f t="shared" si="9"/>
        <v/>
      </c>
      <c r="B103" s="4" t="str">
        <f t="shared" si="10"/>
        <v/>
      </c>
      <c r="C103" s="19" t="str" cm="1">
        <f t="array" ref="C103">IF(ISNUMBER(A103),IF(A103=A102,INDEX(BackgroundCalcs!$AV$2:$AV$500,'Grading Formulas'!$A103),"Question Results"),"")</f>
        <v/>
      </c>
      <c r="D103" s="6" t="str" cm="1">
        <f t="array" ref="D103">IF(ISNUMBER($A103),IF(A103=A102,INDEX(BackgroundCalcs!$AW$2:$AW$500,'Grading Formulas'!$A103),"C"&amp;A103+9),"")</f>
        <v/>
      </c>
      <c r="E103" s="3" t="str" cm="1">
        <f t="array" ref="E103">IF(ISNUMBER($A103),IF(A103=A102,"Reference2(False,True,"&amp;INDEX(BackgroundCalcs!$AX$2:$AX$500,'Grading Formulas'!$A103)&amp;")","MOEValue(.0001)"),"")</f>
        <v/>
      </c>
      <c r="F103" s="3" t="str">
        <f t="shared" si="11"/>
        <v/>
      </c>
      <c r="G103" s="3" t="str">
        <f t="shared" si="12"/>
        <v/>
      </c>
      <c r="H103" s="3" t="str">
        <f t="shared" si="13"/>
        <v/>
      </c>
    </row>
    <row r="104" spans="1:8">
      <c r="A104" s="4" t="str">
        <f t="shared" si="9"/>
        <v/>
      </c>
      <c r="B104" s="4" t="str">
        <f t="shared" si="10"/>
        <v/>
      </c>
      <c r="C104" s="19" t="str" cm="1">
        <f t="array" ref="C104">IF(ISNUMBER(A104),IF(A104=A103,INDEX(BackgroundCalcs!$AV$2:$AV$500,'Grading Formulas'!$A104),"Question Results"),"")</f>
        <v/>
      </c>
      <c r="D104" s="6" t="str" cm="1">
        <f t="array" ref="D104">IF(ISNUMBER($A104),IF(A104=A103,INDEX(BackgroundCalcs!$AW$2:$AW$500,'Grading Formulas'!$A104),"C"&amp;A104+9),"")</f>
        <v/>
      </c>
      <c r="E104" s="3" t="str" cm="1">
        <f t="array" ref="E104">IF(ISNUMBER($A104),IF(A104=A103,"Reference2(False,True,"&amp;INDEX(BackgroundCalcs!$AX$2:$AX$500,'Grading Formulas'!$A104)&amp;")","MOEValue(.0001)"),"")</f>
        <v/>
      </c>
      <c r="F104" s="3" t="str">
        <f t="shared" si="11"/>
        <v/>
      </c>
      <c r="G104" s="3" t="str">
        <f t="shared" si="12"/>
        <v/>
      </c>
      <c r="H104" s="3" t="str">
        <f t="shared" si="13"/>
        <v/>
      </c>
    </row>
    <row r="105" spans="1:8">
      <c r="A105" s="4" t="str">
        <f t="shared" si="9"/>
        <v/>
      </c>
      <c r="B105" s="4" t="str">
        <f t="shared" si="10"/>
        <v/>
      </c>
      <c r="C105" s="19" t="str" cm="1">
        <f t="array" ref="C105">IF(ISNUMBER(A105),IF(A105=A104,INDEX(BackgroundCalcs!$AV$2:$AV$500,'Grading Formulas'!$A105),"Question Results"),"")</f>
        <v/>
      </c>
      <c r="D105" s="6" t="str" cm="1">
        <f t="array" ref="D105">IF(ISNUMBER($A105),IF(A105=A104,INDEX(BackgroundCalcs!$AW$2:$AW$500,'Grading Formulas'!$A105),"C"&amp;A105+9),"")</f>
        <v/>
      </c>
      <c r="E105" s="3" t="str" cm="1">
        <f t="array" ref="E105">IF(ISNUMBER($A105),IF(A105=A104,"Reference2(False,True,"&amp;INDEX(BackgroundCalcs!$AX$2:$AX$500,'Grading Formulas'!$A105)&amp;")","MOEValue(.0001)"),"")</f>
        <v/>
      </c>
      <c r="F105" s="3" t="str">
        <f t="shared" si="11"/>
        <v/>
      </c>
      <c r="G105" s="3" t="str">
        <f t="shared" si="12"/>
        <v/>
      </c>
      <c r="H105" s="3" t="str">
        <f t="shared" si="13"/>
        <v/>
      </c>
    </row>
    <row r="106" spans="1:8">
      <c r="A106" s="4" t="str">
        <f t="shared" si="9"/>
        <v/>
      </c>
      <c r="B106" s="4" t="str">
        <f t="shared" si="10"/>
        <v/>
      </c>
      <c r="C106" s="19" t="str" cm="1">
        <f t="array" ref="C106">IF(ISNUMBER(A106),IF(A106=A105,INDEX(BackgroundCalcs!$AV$2:$AV$500,'Grading Formulas'!$A106),"Question Results"),"")</f>
        <v/>
      </c>
      <c r="D106" s="6" t="str" cm="1">
        <f t="array" ref="D106">IF(ISNUMBER($A106),IF(A106=A105,INDEX(BackgroundCalcs!$AW$2:$AW$500,'Grading Formulas'!$A106),"C"&amp;A106+9),"")</f>
        <v/>
      </c>
      <c r="E106" s="3" t="str" cm="1">
        <f t="array" ref="E106">IF(ISNUMBER($A106),IF(A106=A105,"Reference2(False,True,"&amp;INDEX(BackgroundCalcs!$AX$2:$AX$500,'Grading Formulas'!$A106)&amp;")","MOEValue(.0001)"),"")</f>
        <v/>
      </c>
      <c r="F106" s="3" t="str">
        <f t="shared" si="11"/>
        <v/>
      </c>
      <c r="G106" s="3" t="str">
        <f t="shared" si="12"/>
        <v/>
      </c>
      <c r="H106" s="3" t="str">
        <f t="shared" si="13"/>
        <v/>
      </c>
    </row>
    <row r="107" spans="1:8">
      <c r="A107" s="4" t="str">
        <f t="shared" si="9"/>
        <v/>
      </c>
      <c r="B107" s="4" t="str">
        <f t="shared" si="10"/>
        <v/>
      </c>
      <c r="C107" s="19" t="str" cm="1">
        <f t="array" ref="C107">IF(ISNUMBER(A107),IF(A107=A106,INDEX(BackgroundCalcs!$AV$2:$AV$500,'Grading Formulas'!$A107),"Question Results"),"")</f>
        <v/>
      </c>
      <c r="D107" s="6" t="str" cm="1">
        <f t="array" ref="D107">IF(ISNUMBER($A107),IF(A107=A106,INDEX(BackgroundCalcs!$AW$2:$AW$500,'Grading Formulas'!$A107),"C"&amp;A107+9),"")</f>
        <v/>
      </c>
      <c r="E107" s="3" t="str" cm="1">
        <f t="array" ref="E107">IF(ISNUMBER($A107),IF(A107=A106,"Reference2(False,True,"&amp;INDEX(BackgroundCalcs!$AX$2:$AX$500,'Grading Formulas'!$A107)&amp;")","MOEValue(.0001)"),"")</f>
        <v/>
      </c>
      <c r="F107" s="3" t="str">
        <f t="shared" si="11"/>
        <v/>
      </c>
      <c r="G107" s="3" t="str">
        <f t="shared" si="12"/>
        <v/>
      </c>
      <c r="H107" s="3" t="str">
        <f t="shared" si="13"/>
        <v/>
      </c>
    </row>
    <row r="108" spans="1:8">
      <c r="A108" s="4" t="str">
        <f t="shared" si="9"/>
        <v/>
      </c>
      <c r="B108" s="4" t="str">
        <f t="shared" si="10"/>
        <v/>
      </c>
      <c r="C108" s="19" t="str" cm="1">
        <f t="array" ref="C108">IF(ISNUMBER(A108),IF(A108=A107,INDEX(BackgroundCalcs!$AV$2:$AV$500,'Grading Formulas'!$A108),"Question Results"),"")</f>
        <v/>
      </c>
      <c r="D108" s="6" t="str" cm="1">
        <f t="array" ref="D108">IF(ISNUMBER($A108),IF(A108=A107,INDEX(BackgroundCalcs!$AW$2:$AW$500,'Grading Formulas'!$A108),"C"&amp;A108+9),"")</f>
        <v/>
      </c>
      <c r="E108" s="3" t="str" cm="1">
        <f t="array" ref="E108">IF(ISNUMBER($A108),IF(A108=A107,"Reference2(False,True,"&amp;INDEX(BackgroundCalcs!$AX$2:$AX$500,'Grading Formulas'!$A108)&amp;")","MOEValue(.0001)"),"")</f>
        <v/>
      </c>
      <c r="F108" s="3" t="str">
        <f t="shared" si="11"/>
        <v/>
      </c>
      <c r="G108" s="3" t="str">
        <f t="shared" si="12"/>
        <v/>
      </c>
      <c r="H108" s="3" t="str">
        <f t="shared" si="13"/>
        <v/>
      </c>
    </row>
    <row r="109" spans="1:8">
      <c r="A109" s="4" t="str">
        <f t="shared" si="9"/>
        <v/>
      </c>
      <c r="B109" s="4" t="str">
        <f t="shared" si="10"/>
        <v/>
      </c>
      <c r="C109" s="19" t="str" cm="1">
        <f t="array" ref="C109">IF(ISNUMBER(A109),IF(A109=A108,INDEX(BackgroundCalcs!$AV$2:$AV$500,'Grading Formulas'!$A109),"Question Results"),"")</f>
        <v/>
      </c>
      <c r="D109" s="6" t="str" cm="1">
        <f t="array" ref="D109">IF(ISNUMBER($A109),IF(A109=A108,INDEX(BackgroundCalcs!$AW$2:$AW$500,'Grading Formulas'!$A109),"C"&amp;A109+9),"")</f>
        <v/>
      </c>
      <c r="E109" s="3" t="str" cm="1">
        <f t="array" ref="E109">IF(ISNUMBER($A109),IF(A109=A108,"Reference2(False,True,"&amp;INDEX(BackgroundCalcs!$AX$2:$AX$500,'Grading Formulas'!$A109)&amp;")","MOEValue(.0001)"),"")</f>
        <v/>
      </c>
      <c r="F109" s="3" t="str">
        <f t="shared" si="11"/>
        <v/>
      </c>
      <c r="G109" s="3" t="str">
        <f t="shared" si="12"/>
        <v/>
      </c>
      <c r="H109" s="3" t="str">
        <f t="shared" si="13"/>
        <v/>
      </c>
    </row>
    <row r="110" spans="1:8">
      <c r="A110" s="4" t="str">
        <f t="shared" si="9"/>
        <v/>
      </c>
      <c r="B110" s="4" t="str">
        <f t="shared" si="10"/>
        <v/>
      </c>
      <c r="C110" s="19" t="str" cm="1">
        <f t="array" ref="C110">IF(ISNUMBER(A110),IF(A110=A109,INDEX(BackgroundCalcs!$AV$2:$AV$500,'Grading Formulas'!$A110),"Question Results"),"")</f>
        <v/>
      </c>
      <c r="D110" s="6" t="str" cm="1">
        <f t="array" ref="D110">IF(ISNUMBER($A110),IF(A110=A109,INDEX(BackgroundCalcs!$AW$2:$AW$500,'Grading Formulas'!$A110),"C"&amp;A110+9),"")</f>
        <v/>
      </c>
      <c r="E110" s="3" t="str" cm="1">
        <f t="array" ref="E110">IF(ISNUMBER($A110),IF(A110=A109,"Reference2(False,True,"&amp;INDEX(BackgroundCalcs!$AX$2:$AX$500,'Grading Formulas'!$A110)&amp;")","MOEValue(.0001)"),"")</f>
        <v/>
      </c>
      <c r="F110" s="3" t="str">
        <f t="shared" si="11"/>
        <v/>
      </c>
      <c r="G110" s="3" t="str">
        <f t="shared" si="12"/>
        <v/>
      </c>
      <c r="H110" s="3" t="str">
        <f t="shared" si="13"/>
        <v/>
      </c>
    </row>
    <row r="111" spans="1:8">
      <c r="A111" s="4" t="str">
        <f t="shared" si="9"/>
        <v/>
      </c>
      <c r="B111" s="4" t="str">
        <f t="shared" si="10"/>
        <v/>
      </c>
      <c r="C111" s="19" t="str" cm="1">
        <f t="array" ref="C111">IF(ISNUMBER(A111),IF(A111=A110,INDEX(BackgroundCalcs!$AV$2:$AV$500,'Grading Formulas'!$A111),"Question Results"),"")</f>
        <v/>
      </c>
      <c r="D111" s="6" t="str" cm="1">
        <f t="array" ref="D111">IF(ISNUMBER($A111),IF(A111=A110,INDEX(BackgroundCalcs!$AW$2:$AW$500,'Grading Formulas'!$A111),"C"&amp;A111+9),"")</f>
        <v/>
      </c>
      <c r="E111" s="3" t="str" cm="1">
        <f t="array" ref="E111">IF(ISNUMBER($A111),IF(A111=A110,"Reference2(False,True,"&amp;INDEX(BackgroundCalcs!$AX$2:$AX$500,'Grading Formulas'!$A111)&amp;")","MOEValue(.0001)"),"")</f>
        <v/>
      </c>
      <c r="F111" s="3" t="str">
        <f t="shared" si="11"/>
        <v/>
      </c>
      <c r="G111" s="3" t="str">
        <f t="shared" si="12"/>
        <v/>
      </c>
      <c r="H111" s="3" t="str">
        <f t="shared" si="13"/>
        <v/>
      </c>
    </row>
    <row r="112" spans="1:8">
      <c r="A112" s="4" t="str">
        <f t="shared" si="9"/>
        <v/>
      </c>
      <c r="B112" s="4" t="str">
        <f t="shared" si="10"/>
        <v/>
      </c>
      <c r="C112" s="19" t="str" cm="1">
        <f t="array" ref="C112">IF(ISNUMBER(A112),IF(A112=A111,INDEX(BackgroundCalcs!$AV$2:$AV$500,'Grading Formulas'!$A112),"Question Results"),"")</f>
        <v/>
      </c>
      <c r="D112" s="6" t="str" cm="1">
        <f t="array" ref="D112">IF(ISNUMBER($A112),IF(A112=A111,INDEX(BackgroundCalcs!$AW$2:$AW$500,'Grading Formulas'!$A112),"C"&amp;A112+9),"")</f>
        <v/>
      </c>
      <c r="E112" s="3" t="str" cm="1">
        <f t="array" ref="E112">IF(ISNUMBER($A112),IF(A112=A111,"Reference2(False,True,"&amp;INDEX(BackgroundCalcs!$AX$2:$AX$500,'Grading Formulas'!$A112)&amp;")","MOEValue(.0001)"),"")</f>
        <v/>
      </c>
      <c r="F112" s="3" t="str">
        <f t="shared" si="11"/>
        <v/>
      </c>
      <c r="G112" s="3" t="str">
        <f t="shared" si="12"/>
        <v/>
      </c>
      <c r="H112" s="3" t="str">
        <f t="shared" si="13"/>
        <v/>
      </c>
    </row>
    <row r="113" spans="1:8">
      <c r="A113" s="4" t="str">
        <f t="shared" si="9"/>
        <v/>
      </c>
      <c r="B113" s="4" t="str">
        <f t="shared" si="10"/>
        <v/>
      </c>
      <c r="C113" s="19" t="str" cm="1">
        <f t="array" ref="C113">IF(ISNUMBER(A113),IF(A113=A112,INDEX(BackgroundCalcs!$AV$2:$AV$500,'Grading Formulas'!$A113),"Question Results"),"")</f>
        <v/>
      </c>
      <c r="D113" s="6" t="str" cm="1">
        <f t="array" ref="D113">IF(ISNUMBER($A113),IF(A113=A112,INDEX(BackgroundCalcs!$AW$2:$AW$500,'Grading Formulas'!$A113),"C"&amp;A113+9),"")</f>
        <v/>
      </c>
      <c r="E113" s="3" t="str" cm="1">
        <f t="array" ref="E113">IF(ISNUMBER($A113),IF(A113=A112,"Reference2(False,True,"&amp;INDEX(BackgroundCalcs!$AX$2:$AX$500,'Grading Formulas'!$A113)&amp;")","MOEValue(.0001)"),"")</f>
        <v/>
      </c>
      <c r="F113" s="3" t="str">
        <f t="shared" si="11"/>
        <v/>
      </c>
      <c r="G113" s="3" t="str">
        <f t="shared" si="12"/>
        <v/>
      </c>
      <c r="H113" s="3" t="str">
        <f t="shared" si="13"/>
        <v/>
      </c>
    </row>
    <row r="114" spans="1:8">
      <c r="A114" s="4" t="str">
        <f t="shared" si="9"/>
        <v/>
      </c>
      <c r="B114" s="4" t="str">
        <f t="shared" si="10"/>
        <v/>
      </c>
      <c r="C114" s="19" t="str" cm="1">
        <f t="array" ref="C114">IF(ISNUMBER(A114),IF(A114=A113,INDEX(BackgroundCalcs!$AV$2:$AV$500,'Grading Formulas'!$A114),"Question Results"),"")</f>
        <v/>
      </c>
      <c r="D114" s="6" t="str" cm="1">
        <f t="array" ref="D114">IF(ISNUMBER($A114),IF(A114=A113,INDEX(BackgroundCalcs!$AW$2:$AW$500,'Grading Formulas'!$A114),"C"&amp;A114+9),"")</f>
        <v/>
      </c>
      <c r="E114" s="3" t="str" cm="1">
        <f t="array" ref="E114">IF(ISNUMBER($A114),IF(A114=A113,"Reference2(False,True,"&amp;INDEX(BackgroundCalcs!$AX$2:$AX$500,'Grading Formulas'!$A114)&amp;")","MOEValue(.0001)"),"")</f>
        <v/>
      </c>
      <c r="F114" s="3" t="str">
        <f t="shared" si="11"/>
        <v/>
      </c>
      <c r="G114" s="3" t="str">
        <f t="shared" si="12"/>
        <v/>
      </c>
      <c r="H114" s="3" t="str">
        <f t="shared" si="13"/>
        <v/>
      </c>
    </row>
    <row r="115" spans="1:8">
      <c r="A115" s="4" t="str">
        <f t="shared" si="9"/>
        <v/>
      </c>
      <c r="B115" s="4" t="str">
        <f t="shared" si="10"/>
        <v/>
      </c>
      <c r="C115" s="19" t="str" cm="1">
        <f t="array" ref="C115">IF(ISNUMBER(A115),IF(A115=A114,INDEX(BackgroundCalcs!$AV$2:$AV$500,'Grading Formulas'!$A115),"Question Results"),"")</f>
        <v/>
      </c>
      <c r="D115" s="6" t="str" cm="1">
        <f t="array" ref="D115">IF(ISNUMBER($A115),IF(A115=A114,INDEX(BackgroundCalcs!$AW$2:$AW$500,'Grading Formulas'!$A115),"C"&amp;A115+9),"")</f>
        <v/>
      </c>
      <c r="E115" s="3" t="str" cm="1">
        <f t="array" ref="E115">IF(ISNUMBER($A115),IF(A115=A114,"Reference2(False,True,"&amp;INDEX(BackgroundCalcs!$AX$2:$AX$500,'Grading Formulas'!$A115)&amp;")","MOEValue(.0001)"),"")</f>
        <v/>
      </c>
      <c r="F115" s="3" t="str">
        <f t="shared" si="11"/>
        <v/>
      </c>
      <c r="G115" s="3" t="str">
        <f t="shared" si="12"/>
        <v/>
      </c>
      <c r="H115" s="3" t="str">
        <f t="shared" si="13"/>
        <v/>
      </c>
    </row>
    <row r="116" spans="1:8">
      <c r="A116" s="4" t="str">
        <f t="shared" si="9"/>
        <v/>
      </c>
      <c r="B116" s="4" t="str">
        <f t="shared" si="10"/>
        <v/>
      </c>
      <c r="C116" s="19" t="str" cm="1">
        <f t="array" ref="C116">IF(ISNUMBER(A116),IF(A116=A115,INDEX(BackgroundCalcs!$AV$2:$AV$500,'Grading Formulas'!$A116),"Question Results"),"")</f>
        <v/>
      </c>
      <c r="D116" s="6" t="str" cm="1">
        <f t="array" ref="D116">IF(ISNUMBER($A116),IF(A116=A115,INDEX(BackgroundCalcs!$AW$2:$AW$500,'Grading Formulas'!$A116),"C"&amp;A116+9),"")</f>
        <v/>
      </c>
      <c r="E116" s="3" t="str" cm="1">
        <f t="array" ref="E116">IF(ISNUMBER($A116),IF(A116=A115,"Reference2(False,True,"&amp;INDEX(BackgroundCalcs!$AX$2:$AX$500,'Grading Formulas'!$A116)&amp;")","MOEValue(.0001)"),"")</f>
        <v/>
      </c>
      <c r="F116" s="3" t="str">
        <f t="shared" si="11"/>
        <v/>
      </c>
      <c r="G116" s="3" t="str">
        <f t="shared" si="12"/>
        <v/>
      </c>
      <c r="H116" s="3" t="str">
        <f t="shared" si="13"/>
        <v/>
      </c>
    </row>
    <row r="117" spans="1:8">
      <c r="A117" s="4" t="str">
        <f t="shared" si="9"/>
        <v/>
      </c>
      <c r="B117" s="4" t="str">
        <f t="shared" si="10"/>
        <v/>
      </c>
      <c r="C117" s="19" t="str" cm="1">
        <f t="array" ref="C117">IF(ISNUMBER(A117),IF(A117=A116,INDEX(BackgroundCalcs!$AV$2:$AV$500,'Grading Formulas'!$A117),"Question Results"),"")</f>
        <v/>
      </c>
      <c r="D117" s="6" t="str" cm="1">
        <f t="array" ref="D117">IF(ISNUMBER($A117),IF(A117=A116,INDEX(BackgroundCalcs!$AW$2:$AW$500,'Grading Formulas'!$A117),"C"&amp;A117+9),"")</f>
        <v/>
      </c>
      <c r="E117" s="3" t="str" cm="1">
        <f t="array" ref="E117">IF(ISNUMBER($A117),IF(A117=A116,"Reference2(False,True,"&amp;INDEX(BackgroundCalcs!$AX$2:$AX$500,'Grading Formulas'!$A117)&amp;")","MOEValue(.0001)"),"")</f>
        <v/>
      </c>
      <c r="F117" s="3" t="str">
        <f t="shared" si="11"/>
        <v/>
      </c>
      <c r="G117" s="3" t="str">
        <f t="shared" si="12"/>
        <v/>
      </c>
      <c r="H117" s="3" t="str">
        <f t="shared" si="13"/>
        <v/>
      </c>
    </row>
    <row r="118" spans="1:8">
      <c r="A118" s="4" t="str">
        <f t="shared" si="9"/>
        <v/>
      </c>
      <c r="B118" s="4" t="str">
        <f t="shared" si="10"/>
        <v/>
      </c>
      <c r="C118" s="19" t="str" cm="1">
        <f t="array" ref="C118">IF(ISNUMBER(A118),IF(A118=A117,INDEX(BackgroundCalcs!$AV$2:$AV$500,'Grading Formulas'!$A118),"Question Results"),"")</f>
        <v/>
      </c>
      <c r="D118" s="6" t="str" cm="1">
        <f t="array" ref="D118">IF(ISNUMBER($A118),IF(A118=A117,INDEX(BackgroundCalcs!$AW$2:$AW$500,'Grading Formulas'!$A118),"C"&amp;A118+9),"")</f>
        <v/>
      </c>
      <c r="E118" s="3" t="str" cm="1">
        <f t="array" ref="E118">IF(ISNUMBER($A118),IF(A118=A117,"Reference2(False,True,"&amp;INDEX(BackgroundCalcs!$AX$2:$AX$500,'Grading Formulas'!$A118)&amp;")","MOEValue(.0001)"),"")</f>
        <v/>
      </c>
      <c r="F118" s="3" t="str">
        <f t="shared" si="11"/>
        <v/>
      </c>
      <c r="G118" s="3" t="str">
        <f t="shared" si="12"/>
        <v/>
      </c>
      <c r="H118" s="3" t="str">
        <f t="shared" si="13"/>
        <v/>
      </c>
    </row>
    <row r="119" spans="1:8">
      <c r="A119" s="4" t="str">
        <f t="shared" si="9"/>
        <v/>
      </c>
      <c r="B119" s="4" t="str">
        <f t="shared" si="10"/>
        <v/>
      </c>
      <c r="C119" s="19" t="str" cm="1">
        <f t="array" ref="C119">IF(ISNUMBER(A119),IF(A119=A118,INDEX(BackgroundCalcs!$AV$2:$AV$500,'Grading Formulas'!$A119),"Question Results"),"")</f>
        <v/>
      </c>
      <c r="D119" s="6" t="str" cm="1">
        <f t="array" ref="D119">IF(ISNUMBER($A119),IF(A119=A118,INDEX(BackgroundCalcs!$AW$2:$AW$500,'Grading Formulas'!$A119),"C"&amp;A119+9),"")</f>
        <v/>
      </c>
      <c r="E119" s="3" t="str" cm="1">
        <f t="array" ref="E119">IF(ISNUMBER($A119),IF(A119=A118,"Reference2(False,True,"&amp;INDEX(BackgroundCalcs!$AX$2:$AX$500,'Grading Formulas'!$A119)&amp;")","MOEValue(.0001)"),"")</f>
        <v/>
      </c>
      <c r="F119" s="3" t="str">
        <f t="shared" si="11"/>
        <v/>
      </c>
      <c r="G119" s="3" t="str">
        <f t="shared" si="12"/>
        <v/>
      </c>
      <c r="H119" s="3" t="str">
        <f t="shared" si="13"/>
        <v/>
      </c>
    </row>
    <row r="120" spans="1:8">
      <c r="A120" s="4" t="str">
        <f t="shared" si="9"/>
        <v/>
      </c>
      <c r="B120" s="4" t="str">
        <f t="shared" si="10"/>
        <v/>
      </c>
      <c r="C120" s="19" t="str" cm="1">
        <f t="array" ref="C120">IF(ISNUMBER(A120),IF(A120=A119,INDEX(BackgroundCalcs!$AV$2:$AV$500,'Grading Formulas'!$A120),"Question Results"),"")</f>
        <v/>
      </c>
      <c r="D120" s="6" t="str" cm="1">
        <f t="array" ref="D120">IF(ISNUMBER($A120),IF(A120=A119,INDEX(BackgroundCalcs!$AW$2:$AW$500,'Grading Formulas'!$A120),"C"&amp;A120+9),"")</f>
        <v/>
      </c>
      <c r="E120" s="3" t="str" cm="1">
        <f t="array" ref="E120">IF(ISNUMBER($A120),IF(A120=A119,"Reference2(False,True,"&amp;INDEX(BackgroundCalcs!$AX$2:$AX$500,'Grading Formulas'!$A120)&amp;")","MOEValue(.0001)"),"")</f>
        <v/>
      </c>
      <c r="F120" s="3" t="str">
        <f t="shared" si="11"/>
        <v/>
      </c>
      <c r="G120" s="3" t="str">
        <f t="shared" si="12"/>
        <v/>
      </c>
      <c r="H120" s="3" t="str">
        <f t="shared" si="13"/>
        <v/>
      </c>
    </row>
    <row r="121" spans="1:8">
      <c r="A121" s="4" t="str">
        <f t="shared" si="9"/>
        <v/>
      </c>
      <c r="B121" s="4" t="str">
        <f t="shared" si="10"/>
        <v/>
      </c>
      <c r="C121" s="19" t="str" cm="1">
        <f t="array" ref="C121">IF(ISNUMBER(A121),IF(A121=A120,INDEX(BackgroundCalcs!$AV$2:$AV$500,'Grading Formulas'!$A121),"Question Results"),"")</f>
        <v/>
      </c>
      <c r="D121" s="6" t="str" cm="1">
        <f t="array" ref="D121">IF(ISNUMBER($A121),IF(A121=A120,INDEX(BackgroundCalcs!$AW$2:$AW$500,'Grading Formulas'!$A121),"C"&amp;A121+9),"")</f>
        <v/>
      </c>
      <c r="E121" s="3" t="str" cm="1">
        <f t="array" ref="E121">IF(ISNUMBER($A121),IF(A121=A120,"Reference2(False,True,"&amp;INDEX(BackgroundCalcs!$AX$2:$AX$500,'Grading Formulas'!$A121)&amp;")","MOEValue(.0001)"),"")</f>
        <v/>
      </c>
      <c r="F121" s="3" t="str">
        <f t="shared" si="11"/>
        <v/>
      </c>
      <c r="G121" s="3" t="str">
        <f t="shared" si="12"/>
        <v/>
      </c>
      <c r="H121" s="3" t="str">
        <f t="shared" si="13"/>
        <v/>
      </c>
    </row>
    <row r="122" spans="1:8">
      <c r="A122" s="4" t="str">
        <f t="shared" si="9"/>
        <v/>
      </c>
      <c r="B122" s="4" t="str">
        <f t="shared" si="10"/>
        <v/>
      </c>
      <c r="C122" s="19" t="str" cm="1">
        <f t="array" ref="C122">IF(ISNUMBER(A122),IF(A122=A121,INDEX(BackgroundCalcs!$AV$2:$AV$500,'Grading Formulas'!$A122),"Question Results"),"")</f>
        <v/>
      </c>
      <c r="D122" s="6" t="str" cm="1">
        <f t="array" ref="D122">IF(ISNUMBER($A122),IF(A122=A121,INDEX(BackgroundCalcs!$AW$2:$AW$500,'Grading Formulas'!$A122),"C"&amp;A122+9),"")</f>
        <v/>
      </c>
      <c r="E122" s="3" t="str" cm="1">
        <f t="array" ref="E122">IF(ISNUMBER($A122),IF(A122=A121,"Reference2(False,True,"&amp;INDEX(BackgroundCalcs!$AX$2:$AX$500,'Grading Formulas'!$A122)&amp;")","MOEValue(.0001)"),"")</f>
        <v/>
      </c>
      <c r="F122" s="3" t="str">
        <f t="shared" si="11"/>
        <v/>
      </c>
      <c r="G122" s="3" t="str">
        <f t="shared" si="12"/>
        <v/>
      </c>
      <c r="H122" s="3" t="str">
        <f t="shared" si="13"/>
        <v/>
      </c>
    </row>
    <row r="123" spans="1:8">
      <c r="A123" s="4" t="str">
        <f t="shared" si="9"/>
        <v/>
      </c>
      <c r="B123" s="4" t="str">
        <f t="shared" si="10"/>
        <v/>
      </c>
      <c r="C123" s="19" t="str" cm="1">
        <f t="array" ref="C123">IF(ISNUMBER(A123),IF(A123=A122,INDEX(BackgroundCalcs!$AV$2:$AV$500,'Grading Formulas'!$A123),"Question Results"),"")</f>
        <v/>
      </c>
      <c r="D123" s="6" t="str" cm="1">
        <f t="array" ref="D123">IF(ISNUMBER($A123),IF(A123=A122,INDEX(BackgroundCalcs!$AW$2:$AW$500,'Grading Formulas'!$A123),"C"&amp;A123+9),"")</f>
        <v/>
      </c>
      <c r="E123" s="3" t="str" cm="1">
        <f t="array" ref="E123">IF(ISNUMBER($A123),IF(A123=A122,"Reference2(False,True,"&amp;INDEX(BackgroundCalcs!$AX$2:$AX$500,'Grading Formulas'!$A123)&amp;")","MOEValue(.0001)"),"")</f>
        <v/>
      </c>
      <c r="F123" s="3" t="str">
        <f t="shared" si="11"/>
        <v/>
      </c>
      <c r="G123" s="3" t="str">
        <f t="shared" si="12"/>
        <v/>
      </c>
      <c r="H123" s="3" t="str">
        <f t="shared" si="13"/>
        <v/>
      </c>
    </row>
    <row r="124" spans="1:8">
      <c r="A124" s="4" t="str">
        <f t="shared" si="9"/>
        <v/>
      </c>
      <c r="B124" s="4" t="str">
        <f t="shared" si="10"/>
        <v/>
      </c>
      <c r="C124" s="19" t="str" cm="1">
        <f t="array" ref="C124">IF(ISNUMBER(A124),IF(A124=A123,INDEX(BackgroundCalcs!$AV$2:$AV$500,'Grading Formulas'!$A124),"Question Results"),"")</f>
        <v/>
      </c>
      <c r="D124" s="6" t="str" cm="1">
        <f t="array" ref="D124">IF(ISNUMBER($A124),IF(A124=A123,INDEX(BackgroundCalcs!$AW$2:$AW$500,'Grading Formulas'!$A124),"C"&amp;A124+9),"")</f>
        <v/>
      </c>
      <c r="E124" s="3" t="str" cm="1">
        <f t="array" ref="E124">IF(ISNUMBER($A124),IF(A124=A123,"Reference2(False,True,"&amp;INDEX(BackgroundCalcs!$AX$2:$AX$500,'Grading Formulas'!$A124)&amp;")","MOEValue(.0001)"),"")</f>
        <v/>
      </c>
      <c r="F124" s="3" t="str">
        <f t="shared" si="11"/>
        <v/>
      </c>
      <c r="G124" s="3" t="str">
        <f t="shared" si="12"/>
        <v/>
      </c>
      <c r="H124" s="3" t="str">
        <f t="shared" si="13"/>
        <v/>
      </c>
    </row>
    <row r="125" spans="1:8">
      <c r="A125" s="4" t="str">
        <f t="shared" si="9"/>
        <v/>
      </c>
      <c r="B125" s="4" t="str">
        <f t="shared" si="10"/>
        <v/>
      </c>
      <c r="C125" s="19" t="str" cm="1">
        <f t="array" ref="C125">IF(ISNUMBER(A125),IF(A125=A124,INDEX(BackgroundCalcs!$AV$2:$AV$500,'Grading Formulas'!$A125),"Question Results"),"")</f>
        <v/>
      </c>
      <c r="D125" s="6" t="str" cm="1">
        <f t="array" ref="D125">IF(ISNUMBER($A125),IF(A125=A124,INDEX(BackgroundCalcs!$AW$2:$AW$500,'Grading Formulas'!$A125),"C"&amp;A125+9),"")</f>
        <v/>
      </c>
      <c r="E125" s="3" t="str" cm="1">
        <f t="array" ref="E125">IF(ISNUMBER($A125),IF(A125=A124,"Reference2(False,True,"&amp;INDEX(BackgroundCalcs!$AX$2:$AX$500,'Grading Formulas'!$A125)&amp;")","MOEValue(.0001)"),"")</f>
        <v/>
      </c>
      <c r="F125" s="3" t="str">
        <f t="shared" si="11"/>
        <v/>
      </c>
      <c r="G125" s="3" t="str">
        <f t="shared" si="12"/>
        <v/>
      </c>
      <c r="H125" s="3" t="str">
        <f t="shared" si="13"/>
        <v/>
      </c>
    </row>
    <row r="126" spans="1:8">
      <c r="A126" s="4" t="str">
        <f t="shared" si="9"/>
        <v/>
      </c>
      <c r="B126" s="4" t="str">
        <f t="shared" si="10"/>
        <v/>
      </c>
      <c r="C126" s="19" t="str" cm="1">
        <f t="array" ref="C126">IF(ISNUMBER(A126),IF(A126=A125,INDEX(BackgroundCalcs!$AV$2:$AV$500,'Grading Formulas'!$A126),"Question Results"),"")</f>
        <v/>
      </c>
      <c r="D126" s="6" t="str" cm="1">
        <f t="array" ref="D126">IF(ISNUMBER($A126),IF(A126=A125,INDEX(BackgroundCalcs!$AW$2:$AW$500,'Grading Formulas'!$A126),"C"&amp;A126+9),"")</f>
        <v/>
      </c>
      <c r="E126" s="3" t="str" cm="1">
        <f t="array" ref="E126">IF(ISNUMBER($A126),IF(A126=A125,"Reference2(False,True,"&amp;INDEX(BackgroundCalcs!$AX$2:$AX$500,'Grading Formulas'!$A126)&amp;")","MOEValue(.0001)"),"")</f>
        <v/>
      </c>
      <c r="F126" s="3" t="str">
        <f t="shared" si="11"/>
        <v/>
      </c>
      <c r="G126" s="3" t="str">
        <f t="shared" si="12"/>
        <v/>
      </c>
      <c r="H126" s="3" t="str">
        <f t="shared" si="13"/>
        <v/>
      </c>
    </row>
    <row r="127" spans="1:8">
      <c r="A127" s="4" t="str">
        <f t="shared" si="9"/>
        <v/>
      </c>
      <c r="B127" s="4" t="str">
        <f t="shared" si="10"/>
        <v/>
      </c>
      <c r="C127" s="19" t="str" cm="1">
        <f t="array" ref="C127">IF(ISNUMBER(A127),IF(A127=A126,INDEX(BackgroundCalcs!$AV$2:$AV$500,'Grading Formulas'!$A127),"Question Results"),"")</f>
        <v/>
      </c>
      <c r="D127" s="6" t="str" cm="1">
        <f t="array" ref="D127">IF(ISNUMBER($A127),IF(A127=A126,INDEX(BackgroundCalcs!$AW$2:$AW$500,'Grading Formulas'!$A127),"C"&amp;A127+9),"")</f>
        <v/>
      </c>
      <c r="E127" s="3" t="str" cm="1">
        <f t="array" ref="E127">IF(ISNUMBER($A127),IF(A127=A126,"Reference2(False,True,"&amp;INDEX(BackgroundCalcs!$AX$2:$AX$500,'Grading Formulas'!$A127)&amp;")","MOEValue(.0001)"),"")</f>
        <v/>
      </c>
      <c r="F127" s="3" t="str">
        <f t="shared" si="11"/>
        <v/>
      </c>
      <c r="G127" s="3" t="str">
        <f t="shared" si="12"/>
        <v/>
      </c>
      <c r="H127" s="3" t="str">
        <f t="shared" si="13"/>
        <v/>
      </c>
    </row>
    <row r="128" spans="1:8">
      <c r="A128" s="4" t="str">
        <f t="shared" si="9"/>
        <v/>
      </c>
      <c r="B128" s="4" t="str">
        <f t="shared" si="10"/>
        <v/>
      </c>
      <c r="C128" s="19" t="str" cm="1">
        <f t="array" ref="C128">IF(ISNUMBER(A128),IF(A128=A127,INDEX(BackgroundCalcs!$AV$2:$AV$500,'Grading Formulas'!$A128),"Question Results"),"")</f>
        <v/>
      </c>
      <c r="D128" s="6" t="str" cm="1">
        <f t="array" ref="D128">IF(ISNUMBER($A128),IF(A128=A127,INDEX(BackgroundCalcs!$AW$2:$AW$500,'Grading Formulas'!$A128),"C"&amp;A128+9),"")</f>
        <v/>
      </c>
      <c r="E128" s="3" t="str" cm="1">
        <f t="array" ref="E128">IF(ISNUMBER($A128),IF(A128=A127,"Reference2(False,True,"&amp;INDEX(BackgroundCalcs!$AX$2:$AX$500,'Grading Formulas'!$A128)&amp;")","MOEValue(.0001)"),"")</f>
        <v/>
      </c>
      <c r="F128" s="3" t="str">
        <f t="shared" si="11"/>
        <v/>
      </c>
      <c r="G128" s="3" t="str">
        <f t="shared" si="12"/>
        <v/>
      </c>
      <c r="H128" s="3" t="str">
        <f t="shared" si="13"/>
        <v/>
      </c>
    </row>
    <row r="129" spans="1:8">
      <c r="A129" s="4" t="str">
        <f t="shared" si="9"/>
        <v/>
      </c>
      <c r="B129" s="4" t="str">
        <f t="shared" si="10"/>
        <v/>
      </c>
      <c r="C129" s="19" t="str" cm="1">
        <f t="array" ref="C129">IF(ISNUMBER(A129),IF(A129=A128,INDEX(BackgroundCalcs!$AV$2:$AV$500,'Grading Formulas'!$A129),"Question Results"),"")</f>
        <v/>
      </c>
      <c r="D129" s="6" t="str" cm="1">
        <f t="array" ref="D129">IF(ISNUMBER($A129),IF(A129=A128,INDEX(BackgroundCalcs!$AW$2:$AW$500,'Grading Formulas'!$A129),"C"&amp;A129+9),"")</f>
        <v/>
      </c>
      <c r="E129" s="3" t="str" cm="1">
        <f t="array" ref="E129">IF(ISNUMBER($A129),IF(A129=A128,"Reference2(False,True,"&amp;INDEX(BackgroundCalcs!$AX$2:$AX$500,'Grading Formulas'!$A129)&amp;")","MOEValue(.0001)"),"")</f>
        <v/>
      </c>
      <c r="F129" s="3" t="str">
        <f t="shared" si="11"/>
        <v/>
      </c>
      <c r="G129" s="3" t="str">
        <f t="shared" si="12"/>
        <v/>
      </c>
      <c r="H129" s="3" t="str">
        <f t="shared" si="13"/>
        <v/>
      </c>
    </row>
    <row r="130" spans="1:8">
      <c r="A130" s="4" t="str">
        <f t="shared" si="9"/>
        <v/>
      </c>
      <c r="B130" s="4" t="str">
        <f t="shared" si="10"/>
        <v/>
      </c>
      <c r="C130" s="19" t="str" cm="1">
        <f t="array" ref="C130">IF(ISNUMBER(A130),IF(A130=A129,INDEX(BackgroundCalcs!$AV$2:$AV$500,'Grading Formulas'!$A130),"Question Results"),"")</f>
        <v/>
      </c>
      <c r="D130" s="6" t="str" cm="1">
        <f t="array" ref="D130">IF(ISNUMBER($A130),IF(A130=A129,INDEX(BackgroundCalcs!$AW$2:$AW$500,'Grading Formulas'!$A130),"C"&amp;A130+9),"")</f>
        <v/>
      </c>
      <c r="E130" s="3" t="str" cm="1">
        <f t="array" ref="E130">IF(ISNUMBER($A130),IF(A130=A129,"Reference2(False,True,"&amp;INDEX(BackgroundCalcs!$AX$2:$AX$500,'Grading Formulas'!$A130)&amp;")","MOEValue(.0001)"),"")</f>
        <v/>
      </c>
      <c r="F130" s="3" t="str">
        <f t="shared" si="11"/>
        <v/>
      </c>
      <c r="G130" s="3" t="str">
        <f t="shared" si="12"/>
        <v/>
      </c>
      <c r="H130" s="3" t="str">
        <f t="shared" si="13"/>
        <v/>
      </c>
    </row>
    <row r="131" spans="1:8">
      <c r="A131" s="4" t="str">
        <f t="shared" si="9"/>
        <v/>
      </c>
      <c r="B131" s="4" t="str">
        <f t="shared" si="10"/>
        <v/>
      </c>
      <c r="C131" s="19" t="str" cm="1">
        <f t="array" ref="C131">IF(ISNUMBER(A131),IF(A131=A130,INDEX(BackgroundCalcs!$AV$2:$AV$500,'Grading Formulas'!$A131),"Question Results"),"")</f>
        <v/>
      </c>
      <c r="D131" s="6" t="str" cm="1">
        <f t="array" ref="D131">IF(ISNUMBER($A131),IF(A131=A130,INDEX(BackgroundCalcs!$AW$2:$AW$500,'Grading Formulas'!$A131),"C"&amp;A131+9),"")</f>
        <v/>
      </c>
      <c r="E131" s="3" t="str" cm="1">
        <f t="array" ref="E131">IF(ISNUMBER($A131),IF(A131=A130,"Reference2(False,True,"&amp;INDEX(BackgroundCalcs!$AX$2:$AX$500,'Grading Formulas'!$A131)&amp;")","MOEValue(.0001)"),"")</f>
        <v/>
      </c>
      <c r="F131" s="3" t="str">
        <f t="shared" si="11"/>
        <v/>
      </c>
      <c r="G131" s="3" t="str">
        <f t="shared" si="12"/>
        <v/>
      </c>
      <c r="H131" s="3" t="str">
        <f t="shared" si="13"/>
        <v/>
      </c>
    </row>
    <row r="132" spans="1:8">
      <c r="A132" s="4" t="str">
        <f t="shared" ref="A132:A195" si="14">IF(A130&lt;NumAnswers,A130+1,"")</f>
        <v/>
      </c>
      <c r="B132" s="4" t="str">
        <f t="shared" si="10"/>
        <v/>
      </c>
      <c r="C132" s="19" t="str" cm="1">
        <f t="array" ref="C132">IF(ISNUMBER(A132),IF(A132=A131,INDEX(BackgroundCalcs!$AV$2:$AV$500,'Grading Formulas'!$A132),"Question Results"),"")</f>
        <v/>
      </c>
      <c r="D132" s="6" t="str" cm="1">
        <f t="array" ref="D132">IF(ISNUMBER($A132),IF(A132=A131,INDEX(BackgroundCalcs!$AW$2:$AW$500,'Grading Formulas'!$A132),"C"&amp;A132+9),"")</f>
        <v/>
      </c>
      <c r="E132" s="3" t="str" cm="1">
        <f t="array" ref="E132">IF(ISNUMBER($A132),IF(A132=A131,"Reference2(False,True,"&amp;INDEX(BackgroundCalcs!$AX$2:$AX$500,'Grading Formulas'!$A132)&amp;")","MOEValue(.0001)"),"")</f>
        <v/>
      </c>
      <c r="F132" s="3" t="str">
        <f t="shared" si="11"/>
        <v/>
      </c>
      <c r="G132" s="3" t="str">
        <f t="shared" si="12"/>
        <v/>
      </c>
      <c r="H132" s="3" t="str">
        <f t="shared" si="13"/>
        <v/>
      </c>
    </row>
    <row r="133" spans="1:8">
      <c r="A133" s="4" t="str">
        <f t="shared" si="14"/>
        <v/>
      </c>
      <c r="B133" s="4" t="str">
        <f t="shared" si="10"/>
        <v/>
      </c>
      <c r="C133" s="19" t="str" cm="1">
        <f t="array" ref="C133">IF(ISNUMBER(A133),IF(A133=A132,INDEX(BackgroundCalcs!$AV$2:$AV$500,'Grading Formulas'!$A133),"Question Results"),"")</f>
        <v/>
      </c>
      <c r="D133" s="6" t="str" cm="1">
        <f t="array" ref="D133">IF(ISNUMBER($A133),IF(A133=A132,INDEX(BackgroundCalcs!$AW$2:$AW$500,'Grading Formulas'!$A133),"C"&amp;A133+9),"")</f>
        <v/>
      </c>
      <c r="E133" s="3" t="str" cm="1">
        <f t="array" ref="E133">IF(ISNUMBER($A133),IF(A133=A132,"Reference2(False,True,"&amp;INDEX(BackgroundCalcs!$AX$2:$AX$500,'Grading Formulas'!$A133)&amp;")","MOEValue(.0001)"),"")</f>
        <v/>
      </c>
      <c r="F133" s="3" t="str">
        <f t="shared" si="11"/>
        <v/>
      </c>
      <c r="G133" s="3" t="str">
        <f t="shared" si="12"/>
        <v/>
      </c>
      <c r="H133" s="3" t="str">
        <f t="shared" si="13"/>
        <v/>
      </c>
    </row>
    <row r="134" spans="1:8">
      <c r="A134" s="4" t="str">
        <f t="shared" si="14"/>
        <v/>
      </c>
      <c r="B134" s="4" t="str">
        <f t="shared" si="10"/>
        <v/>
      </c>
      <c r="C134" s="19" t="str" cm="1">
        <f t="array" ref="C134">IF(ISNUMBER(A134),IF(A134=A133,INDEX(BackgroundCalcs!$AV$2:$AV$500,'Grading Formulas'!$A134),"Question Results"),"")</f>
        <v/>
      </c>
      <c r="D134" s="6" t="str" cm="1">
        <f t="array" ref="D134">IF(ISNUMBER($A134),IF(A134=A133,INDEX(BackgroundCalcs!$AW$2:$AW$500,'Grading Formulas'!$A134),"C"&amp;A134+9),"")</f>
        <v/>
      </c>
      <c r="E134" s="3" t="str" cm="1">
        <f t="array" ref="E134">IF(ISNUMBER($A134),IF(A134=A133,"Reference2(False,True,"&amp;INDEX(BackgroundCalcs!$AX$2:$AX$500,'Grading Formulas'!$A134)&amp;")","MOEValue(.0001)"),"")</f>
        <v/>
      </c>
      <c r="F134" s="3" t="str">
        <f t="shared" si="11"/>
        <v/>
      </c>
      <c r="G134" s="3" t="str">
        <f t="shared" si="12"/>
        <v/>
      </c>
      <c r="H134" s="3" t="str">
        <f t="shared" si="13"/>
        <v/>
      </c>
    </row>
    <row r="135" spans="1:8">
      <c r="A135" s="4" t="str">
        <f t="shared" si="14"/>
        <v/>
      </c>
      <c r="B135" s="4" t="str">
        <f t="shared" si="10"/>
        <v/>
      </c>
      <c r="C135" s="19" t="str" cm="1">
        <f t="array" ref="C135">IF(ISNUMBER(A135),IF(A135=A134,INDEX(BackgroundCalcs!$AV$2:$AV$500,'Grading Formulas'!$A135),"Question Results"),"")</f>
        <v/>
      </c>
      <c r="D135" s="6" t="str" cm="1">
        <f t="array" ref="D135">IF(ISNUMBER($A135),IF(A135=A134,INDEX(BackgroundCalcs!$AW$2:$AW$500,'Grading Formulas'!$A135),"C"&amp;A135+9),"")</f>
        <v/>
      </c>
      <c r="E135" s="3" t="str" cm="1">
        <f t="array" ref="E135">IF(ISNUMBER($A135),IF(A135=A134,"Reference2(False,True,"&amp;INDEX(BackgroundCalcs!$AX$2:$AX$500,'Grading Formulas'!$A135)&amp;")","MOEValue(.0001)"),"")</f>
        <v/>
      </c>
      <c r="F135" s="3" t="str">
        <f t="shared" si="11"/>
        <v/>
      </c>
      <c r="G135" s="3" t="str">
        <f t="shared" si="12"/>
        <v/>
      </c>
      <c r="H135" s="3" t="str">
        <f t="shared" si="13"/>
        <v/>
      </c>
    </row>
    <row r="136" spans="1:8">
      <c r="A136" s="4" t="str">
        <f t="shared" si="14"/>
        <v/>
      </c>
      <c r="B136" s="4" t="str">
        <f t="shared" si="10"/>
        <v/>
      </c>
      <c r="C136" s="19" t="str" cm="1">
        <f t="array" ref="C136">IF(ISNUMBER(A136),IF(A136=A135,INDEX(BackgroundCalcs!$AV$2:$AV$500,'Grading Formulas'!$A136),"Question Results"),"")</f>
        <v/>
      </c>
      <c r="D136" s="6" t="str" cm="1">
        <f t="array" ref="D136">IF(ISNUMBER($A136),IF(A136=A135,INDEX(BackgroundCalcs!$AW$2:$AW$500,'Grading Formulas'!$A136),"C"&amp;A136+9),"")</f>
        <v/>
      </c>
      <c r="E136" s="3" t="str" cm="1">
        <f t="array" ref="E136">IF(ISNUMBER($A136),IF(A136=A135,"Reference2(False,True,"&amp;INDEX(BackgroundCalcs!$AX$2:$AX$500,'Grading Formulas'!$A136)&amp;")","MOEValue(.0001)"),"")</f>
        <v/>
      </c>
      <c r="F136" s="3" t="str">
        <f t="shared" si="11"/>
        <v/>
      </c>
      <c r="G136" s="3" t="str">
        <f t="shared" si="12"/>
        <v/>
      </c>
      <c r="H136" s="3" t="str">
        <f t="shared" si="13"/>
        <v/>
      </c>
    </row>
    <row r="137" spans="1:8">
      <c r="A137" s="4" t="str">
        <f t="shared" si="14"/>
        <v/>
      </c>
      <c r="B137" s="4" t="str">
        <f t="shared" si="10"/>
        <v/>
      </c>
      <c r="C137" s="19" t="str" cm="1">
        <f t="array" ref="C137">IF(ISNUMBER(A137),IF(A137=A136,INDEX(BackgroundCalcs!$AV$2:$AV$500,'Grading Formulas'!$A137),"Question Results"),"")</f>
        <v/>
      </c>
      <c r="D137" s="6" t="str" cm="1">
        <f t="array" ref="D137">IF(ISNUMBER($A137),IF(A137=A136,INDEX(BackgroundCalcs!$AW$2:$AW$500,'Grading Formulas'!$A137),"C"&amp;A137+9),"")</f>
        <v/>
      </c>
      <c r="E137" s="3" t="str" cm="1">
        <f t="array" ref="E137">IF(ISNUMBER($A137),IF(A137=A136,"Reference2(False,True,"&amp;INDEX(BackgroundCalcs!$AX$2:$AX$500,'Grading Formulas'!$A137)&amp;")","MOEValue(.0001)"),"")</f>
        <v/>
      </c>
      <c r="F137" s="3" t="str">
        <f t="shared" si="11"/>
        <v/>
      </c>
      <c r="G137" s="3" t="str">
        <f t="shared" si="12"/>
        <v/>
      </c>
      <c r="H137" s="3" t="str">
        <f t="shared" si="13"/>
        <v/>
      </c>
    </row>
    <row r="138" spans="1:8">
      <c r="A138" s="4" t="str">
        <f t="shared" si="14"/>
        <v/>
      </c>
      <c r="B138" s="4" t="str">
        <f t="shared" si="10"/>
        <v/>
      </c>
      <c r="C138" s="19" t="str" cm="1">
        <f t="array" ref="C138">IF(ISNUMBER(A138),IF(A138=A137,INDEX(BackgroundCalcs!$AV$2:$AV$500,'Grading Formulas'!$A138),"Question Results"),"")</f>
        <v/>
      </c>
      <c r="D138" s="6" t="str" cm="1">
        <f t="array" ref="D138">IF(ISNUMBER($A138),IF(A138=A137,INDEX(BackgroundCalcs!$AW$2:$AW$500,'Grading Formulas'!$A138),"C"&amp;A138+9),"")</f>
        <v/>
      </c>
      <c r="E138" s="3" t="str" cm="1">
        <f t="array" ref="E138">IF(ISNUMBER($A138),IF(A138=A137,"Reference2(False,True,"&amp;INDEX(BackgroundCalcs!$AX$2:$AX$500,'Grading Formulas'!$A138)&amp;")","MOEValue(.0001)"),"")</f>
        <v/>
      </c>
      <c r="F138" s="3" t="str">
        <f t="shared" si="11"/>
        <v/>
      </c>
      <c r="G138" s="3" t="str">
        <f t="shared" si="12"/>
        <v/>
      </c>
      <c r="H138" s="3" t="str">
        <f t="shared" si="13"/>
        <v/>
      </c>
    </row>
    <row r="139" spans="1:8">
      <c r="A139" s="4" t="str">
        <f t="shared" si="14"/>
        <v/>
      </c>
      <c r="B139" s="4" t="str">
        <f t="shared" si="10"/>
        <v/>
      </c>
      <c r="C139" s="19" t="str" cm="1">
        <f t="array" ref="C139">IF(ISNUMBER(A139),IF(A139=A138,INDEX(BackgroundCalcs!$AV$2:$AV$500,'Grading Formulas'!$A139),"Question Results"),"")</f>
        <v/>
      </c>
      <c r="D139" s="6" t="str" cm="1">
        <f t="array" ref="D139">IF(ISNUMBER($A139),IF(A139=A138,INDEX(BackgroundCalcs!$AW$2:$AW$500,'Grading Formulas'!$A139),"C"&amp;A139+9),"")</f>
        <v/>
      </c>
      <c r="E139" s="3" t="str" cm="1">
        <f t="array" ref="E139">IF(ISNUMBER($A139),IF(A139=A138,"Reference2(False,True,"&amp;INDEX(BackgroundCalcs!$AX$2:$AX$500,'Grading Formulas'!$A139)&amp;")","MOEValue(.0001)"),"")</f>
        <v/>
      </c>
      <c r="F139" s="3" t="str">
        <f t="shared" si="11"/>
        <v/>
      </c>
      <c r="G139" s="3" t="str">
        <f t="shared" si="12"/>
        <v/>
      </c>
      <c r="H139" s="3" t="str">
        <f t="shared" si="13"/>
        <v/>
      </c>
    </row>
    <row r="140" spans="1:8">
      <c r="A140" s="4" t="str">
        <f t="shared" si="14"/>
        <v/>
      </c>
      <c r="B140" s="4" t="str">
        <f t="shared" si="10"/>
        <v/>
      </c>
      <c r="C140" s="19" t="str" cm="1">
        <f t="array" ref="C140">IF(ISNUMBER(A140),IF(A140=A139,INDEX(BackgroundCalcs!$AV$2:$AV$500,'Grading Formulas'!$A140),"Question Results"),"")</f>
        <v/>
      </c>
      <c r="D140" s="6" t="str" cm="1">
        <f t="array" ref="D140">IF(ISNUMBER($A140),IF(A140=A139,INDEX(BackgroundCalcs!$AW$2:$AW$500,'Grading Formulas'!$A140),"C"&amp;A140+9),"")</f>
        <v/>
      </c>
      <c r="E140" s="3" t="str" cm="1">
        <f t="array" ref="E140">IF(ISNUMBER($A140),IF(A140=A139,"Reference2(False,True,"&amp;INDEX(BackgroundCalcs!$AX$2:$AX$500,'Grading Formulas'!$A140)&amp;")","MOEValue(.0001)"),"")</f>
        <v/>
      </c>
      <c r="F140" s="3" t="str">
        <f t="shared" si="11"/>
        <v/>
      </c>
      <c r="G140" s="3" t="str">
        <f t="shared" si="12"/>
        <v/>
      </c>
      <c r="H140" s="3" t="str">
        <f t="shared" si="13"/>
        <v/>
      </c>
    </row>
    <row r="141" spans="1:8">
      <c r="A141" s="4" t="str">
        <f t="shared" si="14"/>
        <v/>
      </c>
      <c r="B141" s="4" t="str">
        <f t="shared" si="10"/>
        <v/>
      </c>
      <c r="C141" s="19" t="str" cm="1">
        <f t="array" ref="C141">IF(ISNUMBER(A141),IF(A141=A140,INDEX(BackgroundCalcs!$AV$2:$AV$500,'Grading Formulas'!$A141),"Question Results"),"")</f>
        <v/>
      </c>
      <c r="D141" s="6" t="str" cm="1">
        <f t="array" ref="D141">IF(ISNUMBER($A141),IF(A141=A140,INDEX(BackgroundCalcs!$AW$2:$AW$500,'Grading Formulas'!$A141),"C"&amp;A141+9),"")</f>
        <v/>
      </c>
      <c r="E141" s="3" t="str" cm="1">
        <f t="array" ref="E141">IF(ISNUMBER($A141),IF(A141=A140,"Reference2(False,True,"&amp;INDEX(BackgroundCalcs!$AX$2:$AX$500,'Grading Formulas'!$A141)&amp;")","MOEValue(.0001)"),"")</f>
        <v/>
      </c>
      <c r="F141" s="3" t="str">
        <f t="shared" si="11"/>
        <v/>
      </c>
      <c r="G141" s="3" t="str">
        <f t="shared" si="12"/>
        <v/>
      </c>
      <c r="H141" s="3" t="str">
        <f t="shared" si="13"/>
        <v/>
      </c>
    </row>
    <row r="142" spans="1:8">
      <c r="A142" s="4" t="str">
        <f t="shared" si="14"/>
        <v/>
      </c>
      <c r="B142" s="4" t="str">
        <f t="shared" si="10"/>
        <v/>
      </c>
      <c r="C142" s="19" t="str" cm="1">
        <f t="array" ref="C142">IF(ISNUMBER(A142),IF(A142=A141,INDEX(BackgroundCalcs!$AV$2:$AV$500,'Grading Formulas'!$A142),"Question Results"),"")</f>
        <v/>
      </c>
      <c r="D142" s="6" t="str" cm="1">
        <f t="array" ref="D142">IF(ISNUMBER($A142),IF(A142=A141,INDEX(BackgroundCalcs!$AW$2:$AW$500,'Grading Formulas'!$A142),"C"&amp;A142+9),"")</f>
        <v/>
      </c>
      <c r="E142" s="3" t="str" cm="1">
        <f t="array" ref="E142">IF(ISNUMBER($A142),IF(A142=A141,"Reference2(False,True,"&amp;INDEX(BackgroundCalcs!$AX$2:$AX$500,'Grading Formulas'!$A142)&amp;")","MOEValue(.0001)"),"")</f>
        <v/>
      </c>
      <c r="F142" s="3" t="str">
        <f t="shared" si="11"/>
        <v/>
      </c>
      <c r="G142" s="3" t="str">
        <f t="shared" si="12"/>
        <v/>
      </c>
      <c r="H142" s="3" t="str">
        <f t="shared" si="13"/>
        <v/>
      </c>
    </row>
    <row r="143" spans="1:8">
      <c r="A143" s="4" t="str">
        <f t="shared" si="14"/>
        <v/>
      </c>
      <c r="B143" s="4" t="str">
        <f t="shared" si="10"/>
        <v/>
      </c>
      <c r="C143" s="19" t="str" cm="1">
        <f t="array" ref="C143">IF(ISNUMBER(A143),IF(A143=A142,INDEX(BackgroundCalcs!$AV$2:$AV$500,'Grading Formulas'!$A143),"Question Results"),"")</f>
        <v/>
      </c>
      <c r="D143" s="6" t="str" cm="1">
        <f t="array" ref="D143">IF(ISNUMBER($A143),IF(A143=A142,INDEX(BackgroundCalcs!$AW$2:$AW$500,'Grading Formulas'!$A143),"C"&amp;A143+9),"")</f>
        <v/>
      </c>
      <c r="E143" s="3" t="str" cm="1">
        <f t="array" ref="E143">IF(ISNUMBER($A143),IF(A143=A142,"Reference2(False,True,"&amp;INDEX(BackgroundCalcs!$AX$2:$AX$500,'Grading Formulas'!$A143)&amp;")","MOEValue(.0001)"),"")</f>
        <v/>
      </c>
      <c r="F143" s="3" t="str">
        <f t="shared" si="11"/>
        <v/>
      </c>
      <c r="G143" s="3" t="str">
        <f t="shared" si="12"/>
        <v/>
      </c>
      <c r="H143" s="3" t="str">
        <f t="shared" si="13"/>
        <v/>
      </c>
    </row>
    <row r="144" spans="1:8">
      <c r="A144" s="4" t="str">
        <f t="shared" si="14"/>
        <v/>
      </c>
      <c r="B144" s="4" t="str">
        <f t="shared" si="10"/>
        <v/>
      </c>
      <c r="C144" s="19" t="str" cm="1">
        <f t="array" ref="C144">IF(ISNUMBER(A144),IF(A144=A143,INDEX(BackgroundCalcs!$AV$2:$AV$500,'Grading Formulas'!$A144),"Question Results"),"")</f>
        <v/>
      </c>
      <c r="D144" s="6" t="str" cm="1">
        <f t="array" ref="D144">IF(ISNUMBER($A144),IF(A144=A143,INDEX(BackgroundCalcs!$AW$2:$AW$500,'Grading Formulas'!$A144),"C"&amp;A144+9),"")</f>
        <v/>
      </c>
      <c r="E144" s="3" t="str" cm="1">
        <f t="array" ref="E144">IF(ISNUMBER($A144),IF(A144=A143,"Reference2(False,True,"&amp;INDEX(BackgroundCalcs!$AX$2:$AX$500,'Grading Formulas'!$A144)&amp;")","MOEValue(.0001)"),"")</f>
        <v/>
      </c>
      <c r="F144" s="3" t="str">
        <f t="shared" si="11"/>
        <v/>
      </c>
      <c r="G144" s="3" t="str">
        <f t="shared" si="12"/>
        <v/>
      </c>
      <c r="H144" s="3" t="str">
        <f t="shared" si="13"/>
        <v/>
      </c>
    </row>
    <row r="145" spans="1:8">
      <c r="A145" s="4" t="str">
        <f t="shared" si="14"/>
        <v/>
      </c>
      <c r="B145" s="4" t="str">
        <f t="shared" si="10"/>
        <v/>
      </c>
      <c r="C145" s="19" t="str" cm="1">
        <f t="array" ref="C145">IF(ISNUMBER(A145),IF(A145=A144,INDEX(BackgroundCalcs!$AV$2:$AV$500,'Grading Formulas'!$A145),"Question Results"),"")</f>
        <v/>
      </c>
      <c r="D145" s="6" t="str" cm="1">
        <f t="array" ref="D145">IF(ISNUMBER($A145),IF(A145=A144,INDEX(BackgroundCalcs!$AW$2:$AW$500,'Grading Formulas'!$A145),"C"&amp;A145+9),"")</f>
        <v/>
      </c>
      <c r="E145" s="3" t="str" cm="1">
        <f t="array" ref="E145">IF(ISNUMBER($A145),IF(A145=A144,"Reference2(False,True,"&amp;INDEX(BackgroundCalcs!$AX$2:$AX$500,'Grading Formulas'!$A145)&amp;")","MOEValue(.0001)"),"")</f>
        <v/>
      </c>
      <c r="F145" s="3" t="str">
        <f t="shared" si="11"/>
        <v/>
      </c>
      <c r="G145" s="3" t="str">
        <f t="shared" si="12"/>
        <v/>
      </c>
      <c r="H145" s="3" t="str">
        <f t="shared" si="13"/>
        <v/>
      </c>
    </row>
    <row r="146" spans="1:8">
      <c r="A146" s="4" t="str">
        <f t="shared" si="14"/>
        <v/>
      </c>
      <c r="B146" s="4" t="str">
        <f t="shared" si="10"/>
        <v/>
      </c>
      <c r="C146" s="19" t="str" cm="1">
        <f t="array" ref="C146">IF(ISNUMBER(A146),IF(A146=A145,INDEX(BackgroundCalcs!$AV$2:$AV$500,'Grading Formulas'!$A146),"Question Results"),"")</f>
        <v/>
      </c>
      <c r="D146" s="6" t="str" cm="1">
        <f t="array" ref="D146">IF(ISNUMBER($A146),IF(A146=A145,INDEX(BackgroundCalcs!$AW$2:$AW$500,'Grading Formulas'!$A146),"C"&amp;A146+9),"")</f>
        <v/>
      </c>
      <c r="E146" s="3" t="str" cm="1">
        <f t="array" ref="E146">IF(ISNUMBER($A146),IF(A146=A145,"Reference2(False,True,"&amp;INDEX(BackgroundCalcs!$AX$2:$AX$500,'Grading Formulas'!$A146)&amp;")","MOEValue(.0001)"),"")</f>
        <v/>
      </c>
      <c r="F146" s="3" t="str">
        <f t="shared" si="11"/>
        <v/>
      </c>
      <c r="G146" s="3" t="str">
        <f t="shared" si="12"/>
        <v/>
      </c>
      <c r="H146" s="3" t="str">
        <f t="shared" si="13"/>
        <v/>
      </c>
    </row>
    <row r="147" spans="1:8">
      <c r="A147" s="4" t="str">
        <f t="shared" si="14"/>
        <v/>
      </c>
      <c r="B147" s="4" t="str">
        <f t="shared" si="10"/>
        <v/>
      </c>
      <c r="C147" s="19" t="str" cm="1">
        <f t="array" ref="C147">IF(ISNUMBER(A147),IF(A147=A146,INDEX(BackgroundCalcs!$AV$2:$AV$500,'Grading Formulas'!$A147),"Question Results"),"")</f>
        <v/>
      </c>
      <c r="D147" s="6" t="str" cm="1">
        <f t="array" ref="D147">IF(ISNUMBER($A147),IF(A147=A146,INDEX(BackgroundCalcs!$AW$2:$AW$500,'Grading Formulas'!$A147),"C"&amp;A147+9),"")</f>
        <v/>
      </c>
      <c r="E147" s="3" t="str" cm="1">
        <f t="array" ref="E147">IF(ISNUMBER($A147),IF(A147=A146,"Reference2(False,True,"&amp;INDEX(BackgroundCalcs!$AX$2:$AX$500,'Grading Formulas'!$A147)&amp;")","MOEValue(.0001)"),"")</f>
        <v/>
      </c>
      <c r="F147" s="3" t="str">
        <f t="shared" si="11"/>
        <v/>
      </c>
      <c r="G147" s="3" t="str">
        <f t="shared" si="12"/>
        <v/>
      </c>
      <c r="H147" s="3" t="str">
        <f t="shared" si="13"/>
        <v/>
      </c>
    </row>
    <row r="148" spans="1:8">
      <c r="A148" s="4" t="str">
        <f t="shared" si="14"/>
        <v/>
      </c>
      <c r="B148" s="4" t="str">
        <f t="shared" si="10"/>
        <v/>
      </c>
      <c r="C148" s="19" t="str" cm="1">
        <f t="array" ref="C148">IF(ISNUMBER(A148),IF(A148=A147,INDEX(BackgroundCalcs!$AV$2:$AV$500,'Grading Formulas'!$A148),"Question Results"),"")</f>
        <v/>
      </c>
      <c r="D148" s="6" t="str" cm="1">
        <f t="array" ref="D148">IF(ISNUMBER($A148),IF(A148=A147,INDEX(BackgroundCalcs!$AW$2:$AW$500,'Grading Formulas'!$A148),"C"&amp;A148+9),"")</f>
        <v/>
      </c>
      <c r="E148" s="3" t="str" cm="1">
        <f t="array" ref="E148">IF(ISNUMBER($A148),IF(A148=A147,"Reference2(False,True,"&amp;INDEX(BackgroundCalcs!$AX$2:$AX$500,'Grading Formulas'!$A148)&amp;")","MOEValue(.0001)"),"")</f>
        <v/>
      </c>
      <c r="F148" s="3" t="str">
        <f t="shared" si="11"/>
        <v/>
      </c>
      <c r="G148" s="3" t="str">
        <f t="shared" si="12"/>
        <v/>
      </c>
      <c r="H148" s="3" t="str">
        <f t="shared" si="13"/>
        <v/>
      </c>
    </row>
    <row r="149" spans="1:8">
      <c r="A149" s="4" t="str">
        <f t="shared" si="14"/>
        <v/>
      </c>
      <c r="B149" s="4" t="str">
        <f t="shared" si="10"/>
        <v/>
      </c>
      <c r="C149" s="19" t="str" cm="1">
        <f t="array" ref="C149">IF(ISNUMBER(A149),IF(A149=A148,INDEX(BackgroundCalcs!$AV$2:$AV$500,'Grading Formulas'!$A149),"Question Results"),"")</f>
        <v/>
      </c>
      <c r="D149" s="6" t="str" cm="1">
        <f t="array" ref="D149">IF(ISNUMBER($A149),IF(A149=A148,INDEX(BackgroundCalcs!$AW$2:$AW$500,'Grading Formulas'!$A149),"C"&amp;A149+9),"")</f>
        <v/>
      </c>
      <c r="E149" s="3" t="str" cm="1">
        <f t="array" ref="E149">IF(ISNUMBER($A149),IF(A149=A148,"Reference2(False,True,"&amp;INDEX(BackgroundCalcs!$AX$2:$AX$500,'Grading Formulas'!$A149)&amp;")","MOEValue(.0001)"),"")</f>
        <v/>
      </c>
      <c r="F149" s="3" t="str">
        <f t="shared" si="11"/>
        <v/>
      </c>
      <c r="G149" s="3" t="str">
        <f t="shared" si="12"/>
        <v/>
      </c>
      <c r="H149" s="3" t="str">
        <f t="shared" si="13"/>
        <v/>
      </c>
    </row>
    <row r="150" spans="1:8">
      <c r="A150" s="4" t="str">
        <f t="shared" si="14"/>
        <v/>
      </c>
      <c r="B150" s="4" t="str">
        <f t="shared" si="10"/>
        <v/>
      </c>
      <c r="C150" s="19" t="str" cm="1">
        <f t="array" ref="C150">IF(ISNUMBER(A150),IF(A150=A149,INDEX(BackgroundCalcs!$AV$2:$AV$500,'Grading Formulas'!$A150),"Question Results"),"")</f>
        <v/>
      </c>
      <c r="D150" s="6" t="str" cm="1">
        <f t="array" ref="D150">IF(ISNUMBER($A150),IF(A150=A149,INDEX(BackgroundCalcs!$AW$2:$AW$500,'Grading Formulas'!$A150),"C"&amp;A150+9),"")</f>
        <v/>
      </c>
      <c r="E150" s="3" t="str" cm="1">
        <f t="array" ref="E150">IF(ISNUMBER($A150),IF(A150=A149,"Reference2(False,True,"&amp;INDEX(BackgroundCalcs!$AX$2:$AX$500,'Grading Formulas'!$A150)&amp;")","MOEValue(.0001)"),"")</f>
        <v/>
      </c>
      <c r="F150" s="3" t="str">
        <f t="shared" si="11"/>
        <v/>
      </c>
      <c r="G150" s="3" t="str">
        <f t="shared" si="12"/>
        <v/>
      </c>
      <c r="H150" s="3" t="str">
        <f t="shared" si="13"/>
        <v/>
      </c>
    </row>
    <row r="151" spans="1:8">
      <c r="A151" s="4" t="str">
        <f t="shared" si="14"/>
        <v/>
      </c>
      <c r="B151" s="4" t="str">
        <f t="shared" si="10"/>
        <v/>
      </c>
      <c r="C151" s="19" t="str" cm="1">
        <f t="array" ref="C151">IF(ISNUMBER(A151),IF(A151=A150,INDEX(BackgroundCalcs!$AV$2:$AV$500,'Grading Formulas'!$A151),"Question Results"),"")</f>
        <v/>
      </c>
      <c r="D151" s="6" t="str" cm="1">
        <f t="array" ref="D151">IF(ISNUMBER($A151),IF(A151=A150,INDEX(BackgroundCalcs!$AW$2:$AW$500,'Grading Formulas'!$A151),"C"&amp;A151+9),"")</f>
        <v/>
      </c>
      <c r="E151" s="3" t="str" cm="1">
        <f t="array" ref="E151">IF(ISNUMBER($A151),IF(A151=A150,"Reference2(False,True,"&amp;INDEX(BackgroundCalcs!$AX$2:$AX$500,'Grading Formulas'!$A151)&amp;")","MOEValue(.0001)"),"")</f>
        <v/>
      </c>
      <c r="F151" s="3" t="str">
        <f t="shared" si="11"/>
        <v/>
      </c>
      <c r="G151" s="3" t="str">
        <f t="shared" si="12"/>
        <v/>
      </c>
      <c r="H151" s="3" t="str">
        <f t="shared" si="13"/>
        <v/>
      </c>
    </row>
    <row r="152" spans="1:8">
      <c r="A152" s="4" t="str">
        <f t="shared" si="14"/>
        <v/>
      </c>
      <c r="B152" s="4" t="str">
        <f t="shared" si="10"/>
        <v/>
      </c>
      <c r="C152" s="19" t="str" cm="1">
        <f t="array" ref="C152">IF(ISNUMBER(A152),IF(A152=A151,INDEX(BackgroundCalcs!$AV$2:$AV$500,'Grading Formulas'!$A152),"Question Results"),"")</f>
        <v/>
      </c>
      <c r="D152" s="6" t="str" cm="1">
        <f t="array" ref="D152">IF(ISNUMBER($A152),IF(A152=A151,INDEX(BackgroundCalcs!$AW$2:$AW$500,'Grading Formulas'!$A152),"C"&amp;A152+9),"")</f>
        <v/>
      </c>
      <c r="E152" s="3" t="str" cm="1">
        <f t="array" ref="E152">IF(ISNUMBER($A152),IF(A152=A151,"Reference2(False,True,"&amp;INDEX(BackgroundCalcs!$AX$2:$AX$500,'Grading Formulas'!$A152)&amp;")","MOEValue(.0001)"),"")</f>
        <v/>
      </c>
      <c r="F152" s="3" t="str">
        <f t="shared" si="11"/>
        <v/>
      </c>
      <c r="G152" s="3" t="str">
        <f t="shared" si="12"/>
        <v/>
      </c>
      <c r="H152" s="3" t="str">
        <f t="shared" si="13"/>
        <v/>
      </c>
    </row>
    <row r="153" spans="1:8">
      <c r="A153" s="4" t="str">
        <f t="shared" si="14"/>
        <v/>
      </c>
      <c r="B153" s="4" t="str">
        <f t="shared" si="10"/>
        <v/>
      </c>
      <c r="C153" s="19" t="str" cm="1">
        <f t="array" ref="C153">IF(ISNUMBER(A153),IF(A153=A152,INDEX(BackgroundCalcs!$AV$2:$AV$500,'Grading Formulas'!$A153),"Question Results"),"")</f>
        <v/>
      </c>
      <c r="D153" s="6" t="str" cm="1">
        <f t="array" ref="D153">IF(ISNUMBER($A153),IF(A153=A152,INDEX(BackgroundCalcs!$AW$2:$AW$500,'Grading Formulas'!$A153),"C"&amp;A153+9),"")</f>
        <v/>
      </c>
      <c r="E153" s="3" t="str" cm="1">
        <f t="array" ref="E153">IF(ISNUMBER($A153),IF(A153=A152,"Reference2(False,True,"&amp;INDEX(BackgroundCalcs!$AX$2:$AX$500,'Grading Formulas'!$A153)&amp;")","MOEValue(.0001)"),"")</f>
        <v/>
      </c>
      <c r="F153" s="3" t="str">
        <f t="shared" si="11"/>
        <v/>
      </c>
      <c r="G153" s="3" t="str">
        <f t="shared" si="12"/>
        <v/>
      </c>
      <c r="H153" s="3" t="str">
        <f t="shared" si="13"/>
        <v/>
      </c>
    </row>
    <row r="154" spans="1:8">
      <c r="A154" s="4" t="str">
        <f t="shared" si="14"/>
        <v/>
      </c>
      <c r="B154" s="4" t="str">
        <f t="shared" si="10"/>
        <v/>
      </c>
      <c r="C154" s="19" t="str" cm="1">
        <f t="array" ref="C154">IF(ISNUMBER(A154),IF(A154=A153,INDEX(BackgroundCalcs!$AV$2:$AV$500,'Grading Formulas'!$A154),"Question Results"),"")</f>
        <v/>
      </c>
      <c r="D154" s="6" t="str" cm="1">
        <f t="array" ref="D154">IF(ISNUMBER($A154),IF(A154=A153,INDEX(BackgroundCalcs!$AW$2:$AW$500,'Grading Formulas'!$A154),"C"&amp;A154+9),"")</f>
        <v/>
      </c>
      <c r="E154" s="3" t="str" cm="1">
        <f t="array" ref="E154">IF(ISNUMBER($A154),IF(A154=A153,"Reference2(False,True,"&amp;INDEX(BackgroundCalcs!$AX$2:$AX$500,'Grading Formulas'!$A154)&amp;")","MOEValue(.0001)"),"")</f>
        <v/>
      </c>
      <c r="F154" s="3" t="str">
        <f t="shared" si="11"/>
        <v/>
      </c>
      <c r="G154" s="3" t="str">
        <f t="shared" si="12"/>
        <v/>
      </c>
      <c r="H154" s="3" t="str">
        <f t="shared" si="13"/>
        <v/>
      </c>
    </row>
    <row r="155" spans="1:8">
      <c r="A155" s="4" t="str">
        <f t="shared" si="14"/>
        <v/>
      </c>
      <c r="B155" s="4" t="str">
        <f t="shared" si="10"/>
        <v/>
      </c>
      <c r="C155" s="19" t="str" cm="1">
        <f t="array" ref="C155">IF(ISNUMBER(A155),IF(A155=A154,INDEX(BackgroundCalcs!$AV$2:$AV$500,'Grading Formulas'!$A155),"Question Results"),"")</f>
        <v/>
      </c>
      <c r="D155" s="6" t="str" cm="1">
        <f t="array" ref="D155">IF(ISNUMBER($A155),IF(A155=A154,INDEX(BackgroundCalcs!$AW$2:$AW$500,'Grading Formulas'!$A155),"C"&amp;A155+9),"")</f>
        <v/>
      </c>
      <c r="E155" s="3" t="str" cm="1">
        <f t="array" ref="E155">IF(ISNUMBER($A155),IF(A155=A154,"Reference2(False,True,"&amp;INDEX(BackgroundCalcs!$AX$2:$AX$500,'Grading Formulas'!$A155)&amp;")","MOEValue(.0001)"),"")</f>
        <v/>
      </c>
      <c r="F155" s="3" t="str">
        <f t="shared" si="11"/>
        <v/>
      </c>
      <c r="G155" s="3" t="str">
        <f t="shared" si="12"/>
        <v/>
      </c>
      <c r="H155" s="3" t="str">
        <f t="shared" si="13"/>
        <v/>
      </c>
    </row>
    <row r="156" spans="1:8">
      <c r="A156" s="4" t="str">
        <f t="shared" si="14"/>
        <v/>
      </c>
      <c r="B156" s="4" t="str">
        <f t="shared" ref="B156:B219" si="15">IF(ISNUMBER(A156),"CELL","")</f>
        <v/>
      </c>
      <c r="C156" s="19" t="str" cm="1">
        <f t="array" ref="C156">IF(ISNUMBER(A156),IF(A156=A155,INDEX(BackgroundCalcs!$AV$2:$AV$500,'Grading Formulas'!$A156),"Question Results"),"")</f>
        <v/>
      </c>
      <c r="D156" s="6" t="str" cm="1">
        <f t="array" ref="D156">IF(ISNUMBER($A156),IF(A156=A155,INDEX(BackgroundCalcs!$AW$2:$AW$500,'Grading Formulas'!$A156),"C"&amp;A156+9),"")</f>
        <v/>
      </c>
      <c r="E156" s="3" t="str" cm="1">
        <f t="array" ref="E156">IF(ISNUMBER($A156),IF(A156=A155,"Reference2(False,True,"&amp;INDEX(BackgroundCalcs!$AX$2:$AX$500,'Grading Formulas'!$A156)&amp;")","MOEValue(.0001)"),"")</f>
        <v/>
      </c>
      <c r="F156" s="3" t="str">
        <f t="shared" ref="F156:F219" si="16">IF(ISNUMBER($A156),IF(A156=A155,-1000,1),"")</f>
        <v/>
      </c>
      <c r="G156" s="3" t="str">
        <f t="shared" ref="G156:G219" si="17">IF(ISNUMBER($A156),IF(A156=A155,"You should not be referencing the answer cell","Correct"),"")</f>
        <v/>
      </c>
      <c r="H156" s="3" t="str">
        <f t="shared" ref="H156:H219" si="18">IF(ISNUMBER($A156),IF(A156=A155,"N/A","Incorrect"),"")</f>
        <v/>
      </c>
    </row>
    <row r="157" spans="1:8">
      <c r="A157" s="4" t="str">
        <f t="shared" si="14"/>
        <v/>
      </c>
      <c r="B157" s="4" t="str">
        <f t="shared" si="15"/>
        <v/>
      </c>
      <c r="C157" s="19" t="str" cm="1">
        <f t="array" ref="C157">IF(ISNUMBER(A157),IF(A157=A156,INDEX(BackgroundCalcs!$AV$2:$AV$500,'Grading Formulas'!$A157),"Question Results"),"")</f>
        <v/>
      </c>
      <c r="D157" s="6" t="str" cm="1">
        <f t="array" ref="D157">IF(ISNUMBER($A157),IF(A157=A156,INDEX(BackgroundCalcs!$AW$2:$AW$500,'Grading Formulas'!$A157),"C"&amp;A157+9),"")</f>
        <v/>
      </c>
      <c r="E157" s="3" t="str" cm="1">
        <f t="array" ref="E157">IF(ISNUMBER($A157),IF(A157=A156,"Reference2(False,True,"&amp;INDEX(BackgroundCalcs!$AX$2:$AX$500,'Grading Formulas'!$A157)&amp;")","MOEValue(.0001)"),"")</f>
        <v/>
      </c>
      <c r="F157" s="3" t="str">
        <f t="shared" si="16"/>
        <v/>
      </c>
      <c r="G157" s="3" t="str">
        <f t="shared" si="17"/>
        <v/>
      </c>
      <c r="H157" s="3" t="str">
        <f t="shared" si="18"/>
        <v/>
      </c>
    </row>
    <row r="158" spans="1:8">
      <c r="A158" s="4" t="str">
        <f t="shared" si="14"/>
        <v/>
      </c>
      <c r="B158" s="4" t="str">
        <f t="shared" si="15"/>
        <v/>
      </c>
      <c r="C158" s="19" t="str" cm="1">
        <f t="array" ref="C158">IF(ISNUMBER(A158),IF(A158=A157,INDEX(BackgroundCalcs!$AV$2:$AV$500,'Grading Formulas'!$A158),"Question Results"),"")</f>
        <v/>
      </c>
      <c r="D158" s="6" t="str" cm="1">
        <f t="array" ref="D158">IF(ISNUMBER($A158),IF(A158=A157,INDEX(BackgroundCalcs!$AW$2:$AW$500,'Grading Formulas'!$A158),"C"&amp;A158+9),"")</f>
        <v/>
      </c>
      <c r="E158" s="3" t="str" cm="1">
        <f t="array" ref="E158">IF(ISNUMBER($A158),IF(A158=A157,"Reference2(False,True,"&amp;INDEX(BackgroundCalcs!$AX$2:$AX$500,'Grading Formulas'!$A158)&amp;")","MOEValue(.0001)"),"")</f>
        <v/>
      </c>
      <c r="F158" s="3" t="str">
        <f t="shared" si="16"/>
        <v/>
      </c>
      <c r="G158" s="3" t="str">
        <f t="shared" si="17"/>
        <v/>
      </c>
      <c r="H158" s="3" t="str">
        <f t="shared" si="18"/>
        <v/>
      </c>
    </row>
    <row r="159" spans="1:8">
      <c r="A159" s="4" t="str">
        <f t="shared" si="14"/>
        <v/>
      </c>
      <c r="B159" s="4" t="str">
        <f t="shared" si="15"/>
        <v/>
      </c>
      <c r="C159" s="19" t="str" cm="1">
        <f t="array" ref="C159">IF(ISNUMBER(A159),IF(A159=A158,INDEX(BackgroundCalcs!$AV$2:$AV$500,'Grading Formulas'!$A159),"Question Results"),"")</f>
        <v/>
      </c>
      <c r="D159" s="6" t="str" cm="1">
        <f t="array" ref="D159">IF(ISNUMBER($A159),IF(A159=A158,INDEX(BackgroundCalcs!$AW$2:$AW$500,'Grading Formulas'!$A159),"C"&amp;A159+9),"")</f>
        <v/>
      </c>
      <c r="E159" s="3" t="str" cm="1">
        <f t="array" ref="E159">IF(ISNUMBER($A159),IF(A159=A158,"Reference2(False,True,"&amp;INDEX(BackgroundCalcs!$AX$2:$AX$500,'Grading Formulas'!$A159)&amp;")","MOEValue(.0001)"),"")</f>
        <v/>
      </c>
      <c r="F159" s="3" t="str">
        <f t="shared" si="16"/>
        <v/>
      </c>
      <c r="G159" s="3" t="str">
        <f t="shared" si="17"/>
        <v/>
      </c>
      <c r="H159" s="3" t="str">
        <f t="shared" si="18"/>
        <v/>
      </c>
    </row>
    <row r="160" spans="1:8">
      <c r="A160" s="4" t="str">
        <f t="shared" si="14"/>
        <v/>
      </c>
      <c r="B160" s="4" t="str">
        <f t="shared" si="15"/>
        <v/>
      </c>
      <c r="C160" s="19" t="str" cm="1">
        <f t="array" ref="C160">IF(ISNUMBER(A160),IF(A160=A159,INDEX(BackgroundCalcs!$AV$2:$AV$500,'Grading Formulas'!$A160),"Question Results"),"")</f>
        <v/>
      </c>
      <c r="D160" s="6" t="str" cm="1">
        <f t="array" ref="D160">IF(ISNUMBER($A160),IF(A160=A159,INDEX(BackgroundCalcs!$AW$2:$AW$500,'Grading Formulas'!$A160),"C"&amp;A160+9),"")</f>
        <v/>
      </c>
      <c r="E160" s="3" t="str" cm="1">
        <f t="array" ref="E160">IF(ISNUMBER($A160),IF(A160=A159,"Reference2(False,True,"&amp;INDEX(BackgroundCalcs!$AX$2:$AX$500,'Grading Formulas'!$A160)&amp;")","MOEValue(.0001)"),"")</f>
        <v/>
      </c>
      <c r="F160" s="3" t="str">
        <f t="shared" si="16"/>
        <v/>
      </c>
      <c r="G160" s="3" t="str">
        <f t="shared" si="17"/>
        <v/>
      </c>
      <c r="H160" s="3" t="str">
        <f t="shared" si="18"/>
        <v/>
      </c>
    </row>
    <row r="161" spans="1:8">
      <c r="A161" s="4" t="str">
        <f t="shared" si="14"/>
        <v/>
      </c>
      <c r="B161" s="4" t="str">
        <f t="shared" si="15"/>
        <v/>
      </c>
      <c r="C161" s="19" t="str" cm="1">
        <f t="array" ref="C161">IF(ISNUMBER(A161),IF(A161=A160,INDEX(BackgroundCalcs!$AV$2:$AV$500,'Grading Formulas'!$A161),"Question Results"),"")</f>
        <v/>
      </c>
      <c r="D161" s="6" t="str" cm="1">
        <f t="array" ref="D161">IF(ISNUMBER($A161),IF(A161=A160,INDEX(BackgroundCalcs!$AW$2:$AW$500,'Grading Formulas'!$A161),"C"&amp;A161+9),"")</f>
        <v/>
      </c>
      <c r="E161" s="3" t="str" cm="1">
        <f t="array" ref="E161">IF(ISNUMBER($A161),IF(A161=A160,"Reference2(False,True,"&amp;INDEX(BackgroundCalcs!$AX$2:$AX$500,'Grading Formulas'!$A161)&amp;")","MOEValue(.0001)"),"")</f>
        <v/>
      </c>
      <c r="F161" s="3" t="str">
        <f t="shared" si="16"/>
        <v/>
      </c>
      <c r="G161" s="3" t="str">
        <f t="shared" si="17"/>
        <v/>
      </c>
      <c r="H161" s="3" t="str">
        <f t="shared" si="18"/>
        <v/>
      </c>
    </row>
    <row r="162" spans="1:8">
      <c r="A162" s="4" t="str">
        <f t="shared" si="14"/>
        <v/>
      </c>
      <c r="B162" s="4" t="str">
        <f t="shared" si="15"/>
        <v/>
      </c>
      <c r="C162" s="19" t="str" cm="1">
        <f t="array" ref="C162">IF(ISNUMBER(A162),IF(A162=A161,INDEX(BackgroundCalcs!$AV$2:$AV$500,'Grading Formulas'!$A162),"Question Results"),"")</f>
        <v/>
      </c>
      <c r="D162" s="6" t="str" cm="1">
        <f t="array" ref="D162">IF(ISNUMBER($A162),IF(A162=A161,INDEX(BackgroundCalcs!$AW$2:$AW$500,'Grading Formulas'!$A162),"C"&amp;A162+9),"")</f>
        <v/>
      </c>
      <c r="E162" s="3" t="str" cm="1">
        <f t="array" ref="E162">IF(ISNUMBER($A162),IF(A162=A161,"Reference2(False,True,"&amp;INDEX(BackgroundCalcs!$AX$2:$AX$500,'Grading Formulas'!$A162)&amp;")","MOEValue(.0001)"),"")</f>
        <v/>
      </c>
      <c r="F162" s="3" t="str">
        <f t="shared" si="16"/>
        <v/>
      </c>
      <c r="G162" s="3" t="str">
        <f t="shared" si="17"/>
        <v/>
      </c>
      <c r="H162" s="3" t="str">
        <f t="shared" si="18"/>
        <v/>
      </c>
    </row>
    <row r="163" spans="1:8">
      <c r="A163" s="4" t="str">
        <f t="shared" si="14"/>
        <v/>
      </c>
      <c r="B163" s="4" t="str">
        <f t="shared" si="15"/>
        <v/>
      </c>
      <c r="C163" s="19" t="str" cm="1">
        <f t="array" ref="C163">IF(ISNUMBER(A163),IF(A163=A162,INDEX(BackgroundCalcs!$AV$2:$AV$500,'Grading Formulas'!$A163),"Question Results"),"")</f>
        <v/>
      </c>
      <c r="D163" s="6" t="str" cm="1">
        <f t="array" ref="D163">IF(ISNUMBER($A163),IF(A163=A162,INDEX(BackgroundCalcs!$AW$2:$AW$500,'Grading Formulas'!$A163),"C"&amp;A163+9),"")</f>
        <v/>
      </c>
      <c r="E163" s="3" t="str" cm="1">
        <f t="array" ref="E163">IF(ISNUMBER($A163),IF(A163=A162,"Reference2(False,True,"&amp;INDEX(BackgroundCalcs!$AX$2:$AX$500,'Grading Formulas'!$A163)&amp;")","MOEValue(.0001)"),"")</f>
        <v/>
      </c>
      <c r="F163" s="3" t="str">
        <f t="shared" si="16"/>
        <v/>
      </c>
      <c r="G163" s="3" t="str">
        <f t="shared" si="17"/>
        <v/>
      </c>
      <c r="H163" s="3" t="str">
        <f t="shared" si="18"/>
        <v/>
      </c>
    </row>
    <row r="164" spans="1:8">
      <c r="A164" s="4" t="str">
        <f t="shared" si="14"/>
        <v/>
      </c>
      <c r="B164" s="4" t="str">
        <f t="shared" si="15"/>
        <v/>
      </c>
      <c r="C164" s="19" t="str" cm="1">
        <f t="array" ref="C164">IF(ISNUMBER(A164),IF(A164=A163,INDEX(BackgroundCalcs!$AV$2:$AV$500,'Grading Formulas'!$A164),"Question Results"),"")</f>
        <v/>
      </c>
      <c r="D164" s="6" t="str" cm="1">
        <f t="array" ref="D164">IF(ISNUMBER($A164),IF(A164=A163,INDEX(BackgroundCalcs!$AW$2:$AW$500,'Grading Formulas'!$A164),"C"&amp;A164+9),"")</f>
        <v/>
      </c>
      <c r="E164" s="3" t="str" cm="1">
        <f t="array" ref="E164">IF(ISNUMBER($A164),IF(A164=A163,"Reference2(False,True,"&amp;INDEX(BackgroundCalcs!$AX$2:$AX$500,'Grading Formulas'!$A164)&amp;")","MOEValue(.0001)"),"")</f>
        <v/>
      </c>
      <c r="F164" s="3" t="str">
        <f t="shared" si="16"/>
        <v/>
      </c>
      <c r="G164" s="3" t="str">
        <f t="shared" si="17"/>
        <v/>
      </c>
      <c r="H164" s="3" t="str">
        <f t="shared" si="18"/>
        <v/>
      </c>
    </row>
    <row r="165" spans="1:8">
      <c r="A165" s="4" t="str">
        <f t="shared" si="14"/>
        <v/>
      </c>
      <c r="B165" s="4" t="str">
        <f t="shared" si="15"/>
        <v/>
      </c>
      <c r="C165" s="19" t="str" cm="1">
        <f t="array" ref="C165">IF(ISNUMBER(A165),IF(A165=A164,INDEX(BackgroundCalcs!$AV$2:$AV$500,'Grading Formulas'!$A165),"Question Results"),"")</f>
        <v/>
      </c>
      <c r="D165" s="6" t="str" cm="1">
        <f t="array" ref="D165">IF(ISNUMBER($A165),IF(A165=A164,INDEX(BackgroundCalcs!$AW$2:$AW$500,'Grading Formulas'!$A165),"C"&amp;A165+9),"")</f>
        <v/>
      </c>
      <c r="E165" s="3" t="str" cm="1">
        <f t="array" ref="E165">IF(ISNUMBER($A165),IF(A165=A164,"Reference2(False,True,"&amp;INDEX(BackgroundCalcs!$AX$2:$AX$500,'Grading Formulas'!$A165)&amp;")","MOEValue(.0001)"),"")</f>
        <v/>
      </c>
      <c r="F165" s="3" t="str">
        <f t="shared" si="16"/>
        <v/>
      </c>
      <c r="G165" s="3" t="str">
        <f t="shared" si="17"/>
        <v/>
      </c>
      <c r="H165" s="3" t="str">
        <f t="shared" si="18"/>
        <v/>
      </c>
    </row>
    <row r="166" spans="1:8">
      <c r="A166" s="4" t="str">
        <f t="shared" si="14"/>
        <v/>
      </c>
      <c r="B166" s="4" t="str">
        <f t="shared" si="15"/>
        <v/>
      </c>
      <c r="C166" s="19" t="str" cm="1">
        <f t="array" ref="C166">IF(ISNUMBER(A166),IF(A166=A165,INDEX(BackgroundCalcs!$AV$2:$AV$500,'Grading Formulas'!$A166),"Question Results"),"")</f>
        <v/>
      </c>
      <c r="D166" s="6" t="str" cm="1">
        <f t="array" ref="D166">IF(ISNUMBER($A166),IF(A166=A165,INDEX(BackgroundCalcs!$AW$2:$AW$500,'Grading Formulas'!$A166),"C"&amp;A166+9),"")</f>
        <v/>
      </c>
      <c r="E166" s="3" t="str" cm="1">
        <f t="array" ref="E166">IF(ISNUMBER($A166),IF(A166=A165,"Reference2(False,True,"&amp;INDEX(BackgroundCalcs!$AX$2:$AX$500,'Grading Formulas'!$A166)&amp;")","MOEValue(.0001)"),"")</f>
        <v/>
      </c>
      <c r="F166" s="3" t="str">
        <f t="shared" si="16"/>
        <v/>
      </c>
      <c r="G166" s="3" t="str">
        <f t="shared" si="17"/>
        <v/>
      </c>
      <c r="H166" s="3" t="str">
        <f t="shared" si="18"/>
        <v/>
      </c>
    </row>
    <row r="167" spans="1:8">
      <c r="A167" s="4" t="str">
        <f t="shared" si="14"/>
        <v/>
      </c>
      <c r="B167" s="4" t="str">
        <f t="shared" si="15"/>
        <v/>
      </c>
      <c r="C167" s="19" t="str" cm="1">
        <f t="array" ref="C167">IF(ISNUMBER(A167),IF(A167=A166,INDEX(BackgroundCalcs!$AV$2:$AV$500,'Grading Formulas'!$A167),"Question Results"),"")</f>
        <v/>
      </c>
      <c r="D167" s="6" t="str" cm="1">
        <f t="array" ref="D167">IF(ISNUMBER($A167),IF(A167=A166,INDEX(BackgroundCalcs!$AW$2:$AW$500,'Grading Formulas'!$A167),"C"&amp;A167+9),"")</f>
        <v/>
      </c>
      <c r="E167" s="3" t="str" cm="1">
        <f t="array" ref="E167">IF(ISNUMBER($A167),IF(A167=A166,"Reference2(False,True,"&amp;INDEX(BackgroundCalcs!$AX$2:$AX$500,'Grading Formulas'!$A167)&amp;")","MOEValue(.0001)"),"")</f>
        <v/>
      </c>
      <c r="F167" s="3" t="str">
        <f t="shared" si="16"/>
        <v/>
      </c>
      <c r="G167" s="3" t="str">
        <f t="shared" si="17"/>
        <v/>
      </c>
      <c r="H167" s="3" t="str">
        <f t="shared" si="18"/>
        <v/>
      </c>
    </row>
    <row r="168" spans="1:8">
      <c r="A168" s="4" t="str">
        <f t="shared" si="14"/>
        <v/>
      </c>
      <c r="B168" s="4" t="str">
        <f t="shared" si="15"/>
        <v/>
      </c>
      <c r="C168" s="19" t="str" cm="1">
        <f t="array" ref="C168">IF(ISNUMBER(A168),IF(A168=A167,INDEX(BackgroundCalcs!$AV$2:$AV$500,'Grading Formulas'!$A168),"Question Results"),"")</f>
        <v/>
      </c>
      <c r="D168" s="6" t="str" cm="1">
        <f t="array" ref="D168">IF(ISNUMBER($A168),IF(A168=A167,INDEX(BackgroundCalcs!$AW$2:$AW$500,'Grading Formulas'!$A168),"C"&amp;A168+9),"")</f>
        <v/>
      </c>
      <c r="E168" s="3" t="str" cm="1">
        <f t="array" ref="E168">IF(ISNUMBER($A168),IF(A168=A167,"Reference2(False,True,"&amp;INDEX(BackgroundCalcs!$AX$2:$AX$500,'Grading Formulas'!$A168)&amp;")","MOEValue(.0001)"),"")</f>
        <v/>
      </c>
      <c r="F168" s="3" t="str">
        <f t="shared" si="16"/>
        <v/>
      </c>
      <c r="G168" s="3" t="str">
        <f t="shared" si="17"/>
        <v/>
      </c>
      <c r="H168" s="3" t="str">
        <f t="shared" si="18"/>
        <v/>
      </c>
    </row>
    <row r="169" spans="1:8">
      <c r="A169" s="4" t="str">
        <f t="shared" si="14"/>
        <v/>
      </c>
      <c r="B169" s="4" t="str">
        <f t="shared" si="15"/>
        <v/>
      </c>
      <c r="C169" s="19" t="str" cm="1">
        <f t="array" ref="C169">IF(ISNUMBER(A169),IF(A169=A168,INDEX(BackgroundCalcs!$AV$2:$AV$500,'Grading Formulas'!$A169),"Question Results"),"")</f>
        <v/>
      </c>
      <c r="D169" s="6" t="str" cm="1">
        <f t="array" ref="D169">IF(ISNUMBER($A169),IF(A169=A168,INDEX(BackgroundCalcs!$AW$2:$AW$500,'Grading Formulas'!$A169),"C"&amp;A169+9),"")</f>
        <v/>
      </c>
      <c r="E169" s="3" t="str" cm="1">
        <f t="array" ref="E169">IF(ISNUMBER($A169),IF(A169=A168,"Reference2(False,True,"&amp;INDEX(BackgroundCalcs!$AX$2:$AX$500,'Grading Formulas'!$A169)&amp;")","MOEValue(.0001)"),"")</f>
        <v/>
      </c>
      <c r="F169" s="3" t="str">
        <f t="shared" si="16"/>
        <v/>
      </c>
      <c r="G169" s="3" t="str">
        <f t="shared" si="17"/>
        <v/>
      </c>
      <c r="H169" s="3" t="str">
        <f t="shared" si="18"/>
        <v/>
      </c>
    </row>
    <row r="170" spans="1:8">
      <c r="A170" s="4" t="str">
        <f t="shared" si="14"/>
        <v/>
      </c>
      <c r="B170" s="4" t="str">
        <f t="shared" si="15"/>
        <v/>
      </c>
      <c r="C170" s="19" t="str" cm="1">
        <f t="array" ref="C170">IF(ISNUMBER(A170),IF(A170=A169,INDEX(BackgroundCalcs!$AV$2:$AV$500,'Grading Formulas'!$A170),"Question Results"),"")</f>
        <v/>
      </c>
      <c r="D170" s="6" t="str" cm="1">
        <f t="array" ref="D170">IF(ISNUMBER($A170),IF(A170=A169,INDEX(BackgroundCalcs!$AW$2:$AW$500,'Grading Formulas'!$A170),"C"&amp;A170+9),"")</f>
        <v/>
      </c>
      <c r="E170" s="3" t="str" cm="1">
        <f t="array" ref="E170">IF(ISNUMBER($A170),IF(A170=A169,"Reference2(False,True,"&amp;INDEX(BackgroundCalcs!$AX$2:$AX$500,'Grading Formulas'!$A170)&amp;")","MOEValue(.0001)"),"")</f>
        <v/>
      </c>
      <c r="F170" s="3" t="str">
        <f t="shared" si="16"/>
        <v/>
      </c>
      <c r="G170" s="3" t="str">
        <f t="shared" si="17"/>
        <v/>
      </c>
      <c r="H170" s="3" t="str">
        <f t="shared" si="18"/>
        <v/>
      </c>
    </row>
    <row r="171" spans="1:8">
      <c r="A171" s="4" t="str">
        <f t="shared" si="14"/>
        <v/>
      </c>
      <c r="B171" s="4" t="str">
        <f t="shared" si="15"/>
        <v/>
      </c>
      <c r="C171" s="19" t="str" cm="1">
        <f t="array" ref="C171">IF(ISNUMBER(A171),IF(A171=A170,INDEX(BackgroundCalcs!$AV$2:$AV$500,'Grading Formulas'!$A171),"Question Results"),"")</f>
        <v/>
      </c>
      <c r="D171" s="6" t="str" cm="1">
        <f t="array" ref="D171">IF(ISNUMBER($A171),IF(A171=A170,INDEX(BackgroundCalcs!$AW$2:$AW$500,'Grading Formulas'!$A171),"C"&amp;A171+9),"")</f>
        <v/>
      </c>
      <c r="E171" s="3" t="str" cm="1">
        <f t="array" ref="E171">IF(ISNUMBER($A171),IF(A171=A170,"Reference2(False,True,"&amp;INDEX(BackgroundCalcs!$AX$2:$AX$500,'Grading Formulas'!$A171)&amp;")","MOEValue(.0001)"),"")</f>
        <v/>
      </c>
      <c r="F171" s="3" t="str">
        <f t="shared" si="16"/>
        <v/>
      </c>
      <c r="G171" s="3" t="str">
        <f t="shared" si="17"/>
        <v/>
      </c>
      <c r="H171" s="3" t="str">
        <f t="shared" si="18"/>
        <v/>
      </c>
    </row>
    <row r="172" spans="1:8">
      <c r="A172" s="4" t="str">
        <f t="shared" si="14"/>
        <v/>
      </c>
      <c r="B172" s="4" t="str">
        <f t="shared" si="15"/>
        <v/>
      </c>
      <c r="C172" s="19" t="str" cm="1">
        <f t="array" ref="C172">IF(ISNUMBER(A172),IF(A172=A171,INDEX(BackgroundCalcs!$AV$2:$AV$500,'Grading Formulas'!$A172),"Question Results"),"")</f>
        <v/>
      </c>
      <c r="D172" s="6" t="str" cm="1">
        <f t="array" ref="D172">IF(ISNUMBER($A172),IF(A172=A171,INDEX(BackgroundCalcs!$AW$2:$AW$500,'Grading Formulas'!$A172),"C"&amp;A172+9),"")</f>
        <v/>
      </c>
      <c r="E172" s="3" t="str" cm="1">
        <f t="array" ref="E172">IF(ISNUMBER($A172),IF(A172=A171,"Reference2(False,True,"&amp;INDEX(BackgroundCalcs!$AX$2:$AX$500,'Grading Formulas'!$A172)&amp;")","MOEValue(.0001)"),"")</f>
        <v/>
      </c>
      <c r="F172" s="3" t="str">
        <f t="shared" si="16"/>
        <v/>
      </c>
      <c r="G172" s="3" t="str">
        <f t="shared" si="17"/>
        <v/>
      </c>
      <c r="H172" s="3" t="str">
        <f t="shared" si="18"/>
        <v/>
      </c>
    </row>
    <row r="173" spans="1:8">
      <c r="A173" s="4" t="str">
        <f t="shared" si="14"/>
        <v/>
      </c>
      <c r="B173" s="4" t="str">
        <f t="shared" si="15"/>
        <v/>
      </c>
      <c r="C173" s="19" t="str" cm="1">
        <f t="array" ref="C173">IF(ISNUMBER(A173),IF(A173=A172,INDEX(BackgroundCalcs!$AV$2:$AV$500,'Grading Formulas'!$A173),"Question Results"),"")</f>
        <v/>
      </c>
      <c r="D173" s="6" t="str" cm="1">
        <f t="array" ref="D173">IF(ISNUMBER($A173),IF(A173=A172,INDEX(BackgroundCalcs!$AW$2:$AW$500,'Grading Formulas'!$A173),"C"&amp;A173+9),"")</f>
        <v/>
      </c>
      <c r="E173" s="3" t="str" cm="1">
        <f t="array" ref="E173">IF(ISNUMBER($A173),IF(A173=A172,"Reference2(False,True,"&amp;INDEX(BackgroundCalcs!$AX$2:$AX$500,'Grading Formulas'!$A173)&amp;")","MOEValue(.0001)"),"")</f>
        <v/>
      </c>
      <c r="F173" s="3" t="str">
        <f t="shared" si="16"/>
        <v/>
      </c>
      <c r="G173" s="3" t="str">
        <f t="shared" si="17"/>
        <v/>
      </c>
      <c r="H173" s="3" t="str">
        <f t="shared" si="18"/>
        <v/>
      </c>
    </row>
    <row r="174" spans="1:8">
      <c r="A174" s="4" t="str">
        <f t="shared" si="14"/>
        <v/>
      </c>
      <c r="B174" s="4" t="str">
        <f t="shared" si="15"/>
        <v/>
      </c>
      <c r="C174" s="19" t="str" cm="1">
        <f t="array" ref="C174">IF(ISNUMBER(A174),IF(A174=A173,INDEX(BackgroundCalcs!$AV$2:$AV$500,'Grading Formulas'!$A174),"Question Results"),"")</f>
        <v/>
      </c>
      <c r="D174" s="6" t="str" cm="1">
        <f t="array" ref="D174">IF(ISNUMBER($A174),IF(A174=A173,INDEX(BackgroundCalcs!$AW$2:$AW$500,'Grading Formulas'!$A174),"C"&amp;A174+9),"")</f>
        <v/>
      </c>
      <c r="E174" s="3" t="str" cm="1">
        <f t="array" ref="E174">IF(ISNUMBER($A174),IF(A174=A173,"Reference2(False,True,"&amp;INDEX(BackgroundCalcs!$AX$2:$AX$500,'Grading Formulas'!$A174)&amp;")","MOEValue(.0001)"),"")</f>
        <v/>
      </c>
      <c r="F174" s="3" t="str">
        <f t="shared" si="16"/>
        <v/>
      </c>
      <c r="G174" s="3" t="str">
        <f t="shared" si="17"/>
        <v/>
      </c>
      <c r="H174" s="3" t="str">
        <f t="shared" si="18"/>
        <v/>
      </c>
    </row>
    <row r="175" spans="1:8">
      <c r="A175" s="4" t="str">
        <f t="shared" si="14"/>
        <v/>
      </c>
      <c r="B175" s="4" t="str">
        <f t="shared" si="15"/>
        <v/>
      </c>
      <c r="C175" s="19" t="str" cm="1">
        <f t="array" ref="C175">IF(ISNUMBER(A175),IF(A175=A174,INDEX(BackgroundCalcs!$AV$2:$AV$500,'Grading Formulas'!$A175),"Question Results"),"")</f>
        <v/>
      </c>
      <c r="D175" s="6" t="str" cm="1">
        <f t="array" ref="D175">IF(ISNUMBER($A175),IF(A175=A174,INDEX(BackgroundCalcs!$AW$2:$AW$500,'Grading Formulas'!$A175),"C"&amp;A175+9),"")</f>
        <v/>
      </c>
      <c r="E175" s="3" t="str" cm="1">
        <f t="array" ref="E175">IF(ISNUMBER($A175),IF(A175=A174,"Reference2(False,True,"&amp;INDEX(BackgroundCalcs!$AX$2:$AX$500,'Grading Formulas'!$A175)&amp;")","MOEValue(.0001)"),"")</f>
        <v/>
      </c>
      <c r="F175" s="3" t="str">
        <f t="shared" si="16"/>
        <v/>
      </c>
      <c r="G175" s="3" t="str">
        <f t="shared" si="17"/>
        <v/>
      </c>
      <c r="H175" s="3" t="str">
        <f t="shared" si="18"/>
        <v/>
      </c>
    </row>
    <row r="176" spans="1:8">
      <c r="A176" s="4" t="str">
        <f t="shared" si="14"/>
        <v/>
      </c>
      <c r="B176" s="4" t="str">
        <f t="shared" si="15"/>
        <v/>
      </c>
      <c r="C176" s="19" t="str" cm="1">
        <f t="array" ref="C176">IF(ISNUMBER(A176),IF(A176=A175,INDEX(BackgroundCalcs!$AV$2:$AV$500,'Grading Formulas'!$A176),"Question Results"),"")</f>
        <v/>
      </c>
      <c r="D176" s="6" t="str" cm="1">
        <f t="array" ref="D176">IF(ISNUMBER($A176),IF(A176=A175,INDEX(BackgroundCalcs!$AW$2:$AW$500,'Grading Formulas'!$A176),"C"&amp;A176+9),"")</f>
        <v/>
      </c>
      <c r="E176" s="3" t="str" cm="1">
        <f t="array" ref="E176">IF(ISNUMBER($A176),IF(A176=A175,"Reference2(False,True,"&amp;INDEX(BackgroundCalcs!$AX$2:$AX$500,'Grading Formulas'!$A176)&amp;")","MOEValue(.0001)"),"")</f>
        <v/>
      </c>
      <c r="F176" s="3" t="str">
        <f t="shared" si="16"/>
        <v/>
      </c>
      <c r="G176" s="3" t="str">
        <f t="shared" si="17"/>
        <v/>
      </c>
      <c r="H176" s="3" t="str">
        <f t="shared" si="18"/>
        <v/>
      </c>
    </row>
    <row r="177" spans="1:8">
      <c r="A177" s="4" t="str">
        <f t="shared" si="14"/>
        <v/>
      </c>
      <c r="B177" s="4" t="str">
        <f t="shared" si="15"/>
        <v/>
      </c>
      <c r="C177" s="19" t="str" cm="1">
        <f t="array" ref="C177">IF(ISNUMBER(A177),IF(A177=A176,INDEX(BackgroundCalcs!$AV$2:$AV$500,'Grading Formulas'!$A177),"Question Results"),"")</f>
        <v/>
      </c>
      <c r="D177" s="6" t="str" cm="1">
        <f t="array" ref="D177">IF(ISNUMBER($A177),IF(A177=A176,INDEX(BackgroundCalcs!$AW$2:$AW$500,'Grading Formulas'!$A177),"C"&amp;A177+9),"")</f>
        <v/>
      </c>
      <c r="E177" s="3" t="str" cm="1">
        <f t="array" ref="E177">IF(ISNUMBER($A177),IF(A177=A176,"Reference2(False,True,"&amp;INDEX(BackgroundCalcs!$AX$2:$AX$500,'Grading Formulas'!$A177)&amp;")","MOEValue(.0001)"),"")</f>
        <v/>
      </c>
      <c r="F177" s="3" t="str">
        <f t="shared" si="16"/>
        <v/>
      </c>
      <c r="G177" s="3" t="str">
        <f t="shared" si="17"/>
        <v/>
      </c>
      <c r="H177" s="3" t="str">
        <f t="shared" si="18"/>
        <v/>
      </c>
    </row>
    <row r="178" spans="1:8">
      <c r="A178" s="4" t="str">
        <f t="shared" si="14"/>
        <v/>
      </c>
      <c r="B178" s="4" t="str">
        <f t="shared" si="15"/>
        <v/>
      </c>
      <c r="C178" s="19" t="str" cm="1">
        <f t="array" ref="C178">IF(ISNUMBER(A178),IF(A178=A177,INDEX(BackgroundCalcs!$AV$2:$AV$500,'Grading Formulas'!$A178),"Question Results"),"")</f>
        <v/>
      </c>
      <c r="D178" s="6" t="str" cm="1">
        <f t="array" ref="D178">IF(ISNUMBER($A178),IF(A178=A177,INDEX(BackgroundCalcs!$AW$2:$AW$500,'Grading Formulas'!$A178),"C"&amp;A178+9),"")</f>
        <v/>
      </c>
      <c r="E178" s="3" t="str" cm="1">
        <f t="array" ref="E178">IF(ISNUMBER($A178),IF(A178=A177,"Reference2(False,True,"&amp;INDEX(BackgroundCalcs!$AX$2:$AX$500,'Grading Formulas'!$A178)&amp;")","MOEValue(.0001)"),"")</f>
        <v/>
      </c>
      <c r="F178" s="3" t="str">
        <f t="shared" si="16"/>
        <v/>
      </c>
      <c r="G178" s="3" t="str">
        <f t="shared" si="17"/>
        <v/>
      </c>
      <c r="H178" s="3" t="str">
        <f t="shared" si="18"/>
        <v/>
      </c>
    </row>
    <row r="179" spans="1:8">
      <c r="A179" s="4" t="str">
        <f t="shared" si="14"/>
        <v/>
      </c>
      <c r="B179" s="4" t="str">
        <f t="shared" si="15"/>
        <v/>
      </c>
      <c r="C179" s="19" t="str" cm="1">
        <f t="array" ref="C179">IF(ISNUMBER(A179),IF(A179=A178,INDEX(BackgroundCalcs!$AV$2:$AV$500,'Grading Formulas'!$A179),"Question Results"),"")</f>
        <v/>
      </c>
      <c r="D179" s="6" t="str" cm="1">
        <f t="array" ref="D179">IF(ISNUMBER($A179),IF(A179=A178,INDEX(BackgroundCalcs!$AW$2:$AW$500,'Grading Formulas'!$A179),"C"&amp;A179+9),"")</f>
        <v/>
      </c>
      <c r="E179" s="3" t="str" cm="1">
        <f t="array" ref="E179">IF(ISNUMBER($A179),IF(A179=A178,"Reference2(False,True,"&amp;INDEX(BackgroundCalcs!$AX$2:$AX$500,'Grading Formulas'!$A179)&amp;")","MOEValue(.0001)"),"")</f>
        <v/>
      </c>
      <c r="F179" s="3" t="str">
        <f t="shared" si="16"/>
        <v/>
      </c>
      <c r="G179" s="3" t="str">
        <f t="shared" si="17"/>
        <v/>
      </c>
      <c r="H179" s="3" t="str">
        <f t="shared" si="18"/>
        <v/>
      </c>
    </row>
    <row r="180" spans="1:8">
      <c r="A180" s="4" t="str">
        <f t="shared" si="14"/>
        <v/>
      </c>
      <c r="B180" s="4" t="str">
        <f t="shared" si="15"/>
        <v/>
      </c>
      <c r="C180" s="19" t="str" cm="1">
        <f t="array" ref="C180">IF(ISNUMBER(A180),IF(A180=A179,INDEX(BackgroundCalcs!$AV$2:$AV$500,'Grading Formulas'!$A180),"Question Results"),"")</f>
        <v/>
      </c>
      <c r="D180" s="6" t="str" cm="1">
        <f t="array" ref="D180">IF(ISNUMBER($A180),IF(A180=A179,INDEX(BackgroundCalcs!$AW$2:$AW$500,'Grading Formulas'!$A180),"C"&amp;A180+9),"")</f>
        <v/>
      </c>
      <c r="E180" s="3" t="str" cm="1">
        <f t="array" ref="E180">IF(ISNUMBER($A180),IF(A180=A179,"Reference2(False,True,"&amp;INDEX(BackgroundCalcs!$AX$2:$AX$500,'Grading Formulas'!$A180)&amp;")","MOEValue(.0001)"),"")</f>
        <v/>
      </c>
      <c r="F180" s="3" t="str">
        <f t="shared" si="16"/>
        <v/>
      </c>
      <c r="G180" s="3" t="str">
        <f t="shared" si="17"/>
        <v/>
      </c>
      <c r="H180" s="3" t="str">
        <f t="shared" si="18"/>
        <v/>
      </c>
    </row>
    <row r="181" spans="1:8">
      <c r="A181" s="4" t="str">
        <f t="shared" si="14"/>
        <v/>
      </c>
      <c r="B181" s="4" t="str">
        <f t="shared" si="15"/>
        <v/>
      </c>
      <c r="C181" s="19" t="str" cm="1">
        <f t="array" ref="C181">IF(ISNUMBER(A181),IF(A181=A180,INDEX(BackgroundCalcs!$AV$2:$AV$500,'Grading Formulas'!$A181),"Question Results"),"")</f>
        <v/>
      </c>
      <c r="D181" s="6" t="str" cm="1">
        <f t="array" ref="D181">IF(ISNUMBER($A181),IF(A181=A180,INDEX(BackgroundCalcs!$AW$2:$AW$500,'Grading Formulas'!$A181),"C"&amp;A181+9),"")</f>
        <v/>
      </c>
      <c r="E181" s="3" t="str" cm="1">
        <f t="array" ref="E181">IF(ISNUMBER($A181),IF(A181=A180,"Reference2(False,True,"&amp;INDEX(BackgroundCalcs!$AX$2:$AX$500,'Grading Formulas'!$A181)&amp;")","MOEValue(.0001)"),"")</f>
        <v/>
      </c>
      <c r="F181" s="3" t="str">
        <f t="shared" si="16"/>
        <v/>
      </c>
      <c r="G181" s="3" t="str">
        <f t="shared" si="17"/>
        <v/>
      </c>
      <c r="H181" s="3" t="str">
        <f t="shared" si="18"/>
        <v/>
      </c>
    </row>
    <row r="182" spans="1:8">
      <c r="A182" s="4" t="str">
        <f t="shared" si="14"/>
        <v/>
      </c>
      <c r="B182" s="4" t="str">
        <f t="shared" si="15"/>
        <v/>
      </c>
      <c r="C182" s="19" t="str" cm="1">
        <f t="array" ref="C182">IF(ISNUMBER(A182),IF(A182=A181,INDEX(BackgroundCalcs!$AV$2:$AV$500,'Grading Formulas'!$A182),"Question Results"),"")</f>
        <v/>
      </c>
      <c r="D182" s="6" t="str" cm="1">
        <f t="array" ref="D182">IF(ISNUMBER($A182),IF(A182=A181,INDEX(BackgroundCalcs!$AW$2:$AW$500,'Grading Formulas'!$A182),"C"&amp;A182+9),"")</f>
        <v/>
      </c>
      <c r="E182" s="3" t="str" cm="1">
        <f t="array" ref="E182">IF(ISNUMBER($A182),IF(A182=A181,"Reference2(False,True,"&amp;INDEX(BackgroundCalcs!$AX$2:$AX$500,'Grading Formulas'!$A182)&amp;")","MOEValue(.0001)"),"")</f>
        <v/>
      </c>
      <c r="F182" s="3" t="str">
        <f t="shared" si="16"/>
        <v/>
      </c>
      <c r="G182" s="3" t="str">
        <f t="shared" si="17"/>
        <v/>
      </c>
      <c r="H182" s="3" t="str">
        <f t="shared" si="18"/>
        <v/>
      </c>
    </row>
    <row r="183" spans="1:8">
      <c r="A183" s="4" t="str">
        <f t="shared" si="14"/>
        <v/>
      </c>
      <c r="B183" s="4" t="str">
        <f t="shared" si="15"/>
        <v/>
      </c>
      <c r="C183" s="19" t="str" cm="1">
        <f t="array" ref="C183">IF(ISNUMBER(A183),IF(A183=A182,INDEX(BackgroundCalcs!$AV$2:$AV$500,'Grading Formulas'!$A183),"Question Results"),"")</f>
        <v/>
      </c>
      <c r="D183" s="6" t="str" cm="1">
        <f t="array" ref="D183">IF(ISNUMBER($A183),IF(A183=A182,INDEX(BackgroundCalcs!$AW$2:$AW$500,'Grading Formulas'!$A183),"C"&amp;A183+9),"")</f>
        <v/>
      </c>
      <c r="E183" s="3" t="str" cm="1">
        <f t="array" ref="E183">IF(ISNUMBER($A183),IF(A183=A182,"Reference2(False,True,"&amp;INDEX(BackgroundCalcs!$AX$2:$AX$500,'Grading Formulas'!$A183)&amp;")","MOEValue(.0001)"),"")</f>
        <v/>
      </c>
      <c r="F183" s="3" t="str">
        <f t="shared" si="16"/>
        <v/>
      </c>
      <c r="G183" s="3" t="str">
        <f t="shared" si="17"/>
        <v/>
      </c>
      <c r="H183" s="3" t="str">
        <f t="shared" si="18"/>
        <v/>
      </c>
    </row>
    <row r="184" spans="1:8">
      <c r="A184" s="4" t="str">
        <f t="shared" si="14"/>
        <v/>
      </c>
      <c r="B184" s="4" t="str">
        <f t="shared" si="15"/>
        <v/>
      </c>
      <c r="C184" s="19" t="str" cm="1">
        <f t="array" ref="C184">IF(ISNUMBER(A184),IF(A184=A183,INDEX(BackgroundCalcs!$AV$2:$AV$500,'Grading Formulas'!$A184),"Question Results"),"")</f>
        <v/>
      </c>
      <c r="D184" s="6" t="str" cm="1">
        <f t="array" ref="D184">IF(ISNUMBER($A184),IF(A184=A183,INDEX(BackgroundCalcs!$AW$2:$AW$500,'Grading Formulas'!$A184),"C"&amp;A184+9),"")</f>
        <v/>
      </c>
      <c r="E184" s="3" t="str" cm="1">
        <f t="array" ref="E184">IF(ISNUMBER($A184),IF(A184=A183,"Reference2(False,True,"&amp;INDEX(BackgroundCalcs!$AX$2:$AX$500,'Grading Formulas'!$A184)&amp;")","MOEValue(.0001)"),"")</f>
        <v/>
      </c>
      <c r="F184" s="3" t="str">
        <f t="shared" si="16"/>
        <v/>
      </c>
      <c r="G184" s="3" t="str">
        <f t="shared" si="17"/>
        <v/>
      </c>
      <c r="H184" s="3" t="str">
        <f t="shared" si="18"/>
        <v/>
      </c>
    </row>
    <row r="185" spans="1:8">
      <c r="A185" s="4" t="str">
        <f t="shared" si="14"/>
        <v/>
      </c>
      <c r="B185" s="4" t="str">
        <f t="shared" si="15"/>
        <v/>
      </c>
      <c r="C185" s="19" t="str" cm="1">
        <f t="array" ref="C185">IF(ISNUMBER(A185),IF(A185=A184,INDEX(BackgroundCalcs!$AV$2:$AV$500,'Grading Formulas'!$A185),"Question Results"),"")</f>
        <v/>
      </c>
      <c r="D185" s="6" t="str" cm="1">
        <f t="array" ref="D185">IF(ISNUMBER($A185),IF(A185=A184,INDEX(BackgroundCalcs!$AW$2:$AW$500,'Grading Formulas'!$A185),"C"&amp;A185+9),"")</f>
        <v/>
      </c>
      <c r="E185" s="3" t="str" cm="1">
        <f t="array" ref="E185">IF(ISNUMBER($A185),IF(A185=A184,"Reference2(False,True,"&amp;INDEX(BackgroundCalcs!$AX$2:$AX$500,'Grading Formulas'!$A185)&amp;")","MOEValue(.0001)"),"")</f>
        <v/>
      </c>
      <c r="F185" s="3" t="str">
        <f t="shared" si="16"/>
        <v/>
      </c>
      <c r="G185" s="3" t="str">
        <f t="shared" si="17"/>
        <v/>
      </c>
      <c r="H185" s="3" t="str">
        <f t="shared" si="18"/>
        <v/>
      </c>
    </row>
    <row r="186" spans="1:8">
      <c r="A186" s="4" t="str">
        <f t="shared" si="14"/>
        <v/>
      </c>
      <c r="B186" s="4" t="str">
        <f t="shared" si="15"/>
        <v/>
      </c>
      <c r="C186" s="19" t="str" cm="1">
        <f t="array" ref="C186">IF(ISNUMBER(A186),IF(A186=A185,INDEX(BackgroundCalcs!$AV$2:$AV$500,'Grading Formulas'!$A186),"Question Results"),"")</f>
        <v/>
      </c>
      <c r="D186" s="6" t="str" cm="1">
        <f t="array" ref="D186">IF(ISNUMBER($A186),IF(A186=A185,INDEX(BackgroundCalcs!$AW$2:$AW$500,'Grading Formulas'!$A186),"C"&amp;A186+9),"")</f>
        <v/>
      </c>
      <c r="E186" s="3" t="str" cm="1">
        <f t="array" ref="E186">IF(ISNUMBER($A186),IF(A186=A185,"Reference2(False,True,"&amp;INDEX(BackgroundCalcs!$AX$2:$AX$500,'Grading Formulas'!$A186)&amp;")","MOEValue(.0001)"),"")</f>
        <v/>
      </c>
      <c r="F186" s="3" t="str">
        <f t="shared" si="16"/>
        <v/>
      </c>
      <c r="G186" s="3" t="str">
        <f t="shared" si="17"/>
        <v/>
      </c>
      <c r="H186" s="3" t="str">
        <f t="shared" si="18"/>
        <v/>
      </c>
    </row>
    <row r="187" spans="1:8">
      <c r="A187" s="4" t="str">
        <f t="shared" si="14"/>
        <v/>
      </c>
      <c r="B187" s="4" t="str">
        <f t="shared" si="15"/>
        <v/>
      </c>
      <c r="C187" s="19" t="str" cm="1">
        <f t="array" ref="C187">IF(ISNUMBER(A187),IF(A187=A186,INDEX(BackgroundCalcs!$AV$2:$AV$500,'Grading Formulas'!$A187),"Question Results"),"")</f>
        <v/>
      </c>
      <c r="D187" s="6" t="str" cm="1">
        <f t="array" ref="D187">IF(ISNUMBER($A187),IF(A187=A186,INDEX(BackgroundCalcs!$AW$2:$AW$500,'Grading Formulas'!$A187),"C"&amp;A187+9),"")</f>
        <v/>
      </c>
      <c r="E187" s="3" t="str" cm="1">
        <f t="array" ref="E187">IF(ISNUMBER($A187),IF(A187=A186,"Reference2(False,True,"&amp;INDEX(BackgroundCalcs!$AX$2:$AX$500,'Grading Formulas'!$A187)&amp;")","MOEValue(.0001)"),"")</f>
        <v/>
      </c>
      <c r="F187" s="3" t="str">
        <f t="shared" si="16"/>
        <v/>
      </c>
      <c r="G187" s="3" t="str">
        <f t="shared" si="17"/>
        <v/>
      </c>
      <c r="H187" s="3" t="str">
        <f t="shared" si="18"/>
        <v/>
      </c>
    </row>
    <row r="188" spans="1:8">
      <c r="A188" s="4" t="str">
        <f t="shared" si="14"/>
        <v/>
      </c>
      <c r="B188" s="4" t="str">
        <f t="shared" si="15"/>
        <v/>
      </c>
      <c r="C188" s="19" t="str" cm="1">
        <f t="array" ref="C188">IF(ISNUMBER(A188),IF(A188=A187,INDEX(BackgroundCalcs!$AV$2:$AV$500,'Grading Formulas'!$A188),"Question Results"),"")</f>
        <v/>
      </c>
      <c r="D188" s="6" t="str" cm="1">
        <f t="array" ref="D188">IF(ISNUMBER($A188),IF(A188=A187,INDEX(BackgroundCalcs!$AW$2:$AW$500,'Grading Formulas'!$A188),"C"&amp;A188+9),"")</f>
        <v/>
      </c>
      <c r="E188" s="3" t="str" cm="1">
        <f t="array" ref="E188">IF(ISNUMBER($A188),IF(A188=A187,"Reference2(False,True,"&amp;INDEX(BackgroundCalcs!$AX$2:$AX$500,'Grading Formulas'!$A188)&amp;")","MOEValue(.0001)"),"")</f>
        <v/>
      </c>
      <c r="F188" s="3" t="str">
        <f t="shared" si="16"/>
        <v/>
      </c>
      <c r="G188" s="3" t="str">
        <f t="shared" si="17"/>
        <v/>
      </c>
      <c r="H188" s="3" t="str">
        <f t="shared" si="18"/>
        <v/>
      </c>
    </row>
    <row r="189" spans="1:8">
      <c r="A189" s="4" t="str">
        <f t="shared" si="14"/>
        <v/>
      </c>
      <c r="B189" s="4" t="str">
        <f t="shared" si="15"/>
        <v/>
      </c>
      <c r="C189" s="19" t="str" cm="1">
        <f t="array" ref="C189">IF(ISNUMBER(A189),IF(A189=A188,INDEX(BackgroundCalcs!$AV$2:$AV$500,'Grading Formulas'!$A189),"Question Results"),"")</f>
        <v/>
      </c>
      <c r="D189" s="6" t="str" cm="1">
        <f t="array" ref="D189">IF(ISNUMBER($A189),IF(A189=A188,INDEX(BackgroundCalcs!$AW$2:$AW$500,'Grading Formulas'!$A189),"C"&amp;A189+9),"")</f>
        <v/>
      </c>
      <c r="E189" s="3" t="str" cm="1">
        <f t="array" ref="E189">IF(ISNUMBER($A189),IF(A189=A188,"Reference2(False,True,"&amp;INDEX(BackgroundCalcs!$AX$2:$AX$500,'Grading Formulas'!$A189)&amp;")","MOEValue(.0001)"),"")</f>
        <v/>
      </c>
      <c r="F189" s="3" t="str">
        <f t="shared" si="16"/>
        <v/>
      </c>
      <c r="G189" s="3" t="str">
        <f t="shared" si="17"/>
        <v/>
      </c>
      <c r="H189" s="3" t="str">
        <f t="shared" si="18"/>
        <v/>
      </c>
    </row>
    <row r="190" spans="1:8">
      <c r="A190" s="4" t="str">
        <f t="shared" si="14"/>
        <v/>
      </c>
      <c r="B190" s="4" t="str">
        <f t="shared" si="15"/>
        <v/>
      </c>
      <c r="C190" s="19" t="str" cm="1">
        <f t="array" ref="C190">IF(ISNUMBER(A190),IF(A190=A189,INDEX(BackgroundCalcs!$AV$2:$AV$500,'Grading Formulas'!$A190),"Question Results"),"")</f>
        <v/>
      </c>
      <c r="D190" s="6" t="str" cm="1">
        <f t="array" ref="D190">IF(ISNUMBER($A190),IF(A190=A189,INDEX(BackgroundCalcs!$AW$2:$AW$500,'Grading Formulas'!$A190),"C"&amp;A190+9),"")</f>
        <v/>
      </c>
      <c r="E190" s="3" t="str" cm="1">
        <f t="array" ref="E190">IF(ISNUMBER($A190),IF(A190=A189,"Reference2(False,True,"&amp;INDEX(BackgroundCalcs!$AX$2:$AX$500,'Grading Formulas'!$A190)&amp;")","MOEValue(.0001)"),"")</f>
        <v/>
      </c>
      <c r="F190" s="3" t="str">
        <f t="shared" si="16"/>
        <v/>
      </c>
      <c r="G190" s="3" t="str">
        <f t="shared" si="17"/>
        <v/>
      </c>
      <c r="H190" s="3" t="str">
        <f t="shared" si="18"/>
        <v/>
      </c>
    </row>
    <row r="191" spans="1:8">
      <c r="A191" s="4" t="str">
        <f t="shared" si="14"/>
        <v/>
      </c>
      <c r="B191" s="4" t="str">
        <f t="shared" si="15"/>
        <v/>
      </c>
      <c r="C191" s="19" t="str" cm="1">
        <f t="array" ref="C191">IF(ISNUMBER(A191),IF(A191=A190,INDEX(BackgroundCalcs!$AV$2:$AV$500,'Grading Formulas'!$A191),"Question Results"),"")</f>
        <v/>
      </c>
      <c r="D191" s="6" t="str" cm="1">
        <f t="array" ref="D191">IF(ISNUMBER($A191),IF(A191=A190,INDEX(BackgroundCalcs!$AW$2:$AW$500,'Grading Formulas'!$A191),"C"&amp;A191+9),"")</f>
        <v/>
      </c>
      <c r="E191" s="3" t="str" cm="1">
        <f t="array" ref="E191">IF(ISNUMBER($A191),IF(A191=A190,"Reference2(False,True,"&amp;INDEX(BackgroundCalcs!$AX$2:$AX$500,'Grading Formulas'!$A191)&amp;")","MOEValue(.0001)"),"")</f>
        <v/>
      </c>
      <c r="F191" s="3" t="str">
        <f t="shared" si="16"/>
        <v/>
      </c>
      <c r="G191" s="3" t="str">
        <f t="shared" si="17"/>
        <v/>
      </c>
      <c r="H191" s="3" t="str">
        <f t="shared" si="18"/>
        <v/>
      </c>
    </row>
    <row r="192" spans="1:8">
      <c r="A192" s="4" t="str">
        <f t="shared" si="14"/>
        <v/>
      </c>
      <c r="B192" s="4" t="str">
        <f t="shared" si="15"/>
        <v/>
      </c>
      <c r="C192" s="19" t="str" cm="1">
        <f t="array" ref="C192">IF(ISNUMBER(A192),IF(A192=A191,INDEX(BackgroundCalcs!$AV$2:$AV$500,'Grading Formulas'!$A192),"Question Results"),"")</f>
        <v/>
      </c>
      <c r="D192" s="6" t="str" cm="1">
        <f t="array" ref="D192">IF(ISNUMBER($A192),IF(A192=A191,INDEX(BackgroundCalcs!$AW$2:$AW$500,'Grading Formulas'!$A192),"C"&amp;A192+9),"")</f>
        <v/>
      </c>
      <c r="E192" s="3" t="str" cm="1">
        <f t="array" ref="E192">IF(ISNUMBER($A192),IF(A192=A191,"Reference2(False,True,"&amp;INDEX(BackgroundCalcs!$AX$2:$AX$500,'Grading Formulas'!$A192)&amp;")","MOEValue(.0001)"),"")</f>
        <v/>
      </c>
      <c r="F192" s="3" t="str">
        <f t="shared" si="16"/>
        <v/>
      </c>
      <c r="G192" s="3" t="str">
        <f t="shared" si="17"/>
        <v/>
      </c>
      <c r="H192" s="3" t="str">
        <f t="shared" si="18"/>
        <v/>
      </c>
    </row>
    <row r="193" spans="1:8">
      <c r="A193" s="4" t="str">
        <f t="shared" si="14"/>
        <v/>
      </c>
      <c r="B193" s="4" t="str">
        <f t="shared" si="15"/>
        <v/>
      </c>
      <c r="C193" s="19" t="str" cm="1">
        <f t="array" ref="C193">IF(ISNUMBER(A193),IF(A193=A192,INDEX(BackgroundCalcs!$AV$2:$AV$500,'Grading Formulas'!$A193),"Question Results"),"")</f>
        <v/>
      </c>
      <c r="D193" s="6" t="str" cm="1">
        <f t="array" ref="D193">IF(ISNUMBER($A193),IF(A193=A192,INDEX(BackgroundCalcs!$AW$2:$AW$500,'Grading Formulas'!$A193),"C"&amp;A193+9),"")</f>
        <v/>
      </c>
      <c r="E193" s="3" t="str" cm="1">
        <f t="array" ref="E193">IF(ISNUMBER($A193),IF(A193=A192,"Reference2(False,True,"&amp;INDEX(BackgroundCalcs!$AX$2:$AX$500,'Grading Formulas'!$A193)&amp;")","MOEValue(.0001)"),"")</f>
        <v/>
      </c>
      <c r="F193" s="3" t="str">
        <f t="shared" si="16"/>
        <v/>
      </c>
      <c r="G193" s="3" t="str">
        <f t="shared" si="17"/>
        <v/>
      </c>
      <c r="H193" s="3" t="str">
        <f t="shared" si="18"/>
        <v/>
      </c>
    </row>
    <row r="194" spans="1:8">
      <c r="A194" s="4" t="str">
        <f t="shared" si="14"/>
        <v/>
      </c>
      <c r="B194" s="4" t="str">
        <f t="shared" si="15"/>
        <v/>
      </c>
      <c r="C194" s="19" t="str" cm="1">
        <f t="array" ref="C194">IF(ISNUMBER(A194),IF(A194=A193,INDEX(BackgroundCalcs!$AV$2:$AV$500,'Grading Formulas'!$A194),"Question Results"),"")</f>
        <v/>
      </c>
      <c r="D194" s="6" t="str" cm="1">
        <f t="array" ref="D194">IF(ISNUMBER($A194),IF(A194=A193,INDEX(BackgroundCalcs!$AW$2:$AW$500,'Grading Formulas'!$A194),"C"&amp;A194+9),"")</f>
        <v/>
      </c>
      <c r="E194" s="3" t="str" cm="1">
        <f t="array" ref="E194">IF(ISNUMBER($A194),IF(A194=A193,"Reference2(False,True,"&amp;INDEX(BackgroundCalcs!$AX$2:$AX$500,'Grading Formulas'!$A194)&amp;")","MOEValue(.0001)"),"")</f>
        <v/>
      </c>
      <c r="F194" s="3" t="str">
        <f t="shared" si="16"/>
        <v/>
      </c>
      <c r="G194" s="3" t="str">
        <f t="shared" si="17"/>
        <v/>
      </c>
      <c r="H194" s="3" t="str">
        <f t="shared" si="18"/>
        <v/>
      </c>
    </row>
    <row r="195" spans="1:8">
      <c r="A195" s="4" t="str">
        <f t="shared" si="14"/>
        <v/>
      </c>
      <c r="B195" s="4" t="str">
        <f t="shared" si="15"/>
        <v/>
      </c>
      <c r="C195" s="19" t="str" cm="1">
        <f t="array" ref="C195">IF(ISNUMBER(A195),IF(A195=A194,INDEX(BackgroundCalcs!$AV$2:$AV$500,'Grading Formulas'!$A195),"Question Results"),"")</f>
        <v/>
      </c>
      <c r="D195" s="6" t="str" cm="1">
        <f t="array" ref="D195">IF(ISNUMBER($A195),IF(A195=A194,INDEX(BackgroundCalcs!$AW$2:$AW$500,'Grading Formulas'!$A195),"C"&amp;A195+9),"")</f>
        <v/>
      </c>
      <c r="E195" s="3" t="str" cm="1">
        <f t="array" ref="E195">IF(ISNUMBER($A195),IF(A195=A194,"Reference2(False,True,"&amp;INDEX(BackgroundCalcs!$AX$2:$AX$500,'Grading Formulas'!$A195)&amp;")","MOEValue(.0001)"),"")</f>
        <v/>
      </c>
      <c r="F195" s="3" t="str">
        <f t="shared" si="16"/>
        <v/>
      </c>
      <c r="G195" s="3" t="str">
        <f t="shared" si="17"/>
        <v/>
      </c>
      <c r="H195" s="3" t="str">
        <f t="shared" si="18"/>
        <v/>
      </c>
    </row>
    <row r="196" spans="1:8">
      <c r="A196" s="4" t="str">
        <f t="shared" ref="A196:A259" si="19">IF(A194&lt;NumAnswers,A194+1,"")</f>
        <v/>
      </c>
      <c r="B196" s="4" t="str">
        <f t="shared" si="15"/>
        <v/>
      </c>
      <c r="C196" s="19" t="str" cm="1">
        <f t="array" ref="C196">IF(ISNUMBER(A196),IF(A196=A195,INDEX(BackgroundCalcs!$AV$2:$AV$500,'Grading Formulas'!$A196),"Question Results"),"")</f>
        <v/>
      </c>
      <c r="D196" s="6" t="str" cm="1">
        <f t="array" ref="D196">IF(ISNUMBER($A196),IF(A196=A195,INDEX(BackgroundCalcs!$AW$2:$AW$500,'Grading Formulas'!$A196),"C"&amp;A196+9),"")</f>
        <v/>
      </c>
      <c r="E196" s="3" t="str" cm="1">
        <f t="array" ref="E196">IF(ISNUMBER($A196),IF(A196=A195,"Reference2(False,True,"&amp;INDEX(BackgroundCalcs!$AX$2:$AX$500,'Grading Formulas'!$A196)&amp;")","MOEValue(.0001)"),"")</f>
        <v/>
      </c>
      <c r="F196" s="3" t="str">
        <f t="shared" si="16"/>
        <v/>
      </c>
      <c r="G196" s="3" t="str">
        <f t="shared" si="17"/>
        <v/>
      </c>
      <c r="H196" s="3" t="str">
        <f t="shared" si="18"/>
        <v/>
      </c>
    </row>
    <row r="197" spans="1:8">
      <c r="A197" s="4" t="str">
        <f t="shared" si="19"/>
        <v/>
      </c>
      <c r="B197" s="4" t="str">
        <f t="shared" si="15"/>
        <v/>
      </c>
      <c r="C197" s="19" t="str" cm="1">
        <f t="array" ref="C197">IF(ISNUMBER(A197),IF(A197=A196,INDEX(BackgroundCalcs!$AV$2:$AV$500,'Grading Formulas'!$A197),"Question Results"),"")</f>
        <v/>
      </c>
      <c r="D197" s="6" t="str" cm="1">
        <f t="array" ref="D197">IF(ISNUMBER($A197),IF(A197=A196,INDEX(BackgroundCalcs!$AW$2:$AW$500,'Grading Formulas'!$A197),"C"&amp;A197+9),"")</f>
        <v/>
      </c>
      <c r="E197" s="3" t="str" cm="1">
        <f t="array" ref="E197">IF(ISNUMBER($A197),IF(A197=A196,"Reference2(False,True,"&amp;INDEX(BackgroundCalcs!$AX$2:$AX$500,'Grading Formulas'!$A197)&amp;")","MOEValue(.0001)"),"")</f>
        <v/>
      </c>
      <c r="F197" s="3" t="str">
        <f t="shared" si="16"/>
        <v/>
      </c>
      <c r="G197" s="3" t="str">
        <f t="shared" si="17"/>
        <v/>
      </c>
      <c r="H197" s="3" t="str">
        <f t="shared" si="18"/>
        <v/>
      </c>
    </row>
    <row r="198" spans="1:8">
      <c r="A198" s="4" t="str">
        <f t="shared" si="19"/>
        <v/>
      </c>
      <c r="B198" s="4" t="str">
        <f t="shared" si="15"/>
        <v/>
      </c>
      <c r="C198" s="19" t="str" cm="1">
        <f t="array" ref="C198">IF(ISNUMBER(A198),IF(A198=A197,INDEX(BackgroundCalcs!$AV$2:$AV$500,'Grading Formulas'!$A198),"Question Results"),"")</f>
        <v/>
      </c>
      <c r="D198" s="6" t="str" cm="1">
        <f t="array" ref="D198">IF(ISNUMBER($A198),IF(A198=A197,INDEX(BackgroundCalcs!$AW$2:$AW$500,'Grading Formulas'!$A198),"C"&amp;A198+9),"")</f>
        <v/>
      </c>
      <c r="E198" s="3" t="str" cm="1">
        <f t="array" ref="E198">IF(ISNUMBER($A198),IF(A198=A197,"Reference2(False,True,"&amp;INDEX(BackgroundCalcs!$AX$2:$AX$500,'Grading Formulas'!$A198)&amp;")","MOEValue(.0001)"),"")</f>
        <v/>
      </c>
      <c r="F198" s="3" t="str">
        <f t="shared" si="16"/>
        <v/>
      </c>
      <c r="G198" s="3" t="str">
        <f t="shared" si="17"/>
        <v/>
      </c>
      <c r="H198" s="3" t="str">
        <f t="shared" si="18"/>
        <v/>
      </c>
    </row>
    <row r="199" spans="1:8">
      <c r="A199" s="4" t="str">
        <f t="shared" si="19"/>
        <v/>
      </c>
      <c r="B199" s="4" t="str">
        <f t="shared" si="15"/>
        <v/>
      </c>
      <c r="C199" s="19" t="str" cm="1">
        <f t="array" ref="C199">IF(ISNUMBER(A199),IF(A199=A198,INDEX(BackgroundCalcs!$AV$2:$AV$500,'Grading Formulas'!$A199),"Question Results"),"")</f>
        <v/>
      </c>
      <c r="D199" s="6" t="str" cm="1">
        <f t="array" ref="D199">IF(ISNUMBER($A199),IF(A199=A198,INDEX(BackgroundCalcs!$AW$2:$AW$500,'Grading Formulas'!$A199),"C"&amp;A199+9),"")</f>
        <v/>
      </c>
      <c r="E199" s="3" t="str" cm="1">
        <f t="array" ref="E199">IF(ISNUMBER($A199),IF(A199=A198,"Reference2(False,True,"&amp;INDEX(BackgroundCalcs!$AX$2:$AX$500,'Grading Formulas'!$A199)&amp;")","MOEValue(.0001)"),"")</f>
        <v/>
      </c>
      <c r="F199" s="3" t="str">
        <f t="shared" si="16"/>
        <v/>
      </c>
      <c r="G199" s="3" t="str">
        <f t="shared" si="17"/>
        <v/>
      </c>
      <c r="H199" s="3" t="str">
        <f t="shared" si="18"/>
        <v/>
      </c>
    </row>
    <row r="200" spans="1:8">
      <c r="A200" s="4" t="str">
        <f t="shared" si="19"/>
        <v/>
      </c>
      <c r="B200" s="4" t="str">
        <f t="shared" si="15"/>
        <v/>
      </c>
      <c r="C200" s="19" t="str" cm="1">
        <f t="array" ref="C200">IF(ISNUMBER(A200),IF(A200=A199,INDEX(BackgroundCalcs!$AV$2:$AV$500,'Grading Formulas'!$A200),"Question Results"),"")</f>
        <v/>
      </c>
      <c r="D200" s="6" t="str" cm="1">
        <f t="array" ref="D200">IF(ISNUMBER($A200),IF(A200=A199,INDEX(BackgroundCalcs!$AW$2:$AW$500,'Grading Formulas'!$A200),"C"&amp;A200+9),"")</f>
        <v/>
      </c>
      <c r="E200" s="3" t="str" cm="1">
        <f t="array" ref="E200">IF(ISNUMBER($A200),IF(A200=A199,"Reference2(False,True,"&amp;INDEX(BackgroundCalcs!$AX$2:$AX$500,'Grading Formulas'!$A200)&amp;")","MOEValue(.0001)"),"")</f>
        <v/>
      </c>
      <c r="F200" s="3" t="str">
        <f t="shared" si="16"/>
        <v/>
      </c>
      <c r="G200" s="3" t="str">
        <f t="shared" si="17"/>
        <v/>
      </c>
      <c r="H200" s="3" t="str">
        <f t="shared" si="18"/>
        <v/>
      </c>
    </row>
    <row r="201" spans="1:8">
      <c r="A201" s="4" t="str">
        <f t="shared" si="19"/>
        <v/>
      </c>
      <c r="B201" s="4" t="str">
        <f t="shared" si="15"/>
        <v/>
      </c>
      <c r="C201" s="19" t="str" cm="1">
        <f t="array" ref="C201">IF(ISNUMBER(A201),IF(A201=A200,INDEX(BackgroundCalcs!$AV$2:$AV$500,'Grading Formulas'!$A201),"Question Results"),"")</f>
        <v/>
      </c>
      <c r="D201" s="6" t="str" cm="1">
        <f t="array" ref="D201">IF(ISNUMBER($A201),IF(A201=A200,INDEX(BackgroundCalcs!$AW$2:$AW$500,'Grading Formulas'!$A201),"C"&amp;A201+9),"")</f>
        <v/>
      </c>
      <c r="E201" s="3" t="str" cm="1">
        <f t="array" ref="E201">IF(ISNUMBER($A201),IF(A201=A200,"Reference2(False,True,"&amp;INDEX(BackgroundCalcs!$AX$2:$AX$500,'Grading Formulas'!$A201)&amp;")","MOEValue(.0001)"),"")</f>
        <v/>
      </c>
      <c r="F201" s="3" t="str">
        <f t="shared" si="16"/>
        <v/>
      </c>
      <c r="G201" s="3" t="str">
        <f t="shared" si="17"/>
        <v/>
      </c>
      <c r="H201" s="3" t="str">
        <f t="shared" si="18"/>
        <v/>
      </c>
    </row>
    <row r="202" spans="1:8">
      <c r="A202" s="4" t="str">
        <f t="shared" si="19"/>
        <v/>
      </c>
      <c r="B202" s="4" t="str">
        <f t="shared" si="15"/>
        <v/>
      </c>
      <c r="C202" s="19" t="str" cm="1">
        <f t="array" ref="C202">IF(ISNUMBER(A202),IF(A202=A201,INDEX(BackgroundCalcs!$AV$2:$AV$500,'Grading Formulas'!$A202),"Question Results"),"")</f>
        <v/>
      </c>
      <c r="D202" s="6" t="str" cm="1">
        <f t="array" ref="D202">IF(ISNUMBER($A202),IF(A202=A201,INDEX(BackgroundCalcs!$AW$2:$AW$500,'Grading Formulas'!$A202),"C"&amp;A202+9),"")</f>
        <v/>
      </c>
      <c r="E202" s="3" t="str" cm="1">
        <f t="array" ref="E202">IF(ISNUMBER($A202),IF(A202=A201,"Reference2(False,True,"&amp;INDEX(BackgroundCalcs!$AX$2:$AX$500,'Grading Formulas'!$A202)&amp;")","MOEValue(.0001)"),"")</f>
        <v/>
      </c>
      <c r="F202" s="3" t="str">
        <f t="shared" si="16"/>
        <v/>
      </c>
      <c r="G202" s="3" t="str">
        <f t="shared" si="17"/>
        <v/>
      </c>
      <c r="H202" s="3" t="str">
        <f t="shared" si="18"/>
        <v/>
      </c>
    </row>
    <row r="203" spans="1:8">
      <c r="A203" s="4" t="str">
        <f t="shared" si="19"/>
        <v/>
      </c>
      <c r="B203" s="4" t="str">
        <f t="shared" si="15"/>
        <v/>
      </c>
      <c r="C203" s="19" t="str" cm="1">
        <f t="array" ref="C203">IF(ISNUMBER(A203),IF(A203=A202,INDEX(BackgroundCalcs!$AV$2:$AV$500,'Grading Formulas'!$A203),"Question Results"),"")</f>
        <v/>
      </c>
      <c r="D203" s="6" t="str" cm="1">
        <f t="array" ref="D203">IF(ISNUMBER($A203),IF(A203=A202,INDEX(BackgroundCalcs!$AW$2:$AW$500,'Grading Formulas'!$A203),"C"&amp;A203+9),"")</f>
        <v/>
      </c>
      <c r="E203" s="3" t="str" cm="1">
        <f t="array" ref="E203">IF(ISNUMBER($A203),IF(A203=A202,"Reference2(False,True,"&amp;INDEX(BackgroundCalcs!$AX$2:$AX$500,'Grading Formulas'!$A203)&amp;")","MOEValue(.0001)"),"")</f>
        <v/>
      </c>
      <c r="F203" s="3" t="str">
        <f t="shared" si="16"/>
        <v/>
      </c>
      <c r="G203" s="3" t="str">
        <f t="shared" si="17"/>
        <v/>
      </c>
      <c r="H203" s="3" t="str">
        <f t="shared" si="18"/>
        <v/>
      </c>
    </row>
    <row r="204" spans="1:8">
      <c r="A204" s="4" t="str">
        <f t="shared" si="19"/>
        <v/>
      </c>
      <c r="B204" s="4" t="str">
        <f t="shared" si="15"/>
        <v/>
      </c>
      <c r="C204" s="19" t="str" cm="1">
        <f t="array" ref="C204">IF(ISNUMBER(A204),IF(A204=A203,INDEX(BackgroundCalcs!$AV$2:$AV$500,'Grading Formulas'!$A204),"Question Results"),"")</f>
        <v/>
      </c>
      <c r="D204" s="6" t="str" cm="1">
        <f t="array" ref="D204">IF(ISNUMBER($A204),IF(A204=A203,INDEX(BackgroundCalcs!$AW$2:$AW$500,'Grading Formulas'!$A204),"C"&amp;A204+9),"")</f>
        <v/>
      </c>
      <c r="E204" s="3" t="str" cm="1">
        <f t="array" ref="E204">IF(ISNUMBER($A204),IF(A204=A203,"Reference2(False,True,"&amp;INDEX(BackgroundCalcs!$AX$2:$AX$500,'Grading Formulas'!$A204)&amp;")","MOEValue(.0001)"),"")</f>
        <v/>
      </c>
      <c r="F204" s="3" t="str">
        <f t="shared" si="16"/>
        <v/>
      </c>
      <c r="G204" s="3" t="str">
        <f t="shared" si="17"/>
        <v/>
      </c>
      <c r="H204" s="3" t="str">
        <f t="shared" si="18"/>
        <v/>
      </c>
    </row>
    <row r="205" spans="1:8">
      <c r="A205" s="4" t="str">
        <f t="shared" si="19"/>
        <v/>
      </c>
      <c r="B205" s="4" t="str">
        <f t="shared" si="15"/>
        <v/>
      </c>
      <c r="C205" s="19" t="str" cm="1">
        <f t="array" ref="C205">IF(ISNUMBER(A205),IF(A205=A204,INDEX(BackgroundCalcs!$AV$2:$AV$500,'Grading Formulas'!$A205),"Question Results"),"")</f>
        <v/>
      </c>
      <c r="D205" s="6" t="str" cm="1">
        <f t="array" ref="D205">IF(ISNUMBER($A205),IF(A205=A204,INDEX(BackgroundCalcs!$AW$2:$AW$500,'Grading Formulas'!$A205),"C"&amp;A205+9),"")</f>
        <v/>
      </c>
      <c r="E205" s="3" t="str" cm="1">
        <f t="array" ref="E205">IF(ISNUMBER($A205),IF(A205=A204,"Reference2(False,True,"&amp;INDEX(BackgroundCalcs!$AX$2:$AX$500,'Grading Formulas'!$A205)&amp;")","MOEValue(.0001)"),"")</f>
        <v/>
      </c>
      <c r="F205" s="3" t="str">
        <f t="shared" si="16"/>
        <v/>
      </c>
      <c r="G205" s="3" t="str">
        <f t="shared" si="17"/>
        <v/>
      </c>
      <c r="H205" s="3" t="str">
        <f t="shared" si="18"/>
        <v/>
      </c>
    </row>
    <row r="206" spans="1:8">
      <c r="A206" s="4" t="str">
        <f t="shared" si="19"/>
        <v/>
      </c>
      <c r="B206" s="4" t="str">
        <f t="shared" si="15"/>
        <v/>
      </c>
      <c r="C206" s="19" t="str" cm="1">
        <f t="array" ref="C206">IF(ISNUMBER(A206),IF(A206=A205,INDEX(BackgroundCalcs!$AV$2:$AV$500,'Grading Formulas'!$A206),"Question Results"),"")</f>
        <v/>
      </c>
      <c r="D206" s="6" t="str" cm="1">
        <f t="array" ref="D206">IF(ISNUMBER($A206),IF(A206=A205,INDEX(BackgroundCalcs!$AW$2:$AW$500,'Grading Formulas'!$A206),"C"&amp;A206+9),"")</f>
        <v/>
      </c>
      <c r="E206" s="3" t="str" cm="1">
        <f t="array" ref="E206">IF(ISNUMBER($A206),IF(A206=A205,"Reference2(False,True,"&amp;INDEX(BackgroundCalcs!$AX$2:$AX$500,'Grading Formulas'!$A206)&amp;")","MOEValue(.0001)"),"")</f>
        <v/>
      </c>
      <c r="F206" s="3" t="str">
        <f t="shared" si="16"/>
        <v/>
      </c>
      <c r="G206" s="3" t="str">
        <f t="shared" si="17"/>
        <v/>
      </c>
      <c r="H206" s="3" t="str">
        <f t="shared" si="18"/>
        <v/>
      </c>
    </row>
    <row r="207" spans="1:8">
      <c r="A207" s="4" t="str">
        <f t="shared" si="19"/>
        <v/>
      </c>
      <c r="B207" s="4" t="str">
        <f t="shared" si="15"/>
        <v/>
      </c>
      <c r="C207" s="19" t="str" cm="1">
        <f t="array" ref="C207">IF(ISNUMBER(A207),IF(A207=A206,INDEX(BackgroundCalcs!$AV$2:$AV$500,'Grading Formulas'!$A207),"Question Results"),"")</f>
        <v/>
      </c>
      <c r="D207" s="6" t="str" cm="1">
        <f t="array" ref="D207">IF(ISNUMBER($A207),IF(A207=A206,INDEX(BackgroundCalcs!$AW$2:$AW$500,'Grading Formulas'!$A207),"C"&amp;A207+9),"")</f>
        <v/>
      </c>
      <c r="E207" s="3" t="str" cm="1">
        <f t="array" ref="E207">IF(ISNUMBER($A207),IF(A207=A206,"Reference2(False,True,"&amp;INDEX(BackgroundCalcs!$AX$2:$AX$500,'Grading Formulas'!$A207)&amp;")","MOEValue(.0001)"),"")</f>
        <v/>
      </c>
      <c r="F207" s="3" t="str">
        <f t="shared" si="16"/>
        <v/>
      </c>
      <c r="G207" s="3" t="str">
        <f t="shared" si="17"/>
        <v/>
      </c>
      <c r="H207" s="3" t="str">
        <f t="shared" si="18"/>
        <v/>
      </c>
    </row>
    <row r="208" spans="1:8">
      <c r="A208" s="4" t="str">
        <f t="shared" si="19"/>
        <v/>
      </c>
      <c r="B208" s="4" t="str">
        <f t="shared" si="15"/>
        <v/>
      </c>
      <c r="C208" s="19" t="str" cm="1">
        <f t="array" ref="C208">IF(ISNUMBER(A208),IF(A208=A207,INDEX(BackgroundCalcs!$AV$2:$AV$500,'Grading Formulas'!$A208),"Question Results"),"")</f>
        <v/>
      </c>
      <c r="D208" s="6" t="str" cm="1">
        <f t="array" ref="D208">IF(ISNUMBER($A208),IF(A208=A207,INDEX(BackgroundCalcs!$AW$2:$AW$500,'Grading Formulas'!$A208),"C"&amp;A208+9),"")</f>
        <v/>
      </c>
      <c r="E208" s="3" t="str" cm="1">
        <f t="array" ref="E208">IF(ISNUMBER($A208),IF(A208=A207,"Reference2(False,True,"&amp;INDEX(BackgroundCalcs!$AX$2:$AX$500,'Grading Formulas'!$A208)&amp;")","MOEValue(.0001)"),"")</f>
        <v/>
      </c>
      <c r="F208" s="3" t="str">
        <f t="shared" si="16"/>
        <v/>
      </c>
      <c r="G208" s="3" t="str">
        <f t="shared" si="17"/>
        <v/>
      </c>
      <c r="H208" s="3" t="str">
        <f t="shared" si="18"/>
        <v/>
      </c>
    </row>
    <row r="209" spans="1:8">
      <c r="A209" s="4" t="str">
        <f t="shared" si="19"/>
        <v/>
      </c>
      <c r="B209" s="4" t="str">
        <f t="shared" si="15"/>
        <v/>
      </c>
      <c r="C209" s="19" t="str" cm="1">
        <f t="array" ref="C209">IF(ISNUMBER(A209),IF(A209=A208,INDEX(BackgroundCalcs!$AV$2:$AV$500,'Grading Formulas'!$A209),"Question Results"),"")</f>
        <v/>
      </c>
      <c r="D209" s="6" t="str" cm="1">
        <f t="array" ref="D209">IF(ISNUMBER($A209),IF(A209=A208,INDEX(BackgroundCalcs!$AW$2:$AW$500,'Grading Formulas'!$A209),"C"&amp;A209+9),"")</f>
        <v/>
      </c>
      <c r="E209" s="3" t="str" cm="1">
        <f t="array" ref="E209">IF(ISNUMBER($A209),IF(A209=A208,"Reference2(False,True,"&amp;INDEX(BackgroundCalcs!$AX$2:$AX$500,'Grading Formulas'!$A209)&amp;")","MOEValue(.0001)"),"")</f>
        <v/>
      </c>
      <c r="F209" s="3" t="str">
        <f t="shared" si="16"/>
        <v/>
      </c>
      <c r="G209" s="3" t="str">
        <f t="shared" si="17"/>
        <v/>
      </c>
      <c r="H209" s="3" t="str">
        <f t="shared" si="18"/>
        <v/>
      </c>
    </row>
    <row r="210" spans="1:8">
      <c r="A210" s="4" t="str">
        <f t="shared" si="19"/>
        <v/>
      </c>
      <c r="B210" s="4" t="str">
        <f t="shared" si="15"/>
        <v/>
      </c>
      <c r="C210" s="19" t="str" cm="1">
        <f t="array" ref="C210">IF(ISNUMBER(A210),IF(A210=A209,INDEX(BackgroundCalcs!$AV$2:$AV$500,'Grading Formulas'!$A210),"Question Results"),"")</f>
        <v/>
      </c>
      <c r="D210" s="6" t="str" cm="1">
        <f t="array" ref="D210">IF(ISNUMBER($A210),IF(A210=A209,INDEX(BackgroundCalcs!$AW$2:$AW$500,'Grading Formulas'!$A210),"C"&amp;A210+9),"")</f>
        <v/>
      </c>
      <c r="E210" s="3" t="str" cm="1">
        <f t="array" ref="E210">IF(ISNUMBER($A210),IF(A210=A209,"Reference2(False,True,"&amp;INDEX(BackgroundCalcs!$AX$2:$AX$500,'Grading Formulas'!$A210)&amp;")","MOEValue(.0001)"),"")</f>
        <v/>
      </c>
      <c r="F210" s="3" t="str">
        <f t="shared" si="16"/>
        <v/>
      </c>
      <c r="G210" s="3" t="str">
        <f t="shared" si="17"/>
        <v/>
      </c>
      <c r="H210" s="3" t="str">
        <f t="shared" si="18"/>
        <v/>
      </c>
    </row>
    <row r="211" spans="1:8">
      <c r="A211" s="4" t="str">
        <f t="shared" si="19"/>
        <v/>
      </c>
      <c r="B211" s="4" t="str">
        <f t="shared" si="15"/>
        <v/>
      </c>
      <c r="C211" s="19" t="str" cm="1">
        <f t="array" ref="C211">IF(ISNUMBER(A211),IF(A211=A210,INDEX(BackgroundCalcs!$AV$2:$AV$500,'Grading Formulas'!$A211),"Question Results"),"")</f>
        <v/>
      </c>
      <c r="D211" s="6" t="str" cm="1">
        <f t="array" ref="D211">IF(ISNUMBER($A211),IF(A211=A210,INDEX(BackgroundCalcs!$AW$2:$AW$500,'Grading Formulas'!$A211),"C"&amp;A211+9),"")</f>
        <v/>
      </c>
      <c r="E211" s="3" t="str" cm="1">
        <f t="array" ref="E211">IF(ISNUMBER($A211),IF(A211=A210,"Reference2(False,True,"&amp;INDEX(BackgroundCalcs!$AX$2:$AX$500,'Grading Formulas'!$A211)&amp;")","MOEValue(.0001)"),"")</f>
        <v/>
      </c>
      <c r="F211" s="3" t="str">
        <f t="shared" si="16"/>
        <v/>
      </c>
      <c r="G211" s="3" t="str">
        <f t="shared" si="17"/>
        <v/>
      </c>
      <c r="H211" s="3" t="str">
        <f t="shared" si="18"/>
        <v/>
      </c>
    </row>
    <row r="212" spans="1:8">
      <c r="A212" s="4" t="str">
        <f t="shared" si="19"/>
        <v/>
      </c>
      <c r="B212" s="4" t="str">
        <f t="shared" si="15"/>
        <v/>
      </c>
      <c r="C212" s="19" t="str" cm="1">
        <f t="array" ref="C212">IF(ISNUMBER(A212),IF(A212=A211,INDEX(BackgroundCalcs!$AV$2:$AV$500,'Grading Formulas'!$A212),"Question Results"),"")</f>
        <v/>
      </c>
      <c r="D212" s="6" t="str" cm="1">
        <f t="array" ref="D212">IF(ISNUMBER($A212),IF(A212=A211,INDEX(BackgroundCalcs!$AW$2:$AW$500,'Grading Formulas'!$A212),"C"&amp;A212+9),"")</f>
        <v/>
      </c>
      <c r="E212" s="3" t="str" cm="1">
        <f t="array" ref="E212">IF(ISNUMBER($A212),IF(A212=A211,"Reference2(False,True,"&amp;INDEX(BackgroundCalcs!$AX$2:$AX$500,'Grading Formulas'!$A212)&amp;")","MOEValue(.0001)"),"")</f>
        <v/>
      </c>
      <c r="F212" s="3" t="str">
        <f t="shared" si="16"/>
        <v/>
      </c>
      <c r="G212" s="3" t="str">
        <f t="shared" si="17"/>
        <v/>
      </c>
      <c r="H212" s="3" t="str">
        <f t="shared" si="18"/>
        <v/>
      </c>
    </row>
    <row r="213" spans="1:8">
      <c r="A213" s="4" t="str">
        <f t="shared" si="19"/>
        <v/>
      </c>
      <c r="B213" s="4" t="str">
        <f t="shared" si="15"/>
        <v/>
      </c>
      <c r="C213" s="19" t="str" cm="1">
        <f t="array" ref="C213">IF(ISNUMBER(A213),IF(A213=A212,INDEX(BackgroundCalcs!$AV$2:$AV$500,'Grading Formulas'!$A213),"Question Results"),"")</f>
        <v/>
      </c>
      <c r="D213" s="6" t="str" cm="1">
        <f t="array" ref="D213">IF(ISNUMBER($A213),IF(A213=A212,INDEX(BackgroundCalcs!$AW$2:$AW$500,'Grading Formulas'!$A213),"C"&amp;A213+9),"")</f>
        <v/>
      </c>
      <c r="E213" s="3" t="str" cm="1">
        <f t="array" ref="E213">IF(ISNUMBER($A213),IF(A213=A212,"Reference2(False,True,"&amp;INDEX(BackgroundCalcs!$AX$2:$AX$500,'Grading Formulas'!$A213)&amp;")","MOEValue(.0001)"),"")</f>
        <v/>
      </c>
      <c r="F213" s="3" t="str">
        <f t="shared" si="16"/>
        <v/>
      </c>
      <c r="G213" s="3" t="str">
        <f t="shared" si="17"/>
        <v/>
      </c>
      <c r="H213" s="3" t="str">
        <f t="shared" si="18"/>
        <v/>
      </c>
    </row>
    <row r="214" spans="1:8">
      <c r="A214" s="4" t="str">
        <f t="shared" si="19"/>
        <v/>
      </c>
      <c r="B214" s="4" t="str">
        <f t="shared" si="15"/>
        <v/>
      </c>
      <c r="C214" s="19" t="str" cm="1">
        <f t="array" ref="C214">IF(ISNUMBER(A214),IF(A214=A213,INDEX(BackgroundCalcs!$AV$2:$AV$500,'Grading Formulas'!$A214),"Question Results"),"")</f>
        <v/>
      </c>
      <c r="D214" s="6" t="str" cm="1">
        <f t="array" ref="D214">IF(ISNUMBER($A214),IF(A214=A213,INDEX(BackgroundCalcs!$AW$2:$AW$500,'Grading Formulas'!$A214),"C"&amp;A214+9),"")</f>
        <v/>
      </c>
      <c r="E214" s="3" t="str" cm="1">
        <f t="array" ref="E214">IF(ISNUMBER($A214),IF(A214=A213,"Reference2(False,True,"&amp;INDEX(BackgroundCalcs!$AX$2:$AX$500,'Grading Formulas'!$A214)&amp;")","MOEValue(.0001)"),"")</f>
        <v/>
      </c>
      <c r="F214" s="3" t="str">
        <f t="shared" si="16"/>
        <v/>
      </c>
      <c r="G214" s="3" t="str">
        <f t="shared" si="17"/>
        <v/>
      </c>
      <c r="H214" s="3" t="str">
        <f t="shared" si="18"/>
        <v/>
      </c>
    </row>
    <row r="215" spans="1:8">
      <c r="A215" s="4" t="str">
        <f t="shared" si="19"/>
        <v/>
      </c>
      <c r="B215" s="4" t="str">
        <f t="shared" si="15"/>
        <v/>
      </c>
      <c r="C215" s="19" t="str" cm="1">
        <f t="array" ref="C215">IF(ISNUMBER(A215),IF(A215=A214,INDEX(BackgroundCalcs!$AV$2:$AV$500,'Grading Formulas'!$A215),"Question Results"),"")</f>
        <v/>
      </c>
      <c r="D215" s="6" t="str" cm="1">
        <f t="array" ref="D215">IF(ISNUMBER($A215),IF(A215=A214,INDEX(BackgroundCalcs!$AW$2:$AW$500,'Grading Formulas'!$A215),"C"&amp;A215+9),"")</f>
        <v/>
      </c>
      <c r="E215" s="3" t="str" cm="1">
        <f t="array" ref="E215">IF(ISNUMBER($A215),IF(A215=A214,"Reference2(False,True,"&amp;INDEX(BackgroundCalcs!$AX$2:$AX$500,'Grading Formulas'!$A215)&amp;")","MOEValue(.0001)"),"")</f>
        <v/>
      </c>
      <c r="F215" s="3" t="str">
        <f t="shared" si="16"/>
        <v/>
      </c>
      <c r="G215" s="3" t="str">
        <f t="shared" si="17"/>
        <v/>
      </c>
      <c r="H215" s="3" t="str">
        <f t="shared" si="18"/>
        <v/>
      </c>
    </row>
    <row r="216" spans="1:8">
      <c r="A216" s="4" t="str">
        <f t="shared" si="19"/>
        <v/>
      </c>
      <c r="B216" s="4" t="str">
        <f t="shared" si="15"/>
        <v/>
      </c>
      <c r="C216" s="19" t="str" cm="1">
        <f t="array" ref="C216">IF(ISNUMBER(A216),IF(A216=A215,INDEX(BackgroundCalcs!$AV$2:$AV$500,'Grading Formulas'!$A216),"Question Results"),"")</f>
        <v/>
      </c>
      <c r="D216" s="6" t="str" cm="1">
        <f t="array" ref="D216">IF(ISNUMBER($A216),IF(A216=A215,INDEX(BackgroundCalcs!$AW$2:$AW$500,'Grading Formulas'!$A216),"C"&amp;A216+9),"")</f>
        <v/>
      </c>
      <c r="E216" s="3" t="str" cm="1">
        <f t="array" ref="E216">IF(ISNUMBER($A216),IF(A216=A215,"Reference2(False,True,"&amp;INDEX(BackgroundCalcs!$AX$2:$AX$500,'Grading Formulas'!$A216)&amp;")","MOEValue(.0001)"),"")</f>
        <v/>
      </c>
      <c r="F216" s="3" t="str">
        <f t="shared" si="16"/>
        <v/>
      </c>
      <c r="G216" s="3" t="str">
        <f t="shared" si="17"/>
        <v/>
      </c>
      <c r="H216" s="3" t="str">
        <f t="shared" si="18"/>
        <v/>
      </c>
    </row>
    <row r="217" spans="1:8">
      <c r="A217" s="4" t="str">
        <f t="shared" si="19"/>
        <v/>
      </c>
      <c r="B217" s="4" t="str">
        <f t="shared" si="15"/>
        <v/>
      </c>
      <c r="C217" s="19" t="str" cm="1">
        <f t="array" ref="C217">IF(ISNUMBER(A217),IF(A217=A216,INDEX(BackgroundCalcs!$AV$2:$AV$500,'Grading Formulas'!$A217),"Question Results"),"")</f>
        <v/>
      </c>
      <c r="D217" s="6" t="str" cm="1">
        <f t="array" ref="D217">IF(ISNUMBER($A217),IF(A217=A216,INDEX(BackgroundCalcs!$AW$2:$AW$500,'Grading Formulas'!$A217),"C"&amp;A217+9),"")</f>
        <v/>
      </c>
      <c r="E217" s="3" t="str" cm="1">
        <f t="array" ref="E217">IF(ISNUMBER($A217),IF(A217=A216,"Reference2(False,True,"&amp;INDEX(BackgroundCalcs!$AX$2:$AX$500,'Grading Formulas'!$A217)&amp;")","MOEValue(.0001)"),"")</f>
        <v/>
      </c>
      <c r="F217" s="3" t="str">
        <f t="shared" si="16"/>
        <v/>
      </c>
      <c r="G217" s="3" t="str">
        <f t="shared" si="17"/>
        <v/>
      </c>
      <c r="H217" s="3" t="str">
        <f t="shared" si="18"/>
        <v/>
      </c>
    </row>
    <row r="218" spans="1:8">
      <c r="A218" s="4" t="str">
        <f t="shared" si="19"/>
        <v/>
      </c>
      <c r="B218" s="4" t="str">
        <f t="shared" si="15"/>
        <v/>
      </c>
      <c r="C218" s="19" t="str" cm="1">
        <f t="array" ref="C218">IF(ISNUMBER(A218),IF(A218=A217,INDEX(BackgroundCalcs!$AV$2:$AV$500,'Grading Formulas'!$A218),"Question Results"),"")</f>
        <v/>
      </c>
      <c r="D218" s="6" t="str" cm="1">
        <f t="array" ref="D218">IF(ISNUMBER($A218),IF(A218=A217,INDEX(BackgroundCalcs!$AW$2:$AW$500,'Grading Formulas'!$A218),"C"&amp;A218+9),"")</f>
        <v/>
      </c>
      <c r="E218" s="3" t="str" cm="1">
        <f t="array" ref="E218">IF(ISNUMBER($A218),IF(A218=A217,"Reference2(False,True,"&amp;INDEX(BackgroundCalcs!$AX$2:$AX$500,'Grading Formulas'!$A218)&amp;")","MOEValue(.0001)"),"")</f>
        <v/>
      </c>
      <c r="F218" s="3" t="str">
        <f t="shared" si="16"/>
        <v/>
      </c>
      <c r="G218" s="3" t="str">
        <f t="shared" si="17"/>
        <v/>
      </c>
      <c r="H218" s="3" t="str">
        <f t="shared" si="18"/>
        <v/>
      </c>
    </row>
    <row r="219" spans="1:8">
      <c r="A219" s="4" t="str">
        <f t="shared" si="19"/>
        <v/>
      </c>
      <c r="B219" s="4" t="str">
        <f t="shared" si="15"/>
        <v/>
      </c>
      <c r="C219" s="19" t="str" cm="1">
        <f t="array" ref="C219">IF(ISNUMBER(A219),IF(A219=A218,INDEX(BackgroundCalcs!$AV$2:$AV$500,'Grading Formulas'!$A219),"Question Results"),"")</f>
        <v/>
      </c>
      <c r="D219" s="6" t="str" cm="1">
        <f t="array" ref="D219">IF(ISNUMBER($A219),IF(A219=A218,INDEX(BackgroundCalcs!$AW$2:$AW$500,'Grading Formulas'!$A219),"C"&amp;A219+9),"")</f>
        <v/>
      </c>
      <c r="E219" s="3" t="str" cm="1">
        <f t="array" ref="E219">IF(ISNUMBER($A219),IF(A219=A218,"Reference2(False,True,"&amp;INDEX(BackgroundCalcs!$AX$2:$AX$500,'Grading Formulas'!$A219)&amp;")","MOEValue(.0001)"),"")</f>
        <v/>
      </c>
      <c r="F219" s="3" t="str">
        <f t="shared" si="16"/>
        <v/>
      </c>
      <c r="G219" s="3" t="str">
        <f t="shared" si="17"/>
        <v/>
      </c>
      <c r="H219" s="3" t="str">
        <f t="shared" si="18"/>
        <v/>
      </c>
    </row>
    <row r="220" spans="1:8">
      <c r="A220" s="4" t="str">
        <f t="shared" si="19"/>
        <v/>
      </c>
      <c r="B220" s="4" t="str">
        <f t="shared" ref="B220:B283" si="20">IF(ISNUMBER(A220),"CELL","")</f>
        <v/>
      </c>
      <c r="C220" s="19" t="str" cm="1">
        <f t="array" ref="C220">IF(ISNUMBER(A220),IF(A220=A219,INDEX(BackgroundCalcs!$AV$2:$AV$500,'Grading Formulas'!$A220),"Question Results"),"")</f>
        <v/>
      </c>
      <c r="D220" s="6" t="str" cm="1">
        <f t="array" ref="D220">IF(ISNUMBER($A220),IF(A220=A219,INDEX(BackgroundCalcs!$AW$2:$AW$500,'Grading Formulas'!$A220),"C"&amp;A220+9),"")</f>
        <v/>
      </c>
      <c r="E220" s="3" t="str" cm="1">
        <f t="array" ref="E220">IF(ISNUMBER($A220),IF(A220=A219,"Reference2(False,True,"&amp;INDEX(BackgroundCalcs!$AX$2:$AX$500,'Grading Formulas'!$A220)&amp;")","MOEValue(.0001)"),"")</f>
        <v/>
      </c>
      <c r="F220" s="3" t="str">
        <f t="shared" ref="F220:F283" si="21">IF(ISNUMBER($A220),IF(A220=A219,-1000,1),"")</f>
        <v/>
      </c>
      <c r="G220" s="3" t="str">
        <f t="shared" ref="G220:G283" si="22">IF(ISNUMBER($A220),IF(A220=A219,"You should not be referencing the answer cell","Correct"),"")</f>
        <v/>
      </c>
      <c r="H220" s="3" t="str">
        <f t="shared" ref="H220:H283" si="23">IF(ISNUMBER($A220),IF(A220=A219,"N/A","Incorrect"),"")</f>
        <v/>
      </c>
    </row>
    <row r="221" spans="1:8">
      <c r="A221" s="4" t="str">
        <f t="shared" si="19"/>
        <v/>
      </c>
      <c r="B221" s="4" t="str">
        <f t="shared" si="20"/>
        <v/>
      </c>
      <c r="C221" s="19" t="str" cm="1">
        <f t="array" ref="C221">IF(ISNUMBER(A221),IF(A221=A220,INDEX(BackgroundCalcs!$AV$2:$AV$500,'Grading Formulas'!$A221),"Question Results"),"")</f>
        <v/>
      </c>
      <c r="D221" s="6" t="str" cm="1">
        <f t="array" ref="D221">IF(ISNUMBER($A221),IF(A221=A220,INDEX(BackgroundCalcs!$AW$2:$AW$500,'Grading Formulas'!$A221),"C"&amp;A221+9),"")</f>
        <v/>
      </c>
      <c r="E221" s="3" t="str" cm="1">
        <f t="array" ref="E221">IF(ISNUMBER($A221),IF(A221=A220,"Reference2(False,True,"&amp;INDEX(BackgroundCalcs!$AX$2:$AX$500,'Grading Formulas'!$A221)&amp;")","MOEValue(.0001)"),"")</f>
        <v/>
      </c>
      <c r="F221" s="3" t="str">
        <f t="shared" si="21"/>
        <v/>
      </c>
      <c r="G221" s="3" t="str">
        <f t="shared" si="22"/>
        <v/>
      </c>
      <c r="H221" s="3" t="str">
        <f t="shared" si="23"/>
        <v/>
      </c>
    </row>
    <row r="222" spans="1:8">
      <c r="A222" s="4" t="str">
        <f t="shared" si="19"/>
        <v/>
      </c>
      <c r="B222" s="4" t="str">
        <f t="shared" si="20"/>
        <v/>
      </c>
      <c r="C222" s="19" t="str" cm="1">
        <f t="array" ref="C222">IF(ISNUMBER(A222),IF(A222=A221,INDEX(BackgroundCalcs!$AV$2:$AV$500,'Grading Formulas'!$A222),"Question Results"),"")</f>
        <v/>
      </c>
      <c r="D222" s="6" t="str" cm="1">
        <f t="array" ref="D222">IF(ISNUMBER($A222),IF(A222=A221,INDEX(BackgroundCalcs!$AW$2:$AW$500,'Grading Formulas'!$A222),"C"&amp;A222+9),"")</f>
        <v/>
      </c>
      <c r="E222" s="3" t="str" cm="1">
        <f t="array" ref="E222">IF(ISNUMBER($A222),IF(A222=A221,"Reference2(False,True,"&amp;INDEX(BackgroundCalcs!$AX$2:$AX$500,'Grading Formulas'!$A222)&amp;")","MOEValue(.0001)"),"")</f>
        <v/>
      </c>
      <c r="F222" s="3" t="str">
        <f t="shared" si="21"/>
        <v/>
      </c>
      <c r="G222" s="3" t="str">
        <f t="shared" si="22"/>
        <v/>
      </c>
      <c r="H222" s="3" t="str">
        <f t="shared" si="23"/>
        <v/>
      </c>
    </row>
    <row r="223" spans="1:8">
      <c r="A223" s="4" t="str">
        <f t="shared" si="19"/>
        <v/>
      </c>
      <c r="B223" s="4" t="str">
        <f t="shared" si="20"/>
        <v/>
      </c>
      <c r="C223" s="19" t="str" cm="1">
        <f t="array" ref="C223">IF(ISNUMBER(A223),IF(A223=A222,INDEX(BackgroundCalcs!$AV$2:$AV$500,'Grading Formulas'!$A223),"Question Results"),"")</f>
        <v/>
      </c>
      <c r="D223" s="6" t="str" cm="1">
        <f t="array" ref="D223">IF(ISNUMBER($A223),IF(A223=A222,INDEX(BackgroundCalcs!$AW$2:$AW$500,'Grading Formulas'!$A223),"C"&amp;A223+9),"")</f>
        <v/>
      </c>
      <c r="E223" s="3" t="str" cm="1">
        <f t="array" ref="E223">IF(ISNUMBER($A223),IF(A223=A222,"Reference2(False,True,"&amp;INDEX(BackgroundCalcs!$AX$2:$AX$500,'Grading Formulas'!$A223)&amp;")","MOEValue(.0001)"),"")</f>
        <v/>
      </c>
      <c r="F223" s="3" t="str">
        <f t="shared" si="21"/>
        <v/>
      </c>
      <c r="G223" s="3" t="str">
        <f t="shared" si="22"/>
        <v/>
      </c>
      <c r="H223" s="3" t="str">
        <f t="shared" si="23"/>
        <v/>
      </c>
    </row>
    <row r="224" spans="1:8">
      <c r="A224" s="4" t="str">
        <f t="shared" si="19"/>
        <v/>
      </c>
      <c r="B224" s="4" t="str">
        <f t="shared" si="20"/>
        <v/>
      </c>
      <c r="C224" s="19" t="str" cm="1">
        <f t="array" ref="C224">IF(ISNUMBER(A224),IF(A224=A223,INDEX(BackgroundCalcs!$AV$2:$AV$500,'Grading Formulas'!$A224),"Question Results"),"")</f>
        <v/>
      </c>
      <c r="D224" s="6" t="str" cm="1">
        <f t="array" ref="D224">IF(ISNUMBER($A224),IF(A224=A223,INDEX(BackgroundCalcs!$AW$2:$AW$500,'Grading Formulas'!$A224),"C"&amp;A224+9),"")</f>
        <v/>
      </c>
      <c r="E224" s="3" t="str" cm="1">
        <f t="array" ref="E224">IF(ISNUMBER($A224),IF(A224=A223,"Reference2(False,True,"&amp;INDEX(BackgroundCalcs!$AX$2:$AX$500,'Grading Formulas'!$A224)&amp;")","MOEValue(.0001)"),"")</f>
        <v/>
      </c>
      <c r="F224" s="3" t="str">
        <f t="shared" si="21"/>
        <v/>
      </c>
      <c r="G224" s="3" t="str">
        <f t="shared" si="22"/>
        <v/>
      </c>
      <c r="H224" s="3" t="str">
        <f t="shared" si="23"/>
        <v/>
      </c>
    </row>
    <row r="225" spans="1:8">
      <c r="A225" s="4" t="str">
        <f t="shared" si="19"/>
        <v/>
      </c>
      <c r="B225" s="4" t="str">
        <f t="shared" si="20"/>
        <v/>
      </c>
      <c r="C225" s="19" t="str" cm="1">
        <f t="array" ref="C225">IF(ISNUMBER(A225),IF(A225=A224,INDEX(BackgroundCalcs!$AV$2:$AV$500,'Grading Formulas'!$A225),"Question Results"),"")</f>
        <v/>
      </c>
      <c r="D225" s="6" t="str" cm="1">
        <f t="array" ref="D225">IF(ISNUMBER($A225),IF(A225=A224,INDEX(BackgroundCalcs!$AW$2:$AW$500,'Grading Formulas'!$A225),"C"&amp;A225+9),"")</f>
        <v/>
      </c>
      <c r="E225" s="3" t="str" cm="1">
        <f t="array" ref="E225">IF(ISNUMBER($A225),IF(A225=A224,"Reference2(False,True,"&amp;INDEX(BackgroundCalcs!$AX$2:$AX$500,'Grading Formulas'!$A225)&amp;")","MOEValue(.0001)"),"")</f>
        <v/>
      </c>
      <c r="F225" s="3" t="str">
        <f t="shared" si="21"/>
        <v/>
      </c>
      <c r="G225" s="3" t="str">
        <f t="shared" si="22"/>
        <v/>
      </c>
      <c r="H225" s="3" t="str">
        <f t="shared" si="23"/>
        <v/>
      </c>
    </row>
    <row r="226" spans="1:8">
      <c r="A226" s="4" t="str">
        <f t="shared" si="19"/>
        <v/>
      </c>
      <c r="B226" s="4" t="str">
        <f t="shared" si="20"/>
        <v/>
      </c>
      <c r="C226" s="19" t="str" cm="1">
        <f t="array" ref="C226">IF(ISNUMBER(A226),IF(A226=A225,INDEX(BackgroundCalcs!$AV$2:$AV$500,'Grading Formulas'!$A226),"Question Results"),"")</f>
        <v/>
      </c>
      <c r="D226" s="6" t="str" cm="1">
        <f t="array" ref="D226">IF(ISNUMBER($A226),IF(A226=A225,INDEX(BackgroundCalcs!$AW$2:$AW$500,'Grading Formulas'!$A226),"C"&amp;A226+9),"")</f>
        <v/>
      </c>
      <c r="E226" s="3" t="str" cm="1">
        <f t="array" ref="E226">IF(ISNUMBER($A226),IF(A226=A225,"Reference2(False,True,"&amp;INDEX(BackgroundCalcs!$AX$2:$AX$500,'Grading Formulas'!$A226)&amp;")","MOEValue(.0001)"),"")</f>
        <v/>
      </c>
      <c r="F226" s="3" t="str">
        <f t="shared" si="21"/>
        <v/>
      </c>
      <c r="G226" s="3" t="str">
        <f t="shared" si="22"/>
        <v/>
      </c>
      <c r="H226" s="3" t="str">
        <f t="shared" si="23"/>
        <v/>
      </c>
    </row>
    <row r="227" spans="1:8">
      <c r="A227" s="4" t="str">
        <f t="shared" si="19"/>
        <v/>
      </c>
      <c r="B227" s="4" t="str">
        <f t="shared" si="20"/>
        <v/>
      </c>
      <c r="C227" s="19" t="str" cm="1">
        <f t="array" ref="C227">IF(ISNUMBER(A227),IF(A227=A226,INDEX(BackgroundCalcs!$AV$2:$AV$500,'Grading Formulas'!$A227),"Question Results"),"")</f>
        <v/>
      </c>
      <c r="D227" s="6" t="str" cm="1">
        <f t="array" ref="D227">IF(ISNUMBER($A227),IF(A227=A226,INDEX(BackgroundCalcs!$AW$2:$AW$500,'Grading Formulas'!$A227),"C"&amp;A227+9),"")</f>
        <v/>
      </c>
      <c r="E227" s="3" t="str" cm="1">
        <f t="array" ref="E227">IF(ISNUMBER($A227),IF(A227=A226,"Reference2(False,True,"&amp;INDEX(BackgroundCalcs!$AX$2:$AX$500,'Grading Formulas'!$A227)&amp;")","MOEValue(.0001)"),"")</f>
        <v/>
      </c>
      <c r="F227" s="3" t="str">
        <f t="shared" si="21"/>
        <v/>
      </c>
      <c r="G227" s="3" t="str">
        <f t="shared" si="22"/>
        <v/>
      </c>
      <c r="H227" s="3" t="str">
        <f t="shared" si="23"/>
        <v/>
      </c>
    </row>
    <row r="228" spans="1:8">
      <c r="A228" s="4" t="str">
        <f t="shared" si="19"/>
        <v/>
      </c>
      <c r="B228" s="4" t="str">
        <f t="shared" si="20"/>
        <v/>
      </c>
      <c r="C228" s="19" t="str" cm="1">
        <f t="array" ref="C228">IF(ISNUMBER(A228),IF(A228=A227,INDEX(BackgroundCalcs!$AV$2:$AV$500,'Grading Formulas'!$A228),"Question Results"),"")</f>
        <v/>
      </c>
      <c r="D228" s="6" t="str" cm="1">
        <f t="array" ref="D228">IF(ISNUMBER($A228),IF(A228=A227,INDEX(BackgroundCalcs!$AW$2:$AW$500,'Grading Formulas'!$A228),"C"&amp;A228+9),"")</f>
        <v/>
      </c>
      <c r="E228" s="3" t="str" cm="1">
        <f t="array" ref="E228">IF(ISNUMBER($A228),IF(A228=A227,"Reference2(False,True,"&amp;INDEX(BackgroundCalcs!$AX$2:$AX$500,'Grading Formulas'!$A228)&amp;")","MOEValue(.0001)"),"")</f>
        <v/>
      </c>
      <c r="F228" s="3" t="str">
        <f t="shared" si="21"/>
        <v/>
      </c>
      <c r="G228" s="3" t="str">
        <f t="shared" si="22"/>
        <v/>
      </c>
      <c r="H228" s="3" t="str">
        <f t="shared" si="23"/>
        <v/>
      </c>
    </row>
    <row r="229" spans="1:8">
      <c r="A229" s="4" t="str">
        <f t="shared" si="19"/>
        <v/>
      </c>
      <c r="B229" s="4" t="str">
        <f t="shared" si="20"/>
        <v/>
      </c>
      <c r="C229" s="19" t="str" cm="1">
        <f t="array" ref="C229">IF(ISNUMBER(A229),IF(A229=A228,INDEX(BackgroundCalcs!$AV$2:$AV$500,'Grading Formulas'!$A229),"Question Results"),"")</f>
        <v/>
      </c>
      <c r="D229" s="6" t="str" cm="1">
        <f t="array" ref="D229">IF(ISNUMBER($A229),IF(A229=A228,INDEX(BackgroundCalcs!$AW$2:$AW$500,'Grading Formulas'!$A229),"C"&amp;A229+9),"")</f>
        <v/>
      </c>
      <c r="E229" s="3" t="str" cm="1">
        <f t="array" ref="E229">IF(ISNUMBER($A229),IF(A229=A228,"Reference2(False,True,"&amp;INDEX(BackgroundCalcs!$AX$2:$AX$500,'Grading Formulas'!$A229)&amp;")","MOEValue(.0001)"),"")</f>
        <v/>
      </c>
      <c r="F229" s="3" t="str">
        <f t="shared" si="21"/>
        <v/>
      </c>
      <c r="G229" s="3" t="str">
        <f t="shared" si="22"/>
        <v/>
      </c>
      <c r="H229" s="3" t="str">
        <f t="shared" si="23"/>
        <v/>
      </c>
    </row>
    <row r="230" spans="1:8">
      <c r="A230" s="4" t="str">
        <f t="shared" si="19"/>
        <v/>
      </c>
      <c r="B230" s="4" t="str">
        <f t="shared" si="20"/>
        <v/>
      </c>
      <c r="C230" s="19" t="str" cm="1">
        <f t="array" ref="C230">IF(ISNUMBER(A230),IF(A230=A229,INDEX(BackgroundCalcs!$AV$2:$AV$500,'Grading Formulas'!$A230),"Question Results"),"")</f>
        <v/>
      </c>
      <c r="D230" s="6" t="str" cm="1">
        <f t="array" ref="D230">IF(ISNUMBER($A230),IF(A230=A229,INDEX(BackgroundCalcs!$AW$2:$AW$500,'Grading Formulas'!$A230),"C"&amp;A230+9),"")</f>
        <v/>
      </c>
      <c r="E230" s="3" t="str" cm="1">
        <f t="array" ref="E230">IF(ISNUMBER($A230),IF(A230=A229,"Reference2(False,True,"&amp;INDEX(BackgroundCalcs!$AX$2:$AX$500,'Grading Formulas'!$A230)&amp;")","MOEValue(.0001)"),"")</f>
        <v/>
      </c>
      <c r="F230" s="3" t="str">
        <f t="shared" si="21"/>
        <v/>
      </c>
      <c r="G230" s="3" t="str">
        <f t="shared" si="22"/>
        <v/>
      </c>
      <c r="H230" s="3" t="str">
        <f t="shared" si="23"/>
        <v/>
      </c>
    </row>
    <row r="231" spans="1:8">
      <c r="A231" s="4" t="str">
        <f t="shared" si="19"/>
        <v/>
      </c>
      <c r="B231" s="4" t="str">
        <f t="shared" si="20"/>
        <v/>
      </c>
      <c r="C231" s="19" t="str" cm="1">
        <f t="array" ref="C231">IF(ISNUMBER(A231),IF(A231=A230,INDEX(BackgroundCalcs!$AV$2:$AV$500,'Grading Formulas'!$A231),"Question Results"),"")</f>
        <v/>
      </c>
      <c r="D231" s="6" t="str" cm="1">
        <f t="array" ref="D231">IF(ISNUMBER($A231),IF(A231=A230,INDEX(BackgroundCalcs!$AW$2:$AW$500,'Grading Formulas'!$A231),"C"&amp;A231+9),"")</f>
        <v/>
      </c>
      <c r="E231" s="3" t="str" cm="1">
        <f t="array" ref="E231">IF(ISNUMBER($A231),IF(A231=A230,"Reference2(False,True,"&amp;INDEX(BackgroundCalcs!$AX$2:$AX$500,'Grading Formulas'!$A231)&amp;")","MOEValue(.0001)"),"")</f>
        <v/>
      </c>
      <c r="F231" s="3" t="str">
        <f t="shared" si="21"/>
        <v/>
      </c>
      <c r="G231" s="3" t="str">
        <f t="shared" si="22"/>
        <v/>
      </c>
      <c r="H231" s="3" t="str">
        <f t="shared" si="23"/>
        <v/>
      </c>
    </row>
    <row r="232" spans="1:8">
      <c r="A232" s="4" t="str">
        <f t="shared" si="19"/>
        <v/>
      </c>
      <c r="B232" s="4" t="str">
        <f t="shared" si="20"/>
        <v/>
      </c>
      <c r="C232" s="19" t="str" cm="1">
        <f t="array" ref="C232">IF(ISNUMBER(A232),IF(A232=A231,INDEX(BackgroundCalcs!$AV$2:$AV$500,'Grading Formulas'!$A232),"Question Results"),"")</f>
        <v/>
      </c>
      <c r="D232" s="6" t="str" cm="1">
        <f t="array" ref="D232">IF(ISNUMBER($A232),IF(A232=A231,INDEX(BackgroundCalcs!$AW$2:$AW$500,'Grading Formulas'!$A232),"C"&amp;A232+9),"")</f>
        <v/>
      </c>
      <c r="E232" s="3" t="str" cm="1">
        <f t="array" ref="E232">IF(ISNUMBER($A232),IF(A232=A231,"Reference2(False,True,"&amp;INDEX(BackgroundCalcs!$AX$2:$AX$500,'Grading Formulas'!$A232)&amp;")","MOEValue(.0001)"),"")</f>
        <v/>
      </c>
      <c r="F232" s="3" t="str">
        <f t="shared" si="21"/>
        <v/>
      </c>
      <c r="G232" s="3" t="str">
        <f t="shared" si="22"/>
        <v/>
      </c>
      <c r="H232" s="3" t="str">
        <f t="shared" si="23"/>
        <v/>
      </c>
    </row>
    <row r="233" spans="1:8">
      <c r="A233" s="4" t="str">
        <f t="shared" si="19"/>
        <v/>
      </c>
      <c r="B233" s="4" t="str">
        <f t="shared" si="20"/>
        <v/>
      </c>
      <c r="C233" s="19" t="str" cm="1">
        <f t="array" ref="C233">IF(ISNUMBER(A233),IF(A233=A232,INDEX(BackgroundCalcs!$AV$2:$AV$500,'Grading Formulas'!$A233),"Question Results"),"")</f>
        <v/>
      </c>
      <c r="D233" s="6" t="str" cm="1">
        <f t="array" ref="D233">IF(ISNUMBER($A233),IF(A233=A232,INDEX(BackgroundCalcs!$AW$2:$AW$500,'Grading Formulas'!$A233),"C"&amp;A233+9),"")</f>
        <v/>
      </c>
      <c r="E233" s="3" t="str" cm="1">
        <f t="array" ref="E233">IF(ISNUMBER($A233),IF(A233=A232,"Reference2(False,True,"&amp;INDEX(BackgroundCalcs!$AX$2:$AX$500,'Grading Formulas'!$A233)&amp;")","MOEValue(.0001)"),"")</f>
        <v/>
      </c>
      <c r="F233" s="3" t="str">
        <f t="shared" si="21"/>
        <v/>
      </c>
      <c r="G233" s="3" t="str">
        <f t="shared" si="22"/>
        <v/>
      </c>
      <c r="H233" s="3" t="str">
        <f t="shared" si="23"/>
        <v/>
      </c>
    </row>
    <row r="234" spans="1:8">
      <c r="A234" s="4" t="str">
        <f t="shared" si="19"/>
        <v/>
      </c>
      <c r="B234" s="4" t="str">
        <f t="shared" si="20"/>
        <v/>
      </c>
      <c r="C234" s="19" t="str" cm="1">
        <f t="array" ref="C234">IF(ISNUMBER(A234),IF(A234=A233,INDEX(BackgroundCalcs!$AV$2:$AV$500,'Grading Formulas'!$A234),"Question Results"),"")</f>
        <v/>
      </c>
      <c r="D234" s="6" t="str" cm="1">
        <f t="array" ref="D234">IF(ISNUMBER($A234),IF(A234=A233,INDEX(BackgroundCalcs!$AW$2:$AW$500,'Grading Formulas'!$A234),"C"&amp;A234+9),"")</f>
        <v/>
      </c>
      <c r="E234" s="3" t="str" cm="1">
        <f t="array" ref="E234">IF(ISNUMBER($A234),IF(A234=A233,"Reference2(False,True,"&amp;INDEX(BackgroundCalcs!$AX$2:$AX$500,'Grading Formulas'!$A234)&amp;")","MOEValue(.0001)"),"")</f>
        <v/>
      </c>
      <c r="F234" s="3" t="str">
        <f t="shared" si="21"/>
        <v/>
      </c>
      <c r="G234" s="3" t="str">
        <f t="shared" si="22"/>
        <v/>
      </c>
      <c r="H234" s="3" t="str">
        <f t="shared" si="23"/>
        <v/>
      </c>
    </row>
    <row r="235" spans="1:8">
      <c r="A235" s="4" t="str">
        <f t="shared" si="19"/>
        <v/>
      </c>
      <c r="B235" s="4" t="str">
        <f t="shared" si="20"/>
        <v/>
      </c>
      <c r="C235" s="19" t="str" cm="1">
        <f t="array" ref="C235">IF(ISNUMBER(A235),IF(A235=A234,INDEX(BackgroundCalcs!$AV$2:$AV$500,'Grading Formulas'!$A235),"Question Results"),"")</f>
        <v/>
      </c>
      <c r="D235" s="6" t="str" cm="1">
        <f t="array" ref="D235">IF(ISNUMBER($A235),IF(A235=A234,INDEX(BackgroundCalcs!$AW$2:$AW$500,'Grading Formulas'!$A235),"C"&amp;A235+9),"")</f>
        <v/>
      </c>
      <c r="E235" s="3" t="str" cm="1">
        <f t="array" ref="E235">IF(ISNUMBER($A235),IF(A235=A234,"Reference2(False,True,"&amp;INDEX(BackgroundCalcs!$AX$2:$AX$500,'Grading Formulas'!$A235)&amp;")","MOEValue(.0001)"),"")</f>
        <v/>
      </c>
      <c r="F235" s="3" t="str">
        <f t="shared" si="21"/>
        <v/>
      </c>
      <c r="G235" s="3" t="str">
        <f t="shared" si="22"/>
        <v/>
      </c>
      <c r="H235" s="3" t="str">
        <f t="shared" si="23"/>
        <v/>
      </c>
    </row>
    <row r="236" spans="1:8">
      <c r="A236" s="4" t="str">
        <f t="shared" si="19"/>
        <v/>
      </c>
      <c r="B236" s="4" t="str">
        <f t="shared" si="20"/>
        <v/>
      </c>
      <c r="C236" s="19" t="str" cm="1">
        <f t="array" ref="C236">IF(ISNUMBER(A236),IF(A236=A235,INDEX(BackgroundCalcs!$AV$2:$AV$500,'Grading Formulas'!$A236),"Question Results"),"")</f>
        <v/>
      </c>
      <c r="D236" s="6" t="str" cm="1">
        <f t="array" ref="D236">IF(ISNUMBER($A236),IF(A236=A235,INDEX(BackgroundCalcs!$AW$2:$AW$500,'Grading Formulas'!$A236),"C"&amp;A236+9),"")</f>
        <v/>
      </c>
      <c r="E236" s="3" t="str" cm="1">
        <f t="array" ref="E236">IF(ISNUMBER($A236),IF(A236=A235,"Reference2(False,True,"&amp;INDEX(BackgroundCalcs!$AX$2:$AX$500,'Grading Formulas'!$A236)&amp;")","MOEValue(.0001)"),"")</f>
        <v/>
      </c>
      <c r="F236" s="3" t="str">
        <f t="shared" si="21"/>
        <v/>
      </c>
      <c r="G236" s="3" t="str">
        <f t="shared" si="22"/>
        <v/>
      </c>
      <c r="H236" s="3" t="str">
        <f t="shared" si="23"/>
        <v/>
      </c>
    </row>
    <row r="237" spans="1:8">
      <c r="A237" s="4" t="str">
        <f t="shared" si="19"/>
        <v/>
      </c>
      <c r="B237" s="4" t="str">
        <f t="shared" si="20"/>
        <v/>
      </c>
      <c r="C237" s="19" t="str" cm="1">
        <f t="array" ref="C237">IF(ISNUMBER(A237),IF(A237=A236,INDEX(BackgroundCalcs!$AV$2:$AV$500,'Grading Formulas'!$A237),"Question Results"),"")</f>
        <v/>
      </c>
      <c r="D237" s="6" t="str" cm="1">
        <f t="array" ref="D237">IF(ISNUMBER($A237),IF(A237=A236,INDEX(BackgroundCalcs!$AW$2:$AW$500,'Grading Formulas'!$A237),"C"&amp;A237+9),"")</f>
        <v/>
      </c>
      <c r="E237" s="3" t="str" cm="1">
        <f t="array" ref="E237">IF(ISNUMBER($A237),IF(A237=A236,"Reference2(False,True,"&amp;INDEX(BackgroundCalcs!$AX$2:$AX$500,'Grading Formulas'!$A237)&amp;")","MOEValue(.0001)"),"")</f>
        <v/>
      </c>
      <c r="F237" s="3" t="str">
        <f t="shared" si="21"/>
        <v/>
      </c>
      <c r="G237" s="3" t="str">
        <f t="shared" si="22"/>
        <v/>
      </c>
      <c r="H237" s="3" t="str">
        <f t="shared" si="23"/>
        <v/>
      </c>
    </row>
    <row r="238" spans="1:8">
      <c r="A238" s="4" t="str">
        <f t="shared" si="19"/>
        <v/>
      </c>
      <c r="B238" s="4" t="str">
        <f t="shared" si="20"/>
        <v/>
      </c>
      <c r="C238" s="19" t="str" cm="1">
        <f t="array" ref="C238">IF(ISNUMBER(A238),IF(A238=A237,INDEX(BackgroundCalcs!$AV$2:$AV$500,'Grading Formulas'!$A238),"Question Results"),"")</f>
        <v/>
      </c>
      <c r="D238" s="6" t="str" cm="1">
        <f t="array" ref="D238">IF(ISNUMBER($A238),IF(A238=A237,INDEX(BackgroundCalcs!$AW$2:$AW$500,'Grading Formulas'!$A238),"C"&amp;A238+9),"")</f>
        <v/>
      </c>
      <c r="E238" s="3" t="str" cm="1">
        <f t="array" ref="E238">IF(ISNUMBER($A238),IF(A238=A237,"Reference2(False,True,"&amp;INDEX(BackgroundCalcs!$AX$2:$AX$500,'Grading Formulas'!$A238)&amp;")","MOEValue(.0001)"),"")</f>
        <v/>
      </c>
      <c r="F238" s="3" t="str">
        <f t="shared" si="21"/>
        <v/>
      </c>
      <c r="G238" s="3" t="str">
        <f t="shared" si="22"/>
        <v/>
      </c>
      <c r="H238" s="3" t="str">
        <f t="shared" si="23"/>
        <v/>
      </c>
    </row>
    <row r="239" spans="1:8">
      <c r="A239" s="4" t="str">
        <f t="shared" si="19"/>
        <v/>
      </c>
      <c r="B239" s="4" t="str">
        <f t="shared" si="20"/>
        <v/>
      </c>
      <c r="C239" s="19" t="str" cm="1">
        <f t="array" ref="C239">IF(ISNUMBER(A239),IF(A239=A238,INDEX(BackgroundCalcs!$AV$2:$AV$500,'Grading Formulas'!$A239),"Question Results"),"")</f>
        <v/>
      </c>
      <c r="D239" s="6" t="str" cm="1">
        <f t="array" ref="D239">IF(ISNUMBER($A239),IF(A239=A238,INDEX(BackgroundCalcs!$AW$2:$AW$500,'Grading Formulas'!$A239),"C"&amp;A239+9),"")</f>
        <v/>
      </c>
      <c r="E239" s="3" t="str" cm="1">
        <f t="array" ref="E239">IF(ISNUMBER($A239),IF(A239=A238,"Reference2(False,True,"&amp;INDEX(BackgroundCalcs!$AX$2:$AX$500,'Grading Formulas'!$A239)&amp;")","MOEValue(.0001)"),"")</f>
        <v/>
      </c>
      <c r="F239" s="3" t="str">
        <f t="shared" si="21"/>
        <v/>
      </c>
      <c r="G239" s="3" t="str">
        <f t="shared" si="22"/>
        <v/>
      </c>
      <c r="H239" s="3" t="str">
        <f t="shared" si="23"/>
        <v/>
      </c>
    </row>
    <row r="240" spans="1:8">
      <c r="A240" s="4" t="str">
        <f t="shared" si="19"/>
        <v/>
      </c>
      <c r="B240" s="4" t="str">
        <f t="shared" si="20"/>
        <v/>
      </c>
      <c r="C240" s="19" t="str" cm="1">
        <f t="array" ref="C240">IF(ISNUMBER(A240),IF(A240=A239,INDEX(BackgroundCalcs!$AV$2:$AV$500,'Grading Formulas'!$A240),"Question Results"),"")</f>
        <v/>
      </c>
      <c r="D240" s="6" t="str" cm="1">
        <f t="array" ref="D240">IF(ISNUMBER($A240),IF(A240=A239,INDEX(BackgroundCalcs!$AW$2:$AW$500,'Grading Formulas'!$A240),"C"&amp;A240+9),"")</f>
        <v/>
      </c>
      <c r="E240" s="3" t="str" cm="1">
        <f t="array" ref="E240">IF(ISNUMBER($A240),IF(A240=A239,"Reference2(False,True,"&amp;INDEX(BackgroundCalcs!$AX$2:$AX$500,'Grading Formulas'!$A240)&amp;")","MOEValue(.0001)"),"")</f>
        <v/>
      </c>
      <c r="F240" s="3" t="str">
        <f t="shared" si="21"/>
        <v/>
      </c>
      <c r="G240" s="3" t="str">
        <f t="shared" si="22"/>
        <v/>
      </c>
      <c r="H240" s="3" t="str">
        <f t="shared" si="23"/>
        <v/>
      </c>
    </row>
    <row r="241" spans="1:8">
      <c r="A241" s="4" t="str">
        <f t="shared" si="19"/>
        <v/>
      </c>
      <c r="B241" s="4" t="str">
        <f t="shared" si="20"/>
        <v/>
      </c>
      <c r="C241" s="19" t="str" cm="1">
        <f t="array" ref="C241">IF(ISNUMBER(A241),IF(A241=A240,INDEX(BackgroundCalcs!$AV$2:$AV$500,'Grading Formulas'!$A241),"Question Results"),"")</f>
        <v/>
      </c>
      <c r="D241" s="6" t="str" cm="1">
        <f t="array" ref="D241">IF(ISNUMBER($A241),IF(A241=A240,INDEX(BackgroundCalcs!$AW$2:$AW$500,'Grading Formulas'!$A241),"C"&amp;A241+9),"")</f>
        <v/>
      </c>
      <c r="E241" s="3" t="str" cm="1">
        <f t="array" ref="E241">IF(ISNUMBER($A241),IF(A241=A240,"Reference2(False,True,"&amp;INDEX(BackgroundCalcs!$AX$2:$AX$500,'Grading Formulas'!$A241)&amp;")","MOEValue(.0001)"),"")</f>
        <v/>
      </c>
      <c r="F241" s="3" t="str">
        <f t="shared" si="21"/>
        <v/>
      </c>
      <c r="G241" s="3" t="str">
        <f t="shared" si="22"/>
        <v/>
      </c>
      <c r="H241" s="3" t="str">
        <f t="shared" si="23"/>
        <v/>
      </c>
    </row>
    <row r="242" spans="1:8">
      <c r="A242" s="4" t="str">
        <f t="shared" si="19"/>
        <v/>
      </c>
      <c r="B242" s="4" t="str">
        <f t="shared" si="20"/>
        <v/>
      </c>
      <c r="C242" s="19" t="str" cm="1">
        <f t="array" ref="C242">IF(ISNUMBER(A242),IF(A242=A241,INDEX(BackgroundCalcs!$AV$2:$AV$500,'Grading Formulas'!$A242),"Question Results"),"")</f>
        <v/>
      </c>
      <c r="D242" s="6" t="str" cm="1">
        <f t="array" ref="D242">IF(ISNUMBER($A242),IF(A242=A241,INDEX(BackgroundCalcs!$AW$2:$AW$500,'Grading Formulas'!$A242),"C"&amp;A242+9),"")</f>
        <v/>
      </c>
      <c r="E242" s="3" t="str" cm="1">
        <f t="array" ref="E242">IF(ISNUMBER($A242),IF(A242=A241,"Reference2(False,True,"&amp;INDEX(BackgroundCalcs!$AX$2:$AX$500,'Grading Formulas'!$A242)&amp;")","MOEValue(.0001)"),"")</f>
        <v/>
      </c>
      <c r="F242" s="3" t="str">
        <f t="shared" si="21"/>
        <v/>
      </c>
      <c r="G242" s="3" t="str">
        <f t="shared" si="22"/>
        <v/>
      </c>
      <c r="H242" s="3" t="str">
        <f t="shared" si="23"/>
        <v/>
      </c>
    </row>
    <row r="243" spans="1:8">
      <c r="A243" s="4" t="str">
        <f t="shared" si="19"/>
        <v/>
      </c>
      <c r="B243" s="4" t="str">
        <f t="shared" si="20"/>
        <v/>
      </c>
      <c r="C243" s="19" t="str" cm="1">
        <f t="array" ref="C243">IF(ISNUMBER(A243),IF(A243=A242,INDEX(BackgroundCalcs!$AV$2:$AV$500,'Grading Formulas'!$A243),"Question Results"),"")</f>
        <v/>
      </c>
      <c r="D243" s="6" t="str" cm="1">
        <f t="array" ref="D243">IF(ISNUMBER($A243),IF(A243=A242,INDEX(BackgroundCalcs!$AW$2:$AW$500,'Grading Formulas'!$A243),"C"&amp;A243+9),"")</f>
        <v/>
      </c>
      <c r="E243" s="3" t="str" cm="1">
        <f t="array" ref="E243">IF(ISNUMBER($A243),IF(A243=A242,"Reference2(False,True,"&amp;INDEX(BackgroundCalcs!$AX$2:$AX$500,'Grading Formulas'!$A243)&amp;")","MOEValue(.0001)"),"")</f>
        <v/>
      </c>
      <c r="F243" s="3" t="str">
        <f t="shared" si="21"/>
        <v/>
      </c>
      <c r="G243" s="3" t="str">
        <f t="shared" si="22"/>
        <v/>
      </c>
      <c r="H243" s="3" t="str">
        <f t="shared" si="23"/>
        <v/>
      </c>
    </row>
    <row r="244" spans="1:8">
      <c r="A244" s="4" t="str">
        <f t="shared" si="19"/>
        <v/>
      </c>
      <c r="B244" s="4" t="str">
        <f t="shared" si="20"/>
        <v/>
      </c>
      <c r="C244" s="19" t="str" cm="1">
        <f t="array" ref="C244">IF(ISNUMBER(A244),IF(A244=A243,INDEX(BackgroundCalcs!$AV$2:$AV$500,'Grading Formulas'!$A244),"Question Results"),"")</f>
        <v/>
      </c>
      <c r="D244" s="6" t="str" cm="1">
        <f t="array" ref="D244">IF(ISNUMBER($A244),IF(A244=A243,INDEX(BackgroundCalcs!$AW$2:$AW$500,'Grading Formulas'!$A244),"C"&amp;A244+9),"")</f>
        <v/>
      </c>
      <c r="E244" s="3" t="str" cm="1">
        <f t="array" ref="E244">IF(ISNUMBER($A244),IF(A244=A243,"Reference2(False,True,"&amp;INDEX(BackgroundCalcs!$AX$2:$AX$500,'Grading Formulas'!$A244)&amp;")","MOEValue(.0001)"),"")</f>
        <v/>
      </c>
      <c r="F244" s="3" t="str">
        <f t="shared" si="21"/>
        <v/>
      </c>
      <c r="G244" s="3" t="str">
        <f t="shared" si="22"/>
        <v/>
      </c>
      <c r="H244" s="3" t="str">
        <f t="shared" si="23"/>
        <v/>
      </c>
    </row>
    <row r="245" spans="1:8">
      <c r="A245" s="4" t="str">
        <f t="shared" si="19"/>
        <v/>
      </c>
      <c r="B245" s="4" t="str">
        <f t="shared" si="20"/>
        <v/>
      </c>
      <c r="C245" s="19" t="str" cm="1">
        <f t="array" ref="C245">IF(ISNUMBER(A245),IF(A245=A244,INDEX(BackgroundCalcs!$AV$2:$AV$500,'Grading Formulas'!$A245),"Question Results"),"")</f>
        <v/>
      </c>
      <c r="D245" s="6" t="str" cm="1">
        <f t="array" ref="D245">IF(ISNUMBER($A245),IF(A245=A244,INDEX(BackgroundCalcs!$AW$2:$AW$500,'Grading Formulas'!$A245),"C"&amp;A245+9),"")</f>
        <v/>
      </c>
      <c r="E245" s="3" t="str" cm="1">
        <f t="array" ref="E245">IF(ISNUMBER($A245),IF(A245=A244,"Reference2(False,True,"&amp;INDEX(BackgroundCalcs!$AX$2:$AX$500,'Grading Formulas'!$A245)&amp;")","MOEValue(.0001)"),"")</f>
        <v/>
      </c>
      <c r="F245" s="3" t="str">
        <f t="shared" si="21"/>
        <v/>
      </c>
      <c r="G245" s="3" t="str">
        <f t="shared" si="22"/>
        <v/>
      </c>
      <c r="H245" s="3" t="str">
        <f t="shared" si="23"/>
        <v/>
      </c>
    </row>
    <row r="246" spans="1:8">
      <c r="A246" s="4" t="str">
        <f t="shared" si="19"/>
        <v/>
      </c>
      <c r="B246" s="4" t="str">
        <f t="shared" si="20"/>
        <v/>
      </c>
      <c r="C246" s="19" t="str" cm="1">
        <f t="array" ref="C246">IF(ISNUMBER(A246),IF(A246=A245,INDEX(BackgroundCalcs!$AV$2:$AV$500,'Grading Formulas'!$A246),"Question Results"),"")</f>
        <v/>
      </c>
      <c r="D246" s="6" t="str" cm="1">
        <f t="array" ref="D246">IF(ISNUMBER($A246),IF(A246=A245,INDEX(BackgroundCalcs!$AW$2:$AW$500,'Grading Formulas'!$A246),"C"&amp;A246+9),"")</f>
        <v/>
      </c>
      <c r="E246" s="3" t="str" cm="1">
        <f t="array" ref="E246">IF(ISNUMBER($A246),IF(A246=A245,"Reference2(False,True,"&amp;INDEX(BackgroundCalcs!$AX$2:$AX$500,'Grading Formulas'!$A246)&amp;")","MOEValue(.0001)"),"")</f>
        <v/>
      </c>
      <c r="F246" s="3" t="str">
        <f t="shared" si="21"/>
        <v/>
      </c>
      <c r="G246" s="3" t="str">
        <f t="shared" si="22"/>
        <v/>
      </c>
      <c r="H246" s="3" t="str">
        <f t="shared" si="23"/>
        <v/>
      </c>
    </row>
    <row r="247" spans="1:8">
      <c r="A247" s="4" t="str">
        <f t="shared" si="19"/>
        <v/>
      </c>
      <c r="B247" s="4" t="str">
        <f t="shared" si="20"/>
        <v/>
      </c>
      <c r="C247" s="19" t="str" cm="1">
        <f t="array" ref="C247">IF(ISNUMBER(A247),IF(A247=A246,INDEX(BackgroundCalcs!$AV$2:$AV$500,'Grading Formulas'!$A247),"Question Results"),"")</f>
        <v/>
      </c>
      <c r="D247" s="6" t="str" cm="1">
        <f t="array" ref="D247">IF(ISNUMBER($A247),IF(A247=A246,INDEX(BackgroundCalcs!$AW$2:$AW$500,'Grading Formulas'!$A247),"C"&amp;A247+9),"")</f>
        <v/>
      </c>
      <c r="E247" s="3" t="str" cm="1">
        <f t="array" ref="E247">IF(ISNUMBER($A247),IF(A247=A246,"Reference2(False,True,"&amp;INDEX(BackgroundCalcs!$AX$2:$AX$500,'Grading Formulas'!$A247)&amp;")","MOEValue(.0001)"),"")</f>
        <v/>
      </c>
      <c r="F247" s="3" t="str">
        <f t="shared" si="21"/>
        <v/>
      </c>
      <c r="G247" s="3" t="str">
        <f t="shared" si="22"/>
        <v/>
      </c>
      <c r="H247" s="3" t="str">
        <f t="shared" si="23"/>
        <v/>
      </c>
    </row>
    <row r="248" spans="1:8">
      <c r="A248" s="4" t="str">
        <f t="shared" si="19"/>
        <v/>
      </c>
      <c r="B248" s="4" t="str">
        <f t="shared" si="20"/>
        <v/>
      </c>
      <c r="C248" s="19" t="str" cm="1">
        <f t="array" ref="C248">IF(ISNUMBER(A248),IF(A248=A247,INDEX(BackgroundCalcs!$AV$2:$AV$500,'Grading Formulas'!$A248),"Question Results"),"")</f>
        <v/>
      </c>
      <c r="D248" s="6" t="str" cm="1">
        <f t="array" ref="D248">IF(ISNUMBER($A248),IF(A248=A247,INDEX(BackgroundCalcs!$AW$2:$AW$500,'Grading Formulas'!$A248),"C"&amp;A248+9),"")</f>
        <v/>
      </c>
      <c r="E248" s="3" t="str" cm="1">
        <f t="array" ref="E248">IF(ISNUMBER($A248),IF(A248=A247,"Reference2(False,True,"&amp;INDEX(BackgroundCalcs!$AX$2:$AX$500,'Grading Formulas'!$A248)&amp;")","MOEValue(.0001)"),"")</f>
        <v/>
      </c>
      <c r="F248" s="3" t="str">
        <f t="shared" si="21"/>
        <v/>
      </c>
      <c r="G248" s="3" t="str">
        <f t="shared" si="22"/>
        <v/>
      </c>
      <c r="H248" s="3" t="str">
        <f t="shared" si="23"/>
        <v/>
      </c>
    </row>
    <row r="249" spans="1:8">
      <c r="A249" s="4" t="str">
        <f t="shared" si="19"/>
        <v/>
      </c>
      <c r="B249" s="4" t="str">
        <f t="shared" si="20"/>
        <v/>
      </c>
      <c r="C249" s="19" t="str" cm="1">
        <f t="array" ref="C249">IF(ISNUMBER(A249),IF(A249=A248,INDEX(BackgroundCalcs!$AV$2:$AV$500,'Grading Formulas'!$A249),"Question Results"),"")</f>
        <v/>
      </c>
      <c r="D249" s="6" t="str" cm="1">
        <f t="array" ref="D249">IF(ISNUMBER($A249),IF(A249=A248,INDEX(BackgroundCalcs!$AW$2:$AW$500,'Grading Formulas'!$A249),"C"&amp;A249+9),"")</f>
        <v/>
      </c>
      <c r="E249" s="3" t="str" cm="1">
        <f t="array" ref="E249">IF(ISNUMBER($A249),IF(A249=A248,"Reference2(False,True,"&amp;INDEX(BackgroundCalcs!$AX$2:$AX$500,'Grading Formulas'!$A249)&amp;")","MOEValue(.0001)"),"")</f>
        <v/>
      </c>
      <c r="F249" s="3" t="str">
        <f t="shared" si="21"/>
        <v/>
      </c>
      <c r="G249" s="3" t="str">
        <f t="shared" si="22"/>
        <v/>
      </c>
      <c r="H249" s="3" t="str">
        <f t="shared" si="23"/>
        <v/>
      </c>
    </row>
    <row r="250" spans="1:8">
      <c r="A250" s="4" t="str">
        <f t="shared" si="19"/>
        <v/>
      </c>
      <c r="B250" s="4" t="str">
        <f t="shared" si="20"/>
        <v/>
      </c>
      <c r="C250" s="19" t="str" cm="1">
        <f t="array" ref="C250">IF(ISNUMBER(A250),IF(A250=A249,INDEX(BackgroundCalcs!$AV$2:$AV$500,'Grading Formulas'!$A250),"Question Results"),"")</f>
        <v/>
      </c>
      <c r="D250" s="6" t="str" cm="1">
        <f t="array" ref="D250">IF(ISNUMBER($A250),IF(A250=A249,INDEX(BackgroundCalcs!$AW$2:$AW$500,'Grading Formulas'!$A250),"C"&amp;A250+9),"")</f>
        <v/>
      </c>
      <c r="E250" s="3" t="str" cm="1">
        <f t="array" ref="E250">IF(ISNUMBER($A250),IF(A250=A249,"Reference2(False,True,"&amp;INDEX(BackgroundCalcs!$AX$2:$AX$500,'Grading Formulas'!$A250)&amp;")","MOEValue(.0001)"),"")</f>
        <v/>
      </c>
      <c r="F250" s="3" t="str">
        <f t="shared" si="21"/>
        <v/>
      </c>
      <c r="G250" s="3" t="str">
        <f t="shared" si="22"/>
        <v/>
      </c>
      <c r="H250" s="3" t="str">
        <f t="shared" si="23"/>
        <v/>
      </c>
    </row>
    <row r="251" spans="1:8">
      <c r="A251" s="4" t="str">
        <f t="shared" si="19"/>
        <v/>
      </c>
      <c r="B251" s="4" t="str">
        <f t="shared" si="20"/>
        <v/>
      </c>
      <c r="C251" s="19" t="str" cm="1">
        <f t="array" ref="C251">IF(ISNUMBER(A251),IF(A251=A250,INDEX(BackgroundCalcs!$AV$2:$AV$500,'Grading Formulas'!$A251),"Question Results"),"")</f>
        <v/>
      </c>
      <c r="D251" s="6" t="str" cm="1">
        <f t="array" ref="D251">IF(ISNUMBER($A251),IF(A251=A250,INDEX(BackgroundCalcs!$AW$2:$AW$500,'Grading Formulas'!$A251),"C"&amp;A251+9),"")</f>
        <v/>
      </c>
      <c r="E251" s="3" t="str" cm="1">
        <f t="array" ref="E251">IF(ISNUMBER($A251),IF(A251=A250,"Reference2(False,True,"&amp;INDEX(BackgroundCalcs!$AX$2:$AX$500,'Grading Formulas'!$A251)&amp;")","MOEValue(.0001)"),"")</f>
        <v/>
      </c>
      <c r="F251" s="3" t="str">
        <f t="shared" si="21"/>
        <v/>
      </c>
      <c r="G251" s="3" t="str">
        <f t="shared" si="22"/>
        <v/>
      </c>
      <c r="H251" s="3" t="str">
        <f t="shared" si="23"/>
        <v/>
      </c>
    </row>
    <row r="252" spans="1:8">
      <c r="A252" s="4" t="str">
        <f t="shared" si="19"/>
        <v/>
      </c>
      <c r="B252" s="4" t="str">
        <f t="shared" si="20"/>
        <v/>
      </c>
      <c r="C252" s="19" t="str" cm="1">
        <f t="array" ref="C252">IF(ISNUMBER(A252),IF(A252=A251,INDEX(BackgroundCalcs!$AV$2:$AV$500,'Grading Formulas'!$A252),"Question Results"),"")</f>
        <v/>
      </c>
      <c r="D252" s="6" t="str" cm="1">
        <f t="array" ref="D252">IF(ISNUMBER($A252),IF(A252=A251,INDEX(BackgroundCalcs!$AW$2:$AW$500,'Grading Formulas'!$A252),"C"&amp;A252+9),"")</f>
        <v/>
      </c>
      <c r="E252" s="3" t="str" cm="1">
        <f t="array" ref="E252">IF(ISNUMBER($A252),IF(A252=A251,"Reference2(False,True,"&amp;INDEX(BackgroundCalcs!$AX$2:$AX$500,'Grading Formulas'!$A252)&amp;")","MOEValue(.0001)"),"")</f>
        <v/>
      </c>
      <c r="F252" s="3" t="str">
        <f t="shared" si="21"/>
        <v/>
      </c>
      <c r="G252" s="3" t="str">
        <f t="shared" si="22"/>
        <v/>
      </c>
      <c r="H252" s="3" t="str">
        <f t="shared" si="23"/>
        <v/>
      </c>
    </row>
    <row r="253" spans="1:8">
      <c r="A253" s="4" t="str">
        <f t="shared" si="19"/>
        <v/>
      </c>
      <c r="B253" s="4" t="str">
        <f t="shared" si="20"/>
        <v/>
      </c>
      <c r="C253" s="19" t="str" cm="1">
        <f t="array" ref="C253">IF(ISNUMBER(A253),IF(A253=A252,INDEX(BackgroundCalcs!$AV$2:$AV$500,'Grading Formulas'!$A253),"Question Results"),"")</f>
        <v/>
      </c>
      <c r="D253" s="6" t="str" cm="1">
        <f t="array" ref="D253">IF(ISNUMBER($A253),IF(A253=A252,INDEX(BackgroundCalcs!$AW$2:$AW$500,'Grading Formulas'!$A253),"C"&amp;A253+9),"")</f>
        <v/>
      </c>
      <c r="E253" s="3" t="str" cm="1">
        <f t="array" ref="E253">IF(ISNUMBER($A253),IF(A253=A252,"Reference2(False,True,"&amp;INDEX(BackgroundCalcs!$AX$2:$AX$500,'Grading Formulas'!$A253)&amp;")","MOEValue(.0001)"),"")</f>
        <v/>
      </c>
      <c r="F253" s="3" t="str">
        <f t="shared" si="21"/>
        <v/>
      </c>
      <c r="G253" s="3" t="str">
        <f t="shared" si="22"/>
        <v/>
      </c>
      <c r="H253" s="3" t="str">
        <f t="shared" si="23"/>
        <v/>
      </c>
    </row>
    <row r="254" spans="1:8">
      <c r="A254" s="4" t="str">
        <f t="shared" si="19"/>
        <v/>
      </c>
      <c r="B254" s="4" t="str">
        <f t="shared" si="20"/>
        <v/>
      </c>
      <c r="C254" s="19" t="str" cm="1">
        <f t="array" ref="C254">IF(ISNUMBER(A254),IF(A254=A253,INDEX(BackgroundCalcs!$AV$2:$AV$500,'Grading Formulas'!$A254),"Question Results"),"")</f>
        <v/>
      </c>
      <c r="D254" s="6" t="str" cm="1">
        <f t="array" ref="D254">IF(ISNUMBER($A254),IF(A254=A253,INDEX(BackgroundCalcs!$AW$2:$AW$500,'Grading Formulas'!$A254),"C"&amp;A254+9),"")</f>
        <v/>
      </c>
      <c r="E254" s="3" t="str" cm="1">
        <f t="array" ref="E254">IF(ISNUMBER($A254),IF(A254=A253,"Reference2(False,True,"&amp;INDEX(BackgroundCalcs!$AX$2:$AX$500,'Grading Formulas'!$A254)&amp;")","MOEValue(.0001)"),"")</f>
        <v/>
      </c>
      <c r="F254" s="3" t="str">
        <f t="shared" si="21"/>
        <v/>
      </c>
      <c r="G254" s="3" t="str">
        <f t="shared" si="22"/>
        <v/>
      </c>
      <c r="H254" s="3" t="str">
        <f t="shared" si="23"/>
        <v/>
      </c>
    </row>
    <row r="255" spans="1:8">
      <c r="A255" s="4" t="str">
        <f t="shared" si="19"/>
        <v/>
      </c>
      <c r="B255" s="4" t="str">
        <f t="shared" si="20"/>
        <v/>
      </c>
      <c r="C255" s="19" t="str" cm="1">
        <f t="array" ref="C255">IF(ISNUMBER(A255),IF(A255=A254,INDEX(BackgroundCalcs!$AV$2:$AV$500,'Grading Formulas'!$A255),"Question Results"),"")</f>
        <v/>
      </c>
      <c r="D255" s="6" t="str" cm="1">
        <f t="array" ref="D255">IF(ISNUMBER($A255),IF(A255=A254,INDEX(BackgroundCalcs!$AW$2:$AW$500,'Grading Formulas'!$A255),"C"&amp;A255+9),"")</f>
        <v/>
      </c>
      <c r="E255" s="3" t="str" cm="1">
        <f t="array" ref="E255">IF(ISNUMBER($A255),IF(A255=A254,"Reference2(False,True,"&amp;INDEX(BackgroundCalcs!$AX$2:$AX$500,'Grading Formulas'!$A255)&amp;")","MOEValue(.0001)"),"")</f>
        <v/>
      </c>
      <c r="F255" s="3" t="str">
        <f t="shared" si="21"/>
        <v/>
      </c>
      <c r="G255" s="3" t="str">
        <f t="shared" si="22"/>
        <v/>
      </c>
      <c r="H255" s="3" t="str">
        <f t="shared" si="23"/>
        <v/>
      </c>
    </row>
    <row r="256" spans="1:8">
      <c r="A256" s="4" t="str">
        <f t="shared" si="19"/>
        <v/>
      </c>
      <c r="B256" s="4" t="str">
        <f t="shared" si="20"/>
        <v/>
      </c>
      <c r="C256" s="19" t="str" cm="1">
        <f t="array" ref="C256">IF(ISNUMBER(A256),IF(A256=A255,INDEX(BackgroundCalcs!$AV$2:$AV$500,'Grading Formulas'!$A256),"Question Results"),"")</f>
        <v/>
      </c>
      <c r="D256" s="6" t="str" cm="1">
        <f t="array" ref="D256">IF(ISNUMBER($A256),IF(A256=A255,INDEX(BackgroundCalcs!$AW$2:$AW$500,'Grading Formulas'!$A256),"C"&amp;A256+9),"")</f>
        <v/>
      </c>
      <c r="E256" s="3" t="str" cm="1">
        <f t="array" ref="E256">IF(ISNUMBER($A256),IF(A256=A255,"Reference2(False,True,"&amp;INDEX(BackgroundCalcs!$AX$2:$AX$500,'Grading Formulas'!$A256)&amp;")","MOEValue(.0001)"),"")</f>
        <v/>
      </c>
      <c r="F256" s="3" t="str">
        <f t="shared" si="21"/>
        <v/>
      </c>
      <c r="G256" s="3" t="str">
        <f t="shared" si="22"/>
        <v/>
      </c>
      <c r="H256" s="3" t="str">
        <f t="shared" si="23"/>
        <v/>
      </c>
    </row>
    <row r="257" spans="1:8">
      <c r="A257" s="4" t="str">
        <f t="shared" si="19"/>
        <v/>
      </c>
      <c r="B257" s="4" t="str">
        <f t="shared" si="20"/>
        <v/>
      </c>
      <c r="C257" s="19" t="str" cm="1">
        <f t="array" ref="C257">IF(ISNUMBER(A257),IF(A257=A256,INDEX(BackgroundCalcs!$AV$2:$AV$500,'Grading Formulas'!$A257),"Question Results"),"")</f>
        <v/>
      </c>
      <c r="D257" s="6" t="str" cm="1">
        <f t="array" ref="D257">IF(ISNUMBER($A257),IF(A257=A256,INDEX(BackgroundCalcs!$AW$2:$AW$500,'Grading Formulas'!$A257),"C"&amp;A257+9),"")</f>
        <v/>
      </c>
      <c r="E257" s="3" t="str" cm="1">
        <f t="array" ref="E257">IF(ISNUMBER($A257),IF(A257=A256,"Reference2(False,True,"&amp;INDEX(BackgroundCalcs!$AX$2:$AX$500,'Grading Formulas'!$A257)&amp;")","MOEValue(.0001)"),"")</f>
        <v/>
      </c>
      <c r="F257" s="3" t="str">
        <f t="shared" si="21"/>
        <v/>
      </c>
      <c r="G257" s="3" t="str">
        <f t="shared" si="22"/>
        <v/>
      </c>
      <c r="H257" s="3" t="str">
        <f t="shared" si="23"/>
        <v/>
      </c>
    </row>
    <row r="258" spans="1:8">
      <c r="A258" s="4" t="str">
        <f t="shared" si="19"/>
        <v/>
      </c>
      <c r="B258" s="4" t="str">
        <f t="shared" si="20"/>
        <v/>
      </c>
      <c r="C258" s="19" t="str" cm="1">
        <f t="array" ref="C258">IF(ISNUMBER(A258),IF(A258=A257,INDEX(BackgroundCalcs!$AV$2:$AV$500,'Grading Formulas'!$A258),"Question Results"),"")</f>
        <v/>
      </c>
      <c r="D258" s="6" t="str" cm="1">
        <f t="array" ref="D258">IF(ISNUMBER($A258),IF(A258=A257,INDEX(BackgroundCalcs!$AW$2:$AW$500,'Grading Formulas'!$A258),"C"&amp;A258+9),"")</f>
        <v/>
      </c>
      <c r="E258" s="3" t="str" cm="1">
        <f t="array" ref="E258">IF(ISNUMBER($A258),IF(A258=A257,"Reference2(False,True,"&amp;INDEX(BackgroundCalcs!$AX$2:$AX$500,'Grading Formulas'!$A258)&amp;")","MOEValue(.0001)"),"")</f>
        <v/>
      </c>
      <c r="F258" s="3" t="str">
        <f t="shared" si="21"/>
        <v/>
      </c>
      <c r="G258" s="3" t="str">
        <f t="shared" si="22"/>
        <v/>
      </c>
      <c r="H258" s="3" t="str">
        <f t="shared" si="23"/>
        <v/>
      </c>
    </row>
    <row r="259" spans="1:8">
      <c r="A259" s="4" t="str">
        <f t="shared" si="19"/>
        <v/>
      </c>
      <c r="B259" s="4" t="str">
        <f t="shared" si="20"/>
        <v/>
      </c>
      <c r="C259" s="19" t="str" cm="1">
        <f t="array" ref="C259">IF(ISNUMBER(A259),IF(A259=A258,INDEX(BackgroundCalcs!$AV$2:$AV$500,'Grading Formulas'!$A259),"Question Results"),"")</f>
        <v/>
      </c>
      <c r="D259" s="6" t="str" cm="1">
        <f t="array" ref="D259">IF(ISNUMBER($A259),IF(A259=A258,INDEX(BackgroundCalcs!$AW$2:$AW$500,'Grading Formulas'!$A259),"C"&amp;A259+9),"")</f>
        <v/>
      </c>
      <c r="E259" s="3" t="str" cm="1">
        <f t="array" ref="E259">IF(ISNUMBER($A259),IF(A259=A258,"Reference2(False,True,"&amp;INDEX(BackgroundCalcs!$AX$2:$AX$500,'Grading Formulas'!$A259)&amp;")","MOEValue(.0001)"),"")</f>
        <v/>
      </c>
      <c r="F259" s="3" t="str">
        <f t="shared" si="21"/>
        <v/>
      </c>
      <c r="G259" s="3" t="str">
        <f t="shared" si="22"/>
        <v/>
      </c>
      <c r="H259" s="3" t="str">
        <f t="shared" si="23"/>
        <v/>
      </c>
    </row>
    <row r="260" spans="1:8">
      <c r="A260" s="4" t="str">
        <f t="shared" ref="A260:A323" si="24">IF(A258&lt;NumAnswers,A258+1,"")</f>
        <v/>
      </c>
      <c r="B260" s="4" t="str">
        <f t="shared" si="20"/>
        <v/>
      </c>
      <c r="C260" s="19" t="str" cm="1">
        <f t="array" ref="C260">IF(ISNUMBER(A260),IF(A260=A259,INDEX(BackgroundCalcs!$AV$2:$AV$500,'Grading Formulas'!$A260),"Question Results"),"")</f>
        <v/>
      </c>
      <c r="D260" s="6" t="str" cm="1">
        <f t="array" ref="D260">IF(ISNUMBER($A260),IF(A260=A259,INDEX(BackgroundCalcs!$AW$2:$AW$500,'Grading Formulas'!$A260),"C"&amp;A260+9),"")</f>
        <v/>
      </c>
      <c r="E260" s="3" t="str" cm="1">
        <f t="array" ref="E260">IF(ISNUMBER($A260),IF(A260=A259,"Reference2(False,True,"&amp;INDEX(BackgroundCalcs!$AX$2:$AX$500,'Grading Formulas'!$A260)&amp;")","MOEValue(.0001)"),"")</f>
        <v/>
      </c>
      <c r="F260" s="3" t="str">
        <f t="shared" si="21"/>
        <v/>
      </c>
      <c r="G260" s="3" t="str">
        <f t="shared" si="22"/>
        <v/>
      </c>
      <c r="H260" s="3" t="str">
        <f t="shared" si="23"/>
        <v/>
      </c>
    </row>
    <row r="261" spans="1:8">
      <c r="A261" s="4" t="str">
        <f t="shared" si="24"/>
        <v/>
      </c>
      <c r="B261" s="4" t="str">
        <f t="shared" si="20"/>
        <v/>
      </c>
      <c r="C261" s="19" t="str" cm="1">
        <f t="array" ref="C261">IF(ISNUMBER(A261),IF(A261=A260,INDEX(BackgroundCalcs!$AV$2:$AV$500,'Grading Formulas'!$A261),"Question Results"),"")</f>
        <v/>
      </c>
      <c r="D261" s="6" t="str" cm="1">
        <f t="array" ref="D261">IF(ISNUMBER($A261),IF(A261=A260,INDEX(BackgroundCalcs!$AW$2:$AW$500,'Grading Formulas'!$A261),"C"&amp;A261+9),"")</f>
        <v/>
      </c>
      <c r="E261" s="3" t="str" cm="1">
        <f t="array" ref="E261">IF(ISNUMBER($A261),IF(A261=A260,"Reference2(False,True,"&amp;INDEX(BackgroundCalcs!$AX$2:$AX$500,'Grading Formulas'!$A261)&amp;")","MOEValue(.0001)"),"")</f>
        <v/>
      </c>
      <c r="F261" s="3" t="str">
        <f t="shared" si="21"/>
        <v/>
      </c>
      <c r="G261" s="3" t="str">
        <f t="shared" si="22"/>
        <v/>
      </c>
      <c r="H261" s="3" t="str">
        <f t="shared" si="23"/>
        <v/>
      </c>
    </row>
    <row r="262" spans="1:8">
      <c r="A262" s="4" t="str">
        <f t="shared" si="24"/>
        <v/>
      </c>
      <c r="B262" s="4" t="str">
        <f t="shared" si="20"/>
        <v/>
      </c>
      <c r="C262" s="19" t="str" cm="1">
        <f t="array" ref="C262">IF(ISNUMBER(A262),IF(A262=A261,INDEX(BackgroundCalcs!$AV$2:$AV$500,'Grading Formulas'!$A262),"Question Results"),"")</f>
        <v/>
      </c>
      <c r="D262" s="6" t="str" cm="1">
        <f t="array" ref="D262">IF(ISNUMBER($A262),IF(A262=A261,INDEX(BackgroundCalcs!$AW$2:$AW$500,'Grading Formulas'!$A262),"C"&amp;A262+9),"")</f>
        <v/>
      </c>
      <c r="E262" s="3" t="str" cm="1">
        <f t="array" ref="E262">IF(ISNUMBER($A262),IF(A262=A261,"Reference2(False,True,"&amp;INDEX(BackgroundCalcs!$AX$2:$AX$500,'Grading Formulas'!$A262)&amp;")","MOEValue(.0001)"),"")</f>
        <v/>
      </c>
      <c r="F262" s="3" t="str">
        <f t="shared" si="21"/>
        <v/>
      </c>
      <c r="G262" s="3" t="str">
        <f t="shared" si="22"/>
        <v/>
      </c>
      <c r="H262" s="3" t="str">
        <f t="shared" si="23"/>
        <v/>
      </c>
    </row>
    <row r="263" spans="1:8">
      <c r="A263" s="4" t="str">
        <f t="shared" si="24"/>
        <v/>
      </c>
      <c r="B263" s="4" t="str">
        <f t="shared" si="20"/>
        <v/>
      </c>
      <c r="C263" s="19" t="str" cm="1">
        <f t="array" ref="C263">IF(ISNUMBER(A263),IF(A263=A262,INDEX(BackgroundCalcs!$AV$2:$AV$500,'Grading Formulas'!$A263),"Question Results"),"")</f>
        <v/>
      </c>
      <c r="D263" s="6" t="str" cm="1">
        <f t="array" ref="D263">IF(ISNUMBER($A263),IF(A263=A262,INDEX(BackgroundCalcs!$AW$2:$AW$500,'Grading Formulas'!$A263),"C"&amp;A263+9),"")</f>
        <v/>
      </c>
      <c r="E263" s="3" t="str" cm="1">
        <f t="array" ref="E263">IF(ISNUMBER($A263),IF(A263=A262,"Reference2(False,True,"&amp;INDEX(BackgroundCalcs!$AX$2:$AX$500,'Grading Formulas'!$A263)&amp;")","MOEValue(.0001)"),"")</f>
        <v/>
      </c>
      <c r="F263" s="3" t="str">
        <f t="shared" si="21"/>
        <v/>
      </c>
      <c r="G263" s="3" t="str">
        <f t="shared" si="22"/>
        <v/>
      </c>
      <c r="H263" s="3" t="str">
        <f t="shared" si="23"/>
        <v/>
      </c>
    </row>
    <row r="264" spans="1:8">
      <c r="A264" s="4" t="str">
        <f t="shared" si="24"/>
        <v/>
      </c>
      <c r="B264" s="4" t="str">
        <f t="shared" si="20"/>
        <v/>
      </c>
      <c r="C264" s="19" t="str" cm="1">
        <f t="array" ref="C264">IF(ISNUMBER(A264),IF(A264=A263,INDEX(BackgroundCalcs!$AV$2:$AV$500,'Grading Formulas'!$A264),"Question Results"),"")</f>
        <v/>
      </c>
      <c r="D264" s="6" t="str" cm="1">
        <f t="array" ref="D264">IF(ISNUMBER($A264),IF(A264=A263,INDEX(BackgroundCalcs!$AW$2:$AW$500,'Grading Formulas'!$A264),"C"&amp;A264+9),"")</f>
        <v/>
      </c>
      <c r="E264" s="3" t="str" cm="1">
        <f t="array" ref="E264">IF(ISNUMBER($A264),IF(A264=A263,"Reference2(False,True,"&amp;INDEX(BackgroundCalcs!$AX$2:$AX$500,'Grading Formulas'!$A264)&amp;")","MOEValue(.0001)"),"")</f>
        <v/>
      </c>
      <c r="F264" s="3" t="str">
        <f t="shared" si="21"/>
        <v/>
      </c>
      <c r="G264" s="3" t="str">
        <f t="shared" si="22"/>
        <v/>
      </c>
      <c r="H264" s="3" t="str">
        <f t="shared" si="23"/>
        <v/>
      </c>
    </row>
    <row r="265" spans="1:8">
      <c r="A265" s="4" t="str">
        <f t="shared" si="24"/>
        <v/>
      </c>
      <c r="B265" s="4" t="str">
        <f t="shared" si="20"/>
        <v/>
      </c>
      <c r="C265" s="19" t="str" cm="1">
        <f t="array" ref="C265">IF(ISNUMBER(A265),IF(A265=A264,INDEX(BackgroundCalcs!$AV$2:$AV$500,'Grading Formulas'!$A265),"Question Results"),"")</f>
        <v/>
      </c>
      <c r="D265" s="6" t="str" cm="1">
        <f t="array" ref="D265">IF(ISNUMBER($A265),IF(A265=A264,INDEX(BackgroundCalcs!$AW$2:$AW$500,'Grading Formulas'!$A265),"C"&amp;A265+9),"")</f>
        <v/>
      </c>
      <c r="E265" s="3" t="str" cm="1">
        <f t="array" ref="E265">IF(ISNUMBER($A265),IF(A265=A264,"Reference2(False,True,"&amp;INDEX(BackgroundCalcs!$AX$2:$AX$500,'Grading Formulas'!$A265)&amp;")","MOEValue(.0001)"),"")</f>
        <v/>
      </c>
      <c r="F265" s="3" t="str">
        <f t="shared" si="21"/>
        <v/>
      </c>
      <c r="G265" s="3" t="str">
        <f t="shared" si="22"/>
        <v/>
      </c>
      <c r="H265" s="3" t="str">
        <f t="shared" si="23"/>
        <v/>
      </c>
    </row>
    <row r="266" spans="1:8">
      <c r="A266" s="4" t="str">
        <f t="shared" si="24"/>
        <v/>
      </c>
      <c r="B266" s="4" t="str">
        <f t="shared" si="20"/>
        <v/>
      </c>
      <c r="C266" s="19" t="str" cm="1">
        <f t="array" ref="C266">IF(ISNUMBER(A266),IF(A266=A265,INDEX(BackgroundCalcs!$AV$2:$AV$500,'Grading Formulas'!$A266),"Question Results"),"")</f>
        <v/>
      </c>
      <c r="D266" s="6" t="str" cm="1">
        <f t="array" ref="D266">IF(ISNUMBER($A266),IF(A266=A265,INDEX(BackgroundCalcs!$AW$2:$AW$500,'Grading Formulas'!$A266),"C"&amp;A266+9),"")</f>
        <v/>
      </c>
      <c r="E266" s="3" t="str" cm="1">
        <f t="array" ref="E266">IF(ISNUMBER($A266),IF(A266=A265,"Reference2(False,True,"&amp;INDEX(BackgroundCalcs!$AX$2:$AX$500,'Grading Formulas'!$A266)&amp;")","MOEValue(.0001)"),"")</f>
        <v/>
      </c>
      <c r="F266" s="3" t="str">
        <f t="shared" si="21"/>
        <v/>
      </c>
      <c r="G266" s="3" t="str">
        <f t="shared" si="22"/>
        <v/>
      </c>
      <c r="H266" s="3" t="str">
        <f t="shared" si="23"/>
        <v/>
      </c>
    </row>
    <row r="267" spans="1:8">
      <c r="A267" s="4" t="str">
        <f t="shared" si="24"/>
        <v/>
      </c>
      <c r="B267" s="4" t="str">
        <f t="shared" si="20"/>
        <v/>
      </c>
      <c r="C267" s="19" t="str" cm="1">
        <f t="array" ref="C267">IF(ISNUMBER(A267),IF(A267=A266,INDEX(BackgroundCalcs!$AV$2:$AV$500,'Grading Formulas'!$A267),"Question Results"),"")</f>
        <v/>
      </c>
      <c r="D267" s="6" t="str" cm="1">
        <f t="array" ref="D267">IF(ISNUMBER($A267),IF(A267=A266,INDEX(BackgroundCalcs!$AW$2:$AW$500,'Grading Formulas'!$A267),"C"&amp;A267+9),"")</f>
        <v/>
      </c>
      <c r="E267" s="3" t="str" cm="1">
        <f t="array" ref="E267">IF(ISNUMBER($A267),IF(A267=A266,"Reference2(False,True,"&amp;INDEX(BackgroundCalcs!$AX$2:$AX$500,'Grading Formulas'!$A267)&amp;")","MOEValue(.0001)"),"")</f>
        <v/>
      </c>
      <c r="F267" s="3" t="str">
        <f t="shared" si="21"/>
        <v/>
      </c>
      <c r="G267" s="3" t="str">
        <f t="shared" si="22"/>
        <v/>
      </c>
      <c r="H267" s="3" t="str">
        <f t="shared" si="23"/>
        <v/>
      </c>
    </row>
    <row r="268" spans="1:8">
      <c r="A268" s="4" t="str">
        <f t="shared" si="24"/>
        <v/>
      </c>
      <c r="B268" s="4" t="str">
        <f t="shared" si="20"/>
        <v/>
      </c>
      <c r="C268" s="19" t="str" cm="1">
        <f t="array" ref="C268">IF(ISNUMBER(A268),IF(A268=A267,INDEX(BackgroundCalcs!$AV$2:$AV$500,'Grading Formulas'!$A268),"Question Results"),"")</f>
        <v/>
      </c>
      <c r="D268" s="6" t="str" cm="1">
        <f t="array" ref="D268">IF(ISNUMBER($A268),IF(A268=A267,INDEX(BackgroundCalcs!$AW$2:$AW$500,'Grading Formulas'!$A268),"C"&amp;A268+9),"")</f>
        <v/>
      </c>
      <c r="E268" s="3" t="str" cm="1">
        <f t="array" ref="E268">IF(ISNUMBER($A268),IF(A268=A267,"Reference2(False,True,"&amp;INDEX(BackgroundCalcs!$AX$2:$AX$500,'Grading Formulas'!$A268)&amp;")","MOEValue(.0001)"),"")</f>
        <v/>
      </c>
      <c r="F268" s="3" t="str">
        <f t="shared" si="21"/>
        <v/>
      </c>
      <c r="G268" s="3" t="str">
        <f t="shared" si="22"/>
        <v/>
      </c>
      <c r="H268" s="3" t="str">
        <f t="shared" si="23"/>
        <v/>
      </c>
    </row>
    <row r="269" spans="1:8">
      <c r="A269" s="4" t="str">
        <f t="shared" si="24"/>
        <v/>
      </c>
      <c r="B269" s="4" t="str">
        <f t="shared" si="20"/>
        <v/>
      </c>
      <c r="C269" s="19" t="str" cm="1">
        <f t="array" ref="C269">IF(ISNUMBER(A269),IF(A269=A268,INDEX(BackgroundCalcs!$AV$2:$AV$500,'Grading Formulas'!$A269),"Question Results"),"")</f>
        <v/>
      </c>
      <c r="D269" s="6" t="str" cm="1">
        <f t="array" ref="D269">IF(ISNUMBER($A269),IF(A269=A268,INDEX(BackgroundCalcs!$AW$2:$AW$500,'Grading Formulas'!$A269),"C"&amp;A269+9),"")</f>
        <v/>
      </c>
      <c r="E269" s="3" t="str" cm="1">
        <f t="array" ref="E269">IF(ISNUMBER($A269),IF(A269=A268,"Reference2(False,True,"&amp;INDEX(BackgroundCalcs!$AX$2:$AX$500,'Grading Formulas'!$A269)&amp;")","MOEValue(.0001)"),"")</f>
        <v/>
      </c>
      <c r="F269" s="3" t="str">
        <f t="shared" si="21"/>
        <v/>
      </c>
      <c r="G269" s="3" t="str">
        <f t="shared" si="22"/>
        <v/>
      </c>
      <c r="H269" s="3" t="str">
        <f t="shared" si="23"/>
        <v/>
      </c>
    </row>
    <row r="270" spans="1:8">
      <c r="A270" s="4" t="str">
        <f t="shared" si="24"/>
        <v/>
      </c>
      <c r="B270" s="4" t="str">
        <f t="shared" si="20"/>
        <v/>
      </c>
      <c r="C270" s="19" t="str" cm="1">
        <f t="array" ref="C270">IF(ISNUMBER(A270),IF(A270=A269,INDEX(BackgroundCalcs!$AV$2:$AV$500,'Grading Formulas'!$A270),"Question Results"),"")</f>
        <v/>
      </c>
      <c r="D270" s="6" t="str" cm="1">
        <f t="array" ref="D270">IF(ISNUMBER($A270),IF(A270=A269,INDEX(BackgroundCalcs!$AW$2:$AW$500,'Grading Formulas'!$A270),"C"&amp;A270+9),"")</f>
        <v/>
      </c>
      <c r="E270" s="3" t="str" cm="1">
        <f t="array" ref="E270">IF(ISNUMBER($A270),IF(A270=A269,"Reference2(False,True,"&amp;INDEX(BackgroundCalcs!$AX$2:$AX$500,'Grading Formulas'!$A270)&amp;")","MOEValue(.0001)"),"")</f>
        <v/>
      </c>
      <c r="F270" s="3" t="str">
        <f t="shared" si="21"/>
        <v/>
      </c>
      <c r="G270" s="3" t="str">
        <f t="shared" si="22"/>
        <v/>
      </c>
      <c r="H270" s="3" t="str">
        <f t="shared" si="23"/>
        <v/>
      </c>
    </row>
    <row r="271" spans="1:8">
      <c r="A271" s="4" t="str">
        <f t="shared" si="24"/>
        <v/>
      </c>
      <c r="B271" s="4" t="str">
        <f t="shared" si="20"/>
        <v/>
      </c>
      <c r="C271" s="19" t="str" cm="1">
        <f t="array" ref="C271">IF(ISNUMBER(A271),IF(A271=A270,INDEX(BackgroundCalcs!$AV$2:$AV$500,'Grading Formulas'!$A271),"Question Results"),"")</f>
        <v/>
      </c>
      <c r="D271" s="6" t="str" cm="1">
        <f t="array" ref="D271">IF(ISNUMBER($A271),IF(A271=A270,INDEX(BackgroundCalcs!$AW$2:$AW$500,'Grading Formulas'!$A271),"C"&amp;A271+9),"")</f>
        <v/>
      </c>
      <c r="E271" s="3" t="str" cm="1">
        <f t="array" ref="E271">IF(ISNUMBER($A271),IF(A271=A270,"Reference2(False,True,"&amp;INDEX(BackgroundCalcs!$AX$2:$AX$500,'Grading Formulas'!$A271)&amp;")","MOEValue(.0001)"),"")</f>
        <v/>
      </c>
      <c r="F271" s="3" t="str">
        <f t="shared" si="21"/>
        <v/>
      </c>
      <c r="G271" s="3" t="str">
        <f t="shared" si="22"/>
        <v/>
      </c>
      <c r="H271" s="3" t="str">
        <f t="shared" si="23"/>
        <v/>
      </c>
    </row>
    <row r="272" spans="1:8">
      <c r="A272" s="4" t="str">
        <f t="shared" si="24"/>
        <v/>
      </c>
      <c r="B272" s="4" t="str">
        <f t="shared" si="20"/>
        <v/>
      </c>
      <c r="C272" s="19" t="str" cm="1">
        <f t="array" ref="C272">IF(ISNUMBER(A272),IF(A272=A271,INDEX(BackgroundCalcs!$AV$2:$AV$500,'Grading Formulas'!$A272),"Question Results"),"")</f>
        <v/>
      </c>
      <c r="D272" s="6" t="str" cm="1">
        <f t="array" ref="D272">IF(ISNUMBER($A272),IF(A272=A271,INDEX(BackgroundCalcs!$AW$2:$AW$500,'Grading Formulas'!$A272),"C"&amp;A272+9),"")</f>
        <v/>
      </c>
      <c r="E272" s="3" t="str" cm="1">
        <f t="array" ref="E272">IF(ISNUMBER($A272),IF(A272=A271,"Reference2(False,True,"&amp;INDEX(BackgroundCalcs!$AX$2:$AX$500,'Grading Formulas'!$A272)&amp;")","MOEValue(.0001)"),"")</f>
        <v/>
      </c>
      <c r="F272" s="3" t="str">
        <f t="shared" si="21"/>
        <v/>
      </c>
      <c r="G272" s="3" t="str">
        <f t="shared" si="22"/>
        <v/>
      </c>
      <c r="H272" s="3" t="str">
        <f t="shared" si="23"/>
        <v/>
      </c>
    </row>
    <row r="273" spans="1:8">
      <c r="A273" s="4" t="str">
        <f t="shared" si="24"/>
        <v/>
      </c>
      <c r="B273" s="4" t="str">
        <f t="shared" si="20"/>
        <v/>
      </c>
      <c r="C273" s="19" t="str" cm="1">
        <f t="array" ref="C273">IF(ISNUMBER(A273),IF(A273=A272,INDEX(BackgroundCalcs!$AV$2:$AV$500,'Grading Formulas'!$A273),"Question Results"),"")</f>
        <v/>
      </c>
      <c r="D273" s="6" t="str" cm="1">
        <f t="array" ref="D273">IF(ISNUMBER($A273),IF(A273=A272,INDEX(BackgroundCalcs!$AW$2:$AW$500,'Grading Formulas'!$A273),"C"&amp;A273+9),"")</f>
        <v/>
      </c>
      <c r="E273" s="3" t="str" cm="1">
        <f t="array" ref="E273">IF(ISNUMBER($A273),IF(A273=A272,"Reference2(False,True,"&amp;INDEX(BackgroundCalcs!$AX$2:$AX$500,'Grading Formulas'!$A273)&amp;")","MOEValue(.0001)"),"")</f>
        <v/>
      </c>
      <c r="F273" s="3" t="str">
        <f t="shared" si="21"/>
        <v/>
      </c>
      <c r="G273" s="3" t="str">
        <f t="shared" si="22"/>
        <v/>
      </c>
      <c r="H273" s="3" t="str">
        <f t="shared" si="23"/>
        <v/>
      </c>
    </row>
    <row r="274" spans="1:8">
      <c r="A274" s="4" t="str">
        <f t="shared" si="24"/>
        <v/>
      </c>
      <c r="B274" s="4" t="str">
        <f t="shared" si="20"/>
        <v/>
      </c>
      <c r="C274" s="19" t="str" cm="1">
        <f t="array" ref="C274">IF(ISNUMBER(A274),IF(A274=A273,INDEX(BackgroundCalcs!$AV$2:$AV$500,'Grading Formulas'!$A274),"Question Results"),"")</f>
        <v/>
      </c>
      <c r="D274" s="6" t="str" cm="1">
        <f t="array" ref="D274">IF(ISNUMBER($A274),IF(A274=A273,INDEX(BackgroundCalcs!$AW$2:$AW$500,'Grading Formulas'!$A274),"C"&amp;A274+9),"")</f>
        <v/>
      </c>
      <c r="E274" s="3" t="str" cm="1">
        <f t="array" ref="E274">IF(ISNUMBER($A274),IF(A274=A273,"Reference2(False,True,"&amp;INDEX(BackgroundCalcs!$AX$2:$AX$500,'Grading Formulas'!$A274)&amp;")","MOEValue(.0001)"),"")</f>
        <v/>
      </c>
      <c r="F274" s="3" t="str">
        <f t="shared" si="21"/>
        <v/>
      </c>
      <c r="G274" s="3" t="str">
        <f t="shared" si="22"/>
        <v/>
      </c>
      <c r="H274" s="3" t="str">
        <f t="shared" si="23"/>
        <v/>
      </c>
    </row>
    <row r="275" spans="1:8">
      <c r="A275" s="4" t="str">
        <f t="shared" si="24"/>
        <v/>
      </c>
      <c r="B275" s="4" t="str">
        <f t="shared" si="20"/>
        <v/>
      </c>
      <c r="C275" s="19" t="str" cm="1">
        <f t="array" ref="C275">IF(ISNUMBER(A275),IF(A275=A274,INDEX(BackgroundCalcs!$AV$2:$AV$500,'Grading Formulas'!$A275),"Question Results"),"")</f>
        <v/>
      </c>
      <c r="D275" s="6" t="str" cm="1">
        <f t="array" ref="D275">IF(ISNUMBER($A275),IF(A275=A274,INDEX(BackgroundCalcs!$AW$2:$AW$500,'Grading Formulas'!$A275),"C"&amp;A275+9),"")</f>
        <v/>
      </c>
      <c r="E275" s="3" t="str" cm="1">
        <f t="array" ref="E275">IF(ISNUMBER($A275),IF(A275=A274,"Reference2(False,True,"&amp;INDEX(BackgroundCalcs!$AX$2:$AX$500,'Grading Formulas'!$A275)&amp;")","MOEValue(.0001)"),"")</f>
        <v/>
      </c>
      <c r="F275" s="3" t="str">
        <f t="shared" si="21"/>
        <v/>
      </c>
      <c r="G275" s="3" t="str">
        <f t="shared" si="22"/>
        <v/>
      </c>
      <c r="H275" s="3" t="str">
        <f t="shared" si="23"/>
        <v/>
      </c>
    </row>
    <row r="276" spans="1:8">
      <c r="A276" s="4" t="str">
        <f t="shared" si="24"/>
        <v/>
      </c>
      <c r="B276" s="4" t="str">
        <f t="shared" si="20"/>
        <v/>
      </c>
      <c r="C276" s="19" t="str" cm="1">
        <f t="array" ref="C276">IF(ISNUMBER(A276),IF(A276=A275,INDEX(BackgroundCalcs!$AV$2:$AV$500,'Grading Formulas'!$A276),"Question Results"),"")</f>
        <v/>
      </c>
      <c r="D276" s="6" t="str" cm="1">
        <f t="array" ref="D276">IF(ISNUMBER($A276),IF(A276=A275,INDEX(BackgroundCalcs!$AW$2:$AW$500,'Grading Formulas'!$A276),"C"&amp;A276+9),"")</f>
        <v/>
      </c>
      <c r="E276" s="3" t="str" cm="1">
        <f t="array" ref="E276">IF(ISNUMBER($A276),IF(A276=A275,"Reference2(False,True,"&amp;INDEX(BackgroundCalcs!$AX$2:$AX$500,'Grading Formulas'!$A276)&amp;")","MOEValue(.0001)"),"")</f>
        <v/>
      </c>
      <c r="F276" s="3" t="str">
        <f t="shared" si="21"/>
        <v/>
      </c>
      <c r="G276" s="3" t="str">
        <f t="shared" si="22"/>
        <v/>
      </c>
      <c r="H276" s="3" t="str">
        <f t="shared" si="23"/>
        <v/>
      </c>
    </row>
    <row r="277" spans="1:8">
      <c r="A277" s="4" t="str">
        <f t="shared" si="24"/>
        <v/>
      </c>
      <c r="B277" s="4" t="str">
        <f t="shared" si="20"/>
        <v/>
      </c>
      <c r="C277" s="19" t="str" cm="1">
        <f t="array" ref="C277">IF(ISNUMBER(A277),IF(A277=A276,INDEX(BackgroundCalcs!$AV$2:$AV$500,'Grading Formulas'!$A277),"Question Results"),"")</f>
        <v/>
      </c>
      <c r="D277" s="6" t="str" cm="1">
        <f t="array" ref="D277">IF(ISNUMBER($A277),IF(A277=A276,INDEX(BackgroundCalcs!$AW$2:$AW$500,'Grading Formulas'!$A277),"C"&amp;A277+9),"")</f>
        <v/>
      </c>
      <c r="E277" s="3" t="str" cm="1">
        <f t="array" ref="E277">IF(ISNUMBER($A277),IF(A277=A276,"Reference2(False,True,"&amp;INDEX(BackgroundCalcs!$AX$2:$AX$500,'Grading Formulas'!$A277)&amp;")","MOEValue(.0001)"),"")</f>
        <v/>
      </c>
      <c r="F277" s="3" t="str">
        <f t="shared" si="21"/>
        <v/>
      </c>
      <c r="G277" s="3" t="str">
        <f t="shared" si="22"/>
        <v/>
      </c>
      <c r="H277" s="3" t="str">
        <f t="shared" si="23"/>
        <v/>
      </c>
    </row>
    <row r="278" spans="1:8">
      <c r="A278" s="4" t="str">
        <f t="shared" si="24"/>
        <v/>
      </c>
      <c r="B278" s="4" t="str">
        <f t="shared" si="20"/>
        <v/>
      </c>
      <c r="C278" s="19" t="str" cm="1">
        <f t="array" ref="C278">IF(ISNUMBER(A278),IF(A278=A277,INDEX(BackgroundCalcs!$AV$2:$AV$500,'Grading Formulas'!$A278),"Question Results"),"")</f>
        <v/>
      </c>
      <c r="D278" s="6" t="str" cm="1">
        <f t="array" ref="D278">IF(ISNUMBER($A278),IF(A278=A277,INDEX(BackgroundCalcs!$AW$2:$AW$500,'Grading Formulas'!$A278),"C"&amp;A278+9),"")</f>
        <v/>
      </c>
      <c r="E278" s="3" t="str" cm="1">
        <f t="array" ref="E278">IF(ISNUMBER($A278),IF(A278=A277,"Reference2(False,True,"&amp;INDEX(BackgroundCalcs!$AX$2:$AX$500,'Grading Formulas'!$A278)&amp;")","MOEValue(.0001)"),"")</f>
        <v/>
      </c>
      <c r="F278" s="3" t="str">
        <f t="shared" si="21"/>
        <v/>
      </c>
      <c r="G278" s="3" t="str">
        <f t="shared" si="22"/>
        <v/>
      </c>
      <c r="H278" s="3" t="str">
        <f t="shared" si="23"/>
        <v/>
      </c>
    </row>
    <row r="279" spans="1:8">
      <c r="A279" s="4" t="str">
        <f t="shared" si="24"/>
        <v/>
      </c>
      <c r="B279" s="4" t="str">
        <f t="shared" si="20"/>
        <v/>
      </c>
      <c r="C279" s="19" t="str" cm="1">
        <f t="array" ref="C279">IF(ISNUMBER(A279),IF(A279=A278,INDEX(BackgroundCalcs!$AV$2:$AV$500,'Grading Formulas'!$A279),"Question Results"),"")</f>
        <v/>
      </c>
      <c r="D279" s="6" t="str" cm="1">
        <f t="array" ref="D279">IF(ISNUMBER($A279),IF(A279=A278,INDEX(BackgroundCalcs!$AW$2:$AW$500,'Grading Formulas'!$A279),"C"&amp;A279+9),"")</f>
        <v/>
      </c>
      <c r="E279" s="3" t="str" cm="1">
        <f t="array" ref="E279">IF(ISNUMBER($A279),IF(A279=A278,"Reference2(False,True,"&amp;INDEX(BackgroundCalcs!$AX$2:$AX$500,'Grading Formulas'!$A279)&amp;")","MOEValue(.0001)"),"")</f>
        <v/>
      </c>
      <c r="F279" s="3" t="str">
        <f t="shared" si="21"/>
        <v/>
      </c>
      <c r="G279" s="3" t="str">
        <f t="shared" si="22"/>
        <v/>
      </c>
      <c r="H279" s="3" t="str">
        <f t="shared" si="23"/>
        <v/>
      </c>
    </row>
    <row r="280" spans="1:8">
      <c r="A280" s="4" t="str">
        <f t="shared" si="24"/>
        <v/>
      </c>
      <c r="B280" s="4" t="str">
        <f t="shared" si="20"/>
        <v/>
      </c>
      <c r="C280" s="19" t="str" cm="1">
        <f t="array" ref="C280">IF(ISNUMBER(A280),IF(A280=A279,INDEX(BackgroundCalcs!$AV$2:$AV$500,'Grading Formulas'!$A280),"Question Results"),"")</f>
        <v/>
      </c>
      <c r="D280" s="6" t="str" cm="1">
        <f t="array" ref="D280">IF(ISNUMBER($A280),IF(A280=A279,INDEX(BackgroundCalcs!$AW$2:$AW$500,'Grading Formulas'!$A280),"C"&amp;A280+9),"")</f>
        <v/>
      </c>
      <c r="E280" s="3" t="str" cm="1">
        <f t="array" ref="E280">IF(ISNUMBER($A280),IF(A280=A279,"Reference2(False,True,"&amp;INDEX(BackgroundCalcs!$AX$2:$AX$500,'Grading Formulas'!$A280)&amp;")","MOEValue(.0001)"),"")</f>
        <v/>
      </c>
      <c r="F280" s="3" t="str">
        <f t="shared" si="21"/>
        <v/>
      </c>
      <c r="G280" s="3" t="str">
        <f t="shared" si="22"/>
        <v/>
      </c>
      <c r="H280" s="3" t="str">
        <f t="shared" si="23"/>
        <v/>
      </c>
    </row>
    <row r="281" spans="1:8">
      <c r="A281" s="4" t="str">
        <f t="shared" si="24"/>
        <v/>
      </c>
      <c r="B281" s="4" t="str">
        <f t="shared" si="20"/>
        <v/>
      </c>
      <c r="C281" s="19" t="str" cm="1">
        <f t="array" ref="C281">IF(ISNUMBER(A281),IF(A281=A280,INDEX(BackgroundCalcs!$AV$2:$AV$500,'Grading Formulas'!$A281),"Question Results"),"")</f>
        <v/>
      </c>
      <c r="D281" s="6" t="str" cm="1">
        <f t="array" ref="D281">IF(ISNUMBER($A281),IF(A281=A280,INDEX(BackgroundCalcs!$AW$2:$AW$500,'Grading Formulas'!$A281),"C"&amp;A281+9),"")</f>
        <v/>
      </c>
      <c r="E281" s="3" t="str" cm="1">
        <f t="array" ref="E281">IF(ISNUMBER($A281),IF(A281=A280,"Reference2(False,True,"&amp;INDEX(BackgroundCalcs!$AX$2:$AX$500,'Grading Formulas'!$A281)&amp;")","MOEValue(.0001)"),"")</f>
        <v/>
      </c>
      <c r="F281" s="3" t="str">
        <f t="shared" si="21"/>
        <v/>
      </c>
      <c r="G281" s="3" t="str">
        <f t="shared" si="22"/>
        <v/>
      </c>
      <c r="H281" s="3" t="str">
        <f t="shared" si="23"/>
        <v/>
      </c>
    </row>
    <row r="282" spans="1:8">
      <c r="A282" s="4" t="str">
        <f t="shared" si="24"/>
        <v/>
      </c>
      <c r="B282" s="4" t="str">
        <f t="shared" si="20"/>
        <v/>
      </c>
      <c r="C282" s="19" t="str" cm="1">
        <f t="array" ref="C282">IF(ISNUMBER(A282),IF(A282=A281,INDEX(BackgroundCalcs!$AV$2:$AV$500,'Grading Formulas'!$A282),"Question Results"),"")</f>
        <v/>
      </c>
      <c r="D282" s="6" t="str" cm="1">
        <f t="array" ref="D282">IF(ISNUMBER($A282),IF(A282=A281,INDEX(BackgroundCalcs!$AW$2:$AW$500,'Grading Formulas'!$A282),"C"&amp;A282+9),"")</f>
        <v/>
      </c>
      <c r="E282" s="3" t="str" cm="1">
        <f t="array" ref="E282">IF(ISNUMBER($A282),IF(A282=A281,"Reference2(False,True,"&amp;INDEX(BackgroundCalcs!$AX$2:$AX$500,'Grading Formulas'!$A282)&amp;")","MOEValue(.0001)"),"")</f>
        <v/>
      </c>
      <c r="F282" s="3" t="str">
        <f t="shared" si="21"/>
        <v/>
      </c>
      <c r="G282" s="3" t="str">
        <f t="shared" si="22"/>
        <v/>
      </c>
      <c r="H282" s="3" t="str">
        <f t="shared" si="23"/>
        <v/>
      </c>
    </row>
    <row r="283" spans="1:8">
      <c r="A283" s="4" t="str">
        <f t="shared" si="24"/>
        <v/>
      </c>
      <c r="B283" s="4" t="str">
        <f t="shared" si="20"/>
        <v/>
      </c>
      <c r="C283" s="19" t="str" cm="1">
        <f t="array" ref="C283">IF(ISNUMBER(A283),IF(A283=A282,INDEX(BackgroundCalcs!$AV$2:$AV$500,'Grading Formulas'!$A283),"Question Results"),"")</f>
        <v/>
      </c>
      <c r="D283" s="6" t="str" cm="1">
        <f t="array" ref="D283">IF(ISNUMBER($A283),IF(A283=A282,INDEX(BackgroundCalcs!$AW$2:$AW$500,'Grading Formulas'!$A283),"C"&amp;A283+9),"")</f>
        <v/>
      </c>
      <c r="E283" s="3" t="str" cm="1">
        <f t="array" ref="E283">IF(ISNUMBER($A283),IF(A283=A282,"Reference2(False,True,"&amp;INDEX(BackgroundCalcs!$AX$2:$AX$500,'Grading Formulas'!$A283)&amp;")","MOEValue(.0001)"),"")</f>
        <v/>
      </c>
      <c r="F283" s="3" t="str">
        <f t="shared" si="21"/>
        <v/>
      </c>
      <c r="G283" s="3" t="str">
        <f t="shared" si="22"/>
        <v/>
      </c>
      <c r="H283" s="3" t="str">
        <f t="shared" si="23"/>
        <v/>
      </c>
    </row>
    <row r="284" spans="1:8">
      <c r="A284" s="4" t="str">
        <f t="shared" si="24"/>
        <v/>
      </c>
      <c r="B284" s="4" t="str">
        <f t="shared" ref="B284:B347" si="25">IF(ISNUMBER(A284),"CELL","")</f>
        <v/>
      </c>
      <c r="C284" s="19" t="str" cm="1">
        <f t="array" ref="C284">IF(ISNUMBER(A284),IF(A284=A283,INDEX(BackgroundCalcs!$AV$2:$AV$500,'Grading Formulas'!$A284),"Question Results"),"")</f>
        <v/>
      </c>
      <c r="D284" s="6" t="str" cm="1">
        <f t="array" ref="D284">IF(ISNUMBER($A284),IF(A284=A283,INDEX(BackgroundCalcs!$AW$2:$AW$500,'Grading Formulas'!$A284),"C"&amp;A284+9),"")</f>
        <v/>
      </c>
      <c r="E284" s="3" t="str" cm="1">
        <f t="array" ref="E284">IF(ISNUMBER($A284),IF(A284=A283,"Reference2(False,True,"&amp;INDEX(BackgroundCalcs!$AX$2:$AX$500,'Grading Formulas'!$A284)&amp;")","MOEValue(.0001)"),"")</f>
        <v/>
      </c>
      <c r="F284" s="3" t="str">
        <f t="shared" ref="F284:F347" si="26">IF(ISNUMBER($A284),IF(A284=A283,-1000,1),"")</f>
        <v/>
      </c>
      <c r="G284" s="3" t="str">
        <f t="shared" ref="G284:G347" si="27">IF(ISNUMBER($A284),IF(A284=A283,"You should not be referencing the answer cell","Correct"),"")</f>
        <v/>
      </c>
      <c r="H284" s="3" t="str">
        <f t="shared" ref="H284:H347" si="28">IF(ISNUMBER($A284),IF(A284=A283,"N/A","Incorrect"),"")</f>
        <v/>
      </c>
    </row>
    <row r="285" spans="1:8">
      <c r="A285" s="4" t="str">
        <f t="shared" si="24"/>
        <v/>
      </c>
      <c r="B285" s="4" t="str">
        <f t="shared" si="25"/>
        <v/>
      </c>
      <c r="C285" s="19" t="str" cm="1">
        <f t="array" ref="C285">IF(ISNUMBER(A285),IF(A285=A284,INDEX(BackgroundCalcs!$AV$2:$AV$500,'Grading Formulas'!$A285),"Question Results"),"")</f>
        <v/>
      </c>
      <c r="D285" s="6" t="str" cm="1">
        <f t="array" ref="D285">IF(ISNUMBER($A285),IF(A285=A284,INDEX(BackgroundCalcs!$AW$2:$AW$500,'Grading Formulas'!$A285),"C"&amp;A285+9),"")</f>
        <v/>
      </c>
      <c r="E285" s="3" t="str" cm="1">
        <f t="array" ref="E285">IF(ISNUMBER($A285),IF(A285=A284,"Reference2(False,True,"&amp;INDEX(BackgroundCalcs!$AX$2:$AX$500,'Grading Formulas'!$A285)&amp;")","MOEValue(.0001)"),"")</f>
        <v/>
      </c>
      <c r="F285" s="3" t="str">
        <f t="shared" si="26"/>
        <v/>
      </c>
      <c r="G285" s="3" t="str">
        <f t="shared" si="27"/>
        <v/>
      </c>
      <c r="H285" s="3" t="str">
        <f t="shared" si="28"/>
        <v/>
      </c>
    </row>
    <row r="286" spans="1:8">
      <c r="A286" s="4" t="str">
        <f t="shared" si="24"/>
        <v/>
      </c>
      <c r="B286" s="4" t="str">
        <f t="shared" si="25"/>
        <v/>
      </c>
      <c r="C286" s="19" t="str" cm="1">
        <f t="array" ref="C286">IF(ISNUMBER(A286),IF(A286=A285,INDEX(BackgroundCalcs!$AV$2:$AV$500,'Grading Formulas'!$A286),"Question Results"),"")</f>
        <v/>
      </c>
      <c r="D286" s="6" t="str" cm="1">
        <f t="array" ref="D286">IF(ISNUMBER($A286),IF(A286=A285,INDEX(BackgroundCalcs!$AW$2:$AW$500,'Grading Formulas'!$A286),"C"&amp;A286+9),"")</f>
        <v/>
      </c>
      <c r="E286" s="3" t="str" cm="1">
        <f t="array" ref="E286">IF(ISNUMBER($A286),IF(A286=A285,"Reference2(False,True,"&amp;INDEX(BackgroundCalcs!$AX$2:$AX$500,'Grading Formulas'!$A286)&amp;")","MOEValue(.0001)"),"")</f>
        <v/>
      </c>
      <c r="F286" s="3" t="str">
        <f t="shared" si="26"/>
        <v/>
      </c>
      <c r="G286" s="3" t="str">
        <f t="shared" si="27"/>
        <v/>
      </c>
      <c r="H286" s="3" t="str">
        <f t="shared" si="28"/>
        <v/>
      </c>
    </row>
    <row r="287" spans="1:8">
      <c r="A287" s="4" t="str">
        <f t="shared" si="24"/>
        <v/>
      </c>
      <c r="B287" s="4" t="str">
        <f t="shared" si="25"/>
        <v/>
      </c>
      <c r="C287" s="19" t="str" cm="1">
        <f t="array" ref="C287">IF(ISNUMBER(A287),IF(A287=A286,INDEX(BackgroundCalcs!$AV$2:$AV$500,'Grading Formulas'!$A287),"Question Results"),"")</f>
        <v/>
      </c>
      <c r="D287" s="6" t="str" cm="1">
        <f t="array" ref="D287">IF(ISNUMBER($A287),IF(A287=A286,INDEX(BackgroundCalcs!$AW$2:$AW$500,'Grading Formulas'!$A287),"C"&amp;A287+9),"")</f>
        <v/>
      </c>
      <c r="E287" s="3" t="str" cm="1">
        <f t="array" ref="E287">IF(ISNUMBER($A287),IF(A287=A286,"Reference2(False,True,"&amp;INDEX(BackgroundCalcs!$AX$2:$AX$500,'Grading Formulas'!$A287)&amp;")","MOEValue(.0001)"),"")</f>
        <v/>
      </c>
      <c r="F287" s="3" t="str">
        <f t="shared" si="26"/>
        <v/>
      </c>
      <c r="G287" s="3" t="str">
        <f t="shared" si="27"/>
        <v/>
      </c>
      <c r="H287" s="3" t="str">
        <f t="shared" si="28"/>
        <v/>
      </c>
    </row>
    <row r="288" spans="1:8">
      <c r="A288" s="4" t="str">
        <f t="shared" si="24"/>
        <v/>
      </c>
      <c r="B288" s="4" t="str">
        <f t="shared" si="25"/>
        <v/>
      </c>
      <c r="C288" s="19" t="str" cm="1">
        <f t="array" ref="C288">IF(ISNUMBER(A288),IF(A288=A287,INDEX(BackgroundCalcs!$AV$2:$AV$500,'Grading Formulas'!$A288),"Question Results"),"")</f>
        <v/>
      </c>
      <c r="D288" s="6" t="str" cm="1">
        <f t="array" ref="D288">IF(ISNUMBER($A288),IF(A288=A287,INDEX(BackgroundCalcs!$AW$2:$AW$500,'Grading Formulas'!$A288),"C"&amp;A288+9),"")</f>
        <v/>
      </c>
      <c r="E288" s="3" t="str" cm="1">
        <f t="array" ref="E288">IF(ISNUMBER($A288),IF(A288=A287,"Reference2(False,True,"&amp;INDEX(BackgroundCalcs!$AX$2:$AX$500,'Grading Formulas'!$A288)&amp;")","MOEValue(.0001)"),"")</f>
        <v/>
      </c>
      <c r="F288" s="3" t="str">
        <f t="shared" si="26"/>
        <v/>
      </c>
      <c r="G288" s="3" t="str">
        <f t="shared" si="27"/>
        <v/>
      </c>
      <c r="H288" s="3" t="str">
        <f t="shared" si="28"/>
        <v/>
      </c>
    </row>
    <row r="289" spans="1:8">
      <c r="A289" s="4" t="str">
        <f t="shared" si="24"/>
        <v/>
      </c>
      <c r="B289" s="4" t="str">
        <f t="shared" si="25"/>
        <v/>
      </c>
      <c r="C289" s="19" t="str" cm="1">
        <f t="array" ref="C289">IF(ISNUMBER(A289),IF(A289=A288,INDEX(BackgroundCalcs!$AV$2:$AV$500,'Grading Formulas'!$A289),"Question Results"),"")</f>
        <v/>
      </c>
      <c r="D289" s="6" t="str" cm="1">
        <f t="array" ref="D289">IF(ISNUMBER($A289),IF(A289=A288,INDEX(BackgroundCalcs!$AW$2:$AW$500,'Grading Formulas'!$A289),"C"&amp;A289+9),"")</f>
        <v/>
      </c>
      <c r="E289" s="3" t="str" cm="1">
        <f t="array" ref="E289">IF(ISNUMBER($A289),IF(A289=A288,"Reference2(False,True,"&amp;INDEX(BackgroundCalcs!$AX$2:$AX$500,'Grading Formulas'!$A289)&amp;")","MOEValue(.0001)"),"")</f>
        <v/>
      </c>
      <c r="F289" s="3" t="str">
        <f t="shared" si="26"/>
        <v/>
      </c>
      <c r="G289" s="3" t="str">
        <f t="shared" si="27"/>
        <v/>
      </c>
      <c r="H289" s="3" t="str">
        <f t="shared" si="28"/>
        <v/>
      </c>
    </row>
    <row r="290" spans="1:8">
      <c r="A290" s="4" t="str">
        <f t="shared" si="24"/>
        <v/>
      </c>
      <c r="B290" s="4" t="str">
        <f t="shared" si="25"/>
        <v/>
      </c>
      <c r="C290" s="19" t="str" cm="1">
        <f t="array" ref="C290">IF(ISNUMBER(A290),IF(A290=A289,INDEX(BackgroundCalcs!$AV$2:$AV$500,'Grading Formulas'!$A290),"Question Results"),"")</f>
        <v/>
      </c>
      <c r="D290" s="6" t="str" cm="1">
        <f t="array" ref="D290">IF(ISNUMBER($A290),IF(A290=A289,INDEX(BackgroundCalcs!$AW$2:$AW$500,'Grading Formulas'!$A290),"C"&amp;A290+9),"")</f>
        <v/>
      </c>
      <c r="E290" s="3" t="str" cm="1">
        <f t="array" ref="E290">IF(ISNUMBER($A290),IF(A290=A289,"Reference2(False,True,"&amp;INDEX(BackgroundCalcs!$AX$2:$AX$500,'Grading Formulas'!$A290)&amp;")","MOEValue(.0001)"),"")</f>
        <v/>
      </c>
      <c r="F290" s="3" t="str">
        <f t="shared" si="26"/>
        <v/>
      </c>
      <c r="G290" s="3" t="str">
        <f t="shared" si="27"/>
        <v/>
      </c>
      <c r="H290" s="3" t="str">
        <f t="shared" si="28"/>
        <v/>
      </c>
    </row>
    <row r="291" spans="1:8">
      <c r="A291" s="4" t="str">
        <f t="shared" si="24"/>
        <v/>
      </c>
      <c r="B291" s="4" t="str">
        <f t="shared" si="25"/>
        <v/>
      </c>
      <c r="C291" s="19" t="str" cm="1">
        <f t="array" ref="C291">IF(ISNUMBER(A291),IF(A291=A290,INDEX(BackgroundCalcs!$AV$2:$AV$500,'Grading Formulas'!$A291),"Question Results"),"")</f>
        <v/>
      </c>
      <c r="D291" s="6" t="str" cm="1">
        <f t="array" ref="D291">IF(ISNUMBER($A291),IF(A291=A290,INDEX(BackgroundCalcs!$AW$2:$AW$500,'Grading Formulas'!$A291),"C"&amp;A291+9),"")</f>
        <v/>
      </c>
      <c r="E291" s="3" t="str" cm="1">
        <f t="array" ref="E291">IF(ISNUMBER($A291),IF(A291=A290,"Reference2(False,True,"&amp;INDEX(BackgroundCalcs!$AX$2:$AX$500,'Grading Formulas'!$A291)&amp;")","MOEValue(.0001)"),"")</f>
        <v/>
      </c>
      <c r="F291" s="3" t="str">
        <f t="shared" si="26"/>
        <v/>
      </c>
      <c r="G291" s="3" t="str">
        <f t="shared" si="27"/>
        <v/>
      </c>
      <c r="H291" s="3" t="str">
        <f t="shared" si="28"/>
        <v/>
      </c>
    </row>
    <row r="292" spans="1:8">
      <c r="A292" s="4" t="str">
        <f t="shared" si="24"/>
        <v/>
      </c>
      <c r="B292" s="4" t="str">
        <f t="shared" si="25"/>
        <v/>
      </c>
      <c r="C292" s="19" t="str" cm="1">
        <f t="array" ref="C292">IF(ISNUMBER(A292),IF(A292=A291,INDEX(BackgroundCalcs!$AV$2:$AV$500,'Grading Formulas'!$A292),"Question Results"),"")</f>
        <v/>
      </c>
      <c r="D292" s="6" t="str" cm="1">
        <f t="array" ref="D292">IF(ISNUMBER($A292),IF(A292=A291,INDEX(BackgroundCalcs!$AW$2:$AW$500,'Grading Formulas'!$A292),"C"&amp;A292+9),"")</f>
        <v/>
      </c>
      <c r="E292" s="3" t="str" cm="1">
        <f t="array" ref="E292">IF(ISNUMBER($A292),IF(A292=A291,"Reference2(False,True,"&amp;INDEX(BackgroundCalcs!$AX$2:$AX$500,'Grading Formulas'!$A292)&amp;")","MOEValue(.0001)"),"")</f>
        <v/>
      </c>
      <c r="F292" s="3" t="str">
        <f t="shared" si="26"/>
        <v/>
      </c>
      <c r="G292" s="3" t="str">
        <f t="shared" si="27"/>
        <v/>
      </c>
      <c r="H292" s="3" t="str">
        <f t="shared" si="28"/>
        <v/>
      </c>
    </row>
    <row r="293" spans="1:8">
      <c r="A293" s="4" t="str">
        <f t="shared" si="24"/>
        <v/>
      </c>
      <c r="B293" s="4" t="str">
        <f t="shared" si="25"/>
        <v/>
      </c>
      <c r="C293" s="19" t="str" cm="1">
        <f t="array" ref="C293">IF(ISNUMBER(A293),IF(A293=A292,INDEX(BackgroundCalcs!$AV$2:$AV$500,'Grading Formulas'!$A293),"Question Results"),"")</f>
        <v/>
      </c>
      <c r="D293" s="6" t="str" cm="1">
        <f t="array" ref="D293">IF(ISNUMBER($A293),IF(A293=A292,INDEX(BackgroundCalcs!$AW$2:$AW$500,'Grading Formulas'!$A293),"C"&amp;A293+9),"")</f>
        <v/>
      </c>
      <c r="E293" s="3" t="str" cm="1">
        <f t="array" ref="E293">IF(ISNUMBER($A293),IF(A293=A292,"Reference2(False,True,"&amp;INDEX(BackgroundCalcs!$AX$2:$AX$500,'Grading Formulas'!$A293)&amp;")","MOEValue(.0001)"),"")</f>
        <v/>
      </c>
      <c r="F293" s="3" t="str">
        <f t="shared" si="26"/>
        <v/>
      </c>
      <c r="G293" s="3" t="str">
        <f t="shared" si="27"/>
        <v/>
      </c>
      <c r="H293" s="3" t="str">
        <f t="shared" si="28"/>
        <v/>
      </c>
    </row>
    <row r="294" spans="1:8">
      <c r="A294" s="4" t="str">
        <f t="shared" si="24"/>
        <v/>
      </c>
      <c r="B294" s="4" t="str">
        <f t="shared" si="25"/>
        <v/>
      </c>
      <c r="C294" s="19" t="str" cm="1">
        <f t="array" ref="C294">IF(ISNUMBER(A294),IF(A294=A293,INDEX(BackgroundCalcs!$AV$2:$AV$500,'Grading Formulas'!$A294),"Question Results"),"")</f>
        <v/>
      </c>
      <c r="D294" s="6" t="str" cm="1">
        <f t="array" ref="D294">IF(ISNUMBER($A294),IF(A294=A293,INDEX(BackgroundCalcs!$AW$2:$AW$500,'Grading Formulas'!$A294),"C"&amp;A294+9),"")</f>
        <v/>
      </c>
      <c r="E294" s="3" t="str" cm="1">
        <f t="array" ref="E294">IF(ISNUMBER($A294),IF(A294=A293,"Reference2(False,True,"&amp;INDEX(BackgroundCalcs!$AX$2:$AX$500,'Grading Formulas'!$A294)&amp;")","MOEValue(.0001)"),"")</f>
        <v/>
      </c>
      <c r="F294" s="3" t="str">
        <f t="shared" si="26"/>
        <v/>
      </c>
      <c r="G294" s="3" t="str">
        <f t="shared" si="27"/>
        <v/>
      </c>
      <c r="H294" s="3" t="str">
        <f t="shared" si="28"/>
        <v/>
      </c>
    </row>
    <row r="295" spans="1:8">
      <c r="A295" s="4" t="str">
        <f t="shared" si="24"/>
        <v/>
      </c>
      <c r="B295" s="4" t="str">
        <f t="shared" si="25"/>
        <v/>
      </c>
      <c r="C295" s="19" t="str" cm="1">
        <f t="array" ref="C295">IF(ISNUMBER(A295),IF(A295=A294,INDEX(BackgroundCalcs!$AV$2:$AV$500,'Grading Formulas'!$A295),"Question Results"),"")</f>
        <v/>
      </c>
      <c r="D295" s="6" t="str" cm="1">
        <f t="array" ref="D295">IF(ISNUMBER($A295),IF(A295=A294,INDEX(BackgroundCalcs!$AW$2:$AW$500,'Grading Formulas'!$A295),"C"&amp;A295+9),"")</f>
        <v/>
      </c>
      <c r="E295" s="3" t="str" cm="1">
        <f t="array" ref="E295">IF(ISNUMBER($A295),IF(A295=A294,"Reference2(False,True,"&amp;INDEX(BackgroundCalcs!$AX$2:$AX$500,'Grading Formulas'!$A295)&amp;")","MOEValue(.0001)"),"")</f>
        <v/>
      </c>
      <c r="F295" s="3" t="str">
        <f t="shared" si="26"/>
        <v/>
      </c>
      <c r="G295" s="3" t="str">
        <f t="shared" si="27"/>
        <v/>
      </c>
      <c r="H295" s="3" t="str">
        <f t="shared" si="28"/>
        <v/>
      </c>
    </row>
    <row r="296" spans="1:8">
      <c r="A296" s="4" t="str">
        <f t="shared" si="24"/>
        <v/>
      </c>
      <c r="B296" s="4" t="str">
        <f t="shared" si="25"/>
        <v/>
      </c>
      <c r="C296" s="19" t="str" cm="1">
        <f t="array" ref="C296">IF(ISNUMBER(A296),IF(A296=A295,INDEX(BackgroundCalcs!$AV$2:$AV$500,'Grading Formulas'!$A296),"Question Results"),"")</f>
        <v/>
      </c>
      <c r="D296" s="6" t="str" cm="1">
        <f t="array" ref="D296">IF(ISNUMBER($A296),IF(A296=A295,INDEX(BackgroundCalcs!$AW$2:$AW$500,'Grading Formulas'!$A296),"C"&amp;A296+9),"")</f>
        <v/>
      </c>
      <c r="E296" s="3" t="str" cm="1">
        <f t="array" ref="E296">IF(ISNUMBER($A296),IF(A296=A295,"Reference2(False,True,"&amp;INDEX(BackgroundCalcs!$AX$2:$AX$500,'Grading Formulas'!$A296)&amp;")","MOEValue(.0001)"),"")</f>
        <v/>
      </c>
      <c r="F296" s="3" t="str">
        <f t="shared" si="26"/>
        <v/>
      </c>
      <c r="G296" s="3" t="str">
        <f t="shared" si="27"/>
        <v/>
      </c>
      <c r="H296" s="3" t="str">
        <f t="shared" si="28"/>
        <v/>
      </c>
    </row>
    <row r="297" spans="1:8">
      <c r="A297" s="4" t="str">
        <f t="shared" si="24"/>
        <v/>
      </c>
      <c r="B297" s="4" t="str">
        <f t="shared" si="25"/>
        <v/>
      </c>
      <c r="C297" s="19" t="str" cm="1">
        <f t="array" ref="C297">IF(ISNUMBER(A297),IF(A297=A296,INDEX(BackgroundCalcs!$AV$2:$AV$500,'Grading Formulas'!$A297),"Question Results"),"")</f>
        <v/>
      </c>
      <c r="D297" s="6" t="str" cm="1">
        <f t="array" ref="D297">IF(ISNUMBER($A297),IF(A297=A296,INDEX(BackgroundCalcs!$AW$2:$AW$500,'Grading Formulas'!$A297),"C"&amp;A297+9),"")</f>
        <v/>
      </c>
      <c r="E297" s="3" t="str" cm="1">
        <f t="array" ref="E297">IF(ISNUMBER($A297),IF(A297=A296,"Reference2(False,True,"&amp;INDEX(BackgroundCalcs!$AX$2:$AX$500,'Grading Formulas'!$A297)&amp;")","MOEValue(.0001)"),"")</f>
        <v/>
      </c>
      <c r="F297" s="3" t="str">
        <f t="shared" si="26"/>
        <v/>
      </c>
      <c r="G297" s="3" t="str">
        <f t="shared" si="27"/>
        <v/>
      </c>
      <c r="H297" s="3" t="str">
        <f t="shared" si="28"/>
        <v/>
      </c>
    </row>
    <row r="298" spans="1:8">
      <c r="A298" s="4" t="str">
        <f t="shared" si="24"/>
        <v/>
      </c>
      <c r="B298" s="4" t="str">
        <f t="shared" si="25"/>
        <v/>
      </c>
      <c r="C298" s="19" t="str" cm="1">
        <f t="array" ref="C298">IF(ISNUMBER(A298),IF(A298=A297,INDEX(BackgroundCalcs!$AV$2:$AV$500,'Grading Formulas'!$A298),"Question Results"),"")</f>
        <v/>
      </c>
      <c r="D298" s="6" t="str" cm="1">
        <f t="array" ref="D298">IF(ISNUMBER($A298),IF(A298=A297,INDEX(BackgroundCalcs!$AW$2:$AW$500,'Grading Formulas'!$A298),"C"&amp;A298+9),"")</f>
        <v/>
      </c>
      <c r="E298" s="3" t="str" cm="1">
        <f t="array" ref="E298">IF(ISNUMBER($A298),IF(A298=A297,"Reference2(False,True,"&amp;INDEX(BackgroundCalcs!$AX$2:$AX$500,'Grading Formulas'!$A298)&amp;")","MOEValue(.0001)"),"")</f>
        <v/>
      </c>
      <c r="F298" s="3" t="str">
        <f t="shared" si="26"/>
        <v/>
      </c>
      <c r="G298" s="3" t="str">
        <f t="shared" si="27"/>
        <v/>
      </c>
      <c r="H298" s="3" t="str">
        <f t="shared" si="28"/>
        <v/>
      </c>
    </row>
    <row r="299" spans="1:8">
      <c r="A299" s="4" t="str">
        <f t="shared" si="24"/>
        <v/>
      </c>
      <c r="B299" s="4" t="str">
        <f t="shared" si="25"/>
        <v/>
      </c>
      <c r="C299" s="19" t="str" cm="1">
        <f t="array" ref="C299">IF(ISNUMBER(A299),IF(A299=A298,INDEX(BackgroundCalcs!$AV$2:$AV$500,'Grading Formulas'!$A299),"Question Results"),"")</f>
        <v/>
      </c>
      <c r="D299" s="6" t="str" cm="1">
        <f t="array" ref="D299">IF(ISNUMBER($A299),IF(A299=A298,INDEX(BackgroundCalcs!$AW$2:$AW$500,'Grading Formulas'!$A299),"C"&amp;A299+9),"")</f>
        <v/>
      </c>
      <c r="E299" s="3" t="str" cm="1">
        <f t="array" ref="E299">IF(ISNUMBER($A299),IF(A299=A298,"Reference2(False,True,"&amp;INDEX(BackgroundCalcs!$AX$2:$AX$500,'Grading Formulas'!$A299)&amp;")","MOEValue(.0001)"),"")</f>
        <v/>
      </c>
      <c r="F299" s="3" t="str">
        <f t="shared" si="26"/>
        <v/>
      </c>
      <c r="G299" s="3" t="str">
        <f t="shared" si="27"/>
        <v/>
      </c>
      <c r="H299" s="3" t="str">
        <f t="shared" si="28"/>
        <v/>
      </c>
    </row>
    <row r="300" spans="1:8">
      <c r="A300" s="4" t="str">
        <f t="shared" si="24"/>
        <v/>
      </c>
      <c r="B300" s="4" t="str">
        <f t="shared" si="25"/>
        <v/>
      </c>
      <c r="C300" s="19" t="str" cm="1">
        <f t="array" ref="C300">IF(ISNUMBER(A300),IF(A300=A299,INDEX(BackgroundCalcs!$AV$2:$AV$500,'Grading Formulas'!$A300),"Question Results"),"")</f>
        <v/>
      </c>
      <c r="D300" s="6" t="str" cm="1">
        <f t="array" ref="D300">IF(ISNUMBER($A300),IF(A300=A299,INDEX(BackgroundCalcs!$AW$2:$AW$500,'Grading Formulas'!$A300),"C"&amp;A300+9),"")</f>
        <v/>
      </c>
      <c r="E300" s="3" t="str" cm="1">
        <f t="array" ref="E300">IF(ISNUMBER($A300),IF(A300=A299,"Reference2(False,True,"&amp;INDEX(BackgroundCalcs!$AX$2:$AX$500,'Grading Formulas'!$A300)&amp;")","MOEValue(.0001)"),"")</f>
        <v/>
      </c>
      <c r="F300" s="3" t="str">
        <f t="shared" si="26"/>
        <v/>
      </c>
      <c r="G300" s="3" t="str">
        <f t="shared" si="27"/>
        <v/>
      </c>
      <c r="H300" s="3" t="str">
        <f t="shared" si="28"/>
        <v/>
      </c>
    </row>
    <row r="301" spans="1:8">
      <c r="A301" s="4" t="str">
        <f t="shared" si="24"/>
        <v/>
      </c>
      <c r="B301" s="4" t="str">
        <f t="shared" si="25"/>
        <v/>
      </c>
      <c r="C301" s="19" t="str" cm="1">
        <f t="array" ref="C301">IF(ISNUMBER(A301),IF(A301=A300,INDEX(BackgroundCalcs!$AV$2:$AV$500,'Grading Formulas'!$A301),"Question Results"),"")</f>
        <v/>
      </c>
      <c r="D301" s="6" t="str" cm="1">
        <f t="array" ref="D301">IF(ISNUMBER($A301),IF(A301=A300,INDEX(BackgroundCalcs!$AW$2:$AW$500,'Grading Formulas'!$A301),"C"&amp;A301+9),"")</f>
        <v/>
      </c>
      <c r="E301" s="3" t="str" cm="1">
        <f t="array" ref="E301">IF(ISNUMBER($A301),IF(A301=A300,"Reference2(False,True,"&amp;INDEX(BackgroundCalcs!$AX$2:$AX$500,'Grading Formulas'!$A301)&amp;")","MOEValue(.0001)"),"")</f>
        <v/>
      </c>
      <c r="F301" s="3" t="str">
        <f t="shared" si="26"/>
        <v/>
      </c>
      <c r="G301" s="3" t="str">
        <f t="shared" si="27"/>
        <v/>
      </c>
      <c r="H301" s="3" t="str">
        <f t="shared" si="28"/>
        <v/>
      </c>
    </row>
    <row r="302" spans="1:8">
      <c r="A302" s="4" t="str">
        <f t="shared" si="24"/>
        <v/>
      </c>
      <c r="B302" s="4" t="str">
        <f t="shared" si="25"/>
        <v/>
      </c>
      <c r="C302" s="19" t="str" cm="1">
        <f t="array" ref="C302">IF(ISNUMBER(A302),IF(A302=A301,INDEX(BackgroundCalcs!$AV$2:$AV$500,'Grading Formulas'!$A302),"Question Results"),"")</f>
        <v/>
      </c>
      <c r="D302" s="6" t="str" cm="1">
        <f t="array" ref="D302">IF(ISNUMBER($A302),IF(A302=A301,INDEX(BackgroundCalcs!$AW$2:$AW$500,'Grading Formulas'!$A302),"C"&amp;A302+9),"")</f>
        <v/>
      </c>
      <c r="E302" s="3" t="str" cm="1">
        <f t="array" ref="E302">IF(ISNUMBER($A302),IF(A302=A301,"Reference2(False,True,"&amp;INDEX(BackgroundCalcs!$AX$2:$AX$500,'Grading Formulas'!$A302)&amp;")","MOEValue(.0001)"),"")</f>
        <v/>
      </c>
      <c r="F302" s="3" t="str">
        <f t="shared" si="26"/>
        <v/>
      </c>
      <c r="G302" s="3" t="str">
        <f t="shared" si="27"/>
        <v/>
      </c>
      <c r="H302" s="3" t="str">
        <f t="shared" si="28"/>
        <v/>
      </c>
    </row>
    <row r="303" spans="1:8">
      <c r="A303" s="4" t="str">
        <f t="shared" si="24"/>
        <v/>
      </c>
      <c r="B303" s="4" t="str">
        <f t="shared" si="25"/>
        <v/>
      </c>
      <c r="C303" s="19" t="str" cm="1">
        <f t="array" ref="C303">IF(ISNUMBER(A303),IF(A303=A302,INDEX(BackgroundCalcs!$AV$2:$AV$500,'Grading Formulas'!$A303),"Question Results"),"")</f>
        <v/>
      </c>
      <c r="D303" s="6" t="str" cm="1">
        <f t="array" ref="D303">IF(ISNUMBER($A303),IF(A303=A302,INDEX(BackgroundCalcs!$AW$2:$AW$500,'Grading Formulas'!$A303),"C"&amp;A303+9),"")</f>
        <v/>
      </c>
      <c r="E303" s="3" t="str" cm="1">
        <f t="array" ref="E303">IF(ISNUMBER($A303),IF(A303=A302,"Reference2(False,True,"&amp;INDEX(BackgroundCalcs!$AX$2:$AX$500,'Grading Formulas'!$A303)&amp;")","MOEValue(.0001)"),"")</f>
        <v/>
      </c>
      <c r="F303" s="3" t="str">
        <f t="shared" si="26"/>
        <v/>
      </c>
      <c r="G303" s="3" t="str">
        <f t="shared" si="27"/>
        <v/>
      </c>
      <c r="H303" s="3" t="str">
        <f t="shared" si="28"/>
        <v/>
      </c>
    </row>
    <row r="304" spans="1:8">
      <c r="A304" s="4" t="str">
        <f t="shared" si="24"/>
        <v/>
      </c>
      <c r="B304" s="4" t="str">
        <f t="shared" si="25"/>
        <v/>
      </c>
      <c r="C304" s="19" t="str" cm="1">
        <f t="array" ref="C304">IF(ISNUMBER(A304),IF(A304=A303,INDEX(BackgroundCalcs!$AV$2:$AV$500,'Grading Formulas'!$A304),"Question Results"),"")</f>
        <v/>
      </c>
      <c r="D304" s="6" t="str" cm="1">
        <f t="array" ref="D304">IF(ISNUMBER($A304),IF(A304=A303,INDEX(BackgroundCalcs!$AW$2:$AW$500,'Grading Formulas'!$A304),"C"&amp;A304+9),"")</f>
        <v/>
      </c>
      <c r="E304" s="3" t="str" cm="1">
        <f t="array" ref="E304">IF(ISNUMBER($A304),IF(A304=A303,"Reference2(False,True,"&amp;INDEX(BackgroundCalcs!$AX$2:$AX$500,'Grading Formulas'!$A304)&amp;")","MOEValue(.0001)"),"")</f>
        <v/>
      </c>
      <c r="F304" s="3" t="str">
        <f t="shared" si="26"/>
        <v/>
      </c>
      <c r="G304" s="3" t="str">
        <f t="shared" si="27"/>
        <v/>
      </c>
      <c r="H304" s="3" t="str">
        <f t="shared" si="28"/>
        <v/>
      </c>
    </row>
    <row r="305" spans="1:8">
      <c r="A305" s="4" t="str">
        <f t="shared" si="24"/>
        <v/>
      </c>
      <c r="B305" s="4" t="str">
        <f t="shared" si="25"/>
        <v/>
      </c>
      <c r="C305" s="19" t="str" cm="1">
        <f t="array" ref="C305">IF(ISNUMBER(A305),IF(A305=A304,INDEX(BackgroundCalcs!$AV$2:$AV$500,'Grading Formulas'!$A305),"Question Results"),"")</f>
        <v/>
      </c>
      <c r="D305" s="6" t="str" cm="1">
        <f t="array" ref="D305">IF(ISNUMBER($A305),IF(A305=A304,INDEX(BackgroundCalcs!$AW$2:$AW$500,'Grading Formulas'!$A305),"C"&amp;A305+9),"")</f>
        <v/>
      </c>
      <c r="E305" s="3" t="str" cm="1">
        <f t="array" ref="E305">IF(ISNUMBER($A305),IF(A305=A304,"Reference2(False,True,"&amp;INDEX(BackgroundCalcs!$AX$2:$AX$500,'Grading Formulas'!$A305)&amp;")","MOEValue(.0001)"),"")</f>
        <v/>
      </c>
      <c r="F305" s="3" t="str">
        <f t="shared" si="26"/>
        <v/>
      </c>
      <c r="G305" s="3" t="str">
        <f t="shared" si="27"/>
        <v/>
      </c>
      <c r="H305" s="3" t="str">
        <f t="shared" si="28"/>
        <v/>
      </c>
    </row>
    <row r="306" spans="1:8">
      <c r="A306" s="4" t="str">
        <f t="shared" si="24"/>
        <v/>
      </c>
      <c r="B306" s="4" t="str">
        <f t="shared" si="25"/>
        <v/>
      </c>
      <c r="C306" s="19" t="str" cm="1">
        <f t="array" ref="C306">IF(ISNUMBER(A306),IF(A306=A305,INDEX(BackgroundCalcs!$AV$2:$AV$500,'Grading Formulas'!$A306),"Question Results"),"")</f>
        <v/>
      </c>
      <c r="D306" s="6" t="str" cm="1">
        <f t="array" ref="D306">IF(ISNUMBER($A306),IF(A306=A305,INDEX(BackgroundCalcs!$AW$2:$AW$500,'Grading Formulas'!$A306),"C"&amp;A306+9),"")</f>
        <v/>
      </c>
      <c r="E306" s="3" t="str" cm="1">
        <f t="array" ref="E306">IF(ISNUMBER($A306),IF(A306=A305,"Reference2(False,True,"&amp;INDEX(BackgroundCalcs!$AX$2:$AX$500,'Grading Formulas'!$A306)&amp;")","MOEValue(.0001)"),"")</f>
        <v/>
      </c>
      <c r="F306" s="3" t="str">
        <f t="shared" si="26"/>
        <v/>
      </c>
      <c r="G306" s="3" t="str">
        <f t="shared" si="27"/>
        <v/>
      </c>
      <c r="H306" s="3" t="str">
        <f t="shared" si="28"/>
        <v/>
      </c>
    </row>
    <row r="307" spans="1:8">
      <c r="A307" s="4" t="str">
        <f t="shared" si="24"/>
        <v/>
      </c>
      <c r="B307" s="4" t="str">
        <f t="shared" si="25"/>
        <v/>
      </c>
      <c r="C307" s="19" t="str" cm="1">
        <f t="array" ref="C307">IF(ISNUMBER(A307),IF(A307=A306,INDEX(BackgroundCalcs!$AV$2:$AV$500,'Grading Formulas'!$A307),"Question Results"),"")</f>
        <v/>
      </c>
      <c r="D307" s="6" t="str" cm="1">
        <f t="array" ref="D307">IF(ISNUMBER($A307),IF(A307=A306,INDEX(BackgroundCalcs!$AW$2:$AW$500,'Grading Formulas'!$A307),"C"&amp;A307+9),"")</f>
        <v/>
      </c>
      <c r="E307" s="3" t="str" cm="1">
        <f t="array" ref="E307">IF(ISNUMBER($A307),IF(A307=A306,"Reference2(False,True,"&amp;INDEX(BackgroundCalcs!$AX$2:$AX$500,'Grading Formulas'!$A307)&amp;")","MOEValue(.0001)"),"")</f>
        <v/>
      </c>
      <c r="F307" s="3" t="str">
        <f t="shared" si="26"/>
        <v/>
      </c>
      <c r="G307" s="3" t="str">
        <f t="shared" si="27"/>
        <v/>
      </c>
      <c r="H307" s="3" t="str">
        <f t="shared" si="28"/>
        <v/>
      </c>
    </row>
    <row r="308" spans="1:8">
      <c r="A308" s="4" t="str">
        <f t="shared" si="24"/>
        <v/>
      </c>
      <c r="B308" s="4" t="str">
        <f t="shared" si="25"/>
        <v/>
      </c>
      <c r="C308" s="19" t="str" cm="1">
        <f t="array" ref="C308">IF(ISNUMBER(A308),IF(A308=A307,INDEX(BackgroundCalcs!$AV$2:$AV$500,'Grading Formulas'!$A308),"Question Results"),"")</f>
        <v/>
      </c>
      <c r="D308" s="6" t="str" cm="1">
        <f t="array" ref="D308">IF(ISNUMBER($A308),IF(A308=A307,INDEX(BackgroundCalcs!$AW$2:$AW$500,'Grading Formulas'!$A308),"C"&amp;A308+9),"")</f>
        <v/>
      </c>
      <c r="E308" s="3" t="str" cm="1">
        <f t="array" ref="E308">IF(ISNUMBER($A308),IF(A308=A307,"Reference2(False,True,"&amp;INDEX(BackgroundCalcs!$AX$2:$AX$500,'Grading Formulas'!$A308)&amp;")","MOEValue(.0001)"),"")</f>
        <v/>
      </c>
      <c r="F308" s="3" t="str">
        <f t="shared" si="26"/>
        <v/>
      </c>
      <c r="G308" s="3" t="str">
        <f t="shared" si="27"/>
        <v/>
      </c>
      <c r="H308" s="3" t="str">
        <f t="shared" si="28"/>
        <v/>
      </c>
    </row>
    <row r="309" spans="1:8">
      <c r="A309" s="4" t="str">
        <f t="shared" si="24"/>
        <v/>
      </c>
      <c r="B309" s="4" t="str">
        <f t="shared" si="25"/>
        <v/>
      </c>
      <c r="C309" s="19" t="str" cm="1">
        <f t="array" ref="C309">IF(ISNUMBER(A309),IF(A309=A308,INDEX(BackgroundCalcs!$AV$2:$AV$500,'Grading Formulas'!$A309),"Question Results"),"")</f>
        <v/>
      </c>
      <c r="D309" s="6" t="str" cm="1">
        <f t="array" ref="D309">IF(ISNUMBER($A309),IF(A309=A308,INDEX(BackgroundCalcs!$AW$2:$AW$500,'Grading Formulas'!$A309),"C"&amp;A309+9),"")</f>
        <v/>
      </c>
      <c r="E309" s="3" t="str" cm="1">
        <f t="array" ref="E309">IF(ISNUMBER($A309),IF(A309=A308,"Reference2(False,True,"&amp;INDEX(BackgroundCalcs!$AX$2:$AX$500,'Grading Formulas'!$A309)&amp;")","MOEValue(.0001)"),"")</f>
        <v/>
      </c>
      <c r="F309" s="3" t="str">
        <f t="shared" si="26"/>
        <v/>
      </c>
      <c r="G309" s="3" t="str">
        <f t="shared" si="27"/>
        <v/>
      </c>
      <c r="H309" s="3" t="str">
        <f t="shared" si="28"/>
        <v/>
      </c>
    </row>
    <row r="310" spans="1:8">
      <c r="A310" s="4" t="str">
        <f t="shared" si="24"/>
        <v/>
      </c>
      <c r="B310" s="4" t="str">
        <f t="shared" si="25"/>
        <v/>
      </c>
      <c r="C310" s="19" t="str" cm="1">
        <f t="array" ref="C310">IF(ISNUMBER(A310),IF(A310=A309,INDEX(BackgroundCalcs!$AV$2:$AV$500,'Grading Formulas'!$A310),"Question Results"),"")</f>
        <v/>
      </c>
      <c r="D310" s="6" t="str" cm="1">
        <f t="array" ref="D310">IF(ISNUMBER($A310),IF(A310=A309,INDEX(BackgroundCalcs!$AW$2:$AW$500,'Grading Formulas'!$A310),"C"&amp;A310+9),"")</f>
        <v/>
      </c>
      <c r="E310" s="3" t="str" cm="1">
        <f t="array" ref="E310">IF(ISNUMBER($A310),IF(A310=A309,"Reference2(False,True,"&amp;INDEX(BackgroundCalcs!$AX$2:$AX$500,'Grading Formulas'!$A310)&amp;")","MOEValue(.0001)"),"")</f>
        <v/>
      </c>
      <c r="F310" s="3" t="str">
        <f t="shared" si="26"/>
        <v/>
      </c>
      <c r="G310" s="3" t="str">
        <f t="shared" si="27"/>
        <v/>
      </c>
      <c r="H310" s="3" t="str">
        <f t="shared" si="28"/>
        <v/>
      </c>
    </row>
    <row r="311" spans="1:8">
      <c r="A311" s="4" t="str">
        <f t="shared" si="24"/>
        <v/>
      </c>
      <c r="B311" s="4" t="str">
        <f t="shared" si="25"/>
        <v/>
      </c>
      <c r="C311" s="19" t="str" cm="1">
        <f t="array" ref="C311">IF(ISNUMBER(A311),IF(A311=A310,INDEX(BackgroundCalcs!$AV$2:$AV$500,'Grading Formulas'!$A311),"Question Results"),"")</f>
        <v/>
      </c>
      <c r="D311" s="6" t="str" cm="1">
        <f t="array" ref="D311">IF(ISNUMBER($A311),IF(A311=A310,INDEX(BackgroundCalcs!$AW$2:$AW$500,'Grading Formulas'!$A311),"C"&amp;A311+9),"")</f>
        <v/>
      </c>
      <c r="E311" s="3" t="str" cm="1">
        <f t="array" ref="E311">IF(ISNUMBER($A311),IF(A311=A310,"Reference2(False,True,"&amp;INDEX(BackgroundCalcs!$AX$2:$AX$500,'Grading Formulas'!$A311)&amp;")","MOEValue(.0001)"),"")</f>
        <v/>
      </c>
      <c r="F311" s="3" t="str">
        <f t="shared" si="26"/>
        <v/>
      </c>
      <c r="G311" s="3" t="str">
        <f t="shared" si="27"/>
        <v/>
      </c>
      <c r="H311" s="3" t="str">
        <f t="shared" si="28"/>
        <v/>
      </c>
    </row>
    <row r="312" spans="1:8">
      <c r="A312" s="4" t="str">
        <f t="shared" si="24"/>
        <v/>
      </c>
      <c r="B312" s="4" t="str">
        <f t="shared" si="25"/>
        <v/>
      </c>
      <c r="C312" s="19" t="str" cm="1">
        <f t="array" ref="C312">IF(ISNUMBER(A312),IF(A312=A311,INDEX(BackgroundCalcs!$AV$2:$AV$500,'Grading Formulas'!$A312),"Question Results"),"")</f>
        <v/>
      </c>
      <c r="D312" s="6" t="str" cm="1">
        <f t="array" ref="D312">IF(ISNUMBER($A312),IF(A312=A311,INDEX(BackgroundCalcs!$AW$2:$AW$500,'Grading Formulas'!$A312),"C"&amp;A312+9),"")</f>
        <v/>
      </c>
      <c r="E312" s="3" t="str" cm="1">
        <f t="array" ref="E312">IF(ISNUMBER($A312),IF(A312=A311,"Reference2(False,True,"&amp;INDEX(BackgroundCalcs!$AX$2:$AX$500,'Grading Formulas'!$A312)&amp;")","MOEValue(.0001)"),"")</f>
        <v/>
      </c>
      <c r="F312" s="3" t="str">
        <f t="shared" si="26"/>
        <v/>
      </c>
      <c r="G312" s="3" t="str">
        <f t="shared" si="27"/>
        <v/>
      </c>
      <c r="H312" s="3" t="str">
        <f t="shared" si="28"/>
        <v/>
      </c>
    </row>
    <row r="313" spans="1:8">
      <c r="A313" s="4" t="str">
        <f t="shared" si="24"/>
        <v/>
      </c>
      <c r="B313" s="4" t="str">
        <f t="shared" si="25"/>
        <v/>
      </c>
      <c r="C313" s="19" t="str" cm="1">
        <f t="array" ref="C313">IF(ISNUMBER(A313),IF(A313=A312,INDEX(BackgroundCalcs!$AV$2:$AV$500,'Grading Formulas'!$A313),"Question Results"),"")</f>
        <v/>
      </c>
      <c r="D313" s="6" t="str" cm="1">
        <f t="array" ref="D313">IF(ISNUMBER($A313),IF(A313=A312,INDEX(BackgroundCalcs!$AW$2:$AW$500,'Grading Formulas'!$A313),"C"&amp;A313+9),"")</f>
        <v/>
      </c>
      <c r="E313" s="3" t="str" cm="1">
        <f t="array" ref="E313">IF(ISNUMBER($A313),IF(A313=A312,"Reference2(False,True,"&amp;INDEX(BackgroundCalcs!$AX$2:$AX$500,'Grading Formulas'!$A313)&amp;")","MOEValue(.0001)"),"")</f>
        <v/>
      </c>
      <c r="F313" s="3" t="str">
        <f t="shared" si="26"/>
        <v/>
      </c>
      <c r="G313" s="3" t="str">
        <f t="shared" si="27"/>
        <v/>
      </c>
      <c r="H313" s="3" t="str">
        <f t="shared" si="28"/>
        <v/>
      </c>
    </row>
    <row r="314" spans="1:8">
      <c r="A314" s="4" t="str">
        <f t="shared" si="24"/>
        <v/>
      </c>
      <c r="B314" s="4" t="str">
        <f t="shared" si="25"/>
        <v/>
      </c>
      <c r="C314" s="19" t="str" cm="1">
        <f t="array" ref="C314">IF(ISNUMBER(A314),IF(A314=A313,INDEX(BackgroundCalcs!$AV$2:$AV$500,'Grading Formulas'!$A314),"Question Results"),"")</f>
        <v/>
      </c>
      <c r="D314" s="6" t="str" cm="1">
        <f t="array" ref="D314">IF(ISNUMBER($A314),IF(A314=A313,INDEX(BackgroundCalcs!$AW$2:$AW$500,'Grading Formulas'!$A314),"C"&amp;A314+9),"")</f>
        <v/>
      </c>
      <c r="E314" s="3" t="str" cm="1">
        <f t="array" ref="E314">IF(ISNUMBER($A314),IF(A314=A313,"Reference2(False,True,"&amp;INDEX(BackgroundCalcs!$AX$2:$AX$500,'Grading Formulas'!$A314)&amp;")","MOEValue(.0001)"),"")</f>
        <v/>
      </c>
      <c r="F314" s="3" t="str">
        <f t="shared" si="26"/>
        <v/>
      </c>
      <c r="G314" s="3" t="str">
        <f t="shared" si="27"/>
        <v/>
      </c>
      <c r="H314" s="3" t="str">
        <f t="shared" si="28"/>
        <v/>
      </c>
    </row>
    <row r="315" spans="1:8">
      <c r="A315" s="4" t="str">
        <f t="shared" si="24"/>
        <v/>
      </c>
      <c r="B315" s="4" t="str">
        <f t="shared" si="25"/>
        <v/>
      </c>
      <c r="C315" s="19" t="str" cm="1">
        <f t="array" ref="C315">IF(ISNUMBER(A315),IF(A315=A314,INDEX(BackgroundCalcs!$AV$2:$AV$500,'Grading Formulas'!$A315),"Question Results"),"")</f>
        <v/>
      </c>
      <c r="D315" s="6" t="str" cm="1">
        <f t="array" ref="D315">IF(ISNUMBER($A315),IF(A315=A314,INDEX(BackgroundCalcs!$AW$2:$AW$500,'Grading Formulas'!$A315),"C"&amp;A315+9),"")</f>
        <v/>
      </c>
      <c r="E315" s="3" t="str" cm="1">
        <f t="array" ref="E315">IF(ISNUMBER($A315),IF(A315=A314,"Reference2(False,True,"&amp;INDEX(BackgroundCalcs!$AX$2:$AX$500,'Grading Formulas'!$A315)&amp;")","MOEValue(.0001)"),"")</f>
        <v/>
      </c>
      <c r="F315" s="3" t="str">
        <f t="shared" si="26"/>
        <v/>
      </c>
      <c r="G315" s="3" t="str">
        <f t="shared" si="27"/>
        <v/>
      </c>
      <c r="H315" s="3" t="str">
        <f t="shared" si="28"/>
        <v/>
      </c>
    </row>
    <row r="316" spans="1:8">
      <c r="A316" s="4" t="str">
        <f t="shared" si="24"/>
        <v/>
      </c>
      <c r="B316" s="4" t="str">
        <f t="shared" si="25"/>
        <v/>
      </c>
      <c r="C316" s="19" t="str" cm="1">
        <f t="array" ref="C316">IF(ISNUMBER(A316),IF(A316=A315,INDEX(BackgroundCalcs!$AV$2:$AV$500,'Grading Formulas'!$A316),"Question Results"),"")</f>
        <v/>
      </c>
      <c r="D316" s="6" t="str" cm="1">
        <f t="array" ref="D316">IF(ISNUMBER($A316),IF(A316=A315,INDEX(BackgroundCalcs!$AW$2:$AW$500,'Grading Formulas'!$A316),"C"&amp;A316+9),"")</f>
        <v/>
      </c>
      <c r="E316" s="3" t="str" cm="1">
        <f t="array" ref="E316">IF(ISNUMBER($A316),IF(A316=A315,"Reference2(False,True,"&amp;INDEX(BackgroundCalcs!$AX$2:$AX$500,'Grading Formulas'!$A316)&amp;")","MOEValue(.0001)"),"")</f>
        <v/>
      </c>
      <c r="F316" s="3" t="str">
        <f t="shared" si="26"/>
        <v/>
      </c>
      <c r="G316" s="3" t="str">
        <f t="shared" si="27"/>
        <v/>
      </c>
      <c r="H316" s="3" t="str">
        <f t="shared" si="28"/>
        <v/>
      </c>
    </row>
    <row r="317" spans="1:8">
      <c r="A317" s="4" t="str">
        <f t="shared" si="24"/>
        <v/>
      </c>
      <c r="B317" s="4" t="str">
        <f t="shared" si="25"/>
        <v/>
      </c>
      <c r="C317" s="19" t="str" cm="1">
        <f t="array" ref="C317">IF(ISNUMBER(A317),IF(A317=A316,INDEX(BackgroundCalcs!$AV$2:$AV$500,'Grading Formulas'!$A317),"Question Results"),"")</f>
        <v/>
      </c>
      <c r="D317" s="6" t="str" cm="1">
        <f t="array" ref="D317">IF(ISNUMBER($A317),IF(A317=A316,INDEX(BackgroundCalcs!$AW$2:$AW$500,'Grading Formulas'!$A317),"C"&amp;A317+9),"")</f>
        <v/>
      </c>
      <c r="E317" s="3" t="str" cm="1">
        <f t="array" ref="E317">IF(ISNUMBER($A317),IF(A317=A316,"Reference2(False,True,"&amp;INDEX(BackgroundCalcs!$AX$2:$AX$500,'Grading Formulas'!$A317)&amp;")","MOEValue(.0001)"),"")</f>
        <v/>
      </c>
      <c r="F317" s="3" t="str">
        <f t="shared" si="26"/>
        <v/>
      </c>
      <c r="G317" s="3" t="str">
        <f t="shared" si="27"/>
        <v/>
      </c>
      <c r="H317" s="3" t="str">
        <f t="shared" si="28"/>
        <v/>
      </c>
    </row>
    <row r="318" spans="1:8">
      <c r="A318" s="4" t="str">
        <f t="shared" si="24"/>
        <v/>
      </c>
      <c r="B318" s="4" t="str">
        <f t="shared" si="25"/>
        <v/>
      </c>
      <c r="C318" s="19" t="str" cm="1">
        <f t="array" ref="C318">IF(ISNUMBER(A318),IF(A318=A317,INDEX(BackgroundCalcs!$AV$2:$AV$500,'Grading Formulas'!$A318),"Question Results"),"")</f>
        <v/>
      </c>
      <c r="D318" s="6" t="str" cm="1">
        <f t="array" ref="D318">IF(ISNUMBER($A318),IF(A318=A317,INDEX(BackgroundCalcs!$AW$2:$AW$500,'Grading Formulas'!$A318),"C"&amp;A318+9),"")</f>
        <v/>
      </c>
      <c r="E318" s="3" t="str" cm="1">
        <f t="array" ref="E318">IF(ISNUMBER($A318),IF(A318=A317,"Reference2(False,True,"&amp;INDEX(BackgroundCalcs!$AX$2:$AX$500,'Grading Formulas'!$A318)&amp;")","MOEValue(.0001)"),"")</f>
        <v/>
      </c>
      <c r="F318" s="3" t="str">
        <f t="shared" si="26"/>
        <v/>
      </c>
      <c r="G318" s="3" t="str">
        <f t="shared" si="27"/>
        <v/>
      </c>
      <c r="H318" s="3" t="str">
        <f t="shared" si="28"/>
        <v/>
      </c>
    </row>
    <row r="319" spans="1:8">
      <c r="A319" s="4" t="str">
        <f t="shared" si="24"/>
        <v/>
      </c>
      <c r="B319" s="4" t="str">
        <f t="shared" si="25"/>
        <v/>
      </c>
      <c r="C319" s="19" t="str" cm="1">
        <f t="array" ref="C319">IF(ISNUMBER(A319),IF(A319=A318,INDEX(BackgroundCalcs!$AV$2:$AV$500,'Grading Formulas'!$A319),"Question Results"),"")</f>
        <v/>
      </c>
      <c r="D319" s="6" t="str" cm="1">
        <f t="array" ref="D319">IF(ISNUMBER($A319),IF(A319=A318,INDEX(BackgroundCalcs!$AW$2:$AW$500,'Grading Formulas'!$A319),"C"&amp;A319+9),"")</f>
        <v/>
      </c>
      <c r="E319" s="3" t="str" cm="1">
        <f t="array" ref="E319">IF(ISNUMBER($A319),IF(A319=A318,"Reference2(False,True,"&amp;INDEX(BackgroundCalcs!$AX$2:$AX$500,'Grading Formulas'!$A319)&amp;")","MOEValue(.0001)"),"")</f>
        <v/>
      </c>
      <c r="F319" s="3" t="str">
        <f t="shared" si="26"/>
        <v/>
      </c>
      <c r="G319" s="3" t="str">
        <f t="shared" si="27"/>
        <v/>
      </c>
      <c r="H319" s="3" t="str">
        <f t="shared" si="28"/>
        <v/>
      </c>
    </row>
    <row r="320" spans="1:8">
      <c r="A320" s="4" t="str">
        <f t="shared" si="24"/>
        <v/>
      </c>
      <c r="B320" s="4" t="str">
        <f t="shared" si="25"/>
        <v/>
      </c>
      <c r="C320" s="19" t="str" cm="1">
        <f t="array" ref="C320">IF(ISNUMBER(A320),IF(A320=A319,INDEX(BackgroundCalcs!$AV$2:$AV$500,'Grading Formulas'!$A320),"Question Results"),"")</f>
        <v/>
      </c>
      <c r="D320" s="6" t="str" cm="1">
        <f t="array" ref="D320">IF(ISNUMBER($A320),IF(A320=A319,INDEX(BackgroundCalcs!$AW$2:$AW$500,'Grading Formulas'!$A320),"C"&amp;A320+9),"")</f>
        <v/>
      </c>
      <c r="E320" s="3" t="str" cm="1">
        <f t="array" ref="E320">IF(ISNUMBER($A320),IF(A320=A319,"Reference2(False,True,"&amp;INDEX(BackgroundCalcs!$AX$2:$AX$500,'Grading Formulas'!$A320)&amp;")","MOEValue(.0001)"),"")</f>
        <v/>
      </c>
      <c r="F320" s="3" t="str">
        <f t="shared" si="26"/>
        <v/>
      </c>
      <c r="G320" s="3" t="str">
        <f t="shared" si="27"/>
        <v/>
      </c>
      <c r="H320" s="3" t="str">
        <f t="shared" si="28"/>
        <v/>
      </c>
    </row>
    <row r="321" spans="1:8">
      <c r="A321" s="4" t="str">
        <f t="shared" si="24"/>
        <v/>
      </c>
      <c r="B321" s="4" t="str">
        <f t="shared" si="25"/>
        <v/>
      </c>
      <c r="C321" s="19" t="str" cm="1">
        <f t="array" ref="C321">IF(ISNUMBER(A321),IF(A321=A320,INDEX(BackgroundCalcs!$AV$2:$AV$500,'Grading Formulas'!$A321),"Question Results"),"")</f>
        <v/>
      </c>
      <c r="D321" s="6" t="str" cm="1">
        <f t="array" ref="D321">IF(ISNUMBER($A321),IF(A321=A320,INDEX(BackgroundCalcs!$AW$2:$AW$500,'Grading Formulas'!$A321),"C"&amp;A321+9),"")</f>
        <v/>
      </c>
      <c r="E321" s="3" t="str" cm="1">
        <f t="array" ref="E321">IF(ISNUMBER($A321),IF(A321=A320,"Reference2(False,True,"&amp;INDEX(BackgroundCalcs!$AX$2:$AX$500,'Grading Formulas'!$A321)&amp;")","MOEValue(.0001)"),"")</f>
        <v/>
      </c>
      <c r="F321" s="3" t="str">
        <f t="shared" si="26"/>
        <v/>
      </c>
      <c r="G321" s="3" t="str">
        <f t="shared" si="27"/>
        <v/>
      </c>
      <c r="H321" s="3" t="str">
        <f t="shared" si="28"/>
        <v/>
      </c>
    </row>
    <row r="322" spans="1:8">
      <c r="A322" s="4" t="str">
        <f t="shared" si="24"/>
        <v/>
      </c>
      <c r="B322" s="4" t="str">
        <f t="shared" si="25"/>
        <v/>
      </c>
      <c r="C322" s="19" t="str" cm="1">
        <f t="array" ref="C322">IF(ISNUMBER(A322),IF(A322=A321,INDEX(BackgroundCalcs!$AV$2:$AV$500,'Grading Formulas'!$A322),"Question Results"),"")</f>
        <v/>
      </c>
      <c r="D322" s="6" t="str" cm="1">
        <f t="array" ref="D322">IF(ISNUMBER($A322),IF(A322=A321,INDEX(BackgroundCalcs!$AW$2:$AW$500,'Grading Formulas'!$A322),"C"&amp;A322+9),"")</f>
        <v/>
      </c>
      <c r="E322" s="3" t="str" cm="1">
        <f t="array" ref="E322">IF(ISNUMBER($A322),IF(A322=A321,"Reference2(False,True,"&amp;INDEX(BackgroundCalcs!$AX$2:$AX$500,'Grading Formulas'!$A322)&amp;")","MOEValue(.0001)"),"")</f>
        <v/>
      </c>
      <c r="F322" s="3" t="str">
        <f t="shared" si="26"/>
        <v/>
      </c>
      <c r="G322" s="3" t="str">
        <f t="shared" si="27"/>
        <v/>
      </c>
      <c r="H322" s="3" t="str">
        <f t="shared" si="28"/>
        <v/>
      </c>
    </row>
    <row r="323" spans="1:8">
      <c r="A323" s="4" t="str">
        <f t="shared" si="24"/>
        <v/>
      </c>
      <c r="B323" s="4" t="str">
        <f t="shared" si="25"/>
        <v/>
      </c>
      <c r="C323" s="19" t="str" cm="1">
        <f t="array" ref="C323">IF(ISNUMBER(A323),IF(A323=A322,INDEX(BackgroundCalcs!$AV$2:$AV$500,'Grading Formulas'!$A323),"Question Results"),"")</f>
        <v/>
      </c>
      <c r="D323" s="6" t="str" cm="1">
        <f t="array" ref="D323">IF(ISNUMBER($A323),IF(A323=A322,INDEX(BackgroundCalcs!$AW$2:$AW$500,'Grading Formulas'!$A323),"C"&amp;A323+9),"")</f>
        <v/>
      </c>
      <c r="E323" s="3" t="str" cm="1">
        <f t="array" ref="E323">IF(ISNUMBER($A323),IF(A323=A322,"Reference2(False,True,"&amp;INDEX(BackgroundCalcs!$AX$2:$AX$500,'Grading Formulas'!$A323)&amp;")","MOEValue(.0001)"),"")</f>
        <v/>
      </c>
      <c r="F323" s="3" t="str">
        <f t="shared" si="26"/>
        <v/>
      </c>
      <c r="G323" s="3" t="str">
        <f t="shared" si="27"/>
        <v/>
      </c>
      <c r="H323" s="3" t="str">
        <f t="shared" si="28"/>
        <v/>
      </c>
    </row>
    <row r="324" spans="1:8">
      <c r="A324" s="4" t="str">
        <f t="shared" ref="A324:A387" si="29">IF(A322&lt;NumAnswers,A322+1,"")</f>
        <v/>
      </c>
      <c r="B324" s="4" t="str">
        <f t="shared" si="25"/>
        <v/>
      </c>
      <c r="C324" s="19" t="str" cm="1">
        <f t="array" ref="C324">IF(ISNUMBER(A324),IF(A324=A323,INDEX(BackgroundCalcs!$AV$2:$AV$500,'Grading Formulas'!$A324),"Question Results"),"")</f>
        <v/>
      </c>
      <c r="D324" s="6" t="str" cm="1">
        <f t="array" ref="D324">IF(ISNUMBER($A324),IF(A324=A323,INDEX(BackgroundCalcs!$AW$2:$AW$500,'Grading Formulas'!$A324),"C"&amp;A324+9),"")</f>
        <v/>
      </c>
      <c r="E324" s="3" t="str" cm="1">
        <f t="array" ref="E324">IF(ISNUMBER($A324),IF(A324=A323,"Reference2(False,True,"&amp;INDEX(BackgroundCalcs!$AX$2:$AX$500,'Grading Formulas'!$A324)&amp;")","MOEValue(.0001)"),"")</f>
        <v/>
      </c>
      <c r="F324" s="3" t="str">
        <f t="shared" si="26"/>
        <v/>
      </c>
      <c r="G324" s="3" t="str">
        <f t="shared" si="27"/>
        <v/>
      </c>
      <c r="H324" s="3" t="str">
        <f t="shared" si="28"/>
        <v/>
      </c>
    </row>
    <row r="325" spans="1:8">
      <c r="A325" s="4" t="str">
        <f t="shared" si="29"/>
        <v/>
      </c>
      <c r="B325" s="4" t="str">
        <f t="shared" si="25"/>
        <v/>
      </c>
      <c r="C325" s="19" t="str" cm="1">
        <f t="array" ref="C325">IF(ISNUMBER(A325),IF(A325=A324,INDEX(BackgroundCalcs!$AV$2:$AV$500,'Grading Formulas'!$A325),"Question Results"),"")</f>
        <v/>
      </c>
      <c r="D325" s="6" t="str" cm="1">
        <f t="array" ref="D325">IF(ISNUMBER($A325),IF(A325=A324,INDEX(BackgroundCalcs!$AW$2:$AW$500,'Grading Formulas'!$A325),"C"&amp;A325+9),"")</f>
        <v/>
      </c>
      <c r="E325" s="3" t="str" cm="1">
        <f t="array" ref="E325">IF(ISNUMBER($A325),IF(A325=A324,"Reference2(False,True,"&amp;INDEX(BackgroundCalcs!$AX$2:$AX$500,'Grading Formulas'!$A325)&amp;")","MOEValue(.0001)"),"")</f>
        <v/>
      </c>
      <c r="F325" s="3" t="str">
        <f t="shared" si="26"/>
        <v/>
      </c>
      <c r="G325" s="3" t="str">
        <f t="shared" si="27"/>
        <v/>
      </c>
      <c r="H325" s="3" t="str">
        <f t="shared" si="28"/>
        <v/>
      </c>
    </row>
    <row r="326" spans="1:8">
      <c r="A326" s="4" t="str">
        <f t="shared" si="29"/>
        <v/>
      </c>
      <c r="B326" s="4" t="str">
        <f t="shared" si="25"/>
        <v/>
      </c>
      <c r="C326" s="19" t="str" cm="1">
        <f t="array" ref="C326">IF(ISNUMBER(A326),IF(A326=A325,INDEX(BackgroundCalcs!$AV$2:$AV$500,'Grading Formulas'!$A326),"Question Results"),"")</f>
        <v/>
      </c>
      <c r="D326" s="6" t="str" cm="1">
        <f t="array" ref="D326">IF(ISNUMBER($A326),IF(A326=A325,INDEX(BackgroundCalcs!$AW$2:$AW$500,'Grading Formulas'!$A326),"C"&amp;A326+9),"")</f>
        <v/>
      </c>
      <c r="E326" s="3" t="str" cm="1">
        <f t="array" ref="E326">IF(ISNUMBER($A326),IF(A326=A325,"Reference2(False,True,"&amp;INDEX(BackgroundCalcs!$AX$2:$AX$500,'Grading Formulas'!$A326)&amp;")","MOEValue(.0001)"),"")</f>
        <v/>
      </c>
      <c r="F326" s="3" t="str">
        <f t="shared" si="26"/>
        <v/>
      </c>
      <c r="G326" s="3" t="str">
        <f t="shared" si="27"/>
        <v/>
      </c>
      <c r="H326" s="3" t="str">
        <f t="shared" si="28"/>
        <v/>
      </c>
    </row>
    <row r="327" spans="1:8">
      <c r="A327" s="4" t="str">
        <f t="shared" si="29"/>
        <v/>
      </c>
      <c r="B327" s="4" t="str">
        <f t="shared" si="25"/>
        <v/>
      </c>
      <c r="C327" s="19" t="str" cm="1">
        <f t="array" ref="C327">IF(ISNUMBER(A327),IF(A327=A326,INDEX(BackgroundCalcs!$AV$2:$AV$500,'Grading Formulas'!$A327),"Question Results"),"")</f>
        <v/>
      </c>
      <c r="D327" s="6" t="str" cm="1">
        <f t="array" ref="D327">IF(ISNUMBER($A327),IF(A327=A326,INDEX(BackgroundCalcs!$AW$2:$AW$500,'Grading Formulas'!$A327),"C"&amp;A327+9),"")</f>
        <v/>
      </c>
      <c r="E327" s="3" t="str" cm="1">
        <f t="array" ref="E327">IF(ISNUMBER($A327),IF(A327=A326,"Reference2(False,True,"&amp;INDEX(BackgroundCalcs!$AX$2:$AX$500,'Grading Formulas'!$A327)&amp;")","MOEValue(.0001)"),"")</f>
        <v/>
      </c>
      <c r="F327" s="3" t="str">
        <f t="shared" si="26"/>
        <v/>
      </c>
      <c r="G327" s="3" t="str">
        <f t="shared" si="27"/>
        <v/>
      </c>
      <c r="H327" s="3" t="str">
        <f t="shared" si="28"/>
        <v/>
      </c>
    </row>
    <row r="328" spans="1:8">
      <c r="A328" s="4" t="str">
        <f t="shared" si="29"/>
        <v/>
      </c>
      <c r="B328" s="4" t="str">
        <f t="shared" si="25"/>
        <v/>
      </c>
      <c r="C328" s="19" t="str" cm="1">
        <f t="array" ref="C328">IF(ISNUMBER(A328),IF(A328=A327,INDEX(BackgroundCalcs!$AV$2:$AV$500,'Grading Formulas'!$A328),"Question Results"),"")</f>
        <v/>
      </c>
      <c r="D328" s="6" t="str" cm="1">
        <f t="array" ref="D328">IF(ISNUMBER($A328),IF(A328=A327,INDEX(BackgroundCalcs!$AW$2:$AW$500,'Grading Formulas'!$A328),"C"&amp;A328+9),"")</f>
        <v/>
      </c>
      <c r="E328" s="3" t="str" cm="1">
        <f t="array" ref="E328">IF(ISNUMBER($A328),IF(A328=A327,"Reference2(False,True,"&amp;INDEX(BackgroundCalcs!$AX$2:$AX$500,'Grading Formulas'!$A328)&amp;")","MOEValue(.0001)"),"")</f>
        <v/>
      </c>
      <c r="F328" s="3" t="str">
        <f t="shared" si="26"/>
        <v/>
      </c>
      <c r="G328" s="3" t="str">
        <f t="shared" si="27"/>
        <v/>
      </c>
      <c r="H328" s="3" t="str">
        <f t="shared" si="28"/>
        <v/>
      </c>
    </row>
    <row r="329" spans="1:8">
      <c r="A329" s="4" t="str">
        <f t="shared" si="29"/>
        <v/>
      </c>
      <c r="B329" s="4" t="str">
        <f t="shared" si="25"/>
        <v/>
      </c>
      <c r="C329" s="19" t="str" cm="1">
        <f t="array" ref="C329">IF(ISNUMBER(A329),IF(A329=A328,INDEX(BackgroundCalcs!$AV$2:$AV$500,'Grading Formulas'!$A329),"Question Results"),"")</f>
        <v/>
      </c>
      <c r="D329" s="6" t="str" cm="1">
        <f t="array" ref="D329">IF(ISNUMBER($A329),IF(A329=A328,INDEX(BackgroundCalcs!$AW$2:$AW$500,'Grading Formulas'!$A329),"C"&amp;A329+9),"")</f>
        <v/>
      </c>
      <c r="E329" s="3" t="str" cm="1">
        <f t="array" ref="E329">IF(ISNUMBER($A329),IF(A329=A328,"Reference2(False,True,"&amp;INDEX(BackgroundCalcs!$AX$2:$AX$500,'Grading Formulas'!$A329)&amp;")","MOEValue(.0001)"),"")</f>
        <v/>
      </c>
      <c r="F329" s="3" t="str">
        <f t="shared" si="26"/>
        <v/>
      </c>
      <c r="G329" s="3" t="str">
        <f t="shared" si="27"/>
        <v/>
      </c>
      <c r="H329" s="3" t="str">
        <f t="shared" si="28"/>
        <v/>
      </c>
    </row>
    <row r="330" spans="1:8">
      <c r="A330" s="4" t="str">
        <f t="shared" si="29"/>
        <v/>
      </c>
      <c r="B330" s="4" t="str">
        <f t="shared" si="25"/>
        <v/>
      </c>
      <c r="C330" s="19" t="str" cm="1">
        <f t="array" ref="C330">IF(ISNUMBER(A330),IF(A330=A329,INDEX(BackgroundCalcs!$AV$2:$AV$500,'Grading Formulas'!$A330),"Question Results"),"")</f>
        <v/>
      </c>
      <c r="D330" s="6" t="str" cm="1">
        <f t="array" ref="D330">IF(ISNUMBER($A330),IF(A330=A329,INDEX(BackgroundCalcs!$AW$2:$AW$500,'Grading Formulas'!$A330),"C"&amp;A330+9),"")</f>
        <v/>
      </c>
      <c r="E330" s="3" t="str" cm="1">
        <f t="array" ref="E330">IF(ISNUMBER($A330),IF(A330=A329,"Reference2(False,True,"&amp;INDEX(BackgroundCalcs!$AX$2:$AX$500,'Grading Formulas'!$A330)&amp;")","MOEValue(.0001)"),"")</f>
        <v/>
      </c>
      <c r="F330" s="3" t="str">
        <f t="shared" si="26"/>
        <v/>
      </c>
      <c r="G330" s="3" t="str">
        <f t="shared" si="27"/>
        <v/>
      </c>
      <c r="H330" s="3" t="str">
        <f t="shared" si="28"/>
        <v/>
      </c>
    </row>
    <row r="331" spans="1:8">
      <c r="A331" s="4" t="str">
        <f t="shared" si="29"/>
        <v/>
      </c>
      <c r="B331" s="4" t="str">
        <f t="shared" si="25"/>
        <v/>
      </c>
      <c r="C331" s="19" t="str" cm="1">
        <f t="array" ref="C331">IF(ISNUMBER(A331),IF(A331=A330,INDEX(BackgroundCalcs!$AV$2:$AV$500,'Grading Formulas'!$A331),"Question Results"),"")</f>
        <v/>
      </c>
      <c r="D331" s="6" t="str" cm="1">
        <f t="array" ref="D331">IF(ISNUMBER($A331),IF(A331=A330,INDEX(BackgroundCalcs!$AW$2:$AW$500,'Grading Formulas'!$A331),"C"&amp;A331+9),"")</f>
        <v/>
      </c>
      <c r="E331" s="3" t="str" cm="1">
        <f t="array" ref="E331">IF(ISNUMBER($A331),IF(A331=A330,"Reference2(False,True,"&amp;INDEX(BackgroundCalcs!$AX$2:$AX$500,'Grading Formulas'!$A331)&amp;")","MOEValue(.0001)"),"")</f>
        <v/>
      </c>
      <c r="F331" s="3" t="str">
        <f t="shared" si="26"/>
        <v/>
      </c>
      <c r="G331" s="3" t="str">
        <f t="shared" si="27"/>
        <v/>
      </c>
      <c r="H331" s="3" t="str">
        <f t="shared" si="28"/>
        <v/>
      </c>
    </row>
    <row r="332" spans="1:8">
      <c r="A332" s="4" t="str">
        <f t="shared" si="29"/>
        <v/>
      </c>
      <c r="B332" s="4" t="str">
        <f t="shared" si="25"/>
        <v/>
      </c>
      <c r="C332" s="19" t="str" cm="1">
        <f t="array" ref="C332">IF(ISNUMBER(A332),IF(A332=A331,INDEX(BackgroundCalcs!$AV$2:$AV$500,'Grading Formulas'!$A332),"Question Results"),"")</f>
        <v/>
      </c>
      <c r="D332" s="6" t="str" cm="1">
        <f t="array" ref="D332">IF(ISNUMBER($A332),IF(A332=A331,INDEX(BackgroundCalcs!$AW$2:$AW$500,'Grading Formulas'!$A332),"C"&amp;A332+9),"")</f>
        <v/>
      </c>
      <c r="E332" s="3" t="str" cm="1">
        <f t="array" ref="E332">IF(ISNUMBER($A332),IF(A332=A331,"Reference2(False,True,"&amp;INDEX(BackgroundCalcs!$AX$2:$AX$500,'Grading Formulas'!$A332)&amp;")","MOEValue(.0001)"),"")</f>
        <v/>
      </c>
      <c r="F332" s="3" t="str">
        <f t="shared" si="26"/>
        <v/>
      </c>
      <c r="G332" s="3" t="str">
        <f t="shared" si="27"/>
        <v/>
      </c>
      <c r="H332" s="3" t="str">
        <f t="shared" si="28"/>
        <v/>
      </c>
    </row>
    <row r="333" spans="1:8">
      <c r="A333" s="4" t="str">
        <f t="shared" si="29"/>
        <v/>
      </c>
      <c r="B333" s="4" t="str">
        <f t="shared" si="25"/>
        <v/>
      </c>
      <c r="C333" s="19" t="str" cm="1">
        <f t="array" ref="C333">IF(ISNUMBER(A333),IF(A333=A332,INDEX(BackgroundCalcs!$AV$2:$AV$500,'Grading Formulas'!$A333),"Question Results"),"")</f>
        <v/>
      </c>
      <c r="D333" s="6" t="str" cm="1">
        <f t="array" ref="D333">IF(ISNUMBER($A333),IF(A333=A332,INDEX(BackgroundCalcs!$AW$2:$AW$500,'Grading Formulas'!$A333),"C"&amp;A333+9),"")</f>
        <v/>
      </c>
      <c r="E333" s="3" t="str" cm="1">
        <f t="array" ref="E333">IF(ISNUMBER($A333),IF(A333=A332,"Reference2(False,True,"&amp;INDEX(BackgroundCalcs!$AX$2:$AX$500,'Grading Formulas'!$A333)&amp;")","MOEValue(.0001)"),"")</f>
        <v/>
      </c>
      <c r="F333" s="3" t="str">
        <f t="shared" si="26"/>
        <v/>
      </c>
      <c r="G333" s="3" t="str">
        <f t="shared" si="27"/>
        <v/>
      </c>
      <c r="H333" s="3" t="str">
        <f t="shared" si="28"/>
        <v/>
      </c>
    </row>
    <row r="334" spans="1:8">
      <c r="A334" s="4" t="str">
        <f t="shared" si="29"/>
        <v/>
      </c>
      <c r="B334" s="4" t="str">
        <f t="shared" si="25"/>
        <v/>
      </c>
      <c r="C334" s="19" t="str" cm="1">
        <f t="array" ref="C334">IF(ISNUMBER(A334),IF(A334=A333,INDEX(BackgroundCalcs!$AV$2:$AV$500,'Grading Formulas'!$A334),"Question Results"),"")</f>
        <v/>
      </c>
      <c r="D334" s="6" t="str" cm="1">
        <f t="array" ref="D334">IF(ISNUMBER($A334),IF(A334=A333,INDEX(BackgroundCalcs!$AW$2:$AW$500,'Grading Formulas'!$A334),"C"&amp;A334+9),"")</f>
        <v/>
      </c>
      <c r="E334" s="3" t="str" cm="1">
        <f t="array" ref="E334">IF(ISNUMBER($A334),IF(A334=A333,"Reference2(False,True,"&amp;INDEX(BackgroundCalcs!$AX$2:$AX$500,'Grading Formulas'!$A334)&amp;")","MOEValue(.0001)"),"")</f>
        <v/>
      </c>
      <c r="F334" s="3" t="str">
        <f t="shared" si="26"/>
        <v/>
      </c>
      <c r="G334" s="3" t="str">
        <f t="shared" si="27"/>
        <v/>
      </c>
      <c r="H334" s="3" t="str">
        <f t="shared" si="28"/>
        <v/>
      </c>
    </row>
    <row r="335" spans="1:8">
      <c r="A335" s="4" t="str">
        <f t="shared" si="29"/>
        <v/>
      </c>
      <c r="B335" s="4" t="str">
        <f t="shared" si="25"/>
        <v/>
      </c>
      <c r="C335" s="19" t="str" cm="1">
        <f t="array" ref="C335">IF(ISNUMBER(A335),IF(A335=A334,INDEX(BackgroundCalcs!$AV$2:$AV$500,'Grading Formulas'!$A335),"Question Results"),"")</f>
        <v/>
      </c>
      <c r="D335" s="6" t="str" cm="1">
        <f t="array" ref="D335">IF(ISNUMBER($A335),IF(A335=A334,INDEX(BackgroundCalcs!$AW$2:$AW$500,'Grading Formulas'!$A335),"C"&amp;A335+9),"")</f>
        <v/>
      </c>
      <c r="E335" s="3" t="str" cm="1">
        <f t="array" ref="E335">IF(ISNUMBER($A335),IF(A335=A334,"Reference2(False,True,"&amp;INDEX(BackgroundCalcs!$AX$2:$AX$500,'Grading Formulas'!$A335)&amp;")","MOEValue(.0001)"),"")</f>
        <v/>
      </c>
      <c r="F335" s="3" t="str">
        <f t="shared" si="26"/>
        <v/>
      </c>
      <c r="G335" s="3" t="str">
        <f t="shared" si="27"/>
        <v/>
      </c>
      <c r="H335" s="3" t="str">
        <f t="shared" si="28"/>
        <v/>
      </c>
    </row>
    <row r="336" spans="1:8">
      <c r="A336" s="4" t="str">
        <f t="shared" si="29"/>
        <v/>
      </c>
      <c r="B336" s="4" t="str">
        <f t="shared" si="25"/>
        <v/>
      </c>
      <c r="C336" s="19" t="str" cm="1">
        <f t="array" ref="C336">IF(ISNUMBER(A336),IF(A336=A335,INDEX(BackgroundCalcs!$AV$2:$AV$500,'Grading Formulas'!$A336),"Question Results"),"")</f>
        <v/>
      </c>
      <c r="D336" s="6" t="str" cm="1">
        <f t="array" ref="D336">IF(ISNUMBER($A336),IF(A336=A335,INDEX(BackgroundCalcs!$AW$2:$AW$500,'Grading Formulas'!$A336),"C"&amp;A336+9),"")</f>
        <v/>
      </c>
      <c r="E336" s="3" t="str" cm="1">
        <f t="array" ref="E336">IF(ISNUMBER($A336),IF(A336=A335,"Reference2(False,True,"&amp;INDEX(BackgroundCalcs!$AX$2:$AX$500,'Grading Formulas'!$A336)&amp;")","MOEValue(.0001)"),"")</f>
        <v/>
      </c>
      <c r="F336" s="3" t="str">
        <f t="shared" si="26"/>
        <v/>
      </c>
      <c r="G336" s="3" t="str">
        <f t="shared" si="27"/>
        <v/>
      </c>
      <c r="H336" s="3" t="str">
        <f t="shared" si="28"/>
        <v/>
      </c>
    </row>
    <row r="337" spans="1:8">
      <c r="A337" s="4" t="str">
        <f t="shared" si="29"/>
        <v/>
      </c>
      <c r="B337" s="4" t="str">
        <f t="shared" si="25"/>
        <v/>
      </c>
      <c r="C337" s="19" t="str" cm="1">
        <f t="array" ref="C337">IF(ISNUMBER(A337),IF(A337=A336,INDEX(BackgroundCalcs!$AV$2:$AV$500,'Grading Formulas'!$A337),"Question Results"),"")</f>
        <v/>
      </c>
      <c r="D337" s="6" t="str" cm="1">
        <f t="array" ref="D337">IF(ISNUMBER($A337),IF(A337=A336,INDEX(BackgroundCalcs!$AW$2:$AW$500,'Grading Formulas'!$A337),"C"&amp;A337+9),"")</f>
        <v/>
      </c>
      <c r="E337" s="3" t="str" cm="1">
        <f t="array" ref="E337">IF(ISNUMBER($A337),IF(A337=A336,"Reference2(False,True,"&amp;INDEX(BackgroundCalcs!$AX$2:$AX$500,'Grading Formulas'!$A337)&amp;")","MOEValue(.0001)"),"")</f>
        <v/>
      </c>
      <c r="F337" s="3" t="str">
        <f t="shared" si="26"/>
        <v/>
      </c>
      <c r="G337" s="3" t="str">
        <f t="shared" si="27"/>
        <v/>
      </c>
      <c r="H337" s="3" t="str">
        <f t="shared" si="28"/>
        <v/>
      </c>
    </row>
    <row r="338" spans="1:8">
      <c r="A338" s="4" t="str">
        <f t="shared" si="29"/>
        <v/>
      </c>
      <c r="B338" s="4" t="str">
        <f t="shared" si="25"/>
        <v/>
      </c>
      <c r="C338" s="19" t="str" cm="1">
        <f t="array" ref="C338">IF(ISNUMBER(A338),IF(A338=A337,INDEX(BackgroundCalcs!$AV$2:$AV$500,'Grading Formulas'!$A338),"Question Results"),"")</f>
        <v/>
      </c>
      <c r="D338" s="6" t="str" cm="1">
        <f t="array" ref="D338">IF(ISNUMBER($A338),IF(A338=A337,INDEX(BackgroundCalcs!$AW$2:$AW$500,'Grading Formulas'!$A338),"C"&amp;A338+9),"")</f>
        <v/>
      </c>
      <c r="E338" s="3" t="str" cm="1">
        <f t="array" ref="E338">IF(ISNUMBER($A338),IF(A338=A337,"Reference2(False,True,"&amp;INDEX(BackgroundCalcs!$AX$2:$AX$500,'Grading Formulas'!$A338)&amp;")","MOEValue(.0001)"),"")</f>
        <v/>
      </c>
      <c r="F338" s="3" t="str">
        <f t="shared" si="26"/>
        <v/>
      </c>
      <c r="G338" s="3" t="str">
        <f t="shared" si="27"/>
        <v/>
      </c>
      <c r="H338" s="3" t="str">
        <f t="shared" si="28"/>
        <v/>
      </c>
    </row>
    <row r="339" spans="1:8">
      <c r="A339" s="4" t="str">
        <f t="shared" si="29"/>
        <v/>
      </c>
      <c r="B339" s="4" t="str">
        <f t="shared" si="25"/>
        <v/>
      </c>
      <c r="C339" s="19" t="str" cm="1">
        <f t="array" ref="C339">IF(ISNUMBER(A339),IF(A339=A338,INDEX(BackgroundCalcs!$AV$2:$AV$500,'Grading Formulas'!$A339),"Question Results"),"")</f>
        <v/>
      </c>
      <c r="D339" s="6" t="str" cm="1">
        <f t="array" ref="D339">IF(ISNUMBER($A339),IF(A339=A338,INDEX(BackgroundCalcs!$AW$2:$AW$500,'Grading Formulas'!$A339),"C"&amp;A339+9),"")</f>
        <v/>
      </c>
      <c r="E339" s="3" t="str" cm="1">
        <f t="array" ref="E339">IF(ISNUMBER($A339),IF(A339=A338,"Reference2(False,True,"&amp;INDEX(BackgroundCalcs!$AX$2:$AX$500,'Grading Formulas'!$A339)&amp;")","MOEValue(.0001)"),"")</f>
        <v/>
      </c>
      <c r="F339" s="3" t="str">
        <f t="shared" si="26"/>
        <v/>
      </c>
      <c r="G339" s="3" t="str">
        <f t="shared" si="27"/>
        <v/>
      </c>
      <c r="H339" s="3" t="str">
        <f t="shared" si="28"/>
        <v/>
      </c>
    </row>
    <row r="340" spans="1:8">
      <c r="A340" s="4" t="str">
        <f t="shared" si="29"/>
        <v/>
      </c>
      <c r="B340" s="4" t="str">
        <f t="shared" si="25"/>
        <v/>
      </c>
      <c r="C340" s="19" t="str" cm="1">
        <f t="array" ref="C340">IF(ISNUMBER(A340),IF(A340=A339,INDEX(BackgroundCalcs!$AV$2:$AV$500,'Grading Formulas'!$A340),"Question Results"),"")</f>
        <v/>
      </c>
      <c r="D340" s="6" t="str" cm="1">
        <f t="array" ref="D340">IF(ISNUMBER($A340),IF(A340=A339,INDEX(BackgroundCalcs!$AW$2:$AW$500,'Grading Formulas'!$A340),"C"&amp;A340+9),"")</f>
        <v/>
      </c>
      <c r="E340" s="3" t="str" cm="1">
        <f t="array" ref="E340">IF(ISNUMBER($A340),IF(A340=A339,"Reference2(False,True,"&amp;INDEX(BackgroundCalcs!$AX$2:$AX$500,'Grading Formulas'!$A340)&amp;")","MOEValue(.0001)"),"")</f>
        <v/>
      </c>
      <c r="F340" s="3" t="str">
        <f t="shared" si="26"/>
        <v/>
      </c>
      <c r="G340" s="3" t="str">
        <f t="shared" si="27"/>
        <v/>
      </c>
      <c r="H340" s="3" t="str">
        <f t="shared" si="28"/>
        <v/>
      </c>
    </row>
    <row r="341" spans="1:8">
      <c r="A341" s="4" t="str">
        <f t="shared" si="29"/>
        <v/>
      </c>
      <c r="B341" s="4" t="str">
        <f t="shared" si="25"/>
        <v/>
      </c>
      <c r="C341" s="19" t="str" cm="1">
        <f t="array" ref="C341">IF(ISNUMBER(A341),IF(A341=A340,INDEX(BackgroundCalcs!$AV$2:$AV$500,'Grading Formulas'!$A341),"Question Results"),"")</f>
        <v/>
      </c>
      <c r="D341" s="6" t="str" cm="1">
        <f t="array" ref="D341">IF(ISNUMBER($A341),IF(A341=A340,INDEX(BackgroundCalcs!$AW$2:$AW$500,'Grading Formulas'!$A341),"C"&amp;A341+9),"")</f>
        <v/>
      </c>
      <c r="E341" s="3" t="str" cm="1">
        <f t="array" ref="E341">IF(ISNUMBER($A341),IF(A341=A340,"Reference2(False,True,"&amp;INDEX(BackgroundCalcs!$AX$2:$AX$500,'Grading Formulas'!$A341)&amp;")","MOEValue(.0001)"),"")</f>
        <v/>
      </c>
      <c r="F341" s="3" t="str">
        <f t="shared" si="26"/>
        <v/>
      </c>
      <c r="G341" s="3" t="str">
        <f t="shared" si="27"/>
        <v/>
      </c>
      <c r="H341" s="3" t="str">
        <f t="shared" si="28"/>
        <v/>
      </c>
    </row>
    <row r="342" spans="1:8">
      <c r="A342" s="4" t="str">
        <f t="shared" si="29"/>
        <v/>
      </c>
      <c r="B342" s="4" t="str">
        <f t="shared" si="25"/>
        <v/>
      </c>
      <c r="C342" s="19" t="str" cm="1">
        <f t="array" ref="C342">IF(ISNUMBER(A342),IF(A342=A341,INDEX(BackgroundCalcs!$AV$2:$AV$500,'Grading Formulas'!$A342),"Question Results"),"")</f>
        <v/>
      </c>
      <c r="D342" s="6" t="str" cm="1">
        <f t="array" ref="D342">IF(ISNUMBER($A342),IF(A342=A341,INDEX(BackgroundCalcs!$AW$2:$AW$500,'Grading Formulas'!$A342),"C"&amp;A342+9),"")</f>
        <v/>
      </c>
      <c r="E342" s="3" t="str" cm="1">
        <f t="array" ref="E342">IF(ISNUMBER($A342),IF(A342=A341,"Reference2(False,True,"&amp;INDEX(BackgroundCalcs!$AX$2:$AX$500,'Grading Formulas'!$A342)&amp;")","MOEValue(.0001)"),"")</f>
        <v/>
      </c>
      <c r="F342" s="3" t="str">
        <f t="shared" si="26"/>
        <v/>
      </c>
      <c r="G342" s="3" t="str">
        <f t="shared" si="27"/>
        <v/>
      </c>
      <c r="H342" s="3" t="str">
        <f t="shared" si="28"/>
        <v/>
      </c>
    </row>
    <row r="343" spans="1:8">
      <c r="A343" s="4" t="str">
        <f t="shared" si="29"/>
        <v/>
      </c>
      <c r="B343" s="4" t="str">
        <f t="shared" si="25"/>
        <v/>
      </c>
      <c r="C343" s="19" t="str" cm="1">
        <f t="array" ref="C343">IF(ISNUMBER(A343),IF(A343=A342,INDEX(BackgroundCalcs!$AV$2:$AV$500,'Grading Formulas'!$A343),"Question Results"),"")</f>
        <v/>
      </c>
      <c r="D343" s="6" t="str" cm="1">
        <f t="array" ref="D343">IF(ISNUMBER($A343),IF(A343=A342,INDEX(BackgroundCalcs!$AW$2:$AW$500,'Grading Formulas'!$A343),"C"&amp;A343+9),"")</f>
        <v/>
      </c>
      <c r="E343" s="3" t="str" cm="1">
        <f t="array" ref="E343">IF(ISNUMBER($A343),IF(A343=A342,"Reference2(False,True,"&amp;INDEX(BackgroundCalcs!$AX$2:$AX$500,'Grading Formulas'!$A343)&amp;")","MOEValue(.0001)"),"")</f>
        <v/>
      </c>
      <c r="F343" s="3" t="str">
        <f t="shared" si="26"/>
        <v/>
      </c>
      <c r="G343" s="3" t="str">
        <f t="shared" si="27"/>
        <v/>
      </c>
      <c r="H343" s="3" t="str">
        <f t="shared" si="28"/>
        <v/>
      </c>
    </row>
    <row r="344" spans="1:8">
      <c r="A344" s="4" t="str">
        <f t="shared" si="29"/>
        <v/>
      </c>
      <c r="B344" s="4" t="str">
        <f t="shared" si="25"/>
        <v/>
      </c>
      <c r="C344" s="19" t="str" cm="1">
        <f t="array" ref="C344">IF(ISNUMBER(A344),IF(A344=A343,INDEX(BackgroundCalcs!$AV$2:$AV$500,'Grading Formulas'!$A344),"Question Results"),"")</f>
        <v/>
      </c>
      <c r="D344" s="6" t="str" cm="1">
        <f t="array" ref="D344">IF(ISNUMBER($A344),IF(A344=A343,INDEX(BackgroundCalcs!$AW$2:$AW$500,'Grading Formulas'!$A344),"C"&amp;A344+9),"")</f>
        <v/>
      </c>
      <c r="E344" s="3" t="str" cm="1">
        <f t="array" ref="E344">IF(ISNUMBER($A344),IF(A344=A343,"Reference2(False,True,"&amp;INDEX(BackgroundCalcs!$AX$2:$AX$500,'Grading Formulas'!$A344)&amp;")","MOEValue(.0001)"),"")</f>
        <v/>
      </c>
      <c r="F344" s="3" t="str">
        <f t="shared" si="26"/>
        <v/>
      </c>
      <c r="G344" s="3" t="str">
        <f t="shared" si="27"/>
        <v/>
      </c>
      <c r="H344" s="3" t="str">
        <f t="shared" si="28"/>
        <v/>
      </c>
    </row>
    <row r="345" spans="1:8">
      <c r="A345" s="4" t="str">
        <f t="shared" si="29"/>
        <v/>
      </c>
      <c r="B345" s="4" t="str">
        <f t="shared" si="25"/>
        <v/>
      </c>
      <c r="C345" s="19" t="str" cm="1">
        <f t="array" ref="C345">IF(ISNUMBER(A345),IF(A345=A344,INDEX(BackgroundCalcs!$AV$2:$AV$500,'Grading Formulas'!$A345),"Question Results"),"")</f>
        <v/>
      </c>
      <c r="D345" s="6" t="str" cm="1">
        <f t="array" ref="D345">IF(ISNUMBER($A345),IF(A345=A344,INDEX(BackgroundCalcs!$AW$2:$AW$500,'Grading Formulas'!$A345),"C"&amp;A345+9),"")</f>
        <v/>
      </c>
      <c r="E345" s="3" t="str" cm="1">
        <f t="array" ref="E345">IF(ISNUMBER($A345),IF(A345=A344,"Reference2(False,True,"&amp;INDEX(BackgroundCalcs!$AX$2:$AX$500,'Grading Formulas'!$A345)&amp;")","MOEValue(.0001)"),"")</f>
        <v/>
      </c>
      <c r="F345" s="3" t="str">
        <f t="shared" si="26"/>
        <v/>
      </c>
      <c r="G345" s="3" t="str">
        <f t="shared" si="27"/>
        <v/>
      </c>
      <c r="H345" s="3" t="str">
        <f t="shared" si="28"/>
        <v/>
      </c>
    </row>
    <row r="346" spans="1:8">
      <c r="A346" s="4" t="str">
        <f t="shared" si="29"/>
        <v/>
      </c>
      <c r="B346" s="4" t="str">
        <f t="shared" si="25"/>
        <v/>
      </c>
      <c r="C346" s="19" t="str" cm="1">
        <f t="array" ref="C346">IF(ISNUMBER(A346),IF(A346=A345,INDEX(BackgroundCalcs!$AV$2:$AV$500,'Grading Formulas'!$A346),"Question Results"),"")</f>
        <v/>
      </c>
      <c r="D346" s="6" t="str" cm="1">
        <f t="array" ref="D346">IF(ISNUMBER($A346),IF(A346=A345,INDEX(BackgroundCalcs!$AW$2:$AW$500,'Grading Formulas'!$A346),"C"&amp;A346+9),"")</f>
        <v/>
      </c>
      <c r="E346" s="3" t="str" cm="1">
        <f t="array" ref="E346">IF(ISNUMBER($A346),IF(A346=A345,"Reference2(False,True,"&amp;INDEX(BackgroundCalcs!$AX$2:$AX$500,'Grading Formulas'!$A346)&amp;")","MOEValue(.0001)"),"")</f>
        <v/>
      </c>
      <c r="F346" s="3" t="str">
        <f t="shared" si="26"/>
        <v/>
      </c>
      <c r="G346" s="3" t="str">
        <f t="shared" si="27"/>
        <v/>
      </c>
      <c r="H346" s="3" t="str">
        <f t="shared" si="28"/>
        <v/>
      </c>
    </row>
    <row r="347" spans="1:8">
      <c r="A347" s="4" t="str">
        <f t="shared" si="29"/>
        <v/>
      </c>
      <c r="B347" s="4" t="str">
        <f t="shared" si="25"/>
        <v/>
      </c>
      <c r="C347" s="19" t="str" cm="1">
        <f t="array" ref="C347">IF(ISNUMBER(A347),IF(A347=A346,INDEX(BackgroundCalcs!$AV$2:$AV$500,'Grading Formulas'!$A347),"Question Results"),"")</f>
        <v/>
      </c>
      <c r="D347" s="6" t="str" cm="1">
        <f t="array" ref="D347">IF(ISNUMBER($A347),IF(A347=A346,INDEX(BackgroundCalcs!$AW$2:$AW$500,'Grading Formulas'!$A347),"C"&amp;A347+9),"")</f>
        <v/>
      </c>
      <c r="E347" s="3" t="str" cm="1">
        <f t="array" ref="E347">IF(ISNUMBER($A347),IF(A347=A346,"Reference2(False,True,"&amp;INDEX(BackgroundCalcs!$AX$2:$AX$500,'Grading Formulas'!$A347)&amp;")","MOEValue(.0001)"),"")</f>
        <v/>
      </c>
      <c r="F347" s="3" t="str">
        <f t="shared" si="26"/>
        <v/>
      </c>
      <c r="G347" s="3" t="str">
        <f t="shared" si="27"/>
        <v/>
      </c>
      <c r="H347" s="3" t="str">
        <f t="shared" si="28"/>
        <v/>
      </c>
    </row>
    <row r="348" spans="1:8">
      <c r="A348" s="4" t="str">
        <f t="shared" si="29"/>
        <v/>
      </c>
      <c r="B348" s="4" t="str">
        <f t="shared" ref="B348:B411" si="30">IF(ISNUMBER(A348),"CELL","")</f>
        <v/>
      </c>
      <c r="C348" s="19" t="str" cm="1">
        <f t="array" ref="C348">IF(ISNUMBER(A348),IF(A348=A347,INDEX(BackgroundCalcs!$AV$2:$AV$500,'Grading Formulas'!$A348),"Question Results"),"")</f>
        <v/>
      </c>
      <c r="D348" s="6" t="str" cm="1">
        <f t="array" ref="D348">IF(ISNUMBER($A348),IF(A348=A347,INDEX(BackgroundCalcs!$AW$2:$AW$500,'Grading Formulas'!$A348),"C"&amp;A348+9),"")</f>
        <v/>
      </c>
      <c r="E348" s="3" t="str" cm="1">
        <f t="array" ref="E348">IF(ISNUMBER($A348),IF(A348=A347,"Reference2(False,True,"&amp;INDEX(BackgroundCalcs!$AX$2:$AX$500,'Grading Formulas'!$A348)&amp;")","MOEValue(.0001)"),"")</f>
        <v/>
      </c>
      <c r="F348" s="3" t="str">
        <f t="shared" ref="F348:F411" si="31">IF(ISNUMBER($A348),IF(A348=A347,-1000,1),"")</f>
        <v/>
      </c>
      <c r="G348" s="3" t="str">
        <f t="shared" ref="G348:G411" si="32">IF(ISNUMBER($A348),IF(A348=A347,"You should not be referencing the answer cell","Correct"),"")</f>
        <v/>
      </c>
      <c r="H348" s="3" t="str">
        <f t="shared" ref="H348:H411" si="33">IF(ISNUMBER($A348),IF(A348=A347,"N/A","Incorrect"),"")</f>
        <v/>
      </c>
    </row>
    <row r="349" spans="1:8">
      <c r="A349" s="4" t="str">
        <f t="shared" si="29"/>
        <v/>
      </c>
      <c r="B349" s="4" t="str">
        <f t="shared" si="30"/>
        <v/>
      </c>
      <c r="C349" s="19" t="str" cm="1">
        <f t="array" ref="C349">IF(ISNUMBER(A349),IF(A349=A348,INDEX(BackgroundCalcs!$AV$2:$AV$500,'Grading Formulas'!$A349),"Question Results"),"")</f>
        <v/>
      </c>
      <c r="D349" s="6" t="str" cm="1">
        <f t="array" ref="D349">IF(ISNUMBER($A349),IF(A349=A348,INDEX(BackgroundCalcs!$AW$2:$AW$500,'Grading Formulas'!$A349),"C"&amp;A349+9),"")</f>
        <v/>
      </c>
      <c r="E349" s="3" t="str" cm="1">
        <f t="array" ref="E349">IF(ISNUMBER($A349),IF(A349=A348,"Reference2(False,True,"&amp;INDEX(BackgroundCalcs!$AX$2:$AX$500,'Grading Formulas'!$A349)&amp;")","MOEValue(.0001)"),"")</f>
        <v/>
      </c>
      <c r="F349" s="3" t="str">
        <f t="shared" si="31"/>
        <v/>
      </c>
      <c r="G349" s="3" t="str">
        <f t="shared" si="32"/>
        <v/>
      </c>
      <c r="H349" s="3" t="str">
        <f t="shared" si="33"/>
        <v/>
      </c>
    </row>
    <row r="350" spans="1:8">
      <c r="A350" s="4" t="str">
        <f t="shared" si="29"/>
        <v/>
      </c>
      <c r="B350" s="4" t="str">
        <f t="shared" si="30"/>
        <v/>
      </c>
      <c r="C350" s="19" t="str" cm="1">
        <f t="array" ref="C350">IF(ISNUMBER(A350),IF(A350=A349,INDEX(BackgroundCalcs!$AV$2:$AV$500,'Grading Formulas'!$A350),"Question Results"),"")</f>
        <v/>
      </c>
      <c r="D350" s="6" t="str" cm="1">
        <f t="array" ref="D350">IF(ISNUMBER($A350),IF(A350=A349,INDEX(BackgroundCalcs!$AW$2:$AW$500,'Grading Formulas'!$A350),"C"&amp;A350+9),"")</f>
        <v/>
      </c>
      <c r="E350" s="3" t="str" cm="1">
        <f t="array" ref="E350">IF(ISNUMBER($A350),IF(A350=A349,"Reference2(False,True,"&amp;INDEX(BackgroundCalcs!$AX$2:$AX$500,'Grading Formulas'!$A350)&amp;")","MOEValue(.0001)"),"")</f>
        <v/>
      </c>
      <c r="F350" s="3" t="str">
        <f t="shared" si="31"/>
        <v/>
      </c>
      <c r="G350" s="3" t="str">
        <f t="shared" si="32"/>
        <v/>
      </c>
      <c r="H350" s="3" t="str">
        <f t="shared" si="33"/>
        <v/>
      </c>
    </row>
    <row r="351" spans="1:8">
      <c r="A351" s="4" t="str">
        <f t="shared" si="29"/>
        <v/>
      </c>
      <c r="B351" s="4" t="str">
        <f t="shared" si="30"/>
        <v/>
      </c>
      <c r="C351" s="19" t="str" cm="1">
        <f t="array" ref="C351">IF(ISNUMBER(A351),IF(A351=A350,INDEX(BackgroundCalcs!$AV$2:$AV$500,'Grading Formulas'!$A351),"Question Results"),"")</f>
        <v/>
      </c>
      <c r="D351" s="6" t="str" cm="1">
        <f t="array" ref="D351">IF(ISNUMBER($A351),IF(A351=A350,INDEX(BackgroundCalcs!$AW$2:$AW$500,'Grading Formulas'!$A351),"C"&amp;A351+9),"")</f>
        <v/>
      </c>
      <c r="E351" s="3" t="str" cm="1">
        <f t="array" ref="E351">IF(ISNUMBER($A351),IF(A351=A350,"Reference2(False,True,"&amp;INDEX(BackgroundCalcs!$AX$2:$AX$500,'Grading Formulas'!$A351)&amp;")","MOEValue(.0001)"),"")</f>
        <v/>
      </c>
      <c r="F351" s="3" t="str">
        <f t="shared" si="31"/>
        <v/>
      </c>
      <c r="G351" s="3" t="str">
        <f t="shared" si="32"/>
        <v/>
      </c>
      <c r="H351" s="3" t="str">
        <f t="shared" si="33"/>
        <v/>
      </c>
    </row>
    <row r="352" spans="1:8">
      <c r="A352" s="4" t="str">
        <f t="shared" si="29"/>
        <v/>
      </c>
      <c r="B352" s="4" t="str">
        <f t="shared" si="30"/>
        <v/>
      </c>
      <c r="C352" s="19" t="str" cm="1">
        <f t="array" ref="C352">IF(ISNUMBER(A352),IF(A352=A351,INDEX(BackgroundCalcs!$AV$2:$AV$500,'Grading Formulas'!$A352),"Question Results"),"")</f>
        <v/>
      </c>
      <c r="D352" s="6" t="str" cm="1">
        <f t="array" ref="D352">IF(ISNUMBER($A352),IF(A352=A351,INDEX(BackgroundCalcs!$AW$2:$AW$500,'Grading Formulas'!$A352),"C"&amp;A352+9),"")</f>
        <v/>
      </c>
      <c r="E352" s="3" t="str" cm="1">
        <f t="array" ref="E352">IF(ISNUMBER($A352),IF(A352=A351,"Reference2(False,True,"&amp;INDEX(BackgroundCalcs!$AX$2:$AX$500,'Grading Formulas'!$A352)&amp;")","MOEValue(.0001)"),"")</f>
        <v/>
      </c>
      <c r="F352" s="3" t="str">
        <f t="shared" si="31"/>
        <v/>
      </c>
      <c r="G352" s="3" t="str">
        <f t="shared" si="32"/>
        <v/>
      </c>
      <c r="H352" s="3" t="str">
        <f t="shared" si="33"/>
        <v/>
      </c>
    </row>
    <row r="353" spans="1:8">
      <c r="A353" s="4" t="str">
        <f t="shared" si="29"/>
        <v/>
      </c>
      <c r="B353" s="4" t="str">
        <f t="shared" si="30"/>
        <v/>
      </c>
      <c r="C353" s="19" t="str" cm="1">
        <f t="array" ref="C353">IF(ISNUMBER(A353),IF(A353=A352,INDEX(BackgroundCalcs!$AV$2:$AV$500,'Grading Formulas'!$A353),"Question Results"),"")</f>
        <v/>
      </c>
      <c r="D353" s="6" t="str" cm="1">
        <f t="array" ref="D353">IF(ISNUMBER($A353),IF(A353=A352,INDEX(BackgroundCalcs!$AW$2:$AW$500,'Grading Formulas'!$A353),"C"&amp;A353+9),"")</f>
        <v/>
      </c>
      <c r="E353" s="3" t="str" cm="1">
        <f t="array" ref="E353">IF(ISNUMBER($A353),IF(A353=A352,"Reference2(False,True,"&amp;INDEX(BackgroundCalcs!$AX$2:$AX$500,'Grading Formulas'!$A353)&amp;")","MOEValue(.0001)"),"")</f>
        <v/>
      </c>
      <c r="F353" s="3" t="str">
        <f t="shared" si="31"/>
        <v/>
      </c>
      <c r="G353" s="3" t="str">
        <f t="shared" si="32"/>
        <v/>
      </c>
      <c r="H353" s="3" t="str">
        <f t="shared" si="33"/>
        <v/>
      </c>
    </row>
    <row r="354" spans="1:8">
      <c r="A354" s="4" t="str">
        <f t="shared" si="29"/>
        <v/>
      </c>
      <c r="B354" s="4" t="str">
        <f t="shared" si="30"/>
        <v/>
      </c>
      <c r="C354" s="19" t="str" cm="1">
        <f t="array" ref="C354">IF(ISNUMBER(A354),IF(A354=A353,INDEX(BackgroundCalcs!$AV$2:$AV$500,'Grading Formulas'!$A354),"Question Results"),"")</f>
        <v/>
      </c>
      <c r="D354" s="6" t="str" cm="1">
        <f t="array" ref="D354">IF(ISNUMBER($A354),IF(A354=A353,INDEX(BackgroundCalcs!$AW$2:$AW$500,'Grading Formulas'!$A354),"C"&amp;A354+9),"")</f>
        <v/>
      </c>
      <c r="E354" s="3" t="str" cm="1">
        <f t="array" ref="E354">IF(ISNUMBER($A354),IF(A354=A353,"Reference2(False,True,"&amp;INDEX(BackgroundCalcs!$AX$2:$AX$500,'Grading Formulas'!$A354)&amp;")","MOEValue(.0001)"),"")</f>
        <v/>
      </c>
      <c r="F354" s="3" t="str">
        <f t="shared" si="31"/>
        <v/>
      </c>
      <c r="G354" s="3" t="str">
        <f t="shared" si="32"/>
        <v/>
      </c>
      <c r="H354" s="3" t="str">
        <f t="shared" si="33"/>
        <v/>
      </c>
    </row>
    <row r="355" spans="1:8">
      <c r="A355" s="4" t="str">
        <f t="shared" si="29"/>
        <v/>
      </c>
      <c r="B355" s="4" t="str">
        <f t="shared" si="30"/>
        <v/>
      </c>
      <c r="C355" s="19" t="str" cm="1">
        <f t="array" ref="C355">IF(ISNUMBER(A355),IF(A355=A354,INDEX(BackgroundCalcs!$AV$2:$AV$500,'Grading Formulas'!$A355),"Question Results"),"")</f>
        <v/>
      </c>
      <c r="D355" s="6" t="str" cm="1">
        <f t="array" ref="D355">IF(ISNUMBER($A355),IF(A355=A354,INDEX(BackgroundCalcs!$AW$2:$AW$500,'Grading Formulas'!$A355),"C"&amp;A355+9),"")</f>
        <v/>
      </c>
      <c r="E355" s="3" t="str" cm="1">
        <f t="array" ref="E355">IF(ISNUMBER($A355),IF(A355=A354,"Reference2(False,True,"&amp;INDEX(BackgroundCalcs!$AX$2:$AX$500,'Grading Formulas'!$A355)&amp;")","MOEValue(.0001)"),"")</f>
        <v/>
      </c>
      <c r="F355" s="3" t="str">
        <f t="shared" si="31"/>
        <v/>
      </c>
      <c r="G355" s="3" t="str">
        <f t="shared" si="32"/>
        <v/>
      </c>
      <c r="H355" s="3" t="str">
        <f t="shared" si="33"/>
        <v/>
      </c>
    </row>
    <row r="356" spans="1:8">
      <c r="A356" s="4" t="str">
        <f t="shared" si="29"/>
        <v/>
      </c>
      <c r="B356" s="4" t="str">
        <f t="shared" si="30"/>
        <v/>
      </c>
      <c r="C356" s="19" t="str" cm="1">
        <f t="array" ref="C356">IF(ISNUMBER(A356),IF(A356=A355,INDEX(BackgroundCalcs!$AV$2:$AV$500,'Grading Formulas'!$A356),"Question Results"),"")</f>
        <v/>
      </c>
      <c r="D356" s="6" t="str" cm="1">
        <f t="array" ref="D356">IF(ISNUMBER($A356),IF(A356=A355,INDEX(BackgroundCalcs!$AW$2:$AW$500,'Grading Formulas'!$A356),"C"&amp;A356+9),"")</f>
        <v/>
      </c>
      <c r="E356" s="3" t="str" cm="1">
        <f t="array" ref="E356">IF(ISNUMBER($A356),IF(A356=A355,"Reference2(False,True,"&amp;INDEX(BackgroundCalcs!$AX$2:$AX$500,'Grading Formulas'!$A356)&amp;")","MOEValue(.0001)"),"")</f>
        <v/>
      </c>
      <c r="F356" s="3" t="str">
        <f t="shared" si="31"/>
        <v/>
      </c>
      <c r="G356" s="3" t="str">
        <f t="shared" si="32"/>
        <v/>
      </c>
      <c r="H356" s="3" t="str">
        <f t="shared" si="33"/>
        <v/>
      </c>
    </row>
    <row r="357" spans="1:8">
      <c r="A357" s="4" t="str">
        <f t="shared" si="29"/>
        <v/>
      </c>
      <c r="B357" s="4" t="str">
        <f t="shared" si="30"/>
        <v/>
      </c>
      <c r="C357" s="19" t="str" cm="1">
        <f t="array" ref="C357">IF(ISNUMBER(A357),IF(A357=A356,INDEX(BackgroundCalcs!$AV$2:$AV$500,'Grading Formulas'!$A357),"Question Results"),"")</f>
        <v/>
      </c>
      <c r="D357" s="6" t="str" cm="1">
        <f t="array" ref="D357">IF(ISNUMBER($A357),IF(A357=A356,INDEX(BackgroundCalcs!$AW$2:$AW$500,'Grading Formulas'!$A357),"C"&amp;A357+9),"")</f>
        <v/>
      </c>
      <c r="E357" s="3" t="str" cm="1">
        <f t="array" ref="E357">IF(ISNUMBER($A357),IF(A357=A356,"Reference2(False,True,"&amp;INDEX(BackgroundCalcs!$AX$2:$AX$500,'Grading Formulas'!$A357)&amp;")","MOEValue(.0001)"),"")</f>
        <v/>
      </c>
      <c r="F357" s="3" t="str">
        <f t="shared" si="31"/>
        <v/>
      </c>
      <c r="G357" s="3" t="str">
        <f t="shared" si="32"/>
        <v/>
      </c>
      <c r="H357" s="3" t="str">
        <f t="shared" si="33"/>
        <v/>
      </c>
    </row>
    <row r="358" spans="1:8">
      <c r="A358" s="4" t="str">
        <f t="shared" si="29"/>
        <v/>
      </c>
      <c r="B358" s="4" t="str">
        <f t="shared" si="30"/>
        <v/>
      </c>
      <c r="C358" s="19" t="str" cm="1">
        <f t="array" ref="C358">IF(ISNUMBER(A358),IF(A358=A357,INDEX(BackgroundCalcs!$AV$2:$AV$500,'Grading Formulas'!$A358),"Question Results"),"")</f>
        <v/>
      </c>
      <c r="D358" s="6" t="str" cm="1">
        <f t="array" ref="D358">IF(ISNUMBER($A358),IF(A358=A357,INDEX(BackgroundCalcs!$AW$2:$AW$500,'Grading Formulas'!$A358),"C"&amp;A358+9),"")</f>
        <v/>
      </c>
      <c r="E358" s="3" t="str" cm="1">
        <f t="array" ref="E358">IF(ISNUMBER($A358),IF(A358=A357,"Reference2(False,True,"&amp;INDEX(BackgroundCalcs!$AX$2:$AX$500,'Grading Formulas'!$A358)&amp;")","MOEValue(.0001)"),"")</f>
        <v/>
      </c>
      <c r="F358" s="3" t="str">
        <f t="shared" si="31"/>
        <v/>
      </c>
      <c r="G358" s="3" t="str">
        <f t="shared" si="32"/>
        <v/>
      </c>
      <c r="H358" s="3" t="str">
        <f t="shared" si="33"/>
        <v/>
      </c>
    </row>
    <row r="359" spans="1:8">
      <c r="A359" s="4" t="str">
        <f t="shared" si="29"/>
        <v/>
      </c>
      <c r="B359" s="4" t="str">
        <f t="shared" si="30"/>
        <v/>
      </c>
      <c r="C359" s="19" t="str" cm="1">
        <f t="array" ref="C359">IF(ISNUMBER(A359),IF(A359=A358,INDEX(BackgroundCalcs!$AV$2:$AV$500,'Grading Formulas'!$A359),"Question Results"),"")</f>
        <v/>
      </c>
      <c r="D359" s="6" t="str" cm="1">
        <f t="array" ref="D359">IF(ISNUMBER($A359),IF(A359=A358,INDEX(BackgroundCalcs!$AW$2:$AW$500,'Grading Formulas'!$A359),"C"&amp;A359+9),"")</f>
        <v/>
      </c>
      <c r="E359" s="3" t="str" cm="1">
        <f t="array" ref="E359">IF(ISNUMBER($A359),IF(A359=A358,"Reference2(False,True,"&amp;INDEX(BackgroundCalcs!$AX$2:$AX$500,'Grading Formulas'!$A359)&amp;")","MOEValue(.0001)"),"")</f>
        <v/>
      </c>
      <c r="F359" s="3" t="str">
        <f t="shared" si="31"/>
        <v/>
      </c>
      <c r="G359" s="3" t="str">
        <f t="shared" si="32"/>
        <v/>
      </c>
      <c r="H359" s="3" t="str">
        <f t="shared" si="33"/>
        <v/>
      </c>
    </row>
    <row r="360" spans="1:8">
      <c r="A360" s="4" t="str">
        <f t="shared" si="29"/>
        <v/>
      </c>
      <c r="B360" s="4" t="str">
        <f t="shared" si="30"/>
        <v/>
      </c>
      <c r="C360" s="19" t="str" cm="1">
        <f t="array" ref="C360">IF(ISNUMBER(A360),IF(A360=A359,INDEX(BackgroundCalcs!$AV$2:$AV$500,'Grading Formulas'!$A360),"Question Results"),"")</f>
        <v/>
      </c>
      <c r="D360" s="6" t="str" cm="1">
        <f t="array" ref="D360">IF(ISNUMBER($A360),IF(A360=A359,INDEX(BackgroundCalcs!$AW$2:$AW$500,'Grading Formulas'!$A360),"C"&amp;A360+9),"")</f>
        <v/>
      </c>
      <c r="E360" s="3" t="str" cm="1">
        <f t="array" ref="E360">IF(ISNUMBER($A360),IF(A360=A359,"Reference2(False,True,"&amp;INDEX(BackgroundCalcs!$AX$2:$AX$500,'Grading Formulas'!$A360)&amp;")","MOEValue(.0001)"),"")</f>
        <v/>
      </c>
      <c r="F360" s="3" t="str">
        <f t="shared" si="31"/>
        <v/>
      </c>
      <c r="G360" s="3" t="str">
        <f t="shared" si="32"/>
        <v/>
      </c>
      <c r="H360" s="3" t="str">
        <f t="shared" si="33"/>
        <v/>
      </c>
    </row>
    <row r="361" spans="1:8">
      <c r="A361" s="4" t="str">
        <f t="shared" si="29"/>
        <v/>
      </c>
      <c r="B361" s="4" t="str">
        <f t="shared" si="30"/>
        <v/>
      </c>
      <c r="C361" s="19" t="str" cm="1">
        <f t="array" ref="C361">IF(ISNUMBER(A361),IF(A361=A360,INDEX(BackgroundCalcs!$AV$2:$AV$500,'Grading Formulas'!$A361),"Question Results"),"")</f>
        <v/>
      </c>
      <c r="D361" s="6" t="str" cm="1">
        <f t="array" ref="D361">IF(ISNUMBER($A361),IF(A361=A360,INDEX(BackgroundCalcs!$AW$2:$AW$500,'Grading Formulas'!$A361),"C"&amp;A361+9),"")</f>
        <v/>
      </c>
      <c r="E361" s="3" t="str" cm="1">
        <f t="array" ref="E361">IF(ISNUMBER($A361),IF(A361=A360,"Reference2(False,True,"&amp;INDEX(BackgroundCalcs!$AX$2:$AX$500,'Grading Formulas'!$A361)&amp;")","MOEValue(.0001)"),"")</f>
        <v/>
      </c>
      <c r="F361" s="3" t="str">
        <f t="shared" si="31"/>
        <v/>
      </c>
      <c r="G361" s="3" t="str">
        <f t="shared" si="32"/>
        <v/>
      </c>
      <c r="H361" s="3" t="str">
        <f t="shared" si="33"/>
        <v/>
      </c>
    </row>
    <row r="362" spans="1:8">
      <c r="A362" s="4" t="str">
        <f t="shared" si="29"/>
        <v/>
      </c>
      <c r="B362" s="4" t="str">
        <f t="shared" si="30"/>
        <v/>
      </c>
      <c r="C362" s="19" t="str" cm="1">
        <f t="array" ref="C362">IF(ISNUMBER(A362),IF(A362=A361,INDEX(BackgroundCalcs!$AV$2:$AV$500,'Grading Formulas'!$A362),"Question Results"),"")</f>
        <v/>
      </c>
      <c r="D362" s="6" t="str" cm="1">
        <f t="array" ref="D362">IF(ISNUMBER($A362),IF(A362=A361,INDEX(BackgroundCalcs!$AW$2:$AW$500,'Grading Formulas'!$A362),"C"&amp;A362+9),"")</f>
        <v/>
      </c>
      <c r="E362" s="3" t="str" cm="1">
        <f t="array" ref="E362">IF(ISNUMBER($A362),IF(A362=A361,"Reference2(False,True,"&amp;INDEX(BackgroundCalcs!$AX$2:$AX$500,'Grading Formulas'!$A362)&amp;")","MOEValue(.0001)"),"")</f>
        <v/>
      </c>
      <c r="F362" s="3" t="str">
        <f t="shared" si="31"/>
        <v/>
      </c>
      <c r="G362" s="3" t="str">
        <f t="shared" si="32"/>
        <v/>
      </c>
      <c r="H362" s="3" t="str">
        <f t="shared" si="33"/>
        <v/>
      </c>
    </row>
    <row r="363" spans="1:8">
      <c r="A363" s="4" t="str">
        <f t="shared" si="29"/>
        <v/>
      </c>
      <c r="B363" s="4" t="str">
        <f t="shared" si="30"/>
        <v/>
      </c>
      <c r="C363" s="19" t="str" cm="1">
        <f t="array" ref="C363">IF(ISNUMBER(A363),IF(A363=A362,INDEX(BackgroundCalcs!$AV$2:$AV$500,'Grading Formulas'!$A363),"Question Results"),"")</f>
        <v/>
      </c>
      <c r="D363" s="6" t="str" cm="1">
        <f t="array" ref="D363">IF(ISNUMBER($A363),IF(A363=A362,INDEX(BackgroundCalcs!$AW$2:$AW$500,'Grading Formulas'!$A363),"C"&amp;A363+9),"")</f>
        <v/>
      </c>
      <c r="E363" s="3" t="str" cm="1">
        <f t="array" ref="E363">IF(ISNUMBER($A363),IF(A363=A362,"Reference2(False,True,"&amp;INDEX(BackgroundCalcs!$AX$2:$AX$500,'Grading Formulas'!$A363)&amp;")","MOEValue(.0001)"),"")</f>
        <v/>
      </c>
      <c r="F363" s="3" t="str">
        <f t="shared" si="31"/>
        <v/>
      </c>
      <c r="G363" s="3" t="str">
        <f t="shared" si="32"/>
        <v/>
      </c>
      <c r="H363" s="3" t="str">
        <f t="shared" si="33"/>
        <v/>
      </c>
    </row>
    <row r="364" spans="1:8">
      <c r="A364" s="4" t="str">
        <f t="shared" si="29"/>
        <v/>
      </c>
      <c r="B364" s="4" t="str">
        <f t="shared" si="30"/>
        <v/>
      </c>
      <c r="C364" s="19" t="str" cm="1">
        <f t="array" ref="C364">IF(ISNUMBER(A364),IF(A364=A363,INDEX(BackgroundCalcs!$AV$2:$AV$500,'Grading Formulas'!$A364),"Question Results"),"")</f>
        <v/>
      </c>
      <c r="D364" s="6" t="str" cm="1">
        <f t="array" ref="D364">IF(ISNUMBER($A364),IF(A364=A363,INDEX(BackgroundCalcs!$AW$2:$AW$500,'Grading Formulas'!$A364),"C"&amp;A364+9),"")</f>
        <v/>
      </c>
      <c r="E364" s="3" t="str" cm="1">
        <f t="array" ref="E364">IF(ISNUMBER($A364),IF(A364=A363,"Reference2(False,True,"&amp;INDEX(BackgroundCalcs!$AX$2:$AX$500,'Grading Formulas'!$A364)&amp;")","MOEValue(.0001)"),"")</f>
        <v/>
      </c>
      <c r="F364" s="3" t="str">
        <f t="shared" si="31"/>
        <v/>
      </c>
      <c r="G364" s="3" t="str">
        <f t="shared" si="32"/>
        <v/>
      </c>
      <c r="H364" s="3" t="str">
        <f t="shared" si="33"/>
        <v/>
      </c>
    </row>
    <row r="365" spans="1:8">
      <c r="A365" s="4" t="str">
        <f t="shared" si="29"/>
        <v/>
      </c>
      <c r="B365" s="4" t="str">
        <f t="shared" si="30"/>
        <v/>
      </c>
      <c r="C365" s="19" t="str" cm="1">
        <f t="array" ref="C365">IF(ISNUMBER(A365),IF(A365=A364,INDEX(BackgroundCalcs!$AV$2:$AV$500,'Grading Formulas'!$A365),"Question Results"),"")</f>
        <v/>
      </c>
      <c r="D365" s="6" t="str" cm="1">
        <f t="array" ref="D365">IF(ISNUMBER($A365),IF(A365=A364,INDEX(BackgroundCalcs!$AW$2:$AW$500,'Grading Formulas'!$A365),"C"&amp;A365+9),"")</f>
        <v/>
      </c>
      <c r="E365" s="3" t="str" cm="1">
        <f t="array" ref="E365">IF(ISNUMBER($A365),IF(A365=A364,"Reference2(False,True,"&amp;INDEX(BackgroundCalcs!$AX$2:$AX$500,'Grading Formulas'!$A365)&amp;")","MOEValue(.0001)"),"")</f>
        <v/>
      </c>
      <c r="F365" s="3" t="str">
        <f t="shared" si="31"/>
        <v/>
      </c>
      <c r="G365" s="3" t="str">
        <f t="shared" si="32"/>
        <v/>
      </c>
      <c r="H365" s="3" t="str">
        <f t="shared" si="33"/>
        <v/>
      </c>
    </row>
    <row r="366" spans="1:8">
      <c r="A366" s="4" t="str">
        <f t="shared" si="29"/>
        <v/>
      </c>
      <c r="B366" s="4" t="str">
        <f t="shared" si="30"/>
        <v/>
      </c>
      <c r="C366" s="19" t="str" cm="1">
        <f t="array" ref="C366">IF(ISNUMBER(A366),IF(A366=A365,INDEX(BackgroundCalcs!$AV$2:$AV$500,'Grading Formulas'!$A366),"Question Results"),"")</f>
        <v/>
      </c>
      <c r="D366" s="6" t="str" cm="1">
        <f t="array" ref="D366">IF(ISNUMBER($A366),IF(A366=A365,INDEX(BackgroundCalcs!$AW$2:$AW$500,'Grading Formulas'!$A366),"C"&amp;A366+9),"")</f>
        <v/>
      </c>
      <c r="E366" s="3" t="str" cm="1">
        <f t="array" ref="E366">IF(ISNUMBER($A366),IF(A366=A365,"Reference2(False,True,"&amp;INDEX(BackgroundCalcs!$AX$2:$AX$500,'Grading Formulas'!$A366)&amp;")","MOEValue(.0001)"),"")</f>
        <v/>
      </c>
      <c r="F366" s="3" t="str">
        <f t="shared" si="31"/>
        <v/>
      </c>
      <c r="G366" s="3" t="str">
        <f t="shared" si="32"/>
        <v/>
      </c>
      <c r="H366" s="3" t="str">
        <f t="shared" si="33"/>
        <v/>
      </c>
    </row>
    <row r="367" spans="1:8">
      <c r="A367" s="4" t="str">
        <f t="shared" si="29"/>
        <v/>
      </c>
      <c r="B367" s="4" t="str">
        <f t="shared" si="30"/>
        <v/>
      </c>
      <c r="C367" s="19" t="str" cm="1">
        <f t="array" ref="C367">IF(ISNUMBER(A367),IF(A367=A366,INDEX(BackgroundCalcs!$AV$2:$AV$500,'Grading Formulas'!$A367),"Question Results"),"")</f>
        <v/>
      </c>
      <c r="D367" s="6" t="str" cm="1">
        <f t="array" ref="D367">IF(ISNUMBER($A367),IF(A367=A366,INDEX(BackgroundCalcs!$AW$2:$AW$500,'Grading Formulas'!$A367),"C"&amp;A367+9),"")</f>
        <v/>
      </c>
      <c r="E367" s="3" t="str" cm="1">
        <f t="array" ref="E367">IF(ISNUMBER($A367),IF(A367=A366,"Reference2(False,True,"&amp;INDEX(BackgroundCalcs!$AX$2:$AX$500,'Grading Formulas'!$A367)&amp;")","MOEValue(.0001)"),"")</f>
        <v/>
      </c>
      <c r="F367" s="3" t="str">
        <f t="shared" si="31"/>
        <v/>
      </c>
      <c r="G367" s="3" t="str">
        <f t="shared" si="32"/>
        <v/>
      </c>
      <c r="H367" s="3" t="str">
        <f t="shared" si="33"/>
        <v/>
      </c>
    </row>
    <row r="368" spans="1:8">
      <c r="A368" s="4" t="str">
        <f t="shared" si="29"/>
        <v/>
      </c>
      <c r="B368" s="4" t="str">
        <f t="shared" si="30"/>
        <v/>
      </c>
      <c r="C368" s="19" t="str" cm="1">
        <f t="array" ref="C368">IF(ISNUMBER(A368),IF(A368=A367,INDEX(BackgroundCalcs!$AV$2:$AV$500,'Grading Formulas'!$A368),"Question Results"),"")</f>
        <v/>
      </c>
      <c r="D368" s="6" t="str" cm="1">
        <f t="array" ref="D368">IF(ISNUMBER($A368),IF(A368=A367,INDEX(BackgroundCalcs!$AW$2:$AW$500,'Grading Formulas'!$A368),"C"&amp;A368+9),"")</f>
        <v/>
      </c>
      <c r="E368" s="3" t="str" cm="1">
        <f t="array" ref="E368">IF(ISNUMBER($A368),IF(A368=A367,"Reference2(False,True,"&amp;INDEX(BackgroundCalcs!$AX$2:$AX$500,'Grading Formulas'!$A368)&amp;")","MOEValue(.0001)"),"")</f>
        <v/>
      </c>
      <c r="F368" s="3" t="str">
        <f t="shared" si="31"/>
        <v/>
      </c>
      <c r="G368" s="3" t="str">
        <f t="shared" si="32"/>
        <v/>
      </c>
      <c r="H368" s="3" t="str">
        <f t="shared" si="33"/>
        <v/>
      </c>
    </row>
    <row r="369" spans="1:8">
      <c r="A369" s="4" t="str">
        <f t="shared" si="29"/>
        <v/>
      </c>
      <c r="B369" s="4" t="str">
        <f t="shared" si="30"/>
        <v/>
      </c>
      <c r="C369" s="19" t="str" cm="1">
        <f t="array" ref="C369">IF(ISNUMBER(A369),IF(A369=A368,INDEX(BackgroundCalcs!$AV$2:$AV$500,'Grading Formulas'!$A369),"Question Results"),"")</f>
        <v/>
      </c>
      <c r="D369" s="6" t="str" cm="1">
        <f t="array" ref="D369">IF(ISNUMBER($A369),IF(A369=A368,INDEX(BackgroundCalcs!$AW$2:$AW$500,'Grading Formulas'!$A369),"C"&amp;A369+9),"")</f>
        <v/>
      </c>
      <c r="E369" s="3" t="str" cm="1">
        <f t="array" ref="E369">IF(ISNUMBER($A369),IF(A369=A368,"Reference2(False,True,"&amp;INDEX(BackgroundCalcs!$AX$2:$AX$500,'Grading Formulas'!$A369)&amp;")","MOEValue(.0001)"),"")</f>
        <v/>
      </c>
      <c r="F369" s="3" t="str">
        <f t="shared" si="31"/>
        <v/>
      </c>
      <c r="G369" s="3" t="str">
        <f t="shared" si="32"/>
        <v/>
      </c>
      <c r="H369" s="3" t="str">
        <f t="shared" si="33"/>
        <v/>
      </c>
    </row>
    <row r="370" spans="1:8">
      <c r="A370" s="4" t="str">
        <f t="shared" si="29"/>
        <v/>
      </c>
      <c r="B370" s="4" t="str">
        <f t="shared" si="30"/>
        <v/>
      </c>
      <c r="C370" s="19" t="str" cm="1">
        <f t="array" ref="C370">IF(ISNUMBER(A370),IF(A370=A369,INDEX(BackgroundCalcs!$AV$2:$AV$500,'Grading Formulas'!$A370),"Question Results"),"")</f>
        <v/>
      </c>
      <c r="D370" s="6" t="str" cm="1">
        <f t="array" ref="D370">IF(ISNUMBER($A370),IF(A370=A369,INDEX(BackgroundCalcs!$AW$2:$AW$500,'Grading Formulas'!$A370),"C"&amp;A370+9),"")</f>
        <v/>
      </c>
      <c r="E370" s="3" t="str" cm="1">
        <f t="array" ref="E370">IF(ISNUMBER($A370),IF(A370=A369,"Reference2(False,True,"&amp;INDEX(BackgroundCalcs!$AX$2:$AX$500,'Grading Formulas'!$A370)&amp;")","MOEValue(.0001)"),"")</f>
        <v/>
      </c>
      <c r="F370" s="3" t="str">
        <f t="shared" si="31"/>
        <v/>
      </c>
      <c r="G370" s="3" t="str">
        <f t="shared" si="32"/>
        <v/>
      </c>
      <c r="H370" s="3" t="str">
        <f t="shared" si="33"/>
        <v/>
      </c>
    </row>
    <row r="371" spans="1:8">
      <c r="A371" s="4" t="str">
        <f t="shared" si="29"/>
        <v/>
      </c>
      <c r="B371" s="4" t="str">
        <f t="shared" si="30"/>
        <v/>
      </c>
      <c r="C371" s="19" t="str" cm="1">
        <f t="array" ref="C371">IF(ISNUMBER(A371),IF(A371=A370,INDEX(BackgroundCalcs!$AV$2:$AV$500,'Grading Formulas'!$A371),"Question Results"),"")</f>
        <v/>
      </c>
      <c r="D371" s="6" t="str" cm="1">
        <f t="array" ref="D371">IF(ISNUMBER($A371),IF(A371=A370,INDEX(BackgroundCalcs!$AW$2:$AW$500,'Grading Formulas'!$A371),"C"&amp;A371+9),"")</f>
        <v/>
      </c>
      <c r="E371" s="3" t="str" cm="1">
        <f t="array" ref="E371">IF(ISNUMBER($A371),IF(A371=A370,"Reference2(False,True,"&amp;INDEX(BackgroundCalcs!$AX$2:$AX$500,'Grading Formulas'!$A371)&amp;")","MOEValue(.0001)"),"")</f>
        <v/>
      </c>
      <c r="F371" s="3" t="str">
        <f t="shared" si="31"/>
        <v/>
      </c>
      <c r="G371" s="3" t="str">
        <f t="shared" si="32"/>
        <v/>
      </c>
      <c r="H371" s="3" t="str">
        <f t="shared" si="33"/>
        <v/>
      </c>
    </row>
    <row r="372" spans="1:8">
      <c r="A372" s="4" t="str">
        <f t="shared" si="29"/>
        <v/>
      </c>
      <c r="B372" s="4" t="str">
        <f t="shared" si="30"/>
        <v/>
      </c>
      <c r="C372" s="19" t="str" cm="1">
        <f t="array" ref="C372">IF(ISNUMBER(A372),IF(A372=A371,INDEX(BackgroundCalcs!$AV$2:$AV$500,'Grading Formulas'!$A372),"Question Results"),"")</f>
        <v/>
      </c>
      <c r="D372" s="6" t="str" cm="1">
        <f t="array" ref="D372">IF(ISNUMBER($A372),IF(A372=A371,INDEX(BackgroundCalcs!$AW$2:$AW$500,'Grading Formulas'!$A372),"C"&amp;A372+9),"")</f>
        <v/>
      </c>
      <c r="E372" s="3" t="str" cm="1">
        <f t="array" ref="E372">IF(ISNUMBER($A372),IF(A372=A371,"Reference2(False,True,"&amp;INDEX(BackgroundCalcs!$AX$2:$AX$500,'Grading Formulas'!$A372)&amp;")","MOEValue(.0001)"),"")</f>
        <v/>
      </c>
      <c r="F372" s="3" t="str">
        <f t="shared" si="31"/>
        <v/>
      </c>
      <c r="G372" s="3" t="str">
        <f t="shared" si="32"/>
        <v/>
      </c>
      <c r="H372" s="3" t="str">
        <f t="shared" si="33"/>
        <v/>
      </c>
    </row>
    <row r="373" spans="1:8">
      <c r="A373" s="4" t="str">
        <f t="shared" si="29"/>
        <v/>
      </c>
      <c r="B373" s="4" t="str">
        <f t="shared" si="30"/>
        <v/>
      </c>
      <c r="C373" s="19" t="str" cm="1">
        <f t="array" ref="C373">IF(ISNUMBER(A373),IF(A373=A372,INDEX(BackgroundCalcs!$AV$2:$AV$500,'Grading Formulas'!$A373),"Question Results"),"")</f>
        <v/>
      </c>
      <c r="D373" s="6" t="str" cm="1">
        <f t="array" ref="D373">IF(ISNUMBER($A373),IF(A373=A372,INDEX(BackgroundCalcs!$AW$2:$AW$500,'Grading Formulas'!$A373),"C"&amp;A373+9),"")</f>
        <v/>
      </c>
      <c r="E373" s="3" t="str" cm="1">
        <f t="array" ref="E373">IF(ISNUMBER($A373),IF(A373=A372,"Reference2(False,True,"&amp;INDEX(BackgroundCalcs!$AX$2:$AX$500,'Grading Formulas'!$A373)&amp;")","MOEValue(.0001)"),"")</f>
        <v/>
      </c>
      <c r="F373" s="3" t="str">
        <f t="shared" si="31"/>
        <v/>
      </c>
      <c r="G373" s="3" t="str">
        <f t="shared" si="32"/>
        <v/>
      </c>
      <c r="H373" s="3" t="str">
        <f t="shared" si="33"/>
        <v/>
      </c>
    </row>
    <row r="374" spans="1:8">
      <c r="A374" s="4" t="str">
        <f t="shared" si="29"/>
        <v/>
      </c>
      <c r="B374" s="4" t="str">
        <f t="shared" si="30"/>
        <v/>
      </c>
      <c r="C374" s="19" t="str" cm="1">
        <f t="array" ref="C374">IF(ISNUMBER(A374),IF(A374=A373,INDEX(BackgroundCalcs!$AV$2:$AV$500,'Grading Formulas'!$A374),"Question Results"),"")</f>
        <v/>
      </c>
      <c r="D374" s="6" t="str" cm="1">
        <f t="array" ref="D374">IF(ISNUMBER($A374),IF(A374=A373,INDEX(BackgroundCalcs!$AW$2:$AW$500,'Grading Formulas'!$A374),"C"&amp;A374+9),"")</f>
        <v/>
      </c>
      <c r="E374" s="3" t="str" cm="1">
        <f t="array" ref="E374">IF(ISNUMBER($A374),IF(A374=A373,"Reference2(False,True,"&amp;INDEX(BackgroundCalcs!$AX$2:$AX$500,'Grading Formulas'!$A374)&amp;")","MOEValue(.0001)"),"")</f>
        <v/>
      </c>
      <c r="F374" s="3" t="str">
        <f t="shared" si="31"/>
        <v/>
      </c>
      <c r="G374" s="3" t="str">
        <f t="shared" si="32"/>
        <v/>
      </c>
      <c r="H374" s="3" t="str">
        <f t="shared" si="33"/>
        <v/>
      </c>
    </row>
    <row r="375" spans="1:8">
      <c r="A375" s="4" t="str">
        <f t="shared" si="29"/>
        <v/>
      </c>
      <c r="B375" s="4" t="str">
        <f t="shared" si="30"/>
        <v/>
      </c>
      <c r="C375" s="19" t="str" cm="1">
        <f t="array" ref="C375">IF(ISNUMBER(A375),IF(A375=A374,INDEX(BackgroundCalcs!$AV$2:$AV$500,'Grading Formulas'!$A375),"Question Results"),"")</f>
        <v/>
      </c>
      <c r="D375" s="6" t="str" cm="1">
        <f t="array" ref="D375">IF(ISNUMBER($A375),IF(A375=A374,INDEX(BackgroundCalcs!$AW$2:$AW$500,'Grading Formulas'!$A375),"C"&amp;A375+9),"")</f>
        <v/>
      </c>
      <c r="E375" s="3" t="str" cm="1">
        <f t="array" ref="E375">IF(ISNUMBER($A375),IF(A375=A374,"Reference2(False,True,"&amp;INDEX(BackgroundCalcs!$AX$2:$AX$500,'Grading Formulas'!$A375)&amp;")","MOEValue(.0001)"),"")</f>
        <v/>
      </c>
      <c r="F375" s="3" t="str">
        <f t="shared" si="31"/>
        <v/>
      </c>
      <c r="G375" s="3" t="str">
        <f t="shared" si="32"/>
        <v/>
      </c>
      <c r="H375" s="3" t="str">
        <f t="shared" si="33"/>
        <v/>
      </c>
    </row>
    <row r="376" spans="1:8">
      <c r="A376" s="4" t="str">
        <f t="shared" si="29"/>
        <v/>
      </c>
      <c r="B376" s="4" t="str">
        <f t="shared" si="30"/>
        <v/>
      </c>
      <c r="C376" s="19" t="str" cm="1">
        <f t="array" ref="C376">IF(ISNUMBER(A376),IF(A376=A375,INDEX(BackgroundCalcs!$AV$2:$AV$500,'Grading Formulas'!$A376),"Question Results"),"")</f>
        <v/>
      </c>
      <c r="D376" s="6" t="str" cm="1">
        <f t="array" ref="D376">IF(ISNUMBER($A376),IF(A376=A375,INDEX(BackgroundCalcs!$AW$2:$AW$500,'Grading Formulas'!$A376),"C"&amp;A376+9),"")</f>
        <v/>
      </c>
      <c r="E376" s="3" t="str" cm="1">
        <f t="array" ref="E376">IF(ISNUMBER($A376),IF(A376=A375,"Reference2(False,True,"&amp;INDEX(BackgroundCalcs!$AX$2:$AX$500,'Grading Formulas'!$A376)&amp;")","MOEValue(.0001)"),"")</f>
        <v/>
      </c>
      <c r="F376" s="3" t="str">
        <f t="shared" si="31"/>
        <v/>
      </c>
      <c r="G376" s="3" t="str">
        <f t="shared" si="32"/>
        <v/>
      </c>
      <c r="H376" s="3" t="str">
        <f t="shared" si="33"/>
        <v/>
      </c>
    </row>
    <row r="377" spans="1:8">
      <c r="A377" s="4" t="str">
        <f t="shared" si="29"/>
        <v/>
      </c>
      <c r="B377" s="4" t="str">
        <f t="shared" si="30"/>
        <v/>
      </c>
      <c r="C377" s="19" t="str" cm="1">
        <f t="array" ref="C377">IF(ISNUMBER(A377),IF(A377=A376,INDEX(BackgroundCalcs!$AV$2:$AV$500,'Grading Formulas'!$A377),"Question Results"),"")</f>
        <v/>
      </c>
      <c r="D377" s="6" t="str" cm="1">
        <f t="array" ref="D377">IF(ISNUMBER($A377),IF(A377=A376,INDEX(BackgroundCalcs!$AW$2:$AW$500,'Grading Formulas'!$A377),"C"&amp;A377+9),"")</f>
        <v/>
      </c>
      <c r="E377" s="3" t="str" cm="1">
        <f t="array" ref="E377">IF(ISNUMBER($A377),IF(A377=A376,"Reference2(False,True,"&amp;INDEX(BackgroundCalcs!$AX$2:$AX$500,'Grading Formulas'!$A377)&amp;")","MOEValue(.0001)"),"")</f>
        <v/>
      </c>
      <c r="F377" s="3" t="str">
        <f t="shared" si="31"/>
        <v/>
      </c>
      <c r="G377" s="3" t="str">
        <f t="shared" si="32"/>
        <v/>
      </c>
      <c r="H377" s="3" t="str">
        <f t="shared" si="33"/>
        <v/>
      </c>
    </row>
    <row r="378" spans="1:8">
      <c r="A378" s="4" t="str">
        <f t="shared" si="29"/>
        <v/>
      </c>
      <c r="B378" s="4" t="str">
        <f t="shared" si="30"/>
        <v/>
      </c>
      <c r="C378" s="19" t="str" cm="1">
        <f t="array" ref="C378">IF(ISNUMBER(A378),IF(A378=A377,INDEX(BackgroundCalcs!$AV$2:$AV$500,'Grading Formulas'!$A378),"Question Results"),"")</f>
        <v/>
      </c>
      <c r="D378" s="6" t="str" cm="1">
        <f t="array" ref="D378">IF(ISNUMBER($A378),IF(A378=A377,INDEX(BackgroundCalcs!$AW$2:$AW$500,'Grading Formulas'!$A378),"C"&amp;A378+9),"")</f>
        <v/>
      </c>
      <c r="E378" s="3" t="str" cm="1">
        <f t="array" ref="E378">IF(ISNUMBER($A378),IF(A378=A377,"Reference2(False,True,"&amp;INDEX(BackgroundCalcs!$AX$2:$AX$500,'Grading Formulas'!$A378)&amp;")","MOEValue(.0001)"),"")</f>
        <v/>
      </c>
      <c r="F378" s="3" t="str">
        <f t="shared" si="31"/>
        <v/>
      </c>
      <c r="G378" s="3" t="str">
        <f t="shared" si="32"/>
        <v/>
      </c>
      <c r="H378" s="3" t="str">
        <f t="shared" si="33"/>
        <v/>
      </c>
    </row>
    <row r="379" spans="1:8">
      <c r="A379" s="4" t="str">
        <f t="shared" si="29"/>
        <v/>
      </c>
      <c r="B379" s="4" t="str">
        <f t="shared" si="30"/>
        <v/>
      </c>
      <c r="C379" s="19" t="str" cm="1">
        <f t="array" ref="C379">IF(ISNUMBER(A379),IF(A379=A378,INDEX(BackgroundCalcs!$AV$2:$AV$500,'Grading Formulas'!$A379),"Question Results"),"")</f>
        <v/>
      </c>
      <c r="D379" s="6" t="str" cm="1">
        <f t="array" ref="D379">IF(ISNUMBER($A379),IF(A379=A378,INDEX(BackgroundCalcs!$AW$2:$AW$500,'Grading Formulas'!$A379),"C"&amp;A379+9),"")</f>
        <v/>
      </c>
      <c r="E379" s="3" t="str" cm="1">
        <f t="array" ref="E379">IF(ISNUMBER($A379),IF(A379=A378,"Reference2(False,True,"&amp;INDEX(BackgroundCalcs!$AX$2:$AX$500,'Grading Formulas'!$A379)&amp;")","MOEValue(.0001)"),"")</f>
        <v/>
      </c>
      <c r="F379" s="3" t="str">
        <f t="shared" si="31"/>
        <v/>
      </c>
      <c r="G379" s="3" t="str">
        <f t="shared" si="32"/>
        <v/>
      </c>
      <c r="H379" s="3" t="str">
        <f t="shared" si="33"/>
        <v/>
      </c>
    </row>
    <row r="380" spans="1:8">
      <c r="A380" s="4" t="str">
        <f t="shared" si="29"/>
        <v/>
      </c>
      <c r="B380" s="4" t="str">
        <f t="shared" si="30"/>
        <v/>
      </c>
      <c r="C380" s="19" t="str" cm="1">
        <f t="array" ref="C380">IF(ISNUMBER(A380),IF(A380=A379,INDEX(BackgroundCalcs!$AV$2:$AV$500,'Grading Formulas'!$A380),"Question Results"),"")</f>
        <v/>
      </c>
      <c r="D380" s="6" t="str" cm="1">
        <f t="array" ref="D380">IF(ISNUMBER($A380),IF(A380=A379,INDEX(BackgroundCalcs!$AW$2:$AW$500,'Grading Formulas'!$A380),"C"&amp;A380+9),"")</f>
        <v/>
      </c>
      <c r="E380" s="3" t="str" cm="1">
        <f t="array" ref="E380">IF(ISNUMBER($A380),IF(A380=A379,"Reference2(False,True,"&amp;INDEX(BackgroundCalcs!$AX$2:$AX$500,'Grading Formulas'!$A380)&amp;")","MOEValue(.0001)"),"")</f>
        <v/>
      </c>
      <c r="F380" s="3" t="str">
        <f t="shared" si="31"/>
        <v/>
      </c>
      <c r="G380" s="3" t="str">
        <f t="shared" si="32"/>
        <v/>
      </c>
      <c r="H380" s="3" t="str">
        <f t="shared" si="33"/>
        <v/>
      </c>
    </row>
    <row r="381" spans="1:8">
      <c r="A381" s="4" t="str">
        <f t="shared" si="29"/>
        <v/>
      </c>
      <c r="B381" s="4" t="str">
        <f t="shared" si="30"/>
        <v/>
      </c>
      <c r="C381" s="19" t="str" cm="1">
        <f t="array" ref="C381">IF(ISNUMBER(A381),IF(A381=A380,INDEX(BackgroundCalcs!$AV$2:$AV$500,'Grading Formulas'!$A381),"Question Results"),"")</f>
        <v/>
      </c>
      <c r="D381" s="6" t="str" cm="1">
        <f t="array" ref="D381">IF(ISNUMBER($A381),IF(A381=A380,INDEX(BackgroundCalcs!$AW$2:$AW$500,'Grading Formulas'!$A381),"C"&amp;A381+9),"")</f>
        <v/>
      </c>
      <c r="E381" s="3" t="str" cm="1">
        <f t="array" ref="E381">IF(ISNUMBER($A381),IF(A381=A380,"Reference2(False,True,"&amp;INDEX(BackgroundCalcs!$AX$2:$AX$500,'Grading Formulas'!$A381)&amp;")","MOEValue(.0001)"),"")</f>
        <v/>
      </c>
      <c r="F381" s="3" t="str">
        <f t="shared" si="31"/>
        <v/>
      </c>
      <c r="G381" s="3" t="str">
        <f t="shared" si="32"/>
        <v/>
      </c>
      <c r="H381" s="3" t="str">
        <f t="shared" si="33"/>
        <v/>
      </c>
    </row>
    <row r="382" spans="1:8">
      <c r="A382" s="4" t="str">
        <f t="shared" si="29"/>
        <v/>
      </c>
      <c r="B382" s="4" t="str">
        <f t="shared" si="30"/>
        <v/>
      </c>
      <c r="C382" s="19" t="str" cm="1">
        <f t="array" ref="C382">IF(ISNUMBER(A382),IF(A382=A381,INDEX(BackgroundCalcs!$AV$2:$AV$500,'Grading Formulas'!$A382),"Question Results"),"")</f>
        <v/>
      </c>
      <c r="D382" s="6" t="str" cm="1">
        <f t="array" ref="D382">IF(ISNUMBER($A382),IF(A382=A381,INDEX(BackgroundCalcs!$AW$2:$AW$500,'Grading Formulas'!$A382),"C"&amp;A382+9),"")</f>
        <v/>
      </c>
      <c r="E382" s="3" t="str" cm="1">
        <f t="array" ref="E382">IF(ISNUMBER($A382),IF(A382=A381,"Reference2(False,True,"&amp;INDEX(BackgroundCalcs!$AX$2:$AX$500,'Grading Formulas'!$A382)&amp;")","MOEValue(.0001)"),"")</f>
        <v/>
      </c>
      <c r="F382" s="3" t="str">
        <f t="shared" si="31"/>
        <v/>
      </c>
      <c r="G382" s="3" t="str">
        <f t="shared" si="32"/>
        <v/>
      </c>
      <c r="H382" s="3" t="str">
        <f t="shared" si="33"/>
        <v/>
      </c>
    </row>
    <row r="383" spans="1:8">
      <c r="A383" s="4" t="str">
        <f t="shared" si="29"/>
        <v/>
      </c>
      <c r="B383" s="4" t="str">
        <f t="shared" si="30"/>
        <v/>
      </c>
      <c r="C383" s="19" t="str" cm="1">
        <f t="array" ref="C383">IF(ISNUMBER(A383),IF(A383=A382,INDEX(BackgroundCalcs!$AV$2:$AV$500,'Grading Formulas'!$A383),"Question Results"),"")</f>
        <v/>
      </c>
      <c r="D383" s="6" t="str" cm="1">
        <f t="array" ref="D383">IF(ISNUMBER($A383),IF(A383=A382,INDEX(BackgroundCalcs!$AW$2:$AW$500,'Grading Formulas'!$A383),"C"&amp;A383+9),"")</f>
        <v/>
      </c>
      <c r="E383" s="3" t="str" cm="1">
        <f t="array" ref="E383">IF(ISNUMBER($A383),IF(A383=A382,"Reference2(False,True,"&amp;INDEX(BackgroundCalcs!$AX$2:$AX$500,'Grading Formulas'!$A383)&amp;")","MOEValue(.0001)"),"")</f>
        <v/>
      </c>
      <c r="F383" s="3" t="str">
        <f t="shared" si="31"/>
        <v/>
      </c>
      <c r="G383" s="3" t="str">
        <f t="shared" si="32"/>
        <v/>
      </c>
      <c r="H383" s="3" t="str">
        <f t="shared" si="33"/>
        <v/>
      </c>
    </row>
    <row r="384" spans="1:8">
      <c r="A384" s="4" t="str">
        <f t="shared" si="29"/>
        <v/>
      </c>
      <c r="B384" s="4" t="str">
        <f t="shared" si="30"/>
        <v/>
      </c>
      <c r="C384" s="19" t="str" cm="1">
        <f t="array" ref="C384">IF(ISNUMBER(A384),IF(A384=A383,INDEX(BackgroundCalcs!$AV$2:$AV$500,'Grading Formulas'!$A384),"Question Results"),"")</f>
        <v/>
      </c>
      <c r="D384" s="6" t="str" cm="1">
        <f t="array" ref="D384">IF(ISNUMBER($A384),IF(A384=A383,INDEX(BackgroundCalcs!$AW$2:$AW$500,'Grading Formulas'!$A384),"C"&amp;A384+9),"")</f>
        <v/>
      </c>
      <c r="E384" s="3" t="str" cm="1">
        <f t="array" ref="E384">IF(ISNUMBER($A384),IF(A384=A383,"Reference2(False,True,"&amp;INDEX(BackgroundCalcs!$AX$2:$AX$500,'Grading Formulas'!$A384)&amp;")","MOEValue(.0001)"),"")</f>
        <v/>
      </c>
      <c r="F384" s="3" t="str">
        <f t="shared" si="31"/>
        <v/>
      </c>
      <c r="G384" s="3" t="str">
        <f t="shared" si="32"/>
        <v/>
      </c>
      <c r="H384" s="3" t="str">
        <f t="shared" si="33"/>
        <v/>
      </c>
    </row>
    <row r="385" spans="1:8">
      <c r="A385" s="4" t="str">
        <f t="shared" si="29"/>
        <v/>
      </c>
      <c r="B385" s="4" t="str">
        <f t="shared" si="30"/>
        <v/>
      </c>
      <c r="C385" s="19" t="str" cm="1">
        <f t="array" ref="C385">IF(ISNUMBER(A385),IF(A385=A384,INDEX(BackgroundCalcs!$AV$2:$AV$500,'Grading Formulas'!$A385),"Question Results"),"")</f>
        <v/>
      </c>
      <c r="D385" s="6" t="str" cm="1">
        <f t="array" ref="D385">IF(ISNUMBER($A385),IF(A385=A384,INDEX(BackgroundCalcs!$AW$2:$AW$500,'Grading Formulas'!$A385),"C"&amp;A385+9),"")</f>
        <v/>
      </c>
      <c r="E385" s="3" t="str" cm="1">
        <f t="array" ref="E385">IF(ISNUMBER($A385),IF(A385=A384,"Reference2(False,True,"&amp;INDEX(BackgroundCalcs!$AX$2:$AX$500,'Grading Formulas'!$A385)&amp;")","MOEValue(.0001)"),"")</f>
        <v/>
      </c>
      <c r="F385" s="3" t="str">
        <f t="shared" si="31"/>
        <v/>
      </c>
      <c r="G385" s="3" t="str">
        <f t="shared" si="32"/>
        <v/>
      </c>
      <c r="H385" s="3" t="str">
        <f t="shared" si="33"/>
        <v/>
      </c>
    </row>
    <row r="386" spans="1:8">
      <c r="A386" s="4" t="str">
        <f t="shared" si="29"/>
        <v/>
      </c>
      <c r="B386" s="4" t="str">
        <f t="shared" si="30"/>
        <v/>
      </c>
      <c r="C386" s="19" t="str" cm="1">
        <f t="array" ref="C386">IF(ISNUMBER(A386),IF(A386=A385,INDEX(BackgroundCalcs!$AV$2:$AV$500,'Grading Formulas'!$A386),"Question Results"),"")</f>
        <v/>
      </c>
      <c r="D386" s="6" t="str" cm="1">
        <f t="array" ref="D386">IF(ISNUMBER($A386),IF(A386=A385,INDEX(BackgroundCalcs!$AW$2:$AW$500,'Grading Formulas'!$A386),"C"&amp;A386+9),"")</f>
        <v/>
      </c>
      <c r="E386" s="3" t="str" cm="1">
        <f t="array" ref="E386">IF(ISNUMBER($A386),IF(A386=A385,"Reference2(False,True,"&amp;INDEX(BackgroundCalcs!$AX$2:$AX$500,'Grading Formulas'!$A386)&amp;")","MOEValue(.0001)"),"")</f>
        <v/>
      </c>
      <c r="F386" s="3" t="str">
        <f t="shared" si="31"/>
        <v/>
      </c>
      <c r="G386" s="3" t="str">
        <f t="shared" si="32"/>
        <v/>
      </c>
      <c r="H386" s="3" t="str">
        <f t="shared" si="33"/>
        <v/>
      </c>
    </row>
    <row r="387" spans="1:8">
      <c r="A387" s="4" t="str">
        <f t="shared" si="29"/>
        <v/>
      </c>
      <c r="B387" s="4" t="str">
        <f t="shared" si="30"/>
        <v/>
      </c>
      <c r="C387" s="19" t="str" cm="1">
        <f t="array" ref="C387">IF(ISNUMBER(A387),IF(A387=A386,INDEX(BackgroundCalcs!$AV$2:$AV$500,'Grading Formulas'!$A387),"Question Results"),"")</f>
        <v/>
      </c>
      <c r="D387" s="6" t="str" cm="1">
        <f t="array" ref="D387">IF(ISNUMBER($A387),IF(A387=A386,INDEX(BackgroundCalcs!$AW$2:$AW$500,'Grading Formulas'!$A387),"C"&amp;A387+9),"")</f>
        <v/>
      </c>
      <c r="E387" s="3" t="str" cm="1">
        <f t="array" ref="E387">IF(ISNUMBER($A387),IF(A387=A386,"Reference2(False,True,"&amp;INDEX(BackgroundCalcs!$AX$2:$AX$500,'Grading Formulas'!$A387)&amp;")","MOEValue(.0001)"),"")</f>
        <v/>
      </c>
      <c r="F387" s="3" t="str">
        <f t="shared" si="31"/>
        <v/>
      </c>
      <c r="G387" s="3" t="str">
        <f t="shared" si="32"/>
        <v/>
      </c>
      <c r="H387" s="3" t="str">
        <f t="shared" si="33"/>
        <v/>
      </c>
    </row>
    <row r="388" spans="1:8">
      <c r="A388" s="4" t="str">
        <f t="shared" ref="A388:A451" si="34">IF(A386&lt;NumAnswers,A386+1,"")</f>
        <v/>
      </c>
      <c r="B388" s="4" t="str">
        <f t="shared" si="30"/>
        <v/>
      </c>
      <c r="C388" s="19" t="str" cm="1">
        <f t="array" ref="C388">IF(ISNUMBER(A388),IF(A388=A387,INDEX(BackgroundCalcs!$AV$2:$AV$500,'Grading Formulas'!$A388),"Question Results"),"")</f>
        <v/>
      </c>
      <c r="D388" s="6" t="str" cm="1">
        <f t="array" ref="D388">IF(ISNUMBER($A388),IF(A388=A387,INDEX(BackgroundCalcs!$AW$2:$AW$500,'Grading Formulas'!$A388),"C"&amp;A388+9),"")</f>
        <v/>
      </c>
      <c r="E388" s="3" t="str" cm="1">
        <f t="array" ref="E388">IF(ISNUMBER($A388),IF(A388=A387,"Reference2(False,True,"&amp;INDEX(BackgroundCalcs!$AX$2:$AX$500,'Grading Formulas'!$A388)&amp;")","MOEValue(.0001)"),"")</f>
        <v/>
      </c>
      <c r="F388" s="3" t="str">
        <f t="shared" si="31"/>
        <v/>
      </c>
      <c r="G388" s="3" t="str">
        <f t="shared" si="32"/>
        <v/>
      </c>
      <c r="H388" s="3" t="str">
        <f t="shared" si="33"/>
        <v/>
      </c>
    </row>
    <row r="389" spans="1:8">
      <c r="A389" s="4" t="str">
        <f t="shared" si="34"/>
        <v/>
      </c>
      <c r="B389" s="4" t="str">
        <f t="shared" si="30"/>
        <v/>
      </c>
      <c r="C389" s="19" t="str" cm="1">
        <f t="array" ref="C389">IF(ISNUMBER(A389),IF(A389=A388,INDEX(BackgroundCalcs!$AV$2:$AV$500,'Grading Formulas'!$A389),"Question Results"),"")</f>
        <v/>
      </c>
      <c r="D389" s="6" t="str" cm="1">
        <f t="array" ref="D389">IF(ISNUMBER($A389),IF(A389=A388,INDEX(BackgroundCalcs!$AW$2:$AW$500,'Grading Formulas'!$A389),"C"&amp;A389+9),"")</f>
        <v/>
      </c>
      <c r="E389" s="3" t="str" cm="1">
        <f t="array" ref="E389">IF(ISNUMBER($A389),IF(A389=A388,"Reference2(False,True,"&amp;INDEX(BackgroundCalcs!$AX$2:$AX$500,'Grading Formulas'!$A389)&amp;")","MOEValue(.0001)"),"")</f>
        <v/>
      </c>
      <c r="F389" s="3" t="str">
        <f t="shared" si="31"/>
        <v/>
      </c>
      <c r="G389" s="3" t="str">
        <f t="shared" si="32"/>
        <v/>
      </c>
      <c r="H389" s="3" t="str">
        <f t="shared" si="33"/>
        <v/>
      </c>
    </row>
    <row r="390" spans="1:8">
      <c r="A390" s="4" t="str">
        <f t="shared" si="34"/>
        <v/>
      </c>
      <c r="B390" s="4" t="str">
        <f t="shared" si="30"/>
        <v/>
      </c>
      <c r="C390" s="19" t="str" cm="1">
        <f t="array" ref="C390">IF(ISNUMBER(A390),IF(A390=A389,INDEX(BackgroundCalcs!$AV$2:$AV$500,'Grading Formulas'!$A390),"Question Results"),"")</f>
        <v/>
      </c>
      <c r="D390" s="6" t="str" cm="1">
        <f t="array" ref="D390">IF(ISNUMBER($A390),IF(A390=A389,INDEX(BackgroundCalcs!$AW$2:$AW$500,'Grading Formulas'!$A390),"C"&amp;A390+9),"")</f>
        <v/>
      </c>
      <c r="E390" s="3" t="str" cm="1">
        <f t="array" ref="E390">IF(ISNUMBER($A390),IF(A390=A389,"Reference2(False,True,"&amp;INDEX(BackgroundCalcs!$AX$2:$AX$500,'Grading Formulas'!$A390)&amp;")","MOEValue(.0001)"),"")</f>
        <v/>
      </c>
      <c r="F390" s="3" t="str">
        <f t="shared" si="31"/>
        <v/>
      </c>
      <c r="G390" s="3" t="str">
        <f t="shared" si="32"/>
        <v/>
      </c>
      <c r="H390" s="3" t="str">
        <f t="shared" si="33"/>
        <v/>
      </c>
    </row>
    <row r="391" spans="1:8">
      <c r="A391" s="4" t="str">
        <f t="shared" si="34"/>
        <v/>
      </c>
      <c r="B391" s="4" t="str">
        <f t="shared" si="30"/>
        <v/>
      </c>
      <c r="C391" s="19" t="str" cm="1">
        <f t="array" ref="C391">IF(ISNUMBER(A391),IF(A391=A390,INDEX(BackgroundCalcs!$AV$2:$AV$500,'Grading Formulas'!$A391),"Question Results"),"")</f>
        <v/>
      </c>
      <c r="D391" s="6" t="str" cm="1">
        <f t="array" ref="D391">IF(ISNUMBER($A391),IF(A391=A390,INDEX(BackgroundCalcs!$AW$2:$AW$500,'Grading Formulas'!$A391),"C"&amp;A391+9),"")</f>
        <v/>
      </c>
      <c r="E391" s="3" t="str" cm="1">
        <f t="array" ref="E391">IF(ISNUMBER($A391),IF(A391=A390,"Reference2(False,True,"&amp;INDEX(BackgroundCalcs!$AX$2:$AX$500,'Grading Formulas'!$A391)&amp;")","MOEValue(.0001)"),"")</f>
        <v/>
      </c>
      <c r="F391" s="3" t="str">
        <f t="shared" si="31"/>
        <v/>
      </c>
      <c r="G391" s="3" t="str">
        <f t="shared" si="32"/>
        <v/>
      </c>
      <c r="H391" s="3" t="str">
        <f t="shared" si="33"/>
        <v/>
      </c>
    </row>
    <row r="392" spans="1:8">
      <c r="A392" s="4" t="str">
        <f t="shared" si="34"/>
        <v/>
      </c>
      <c r="B392" s="4" t="str">
        <f t="shared" si="30"/>
        <v/>
      </c>
      <c r="C392" s="19" t="str" cm="1">
        <f t="array" ref="C392">IF(ISNUMBER(A392),IF(A392=A391,INDEX(BackgroundCalcs!$AV$2:$AV$500,'Grading Formulas'!$A392),"Question Results"),"")</f>
        <v/>
      </c>
      <c r="D392" s="6" t="str" cm="1">
        <f t="array" ref="D392">IF(ISNUMBER($A392),IF(A392=A391,INDEX(BackgroundCalcs!$AW$2:$AW$500,'Grading Formulas'!$A392),"C"&amp;A392+9),"")</f>
        <v/>
      </c>
      <c r="E392" s="3" t="str" cm="1">
        <f t="array" ref="E392">IF(ISNUMBER($A392),IF(A392=A391,"Reference2(False,True,"&amp;INDEX(BackgroundCalcs!$AX$2:$AX$500,'Grading Formulas'!$A392)&amp;")","MOEValue(.0001)"),"")</f>
        <v/>
      </c>
      <c r="F392" s="3" t="str">
        <f t="shared" si="31"/>
        <v/>
      </c>
      <c r="G392" s="3" t="str">
        <f t="shared" si="32"/>
        <v/>
      </c>
      <c r="H392" s="3" t="str">
        <f t="shared" si="33"/>
        <v/>
      </c>
    </row>
    <row r="393" spans="1:8">
      <c r="A393" s="4" t="str">
        <f t="shared" si="34"/>
        <v/>
      </c>
      <c r="B393" s="4" t="str">
        <f t="shared" si="30"/>
        <v/>
      </c>
      <c r="C393" s="19" t="str" cm="1">
        <f t="array" ref="C393">IF(ISNUMBER(A393),IF(A393=A392,INDEX(BackgroundCalcs!$AV$2:$AV$500,'Grading Formulas'!$A393),"Question Results"),"")</f>
        <v/>
      </c>
      <c r="D393" s="6" t="str" cm="1">
        <f t="array" ref="D393">IF(ISNUMBER($A393),IF(A393=A392,INDEX(BackgroundCalcs!$AW$2:$AW$500,'Grading Formulas'!$A393),"C"&amp;A393+9),"")</f>
        <v/>
      </c>
      <c r="E393" s="3" t="str" cm="1">
        <f t="array" ref="E393">IF(ISNUMBER($A393),IF(A393=A392,"Reference2(False,True,"&amp;INDEX(BackgroundCalcs!$AX$2:$AX$500,'Grading Formulas'!$A393)&amp;")","MOEValue(.0001)"),"")</f>
        <v/>
      </c>
      <c r="F393" s="3" t="str">
        <f t="shared" si="31"/>
        <v/>
      </c>
      <c r="G393" s="3" t="str">
        <f t="shared" si="32"/>
        <v/>
      </c>
      <c r="H393" s="3" t="str">
        <f t="shared" si="33"/>
        <v/>
      </c>
    </row>
    <row r="394" spans="1:8">
      <c r="A394" s="4" t="str">
        <f t="shared" si="34"/>
        <v/>
      </c>
      <c r="B394" s="4" t="str">
        <f t="shared" si="30"/>
        <v/>
      </c>
      <c r="C394" s="19" t="str" cm="1">
        <f t="array" ref="C394">IF(ISNUMBER(A394),IF(A394=A393,INDEX(BackgroundCalcs!$AV$2:$AV$500,'Grading Formulas'!$A394),"Question Results"),"")</f>
        <v/>
      </c>
      <c r="D394" s="6" t="str" cm="1">
        <f t="array" ref="D394">IF(ISNUMBER($A394),IF(A394=A393,INDEX(BackgroundCalcs!$AW$2:$AW$500,'Grading Formulas'!$A394),"C"&amp;A394+9),"")</f>
        <v/>
      </c>
      <c r="E394" s="3" t="str" cm="1">
        <f t="array" ref="E394">IF(ISNUMBER($A394),IF(A394=A393,"Reference2(False,True,"&amp;INDEX(BackgroundCalcs!$AX$2:$AX$500,'Grading Formulas'!$A394)&amp;")","MOEValue(.0001)"),"")</f>
        <v/>
      </c>
      <c r="F394" s="3" t="str">
        <f t="shared" si="31"/>
        <v/>
      </c>
      <c r="G394" s="3" t="str">
        <f t="shared" si="32"/>
        <v/>
      </c>
      <c r="H394" s="3" t="str">
        <f t="shared" si="33"/>
        <v/>
      </c>
    </row>
    <row r="395" spans="1:8">
      <c r="A395" s="4" t="str">
        <f t="shared" si="34"/>
        <v/>
      </c>
      <c r="B395" s="4" t="str">
        <f t="shared" si="30"/>
        <v/>
      </c>
      <c r="C395" s="19" t="str" cm="1">
        <f t="array" ref="C395">IF(ISNUMBER(A395),IF(A395=A394,INDEX(BackgroundCalcs!$AV$2:$AV$500,'Grading Formulas'!$A395),"Question Results"),"")</f>
        <v/>
      </c>
      <c r="D395" s="6" t="str" cm="1">
        <f t="array" ref="D395">IF(ISNUMBER($A395),IF(A395=A394,INDEX(BackgroundCalcs!$AW$2:$AW$500,'Grading Formulas'!$A395),"C"&amp;A395+9),"")</f>
        <v/>
      </c>
      <c r="E395" s="3" t="str" cm="1">
        <f t="array" ref="E395">IF(ISNUMBER($A395),IF(A395=A394,"Reference2(False,True,"&amp;INDEX(BackgroundCalcs!$AX$2:$AX$500,'Grading Formulas'!$A395)&amp;")","MOEValue(.0001)"),"")</f>
        <v/>
      </c>
      <c r="F395" s="3" t="str">
        <f t="shared" si="31"/>
        <v/>
      </c>
      <c r="G395" s="3" t="str">
        <f t="shared" si="32"/>
        <v/>
      </c>
      <c r="H395" s="3" t="str">
        <f t="shared" si="33"/>
        <v/>
      </c>
    </row>
    <row r="396" spans="1:8">
      <c r="A396" s="4" t="str">
        <f t="shared" si="34"/>
        <v/>
      </c>
      <c r="B396" s="4" t="str">
        <f t="shared" si="30"/>
        <v/>
      </c>
      <c r="C396" s="19" t="str" cm="1">
        <f t="array" ref="C396">IF(ISNUMBER(A396),IF(A396=A395,INDEX(BackgroundCalcs!$AV$2:$AV$500,'Grading Formulas'!$A396),"Question Results"),"")</f>
        <v/>
      </c>
      <c r="D396" s="6" t="str" cm="1">
        <f t="array" ref="D396">IF(ISNUMBER($A396),IF(A396=A395,INDEX(BackgroundCalcs!$AW$2:$AW$500,'Grading Formulas'!$A396),"C"&amp;A396+9),"")</f>
        <v/>
      </c>
      <c r="E396" s="3" t="str" cm="1">
        <f t="array" ref="E396">IF(ISNUMBER($A396),IF(A396=A395,"Reference2(False,True,"&amp;INDEX(BackgroundCalcs!$AX$2:$AX$500,'Grading Formulas'!$A396)&amp;")","MOEValue(.0001)"),"")</f>
        <v/>
      </c>
      <c r="F396" s="3" t="str">
        <f t="shared" si="31"/>
        <v/>
      </c>
      <c r="G396" s="3" t="str">
        <f t="shared" si="32"/>
        <v/>
      </c>
      <c r="H396" s="3" t="str">
        <f t="shared" si="33"/>
        <v/>
      </c>
    </row>
    <row r="397" spans="1:8">
      <c r="A397" s="4" t="str">
        <f t="shared" si="34"/>
        <v/>
      </c>
      <c r="B397" s="4" t="str">
        <f t="shared" si="30"/>
        <v/>
      </c>
      <c r="C397" s="19" t="str" cm="1">
        <f t="array" ref="C397">IF(ISNUMBER(A397),IF(A397=A396,INDEX(BackgroundCalcs!$AV$2:$AV$500,'Grading Formulas'!$A397),"Question Results"),"")</f>
        <v/>
      </c>
      <c r="D397" s="6" t="str" cm="1">
        <f t="array" ref="D397">IF(ISNUMBER($A397),IF(A397=A396,INDEX(BackgroundCalcs!$AW$2:$AW$500,'Grading Formulas'!$A397),"C"&amp;A397+9),"")</f>
        <v/>
      </c>
      <c r="E397" s="3" t="str" cm="1">
        <f t="array" ref="E397">IF(ISNUMBER($A397),IF(A397=A396,"Reference2(False,True,"&amp;INDEX(BackgroundCalcs!$AX$2:$AX$500,'Grading Formulas'!$A397)&amp;")","MOEValue(.0001)"),"")</f>
        <v/>
      </c>
      <c r="F397" s="3" t="str">
        <f t="shared" si="31"/>
        <v/>
      </c>
      <c r="G397" s="3" t="str">
        <f t="shared" si="32"/>
        <v/>
      </c>
      <c r="H397" s="3" t="str">
        <f t="shared" si="33"/>
        <v/>
      </c>
    </row>
    <row r="398" spans="1:8">
      <c r="A398" s="4" t="str">
        <f t="shared" si="34"/>
        <v/>
      </c>
      <c r="B398" s="4" t="str">
        <f t="shared" si="30"/>
        <v/>
      </c>
      <c r="C398" s="19" t="str" cm="1">
        <f t="array" ref="C398">IF(ISNUMBER(A398),IF(A398=A397,INDEX(BackgroundCalcs!$AV$2:$AV$500,'Grading Formulas'!$A398),"Question Results"),"")</f>
        <v/>
      </c>
      <c r="D398" s="6" t="str" cm="1">
        <f t="array" ref="D398">IF(ISNUMBER($A398),IF(A398=A397,INDEX(BackgroundCalcs!$AW$2:$AW$500,'Grading Formulas'!$A398),"C"&amp;A398+9),"")</f>
        <v/>
      </c>
      <c r="E398" s="3" t="str" cm="1">
        <f t="array" ref="E398">IF(ISNUMBER($A398),IF(A398=A397,"Reference2(False,True,"&amp;INDEX(BackgroundCalcs!$AX$2:$AX$500,'Grading Formulas'!$A398)&amp;")","MOEValue(.0001)"),"")</f>
        <v/>
      </c>
      <c r="F398" s="3" t="str">
        <f t="shared" si="31"/>
        <v/>
      </c>
      <c r="G398" s="3" t="str">
        <f t="shared" si="32"/>
        <v/>
      </c>
      <c r="H398" s="3" t="str">
        <f t="shared" si="33"/>
        <v/>
      </c>
    </row>
    <row r="399" spans="1:8">
      <c r="A399" s="4" t="str">
        <f t="shared" si="34"/>
        <v/>
      </c>
      <c r="B399" s="4" t="str">
        <f t="shared" si="30"/>
        <v/>
      </c>
      <c r="C399" s="19" t="str" cm="1">
        <f t="array" ref="C399">IF(ISNUMBER(A399),IF(A399=A398,INDEX(BackgroundCalcs!$AV$2:$AV$500,'Grading Formulas'!$A399),"Question Results"),"")</f>
        <v/>
      </c>
      <c r="D399" s="6" t="str" cm="1">
        <f t="array" ref="D399">IF(ISNUMBER($A399),IF(A399=A398,INDEX(BackgroundCalcs!$AW$2:$AW$500,'Grading Formulas'!$A399),"C"&amp;A399+9),"")</f>
        <v/>
      </c>
      <c r="E399" s="3" t="str" cm="1">
        <f t="array" ref="E399">IF(ISNUMBER($A399),IF(A399=A398,"Reference2(False,True,"&amp;INDEX(BackgroundCalcs!$AX$2:$AX$500,'Grading Formulas'!$A399)&amp;")","MOEValue(.0001)"),"")</f>
        <v/>
      </c>
      <c r="F399" s="3" t="str">
        <f t="shared" si="31"/>
        <v/>
      </c>
      <c r="G399" s="3" t="str">
        <f t="shared" si="32"/>
        <v/>
      </c>
      <c r="H399" s="3" t="str">
        <f t="shared" si="33"/>
        <v/>
      </c>
    </row>
    <row r="400" spans="1:8">
      <c r="A400" s="4" t="str">
        <f t="shared" si="34"/>
        <v/>
      </c>
      <c r="B400" s="4" t="str">
        <f t="shared" si="30"/>
        <v/>
      </c>
      <c r="C400" s="19" t="str" cm="1">
        <f t="array" ref="C400">IF(ISNUMBER(A400),IF(A400=A399,INDEX(BackgroundCalcs!$AV$2:$AV$500,'Grading Formulas'!$A400),"Question Results"),"")</f>
        <v/>
      </c>
      <c r="D400" s="6" t="str" cm="1">
        <f t="array" ref="D400">IF(ISNUMBER($A400),IF(A400=A399,INDEX(BackgroundCalcs!$AW$2:$AW$500,'Grading Formulas'!$A400),"C"&amp;A400+9),"")</f>
        <v/>
      </c>
      <c r="E400" s="3" t="str" cm="1">
        <f t="array" ref="E400">IF(ISNUMBER($A400),IF(A400=A399,"Reference2(False,True,"&amp;INDEX(BackgroundCalcs!$AX$2:$AX$500,'Grading Formulas'!$A400)&amp;")","MOEValue(.0001)"),"")</f>
        <v/>
      </c>
      <c r="F400" s="3" t="str">
        <f t="shared" si="31"/>
        <v/>
      </c>
      <c r="G400" s="3" t="str">
        <f t="shared" si="32"/>
        <v/>
      </c>
      <c r="H400" s="3" t="str">
        <f t="shared" si="33"/>
        <v/>
      </c>
    </row>
    <row r="401" spans="1:8">
      <c r="A401" s="4" t="str">
        <f t="shared" si="34"/>
        <v/>
      </c>
      <c r="B401" s="4" t="str">
        <f t="shared" si="30"/>
        <v/>
      </c>
      <c r="C401" s="19" t="str" cm="1">
        <f t="array" ref="C401">IF(ISNUMBER(A401),IF(A401=A400,INDEX(BackgroundCalcs!$AV$2:$AV$500,'Grading Formulas'!$A401),"Question Results"),"")</f>
        <v/>
      </c>
      <c r="D401" s="6" t="str" cm="1">
        <f t="array" ref="D401">IF(ISNUMBER($A401),IF(A401=A400,INDEX(BackgroundCalcs!$AW$2:$AW$500,'Grading Formulas'!$A401),"C"&amp;A401+9),"")</f>
        <v/>
      </c>
      <c r="E401" s="3" t="str" cm="1">
        <f t="array" ref="E401">IF(ISNUMBER($A401),IF(A401=A400,"Reference2(False,True,"&amp;INDEX(BackgroundCalcs!$AX$2:$AX$500,'Grading Formulas'!$A401)&amp;")","MOEValue(.0001)"),"")</f>
        <v/>
      </c>
      <c r="F401" s="3" t="str">
        <f t="shared" si="31"/>
        <v/>
      </c>
      <c r="G401" s="3" t="str">
        <f t="shared" si="32"/>
        <v/>
      </c>
      <c r="H401" s="3" t="str">
        <f t="shared" si="33"/>
        <v/>
      </c>
    </row>
    <row r="402" spans="1:8">
      <c r="A402" s="4" t="str">
        <f t="shared" si="34"/>
        <v/>
      </c>
      <c r="B402" s="4" t="str">
        <f t="shared" si="30"/>
        <v/>
      </c>
      <c r="C402" s="19" t="str" cm="1">
        <f t="array" ref="C402">IF(ISNUMBER(A402),IF(A402=A401,INDEX(BackgroundCalcs!$AV$2:$AV$500,'Grading Formulas'!$A402),"Question Results"),"")</f>
        <v/>
      </c>
      <c r="D402" s="6" t="str" cm="1">
        <f t="array" ref="D402">IF(ISNUMBER($A402),IF(A402=A401,INDEX(BackgroundCalcs!$AW$2:$AW$500,'Grading Formulas'!$A402),"C"&amp;A402+9),"")</f>
        <v/>
      </c>
      <c r="E402" s="3" t="str" cm="1">
        <f t="array" ref="E402">IF(ISNUMBER($A402),IF(A402=A401,"Reference2(False,True,"&amp;INDEX(BackgroundCalcs!$AX$2:$AX$500,'Grading Formulas'!$A402)&amp;")","MOEValue(.0001)"),"")</f>
        <v/>
      </c>
      <c r="F402" s="3" t="str">
        <f t="shared" si="31"/>
        <v/>
      </c>
      <c r="G402" s="3" t="str">
        <f t="shared" si="32"/>
        <v/>
      </c>
      <c r="H402" s="3" t="str">
        <f t="shared" si="33"/>
        <v/>
      </c>
    </row>
    <row r="403" spans="1:8">
      <c r="A403" s="4" t="str">
        <f t="shared" si="34"/>
        <v/>
      </c>
      <c r="B403" s="4" t="str">
        <f t="shared" si="30"/>
        <v/>
      </c>
      <c r="C403" s="19" t="str" cm="1">
        <f t="array" ref="C403">IF(ISNUMBER(A403),IF(A403=A402,INDEX(BackgroundCalcs!$AV$2:$AV$500,'Grading Formulas'!$A403),"Question Results"),"")</f>
        <v/>
      </c>
      <c r="D403" s="6" t="str" cm="1">
        <f t="array" ref="D403">IF(ISNUMBER($A403),IF(A403=A402,INDEX(BackgroundCalcs!$AW$2:$AW$500,'Grading Formulas'!$A403),"C"&amp;A403+9),"")</f>
        <v/>
      </c>
      <c r="E403" s="3" t="str" cm="1">
        <f t="array" ref="E403">IF(ISNUMBER($A403),IF(A403=A402,"Reference2(False,True,"&amp;INDEX(BackgroundCalcs!$AX$2:$AX$500,'Grading Formulas'!$A403)&amp;")","MOEValue(.0001)"),"")</f>
        <v/>
      </c>
      <c r="F403" s="3" t="str">
        <f t="shared" si="31"/>
        <v/>
      </c>
      <c r="G403" s="3" t="str">
        <f t="shared" si="32"/>
        <v/>
      </c>
      <c r="H403" s="3" t="str">
        <f t="shared" si="33"/>
        <v/>
      </c>
    </row>
    <row r="404" spans="1:8">
      <c r="A404" s="4" t="str">
        <f t="shared" si="34"/>
        <v/>
      </c>
      <c r="B404" s="4" t="str">
        <f t="shared" si="30"/>
        <v/>
      </c>
      <c r="C404" s="19" t="str" cm="1">
        <f t="array" ref="C404">IF(ISNUMBER(A404),IF(A404=A403,INDEX(BackgroundCalcs!$AV$2:$AV$500,'Grading Formulas'!$A404),"Question Results"),"")</f>
        <v/>
      </c>
      <c r="D404" s="6" t="str" cm="1">
        <f t="array" ref="D404">IF(ISNUMBER($A404),IF(A404=A403,INDEX(BackgroundCalcs!$AW$2:$AW$500,'Grading Formulas'!$A404),"C"&amp;A404+9),"")</f>
        <v/>
      </c>
      <c r="E404" s="3" t="str" cm="1">
        <f t="array" ref="E404">IF(ISNUMBER($A404),IF(A404=A403,"Reference2(False,True,"&amp;INDEX(BackgroundCalcs!$AX$2:$AX$500,'Grading Formulas'!$A404)&amp;")","MOEValue(.0001)"),"")</f>
        <v/>
      </c>
      <c r="F404" s="3" t="str">
        <f t="shared" si="31"/>
        <v/>
      </c>
      <c r="G404" s="3" t="str">
        <f t="shared" si="32"/>
        <v/>
      </c>
      <c r="H404" s="3" t="str">
        <f t="shared" si="33"/>
        <v/>
      </c>
    </row>
    <row r="405" spans="1:8">
      <c r="A405" s="4" t="str">
        <f t="shared" si="34"/>
        <v/>
      </c>
      <c r="B405" s="4" t="str">
        <f t="shared" si="30"/>
        <v/>
      </c>
      <c r="C405" s="19" t="str" cm="1">
        <f t="array" ref="C405">IF(ISNUMBER(A405),IF(A405=A404,INDEX(BackgroundCalcs!$AV$2:$AV$500,'Grading Formulas'!$A405),"Question Results"),"")</f>
        <v/>
      </c>
      <c r="D405" s="6" t="str" cm="1">
        <f t="array" ref="D405">IF(ISNUMBER($A405),IF(A405=A404,INDEX(BackgroundCalcs!$AW$2:$AW$500,'Grading Formulas'!$A405),"C"&amp;A405+9),"")</f>
        <v/>
      </c>
      <c r="E405" s="3" t="str" cm="1">
        <f t="array" ref="E405">IF(ISNUMBER($A405),IF(A405=A404,"Reference2(False,True,"&amp;INDEX(BackgroundCalcs!$AX$2:$AX$500,'Grading Formulas'!$A405)&amp;")","MOEValue(.0001)"),"")</f>
        <v/>
      </c>
      <c r="F405" s="3" t="str">
        <f t="shared" si="31"/>
        <v/>
      </c>
      <c r="G405" s="3" t="str">
        <f t="shared" si="32"/>
        <v/>
      </c>
      <c r="H405" s="3" t="str">
        <f t="shared" si="33"/>
        <v/>
      </c>
    </row>
    <row r="406" spans="1:8">
      <c r="A406" s="4" t="str">
        <f t="shared" si="34"/>
        <v/>
      </c>
      <c r="B406" s="4" t="str">
        <f t="shared" si="30"/>
        <v/>
      </c>
      <c r="C406" s="19" t="str" cm="1">
        <f t="array" ref="C406">IF(ISNUMBER(A406),IF(A406=A405,INDEX(BackgroundCalcs!$AV$2:$AV$500,'Grading Formulas'!$A406),"Question Results"),"")</f>
        <v/>
      </c>
      <c r="D406" s="6" t="str" cm="1">
        <f t="array" ref="D406">IF(ISNUMBER($A406),IF(A406=A405,INDEX(BackgroundCalcs!$AW$2:$AW$500,'Grading Formulas'!$A406),"C"&amp;A406+9),"")</f>
        <v/>
      </c>
      <c r="E406" s="3" t="str" cm="1">
        <f t="array" ref="E406">IF(ISNUMBER($A406),IF(A406=A405,"Reference2(False,True,"&amp;INDEX(BackgroundCalcs!$AX$2:$AX$500,'Grading Formulas'!$A406)&amp;")","MOEValue(.0001)"),"")</f>
        <v/>
      </c>
      <c r="F406" s="3" t="str">
        <f t="shared" si="31"/>
        <v/>
      </c>
      <c r="G406" s="3" t="str">
        <f t="shared" si="32"/>
        <v/>
      </c>
      <c r="H406" s="3" t="str">
        <f t="shared" si="33"/>
        <v/>
      </c>
    </row>
    <row r="407" spans="1:8">
      <c r="A407" s="4" t="str">
        <f t="shared" si="34"/>
        <v/>
      </c>
      <c r="B407" s="4" t="str">
        <f t="shared" si="30"/>
        <v/>
      </c>
      <c r="C407" s="19" t="str" cm="1">
        <f t="array" ref="C407">IF(ISNUMBER(A407),IF(A407=A406,INDEX(BackgroundCalcs!$AV$2:$AV$500,'Grading Formulas'!$A407),"Question Results"),"")</f>
        <v/>
      </c>
      <c r="D407" s="6" t="str" cm="1">
        <f t="array" ref="D407">IF(ISNUMBER($A407),IF(A407=A406,INDEX(BackgroundCalcs!$AW$2:$AW$500,'Grading Formulas'!$A407),"C"&amp;A407+9),"")</f>
        <v/>
      </c>
      <c r="E407" s="3" t="str" cm="1">
        <f t="array" ref="E407">IF(ISNUMBER($A407),IF(A407=A406,"Reference2(False,True,"&amp;INDEX(BackgroundCalcs!$AX$2:$AX$500,'Grading Formulas'!$A407)&amp;")","MOEValue(.0001)"),"")</f>
        <v/>
      </c>
      <c r="F407" s="3" t="str">
        <f t="shared" si="31"/>
        <v/>
      </c>
      <c r="G407" s="3" t="str">
        <f t="shared" si="32"/>
        <v/>
      </c>
      <c r="H407" s="3" t="str">
        <f t="shared" si="33"/>
        <v/>
      </c>
    </row>
    <row r="408" spans="1:8">
      <c r="A408" s="4" t="str">
        <f t="shared" si="34"/>
        <v/>
      </c>
      <c r="B408" s="4" t="str">
        <f t="shared" si="30"/>
        <v/>
      </c>
      <c r="C408" s="19" t="str" cm="1">
        <f t="array" ref="C408">IF(ISNUMBER(A408),IF(A408=A407,INDEX(BackgroundCalcs!$AV$2:$AV$500,'Grading Formulas'!$A408),"Question Results"),"")</f>
        <v/>
      </c>
      <c r="D408" s="6" t="str" cm="1">
        <f t="array" ref="D408">IF(ISNUMBER($A408),IF(A408=A407,INDEX(BackgroundCalcs!$AW$2:$AW$500,'Grading Formulas'!$A408),"C"&amp;A408+9),"")</f>
        <v/>
      </c>
      <c r="E408" s="3" t="str" cm="1">
        <f t="array" ref="E408">IF(ISNUMBER($A408),IF(A408=A407,"Reference2(False,True,"&amp;INDEX(BackgroundCalcs!$AX$2:$AX$500,'Grading Formulas'!$A408)&amp;")","MOEValue(.0001)"),"")</f>
        <v/>
      </c>
      <c r="F408" s="3" t="str">
        <f t="shared" si="31"/>
        <v/>
      </c>
      <c r="G408" s="3" t="str">
        <f t="shared" si="32"/>
        <v/>
      </c>
      <c r="H408" s="3" t="str">
        <f t="shared" si="33"/>
        <v/>
      </c>
    </row>
    <row r="409" spans="1:8">
      <c r="A409" s="4" t="str">
        <f t="shared" si="34"/>
        <v/>
      </c>
      <c r="B409" s="4" t="str">
        <f t="shared" si="30"/>
        <v/>
      </c>
      <c r="C409" s="19" t="str" cm="1">
        <f t="array" ref="C409">IF(ISNUMBER(A409),IF(A409=A408,INDEX(BackgroundCalcs!$AV$2:$AV$500,'Grading Formulas'!$A409),"Question Results"),"")</f>
        <v/>
      </c>
      <c r="D409" s="6" t="str" cm="1">
        <f t="array" ref="D409">IF(ISNUMBER($A409),IF(A409=A408,INDEX(BackgroundCalcs!$AW$2:$AW$500,'Grading Formulas'!$A409),"C"&amp;A409+9),"")</f>
        <v/>
      </c>
      <c r="E409" s="3" t="str" cm="1">
        <f t="array" ref="E409">IF(ISNUMBER($A409),IF(A409=A408,"Reference2(False,True,"&amp;INDEX(BackgroundCalcs!$AX$2:$AX$500,'Grading Formulas'!$A409)&amp;")","MOEValue(.0001)"),"")</f>
        <v/>
      </c>
      <c r="F409" s="3" t="str">
        <f t="shared" si="31"/>
        <v/>
      </c>
      <c r="G409" s="3" t="str">
        <f t="shared" si="32"/>
        <v/>
      </c>
      <c r="H409" s="3" t="str">
        <f t="shared" si="33"/>
        <v/>
      </c>
    </row>
    <row r="410" spans="1:8">
      <c r="A410" s="4" t="str">
        <f t="shared" si="34"/>
        <v/>
      </c>
      <c r="B410" s="4" t="str">
        <f t="shared" si="30"/>
        <v/>
      </c>
      <c r="C410" s="19" t="str" cm="1">
        <f t="array" ref="C410">IF(ISNUMBER(A410),IF(A410=A409,INDEX(BackgroundCalcs!$AV$2:$AV$500,'Grading Formulas'!$A410),"Question Results"),"")</f>
        <v/>
      </c>
      <c r="D410" s="6" t="str" cm="1">
        <f t="array" ref="D410">IF(ISNUMBER($A410),IF(A410=A409,INDEX(BackgroundCalcs!$AW$2:$AW$500,'Grading Formulas'!$A410),"C"&amp;A410+9),"")</f>
        <v/>
      </c>
      <c r="E410" s="3" t="str" cm="1">
        <f t="array" ref="E410">IF(ISNUMBER($A410),IF(A410=A409,"Reference2(False,True,"&amp;INDEX(BackgroundCalcs!$AX$2:$AX$500,'Grading Formulas'!$A410)&amp;")","MOEValue(.0001)"),"")</f>
        <v/>
      </c>
      <c r="F410" s="3" t="str">
        <f t="shared" si="31"/>
        <v/>
      </c>
      <c r="G410" s="3" t="str">
        <f t="shared" si="32"/>
        <v/>
      </c>
      <c r="H410" s="3" t="str">
        <f t="shared" si="33"/>
        <v/>
      </c>
    </row>
    <row r="411" spans="1:8">
      <c r="A411" s="4" t="str">
        <f t="shared" si="34"/>
        <v/>
      </c>
      <c r="B411" s="4" t="str">
        <f t="shared" si="30"/>
        <v/>
      </c>
      <c r="C411" s="19" t="str" cm="1">
        <f t="array" ref="C411">IF(ISNUMBER(A411),IF(A411=A410,INDEX(BackgroundCalcs!$AV$2:$AV$500,'Grading Formulas'!$A411),"Question Results"),"")</f>
        <v/>
      </c>
      <c r="D411" s="6" t="str" cm="1">
        <f t="array" ref="D411">IF(ISNUMBER($A411),IF(A411=A410,INDEX(BackgroundCalcs!$AW$2:$AW$500,'Grading Formulas'!$A411),"C"&amp;A411+9),"")</f>
        <v/>
      </c>
      <c r="E411" s="3" t="str" cm="1">
        <f t="array" ref="E411">IF(ISNUMBER($A411),IF(A411=A410,"Reference2(False,True,"&amp;INDEX(BackgroundCalcs!$AX$2:$AX$500,'Grading Formulas'!$A411)&amp;")","MOEValue(.0001)"),"")</f>
        <v/>
      </c>
      <c r="F411" s="3" t="str">
        <f t="shared" si="31"/>
        <v/>
      </c>
      <c r="G411" s="3" t="str">
        <f t="shared" si="32"/>
        <v/>
      </c>
      <c r="H411" s="3" t="str">
        <f t="shared" si="33"/>
        <v/>
      </c>
    </row>
    <row r="412" spans="1:8">
      <c r="A412" s="4" t="str">
        <f t="shared" si="34"/>
        <v/>
      </c>
      <c r="B412" s="4" t="str">
        <f t="shared" ref="B412:B475" si="35">IF(ISNUMBER(A412),"CELL","")</f>
        <v/>
      </c>
      <c r="C412" s="19" t="str" cm="1">
        <f t="array" ref="C412">IF(ISNUMBER(A412),IF(A412=A411,INDEX(BackgroundCalcs!$AV$2:$AV$500,'Grading Formulas'!$A412),"Question Results"),"")</f>
        <v/>
      </c>
      <c r="D412" s="6" t="str" cm="1">
        <f t="array" ref="D412">IF(ISNUMBER($A412),IF(A412=A411,INDEX(BackgroundCalcs!$AW$2:$AW$500,'Grading Formulas'!$A412),"C"&amp;A412+9),"")</f>
        <v/>
      </c>
      <c r="E412" s="3" t="str" cm="1">
        <f t="array" ref="E412">IF(ISNUMBER($A412),IF(A412=A411,"Reference2(False,True,"&amp;INDEX(BackgroundCalcs!$AX$2:$AX$500,'Grading Formulas'!$A412)&amp;")","MOEValue(.0001)"),"")</f>
        <v/>
      </c>
      <c r="F412" s="3" t="str">
        <f t="shared" ref="F412:F475" si="36">IF(ISNUMBER($A412),IF(A412=A411,-1000,1),"")</f>
        <v/>
      </c>
      <c r="G412" s="3" t="str">
        <f t="shared" ref="G412:G475" si="37">IF(ISNUMBER($A412),IF(A412=A411,"You should not be referencing the answer cell","Correct"),"")</f>
        <v/>
      </c>
      <c r="H412" s="3" t="str">
        <f t="shared" ref="H412:H475" si="38">IF(ISNUMBER($A412),IF(A412=A411,"N/A","Incorrect"),"")</f>
        <v/>
      </c>
    </row>
    <row r="413" spans="1:8">
      <c r="A413" s="4" t="str">
        <f t="shared" si="34"/>
        <v/>
      </c>
      <c r="B413" s="4" t="str">
        <f t="shared" si="35"/>
        <v/>
      </c>
      <c r="C413" s="19" t="str" cm="1">
        <f t="array" ref="C413">IF(ISNUMBER(A413),IF(A413=A412,INDEX(BackgroundCalcs!$AV$2:$AV$500,'Grading Formulas'!$A413),"Question Results"),"")</f>
        <v/>
      </c>
      <c r="D413" s="6" t="str" cm="1">
        <f t="array" ref="D413">IF(ISNUMBER($A413),IF(A413=A412,INDEX(BackgroundCalcs!$AW$2:$AW$500,'Grading Formulas'!$A413),"C"&amp;A413+9),"")</f>
        <v/>
      </c>
      <c r="E413" s="3" t="str" cm="1">
        <f t="array" ref="E413">IF(ISNUMBER($A413),IF(A413=A412,"Reference2(False,True,"&amp;INDEX(BackgroundCalcs!$AX$2:$AX$500,'Grading Formulas'!$A413)&amp;")","MOEValue(.0001)"),"")</f>
        <v/>
      </c>
      <c r="F413" s="3" t="str">
        <f t="shared" si="36"/>
        <v/>
      </c>
      <c r="G413" s="3" t="str">
        <f t="shared" si="37"/>
        <v/>
      </c>
      <c r="H413" s="3" t="str">
        <f t="shared" si="38"/>
        <v/>
      </c>
    </row>
    <row r="414" spans="1:8">
      <c r="A414" s="4" t="str">
        <f t="shared" si="34"/>
        <v/>
      </c>
      <c r="B414" s="4" t="str">
        <f t="shared" si="35"/>
        <v/>
      </c>
      <c r="C414" s="19" t="str" cm="1">
        <f t="array" ref="C414">IF(ISNUMBER(A414),IF(A414=A413,INDEX(BackgroundCalcs!$AV$2:$AV$500,'Grading Formulas'!$A414),"Question Results"),"")</f>
        <v/>
      </c>
      <c r="D414" s="6" t="str" cm="1">
        <f t="array" ref="D414">IF(ISNUMBER($A414),IF(A414=A413,INDEX(BackgroundCalcs!$AW$2:$AW$500,'Grading Formulas'!$A414),"C"&amp;A414+9),"")</f>
        <v/>
      </c>
      <c r="E414" s="3" t="str" cm="1">
        <f t="array" ref="E414">IF(ISNUMBER($A414),IF(A414=A413,"Reference2(False,True,"&amp;INDEX(BackgroundCalcs!$AX$2:$AX$500,'Grading Formulas'!$A414)&amp;")","MOEValue(.0001)"),"")</f>
        <v/>
      </c>
      <c r="F414" s="3" t="str">
        <f t="shared" si="36"/>
        <v/>
      </c>
      <c r="G414" s="3" t="str">
        <f t="shared" si="37"/>
        <v/>
      </c>
      <c r="H414" s="3" t="str">
        <f t="shared" si="38"/>
        <v/>
      </c>
    </row>
    <row r="415" spans="1:8">
      <c r="A415" s="4" t="str">
        <f t="shared" si="34"/>
        <v/>
      </c>
      <c r="B415" s="4" t="str">
        <f t="shared" si="35"/>
        <v/>
      </c>
      <c r="C415" s="19" t="str" cm="1">
        <f t="array" ref="C415">IF(ISNUMBER(A415),IF(A415=A414,INDEX(BackgroundCalcs!$AV$2:$AV$500,'Grading Formulas'!$A415),"Question Results"),"")</f>
        <v/>
      </c>
      <c r="D415" s="6" t="str" cm="1">
        <f t="array" ref="D415">IF(ISNUMBER($A415),IF(A415=A414,INDEX(BackgroundCalcs!$AW$2:$AW$500,'Grading Formulas'!$A415),"C"&amp;A415+9),"")</f>
        <v/>
      </c>
      <c r="E415" s="3" t="str" cm="1">
        <f t="array" ref="E415">IF(ISNUMBER($A415),IF(A415=A414,"Reference2(False,True,"&amp;INDEX(BackgroundCalcs!$AX$2:$AX$500,'Grading Formulas'!$A415)&amp;")","MOEValue(.0001)"),"")</f>
        <v/>
      </c>
      <c r="F415" s="3" t="str">
        <f t="shared" si="36"/>
        <v/>
      </c>
      <c r="G415" s="3" t="str">
        <f t="shared" si="37"/>
        <v/>
      </c>
      <c r="H415" s="3" t="str">
        <f t="shared" si="38"/>
        <v/>
      </c>
    </row>
    <row r="416" spans="1:8">
      <c r="A416" s="4" t="str">
        <f t="shared" si="34"/>
        <v/>
      </c>
      <c r="B416" s="4" t="str">
        <f t="shared" si="35"/>
        <v/>
      </c>
      <c r="C416" s="19" t="str" cm="1">
        <f t="array" ref="C416">IF(ISNUMBER(A416),IF(A416=A415,INDEX(BackgroundCalcs!$AV$2:$AV$500,'Grading Formulas'!$A416),"Question Results"),"")</f>
        <v/>
      </c>
      <c r="D416" s="6" t="str" cm="1">
        <f t="array" ref="D416">IF(ISNUMBER($A416),IF(A416=A415,INDEX(BackgroundCalcs!$AW$2:$AW$500,'Grading Formulas'!$A416),"C"&amp;A416+9),"")</f>
        <v/>
      </c>
      <c r="E416" s="3" t="str" cm="1">
        <f t="array" ref="E416">IF(ISNUMBER($A416),IF(A416=A415,"Reference2(False,True,"&amp;INDEX(BackgroundCalcs!$AX$2:$AX$500,'Grading Formulas'!$A416)&amp;")","MOEValue(.0001)"),"")</f>
        <v/>
      </c>
      <c r="F416" s="3" t="str">
        <f t="shared" si="36"/>
        <v/>
      </c>
      <c r="G416" s="3" t="str">
        <f t="shared" si="37"/>
        <v/>
      </c>
      <c r="H416" s="3" t="str">
        <f t="shared" si="38"/>
        <v/>
      </c>
    </row>
    <row r="417" spans="1:8">
      <c r="A417" s="4" t="str">
        <f t="shared" si="34"/>
        <v/>
      </c>
      <c r="B417" s="4" t="str">
        <f t="shared" si="35"/>
        <v/>
      </c>
      <c r="C417" s="19" t="str" cm="1">
        <f t="array" ref="C417">IF(ISNUMBER(A417),IF(A417=A416,INDEX(BackgroundCalcs!$AV$2:$AV$500,'Grading Formulas'!$A417),"Question Results"),"")</f>
        <v/>
      </c>
      <c r="D417" s="6" t="str" cm="1">
        <f t="array" ref="D417">IF(ISNUMBER($A417),IF(A417=A416,INDEX(BackgroundCalcs!$AW$2:$AW$500,'Grading Formulas'!$A417),"C"&amp;A417+9),"")</f>
        <v/>
      </c>
      <c r="E417" s="3" t="str" cm="1">
        <f t="array" ref="E417">IF(ISNUMBER($A417),IF(A417=A416,"Reference2(False,True,"&amp;INDEX(BackgroundCalcs!$AX$2:$AX$500,'Grading Formulas'!$A417)&amp;")","MOEValue(.0001)"),"")</f>
        <v/>
      </c>
      <c r="F417" s="3" t="str">
        <f t="shared" si="36"/>
        <v/>
      </c>
      <c r="G417" s="3" t="str">
        <f t="shared" si="37"/>
        <v/>
      </c>
      <c r="H417" s="3" t="str">
        <f t="shared" si="38"/>
        <v/>
      </c>
    </row>
    <row r="418" spans="1:8">
      <c r="A418" s="4" t="str">
        <f t="shared" si="34"/>
        <v/>
      </c>
      <c r="B418" s="4" t="str">
        <f t="shared" si="35"/>
        <v/>
      </c>
      <c r="C418" s="19" t="str" cm="1">
        <f t="array" ref="C418">IF(ISNUMBER(A418),IF(A418=A417,INDEX(BackgroundCalcs!$AV$2:$AV$500,'Grading Formulas'!$A418),"Question Results"),"")</f>
        <v/>
      </c>
      <c r="D418" s="6" t="str" cm="1">
        <f t="array" ref="D418">IF(ISNUMBER($A418),IF(A418=A417,INDEX(BackgroundCalcs!$AW$2:$AW$500,'Grading Formulas'!$A418),"C"&amp;A418+9),"")</f>
        <v/>
      </c>
      <c r="E418" s="3" t="str" cm="1">
        <f t="array" ref="E418">IF(ISNUMBER($A418),IF(A418=A417,"Reference2(False,True,"&amp;INDEX(BackgroundCalcs!$AX$2:$AX$500,'Grading Formulas'!$A418)&amp;")","MOEValue(.0001)"),"")</f>
        <v/>
      </c>
      <c r="F418" s="3" t="str">
        <f t="shared" si="36"/>
        <v/>
      </c>
      <c r="G418" s="3" t="str">
        <f t="shared" si="37"/>
        <v/>
      </c>
      <c r="H418" s="3" t="str">
        <f t="shared" si="38"/>
        <v/>
      </c>
    </row>
    <row r="419" spans="1:8">
      <c r="A419" s="4" t="str">
        <f t="shared" si="34"/>
        <v/>
      </c>
      <c r="B419" s="4" t="str">
        <f t="shared" si="35"/>
        <v/>
      </c>
      <c r="C419" s="19" t="str" cm="1">
        <f t="array" ref="C419">IF(ISNUMBER(A419),IF(A419=A418,INDEX(BackgroundCalcs!$AV$2:$AV$500,'Grading Formulas'!$A419),"Question Results"),"")</f>
        <v/>
      </c>
      <c r="D419" s="6" t="str" cm="1">
        <f t="array" ref="D419">IF(ISNUMBER($A419),IF(A419=A418,INDEX(BackgroundCalcs!$AW$2:$AW$500,'Grading Formulas'!$A419),"C"&amp;A419+9),"")</f>
        <v/>
      </c>
      <c r="E419" s="3" t="str" cm="1">
        <f t="array" ref="E419">IF(ISNUMBER($A419),IF(A419=A418,"Reference2(False,True,"&amp;INDEX(BackgroundCalcs!$AX$2:$AX$500,'Grading Formulas'!$A419)&amp;")","MOEValue(.0001)"),"")</f>
        <v/>
      </c>
      <c r="F419" s="3" t="str">
        <f t="shared" si="36"/>
        <v/>
      </c>
      <c r="G419" s="3" t="str">
        <f t="shared" si="37"/>
        <v/>
      </c>
      <c r="H419" s="3" t="str">
        <f t="shared" si="38"/>
        <v/>
      </c>
    </row>
    <row r="420" spans="1:8">
      <c r="A420" s="4" t="str">
        <f t="shared" si="34"/>
        <v/>
      </c>
      <c r="B420" s="4" t="str">
        <f t="shared" si="35"/>
        <v/>
      </c>
      <c r="C420" s="19" t="str" cm="1">
        <f t="array" ref="C420">IF(ISNUMBER(A420),IF(A420=A419,INDEX(BackgroundCalcs!$AV$2:$AV$500,'Grading Formulas'!$A420),"Question Results"),"")</f>
        <v/>
      </c>
      <c r="D420" s="6" t="str" cm="1">
        <f t="array" ref="D420">IF(ISNUMBER($A420),IF(A420=A419,INDEX(BackgroundCalcs!$AW$2:$AW$500,'Grading Formulas'!$A420),"C"&amp;A420+9),"")</f>
        <v/>
      </c>
      <c r="E420" s="3" t="str" cm="1">
        <f t="array" ref="E420">IF(ISNUMBER($A420),IF(A420=A419,"Reference2(False,True,"&amp;INDEX(BackgroundCalcs!$AX$2:$AX$500,'Grading Formulas'!$A420)&amp;")","MOEValue(.0001)"),"")</f>
        <v/>
      </c>
      <c r="F420" s="3" t="str">
        <f t="shared" si="36"/>
        <v/>
      </c>
      <c r="G420" s="3" t="str">
        <f t="shared" si="37"/>
        <v/>
      </c>
      <c r="H420" s="3" t="str">
        <f t="shared" si="38"/>
        <v/>
      </c>
    </row>
    <row r="421" spans="1:8">
      <c r="A421" s="4" t="str">
        <f t="shared" si="34"/>
        <v/>
      </c>
      <c r="B421" s="4" t="str">
        <f t="shared" si="35"/>
        <v/>
      </c>
      <c r="C421" s="19" t="str" cm="1">
        <f t="array" ref="C421">IF(ISNUMBER(A421),IF(A421=A420,INDEX(BackgroundCalcs!$AV$2:$AV$500,'Grading Formulas'!$A421),"Question Results"),"")</f>
        <v/>
      </c>
      <c r="D421" s="6" t="str" cm="1">
        <f t="array" ref="D421">IF(ISNUMBER($A421),IF(A421=A420,INDEX(BackgroundCalcs!$AW$2:$AW$500,'Grading Formulas'!$A421),"C"&amp;A421+9),"")</f>
        <v/>
      </c>
      <c r="E421" s="3" t="str" cm="1">
        <f t="array" ref="E421">IF(ISNUMBER($A421),IF(A421=A420,"Reference2(False,True,"&amp;INDEX(BackgroundCalcs!$AX$2:$AX$500,'Grading Formulas'!$A421)&amp;")","MOEValue(.0001)"),"")</f>
        <v/>
      </c>
      <c r="F421" s="3" t="str">
        <f t="shared" si="36"/>
        <v/>
      </c>
      <c r="G421" s="3" t="str">
        <f t="shared" si="37"/>
        <v/>
      </c>
      <c r="H421" s="3" t="str">
        <f t="shared" si="38"/>
        <v/>
      </c>
    </row>
    <row r="422" spans="1:8">
      <c r="A422" s="4" t="str">
        <f t="shared" si="34"/>
        <v/>
      </c>
      <c r="B422" s="4" t="str">
        <f t="shared" si="35"/>
        <v/>
      </c>
      <c r="C422" s="19" t="str" cm="1">
        <f t="array" ref="C422">IF(ISNUMBER(A422),IF(A422=A421,INDEX(BackgroundCalcs!$AV$2:$AV$500,'Grading Formulas'!$A422),"Question Results"),"")</f>
        <v/>
      </c>
      <c r="D422" s="6" t="str" cm="1">
        <f t="array" ref="D422">IF(ISNUMBER($A422),IF(A422=A421,INDEX(BackgroundCalcs!$AW$2:$AW$500,'Grading Formulas'!$A422),"C"&amp;A422+9),"")</f>
        <v/>
      </c>
      <c r="E422" s="3" t="str" cm="1">
        <f t="array" ref="E422">IF(ISNUMBER($A422),IF(A422=A421,"Reference2(False,True,"&amp;INDEX(BackgroundCalcs!$AX$2:$AX$500,'Grading Formulas'!$A422)&amp;")","MOEValue(.0001)"),"")</f>
        <v/>
      </c>
      <c r="F422" s="3" t="str">
        <f t="shared" si="36"/>
        <v/>
      </c>
      <c r="G422" s="3" t="str">
        <f t="shared" si="37"/>
        <v/>
      </c>
      <c r="H422" s="3" t="str">
        <f t="shared" si="38"/>
        <v/>
      </c>
    </row>
    <row r="423" spans="1:8">
      <c r="A423" s="4" t="str">
        <f t="shared" si="34"/>
        <v/>
      </c>
      <c r="B423" s="4" t="str">
        <f t="shared" si="35"/>
        <v/>
      </c>
      <c r="C423" s="19" t="str" cm="1">
        <f t="array" ref="C423">IF(ISNUMBER(A423),IF(A423=A422,INDEX(BackgroundCalcs!$AV$2:$AV$500,'Grading Formulas'!$A423),"Question Results"),"")</f>
        <v/>
      </c>
      <c r="D423" s="6" t="str" cm="1">
        <f t="array" ref="D423">IF(ISNUMBER($A423),IF(A423=A422,INDEX(BackgroundCalcs!$AW$2:$AW$500,'Grading Formulas'!$A423),"C"&amp;A423+9),"")</f>
        <v/>
      </c>
      <c r="E423" s="3" t="str" cm="1">
        <f t="array" ref="E423">IF(ISNUMBER($A423),IF(A423=A422,"Reference2(False,True,"&amp;INDEX(BackgroundCalcs!$AX$2:$AX$500,'Grading Formulas'!$A423)&amp;")","MOEValue(.0001)"),"")</f>
        <v/>
      </c>
      <c r="F423" s="3" t="str">
        <f t="shared" si="36"/>
        <v/>
      </c>
      <c r="G423" s="3" t="str">
        <f t="shared" si="37"/>
        <v/>
      </c>
      <c r="H423" s="3" t="str">
        <f t="shared" si="38"/>
        <v/>
      </c>
    </row>
    <row r="424" spans="1:8">
      <c r="A424" s="4" t="str">
        <f t="shared" si="34"/>
        <v/>
      </c>
      <c r="B424" s="4" t="str">
        <f t="shared" si="35"/>
        <v/>
      </c>
      <c r="C424" s="19" t="str" cm="1">
        <f t="array" ref="C424">IF(ISNUMBER(A424),IF(A424=A423,INDEX(BackgroundCalcs!$AV$2:$AV$500,'Grading Formulas'!$A424),"Question Results"),"")</f>
        <v/>
      </c>
      <c r="D424" s="6" t="str" cm="1">
        <f t="array" ref="D424">IF(ISNUMBER($A424),IF(A424=A423,INDEX(BackgroundCalcs!$AW$2:$AW$500,'Grading Formulas'!$A424),"C"&amp;A424+9),"")</f>
        <v/>
      </c>
      <c r="E424" s="3" t="str" cm="1">
        <f t="array" ref="E424">IF(ISNUMBER($A424),IF(A424=A423,"Reference2(False,True,"&amp;INDEX(BackgroundCalcs!$AX$2:$AX$500,'Grading Formulas'!$A424)&amp;")","MOEValue(.0001)"),"")</f>
        <v/>
      </c>
      <c r="F424" s="3" t="str">
        <f t="shared" si="36"/>
        <v/>
      </c>
      <c r="G424" s="3" t="str">
        <f t="shared" si="37"/>
        <v/>
      </c>
      <c r="H424" s="3" t="str">
        <f t="shared" si="38"/>
        <v/>
      </c>
    </row>
    <row r="425" spans="1:8">
      <c r="A425" s="4" t="str">
        <f t="shared" si="34"/>
        <v/>
      </c>
      <c r="B425" s="4" t="str">
        <f t="shared" si="35"/>
        <v/>
      </c>
      <c r="C425" s="19" t="str" cm="1">
        <f t="array" ref="C425">IF(ISNUMBER(A425),IF(A425=A424,INDEX(BackgroundCalcs!$AV$2:$AV$500,'Grading Formulas'!$A425),"Question Results"),"")</f>
        <v/>
      </c>
      <c r="D425" s="6" t="str" cm="1">
        <f t="array" ref="D425">IF(ISNUMBER($A425),IF(A425=A424,INDEX(BackgroundCalcs!$AW$2:$AW$500,'Grading Formulas'!$A425),"C"&amp;A425+9),"")</f>
        <v/>
      </c>
      <c r="E425" s="3" t="str" cm="1">
        <f t="array" ref="E425">IF(ISNUMBER($A425),IF(A425=A424,"Reference2(False,True,"&amp;INDEX(BackgroundCalcs!$AX$2:$AX$500,'Grading Formulas'!$A425)&amp;")","MOEValue(.0001)"),"")</f>
        <v/>
      </c>
      <c r="F425" s="3" t="str">
        <f t="shared" si="36"/>
        <v/>
      </c>
      <c r="G425" s="3" t="str">
        <f t="shared" si="37"/>
        <v/>
      </c>
      <c r="H425" s="3" t="str">
        <f t="shared" si="38"/>
        <v/>
      </c>
    </row>
    <row r="426" spans="1:8">
      <c r="A426" s="4" t="str">
        <f t="shared" si="34"/>
        <v/>
      </c>
      <c r="B426" s="4" t="str">
        <f t="shared" si="35"/>
        <v/>
      </c>
      <c r="C426" s="19" t="str" cm="1">
        <f t="array" ref="C426">IF(ISNUMBER(A426),IF(A426=A425,INDEX(BackgroundCalcs!$AV$2:$AV$500,'Grading Formulas'!$A426),"Question Results"),"")</f>
        <v/>
      </c>
      <c r="D426" s="6" t="str" cm="1">
        <f t="array" ref="D426">IF(ISNUMBER($A426),IF(A426=A425,INDEX(BackgroundCalcs!$AW$2:$AW$500,'Grading Formulas'!$A426),"C"&amp;A426+9),"")</f>
        <v/>
      </c>
      <c r="E426" s="3" t="str" cm="1">
        <f t="array" ref="E426">IF(ISNUMBER($A426),IF(A426=A425,"Reference2(False,True,"&amp;INDEX(BackgroundCalcs!$AX$2:$AX$500,'Grading Formulas'!$A426)&amp;")","MOEValue(.0001)"),"")</f>
        <v/>
      </c>
      <c r="F426" s="3" t="str">
        <f t="shared" si="36"/>
        <v/>
      </c>
      <c r="G426" s="3" t="str">
        <f t="shared" si="37"/>
        <v/>
      </c>
      <c r="H426" s="3" t="str">
        <f t="shared" si="38"/>
        <v/>
      </c>
    </row>
    <row r="427" spans="1:8">
      <c r="A427" s="4" t="str">
        <f t="shared" si="34"/>
        <v/>
      </c>
      <c r="B427" s="4" t="str">
        <f t="shared" si="35"/>
        <v/>
      </c>
      <c r="C427" s="19" t="str" cm="1">
        <f t="array" ref="C427">IF(ISNUMBER(A427),IF(A427=A426,INDEX(BackgroundCalcs!$AV$2:$AV$500,'Grading Formulas'!$A427),"Question Results"),"")</f>
        <v/>
      </c>
      <c r="D427" s="6" t="str" cm="1">
        <f t="array" ref="D427">IF(ISNUMBER($A427),IF(A427=A426,INDEX(BackgroundCalcs!$AW$2:$AW$500,'Grading Formulas'!$A427),"C"&amp;A427+9),"")</f>
        <v/>
      </c>
      <c r="E427" s="3" t="str" cm="1">
        <f t="array" ref="E427">IF(ISNUMBER($A427),IF(A427=A426,"Reference2(False,True,"&amp;INDEX(BackgroundCalcs!$AX$2:$AX$500,'Grading Formulas'!$A427)&amp;")","MOEValue(.0001)"),"")</f>
        <v/>
      </c>
      <c r="F427" s="3" t="str">
        <f t="shared" si="36"/>
        <v/>
      </c>
      <c r="G427" s="3" t="str">
        <f t="shared" si="37"/>
        <v/>
      </c>
      <c r="H427" s="3" t="str">
        <f t="shared" si="38"/>
        <v/>
      </c>
    </row>
    <row r="428" spans="1:8">
      <c r="A428" s="4" t="str">
        <f t="shared" si="34"/>
        <v/>
      </c>
      <c r="B428" s="4" t="str">
        <f t="shared" si="35"/>
        <v/>
      </c>
      <c r="C428" s="19" t="str" cm="1">
        <f t="array" ref="C428">IF(ISNUMBER(A428),IF(A428=A427,INDEX(BackgroundCalcs!$AV$2:$AV$500,'Grading Formulas'!$A428),"Question Results"),"")</f>
        <v/>
      </c>
      <c r="D428" s="6" t="str" cm="1">
        <f t="array" ref="D428">IF(ISNUMBER($A428),IF(A428=A427,INDEX(BackgroundCalcs!$AW$2:$AW$500,'Grading Formulas'!$A428),"C"&amp;A428+9),"")</f>
        <v/>
      </c>
      <c r="E428" s="3" t="str" cm="1">
        <f t="array" ref="E428">IF(ISNUMBER($A428),IF(A428=A427,"Reference2(False,True,"&amp;INDEX(BackgroundCalcs!$AX$2:$AX$500,'Grading Formulas'!$A428)&amp;")","MOEValue(.0001)"),"")</f>
        <v/>
      </c>
      <c r="F428" s="3" t="str">
        <f t="shared" si="36"/>
        <v/>
      </c>
      <c r="G428" s="3" t="str">
        <f t="shared" si="37"/>
        <v/>
      </c>
      <c r="H428" s="3" t="str">
        <f t="shared" si="38"/>
        <v/>
      </c>
    </row>
    <row r="429" spans="1:8">
      <c r="A429" s="4" t="str">
        <f t="shared" si="34"/>
        <v/>
      </c>
      <c r="B429" s="4" t="str">
        <f t="shared" si="35"/>
        <v/>
      </c>
      <c r="C429" s="19" t="str" cm="1">
        <f t="array" ref="C429">IF(ISNUMBER(A429),IF(A429=A428,INDEX(BackgroundCalcs!$AV$2:$AV$500,'Grading Formulas'!$A429),"Question Results"),"")</f>
        <v/>
      </c>
      <c r="D429" s="6" t="str" cm="1">
        <f t="array" ref="D429">IF(ISNUMBER($A429),IF(A429=A428,INDEX(BackgroundCalcs!$AW$2:$AW$500,'Grading Formulas'!$A429),"C"&amp;A429+9),"")</f>
        <v/>
      </c>
      <c r="E429" s="3" t="str" cm="1">
        <f t="array" ref="E429">IF(ISNUMBER($A429),IF(A429=A428,"Reference2(False,True,"&amp;INDEX(BackgroundCalcs!$AX$2:$AX$500,'Grading Formulas'!$A429)&amp;")","MOEValue(.0001)"),"")</f>
        <v/>
      </c>
      <c r="F429" s="3" t="str">
        <f t="shared" si="36"/>
        <v/>
      </c>
      <c r="G429" s="3" t="str">
        <f t="shared" si="37"/>
        <v/>
      </c>
      <c r="H429" s="3" t="str">
        <f t="shared" si="38"/>
        <v/>
      </c>
    </row>
    <row r="430" spans="1:8">
      <c r="A430" s="4" t="str">
        <f t="shared" si="34"/>
        <v/>
      </c>
      <c r="B430" s="4" t="str">
        <f t="shared" si="35"/>
        <v/>
      </c>
      <c r="C430" s="19" t="str" cm="1">
        <f t="array" ref="C430">IF(ISNUMBER(A430),IF(A430=A429,INDEX(BackgroundCalcs!$AV$2:$AV$500,'Grading Formulas'!$A430),"Question Results"),"")</f>
        <v/>
      </c>
      <c r="D430" s="6" t="str" cm="1">
        <f t="array" ref="D430">IF(ISNUMBER($A430),IF(A430=A429,INDEX(BackgroundCalcs!$AW$2:$AW$500,'Grading Formulas'!$A430),"C"&amp;A430+9),"")</f>
        <v/>
      </c>
      <c r="E430" s="3" t="str" cm="1">
        <f t="array" ref="E430">IF(ISNUMBER($A430),IF(A430=A429,"Reference2(False,True,"&amp;INDEX(BackgroundCalcs!$AX$2:$AX$500,'Grading Formulas'!$A430)&amp;")","MOEValue(.0001)"),"")</f>
        <v/>
      </c>
      <c r="F430" s="3" t="str">
        <f t="shared" si="36"/>
        <v/>
      </c>
      <c r="G430" s="3" t="str">
        <f t="shared" si="37"/>
        <v/>
      </c>
      <c r="H430" s="3" t="str">
        <f t="shared" si="38"/>
        <v/>
      </c>
    </row>
    <row r="431" spans="1:8">
      <c r="A431" s="4" t="str">
        <f t="shared" si="34"/>
        <v/>
      </c>
      <c r="B431" s="4" t="str">
        <f t="shared" si="35"/>
        <v/>
      </c>
      <c r="C431" s="19" t="str" cm="1">
        <f t="array" ref="C431">IF(ISNUMBER(A431),IF(A431=A430,INDEX(BackgroundCalcs!$AV$2:$AV$500,'Grading Formulas'!$A431),"Question Results"),"")</f>
        <v/>
      </c>
      <c r="D431" s="6" t="str" cm="1">
        <f t="array" ref="D431">IF(ISNUMBER($A431),IF(A431=A430,INDEX(BackgroundCalcs!$AW$2:$AW$500,'Grading Formulas'!$A431),"C"&amp;A431+9),"")</f>
        <v/>
      </c>
      <c r="E431" s="3" t="str" cm="1">
        <f t="array" ref="E431">IF(ISNUMBER($A431),IF(A431=A430,"Reference2(False,True,"&amp;INDEX(BackgroundCalcs!$AX$2:$AX$500,'Grading Formulas'!$A431)&amp;")","MOEValue(.0001)"),"")</f>
        <v/>
      </c>
      <c r="F431" s="3" t="str">
        <f t="shared" si="36"/>
        <v/>
      </c>
      <c r="G431" s="3" t="str">
        <f t="shared" si="37"/>
        <v/>
      </c>
      <c r="H431" s="3" t="str">
        <f t="shared" si="38"/>
        <v/>
      </c>
    </row>
    <row r="432" spans="1:8">
      <c r="A432" s="4" t="str">
        <f t="shared" si="34"/>
        <v/>
      </c>
      <c r="B432" s="4" t="str">
        <f t="shared" si="35"/>
        <v/>
      </c>
      <c r="C432" s="19" t="str" cm="1">
        <f t="array" ref="C432">IF(ISNUMBER(A432),IF(A432=A431,INDEX(BackgroundCalcs!$AV$2:$AV$500,'Grading Formulas'!$A432),"Question Results"),"")</f>
        <v/>
      </c>
      <c r="D432" s="6" t="str" cm="1">
        <f t="array" ref="D432">IF(ISNUMBER($A432),IF(A432=A431,INDEX(BackgroundCalcs!$AW$2:$AW$500,'Grading Formulas'!$A432),"C"&amp;A432+9),"")</f>
        <v/>
      </c>
      <c r="E432" s="3" t="str" cm="1">
        <f t="array" ref="E432">IF(ISNUMBER($A432),IF(A432=A431,"Reference2(False,True,"&amp;INDEX(BackgroundCalcs!$AX$2:$AX$500,'Grading Formulas'!$A432)&amp;")","MOEValue(.0001)"),"")</f>
        <v/>
      </c>
      <c r="F432" s="3" t="str">
        <f t="shared" si="36"/>
        <v/>
      </c>
      <c r="G432" s="3" t="str">
        <f t="shared" si="37"/>
        <v/>
      </c>
      <c r="H432" s="3" t="str">
        <f t="shared" si="38"/>
        <v/>
      </c>
    </row>
    <row r="433" spans="1:8">
      <c r="A433" s="4" t="str">
        <f t="shared" si="34"/>
        <v/>
      </c>
      <c r="B433" s="4" t="str">
        <f t="shared" si="35"/>
        <v/>
      </c>
      <c r="C433" s="19" t="str" cm="1">
        <f t="array" ref="C433">IF(ISNUMBER(A433),IF(A433=A432,INDEX(BackgroundCalcs!$AV$2:$AV$500,'Grading Formulas'!$A433),"Question Results"),"")</f>
        <v/>
      </c>
      <c r="D433" s="6" t="str" cm="1">
        <f t="array" ref="D433">IF(ISNUMBER($A433),IF(A433=A432,INDEX(BackgroundCalcs!$AW$2:$AW$500,'Grading Formulas'!$A433),"C"&amp;A433+9),"")</f>
        <v/>
      </c>
      <c r="E433" s="3" t="str" cm="1">
        <f t="array" ref="E433">IF(ISNUMBER($A433),IF(A433=A432,"Reference2(False,True,"&amp;INDEX(BackgroundCalcs!$AX$2:$AX$500,'Grading Formulas'!$A433)&amp;")","MOEValue(.0001)"),"")</f>
        <v/>
      </c>
      <c r="F433" s="3" t="str">
        <f t="shared" si="36"/>
        <v/>
      </c>
      <c r="G433" s="3" t="str">
        <f t="shared" si="37"/>
        <v/>
      </c>
      <c r="H433" s="3" t="str">
        <f t="shared" si="38"/>
        <v/>
      </c>
    </row>
    <row r="434" spans="1:8">
      <c r="A434" s="4" t="str">
        <f t="shared" si="34"/>
        <v/>
      </c>
      <c r="B434" s="4" t="str">
        <f t="shared" si="35"/>
        <v/>
      </c>
      <c r="C434" s="19" t="str" cm="1">
        <f t="array" ref="C434">IF(ISNUMBER(A434),IF(A434=A433,INDEX(BackgroundCalcs!$AV$2:$AV$500,'Grading Formulas'!$A434),"Question Results"),"")</f>
        <v/>
      </c>
      <c r="D434" s="6" t="str" cm="1">
        <f t="array" ref="D434">IF(ISNUMBER($A434),IF(A434=A433,INDEX(BackgroundCalcs!$AW$2:$AW$500,'Grading Formulas'!$A434),"C"&amp;A434+9),"")</f>
        <v/>
      </c>
      <c r="E434" s="3" t="str" cm="1">
        <f t="array" ref="E434">IF(ISNUMBER($A434),IF(A434=A433,"Reference2(False,True,"&amp;INDEX(BackgroundCalcs!$AX$2:$AX$500,'Grading Formulas'!$A434)&amp;")","MOEValue(.0001)"),"")</f>
        <v/>
      </c>
      <c r="F434" s="3" t="str">
        <f t="shared" si="36"/>
        <v/>
      </c>
      <c r="G434" s="3" t="str">
        <f t="shared" si="37"/>
        <v/>
      </c>
      <c r="H434" s="3" t="str">
        <f t="shared" si="38"/>
        <v/>
      </c>
    </row>
    <row r="435" spans="1:8">
      <c r="A435" s="4" t="str">
        <f t="shared" si="34"/>
        <v/>
      </c>
      <c r="B435" s="4" t="str">
        <f t="shared" si="35"/>
        <v/>
      </c>
      <c r="C435" s="19" t="str" cm="1">
        <f t="array" ref="C435">IF(ISNUMBER(A435),IF(A435=A434,INDEX(BackgroundCalcs!$AV$2:$AV$500,'Grading Formulas'!$A435),"Question Results"),"")</f>
        <v/>
      </c>
      <c r="D435" s="6" t="str" cm="1">
        <f t="array" ref="D435">IF(ISNUMBER($A435),IF(A435=A434,INDEX(BackgroundCalcs!$AW$2:$AW$500,'Grading Formulas'!$A435),"C"&amp;A435+9),"")</f>
        <v/>
      </c>
      <c r="E435" s="3" t="str" cm="1">
        <f t="array" ref="E435">IF(ISNUMBER($A435),IF(A435=A434,"Reference2(False,True,"&amp;INDEX(BackgroundCalcs!$AX$2:$AX$500,'Grading Formulas'!$A435)&amp;")","MOEValue(.0001)"),"")</f>
        <v/>
      </c>
      <c r="F435" s="3" t="str">
        <f t="shared" si="36"/>
        <v/>
      </c>
      <c r="G435" s="3" t="str">
        <f t="shared" si="37"/>
        <v/>
      </c>
      <c r="H435" s="3" t="str">
        <f t="shared" si="38"/>
        <v/>
      </c>
    </row>
    <row r="436" spans="1:8">
      <c r="A436" s="4" t="str">
        <f t="shared" si="34"/>
        <v/>
      </c>
      <c r="B436" s="4" t="str">
        <f t="shared" si="35"/>
        <v/>
      </c>
      <c r="C436" s="19" t="str" cm="1">
        <f t="array" ref="C436">IF(ISNUMBER(A436),IF(A436=A435,INDEX(BackgroundCalcs!$AV$2:$AV$500,'Grading Formulas'!$A436),"Question Results"),"")</f>
        <v/>
      </c>
      <c r="D436" s="6" t="str" cm="1">
        <f t="array" ref="D436">IF(ISNUMBER($A436),IF(A436=A435,INDEX(BackgroundCalcs!$AW$2:$AW$500,'Grading Formulas'!$A436),"C"&amp;A436+9),"")</f>
        <v/>
      </c>
      <c r="E436" s="3" t="str" cm="1">
        <f t="array" ref="E436">IF(ISNUMBER($A436),IF(A436=A435,"Reference2(False,True,"&amp;INDEX(BackgroundCalcs!$AX$2:$AX$500,'Grading Formulas'!$A436)&amp;")","MOEValue(.0001)"),"")</f>
        <v/>
      </c>
      <c r="F436" s="3" t="str">
        <f t="shared" si="36"/>
        <v/>
      </c>
      <c r="G436" s="3" t="str">
        <f t="shared" si="37"/>
        <v/>
      </c>
      <c r="H436" s="3" t="str">
        <f t="shared" si="38"/>
        <v/>
      </c>
    </row>
    <row r="437" spans="1:8">
      <c r="A437" s="4" t="str">
        <f t="shared" si="34"/>
        <v/>
      </c>
      <c r="B437" s="4" t="str">
        <f t="shared" si="35"/>
        <v/>
      </c>
      <c r="C437" s="19" t="str" cm="1">
        <f t="array" ref="C437">IF(ISNUMBER(A437),IF(A437=A436,INDEX(BackgroundCalcs!$AV$2:$AV$500,'Grading Formulas'!$A437),"Question Results"),"")</f>
        <v/>
      </c>
      <c r="D437" s="6" t="str" cm="1">
        <f t="array" ref="D437">IF(ISNUMBER($A437),IF(A437=A436,INDEX(BackgroundCalcs!$AW$2:$AW$500,'Grading Formulas'!$A437),"C"&amp;A437+9),"")</f>
        <v/>
      </c>
      <c r="E437" s="3" t="str" cm="1">
        <f t="array" ref="E437">IF(ISNUMBER($A437),IF(A437=A436,"Reference2(False,True,"&amp;INDEX(BackgroundCalcs!$AX$2:$AX$500,'Grading Formulas'!$A437)&amp;")","MOEValue(.0001)"),"")</f>
        <v/>
      </c>
      <c r="F437" s="3" t="str">
        <f t="shared" si="36"/>
        <v/>
      </c>
      <c r="G437" s="3" t="str">
        <f t="shared" si="37"/>
        <v/>
      </c>
      <c r="H437" s="3" t="str">
        <f t="shared" si="38"/>
        <v/>
      </c>
    </row>
    <row r="438" spans="1:8">
      <c r="A438" s="4" t="str">
        <f t="shared" si="34"/>
        <v/>
      </c>
      <c r="B438" s="4" t="str">
        <f t="shared" si="35"/>
        <v/>
      </c>
      <c r="C438" s="19" t="str" cm="1">
        <f t="array" ref="C438">IF(ISNUMBER(A438),IF(A438=A437,INDEX(BackgroundCalcs!$AV$2:$AV$500,'Grading Formulas'!$A438),"Question Results"),"")</f>
        <v/>
      </c>
      <c r="D438" s="6" t="str" cm="1">
        <f t="array" ref="D438">IF(ISNUMBER($A438),IF(A438=A437,INDEX(BackgroundCalcs!$AW$2:$AW$500,'Grading Formulas'!$A438),"C"&amp;A438+9),"")</f>
        <v/>
      </c>
      <c r="E438" s="3" t="str" cm="1">
        <f t="array" ref="E438">IF(ISNUMBER($A438),IF(A438=A437,"Reference2(False,True,"&amp;INDEX(BackgroundCalcs!$AX$2:$AX$500,'Grading Formulas'!$A438)&amp;")","MOEValue(.0001)"),"")</f>
        <v/>
      </c>
      <c r="F438" s="3" t="str">
        <f t="shared" si="36"/>
        <v/>
      </c>
      <c r="G438" s="3" t="str">
        <f t="shared" si="37"/>
        <v/>
      </c>
      <c r="H438" s="3" t="str">
        <f t="shared" si="38"/>
        <v/>
      </c>
    </row>
    <row r="439" spans="1:8">
      <c r="A439" s="4" t="str">
        <f t="shared" si="34"/>
        <v/>
      </c>
      <c r="B439" s="4" t="str">
        <f t="shared" si="35"/>
        <v/>
      </c>
      <c r="C439" s="19" t="str" cm="1">
        <f t="array" ref="C439">IF(ISNUMBER(A439),IF(A439=A438,INDEX(BackgroundCalcs!$AV$2:$AV$500,'Grading Formulas'!$A439),"Question Results"),"")</f>
        <v/>
      </c>
      <c r="D439" s="6" t="str" cm="1">
        <f t="array" ref="D439">IF(ISNUMBER($A439),IF(A439=A438,INDEX(BackgroundCalcs!$AW$2:$AW$500,'Grading Formulas'!$A439),"C"&amp;A439+9),"")</f>
        <v/>
      </c>
      <c r="E439" s="3" t="str" cm="1">
        <f t="array" ref="E439">IF(ISNUMBER($A439),IF(A439=A438,"Reference2(False,True,"&amp;INDEX(BackgroundCalcs!$AX$2:$AX$500,'Grading Formulas'!$A439)&amp;")","MOEValue(.0001)"),"")</f>
        <v/>
      </c>
      <c r="F439" s="3" t="str">
        <f t="shared" si="36"/>
        <v/>
      </c>
      <c r="G439" s="3" t="str">
        <f t="shared" si="37"/>
        <v/>
      </c>
      <c r="H439" s="3" t="str">
        <f t="shared" si="38"/>
        <v/>
      </c>
    </row>
    <row r="440" spans="1:8">
      <c r="A440" s="4" t="str">
        <f t="shared" si="34"/>
        <v/>
      </c>
      <c r="B440" s="4" t="str">
        <f t="shared" si="35"/>
        <v/>
      </c>
      <c r="C440" s="19" t="str" cm="1">
        <f t="array" ref="C440">IF(ISNUMBER(A440),IF(A440=A439,INDEX(BackgroundCalcs!$AV$2:$AV$500,'Grading Formulas'!$A440),"Question Results"),"")</f>
        <v/>
      </c>
      <c r="D440" s="6" t="str" cm="1">
        <f t="array" ref="D440">IF(ISNUMBER($A440),IF(A440=A439,INDEX(BackgroundCalcs!$AW$2:$AW$500,'Grading Formulas'!$A440),"C"&amp;A440+9),"")</f>
        <v/>
      </c>
      <c r="E440" s="3" t="str" cm="1">
        <f t="array" ref="E440">IF(ISNUMBER($A440),IF(A440=A439,"Reference2(False,True,"&amp;INDEX(BackgroundCalcs!$AX$2:$AX$500,'Grading Formulas'!$A440)&amp;")","MOEValue(.0001)"),"")</f>
        <v/>
      </c>
      <c r="F440" s="3" t="str">
        <f t="shared" si="36"/>
        <v/>
      </c>
      <c r="G440" s="3" t="str">
        <f t="shared" si="37"/>
        <v/>
      </c>
      <c r="H440" s="3" t="str">
        <f t="shared" si="38"/>
        <v/>
      </c>
    </row>
    <row r="441" spans="1:8">
      <c r="A441" s="4" t="str">
        <f t="shared" si="34"/>
        <v/>
      </c>
      <c r="B441" s="4" t="str">
        <f t="shared" si="35"/>
        <v/>
      </c>
      <c r="C441" s="19" t="str" cm="1">
        <f t="array" ref="C441">IF(ISNUMBER(A441),IF(A441=A440,INDEX(BackgroundCalcs!$AV$2:$AV$500,'Grading Formulas'!$A441),"Question Results"),"")</f>
        <v/>
      </c>
      <c r="D441" s="6" t="str" cm="1">
        <f t="array" ref="D441">IF(ISNUMBER($A441),IF(A441=A440,INDEX(BackgroundCalcs!$AW$2:$AW$500,'Grading Formulas'!$A441),"C"&amp;A441+9),"")</f>
        <v/>
      </c>
      <c r="E441" s="3" t="str" cm="1">
        <f t="array" ref="E441">IF(ISNUMBER($A441),IF(A441=A440,"Reference2(False,True,"&amp;INDEX(BackgroundCalcs!$AX$2:$AX$500,'Grading Formulas'!$A441)&amp;")","MOEValue(.0001)"),"")</f>
        <v/>
      </c>
      <c r="F441" s="3" t="str">
        <f t="shared" si="36"/>
        <v/>
      </c>
      <c r="G441" s="3" t="str">
        <f t="shared" si="37"/>
        <v/>
      </c>
      <c r="H441" s="3" t="str">
        <f t="shared" si="38"/>
        <v/>
      </c>
    </row>
    <row r="442" spans="1:8">
      <c r="A442" s="4" t="str">
        <f t="shared" si="34"/>
        <v/>
      </c>
      <c r="B442" s="4" t="str">
        <f t="shared" si="35"/>
        <v/>
      </c>
      <c r="C442" s="19" t="str" cm="1">
        <f t="array" ref="C442">IF(ISNUMBER(A442),IF(A442=A441,INDEX(BackgroundCalcs!$AV$2:$AV$500,'Grading Formulas'!$A442),"Question Results"),"")</f>
        <v/>
      </c>
      <c r="D442" s="6" t="str" cm="1">
        <f t="array" ref="D442">IF(ISNUMBER($A442),IF(A442=A441,INDEX(BackgroundCalcs!$AW$2:$AW$500,'Grading Formulas'!$A442),"C"&amp;A442+9),"")</f>
        <v/>
      </c>
      <c r="E442" s="3" t="str" cm="1">
        <f t="array" ref="E442">IF(ISNUMBER($A442),IF(A442=A441,"Reference2(False,True,"&amp;INDEX(BackgroundCalcs!$AX$2:$AX$500,'Grading Formulas'!$A442)&amp;")","MOEValue(.0001)"),"")</f>
        <v/>
      </c>
      <c r="F442" s="3" t="str">
        <f t="shared" si="36"/>
        <v/>
      </c>
      <c r="G442" s="3" t="str">
        <f t="shared" si="37"/>
        <v/>
      </c>
      <c r="H442" s="3" t="str">
        <f t="shared" si="38"/>
        <v/>
      </c>
    </row>
    <row r="443" spans="1:8">
      <c r="A443" s="4" t="str">
        <f t="shared" si="34"/>
        <v/>
      </c>
      <c r="B443" s="4" t="str">
        <f t="shared" si="35"/>
        <v/>
      </c>
      <c r="C443" s="19" t="str" cm="1">
        <f t="array" ref="C443">IF(ISNUMBER(A443),IF(A443=A442,INDEX(BackgroundCalcs!$AV$2:$AV$500,'Grading Formulas'!$A443),"Question Results"),"")</f>
        <v/>
      </c>
      <c r="D443" s="6" t="str" cm="1">
        <f t="array" ref="D443">IF(ISNUMBER($A443),IF(A443=A442,INDEX(BackgroundCalcs!$AW$2:$AW$500,'Grading Formulas'!$A443),"C"&amp;A443+9),"")</f>
        <v/>
      </c>
      <c r="E443" s="3" t="str" cm="1">
        <f t="array" ref="E443">IF(ISNUMBER($A443),IF(A443=A442,"Reference2(False,True,"&amp;INDEX(BackgroundCalcs!$AX$2:$AX$500,'Grading Formulas'!$A443)&amp;")","MOEValue(.0001)"),"")</f>
        <v/>
      </c>
      <c r="F443" s="3" t="str">
        <f t="shared" si="36"/>
        <v/>
      </c>
      <c r="G443" s="3" t="str">
        <f t="shared" si="37"/>
        <v/>
      </c>
      <c r="H443" s="3" t="str">
        <f t="shared" si="38"/>
        <v/>
      </c>
    </row>
    <row r="444" spans="1:8">
      <c r="A444" s="4" t="str">
        <f t="shared" si="34"/>
        <v/>
      </c>
      <c r="B444" s="4" t="str">
        <f t="shared" si="35"/>
        <v/>
      </c>
      <c r="C444" s="19" t="str" cm="1">
        <f t="array" ref="C444">IF(ISNUMBER(A444),IF(A444=A443,INDEX(BackgroundCalcs!$AV$2:$AV$500,'Grading Formulas'!$A444),"Question Results"),"")</f>
        <v/>
      </c>
      <c r="D444" s="6" t="str" cm="1">
        <f t="array" ref="D444">IF(ISNUMBER($A444),IF(A444=A443,INDEX(BackgroundCalcs!$AW$2:$AW$500,'Grading Formulas'!$A444),"C"&amp;A444+9),"")</f>
        <v/>
      </c>
      <c r="E444" s="3" t="str" cm="1">
        <f t="array" ref="E444">IF(ISNUMBER($A444),IF(A444=A443,"Reference2(False,True,"&amp;INDEX(BackgroundCalcs!$AX$2:$AX$500,'Grading Formulas'!$A444)&amp;")","MOEValue(.0001)"),"")</f>
        <v/>
      </c>
      <c r="F444" s="3" t="str">
        <f t="shared" si="36"/>
        <v/>
      </c>
      <c r="G444" s="3" t="str">
        <f t="shared" si="37"/>
        <v/>
      </c>
      <c r="H444" s="3" t="str">
        <f t="shared" si="38"/>
        <v/>
      </c>
    </row>
    <row r="445" spans="1:8">
      <c r="A445" s="4" t="str">
        <f t="shared" si="34"/>
        <v/>
      </c>
      <c r="B445" s="4" t="str">
        <f t="shared" si="35"/>
        <v/>
      </c>
      <c r="C445" s="19" t="str" cm="1">
        <f t="array" ref="C445">IF(ISNUMBER(A445),IF(A445=A444,INDEX(BackgroundCalcs!$AV$2:$AV$500,'Grading Formulas'!$A445),"Question Results"),"")</f>
        <v/>
      </c>
      <c r="D445" s="6" t="str" cm="1">
        <f t="array" ref="D445">IF(ISNUMBER($A445),IF(A445=A444,INDEX(BackgroundCalcs!$AW$2:$AW$500,'Grading Formulas'!$A445),"C"&amp;A445+9),"")</f>
        <v/>
      </c>
      <c r="E445" s="3" t="str" cm="1">
        <f t="array" ref="E445">IF(ISNUMBER($A445),IF(A445=A444,"Reference2(False,True,"&amp;INDEX(BackgroundCalcs!$AX$2:$AX$500,'Grading Formulas'!$A445)&amp;")","MOEValue(.0001)"),"")</f>
        <v/>
      </c>
      <c r="F445" s="3" t="str">
        <f t="shared" si="36"/>
        <v/>
      </c>
      <c r="G445" s="3" t="str">
        <f t="shared" si="37"/>
        <v/>
      </c>
      <c r="H445" s="3" t="str">
        <f t="shared" si="38"/>
        <v/>
      </c>
    </row>
    <row r="446" spans="1:8">
      <c r="A446" s="4" t="str">
        <f t="shared" si="34"/>
        <v/>
      </c>
      <c r="B446" s="4" t="str">
        <f t="shared" si="35"/>
        <v/>
      </c>
      <c r="C446" s="19" t="str" cm="1">
        <f t="array" ref="C446">IF(ISNUMBER(A446),IF(A446=A445,INDEX(BackgroundCalcs!$AV$2:$AV$500,'Grading Formulas'!$A446),"Question Results"),"")</f>
        <v/>
      </c>
      <c r="D446" s="6" t="str" cm="1">
        <f t="array" ref="D446">IF(ISNUMBER($A446),IF(A446=A445,INDEX(BackgroundCalcs!$AW$2:$AW$500,'Grading Formulas'!$A446),"C"&amp;A446+9),"")</f>
        <v/>
      </c>
      <c r="E446" s="3" t="str" cm="1">
        <f t="array" ref="E446">IF(ISNUMBER($A446),IF(A446=A445,"Reference2(False,True,"&amp;INDEX(BackgroundCalcs!$AX$2:$AX$500,'Grading Formulas'!$A446)&amp;")","MOEValue(.0001)"),"")</f>
        <v/>
      </c>
      <c r="F446" s="3" t="str">
        <f t="shared" si="36"/>
        <v/>
      </c>
      <c r="G446" s="3" t="str">
        <f t="shared" si="37"/>
        <v/>
      </c>
      <c r="H446" s="3" t="str">
        <f t="shared" si="38"/>
        <v/>
      </c>
    </row>
    <row r="447" spans="1:8">
      <c r="A447" s="4" t="str">
        <f t="shared" si="34"/>
        <v/>
      </c>
      <c r="B447" s="4" t="str">
        <f t="shared" si="35"/>
        <v/>
      </c>
      <c r="C447" s="19" t="str" cm="1">
        <f t="array" ref="C447">IF(ISNUMBER(A447),IF(A447=A446,INDEX(BackgroundCalcs!$AV$2:$AV$500,'Grading Formulas'!$A447),"Question Results"),"")</f>
        <v/>
      </c>
      <c r="D447" s="6" t="str" cm="1">
        <f t="array" ref="D447">IF(ISNUMBER($A447),IF(A447=A446,INDEX(BackgroundCalcs!$AW$2:$AW$500,'Grading Formulas'!$A447),"C"&amp;A447+9),"")</f>
        <v/>
      </c>
      <c r="E447" s="3" t="str" cm="1">
        <f t="array" ref="E447">IF(ISNUMBER($A447),IF(A447=A446,"Reference2(False,True,"&amp;INDEX(BackgroundCalcs!$AX$2:$AX$500,'Grading Formulas'!$A447)&amp;")","MOEValue(.0001)"),"")</f>
        <v/>
      </c>
      <c r="F447" s="3" t="str">
        <f t="shared" si="36"/>
        <v/>
      </c>
      <c r="G447" s="3" t="str">
        <f t="shared" si="37"/>
        <v/>
      </c>
      <c r="H447" s="3" t="str">
        <f t="shared" si="38"/>
        <v/>
      </c>
    </row>
    <row r="448" spans="1:8">
      <c r="A448" s="4" t="str">
        <f t="shared" si="34"/>
        <v/>
      </c>
      <c r="B448" s="4" t="str">
        <f t="shared" si="35"/>
        <v/>
      </c>
      <c r="C448" s="19" t="str" cm="1">
        <f t="array" ref="C448">IF(ISNUMBER(A448),IF(A448=A447,INDEX(BackgroundCalcs!$AV$2:$AV$500,'Grading Formulas'!$A448),"Question Results"),"")</f>
        <v/>
      </c>
      <c r="D448" s="6" t="str" cm="1">
        <f t="array" ref="D448">IF(ISNUMBER($A448),IF(A448=A447,INDEX(BackgroundCalcs!$AW$2:$AW$500,'Grading Formulas'!$A448),"C"&amp;A448+9),"")</f>
        <v/>
      </c>
      <c r="E448" s="3" t="str" cm="1">
        <f t="array" ref="E448">IF(ISNUMBER($A448),IF(A448=A447,"Reference2(False,True,"&amp;INDEX(BackgroundCalcs!$AX$2:$AX$500,'Grading Formulas'!$A448)&amp;")","MOEValue(.0001)"),"")</f>
        <v/>
      </c>
      <c r="F448" s="3" t="str">
        <f t="shared" si="36"/>
        <v/>
      </c>
      <c r="G448" s="3" t="str">
        <f t="shared" si="37"/>
        <v/>
      </c>
      <c r="H448" s="3" t="str">
        <f t="shared" si="38"/>
        <v/>
      </c>
    </row>
    <row r="449" spans="1:8">
      <c r="A449" s="4" t="str">
        <f t="shared" si="34"/>
        <v/>
      </c>
      <c r="B449" s="4" t="str">
        <f t="shared" si="35"/>
        <v/>
      </c>
      <c r="C449" s="19" t="str" cm="1">
        <f t="array" ref="C449">IF(ISNUMBER(A449),IF(A449=A448,INDEX(BackgroundCalcs!$AV$2:$AV$500,'Grading Formulas'!$A449),"Question Results"),"")</f>
        <v/>
      </c>
      <c r="D449" s="6" t="str" cm="1">
        <f t="array" ref="D449">IF(ISNUMBER($A449),IF(A449=A448,INDEX(BackgroundCalcs!$AW$2:$AW$500,'Grading Formulas'!$A449),"C"&amp;A449+9),"")</f>
        <v/>
      </c>
      <c r="E449" s="3" t="str" cm="1">
        <f t="array" ref="E449">IF(ISNUMBER($A449),IF(A449=A448,"Reference2(False,True,"&amp;INDEX(BackgroundCalcs!$AX$2:$AX$500,'Grading Formulas'!$A449)&amp;")","MOEValue(.0001)"),"")</f>
        <v/>
      </c>
      <c r="F449" s="3" t="str">
        <f t="shared" si="36"/>
        <v/>
      </c>
      <c r="G449" s="3" t="str">
        <f t="shared" si="37"/>
        <v/>
      </c>
      <c r="H449" s="3" t="str">
        <f t="shared" si="38"/>
        <v/>
      </c>
    </row>
    <row r="450" spans="1:8">
      <c r="A450" s="4" t="str">
        <f t="shared" si="34"/>
        <v/>
      </c>
      <c r="B450" s="4" t="str">
        <f t="shared" si="35"/>
        <v/>
      </c>
      <c r="C450" s="19" t="str" cm="1">
        <f t="array" ref="C450">IF(ISNUMBER(A450),IF(A450=A449,INDEX(BackgroundCalcs!$AV$2:$AV$500,'Grading Formulas'!$A450),"Question Results"),"")</f>
        <v/>
      </c>
      <c r="D450" s="6" t="str" cm="1">
        <f t="array" ref="D450">IF(ISNUMBER($A450),IF(A450=A449,INDEX(BackgroundCalcs!$AW$2:$AW$500,'Grading Formulas'!$A450),"C"&amp;A450+9),"")</f>
        <v/>
      </c>
      <c r="E450" s="3" t="str" cm="1">
        <f t="array" ref="E450">IF(ISNUMBER($A450),IF(A450=A449,"Reference2(False,True,"&amp;INDEX(BackgroundCalcs!$AX$2:$AX$500,'Grading Formulas'!$A450)&amp;")","MOEValue(.0001)"),"")</f>
        <v/>
      </c>
      <c r="F450" s="3" t="str">
        <f t="shared" si="36"/>
        <v/>
      </c>
      <c r="G450" s="3" t="str">
        <f t="shared" si="37"/>
        <v/>
      </c>
      <c r="H450" s="3" t="str">
        <f t="shared" si="38"/>
        <v/>
      </c>
    </row>
    <row r="451" spans="1:8">
      <c r="A451" s="4" t="str">
        <f t="shared" si="34"/>
        <v/>
      </c>
      <c r="B451" s="4" t="str">
        <f t="shared" si="35"/>
        <v/>
      </c>
      <c r="C451" s="19" t="str" cm="1">
        <f t="array" ref="C451">IF(ISNUMBER(A451),IF(A451=A450,INDEX(BackgroundCalcs!$AV$2:$AV$500,'Grading Formulas'!$A451),"Question Results"),"")</f>
        <v/>
      </c>
      <c r="D451" s="6" t="str" cm="1">
        <f t="array" ref="D451">IF(ISNUMBER($A451),IF(A451=A450,INDEX(BackgroundCalcs!$AW$2:$AW$500,'Grading Formulas'!$A451),"C"&amp;A451+9),"")</f>
        <v/>
      </c>
      <c r="E451" s="3" t="str" cm="1">
        <f t="array" ref="E451">IF(ISNUMBER($A451),IF(A451=A450,"Reference2(False,True,"&amp;INDEX(BackgroundCalcs!$AX$2:$AX$500,'Grading Formulas'!$A451)&amp;")","MOEValue(.0001)"),"")</f>
        <v/>
      </c>
      <c r="F451" s="3" t="str">
        <f t="shared" si="36"/>
        <v/>
      </c>
      <c r="G451" s="3" t="str">
        <f t="shared" si="37"/>
        <v/>
      </c>
      <c r="H451" s="3" t="str">
        <f t="shared" si="38"/>
        <v/>
      </c>
    </row>
    <row r="452" spans="1:8">
      <c r="A452" s="4" t="str">
        <f t="shared" ref="A452:A500" si="39">IF(A450&lt;NumAnswers,A450+1,"")</f>
        <v/>
      </c>
      <c r="B452" s="4" t="str">
        <f t="shared" si="35"/>
        <v/>
      </c>
      <c r="C452" s="19" t="str" cm="1">
        <f t="array" ref="C452">IF(ISNUMBER(A452),IF(A452=A451,INDEX(BackgroundCalcs!$AV$2:$AV$500,'Grading Formulas'!$A452),"Question Results"),"")</f>
        <v/>
      </c>
      <c r="D452" s="6" t="str" cm="1">
        <f t="array" ref="D452">IF(ISNUMBER($A452),IF(A452=A451,INDEX(BackgroundCalcs!$AW$2:$AW$500,'Grading Formulas'!$A452),"C"&amp;A452+9),"")</f>
        <v/>
      </c>
      <c r="E452" s="3" t="str" cm="1">
        <f t="array" ref="E452">IF(ISNUMBER($A452),IF(A452=A451,"Reference2(False,True,"&amp;INDEX(BackgroundCalcs!$AX$2:$AX$500,'Grading Formulas'!$A452)&amp;")","MOEValue(.0001)"),"")</f>
        <v/>
      </c>
      <c r="F452" s="3" t="str">
        <f t="shared" si="36"/>
        <v/>
      </c>
      <c r="G452" s="3" t="str">
        <f t="shared" si="37"/>
        <v/>
      </c>
      <c r="H452" s="3" t="str">
        <f t="shared" si="38"/>
        <v/>
      </c>
    </row>
    <row r="453" spans="1:8">
      <c r="A453" s="4" t="str">
        <f t="shared" si="39"/>
        <v/>
      </c>
      <c r="B453" s="4" t="str">
        <f t="shared" si="35"/>
        <v/>
      </c>
      <c r="C453" s="19" t="str" cm="1">
        <f t="array" ref="C453">IF(ISNUMBER(A453),IF(A453=A452,INDEX(BackgroundCalcs!$AV$2:$AV$500,'Grading Formulas'!$A453),"Question Results"),"")</f>
        <v/>
      </c>
      <c r="D453" s="6" t="str" cm="1">
        <f t="array" ref="D453">IF(ISNUMBER($A453),IF(A453=A452,INDEX(BackgroundCalcs!$AW$2:$AW$500,'Grading Formulas'!$A453),"C"&amp;A453+9),"")</f>
        <v/>
      </c>
      <c r="E453" s="3" t="str" cm="1">
        <f t="array" ref="E453">IF(ISNUMBER($A453),IF(A453=A452,"Reference2(False,True,"&amp;INDEX(BackgroundCalcs!$AX$2:$AX$500,'Grading Formulas'!$A453)&amp;")","MOEValue(.0001)"),"")</f>
        <v/>
      </c>
      <c r="F453" s="3" t="str">
        <f t="shared" si="36"/>
        <v/>
      </c>
      <c r="G453" s="3" t="str">
        <f t="shared" si="37"/>
        <v/>
      </c>
      <c r="H453" s="3" t="str">
        <f t="shared" si="38"/>
        <v/>
      </c>
    </row>
    <row r="454" spans="1:8">
      <c r="A454" s="4" t="str">
        <f t="shared" si="39"/>
        <v/>
      </c>
      <c r="B454" s="4" t="str">
        <f t="shared" si="35"/>
        <v/>
      </c>
      <c r="C454" s="19" t="str" cm="1">
        <f t="array" ref="C454">IF(ISNUMBER(A454),IF(A454=A453,INDEX(BackgroundCalcs!$AV$2:$AV$500,'Grading Formulas'!$A454),"Question Results"),"")</f>
        <v/>
      </c>
      <c r="D454" s="6" t="str" cm="1">
        <f t="array" ref="D454">IF(ISNUMBER($A454),IF(A454=A453,INDEX(BackgroundCalcs!$AW$2:$AW$500,'Grading Formulas'!$A454),"C"&amp;A454+9),"")</f>
        <v/>
      </c>
      <c r="E454" s="3" t="str" cm="1">
        <f t="array" ref="E454">IF(ISNUMBER($A454),IF(A454=A453,"Reference2(False,True,"&amp;INDEX(BackgroundCalcs!$AX$2:$AX$500,'Grading Formulas'!$A454)&amp;")","MOEValue(.0001)"),"")</f>
        <v/>
      </c>
      <c r="F454" s="3" t="str">
        <f t="shared" si="36"/>
        <v/>
      </c>
      <c r="G454" s="3" t="str">
        <f t="shared" si="37"/>
        <v/>
      </c>
      <c r="H454" s="3" t="str">
        <f t="shared" si="38"/>
        <v/>
      </c>
    </row>
    <row r="455" spans="1:8">
      <c r="A455" s="4" t="str">
        <f t="shared" si="39"/>
        <v/>
      </c>
      <c r="B455" s="4" t="str">
        <f t="shared" si="35"/>
        <v/>
      </c>
      <c r="C455" s="19" t="str" cm="1">
        <f t="array" ref="C455">IF(ISNUMBER(A455),IF(A455=A454,INDEX(BackgroundCalcs!$AV$2:$AV$500,'Grading Formulas'!$A455),"Question Results"),"")</f>
        <v/>
      </c>
      <c r="D455" s="6" t="str" cm="1">
        <f t="array" ref="D455">IF(ISNUMBER($A455),IF(A455=A454,INDEX(BackgroundCalcs!$AW$2:$AW$500,'Grading Formulas'!$A455),"C"&amp;A455+9),"")</f>
        <v/>
      </c>
      <c r="E455" s="3" t="str" cm="1">
        <f t="array" ref="E455">IF(ISNUMBER($A455),IF(A455=A454,"Reference2(False,True,"&amp;INDEX(BackgroundCalcs!$AX$2:$AX$500,'Grading Formulas'!$A455)&amp;")","MOEValue(.0001)"),"")</f>
        <v/>
      </c>
      <c r="F455" s="3" t="str">
        <f t="shared" si="36"/>
        <v/>
      </c>
      <c r="G455" s="3" t="str">
        <f t="shared" si="37"/>
        <v/>
      </c>
      <c r="H455" s="3" t="str">
        <f t="shared" si="38"/>
        <v/>
      </c>
    </row>
    <row r="456" spans="1:8">
      <c r="A456" s="4" t="str">
        <f t="shared" si="39"/>
        <v/>
      </c>
      <c r="B456" s="4" t="str">
        <f t="shared" si="35"/>
        <v/>
      </c>
      <c r="C456" s="19" t="str" cm="1">
        <f t="array" ref="C456">IF(ISNUMBER(A456),IF(A456=A455,INDEX(BackgroundCalcs!$AV$2:$AV$500,'Grading Formulas'!$A456),"Question Results"),"")</f>
        <v/>
      </c>
      <c r="D456" s="6" t="str" cm="1">
        <f t="array" ref="D456">IF(ISNUMBER($A456),IF(A456=A455,INDEX(BackgroundCalcs!$AW$2:$AW$500,'Grading Formulas'!$A456),"C"&amp;A456+9),"")</f>
        <v/>
      </c>
      <c r="E456" s="3" t="str" cm="1">
        <f t="array" ref="E456">IF(ISNUMBER($A456),IF(A456=A455,"Reference2(False,True,"&amp;INDEX(BackgroundCalcs!$AX$2:$AX$500,'Grading Formulas'!$A456)&amp;")","MOEValue(.0001)"),"")</f>
        <v/>
      </c>
      <c r="F456" s="3" t="str">
        <f t="shared" si="36"/>
        <v/>
      </c>
      <c r="G456" s="3" t="str">
        <f t="shared" si="37"/>
        <v/>
      </c>
      <c r="H456" s="3" t="str">
        <f t="shared" si="38"/>
        <v/>
      </c>
    </row>
    <row r="457" spans="1:8">
      <c r="A457" s="4" t="str">
        <f t="shared" si="39"/>
        <v/>
      </c>
      <c r="B457" s="4" t="str">
        <f t="shared" si="35"/>
        <v/>
      </c>
      <c r="C457" s="19" t="str" cm="1">
        <f t="array" ref="C457">IF(ISNUMBER(A457),IF(A457=A456,INDEX(BackgroundCalcs!$AV$2:$AV$500,'Grading Formulas'!$A457),"Question Results"),"")</f>
        <v/>
      </c>
      <c r="D457" s="6" t="str" cm="1">
        <f t="array" ref="D457">IF(ISNUMBER($A457),IF(A457=A456,INDEX(BackgroundCalcs!$AW$2:$AW$500,'Grading Formulas'!$A457),"C"&amp;A457+9),"")</f>
        <v/>
      </c>
      <c r="E457" s="3" t="str" cm="1">
        <f t="array" ref="E457">IF(ISNUMBER($A457),IF(A457=A456,"Reference2(False,True,"&amp;INDEX(BackgroundCalcs!$AX$2:$AX$500,'Grading Formulas'!$A457)&amp;")","MOEValue(.0001)"),"")</f>
        <v/>
      </c>
      <c r="F457" s="3" t="str">
        <f t="shared" si="36"/>
        <v/>
      </c>
      <c r="G457" s="3" t="str">
        <f t="shared" si="37"/>
        <v/>
      </c>
      <c r="H457" s="3" t="str">
        <f t="shared" si="38"/>
        <v/>
      </c>
    </row>
    <row r="458" spans="1:8">
      <c r="A458" s="4" t="str">
        <f t="shared" si="39"/>
        <v/>
      </c>
      <c r="B458" s="4" t="str">
        <f t="shared" si="35"/>
        <v/>
      </c>
      <c r="C458" s="19" t="str" cm="1">
        <f t="array" ref="C458">IF(ISNUMBER(A458),IF(A458=A457,INDEX(BackgroundCalcs!$AV$2:$AV$500,'Grading Formulas'!$A458),"Question Results"),"")</f>
        <v/>
      </c>
      <c r="D458" s="6" t="str" cm="1">
        <f t="array" ref="D458">IF(ISNUMBER($A458),IF(A458=A457,INDEX(BackgroundCalcs!$AW$2:$AW$500,'Grading Formulas'!$A458),"C"&amp;A458+9),"")</f>
        <v/>
      </c>
      <c r="E458" s="3" t="str" cm="1">
        <f t="array" ref="E458">IF(ISNUMBER($A458),IF(A458=A457,"Reference2(False,True,"&amp;INDEX(BackgroundCalcs!$AX$2:$AX$500,'Grading Formulas'!$A458)&amp;")","MOEValue(.0001)"),"")</f>
        <v/>
      </c>
      <c r="F458" s="3" t="str">
        <f t="shared" si="36"/>
        <v/>
      </c>
      <c r="G458" s="3" t="str">
        <f t="shared" si="37"/>
        <v/>
      </c>
      <c r="H458" s="3" t="str">
        <f t="shared" si="38"/>
        <v/>
      </c>
    </row>
    <row r="459" spans="1:8">
      <c r="A459" s="4" t="str">
        <f t="shared" si="39"/>
        <v/>
      </c>
      <c r="B459" s="4" t="str">
        <f t="shared" si="35"/>
        <v/>
      </c>
      <c r="C459" s="19" t="str" cm="1">
        <f t="array" ref="C459">IF(ISNUMBER(A459),IF(A459=A458,INDEX(BackgroundCalcs!$AV$2:$AV$500,'Grading Formulas'!$A459),"Question Results"),"")</f>
        <v/>
      </c>
      <c r="D459" s="6" t="str" cm="1">
        <f t="array" ref="D459">IF(ISNUMBER($A459),IF(A459=A458,INDEX(BackgroundCalcs!$AW$2:$AW$500,'Grading Formulas'!$A459),"C"&amp;A459+9),"")</f>
        <v/>
      </c>
      <c r="E459" s="3" t="str" cm="1">
        <f t="array" ref="E459">IF(ISNUMBER($A459),IF(A459=A458,"Reference2(False,True,"&amp;INDEX(BackgroundCalcs!$AX$2:$AX$500,'Grading Formulas'!$A459)&amp;")","MOEValue(.0001)"),"")</f>
        <v/>
      </c>
      <c r="F459" s="3" t="str">
        <f t="shared" si="36"/>
        <v/>
      </c>
      <c r="G459" s="3" t="str">
        <f t="shared" si="37"/>
        <v/>
      </c>
      <c r="H459" s="3" t="str">
        <f t="shared" si="38"/>
        <v/>
      </c>
    </row>
    <row r="460" spans="1:8">
      <c r="A460" s="4" t="str">
        <f t="shared" si="39"/>
        <v/>
      </c>
      <c r="B460" s="4" t="str">
        <f t="shared" si="35"/>
        <v/>
      </c>
      <c r="C460" s="19" t="str" cm="1">
        <f t="array" ref="C460">IF(ISNUMBER(A460),IF(A460=A459,INDEX(BackgroundCalcs!$AV$2:$AV$500,'Grading Formulas'!$A460),"Question Results"),"")</f>
        <v/>
      </c>
      <c r="D460" s="6" t="str" cm="1">
        <f t="array" ref="D460">IF(ISNUMBER($A460),IF(A460=A459,INDEX(BackgroundCalcs!$AW$2:$AW$500,'Grading Formulas'!$A460),"C"&amp;A460+9),"")</f>
        <v/>
      </c>
      <c r="E460" s="3" t="str" cm="1">
        <f t="array" ref="E460">IF(ISNUMBER($A460),IF(A460=A459,"Reference2(False,True,"&amp;INDEX(BackgroundCalcs!$AX$2:$AX$500,'Grading Formulas'!$A460)&amp;")","MOEValue(.0001)"),"")</f>
        <v/>
      </c>
      <c r="F460" s="3" t="str">
        <f t="shared" si="36"/>
        <v/>
      </c>
      <c r="G460" s="3" t="str">
        <f t="shared" si="37"/>
        <v/>
      </c>
      <c r="H460" s="3" t="str">
        <f t="shared" si="38"/>
        <v/>
      </c>
    </row>
    <row r="461" spans="1:8">
      <c r="A461" s="4" t="str">
        <f t="shared" si="39"/>
        <v/>
      </c>
      <c r="B461" s="4" t="str">
        <f t="shared" si="35"/>
        <v/>
      </c>
      <c r="C461" s="19" t="str" cm="1">
        <f t="array" ref="C461">IF(ISNUMBER(A461),IF(A461=A460,INDEX(BackgroundCalcs!$AV$2:$AV$500,'Grading Formulas'!$A461),"Question Results"),"")</f>
        <v/>
      </c>
      <c r="D461" s="6" t="str" cm="1">
        <f t="array" ref="D461">IF(ISNUMBER($A461),IF(A461=A460,INDEX(BackgroundCalcs!$AW$2:$AW$500,'Grading Formulas'!$A461),"C"&amp;A461+9),"")</f>
        <v/>
      </c>
      <c r="E461" s="3" t="str" cm="1">
        <f t="array" ref="E461">IF(ISNUMBER($A461),IF(A461=A460,"Reference2(False,True,"&amp;INDEX(BackgroundCalcs!$AX$2:$AX$500,'Grading Formulas'!$A461)&amp;")","MOEValue(.0001)"),"")</f>
        <v/>
      </c>
      <c r="F461" s="3" t="str">
        <f t="shared" si="36"/>
        <v/>
      </c>
      <c r="G461" s="3" t="str">
        <f t="shared" si="37"/>
        <v/>
      </c>
      <c r="H461" s="3" t="str">
        <f t="shared" si="38"/>
        <v/>
      </c>
    </row>
    <row r="462" spans="1:8">
      <c r="A462" s="4" t="str">
        <f t="shared" si="39"/>
        <v/>
      </c>
      <c r="B462" s="4" t="str">
        <f t="shared" si="35"/>
        <v/>
      </c>
      <c r="C462" s="19" t="str" cm="1">
        <f t="array" ref="C462">IF(ISNUMBER(A462),IF(A462=A461,INDEX(BackgroundCalcs!$AV$2:$AV$500,'Grading Formulas'!$A462),"Question Results"),"")</f>
        <v/>
      </c>
      <c r="D462" s="6" t="str" cm="1">
        <f t="array" ref="D462">IF(ISNUMBER($A462),IF(A462=A461,INDEX(BackgroundCalcs!$AW$2:$AW$500,'Grading Formulas'!$A462),"C"&amp;A462+9),"")</f>
        <v/>
      </c>
      <c r="E462" s="3" t="str" cm="1">
        <f t="array" ref="E462">IF(ISNUMBER($A462),IF(A462=A461,"Reference2(False,True,"&amp;INDEX(BackgroundCalcs!$AX$2:$AX$500,'Grading Formulas'!$A462)&amp;")","MOEValue(.0001)"),"")</f>
        <v/>
      </c>
      <c r="F462" s="3" t="str">
        <f t="shared" si="36"/>
        <v/>
      </c>
      <c r="G462" s="3" t="str">
        <f t="shared" si="37"/>
        <v/>
      </c>
      <c r="H462" s="3" t="str">
        <f t="shared" si="38"/>
        <v/>
      </c>
    </row>
    <row r="463" spans="1:8">
      <c r="A463" s="4" t="str">
        <f t="shared" si="39"/>
        <v/>
      </c>
      <c r="B463" s="4" t="str">
        <f t="shared" si="35"/>
        <v/>
      </c>
      <c r="C463" s="19" t="str" cm="1">
        <f t="array" ref="C463">IF(ISNUMBER(A463),IF(A463=A462,INDEX(BackgroundCalcs!$AV$2:$AV$500,'Grading Formulas'!$A463),"Question Results"),"")</f>
        <v/>
      </c>
      <c r="D463" s="6" t="str" cm="1">
        <f t="array" ref="D463">IF(ISNUMBER($A463),IF(A463=A462,INDEX(BackgroundCalcs!$AW$2:$AW$500,'Grading Formulas'!$A463),"C"&amp;A463+9),"")</f>
        <v/>
      </c>
      <c r="E463" s="3" t="str" cm="1">
        <f t="array" ref="E463">IF(ISNUMBER($A463),IF(A463=A462,"Reference2(False,True,"&amp;INDEX(BackgroundCalcs!$AX$2:$AX$500,'Grading Formulas'!$A463)&amp;")","MOEValue(.0001)"),"")</f>
        <v/>
      </c>
      <c r="F463" s="3" t="str">
        <f t="shared" si="36"/>
        <v/>
      </c>
      <c r="G463" s="3" t="str">
        <f t="shared" si="37"/>
        <v/>
      </c>
      <c r="H463" s="3" t="str">
        <f t="shared" si="38"/>
        <v/>
      </c>
    </row>
    <row r="464" spans="1:8">
      <c r="A464" s="4" t="str">
        <f t="shared" si="39"/>
        <v/>
      </c>
      <c r="B464" s="4" t="str">
        <f t="shared" si="35"/>
        <v/>
      </c>
      <c r="C464" s="19" t="str" cm="1">
        <f t="array" ref="C464">IF(ISNUMBER(A464),IF(A464=A463,INDEX(BackgroundCalcs!$AV$2:$AV$500,'Grading Formulas'!$A464),"Question Results"),"")</f>
        <v/>
      </c>
      <c r="D464" s="6" t="str" cm="1">
        <f t="array" ref="D464">IF(ISNUMBER($A464),IF(A464=A463,INDEX(BackgroundCalcs!$AW$2:$AW$500,'Grading Formulas'!$A464),"C"&amp;A464+9),"")</f>
        <v/>
      </c>
      <c r="E464" s="3" t="str" cm="1">
        <f t="array" ref="E464">IF(ISNUMBER($A464),IF(A464=A463,"Reference2(False,True,"&amp;INDEX(BackgroundCalcs!$AX$2:$AX$500,'Grading Formulas'!$A464)&amp;")","MOEValue(.0001)"),"")</f>
        <v/>
      </c>
      <c r="F464" s="3" t="str">
        <f t="shared" si="36"/>
        <v/>
      </c>
      <c r="G464" s="3" t="str">
        <f t="shared" si="37"/>
        <v/>
      </c>
      <c r="H464" s="3" t="str">
        <f t="shared" si="38"/>
        <v/>
      </c>
    </row>
    <row r="465" spans="1:8">
      <c r="A465" s="4" t="str">
        <f t="shared" si="39"/>
        <v/>
      </c>
      <c r="B465" s="4" t="str">
        <f t="shared" si="35"/>
        <v/>
      </c>
      <c r="C465" s="19" t="str" cm="1">
        <f t="array" ref="C465">IF(ISNUMBER(A465),IF(A465=A464,INDEX(BackgroundCalcs!$AV$2:$AV$500,'Grading Formulas'!$A465),"Question Results"),"")</f>
        <v/>
      </c>
      <c r="D465" s="6" t="str" cm="1">
        <f t="array" ref="D465">IF(ISNUMBER($A465),IF(A465=A464,INDEX(BackgroundCalcs!$AW$2:$AW$500,'Grading Formulas'!$A465),"C"&amp;A465+9),"")</f>
        <v/>
      </c>
      <c r="E465" s="3" t="str" cm="1">
        <f t="array" ref="E465">IF(ISNUMBER($A465),IF(A465=A464,"Reference2(False,True,"&amp;INDEX(BackgroundCalcs!$AX$2:$AX$500,'Grading Formulas'!$A465)&amp;")","MOEValue(.0001)"),"")</f>
        <v/>
      </c>
      <c r="F465" s="3" t="str">
        <f t="shared" si="36"/>
        <v/>
      </c>
      <c r="G465" s="3" t="str">
        <f t="shared" si="37"/>
        <v/>
      </c>
      <c r="H465" s="3" t="str">
        <f t="shared" si="38"/>
        <v/>
      </c>
    </row>
    <row r="466" spans="1:8">
      <c r="A466" s="4" t="str">
        <f t="shared" si="39"/>
        <v/>
      </c>
      <c r="B466" s="4" t="str">
        <f t="shared" si="35"/>
        <v/>
      </c>
      <c r="C466" s="19" t="str" cm="1">
        <f t="array" ref="C466">IF(ISNUMBER(A466),IF(A466=A465,INDEX(BackgroundCalcs!$AV$2:$AV$500,'Grading Formulas'!$A466),"Question Results"),"")</f>
        <v/>
      </c>
      <c r="D466" s="6" t="str" cm="1">
        <f t="array" ref="D466">IF(ISNUMBER($A466),IF(A466=A465,INDEX(BackgroundCalcs!$AW$2:$AW$500,'Grading Formulas'!$A466),"C"&amp;A466+9),"")</f>
        <v/>
      </c>
      <c r="E466" s="3" t="str" cm="1">
        <f t="array" ref="E466">IF(ISNUMBER($A466),IF(A466=A465,"Reference2(False,True,"&amp;INDEX(BackgroundCalcs!$AX$2:$AX$500,'Grading Formulas'!$A466)&amp;")","MOEValue(.0001)"),"")</f>
        <v/>
      </c>
      <c r="F466" s="3" t="str">
        <f t="shared" si="36"/>
        <v/>
      </c>
      <c r="G466" s="3" t="str">
        <f t="shared" si="37"/>
        <v/>
      </c>
      <c r="H466" s="3" t="str">
        <f t="shared" si="38"/>
        <v/>
      </c>
    </row>
    <row r="467" spans="1:8">
      <c r="A467" s="4" t="str">
        <f t="shared" si="39"/>
        <v/>
      </c>
      <c r="B467" s="4" t="str">
        <f t="shared" si="35"/>
        <v/>
      </c>
      <c r="C467" s="19" t="str" cm="1">
        <f t="array" ref="C467">IF(ISNUMBER(A467),IF(A467=A466,INDEX(BackgroundCalcs!$AV$2:$AV$500,'Grading Formulas'!$A467),"Question Results"),"")</f>
        <v/>
      </c>
      <c r="D467" s="6" t="str" cm="1">
        <f t="array" ref="D467">IF(ISNUMBER($A467),IF(A467=A466,INDEX(BackgroundCalcs!$AW$2:$AW$500,'Grading Formulas'!$A467),"C"&amp;A467+9),"")</f>
        <v/>
      </c>
      <c r="E467" s="3" t="str" cm="1">
        <f t="array" ref="E467">IF(ISNUMBER($A467),IF(A467=A466,"Reference2(False,True,"&amp;INDEX(BackgroundCalcs!$AX$2:$AX$500,'Grading Formulas'!$A467)&amp;")","MOEValue(.0001)"),"")</f>
        <v/>
      </c>
      <c r="F467" s="3" t="str">
        <f t="shared" si="36"/>
        <v/>
      </c>
      <c r="G467" s="3" t="str">
        <f t="shared" si="37"/>
        <v/>
      </c>
      <c r="H467" s="3" t="str">
        <f t="shared" si="38"/>
        <v/>
      </c>
    </row>
    <row r="468" spans="1:8">
      <c r="A468" s="4" t="str">
        <f t="shared" si="39"/>
        <v/>
      </c>
      <c r="B468" s="4" t="str">
        <f t="shared" si="35"/>
        <v/>
      </c>
      <c r="C468" s="19" t="str" cm="1">
        <f t="array" ref="C468">IF(ISNUMBER(A468),IF(A468=A467,INDEX(BackgroundCalcs!$AV$2:$AV$500,'Grading Formulas'!$A468),"Question Results"),"")</f>
        <v/>
      </c>
      <c r="D468" s="6" t="str" cm="1">
        <f t="array" ref="D468">IF(ISNUMBER($A468),IF(A468=A467,INDEX(BackgroundCalcs!$AW$2:$AW$500,'Grading Formulas'!$A468),"C"&amp;A468+9),"")</f>
        <v/>
      </c>
      <c r="E468" s="3" t="str" cm="1">
        <f t="array" ref="E468">IF(ISNUMBER($A468),IF(A468=A467,"Reference2(False,True,"&amp;INDEX(BackgroundCalcs!$AX$2:$AX$500,'Grading Formulas'!$A468)&amp;")","MOEValue(.0001)"),"")</f>
        <v/>
      </c>
      <c r="F468" s="3" t="str">
        <f t="shared" si="36"/>
        <v/>
      </c>
      <c r="G468" s="3" t="str">
        <f t="shared" si="37"/>
        <v/>
      </c>
      <c r="H468" s="3" t="str">
        <f t="shared" si="38"/>
        <v/>
      </c>
    </row>
    <row r="469" spans="1:8">
      <c r="A469" s="4" t="str">
        <f t="shared" si="39"/>
        <v/>
      </c>
      <c r="B469" s="4" t="str">
        <f t="shared" si="35"/>
        <v/>
      </c>
      <c r="C469" s="19" t="str" cm="1">
        <f t="array" ref="C469">IF(ISNUMBER(A469),IF(A469=A468,INDEX(BackgroundCalcs!$AV$2:$AV$500,'Grading Formulas'!$A469),"Question Results"),"")</f>
        <v/>
      </c>
      <c r="D469" s="6" t="str" cm="1">
        <f t="array" ref="D469">IF(ISNUMBER($A469),IF(A469=A468,INDEX(BackgroundCalcs!$AW$2:$AW$500,'Grading Formulas'!$A469),"C"&amp;A469+9),"")</f>
        <v/>
      </c>
      <c r="E469" s="3" t="str" cm="1">
        <f t="array" ref="E469">IF(ISNUMBER($A469),IF(A469=A468,"Reference2(False,True,"&amp;INDEX(BackgroundCalcs!$AX$2:$AX$500,'Grading Formulas'!$A469)&amp;")","MOEValue(.0001)"),"")</f>
        <v/>
      </c>
      <c r="F469" s="3" t="str">
        <f t="shared" si="36"/>
        <v/>
      </c>
      <c r="G469" s="3" t="str">
        <f t="shared" si="37"/>
        <v/>
      </c>
      <c r="H469" s="3" t="str">
        <f t="shared" si="38"/>
        <v/>
      </c>
    </row>
    <row r="470" spans="1:8">
      <c r="A470" s="4" t="str">
        <f t="shared" si="39"/>
        <v/>
      </c>
      <c r="B470" s="4" t="str">
        <f t="shared" si="35"/>
        <v/>
      </c>
      <c r="C470" s="19" t="str" cm="1">
        <f t="array" ref="C470">IF(ISNUMBER(A470),IF(A470=A469,INDEX(BackgroundCalcs!$AV$2:$AV$500,'Grading Formulas'!$A470),"Question Results"),"")</f>
        <v/>
      </c>
      <c r="D470" s="6" t="str" cm="1">
        <f t="array" ref="D470">IF(ISNUMBER($A470),IF(A470=A469,INDEX(BackgroundCalcs!$AW$2:$AW$500,'Grading Formulas'!$A470),"C"&amp;A470+9),"")</f>
        <v/>
      </c>
      <c r="E470" s="3" t="str" cm="1">
        <f t="array" ref="E470">IF(ISNUMBER($A470),IF(A470=A469,"Reference2(False,True,"&amp;INDEX(BackgroundCalcs!$AX$2:$AX$500,'Grading Formulas'!$A470)&amp;")","MOEValue(.0001)"),"")</f>
        <v/>
      </c>
      <c r="F470" s="3" t="str">
        <f t="shared" si="36"/>
        <v/>
      </c>
      <c r="G470" s="3" t="str">
        <f t="shared" si="37"/>
        <v/>
      </c>
      <c r="H470" s="3" t="str">
        <f t="shared" si="38"/>
        <v/>
      </c>
    </row>
    <row r="471" spans="1:8">
      <c r="A471" s="4" t="str">
        <f t="shared" si="39"/>
        <v/>
      </c>
      <c r="B471" s="4" t="str">
        <f t="shared" si="35"/>
        <v/>
      </c>
      <c r="C471" s="19" t="str" cm="1">
        <f t="array" ref="C471">IF(ISNUMBER(A471),IF(A471=A470,INDEX(BackgroundCalcs!$AV$2:$AV$500,'Grading Formulas'!$A471),"Question Results"),"")</f>
        <v/>
      </c>
      <c r="D471" s="6" t="str" cm="1">
        <f t="array" ref="D471">IF(ISNUMBER($A471),IF(A471=A470,INDEX(BackgroundCalcs!$AW$2:$AW$500,'Grading Formulas'!$A471),"C"&amp;A471+9),"")</f>
        <v/>
      </c>
      <c r="E471" s="3" t="str" cm="1">
        <f t="array" ref="E471">IF(ISNUMBER($A471),IF(A471=A470,"Reference2(False,True,"&amp;INDEX(BackgroundCalcs!$AX$2:$AX$500,'Grading Formulas'!$A471)&amp;")","MOEValue(.0001)"),"")</f>
        <v/>
      </c>
      <c r="F471" s="3" t="str">
        <f t="shared" si="36"/>
        <v/>
      </c>
      <c r="G471" s="3" t="str">
        <f t="shared" si="37"/>
        <v/>
      </c>
      <c r="H471" s="3" t="str">
        <f t="shared" si="38"/>
        <v/>
      </c>
    </row>
    <row r="472" spans="1:8">
      <c r="A472" s="4" t="str">
        <f t="shared" si="39"/>
        <v/>
      </c>
      <c r="B472" s="4" t="str">
        <f t="shared" si="35"/>
        <v/>
      </c>
      <c r="C472" s="19" t="str" cm="1">
        <f t="array" ref="C472">IF(ISNUMBER(A472),IF(A472=A471,INDEX(BackgroundCalcs!$AV$2:$AV$500,'Grading Formulas'!$A472),"Question Results"),"")</f>
        <v/>
      </c>
      <c r="D472" s="6" t="str" cm="1">
        <f t="array" ref="D472">IF(ISNUMBER($A472),IF(A472=A471,INDEX(BackgroundCalcs!$AW$2:$AW$500,'Grading Formulas'!$A472),"C"&amp;A472+9),"")</f>
        <v/>
      </c>
      <c r="E472" s="3" t="str" cm="1">
        <f t="array" ref="E472">IF(ISNUMBER($A472),IF(A472=A471,"Reference2(False,True,"&amp;INDEX(BackgroundCalcs!$AX$2:$AX$500,'Grading Formulas'!$A472)&amp;")","MOEValue(.0001)"),"")</f>
        <v/>
      </c>
      <c r="F472" s="3" t="str">
        <f t="shared" si="36"/>
        <v/>
      </c>
      <c r="G472" s="3" t="str">
        <f t="shared" si="37"/>
        <v/>
      </c>
      <c r="H472" s="3" t="str">
        <f t="shared" si="38"/>
        <v/>
      </c>
    </row>
    <row r="473" spans="1:8">
      <c r="A473" s="4" t="str">
        <f t="shared" si="39"/>
        <v/>
      </c>
      <c r="B473" s="4" t="str">
        <f t="shared" si="35"/>
        <v/>
      </c>
      <c r="C473" s="19" t="str" cm="1">
        <f t="array" ref="C473">IF(ISNUMBER(A473),IF(A473=A472,INDEX(BackgroundCalcs!$AV$2:$AV$500,'Grading Formulas'!$A473),"Question Results"),"")</f>
        <v/>
      </c>
      <c r="D473" s="6" t="str" cm="1">
        <f t="array" ref="D473">IF(ISNUMBER($A473),IF(A473=A472,INDEX(BackgroundCalcs!$AW$2:$AW$500,'Grading Formulas'!$A473),"C"&amp;A473+9),"")</f>
        <v/>
      </c>
      <c r="E473" s="3" t="str" cm="1">
        <f t="array" ref="E473">IF(ISNUMBER($A473),IF(A473=A472,"Reference2(False,True,"&amp;INDEX(BackgroundCalcs!$AX$2:$AX$500,'Grading Formulas'!$A473)&amp;")","MOEValue(.0001)"),"")</f>
        <v/>
      </c>
      <c r="F473" s="3" t="str">
        <f t="shared" si="36"/>
        <v/>
      </c>
      <c r="G473" s="3" t="str">
        <f t="shared" si="37"/>
        <v/>
      </c>
      <c r="H473" s="3" t="str">
        <f t="shared" si="38"/>
        <v/>
      </c>
    </row>
    <row r="474" spans="1:8">
      <c r="A474" s="4" t="str">
        <f t="shared" si="39"/>
        <v/>
      </c>
      <c r="B474" s="4" t="str">
        <f t="shared" si="35"/>
        <v/>
      </c>
      <c r="C474" s="19" t="str" cm="1">
        <f t="array" ref="C474">IF(ISNUMBER(A474),IF(A474=A473,INDEX(BackgroundCalcs!$AV$2:$AV$500,'Grading Formulas'!$A474),"Question Results"),"")</f>
        <v/>
      </c>
      <c r="D474" s="6" t="str" cm="1">
        <f t="array" ref="D474">IF(ISNUMBER($A474),IF(A474=A473,INDEX(BackgroundCalcs!$AW$2:$AW$500,'Grading Formulas'!$A474),"C"&amp;A474+9),"")</f>
        <v/>
      </c>
      <c r="E474" s="3" t="str" cm="1">
        <f t="array" ref="E474">IF(ISNUMBER($A474),IF(A474=A473,"Reference2(False,True,"&amp;INDEX(BackgroundCalcs!$AX$2:$AX$500,'Grading Formulas'!$A474)&amp;")","MOEValue(.0001)"),"")</f>
        <v/>
      </c>
      <c r="F474" s="3" t="str">
        <f t="shared" si="36"/>
        <v/>
      </c>
      <c r="G474" s="3" t="str">
        <f t="shared" si="37"/>
        <v/>
      </c>
      <c r="H474" s="3" t="str">
        <f t="shared" si="38"/>
        <v/>
      </c>
    </row>
    <row r="475" spans="1:8">
      <c r="A475" s="4" t="str">
        <f t="shared" si="39"/>
        <v/>
      </c>
      <c r="B475" s="4" t="str">
        <f t="shared" si="35"/>
        <v/>
      </c>
      <c r="C475" s="19" t="str" cm="1">
        <f t="array" ref="C475">IF(ISNUMBER(A475),IF(A475=A474,INDEX(BackgroundCalcs!$AV$2:$AV$500,'Grading Formulas'!$A475),"Question Results"),"")</f>
        <v/>
      </c>
      <c r="D475" s="6" t="str" cm="1">
        <f t="array" ref="D475">IF(ISNUMBER($A475),IF(A475=A474,INDEX(BackgroundCalcs!$AW$2:$AW$500,'Grading Formulas'!$A475),"C"&amp;A475+9),"")</f>
        <v/>
      </c>
      <c r="E475" s="3" t="str" cm="1">
        <f t="array" ref="E475">IF(ISNUMBER($A475),IF(A475=A474,"Reference2(False,True,"&amp;INDEX(BackgroundCalcs!$AX$2:$AX$500,'Grading Formulas'!$A475)&amp;")","MOEValue(.0001)"),"")</f>
        <v/>
      </c>
      <c r="F475" s="3" t="str">
        <f t="shared" si="36"/>
        <v/>
      </c>
      <c r="G475" s="3" t="str">
        <f t="shared" si="37"/>
        <v/>
      </c>
      <c r="H475" s="3" t="str">
        <f t="shared" si="38"/>
        <v/>
      </c>
    </row>
    <row r="476" spans="1:8">
      <c r="A476" s="4" t="str">
        <f t="shared" si="39"/>
        <v/>
      </c>
      <c r="B476" s="4" t="str">
        <f t="shared" ref="B476:B500" si="40">IF(ISNUMBER(A476),"CELL","")</f>
        <v/>
      </c>
      <c r="C476" s="19" t="str" cm="1">
        <f t="array" ref="C476">IF(ISNUMBER(A476),IF(A476=A475,INDEX(BackgroundCalcs!$AV$2:$AV$500,'Grading Formulas'!$A476),"Question Results"),"")</f>
        <v/>
      </c>
      <c r="D476" s="6" t="str" cm="1">
        <f t="array" ref="D476">IF(ISNUMBER($A476),IF(A476=A475,INDEX(BackgroundCalcs!$AW$2:$AW$500,'Grading Formulas'!$A476),"C"&amp;A476+9),"")</f>
        <v/>
      </c>
      <c r="E476" s="3" t="str" cm="1">
        <f t="array" ref="E476">IF(ISNUMBER($A476),IF(A476=A475,"Reference2(False,True,"&amp;INDEX(BackgroundCalcs!$AX$2:$AX$500,'Grading Formulas'!$A476)&amp;")","MOEValue(.0001)"),"")</f>
        <v/>
      </c>
      <c r="F476" s="3" t="str">
        <f t="shared" ref="F476:F500" si="41">IF(ISNUMBER($A476),IF(A476=A475,-1000,1),"")</f>
        <v/>
      </c>
      <c r="G476" s="3" t="str">
        <f t="shared" ref="G476:G500" si="42">IF(ISNUMBER($A476),IF(A476=A475,"You should not be referencing the answer cell","Correct"),"")</f>
        <v/>
      </c>
      <c r="H476" s="3" t="str">
        <f t="shared" ref="H476:H500" si="43">IF(ISNUMBER($A476),IF(A476=A475,"N/A","Incorrect"),"")</f>
        <v/>
      </c>
    </row>
    <row r="477" spans="1:8">
      <c r="A477" s="4" t="str">
        <f t="shared" si="39"/>
        <v/>
      </c>
      <c r="B477" s="4" t="str">
        <f t="shared" si="40"/>
        <v/>
      </c>
      <c r="C477" s="19" t="str" cm="1">
        <f t="array" ref="C477">IF(ISNUMBER(A477),IF(A477=A476,INDEX(BackgroundCalcs!$AV$2:$AV$500,'Grading Formulas'!$A477),"Question Results"),"")</f>
        <v/>
      </c>
      <c r="D477" s="6" t="str" cm="1">
        <f t="array" ref="D477">IF(ISNUMBER($A477),IF(A477=A476,INDEX(BackgroundCalcs!$AW$2:$AW$500,'Grading Formulas'!$A477),"C"&amp;A477+9),"")</f>
        <v/>
      </c>
      <c r="E477" s="3" t="str" cm="1">
        <f t="array" ref="E477">IF(ISNUMBER($A477),IF(A477=A476,"Reference2(False,True,"&amp;INDEX(BackgroundCalcs!$AX$2:$AX$500,'Grading Formulas'!$A477)&amp;")","MOEValue(.0001)"),"")</f>
        <v/>
      </c>
      <c r="F477" s="3" t="str">
        <f t="shared" si="41"/>
        <v/>
      </c>
      <c r="G477" s="3" t="str">
        <f t="shared" si="42"/>
        <v/>
      </c>
      <c r="H477" s="3" t="str">
        <f t="shared" si="43"/>
        <v/>
      </c>
    </row>
    <row r="478" spans="1:8">
      <c r="A478" s="4" t="str">
        <f t="shared" si="39"/>
        <v/>
      </c>
      <c r="B478" s="4" t="str">
        <f t="shared" si="40"/>
        <v/>
      </c>
      <c r="C478" s="19" t="str" cm="1">
        <f t="array" ref="C478">IF(ISNUMBER(A478),IF(A478=A477,INDEX(BackgroundCalcs!$AV$2:$AV$500,'Grading Formulas'!$A478),"Question Results"),"")</f>
        <v/>
      </c>
      <c r="D478" s="6" t="str" cm="1">
        <f t="array" ref="D478">IF(ISNUMBER($A478),IF(A478=A477,INDEX(BackgroundCalcs!$AW$2:$AW$500,'Grading Formulas'!$A478),"C"&amp;A478+9),"")</f>
        <v/>
      </c>
      <c r="E478" s="3" t="str" cm="1">
        <f t="array" ref="E478">IF(ISNUMBER($A478),IF(A478=A477,"Reference2(False,True,"&amp;INDEX(BackgroundCalcs!$AX$2:$AX$500,'Grading Formulas'!$A478)&amp;")","MOEValue(.0001)"),"")</f>
        <v/>
      </c>
      <c r="F478" s="3" t="str">
        <f t="shared" si="41"/>
        <v/>
      </c>
      <c r="G478" s="3" t="str">
        <f t="shared" si="42"/>
        <v/>
      </c>
      <c r="H478" s="3" t="str">
        <f t="shared" si="43"/>
        <v/>
      </c>
    </row>
    <row r="479" spans="1:8">
      <c r="A479" s="4" t="str">
        <f t="shared" si="39"/>
        <v/>
      </c>
      <c r="B479" s="4" t="str">
        <f t="shared" si="40"/>
        <v/>
      </c>
      <c r="C479" s="19" t="str" cm="1">
        <f t="array" ref="C479">IF(ISNUMBER(A479),IF(A479=A478,INDEX(BackgroundCalcs!$AV$2:$AV$500,'Grading Formulas'!$A479),"Question Results"),"")</f>
        <v/>
      </c>
      <c r="D479" s="6" t="str" cm="1">
        <f t="array" ref="D479">IF(ISNUMBER($A479),IF(A479=A478,INDEX(BackgroundCalcs!$AW$2:$AW$500,'Grading Formulas'!$A479),"C"&amp;A479+9),"")</f>
        <v/>
      </c>
      <c r="E479" s="3" t="str" cm="1">
        <f t="array" ref="E479">IF(ISNUMBER($A479),IF(A479=A478,"Reference2(False,True,"&amp;INDEX(BackgroundCalcs!$AX$2:$AX$500,'Grading Formulas'!$A479)&amp;")","MOEValue(.0001)"),"")</f>
        <v/>
      </c>
      <c r="F479" s="3" t="str">
        <f t="shared" si="41"/>
        <v/>
      </c>
      <c r="G479" s="3" t="str">
        <f t="shared" si="42"/>
        <v/>
      </c>
      <c r="H479" s="3" t="str">
        <f t="shared" si="43"/>
        <v/>
      </c>
    </row>
    <row r="480" spans="1:8">
      <c r="A480" s="4" t="str">
        <f t="shared" si="39"/>
        <v/>
      </c>
      <c r="B480" s="4" t="str">
        <f t="shared" si="40"/>
        <v/>
      </c>
      <c r="C480" s="19" t="str" cm="1">
        <f t="array" ref="C480">IF(ISNUMBER(A480),IF(A480=A479,INDEX(BackgroundCalcs!$AV$2:$AV$500,'Grading Formulas'!$A480),"Question Results"),"")</f>
        <v/>
      </c>
      <c r="D480" s="6" t="str" cm="1">
        <f t="array" ref="D480">IF(ISNUMBER($A480),IF(A480=A479,INDEX(BackgroundCalcs!$AW$2:$AW$500,'Grading Formulas'!$A480),"C"&amp;A480+9),"")</f>
        <v/>
      </c>
      <c r="E480" s="3" t="str" cm="1">
        <f t="array" ref="E480">IF(ISNUMBER($A480),IF(A480=A479,"Reference2(False,True,"&amp;INDEX(BackgroundCalcs!$AX$2:$AX$500,'Grading Formulas'!$A480)&amp;")","MOEValue(.0001)"),"")</f>
        <v/>
      </c>
      <c r="F480" s="3" t="str">
        <f t="shared" si="41"/>
        <v/>
      </c>
      <c r="G480" s="3" t="str">
        <f t="shared" si="42"/>
        <v/>
      </c>
      <c r="H480" s="3" t="str">
        <f t="shared" si="43"/>
        <v/>
      </c>
    </row>
    <row r="481" spans="1:8">
      <c r="A481" s="4" t="str">
        <f t="shared" si="39"/>
        <v/>
      </c>
      <c r="B481" s="4" t="str">
        <f t="shared" si="40"/>
        <v/>
      </c>
      <c r="C481" s="19" t="str" cm="1">
        <f t="array" ref="C481">IF(ISNUMBER(A481),IF(A481=A480,INDEX(BackgroundCalcs!$AV$2:$AV$500,'Grading Formulas'!$A481),"Question Results"),"")</f>
        <v/>
      </c>
      <c r="D481" s="6" t="str" cm="1">
        <f t="array" ref="D481">IF(ISNUMBER($A481),IF(A481=A480,INDEX(BackgroundCalcs!$AW$2:$AW$500,'Grading Formulas'!$A481),"C"&amp;A481+9),"")</f>
        <v/>
      </c>
      <c r="E481" s="3" t="str" cm="1">
        <f t="array" ref="E481">IF(ISNUMBER($A481),IF(A481=A480,"Reference2(False,True,"&amp;INDEX(BackgroundCalcs!$AX$2:$AX$500,'Grading Formulas'!$A481)&amp;")","MOEValue(.0001)"),"")</f>
        <v/>
      </c>
      <c r="F481" s="3" t="str">
        <f t="shared" si="41"/>
        <v/>
      </c>
      <c r="G481" s="3" t="str">
        <f t="shared" si="42"/>
        <v/>
      </c>
      <c r="H481" s="3" t="str">
        <f t="shared" si="43"/>
        <v/>
      </c>
    </row>
    <row r="482" spans="1:8">
      <c r="A482" s="4" t="str">
        <f t="shared" si="39"/>
        <v/>
      </c>
      <c r="B482" s="4" t="str">
        <f t="shared" si="40"/>
        <v/>
      </c>
      <c r="C482" s="19" t="str" cm="1">
        <f t="array" ref="C482">IF(ISNUMBER(A482),IF(A482=A481,INDEX(BackgroundCalcs!$AV$2:$AV$500,'Grading Formulas'!$A482),"Question Results"),"")</f>
        <v/>
      </c>
      <c r="D482" s="6" t="str" cm="1">
        <f t="array" ref="D482">IF(ISNUMBER($A482),IF(A482=A481,INDEX(BackgroundCalcs!$AW$2:$AW$500,'Grading Formulas'!$A482),"C"&amp;A482+9),"")</f>
        <v/>
      </c>
      <c r="E482" s="3" t="str" cm="1">
        <f t="array" ref="E482">IF(ISNUMBER($A482),IF(A482=A481,"Reference2(False,True,"&amp;INDEX(BackgroundCalcs!$AX$2:$AX$500,'Grading Formulas'!$A482)&amp;")","MOEValue(.0001)"),"")</f>
        <v/>
      </c>
      <c r="F482" s="3" t="str">
        <f t="shared" si="41"/>
        <v/>
      </c>
      <c r="G482" s="3" t="str">
        <f t="shared" si="42"/>
        <v/>
      </c>
      <c r="H482" s="3" t="str">
        <f t="shared" si="43"/>
        <v/>
      </c>
    </row>
    <row r="483" spans="1:8">
      <c r="A483" s="4" t="str">
        <f t="shared" si="39"/>
        <v/>
      </c>
      <c r="B483" s="4" t="str">
        <f t="shared" si="40"/>
        <v/>
      </c>
      <c r="C483" s="19" t="str" cm="1">
        <f t="array" ref="C483">IF(ISNUMBER(A483),IF(A483=A482,INDEX(BackgroundCalcs!$AV$2:$AV$500,'Grading Formulas'!$A483),"Question Results"),"")</f>
        <v/>
      </c>
      <c r="D483" s="6" t="str" cm="1">
        <f t="array" ref="D483">IF(ISNUMBER($A483),IF(A483=A482,INDEX(BackgroundCalcs!$AW$2:$AW$500,'Grading Formulas'!$A483),"C"&amp;A483+9),"")</f>
        <v/>
      </c>
      <c r="E483" s="3" t="str" cm="1">
        <f t="array" ref="E483">IF(ISNUMBER($A483),IF(A483=A482,"Reference2(False,True,"&amp;INDEX(BackgroundCalcs!$AX$2:$AX$500,'Grading Formulas'!$A483)&amp;")","MOEValue(.0001)"),"")</f>
        <v/>
      </c>
      <c r="F483" s="3" t="str">
        <f t="shared" si="41"/>
        <v/>
      </c>
      <c r="G483" s="3" t="str">
        <f t="shared" si="42"/>
        <v/>
      </c>
      <c r="H483" s="3" t="str">
        <f t="shared" si="43"/>
        <v/>
      </c>
    </row>
    <row r="484" spans="1:8">
      <c r="A484" s="4" t="str">
        <f t="shared" si="39"/>
        <v/>
      </c>
      <c r="B484" s="4" t="str">
        <f t="shared" si="40"/>
        <v/>
      </c>
      <c r="C484" s="19" t="str" cm="1">
        <f t="array" ref="C484">IF(ISNUMBER(A484),IF(A484=A483,INDEX(BackgroundCalcs!$AV$2:$AV$500,'Grading Formulas'!$A484),"Question Results"),"")</f>
        <v/>
      </c>
      <c r="D484" s="6" t="str" cm="1">
        <f t="array" ref="D484">IF(ISNUMBER($A484),IF(A484=A483,INDEX(BackgroundCalcs!$AW$2:$AW$500,'Grading Formulas'!$A484),"C"&amp;A484+9),"")</f>
        <v/>
      </c>
      <c r="E484" s="3" t="str" cm="1">
        <f t="array" ref="E484">IF(ISNUMBER($A484),IF(A484=A483,"Reference2(False,True,"&amp;INDEX(BackgroundCalcs!$AX$2:$AX$500,'Grading Formulas'!$A484)&amp;")","MOEValue(.0001)"),"")</f>
        <v/>
      </c>
      <c r="F484" s="3" t="str">
        <f t="shared" si="41"/>
        <v/>
      </c>
      <c r="G484" s="3" t="str">
        <f t="shared" si="42"/>
        <v/>
      </c>
      <c r="H484" s="3" t="str">
        <f t="shared" si="43"/>
        <v/>
      </c>
    </row>
    <row r="485" spans="1:8">
      <c r="A485" s="4" t="str">
        <f t="shared" si="39"/>
        <v/>
      </c>
      <c r="B485" s="4" t="str">
        <f t="shared" si="40"/>
        <v/>
      </c>
      <c r="C485" s="19" t="str" cm="1">
        <f t="array" ref="C485">IF(ISNUMBER(A485),IF(A485=A484,INDEX(BackgroundCalcs!$AV$2:$AV$500,'Grading Formulas'!$A485),"Question Results"),"")</f>
        <v/>
      </c>
      <c r="D485" s="6" t="str" cm="1">
        <f t="array" ref="D485">IF(ISNUMBER($A485),IF(A485=A484,INDEX(BackgroundCalcs!$AW$2:$AW$500,'Grading Formulas'!$A485),"C"&amp;A485+9),"")</f>
        <v/>
      </c>
      <c r="E485" s="3" t="str" cm="1">
        <f t="array" ref="E485">IF(ISNUMBER($A485),IF(A485=A484,"Reference2(False,True,"&amp;INDEX(BackgroundCalcs!$AX$2:$AX$500,'Grading Formulas'!$A485)&amp;")","MOEValue(.0001)"),"")</f>
        <v/>
      </c>
      <c r="F485" s="3" t="str">
        <f t="shared" si="41"/>
        <v/>
      </c>
      <c r="G485" s="3" t="str">
        <f t="shared" si="42"/>
        <v/>
      </c>
      <c r="H485" s="3" t="str">
        <f t="shared" si="43"/>
        <v/>
      </c>
    </row>
    <row r="486" spans="1:8">
      <c r="A486" s="4" t="str">
        <f t="shared" si="39"/>
        <v/>
      </c>
      <c r="B486" s="4" t="str">
        <f t="shared" si="40"/>
        <v/>
      </c>
      <c r="C486" s="19" t="str" cm="1">
        <f t="array" ref="C486">IF(ISNUMBER(A486),IF(A486=A485,INDEX(BackgroundCalcs!$AV$2:$AV$500,'Grading Formulas'!$A486),"Question Results"),"")</f>
        <v/>
      </c>
      <c r="D486" s="6" t="str" cm="1">
        <f t="array" ref="D486">IF(ISNUMBER($A486),IF(A486=A485,INDEX(BackgroundCalcs!$AW$2:$AW$500,'Grading Formulas'!$A486),"C"&amp;A486+9),"")</f>
        <v/>
      </c>
      <c r="E486" s="3" t="str" cm="1">
        <f t="array" ref="E486">IF(ISNUMBER($A486),IF(A486=A485,"Reference2(False,True,"&amp;INDEX(BackgroundCalcs!$AX$2:$AX$500,'Grading Formulas'!$A486)&amp;")","MOEValue(.0001)"),"")</f>
        <v/>
      </c>
      <c r="F486" s="3" t="str">
        <f t="shared" si="41"/>
        <v/>
      </c>
      <c r="G486" s="3" t="str">
        <f t="shared" si="42"/>
        <v/>
      </c>
      <c r="H486" s="3" t="str">
        <f t="shared" si="43"/>
        <v/>
      </c>
    </row>
    <row r="487" spans="1:8">
      <c r="A487" s="4" t="str">
        <f t="shared" si="39"/>
        <v/>
      </c>
      <c r="B487" s="4" t="str">
        <f t="shared" si="40"/>
        <v/>
      </c>
      <c r="C487" s="19" t="str" cm="1">
        <f t="array" ref="C487">IF(ISNUMBER(A487),IF(A487=A486,INDEX(BackgroundCalcs!$AV$2:$AV$500,'Grading Formulas'!$A487),"Question Results"),"")</f>
        <v/>
      </c>
      <c r="D487" s="6" t="str" cm="1">
        <f t="array" ref="D487">IF(ISNUMBER($A487),IF(A487=A486,INDEX(BackgroundCalcs!$AW$2:$AW$500,'Grading Formulas'!$A487),"C"&amp;A487+9),"")</f>
        <v/>
      </c>
      <c r="E487" s="3" t="str" cm="1">
        <f t="array" ref="E487">IF(ISNUMBER($A487),IF(A487=A486,"Reference2(False,True,"&amp;INDEX(BackgroundCalcs!$AX$2:$AX$500,'Grading Formulas'!$A487)&amp;")","MOEValue(.0001)"),"")</f>
        <v/>
      </c>
      <c r="F487" s="3" t="str">
        <f t="shared" si="41"/>
        <v/>
      </c>
      <c r="G487" s="3" t="str">
        <f t="shared" si="42"/>
        <v/>
      </c>
      <c r="H487" s="3" t="str">
        <f t="shared" si="43"/>
        <v/>
      </c>
    </row>
    <row r="488" spans="1:8">
      <c r="A488" s="4" t="str">
        <f t="shared" si="39"/>
        <v/>
      </c>
      <c r="B488" s="4" t="str">
        <f t="shared" si="40"/>
        <v/>
      </c>
      <c r="C488" s="19" t="str" cm="1">
        <f t="array" ref="C488">IF(ISNUMBER(A488),IF(A488=A487,INDEX(BackgroundCalcs!$AV$2:$AV$500,'Grading Formulas'!$A488),"Question Results"),"")</f>
        <v/>
      </c>
      <c r="D488" s="6" t="str" cm="1">
        <f t="array" ref="D488">IF(ISNUMBER($A488),IF(A488=A487,INDEX(BackgroundCalcs!$AW$2:$AW$500,'Grading Formulas'!$A488),"C"&amp;A488+9),"")</f>
        <v/>
      </c>
      <c r="E488" s="3" t="str" cm="1">
        <f t="array" ref="E488">IF(ISNUMBER($A488),IF(A488=A487,"Reference2(False,True,"&amp;INDEX(BackgroundCalcs!$AX$2:$AX$500,'Grading Formulas'!$A488)&amp;")","MOEValue(.0001)"),"")</f>
        <v/>
      </c>
      <c r="F488" s="3" t="str">
        <f t="shared" si="41"/>
        <v/>
      </c>
      <c r="G488" s="3" t="str">
        <f t="shared" si="42"/>
        <v/>
      </c>
      <c r="H488" s="3" t="str">
        <f t="shared" si="43"/>
        <v/>
      </c>
    </row>
    <row r="489" spans="1:8">
      <c r="A489" s="4" t="str">
        <f t="shared" si="39"/>
        <v/>
      </c>
      <c r="B489" s="4" t="str">
        <f t="shared" si="40"/>
        <v/>
      </c>
      <c r="C489" s="19" t="str" cm="1">
        <f t="array" ref="C489">IF(ISNUMBER(A489),IF(A489=A488,INDEX(BackgroundCalcs!$AV$2:$AV$500,'Grading Formulas'!$A489),"Question Results"),"")</f>
        <v/>
      </c>
      <c r="D489" s="6" t="str" cm="1">
        <f t="array" ref="D489">IF(ISNUMBER($A489),IF(A489=A488,INDEX(BackgroundCalcs!$AW$2:$AW$500,'Grading Formulas'!$A489),"C"&amp;A489+9),"")</f>
        <v/>
      </c>
      <c r="E489" s="3" t="str" cm="1">
        <f t="array" ref="E489">IF(ISNUMBER($A489),IF(A489=A488,"Reference2(False,True,"&amp;INDEX(BackgroundCalcs!$AX$2:$AX$500,'Grading Formulas'!$A489)&amp;")","MOEValue(.0001)"),"")</f>
        <v/>
      </c>
      <c r="F489" s="3" t="str">
        <f t="shared" si="41"/>
        <v/>
      </c>
      <c r="G489" s="3" t="str">
        <f t="shared" si="42"/>
        <v/>
      </c>
      <c r="H489" s="3" t="str">
        <f t="shared" si="43"/>
        <v/>
      </c>
    </row>
    <row r="490" spans="1:8">
      <c r="A490" s="4" t="str">
        <f t="shared" si="39"/>
        <v/>
      </c>
      <c r="B490" s="4" t="str">
        <f t="shared" si="40"/>
        <v/>
      </c>
      <c r="C490" s="19" t="str" cm="1">
        <f t="array" ref="C490">IF(ISNUMBER(A490),IF(A490=A489,INDEX(BackgroundCalcs!$AV$2:$AV$500,'Grading Formulas'!$A490),"Question Results"),"")</f>
        <v/>
      </c>
      <c r="D490" s="6" t="str" cm="1">
        <f t="array" ref="D490">IF(ISNUMBER($A490),IF(A490=A489,INDEX(BackgroundCalcs!$AW$2:$AW$500,'Grading Formulas'!$A490),"C"&amp;A490+9),"")</f>
        <v/>
      </c>
      <c r="E490" s="3" t="str" cm="1">
        <f t="array" ref="E490">IF(ISNUMBER($A490),IF(A490=A489,"Reference2(False,True,"&amp;INDEX(BackgroundCalcs!$AX$2:$AX$500,'Grading Formulas'!$A490)&amp;")","MOEValue(.0001)"),"")</f>
        <v/>
      </c>
      <c r="F490" s="3" t="str">
        <f t="shared" si="41"/>
        <v/>
      </c>
      <c r="G490" s="3" t="str">
        <f t="shared" si="42"/>
        <v/>
      </c>
      <c r="H490" s="3" t="str">
        <f t="shared" si="43"/>
        <v/>
      </c>
    </row>
    <row r="491" spans="1:8">
      <c r="A491" s="4" t="str">
        <f t="shared" si="39"/>
        <v/>
      </c>
      <c r="B491" s="4" t="str">
        <f t="shared" si="40"/>
        <v/>
      </c>
      <c r="C491" s="19" t="str" cm="1">
        <f t="array" ref="C491">IF(ISNUMBER(A491),IF(A491=A490,INDEX(BackgroundCalcs!$AV$2:$AV$500,'Grading Formulas'!$A491),"Question Results"),"")</f>
        <v/>
      </c>
      <c r="D491" s="6" t="str" cm="1">
        <f t="array" ref="D491">IF(ISNUMBER($A491),IF(A491=A490,INDEX(BackgroundCalcs!$AW$2:$AW$500,'Grading Formulas'!$A491),"C"&amp;A491+9),"")</f>
        <v/>
      </c>
      <c r="E491" s="3" t="str" cm="1">
        <f t="array" ref="E491">IF(ISNUMBER($A491),IF(A491=A490,"Reference2(False,True,"&amp;INDEX(BackgroundCalcs!$AX$2:$AX$500,'Grading Formulas'!$A491)&amp;")","MOEValue(.0001)"),"")</f>
        <v/>
      </c>
      <c r="F491" s="3" t="str">
        <f t="shared" si="41"/>
        <v/>
      </c>
      <c r="G491" s="3" t="str">
        <f t="shared" si="42"/>
        <v/>
      </c>
      <c r="H491" s="3" t="str">
        <f t="shared" si="43"/>
        <v/>
      </c>
    </row>
    <row r="492" spans="1:8">
      <c r="A492" s="4" t="str">
        <f t="shared" si="39"/>
        <v/>
      </c>
      <c r="B492" s="4" t="str">
        <f t="shared" si="40"/>
        <v/>
      </c>
      <c r="C492" s="19" t="str" cm="1">
        <f t="array" ref="C492">IF(ISNUMBER(A492),IF(A492=A491,INDEX(BackgroundCalcs!$AV$2:$AV$500,'Grading Formulas'!$A492),"Question Results"),"")</f>
        <v/>
      </c>
      <c r="D492" s="6" t="str" cm="1">
        <f t="array" ref="D492">IF(ISNUMBER($A492),IF(A492=A491,INDEX(BackgroundCalcs!$AW$2:$AW$500,'Grading Formulas'!$A492),"C"&amp;A492+9),"")</f>
        <v/>
      </c>
      <c r="E492" s="3" t="str" cm="1">
        <f t="array" ref="E492">IF(ISNUMBER($A492),IF(A492=A491,"Reference2(False,True,"&amp;INDEX(BackgroundCalcs!$AX$2:$AX$500,'Grading Formulas'!$A492)&amp;")","MOEValue(.0001)"),"")</f>
        <v/>
      </c>
      <c r="F492" s="3" t="str">
        <f t="shared" si="41"/>
        <v/>
      </c>
      <c r="G492" s="3" t="str">
        <f t="shared" si="42"/>
        <v/>
      </c>
      <c r="H492" s="3" t="str">
        <f t="shared" si="43"/>
        <v/>
      </c>
    </row>
    <row r="493" spans="1:8">
      <c r="A493" s="4" t="str">
        <f t="shared" si="39"/>
        <v/>
      </c>
      <c r="B493" s="4" t="str">
        <f t="shared" si="40"/>
        <v/>
      </c>
      <c r="C493" s="19" t="str" cm="1">
        <f t="array" ref="C493">IF(ISNUMBER(A493),IF(A493=A492,INDEX(BackgroundCalcs!$AV$2:$AV$500,'Grading Formulas'!$A493),"Question Results"),"")</f>
        <v/>
      </c>
      <c r="D493" s="6" t="str" cm="1">
        <f t="array" ref="D493">IF(ISNUMBER($A493),IF(A493=A492,INDEX(BackgroundCalcs!$AW$2:$AW$500,'Grading Formulas'!$A493),"C"&amp;A493+9),"")</f>
        <v/>
      </c>
      <c r="E493" s="3" t="str" cm="1">
        <f t="array" ref="E493">IF(ISNUMBER($A493),IF(A493=A492,"Reference2(False,True,"&amp;INDEX(BackgroundCalcs!$AX$2:$AX$500,'Grading Formulas'!$A493)&amp;")","MOEValue(.0001)"),"")</f>
        <v/>
      </c>
      <c r="F493" s="3" t="str">
        <f t="shared" si="41"/>
        <v/>
      </c>
      <c r="G493" s="3" t="str">
        <f t="shared" si="42"/>
        <v/>
      </c>
      <c r="H493" s="3" t="str">
        <f t="shared" si="43"/>
        <v/>
      </c>
    </row>
    <row r="494" spans="1:8">
      <c r="A494" s="4" t="str">
        <f t="shared" si="39"/>
        <v/>
      </c>
      <c r="B494" s="4" t="str">
        <f t="shared" si="40"/>
        <v/>
      </c>
      <c r="C494" s="19" t="str" cm="1">
        <f t="array" ref="C494">IF(ISNUMBER(A494),IF(A494=A493,INDEX(BackgroundCalcs!$AV$2:$AV$500,'Grading Formulas'!$A494),"Question Results"),"")</f>
        <v/>
      </c>
      <c r="D494" s="6" t="str" cm="1">
        <f t="array" ref="D494">IF(ISNUMBER($A494),IF(A494=A493,INDEX(BackgroundCalcs!$AW$2:$AW$500,'Grading Formulas'!$A494),"C"&amp;A494+9),"")</f>
        <v/>
      </c>
      <c r="E494" s="3" t="str" cm="1">
        <f t="array" ref="E494">IF(ISNUMBER($A494),IF(A494=A493,"Reference2(False,True,"&amp;INDEX(BackgroundCalcs!$AX$2:$AX$500,'Grading Formulas'!$A494)&amp;")","MOEValue(.0001)"),"")</f>
        <v/>
      </c>
      <c r="F494" s="3" t="str">
        <f t="shared" si="41"/>
        <v/>
      </c>
      <c r="G494" s="3" t="str">
        <f t="shared" si="42"/>
        <v/>
      </c>
      <c r="H494" s="3" t="str">
        <f t="shared" si="43"/>
        <v/>
      </c>
    </row>
    <row r="495" spans="1:8">
      <c r="A495" s="4" t="str">
        <f t="shared" si="39"/>
        <v/>
      </c>
      <c r="B495" s="4" t="str">
        <f t="shared" si="40"/>
        <v/>
      </c>
      <c r="C495" s="19" t="str" cm="1">
        <f t="array" ref="C495">IF(ISNUMBER(A495),IF(A495=A494,INDEX(BackgroundCalcs!$AV$2:$AV$500,'Grading Formulas'!$A495),"Question Results"),"")</f>
        <v/>
      </c>
      <c r="D495" s="6" t="str" cm="1">
        <f t="array" ref="D495">IF(ISNUMBER($A495),IF(A495=A494,INDEX(BackgroundCalcs!$AW$2:$AW$500,'Grading Formulas'!$A495),"C"&amp;A495+9),"")</f>
        <v/>
      </c>
      <c r="E495" s="3" t="str" cm="1">
        <f t="array" ref="E495">IF(ISNUMBER($A495),IF(A495=A494,"Reference2(False,True,"&amp;INDEX(BackgroundCalcs!$AX$2:$AX$500,'Grading Formulas'!$A495)&amp;")","MOEValue(.0001)"),"")</f>
        <v/>
      </c>
      <c r="F495" s="3" t="str">
        <f t="shared" si="41"/>
        <v/>
      </c>
      <c r="G495" s="3" t="str">
        <f t="shared" si="42"/>
        <v/>
      </c>
      <c r="H495" s="3" t="str">
        <f t="shared" si="43"/>
        <v/>
      </c>
    </row>
    <row r="496" spans="1:8">
      <c r="A496" s="4" t="str">
        <f t="shared" si="39"/>
        <v/>
      </c>
      <c r="B496" s="4" t="str">
        <f t="shared" si="40"/>
        <v/>
      </c>
      <c r="C496" s="19" t="str" cm="1">
        <f t="array" ref="C496">IF(ISNUMBER(A496),IF(A496=A495,INDEX(BackgroundCalcs!$AV$2:$AV$500,'Grading Formulas'!$A496),"Question Results"),"")</f>
        <v/>
      </c>
      <c r="D496" s="6" t="str" cm="1">
        <f t="array" ref="D496">IF(ISNUMBER($A496),IF(A496=A495,INDEX(BackgroundCalcs!$AW$2:$AW$500,'Grading Formulas'!$A496),"C"&amp;A496+9),"")</f>
        <v/>
      </c>
      <c r="E496" s="3" t="str" cm="1">
        <f t="array" ref="E496">IF(ISNUMBER($A496),IF(A496=A495,"Reference2(False,True,"&amp;INDEX(BackgroundCalcs!$AX$2:$AX$500,'Grading Formulas'!$A496)&amp;")","MOEValue(.0001)"),"")</f>
        <v/>
      </c>
      <c r="F496" s="3" t="str">
        <f t="shared" si="41"/>
        <v/>
      </c>
      <c r="G496" s="3" t="str">
        <f t="shared" si="42"/>
        <v/>
      </c>
      <c r="H496" s="3" t="str">
        <f t="shared" si="43"/>
        <v/>
      </c>
    </row>
    <row r="497" spans="1:8">
      <c r="A497" s="4" t="str">
        <f t="shared" si="39"/>
        <v/>
      </c>
      <c r="B497" s="4" t="str">
        <f t="shared" si="40"/>
        <v/>
      </c>
      <c r="C497" s="19" t="str" cm="1">
        <f t="array" ref="C497">IF(ISNUMBER(A497),IF(A497=A496,INDEX(BackgroundCalcs!$AV$2:$AV$500,'Grading Formulas'!$A497),"Question Results"),"")</f>
        <v/>
      </c>
      <c r="D497" s="6" t="str" cm="1">
        <f t="array" ref="D497">IF(ISNUMBER($A497),IF(A497=A496,INDEX(BackgroundCalcs!$AW$2:$AW$500,'Grading Formulas'!$A497),"C"&amp;A497+9),"")</f>
        <v/>
      </c>
      <c r="E497" s="3" t="str" cm="1">
        <f t="array" ref="E497">IF(ISNUMBER($A497),IF(A497=A496,"Reference2(False,True,"&amp;INDEX(BackgroundCalcs!$AX$2:$AX$500,'Grading Formulas'!$A497)&amp;")","MOEValue(.0001)"),"")</f>
        <v/>
      </c>
      <c r="F497" s="3" t="str">
        <f t="shared" si="41"/>
        <v/>
      </c>
      <c r="G497" s="3" t="str">
        <f t="shared" si="42"/>
        <v/>
      </c>
      <c r="H497" s="3" t="str">
        <f t="shared" si="43"/>
        <v/>
      </c>
    </row>
    <row r="498" spans="1:8">
      <c r="A498" s="4" t="str">
        <f t="shared" si="39"/>
        <v/>
      </c>
      <c r="B498" s="4" t="str">
        <f t="shared" si="40"/>
        <v/>
      </c>
      <c r="C498" s="19" t="str" cm="1">
        <f t="array" ref="C498">IF(ISNUMBER(A498),IF(A498=A497,INDEX(BackgroundCalcs!$AV$2:$AV$500,'Grading Formulas'!$A498),"Question Results"),"")</f>
        <v/>
      </c>
      <c r="D498" s="6" t="str" cm="1">
        <f t="array" ref="D498">IF(ISNUMBER($A498),IF(A498=A497,INDEX(BackgroundCalcs!$AW$2:$AW$500,'Grading Formulas'!$A498),"C"&amp;A498+9),"")</f>
        <v/>
      </c>
      <c r="E498" s="3" t="str" cm="1">
        <f t="array" ref="E498">IF(ISNUMBER($A498),IF(A498=A497,"Reference2(False,True,"&amp;INDEX(BackgroundCalcs!$AX$2:$AX$500,'Grading Formulas'!$A498)&amp;")","MOEValue(.0001)"),"")</f>
        <v/>
      </c>
      <c r="F498" s="3" t="str">
        <f t="shared" si="41"/>
        <v/>
      </c>
      <c r="G498" s="3" t="str">
        <f t="shared" si="42"/>
        <v/>
      </c>
      <c r="H498" s="3" t="str">
        <f t="shared" si="43"/>
        <v/>
      </c>
    </row>
    <row r="499" spans="1:8">
      <c r="A499" s="4" t="str">
        <f t="shared" si="39"/>
        <v/>
      </c>
      <c r="B499" s="4" t="str">
        <f t="shared" si="40"/>
        <v/>
      </c>
      <c r="C499" s="19" t="str" cm="1">
        <f t="array" ref="C499">IF(ISNUMBER(A499),IF(A499=A498,INDEX(BackgroundCalcs!$AV$2:$AV$500,'Grading Formulas'!$A499),"Question Results"),"")</f>
        <v/>
      </c>
      <c r="D499" s="6" t="str" cm="1">
        <f t="array" ref="D499">IF(ISNUMBER($A499),IF(A499=A498,INDEX(BackgroundCalcs!$AW$2:$AW$500,'Grading Formulas'!$A499),"C"&amp;A499+9),"")</f>
        <v/>
      </c>
      <c r="E499" s="3" t="str" cm="1">
        <f t="array" ref="E499">IF(ISNUMBER($A499),IF(A499=A498,"Reference2(False,True,"&amp;INDEX(BackgroundCalcs!$AX$2:$AX$500,'Grading Formulas'!$A499)&amp;")","MOEValue(.0001)"),"")</f>
        <v/>
      </c>
      <c r="F499" s="3" t="str">
        <f t="shared" si="41"/>
        <v/>
      </c>
      <c r="G499" s="3" t="str">
        <f t="shared" si="42"/>
        <v/>
      </c>
      <c r="H499" s="3" t="str">
        <f t="shared" si="43"/>
        <v/>
      </c>
    </row>
    <row r="500" spans="1:8">
      <c r="A500" s="4" t="str">
        <f t="shared" si="39"/>
        <v/>
      </c>
      <c r="B500" s="4" t="str">
        <f t="shared" si="40"/>
        <v/>
      </c>
      <c r="C500" s="19" t="str" cm="1">
        <f t="array" ref="C500">IF(ISNUMBER(A500),IF(A500=A499,INDEX(BackgroundCalcs!$AV$2:$AV$500,'Grading Formulas'!$A500),"Question Results"),"")</f>
        <v/>
      </c>
      <c r="D500" s="6" t="str" cm="1">
        <f t="array" ref="D500">IF(ISNUMBER($A500),IF(A500=A499,INDEX(BackgroundCalcs!$AW$2:$AW$500,'Grading Formulas'!$A500),"C"&amp;A500+9),"")</f>
        <v/>
      </c>
      <c r="E500" s="3" t="str" cm="1">
        <f t="array" ref="E500">IF(ISNUMBER($A500),IF(A500=A499,"Reference2(False,True,"&amp;INDEX(BackgroundCalcs!$AX$2:$AX$500,'Grading Formulas'!$A500)&amp;")","MOEValue(.0001)"),"")</f>
        <v/>
      </c>
      <c r="F500" s="3" t="str">
        <f t="shared" si="41"/>
        <v/>
      </c>
      <c r="G500" s="3" t="str">
        <f t="shared" si="42"/>
        <v/>
      </c>
      <c r="H500" s="3" t="str">
        <f t="shared" si="43"/>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F44B5-E06D-4E89-B58A-E7B4AE5CBCC3}">
  <sheetPr codeName="Sheet2"/>
  <dimension ref="A1:G27"/>
  <sheetViews>
    <sheetView workbookViewId="0">
      <selection activeCell="A2" sqref="A2"/>
    </sheetView>
  </sheetViews>
  <sheetFormatPr defaultRowHeight="14.5"/>
  <cols>
    <col min="1" max="1" width="12.1796875" style="3" bestFit="1" customWidth="1"/>
    <col min="2" max="2" width="23" style="3" bestFit="1" customWidth="1"/>
    <col min="3" max="3" width="6" style="3" bestFit="1" customWidth="1"/>
    <col min="4" max="4" width="30.1796875" style="3" bestFit="1" customWidth="1"/>
    <col min="5" max="5" width="5.81640625" style="3" bestFit="1" customWidth="1"/>
    <col min="6" max="6" width="41.08984375" style="3" bestFit="1" customWidth="1"/>
    <col min="7" max="7" width="16.81640625" style="3" bestFit="1" customWidth="1"/>
    <col min="8" max="16384" width="8.7265625" style="3"/>
  </cols>
  <sheetData>
    <row r="1" spans="1:7">
      <c r="A1" s="3" t="s">
        <v>85</v>
      </c>
      <c r="B1" s="18" t="s">
        <v>86</v>
      </c>
      <c r="C1" s="18" t="s">
        <v>87</v>
      </c>
      <c r="D1" s="18" t="s">
        <v>88</v>
      </c>
      <c r="E1" s="3" t="s">
        <v>89</v>
      </c>
      <c r="F1" s="3" t="s">
        <v>90</v>
      </c>
      <c r="G1" s="3" t="s">
        <v>91</v>
      </c>
    </row>
    <row r="2" spans="1:7">
      <c r="A2" s="3" t="s">
        <v>92</v>
      </c>
      <c r="B2" s="19" t="s">
        <v>100</v>
      </c>
      <c r="C2" s="18" t="s">
        <v>108</v>
      </c>
      <c r="D2" s="18" t="s">
        <v>107</v>
      </c>
      <c r="E2" s="3">
        <v>1</v>
      </c>
      <c r="F2" s="3" t="s">
        <v>98</v>
      </c>
      <c r="G2" s="3" t="s">
        <v>99</v>
      </c>
    </row>
    <row r="3" spans="1:7">
      <c r="A3" s="3" t="s">
        <v>92</v>
      </c>
      <c r="B3" s="19" t="s">
        <v>144</v>
      </c>
      <c r="C3" s="18" t="s">
        <v>462</v>
      </c>
      <c r="D3" s="18" t="s">
        <v>539</v>
      </c>
      <c r="E3" s="3">
        <v>-1000</v>
      </c>
      <c r="F3" s="3" t="s">
        <v>537</v>
      </c>
      <c r="G3" s="3" t="s">
        <v>538</v>
      </c>
    </row>
    <row r="4" spans="1:7">
      <c r="A4" s="3" t="s">
        <v>92</v>
      </c>
      <c r="B4" s="18" t="s">
        <v>100</v>
      </c>
      <c r="C4" s="18" t="s">
        <v>109</v>
      </c>
      <c r="D4" s="18" t="s">
        <v>107</v>
      </c>
      <c r="E4" s="3">
        <v>1</v>
      </c>
      <c r="F4" s="3" t="s">
        <v>98</v>
      </c>
      <c r="G4" s="3" t="s">
        <v>99</v>
      </c>
    </row>
    <row r="5" spans="1:7">
      <c r="A5" s="3" t="s">
        <v>92</v>
      </c>
      <c r="B5" s="18" t="s">
        <v>144</v>
      </c>
      <c r="C5" s="18" t="s">
        <v>463</v>
      </c>
      <c r="D5" s="18" t="s">
        <v>540</v>
      </c>
      <c r="E5" s="3">
        <v>-1000</v>
      </c>
      <c r="F5" s="3" t="s">
        <v>537</v>
      </c>
      <c r="G5" s="3" t="s">
        <v>538</v>
      </c>
    </row>
    <row r="6" spans="1:7">
      <c r="A6" s="3" t="s">
        <v>92</v>
      </c>
      <c r="B6" s="18" t="s">
        <v>100</v>
      </c>
      <c r="C6" s="18" t="s">
        <v>110</v>
      </c>
      <c r="D6" s="18" t="s">
        <v>107</v>
      </c>
      <c r="E6" s="3">
        <v>1</v>
      </c>
      <c r="F6" s="3" t="s">
        <v>98</v>
      </c>
      <c r="G6" s="3" t="s">
        <v>99</v>
      </c>
    </row>
    <row r="7" spans="1:7">
      <c r="A7" s="3" t="s">
        <v>92</v>
      </c>
      <c r="B7" s="18" t="s">
        <v>144</v>
      </c>
      <c r="C7" s="18" t="s">
        <v>465</v>
      </c>
      <c r="D7" s="18" t="s">
        <v>541</v>
      </c>
      <c r="E7" s="3">
        <v>-1000</v>
      </c>
      <c r="F7" s="3" t="s">
        <v>537</v>
      </c>
      <c r="G7" s="3" t="s">
        <v>538</v>
      </c>
    </row>
    <row r="8" spans="1:7">
      <c r="A8" s="3" t="s">
        <v>92</v>
      </c>
      <c r="B8" s="18" t="s">
        <v>100</v>
      </c>
      <c r="C8" s="18" t="s">
        <v>111</v>
      </c>
      <c r="D8" s="18" t="s">
        <v>107</v>
      </c>
      <c r="E8" s="3">
        <v>1</v>
      </c>
      <c r="F8" s="3" t="s">
        <v>98</v>
      </c>
      <c r="G8" s="3" t="s">
        <v>99</v>
      </c>
    </row>
    <row r="9" spans="1:7">
      <c r="A9" s="3" t="s">
        <v>92</v>
      </c>
      <c r="B9" s="18" t="s">
        <v>144</v>
      </c>
      <c r="C9" s="18" t="s">
        <v>467</v>
      </c>
      <c r="D9" s="18" t="s">
        <v>542</v>
      </c>
      <c r="E9" s="3">
        <v>-1000</v>
      </c>
      <c r="F9" s="3" t="s">
        <v>537</v>
      </c>
      <c r="G9" s="3" t="s">
        <v>538</v>
      </c>
    </row>
    <row r="10" spans="1:7">
      <c r="A10" s="3" t="s">
        <v>92</v>
      </c>
      <c r="B10" s="18" t="s">
        <v>100</v>
      </c>
      <c r="C10" s="18" t="s">
        <v>112</v>
      </c>
      <c r="D10" s="18" t="s">
        <v>107</v>
      </c>
      <c r="E10" s="3">
        <v>1</v>
      </c>
      <c r="F10" s="3" t="s">
        <v>98</v>
      </c>
      <c r="G10" s="3" t="s">
        <v>99</v>
      </c>
    </row>
    <row r="11" spans="1:7">
      <c r="A11" s="3" t="s">
        <v>92</v>
      </c>
      <c r="B11" s="18" t="s">
        <v>144</v>
      </c>
      <c r="C11" s="18" t="s">
        <v>469</v>
      </c>
      <c r="D11" s="18" t="s">
        <v>543</v>
      </c>
      <c r="E11" s="3">
        <v>-1000</v>
      </c>
      <c r="F11" s="3" t="s">
        <v>537</v>
      </c>
      <c r="G11" s="3" t="s">
        <v>538</v>
      </c>
    </row>
    <row r="12" spans="1:7">
      <c r="A12" s="3" t="s">
        <v>92</v>
      </c>
      <c r="B12" s="18" t="s">
        <v>100</v>
      </c>
      <c r="C12" s="18" t="s">
        <v>113</v>
      </c>
      <c r="D12" s="18" t="s">
        <v>107</v>
      </c>
      <c r="E12" s="3">
        <v>1</v>
      </c>
      <c r="F12" s="3" t="s">
        <v>98</v>
      </c>
      <c r="G12" s="3" t="s">
        <v>99</v>
      </c>
    </row>
    <row r="13" spans="1:7">
      <c r="A13" s="3" t="s">
        <v>92</v>
      </c>
      <c r="B13" s="18" t="s">
        <v>144</v>
      </c>
      <c r="C13" s="18" t="s">
        <v>471</v>
      </c>
      <c r="D13" s="18" t="s">
        <v>544</v>
      </c>
      <c r="E13" s="3">
        <v>-1000</v>
      </c>
      <c r="F13" s="3" t="s">
        <v>537</v>
      </c>
      <c r="G13" s="3" t="s">
        <v>538</v>
      </c>
    </row>
    <row r="14" spans="1:7">
      <c r="A14" s="3" t="s">
        <v>92</v>
      </c>
      <c r="B14" s="18" t="s">
        <v>100</v>
      </c>
      <c r="C14" s="18" t="s">
        <v>114</v>
      </c>
      <c r="D14" s="18" t="s">
        <v>107</v>
      </c>
      <c r="E14" s="3">
        <v>1</v>
      </c>
      <c r="F14" s="3" t="s">
        <v>98</v>
      </c>
      <c r="G14" s="3" t="s">
        <v>99</v>
      </c>
    </row>
    <row r="15" spans="1:7">
      <c r="A15" s="3" t="s">
        <v>92</v>
      </c>
      <c r="B15" s="18" t="s">
        <v>144</v>
      </c>
      <c r="C15" s="18" t="s">
        <v>473</v>
      </c>
      <c r="D15" s="18" t="s">
        <v>545</v>
      </c>
      <c r="E15" s="3">
        <v>-1000</v>
      </c>
      <c r="F15" s="3" t="s">
        <v>537</v>
      </c>
      <c r="G15" s="3" t="s">
        <v>538</v>
      </c>
    </row>
    <row r="16" spans="1:7">
      <c r="A16" s="3" t="s">
        <v>92</v>
      </c>
      <c r="B16" s="18" t="s">
        <v>100</v>
      </c>
      <c r="C16" s="18" t="s">
        <v>115</v>
      </c>
      <c r="D16" s="18" t="s">
        <v>107</v>
      </c>
      <c r="E16" s="3">
        <v>1</v>
      </c>
      <c r="F16" s="3" t="s">
        <v>98</v>
      </c>
      <c r="G16" s="3" t="s">
        <v>99</v>
      </c>
    </row>
    <row r="17" spans="1:7">
      <c r="A17" s="3" t="s">
        <v>92</v>
      </c>
      <c r="B17" s="18" t="s">
        <v>144</v>
      </c>
      <c r="C17" s="18" t="s">
        <v>475</v>
      </c>
      <c r="D17" s="18" t="s">
        <v>546</v>
      </c>
      <c r="E17" s="3">
        <v>-1000</v>
      </c>
      <c r="F17" s="3" t="s">
        <v>537</v>
      </c>
      <c r="G17" s="3" t="s">
        <v>538</v>
      </c>
    </row>
    <row r="18" spans="1:7">
      <c r="A18" s="3" t="s">
        <v>92</v>
      </c>
      <c r="B18" s="18" t="s">
        <v>100</v>
      </c>
      <c r="C18" s="18" t="s">
        <v>116</v>
      </c>
      <c r="D18" s="18" t="s">
        <v>107</v>
      </c>
      <c r="E18" s="3">
        <v>1</v>
      </c>
      <c r="F18" s="3" t="s">
        <v>98</v>
      </c>
      <c r="G18" s="3" t="s">
        <v>99</v>
      </c>
    </row>
    <row r="19" spans="1:7">
      <c r="A19" s="3" t="s">
        <v>92</v>
      </c>
      <c r="B19" s="18" t="s">
        <v>144</v>
      </c>
      <c r="C19" s="18" t="s">
        <v>477</v>
      </c>
      <c r="D19" s="18" t="s">
        <v>547</v>
      </c>
      <c r="E19" s="3">
        <v>-1000</v>
      </c>
      <c r="F19" s="3" t="s">
        <v>537</v>
      </c>
      <c r="G19" s="3" t="s">
        <v>538</v>
      </c>
    </row>
    <row r="20" spans="1:7">
      <c r="A20" s="3" t="s">
        <v>92</v>
      </c>
      <c r="B20" s="18" t="s">
        <v>100</v>
      </c>
      <c r="C20" s="18" t="s">
        <v>117</v>
      </c>
      <c r="D20" s="18" t="s">
        <v>107</v>
      </c>
      <c r="E20" s="3">
        <v>1</v>
      </c>
      <c r="F20" s="3" t="s">
        <v>98</v>
      </c>
      <c r="G20" s="3" t="s">
        <v>99</v>
      </c>
    </row>
    <row r="21" spans="1:7">
      <c r="A21" s="3" t="s">
        <v>92</v>
      </c>
      <c r="B21" s="18" t="s">
        <v>144</v>
      </c>
      <c r="C21" s="18" t="s">
        <v>479</v>
      </c>
      <c r="D21" s="18" t="s">
        <v>548</v>
      </c>
      <c r="E21" s="3">
        <v>-1000</v>
      </c>
      <c r="F21" s="3" t="s">
        <v>537</v>
      </c>
      <c r="G21" s="3" t="s">
        <v>538</v>
      </c>
    </row>
    <row r="22" spans="1:7">
      <c r="A22" s="3" t="s">
        <v>92</v>
      </c>
      <c r="B22" s="18" t="s">
        <v>100</v>
      </c>
      <c r="C22" s="18" t="s">
        <v>118</v>
      </c>
      <c r="D22" s="18" t="s">
        <v>107</v>
      </c>
      <c r="E22" s="3">
        <v>1</v>
      </c>
      <c r="F22" s="3" t="s">
        <v>98</v>
      </c>
      <c r="G22" s="3" t="s">
        <v>99</v>
      </c>
    </row>
    <row r="23" spans="1:7">
      <c r="A23" s="3" t="s">
        <v>92</v>
      </c>
      <c r="B23" s="18" t="s">
        <v>144</v>
      </c>
      <c r="C23" s="18" t="s">
        <v>481</v>
      </c>
      <c r="D23" s="18" t="s">
        <v>549</v>
      </c>
      <c r="E23" s="3">
        <v>-1000</v>
      </c>
      <c r="F23" s="3" t="s">
        <v>537</v>
      </c>
      <c r="G23" s="3" t="s">
        <v>538</v>
      </c>
    </row>
    <row r="24" spans="1:7">
      <c r="A24" s="3" t="s">
        <v>92</v>
      </c>
      <c r="B24" s="18" t="s">
        <v>100</v>
      </c>
      <c r="C24" s="18" t="s">
        <v>119</v>
      </c>
      <c r="D24" s="18" t="s">
        <v>107</v>
      </c>
      <c r="E24" s="3">
        <v>1</v>
      </c>
      <c r="F24" s="3" t="s">
        <v>98</v>
      </c>
      <c r="G24" s="3" t="s">
        <v>99</v>
      </c>
    </row>
    <row r="25" spans="1:7">
      <c r="A25" s="3" t="s">
        <v>92</v>
      </c>
      <c r="B25" s="18" t="s">
        <v>144</v>
      </c>
      <c r="C25" s="18" t="s">
        <v>483</v>
      </c>
      <c r="D25" s="18" t="s">
        <v>550</v>
      </c>
      <c r="E25" s="3">
        <v>-1000</v>
      </c>
      <c r="F25" s="3" t="s">
        <v>537</v>
      </c>
      <c r="G25" s="3" t="s">
        <v>538</v>
      </c>
    </row>
    <row r="26" spans="1:7">
      <c r="A26" s="3" t="s">
        <v>92</v>
      </c>
      <c r="B26" s="18" t="s">
        <v>100</v>
      </c>
      <c r="C26" s="18" t="s">
        <v>120</v>
      </c>
      <c r="D26" s="18" t="s">
        <v>107</v>
      </c>
      <c r="E26" s="3">
        <v>1</v>
      </c>
      <c r="F26" s="3" t="s">
        <v>98</v>
      </c>
      <c r="G26" s="3" t="s">
        <v>99</v>
      </c>
    </row>
    <row r="27" spans="1:7">
      <c r="A27" s="3" t="s">
        <v>92</v>
      </c>
      <c r="B27" s="18" t="s">
        <v>144</v>
      </c>
      <c r="C27" s="18" t="s">
        <v>484</v>
      </c>
      <c r="D27" s="18" t="s">
        <v>551</v>
      </c>
      <c r="E27" s="3">
        <v>-1000</v>
      </c>
      <c r="F27" s="3" t="s">
        <v>537</v>
      </c>
      <c r="G27" s="3" t="s">
        <v>538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8BB0FD-ED66-4DBA-BE0D-F534C3067123}">
  <ds:schemaRefs>
    <ds:schemaRef ds:uri="http://schemas.microsoft.com/sharepoint/v3/contenttype/forms"/>
  </ds:schemaRefs>
</ds:datastoreItem>
</file>

<file path=customXml/itemProps2.xml><?xml version="1.0" encoding="utf-8"?>
<ds:datastoreItem xmlns:ds="http://schemas.openxmlformats.org/officeDocument/2006/customXml" ds:itemID="{9327744A-843E-4B2C-839B-A9FB46A0F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8CCBBC-73F1-477A-9F49-D95099D43D73}">
  <ds:schemaRefs>
    <ds:schemaRef ds:uri="http://schemas.microsoft.com/office/2006/documentManagement/types"/>
    <ds:schemaRef ds:uri="http://www.w3.org/XML/1998/namespace"/>
    <ds:schemaRef ds:uri="http://purl.org/dc/terms/"/>
    <ds:schemaRef ds:uri="http://schemas.microsoft.com/office/2006/metadata/properties"/>
    <ds:schemaRef ds:uri="http://purl.org/dc/elements/1.1/"/>
    <ds:schemaRef ds:uri="http://purl.org/dc/dcmitype/"/>
    <ds:schemaRef ds:uri="http://schemas.microsoft.com/office/infopath/2007/PartnerControls"/>
    <ds:schemaRef ds:uri="http://schemas.openxmlformats.org/package/2006/metadata/core-properties"/>
    <ds:schemaRef ds:uri="53472db5-b091-4940-916c-b6d0a452e3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27</vt:i4>
      </vt:variant>
    </vt:vector>
  </HeadingPairs>
  <TitlesOfParts>
    <vt:vector size="34" baseType="lpstr">
      <vt:lpstr>Instructions</vt:lpstr>
      <vt:lpstr>Unblock Guide</vt:lpstr>
      <vt:lpstr>QB-RB-WR-TE Data</vt:lpstr>
      <vt:lpstr>Defense Data</vt:lpstr>
      <vt:lpstr>Kicker Data</vt:lpstr>
      <vt:lpstr>Case Questions</vt:lpstr>
      <vt:lpstr>Question Results</vt:lpstr>
      <vt:lpstr>activateCount</vt:lpstr>
      <vt:lpstr>AllCorrect</vt:lpstr>
      <vt:lpstr>Answer1</vt:lpstr>
      <vt:lpstr>Answer2</vt:lpstr>
      <vt:lpstr>Answer4</vt:lpstr>
      <vt:lpstr>Answer5</vt:lpstr>
      <vt:lpstr>Answer6</vt:lpstr>
      <vt:lpstr>CurrentScore</vt:lpstr>
      <vt:lpstr>elapsedTime</vt:lpstr>
      <vt:lpstr>endTime</vt:lpstr>
      <vt:lpstr>FileName</vt:lpstr>
      <vt:lpstr>isGameOn</vt:lpstr>
      <vt:lpstr>lastTime</vt:lpstr>
      <vt:lpstr>liveVersion</vt:lpstr>
      <vt:lpstr>mouseMovements</vt:lpstr>
      <vt:lpstr>NumAnswers</vt:lpstr>
      <vt:lpstr>NumberExercises</vt:lpstr>
      <vt:lpstr>numRandomValues</vt:lpstr>
      <vt:lpstr>NumScenarios</vt:lpstr>
      <vt:lpstr>numToProtect</vt:lpstr>
      <vt:lpstr>RandomMethod</vt:lpstr>
      <vt:lpstr>RandomScenarioNumber</vt:lpstr>
      <vt:lpstr>ScenarioUpdate</vt:lpstr>
      <vt:lpstr>startTime</vt:lpstr>
      <vt:lpstr>totalTime</vt:lpstr>
      <vt:lpstr>xPosition</vt:lpstr>
      <vt:lpstr>yPosition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David Brown</cp:lastModifiedBy>
  <dcterms:created xsi:type="dcterms:W3CDTF">2020-11-11T17:31:16Z</dcterms:created>
  <dcterms:modified xsi:type="dcterms:W3CDTF">2024-08-09T19:01:19Z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