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9f448ec057303af/Pulpit/MECC/2024 Autumn Season/"/>
    </mc:Choice>
  </mc:AlternateContent>
  <xr:revisionPtr revIDLastSave="752" documentId="13_ncr:1_{F839ABD2-199F-495D-8628-1217CB6C8B74}" xr6:coauthVersionLast="47" xr6:coauthVersionMax="47" xr10:uidLastSave="{F7ED0E96-2F30-4381-9092-A38F71611EDB}"/>
  <bookViews>
    <workbookView xWindow="-120" yWindow="-120" windowWidth="51840" windowHeight="21120" activeTab="3" xr2:uid="{00000000-000D-0000-FFFF-FFFF00000000}"/>
  </bookViews>
  <sheets>
    <sheet name="Instructions" sheetId="6" r:id="rId1"/>
    <sheet name="Unblock Guide" sheetId="12" r:id="rId2"/>
    <sheet name="Keyboarding Challenge" sheetId="10" r:id="rId3"/>
    <sheet name="Results" sheetId="8" r:id="rId4"/>
    <sheet name="BackgroundCalcs" sheetId="3" state="hidden" r:id="rId5"/>
    <sheet name="Time Grading" sheetId="13" state="hidden" r:id="rId6"/>
    <sheet name="Grading" sheetId="4" state="hidden" r:id="rId7"/>
    <sheet name="Output" sheetId="9" state="hidden" r:id="rId8"/>
    <sheet name="Sheet4" sheetId="7" state="hidden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activateCount">BackgroundCalcs!$G$23</definedName>
    <definedName name="AllCorrect">BackgroundCalcs!$F$8</definedName>
    <definedName name="AllowedCellsTab1">'[1]Keyboard Warm Up 1'!$D$7,'[1]Keyboard Warm Up 1'!$D$53,'[1]Keyboard Warm Up 1'!$AC$53,'[1]Keyboard Warm Up 1'!$AC$7,'[1]Keyboard Warm Up 1'!$AX$53,'[1]Keyboard Warm Up 1'!$AY$53,'[1]Keyboard Warm Up 1'!$AY$30,'[1]Keyboard Warm Up 1'!$AH$30,'[1]Keyboard Warm Up 1'!$AH$53,'[1]Keyboard Warm Up 1'!$BD$53,'[1]Keyboard Warm Up 1'!$BE$30,'[1]Keyboard Warm Up 1'!$BK$30,'[1]Keyboard Warm Up 1'!$BN$18,'[1]Keyboard Warm Up 1'!$BN$12,'[1]Keyboard Warm Up 1'!$BD$12,'[1]Keyboard Warm Up 1'!$BR$7,'[1]Keyboard Warm Up 1'!$BR$31,'[1]Keyboard Warm Up 1'!$BS$31,'[1]Keyboard Warm Up 1'!$BR$53,'[1]Keyboard Warm Up 1'!$BS$53,'[1]Keyboard Warm Up 1'!$CP$53,'[1]Keyboard Warm Up 1'!$CQ$53,'[1]Keyboard Warm Up 1'!$CP$31,'[1]Keyboard Warm Up 1'!$CQ$7,'[1]Keyboard Warm Up 1'!$A$1</definedName>
    <definedName name="Answer1">BackgroundCalcs!$R$2</definedName>
    <definedName name="Answer2">BackgroundCalcs!$R$3</definedName>
    <definedName name="Answer3">BackgroundCalcs!$R$5</definedName>
    <definedName name="Answer4">BackgroundCalcs!$R$6</definedName>
    <definedName name="Answer5">BackgroundCalcs!$R$7</definedName>
    <definedName name="Answer6">BackgroundCalcs!$R$8</definedName>
    <definedName name="cellNames">BackgroundCalcs!$Q$2:$Q$15</definedName>
    <definedName name="cellsInFirst">#REF!,#REF!,#REF!,#REF!,#REF!,#REF!,#REF!,#REF!,#REF!,#REF!,#REF!,#REF!</definedName>
    <definedName name="cellsInSecond">#REF!,#REF!,#REF!,#REF!,#REF!,#REF!,#REF!,#REF!,#REF!,#REF!,#REF!,#REF!,#REF!,#REF!,#REF!,#REF!,#REF!,#REF!,#REF!,#REF!</definedName>
    <definedName name="CheckRange1">BackgroundCalcs!$T$2</definedName>
    <definedName name="CheckRange2">BackgroundCalcs!$T$3</definedName>
    <definedName name="CheckRange3">BackgroundCalcs!$T$5</definedName>
    <definedName name="CheckRange4">BackgroundCalcs!$T$6</definedName>
    <definedName name="CheckRange5">BackgroundCalcs!$T$7</definedName>
    <definedName name="CheckRange6">BackgroundCalcs!$T$8</definedName>
    <definedName name="CurrentSum">[2]BackgroundCalcs!$F$20</definedName>
    <definedName name="CurrentTarget">[2]BackgroundCalcs!$F$17</definedName>
    <definedName name="CurrentTargetSum">[2]BackgroundCalcs!$G$17</definedName>
    <definedName name="Documents">'Keyboarding Challenge'!$F$110</definedName>
    <definedName name="eight">#REF!</definedName>
    <definedName name="eighth">'Keyboarding Challenge'!$N$119</definedName>
    <definedName name="elapsedTime">BackgroundCalcs!$G$5</definedName>
    <definedName name="eleventh">'Keyboarding Challenge'!$T$106</definedName>
    <definedName name="EmptyCell" localSheetId="5">[3]BackgroundCalcs!$D$50</definedName>
    <definedName name="EmptyCell">BackgroundCalcs!$D$50</definedName>
    <definedName name="endTime" localSheetId="5">[3]BackgroundCalcs!$G$2</definedName>
    <definedName name="endTime">BackgroundCalcs!$G$2</definedName>
    <definedName name="Excel_Reception">'Keyboarding Challenge'!$F$9</definedName>
    <definedName name="fifth">'Keyboarding Challenge'!$G$115</definedName>
    <definedName name="FileName">[4]BackgroundCalcs!$B$2</definedName>
    <definedName name="finish1">#REF!</definedName>
    <definedName name="finish2">#REF!</definedName>
    <definedName name="first">'Keyboarding Challenge'!$B$10</definedName>
    <definedName name="firstVisited">BackgroundCalcs!$R$2:$R$15</definedName>
    <definedName name="five">#REF!</definedName>
    <definedName name="four">#REF!</definedName>
    <definedName name="four_2">#REF!</definedName>
    <definedName name="fourteenth">'Keyboarding Challenge'!$AA$99</definedName>
    <definedName name="fourth">'Keyboarding Challenge'!$G$113</definedName>
    <definedName name="GoExcel">'[3]Keyboarding Challenge'!$BF$14</definedName>
    <definedName name="instructionsOn">BackgroundCalcs!$F$46</definedName>
    <definedName name="Invalid2">BackgroundCalcs!$S$3</definedName>
    <definedName name="Invalid3">BackgroundCalcs!$S$5</definedName>
    <definedName name="Invalid4">BackgroundCalcs!$S$6</definedName>
    <definedName name="Invalid5">BackgroundCalcs!$S$7</definedName>
    <definedName name="Invalid6">BackgroundCalcs!$S$8</definedName>
    <definedName name="isGameOn">BackgroundCalcs!$F$5</definedName>
    <definedName name="lastTime">BackgroundCalcs!$G$26</definedName>
    <definedName name="liveVersion">BackgroundCalcs!$F$26</definedName>
    <definedName name="lstVisited">[5]calc!$D$4:$D$21</definedName>
    <definedName name="macOn">BackgroundCalcs!$F$52</definedName>
    <definedName name="mouseMovements">BackgroundCalcs!$F$14</definedName>
    <definedName name="n">'[6]Dynamic Ranges and Charts'!$D$30</definedName>
    <definedName name="name">#REF!</definedName>
    <definedName name="nine">#REF!</definedName>
    <definedName name="ninth">'Keyboarding Challenge'!$P$108</definedName>
    <definedName name="NumberExercises">[4]BackgroundCalcs!$B$17</definedName>
    <definedName name="numCorrect">BackgroundCalcs!$G$16</definedName>
    <definedName name="NumExercises">BackgroundCalcs!$D$14</definedName>
    <definedName name="numProtectedCells">BackgroundCalcs!$D$17</definedName>
    <definedName name="numRandomValues">BackgroundCalcs!$D$20</definedName>
    <definedName name="oldEndTime">[5]calc!$H$3</definedName>
    <definedName name="oldStartTime">[5]calc!$G$3</definedName>
    <definedName name="one">#REF!</definedName>
    <definedName name="one_2">#REF!</definedName>
    <definedName name="OverrideSave">BackgroundCalcs!$D$2</definedName>
    <definedName name="passwordOn">BackgroundCalcs!$G$8</definedName>
    <definedName name="pcOn">BackgroundCalcs!$F$49</definedName>
    <definedName name="pCount">[7]calc!$F$3</definedName>
    <definedName name="pCountNew" localSheetId="5">[3]BackgroundCalcs!$S$2</definedName>
    <definedName name="pCountNew">BackgroundCalcs!$S$2</definedName>
    <definedName name="RandomMethod">[4]BackgroundCalcs!$B$5</definedName>
    <definedName name="RandomScenarioNumber">[4]BackgroundCalcs!$B$8</definedName>
    <definedName name="range1">#REF!</definedName>
    <definedName name="range2">#REF!</definedName>
    <definedName name="range3">#REF!</definedName>
    <definedName name="range4">#REF!</definedName>
    <definedName name="seven">#REF!</definedName>
    <definedName name="seventh">'Keyboarding Challenge'!$G$119</definedName>
    <definedName name="SheetNameRange">BackgroundCalcs!$I$2:$I$11</definedName>
    <definedName name="six">#REF!</definedName>
    <definedName name="sixth">'Keyboarding Challenge'!$G$117</definedName>
    <definedName name="SpreadsheetName" localSheetId="5">[3]BackgroundCalcs!$D$5</definedName>
    <definedName name="SpreadsheetName">BackgroundCalcs!$D$5</definedName>
    <definedName name="start2">#REF!</definedName>
    <definedName name="startTime" localSheetId="5">[3]BackgroundCalcs!$F$2</definedName>
    <definedName name="startTime">BackgroundCalcs!$F$2</definedName>
    <definedName name="StudentIDCell" localSheetId="5">[3]BackgroundCalcs!$D$8</definedName>
    <definedName name="StudentIDCell">BackgroundCalcs!$D$8</definedName>
    <definedName name="StudentNameCell" localSheetId="5">[3]BackgroundCalcs!$D$11</definedName>
    <definedName name="StudentNameCell">BackgroundCalcs!$D$11</definedName>
    <definedName name="Tab1Answer">BackgroundCalcs!$K$2</definedName>
    <definedName name="Tab1ClearRange">BackgroundCalcs!$L$2</definedName>
    <definedName name="Tab1Name">BackgroundCalcs!$I$2</definedName>
    <definedName name="Tab1Start">BackgroundCalcs!$J$2</definedName>
    <definedName name="ten">#REF!</definedName>
    <definedName name="tenth">'Keyboarding Challenge'!$R$106</definedName>
    <definedName name="thirteenth">'Keyboarding Challenge'!$X$103</definedName>
    <definedName name="three">#REF!</definedName>
    <definedName name="three_2">#REF!</definedName>
    <definedName name="timeElapsed">[5]calc!$G$6</definedName>
    <definedName name="totalTime" localSheetId="5">[3]BackgroundCalcs!$F$29</definedName>
    <definedName name="totalTime">BackgroundCalcs!$F$29</definedName>
    <definedName name="Track" localSheetId="5">[3]BackgroundCalcs!$D$51</definedName>
    <definedName name="Track">BackgroundCalcs!$D$51</definedName>
    <definedName name="twelveth">'Keyboarding Challenge'!$V$103</definedName>
    <definedName name="twelvth">'Keyboarding Challenge'!$V$103</definedName>
    <definedName name="two">#REF!</definedName>
    <definedName name="two_2">#REF!</definedName>
    <definedName name="valDuration">[7]calc!$G$7</definedName>
    <definedName name="Valid1">[3]BackgroundCalcs!#REF!</definedName>
    <definedName name="ValidationCode">[8]calc!$B$11</definedName>
    <definedName name="xPosition">BackgroundCalcs!$F$11</definedName>
    <definedName name="yPosition">BackgroundCalcs!$G$11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03" i="10" l="1"/>
  <c r="X103" i="10" s="1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9" i="10"/>
  <c r="N119" i="10"/>
  <c r="G119" i="10"/>
  <c r="AB8" i="3" s="1"/>
  <c r="G117" i="10"/>
  <c r="G115" i="10"/>
  <c r="G113" i="10"/>
  <c r="F9" i="10" a="1"/>
  <c r="F9" i="10" s="1"/>
  <c r="R106" i="10"/>
  <c r="P108" i="10"/>
  <c r="B10" i="10"/>
  <c r="F109" i="10"/>
  <c r="AB9" i="3"/>
  <c r="AA97" i="10"/>
  <c r="AE15" i="3" a="1"/>
  <c r="AF15" i="3" a="1"/>
  <c r="AF15" i="3" l="1"/>
  <c r="AE15" i="3"/>
  <c r="AQ101" i="3" l="1" a="1"/>
  <c r="AQ101" i="3" s="1"/>
  <c r="AQ100" i="3" a="1"/>
  <c r="AQ100" i="3" s="1"/>
  <c r="AQ99" i="3" a="1"/>
  <c r="AQ99" i="3" s="1"/>
  <c r="AQ88" i="3" a="1"/>
  <c r="AQ88" i="3" s="1"/>
  <c r="AQ87" i="3" a="1"/>
  <c r="AQ87" i="3" s="1"/>
  <c r="AQ86" i="3" a="1"/>
  <c r="AQ86" i="3" s="1"/>
  <c r="AQ85" i="3" a="1"/>
  <c r="AQ85" i="3" s="1"/>
  <c r="AQ84" i="3" a="1"/>
  <c r="AQ84" i="3" s="1"/>
  <c r="AQ83" i="3" a="1"/>
  <c r="AQ83" i="3" s="1"/>
  <c r="AQ82" i="3" a="1"/>
  <c r="AQ82" i="3" s="1"/>
  <c r="AQ81" i="3" a="1"/>
  <c r="AQ81" i="3" s="1"/>
  <c r="AQ80" i="3" a="1"/>
  <c r="AQ80" i="3" s="1"/>
  <c r="AQ79" i="3" a="1"/>
  <c r="AQ79" i="3" s="1"/>
  <c r="AQ78" i="3" a="1"/>
  <c r="AQ78" i="3" s="1"/>
  <c r="AQ77" i="3" a="1"/>
  <c r="AQ77" i="3" s="1"/>
  <c r="AQ76" i="3" a="1"/>
  <c r="AQ76" i="3" s="1"/>
  <c r="AQ75" i="3" a="1"/>
  <c r="AQ75" i="3" s="1"/>
  <c r="AQ63" i="3" a="1"/>
  <c r="AQ63" i="3" s="1"/>
  <c r="AQ62" i="3" a="1"/>
  <c r="AQ62" i="3" s="1"/>
  <c r="AQ61" i="3" a="1"/>
  <c r="AQ61" i="3" s="1"/>
  <c r="AQ60" i="3" a="1"/>
  <c r="AQ60" i="3" s="1"/>
  <c r="AQ59" i="3" a="1"/>
  <c r="AQ59" i="3" s="1"/>
  <c r="AQ58" i="3" a="1"/>
  <c r="AQ58" i="3" s="1"/>
  <c r="AQ57" i="3" a="1"/>
  <c r="AQ57" i="3" s="1"/>
  <c r="AQ56" i="3" a="1"/>
  <c r="AQ56" i="3" s="1"/>
  <c r="AQ55" i="3" a="1"/>
  <c r="AQ55" i="3" s="1"/>
  <c r="AQ54" i="3" a="1"/>
  <c r="AQ54" i="3" s="1"/>
  <c r="AQ44" i="3" a="1"/>
  <c r="AQ44" i="3" s="1"/>
  <c r="AQ43" i="3" a="1"/>
  <c r="AQ43" i="3" s="1"/>
  <c r="AQ42" i="3" a="1"/>
  <c r="AQ42" i="3" s="1"/>
  <c r="AQ41" i="3" a="1"/>
  <c r="AQ41" i="3" s="1"/>
  <c r="AQ40" i="3" a="1"/>
  <c r="AQ40" i="3" s="1"/>
  <c r="AQ39" i="3" a="1"/>
  <c r="AQ39" i="3" s="1"/>
  <c r="AQ38" i="3" a="1"/>
  <c r="AQ38" i="3" s="1"/>
  <c r="AQ37" i="3" a="1"/>
  <c r="AQ37" i="3" s="1"/>
  <c r="AQ36" i="3" a="1"/>
  <c r="AQ36" i="3" s="1"/>
  <c r="AQ35" i="3" a="1"/>
  <c r="AQ35" i="3" s="1"/>
  <c r="AQ34" i="3" a="1"/>
  <c r="AQ34" i="3" s="1"/>
  <c r="AQ33" i="3" a="1"/>
  <c r="AQ33" i="3" s="1"/>
  <c r="AQ19" i="3" a="1"/>
  <c r="AQ19" i="3" s="1"/>
  <c r="AQ18" i="3" a="1"/>
  <c r="AQ18" i="3" s="1"/>
  <c r="AQ17" i="3" a="1"/>
  <c r="AQ17" i="3" s="1"/>
  <c r="AQ16" i="3" a="1"/>
  <c r="AQ16" i="3" s="1"/>
  <c r="AQ15" i="3" a="1"/>
  <c r="AQ15" i="3" s="1"/>
  <c r="AQ14" i="3" a="1"/>
  <c r="AQ14" i="3" s="1"/>
  <c r="AQ13" i="3" a="1"/>
  <c r="AQ13" i="3" s="1"/>
  <c r="AQ12" i="3" a="1"/>
  <c r="AQ12" i="3" s="1"/>
  <c r="AQ3" i="3" a="1"/>
  <c r="AQ3" i="3" s="1"/>
  <c r="AO3" i="3" a="1"/>
  <c r="AO3" i="3" s="1"/>
  <c r="H10" i="10" s="1"/>
  <c r="AP3" i="3" a="1"/>
  <c r="AP3" i="3" s="1"/>
  <c r="AO4" i="3" a="1"/>
  <c r="AO4" i="3" s="1"/>
  <c r="AP4" i="3" a="1"/>
  <c r="AP4" i="3" s="1"/>
  <c r="I11" i="10" s="1"/>
  <c r="AO5" i="3" a="1"/>
  <c r="AO5" i="3" s="1"/>
  <c r="H12" i="10" s="1"/>
  <c r="AP5" i="3" a="1"/>
  <c r="AP5" i="3" s="1"/>
  <c r="I12" i="10" s="1"/>
  <c r="AO6" i="3" a="1"/>
  <c r="AO6" i="3" s="1"/>
  <c r="H13" i="10" s="1"/>
  <c r="AP6" i="3" a="1"/>
  <c r="AP6" i="3" s="1"/>
  <c r="I13" i="10" s="1"/>
  <c r="AO7" i="3" a="1"/>
  <c r="AO7" i="3" s="1"/>
  <c r="H14" i="10" s="1"/>
  <c r="AP7" i="3" a="1"/>
  <c r="AP7" i="3" s="1"/>
  <c r="I14" i="10" s="1"/>
  <c r="AO8" i="3" a="1"/>
  <c r="AO8" i="3" s="1"/>
  <c r="H15" i="10" s="1"/>
  <c r="AP8" i="3" a="1"/>
  <c r="AP8" i="3" s="1"/>
  <c r="I15" i="10" s="1"/>
  <c r="AO9" i="3" a="1"/>
  <c r="AO9" i="3" s="1"/>
  <c r="H16" i="10" s="1"/>
  <c r="AP9" i="3" a="1"/>
  <c r="AP9" i="3" s="1"/>
  <c r="I16" i="10" s="1"/>
  <c r="AO10" i="3" a="1"/>
  <c r="AO10" i="3" s="1"/>
  <c r="H17" i="10" s="1"/>
  <c r="AP10" i="3" a="1"/>
  <c r="AP10" i="3" s="1"/>
  <c r="I17" i="10" s="1"/>
  <c r="AO11" i="3" a="1"/>
  <c r="AO11" i="3" s="1"/>
  <c r="H18" i="10" s="1"/>
  <c r="AP11" i="3" a="1"/>
  <c r="AP11" i="3" s="1"/>
  <c r="AO12" i="3" a="1"/>
  <c r="AO12" i="3" s="1"/>
  <c r="AP12" i="3" a="1"/>
  <c r="AP12" i="3" s="1"/>
  <c r="I19" i="10" s="1"/>
  <c r="AO13" i="3" a="1"/>
  <c r="AO13" i="3" s="1"/>
  <c r="H20" i="10" s="1"/>
  <c r="AP13" i="3" a="1"/>
  <c r="AP13" i="3" s="1"/>
  <c r="I20" i="10" s="1"/>
  <c r="AO14" i="3" a="1"/>
  <c r="AO14" i="3" s="1"/>
  <c r="H21" i="10" s="1"/>
  <c r="AP14" i="3" a="1"/>
  <c r="AP14" i="3" s="1"/>
  <c r="I21" i="10" s="1"/>
  <c r="AO15" i="3" a="1"/>
  <c r="AO15" i="3" s="1"/>
  <c r="H22" i="10" s="1"/>
  <c r="AP15" i="3" a="1"/>
  <c r="AP15" i="3" s="1"/>
  <c r="I22" i="10" s="1"/>
  <c r="AO16" i="3" a="1"/>
  <c r="AO16" i="3" s="1"/>
  <c r="H23" i="10" s="1"/>
  <c r="AP16" i="3" a="1"/>
  <c r="AP16" i="3" s="1"/>
  <c r="I23" i="10" s="1"/>
  <c r="AO17" i="3" a="1"/>
  <c r="AO17" i="3" s="1"/>
  <c r="H24" i="10" s="1"/>
  <c r="AP17" i="3" a="1"/>
  <c r="AP17" i="3" s="1"/>
  <c r="I24" i="10" s="1"/>
  <c r="AO18" i="3" a="1"/>
  <c r="AO18" i="3" s="1"/>
  <c r="AP18" i="3" a="1"/>
  <c r="AP18" i="3" s="1"/>
  <c r="I25" i="10" s="1"/>
  <c r="AO19" i="3" a="1"/>
  <c r="AO19" i="3" s="1"/>
  <c r="H26" i="10" s="1"/>
  <c r="AP19" i="3" a="1"/>
  <c r="AP19" i="3" s="1"/>
  <c r="I26" i="10" s="1"/>
  <c r="AO20" i="3" a="1"/>
  <c r="AO20" i="3" s="1"/>
  <c r="AP20" i="3" a="1"/>
  <c r="AP20" i="3" s="1"/>
  <c r="I27" i="10" s="1"/>
  <c r="AO21" i="3" a="1"/>
  <c r="AO21" i="3" s="1"/>
  <c r="H28" i="10" s="1"/>
  <c r="AP21" i="3" a="1"/>
  <c r="AP21" i="3" s="1"/>
  <c r="I28" i="10" s="1"/>
  <c r="AO22" i="3" a="1"/>
  <c r="AO22" i="3" s="1"/>
  <c r="H29" i="10" s="1"/>
  <c r="AP22" i="3" a="1"/>
  <c r="AP22" i="3" s="1"/>
  <c r="I29" i="10" s="1"/>
  <c r="AO23" i="3" a="1"/>
  <c r="AO23" i="3" s="1"/>
  <c r="H30" i="10" s="1"/>
  <c r="AP23" i="3" a="1"/>
  <c r="AP23" i="3" s="1"/>
  <c r="I30" i="10" s="1"/>
  <c r="AO24" i="3" a="1"/>
  <c r="AO24" i="3" s="1"/>
  <c r="H31" i="10" s="1"/>
  <c r="AP24" i="3" a="1"/>
  <c r="AP24" i="3" s="1"/>
  <c r="I31" i="10" s="1"/>
  <c r="AO25" i="3" a="1"/>
  <c r="AO25" i="3" s="1"/>
  <c r="H32" i="10" s="1"/>
  <c r="AP25" i="3" a="1"/>
  <c r="AP25" i="3" s="1"/>
  <c r="I32" i="10" s="1"/>
  <c r="AO26" i="3" a="1"/>
  <c r="AO26" i="3" s="1"/>
  <c r="H33" i="10" s="1"/>
  <c r="AP26" i="3" a="1"/>
  <c r="AP26" i="3" s="1"/>
  <c r="I33" i="10" s="1"/>
  <c r="AO27" i="3" a="1"/>
  <c r="AO27" i="3" s="1"/>
  <c r="H34" i="10" s="1"/>
  <c r="AP27" i="3" a="1"/>
  <c r="AP27" i="3" s="1"/>
  <c r="AO28" i="3" a="1"/>
  <c r="AO28" i="3" s="1"/>
  <c r="AP28" i="3" a="1"/>
  <c r="AP28" i="3" s="1"/>
  <c r="I35" i="10" s="1"/>
  <c r="AO29" i="3" a="1"/>
  <c r="AO29" i="3" s="1"/>
  <c r="H36" i="10" s="1"/>
  <c r="AP29" i="3" a="1"/>
  <c r="AP29" i="3" s="1"/>
  <c r="I36" i="10" s="1"/>
  <c r="AO30" i="3" a="1"/>
  <c r="AO30" i="3" s="1"/>
  <c r="H37" i="10" s="1"/>
  <c r="AP30" i="3" a="1"/>
  <c r="AP30" i="3" s="1"/>
  <c r="I37" i="10" s="1"/>
  <c r="AO31" i="3" a="1"/>
  <c r="AO31" i="3" s="1"/>
  <c r="H38" i="10" s="1"/>
  <c r="AP31" i="3" a="1"/>
  <c r="AP31" i="3" s="1"/>
  <c r="I38" i="10" s="1"/>
  <c r="AO32" i="3" a="1"/>
  <c r="AO32" i="3" s="1"/>
  <c r="H39" i="10" s="1"/>
  <c r="AP32" i="3" a="1"/>
  <c r="AP32" i="3" s="1"/>
  <c r="I39" i="10" s="1"/>
  <c r="AO33" i="3" a="1"/>
  <c r="AO33" i="3" s="1"/>
  <c r="H40" i="10" s="1"/>
  <c r="AP33" i="3" a="1"/>
  <c r="AP33" i="3" s="1"/>
  <c r="I40" i="10" s="1"/>
  <c r="AO34" i="3" a="1"/>
  <c r="AO34" i="3" s="1"/>
  <c r="H41" i="10" s="1"/>
  <c r="AP34" i="3" a="1"/>
  <c r="AP34" i="3" s="1"/>
  <c r="I41" i="10" s="1"/>
  <c r="AO35" i="3" a="1"/>
  <c r="AO35" i="3" s="1"/>
  <c r="H42" i="10" s="1"/>
  <c r="AP35" i="3" a="1"/>
  <c r="AP35" i="3" s="1"/>
  <c r="AO36" i="3" a="1"/>
  <c r="AO36" i="3" s="1"/>
  <c r="AP36" i="3" a="1"/>
  <c r="AP36" i="3" s="1"/>
  <c r="I43" i="10" s="1"/>
  <c r="AO37" i="3" a="1"/>
  <c r="AO37" i="3" s="1"/>
  <c r="H44" i="10" s="1"/>
  <c r="AP37" i="3" a="1"/>
  <c r="AP37" i="3" s="1"/>
  <c r="I44" i="10" s="1"/>
  <c r="AO38" i="3" a="1"/>
  <c r="AO38" i="3" s="1"/>
  <c r="H45" i="10" s="1"/>
  <c r="AP38" i="3" a="1"/>
  <c r="AP38" i="3" s="1"/>
  <c r="I45" i="10" s="1"/>
  <c r="AO39" i="3" a="1"/>
  <c r="AO39" i="3" s="1"/>
  <c r="H46" i="10" s="1"/>
  <c r="AP39" i="3" a="1"/>
  <c r="AP39" i="3" s="1"/>
  <c r="I46" i="10" s="1"/>
  <c r="AO40" i="3" a="1"/>
  <c r="AO40" i="3" s="1"/>
  <c r="H47" i="10" s="1"/>
  <c r="AP40" i="3" a="1"/>
  <c r="AP40" i="3" s="1"/>
  <c r="I47" i="10" s="1"/>
  <c r="AO41" i="3" a="1"/>
  <c r="AO41" i="3" s="1"/>
  <c r="H48" i="10" s="1"/>
  <c r="AP41" i="3" a="1"/>
  <c r="AP41" i="3" s="1"/>
  <c r="I48" i="10" s="1"/>
  <c r="AO42" i="3" a="1"/>
  <c r="AO42" i="3" s="1"/>
  <c r="H49" i="10" s="1"/>
  <c r="AP42" i="3" a="1"/>
  <c r="AP42" i="3" s="1"/>
  <c r="I49" i="10" s="1"/>
  <c r="AO43" i="3" a="1"/>
  <c r="AO43" i="3" s="1"/>
  <c r="H50" i="10" s="1"/>
  <c r="AP43" i="3" a="1"/>
  <c r="AP43" i="3" s="1"/>
  <c r="AO44" i="3" a="1"/>
  <c r="AO44" i="3" s="1"/>
  <c r="AP44" i="3" a="1"/>
  <c r="AP44" i="3" s="1"/>
  <c r="I51" i="10" s="1"/>
  <c r="AO45" i="3" a="1"/>
  <c r="AO45" i="3" s="1"/>
  <c r="H52" i="10" s="1"/>
  <c r="AP45" i="3" a="1"/>
  <c r="AP45" i="3" s="1"/>
  <c r="I52" i="10" s="1"/>
  <c r="AO46" i="3" a="1"/>
  <c r="AO46" i="3" s="1"/>
  <c r="H53" i="10" s="1"/>
  <c r="AP46" i="3" a="1"/>
  <c r="AP46" i="3" s="1"/>
  <c r="I53" i="10" s="1"/>
  <c r="AO47" i="3" a="1"/>
  <c r="AO47" i="3" s="1"/>
  <c r="H54" i="10" s="1"/>
  <c r="AP47" i="3" a="1"/>
  <c r="AP47" i="3" s="1"/>
  <c r="I54" i="10" s="1"/>
  <c r="AO48" i="3" a="1"/>
  <c r="AO48" i="3" s="1"/>
  <c r="AP48" i="3" a="1"/>
  <c r="AP48" i="3" s="1"/>
  <c r="I55" i="10" s="1"/>
  <c r="AO49" i="3" a="1"/>
  <c r="AO49" i="3" s="1"/>
  <c r="H56" i="10" s="1"/>
  <c r="AP49" i="3" a="1"/>
  <c r="AP49" i="3" s="1"/>
  <c r="I56" i="10" s="1"/>
  <c r="AO50" i="3" a="1"/>
  <c r="AO50" i="3" s="1"/>
  <c r="H57" i="10" s="1"/>
  <c r="AP50" i="3" a="1"/>
  <c r="AP50" i="3" s="1"/>
  <c r="I57" i="10" s="1"/>
  <c r="AO51" i="3" a="1"/>
  <c r="AO51" i="3" s="1"/>
  <c r="H58" i="10" s="1"/>
  <c r="AP51" i="3" a="1"/>
  <c r="AP51" i="3" s="1"/>
  <c r="I58" i="10" s="1"/>
  <c r="AO52" i="3" a="1"/>
  <c r="AO52" i="3" s="1"/>
  <c r="AP52" i="3" a="1"/>
  <c r="AP52" i="3" s="1"/>
  <c r="I59" i="10" s="1"/>
  <c r="AO53" i="3" a="1"/>
  <c r="AO53" i="3" s="1"/>
  <c r="H60" i="10" s="1"/>
  <c r="AP53" i="3" a="1"/>
  <c r="AP53" i="3" s="1"/>
  <c r="I60" i="10" s="1"/>
  <c r="AO54" i="3" a="1"/>
  <c r="AO54" i="3" s="1"/>
  <c r="H61" i="10" s="1"/>
  <c r="AP54" i="3" a="1"/>
  <c r="AP54" i="3" s="1"/>
  <c r="I61" i="10" s="1"/>
  <c r="AO55" i="3" a="1"/>
  <c r="AO55" i="3" s="1"/>
  <c r="H62" i="10" s="1"/>
  <c r="AP55" i="3" a="1"/>
  <c r="AP55" i="3" s="1"/>
  <c r="I62" i="10" s="1"/>
  <c r="AO56" i="3" a="1"/>
  <c r="AO56" i="3" s="1"/>
  <c r="H63" i="10" s="1"/>
  <c r="AP56" i="3" a="1"/>
  <c r="AP56" i="3" s="1"/>
  <c r="I63" i="10" s="1"/>
  <c r="AO57" i="3" a="1"/>
  <c r="AO57" i="3" s="1"/>
  <c r="H64" i="10" s="1"/>
  <c r="AP57" i="3" a="1"/>
  <c r="AP57" i="3" s="1"/>
  <c r="I64" i="10" s="1"/>
  <c r="AO58" i="3" a="1"/>
  <c r="AO58" i="3" s="1"/>
  <c r="H65" i="10" s="1"/>
  <c r="AP58" i="3" a="1"/>
  <c r="AP58" i="3" s="1"/>
  <c r="I65" i="10" s="1"/>
  <c r="AO59" i="3" a="1"/>
  <c r="AO59" i="3" s="1"/>
  <c r="H66" i="10" s="1"/>
  <c r="AP59" i="3" a="1"/>
  <c r="AP59" i="3" s="1"/>
  <c r="AO60" i="3" a="1"/>
  <c r="AO60" i="3" s="1"/>
  <c r="AP60" i="3" a="1"/>
  <c r="AP60" i="3" s="1"/>
  <c r="I67" i="10" s="1"/>
  <c r="AO61" i="3" a="1"/>
  <c r="AO61" i="3" s="1"/>
  <c r="H68" i="10" s="1"/>
  <c r="AP61" i="3" a="1"/>
  <c r="AP61" i="3" s="1"/>
  <c r="I68" i="10" s="1"/>
  <c r="AO62" i="3" a="1"/>
  <c r="AO62" i="3" s="1"/>
  <c r="H69" i="10" s="1"/>
  <c r="AP62" i="3" a="1"/>
  <c r="AP62" i="3" s="1"/>
  <c r="I69" i="10" s="1"/>
  <c r="AO63" i="3" a="1"/>
  <c r="AO63" i="3" s="1"/>
  <c r="H70" i="10" s="1"/>
  <c r="AP63" i="3" a="1"/>
  <c r="AP63" i="3" s="1"/>
  <c r="I70" i="10" s="1"/>
  <c r="AO64" i="3" a="1"/>
  <c r="AO64" i="3" s="1"/>
  <c r="H71" i="10" s="1"/>
  <c r="AP64" i="3" a="1"/>
  <c r="AP64" i="3" s="1"/>
  <c r="I71" i="10" s="1"/>
  <c r="AO65" i="3" a="1"/>
  <c r="AO65" i="3" s="1"/>
  <c r="H72" i="10" s="1"/>
  <c r="AP65" i="3" a="1"/>
  <c r="AP65" i="3" s="1"/>
  <c r="I72" i="10" s="1"/>
  <c r="AO66" i="3" a="1"/>
  <c r="AO66" i="3" s="1"/>
  <c r="H73" i="10" s="1"/>
  <c r="AP66" i="3" a="1"/>
  <c r="AP66" i="3" s="1"/>
  <c r="I73" i="10" s="1"/>
  <c r="AO67" i="3" a="1"/>
  <c r="AO67" i="3" s="1"/>
  <c r="H74" i="10" s="1"/>
  <c r="AP67" i="3" a="1"/>
  <c r="AP67" i="3" s="1"/>
  <c r="I74" i="10" s="1"/>
  <c r="AO68" i="3" a="1"/>
  <c r="AO68" i="3" s="1"/>
  <c r="AP68" i="3" a="1"/>
  <c r="AP68" i="3" s="1"/>
  <c r="I75" i="10" s="1"/>
  <c r="AO69" i="3" a="1"/>
  <c r="AO69" i="3" s="1"/>
  <c r="H76" i="10" s="1"/>
  <c r="AP69" i="3" a="1"/>
  <c r="AP69" i="3" s="1"/>
  <c r="I76" i="10" s="1"/>
  <c r="AO70" i="3" a="1"/>
  <c r="AO70" i="3" s="1"/>
  <c r="H77" i="10" s="1"/>
  <c r="AP70" i="3" a="1"/>
  <c r="AP70" i="3" s="1"/>
  <c r="I77" i="10" s="1"/>
  <c r="AO71" i="3" a="1"/>
  <c r="AO71" i="3" s="1"/>
  <c r="H78" i="10" s="1"/>
  <c r="AP71" i="3" a="1"/>
  <c r="AP71" i="3" s="1"/>
  <c r="I78" i="10" s="1"/>
  <c r="AO72" i="3" a="1"/>
  <c r="AO72" i="3" s="1"/>
  <c r="AP72" i="3" a="1"/>
  <c r="AP72" i="3" s="1"/>
  <c r="I79" i="10" s="1"/>
  <c r="AO73" i="3" a="1"/>
  <c r="AO73" i="3" s="1"/>
  <c r="H80" i="10" s="1"/>
  <c r="AP73" i="3" a="1"/>
  <c r="AP73" i="3" s="1"/>
  <c r="I80" i="10" s="1"/>
  <c r="AO74" i="3" a="1"/>
  <c r="AO74" i="3" s="1"/>
  <c r="H81" i="10" s="1"/>
  <c r="AP74" i="3" a="1"/>
  <c r="AP74" i="3" s="1"/>
  <c r="I81" i="10" s="1"/>
  <c r="AO75" i="3" a="1"/>
  <c r="AO75" i="3" s="1"/>
  <c r="H82" i="10" s="1"/>
  <c r="AP75" i="3" a="1"/>
  <c r="AP75" i="3" s="1"/>
  <c r="AO76" i="3" a="1"/>
  <c r="AO76" i="3" s="1"/>
  <c r="AP76" i="3" a="1"/>
  <c r="AP76" i="3" s="1"/>
  <c r="I83" i="10" s="1"/>
  <c r="AO77" i="3" a="1"/>
  <c r="AO77" i="3" s="1"/>
  <c r="H84" i="10" s="1"/>
  <c r="AP77" i="3" a="1"/>
  <c r="AP77" i="3" s="1"/>
  <c r="I84" i="10" s="1"/>
  <c r="AO78" i="3" a="1"/>
  <c r="AO78" i="3" s="1"/>
  <c r="H85" i="10" s="1"/>
  <c r="AP78" i="3" a="1"/>
  <c r="AP78" i="3" s="1"/>
  <c r="I85" i="10" s="1"/>
  <c r="AO79" i="3" a="1"/>
  <c r="AO79" i="3" s="1"/>
  <c r="H86" i="10" s="1"/>
  <c r="AP79" i="3" a="1"/>
  <c r="AP79" i="3" s="1"/>
  <c r="I86" i="10" s="1"/>
  <c r="AO80" i="3" a="1"/>
  <c r="AO80" i="3" s="1"/>
  <c r="H87" i="10" s="1"/>
  <c r="AP80" i="3" a="1"/>
  <c r="AP80" i="3" s="1"/>
  <c r="I87" i="10" s="1"/>
  <c r="AO81" i="3" a="1"/>
  <c r="AO81" i="3" s="1"/>
  <c r="H88" i="10" s="1"/>
  <c r="AP81" i="3" a="1"/>
  <c r="AP81" i="3" s="1"/>
  <c r="I88" i="10" s="1"/>
  <c r="AO82" i="3" a="1"/>
  <c r="AO82" i="3" s="1"/>
  <c r="H89" i="10" s="1"/>
  <c r="AP82" i="3" a="1"/>
  <c r="AP82" i="3" s="1"/>
  <c r="I89" i="10" s="1"/>
  <c r="AO83" i="3" a="1"/>
  <c r="AO83" i="3" s="1"/>
  <c r="H90" i="10" s="1"/>
  <c r="AP83" i="3" a="1"/>
  <c r="AP83" i="3" s="1"/>
  <c r="I90" i="10" s="1"/>
  <c r="AO84" i="3" a="1"/>
  <c r="AO84" i="3" s="1"/>
  <c r="AP84" i="3" a="1"/>
  <c r="AP84" i="3" s="1"/>
  <c r="I91" i="10" s="1"/>
  <c r="AO85" i="3" a="1"/>
  <c r="AO85" i="3" s="1"/>
  <c r="H92" i="10" s="1"/>
  <c r="AP85" i="3" a="1"/>
  <c r="AP85" i="3" s="1"/>
  <c r="I92" i="10" s="1"/>
  <c r="AO86" i="3" a="1"/>
  <c r="AO86" i="3" s="1"/>
  <c r="H93" i="10" s="1"/>
  <c r="AP86" i="3" a="1"/>
  <c r="AP86" i="3" s="1"/>
  <c r="I93" i="10" s="1"/>
  <c r="AO87" i="3" a="1"/>
  <c r="AO87" i="3" s="1"/>
  <c r="H94" i="10" s="1"/>
  <c r="AP87" i="3" a="1"/>
  <c r="AP87" i="3" s="1"/>
  <c r="I94" i="10" s="1"/>
  <c r="AO88" i="3" a="1"/>
  <c r="AO88" i="3" s="1"/>
  <c r="H95" i="10" s="1"/>
  <c r="AP88" i="3" a="1"/>
  <c r="AP88" i="3" s="1"/>
  <c r="I95" i="10" s="1"/>
  <c r="AO89" i="3" a="1"/>
  <c r="AO89" i="3" s="1"/>
  <c r="H96" i="10" s="1"/>
  <c r="AP89" i="3" a="1"/>
  <c r="AP89" i="3" s="1"/>
  <c r="I96" i="10" s="1"/>
  <c r="AO90" i="3" a="1"/>
  <c r="AO90" i="3" s="1"/>
  <c r="H97" i="10" s="1"/>
  <c r="AP90" i="3" a="1"/>
  <c r="AP90" i="3" s="1"/>
  <c r="I97" i="10" s="1"/>
  <c r="AO91" i="3" a="1"/>
  <c r="AO91" i="3" s="1"/>
  <c r="H98" i="10" s="1"/>
  <c r="AP91" i="3" a="1"/>
  <c r="AP91" i="3" s="1"/>
  <c r="I98" i="10" s="1"/>
  <c r="AO92" i="3" a="1"/>
  <c r="AO92" i="3" s="1"/>
  <c r="AP92" i="3" a="1"/>
  <c r="AP92" i="3" s="1"/>
  <c r="I99" i="10" s="1"/>
  <c r="AO93" i="3" a="1"/>
  <c r="AO93" i="3" s="1"/>
  <c r="H100" i="10" s="1"/>
  <c r="AP93" i="3" a="1"/>
  <c r="AP93" i="3" s="1"/>
  <c r="I100" i="10" s="1"/>
  <c r="AO94" i="3" a="1"/>
  <c r="AO94" i="3" s="1"/>
  <c r="H101" i="10" s="1"/>
  <c r="AP94" i="3" a="1"/>
  <c r="AP94" i="3" s="1"/>
  <c r="I101" i="10" s="1"/>
  <c r="AO95" i="3" a="1"/>
  <c r="AO95" i="3" s="1"/>
  <c r="H102" i="10" s="1"/>
  <c r="AP95" i="3" a="1"/>
  <c r="AP95" i="3" s="1"/>
  <c r="I102" i="10" s="1"/>
  <c r="AO96" i="3" a="1"/>
  <c r="AO96" i="3" s="1"/>
  <c r="H103" i="10" s="1"/>
  <c r="AP96" i="3" a="1"/>
  <c r="AP96" i="3" s="1"/>
  <c r="I103" i="10" s="1"/>
  <c r="AO97" i="3" a="1"/>
  <c r="AO97" i="3" s="1"/>
  <c r="H104" i="10" s="1"/>
  <c r="AP97" i="3" a="1"/>
  <c r="AP97" i="3" s="1"/>
  <c r="I104" i="10" s="1"/>
  <c r="AO98" i="3" a="1"/>
  <c r="AO98" i="3" s="1"/>
  <c r="H105" i="10" s="1"/>
  <c r="AP98" i="3" a="1"/>
  <c r="AP98" i="3" s="1"/>
  <c r="I105" i="10" s="1"/>
  <c r="AO99" i="3" a="1"/>
  <c r="AO99" i="3" s="1"/>
  <c r="H106" i="10" s="1"/>
  <c r="AP99" i="3" a="1"/>
  <c r="AP99" i="3" s="1"/>
  <c r="AO100" i="3" a="1"/>
  <c r="AO100" i="3" s="1"/>
  <c r="H107" i="10" s="1"/>
  <c r="AP100" i="3" a="1"/>
  <c r="AP100" i="3" s="1"/>
  <c r="I107" i="10" s="1"/>
  <c r="AO101" i="3" a="1"/>
  <c r="AO101" i="3" s="1"/>
  <c r="H108" i="10" s="1"/>
  <c r="AP101" i="3" a="1"/>
  <c r="AP101" i="3" s="1"/>
  <c r="I108" i="10" s="1"/>
  <c r="AS3" i="3" a="1"/>
  <c r="AS3" i="3" s="1"/>
  <c r="K10" i="10" s="1"/>
  <c r="AS4" i="3" a="1"/>
  <c r="AS4" i="3" s="1"/>
  <c r="K11" i="10" s="1"/>
  <c r="AS5" i="3" a="1"/>
  <c r="AS5" i="3" s="1"/>
  <c r="K12" i="10" s="1"/>
  <c r="AS6" i="3" a="1"/>
  <c r="AS6" i="3" s="1"/>
  <c r="K13" i="10" s="1"/>
  <c r="AS7" i="3" a="1"/>
  <c r="AS7" i="3" s="1"/>
  <c r="K14" i="10" s="1"/>
  <c r="AS8" i="3" a="1"/>
  <c r="AS8" i="3" s="1"/>
  <c r="K15" i="10" s="1"/>
  <c r="AS9" i="3" a="1"/>
  <c r="AS9" i="3" s="1"/>
  <c r="K16" i="10" s="1"/>
  <c r="AS10" i="3" a="1"/>
  <c r="AS10" i="3" s="1"/>
  <c r="K17" i="10" s="1"/>
  <c r="AS11" i="3" a="1"/>
  <c r="AS11" i="3" s="1"/>
  <c r="K18" i="10" s="1"/>
  <c r="AS12" i="3" a="1"/>
  <c r="AS12" i="3" s="1"/>
  <c r="K19" i="10" s="1"/>
  <c r="AS13" i="3" a="1"/>
  <c r="AS13" i="3" s="1"/>
  <c r="K20" i="10" s="1"/>
  <c r="AS14" i="3" a="1"/>
  <c r="AS14" i="3" s="1"/>
  <c r="K21" i="10" s="1"/>
  <c r="AS15" i="3" a="1"/>
  <c r="AS15" i="3" s="1"/>
  <c r="K22" i="10" s="1"/>
  <c r="AS16" i="3" a="1"/>
  <c r="AS16" i="3" s="1"/>
  <c r="K23" i="10" s="1"/>
  <c r="AS17" i="3" a="1"/>
  <c r="AS17" i="3" s="1"/>
  <c r="K24" i="10" s="1"/>
  <c r="AS18" i="3" a="1"/>
  <c r="AS18" i="3" s="1"/>
  <c r="K25" i="10" s="1"/>
  <c r="AS19" i="3" a="1"/>
  <c r="AS19" i="3" s="1"/>
  <c r="K26" i="10" s="1"/>
  <c r="AS20" i="3" a="1"/>
  <c r="AS20" i="3" s="1"/>
  <c r="K27" i="10" s="1"/>
  <c r="AS21" i="3" a="1"/>
  <c r="AS21" i="3" s="1"/>
  <c r="K28" i="10" s="1"/>
  <c r="AS22" i="3" a="1"/>
  <c r="AS22" i="3" s="1"/>
  <c r="K29" i="10" s="1"/>
  <c r="AS23" i="3" a="1"/>
  <c r="AS23" i="3" s="1"/>
  <c r="K30" i="10" s="1"/>
  <c r="AS24" i="3" a="1"/>
  <c r="AS24" i="3" s="1"/>
  <c r="K31" i="10" s="1"/>
  <c r="AS25" i="3" a="1"/>
  <c r="AS25" i="3" s="1"/>
  <c r="K32" i="10" s="1"/>
  <c r="AS26" i="3" a="1"/>
  <c r="AS26" i="3" s="1"/>
  <c r="K33" i="10" s="1"/>
  <c r="AS27" i="3" a="1"/>
  <c r="AS27" i="3" s="1"/>
  <c r="K34" i="10" s="1"/>
  <c r="AS28" i="3" a="1"/>
  <c r="AS28" i="3" s="1"/>
  <c r="K35" i="10" s="1"/>
  <c r="AS29" i="3" a="1"/>
  <c r="AS29" i="3" s="1"/>
  <c r="K36" i="10" s="1"/>
  <c r="AS30" i="3" a="1"/>
  <c r="AS30" i="3" s="1"/>
  <c r="K37" i="10" s="1"/>
  <c r="AS31" i="3" a="1"/>
  <c r="AS31" i="3" s="1"/>
  <c r="K38" i="10" s="1"/>
  <c r="AS32" i="3" a="1"/>
  <c r="AS32" i="3" s="1"/>
  <c r="K39" i="10" s="1"/>
  <c r="AS33" i="3" a="1"/>
  <c r="AS33" i="3" s="1"/>
  <c r="K40" i="10" s="1"/>
  <c r="AS34" i="3" a="1"/>
  <c r="AS34" i="3" s="1"/>
  <c r="K41" i="10" s="1"/>
  <c r="AS35" i="3" a="1"/>
  <c r="AS35" i="3" s="1"/>
  <c r="K42" i="10" s="1"/>
  <c r="AS36" i="3" a="1"/>
  <c r="AS36" i="3" s="1"/>
  <c r="K43" i="10" s="1"/>
  <c r="AS37" i="3" a="1"/>
  <c r="AS37" i="3" s="1"/>
  <c r="K44" i="10" s="1"/>
  <c r="AS38" i="3" a="1"/>
  <c r="AS38" i="3" s="1"/>
  <c r="K45" i="10" s="1"/>
  <c r="AS39" i="3" a="1"/>
  <c r="AS39" i="3" s="1"/>
  <c r="K46" i="10" s="1"/>
  <c r="AS40" i="3" a="1"/>
  <c r="AS40" i="3" s="1"/>
  <c r="K47" i="10" s="1"/>
  <c r="AS41" i="3" a="1"/>
  <c r="AS41" i="3" s="1"/>
  <c r="K48" i="10" s="1"/>
  <c r="AS42" i="3" a="1"/>
  <c r="AS42" i="3" s="1"/>
  <c r="K49" i="10" s="1"/>
  <c r="AS43" i="3" a="1"/>
  <c r="AS43" i="3" s="1"/>
  <c r="K50" i="10" s="1"/>
  <c r="AS44" i="3" a="1"/>
  <c r="AS44" i="3" s="1"/>
  <c r="K51" i="10" s="1"/>
  <c r="AS45" i="3" a="1"/>
  <c r="AS45" i="3" s="1"/>
  <c r="K52" i="10" s="1"/>
  <c r="AS46" i="3" a="1"/>
  <c r="AS46" i="3" s="1"/>
  <c r="K53" i="10" s="1"/>
  <c r="AS47" i="3" a="1"/>
  <c r="AS47" i="3" s="1"/>
  <c r="K54" i="10" s="1"/>
  <c r="AS48" i="3" a="1"/>
  <c r="AS48" i="3" s="1"/>
  <c r="K55" i="10" s="1"/>
  <c r="AS49" i="3" a="1"/>
  <c r="AS49" i="3" s="1"/>
  <c r="K56" i="10" s="1"/>
  <c r="AS50" i="3" a="1"/>
  <c r="AS50" i="3" s="1"/>
  <c r="K57" i="10" s="1"/>
  <c r="AS51" i="3" a="1"/>
  <c r="AS51" i="3" s="1"/>
  <c r="K58" i="10" s="1"/>
  <c r="AS52" i="3" a="1"/>
  <c r="AS52" i="3" s="1"/>
  <c r="K59" i="10" s="1"/>
  <c r="AS53" i="3" a="1"/>
  <c r="AS53" i="3" s="1"/>
  <c r="K60" i="10" s="1"/>
  <c r="AS54" i="3" a="1"/>
  <c r="AS54" i="3" s="1"/>
  <c r="K61" i="10" s="1"/>
  <c r="AS55" i="3" a="1"/>
  <c r="AS55" i="3" s="1"/>
  <c r="K62" i="10" s="1"/>
  <c r="AS56" i="3" a="1"/>
  <c r="AS56" i="3" s="1"/>
  <c r="K63" i="10" s="1"/>
  <c r="AS57" i="3" a="1"/>
  <c r="AS57" i="3" s="1"/>
  <c r="K64" i="10" s="1"/>
  <c r="AS58" i="3" a="1"/>
  <c r="AS58" i="3" s="1"/>
  <c r="K65" i="10" s="1"/>
  <c r="AS59" i="3" a="1"/>
  <c r="AS59" i="3" s="1"/>
  <c r="K66" i="10" s="1"/>
  <c r="AS60" i="3" a="1"/>
  <c r="AS60" i="3" s="1"/>
  <c r="K67" i="10" s="1"/>
  <c r="AS61" i="3" a="1"/>
  <c r="AS61" i="3" s="1"/>
  <c r="K68" i="10" s="1"/>
  <c r="AS62" i="3" a="1"/>
  <c r="AS62" i="3" s="1"/>
  <c r="K69" i="10" s="1"/>
  <c r="AS63" i="3" a="1"/>
  <c r="AS63" i="3" s="1"/>
  <c r="K70" i="10" s="1"/>
  <c r="AS64" i="3" a="1"/>
  <c r="AS64" i="3" s="1"/>
  <c r="K71" i="10" s="1"/>
  <c r="AS65" i="3" a="1"/>
  <c r="AS65" i="3" s="1"/>
  <c r="K72" i="10" s="1"/>
  <c r="AS66" i="3" a="1"/>
  <c r="AS66" i="3" s="1"/>
  <c r="K73" i="10" s="1"/>
  <c r="AS67" i="3" a="1"/>
  <c r="AS67" i="3" s="1"/>
  <c r="K74" i="10" s="1"/>
  <c r="AS68" i="3" a="1"/>
  <c r="AS68" i="3" s="1"/>
  <c r="K75" i="10" s="1"/>
  <c r="AS69" i="3" a="1"/>
  <c r="AS69" i="3" s="1"/>
  <c r="K76" i="10" s="1"/>
  <c r="AS70" i="3" a="1"/>
  <c r="AS70" i="3" s="1"/>
  <c r="K77" i="10" s="1"/>
  <c r="AS71" i="3" a="1"/>
  <c r="AS71" i="3" s="1"/>
  <c r="K78" i="10" s="1"/>
  <c r="AS72" i="3" a="1"/>
  <c r="AS72" i="3" s="1"/>
  <c r="K79" i="10" s="1"/>
  <c r="AS73" i="3" a="1"/>
  <c r="AS73" i="3" s="1"/>
  <c r="K80" i="10" s="1"/>
  <c r="AS74" i="3" a="1"/>
  <c r="AS74" i="3" s="1"/>
  <c r="K81" i="10" s="1"/>
  <c r="AS75" i="3" a="1"/>
  <c r="AS75" i="3" s="1"/>
  <c r="K82" i="10" s="1"/>
  <c r="AS76" i="3" a="1"/>
  <c r="AS76" i="3" s="1"/>
  <c r="K83" i="10" s="1"/>
  <c r="AS77" i="3" a="1"/>
  <c r="AS77" i="3" s="1"/>
  <c r="K84" i="10" s="1"/>
  <c r="AS78" i="3" a="1"/>
  <c r="AS78" i="3" s="1"/>
  <c r="K85" i="10" s="1"/>
  <c r="AS79" i="3" a="1"/>
  <c r="AS79" i="3" s="1"/>
  <c r="K86" i="10" s="1"/>
  <c r="AS80" i="3" a="1"/>
  <c r="AS80" i="3" s="1"/>
  <c r="K87" i="10" s="1"/>
  <c r="AS81" i="3" a="1"/>
  <c r="AS81" i="3" s="1"/>
  <c r="K88" i="10" s="1"/>
  <c r="AS82" i="3" a="1"/>
  <c r="AS82" i="3" s="1"/>
  <c r="K89" i="10" s="1"/>
  <c r="AS83" i="3" a="1"/>
  <c r="AS83" i="3" s="1"/>
  <c r="K90" i="10" s="1"/>
  <c r="AS84" i="3" a="1"/>
  <c r="AS84" i="3" s="1"/>
  <c r="K91" i="10" s="1"/>
  <c r="AS85" i="3" a="1"/>
  <c r="AS85" i="3" s="1"/>
  <c r="K92" i="10" s="1"/>
  <c r="AS86" i="3" a="1"/>
  <c r="AS86" i="3" s="1"/>
  <c r="K93" i="10" s="1"/>
  <c r="AS87" i="3" a="1"/>
  <c r="AS87" i="3" s="1"/>
  <c r="K94" i="10" s="1"/>
  <c r="AS88" i="3" a="1"/>
  <c r="AS88" i="3" s="1"/>
  <c r="K95" i="10" s="1"/>
  <c r="AS89" i="3" a="1"/>
  <c r="AS89" i="3" s="1"/>
  <c r="K96" i="10" s="1"/>
  <c r="AS90" i="3" a="1"/>
  <c r="AS90" i="3" s="1"/>
  <c r="K97" i="10" s="1"/>
  <c r="AS91" i="3" a="1"/>
  <c r="AS91" i="3" s="1"/>
  <c r="K98" i="10" s="1"/>
  <c r="AS92" i="3" a="1"/>
  <c r="AS92" i="3" s="1"/>
  <c r="K99" i="10" s="1"/>
  <c r="AS93" i="3" a="1"/>
  <c r="AS93" i="3" s="1"/>
  <c r="K100" i="10" s="1"/>
  <c r="AS94" i="3" a="1"/>
  <c r="AS94" i="3" s="1"/>
  <c r="K101" i="10" s="1"/>
  <c r="AS95" i="3" a="1"/>
  <c r="AS95" i="3" s="1"/>
  <c r="K102" i="10" s="1"/>
  <c r="AS96" i="3" a="1"/>
  <c r="AS96" i="3" s="1"/>
  <c r="K103" i="10" s="1"/>
  <c r="AS97" i="3" a="1"/>
  <c r="AS97" i="3" s="1"/>
  <c r="K104" i="10" s="1"/>
  <c r="AS98" i="3" a="1"/>
  <c r="AS98" i="3" s="1"/>
  <c r="K105" i="10" s="1"/>
  <c r="AS99" i="3" a="1"/>
  <c r="AS99" i="3" s="1"/>
  <c r="K106" i="10" s="1"/>
  <c r="AS100" i="3" a="1"/>
  <c r="AS100" i="3" s="1"/>
  <c r="K107" i="10" s="1"/>
  <c r="AS101" i="3" a="1"/>
  <c r="AS101" i="3" s="1"/>
  <c r="K108" i="10" s="1"/>
  <c r="AS2" i="3" a="1"/>
  <c r="AS2" i="3" s="1"/>
  <c r="K9" i="10" s="1"/>
  <c r="AQ2" i="3" a="1"/>
  <c r="AQ2" i="3" s="1"/>
  <c r="AP2" i="3" a="1"/>
  <c r="AP2" i="3" s="1"/>
  <c r="I9" i="10" s="1"/>
  <c r="H11" i="10"/>
  <c r="H19" i="10"/>
  <c r="H25" i="10"/>
  <c r="H27" i="10"/>
  <c r="H35" i="10"/>
  <c r="H43" i="10"/>
  <c r="H51" i="10"/>
  <c r="H55" i="10"/>
  <c r="H59" i="10"/>
  <c r="H67" i="10"/>
  <c r="H75" i="10"/>
  <c r="H79" i="10"/>
  <c r="H83" i="10"/>
  <c r="H91" i="10"/>
  <c r="H99" i="10"/>
  <c r="AO2" i="3" a="1"/>
  <c r="AO2" i="3" s="1"/>
  <c r="H9" i="10" s="1"/>
  <c r="I10" i="10"/>
  <c r="I18" i="10"/>
  <c r="I34" i="10"/>
  <c r="I42" i="10"/>
  <c r="I50" i="10"/>
  <c r="I66" i="10"/>
  <c r="I82" i="10"/>
  <c r="I106" i="10"/>
  <c r="D7" i="8"/>
  <c r="AB3" i="3"/>
  <c r="O119" i="10"/>
  <c r="M119" i="10"/>
  <c r="L119" i="10"/>
  <c r="K119" i="10"/>
  <c r="J119" i="10"/>
  <c r="I119" i="10"/>
  <c r="H119" i="10"/>
  <c r="O118" i="10"/>
  <c r="G118" i="10"/>
  <c r="O117" i="10"/>
  <c r="O116" i="10"/>
  <c r="G116" i="10"/>
  <c r="O115" i="10"/>
  <c r="O114" i="10"/>
  <c r="G114" i="10"/>
  <c r="O113" i="10"/>
  <c r="O112" i="10"/>
  <c r="G112" i="10"/>
  <c r="O111" i="10"/>
  <c r="G111" i="10"/>
  <c r="O110" i="10"/>
  <c r="G110" i="10"/>
  <c r="O109" i="10"/>
  <c r="Q108" i="10"/>
  <c r="O108" i="10"/>
  <c r="Q107" i="10"/>
  <c r="V106" i="10"/>
  <c r="U106" i="10"/>
  <c r="S106" i="10"/>
  <c r="Q106" i="10"/>
  <c r="V105" i="10"/>
  <c r="V104" i="10"/>
  <c r="AA103" i="10"/>
  <c r="Z103" i="10"/>
  <c r="Y103" i="10"/>
  <c r="W103" i="10"/>
  <c r="AA102" i="10"/>
  <c r="X102" i="10"/>
  <c r="AA101" i="10"/>
  <c r="X101" i="10"/>
  <c r="AA100" i="10"/>
  <c r="X100" i="10"/>
  <c r="X99" i="10"/>
  <c r="AA98" i="10"/>
  <c r="Z97" i="10"/>
  <c r="Y97" i="10"/>
  <c r="X97" i="10"/>
  <c r="AR2" i="3" l="1"/>
  <c r="AA8" i="3"/>
  <c r="W8" i="3" s="1"/>
  <c r="J10" i="10"/>
  <c r="AR3" i="3"/>
  <c r="J26" i="10"/>
  <c r="AR19" i="3"/>
  <c r="J47" i="10"/>
  <c r="AR40" i="3"/>
  <c r="J64" i="10"/>
  <c r="AR57" i="3"/>
  <c r="J83" i="10"/>
  <c r="AR76" i="3"/>
  <c r="J91" i="10"/>
  <c r="AR84" i="3"/>
  <c r="J19" i="10"/>
  <c r="AR12" i="3"/>
  <c r="J40" i="10"/>
  <c r="AR33" i="3"/>
  <c r="J48" i="10"/>
  <c r="AR41" i="3"/>
  <c r="J65" i="10"/>
  <c r="AR58" i="3"/>
  <c r="J84" i="10"/>
  <c r="AR77" i="3"/>
  <c r="J92" i="10"/>
  <c r="AR85" i="3"/>
  <c r="J20" i="10"/>
  <c r="AR13" i="3"/>
  <c r="J41" i="10"/>
  <c r="AR34" i="3"/>
  <c r="J49" i="10"/>
  <c r="AR42" i="3"/>
  <c r="J66" i="10"/>
  <c r="AR59" i="3"/>
  <c r="J85" i="10"/>
  <c r="AR78" i="3"/>
  <c r="J93" i="10"/>
  <c r="AR86" i="3"/>
  <c r="J21" i="10"/>
  <c r="AR14" i="3"/>
  <c r="J42" i="10"/>
  <c r="AR35" i="3"/>
  <c r="J50" i="10"/>
  <c r="AR43" i="3"/>
  <c r="J67" i="10"/>
  <c r="AR60" i="3"/>
  <c r="J86" i="10"/>
  <c r="AR79" i="3"/>
  <c r="J94" i="10"/>
  <c r="AR87" i="3"/>
  <c r="J22" i="10"/>
  <c r="AR15" i="3"/>
  <c r="J43" i="10"/>
  <c r="AR36" i="3"/>
  <c r="J51" i="10"/>
  <c r="AR44" i="3"/>
  <c r="J68" i="10"/>
  <c r="AR61" i="3"/>
  <c r="J87" i="10"/>
  <c r="AR80" i="3"/>
  <c r="J95" i="10"/>
  <c r="AR88" i="3"/>
  <c r="J23" i="10"/>
  <c r="AR16" i="3"/>
  <c r="J44" i="10"/>
  <c r="AR37" i="3"/>
  <c r="J61" i="10"/>
  <c r="AR54" i="3"/>
  <c r="J69" i="10"/>
  <c r="AR62" i="3"/>
  <c r="J88" i="10"/>
  <c r="AR81" i="3"/>
  <c r="J106" i="10"/>
  <c r="AR99" i="3"/>
  <c r="J24" i="10"/>
  <c r="AR17" i="3"/>
  <c r="J45" i="10"/>
  <c r="AR38" i="3"/>
  <c r="J62" i="10"/>
  <c r="AR55" i="3"/>
  <c r="J70" i="10"/>
  <c r="AR63" i="3"/>
  <c r="J89" i="10"/>
  <c r="AR82" i="3"/>
  <c r="J107" i="10"/>
  <c r="AR100" i="3"/>
  <c r="J25" i="10"/>
  <c r="AR18" i="3"/>
  <c r="J46" i="10"/>
  <c r="AR39" i="3"/>
  <c r="J63" i="10"/>
  <c r="AR56" i="3"/>
  <c r="J82" i="10"/>
  <c r="AR75" i="3"/>
  <c r="J90" i="10"/>
  <c r="AR83" i="3"/>
  <c r="J108" i="10"/>
  <c r="AR101" i="3"/>
  <c r="AR91" i="3"/>
  <c r="AR69" i="3"/>
  <c r="AR51" i="3"/>
  <c r="AR31" i="3"/>
  <c r="AR23" i="3"/>
  <c r="AR9" i="3"/>
  <c r="AR92" i="3"/>
  <c r="AR98" i="3"/>
  <c r="AR90" i="3"/>
  <c r="AR68" i="3"/>
  <c r="AR50" i="3"/>
  <c r="AR30" i="3"/>
  <c r="AR22" i="3"/>
  <c r="AR10" i="3"/>
  <c r="J9" i="10"/>
  <c r="AR32" i="3"/>
  <c r="AR97" i="3"/>
  <c r="AR89" i="3"/>
  <c r="AR67" i="3"/>
  <c r="AR49" i="3"/>
  <c r="AR29" i="3"/>
  <c r="AR21" i="3"/>
  <c r="AR11" i="3"/>
  <c r="AR52" i="3"/>
  <c r="AR96" i="3"/>
  <c r="AR74" i="3"/>
  <c r="AR66" i="3"/>
  <c r="AR48" i="3"/>
  <c r="AR28" i="3"/>
  <c r="AR20" i="3"/>
  <c r="AR4" i="3"/>
  <c r="AR95" i="3"/>
  <c r="AR73" i="3"/>
  <c r="AR65" i="3"/>
  <c r="AR47" i="3"/>
  <c r="AR27" i="3"/>
  <c r="AR5" i="3"/>
  <c r="AR8" i="3"/>
  <c r="AR94" i="3"/>
  <c r="AR72" i="3"/>
  <c r="AR64" i="3"/>
  <c r="AR46" i="3"/>
  <c r="AR26" i="3"/>
  <c r="AR6" i="3"/>
  <c r="AR70" i="3"/>
  <c r="AR93" i="3"/>
  <c r="AR71" i="3"/>
  <c r="AR53" i="3"/>
  <c r="AR45" i="3"/>
  <c r="AR25" i="3"/>
  <c r="AR7" i="3"/>
  <c r="AR24" i="3"/>
  <c r="AB6" i="3"/>
  <c r="AB7" i="3"/>
  <c r="AB5" i="3"/>
  <c r="AB10" i="3"/>
  <c r="Z23" i="3"/>
  <c r="AA23" i="3" s="1"/>
  <c r="AE14" i="3" a="1"/>
  <c r="AA9" i="3" l="1"/>
  <c r="W9" i="3" s="1"/>
  <c r="AE14" i="3"/>
  <c r="AT101" i="3"/>
  <c r="AT100" i="3"/>
  <c r="AT99" i="3"/>
  <c r="AT98" i="3"/>
  <c r="AT97" i="3"/>
  <c r="AT96" i="3"/>
  <c r="AT95" i="3"/>
  <c r="AT94" i="3"/>
  <c r="AT93" i="3"/>
  <c r="AT92" i="3"/>
  <c r="AT91" i="3"/>
  <c r="AT90" i="3"/>
  <c r="AT89" i="3"/>
  <c r="AT88" i="3"/>
  <c r="AT87" i="3"/>
  <c r="AT86" i="3"/>
  <c r="AT85" i="3"/>
  <c r="AT84" i="3"/>
  <c r="AT83" i="3"/>
  <c r="AT82" i="3"/>
  <c r="AT81" i="3"/>
  <c r="AT80" i="3"/>
  <c r="AT79" i="3"/>
  <c r="AT78" i="3"/>
  <c r="AT77" i="3"/>
  <c r="AT76" i="3"/>
  <c r="AT75" i="3"/>
  <c r="AT74" i="3"/>
  <c r="AT73" i="3"/>
  <c r="AT72" i="3"/>
  <c r="AT71" i="3"/>
  <c r="AT70" i="3"/>
  <c r="AT69" i="3"/>
  <c r="AT68" i="3"/>
  <c r="AT67" i="3"/>
  <c r="AT66" i="3"/>
  <c r="AT65" i="3"/>
  <c r="AT64" i="3"/>
  <c r="AT63" i="3"/>
  <c r="AT62" i="3"/>
  <c r="AT61" i="3"/>
  <c r="AT60" i="3"/>
  <c r="AT59" i="3"/>
  <c r="AT58" i="3"/>
  <c r="AT57" i="3"/>
  <c r="AT56" i="3"/>
  <c r="AT55" i="3"/>
  <c r="AT54" i="3"/>
  <c r="AT53" i="3"/>
  <c r="AT52" i="3"/>
  <c r="AT51" i="3"/>
  <c r="AT50" i="3"/>
  <c r="AT49" i="3"/>
  <c r="AT48" i="3"/>
  <c r="AT47" i="3"/>
  <c r="AT46" i="3"/>
  <c r="AT45" i="3"/>
  <c r="AT44" i="3"/>
  <c r="AT43" i="3"/>
  <c r="AT42" i="3"/>
  <c r="AT41" i="3"/>
  <c r="AT40" i="3"/>
  <c r="AT39" i="3"/>
  <c r="AT38" i="3"/>
  <c r="AT37" i="3"/>
  <c r="AT36" i="3"/>
  <c r="AT35" i="3"/>
  <c r="AT34" i="3"/>
  <c r="AT33" i="3"/>
  <c r="AT32" i="3"/>
  <c r="AT31" i="3"/>
  <c r="AT30" i="3"/>
  <c r="AT29" i="3"/>
  <c r="AT28" i="3"/>
  <c r="AT27" i="3"/>
  <c r="AT26" i="3"/>
  <c r="AT25" i="3"/>
  <c r="AT24" i="3"/>
  <c r="AT23" i="3"/>
  <c r="AT22" i="3"/>
  <c r="AT21" i="3"/>
  <c r="AT20" i="3"/>
  <c r="AT19" i="3"/>
  <c r="AT18" i="3"/>
  <c r="AT17" i="3"/>
  <c r="AT16" i="3"/>
  <c r="AT15" i="3"/>
  <c r="AT14" i="3"/>
  <c r="AT13" i="3"/>
  <c r="AT12" i="3"/>
  <c r="AT11" i="3"/>
  <c r="AT10" i="3"/>
  <c r="AT9" i="3"/>
  <c r="AT8" i="3"/>
  <c r="AT7" i="3"/>
  <c r="AT6" i="3"/>
  <c r="AT5" i="3"/>
  <c r="AT4" i="3"/>
  <c r="AT3" i="3"/>
  <c r="AT2" i="3"/>
  <c r="AA10" i="3" l="1"/>
  <c r="W10" i="3" s="1"/>
  <c r="AA7" i="3"/>
  <c r="AA6" i="3"/>
  <c r="AA5" i="3"/>
  <c r="AB4" i="3"/>
  <c r="W4" i="3" l="1"/>
  <c r="Z4" i="3" s="1"/>
  <c r="V2" i="3" a="1"/>
  <c r="V2" i="3" s="1"/>
  <c r="AB2" i="3"/>
  <c r="W15" i="3" l="1"/>
  <c r="Z15" i="3" s="1"/>
  <c r="AF4" i="3" a="1"/>
  <c r="AE4" i="3" a="1"/>
  <c r="AE4" i="3" l="1"/>
  <c r="AF4" i="3"/>
  <c r="E16" i="8"/>
  <c r="B2" i="8"/>
  <c r="B1" i="13" l="1"/>
  <c r="B2" i="13" s="1"/>
  <c r="A2" i="8"/>
  <c r="D69" i="3"/>
  <c r="D65" i="3"/>
  <c r="C7" i="8" s="1"/>
  <c r="D55" i="3"/>
  <c r="B5" i="8" s="1"/>
  <c r="D16" i="8"/>
  <c r="B2" i="9" s="1"/>
  <c r="C2" i="9"/>
  <c r="C16" i="8"/>
  <c r="B16" i="8" l="1"/>
  <c r="A2" i="9"/>
  <c r="P2" i="7" a="1"/>
  <c r="P2" i="7" s="1"/>
  <c r="O2" i="7" s="1"/>
  <c r="G3" i="7" a="1"/>
  <c r="G3" i="7" s="1"/>
  <c r="G4" i="7" a="1"/>
  <c r="G4" i="7" s="1"/>
  <c r="G5" i="7" a="1"/>
  <c r="G5" i="7" s="1"/>
  <c r="G6" i="7" a="1"/>
  <c r="G6" i="7" s="1"/>
  <c r="G7" i="7" a="1"/>
  <c r="G7" i="7" s="1"/>
  <c r="G8" i="7" a="1"/>
  <c r="G8" i="7" s="1"/>
  <c r="G9" i="7" a="1"/>
  <c r="G9" i="7" s="1"/>
  <c r="G10" i="7" a="1"/>
  <c r="G10" i="7" s="1"/>
  <c r="G11" i="7" a="1"/>
  <c r="G11" i="7" s="1"/>
  <c r="G12" i="7" a="1"/>
  <c r="G12" i="7" s="1"/>
  <c r="G13" i="7" a="1"/>
  <c r="G13" i="7" s="1"/>
  <c r="G14" i="7" a="1"/>
  <c r="G14" i="7" s="1"/>
  <c r="G15" i="7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G43" i="7" a="1"/>
  <c r="G43" i="7" s="1"/>
  <c r="G44" i="7" a="1"/>
  <c r="G44" i="7" s="1"/>
  <c r="G45" i="7" a="1"/>
  <c r="G45" i="7" s="1"/>
  <c r="G46" i="7" a="1"/>
  <c r="G46" i="7" s="1"/>
  <c r="G47" i="7" a="1"/>
  <c r="G47" i="7" s="1"/>
  <c r="G48" i="7" a="1"/>
  <c r="G48" i="7" s="1"/>
  <c r="G49" i="7" a="1"/>
  <c r="G49" i="7" s="1"/>
  <c r="G50" i="7" a="1"/>
  <c r="G50" i="7" s="1"/>
  <c r="G51" i="7" a="1"/>
  <c r="G51" i="7" s="1"/>
  <c r="G52" i="7" a="1"/>
  <c r="G52" i="7" s="1"/>
  <c r="G53" i="7" a="1"/>
  <c r="G53" i="7" s="1"/>
  <c r="G54" i="7" a="1"/>
  <c r="G54" i="7" s="1"/>
  <c r="G55" i="7" a="1"/>
  <c r="G55" i="7" s="1"/>
  <c r="G56" i="7" a="1"/>
  <c r="G56" i="7" s="1"/>
  <c r="G57" i="7" a="1"/>
  <c r="G57" i="7" s="1"/>
  <c r="G58" i="7" a="1"/>
  <c r="G58" i="7" s="1"/>
  <c r="G59" i="7" a="1"/>
  <c r="G59" i="7" s="1"/>
  <c r="G60" i="7" a="1"/>
  <c r="G60" i="7" s="1"/>
  <c r="G61" i="7" a="1"/>
  <c r="G61" i="7" s="1"/>
  <c r="G62" i="7" a="1"/>
  <c r="G62" i="7" s="1"/>
  <c r="G63" i="7" a="1"/>
  <c r="G63" i="7" s="1"/>
  <c r="G64" i="7" a="1"/>
  <c r="G64" i="7" s="1"/>
  <c r="G65" i="7" a="1"/>
  <c r="G65" i="7" s="1"/>
  <c r="G66" i="7" a="1"/>
  <c r="G66" i="7" s="1"/>
  <c r="G67" i="7" a="1"/>
  <c r="G67" i="7" s="1"/>
  <c r="G68" i="7" a="1"/>
  <c r="G68" i="7" s="1"/>
  <c r="G69" i="7" a="1"/>
  <c r="G69" i="7" s="1"/>
  <c r="G70" i="7" a="1"/>
  <c r="G70" i="7" s="1"/>
  <c r="G71" i="7" a="1"/>
  <c r="G71" i="7" s="1"/>
  <c r="G72" i="7" a="1"/>
  <c r="G72" i="7" s="1"/>
  <c r="G73" i="7" a="1"/>
  <c r="G73" i="7" s="1"/>
  <c r="G74" i="7" a="1"/>
  <c r="G74" i="7" s="1"/>
  <c r="G75" i="7" a="1"/>
  <c r="G75" i="7" s="1"/>
  <c r="G76" i="7" a="1"/>
  <c r="G76" i="7" s="1"/>
  <c r="G77" i="7" a="1"/>
  <c r="G77" i="7" s="1"/>
  <c r="G78" i="7" a="1"/>
  <c r="G78" i="7" s="1"/>
  <c r="G79" i="7" a="1"/>
  <c r="G79" i="7" s="1"/>
  <c r="G80" i="7" a="1"/>
  <c r="G80" i="7" s="1"/>
  <c r="G81" i="7" a="1"/>
  <c r="G81" i="7" s="1"/>
  <c r="G82" i="7" a="1"/>
  <c r="G82" i="7" s="1"/>
  <c r="G83" i="7" a="1"/>
  <c r="G83" i="7" s="1"/>
  <c r="G84" i="7" a="1"/>
  <c r="G84" i="7" s="1"/>
  <c r="G85" i="7" a="1"/>
  <c r="G85" i="7" s="1"/>
  <c r="G86" i="7" a="1"/>
  <c r="G86" i="7" s="1"/>
  <c r="G87" i="7" a="1"/>
  <c r="G87" i="7" s="1"/>
  <c r="G88" i="7" a="1"/>
  <c r="G88" i="7" s="1"/>
  <c r="G89" i="7" a="1"/>
  <c r="G89" i="7" s="1"/>
  <c r="G90" i="7" a="1"/>
  <c r="G90" i="7" s="1"/>
  <c r="G91" i="7" a="1"/>
  <c r="G91" i="7" s="1"/>
  <c r="G92" i="7" a="1"/>
  <c r="G92" i="7" s="1"/>
  <c r="G93" i="7" a="1"/>
  <c r="G93" i="7" s="1"/>
  <c r="G94" i="7" a="1"/>
  <c r="G94" i="7" s="1"/>
  <c r="G95" i="7" a="1"/>
  <c r="G95" i="7" s="1"/>
  <c r="G96" i="7" a="1"/>
  <c r="G96" i="7" s="1"/>
  <c r="G97" i="7" a="1"/>
  <c r="G97" i="7" s="1"/>
  <c r="G98" i="7" a="1"/>
  <c r="G98" i="7" s="1"/>
  <c r="G99" i="7" a="1"/>
  <c r="G99" i="7" s="1"/>
  <c r="G100" i="7" a="1"/>
  <c r="G100" i="7" s="1"/>
  <c r="G101" i="7" a="1"/>
  <c r="G101" i="7" s="1"/>
  <c r="G2" i="7" a="1"/>
  <c r="G2" i="7" s="1"/>
  <c r="AK2" i="3" a="1"/>
  <c r="AK2" i="3" s="1"/>
  <c r="B8" i="6"/>
  <c r="D56" i="3"/>
  <c r="D37" i="3"/>
  <c r="D36" i="3"/>
  <c r="G29" i="3"/>
  <c r="D2" i="9" s="1"/>
  <c r="D17" i="3"/>
  <c r="D14" i="3"/>
  <c r="W14" i="3"/>
  <c r="Z14" i="3" s="1"/>
  <c r="W12" i="3"/>
  <c r="Z12" i="3" s="1"/>
  <c r="Z8" i="3"/>
  <c r="G5" i="3"/>
  <c r="W3" i="3"/>
  <c r="W2" i="3"/>
  <c r="T2" i="3"/>
  <c r="AE10" i="3" a="1"/>
  <c r="AF13" i="3" a="1"/>
  <c r="AF11" i="3" a="1"/>
  <c r="AF9" i="3" a="1"/>
  <c r="AF8" i="3" a="1"/>
  <c r="AE13" i="3" a="1"/>
  <c r="AE11" i="3" a="1"/>
  <c r="AF12" i="3" a="1"/>
  <c r="AF10" i="3" a="1"/>
  <c r="AE9" i="3" a="1"/>
  <c r="AE12" i="3" a="1"/>
  <c r="AF14" i="3" a="1"/>
  <c r="AE8" i="3" a="1"/>
  <c r="Z9" i="3" l="1"/>
  <c r="AN2" i="3"/>
  <c r="G9" i="10" s="1"/>
  <c r="AN86" i="3"/>
  <c r="G93" i="10" s="1"/>
  <c r="AN74" i="3"/>
  <c r="G81" i="10" s="1"/>
  <c r="AN73" i="3"/>
  <c r="G80" i="10" s="1"/>
  <c r="AN14" i="3"/>
  <c r="G21" i="10" s="1"/>
  <c r="AN62" i="3"/>
  <c r="G69" i="10" s="1"/>
  <c r="AN61" i="3"/>
  <c r="G68" i="10" s="1"/>
  <c r="AN50" i="3"/>
  <c r="G57" i="10" s="1"/>
  <c r="AN49" i="3"/>
  <c r="G56" i="10" s="1"/>
  <c r="AN38" i="3"/>
  <c r="G45" i="10" s="1"/>
  <c r="AN37" i="3"/>
  <c r="G44" i="10" s="1"/>
  <c r="AN98" i="3"/>
  <c r="G105" i="10" s="1"/>
  <c r="AN26" i="3"/>
  <c r="G33" i="10" s="1"/>
  <c r="AN97" i="3"/>
  <c r="G104" i="10" s="1"/>
  <c r="AN25" i="3"/>
  <c r="G32" i="10" s="1"/>
  <c r="AN85" i="3"/>
  <c r="G92" i="10" s="1"/>
  <c r="AN13" i="3"/>
  <c r="G20" i="10" s="1"/>
  <c r="AN96" i="3"/>
  <c r="G103" i="10" s="1"/>
  <c r="AN84" i="3"/>
  <c r="G91" i="10" s="1"/>
  <c r="AN72" i="3"/>
  <c r="G79" i="10" s="1"/>
  <c r="AN60" i="3"/>
  <c r="G67" i="10" s="1"/>
  <c r="AN48" i="3"/>
  <c r="G55" i="10" s="1"/>
  <c r="AN36" i="3"/>
  <c r="G43" i="10" s="1"/>
  <c r="AN24" i="3"/>
  <c r="G31" i="10" s="1"/>
  <c r="AN12" i="3"/>
  <c r="G19" i="10" s="1"/>
  <c r="AN95" i="3"/>
  <c r="G102" i="10" s="1"/>
  <c r="AN83" i="3"/>
  <c r="G90" i="10" s="1"/>
  <c r="AN71" i="3"/>
  <c r="G78" i="10" s="1"/>
  <c r="AN59" i="3"/>
  <c r="G66" i="10" s="1"/>
  <c r="AN47" i="3"/>
  <c r="G54" i="10" s="1"/>
  <c r="AN35" i="3"/>
  <c r="G42" i="10" s="1"/>
  <c r="AN23" i="3"/>
  <c r="G30" i="10" s="1"/>
  <c r="AN11" i="3"/>
  <c r="G18" i="10" s="1"/>
  <c r="AN94" i="3"/>
  <c r="G101" i="10" s="1"/>
  <c r="AN82" i="3"/>
  <c r="G89" i="10" s="1"/>
  <c r="AN70" i="3"/>
  <c r="G77" i="10" s="1"/>
  <c r="AN58" i="3"/>
  <c r="G65" i="10" s="1"/>
  <c r="AN46" i="3"/>
  <c r="G53" i="10" s="1"/>
  <c r="AN34" i="3"/>
  <c r="G41" i="10" s="1"/>
  <c r="AN22" i="3"/>
  <c r="G29" i="10" s="1"/>
  <c r="AN10" i="3"/>
  <c r="G17" i="10" s="1"/>
  <c r="AN93" i="3"/>
  <c r="G100" i="10" s="1"/>
  <c r="AN81" i="3"/>
  <c r="G88" i="10" s="1"/>
  <c r="AN69" i="3"/>
  <c r="G76" i="10" s="1"/>
  <c r="AN57" i="3"/>
  <c r="G64" i="10" s="1"/>
  <c r="AN45" i="3"/>
  <c r="G52" i="10" s="1"/>
  <c r="AN33" i="3"/>
  <c r="G40" i="10" s="1"/>
  <c r="AN21" i="3"/>
  <c r="G28" i="10" s="1"/>
  <c r="AN9" i="3"/>
  <c r="G16" i="10" s="1"/>
  <c r="AN92" i="3"/>
  <c r="G99" i="10" s="1"/>
  <c r="AN80" i="3"/>
  <c r="G87" i="10" s="1"/>
  <c r="AN68" i="3"/>
  <c r="G75" i="10" s="1"/>
  <c r="AN56" i="3"/>
  <c r="G63" i="10" s="1"/>
  <c r="AN44" i="3"/>
  <c r="G51" i="10" s="1"/>
  <c r="AN32" i="3"/>
  <c r="G39" i="10" s="1"/>
  <c r="AN20" i="3"/>
  <c r="G27" i="10" s="1"/>
  <c r="AN8" i="3"/>
  <c r="G15" i="10" s="1"/>
  <c r="AN91" i="3"/>
  <c r="G98" i="10" s="1"/>
  <c r="AN79" i="3"/>
  <c r="G86" i="10" s="1"/>
  <c r="AN67" i="3"/>
  <c r="G74" i="10" s="1"/>
  <c r="AN55" i="3"/>
  <c r="G62" i="10" s="1"/>
  <c r="AN43" i="3"/>
  <c r="G50" i="10" s="1"/>
  <c r="AN31" i="3"/>
  <c r="G38" i="10" s="1"/>
  <c r="AN19" i="3"/>
  <c r="G26" i="10" s="1"/>
  <c r="AN7" i="3"/>
  <c r="G14" i="10" s="1"/>
  <c r="AN90" i="3"/>
  <c r="G97" i="10" s="1"/>
  <c r="AN78" i="3"/>
  <c r="G85" i="10" s="1"/>
  <c r="AN66" i="3"/>
  <c r="G73" i="10" s="1"/>
  <c r="AN54" i="3"/>
  <c r="G61" i="10" s="1"/>
  <c r="AN42" i="3"/>
  <c r="G49" i="10" s="1"/>
  <c r="AN30" i="3"/>
  <c r="G37" i="10" s="1"/>
  <c r="AN18" i="3"/>
  <c r="G25" i="10" s="1"/>
  <c r="AN6" i="3"/>
  <c r="G13" i="10" s="1"/>
  <c r="AN101" i="3"/>
  <c r="G108" i="10" s="1"/>
  <c r="AN89" i="3"/>
  <c r="G96" i="10" s="1"/>
  <c r="AN77" i="3"/>
  <c r="G84" i="10" s="1"/>
  <c r="AN65" i="3"/>
  <c r="G72" i="10" s="1"/>
  <c r="AN53" i="3"/>
  <c r="G60" i="10" s="1"/>
  <c r="AN41" i="3"/>
  <c r="G48" i="10" s="1"/>
  <c r="AN29" i="3"/>
  <c r="G36" i="10" s="1"/>
  <c r="AN17" i="3"/>
  <c r="G24" i="10" s="1"/>
  <c r="AN5" i="3"/>
  <c r="G12" i="10" s="1"/>
  <c r="AN100" i="3"/>
  <c r="G107" i="10" s="1"/>
  <c r="AN88" i="3"/>
  <c r="G95" i="10" s="1"/>
  <c r="AN76" i="3"/>
  <c r="G83" i="10" s="1"/>
  <c r="AN64" i="3"/>
  <c r="G71" i="10" s="1"/>
  <c r="AN52" i="3"/>
  <c r="G59" i="10" s="1"/>
  <c r="AN40" i="3"/>
  <c r="G47" i="10" s="1"/>
  <c r="AN28" i="3"/>
  <c r="G35" i="10" s="1"/>
  <c r="AN16" i="3"/>
  <c r="G23" i="10" s="1"/>
  <c r="AN4" i="3"/>
  <c r="G11" i="10" s="1"/>
  <c r="AN99" i="3"/>
  <c r="G106" i="10" s="1"/>
  <c r="AN87" i="3"/>
  <c r="G94" i="10" s="1"/>
  <c r="AN75" i="3"/>
  <c r="G82" i="10" s="1"/>
  <c r="AN63" i="3"/>
  <c r="G70" i="10" s="1"/>
  <c r="AN51" i="3"/>
  <c r="AN39" i="3"/>
  <c r="G46" i="10" s="1"/>
  <c r="AN27" i="3"/>
  <c r="G34" i="10" s="1"/>
  <c r="AN15" i="3"/>
  <c r="G22" i="10" s="1"/>
  <c r="AN3" i="3"/>
  <c r="G10" i="10" s="1"/>
  <c r="O89" i="7"/>
  <c r="O73" i="7"/>
  <c r="O53" i="7"/>
  <c r="O37" i="7"/>
  <c r="O17" i="7"/>
  <c r="O88" i="7"/>
  <c r="O71" i="7"/>
  <c r="O52" i="7"/>
  <c r="O35" i="7"/>
  <c r="O16" i="7"/>
  <c r="O87" i="7"/>
  <c r="O69" i="7"/>
  <c r="O51" i="7"/>
  <c r="O33" i="7"/>
  <c r="O15" i="7"/>
  <c r="O86" i="7"/>
  <c r="O67" i="7"/>
  <c r="O50" i="7"/>
  <c r="O31" i="7"/>
  <c r="O14" i="7"/>
  <c r="O101" i="7"/>
  <c r="O85" i="7"/>
  <c r="O65" i="7"/>
  <c r="O49" i="7"/>
  <c r="O29" i="7"/>
  <c r="O13" i="7"/>
  <c r="O100" i="7"/>
  <c r="O83" i="7"/>
  <c r="O64" i="7"/>
  <c r="O47" i="7"/>
  <c r="O28" i="7"/>
  <c r="O11" i="7"/>
  <c r="O99" i="7"/>
  <c r="O81" i="7"/>
  <c r="O63" i="7"/>
  <c r="O45" i="7"/>
  <c r="O27" i="7"/>
  <c r="O9" i="7"/>
  <c r="O98" i="7"/>
  <c r="O79" i="7"/>
  <c r="O62" i="7"/>
  <c r="O43" i="7"/>
  <c r="O26" i="7"/>
  <c r="O7" i="7"/>
  <c r="O97" i="7"/>
  <c r="O77" i="7"/>
  <c r="O61" i="7"/>
  <c r="O41" i="7"/>
  <c r="O25" i="7"/>
  <c r="O5" i="7"/>
  <c r="O95" i="7"/>
  <c r="O76" i="7"/>
  <c r="O59" i="7"/>
  <c r="O40" i="7"/>
  <c r="O23" i="7"/>
  <c r="O4" i="7"/>
  <c r="O93" i="7"/>
  <c r="O75" i="7"/>
  <c r="O57" i="7"/>
  <c r="O39" i="7"/>
  <c r="O21" i="7"/>
  <c r="O3" i="7"/>
  <c r="O91" i="7"/>
  <c r="O74" i="7"/>
  <c r="O55" i="7"/>
  <c r="O38" i="7"/>
  <c r="O19" i="7"/>
  <c r="O96" i="7"/>
  <c r="O84" i="7"/>
  <c r="O72" i="7"/>
  <c r="O60" i="7"/>
  <c r="O48" i="7"/>
  <c r="O36" i="7"/>
  <c r="O24" i="7"/>
  <c r="O12" i="7"/>
  <c r="O94" i="7"/>
  <c r="O82" i="7"/>
  <c r="O70" i="7"/>
  <c r="O58" i="7"/>
  <c r="O46" i="7"/>
  <c r="O34" i="7"/>
  <c r="O22" i="7"/>
  <c r="O10" i="7"/>
  <c r="O92" i="7"/>
  <c r="O80" i="7"/>
  <c r="O68" i="7"/>
  <c r="O56" i="7"/>
  <c r="O44" i="7"/>
  <c r="O32" i="7"/>
  <c r="O20" i="7"/>
  <c r="O8" i="7"/>
  <c r="O90" i="7"/>
  <c r="O78" i="7"/>
  <c r="O66" i="7"/>
  <c r="O54" i="7"/>
  <c r="O42" i="7"/>
  <c r="O30" i="7"/>
  <c r="O18" i="7"/>
  <c r="O6" i="7"/>
  <c r="AF8" i="3"/>
  <c r="AE10" i="3"/>
  <c r="AE12" i="3"/>
  <c r="AF10" i="3"/>
  <c r="AF14" i="3"/>
  <c r="AF12" i="3"/>
  <c r="AE9" i="3"/>
  <c r="AF9" i="3"/>
  <c r="AE11" i="3"/>
  <c r="AE13" i="3"/>
  <c r="AE8" i="3"/>
  <c r="AF11" i="3"/>
  <c r="AF13" i="3"/>
  <c r="G58" i="10" l="1"/>
  <c r="AB18" i="3" a="1"/>
  <c r="AB18" i="3" s="1"/>
  <c r="AB19" i="3" s="1"/>
  <c r="W6" i="3"/>
  <c r="Z6" i="3" s="1"/>
  <c r="W5" i="3"/>
  <c r="Z5" i="3" s="1"/>
  <c r="W7" i="3"/>
  <c r="Z7" i="3" s="1"/>
  <c r="T106" i="10" l="1"/>
  <c r="Z10" i="3"/>
  <c r="AB13" i="3" l="1"/>
  <c r="AA13" i="3"/>
  <c r="W13" i="3" l="1"/>
  <c r="Z13" i="3" s="1"/>
  <c r="W11" i="3" l="1"/>
  <c r="F8" i="3" s="1"/>
  <c r="D20" i="3"/>
  <c r="Z11" i="3" l="1"/>
  <c r="G1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<sst xmlns="http://schemas.openxmlformats.org/spreadsheetml/2006/main" count="23685" uniqueCount="4160">
  <si>
    <t>Man</t>
  </si>
  <si>
    <t>Blue shirt</t>
  </si>
  <si>
    <t>ID</t>
  </si>
  <si>
    <t>XXXXX</t>
  </si>
  <si>
    <t>Name</t>
  </si>
  <si>
    <t>Mark</t>
  </si>
  <si>
    <t>David</t>
  </si>
  <si>
    <t>Scott</t>
  </si>
  <si>
    <t>Jennifer</t>
  </si>
  <si>
    <t>Linda</t>
  </si>
  <si>
    <t>Lisa</t>
  </si>
  <si>
    <t>Emma</t>
  </si>
  <si>
    <t>Carol</t>
  </si>
  <si>
    <t>Amanda</t>
  </si>
  <si>
    <t>Mary</t>
  </si>
  <si>
    <t>GPA</t>
  </si>
  <si>
    <t>Documents</t>
  </si>
  <si>
    <t>James</t>
  </si>
  <si>
    <t>Robert</t>
  </si>
  <si>
    <t>John</t>
  </si>
  <si>
    <t>Michael</t>
  </si>
  <si>
    <t>William</t>
  </si>
  <si>
    <t>Barbara</t>
  </si>
  <si>
    <t>Richard</t>
  </si>
  <si>
    <t>Susan</t>
  </si>
  <si>
    <t>Joseph</t>
  </si>
  <si>
    <t>Jessica</t>
  </si>
  <si>
    <t>Thomas</t>
  </si>
  <si>
    <t>Sarah</t>
  </si>
  <si>
    <t>Charles</t>
  </si>
  <si>
    <t>Daniel</t>
  </si>
  <si>
    <t>Nancy</t>
  </si>
  <si>
    <t>Matthew</t>
  </si>
  <si>
    <t>Betty</t>
  </si>
  <si>
    <t>Anthony</t>
  </si>
  <si>
    <t>Sandra</t>
  </si>
  <si>
    <t>Donald</t>
  </si>
  <si>
    <t>Ashley</t>
  </si>
  <si>
    <t>Steven</t>
  </si>
  <si>
    <t>Paul</t>
  </si>
  <si>
    <t>Emily</t>
  </si>
  <si>
    <t>Andrew</t>
  </si>
  <si>
    <t>Donna</t>
  </si>
  <si>
    <t>Joshua</t>
  </si>
  <si>
    <t>Michelle</t>
  </si>
  <si>
    <t>Kenneth</t>
  </si>
  <si>
    <t>Kevin</t>
  </si>
  <si>
    <t>Brian</t>
  </si>
  <si>
    <t>George</t>
  </si>
  <si>
    <t>Melissa</t>
  </si>
  <si>
    <t>Timothy</t>
  </si>
  <si>
    <t>Ronald</t>
  </si>
  <si>
    <t>Edward</t>
  </si>
  <si>
    <t>Rebecca</t>
  </si>
  <si>
    <t>Jason</t>
  </si>
  <si>
    <t>Sharon</t>
  </si>
  <si>
    <t>Jeffrey</t>
  </si>
  <si>
    <t>Laura</t>
  </si>
  <si>
    <t>Ryan</t>
  </si>
  <si>
    <t>Jacob</t>
  </si>
  <si>
    <t>Kathleen</t>
  </si>
  <si>
    <t>Gary</t>
  </si>
  <si>
    <t>Amy</t>
  </si>
  <si>
    <t>Nicholas</t>
  </si>
  <si>
    <t>Angela</t>
  </si>
  <si>
    <t>Eric</t>
  </si>
  <si>
    <t>Shirley</t>
  </si>
  <si>
    <t>Jonathan</t>
  </si>
  <si>
    <t>Anna</t>
  </si>
  <si>
    <t>Stephen</t>
  </si>
  <si>
    <t>Brenda</t>
  </si>
  <si>
    <t>Larry</t>
  </si>
  <si>
    <t>Pamela</t>
  </si>
  <si>
    <t>Justin</t>
  </si>
  <si>
    <t>Nicole</t>
  </si>
  <si>
    <t>Brandon</t>
  </si>
  <si>
    <t>Helen</t>
  </si>
  <si>
    <t>Benjamin</t>
  </si>
  <si>
    <t>Samantha</t>
  </si>
  <si>
    <t>Samuel</t>
  </si>
  <si>
    <t>Gregory</t>
  </si>
  <si>
    <t>Christine</t>
  </si>
  <si>
    <t>Alexander</t>
  </si>
  <si>
    <t>Frank</t>
  </si>
  <si>
    <t>Rachel</t>
  </si>
  <si>
    <t>Patrick</t>
  </si>
  <si>
    <t>Carolyn</t>
  </si>
  <si>
    <t>Raymond</t>
  </si>
  <si>
    <t>Jack</t>
  </si>
  <si>
    <t>Dennis</t>
  </si>
  <si>
    <t>Maria</t>
  </si>
  <si>
    <t>Jerry</t>
  </si>
  <si>
    <t>Heather</t>
  </si>
  <si>
    <t>man</t>
  </si>
  <si>
    <t>name</t>
  </si>
  <si>
    <t>row</t>
  </si>
  <si>
    <t>Brad</t>
  </si>
  <si>
    <t>Kyle</t>
  </si>
  <si>
    <t>Zed</t>
  </si>
  <si>
    <t>Tyler</t>
  </si>
  <si>
    <t>Aaron</t>
  </si>
  <si>
    <t>Peter</t>
  </si>
  <si>
    <t>Last 3 digits</t>
  </si>
  <si>
    <t>Luna</t>
  </si>
  <si>
    <t>Violet</t>
  </si>
  <si>
    <t>Ava</t>
  </si>
  <si>
    <t>Declan</t>
  </si>
  <si>
    <t>Scarlett</t>
  </si>
  <si>
    <t>Ella</t>
  </si>
  <si>
    <t>Rose</t>
  </si>
  <si>
    <t>Zoe</t>
  </si>
  <si>
    <t xml:space="preserve"> </t>
  </si>
  <si>
    <t xml:space="preserve">  </t>
  </si>
  <si>
    <t>This challenge was long!</t>
  </si>
  <si>
    <t>Auto Name when Saving?</t>
  </si>
  <si>
    <t>Start Time</t>
  </si>
  <si>
    <t>End Time</t>
  </si>
  <si>
    <t>Sheet</t>
  </si>
  <si>
    <t>Starting Position</t>
  </si>
  <si>
    <t>Answer Cell</t>
  </si>
  <si>
    <t>Clear Range</t>
  </si>
  <si>
    <t>Protected Range</t>
  </si>
  <si>
    <t>Visited?</t>
  </si>
  <si>
    <t>Penalty count</t>
  </si>
  <si>
    <t>Total Penalty</t>
  </si>
  <si>
    <t>Checkpoint</t>
  </si>
  <si>
    <t>Achieved?</t>
  </si>
  <si>
    <t>Hidden?</t>
  </si>
  <si>
    <t>Unhide</t>
  </si>
  <si>
    <t>Answer</t>
  </si>
  <si>
    <t>Value</t>
  </si>
  <si>
    <t>UNHIDE</t>
  </si>
  <si>
    <t>No</t>
  </si>
  <si>
    <t>Keyboarding Challenge</t>
  </si>
  <si>
    <t>A1</t>
  </si>
  <si>
    <t>Results</t>
  </si>
  <si>
    <t>A1:G141</t>
  </si>
  <si>
    <t>first</t>
  </si>
  <si>
    <t>Instructions</t>
  </si>
  <si>
    <t>A1:F30</t>
  </si>
  <si>
    <t>Spreadsheet Name</t>
  </si>
  <si>
    <t>Is Game On?</t>
  </si>
  <si>
    <t>Elapsed Time</t>
  </si>
  <si>
    <t>fourth</t>
  </si>
  <si>
    <t>fifth</t>
  </si>
  <si>
    <t>All Correct?</t>
  </si>
  <si>
    <t>Password On?</t>
  </si>
  <si>
    <t>sixth</t>
  </si>
  <si>
    <t>seventh</t>
  </si>
  <si>
    <t>eighth</t>
  </si>
  <si>
    <t>ninth</t>
  </si>
  <si>
    <t>tenth</t>
  </si>
  <si>
    <t>eleventh</t>
  </si>
  <si>
    <t>Number of Exercises</t>
  </si>
  <si>
    <t>twelveth</t>
  </si>
  <si>
    <t>thirteenth</t>
  </si>
  <si>
    <t>NumCorrect</t>
  </si>
  <si>
    <t>Number of Protected Cells</t>
  </si>
  <si>
    <t>Number of Random Values</t>
  </si>
  <si>
    <t>Spreadsheet Activations</t>
  </si>
  <si>
    <t>Live Version?</t>
  </si>
  <si>
    <t>Last Time</t>
  </si>
  <si>
    <t>Total Time</t>
  </si>
  <si>
    <t>Total Time (seconds)</t>
  </si>
  <si>
    <t>Indirect Name and ID</t>
  </si>
  <si>
    <t>Button Options</t>
  </si>
  <si>
    <t>Instructions On?</t>
  </si>
  <si>
    <t>Yes</t>
  </si>
  <si>
    <t>PC Hints On?</t>
  </si>
  <si>
    <t>Cell Types</t>
  </si>
  <si>
    <t>-------</t>
  </si>
  <si>
    <t>Mac Hints On?</t>
  </si>
  <si>
    <t>https://www.linkedin.com/sharing/share-offsite/?url=https://www.fmworldcup.com/microsoft-excel-collegiate-challenge/</t>
  </si>
  <si>
    <t>https://www.fmworldcup.com/microsoft-excel-collegiate-challenge/</t>
  </si>
  <si>
    <t>http://www.facebook.com/sharer.php?u=http%3A%2F%2Fchandoo.org%2Fwp%2F2012%2F08%2F10%2Fexcel-hurdles%2F&amp;t=I%20finished%20Excel%20Hurdle%20challenge%20in%20$$%20seconds.</t>
  </si>
  <si>
    <t>ProblemType</t>
  </si>
  <si>
    <t>WorksheetName</t>
  </si>
  <si>
    <t>Range</t>
  </si>
  <si>
    <t>Comparison</t>
  </si>
  <si>
    <t>Grade</t>
  </si>
  <si>
    <t>CorrectFeedback</t>
  </si>
  <si>
    <t>IncorrectFeedback</t>
  </si>
  <si>
    <t>CELL</t>
  </si>
  <si>
    <t>A2</t>
  </si>
  <si>
    <t>Instructions:</t>
  </si>
  <si>
    <r>
      <t xml:space="preserve">To begin, press the Start button. You will then keyboard to each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cell to complete a task.</t>
    </r>
  </si>
  <si>
    <t>Stay on the path (any cells with values)! Each step off the path adds 10 seconds to your time.</t>
  </si>
  <si>
    <t>When you complete all the tasks correctly, your total time will be recorded.</t>
  </si>
  <si>
    <t>Repeat as many times as you would like to improve your time - only your best time counts!</t>
  </si>
  <si>
    <t>Use the drop down menus below to enable task instructions and keyboard shortcut hints.</t>
  </si>
  <si>
    <t>select me!</t>
  </si>
  <si>
    <t>The instructions and hints will slow you down, so turn them off when you are ready to go fast!</t>
  </si>
  <si>
    <t xml:space="preserve">To improve your speed, and prevent leaving the path, it is strongly suggested that you change </t>
  </si>
  <si>
    <t>your settings so that the cursor does not move down when you hit enter. To do so, go to options</t>
  </si>
  <si>
    <t>and then advanced and uncheck "After pressing enter, move selection"</t>
  </si>
  <si>
    <t>For shortcuts, you may have to use the Function key with F1, F2, etc. depending on your keyboard settings.</t>
  </si>
  <si>
    <t>For additional instructions and a video walkthrough, go to:</t>
  </si>
  <si>
    <t>Controls:</t>
  </si>
  <si>
    <t>Instuctions On?</t>
  </si>
  <si>
    <t>PC Keyboard Hints On?</t>
  </si>
  <si>
    <t>Mac Keyboard Hints On?</t>
  </si>
  <si>
    <t>Hazel</t>
  </si>
  <si>
    <t>Asher</t>
  </si>
  <si>
    <t> Rowan</t>
  </si>
  <si>
    <t>Theodore</t>
  </si>
  <si>
    <t> Willow</t>
  </si>
  <si>
    <t>Oliver</t>
  </si>
  <si>
    <t> Avery</t>
  </si>
  <si>
    <t>Noah</t>
  </si>
  <si>
    <t> Ezra</t>
  </si>
  <si>
    <t>Henry</t>
  </si>
  <si>
    <t> Quinn</t>
  </si>
  <si>
    <t> Sage</t>
  </si>
  <si>
    <t> Kai</t>
  </si>
  <si>
    <t>Silas</t>
  </si>
  <si>
    <t>Liam</t>
  </si>
  <si>
    <t> Riley</t>
  </si>
  <si>
    <t>Gabriel</t>
  </si>
  <si>
    <t> River</t>
  </si>
  <si>
    <t> Genevieve</t>
  </si>
  <si>
    <t>Jasper</t>
  </si>
  <si>
    <t> Maeve</t>
  </si>
  <si>
    <t> Orion</t>
  </si>
  <si>
    <t>Felix</t>
  </si>
  <si>
    <t> Luna</t>
  </si>
  <si>
    <t> Rory</t>
  </si>
  <si>
    <t> Ava</t>
  </si>
  <si>
    <t> Harper</t>
  </si>
  <si>
    <t>Owen</t>
  </si>
  <si>
    <t> Scarlett</t>
  </si>
  <si>
    <t> Ember</t>
  </si>
  <si>
    <t> Eleanor</t>
  </si>
  <si>
    <t> Logan</t>
  </si>
  <si>
    <t> Audrey</t>
  </si>
  <si>
    <t> Briar</t>
  </si>
  <si>
    <t>Ethan</t>
  </si>
  <si>
    <t> Iris</t>
  </si>
  <si>
    <t> Eden</t>
  </si>
  <si>
    <t>Sebastian</t>
  </si>
  <si>
    <t> Wren</t>
  </si>
  <si>
    <t> Jude</t>
  </si>
  <si>
    <t>Elijah</t>
  </si>
  <si>
    <t> Isla</t>
  </si>
  <si>
    <t> Indigo</t>
  </si>
  <si>
    <t>Atticus</t>
  </si>
  <si>
    <t> Adelaide</t>
  </si>
  <si>
    <t> Harlow</t>
  </si>
  <si>
    <t>Archer</t>
  </si>
  <si>
    <t> Adeline</t>
  </si>
  <si>
    <t> Artemis</t>
  </si>
  <si>
    <t>Atlas</t>
  </si>
  <si>
    <t> James</t>
  </si>
  <si>
    <t>Everett</t>
  </si>
  <si>
    <t> Vivienne</t>
  </si>
  <si>
    <t> Blair</t>
  </si>
  <si>
    <t>Milo</t>
  </si>
  <si>
    <t> Eloise</t>
  </si>
  <si>
    <t> Darcy</t>
  </si>
  <si>
    <t>August</t>
  </si>
  <si>
    <t> Elizabeth</t>
  </si>
  <si>
    <t> Lux</t>
  </si>
  <si>
    <t>Leo</t>
  </si>
  <si>
    <t> Alice</t>
  </si>
  <si>
    <t>Levi</t>
  </si>
  <si>
    <t> Grace</t>
  </si>
  <si>
    <t> Flynn</t>
  </si>
  <si>
    <t>Isaac</t>
  </si>
  <si>
    <t> Rain</t>
  </si>
  <si>
    <t>Emmett</t>
  </si>
  <si>
    <t> Ophelia</t>
  </si>
  <si>
    <t> Morgan</t>
  </si>
  <si>
    <t> Naomi</t>
  </si>
  <si>
    <t> Emerson</t>
  </si>
  <si>
    <t>Arthur</t>
  </si>
  <si>
    <t> Evangeline</t>
  </si>
  <si>
    <t> Addison</t>
  </si>
  <si>
    <t> Emma</t>
  </si>
  <si>
    <t> Dakota</t>
  </si>
  <si>
    <t>Elliott</t>
  </si>
  <si>
    <t> Ella</t>
  </si>
  <si>
    <t> Aspen</t>
  </si>
  <si>
    <t>Theo</t>
  </si>
  <si>
    <t> Penelope</t>
  </si>
  <si>
    <t> Aubrey</t>
  </si>
  <si>
    <t>Ronan</t>
  </si>
  <si>
    <t> Clara</t>
  </si>
  <si>
    <t> Raine</t>
  </si>
  <si>
    <t>Evander</t>
  </si>
  <si>
    <t> Ellis</t>
  </si>
  <si>
    <t>Caleb</t>
  </si>
  <si>
    <t> Anastasia</t>
  </si>
  <si>
    <t> Jade</t>
  </si>
  <si>
    <t> Beckett</t>
  </si>
  <si>
    <t>Elias</t>
  </si>
  <si>
    <t> Chloe</t>
  </si>
  <si>
    <t> Raven</t>
  </si>
  <si>
    <t> Cora</t>
  </si>
  <si>
    <t>Arlo</t>
  </si>
  <si>
    <t> Rose</t>
  </si>
  <si>
    <t> Poppy</t>
  </si>
  <si>
    <t>Malachi</t>
  </si>
  <si>
    <t> Stella</t>
  </si>
  <si>
    <t> Julian</t>
  </si>
  <si>
    <t>Hudson</t>
  </si>
  <si>
    <t> Cameron</t>
  </si>
  <si>
    <t> Athena</t>
  </si>
  <si>
    <t> Charlie</t>
  </si>
  <si>
    <t> Phoebe</t>
  </si>
  <si>
    <t> Fallon</t>
  </si>
  <si>
    <t>Micah</t>
  </si>
  <si>
    <t> Greer</t>
  </si>
  <si>
    <t>Rhys</t>
  </si>
  <si>
    <t> Piper</t>
  </si>
  <si>
    <t> Sawyer</t>
  </si>
  <si>
    <t>Wesley</t>
  </si>
  <si>
    <t> Echo</t>
  </si>
  <si>
    <t> Alex</t>
  </si>
  <si>
    <t>Cole</t>
  </si>
  <si>
    <t> Bennett</t>
  </si>
  <si>
    <t> Skye</t>
  </si>
  <si>
    <t>Wyatt</t>
  </si>
  <si>
    <t> Jordan</t>
  </si>
  <si>
    <t>Lucien</t>
  </si>
  <si>
    <t> Evan</t>
  </si>
  <si>
    <t>Simon</t>
  </si>
  <si>
    <t> Thea</t>
  </si>
  <si>
    <t> Parker</t>
  </si>
  <si>
    <t>Soren</t>
  </si>
  <si>
    <t> Robin</t>
  </si>
  <si>
    <t>Beau</t>
  </si>
  <si>
    <t> Dylan</t>
  </si>
  <si>
    <t>Axel</t>
  </si>
  <si>
    <t> Remi</t>
  </si>
  <si>
    <t> Zephyr</t>
  </si>
  <si>
    <t>Nathaniel</t>
  </si>
  <si>
    <t> Amethyst</t>
  </si>
  <si>
    <t> Brooks</t>
  </si>
  <si>
    <t>Holden</t>
  </si>
  <si>
    <t> Arden</t>
  </si>
  <si>
    <t> Hayden</t>
  </si>
  <si>
    <t>Harrison</t>
  </si>
  <si>
    <t> Blake</t>
  </si>
  <si>
    <t>Luke</t>
  </si>
  <si>
    <t>Vincent</t>
  </si>
  <si>
    <t> Hunter</t>
  </si>
  <si>
    <t>Calix</t>
  </si>
  <si>
    <t> Phoenix</t>
  </si>
  <si>
    <t>Ezra</t>
  </si>
  <si>
    <t> Spencer</t>
  </si>
  <si>
    <t> Shiloh</t>
  </si>
  <si>
    <t>Isaiah</t>
  </si>
  <si>
    <t> Ashton</t>
  </si>
  <si>
    <t>Callum</t>
  </si>
  <si>
    <t> Lennox</t>
  </si>
  <si>
    <t>Landon</t>
  </si>
  <si>
    <t> Salem</t>
  </si>
  <si>
    <t>Dante</t>
  </si>
  <si>
    <t> Nova</t>
  </si>
  <si>
    <t>Hugo</t>
  </si>
  <si>
    <t> Hadley</t>
  </si>
  <si>
    <t>Tobias</t>
  </si>
  <si>
    <t> Reese</t>
  </si>
  <si>
    <t> Aero</t>
  </si>
  <si>
    <t>Rowan</t>
  </si>
  <si>
    <t> Akira</t>
  </si>
  <si>
    <t>Jonah</t>
  </si>
  <si>
    <t> Cassidy</t>
  </si>
  <si>
    <t>Dominic</t>
  </si>
  <si>
    <t> Avalon</t>
  </si>
  <si>
    <t>Cyrus</t>
  </si>
  <si>
    <t> Dorian</t>
  </si>
  <si>
    <t>Nolan</t>
  </si>
  <si>
    <t> Oakley</t>
  </si>
  <si>
    <t>Gideon</t>
  </si>
  <si>
    <t> Remy</t>
  </si>
  <si>
    <t> Bailey</t>
  </si>
  <si>
    <t>Alaric</t>
  </si>
  <si>
    <t> Alexis</t>
  </si>
  <si>
    <t>Keiran</t>
  </si>
  <si>
    <t> Sasha</t>
  </si>
  <si>
    <t> Adalia</t>
  </si>
  <si>
    <t> Serena</t>
  </si>
  <si>
    <t> Ariel</t>
  </si>
  <si>
    <t>Caspian</t>
  </si>
  <si>
    <t> Kieran</t>
  </si>
  <si>
    <t>Lincoln</t>
  </si>
  <si>
    <t> Cedar</t>
  </si>
  <si>
    <t> Clove</t>
  </si>
  <si>
    <t>Rhett</t>
  </si>
  <si>
    <t> Ares</t>
  </si>
  <si>
    <t>Roman</t>
  </si>
  <si>
    <t>Nathan</t>
  </si>
  <si>
    <t> Ash</t>
  </si>
  <si>
    <t>Zachary</t>
  </si>
  <si>
    <t> Cade</t>
  </si>
  <si>
    <t>Mateo</t>
  </si>
  <si>
    <t>Apollo</t>
  </si>
  <si>
    <t> Forest</t>
  </si>
  <si>
    <t>Chase</t>
  </si>
  <si>
    <t> Valentine</t>
  </si>
  <si>
    <t> Lily</t>
  </si>
  <si>
    <t> Aail</t>
  </si>
  <si>
    <t> Reagan</t>
  </si>
  <si>
    <t> Everly</t>
  </si>
  <si>
    <t> Claire</t>
  </si>
  <si>
    <t>Jackson</t>
  </si>
  <si>
    <t>Hanna</t>
  </si>
  <si>
    <t>Adrien</t>
  </si>
  <si>
    <t>Juliette</t>
  </si>
  <si>
    <t>Zander</t>
  </si>
  <si>
    <t>Arya</t>
  </si>
  <si>
    <t>Maia</t>
  </si>
  <si>
    <t>Rider</t>
  </si>
  <si>
    <t>Lilah</t>
  </si>
  <si>
    <t>Margo</t>
  </si>
  <si>
    <t>Adalynn</t>
  </si>
  <si>
    <t>Damien</t>
  </si>
  <si>
    <t>Kaya</t>
  </si>
  <si>
    <t>Skyler</t>
  </si>
  <si>
    <t>Tegan</t>
  </si>
  <si>
    <t>Fynn</t>
  </si>
  <si>
    <t>Sofia</t>
  </si>
  <si>
    <t>Finlay</t>
  </si>
  <si>
    <t>Freja</t>
  </si>
  <si>
    <t>Luka</t>
  </si>
  <si>
    <t>Aiden</t>
  </si>
  <si>
    <t>Greyson</t>
  </si>
  <si>
    <t>Alistair</t>
  </si>
  <si>
    <t>Alivia</t>
  </si>
  <si>
    <t>Norah</t>
  </si>
  <si>
    <t>Lukas</t>
  </si>
  <si>
    <t>Lidia</t>
  </si>
  <si>
    <t>Myles</t>
  </si>
  <si>
    <t>Daisy</t>
  </si>
  <si>
    <t>Vera</t>
  </si>
  <si>
    <t>Sienna</t>
  </si>
  <si>
    <t>Calliope</t>
  </si>
  <si>
    <t>male</t>
  </si>
  <si>
    <t>female</t>
  </si>
  <si>
    <t>Aurora</t>
  </si>
  <si>
    <t>Charlotte</t>
  </si>
  <si>
    <t>Amelia</t>
  </si>
  <si>
    <t>Evelyn</t>
  </si>
  <si>
    <t>Ivy</t>
  </si>
  <si>
    <t>Elise</t>
  </si>
  <si>
    <t>Natalie</t>
  </si>
  <si>
    <t>Sophie</t>
  </si>
  <si>
    <t>Nyx</t>
  </si>
  <si>
    <t>Willow</t>
  </si>
  <si>
    <t>Florence</t>
  </si>
  <si>
    <t>Victoria</t>
  </si>
  <si>
    <t>Aaliyah</t>
  </si>
  <si>
    <t>Elodie</t>
  </si>
  <si>
    <t>Delilah</t>
  </si>
  <si>
    <t>Arabella</t>
  </si>
  <si>
    <t>Imogen</t>
  </si>
  <si>
    <t>Mabel</t>
  </si>
  <si>
    <t>Olive</t>
  </si>
  <si>
    <t>Daphne</t>
  </si>
  <si>
    <t>Eliza</t>
  </si>
  <si>
    <t>Clementine</t>
  </si>
  <si>
    <t>Matilda</t>
  </si>
  <si>
    <t>Mia</t>
  </si>
  <si>
    <t>Autumn</t>
  </si>
  <si>
    <t>Dahlia</t>
  </si>
  <si>
    <t>Mila</t>
  </si>
  <si>
    <t>Lorelei</t>
  </si>
  <si>
    <t>Celeste</t>
  </si>
  <si>
    <t>Eliana</t>
  </si>
  <si>
    <t>Saoirse</t>
  </si>
  <si>
    <t>Josephine</t>
  </si>
  <si>
    <t>Sadie</t>
  </si>
  <si>
    <t>Esme</t>
  </si>
  <si>
    <t>Aurelia</t>
  </si>
  <si>
    <t>Ada</t>
  </si>
  <si>
    <t>Lilith</t>
  </si>
  <si>
    <t>Isabella</t>
  </si>
  <si>
    <t>Rosalie</t>
  </si>
  <si>
    <t>Ruby</t>
  </si>
  <si>
    <t>Lucy</t>
  </si>
  <si>
    <t>Astrid</t>
  </si>
  <si>
    <t>Juniper</t>
  </si>
  <si>
    <t>NAMES</t>
  </si>
  <si>
    <t>MAN</t>
  </si>
  <si>
    <t>Name2</t>
  </si>
  <si>
    <t>Rory</t>
  </si>
  <si>
    <t>Harper</t>
  </si>
  <si>
    <t>Logan</t>
  </si>
  <si>
    <t>Eden</t>
  </si>
  <si>
    <t>Quinn</t>
  </si>
  <si>
    <t>Jade</t>
  </si>
  <si>
    <t>Alex</t>
  </si>
  <si>
    <t>Fallon</t>
  </si>
  <si>
    <t>Jordan</t>
  </si>
  <si>
    <t>Remi</t>
  </si>
  <si>
    <t>Girls name</t>
  </si>
  <si>
    <t>Boys name</t>
  </si>
  <si>
    <t>Share your best result!</t>
  </si>
  <si>
    <t>Current Result:</t>
  </si>
  <si>
    <t>Date and Time</t>
  </si>
  <si>
    <t>Time Elapsed</t>
  </si>
  <si>
    <t>Penalty Count</t>
  </si>
  <si>
    <t>Best Result:</t>
  </si>
  <si>
    <t>All Results:</t>
  </si>
  <si>
    <t>Best Time Elapsed</t>
  </si>
  <si>
    <t>Best Penalty Count</t>
  </si>
  <si>
    <t>Best Total Time</t>
  </si>
  <si>
    <t>Total Time in Spreadsheet</t>
  </si>
  <si>
    <t>M</t>
  </si>
  <si>
    <t>G</t>
  </si>
  <si>
    <t>N</t>
  </si>
  <si>
    <t>O</t>
  </si>
  <si>
    <t>P</t>
  </si>
  <si>
    <t>R</t>
  </si>
  <si>
    <t>S</t>
  </si>
  <si>
    <t>U</t>
  </si>
  <si>
    <t>V</t>
  </si>
  <si>
    <t>AA</t>
  </si>
  <si>
    <t>START</t>
  </si>
  <si>
    <t>GPA (filled)</t>
  </si>
  <si>
    <t>Winner</t>
  </si>
  <si>
    <t>B10</t>
  </si>
  <si>
    <t>Excel_Reception</t>
  </si>
  <si>
    <t>fourteenth</t>
  </si>
  <si>
    <t>L</t>
  </si>
  <si>
    <t>Q</t>
  </si>
  <si>
    <t>W</t>
  </si>
  <si>
    <t>X</t>
  </si>
  <si>
    <t>Y</t>
  </si>
  <si>
    <t>FINISH</t>
  </si>
  <si>
    <t>Case Authors:</t>
  </si>
  <si>
    <t>Poorya Mehrabinia</t>
  </si>
  <si>
    <t>David Brown</t>
  </si>
  <si>
    <t>Random Controls</t>
  </si>
  <si>
    <t>https://youtu.be/A2U12-ptHGc</t>
  </si>
  <si>
    <t>AB</t>
  </si>
  <si>
    <t>https://youtu.be/5w2lF7K7nT4</t>
  </si>
  <si>
    <t>You have to click on enable content, to begin editing in your file.</t>
  </si>
  <si>
    <t>After enabling you would see an error like this:</t>
  </si>
  <si>
    <t>This error often occurs when you download a macro-enabled excel workbook.</t>
  </si>
  <si>
    <t>To cater this error:</t>
  </si>
  <si>
    <t>1. Go on file location where you have saved the file.</t>
  </si>
  <si>
    <t>2. Right click on the file and open properties</t>
  </si>
  <si>
    <t>3. In properties section, click on general setting:</t>
  </si>
  <si>
    <t>4. In general setting, look at the bottom at security column and select Unblock.</t>
  </si>
  <si>
    <t>5. Then click apply and open your workbook.</t>
  </si>
  <si>
    <t>Now error would be removed from the workbook.</t>
  </si>
  <si>
    <t>When you download this file, you may see an instruction like this on your worksheet:</t>
  </si>
  <si>
    <t>How to disable Macro Security and Unblock Macros:</t>
  </si>
  <si>
    <t>To make the spreadsheet work, you will have to enable macros by checking "Unblock" under the security</t>
  </si>
  <si>
    <t>security settings of the file's properties. See the next tab or watch this video:</t>
  </si>
  <si>
    <t>MECC Keyboarding Challenge (2023 Edition)</t>
  </si>
  <si>
    <t>Best Result</t>
  </si>
  <si>
    <t>Adjusted Value</t>
  </si>
  <si>
    <t>Value(1)</t>
  </si>
  <si>
    <t>1,000,000 points for completion</t>
  </si>
  <si>
    <t>You have not completed the exercise</t>
  </si>
  <si>
    <t>Time Grading</t>
  </si>
  <si>
    <t>B2</t>
  </si>
  <si>
    <t>Your total score is 1,000,000 minus your total time with a max of 1 hour</t>
  </si>
  <si>
    <t>This is used to record your time</t>
  </si>
  <si>
    <t>Value(2)</t>
  </si>
  <si>
    <t>Value(3)</t>
  </si>
  <si>
    <t>Value(4)</t>
  </si>
  <si>
    <t>Value(5)</t>
  </si>
  <si>
    <t>Value(6)</t>
  </si>
  <si>
    <t>Value(7)</t>
  </si>
  <si>
    <t>Value(8)</t>
  </si>
  <si>
    <t>Value(9)</t>
  </si>
  <si>
    <t>Value(10)</t>
  </si>
  <si>
    <t>Value(11)</t>
  </si>
  <si>
    <t>Value(12)</t>
  </si>
  <si>
    <t>Value(13)</t>
  </si>
  <si>
    <t>Value(14)</t>
  </si>
  <si>
    <t>Value(15)</t>
  </si>
  <si>
    <t>Value(16)</t>
  </si>
  <si>
    <t>Value(17)</t>
  </si>
  <si>
    <t>Value(18)</t>
  </si>
  <si>
    <t>Value(19)</t>
  </si>
  <si>
    <t>Value(20)</t>
  </si>
  <si>
    <t>Value(21)</t>
  </si>
  <si>
    <t>Value(22)</t>
  </si>
  <si>
    <t>Value(23)</t>
  </si>
  <si>
    <t>Value(24)</t>
  </si>
  <si>
    <t>Value(25)</t>
  </si>
  <si>
    <t>Value(26)</t>
  </si>
  <si>
    <t>Value(27)</t>
  </si>
  <si>
    <t>Value(28)</t>
  </si>
  <si>
    <t>Value(29)</t>
  </si>
  <si>
    <t>Value(30)</t>
  </si>
  <si>
    <t>Value(31)</t>
  </si>
  <si>
    <t>Value(32)</t>
  </si>
  <si>
    <t>Value(33)</t>
  </si>
  <si>
    <t>Value(34)</t>
  </si>
  <si>
    <t>Value(35)</t>
  </si>
  <si>
    <t>Value(36)</t>
  </si>
  <si>
    <t>Value(37)</t>
  </si>
  <si>
    <t>Value(38)</t>
  </si>
  <si>
    <t>Value(39)</t>
  </si>
  <si>
    <t>Value(40)</t>
  </si>
  <si>
    <t>Value(41)</t>
  </si>
  <si>
    <t>Value(42)</t>
  </si>
  <si>
    <t>Value(43)</t>
  </si>
  <si>
    <t>Value(44)</t>
  </si>
  <si>
    <t>Value(45)</t>
  </si>
  <si>
    <t>Value(46)</t>
  </si>
  <si>
    <t>Value(47)</t>
  </si>
  <si>
    <t>Value(48)</t>
  </si>
  <si>
    <t>Value(49)</t>
  </si>
  <si>
    <t>Value(50)</t>
  </si>
  <si>
    <t>Value(51)</t>
  </si>
  <si>
    <t>Value(52)</t>
  </si>
  <si>
    <t>Value(53)</t>
  </si>
  <si>
    <t>Value(54)</t>
  </si>
  <si>
    <t>Value(55)</t>
  </si>
  <si>
    <t>Value(56)</t>
  </si>
  <si>
    <t>Value(57)</t>
  </si>
  <si>
    <t>Value(58)</t>
  </si>
  <si>
    <t>Value(59)</t>
  </si>
  <si>
    <t>Value(60)</t>
  </si>
  <si>
    <t>Value(61)</t>
  </si>
  <si>
    <t>Value(62)</t>
  </si>
  <si>
    <t>Value(63)</t>
  </si>
  <si>
    <t>Value(64)</t>
  </si>
  <si>
    <t>Value(65)</t>
  </si>
  <si>
    <t>Value(66)</t>
  </si>
  <si>
    <t>Value(67)</t>
  </si>
  <si>
    <t>Value(68)</t>
  </si>
  <si>
    <t>Value(69)</t>
  </si>
  <si>
    <t>Value(70)</t>
  </si>
  <si>
    <t>Value(71)</t>
  </si>
  <si>
    <t>Value(72)</t>
  </si>
  <si>
    <t>Value(73)</t>
  </si>
  <si>
    <t>Value(74)</t>
  </si>
  <si>
    <t>Value(75)</t>
  </si>
  <si>
    <t>Value(76)</t>
  </si>
  <si>
    <t>Value(77)</t>
  </si>
  <si>
    <t>Value(78)</t>
  </si>
  <si>
    <t>Value(79)</t>
  </si>
  <si>
    <t>Value(80)</t>
  </si>
  <si>
    <t>Value(81)</t>
  </si>
  <si>
    <t>Value(82)</t>
  </si>
  <si>
    <t>Value(83)</t>
  </si>
  <si>
    <t>Value(84)</t>
  </si>
  <si>
    <t>Value(85)</t>
  </si>
  <si>
    <t>Value(86)</t>
  </si>
  <si>
    <t>Value(87)</t>
  </si>
  <si>
    <t>Value(88)</t>
  </si>
  <si>
    <t>Value(89)</t>
  </si>
  <si>
    <t>Value(90)</t>
  </si>
  <si>
    <t>Value(91)</t>
  </si>
  <si>
    <t>Value(92)</t>
  </si>
  <si>
    <t>Value(93)</t>
  </si>
  <si>
    <t>Value(94)</t>
  </si>
  <si>
    <t>Value(95)</t>
  </si>
  <si>
    <t>Value(96)</t>
  </si>
  <si>
    <t>Value(97)</t>
  </si>
  <si>
    <t>Value(98)</t>
  </si>
  <si>
    <t>Value(99)</t>
  </si>
  <si>
    <t>Value(100)</t>
  </si>
  <si>
    <t>Value(101)</t>
  </si>
  <si>
    <t>Value(102)</t>
  </si>
  <si>
    <t>Value(103)</t>
  </si>
  <si>
    <t>Value(104)</t>
  </si>
  <si>
    <t>Value(105)</t>
  </si>
  <si>
    <t>Value(106)</t>
  </si>
  <si>
    <t>Value(107)</t>
  </si>
  <si>
    <t>Value(108)</t>
  </si>
  <si>
    <t>Value(109)</t>
  </si>
  <si>
    <t>Value(110)</t>
  </si>
  <si>
    <t>Value(111)</t>
  </si>
  <si>
    <t>Value(112)</t>
  </si>
  <si>
    <t>Value(113)</t>
  </si>
  <si>
    <t>Value(114)</t>
  </si>
  <si>
    <t>Value(115)</t>
  </si>
  <si>
    <t>Value(116)</t>
  </si>
  <si>
    <t>Value(117)</t>
  </si>
  <si>
    <t>Value(118)</t>
  </si>
  <si>
    <t>Value(119)</t>
  </si>
  <si>
    <t>Value(120)</t>
  </si>
  <si>
    <t>Value(121)</t>
  </si>
  <si>
    <t>Value(122)</t>
  </si>
  <si>
    <t>Value(123)</t>
  </si>
  <si>
    <t>Value(124)</t>
  </si>
  <si>
    <t>Value(125)</t>
  </si>
  <si>
    <t>Value(126)</t>
  </si>
  <si>
    <t>Value(127)</t>
  </si>
  <si>
    <t>Value(128)</t>
  </si>
  <si>
    <t>Value(129)</t>
  </si>
  <si>
    <t>Value(130)</t>
  </si>
  <si>
    <t>Value(131)</t>
  </si>
  <si>
    <t>Value(132)</t>
  </si>
  <si>
    <t>Value(133)</t>
  </si>
  <si>
    <t>Value(134)</t>
  </si>
  <si>
    <t>Value(135)</t>
  </si>
  <si>
    <t>Value(136)</t>
  </si>
  <si>
    <t>Value(137)</t>
  </si>
  <si>
    <t>Value(138)</t>
  </si>
  <si>
    <t>Value(139)</t>
  </si>
  <si>
    <t>Value(140)</t>
  </si>
  <si>
    <t>Value(141)</t>
  </si>
  <si>
    <t>Value(142)</t>
  </si>
  <si>
    <t>Value(143)</t>
  </si>
  <si>
    <t>Value(144)</t>
  </si>
  <si>
    <t>Value(145)</t>
  </si>
  <si>
    <t>Value(146)</t>
  </si>
  <si>
    <t>Value(147)</t>
  </si>
  <si>
    <t>Value(148)</t>
  </si>
  <si>
    <t>Value(149)</t>
  </si>
  <si>
    <t>Value(150)</t>
  </si>
  <si>
    <t>Value(151)</t>
  </si>
  <si>
    <t>Value(152)</t>
  </si>
  <si>
    <t>Value(153)</t>
  </si>
  <si>
    <t>Value(154)</t>
  </si>
  <si>
    <t>Value(155)</t>
  </si>
  <si>
    <t>Value(156)</t>
  </si>
  <si>
    <t>Value(157)</t>
  </si>
  <si>
    <t>Value(158)</t>
  </si>
  <si>
    <t>Value(159)</t>
  </si>
  <si>
    <t>Value(160)</t>
  </si>
  <si>
    <t>Value(161)</t>
  </si>
  <si>
    <t>Value(162)</t>
  </si>
  <si>
    <t>Value(163)</t>
  </si>
  <si>
    <t>Value(164)</t>
  </si>
  <si>
    <t>Value(165)</t>
  </si>
  <si>
    <t>Value(166)</t>
  </si>
  <si>
    <t>Value(167)</t>
  </si>
  <si>
    <t>Value(168)</t>
  </si>
  <si>
    <t>Value(169)</t>
  </si>
  <si>
    <t>Value(170)</t>
  </si>
  <si>
    <t>Value(171)</t>
  </si>
  <si>
    <t>Value(172)</t>
  </si>
  <si>
    <t>Value(173)</t>
  </si>
  <si>
    <t>Value(174)</t>
  </si>
  <si>
    <t>Value(175)</t>
  </si>
  <si>
    <t>Value(176)</t>
  </si>
  <si>
    <t>Value(177)</t>
  </si>
  <si>
    <t>Value(178)</t>
  </si>
  <si>
    <t>Value(179)</t>
  </si>
  <si>
    <t>Value(180)</t>
  </si>
  <si>
    <t>Value(181)</t>
  </si>
  <si>
    <t>Value(182)</t>
  </si>
  <si>
    <t>Value(183)</t>
  </si>
  <si>
    <t>Value(184)</t>
  </si>
  <si>
    <t>Value(185)</t>
  </si>
  <si>
    <t>Value(186)</t>
  </si>
  <si>
    <t>Value(187)</t>
  </si>
  <si>
    <t>Value(188)</t>
  </si>
  <si>
    <t>Value(189)</t>
  </si>
  <si>
    <t>Value(190)</t>
  </si>
  <si>
    <t>Value(191)</t>
  </si>
  <si>
    <t>Value(192)</t>
  </si>
  <si>
    <t>Value(193)</t>
  </si>
  <si>
    <t>Value(194)</t>
  </si>
  <si>
    <t>Value(195)</t>
  </si>
  <si>
    <t>Value(196)</t>
  </si>
  <si>
    <t>Value(197)</t>
  </si>
  <si>
    <t>Value(198)</t>
  </si>
  <si>
    <t>Value(199)</t>
  </si>
  <si>
    <t>Value(200)</t>
  </si>
  <si>
    <t>Value(201)</t>
  </si>
  <si>
    <t>Value(202)</t>
  </si>
  <si>
    <t>Value(203)</t>
  </si>
  <si>
    <t>Value(204)</t>
  </si>
  <si>
    <t>Value(205)</t>
  </si>
  <si>
    <t>Value(206)</t>
  </si>
  <si>
    <t>Value(207)</t>
  </si>
  <si>
    <t>Value(208)</t>
  </si>
  <si>
    <t>Value(209)</t>
  </si>
  <si>
    <t>Value(210)</t>
  </si>
  <si>
    <t>Value(211)</t>
  </si>
  <si>
    <t>Value(212)</t>
  </si>
  <si>
    <t>Value(213)</t>
  </si>
  <si>
    <t>Value(214)</t>
  </si>
  <si>
    <t>Value(215)</t>
  </si>
  <si>
    <t>Value(216)</t>
  </si>
  <si>
    <t>Value(217)</t>
  </si>
  <si>
    <t>Value(218)</t>
  </si>
  <si>
    <t>Value(219)</t>
  </si>
  <si>
    <t>Value(220)</t>
  </si>
  <si>
    <t>Value(221)</t>
  </si>
  <si>
    <t>Value(222)</t>
  </si>
  <si>
    <t>Value(223)</t>
  </si>
  <si>
    <t>Value(224)</t>
  </si>
  <si>
    <t>Value(225)</t>
  </si>
  <si>
    <t>Value(226)</t>
  </si>
  <si>
    <t>Value(227)</t>
  </si>
  <si>
    <t>Value(228)</t>
  </si>
  <si>
    <t>Value(229)</t>
  </si>
  <si>
    <t>Value(230)</t>
  </si>
  <si>
    <t>Value(231)</t>
  </si>
  <si>
    <t>Value(232)</t>
  </si>
  <si>
    <t>Value(233)</t>
  </si>
  <si>
    <t>Value(234)</t>
  </si>
  <si>
    <t>Value(235)</t>
  </si>
  <si>
    <t>Value(236)</t>
  </si>
  <si>
    <t>Value(237)</t>
  </si>
  <si>
    <t>Value(238)</t>
  </si>
  <si>
    <t>Value(239)</t>
  </si>
  <si>
    <t>Value(240)</t>
  </si>
  <si>
    <t>Value(241)</t>
  </si>
  <si>
    <t>Value(242)</t>
  </si>
  <si>
    <t>Value(243)</t>
  </si>
  <si>
    <t>Value(244)</t>
  </si>
  <si>
    <t>Value(245)</t>
  </si>
  <si>
    <t>Value(246)</t>
  </si>
  <si>
    <t>Value(247)</t>
  </si>
  <si>
    <t>Value(248)</t>
  </si>
  <si>
    <t>Value(249)</t>
  </si>
  <si>
    <t>Value(250)</t>
  </si>
  <si>
    <t>Value(251)</t>
  </si>
  <si>
    <t>Value(252)</t>
  </si>
  <si>
    <t>Value(253)</t>
  </si>
  <si>
    <t>Value(254)</t>
  </si>
  <si>
    <t>Value(255)</t>
  </si>
  <si>
    <t>Value(256)</t>
  </si>
  <si>
    <t>Value(257)</t>
  </si>
  <si>
    <t>Value(258)</t>
  </si>
  <si>
    <t>Value(259)</t>
  </si>
  <si>
    <t>Value(260)</t>
  </si>
  <si>
    <t>Value(261)</t>
  </si>
  <si>
    <t>Value(262)</t>
  </si>
  <si>
    <t>Value(263)</t>
  </si>
  <si>
    <t>Value(264)</t>
  </si>
  <si>
    <t>Value(265)</t>
  </si>
  <si>
    <t>Value(266)</t>
  </si>
  <si>
    <t>Value(267)</t>
  </si>
  <si>
    <t>Value(268)</t>
  </si>
  <si>
    <t>Value(269)</t>
  </si>
  <si>
    <t>Value(270)</t>
  </si>
  <si>
    <t>Value(271)</t>
  </si>
  <si>
    <t>Value(272)</t>
  </si>
  <si>
    <t>Value(273)</t>
  </si>
  <si>
    <t>Value(274)</t>
  </si>
  <si>
    <t>Value(275)</t>
  </si>
  <si>
    <t>Value(276)</t>
  </si>
  <si>
    <t>Value(277)</t>
  </si>
  <si>
    <t>Value(278)</t>
  </si>
  <si>
    <t>Value(279)</t>
  </si>
  <si>
    <t>Value(280)</t>
  </si>
  <si>
    <t>Value(281)</t>
  </si>
  <si>
    <t>Value(282)</t>
  </si>
  <si>
    <t>Value(283)</t>
  </si>
  <si>
    <t>Value(284)</t>
  </si>
  <si>
    <t>Value(285)</t>
  </si>
  <si>
    <t>Value(286)</t>
  </si>
  <si>
    <t>Value(287)</t>
  </si>
  <si>
    <t>Value(288)</t>
  </si>
  <si>
    <t>Value(289)</t>
  </si>
  <si>
    <t>Value(290)</t>
  </si>
  <si>
    <t>Value(291)</t>
  </si>
  <si>
    <t>Value(292)</t>
  </si>
  <si>
    <t>Value(293)</t>
  </si>
  <si>
    <t>Value(294)</t>
  </si>
  <si>
    <t>Value(295)</t>
  </si>
  <si>
    <t>Value(296)</t>
  </si>
  <si>
    <t>Value(297)</t>
  </si>
  <si>
    <t>Value(298)</t>
  </si>
  <si>
    <t>Value(299)</t>
  </si>
  <si>
    <t>Value(300)</t>
  </si>
  <si>
    <t>Value(301)</t>
  </si>
  <si>
    <t>Value(302)</t>
  </si>
  <si>
    <t>Value(303)</t>
  </si>
  <si>
    <t>Value(304)</t>
  </si>
  <si>
    <t>Value(305)</t>
  </si>
  <si>
    <t>Value(306)</t>
  </si>
  <si>
    <t>Value(307)</t>
  </si>
  <si>
    <t>Value(308)</t>
  </si>
  <si>
    <t>Value(309)</t>
  </si>
  <si>
    <t>Value(310)</t>
  </si>
  <si>
    <t>Value(311)</t>
  </si>
  <si>
    <t>Value(312)</t>
  </si>
  <si>
    <t>Value(313)</t>
  </si>
  <si>
    <t>Value(314)</t>
  </si>
  <si>
    <t>Value(315)</t>
  </si>
  <si>
    <t>Value(316)</t>
  </si>
  <si>
    <t>Value(317)</t>
  </si>
  <si>
    <t>Value(318)</t>
  </si>
  <si>
    <t>Value(319)</t>
  </si>
  <si>
    <t>Value(320)</t>
  </si>
  <si>
    <t>Value(321)</t>
  </si>
  <si>
    <t>Value(322)</t>
  </si>
  <si>
    <t>Value(323)</t>
  </si>
  <si>
    <t>Value(324)</t>
  </si>
  <si>
    <t>Value(325)</t>
  </si>
  <si>
    <t>Value(326)</t>
  </si>
  <si>
    <t>Value(327)</t>
  </si>
  <si>
    <t>Value(328)</t>
  </si>
  <si>
    <t>Value(329)</t>
  </si>
  <si>
    <t>Value(330)</t>
  </si>
  <si>
    <t>Value(331)</t>
  </si>
  <si>
    <t>Value(332)</t>
  </si>
  <si>
    <t>Value(333)</t>
  </si>
  <si>
    <t>Value(334)</t>
  </si>
  <si>
    <t>Value(335)</t>
  </si>
  <si>
    <t>Value(336)</t>
  </si>
  <si>
    <t>Value(337)</t>
  </si>
  <si>
    <t>Value(338)</t>
  </si>
  <si>
    <t>Value(339)</t>
  </si>
  <si>
    <t>Value(340)</t>
  </si>
  <si>
    <t>Value(341)</t>
  </si>
  <si>
    <t>Value(342)</t>
  </si>
  <si>
    <t>Value(343)</t>
  </si>
  <si>
    <t>Value(344)</t>
  </si>
  <si>
    <t>Value(345)</t>
  </si>
  <si>
    <t>Value(346)</t>
  </si>
  <si>
    <t>Value(347)</t>
  </si>
  <si>
    <t>Value(348)</t>
  </si>
  <si>
    <t>Value(349)</t>
  </si>
  <si>
    <t>Value(350)</t>
  </si>
  <si>
    <t>Value(351)</t>
  </si>
  <si>
    <t>Value(352)</t>
  </si>
  <si>
    <t>Value(353)</t>
  </si>
  <si>
    <t>Value(354)</t>
  </si>
  <si>
    <t>Value(355)</t>
  </si>
  <si>
    <t>Value(356)</t>
  </si>
  <si>
    <t>Value(357)</t>
  </si>
  <si>
    <t>Value(358)</t>
  </si>
  <si>
    <t>Value(359)</t>
  </si>
  <si>
    <t>Value(360)</t>
  </si>
  <si>
    <t>Value(361)</t>
  </si>
  <si>
    <t>Value(362)</t>
  </si>
  <si>
    <t>Value(363)</t>
  </si>
  <si>
    <t>Value(364)</t>
  </si>
  <si>
    <t>Value(365)</t>
  </si>
  <si>
    <t>Value(366)</t>
  </si>
  <si>
    <t>Value(367)</t>
  </si>
  <si>
    <t>Value(368)</t>
  </si>
  <si>
    <t>Value(369)</t>
  </si>
  <si>
    <t>Value(370)</t>
  </si>
  <si>
    <t>Value(371)</t>
  </si>
  <si>
    <t>Value(372)</t>
  </si>
  <si>
    <t>Value(373)</t>
  </si>
  <si>
    <t>Value(374)</t>
  </si>
  <si>
    <t>Value(375)</t>
  </si>
  <si>
    <t>Value(376)</t>
  </si>
  <si>
    <t>Value(377)</t>
  </si>
  <si>
    <t>Value(378)</t>
  </si>
  <si>
    <t>Value(379)</t>
  </si>
  <si>
    <t>Value(380)</t>
  </si>
  <si>
    <t>Value(381)</t>
  </si>
  <si>
    <t>Value(382)</t>
  </si>
  <si>
    <t>Value(383)</t>
  </si>
  <si>
    <t>Value(384)</t>
  </si>
  <si>
    <t>Value(385)</t>
  </si>
  <si>
    <t>Value(386)</t>
  </si>
  <si>
    <t>Value(387)</t>
  </si>
  <si>
    <t>Value(388)</t>
  </si>
  <si>
    <t>Value(389)</t>
  </si>
  <si>
    <t>Value(390)</t>
  </si>
  <si>
    <t>Value(391)</t>
  </si>
  <si>
    <t>Value(392)</t>
  </si>
  <si>
    <t>Value(393)</t>
  </si>
  <si>
    <t>Value(394)</t>
  </si>
  <si>
    <t>Value(395)</t>
  </si>
  <si>
    <t>Value(396)</t>
  </si>
  <si>
    <t>Value(397)</t>
  </si>
  <si>
    <t>Value(398)</t>
  </si>
  <si>
    <t>Value(399)</t>
  </si>
  <si>
    <t>Value(400)</t>
  </si>
  <si>
    <t>Value(401)</t>
  </si>
  <si>
    <t>Value(402)</t>
  </si>
  <si>
    <t>Value(403)</t>
  </si>
  <si>
    <t>Value(404)</t>
  </si>
  <si>
    <t>Value(405)</t>
  </si>
  <si>
    <t>Value(406)</t>
  </si>
  <si>
    <t>Value(407)</t>
  </si>
  <si>
    <t>Value(408)</t>
  </si>
  <si>
    <t>Value(409)</t>
  </si>
  <si>
    <t>Value(410)</t>
  </si>
  <si>
    <t>Value(411)</t>
  </si>
  <si>
    <t>Value(412)</t>
  </si>
  <si>
    <t>Value(413)</t>
  </si>
  <si>
    <t>Value(414)</t>
  </si>
  <si>
    <t>Value(415)</t>
  </si>
  <si>
    <t>Value(416)</t>
  </si>
  <si>
    <t>Value(417)</t>
  </si>
  <si>
    <t>Value(418)</t>
  </si>
  <si>
    <t>Value(419)</t>
  </si>
  <si>
    <t>Value(420)</t>
  </si>
  <si>
    <t>Value(421)</t>
  </si>
  <si>
    <t>Value(422)</t>
  </si>
  <si>
    <t>Value(423)</t>
  </si>
  <si>
    <t>Value(424)</t>
  </si>
  <si>
    <t>Value(425)</t>
  </si>
  <si>
    <t>Value(426)</t>
  </si>
  <si>
    <t>Value(427)</t>
  </si>
  <si>
    <t>Value(428)</t>
  </si>
  <si>
    <t>Value(429)</t>
  </si>
  <si>
    <t>Value(430)</t>
  </si>
  <si>
    <t>Value(431)</t>
  </si>
  <si>
    <t>Value(432)</t>
  </si>
  <si>
    <t>Value(433)</t>
  </si>
  <si>
    <t>Value(434)</t>
  </si>
  <si>
    <t>Value(435)</t>
  </si>
  <si>
    <t>Value(436)</t>
  </si>
  <si>
    <t>Value(437)</t>
  </si>
  <si>
    <t>Value(438)</t>
  </si>
  <si>
    <t>Value(439)</t>
  </si>
  <si>
    <t>Value(440)</t>
  </si>
  <si>
    <t>Value(441)</t>
  </si>
  <si>
    <t>Value(442)</t>
  </si>
  <si>
    <t>Value(443)</t>
  </si>
  <si>
    <t>Value(444)</t>
  </si>
  <si>
    <t>Value(445)</t>
  </si>
  <si>
    <t>Value(446)</t>
  </si>
  <si>
    <t>Value(447)</t>
  </si>
  <si>
    <t>Value(448)</t>
  </si>
  <si>
    <t>Value(449)</t>
  </si>
  <si>
    <t>Value(450)</t>
  </si>
  <si>
    <t>Value(451)</t>
  </si>
  <si>
    <t>Value(452)</t>
  </si>
  <si>
    <t>Value(453)</t>
  </si>
  <si>
    <t>Value(454)</t>
  </si>
  <si>
    <t>Value(455)</t>
  </si>
  <si>
    <t>Value(456)</t>
  </si>
  <si>
    <t>Value(457)</t>
  </si>
  <si>
    <t>Value(458)</t>
  </si>
  <si>
    <t>Value(459)</t>
  </si>
  <si>
    <t>Value(460)</t>
  </si>
  <si>
    <t>Value(461)</t>
  </si>
  <si>
    <t>Value(462)</t>
  </si>
  <si>
    <t>Value(463)</t>
  </si>
  <si>
    <t>Value(464)</t>
  </si>
  <si>
    <t>Value(465)</t>
  </si>
  <si>
    <t>Value(466)</t>
  </si>
  <si>
    <t>Value(467)</t>
  </si>
  <si>
    <t>Value(468)</t>
  </si>
  <si>
    <t>Value(469)</t>
  </si>
  <si>
    <t>Value(470)</t>
  </si>
  <si>
    <t>Value(471)</t>
  </si>
  <si>
    <t>Value(472)</t>
  </si>
  <si>
    <t>Value(473)</t>
  </si>
  <si>
    <t>Value(474)</t>
  </si>
  <si>
    <t>Value(475)</t>
  </si>
  <si>
    <t>Value(476)</t>
  </si>
  <si>
    <t>Value(477)</t>
  </si>
  <si>
    <t>Value(478)</t>
  </si>
  <si>
    <t>Value(479)</t>
  </si>
  <si>
    <t>Value(480)</t>
  </si>
  <si>
    <t>Value(481)</t>
  </si>
  <si>
    <t>Value(482)</t>
  </si>
  <si>
    <t>Value(483)</t>
  </si>
  <si>
    <t>Value(484)</t>
  </si>
  <si>
    <t>Value(485)</t>
  </si>
  <si>
    <t>Value(486)</t>
  </si>
  <si>
    <t>Value(487)</t>
  </si>
  <si>
    <t>Value(488)</t>
  </si>
  <si>
    <t>Value(489)</t>
  </si>
  <si>
    <t>Value(490)</t>
  </si>
  <si>
    <t>Value(491)</t>
  </si>
  <si>
    <t>Value(492)</t>
  </si>
  <si>
    <t>Value(493)</t>
  </si>
  <si>
    <t>Value(494)</t>
  </si>
  <si>
    <t>Value(495)</t>
  </si>
  <si>
    <t>Value(496)</t>
  </si>
  <si>
    <t>Value(497)</t>
  </si>
  <si>
    <t>Value(498)</t>
  </si>
  <si>
    <t>Value(499)</t>
  </si>
  <si>
    <t>Value(500)</t>
  </si>
  <si>
    <t>Value(501)</t>
  </si>
  <si>
    <t>Value(502)</t>
  </si>
  <si>
    <t>Value(503)</t>
  </si>
  <si>
    <t>Value(504)</t>
  </si>
  <si>
    <t>Value(505)</t>
  </si>
  <si>
    <t>Value(506)</t>
  </si>
  <si>
    <t>Value(507)</t>
  </si>
  <si>
    <t>Value(508)</t>
  </si>
  <si>
    <t>Value(509)</t>
  </si>
  <si>
    <t>Value(510)</t>
  </si>
  <si>
    <t>Value(511)</t>
  </si>
  <si>
    <t>Value(512)</t>
  </si>
  <si>
    <t>Value(513)</t>
  </si>
  <si>
    <t>Value(514)</t>
  </si>
  <si>
    <t>Value(515)</t>
  </si>
  <si>
    <t>Value(516)</t>
  </si>
  <si>
    <t>Value(517)</t>
  </si>
  <si>
    <t>Value(518)</t>
  </si>
  <si>
    <t>Value(519)</t>
  </si>
  <si>
    <t>Value(520)</t>
  </si>
  <si>
    <t>Value(521)</t>
  </si>
  <si>
    <t>Value(522)</t>
  </si>
  <si>
    <t>Value(523)</t>
  </si>
  <si>
    <t>Value(524)</t>
  </si>
  <si>
    <t>Value(525)</t>
  </si>
  <si>
    <t>Value(526)</t>
  </si>
  <si>
    <t>Value(527)</t>
  </si>
  <si>
    <t>Value(528)</t>
  </si>
  <si>
    <t>Value(529)</t>
  </si>
  <si>
    <t>Value(530)</t>
  </si>
  <si>
    <t>Value(531)</t>
  </si>
  <si>
    <t>Value(532)</t>
  </si>
  <si>
    <t>Value(533)</t>
  </si>
  <si>
    <t>Value(534)</t>
  </si>
  <si>
    <t>Value(535)</t>
  </si>
  <si>
    <t>Value(536)</t>
  </si>
  <si>
    <t>Value(537)</t>
  </si>
  <si>
    <t>Value(538)</t>
  </si>
  <si>
    <t>Value(539)</t>
  </si>
  <si>
    <t>Value(540)</t>
  </si>
  <si>
    <t>Value(541)</t>
  </si>
  <si>
    <t>Value(542)</t>
  </si>
  <si>
    <t>Value(543)</t>
  </si>
  <si>
    <t>Value(544)</t>
  </si>
  <si>
    <t>Value(545)</t>
  </si>
  <si>
    <t>Value(546)</t>
  </si>
  <si>
    <t>Value(547)</t>
  </si>
  <si>
    <t>Value(548)</t>
  </si>
  <si>
    <t>Value(549)</t>
  </si>
  <si>
    <t>Value(550)</t>
  </si>
  <si>
    <t>Value(551)</t>
  </si>
  <si>
    <t>Value(552)</t>
  </si>
  <si>
    <t>Value(553)</t>
  </si>
  <si>
    <t>Value(554)</t>
  </si>
  <si>
    <t>Value(555)</t>
  </si>
  <si>
    <t>Value(556)</t>
  </si>
  <si>
    <t>Value(557)</t>
  </si>
  <si>
    <t>Value(558)</t>
  </si>
  <si>
    <t>Value(559)</t>
  </si>
  <si>
    <t>Value(560)</t>
  </si>
  <si>
    <t>Value(561)</t>
  </si>
  <si>
    <t>Value(562)</t>
  </si>
  <si>
    <t>Value(563)</t>
  </si>
  <si>
    <t>Value(564)</t>
  </si>
  <si>
    <t>Value(565)</t>
  </si>
  <si>
    <t>Value(566)</t>
  </si>
  <si>
    <t>Value(567)</t>
  </si>
  <si>
    <t>Value(568)</t>
  </si>
  <si>
    <t>Value(569)</t>
  </si>
  <si>
    <t>Value(570)</t>
  </si>
  <si>
    <t>Value(571)</t>
  </si>
  <si>
    <t>Value(572)</t>
  </si>
  <si>
    <t>Value(573)</t>
  </si>
  <si>
    <t>Value(574)</t>
  </si>
  <si>
    <t>Value(575)</t>
  </si>
  <si>
    <t>Value(576)</t>
  </si>
  <si>
    <t>Value(577)</t>
  </si>
  <si>
    <t>Value(578)</t>
  </si>
  <si>
    <t>Value(579)</t>
  </si>
  <si>
    <t>Value(580)</t>
  </si>
  <si>
    <t>Value(581)</t>
  </si>
  <si>
    <t>Value(582)</t>
  </si>
  <si>
    <t>Value(583)</t>
  </si>
  <si>
    <t>Value(584)</t>
  </si>
  <si>
    <t>Value(585)</t>
  </si>
  <si>
    <t>Value(586)</t>
  </si>
  <si>
    <t>Value(587)</t>
  </si>
  <si>
    <t>Value(588)</t>
  </si>
  <si>
    <t>Value(589)</t>
  </si>
  <si>
    <t>Value(590)</t>
  </si>
  <si>
    <t>Value(591)</t>
  </si>
  <si>
    <t>Value(592)</t>
  </si>
  <si>
    <t>Value(593)</t>
  </si>
  <si>
    <t>Value(594)</t>
  </si>
  <si>
    <t>Value(595)</t>
  </si>
  <si>
    <t>Value(596)</t>
  </si>
  <si>
    <t>Value(597)</t>
  </si>
  <si>
    <t>Value(598)</t>
  </si>
  <si>
    <t>Value(599)</t>
  </si>
  <si>
    <t>Value(600)</t>
  </si>
  <si>
    <t>Value(601)</t>
  </si>
  <si>
    <t>Value(602)</t>
  </si>
  <si>
    <t>Value(603)</t>
  </si>
  <si>
    <t>Value(604)</t>
  </si>
  <si>
    <t>Value(605)</t>
  </si>
  <si>
    <t>Value(606)</t>
  </si>
  <si>
    <t>Value(607)</t>
  </si>
  <si>
    <t>Value(608)</t>
  </si>
  <si>
    <t>Value(609)</t>
  </si>
  <si>
    <t>Value(610)</t>
  </si>
  <si>
    <t>Value(611)</t>
  </si>
  <si>
    <t>Value(612)</t>
  </si>
  <si>
    <t>Value(613)</t>
  </si>
  <si>
    <t>Value(614)</t>
  </si>
  <si>
    <t>Value(615)</t>
  </si>
  <si>
    <t>Value(616)</t>
  </si>
  <si>
    <t>Value(617)</t>
  </si>
  <si>
    <t>Value(618)</t>
  </si>
  <si>
    <t>Value(619)</t>
  </si>
  <si>
    <t>Value(620)</t>
  </si>
  <si>
    <t>Value(621)</t>
  </si>
  <si>
    <t>Value(622)</t>
  </si>
  <si>
    <t>Value(623)</t>
  </si>
  <si>
    <t>Value(624)</t>
  </si>
  <si>
    <t>Value(625)</t>
  </si>
  <si>
    <t>Value(626)</t>
  </si>
  <si>
    <t>Value(627)</t>
  </si>
  <si>
    <t>Value(628)</t>
  </si>
  <si>
    <t>Value(629)</t>
  </si>
  <si>
    <t>Value(630)</t>
  </si>
  <si>
    <t>Value(631)</t>
  </si>
  <si>
    <t>Value(632)</t>
  </si>
  <si>
    <t>Value(633)</t>
  </si>
  <si>
    <t>Value(634)</t>
  </si>
  <si>
    <t>Value(635)</t>
  </si>
  <si>
    <t>Value(636)</t>
  </si>
  <si>
    <t>Value(637)</t>
  </si>
  <si>
    <t>Value(638)</t>
  </si>
  <si>
    <t>Value(639)</t>
  </si>
  <si>
    <t>Value(640)</t>
  </si>
  <si>
    <t>Value(641)</t>
  </si>
  <si>
    <t>Value(642)</t>
  </si>
  <si>
    <t>Value(643)</t>
  </si>
  <si>
    <t>Value(644)</t>
  </si>
  <si>
    <t>Value(645)</t>
  </si>
  <si>
    <t>Value(646)</t>
  </si>
  <si>
    <t>Value(647)</t>
  </si>
  <si>
    <t>Value(648)</t>
  </si>
  <si>
    <t>Value(649)</t>
  </si>
  <si>
    <t>Value(650)</t>
  </si>
  <si>
    <t>Value(651)</t>
  </si>
  <si>
    <t>Value(652)</t>
  </si>
  <si>
    <t>Value(653)</t>
  </si>
  <si>
    <t>Value(654)</t>
  </si>
  <si>
    <t>Value(655)</t>
  </si>
  <si>
    <t>Value(656)</t>
  </si>
  <si>
    <t>Value(657)</t>
  </si>
  <si>
    <t>Value(658)</t>
  </si>
  <si>
    <t>Value(659)</t>
  </si>
  <si>
    <t>Value(660)</t>
  </si>
  <si>
    <t>Value(661)</t>
  </si>
  <si>
    <t>Value(662)</t>
  </si>
  <si>
    <t>Value(663)</t>
  </si>
  <si>
    <t>Value(664)</t>
  </si>
  <si>
    <t>Value(665)</t>
  </si>
  <si>
    <t>Value(666)</t>
  </si>
  <si>
    <t>Value(667)</t>
  </si>
  <si>
    <t>Value(668)</t>
  </si>
  <si>
    <t>Value(669)</t>
  </si>
  <si>
    <t>Value(670)</t>
  </si>
  <si>
    <t>Value(671)</t>
  </si>
  <si>
    <t>Value(672)</t>
  </si>
  <si>
    <t>Value(673)</t>
  </si>
  <si>
    <t>Value(674)</t>
  </si>
  <si>
    <t>Value(675)</t>
  </si>
  <si>
    <t>Value(676)</t>
  </si>
  <si>
    <t>Value(677)</t>
  </si>
  <si>
    <t>Value(678)</t>
  </si>
  <si>
    <t>Value(679)</t>
  </si>
  <si>
    <t>Value(680)</t>
  </si>
  <si>
    <t>Value(681)</t>
  </si>
  <si>
    <t>Value(682)</t>
  </si>
  <si>
    <t>Value(683)</t>
  </si>
  <si>
    <t>Value(684)</t>
  </si>
  <si>
    <t>Value(685)</t>
  </si>
  <si>
    <t>Value(686)</t>
  </si>
  <si>
    <t>Value(687)</t>
  </si>
  <si>
    <t>Value(688)</t>
  </si>
  <si>
    <t>Value(689)</t>
  </si>
  <si>
    <t>Value(690)</t>
  </si>
  <si>
    <t>Value(691)</t>
  </si>
  <si>
    <t>Value(692)</t>
  </si>
  <si>
    <t>Value(693)</t>
  </si>
  <si>
    <t>Value(694)</t>
  </si>
  <si>
    <t>Value(695)</t>
  </si>
  <si>
    <t>Value(696)</t>
  </si>
  <si>
    <t>Value(697)</t>
  </si>
  <si>
    <t>Value(698)</t>
  </si>
  <si>
    <t>Value(699)</t>
  </si>
  <si>
    <t>Value(700)</t>
  </si>
  <si>
    <t>Value(701)</t>
  </si>
  <si>
    <t>Value(702)</t>
  </si>
  <si>
    <t>Value(703)</t>
  </si>
  <si>
    <t>Value(704)</t>
  </si>
  <si>
    <t>Value(705)</t>
  </si>
  <si>
    <t>Value(706)</t>
  </si>
  <si>
    <t>Value(707)</t>
  </si>
  <si>
    <t>Value(708)</t>
  </si>
  <si>
    <t>Value(709)</t>
  </si>
  <si>
    <t>Value(710)</t>
  </si>
  <si>
    <t>Value(711)</t>
  </si>
  <si>
    <t>Value(712)</t>
  </si>
  <si>
    <t>Value(713)</t>
  </si>
  <si>
    <t>Value(714)</t>
  </si>
  <si>
    <t>Value(715)</t>
  </si>
  <si>
    <t>Value(716)</t>
  </si>
  <si>
    <t>Value(717)</t>
  </si>
  <si>
    <t>Value(718)</t>
  </si>
  <si>
    <t>Value(719)</t>
  </si>
  <si>
    <t>Value(720)</t>
  </si>
  <si>
    <t>Value(721)</t>
  </si>
  <si>
    <t>Value(722)</t>
  </si>
  <si>
    <t>Value(723)</t>
  </si>
  <si>
    <t>Value(724)</t>
  </si>
  <si>
    <t>Value(725)</t>
  </si>
  <si>
    <t>Value(726)</t>
  </si>
  <si>
    <t>Value(727)</t>
  </si>
  <si>
    <t>Value(728)</t>
  </si>
  <si>
    <t>Value(729)</t>
  </si>
  <si>
    <t>Value(730)</t>
  </si>
  <si>
    <t>Value(731)</t>
  </si>
  <si>
    <t>Value(732)</t>
  </si>
  <si>
    <t>Value(733)</t>
  </si>
  <si>
    <t>Value(734)</t>
  </si>
  <si>
    <t>Value(735)</t>
  </si>
  <si>
    <t>Value(736)</t>
  </si>
  <si>
    <t>Value(737)</t>
  </si>
  <si>
    <t>Value(738)</t>
  </si>
  <si>
    <t>Value(739)</t>
  </si>
  <si>
    <t>Value(740)</t>
  </si>
  <si>
    <t>Value(741)</t>
  </si>
  <si>
    <t>Value(742)</t>
  </si>
  <si>
    <t>Value(743)</t>
  </si>
  <si>
    <t>Value(744)</t>
  </si>
  <si>
    <t>Value(745)</t>
  </si>
  <si>
    <t>Value(746)</t>
  </si>
  <si>
    <t>Value(747)</t>
  </si>
  <si>
    <t>Value(748)</t>
  </si>
  <si>
    <t>Value(749)</t>
  </si>
  <si>
    <t>Value(750)</t>
  </si>
  <si>
    <t>Value(751)</t>
  </si>
  <si>
    <t>Value(752)</t>
  </si>
  <si>
    <t>Value(753)</t>
  </si>
  <si>
    <t>Value(754)</t>
  </si>
  <si>
    <t>Value(755)</t>
  </si>
  <si>
    <t>Value(756)</t>
  </si>
  <si>
    <t>Value(757)</t>
  </si>
  <si>
    <t>Value(758)</t>
  </si>
  <si>
    <t>Value(759)</t>
  </si>
  <si>
    <t>Value(760)</t>
  </si>
  <si>
    <t>Value(761)</t>
  </si>
  <si>
    <t>Value(762)</t>
  </si>
  <si>
    <t>Value(763)</t>
  </si>
  <si>
    <t>Value(764)</t>
  </si>
  <si>
    <t>Value(765)</t>
  </si>
  <si>
    <t>Value(766)</t>
  </si>
  <si>
    <t>Value(767)</t>
  </si>
  <si>
    <t>Value(768)</t>
  </si>
  <si>
    <t>Value(769)</t>
  </si>
  <si>
    <t>Value(770)</t>
  </si>
  <si>
    <t>Value(771)</t>
  </si>
  <si>
    <t>Value(772)</t>
  </si>
  <si>
    <t>Value(773)</t>
  </si>
  <si>
    <t>Value(774)</t>
  </si>
  <si>
    <t>Value(775)</t>
  </si>
  <si>
    <t>Value(776)</t>
  </si>
  <si>
    <t>Value(777)</t>
  </si>
  <si>
    <t>Value(778)</t>
  </si>
  <si>
    <t>Value(779)</t>
  </si>
  <si>
    <t>Value(780)</t>
  </si>
  <si>
    <t>Value(781)</t>
  </si>
  <si>
    <t>Value(782)</t>
  </si>
  <si>
    <t>Value(783)</t>
  </si>
  <si>
    <t>Value(784)</t>
  </si>
  <si>
    <t>Value(785)</t>
  </si>
  <si>
    <t>Value(786)</t>
  </si>
  <si>
    <t>Value(787)</t>
  </si>
  <si>
    <t>Value(788)</t>
  </si>
  <si>
    <t>Value(789)</t>
  </si>
  <si>
    <t>Value(790)</t>
  </si>
  <si>
    <t>Value(791)</t>
  </si>
  <si>
    <t>Value(792)</t>
  </si>
  <si>
    <t>Value(793)</t>
  </si>
  <si>
    <t>Value(794)</t>
  </si>
  <si>
    <t>Value(795)</t>
  </si>
  <si>
    <t>Value(796)</t>
  </si>
  <si>
    <t>Value(797)</t>
  </si>
  <si>
    <t>Value(798)</t>
  </si>
  <si>
    <t>Value(799)</t>
  </si>
  <si>
    <t>Value(800)</t>
  </si>
  <si>
    <t>Value(801)</t>
  </si>
  <si>
    <t>Value(802)</t>
  </si>
  <si>
    <t>Value(803)</t>
  </si>
  <si>
    <t>Value(804)</t>
  </si>
  <si>
    <t>Value(805)</t>
  </si>
  <si>
    <t>Value(806)</t>
  </si>
  <si>
    <t>Value(807)</t>
  </si>
  <si>
    <t>Value(808)</t>
  </si>
  <si>
    <t>Value(809)</t>
  </si>
  <si>
    <t>Value(810)</t>
  </si>
  <si>
    <t>Value(811)</t>
  </si>
  <si>
    <t>Value(812)</t>
  </si>
  <si>
    <t>Value(813)</t>
  </si>
  <si>
    <t>Value(814)</t>
  </si>
  <si>
    <t>Value(815)</t>
  </si>
  <si>
    <t>Value(816)</t>
  </si>
  <si>
    <t>Value(817)</t>
  </si>
  <si>
    <t>Value(818)</t>
  </si>
  <si>
    <t>Value(819)</t>
  </si>
  <si>
    <t>Value(820)</t>
  </si>
  <si>
    <t>Value(821)</t>
  </si>
  <si>
    <t>Value(822)</t>
  </si>
  <si>
    <t>Value(823)</t>
  </si>
  <si>
    <t>Value(824)</t>
  </si>
  <si>
    <t>Value(825)</t>
  </si>
  <si>
    <t>Value(826)</t>
  </si>
  <si>
    <t>Value(827)</t>
  </si>
  <si>
    <t>Value(828)</t>
  </si>
  <si>
    <t>Value(829)</t>
  </si>
  <si>
    <t>Value(830)</t>
  </si>
  <si>
    <t>Value(831)</t>
  </si>
  <si>
    <t>Value(832)</t>
  </si>
  <si>
    <t>Value(833)</t>
  </si>
  <si>
    <t>Value(834)</t>
  </si>
  <si>
    <t>Value(835)</t>
  </si>
  <si>
    <t>Value(836)</t>
  </si>
  <si>
    <t>Value(837)</t>
  </si>
  <si>
    <t>Value(838)</t>
  </si>
  <si>
    <t>Value(839)</t>
  </si>
  <si>
    <t>Value(840)</t>
  </si>
  <si>
    <t>Value(841)</t>
  </si>
  <si>
    <t>Value(842)</t>
  </si>
  <si>
    <t>Value(843)</t>
  </si>
  <si>
    <t>Value(844)</t>
  </si>
  <si>
    <t>Value(845)</t>
  </si>
  <si>
    <t>Value(846)</t>
  </si>
  <si>
    <t>Value(847)</t>
  </si>
  <si>
    <t>Value(848)</t>
  </si>
  <si>
    <t>Value(849)</t>
  </si>
  <si>
    <t>Value(850)</t>
  </si>
  <si>
    <t>Value(851)</t>
  </si>
  <si>
    <t>Value(852)</t>
  </si>
  <si>
    <t>Value(853)</t>
  </si>
  <si>
    <t>Value(854)</t>
  </si>
  <si>
    <t>Value(855)</t>
  </si>
  <si>
    <t>Value(856)</t>
  </si>
  <si>
    <t>Value(857)</t>
  </si>
  <si>
    <t>Value(858)</t>
  </si>
  <si>
    <t>Value(859)</t>
  </si>
  <si>
    <t>Value(860)</t>
  </si>
  <si>
    <t>Value(861)</t>
  </si>
  <si>
    <t>Value(862)</t>
  </si>
  <si>
    <t>Value(863)</t>
  </si>
  <si>
    <t>Value(864)</t>
  </si>
  <si>
    <t>Value(865)</t>
  </si>
  <si>
    <t>Value(866)</t>
  </si>
  <si>
    <t>Value(867)</t>
  </si>
  <si>
    <t>Value(868)</t>
  </si>
  <si>
    <t>Value(869)</t>
  </si>
  <si>
    <t>Value(870)</t>
  </si>
  <si>
    <t>Value(871)</t>
  </si>
  <si>
    <t>Value(872)</t>
  </si>
  <si>
    <t>Value(873)</t>
  </si>
  <si>
    <t>Value(874)</t>
  </si>
  <si>
    <t>Value(875)</t>
  </si>
  <si>
    <t>Value(876)</t>
  </si>
  <si>
    <t>Value(877)</t>
  </si>
  <si>
    <t>Value(878)</t>
  </si>
  <si>
    <t>Value(879)</t>
  </si>
  <si>
    <t>Value(880)</t>
  </si>
  <si>
    <t>Value(881)</t>
  </si>
  <si>
    <t>Value(882)</t>
  </si>
  <si>
    <t>Value(883)</t>
  </si>
  <si>
    <t>Value(884)</t>
  </si>
  <si>
    <t>Value(885)</t>
  </si>
  <si>
    <t>Value(886)</t>
  </si>
  <si>
    <t>Value(887)</t>
  </si>
  <si>
    <t>Value(888)</t>
  </si>
  <si>
    <t>Value(889)</t>
  </si>
  <si>
    <t>Value(890)</t>
  </si>
  <si>
    <t>Value(891)</t>
  </si>
  <si>
    <t>Value(892)</t>
  </si>
  <si>
    <t>Value(893)</t>
  </si>
  <si>
    <t>Value(894)</t>
  </si>
  <si>
    <t>Value(895)</t>
  </si>
  <si>
    <t>Value(896)</t>
  </si>
  <si>
    <t>Value(897)</t>
  </si>
  <si>
    <t>Value(898)</t>
  </si>
  <si>
    <t>Value(899)</t>
  </si>
  <si>
    <t>Value(900)</t>
  </si>
  <si>
    <t>Value(901)</t>
  </si>
  <si>
    <t>Value(902)</t>
  </si>
  <si>
    <t>Value(903)</t>
  </si>
  <si>
    <t>Value(904)</t>
  </si>
  <si>
    <t>Value(905)</t>
  </si>
  <si>
    <t>Value(906)</t>
  </si>
  <si>
    <t>Value(907)</t>
  </si>
  <si>
    <t>Value(908)</t>
  </si>
  <si>
    <t>Value(909)</t>
  </si>
  <si>
    <t>Value(910)</t>
  </si>
  <si>
    <t>Value(911)</t>
  </si>
  <si>
    <t>Value(912)</t>
  </si>
  <si>
    <t>Value(913)</t>
  </si>
  <si>
    <t>Value(914)</t>
  </si>
  <si>
    <t>Value(915)</t>
  </si>
  <si>
    <t>Value(916)</t>
  </si>
  <si>
    <t>Value(917)</t>
  </si>
  <si>
    <t>Value(918)</t>
  </si>
  <si>
    <t>Value(919)</t>
  </si>
  <si>
    <t>Value(920)</t>
  </si>
  <si>
    <t>Value(921)</t>
  </si>
  <si>
    <t>Value(922)</t>
  </si>
  <si>
    <t>Value(923)</t>
  </si>
  <si>
    <t>Value(924)</t>
  </si>
  <si>
    <t>Value(925)</t>
  </si>
  <si>
    <t>Value(926)</t>
  </si>
  <si>
    <t>Value(927)</t>
  </si>
  <si>
    <t>Value(928)</t>
  </si>
  <si>
    <t>Value(929)</t>
  </si>
  <si>
    <t>Value(930)</t>
  </si>
  <si>
    <t>Value(931)</t>
  </si>
  <si>
    <t>Value(932)</t>
  </si>
  <si>
    <t>Value(933)</t>
  </si>
  <si>
    <t>Value(934)</t>
  </si>
  <si>
    <t>Value(935)</t>
  </si>
  <si>
    <t>Value(936)</t>
  </si>
  <si>
    <t>Value(937)</t>
  </si>
  <si>
    <t>Value(938)</t>
  </si>
  <si>
    <t>Value(939)</t>
  </si>
  <si>
    <t>Value(940)</t>
  </si>
  <si>
    <t>Value(941)</t>
  </si>
  <si>
    <t>Value(942)</t>
  </si>
  <si>
    <t>Value(943)</t>
  </si>
  <si>
    <t>Value(944)</t>
  </si>
  <si>
    <t>Value(945)</t>
  </si>
  <si>
    <t>Value(946)</t>
  </si>
  <si>
    <t>Value(947)</t>
  </si>
  <si>
    <t>Value(948)</t>
  </si>
  <si>
    <t>Value(949)</t>
  </si>
  <si>
    <t>Value(950)</t>
  </si>
  <si>
    <t>Value(951)</t>
  </si>
  <si>
    <t>Value(952)</t>
  </si>
  <si>
    <t>Value(953)</t>
  </si>
  <si>
    <t>Value(954)</t>
  </si>
  <si>
    <t>Value(955)</t>
  </si>
  <si>
    <t>Value(956)</t>
  </si>
  <si>
    <t>Value(957)</t>
  </si>
  <si>
    <t>Value(958)</t>
  </si>
  <si>
    <t>Value(959)</t>
  </si>
  <si>
    <t>Value(960)</t>
  </si>
  <si>
    <t>Value(961)</t>
  </si>
  <si>
    <t>Value(962)</t>
  </si>
  <si>
    <t>Value(963)</t>
  </si>
  <si>
    <t>Value(964)</t>
  </si>
  <si>
    <t>Value(965)</t>
  </si>
  <si>
    <t>Value(966)</t>
  </si>
  <si>
    <t>Value(967)</t>
  </si>
  <si>
    <t>Value(968)</t>
  </si>
  <si>
    <t>Value(969)</t>
  </si>
  <si>
    <t>Value(970)</t>
  </si>
  <si>
    <t>Value(971)</t>
  </si>
  <si>
    <t>Value(972)</t>
  </si>
  <si>
    <t>Value(973)</t>
  </si>
  <si>
    <t>Value(974)</t>
  </si>
  <si>
    <t>Value(975)</t>
  </si>
  <si>
    <t>Value(976)</t>
  </si>
  <si>
    <t>Value(977)</t>
  </si>
  <si>
    <t>Value(978)</t>
  </si>
  <si>
    <t>Value(979)</t>
  </si>
  <si>
    <t>Value(980)</t>
  </si>
  <si>
    <t>Value(981)</t>
  </si>
  <si>
    <t>Value(982)</t>
  </si>
  <si>
    <t>Value(983)</t>
  </si>
  <si>
    <t>Value(984)</t>
  </si>
  <si>
    <t>Value(985)</t>
  </si>
  <si>
    <t>Value(986)</t>
  </si>
  <si>
    <t>Value(987)</t>
  </si>
  <si>
    <t>Value(988)</t>
  </si>
  <si>
    <t>Value(989)</t>
  </si>
  <si>
    <t>Value(990)</t>
  </si>
  <si>
    <t>Value(991)</t>
  </si>
  <si>
    <t>Value(992)</t>
  </si>
  <si>
    <t>Value(993)</t>
  </si>
  <si>
    <t>Value(994)</t>
  </si>
  <si>
    <t>Value(995)</t>
  </si>
  <si>
    <t>Value(996)</t>
  </si>
  <si>
    <t>Value(997)</t>
  </si>
  <si>
    <t>Value(998)</t>
  </si>
  <si>
    <t>Value(999)</t>
  </si>
  <si>
    <t>Value(1000)</t>
  </si>
  <si>
    <t>Value(1001)</t>
  </si>
  <si>
    <t>Value(1002)</t>
  </si>
  <si>
    <t>Value(1003)</t>
  </si>
  <si>
    <t>Value(1004)</t>
  </si>
  <si>
    <t>Value(1005)</t>
  </si>
  <si>
    <t>Value(1006)</t>
  </si>
  <si>
    <t>Value(1007)</t>
  </si>
  <si>
    <t>Value(1008)</t>
  </si>
  <si>
    <t>Value(1009)</t>
  </si>
  <si>
    <t>Value(1010)</t>
  </si>
  <si>
    <t>Value(1011)</t>
  </si>
  <si>
    <t>Value(1012)</t>
  </si>
  <si>
    <t>Value(1013)</t>
  </si>
  <si>
    <t>Value(1014)</t>
  </si>
  <si>
    <t>Value(1015)</t>
  </si>
  <si>
    <t>Value(1016)</t>
  </si>
  <si>
    <t>Value(1017)</t>
  </si>
  <si>
    <t>Value(1018)</t>
  </si>
  <si>
    <t>Value(1019)</t>
  </si>
  <si>
    <t>Value(1020)</t>
  </si>
  <si>
    <t>Value(1021)</t>
  </si>
  <si>
    <t>Value(1022)</t>
  </si>
  <si>
    <t>Value(1023)</t>
  </si>
  <si>
    <t>Value(1024)</t>
  </si>
  <si>
    <t>Value(1025)</t>
  </si>
  <si>
    <t>Value(1026)</t>
  </si>
  <si>
    <t>Value(1027)</t>
  </si>
  <si>
    <t>Value(1028)</t>
  </si>
  <si>
    <t>Value(1029)</t>
  </si>
  <si>
    <t>Value(1030)</t>
  </si>
  <si>
    <t>Value(1031)</t>
  </si>
  <si>
    <t>Value(1032)</t>
  </si>
  <si>
    <t>Value(1033)</t>
  </si>
  <si>
    <t>Value(1034)</t>
  </si>
  <si>
    <t>Value(1035)</t>
  </si>
  <si>
    <t>Value(1036)</t>
  </si>
  <si>
    <t>Value(1037)</t>
  </si>
  <si>
    <t>Value(1038)</t>
  </si>
  <si>
    <t>Value(1039)</t>
  </si>
  <si>
    <t>Value(1040)</t>
  </si>
  <si>
    <t>Value(1041)</t>
  </si>
  <si>
    <t>Value(1042)</t>
  </si>
  <si>
    <t>Value(1043)</t>
  </si>
  <si>
    <t>Value(1044)</t>
  </si>
  <si>
    <t>Value(1045)</t>
  </si>
  <si>
    <t>Value(1046)</t>
  </si>
  <si>
    <t>Value(1047)</t>
  </si>
  <si>
    <t>Value(1048)</t>
  </si>
  <si>
    <t>Value(1049)</t>
  </si>
  <si>
    <t>Value(1050)</t>
  </si>
  <si>
    <t>Value(1051)</t>
  </si>
  <si>
    <t>Value(1052)</t>
  </si>
  <si>
    <t>Value(1053)</t>
  </si>
  <si>
    <t>Value(1054)</t>
  </si>
  <si>
    <t>Value(1055)</t>
  </si>
  <si>
    <t>Value(1056)</t>
  </si>
  <si>
    <t>Value(1057)</t>
  </si>
  <si>
    <t>Value(1058)</t>
  </si>
  <si>
    <t>Value(1059)</t>
  </si>
  <si>
    <t>Value(1060)</t>
  </si>
  <si>
    <t>Value(1061)</t>
  </si>
  <si>
    <t>Value(1062)</t>
  </si>
  <si>
    <t>Value(1063)</t>
  </si>
  <si>
    <t>Value(1064)</t>
  </si>
  <si>
    <t>Value(1065)</t>
  </si>
  <si>
    <t>Value(1066)</t>
  </si>
  <si>
    <t>Value(1067)</t>
  </si>
  <si>
    <t>Value(1068)</t>
  </si>
  <si>
    <t>Value(1069)</t>
  </si>
  <si>
    <t>Value(1070)</t>
  </si>
  <si>
    <t>Value(1071)</t>
  </si>
  <si>
    <t>Value(1072)</t>
  </si>
  <si>
    <t>Value(1073)</t>
  </si>
  <si>
    <t>Value(1074)</t>
  </si>
  <si>
    <t>Value(1075)</t>
  </si>
  <si>
    <t>Value(1076)</t>
  </si>
  <si>
    <t>Value(1077)</t>
  </si>
  <si>
    <t>Value(1078)</t>
  </si>
  <si>
    <t>Value(1079)</t>
  </si>
  <si>
    <t>Value(1080)</t>
  </si>
  <si>
    <t>Value(1081)</t>
  </si>
  <si>
    <t>Value(1082)</t>
  </si>
  <si>
    <t>Value(1083)</t>
  </si>
  <si>
    <t>Value(1084)</t>
  </si>
  <si>
    <t>Value(1085)</t>
  </si>
  <si>
    <t>Value(1086)</t>
  </si>
  <si>
    <t>Value(1087)</t>
  </si>
  <si>
    <t>Value(1088)</t>
  </si>
  <si>
    <t>Value(1089)</t>
  </si>
  <si>
    <t>Value(1090)</t>
  </si>
  <si>
    <t>Value(1091)</t>
  </si>
  <si>
    <t>Value(1092)</t>
  </si>
  <si>
    <t>Value(1093)</t>
  </si>
  <si>
    <t>Value(1094)</t>
  </si>
  <si>
    <t>Value(1095)</t>
  </si>
  <si>
    <t>Value(1096)</t>
  </si>
  <si>
    <t>Value(1097)</t>
  </si>
  <si>
    <t>Value(1098)</t>
  </si>
  <si>
    <t>Value(1099)</t>
  </si>
  <si>
    <t>Value(1100)</t>
  </si>
  <si>
    <t>Value(1101)</t>
  </si>
  <si>
    <t>Value(1102)</t>
  </si>
  <si>
    <t>Value(1103)</t>
  </si>
  <si>
    <t>Value(1104)</t>
  </si>
  <si>
    <t>Value(1105)</t>
  </si>
  <si>
    <t>Value(1106)</t>
  </si>
  <si>
    <t>Value(1107)</t>
  </si>
  <si>
    <t>Value(1108)</t>
  </si>
  <si>
    <t>Value(1109)</t>
  </si>
  <si>
    <t>Value(1110)</t>
  </si>
  <si>
    <t>Value(1111)</t>
  </si>
  <si>
    <t>Value(1112)</t>
  </si>
  <si>
    <t>Value(1113)</t>
  </si>
  <si>
    <t>Value(1114)</t>
  </si>
  <si>
    <t>Value(1115)</t>
  </si>
  <si>
    <t>Value(1116)</t>
  </si>
  <si>
    <t>Value(1117)</t>
  </si>
  <si>
    <t>Value(1118)</t>
  </si>
  <si>
    <t>Value(1119)</t>
  </si>
  <si>
    <t>Value(1120)</t>
  </si>
  <si>
    <t>Value(1121)</t>
  </si>
  <si>
    <t>Value(1122)</t>
  </si>
  <si>
    <t>Value(1123)</t>
  </si>
  <si>
    <t>Value(1124)</t>
  </si>
  <si>
    <t>Value(1125)</t>
  </si>
  <si>
    <t>Value(1126)</t>
  </si>
  <si>
    <t>Value(1127)</t>
  </si>
  <si>
    <t>Value(1128)</t>
  </si>
  <si>
    <t>Value(1129)</t>
  </si>
  <si>
    <t>Value(1130)</t>
  </si>
  <si>
    <t>Value(1131)</t>
  </si>
  <si>
    <t>Value(1132)</t>
  </si>
  <si>
    <t>Value(1133)</t>
  </si>
  <si>
    <t>Value(1134)</t>
  </si>
  <si>
    <t>Value(1135)</t>
  </si>
  <si>
    <t>Value(1136)</t>
  </si>
  <si>
    <t>Value(1137)</t>
  </si>
  <si>
    <t>Value(1138)</t>
  </si>
  <si>
    <t>Value(1139)</t>
  </si>
  <si>
    <t>Value(1140)</t>
  </si>
  <si>
    <t>Value(1141)</t>
  </si>
  <si>
    <t>Value(1142)</t>
  </si>
  <si>
    <t>Value(1143)</t>
  </si>
  <si>
    <t>Value(1144)</t>
  </si>
  <si>
    <t>Value(1145)</t>
  </si>
  <si>
    <t>Value(1146)</t>
  </si>
  <si>
    <t>Value(1147)</t>
  </si>
  <si>
    <t>Value(1148)</t>
  </si>
  <si>
    <t>Value(1149)</t>
  </si>
  <si>
    <t>Value(1150)</t>
  </si>
  <si>
    <t>Value(1151)</t>
  </si>
  <si>
    <t>Value(1152)</t>
  </si>
  <si>
    <t>Value(1153)</t>
  </si>
  <si>
    <t>Value(1154)</t>
  </si>
  <si>
    <t>Value(1155)</t>
  </si>
  <si>
    <t>Value(1156)</t>
  </si>
  <si>
    <t>Value(1157)</t>
  </si>
  <si>
    <t>Value(1158)</t>
  </si>
  <si>
    <t>Value(1159)</t>
  </si>
  <si>
    <t>Value(1160)</t>
  </si>
  <si>
    <t>Value(1161)</t>
  </si>
  <si>
    <t>Value(1162)</t>
  </si>
  <si>
    <t>Value(1163)</t>
  </si>
  <si>
    <t>Value(1164)</t>
  </si>
  <si>
    <t>Value(1165)</t>
  </si>
  <si>
    <t>Value(1166)</t>
  </si>
  <si>
    <t>Value(1167)</t>
  </si>
  <si>
    <t>Value(1168)</t>
  </si>
  <si>
    <t>Value(1169)</t>
  </si>
  <si>
    <t>Value(1170)</t>
  </si>
  <si>
    <t>Value(1171)</t>
  </si>
  <si>
    <t>Value(1172)</t>
  </si>
  <si>
    <t>Value(1173)</t>
  </si>
  <si>
    <t>Value(1174)</t>
  </si>
  <si>
    <t>Value(1175)</t>
  </si>
  <si>
    <t>Value(1176)</t>
  </si>
  <si>
    <t>Value(1177)</t>
  </si>
  <si>
    <t>Value(1178)</t>
  </si>
  <si>
    <t>Value(1179)</t>
  </si>
  <si>
    <t>Value(1180)</t>
  </si>
  <si>
    <t>Value(1181)</t>
  </si>
  <si>
    <t>Value(1182)</t>
  </si>
  <si>
    <t>Value(1183)</t>
  </si>
  <si>
    <t>Value(1184)</t>
  </si>
  <si>
    <t>Value(1185)</t>
  </si>
  <si>
    <t>Value(1186)</t>
  </si>
  <si>
    <t>Value(1187)</t>
  </si>
  <si>
    <t>Value(1188)</t>
  </si>
  <si>
    <t>Value(1189)</t>
  </si>
  <si>
    <t>Value(1190)</t>
  </si>
  <si>
    <t>Value(1191)</t>
  </si>
  <si>
    <t>Value(1192)</t>
  </si>
  <si>
    <t>Value(1193)</t>
  </si>
  <si>
    <t>Value(1194)</t>
  </si>
  <si>
    <t>Value(1195)</t>
  </si>
  <si>
    <t>Value(1196)</t>
  </si>
  <si>
    <t>Value(1197)</t>
  </si>
  <si>
    <t>Value(1198)</t>
  </si>
  <si>
    <t>Value(1199)</t>
  </si>
  <si>
    <t>Value(1200)</t>
  </si>
  <si>
    <t>Value(1201)</t>
  </si>
  <si>
    <t>Value(1202)</t>
  </si>
  <si>
    <t>Value(1203)</t>
  </si>
  <si>
    <t>Value(1204)</t>
  </si>
  <si>
    <t>Value(1205)</t>
  </si>
  <si>
    <t>Value(1206)</t>
  </si>
  <si>
    <t>Value(1207)</t>
  </si>
  <si>
    <t>Value(1208)</t>
  </si>
  <si>
    <t>Value(1209)</t>
  </si>
  <si>
    <t>Value(1210)</t>
  </si>
  <si>
    <t>Value(1211)</t>
  </si>
  <si>
    <t>Value(1212)</t>
  </si>
  <si>
    <t>Value(1213)</t>
  </si>
  <si>
    <t>Value(1214)</t>
  </si>
  <si>
    <t>Value(1215)</t>
  </si>
  <si>
    <t>Value(1216)</t>
  </si>
  <si>
    <t>Value(1217)</t>
  </si>
  <si>
    <t>Value(1218)</t>
  </si>
  <si>
    <t>Value(1219)</t>
  </si>
  <si>
    <t>Value(1220)</t>
  </si>
  <si>
    <t>Value(1221)</t>
  </si>
  <si>
    <t>Value(1222)</t>
  </si>
  <si>
    <t>Value(1223)</t>
  </si>
  <si>
    <t>Value(1224)</t>
  </si>
  <si>
    <t>Value(1225)</t>
  </si>
  <si>
    <t>Value(1226)</t>
  </si>
  <si>
    <t>Value(1227)</t>
  </si>
  <si>
    <t>Value(1228)</t>
  </si>
  <si>
    <t>Value(1229)</t>
  </si>
  <si>
    <t>Value(1230)</t>
  </si>
  <si>
    <t>Value(1231)</t>
  </si>
  <si>
    <t>Value(1232)</t>
  </si>
  <si>
    <t>Value(1233)</t>
  </si>
  <si>
    <t>Value(1234)</t>
  </si>
  <si>
    <t>Value(1235)</t>
  </si>
  <si>
    <t>Value(1236)</t>
  </si>
  <si>
    <t>Value(1237)</t>
  </si>
  <si>
    <t>Value(1238)</t>
  </si>
  <si>
    <t>Value(1239)</t>
  </si>
  <si>
    <t>Value(1240)</t>
  </si>
  <si>
    <t>Value(1241)</t>
  </si>
  <si>
    <t>Value(1242)</t>
  </si>
  <si>
    <t>Value(1243)</t>
  </si>
  <si>
    <t>Value(1244)</t>
  </si>
  <si>
    <t>Value(1245)</t>
  </si>
  <si>
    <t>Value(1246)</t>
  </si>
  <si>
    <t>Value(1247)</t>
  </si>
  <si>
    <t>Value(1248)</t>
  </si>
  <si>
    <t>Value(1249)</t>
  </si>
  <si>
    <t>Value(1250)</t>
  </si>
  <si>
    <t>Value(1251)</t>
  </si>
  <si>
    <t>Value(1252)</t>
  </si>
  <si>
    <t>Value(1253)</t>
  </si>
  <si>
    <t>Value(1254)</t>
  </si>
  <si>
    <t>Value(1255)</t>
  </si>
  <si>
    <t>Value(1256)</t>
  </si>
  <si>
    <t>Value(1257)</t>
  </si>
  <si>
    <t>Value(1258)</t>
  </si>
  <si>
    <t>Value(1259)</t>
  </si>
  <si>
    <t>Value(1260)</t>
  </si>
  <si>
    <t>Value(1261)</t>
  </si>
  <si>
    <t>Value(1262)</t>
  </si>
  <si>
    <t>Value(1263)</t>
  </si>
  <si>
    <t>Value(1264)</t>
  </si>
  <si>
    <t>Value(1265)</t>
  </si>
  <si>
    <t>Value(1266)</t>
  </si>
  <si>
    <t>Value(1267)</t>
  </si>
  <si>
    <t>Value(1268)</t>
  </si>
  <si>
    <t>Value(1269)</t>
  </si>
  <si>
    <t>Value(1270)</t>
  </si>
  <si>
    <t>Value(1271)</t>
  </si>
  <si>
    <t>Value(1272)</t>
  </si>
  <si>
    <t>Value(1273)</t>
  </si>
  <si>
    <t>Value(1274)</t>
  </si>
  <si>
    <t>Value(1275)</t>
  </si>
  <si>
    <t>Value(1276)</t>
  </si>
  <si>
    <t>Value(1277)</t>
  </si>
  <si>
    <t>Value(1278)</t>
  </si>
  <si>
    <t>Value(1279)</t>
  </si>
  <si>
    <t>Value(1280)</t>
  </si>
  <si>
    <t>Value(1281)</t>
  </si>
  <si>
    <t>Value(1282)</t>
  </si>
  <si>
    <t>Value(1283)</t>
  </si>
  <si>
    <t>Value(1284)</t>
  </si>
  <si>
    <t>Value(1285)</t>
  </si>
  <si>
    <t>Value(1286)</t>
  </si>
  <si>
    <t>Value(1287)</t>
  </si>
  <si>
    <t>Value(1288)</t>
  </si>
  <si>
    <t>Value(1289)</t>
  </si>
  <si>
    <t>Value(1290)</t>
  </si>
  <si>
    <t>Value(1291)</t>
  </si>
  <si>
    <t>Value(1292)</t>
  </si>
  <si>
    <t>Value(1293)</t>
  </si>
  <si>
    <t>Value(1294)</t>
  </si>
  <si>
    <t>Value(1295)</t>
  </si>
  <si>
    <t>Value(1296)</t>
  </si>
  <si>
    <t>Value(1297)</t>
  </si>
  <si>
    <t>Value(1298)</t>
  </si>
  <si>
    <t>Value(1299)</t>
  </si>
  <si>
    <t>Value(1300)</t>
  </si>
  <si>
    <t>Value(1301)</t>
  </si>
  <si>
    <t>Value(1302)</t>
  </si>
  <si>
    <t>Value(1303)</t>
  </si>
  <si>
    <t>Value(1304)</t>
  </si>
  <si>
    <t>Value(1305)</t>
  </si>
  <si>
    <t>Value(1306)</t>
  </si>
  <si>
    <t>Value(1307)</t>
  </si>
  <si>
    <t>Value(1308)</t>
  </si>
  <si>
    <t>Value(1309)</t>
  </si>
  <si>
    <t>Value(1310)</t>
  </si>
  <si>
    <t>Value(1311)</t>
  </si>
  <si>
    <t>Value(1312)</t>
  </si>
  <si>
    <t>Value(1313)</t>
  </si>
  <si>
    <t>Value(1314)</t>
  </si>
  <si>
    <t>Value(1315)</t>
  </si>
  <si>
    <t>Value(1316)</t>
  </si>
  <si>
    <t>Value(1317)</t>
  </si>
  <si>
    <t>Value(1318)</t>
  </si>
  <si>
    <t>Value(1319)</t>
  </si>
  <si>
    <t>Value(1320)</t>
  </si>
  <si>
    <t>Value(1321)</t>
  </si>
  <si>
    <t>Value(1322)</t>
  </si>
  <si>
    <t>Value(1323)</t>
  </si>
  <si>
    <t>Value(1324)</t>
  </si>
  <si>
    <t>Value(1325)</t>
  </si>
  <si>
    <t>Value(1326)</t>
  </si>
  <si>
    <t>Value(1327)</t>
  </si>
  <si>
    <t>Value(1328)</t>
  </si>
  <si>
    <t>Value(1329)</t>
  </si>
  <si>
    <t>Value(1330)</t>
  </si>
  <si>
    <t>Value(1331)</t>
  </si>
  <si>
    <t>Value(1332)</t>
  </si>
  <si>
    <t>Value(1333)</t>
  </si>
  <si>
    <t>Value(1334)</t>
  </si>
  <si>
    <t>Value(1335)</t>
  </si>
  <si>
    <t>Value(1336)</t>
  </si>
  <si>
    <t>Value(1337)</t>
  </si>
  <si>
    <t>Value(1338)</t>
  </si>
  <si>
    <t>Value(1339)</t>
  </si>
  <si>
    <t>Value(1340)</t>
  </si>
  <si>
    <t>Value(1341)</t>
  </si>
  <si>
    <t>Value(1342)</t>
  </si>
  <si>
    <t>Value(1343)</t>
  </si>
  <si>
    <t>Value(1344)</t>
  </si>
  <si>
    <t>Value(1345)</t>
  </si>
  <si>
    <t>Value(1346)</t>
  </si>
  <si>
    <t>Value(1347)</t>
  </si>
  <si>
    <t>Value(1348)</t>
  </si>
  <si>
    <t>Value(1349)</t>
  </si>
  <si>
    <t>Value(1350)</t>
  </si>
  <si>
    <t>Value(1351)</t>
  </si>
  <si>
    <t>Value(1352)</t>
  </si>
  <si>
    <t>Value(1353)</t>
  </si>
  <si>
    <t>Value(1354)</t>
  </si>
  <si>
    <t>Value(1355)</t>
  </si>
  <si>
    <t>Value(1356)</t>
  </si>
  <si>
    <t>Value(1357)</t>
  </si>
  <si>
    <t>Value(1358)</t>
  </si>
  <si>
    <t>Value(1359)</t>
  </si>
  <si>
    <t>Value(1360)</t>
  </si>
  <si>
    <t>Value(1361)</t>
  </si>
  <si>
    <t>Value(1362)</t>
  </si>
  <si>
    <t>Value(1363)</t>
  </si>
  <si>
    <t>Value(1364)</t>
  </si>
  <si>
    <t>Value(1365)</t>
  </si>
  <si>
    <t>Value(1366)</t>
  </si>
  <si>
    <t>Value(1367)</t>
  </si>
  <si>
    <t>Value(1368)</t>
  </si>
  <si>
    <t>Value(1369)</t>
  </si>
  <si>
    <t>Value(1370)</t>
  </si>
  <si>
    <t>Value(1371)</t>
  </si>
  <si>
    <t>Value(1372)</t>
  </si>
  <si>
    <t>Value(1373)</t>
  </si>
  <si>
    <t>Value(1374)</t>
  </si>
  <si>
    <t>Value(1375)</t>
  </si>
  <si>
    <t>Value(1376)</t>
  </si>
  <si>
    <t>Value(1377)</t>
  </si>
  <si>
    <t>Value(1378)</t>
  </si>
  <si>
    <t>Value(1379)</t>
  </si>
  <si>
    <t>Value(1380)</t>
  </si>
  <si>
    <t>Value(1381)</t>
  </si>
  <si>
    <t>Value(1382)</t>
  </si>
  <si>
    <t>Value(1383)</t>
  </si>
  <si>
    <t>Value(1384)</t>
  </si>
  <si>
    <t>Value(1385)</t>
  </si>
  <si>
    <t>Value(1386)</t>
  </si>
  <si>
    <t>Value(1387)</t>
  </si>
  <si>
    <t>Value(1388)</t>
  </si>
  <si>
    <t>Value(1389)</t>
  </si>
  <si>
    <t>Value(1390)</t>
  </si>
  <si>
    <t>Value(1391)</t>
  </si>
  <si>
    <t>Value(1392)</t>
  </si>
  <si>
    <t>Value(1393)</t>
  </si>
  <si>
    <t>Value(1394)</t>
  </si>
  <si>
    <t>Value(1395)</t>
  </si>
  <si>
    <t>Value(1396)</t>
  </si>
  <si>
    <t>Value(1397)</t>
  </si>
  <si>
    <t>Value(1398)</t>
  </si>
  <si>
    <t>Value(1399)</t>
  </si>
  <si>
    <t>Value(1400)</t>
  </si>
  <si>
    <t>Value(1401)</t>
  </si>
  <si>
    <t>Value(1402)</t>
  </si>
  <si>
    <t>Value(1403)</t>
  </si>
  <si>
    <t>Value(1404)</t>
  </si>
  <si>
    <t>Value(1405)</t>
  </si>
  <si>
    <t>Value(1406)</t>
  </si>
  <si>
    <t>Value(1407)</t>
  </si>
  <si>
    <t>Value(1408)</t>
  </si>
  <si>
    <t>Value(1409)</t>
  </si>
  <si>
    <t>Value(1410)</t>
  </si>
  <si>
    <t>Value(1411)</t>
  </si>
  <si>
    <t>Value(1412)</t>
  </si>
  <si>
    <t>Value(1413)</t>
  </si>
  <si>
    <t>Value(1414)</t>
  </si>
  <si>
    <t>Value(1415)</t>
  </si>
  <si>
    <t>Value(1416)</t>
  </si>
  <si>
    <t>Value(1417)</t>
  </si>
  <si>
    <t>Value(1418)</t>
  </si>
  <si>
    <t>Value(1419)</t>
  </si>
  <si>
    <t>Value(1420)</t>
  </si>
  <si>
    <t>Value(1421)</t>
  </si>
  <si>
    <t>Value(1422)</t>
  </si>
  <si>
    <t>Value(1423)</t>
  </si>
  <si>
    <t>Value(1424)</t>
  </si>
  <si>
    <t>Value(1425)</t>
  </si>
  <si>
    <t>Value(1426)</t>
  </si>
  <si>
    <t>Value(1427)</t>
  </si>
  <si>
    <t>Value(1428)</t>
  </si>
  <si>
    <t>Value(1429)</t>
  </si>
  <si>
    <t>Value(1430)</t>
  </si>
  <si>
    <t>Value(1431)</t>
  </si>
  <si>
    <t>Value(1432)</t>
  </si>
  <si>
    <t>Value(1433)</t>
  </si>
  <si>
    <t>Value(1434)</t>
  </si>
  <si>
    <t>Value(1435)</t>
  </si>
  <si>
    <t>Value(1436)</t>
  </si>
  <si>
    <t>Value(1437)</t>
  </si>
  <si>
    <t>Value(1438)</t>
  </si>
  <si>
    <t>Value(1439)</t>
  </si>
  <si>
    <t>Value(1440)</t>
  </si>
  <si>
    <t>Value(1441)</t>
  </si>
  <si>
    <t>Value(1442)</t>
  </si>
  <si>
    <t>Value(1443)</t>
  </si>
  <si>
    <t>Value(1444)</t>
  </si>
  <si>
    <t>Value(1445)</t>
  </si>
  <si>
    <t>Value(1446)</t>
  </si>
  <si>
    <t>Value(1447)</t>
  </si>
  <si>
    <t>Value(1448)</t>
  </si>
  <si>
    <t>Value(1449)</t>
  </si>
  <si>
    <t>Value(1450)</t>
  </si>
  <si>
    <t>Value(1451)</t>
  </si>
  <si>
    <t>Value(1452)</t>
  </si>
  <si>
    <t>Value(1453)</t>
  </si>
  <si>
    <t>Value(1454)</t>
  </si>
  <si>
    <t>Value(1455)</t>
  </si>
  <si>
    <t>Value(1456)</t>
  </si>
  <si>
    <t>Value(1457)</t>
  </si>
  <si>
    <t>Value(1458)</t>
  </si>
  <si>
    <t>Value(1459)</t>
  </si>
  <si>
    <t>Value(1460)</t>
  </si>
  <si>
    <t>Value(1461)</t>
  </si>
  <si>
    <t>Value(1462)</t>
  </si>
  <si>
    <t>Value(1463)</t>
  </si>
  <si>
    <t>Value(1464)</t>
  </si>
  <si>
    <t>Value(1465)</t>
  </si>
  <si>
    <t>Value(1466)</t>
  </si>
  <si>
    <t>Value(1467)</t>
  </si>
  <si>
    <t>Value(1468)</t>
  </si>
  <si>
    <t>Value(1469)</t>
  </si>
  <si>
    <t>Value(1470)</t>
  </si>
  <si>
    <t>Value(1471)</t>
  </si>
  <si>
    <t>Value(1472)</t>
  </si>
  <si>
    <t>Value(1473)</t>
  </si>
  <si>
    <t>Value(1474)</t>
  </si>
  <si>
    <t>Value(1475)</t>
  </si>
  <si>
    <t>Value(1476)</t>
  </si>
  <si>
    <t>Value(1477)</t>
  </si>
  <si>
    <t>Value(1478)</t>
  </si>
  <si>
    <t>Value(1479)</t>
  </si>
  <si>
    <t>Value(1480)</t>
  </si>
  <si>
    <t>Value(1481)</t>
  </si>
  <si>
    <t>Value(1482)</t>
  </si>
  <si>
    <t>Value(1483)</t>
  </si>
  <si>
    <t>Value(1484)</t>
  </si>
  <si>
    <t>Value(1485)</t>
  </si>
  <si>
    <t>Value(1486)</t>
  </si>
  <si>
    <t>Value(1487)</t>
  </si>
  <si>
    <t>Value(1488)</t>
  </si>
  <si>
    <t>Value(1489)</t>
  </si>
  <si>
    <t>Value(1490)</t>
  </si>
  <si>
    <t>Value(1491)</t>
  </si>
  <si>
    <t>Value(1492)</t>
  </si>
  <si>
    <t>Value(1493)</t>
  </si>
  <si>
    <t>Value(1494)</t>
  </si>
  <si>
    <t>Value(1495)</t>
  </si>
  <si>
    <t>Value(1496)</t>
  </si>
  <si>
    <t>Value(1497)</t>
  </si>
  <si>
    <t>Value(1498)</t>
  </si>
  <si>
    <t>Value(1499)</t>
  </si>
  <si>
    <t>Value(1500)</t>
  </si>
  <si>
    <t>Value(1501)</t>
  </si>
  <si>
    <t>Value(1502)</t>
  </si>
  <si>
    <t>Value(1503)</t>
  </si>
  <si>
    <t>Value(1504)</t>
  </si>
  <si>
    <t>Value(1505)</t>
  </si>
  <si>
    <t>Value(1506)</t>
  </si>
  <si>
    <t>Value(1507)</t>
  </si>
  <si>
    <t>Value(1508)</t>
  </si>
  <si>
    <t>Value(1509)</t>
  </si>
  <si>
    <t>Value(1510)</t>
  </si>
  <si>
    <t>Value(1511)</t>
  </si>
  <si>
    <t>Value(1512)</t>
  </si>
  <si>
    <t>Value(1513)</t>
  </si>
  <si>
    <t>Value(1514)</t>
  </si>
  <si>
    <t>Value(1515)</t>
  </si>
  <si>
    <t>Value(1516)</t>
  </si>
  <si>
    <t>Value(1517)</t>
  </si>
  <si>
    <t>Value(1518)</t>
  </si>
  <si>
    <t>Value(1519)</t>
  </si>
  <si>
    <t>Value(1520)</t>
  </si>
  <si>
    <t>Value(1521)</t>
  </si>
  <si>
    <t>Value(1522)</t>
  </si>
  <si>
    <t>Value(1523)</t>
  </si>
  <si>
    <t>Value(1524)</t>
  </si>
  <si>
    <t>Value(1525)</t>
  </si>
  <si>
    <t>Value(1526)</t>
  </si>
  <si>
    <t>Value(1527)</t>
  </si>
  <si>
    <t>Value(1528)</t>
  </si>
  <si>
    <t>Value(1529)</t>
  </si>
  <si>
    <t>Value(1530)</t>
  </si>
  <si>
    <t>Value(1531)</t>
  </si>
  <si>
    <t>Value(1532)</t>
  </si>
  <si>
    <t>Value(1533)</t>
  </si>
  <si>
    <t>Value(1534)</t>
  </si>
  <si>
    <t>Value(1535)</t>
  </si>
  <si>
    <t>Value(1536)</t>
  </si>
  <si>
    <t>Value(1537)</t>
  </si>
  <si>
    <t>Value(1538)</t>
  </si>
  <si>
    <t>Value(1539)</t>
  </si>
  <si>
    <t>Value(1540)</t>
  </si>
  <si>
    <t>Value(1541)</t>
  </si>
  <si>
    <t>Value(1542)</t>
  </si>
  <si>
    <t>Value(1543)</t>
  </si>
  <si>
    <t>Value(1544)</t>
  </si>
  <si>
    <t>Value(1545)</t>
  </si>
  <si>
    <t>Value(1546)</t>
  </si>
  <si>
    <t>Value(1547)</t>
  </si>
  <si>
    <t>Value(1548)</t>
  </si>
  <si>
    <t>Value(1549)</t>
  </si>
  <si>
    <t>Value(1550)</t>
  </si>
  <si>
    <t>Value(1551)</t>
  </si>
  <si>
    <t>Value(1552)</t>
  </si>
  <si>
    <t>Value(1553)</t>
  </si>
  <si>
    <t>Value(1554)</t>
  </si>
  <si>
    <t>Value(1555)</t>
  </si>
  <si>
    <t>Value(1556)</t>
  </si>
  <si>
    <t>Value(1557)</t>
  </si>
  <si>
    <t>Value(1558)</t>
  </si>
  <si>
    <t>Value(1559)</t>
  </si>
  <si>
    <t>Value(1560)</t>
  </si>
  <si>
    <t>Value(1561)</t>
  </si>
  <si>
    <t>Value(1562)</t>
  </si>
  <si>
    <t>Value(1563)</t>
  </si>
  <si>
    <t>Value(1564)</t>
  </si>
  <si>
    <t>Value(1565)</t>
  </si>
  <si>
    <t>Value(1566)</t>
  </si>
  <si>
    <t>Value(1567)</t>
  </si>
  <si>
    <t>Value(1568)</t>
  </si>
  <si>
    <t>Value(1569)</t>
  </si>
  <si>
    <t>Value(1570)</t>
  </si>
  <si>
    <t>Value(1571)</t>
  </si>
  <si>
    <t>Value(1572)</t>
  </si>
  <si>
    <t>Value(1573)</t>
  </si>
  <si>
    <t>Value(1574)</t>
  </si>
  <si>
    <t>Value(1575)</t>
  </si>
  <si>
    <t>Value(1576)</t>
  </si>
  <si>
    <t>Value(1577)</t>
  </si>
  <si>
    <t>Value(1578)</t>
  </si>
  <si>
    <t>Value(1579)</t>
  </si>
  <si>
    <t>Value(1580)</t>
  </si>
  <si>
    <t>Value(1581)</t>
  </si>
  <si>
    <t>Value(1582)</t>
  </si>
  <si>
    <t>Value(1583)</t>
  </si>
  <si>
    <t>Value(1584)</t>
  </si>
  <si>
    <t>Value(1585)</t>
  </si>
  <si>
    <t>Value(1586)</t>
  </si>
  <si>
    <t>Value(1587)</t>
  </si>
  <si>
    <t>Value(1588)</t>
  </si>
  <si>
    <t>Value(1589)</t>
  </si>
  <si>
    <t>Value(1590)</t>
  </si>
  <si>
    <t>Value(1591)</t>
  </si>
  <si>
    <t>Value(1592)</t>
  </si>
  <si>
    <t>Value(1593)</t>
  </si>
  <si>
    <t>Value(1594)</t>
  </si>
  <si>
    <t>Value(1595)</t>
  </si>
  <si>
    <t>Value(1596)</t>
  </si>
  <si>
    <t>Value(1597)</t>
  </si>
  <si>
    <t>Value(1598)</t>
  </si>
  <si>
    <t>Value(1599)</t>
  </si>
  <si>
    <t>Value(1600)</t>
  </si>
  <si>
    <t>Value(1601)</t>
  </si>
  <si>
    <t>Value(1602)</t>
  </si>
  <si>
    <t>Value(1603)</t>
  </si>
  <si>
    <t>Value(1604)</t>
  </si>
  <si>
    <t>Value(1605)</t>
  </si>
  <si>
    <t>Value(1606)</t>
  </si>
  <si>
    <t>Value(1607)</t>
  </si>
  <si>
    <t>Value(1608)</t>
  </si>
  <si>
    <t>Value(1609)</t>
  </si>
  <si>
    <t>Value(1610)</t>
  </si>
  <si>
    <t>Value(1611)</t>
  </si>
  <si>
    <t>Value(1612)</t>
  </si>
  <si>
    <t>Value(1613)</t>
  </si>
  <si>
    <t>Value(1614)</t>
  </si>
  <si>
    <t>Value(1615)</t>
  </si>
  <si>
    <t>Value(1616)</t>
  </si>
  <si>
    <t>Value(1617)</t>
  </si>
  <si>
    <t>Value(1618)</t>
  </si>
  <si>
    <t>Value(1619)</t>
  </si>
  <si>
    <t>Value(1620)</t>
  </si>
  <si>
    <t>Value(1621)</t>
  </si>
  <si>
    <t>Value(1622)</t>
  </si>
  <si>
    <t>Value(1623)</t>
  </si>
  <si>
    <t>Value(1624)</t>
  </si>
  <si>
    <t>Value(1625)</t>
  </si>
  <si>
    <t>Value(1626)</t>
  </si>
  <si>
    <t>Value(1627)</t>
  </si>
  <si>
    <t>Value(1628)</t>
  </si>
  <si>
    <t>Value(1629)</t>
  </si>
  <si>
    <t>Value(1630)</t>
  </si>
  <si>
    <t>Value(1631)</t>
  </si>
  <si>
    <t>Value(1632)</t>
  </si>
  <si>
    <t>Value(1633)</t>
  </si>
  <si>
    <t>Value(1634)</t>
  </si>
  <si>
    <t>Value(1635)</t>
  </si>
  <si>
    <t>Value(1636)</t>
  </si>
  <si>
    <t>Value(1637)</t>
  </si>
  <si>
    <t>Value(1638)</t>
  </si>
  <si>
    <t>Value(1639)</t>
  </si>
  <si>
    <t>Value(1640)</t>
  </si>
  <si>
    <t>Value(1641)</t>
  </si>
  <si>
    <t>Value(1642)</t>
  </si>
  <si>
    <t>Value(1643)</t>
  </si>
  <si>
    <t>Value(1644)</t>
  </si>
  <si>
    <t>Value(1645)</t>
  </si>
  <si>
    <t>Value(1646)</t>
  </si>
  <si>
    <t>Value(1647)</t>
  </si>
  <si>
    <t>Value(1648)</t>
  </si>
  <si>
    <t>Value(1649)</t>
  </si>
  <si>
    <t>Value(1650)</t>
  </si>
  <si>
    <t>Value(1651)</t>
  </si>
  <si>
    <t>Value(1652)</t>
  </si>
  <si>
    <t>Value(1653)</t>
  </si>
  <si>
    <t>Value(1654)</t>
  </si>
  <si>
    <t>Value(1655)</t>
  </si>
  <si>
    <t>Value(1656)</t>
  </si>
  <si>
    <t>Value(1657)</t>
  </si>
  <si>
    <t>Value(1658)</t>
  </si>
  <si>
    <t>Value(1659)</t>
  </si>
  <si>
    <t>Value(1660)</t>
  </si>
  <si>
    <t>Value(1661)</t>
  </si>
  <si>
    <t>Value(1662)</t>
  </si>
  <si>
    <t>Value(1663)</t>
  </si>
  <si>
    <t>Value(1664)</t>
  </si>
  <si>
    <t>Value(1665)</t>
  </si>
  <si>
    <t>Value(1666)</t>
  </si>
  <si>
    <t>Value(1667)</t>
  </si>
  <si>
    <t>Value(1668)</t>
  </si>
  <si>
    <t>Value(1669)</t>
  </si>
  <si>
    <t>Value(1670)</t>
  </si>
  <si>
    <t>Value(1671)</t>
  </si>
  <si>
    <t>Value(1672)</t>
  </si>
  <si>
    <t>Value(1673)</t>
  </si>
  <si>
    <t>Value(1674)</t>
  </si>
  <si>
    <t>Value(1675)</t>
  </si>
  <si>
    <t>Value(1676)</t>
  </si>
  <si>
    <t>Value(1677)</t>
  </si>
  <si>
    <t>Value(1678)</t>
  </si>
  <si>
    <t>Value(1679)</t>
  </si>
  <si>
    <t>Value(1680)</t>
  </si>
  <si>
    <t>Value(1681)</t>
  </si>
  <si>
    <t>Value(1682)</t>
  </si>
  <si>
    <t>Value(1683)</t>
  </si>
  <si>
    <t>Value(1684)</t>
  </si>
  <si>
    <t>Value(1685)</t>
  </si>
  <si>
    <t>Value(1686)</t>
  </si>
  <si>
    <t>Value(1687)</t>
  </si>
  <si>
    <t>Value(1688)</t>
  </si>
  <si>
    <t>Value(1689)</t>
  </si>
  <si>
    <t>Value(1690)</t>
  </si>
  <si>
    <t>Value(1691)</t>
  </si>
  <si>
    <t>Value(1692)</t>
  </si>
  <si>
    <t>Value(1693)</t>
  </si>
  <si>
    <t>Value(1694)</t>
  </si>
  <si>
    <t>Value(1695)</t>
  </si>
  <si>
    <t>Value(1696)</t>
  </si>
  <si>
    <t>Value(1697)</t>
  </si>
  <si>
    <t>Value(1698)</t>
  </si>
  <si>
    <t>Value(1699)</t>
  </si>
  <si>
    <t>Value(1700)</t>
  </si>
  <si>
    <t>Value(1701)</t>
  </si>
  <si>
    <t>Value(1702)</t>
  </si>
  <si>
    <t>Value(1703)</t>
  </si>
  <si>
    <t>Value(1704)</t>
  </si>
  <si>
    <t>Value(1705)</t>
  </si>
  <si>
    <t>Value(1706)</t>
  </si>
  <si>
    <t>Value(1707)</t>
  </si>
  <si>
    <t>Value(1708)</t>
  </si>
  <si>
    <t>Value(1709)</t>
  </si>
  <si>
    <t>Value(1710)</t>
  </si>
  <si>
    <t>Value(1711)</t>
  </si>
  <si>
    <t>Value(1712)</t>
  </si>
  <si>
    <t>Value(1713)</t>
  </si>
  <si>
    <t>Value(1714)</t>
  </si>
  <si>
    <t>Value(1715)</t>
  </si>
  <si>
    <t>Value(1716)</t>
  </si>
  <si>
    <t>Value(1717)</t>
  </si>
  <si>
    <t>Value(1718)</t>
  </si>
  <si>
    <t>Value(1719)</t>
  </si>
  <si>
    <t>Value(1720)</t>
  </si>
  <si>
    <t>Value(1721)</t>
  </si>
  <si>
    <t>Value(1722)</t>
  </si>
  <si>
    <t>Value(1723)</t>
  </si>
  <si>
    <t>Value(1724)</t>
  </si>
  <si>
    <t>Value(1725)</t>
  </si>
  <si>
    <t>Value(1726)</t>
  </si>
  <si>
    <t>Value(1727)</t>
  </si>
  <si>
    <t>Value(1728)</t>
  </si>
  <si>
    <t>Value(1729)</t>
  </si>
  <si>
    <t>Value(1730)</t>
  </si>
  <si>
    <t>Value(1731)</t>
  </si>
  <si>
    <t>Value(1732)</t>
  </si>
  <si>
    <t>Value(1733)</t>
  </si>
  <si>
    <t>Value(1734)</t>
  </si>
  <si>
    <t>Value(1735)</t>
  </si>
  <si>
    <t>Value(1736)</t>
  </si>
  <si>
    <t>Value(1737)</t>
  </si>
  <si>
    <t>Value(1738)</t>
  </si>
  <si>
    <t>Value(1739)</t>
  </si>
  <si>
    <t>Value(1740)</t>
  </si>
  <si>
    <t>Value(1741)</t>
  </si>
  <si>
    <t>Value(1742)</t>
  </si>
  <si>
    <t>Value(1743)</t>
  </si>
  <si>
    <t>Value(1744)</t>
  </si>
  <si>
    <t>Value(1745)</t>
  </si>
  <si>
    <t>Value(1746)</t>
  </si>
  <si>
    <t>Value(1747)</t>
  </si>
  <si>
    <t>Value(1748)</t>
  </si>
  <si>
    <t>Value(1749)</t>
  </si>
  <si>
    <t>Value(1750)</t>
  </si>
  <si>
    <t>Value(1751)</t>
  </si>
  <si>
    <t>Value(1752)</t>
  </si>
  <si>
    <t>Value(1753)</t>
  </si>
  <si>
    <t>Value(1754)</t>
  </si>
  <si>
    <t>Value(1755)</t>
  </si>
  <si>
    <t>Value(1756)</t>
  </si>
  <si>
    <t>Value(1757)</t>
  </si>
  <si>
    <t>Value(1758)</t>
  </si>
  <si>
    <t>Value(1759)</t>
  </si>
  <si>
    <t>Value(1760)</t>
  </si>
  <si>
    <t>Value(1761)</t>
  </si>
  <si>
    <t>Value(1762)</t>
  </si>
  <si>
    <t>Value(1763)</t>
  </si>
  <si>
    <t>Value(1764)</t>
  </si>
  <si>
    <t>Value(1765)</t>
  </si>
  <si>
    <t>Value(1766)</t>
  </si>
  <si>
    <t>Value(1767)</t>
  </si>
  <si>
    <t>Value(1768)</t>
  </si>
  <si>
    <t>Value(1769)</t>
  </si>
  <si>
    <t>Value(1770)</t>
  </si>
  <si>
    <t>Value(1771)</t>
  </si>
  <si>
    <t>Value(1772)</t>
  </si>
  <si>
    <t>Value(1773)</t>
  </si>
  <si>
    <t>Value(1774)</t>
  </si>
  <si>
    <t>Value(1775)</t>
  </si>
  <si>
    <t>Value(1776)</t>
  </si>
  <si>
    <t>Value(1777)</t>
  </si>
  <si>
    <t>Value(1778)</t>
  </si>
  <si>
    <t>Value(1779)</t>
  </si>
  <si>
    <t>Value(1780)</t>
  </si>
  <si>
    <t>Value(1781)</t>
  </si>
  <si>
    <t>Value(1782)</t>
  </si>
  <si>
    <t>Value(1783)</t>
  </si>
  <si>
    <t>Value(1784)</t>
  </si>
  <si>
    <t>Value(1785)</t>
  </si>
  <si>
    <t>Value(1786)</t>
  </si>
  <si>
    <t>Value(1787)</t>
  </si>
  <si>
    <t>Value(1788)</t>
  </si>
  <si>
    <t>Value(1789)</t>
  </si>
  <si>
    <t>Value(1790)</t>
  </si>
  <si>
    <t>Value(1791)</t>
  </si>
  <si>
    <t>Value(1792)</t>
  </si>
  <si>
    <t>Value(1793)</t>
  </si>
  <si>
    <t>Value(1794)</t>
  </si>
  <si>
    <t>Value(1795)</t>
  </si>
  <si>
    <t>Value(1796)</t>
  </si>
  <si>
    <t>Value(1797)</t>
  </si>
  <si>
    <t>Value(1798)</t>
  </si>
  <si>
    <t>Value(1799)</t>
  </si>
  <si>
    <t>Value(1800)</t>
  </si>
  <si>
    <t>Value(1801)</t>
  </si>
  <si>
    <t>Value(1802)</t>
  </si>
  <si>
    <t>Value(1803)</t>
  </si>
  <si>
    <t>Value(1804)</t>
  </si>
  <si>
    <t>Value(1805)</t>
  </si>
  <si>
    <t>Value(1806)</t>
  </si>
  <si>
    <t>Value(1807)</t>
  </si>
  <si>
    <t>Value(1808)</t>
  </si>
  <si>
    <t>Value(1809)</t>
  </si>
  <si>
    <t>Value(1810)</t>
  </si>
  <si>
    <t>Value(1811)</t>
  </si>
  <si>
    <t>Value(1812)</t>
  </si>
  <si>
    <t>Value(1813)</t>
  </si>
  <si>
    <t>Value(1814)</t>
  </si>
  <si>
    <t>Value(1815)</t>
  </si>
  <si>
    <t>Value(1816)</t>
  </si>
  <si>
    <t>Value(1817)</t>
  </si>
  <si>
    <t>Value(1818)</t>
  </si>
  <si>
    <t>Value(1819)</t>
  </si>
  <si>
    <t>Value(1820)</t>
  </si>
  <si>
    <t>Value(1821)</t>
  </si>
  <si>
    <t>Value(1822)</t>
  </si>
  <si>
    <t>Value(1823)</t>
  </si>
  <si>
    <t>Value(1824)</t>
  </si>
  <si>
    <t>Value(1825)</t>
  </si>
  <si>
    <t>Value(1826)</t>
  </si>
  <si>
    <t>Value(1827)</t>
  </si>
  <si>
    <t>Value(1828)</t>
  </si>
  <si>
    <t>Value(1829)</t>
  </si>
  <si>
    <t>Value(1830)</t>
  </si>
  <si>
    <t>Value(1831)</t>
  </si>
  <si>
    <t>Value(1832)</t>
  </si>
  <si>
    <t>Value(1833)</t>
  </si>
  <si>
    <t>Value(1834)</t>
  </si>
  <si>
    <t>Value(1835)</t>
  </si>
  <si>
    <t>Value(1836)</t>
  </si>
  <si>
    <t>Value(1837)</t>
  </si>
  <si>
    <t>Value(1838)</t>
  </si>
  <si>
    <t>Value(1839)</t>
  </si>
  <si>
    <t>Value(1840)</t>
  </si>
  <si>
    <t>Value(1841)</t>
  </si>
  <si>
    <t>Value(1842)</t>
  </si>
  <si>
    <t>Value(1843)</t>
  </si>
  <si>
    <t>Value(1844)</t>
  </si>
  <si>
    <t>Value(1845)</t>
  </si>
  <si>
    <t>Value(1846)</t>
  </si>
  <si>
    <t>Value(1847)</t>
  </si>
  <si>
    <t>Value(1848)</t>
  </si>
  <si>
    <t>Value(1849)</t>
  </si>
  <si>
    <t>Value(1850)</t>
  </si>
  <si>
    <t>Value(1851)</t>
  </si>
  <si>
    <t>Value(1852)</t>
  </si>
  <si>
    <t>Value(1853)</t>
  </si>
  <si>
    <t>Value(1854)</t>
  </si>
  <si>
    <t>Value(1855)</t>
  </si>
  <si>
    <t>Value(1856)</t>
  </si>
  <si>
    <t>Value(1857)</t>
  </si>
  <si>
    <t>Value(1858)</t>
  </si>
  <si>
    <t>Value(1859)</t>
  </si>
  <si>
    <t>Value(1860)</t>
  </si>
  <si>
    <t>Value(1861)</t>
  </si>
  <si>
    <t>Value(1862)</t>
  </si>
  <si>
    <t>Value(1863)</t>
  </si>
  <si>
    <t>Value(1864)</t>
  </si>
  <si>
    <t>Value(1865)</t>
  </si>
  <si>
    <t>Value(1866)</t>
  </si>
  <si>
    <t>Value(1867)</t>
  </si>
  <si>
    <t>Value(1868)</t>
  </si>
  <si>
    <t>Value(1869)</t>
  </si>
  <si>
    <t>Value(1870)</t>
  </si>
  <si>
    <t>Value(1871)</t>
  </si>
  <si>
    <t>Value(1872)</t>
  </si>
  <si>
    <t>Value(1873)</t>
  </si>
  <si>
    <t>Value(1874)</t>
  </si>
  <si>
    <t>Value(1875)</t>
  </si>
  <si>
    <t>Value(1876)</t>
  </si>
  <si>
    <t>Value(1877)</t>
  </si>
  <si>
    <t>Value(1878)</t>
  </si>
  <si>
    <t>Value(1879)</t>
  </si>
  <si>
    <t>Value(1880)</t>
  </si>
  <si>
    <t>Value(1881)</t>
  </si>
  <si>
    <t>Value(1882)</t>
  </si>
  <si>
    <t>Value(1883)</t>
  </si>
  <si>
    <t>Value(1884)</t>
  </si>
  <si>
    <t>Value(1885)</t>
  </si>
  <si>
    <t>Value(1886)</t>
  </si>
  <si>
    <t>Value(1887)</t>
  </si>
  <si>
    <t>Value(1888)</t>
  </si>
  <si>
    <t>Value(1889)</t>
  </si>
  <si>
    <t>Value(1890)</t>
  </si>
  <si>
    <t>Value(1891)</t>
  </si>
  <si>
    <t>Value(1892)</t>
  </si>
  <si>
    <t>Value(1893)</t>
  </si>
  <si>
    <t>Value(1894)</t>
  </si>
  <si>
    <t>Value(1895)</t>
  </si>
  <si>
    <t>Value(1896)</t>
  </si>
  <si>
    <t>Value(1897)</t>
  </si>
  <si>
    <t>Value(1898)</t>
  </si>
  <si>
    <t>Value(1899)</t>
  </si>
  <si>
    <t>Value(1900)</t>
  </si>
  <si>
    <t>Value(1901)</t>
  </si>
  <si>
    <t>Value(1902)</t>
  </si>
  <si>
    <t>Value(1903)</t>
  </si>
  <si>
    <t>Value(1904)</t>
  </si>
  <si>
    <t>Value(1905)</t>
  </si>
  <si>
    <t>Value(1906)</t>
  </si>
  <si>
    <t>Value(1907)</t>
  </si>
  <si>
    <t>Value(1908)</t>
  </si>
  <si>
    <t>Value(1909)</t>
  </si>
  <si>
    <t>Value(1910)</t>
  </si>
  <si>
    <t>Value(1911)</t>
  </si>
  <si>
    <t>Value(1912)</t>
  </si>
  <si>
    <t>Value(1913)</t>
  </si>
  <si>
    <t>Value(1914)</t>
  </si>
  <si>
    <t>Value(1915)</t>
  </si>
  <si>
    <t>Value(1916)</t>
  </si>
  <si>
    <t>Value(1917)</t>
  </si>
  <si>
    <t>Value(1918)</t>
  </si>
  <si>
    <t>Value(1919)</t>
  </si>
  <si>
    <t>Value(1920)</t>
  </si>
  <si>
    <t>Value(1921)</t>
  </si>
  <si>
    <t>Value(1922)</t>
  </si>
  <si>
    <t>Value(1923)</t>
  </si>
  <si>
    <t>Value(1924)</t>
  </si>
  <si>
    <t>Value(1925)</t>
  </si>
  <si>
    <t>Value(1926)</t>
  </si>
  <si>
    <t>Value(1927)</t>
  </si>
  <si>
    <t>Value(1928)</t>
  </si>
  <si>
    <t>Value(1929)</t>
  </si>
  <si>
    <t>Value(1930)</t>
  </si>
  <si>
    <t>Value(1931)</t>
  </si>
  <si>
    <t>Value(1932)</t>
  </si>
  <si>
    <t>Value(1933)</t>
  </si>
  <si>
    <t>Value(1934)</t>
  </si>
  <si>
    <t>Value(1935)</t>
  </si>
  <si>
    <t>Value(1936)</t>
  </si>
  <si>
    <t>Value(1937)</t>
  </si>
  <si>
    <t>Value(1938)</t>
  </si>
  <si>
    <t>Value(1939)</t>
  </si>
  <si>
    <t>Value(1940)</t>
  </si>
  <si>
    <t>Value(1941)</t>
  </si>
  <si>
    <t>Value(1942)</t>
  </si>
  <si>
    <t>Value(1943)</t>
  </si>
  <si>
    <t>Value(1944)</t>
  </si>
  <si>
    <t>Value(1945)</t>
  </si>
  <si>
    <t>Value(1946)</t>
  </si>
  <si>
    <t>Value(1947)</t>
  </si>
  <si>
    <t>Value(1948)</t>
  </si>
  <si>
    <t>Value(1949)</t>
  </si>
  <si>
    <t>Value(1950)</t>
  </si>
  <si>
    <t>Value(1951)</t>
  </si>
  <si>
    <t>Value(1952)</t>
  </si>
  <si>
    <t>Value(1953)</t>
  </si>
  <si>
    <t>Value(1954)</t>
  </si>
  <si>
    <t>Value(1955)</t>
  </si>
  <si>
    <t>Value(1956)</t>
  </si>
  <si>
    <t>Value(1957)</t>
  </si>
  <si>
    <t>Value(1958)</t>
  </si>
  <si>
    <t>Value(1959)</t>
  </si>
  <si>
    <t>Value(1960)</t>
  </si>
  <si>
    <t>Value(1961)</t>
  </si>
  <si>
    <t>Value(1962)</t>
  </si>
  <si>
    <t>Value(1963)</t>
  </si>
  <si>
    <t>Value(1964)</t>
  </si>
  <si>
    <t>Value(1965)</t>
  </si>
  <si>
    <t>Value(1966)</t>
  </si>
  <si>
    <t>Value(1967)</t>
  </si>
  <si>
    <t>Value(1968)</t>
  </si>
  <si>
    <t>Value(1969)</t>
  </si>
  <si>
    <t>Value(1970)</t>
  </si>
  <si>
    <t>Value(1971)</t>
  </si>
  <si>
    <t>Value(1972)</t>
  </si>
  <si>
    <t>Value(1973)</t>
  </si>
  <si>
    <t>Value(1974)</t>
  </si>
  <si>
    <t>Value(1975)</t>
  </si>
  <si>
    <t>Value(1976)</t>
  </si>
  <si>
    <t>Value(1977)</t>
  </si>
  <si>
    <t>Value(1978)</t>
  </si>
  <si>
    <t>Value(1979)</t>
  </si>
  <si>
    <t>Value(1980)</t>
  </si>
  <si>
    <t>Value(1981)</t>
  </si>
  <si>
    <t>Value(1982)</t>
  </si>
  <si>
    <t>Value(1983)</t>
  </si>
  <si>
    <t>Value(1984)</t>
  </si>
  <si>
    <t>Value(1985)</t>
  </si>
  <si>
    <t>Value(1986)</t>
  </si>
  <si>
    <t>Value(1987)</t>
  </si>
  <si>
    <t>Value(1988)</t>
  </si>
  <si>
    <t>Value(1989)</t>
  </si>
  <si>
    <t>Value(1990)</t>
  </si>
  <si>
    <t>Value(1991)</t>
  </si>
  <si>
    <t>Value(1992)</t>
  </si>
  <si>
    <t>Value(1993)</t>
  </si>
  <si>
    <t>Value(1994)</t>
  </si>
  <si>
    <t>Value(1995)</t>
  </si>
  <si>
    <t>Value(1996)</t>
  </si>
  <si>
    <t>Value(1997)</t>
  </si>
  <si>
    <t>Value(1998)</t>
  </si>
  <si>
    <t>Value(1999)</t>
  </si>
  <si>
    <t>Value(2000)</t>
  </si>
  <si>
    <t>Value(2001)</t>
  </si>
  <si>
    <t>Value(2002)</t>
  </si>
  <si>
    <t>Value(2003)</t>
  </si>
  <si>
    <t>Value(2004)</t>
  </si>
  <si>
    <t>Value(2005)</t>
  </si>
  <si>
    <t>Value(2006)</t>
  </si>
  <si>
    <t>Value(2007)</t>
  </si>
  <si>
    <t>Value(2008)</t>
  </si>
  <si>
    <t>Value(2009)</t>
  </si>
  <si>
    <t>Value(2010)</t>
  </si>
  <si>
    <t>Value(2011)</t>
  </si>
  <si>
    <t>Value(2012)</t>
  </si>
  <si>
    <t>Value(2013)</t>
  </si>
  <si>
    <t>Value(2014)</t>
  </si>
  <si>
    <t>Value(2015)</t>
  </si>
  <si>
    <t>Value(2016)</t>
  </si>
  <si>
    <t>Value(2017)</t>
  </si>
  <si>
    <t>Value(2018)</t>
  </si>
  <si>
    <t>Value(2019)</t>
  </si>
  <si>
    <t>Value(2020)</t>
  </si>
  <si>
    <t>Value(2021)</t>
  </si>
  <si>
    <t>Value(2022)</t>
  </si>
  <si>
    <t>Value(2023)</t>
  </si>
  <si>
    <t>Value(2024)</t>
  </si>
  <si>
    <t>Value(2025)</t>
  </si>
  <si>
    <t>Value(2026)</t>
  </si>
  <si>
    <t>Value(2027)</t>
  </si>
  <si>
    <t>Value(2028)</t>
  </si>
  <si>
    <t>Value(2029)</t>
  </si>
  <si>
    <t>Value(2030)</t>
  </si>
  <si>
    <t>Value(2031)</t>
  </si>
  <si>
    <t>Value(2032)</t>
  </si>
  <si>
    <t>Value(2033)</t>
  </si>
  <si>
    <t>Value(2034)</t>
  </si>
  <si>
    <t>Value(2035)</t>
  </si>
  <si>
    <t>Value(2036)</t>
  </si>
  <si>
    <t>Value(2037)</t>
  </si>
  <si>
    <t>Value(2038)</t>
  </si>
  <si>
    <t>Value(2039)</t>
  </si>
  <si>
    <t>Value(2040)</t>
  </si>
  <si>
    <t>Value(2041)</t>
  </si>
  <si>
    <t>Value(2042)</t>
  </si>
  <si>
    <t>Value(2043)</t>
  </si>
  <si>
    <t>Value(2044)</t>
  </si>
  <si>
    <t>Value(2045)</t>
  </si>
  <si>
    <t>Value(2046)</t>
  </si>
  <si>
    <t>Value(2047)</t>
  </si>
  <si>
    <t>Value(2048)</t>
  </si>
  <si>
    <t>Value(2049)</t>
  </si>
  <si>
    <t>Value(2050)</t>
  </si>
  <si>
    <t>Value(2051)</t>
  </si>
  <si>
    <t>Value(2052)</t>
  </si>
  <si>
    <t>Value(2053)</t>
  </si>
  <si>
    <t>Value(2054)</t>
  </si>
  <si>
    <t>Value(2055)</t>
  </si>
  <si>
    <t>Value(2056)</t>
  </si>
  <si>
    <t>Value(2057)</t>
  </si>
  <si>
    <t>Value(2058)</t>
  </si>
  <si>
    <t>Value(2059)</t>
  </si>
  <si>
    <t>Value(2060)</t>
  </si>
  <si>
    <t>Value(2061)</t>
  </si>
  <si>
    <t>Value(2062)</t>
  </si>
  <si>
    <t>Value(2063)</t>
  </si>
  <si>
    <t>Value(2064)</t>
  </si>
  <si>
    <t>Value(2065)</t>
  </si>
  <si>
    <t>Value(2066)</t>
  </si>
  <si>
    <t>Value(2067)</t>
  </si>
  <si>
    <t>Value(2068)</t>
  </si>
  <si>
    <t>Value(2069)</t>
  </si>
  <si>
    <t>Value(2070)</t>
  </si>
  <si>
    <t>Value(2071)</t>
  </si>
  <si>
    <t>Value(2072)</t>
  </si>
  <si>
    <t>Value(2073)</t>
  </si>
  <si>
    <t>Value(2074)</t>
  </si>
  <si>
    <t>Value(2075)</t>
  </si>
  <si>
    <t>Value(2076)</t>
  </si>
  <si>
    <t>Value(2077)</t>
  </si>
  <si>
    <t>Value(2078)</t>
  </si>
  <si>
    <t>Value(2079)</t>
  </si>
  <si>
    <t>Value(2080)</t>
  </si>
  <si>
    <t>Value(2081)</t>
  </si>
  <si>
    <t>Value(2082)</t>
  </si>
  <si>
    <t>Value(2083)</t>
  </si>
  <si>
    <t>Value(2084)</t>
  </si>
  <si>
    <t>Value(2085)</t>
  </si>
  <si>
    <t>Value(2086)</t>
  </si>
  <si>
    <t>Value(2087)</t>
  </si>
  <si>
    <t>Value(2088)</t>
  </si>
  <si>
    <t>Value(2089)</t>
  </si>
  <si>
    <t>Value(2090)</t>
  </si>
  <si>
    <t>Value(2091)</t>
  </si>
  <si>
    <t>Value(2092)</t>
  </si>
  <si>
    <t>Value(2093)</t>
  </si>
  <si>
    <t>Value(2094)</t>
  </si>
  <si>
    <t>Value(2095)</t>
  </si>
  <si>
    <t>Value(2096)</t>
  </si>
  <si>
    <t>Value(2097)</t>
  </si>
  <si>
    <t>Value(2098)</t>
  </si>
  <si>
    <t>Value(2099)</t>
  </si>
  <si>
    <t>Value(2100)</t>
  </si>
  <si>
    <t>Value(2101)</t>
  </si>
  <si>
    <t>Value(2102)</t>
  </si>
  <si>
    <t>Value(2103)</t>
  </si>
  <si>
    <t>Value(2104)</t>
  </si>
  <si>
    <t>Value(2105)</t>
  </si>
  <si>
    <t>Value(2106)</t>
  </si>
  <si>
    <t>Value(2107)</t>
  </si>
  <si>
    <t>Value(2108)</t>
  </si>
  <si>
    <t>Value(2109)</t>
  </si>
  <si>
    <t>Value(2110)</t>
  </si>
  <si>
    <t>Value(2111)</t>
  </si>
  <si>
    <t>Value(2112)</t>
  </si>
  <si>
    <t>Value(2113)</t>
  </si>
  <si>
    <t>Value(2114)</t>
  </si>
  <si>
    <t>Value(2115)</t>
  </si>
  <si>
    <t>Value(2116)</t>
  </si>
  <si>
    <t>Value(2117)</t>
  </si>
  <si>
    <t>Value(2118)</t>
  </si>
  <si>
    <t>Value(2119)</t>
  </si>
  <si>
    <t>Value(2120)</t>
  </si>
  <si>
    <t>Value(2121)</t>
  </si>
  <si>
    <t>Value(2122)</t>
  </si>
  <si>
    <t>Value(2123)</t>
  </si>
  <si>
    <t>Value(2124)</t>
  </si>
  <si>
    <t>Value(2125)</t>
  </si>
  <si>
    <t>Value(2126)</t>
  </si>
  <si>
    <t>Value(2127)</t>
  </si>
  <si>
    <t>Value(2128)</t>
  </si>
  <si>
    <t>Value(2129)</t>
  </si>
  <si>
    <t>Value(2130)</t>
  </si>
  <si>
    <t>Value(2131)</t>
  </si>
  <si>
    <t>Value(2132)</t>
  </si>
  <si>
    <t>Value(2133)</t>
  </si>
  <si>
    <t>Value(2134)</t>
  </si>
  <si>
    <t>Value(2135)</t>
  </si>
  <si>
    <t>Value(2136)</t>
  </si>
  <si>
    <t>Value(2137)</t>
  </si>
  <si>
    <t>Value(2138)</t>
  </si>
  <si>
    <t>Value(2139)</t>
  </si>
  <si>
    <t>Value(2140)</t>
  </si>
  <si>
    <t>Value(2141)</t>
  </si>
  <si>
    <t>Value(2142)</t>
  </si>
  <si>
    <t>Value(2143)</t>
  </si>
  <si>
    <t>Value(2144)</t>
  </si>
  <si>
    <t>Value(2145)</t>
  </si>
  <si>
    <t>Value(2146)</t>
  </si>
  <si>
    <t>Value(2147)</t>
  </si>
  <si>
    <t>Value(2148)</t>
  </si>
  <si>
    <t>Value(2149)</t>
  </si>
  <si>
    <t>Value(2150)</t>
  </si>
  <si>
    <t>Value(2151)</t>
  </si>
  <si>
    <t>Value(2152)</t>
  </si>
  <si>
    <t>Value(2153)</t>
  </si>
  <si>
    <t>Value(2154)</t>
  </si>
  <si>
    <t>Value(2155)</t>
  </si>
  <si>
    <t>Value(2156)</t>
  </si>
  <si>
    <t>Value(2157)</t>
  </si>
  <si>
    <t>Value(2158)</t>
  </si>
  <si>
    <t>Value(2159)</t>
  </si>
  <si>
    <t>Value(2160)</t>
  </si>
  <si>
    <t>Value(2161)</t>
  </si>
  <si>
    <t>Value(2162)</t>
  </si>
  <si>
    <t>Value(2163)</t>
  </si>
  <si>
    <t>Value(2164)</t>
  </si>
  <si>
    <t>Value(2165)</t>
  </si>
  <si>
    <t>Value(2166)</t>
  </si>
  <si>
    <t>Value(2167)</t>
  </si>
  <si>
    <t>Value(2168)</t>
  </si>
  <si>
    <t>Value(2169)</t>
  </si>
  <si>
    <t>Value(2170)</t>
  </si>
  <si>
    <t>Value(2171)</t>
  </si>
  <si>
    <t>Value(2172)</t>
  </si>
  <si>
    <t>Value(2173)</t>
  </si>
  <si>
    <t>Value(2174)</t>
  </si>
  <si>
    <t>Value(2175)</t>
  </si>
  <si>
    <t>Value(2176)</t>
  </si>
  <si>
    <t>Value(2177)</t>
  </si>
  <si>
    <t>Value(2178)</t>
  </si>
  <si>
    <t>Value(2179)</t>
  </si>
  <si>
    <t>Value(2180)</t>
  </si>
  <si>
    <t>Value(2181)</t>
  </si>
  <si>
    <t>Value(2182)</t>
  </si>
  <si>
    <t>Value(2183)</t>
  </si>
  <si>
    <t>Value(2184)</t>
  </si>
  <si>
    <t>Value(2185)</t>
  </si>
  <si>
    <t>Value(2186)</t>
  </si>
  <si>
    <t>Value(2187)</t>
  </si>
  <si>
    <t>Value(2188)</t>
  </si>
  <si>
    <t>Value(2189)</t>
  </si>
  <si>
    <t>Value(2190)</t>
  </si>
  <si>
    <t>Value(2191)</t>
  </si>
  <si>
    <t>Value(2192)</t>
  </si>
  <si>
    <t>Value(2193)</t>
  </si>
  <si>
    <t>Value(2194)</t>
  </si>
  <si>
    <t>Value(2195)</t>
  </si>
  <si>
    <t>Value(2196)</t>
  </si>
  <si>
    <t>Value(2197)</t>
  </si>
  <si>
    <t>Value(2198)</t>
  </si>
  <si>
    <t>Value(2199)</t>
  </si>
  <si>
    <t>Value(2200)</t>
  </si>
  <si>
    <t>Value(2201)</t>
  </si>
  <si>
    <t>Value(2202)</t>
  </si>
  <si>
    <t>Value(2203)</t>
  </si>
  <si>
    <t>Value(2204)</t>
  </si>
  <si>
    <t>Value(2205)</t>
  </si>
  <si>
    <t>Value(2206)</t>
  </si>
  <si>
    <t>Value(2207)</t>
  </si>
  <si>
    <t>Value(2208)</t>
  </si>
  <si>
    <t>Value(2209)</t>
  </si>
  <si>
    <t>Value(2210)</t>
  </si>
  <si>
    <t>Value(2211)</t>
  </si>
  <si>
    <t>Value(2212)</t>
  </si>
  <si>
    <t>Value(2213)</t>
  </si>
  <si>
    <t>Value(2214)</t>
  </si>
  <si>
    <t>Value(2215)</t>
  </si>
  <si>
    <t>Value(2216)</t>
  </si>
  <si>
    <t>Value(2217)</t>
  </si>
  <si>
    <t>Value(2218)</t>
  </si>
  <si>
    <t>Value(2219)</t>
  </si>
  <si>
    <t>Value(2220)</t>
  </si>
  <si>
    <t>Value(2221)</t>
  </si>
  <si>
    <t>Value(2222)</t>
  </si>
  <si>
    <t>Value(2223)</t>
  </si>
  <si>
    <t>Value(2224)</t>
  </si>
  <si>
    <t>Value(2225)</t>
  </si>
  <si>
    <t>Value(2226)</t>
  </si>
  <si>
    <t>Value(2227)</t>
  </si>
  <si>
    <t>Value(2228)</t>
  </si>
  <si>
    <t>Value(2229)</t>
  </si>
  <si>
    <t>Value(2230)</t>
  </si>
  <si>
    <t>Value(2231)</t>
  </si>
  <si>
    <t>Value(2232)</t>
  </si>
  <si>
    <t>Value(2233)</t>
  </si>
  <si>
    <t>Value(2234)</t>
  </si>
  <si>
    <t>Value(2235)</t>
  </si>
  <si>
    <t>Value(2236)</t>
  </si>
  <si>
    <t>Value(2237)</t>
  </si>
  <si>
    <t>Value(2238)</t>
  </si>
  <si>
    <t>Value(2239)</t>
  </si>
  <si>
    <t>Value(2240)</t>
  </si>
  <si>
    <t>Value(2241)</t>
  </si>
  <si>
    <t>Value(2242)</t>
  </si>
  <si>
    <t>Value(2243)</t>
  </si>
  <si>
    <t>Value(2244)</t>
  </si>
  <si>
    <t>Value(2245)</t>
  </si>
  <si>
    <t>Value(2246)</t>
  </si>
  <si>
    <t>Value(2247)</t>
  </si>
  <si>
    <t>Value(2248)</t>
  </si>
  <si>
    <t>Value(2249)</t>
  </si>
  <si>
    <t>Value(2250)</t>
  </si>
  <si>
    <t>Value(2251)</t>
  </si>
  <si>
    <t>Value(2252)</t>
  </si>
  <si>
    <t>Value(2253)</t>
  </si>
  <si>
    <t>Value(2254)</t>
  </si>
  <si>
    <t>Value(2255)</t>
  </si>
  <si>
    <t>Value(2256)</t>
  </si>
  <si>
    <t>Value(2257)</t>
  </si>
  <si>
    <t>Value(2258)</t>
  </si>
  <si>
    <t>Value(2259)</t>
  </si>
  <si>
    <t>Value(2260)</t>
  </si>
  <si>
    <t>Value(2261)</t>
  </si>
  <si>
    <t>Value(2262)</t>
  </si>
  <si>
    <t>Value(2263)</t>
  </si>
  <si>
    <t>Value(2264)</t>
  </si>
  <si>
    <t>Value(2265)</t>
  </si>
  <si>
    <t>Value(2266)</t>
  </si>
  <si>
    <t>Value(2267)</t>
  </si>
  <si>
    <t>Value(2268)</t>
  </si>
  <si>
    <t>Value(2269)</t>
  </si>
  <si>
    <t>Value(2270)</t>
  </si>
  <si>
    <t>Value(2271)</t>
  </si>
  <si>
    <t>Value(2272)</t>
  </si>
  <si>
    <t>Value(2273)</t>
  </si>
  <si>
    <t>Value(2274)</t>
  </si>
  <si>
    <t>Value(2275)</t>
  </si>
  <si>
    <t>Value(2276)</t>
  </si>
  <si>
    <t>Value(2277)</t>
  </si>
  <si>
    <t>Value(2278)</t>
  </si>
  <si>
    <t>Value(2279)</t>
  </si>
  <si>
    <t>Value(2280)</t>
  </si>
  <si>
    <t>Value(2281)</t>
  </si>
  <si>
    <t>Value(2282)</t>
  </si>
  <si>
    <t>Value(2283)</t>
  </si>
  <si>
    <t>Value(2284)</t>
  </si>
  <si>
    <t>Value(2285)</t>
  </si>
  <si>
    <t>Value(2286)</t>
  </si>
  <si>
    <t>Value(2287)</t>
  </si>
  <si>
    <t>Value(2288)</t>
  </si>
  <si>
    <t>Value(2289)</t>
  </si>
  <si>
    <t>Value(2290)</t>
  </si>
  <si>
    <t>Value(2291)</t>
  </si>
  <si>
    <t>Value(2292)</t>
  </si>
  <si>
    <t>Value(2293)</t>
  </si>
  <si>
    <t>Value(2294)</t>
  </si>
  <si>
    <t>Value(2295)</t>
  </si>
  <si>
    <t>Value(2296)</t>
  </si>
  <si>
    <t>Value(2297)</t>
  </si>
  <si>
    <t>Value(2298)</t>
  </si>
  <si>
    <t>Value(2299)</t>
  </si>
  <si>
    <t>Value(2300)</t>
  </si>
  <si>
    <t>Value(2301)</t>
  </si>
  <si>
    <t>Value(2302)</t>
  </si>
  <si>
    <t>Value(2303)</t>
  </si>
  <si>
    <t>Value(2304)</t>
  </si>
  <si>
    <t>Value(2305)</t>
  </si>
  <si>
    <t>Value(2306)</t>
  </si>
  <si>
    <t>Value(2307)</t>
  </si>
  <si>
    <t>Value(2308)</t>
  </si>
  <si>
    <t>Value(2309)</t>
  </si>
  <si>
    <t>Value(2310)</t>
  </si>
  <si>
    <t>Value(2311)</t>
  </si>
  <si>
    <t>Value(2312)</t>
  </si>
  <si>
    <t>Value(2313)</t>
  </si>
  <si>
    <t>Value(2314)</t>
  </si>
  <si>
    <t>Value(2315)</t>
  </si>
  <si>
    <t>Value(2316)</t>
  </si>
  <si>
    <t>Value(2317)</t>
  </si>
  <si>
    <t>Value(2318)</t>
  </si>
  <si>
    <t>Value(2319)</t>
  </si>
  <si>
    <t>Value(2320)</t>
  </si>
  <si>
    <t>Value(2321)</t>
  </si>
  <si>
    <t>Value(2322)</t>
  </si>
  <si>
    <t>Value(2323)</t>
  </si>
  <si>
    <t>Value(2324)</t>
  </si>
  <si>
    <t>Value(2325)</t>
  </si>
  <si>
    <t>Value(2326)</t>
  </si>
  <si>
    <t>Value(2327)</t>
  </si>
  <si>
    <t>Value(2328)</t>
  </si>
  <si>
    <t>Value(2329)</t>
  </si>
  <si>
    <t>Value(2330)</t>
  </si>
  <si>
    <t>Value(2331)</t>
  </si>
  <si>
    <t>Value(2332)</t>
  </si>
  <si>
    <t>Value(2333)</t>
  </si>
  <si>
    <t>Value(2334)</t>
  </si>
  <si>
    <t>Value(2335)</t>
  </si>
  <si>
    <t>Value(2336)</t>
  </si>
  <si>
    <t>Value(2337)</t>
  </si>
  <si>
    <t>Value(2338)</t>
  </si>
  <si>
    <t>Value(2339)</t>
  </si>
  <si>
    <t>Value(2340)</t>
  </si>
  <si>
    <t>Value(2341)</t>
  </si>
  <si>
    <t>Value(2342)</t>
  </si>
  <si>
    <t>Value(2343)</t>
  </si>
  <si>
    <t>Value(2344)</t>
  </si>
  <si>
    <t>Value(2345)</t>
  </si>
  <si>
    <t>Value(2346)</t>
  </si>
  <si>
    <t>Value(2347)</t>
  </si>
  <si>
    <t>Value(2348)</t>
  </si>
  <si>
    <t>Value(2349)</t>
  </si>
  <si>
    <t>Value(2350)</t>
  </si>
  <si>
    <t>Value(2351)</t>
  </si>
  <si>
    <t>Value(2352)</t>
  </si>
  <si>
    <t>Value(2353)</t>
  </si>
  <si>
    <t>Value(2354)</t>
  </si>
  <si>
    <t>Value(2355)</t>
  </si>
  <si>
    <t>Value(2356)</t>
  </si>
  <si>
    <t>Value(2357)</t>
  </si>
  <si>
    <t>Value(2358)</t>
  </si>
  <si>
    <t>Value(2359)</t>
  </si>
  <si>
    <t>Value(2360)</t>
  </si>
  <si>
    <t>Value(2361)</t>
  </si>
  <si>
    <t>Value(2362)</t>
  </si>
  <si>
    <t>Value(2363)</t>
  </si>
  <si>
    <t>Value(2364)</t>
  </si>
  <si>
    <t>Value(2365)</t>
  </si>
  <si>
    <t>Value(2366)</t>
  </si>
  <si>
    <t>Value(2367)</t>
  </si>
  <si>
    <t>Value(2368)</t>
  </si>
  <si>
    <t>Value(2369)</t>
  </si>
  <si>
    <t>Value(2370)</t>
  </si>
  <si>
    <t>Value(2371)</t>
  </si>
  <si>
    <t>Value(2372)</t>
  </si>
  <si>
    <t>Value(2373)</t>
  </si>
  <si>
    <t>Value(2374)</t>
  </si>
  <si>
    <t>Value(2375)</t>
  </si>
  <si>
    <t>Value(2376)</t>
  </si>
  <si>
    <t>Value(2377)</t>
  </si>
  <si>
    <t>Value(2378)</t>
  </si>
  <si>
    <t>Value(2379)</t>
  </si>
  <si>
    <t>Value(2380)</t>
  </si>
  <si>
    <t>Value(2381)</t>
  </si>
  <si>
    <t>Value(2382)</t>
  </si>
  <si>
    <t>Value(2383)</t>
  </si>
  <si>
    <t>Value(2384)</t>
  </si>
  <si>
    <t>Value(2385)</t>
  </si>
  <si>
    <t>Value(2386)</t>
  </si>
  <si>
    <t>Value(2387)</t>
  </si>
  <si>
    <t>Value(2388)</t>
  </si>
  <si>
    <t>Value(2389)</t>
  </si>
  <si>
    <t>Value(2390)</t>
  </si>
  <si>
    <t>Value(2391)</t>
  </si>
  <si>
    <t>Value(2392)</t>
  </si>
  <si>
    <t>Value(2393)</t>
  </si>
  <si>
    <t>Value(2394)</t>
  </si>
  <si>
    <t>Value(2395)</t>
  </si>
  <si>
    <t>Value(2396)</t>
  </si>
  <si>
    <t>Value(2397)</t>
  </si>
  <si>
    <t>Value(2398)</t>
  </si>
  <si>
    <t>Value(2399)</t>
  </si>
  <si>
    <t>Value(2400)</t>
  </si>
  <si>
    <t>Value(2401)</t>
  </si>
  <si>
    <t>Value(2402)</t>
  </si>
  <si>
    <t>Value(2403)</t>
  </si>
  <si>
    <t>Value(2404)</t>
  </si>
  <si>
    <t>Value(2405)</t>
  </si>
  <si>
    <t>Value(2406)</t>
  </si>
  <si>
    <t>Value(2407)</t>
  </si>
  <si>
    <t>Value(2408)</t>
  </si>
  <si>
    <t>Value(2409)</t>
  </si>
  <si>
    <t>Value(2410)</t>
  </si>
  <si>
    <t>Value(2411)</t>
  </si>
  <si>
    <t>Value(2412)</t>
  </si>
  <si>
    <t>Value(2413)</t>
  </si>
  <si>
    <t>Value(2414)</t>
  </si>
  <si>
    <t>Value(2415)</t>
  </si>
  <si>
    <t>Value(2416)</t>
  </si>
  <si>
    <t>Value(2417)</t>
  </si>
  <si>
    <t>Value(2418)</t>
  </si>
  <si>
    <t>Value(2419)</t>
  </si>
  <si>
    <t>Value(2420)</t>
  </si>
  <si>
    <t>Value(2421)</t>
  </si>
  <si>
    <t>Value(2422)</t>
  </si>
  <si>
    <t>Value(2423)</t>
  </si>
  <si>
    <t>Value(2424)</t>
  </si>
  <si>
    <t>Value(2425)</t>
  </si>
  <si>
    <t>Value(2426)</t>
  </si>
  <si>
    <t>Value(2427)</t>
  </si>
  <si>
    <t>Value(2428)</t>
  </si>
  <si>
    <t>Value(2429)</t>
  </si>
  <si>
    <t>Value(2430)</t>
  </si>
  <si>
    <t>Value(2431)</t>
  </si>
  <si>
    <t>Value(2432)</t>
  </si>
  <si>
    <t>Value(2433)</t>
  </si>
  <si>
    <t>Value(2434)</t>
  </si>
  <si>
    <t>Value(2435)</t>
  </si>
  <si>
    <t>Value(2436)</t>
  </si>
  <si>
    <t>Value(2437)</t>
  </si>
  <si>
    <t>Value(2438)</t>
  </si>
  <si>
    <t>Value(2439)</t>
  </si>
  <si>
    <t>Value(2440)</t>
  </si>
  <si>
    <t>Value(2441)</t>
  </si>
  <si>
    <t>Value(2442)</t>
  </si>
  <si>
    <t>Value(2443)</t>
  </si>
  <si>
    <t>Value(2444)</t>
  </si>
  <si>
    <t>Value(2445)</t>
  </si>
  <si>
    <t>Value(2446)</t>
  </si>
  <si>
    <t>Value(2447)</t>
  </si>
  <si>
    <t>Value(2448)</t>
  </si>
  <si>
    <t>Value(2449)</t>
  </si>
  <si>
    <t>Value(2450)</t>
  </si>
  <si>
    <t>Value(2451)</t>
  </si>
  <si>
    <t>Value(2452)</t>
  </si>
  <si>
    <t>Value(2453)</t>
  </si>
  <si>
    <t>Value(2454)</t>
  </si>
  <si>
    <t>Value(2455)</t>
  </si>
  <si>
    <t>Value(2456)</t>
  </si>
  <si>
    <t>Value(2457)</t>
  </si>
  <si>
    <t>Value(2458)</t>
  </si>
  <si>
    <t>Value(2459)</t>
  </si>
  <si>
    <t>Value(2460)</t>
  </si>
  <si>
    <t>Value(2461)</t>
  </si>
  <si>
    <t>Value(2462)</t>
  </si>
  <si>
    <t>Value(2463)</t>
  </si>
  <si>
    <t>Value(2464)</t>
  </si>
  <si>
    <t>Value(2465)</t>
  </si>
  <si>
    <t>Value(2466)</t>
  </si>
  <si>
    <t>Value(2467)</t>
  </si>
  <si>
    <t>Value(2468)</t>
  </si>
  <si>
    <t>Value(2469)</t>
  </si>
  <si>
    <t>Value(2470)</t>
  </si>
  <si>
    <t>Value(2471)</t>
  </si>
  <si>
    <t>Value(2472)</t>
  </si>
  <si>
    <t>Value(2473)</t>
  </si>
  <si>
    <t>Value(2474)</t>
  </si>
  <si>
    <t>Value(2475)</t>
  </si>
  <si>
    <t>Value(2476)</t>
  </si>
  <si>
    <t>Value(2477)</t>
  </si>
  <si>
    <t>Value(2478)</t>
  </si>
  <si>
    <t>Value(2479)</t>
  </si>
  <si>
    <t>Value(2480)</t>
  </si>
  <si>
    <t>Value(2481)</t>
  </si>
  <si>
    <t>Value(2482)</t>
  </si>
  <si>
    <t>Value(2483)</t>
  </si>
  <si>
    <t>Value(2484)</t>
  </si>
  <si>
    <t>Value(2485)</t>
  </si>
  <si>
    <t>Value(2486)</t>
  </si>
  <si>
    <t>Value(2487)</t>
  </si>
  <si>
    <t>Value(2488)</t>
  </si>
  <si>
    <t>Value(2489)</t>
  </si>
  <si>
    <t>Value(2490)</t>
  </si>
  <si>
    <t>Value(2491)</t>
  </si>
  <si>
    <t>Value(2492)</t>
  </si>
  <si>
    <t>Value(2493)</t>
  </si>
  <si>
    <t>Value(2494)</t>
  </si>
  <si>
    <t>Value(2495)</t>
  </si>
  <si>
    <t>Value(2496)</t>
  </si>
  <si>
    <t>Value(2497)</t>
  </si>
  <si>
    <t>Value(2498)</t>
  </si>
  <si>
    <t>Value(2499)</t>
  </si>
  <si>
    <t>Value(2500)</t>
  </si>
  <si>
    <t>Value(2501)</t>
  </si>
  <si>
    <t>Value(2502)</t>
  </si>
  <si>
    <t>Value(2503)</t>
  </si>
  <si>
    <t>Value(2504)</t>
  </si>
  <si>
    <t>Value(2505)</t>
  </si>
  <si>
    <t>Value(2506)</t>
  </si>
  <si>
    <t>Value(2507)</t>
  </si>
  <si>
    <t>Value(2508)</t>
  </si>
  <si>
    <t>Value(2509)</t>
  </si>
  <si>
    <t>Value(2510)</t>
  </si>
  <si>
    <t>Value(2511)</t>
  </si>
  <si>
    <t>Value(2512)</t>
  </si>
  <si>
    <t>Value(2513)</t>
  </si>
  <si>
    <t>Value(2514)</t>
  </si>
  <si>
    <t>Value(2515)</t>
  </si>
  <si>
    <t>Value(2516)</t>
  </si>
  <si>
    <t>Value(2517)</t>
  </si>
  <si>
    <t>Value(2518)</t>
  </si>
  <si>
    <t>Value(2519)</t>
  </si>
  <si>
    <t>Value(2520)</t>
  </si>
  <si>
    <t>Value(2521)</t>
  </si>
  <si>
    <t>Value(2522)</t>
  </si>
  <si>
    <t>Value(2523)</t>
  </si>
  <si>
    <t>Value(2524)</t>
  </si>
  <si>
    <t>Value(2525)</t>
  </si>
  <si>
    <t>Value(2526)</t>
  </si>
  <si>
    <t>Value(2527)</t>
  </si>
  <si>
    <t>Value(2528)</t>
  </si>
  <si>
    <t>Value(2529)</t>
  </si>
  <si>
    <t>Value(2530)</t>
  </si>
  <si>
    <t>Value(2531)</t>
  </si>
  <si>
    <t>Value(2532)</t>
  </si>
  <si>
    <t>Value(2533)</t>
  </si>
  <si>
    <t>Value(2534)</t>
  </si>
  <si>
    <t>Value(2535)</t>
  </si>
  <si>
    <t>Value(2536)</t>
  </si>
  <si>
    <t>Value(2537)</t>
  </si>
  <si>
    <t>Value(2538)</t>
  </si>
  <si>
    <t>Value(2539)</t>
  </si>
  <si>
    <t>Value(2540)</t>
  </si>
  <si>
    <t>Value(2541)</t>
  </si>
  <si>
    <t>Value(2542)</t>
  </si>
  <si>
    <t>Value(2543)</t>
  </si>
  <si>
    <t>Value(2544)</t>
  </si>
  <si>
    <t>Value(2545)</t>
  </si>
  <si>
    <t>Value(2546)</t>
  </si>
  <si>
    <t>Value(2547)</t>
  </si>
  <si>
    <t>Value(2548)</t>
  </si>
  <si>
    <t>Value(2549)</t>
  </si>
  <si>
    <t>Value(2550)</t>
  </si>
  <si>
    <t>Value(2551)</t>
  </si>
  <si>
    <t>Value(2552)</t>
  </si>
  <si>
    <t>Value(2553)</t>
  </si>
  <si>
    <t>Value(2554)</t>
  </si>
  <si>
    <t>Value(2555)</t>
  </si>
  <si>
    <t>Value(2556)</t>
  </si>
  <si>
    <t>Value(2557)</t>
  </si>
  <si>
    <t>Value(2558)</t>
  </si>
  <si>
    <t>Value(2559)</t>
  </si>
  <si>
    <t>Value(2560)</t>
  </si>
  <si>
    <t>Value(2561)</t>
  </si>
  <si>
    <t>Value(2562)</t>
  </si>
  <si>
    <t>Value(2563)</t>
  </si>
  <si>
    <t>Value(2564)</t>
  </si>
  <si>
    <t>Value(2565)</t>
  </si>
  <si>
    <t>Value(2566)</t>
  </si>
  <si>
    <t>Value(2567)</t>
  </si>
  <si>
    <t>Value(2568)</t>
  </si>
  <si>
    <t>Value(2569)</t>
  </si>
  <si>
    <t>Value(2570)</t>
  </si>
  <si>
    <t>Value(2571)</t>
  </si>
  <si>
    <t>Value(2572)</t>
  </si>
  <si>
    <t>Value(2573)</t>
  </si>
  <si>
    <t>Value(2574)</t>
  </si>
  <si>
    <t>Value(2575)</t>
  </si>
  <si>
    <t>Value(2576)</t>
  </si>
  <si>
    <t>Value(2577)</t>
  </si>
  <si>
    <t>Value(2578)</t>
  </si>
  <si>
    <t>Value(2579)</t>
  </si>
  <si>
    <t>Value(2580)</t>
  </si>
  <si>
    <t>Value(2581)</t>
  </si>
  <si>
    <t>Value(2582)</t>
  </si>
  <si>
    <t>Value(2583)</t>
  </si>
  <si>
    <t>Value(2584)</t>
  </si>
  <si>
    <t>Value(2585)</t>
  </si>
  <si>
    <t>Value(2586)</t>
  </si>
  <si>
    <t>Value(2587)</t>
  </si>
  <si>
    <t>Value(2588)</t>
  </si>
  <si>
    <t>Value(2589)</t>
  </si>
  <si>
    <t>Value(2590)</t>
  </si>
  <si>
    <t>Value(2591)</t>
  </si>
  <si>
    <t>Value(2592)</t>
  </si>
  <si>
    <t>Value(2593)</t>
  </si>
  <si>
    <t>Value(2594)</t>
  </si>
  <si>
    <t>Value(2595)</t>
  </si>
  <si>
    <t>Value(2596)</t>
  </si>
  <si>
    <t>Value(2597)</t>
  </si>
  <si>
    <t>Value(2598)</t>
  </si>
  <si>
    <t>Value(2599)</t>
  </si>
  <si>
    <t>Value(2600)</t>
  </si>
  <si>
    <t>Value(2601)</t>
  </si>
  <si>
    <t>Value(2602)</t>
  </si>
  <si>
    <t>Value(2603)</t>
  </si>
  <si>
    <t>Value(2604)</t>
  </si>
  <si>
    <t>Value(2605)</t>
  </si>
  <si>
    <t>Value(2606)</t>
  </si>
  <si>
    <t>Value(2607)</t>
  </si>
  <si>
    <t>Value(2608)</t>
  </si>
  <si>
    <t>Value(2609)</t>
  </si>
  <si>
    <t>Value(2610)</t>
  </si>
  <si>
    <t>Value(2611)</t>
  </si>
  <si>
    <t>Value(2612)</t>
  </si>
  <si>
    <t>Value(2613)</t>
  </si>
  <si>
    <t>Value(2614)</t>
  </si>
  <si>
    <t>Value(2615)</t>
  </si>
  <si>
    <t>Value(2616)</t>
  </si>
  <si>
    <t>Value(2617)</t>
  </si>
  <si>
    <t>Value(2618)</t>
  </si>
  <si>
    <t>Value(2619)</t>
  </si>
  <si>
    <t>Value(2620)</t>
  </si>
  <si>
    <t>Value(2621)</t>
  </si>
  <si>
    <t>Value(2622)</t>
  </si>
  <si>
    <t>Value(2623)</t>
  </si>
  <si>
    <t>Value(2624)</t>
  </si>
  <si>
    <t>Value(2625)</t>
  </si>
  <si>
    <t>Value(2626)</t>
  </si>
  <si>
    <t>Value(2627)</t>
  </si>
  <si>
    <t>Value(2628)</t>
  </si>
  <si>
    <t>Value(2629)</t>
  </si>
  <si>
    <t>Value(2630)</t>
  </si>
  <si>
    <t>Value(2631)</t>
  </si>
  <si>
    <t>Value(2632)</t>
  </si>
  <si>
    <t>Value(2633)</t>
  </si>
  <si>
    <t>Value(2634)</t>
  </si>
  <si>
    <t>Value(2635)</t>
  </si>
  <si>
    <t>Value(2636)</t>
  </si>
  <si>
    <t>Value(2637)</t>
  </si>
  <si>
    <t>Value(2638)</t>
  </si>
  <si>
    <t>Value(2639)</t>
  </si>
  <si>
    <t>Value(2640)</t>
  </si>
  <si>
    <t>Value(2641)</t>
  </si>
  <si>
    <t>Value(2642)</t>
  </si>
  <si>
    <t>Value(2643)</t>
  </si>
  <si>
    <t>Value(2644)</t>
  </si>
  <si>
    <t>Value(2645)</t>
  </si>
  <si>
    <t>Value(2646)</t>
  </si>
  <si>
    <t>Value(2647)</t>
  </si>
  <si>
    <t>Value(2648)</t>
  </si>
  <si>
    <t>Value(2649)</t>
  </si>
  <si>
    <t>Value(2650)</t>
  </si>
  <si>
    <t>Value(2651)</t>
  </si>
  <si>
    <t>Value(2652)</t>
  </si>
  <si>
    <t>Value(2653)</t>
  </si>
  <si>
    <t>Value(2654)</t>
  </si>
  <si>
    <t>Value(2655)</t>
  </si>
  <si>
    <t>Value(2656)</t>
  </si>
  <si>
    <t>Value(2657)</t>
  </si>
  <si>
    <t>Value(2658)</t>
  </si>
  <si>
    <t>Value(2659)</t>
  </si>
  <si>
    <t>Value(2660)</t>
  </si>
  <si>
    <t>Value(2661)</t>
  </si>
  <si>
    <t>Value(2662)</t>
  </si>
  <si>
    <t>Value(2663)</t>
  </si>
  <si>
    <t>Value(2664)</t>
  </si>
  <si>
    <t>Value(2665)</t>
  </si>
  <si>
    <t>Value(2666)</t>
  </si>
  <si>
    <t>Value(2667)</t>
  </si>
  <si>
    <t>Value(2668)</t>
  </si>
  <si>
    <t>Value(2669)</t>
  </si>
  <si>
    <t>Value(2670)</t>
  </si>
  <si>
    <t>Value(2671)</t>
  </si>
  <si>
    <t>Value(2672)</t>
  </si>
  <si>
    <t>Value(2673)</t>
  </si>
  <si>
    <t>Value(2674)</t>
  </si>
  <si>
    <t>Value(2675)</t>
  </si>
  <si>
    <t>Value(2676)</t>
  </si>
  <si>
    <t>Value(2677)</t>
  </si>
  <si>
    <t>Value(2678)</t>
  </si>
  <si>
    <t>Value(2679)</t>
  </si>
  <si>
    <t>Value(2680)</t>
  </si>
  <si>
    <t>Value(2681)</t>
  </si>
  <si>
    <t>Value(2682)</t>
  </si>
  <si>
    <t>Value(2683)</t>
  </si>
  <si>
    <t>Value(2684)</t>
  </si>
  <si>
    <t>Value(2685)</t>
  </si>
  <si>
    <t>Value(2686)</t>
  </si>
  <si>
    <t>Value(2687)</t>
  </si>
  <si>
    <t>Value(2688)</t>
  </si>
  <si>
    <t>Value(2689)</t>
  </si>
  <si>
    <t>Value(2690)</t>
  </si>
  <si>
    <t>Value(2691)</t>
  </si>
  <si>
    <t>Value(2692)</t>
  </si>
  <si>
    <t>Value(2693)</t>
  </si>
  <si>
    <t>Value(2694)</t>
  </si>
  <si>
    <t>Value(2695)</t>
  </si>
  <si>
    <t>Value(2696)</t>
  </si>
  <si>
    <t>Value(2697)</t>
  </si>
  <si>
    <t>Value(2698)</t>
  </si>
  <si>
    <t>Value(2699)</t>
  </si>
  <si>
    <t>Value(2700)</t>
  </si>
  <si>
    <t>Value(2701)</t>
  </si>
  <si>
    <t>Value(2702)</t>
  </si>
  <si>
    <t>Value(2703)</t>
  </si>
  <si>
    <t>Value(2704)</t>
  </si>
  <si>
    <t>Value(2705)</t>
  </si>
  <si>
    <t>Value(2706)</t>
  </si>
  <si>
    <t>Value(2707)</t>
  </si>
  <si>
    <t>Value(2708)</t>
  </si>
  <si>
    <t>Value(2709)</t>
  </si>
  <si>
    <t>Value(2710)</t>
  </si>
  <si>
    <t>Value(2711)</t>
  </si>
  <si>
    <t>Value(2712)</t>
  </si>
  <si>
    <t>Value(2713)</t>
  </si>
  <si>
    <t>Value(2714)</t>
  </si>
  <si>
    <t>Value(2715)</t>
  </si>
  <si>
    <t>Value(2716)</t>
  </si>
  <si>
    <t>Value(2717)</t>
  </si>
  <si>
    <t>Value(2718)</t>
  </si>
  <si>
    <t>Value(2719)</t>
  </si>
  <si>
    <t>Value(2720)</t>
  </si>
  <si>
    <t>Value(2721)</t>
  </si>
  <si>
    <t>Value(2722)</t>
  </si>
  <si>
    <t>Value(2723)</t>
  </si>
  <si>
    <t>Value(2724)</t>
  </si>
  <si>
    <t>Value(2725)</t>
  </si>
  <si>
    <t>Value(2726)</t>
  </si>
  <si>
    <t>Value(2727)</t>
  </si>
  <si>
    <t>Value(2728)</t>
  </si>
  <si>
    <t>Value(2729)</t>
  </si>
  <si>
    <t>Value(2730)</t>
  </si>
  <si>
    <t>Value(2731)</t>
  </si>
  <si>
    <t>Value(2732)</t>
  </si>
  <si>
    <t>Value(2733)</t>
  </si>
  <si>
    <t>Value(2734)</t>
  </si>
  <si>
    <t>Value(2735)</t>
  </si>
  <si>
    <t>Value(2736)</t>
  </si>
  <si>
    <t>Value(2737)</t>
  </si>
  <si>
    <t>Value(2738)</t>
  </si>
  <si>
    <t>Value(2739)</t>
  </si>
  <si>
    <t>Value(2740)</t>
  </si>
  <si>
    <t>Value(2741)</t>
  </si>
  <si>
    <t>Value(2742)</t>
  </si>
  <si>
    <t>Value(2743)</t>
  </si>
  <si>
    <t>Value(2744)</t>
  </si>
  <si>
    <t>Value(2745)</t>
  </si>
  <si>
    <t>Value(2746)</t>
  </si>
  <si>
    <t>Value(2747)</t>
  </si>
  <si>
    <t>Value(2748)</t>
  </si>
  <si>
    <t>Value(2749)</t>
  </si>
  <si>
    <t>Value(2750)</t>
  </si>
  <si>
    <t>Value(2751)</t>
  </si>
  <si>
    <t>Value(2752)</t>
  </si>
  <si>
    <t>Value(2753)</t>
  </si>
  <si>
    <t>Value(2754)</t>
  </si>
  <si>
    <t>Value(2755)</t>
  </si>
  <si>
    <t>Value(2756)</t>
  </si>
  <si>
    <t>Value(2757)</t>
  </si>
  <si>
    <t>Value(2758)</t>
  </si>
  <si>
    <t>Value(2759)</t>
  </si>
  <si>
    <t>Value(2760)</t>
  </si>
  <si>
    <t>Value(2761)</t>
  </si>
  <si>
    <t>Value(2762)</t>
  </si>
  <si>
    <t>Value(2763)</t>
  </si>
  <si>
    <t>Value(2764)</t>
  </si>
  <si>
    <t>Value(2765)</t>
  </si>
  <si>
    <t>Value(2766)</t>
  </si>
  <si>
    <t>Value(2767)</t>
  </si>
  <si>
    <t>Value(2768)</t>
  </si>
  <si>
    <t>Value(2769)</t>
  </si>
  <si>
    <t>Value(2770)</t>
  </si>
  <si>
    <t>Value(2771)</t>
  </si>
  <si>
    <t>Value(2772)</t>
  </si>
  <si>
    <t>Value(2773)</t>
  </si>
  <si>
    <t>Value(2774)</t>
  </si>
  <si>
    <t>Value(2775)</t>
  </si>
  <si>
    <t>Value(2776)</t>
  </si>
  <si>
    <t>Value(2777)</t>
  </si>
  <si>
    <t>Value(2778)</t>
  </si>
  <si>
    <t>Value(2779)</t>
  </si>
  <si>
    <t>Value(2780)</t>
  </si>
  <si>
    <t>Value(2781)</t>
  </si>
  <si>
    <t>Value(2782)</t>
  </si>
  <si>
    <t>Value(2783)</t>
  </si>
  <si>
    <t>Value(2784)</t>
  </si>
  <si>
    <t>Value(2785)</t>
  </si>
  <si>
    <t>Value(2786)</t>
  </si>
  <si>
    <t>Value(2787)</t>
  </si>
  <si>
    <t>Value(2788)</t>
  </si>
  <si>
    <t>Value(2789)</t>
  </si>
  <si>
    <t>Value(2790)</t>
  </si>
  <si>
    <t>Value(2791)</t>
  </si>
  <si>
    <t>Value(2792)</t>
  </si>
  <si>
    <t>Value(2793)</t>
  </si>
  <si>
    <t>Value(2794)</t>
  </si>
  <si>
    <t>Value(2795)</t>
  </si>
  <si>
    <t>Value(2796)</t>
  </si>
  <si>
    <t>Value(2797)</t>
  </si>
  <si>
    <t>Value(2798)</t>
  </si>
  <si>
    <t>Value(2799)</t>
  </si>
  <si>
    <t>Value(2800)</t>
  </si>
  <si>
    <t>Value(2801)</t>
  </si>
  <si>
    <t>Value(2802)</t>
  </si>
  <si>
    <t>Value(2803)</t>
  </si>
  <si>
    <t>Value(2804)</t>
  </si>
  <si>
    <t>Value(2805)</t>
  </si>
  <si>
    <t>Value(2806)</t>
  </si>
  <si>
    <t>Value(2807)</t>
  </si>
  <si>
    <t>Value(2808)</t>
  </si>
  <si>
    <t>Value(2809)</t>
  </si>
  <si>
    <t>Value(2810)</t>
  </si>
  <si>
    <t>Value(2811)</t>
  </si>
  <si>
    <t>Value(2812)</t>
  </si>
  <si>
    <t>Value(2813)</t>
  </si>
  <si>
    <t>Value(2814)</t>
  </si>
  <si>
    <t>Value(2815)</t>
  </si>
  <si>
    <t>Value(2816)</t>
  </si>
  <si>
    <t>Value(2817)</t>
  </si>
  <si>
    <t>Value(2818)</t>
  </si>
  <si>
    <t>Value(2819)</t>
  </si>
  <si>
    <t>Value(2820)</t>
  </si>
  <si>
    <t>Value(2821)</t>
  </si>
  <si>
    <t>Value(2822)</t>
  </si>
  <si>
    <t>Value(2823)</t>
  </si>
  <si>
    <t>Value(2824)</t>
  </si>
  <si>
    <t>Value(2825)</t>
  </si>
  <si>
    <t>Value(2826)</t>
  </si>
  <si>
    <t>Value(2827)</t>
  </si>
  <si>
    <t>Value(2828)</t>
  </si>
  <si>
    <t>Value(2829)</t>
  </si>
  <si>
    <t>Value(2830)</t>
  </si>
  <si>
    <t>Value(2831)</t>
  </si>
  <si>
    <t>Value(2832)</t>
  </si>
  <si>
    <t>Value(2833)</t>
  </si>
  <si>
    <t>Value(2834)</t>
  </si>
  <si>
    <t>Value(2835)</t>
  </si>
  <si>
    <t>Value(2836)</t>
  </si>
  <si>
    <t>Value(2837)</t>
  </si>
  <si>
    <t>Value(2838)</t>
  </si>
  <si>
    <t>Value(2839)</t>
  </si>
  <si>
    <t>Value(2840)</t>
  </si>
  <si>
    <t>Value(2841)</t>
  </si>
  <si>
    <t>Value(2842)</t>
  </si>
  <si>
    <t>Value(2843)</t>
  </si>
  <si>
    <t>Value(2844)</t>
  </si>
  <si>
    <t>Value(2845)</t>
  </si>
  <si>
    <t>Value(2846)</t>
  </si>
  <si>
    <t>Value(2847)</t>
  </si>
  <si>
    <t>Value(2848)</t>
  </si>
  <si>
    <t>Value(2849)</t>
  </si>
  <si>
    <t>Value(2850)</t>
  </si>
  <si>
    <t>Value(2851)</t>
  </si>
  <si>
    <t>Value(2852)</t>
  </si>
  <si>
    <t>Value(2853)</t>
  </si>
  <si>
    <t>Value(2854)</t>
  </si>
  <si>
    <t>Value(2855)</t>
  </si>
  <si>
    <t>Value(2856)</t>
  </si>
  <si>
    <t>Value(2857)</t>
  </si>
  <si>
    <t>Value(2858)</t>
  </si>
  <si>
    <t>Value(2859)</t>
  </si>
  <si>
    <t>Value(2860)</t>
  </si>
  <si>
    <t>Value(2861)</t>
  </si>
  <si>
    <t>Value(2862)</t>
  </si>
  <si>
    <t>Value(2863)</t>
  </si>
  <si>
    <t>Value(2864)</t>
  </si>
  <si>
    <t>Value(2865)</t>
  </si>
  <si>
    <t>Value(2866)</t>
  </si>
  <si>
    <t>Value(2867)</t>
  </si>
  <si>
    <t>Value(2868)</t>
  </si>
  <si>
    <t>Value(2869)</t>
  </si>
  <si>
    <t>Value(2870)</t>
  </si>
  <si>
    <t>Value(2871)</t>
  </si>
  <si>
    <t>Value(2872)</t>
  </si>
  <si>
    <t>Value(2873)</t>
  </si>
  <si>
    <t>Value(2874)</t>
  </si>
  <si>
    <t>Value(2875)</t>
  </si>
  <si>
    <t>Value(2876)</t>
  </si>
  <si>
    <t>Value(2877)</t>
  </si>
  <si>
    <t>Value(2878)</t>
  </si>
  <si>
    <t>Value(2879)</t>
  </si>
  <si>
    <t>Value(2880)</t>
  </si>
  <si>
    <t>Value(2881)</t>
  </si>
  <si>
    <t>Value(2882)</t>
  </si>
  <si>
    <t>Value(2883)</t>
  </si>
  <si>
    <t>Value(2884)</t>
  </si>
  <si>
    <t>Value(2885)</t>
  </si>
  <si>
    <t>Value(2886)</t>
  </si>
  <si>
    <t>Value(2887)</t>
  </si>
  <si>
    <t>Value(2888)</t>
  </si>
  <si>
    <t>Value(2889)</t>
  </si>
  <si>
    <t>Value(2890)</t>
  </si>
  <si>
    <t>Value(2891)</t>
  </si>
  <si>
    <t>Value(2892)</t>
  </si>
  <si>
    <t>Value(2893)</t>
  </si>
  <si>
    <t>Value(2894)</t>
  </si>
  <si>
    <t>Value(2895)</t>
  </si>
  <si>
    <t>Value(2896)</t>
  </si>
  <si>
    <t>Value(2897)</t>
  </si>
  <si>
    <t>Value(2898)</t>
  </si>
  <si>
    <t>Value(2899)</t>
  </si>
  <si>
    <t>Value(2900)</t>
  </si>
  <si>
    <t>Value(2901)</t>
  </si>
  <si>
    <t>Value(2902)</t>
  </si>
  <si>
    <t>Value(2903)</t>
  </si>
  <si>
    <t>Value(2904)</t>
  </si>
  <si>
    <t>Value(2905)</t>
  </si>
  <si>
    <t>Value(2906)</t>
  </si>
  <si>
    <t>Value(2907)</t>
  </si>
  <si>
    <t>Value(2908)</t>
  </si>
  <si>
    <t>Value(2909)</t>
  </si>
  <si>
    <t>Value(2910)</t>
  </si>
  <si>
    <t>Value(2911)</t>
  </si>
  <si>
    <t>Value(2912)</t>
  </si>
  <si>
    <t>Value(2913)</t>
  </si>
  <si>
    <t>Value(2914)</t>
  </si>
  <si>
    <t>Value(2915)</t>
  </si>
  <si>
    <t>Value(2916)</t>
  </si>
  <si>
    <t>Value(2917)</t>
  </si>
  <si>
    <t>Value(2918)</t>
  </si>
  <si>
    <t>Value(2919)</t>
  </si>
  <si>
    <t>Value(2920)</t>
  </si>
  <si>
    <t>Value(2921)</t>
  </si>
  <si>
    <t>Value(2922)</t>
  </si>
  <si>
    <t>Value(2923)</t>
  </si>
  <si>
    <t>Value(2924)</t>
  </si>
  <si>
    <t>Value(2925)</t>
  </si>
  <si>
    <t>Value(2926)</t>
  </si>
  <si>
    <t>Value(2927)</t>
  </si>
  <si>
    <t>Value(2928)</t>
  </si>
  <si>
    <t>Value(2929)</t>
  </si>
  <si>
    <t>Value(2930)</t>
  </si>
  <si>
    <t>Value(2931)</t>
  </si>
  <si>
    <t>Value(2932)</t>
  </si>
  <si>
    <t>Value(2933)</t>
  </si>
  <si>
    <t>Value(2934)</t>
  </si>
  <si>
    <t>Value(2935)</t>
  </si>
  <si>
    <t>Value(2936)</t>
  </si>
  <si>
    <t>Value(2937)</t>
  </si>
  <si>
    <t>Value(2938)</t>
  </si>
  <si>
    <t>Value(2939)</t>
  </si>
  <si>
    <t>Value(2940)</t>
  </si>
  <si>
    <t>Value(2941)</t>
  </si>
  <si>
    <t>Value(2942)</t>
  </si>
  <si>
    <t>Value(2943)</t>
  </si>
  <si>
    <t>Value(2944)</t>
  </si>
  <si>
    <t>Value(2945)</t>
  </si>
  <si>
    <t>Value(2946)</t>
  </si>
  <si>
    <t>Value(2947)</t>
  </si>
  <si>
    <t>Value(2948)</t>
  </si>
  <si>
    <t>Value(2949)</t>
  </si>
  <si>
    <t>Value(2950)</t>
  </si>
  <si>
    <t>Value(2951)</t>
  </si>
  <si>
    <t>Value(2952)</t>
  </si>
  <si>
    <t>Value(2953)</t>
  </si>
  <si>
    <t>Value(2954)</t>
  </si>
  <si>
    <t>Value(2955)</t>
  </si>
  <si>
    <t>Value(2956)</t>
  </si>
  <si>
    <t>Value(2957)</t>
  </si>
  <si>
    <t>Value(2958)</t>
  </si>
  <si>
    <t>Value(2959)</t>
  </si>
  <si>
    <t>Value(2960)</t>
  </si>
  <si>
    <t>Value(2961)</t>
  </si>
  <si>
    <t>Value(2962)</t>
  </si>
  <si>
    <t>Value(2963)</t>
  </si>
  <si>
    <t>Value(2964)</t>
  </si>
  <si>
    <t>Value(2965)</t>
  </si>
  <si>
    <t>Value(2966)</t>
  </si>
  <si>
    <t>Value(2967)</t>
  </si>
  <si>
    <t>Value(2968)</t>
  </si>
  <si>
    <t>Value(2969)</t>
  </si>
  <si>
    <t>Value(2970)</t>
  </si>
  <si>
    <t>Value(2971)</t>
  </si>
  <si>
    <t>Value(2972)</t>
  </si>
  <si>
    <t>Value(2973)</t>
  </si>
  <si>
    <t>Value(2974)</t>
  </si>
  <si>
    <t>Value(2975)</t>
  </si>
  <si>
    <t>Value(2976)</t>
  </si>
  <si>
    <t>Value(2977)</t>
  </si>
  <si>
    <t>Value(2978)</t>
  </si>
  <si>
    <t>Value(2979)</t>
  </si>
  <si>
    <t>Value(2980)</t>
  </si>
  <si>
    <t>Value(2981)</t>
  </si>
  <si>
    <t>Value(2982)</t>
  </si>
  <si>
    <t>Value(2983)</t>
  </si>
  <si>
    <t>Value(2984)</t>
  </si>
  <si>
    <t>Value(2985)</t>
  </si>
  <si>
    <t>Value(2986)</t>
  </si>
  <si>
    <t>Value(2987)</t>
  </si>
  <si>
    <t>Value(2988)</t>
  </si>
  <si>
    <t>Value(2989)</t>
  </si>
  <si>
    <t>Value(2990)</t>
  </si>
  <si>
    <t>Value(2991)</t>
  </si>
  <si>
    <t>Value(2992)</t>
  </si>
  <si>
    <t>Value(2993)</t>
  </si>
  <si>
    <t>Value(2994)</t>
  </si>
  <si>
    <t>Value(2995)</t>
  </si>
  <si>
    <t>Value(2996)</t>
  </si>
  <si>
    <t>Value(2997)</t>
  </si>
  <si>
    <t>Value(2998)</t>
  </si>
  <si>
    <t>Value(2999)</t>
  </si>
  <si>
    <t>Value(3000)</t>
  </si>
  <si>
    <t>Value(3001)</t>
  </si>
  <si>
    <t>Value(3002)</t>
  </si>
  <si>
    <t>Value(3003)</t>
  </si>
  <si>
    <t>Value(3004)</t>
  </si>
  <si>
    <t>Value(3005)</t>
  </si>
  <si>
    <t>Value(3006)</t>
  </si>
  <si>
    <t>Value(3007)</t>
  </si>
  <si>
    <t>Value(3008)</t>
  </si>
  <si>
    <t>Value(3009)</t>
  </si>
  <si>
    <t>Value(3010)</t>
  </si>
  <si>
    <t>Value(3011)</t>
  </si>
  <si>
    <t>Value(3012)</t>
  </si>
  <si>
    <t>Value(3013)</t>
  </si>
  <si>
    <t>Value(3014)</t>
  </si>
  <si>
    <t>Value(3015)</t>
  </si>
  <si>
    <t>Value(3016)</t>
  </si>
  <si>
    <t>Value(3017)</t>
  </si>
  <si>
    <t>Value(3018)</t>
  </si>
  <si>
    <t>Value(3019)</t>
  </si>
  <si>
    <t>Value(3020)</t>
  </si>
  <si>
    <t>Value(3021)</t>
  </si>
  <si>
    <t>Value(3022)</t>
  </si>
  <si>
    <t>Value(3023)</t>
  </si>
  <si>
    <t>Value(3024)</t>
  </si>
  <si>
    <t>Value(3025)</t>
  </si>
  <si>
    <t>Value(3026)</t>
  </si>
  <si>
    <t>Value(3027)</t>
  </si>
  <si>
    <t>Value(3028)</t>
  </si>
  <si>
    <t>Value(3029)</t>
  </si>
  <si>
    <t>Value(3030)</t>
  </si>
  <si>
    <t>Value(3031)</t>
  </si>
  <si>
    <t>Value(3032)</t>
  </si>
  <si>
    <t>Value(3033)</t>
  </si>
  <si>
    <t>Value(3034)</t>
  </si>
  <si>
    <t>Value(3035)</t>
  </si>
  <si>
    <t>Value(3036)</t>
  </si>
  <si>
    <t>Value(3037)</t>
  </si>
  <si>
    <t>Value(3038)</t>
  </si>
  <si>
    <t>Value(3039)</t>
  </si>
  <si>
    <t>Value(3040)</t>
  </si>
  <si>
    <t>Value(3041)</t>
  </si>
  <si>
    <t>Value(3042)</t>
  </si>
  <si>
    <t>Value(3043)</t>
  </si>
  <si>
    <t>Value(3044)</t>
  </si>
  <si>
    <t>Value(3045)</t>
  </si>
  <si>
    <t>Value(3046)</t>
  </si>
  <si>
    <t>Value(3047)</t>
  </si>
  <si>
    <t>Value(3048)</t>
  </si>
  <si>
    <t>Value(3049)</t>
  </si>
  <si>
    <t>Value(3050)</t>
  </si>
  <si>
    <t>Value(3051)</t>
  </si>
  <si>
    <t>Value(3052)</t>
  </si>
  <si>
    <t>Value(3053)</t>
  </si>
  <si>
    <t>Value(3054)</t>
  </si>
  <si>
    <t>Value(3055)</t>
  </si>
  <si>
    <t>Value(3056)</t>
  </si>
  <si>
    <t>Value(3057)</t>
  </si>
  <si>
    <t>Value(3058)</t>
  </si>
  <si>
    <t>Value(3059)</t>
  </si>
  <si>
    <t>Value(3060)</t>
  </si>
  <si>
    <t>Value(3061)</t>
  </si>
  <si>
    <t>Value(3062)</t>
  </si>
  <si>
    <t>Value(3063)</t>
  </si>
  <si>
    <t>Value(3064)</t>
  </si>
  <si>
    <t>Value(3065)</t>
  </si>
  <si>
    <t>Value(3066)</t>
  </si>
  <si>
    <t>Value(3067)</t>
  </si>
  <si>
    <t>Value(3068)</t>
  </si>
  <si>
    <t>Value(3069)</t>
  </si>
  <si>
    <t>Value(3070)</t>
  </si>
  <si>
    <t>Value(3071)</t>
  </si>
  <si>
    <t>Value(3072)</t>
  </si>
  <si>
    <t>Value(3073)</t>
  </si>
  <si>
    <t>Value(3074)</t>
  </si>
  <si>
    <t>Value(3075)</t>
  </si>
  <si>
    <t>Value(3076)</t>
  </si>
  <si>
    <t>Value(3077)</t>
  </si>
  <si>
    <t>Value(3078)</t>
  </si>
  <si>
    <t>Value(3079)</t>
  </si>
  <si>
    <t>Value(3080)</t>
  </si>
  <si>
    <t>Value(3081)</t>
  </si>
  <si>
    <t>Value(3082)</t>
  </si>
  <si>
    <t>Value(3083)</t>
  </si>
  <si>
    <t>Value(3084)</t>
  </si>
  <si>
    <t>Value(3085)</t>
  </si>
  <si>
    <t>Value(3086)</t>
  </si>
  <si>
    <t>Value(3087)</t>
  </si>
  <si>
    <t>Value(3088)</t>
  </si>
  <si>
    <t>Value(3089)</t>
  </si>
  <si>
    <t>Value(3090)</t>
  </si>
  <si>
    <t>Value(3091)</t>
  </si>
  <si>
    <t>Value(3092)</t>
  </si>
  <si>
    <t>Value(3093)</t>
  </si>
  <si>
    <t>Value(3094)</t>
  </si>
  <si>
    <t>Value(3095)</t>
  </si>
  <si>
    <t>Value(3096)</t>
  </si>
  <si>
    <t>Value(3097)</t>
  </si>
  <si>
    <t>Value(3098)</t>
  </si>
  <si>
    <t>Value(3099)</t>
  </si>
  <si>
    <t>Value(3100)</t>
  </si>
  <si>
    <t>Value(3101)</t>
  </si>
  <si>
    <t>Value(3102)</t>
  </si>
  <si>
    <t>Value(3103)</t>
  </si>
  <si>
    <t>Value(3104)</t>
  </si>
  <si>
    <t>Value(3105)</t>
  </si>
  <si>
    <t>Value(3106)</t>
  </si>
  <si>
    <t>Value(3107)</t>
  </si>
  <si>
    <t>Value(3108)</t>
  </si>
  <si>
    <t>Value(3109)</t>
  </si>
  <si>
    <t>Value(3110)</t>
  </si>
  <si>
    <t>Value(3111)</t>
  </si>
  <si>
    <t>Value(3112)</t>
  </si>
  <si>
    <t>Value(3113)</t>
  </si>
  <si>
    <t>Value(3114)</t>
  </si>
  <si>
    <t>Value(3115)</t>
  </si>
  <si>
    <t>Value(3116)</t>
  </si>
  <si>
    <t>Value(3117)</t>
  </si>
  <si>
    <t>Value(3118)</t>
  </si>
  <si>
    <t>Value(3119)</t>
  </si>
  <si>
    <t>Value(3120)</t>
  </si>
  <si>
    <t>Value(3121)</t>
  </si>
  <si>
    <t>Value(3122)</t>
  </si>
  <si>
    <t>Value(3123)</t>
  </si>
  <si>
    <t>Value(3124)</t>
  </si>
  <si>
    <t>Value(3125)</t>
  </si>
  <si>
    <t>Value(3126)</t>
  </si>
  <si>
    <t>Value(3127)</t>
  </si>
  <si>
    <t>Value(3128)</t>
  </si>
  <si>
    <t>Value(3129)</t>
  </si>
  <si>
    <t>Value(3130)</t>
  </si>
  <si>
    <t>Value(3131)</t>
  </si>
  <si>
    <t>Value(3132)</t>
  </si>
  <si>
    <t>Value(3133)</t>
  </si>
  <si>
    <t>Value(3134)</t>
  </si>
  <si>
    <t>Value(3135)</t>
  </si>
  <si>
    <t>Value(3136)</t>
  </si>
  <si>
    <t>Value(3137)</t>
  </si>
  <si>
    <t>Value(3138)</t>
  </si>
  <si>
    <t>Value(3139)</t>
  </si>
  <si>
    <t>Value(3140)</t>
  </si>
  <si>
    <t>Value(3141)</t>
  </si>
  <si>
    <t>Value(3142)</t>
  </si>
  <si>
    <t>Value(3143)</t>
  </si>
  <si>
    <t>Value(3144)</t>
  </si>
  <si>
    <t>Value(3145)</t>
  </si>
  <si>
    <t>Value(3146)</t>
  </si>
  <si>
    <t>Value(3147)</t>
  </si>
  <si>
    <t>Value(3148)</t>
  </si>
  <si>
    <t>Value(3149)</t>
  </si>
  <si>
    <t>Value(3150)</t>
  </si>
  <si>
    <t>Value(3151)</t>
  </si>
  <si>
    <t>Value(3152)</t>
  </si>
  <si>
    <t>Value(3153)</t>
  </si>
  <si>
    <t>Value(3154)</t>
  </si>
  <si>
    <t>Value(3155)</t>
  </si>
  <si>
    <t>Value(3156)</t>
  </si>
  <si>
    <t>Value(3157)</t>
  </si>
  <si>
    <t>Value(3158)</t>
  </si>
  <si>
    <t>Value(3159)</t>
  </si>
  <si>
    <t>Value(3160)</t>
  </si>
  <si>
    <t>Value(3161)</t>
  </si>
  <si>
    <t>Value(3162)</t>
  </si>
  <si>
    <t>Value(3163)</t>
  </si>
  <si>
    <t>Value(3164)</t>
  </si>
  <si>
    <t>Value(3165)</t>
  </si>
  <si>
    <t>Value(3166)</t>
  </si>
  <si>
    <t>Value(3167)</t>
  </si>
  <si>
    <t>Value(3168)</t>
  </si>
  <si>
    <t>Value(3169)</t>
  </si>
  <si>
    <t>Value(3170)</t>
  </si>
  <si>
    <t>Value(3171)</t>
  </si>
  <si>
    <t>Value(3172)</t>
  </si>
  <si>
    <t>Value(3173)</t>
  </si>
  <si>
    <t>Value(3174)</t>
  </si>
  <si>
    <t>Value(3175)</t>
  </si>
  <si>
    <t>Value(3176)</t>
  </si>
  <si>
    <t>Value(3177)</t>
  </si>
  <si>
    <t>Value(3178)</t>
  </si>
  <si>
    <t>Value(3179)</t>
  </si>
  <si>
    <t>Value(3180)</t>
  </si>
  <si>
    <t>Value(3181)</t>
  </si>
  <si>
    <t>Value(3182)</t>
  </si>
  <si>
    <t>Value(3183)</t>
  </si>
  <si>
    <t>Value(3184)</t>
  </si>
  <si>
    <t>Value(3185)</t>
  </si>
  <si>
    <t>Value(3186)</t>
  </si>
  <si>
    <t>Value(3187)</t>
  </si>
  <si>
    <t>Value(3188)</t>
  </si>
  <si>
    <t>Value(3189)</t>
  </si>
  <si>
    <t>Value(3190)</t>
  </si>
  <si>
    <t>Value(3191)</t>
  </si>
  <si>
    <t>Value(3192)</t>
  </si>
  <si>
    <t>Value(3193)</t>
  </si>
  <si>
    <t>Value(3194)</t>
  </si>
  <si>
    <t>Value(3195)</t>
  </si>
  <si>
    <t>Value(3196)</t>
  </si>
  <si>
    <t>Value(3197)</t>
  </si>
  <si>
    <t>Value(3198)</t>
  </si>
  <si>
    <t>Value(3199)</t>
  </si>
  <si>
    <t>Value(3200)</t>
  </si>
  <si>
    <t>Value(3201)</t>
  </si>
  <si>
    <t>Value(3202)</t>
  </si>
  <si>
    <t>Value(3203)</t>
  </si>
  <si>
    <t>Value(3204)</t>
  </si>
  <si>
    <t>Value(3205)</t>
  </si>
  <si>
    <t>Value(3206)</t>
  </si>
  <si>
    <t>Value(3207)</t>
  </si>
  <si>
    <t>Value(3208)</t>
  </si>
  <si>
    <t>Value(3209)</t>
  </si>
  <si>
    <t>Value(3210)</t>
  </si>
  <si>
    <t>Value(3211)</t>
  </si>
  <si>
    <t>Value(3212)</t>
  </si>
  <si>
    <t>Value(3213)</t>
  </si>
  <si>
    <t>Value(3214)</t>
  </si>
  <si>
    <t>Value(3215)</t>
  </si>
  <si>
    <t>Value(3216)</t>
  </si>
  <si>
    <t>Value(3217)</t>
  </si>
  <si>
    <t>Value(3218)</t>
  </si>
  <si>
    <t>Value(3219)</t>
  </si>
  <si>
    <t>Value(3220)</t>
  </si>
  <si>
    <t>Value(3221)</t>
  </si>
  <si>
    <t>Value(3222)</t>
  </si>
  <si>
    <t>Value(3223)</t>
  </si>
  <si>
    <t>Value(3224)</t>
  </si>
  <si>
    <t>Value(3225)</t>
  </si>
  <si>
    <t>Value(3226)</t>
  </si>
  <si>
    <t>Value(3227)</t>
  </si>
  <si>
    <t>Value(3228)</t>
  </si>
  <si>
    <t>Value(3229)</t>
  </si>
  <si>
    <t>Value(3230)</t>
  </si>
  <si>
    <t>Value(3231)</t>
  </si>
  <si>
    <t>Value(3232)</t>
  </si>
  <si>
    <t>Value(3233)</t>
  </si>
  <si>
    <t>Value(3234)</t>
  </si>
  <si>
    <t>Value(3235)</t>
  </si>
  <si>
    <t>Value(3236)</t>
  </si>
  <si>
    <t>Value(3237)</t>
  </si>
  <si>
    <t>Value(3238)</t>
  </si>
  <si>
    <t>Value(3239)</t>
  </si>
  <si>
    <t>Value(3240)</t>
  </si>
  <si>
    <t>Value(3241)</t>
  </si>
  <si>
    <t>Value(3242)</t>
  </si>
  <si>
    <t>Value(3243)</t>
  </si>
  <si>
    <t>Value(3244)</t>
  </si>
  <si>
    <t>Value(3245)</t>
  </si>
  <si>
    <t>Value(3246)</t>
  </si>
  <si>
    <t>Value(3247)</t>
  </si>
  <si>
    <t>Value(3248)</t>
  </si>
  <si>
    <t>Value(3249)</t>
  </si>
  <si>
    <t>Value(3250)</t>
  </si>
  <si>
    <t>Value(3251)</t>
  </si>
  <si>
    <t>Value(3252)</t>
  </si>
  <si>
    <t>Value(3253)</t>
  </si>
  <si>
    <t>Value(3254)</t>
  </si>
  <si>
    <t>Value(3255)</t>
  </si>
  <si>
    <t>Value(3256)</t>
  </si>
  <si>
    <t>Value(3257)</t>
  </si>
  <si>
    <t>Value(3258)</t>
  </si>
  <si>
    <t>Value(3259)</t>
  </si>
  <si>
    <t>Value(3260)</t>
  </si>
  <si>
    <t>Value(3261)</t>
  </si>
  <si>
    <t>Value(3262)</t>
  </si>
  <si>
    <t>Value(3263)</t>
  </si>
  <si>
    <t>Value(3264)</t>
  </si>
  <si>
    <t>Value(3265)</t>
  </si>
  <si>
    <t>Value(3266)</t>
  </si>
  <si>
    <t>Value(3267)</t>
  </si>
  <si>
    <t>Value(3268)</t>
  </si>
  <si>
    <t>Value(3269)</t>
  </si>
  <si>
    <t>Value(3270)</t>
  </si>
  <si>
    <t>Value(3271)</t>
  </si>
  <si>
    <t>Value(3272)</t>
  </si>
  <si>
    <t>Value(3273)</t>
  </si>
  <si>
    <t>Value(3274)</t>
  </si>
  <si>
    <t>Value(3275)</t>
  </si>
  <si>
    <t>Value(3276)</t>
  </si>
  <si>
    <t>Value(3277)</t>
  </si>
  <si>
    <t>Value(3278)</t>
  </si>
  <si>
    <t>Value(3279)</t>
  </si>
  <si>
    <t>Value(3280)</t>
  </si>
  <si>
    <t>Value(3281)</t>
  </si>
  <si>
    <t>Value(3282)</t>
  </si>
  <si>
    <t>Value(3283)</t>
  </si>
  <si>
    <t>Value(3284)</t>
  </si>
  <si>
    <t>Value(3285)</t>
  </si>
  <si>
    <t>Value(3286)</t>
  </si>
  <si>
    <t>Value(3287)</t>
  </si>
  <si>
    <t>Value(3288)</t>
  </si>
  <si>
    <t>Value(3289)</t>
  </si>
  <si>
    <t>Value(3290)</t>
  </si>
  <si>
    <t>Value(3291)</t>
  </si>
  <si>
    <t>Value(3292)</t>
  </si>
  <si>
    <t>Value(3293)</t>
  </si>
  <si>
    <t>Value(3294)</t>
  </si>
  <si>
    <t>Value(3295)</t>
  </si>
  <si>
    <t>Value(3296)</t>
  </si>
  <si>
    <t>Value(3297)</t>
  </si>
  <si>
    <t>Value(3298)</t>
  </si>
  <si>
    <t>Value(3299)</t>
  </si>
  <si>
    <t>Value(3300)</t>
  </si>
  <si>
    <t>Value(3301)</t>
  </si>
  <si>
    <t>Value(3302)</t>
  </si>
  <si>
    <t>Value(3303)</t>
  </si>
  <si>
    <t>Value(3304)</t>
  </si>
  <si>
    <t>Value(3305)</t>
  </si>
  <si>
    <t>Value(3306)</t>
  </si>
  <si>
    <t>Value(3307)</t>
  </si>
  <si>
    <t>Value(3308)</t>
  </si>
  <si>
    <t>Value(3309)</t>
  </si>
  <si>
    <t>Value(3310)</t>
  </si>
  <si>
    <t>Value(3311)</t>
  </si>
  <si>
    <t>Value(3312)</t>
  </si>
  <si>
    <t>Value(3313)</t>
  </si>
  <si>
    <t>Value(3314)</t>
  </si>
  <si>
    <t>Value(3315)</t>
  </si>
  <si>
    <t>Value(3316)</t>
  </si>
  <si>
    <t>Value(3317)</t>
  </si>
  <si>
    <t>Value(3318)</t>
  </si>
  <si>
    <t>Value(3319)</t>
  </si>
  <si>
    <t>Value(3320)</t>
  </si>
  <si>
    <t>Value(3321)</t>
  </si>
  <si>
    <t>Value(3322)</t>
  </si>
  <si>
    <t>Value(3323)</t>
  </si>
  <si>
    <t>Value(3324)</t>
  </si>
  <si>
    <t>Value(3325)</t>
  </si>
  <si>
    <t>Value(3326)</t>
  </si>
  <si>
    <t>Value(3327)</t>
  </si>
  <si>
    <t>Value(3328)</t>
  </si>
  <si>
    <t>Value(3329)</t>
  </si>
  <si>
    <t>Value(3330)</t>
  </si>
  <si>
    <t>Value(3331)</t>
  </si>
  <si>
    <t>Value(3332)</t>
  </si>
  <si>
    <t>Value(3333)</t>
  </si>
  <si>
    <t>Value(3334)</t>
  </si>
  <si>
    <t>Value(3335)</t>
  </si>
  <si>
    <t>Value(3336)</t>
  </si>
  <si>
    <t>Value(3337)</t>
  </si>
  <si>
    <t>Value(3338)</t>
  </si>
  <si>
    <t>Value(3339)</t>
  </si>
  <si>
    <t>Value(3340)</t>
  </si>
  <si>
    <t>Value(3341)</t>
  </si>
  <si>
    <t>Value(3342)</t>
  </si>
  <si>
    <t>Value(3343)</t>
  </si>
  <si>
    <t>Value(3344)</t>
  </si>
  <si>
    <t>Value(3345)</t>
  </si>
  <si>
    <t>Value(3346)</t>
  </si>
  <si>
    <t>Value(3347)</t>
  </si>
  <si>
    <t>Value(3348)</t>
  </si>
  <si>
    <t>Value(3349)</t>
  </si>
  <si>
    <t>Value(3350)</t>
  </si>
  <si>
    <t>Value(3351)</t>
  </si>
  <si>
    <t>Value(3352)</t>
  </si>
  <si>
    <t>Value(3353)</t>
  </si>
  <si>
    <t>Value(3354)</t>
  </si>
  <si>
    <t>Value(3355)</t>
  </si>
  <si>
    <t>Value(3356)</t>
  </si>
  <si>
    <t>Value(3357)</t>
  </si>
  <si>
    <t>Value(3358)</t>
  </si>
  <si>
    <t>Value(3359)</t>
  </si>
  <si>
    <t>Value(3360)</t>
  </si>
  <si>
    <t>Value(3361)</t>
  </si>
  <si>
    <t>Value(3362)</t>
  </si>
  <si>
    <t>Value(3363)</t>
  </si>
  <si>
    <t>Value(3364)</t>
  </si>
  <si>
    <t>Value(3365)</t>
  </si>
  <si>
    <t>Value(3366)</t>
  </si>
  <si>
    <t>Value(3367)</t>
  </si>
  <si>
    <t>Value(3368)</t>
  </si>
  <si>
    <t>Value(3369)</t>
  </si>
  <si>
    <t>Value(3370)</t>
  </si>
  <si>
    <t>Value(3371)</t>
  </si>
  <si>
    <t>Value(3372)</t>
  </si>
  <si>
    <t>Value(3373)</t>
  </si>
  <si>
    <t>Value(3374)</t>
  </si>
  <si>
    <t>Value(3375)</t>
  </si>
  <si>
    <t>Value(3376)</t>
  </si>
  <si>
    <t>Value(3377)</t>
  </si>
  <si>
    <t>Value(3378)</t>
  </si>
  <si>
    <t>Value(3379)</t>
  </si>
  <si>
    <t>Value(3380)</t>
  </si>
  <si>
    <t>Value(3381)</t>
  </si>
  <si>
    <t>Value(3382)</t>
  </si>
  <si>
    <t>Value(3383)</t>
  </si>
  <si>
    <t>Value(3384)</t>
  </si>
  <si>
    <t>Value(3385)</t>
  </si>
  <si>
    <t>Value(3386)</t>
  </si>
  <si>
    <t>Value(3387)</t>
  </si>
  <si>
    <t>Value(3388)</t>
  </si>
  <si>
    <t>Value(3389)</t>
  </si>
  <si>
    <t>Value(3390)</t>
  </si>
  <si>
    <t>Value(3391)</t>
  </si>
  <si>
    <t>Value(3392)</t>
  </si>
  <si>
    <t>Value(3393)</t>
  </si>
  <si>
    <t>Value(3394)</t>
  </si>
  <si>
    <t>Value(3395)</t>
  </si>
  <si>
    <t>Value(3396)</t>
  </si>
  <si>
    <t>Value(3397)</t>
  </si>
  <si>
    <t>Value(3398)</t>
  </si>
  <si>
    <t>Value(3399)</t>
  </si>
  <si>
    <t>Value(3400)</t>
  </si>
  <si>
    <t>Value(3401)</t>
  </si>
  <si>
    <t>Value(3402)</t>
  </si>
  <si>
    <t>Value(3403)</t>
  </si>
  <si>
    <t>Value(3404)</t>
  </si>
  <si>
    <t>Value(3405)</t>
  </si>
  <si>
    <t>Value(3406)</t>
  </si>
  <si>
    <t>Value(3407)</t>
  </si>
  <si>
    <t>Value(3408)</t>
  </si>
  <si>
    <t>Value(3409)</t>
  </si>
  <si>
    <t>Value(3410)</t>
  </si>
  <si>
    <t>Value(3411)</t>
  </si>
  <si>
    <t>Value(3412)</t>
  </si>
  <si>
    <t>Value(3413)</t>
  </si>
  <si>
    <t>Value(3414)</t>
  </si>
  <si>
    <t>Value(3415)</t>
  </si>
  <si>
    <t>Value(3416)</t>
  </si>
  <si>
    <t>Value(3417)</t>
  </si>
  <si>
    <t>Value(3418)</t>
  </si>
  <si>
    <t>Value(3419)</t>
  </si>
  <si>
    <t>Value(3420)</t>
  </si>
  <si>
    <t>Value(3421)</t>
  </si>
  <si>
    <t>Value(3422)</t>
  </si>
  <si>
    <t>Value(3423)</t>
  </si>
  <si>
    <t>Value(3424)</t>
  </si>
  <si>
    <t>Value(3425)</t>
  </si>
  <si>
    <t>Value(3426)</t>
  </si>
  <si>
    <t>Value(3427)</t>
  </si>
  <si>
    <t>Value(3428)</t>
  </si>
  <si>
    <t>Value(3429)</t>
  </si>
  <si>
    <t>Value(3430)</t>
  </si>
  <si>
    <t>Value(3431)</t>
  </si>
  <si>
    <t>Value(3432)</t>
  </si>
  <si>
    <t>Value(3433)</t>
  </si>
  <si>
    <t>Value(3434)</t>
  </si>
  <si>
    <t>Value(3435)</t>
  </si>
  <si>
    <t>Value(3436)</t>
  </si>
  <si>
    <t>Value(3437)</t>
  </si>
  <si>
    <t>Value(3438)</t>
  </si>
  <si>
    <t>Value(3439)</t>
  </si>
  <si>
    <t>Value(3440)</t>
  </si>
  <si>
    <t>Value(3441)</t>
  </si>
  <si>
    <t>Value(3442)</t>
  </si>
  <si>
    <t>Value(3443)</t>
  </si>
  <si>
    <t>Value(3444)</t>
  </si>
  <si>
    <t>Value(3445)</t>
  </si>
  <si>
    <t>Value(3446)</t>
  </si>
  <si>
    <t>Value(3447)</t>
  </si>
  <si>
    <t>Value(3448)</t>
  </si>
  <si>
    <t>Value(3449)</t>
  </si>
  <si>
    <t>Value(3450)</t>
  </si>
  <si>
    <t>Value(3451)</t>
  </si>
  <si>
    <t>Value(3452)</t>
  </si>
  <si>
    <t>Value(3453)</t>
  </si>
  <si>
    <t>Value(3454)</t>
  </si>
  <si>
    <t>Value(3455)</t>
  </si>
  <si>
    <t>Value(3456)</t>
  </si>
  <si>
    <t>Value(3457)</t>
  </si>
  <si>
    <t>Value(3458)</t>
  </si>
  <si>
    <t>Value(3459)</t>
  </si>
  <si>
    <t>Value(3460)</t>
  </si>
  <si>
    <t>Value(3461)</t>
  </si>
  <si>
    <t>Value(3462)</t>
  </si>
  <si>
    <t>Value(3463)</t>
  </si>
  <si>
    <t>Value(3464)</t>
  </si>
  <si>
    <t>Value(3465)</t>
  </si>
  <si>
    <t>Value(3466)</t>
  </si>
  <si>
    <t>Value(3467)</t>
  </si>
  <si>
    <t>Value(3468)</t>
  </si>
  <si>
    <t>Value(3469)</t>
  </si>
  <si>
    <t>Value(3470)</t>
  </si>
  <si>
    <t>Value(3471)</t>
  </si>
  <si>
    <t>Value(3472)</t>
  </si>
  <si>
    <t>Value(3473)</t>
  </si>
  <si>
    <t>Value(3474)</t>
  </si>
  <si>
    <t>Value(3475)</t>
  </si>
  <si>
    <t>Value(3476)</t>
  </si>
  <si>
    <t>Value(3477)</t>
  </si>
  <si>
    <t>Value(3478)</t>
  </si>
  <si>
    <t>Value(3479)</t>
  </si>
  <si>
    <t>Value(3480)</t>
  </si>
  <si>
    <t>Value(3481)</t>
  </si>
  <si>
    <t>Value(3482)</t>
  </si>
  <si>
    <t>Value(3483)</t>
  </si>
  <si>
    <t>Value(3484)</t>
  </si>
  <si>
    <t>Value(3485)</t>
  </si>
  <si>
    <t>Value(3486)</t>
  </si>
  <si>
    <t>Value(3487)</t>
  </si>
  <si>
    <t>Value(3488)</t>
  </si>
  <si>
    <t>Value(3489)</t>
  </si>
  <si>
    <t>Value(3490)</t>
  </si>
  <si>
    <t>Value(3491)</t>
  </si>
  <si>
    <t>Value(3492)</t>
  </si>
  <si>
    <t>Value(3493)</t>
  </si>
  <si>
    <t>Value(3494)</t>
  </si>
  <si>
    <t>Value(3495)</t>
  </si>
  <si>
    <t>Value(3496)</t>
  </si>
  <si>
    <t>Value(3497)</t>
  </si>
  <si>
    <t>Value(3498)</t>
  </si>
  <si>
    <t>Value(3499)</t>
  </si>
  <si>
    <t>Value(3500)</t>
  </si>
  <si>
    <t>Value(3501)</t>
  </si>
  <si>
    <t>Value(3502)</t>
  </si>
  <si>
    <t>Value(3503)</t>
  </si>
  <si>
    <t>Value(3504)</t>
  </si>
  <si>
    <t>Value(3505)</t>
  </si>
  <si>
    <t>Value(3506)</t>
  </si>
  <si>
    <t>Value(3507)</t>
  </si>
  <si>
    <t>Value(3508)</t>
  </si>
  <si>
    <t>Value(3509)</t>
  </si>
  <si>
    <t>Value(3510)</t>
  </si>
  <si>
    <t>Value(3511)</t>
  </si>
  <si>
    <t>Value(3512)</t>
  </si>
  <si>
    <t>Value(3513)</t>
  </si>
  <si>
    <t>Value(3514)</t>
  </si>
  <si>
    <t>Value(3515)</t>
  </si>
  <si>
    <t>Value(3516)</t>
  </si>
  <si>
    <t>Value(3517)</t>
  </si>
  <si>
    <t>Value(3518)</t>
  </si>
  <si>
    <t>Value(3519)</t>
  </si>
  <si>
    <t>Value(3520)</t>
  </si>
  <si>
    <t>Value(3521)</t>
  </si>
  <si>
    <t>Value(3522)</t>
  </si>
  <si>
    <t>Value(3523)</t>
  </si>
  <si>
    <t>Value(3524)</t>
  </si>
  <si>
    <t>Value(3525)</t>
  </si>
  <si>
    <t>Value(3526)</t>
  </si>
  <si>
    <t>Value(3527)</t>
  </si>
  <si>
    <t>Value(3528)</t>
  </si>
  <si>
    <t>Value(3529)</t>
  </si>
  <si>
    <t>Value(3530)</t>
  </si>
  <si>
    <t>Value(3531)</t>
  </si>
  <si>
    <t>Value(3532)</t>
  </si>
  <si>
    <t>Value(3533)</t>
  </si>
  <si>
    <t>Value(3534)</t>
  </si>
  <si>
    <t>Value(3535)</t>
  </si>
  <si>
    <t>Value(3536)</t>
  </si>
  <si>
    <t>Value(3537)</t>
  </si>
  <si>
    <t>Value(3538)</t>
  </si>
  <si>
    <t>Value(3539)</t>
  </si>
  <si>
    <t>Value(3540)</t>
  </si>
  <si>
    <t>Value(3541)</t>
  </si>
  <si>
    <t>Value(3542)</t>
  </si>
  <si>
    <t>Value(3543)</t>
  </si>
  <si>
    <t>Value(3544)</t>
  </si>
  <si>
    <t>Value(3545)</t>
  </si>
  <si>
    <t>Value(3546)</t>
  </si>
  <si>
    <t>Value(3547)</t>
  </si>
  <si>
    <t>Value(3548)</t>
  </si>
  <si>
    <t>Value(3549)</t>
  </si>
  <si>
    <t>Value(3550)</t>
  </si>
  <si>
    <t>Value(3551)</t>
  </si>
  <si>
    <t>Value(3552)</t>
  </si>
  <si>
    <t>Value(3553)</t>
  </si>
  <si>
    <t>Value(3554)</t>
  </si>
  <si>
    <t>Value(3555)</t>
  </si>
  <si>
    <t>Value(3556)</t>
  </si>
  <si>
    <t>Value(3557)</t>
  </si>
  <si>
    <t>Value(3558)</t>
  </si>
  <si>
    <t>Value(3559)</t>
  </si>
  <si>
    <t>Value(3560)</t>
  </si>
  <si>
    <t>Value(3561)</t>
  </si>
  <si>
    <t>Value(3562)</t>
  </si>
  <si>
    <t>Value(3563)</t>
  </si>
  <si>
    <t>Value(3564)</t>
  </si>
  <si>
    <t>Value(3565)</t>
  </si>
  <si>
    <t>Value(3566)</t>
  </si>
  <si>
    <t>Value(3567)</t>
  </si>
  <si>
    <t>Value(3568)</t>
  </si>
  <si>
    <t>Value(3569)</t>
  </si>
  <si>
    <t>Value(3570)</t>
  </si>
  <si>
    <t>Value(3571)</t>
  </si>
  <si>
    <t>Value(3572)</t>
  </si>
  <si>
    <t>Value(3573)</t>
  </si>
  <si>
    <t>Value(3574)</t>
  </si>
  <si>
    <t>Value(3575)</t>
  </si>
  <si>
    <t>Value(3576)</t>
  </si>
  <si>
    <t>Value(3577)</t>
  </si>
  <si>
    <t>Value(3578)</t>
  </si>
  <si>
    <t>Value(3579)</t>
  </si>
  <si>
    <t>Value(3580)</t>
  </si>
  <si>
    <t>Value(3581)</t>
  </si>
  <si>
    <t>Value(3582)</t>
  </si>
  <si>
    <t>Value(3583)</t>
  </si>
  <si>
    <t>Value(3584)</t>
  </si>
  <si>
    <t>Value(3585)</t>
  </si>
  <si>
    <t>Value(3586)</t>
  </si>
  <si>
    <t>Value(3587)</t>
  </si>
  <si>
    <t>Value(3588)</t>
  </si>
  <si>
    <t>Value(3589)</t>
  </si>
  <si>
    <t>Value(3590)</t>
  </si>
  <si>
    <t>Value(3591)</t>
  </si>
  <si>
    <t>Value(3592)</t>
  </si>
  <si>
    <t>Value(3593)</t>
  </si>
  <si>
    <t>Value(3594)</t>
  </si>
  <si>
    <t>Value(3595)</t>
  </si>
  <si>
    <t>Value(3596)</t>
  </si>
  <si>
    <t>Value(3597)</t>
  </si>
  <si>
    <t>Value(3598)</t>
  </si>
  <si>
    <t>Value(3599)</t>
  </si>
  <si>
    <t>Value(3600)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</si>
</sst>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_);[Red]\(&quot;$&quot;#,##0\)"/>
    <numFmt numFmtId="165" formatCode="&quot;$&quot;#,##0.00_);[Red]\(&quot;$&quot;#,##0.00\)"/>
    <numFmt numFmtId="166" formatCode="[$-409]m/d/yy\ h:mm\ AM/PM;@"/>
    <numFmt numFmtId="167" formatCode="0.00;\-0.00;;@"/>
    <numFmt numFmtId="168" formatCode="0.000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"/>
      <color rgb="FF242729"/>
      <name val="Consolas"/>
      <family val="3"/>
    </font>
    <font>
      <sz val="10"/>
      <color theme="1"/>
      <name val="Var(--ff-mono)"/>
    </font>
    <font>
      <b/>
      <sz val="20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00007F"/>
      <name val="Courier New"/>
      <family val="3"/>
    </font>
    <font>
      <sz val="11"/>
      <color rgb="FF007F00"/>
      <name val="Courier New"/>
      <family val="3"/>
    </font>
    <font>
      <sz val="11"/>
      <color rgb="FF403F41"/>
      <name val="Courier New"/>
      <family val="3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E7E6E6"/>
      <name val="Calibri"/>
      <family val="2"/>
      <scheme val="minor"/>
    </font>
    <font>
      <sz val="12"/>
      <color rgb="FFFFFFFF"/>
      <name val="Arial"/>
      <family val="2"/>
      <charset val="238"/>
    </font>
    <font>
      <sz val="2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E7E6E6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14" fillId="0" borderId="0" applyFont="0" applyFill="0" applyBorder="0" applyAlignment="0" applyProtection="0"/>
  </cellStyleXfs>
  <cellXfs count="82">
    <xf numFmtId="0" fontId="0" fillId="0" borderId="0" xfId="0"/>
    <xf numFmtId="2" fontId="0" fillId="0" borderId="0" xfId="0" applyNumberFormat="1"/>
    <xf numFmtId="0" fontId="1" fillId="3" borderId="3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" fillId="3" borderId="3" xfId="0" applyFont="1" applyFill="1" applyBorder="1"/>
    <xf numFmtId="0" fontId="1" fillId="3" borderId="3" xfId="0" applyFont="1" applyFill="1" applyBorder="1" applyAlignment="1">
      <alignment horizontal="center"/>
    </xf>
    <xf numFmtId="0" fontId="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22" fontId="0" fillId="0" borderId="0" xfId="0" applyNumberFormat="1" applyAlignment="1" applyProtection="1">
      <alignment horizontal="center"/>
      <protection locked="0"/>
    </xf>
    <xf numFmtId="22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0" xfId="0" applyAlignment="1" applyProtection="1">
      <alignment horizontal="left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/>
      <protection locked="0"/>
    </xf>
    <xf numFmtId="0" fontId="0" fillId="0" borderId="4" xfId="0" applyBorder="1"/>
    <xf numFmtId="0" fontId="0" fillId="0" borderId="0" xfId="0" applyProtection="1">
      <protection locked="0"/>
    </xf>
    <xf numFmtId="164" fontId="0" fillId="0" borderId="0" xfId="0" applyNumberFormat="1" applyAlignment="1" applyProtection="1">
      <alignment horizontal="center"/>
      <protection locked="0"/>
    </xf>
    <xf numFmtId="19" fontId="0" fillId="0" borderId="0" xfId="0" applyNumberFormat="1" applyAlignment="1" applyProtection="1">
      <alignment horizontal="center"/>
      <protection locked="0"/>
    </xf>
    <xf numFmtId="0" fontId="0" fillId="0" borderId="0" xfId="0" quotePrefix="1"/>
    <xf numFmtId="0" fontId="4" fillId="0" borderId="0" xfId="0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2" fillId="0" borderId="0" xfId="1" applyAlignment="1" applyProtection="1">
      <alignment horizontal="left"/>
      <protection locked="0"/>
    </xf>
    <xf numFmtId="0" fontId="2" fillId="0" borderId="3" xfId="1" applyBorder="1"/>
    <xf numFmtId="0" fontId="0" fillId="4" borderId="0" xfId="0" applyFill="1" applyProtection="1">
      <protection locked="0"/>
    </xf>
    <xf numFmtId="0" fontId="5" fillId="4" borderId="0" xfId="0" applyFont="1" applyFill="1" applyProtection="1">
      <protection locked="0"/>
    </xf>
    <xf numFmtId="0" fontId="2" fillId="4" borderId="0" xfId="1" applyFill="1" applyProtection="1">
      <protection locked="0"/>
    </xf>
    <xf numFmtId="0" fontId="1" fillId="4" borderId="0" xfId="0" applyFont="1" applyFill="1" applyProtection="1">
      <protection locked="0"/>
    </xf>
    <xf numFmtId="0" fontId="0" fillId="5" borderId="0" xfId="0" applyFill="1" applyProtection="1">
      <protection locked="0"/>
    </xf>
    <xf numFmtId="0" fontId="0" fillId="3" borderId="0" xfId="0" applyFill="1" applyProtection="1">
      <protection hidden="1"/>
    </xf>
    <xf numFmtId="0" fontId="7" fillId="3" borderId="0" xfId="0" applyFont="1" applyFill="1" applyAlignment="1" applyProtection="1">
      <alignment horizontal="left"/>
      <protection hidden="1"/>
    </xf>
    <xf numFmtId="0" fontId="0" fillId="3" borderId="0" xfId="0" applyFill="1" applyAlignment="1" applyProtection="1">
      <alignment horizontal="left"/>
      <protection hidden="1"/>
    </xf>
    <xf numFmtId="0" fontId="8" fillId="3" borderId="0" xfId="0" applyFont="1" applyFill="1" applyProtection="1">
      <protection hidden="1"/>
    </xf>
    <xf numFmtId="0" fontId="1" fillId="6" borderId="5" xfId="0" applyFont="1" applyFill="1" applyBorder="1" applyAlignment="1" applyProtection="1">
      <alignment horizontal="centerContinuous" vertical="center" wrapText="1"/>
      <protection hidden="1"/>
    </xf>
    <xf numFmtId="0" fontId="0" fillId="6" borderId="6" xfId="0" applyFill="1" applyBorder="1" applyAlignment="1" applyProtection="1">
      <alignment horizontal="centerContinuous"/>
      <protection hidden="1"/>
    </xf>
    <xf numFmtId="0" fontId="0" fillId="6" borderId="7" xfId="0" applyFill="1" applyBorder="1" applyAlignment="1" applyProtection="1">
      <alignment horizontal="centerContinuous"/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2" borderId="0" xfId="0" applyFill="1" applyProtection="1">
      <protection locked="0"/>
    </xf>
    <xf numFmtId="166" fontId="0" fillId="3" borderId="0" xfId="0" applyNumberForma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3" fontId="0" fillId="3" borderId="0" xfId="0" applyNumberFormat="1" applyFill="1" applyAlignment="1" applyProtection="1">
      <alignment horizontal="center"/>
      <protection hidden="1"/>
    </xf>
    <xf numFmtId="4" fontId="0" fillId="2" borderId="0" xfId="0" applyNumberFormat="1" applyFill="1" applyProtection="1">
      <protection locked="0"/>
    </xf>
    <xf numFmtId="0" fontId="0" fillId="2" borderId="1" xfId="0" applyFill="1" applyBorder="1" applyProtection="1">
      <protection locked="0"/>
    </xf>
    <xf numFmtId="3" fontId="0" fillId="0" borderId="0" xfId="0" applyNumberForma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2" fillId="0" borderId="0" xfId="0" applyFont="1" applyProtection="1">
      <protection locked="0"/>
    </xf>
    <xf numFmtId="9" fontId="0" fillId="0" borderId="0" xfId="0" applyNumberFormat="1"/>
    <xf numFmtId="167" fontId="0" fillId="0" borderId="0" xfId="0" applyNumberFormat="1"/>
    <xf numFmtId="1" fontId="0" fillId="0" borderId="0" xfId="0" applyNumberFormat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3" borderId="2" xfId="0" applyFill="1" applyBorder="1"/>
    <xf numFmtId="0" fontId="0" fillId="3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3" fillId="7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5" fillId="0" borderId="0" xfId="0" applyFont="1"/>
    <xf numFmtId="0" fontId="0" fillId="2" borderId="0" xfId="0" applyFill="1" applyAlignment="1">
      <alignment horizontal="center"/>
    </xf>
    <xf numFmtId="1" fontId="0" fillId="0" borderId="0" xfId="0" applyNumberFormat="1" applyAlignment="1" applyProtection="1">
      <alignment horizontal="center"/>
      <protection locked="0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4" borderId="2" xfId="0" applyFill="1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4" borderId="11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/>
    <xf numFmtId="0" fontId="16" fillId="8" borderId="0" xfId="0" applyFont="1" applyFill="1" applyProtection="1">
      <protection hidden="1"/>
    </xf>
    <xf numFmtId="3" fontId="0" fillId="0" borderId="0" xfId="0" applyNumberFormat="1"/>
    <xf numFmtId="0" fontId="17" fillId="0" borderId="0" xfId="0" applyFont="1"/>
    <xf numFmtId="0" fontId="2" fillId="6" borderId="8" xfId="1" applyFill="1" applyBorder="1" applyAlignment="1">
      <alignment horizontal="center" vertical="center"/>
    </xf>
    <xf numFmtId="0" fontId="9" fillId="6" borderId="9" xfId="1" applyFont="1" applyFill="1" applyBorder="1" applyAlignment="1">
      <alignment horizontal="center" vertical="center"/>
    </xf>
    <xf numFmtId="9" fontId="0" fillId="4" borderId="2" xfId="2" applyNumberFormat="1" applyFont="1" applyFill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2" fontId="18" fillId="4" borderId="2" xfId="0" applyNumberFormat="1" applyFon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5" fontId="0" fillId="4" borderId="2" xfId="0" applyNumberFormat="1" applyFill="1" applyBorder="1" applyAlignment="1">
      <alignment horizontal="center"/>
    </xf>
  </cellXfs>
  <cellStyles count="3">
    <cellStyle name="Hiperłącze" xfId="1" builtinId="8"/>
    <cellStyle name="Normalny" xfId="0" builtinId="0"/>
    <cellStyle name="Procentowy" xfId="2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68" fmlaLink="BackgroundCalcs!$F$46" fmlaRange="BackgroundCalcs!$D$46:$D$47" noThreeD="1" sel="1" val="0"/>
</file>

<file path=xl/ctrlProps/ctrlProp2.xml><?xml version="1.0" encoding="utf-8"?>
<formControlPr xmlns="http://schemas.microsoft.com/office/spreadsheetml/2009/9/main" objectType="Drop" dropStyle="combo" dx="68" fmlaLink="BackgroundCalcs!$F$49" fmlaRange="BackgroundCalcs!$D$46:$D$47" noThreeD="1" sel="1" val="0"/>
</file>

<file path=xl/ctrlProps/ctrlProp3.xml><?xml version="1.0" encoding="utf-8"?>
<formControlPr xmlns="http://schemas.microsoft.com/office/spreadsheetml/2009/9/main" objectType="Drop" dropStyle="combo" dx="68" fmlaLink="BackgroundCalcs!$F$52" fmlaRange="BackgroundCalcs!$D$46:$D$47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mworldcup.com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eller.arizona.edu/" TargetMode="Externa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mworldcup.com/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eller.arizona.edu/" TargetMode="External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1077912</xdr:colOff>
      <xdr:row>27</xdr:row>
      <xdr:rowOff>161925</xdr:rowOff>
    </xdr:from>
    <xdr:to>
      <xdr:col>4</xdr:col>
      <xdr:colOff>523557</xdr:colOff>
      <xdr:row>30</xdr:row>
      <xdr:rowOff>102236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68762" y="5067300"/>
          <a:ext cx="1166495" cy="508636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866775</xdr:colOff>
          <xdr:row>26</xdr:row>
          <xdr:rowOff>180975</xdr:rowOff>
        </xdr:from>
        <xdr:to>
          <xdr:col>3</xdr:col>
          <xdr:colOff>0</xdr:colOff>
          <xdr:row>28</xdr:row>
          <xdr:rowOff>9525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29</xdr:row>
          <xdr:rowOff>0</xdr:rowOff>
        </xdr:from>
        <xdr:to>
          <xdr:col>3</xdr:col>
          <xdr:colOff>0</xdr:colOff>
          <xdr:row>30</xdr:row>
          <xdr:rowOff>38100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866775</xdr:colOff>
          <xdr:row>31</xdr:row>
          <xdr:rowOff>9525</xdr:rowOff>
        </xdr:from>
        <xdr:to>
          <xdr:col>3</xdr:col>
          <xdr:colOff>0</xdr:colOff>
          <xdr:row>32</xdr:row>
          <xdr:rowOff>47625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196850</xdr:colOff>
      <xdr:row>0</xdr:row>
      <xdr:rowOff>152400</xdr:rowOff>
    </xdr:from>
    <xdr:to>
      <xdr:col>3</xdr:col>
      <xdr:colOff>790451</xdr:colOff>
      <xdr:row>6</xdr:row>
      <xdr:rowOff>56059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52400"/>
          <a:ext cx="3581276" cy="1046659"/>
        </a:xfrm>
        <a:prstGeom prst="rect">
          <a:avLst/>
        </a:prstGeom>
      </xdr:spPr>
    </xdr:pic>
    <xdr:clientData/>
  </xdr:twoCellAnchor>
  <xdr:twoCellAnchor editAs="oneCell">
    <xdr:from>
      <xdr:col>3</xdr:col>
      <xdr:colOff>1007825</xdr:colOff>
      <xdr:row>1</xdr:row>
      <xdr:rowOff>12700</xdr:rowOff>
    </xdr:from>
    <xdr:to>
      <xdr:col>5</xdr:col>
      <xdr:colOff>250339</xdr:colOff>
      <xdr:row>5</xdr:row>
      <xdr:rowOff>141301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8675" y="203200"/>
          <a:ext cx="3443039" cy="8874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66675</xdr:rowOff>
    </xdr:from>
    <xdr:to>
      <xdr:col>8</xdr:col>
      <xdr:colOff>419100</xdr:colOff>
      <xdr:row>19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4C3487-3DA4-6B2A-277A-15A03A866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28625"/>
          <a:ext cx="5200650" cy="310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85726</xdr:colOff>
      <xdr:row>22</xdr:row>
      <xdr:rowOff>47626</xdr:rowOff>
    </xdr:from>
    <xdr:to>
      <xdr:col>8</xdr:col>
      <xdr:colOff>463551</xdr:colOff>
      <xdr:row>40</xdr:row>
      <xdr:rowOff>130374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4CE3AA-5A87-67E5-AB22-170DAB382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6" y="4029076"/>
          <a:ext cx="5257800" cy="33402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114301</xdr:colOff>
      <xdr:row>49</xdr:row>
      <xdr:rowOff>95250</xdr:rowOff>
    </xdr:from>
    <xdr:to>
      <xdr:col>8</xdr:col>
      <xdr:colOff>502186</xdr:colOff>
      <xdr:row>68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08A21B-1049-AC0D-5BD2-2AEFE0FC16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1" y="8963025"/>
          <a:ext cx="5267860" cy="3476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215900</xdr:colOff>
      <xdr:row>0</xdr:row>
      <xdr:rowOff>73026</xdr:rowOff>
    </xdr:from>
    <xdr:to>
      <xdr:col>3</xdr:col>
      <xdr:colOff>508000</xdr:colOff>
      <xdr:row>3</xdr:row>
      <xdr:rowOff>163823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73026"/>
          <a:ext cx="2120900" cy="643247"/>
        </a:xfrm>
        <a:prstGeom prst="rect">
          <a:avLst/>
        </a:prstGeom>
      </xdr:spPr>
    </xdr:pic>
    <xdr:clientData/>
  </xdr:twoCellAnchor>
  <xdr:twoCellAnchor editAs="oneCell">
    <xdr:from>
      <xdr:col>5</xdr:col>
      <xdr:colOff>755650</xdr:colOff>
      <xdr:row>2</xdr:row>
      <xdr:rowOff>95250</xdr:rowOff>
    </xdr:from>
    <xdr:to>
      <xdr:col>8</xdr:col>
      <xdr:colOff>391523</xdr:colOff>
      <xdr:row>4</xdr:row>
      <xdr:rowOff>1269</xdr:rowOff>
    </xdr:to>
    <xdr:sp macro="[0]!GivePCHint" textlink="">
      <xdr:nvSpPr>
        <xdr:cNvPr id="3" name="Bevel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803650" y="463550"/>
          <a:ext cx="1624693" cy="273049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Give PC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Hint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5</xdr:col>
      <xdr:colOff>752475</xdr:colOff>
      <xdr:row>4</xdr:row>
      <xdr:rowOff>88900</xdr:rowOff>
    </xdr:from>
    <xdr:to>
      <xdr:col>8</xdr:col>
      <xdr:colOff>381998</xdr:colOff>
      <xdr:row>5</xdr:row>
      <xdr:rowOff>168274</xdr:rowOff>
    </xdr:to>
    <xdr:sp macro="[0]!GiveMacHint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00475" y="825500"/>
          <a:ext cx="1618343" cy="263524"/>
        </a:xfrm>
        <a:prstGeom prst="bevel">
          <a:avLst/>
        </a:prstGeom>
        <a:solidFill>
          <a:srgbClr val="4472C4">
            <a:lumMod val="40000"/>
            <a:lumOff val="60000"/>
          </a:srgbClr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5400000" algn="t" rotWithShape="0">
                  <a:sysClr val="window" lastClr="FFFFFF">
                    <a:lumMod val="95000"/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Give Mac Hint</a:t>
          </a:r>
        </a:p>
      </xdr:txBody>
    </xdr:sp>
    <xdr:clientData/>
  </xdr:twoCellAnchor>
  <xdr:twoCellAnchor editAs="oneCell">
    <xdr:from>
      <xdr:col>6</xdr:col>
      <xdr:colOff>0</xdr:colOff>
      <xdr:row>0</xdr:row>
      <xdr:rowOff>114300</xdr:rowOff>
    </xdr:from>
    <xdr:to>
      <xdr:col>8</xdr:col>
      <xdr:colOff>399143</xdr:colOff>
      <xdr:row>2</xdr:row>
      <xdr:rowOff>2721</xdr:rowOff>
    </xdr:to>
    <xdr:sp macro="[0]!GiveInstruction" textlink="">
      <xdr:nvSpPr>
        <xdr:cNvPr id="5" name="Bevel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10000" y="114300"/>
          <a:ext cx="1618343" cy="256721"/>
        </a:xfrm>
        <a:prstGeom prst="bevel">
          <a:avLst/>
        </a:prstGeom>
        <a:solidFill>
          <a:srgbClr val="4472C4">
            <a:lumMod val="40000"/>
            <a:lumOff val="60000"/>
          </a:srgbClr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5400000" algn="t" rotWithShape="0">
                  <a:sysClr val="window" lastClr="FFFFFF">
                    <a:lumMod val="95000"/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Give Instruction</a:t>
          </a:r>
        </a:p>
      </xdr:txBody>
    </xdr:sp>
    <xdr:clientData/>
  </xdr:twoCellAnchor>
  <xdr:twoCellAnchor editAs="oneCell">
    <xdr:from>
      <xdr:col>0</xdr:col>
      <xdr:colOff>196850</xdr:colOff>
      <xdr:row>4</xdr:row>
      <xdr:rowOff>78389</xdr:rowOff>
    </xdr:from>
    <xdr:to>
      <xdr:col>3</xdr:col>
      <xdr:colOff>601690</xdr:colOff>
      <xdr:row>7</xdr:row>
      <xdr:rowOff>41845</xdr:rowOff>
    </xdr:to>
    <xdr:pic>
      <xdr:nvPicPr>
        <xdr:cNvPr id="6" name="Pictur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814989"/>
          <a:ext cx="2233640" cy="5159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1267101</xdr:colOff>
      <xdr:row>0</xdr:row>
      <xdr:rowOff>128795</xdr:rowOff>
    </xdr:from>
    <xdr:to>
      <xdr:col>4</xdr:col>
      <xdr:colOff>1352826</xdr:colOff>
      <xdr:row>2</xdr:row>
      <xdr:rowOff>140860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259884" y="128795"/>
          <a:ext cx="1471681" cy="486935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 Again!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KeyboardingWarmUp_StudentVersion_GradingTa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Spring%202022/Class%20Sessions/Class%202%20-%20Shortcuts/Shortcut%20Challenge/ExerciseTemplateV6_ShortcutChallenge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vid%20Brown\Box\MECC\MECC%202024\Case%20Development\Keyboarding%20Models\MECC_KeyboardingChallenge_Fall2024_GradingUpdate_V1_Test1.xlsm" TargetMode="External"/><Relationship Id="rId1" Type="http://schemas.openxmlformats.org/officeDocument/2006/relationships/externalLinkPath" Target="MECC_KeyboardingChallenge_Fall2024_GradingUpdate_V1_Test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ropbox/FIN%20360L/Class%20Sessions/Class%207/ExerciseTemplateV3_MatchingExercisesPart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Keyboard%20Exercises%20UpdatedV2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ACHGE~1/LOCALS~1/Temp/Excel%20Tips%20from%20Chris%20G%20(#2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ownloads/Hurdles%20Challenge%20(Answers)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Excel%20Shortcut%20Challenge%20(NoMouseChecking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Keyboard Warm Up 1"/>
      <sheetName val="Keyboard Warm Up 2"/>
      <sheetName val="Results"/>
      <sheetName val="Grading"/>
      <sheetName val="BackgroundCalcs"/>
      <sheetName val="Output"/>
    </sheetNames>
    <sheetDataSet>
      <sheetData sheetId="0"/>
      <sheetData sheetId="1">
        <row r="1">
          <cell r="A1" t="str">
            <v>Keyboarding Warm Up</v>
          </cell>
        </row>
        <row r="7">
          <cell r="D7">
            <v>1</v>
          </cell>
          <cell r="AC7">
            <v>4</v>
          </cell>
          <cell r="BR7">
            <v>17</v>
          </cell>
          <cell r="CQ7">
            <v>18</v>
          </cell>
        </row>
        <row r="12">
          <cell r="BD12">
            <v>11</v>
          </cell>
          <cell r="BN12">
            <v>12</v>
          </cell>
        </row>
        <row r="18">
          <cell r="BN18">
            <v>13</v>
          </cell>
        </row>
        <row r="30">
          <cell r="AH30">
            <v>7</v>
          </cell>
          <cell r="AY30">
            <v>8</v>
          </cell>
          <cell r="BE30">
            <v>14</v>
          </cell>
          <cell r="BK30">
            <v>15</v>
          </cell>
        </row>
        <row r="31">
          <cell r="BR31" t="str">
            <v>˄</v>
          </cell>
          <cell r="BS31">
            <v>22</v>
          </cell>
          <cell r="CP31">
            <v>21</v>
          </cell>
        </row>
        <row r="53">
          <cell r="D53">
            <v>2</v>
          </cell>
          <cell r="AC53">
            <v>3</v>
          </cell>
          <cell r="AH53">
            <v>6</v>
          </cell>
          <cell r="AX53">
            <v>5</v>
          </cell>
          <cell r="AY53">
            <v>9</v>
          </cell>
          <cell r="BD53">
            <v>10</v>
          </cell>
          <cell r="BR53">
            <v>16</v>
          </cell>
          <cell r="BS53">
            <v>23</v>
          </cell>
          <cell r="CP53">
            <v>20</v>
          </cell>
          <cell r="CQ53">
            <v>19</v>
          </cell>
        </row>
      </sheetData>
      <sheetData sheetId="2"/>
      <sheetData sheetId="3"/>
      <sheetData sheetId="4"/>
      <sheetData sheetId="5">
        <row r="2">
          <cell r="S2">
            <v>0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ShortcutChallenge"/>
      <sheetName val="Results"/>
      <sheetName val="BackgroundCalcs"/>
      <sheetName val="Output"/>
      <sheetName val="Grading"/>
    </sheetNames>
    <sheetDataSet>
      <sheetData sheetId="0"/>
      <sheetData sheetId="1"/>
      <sheetData sheetId="2"/>
      <sheetData sheetId="3">
        <row r="17">
          <cell r="F17">
            <v>14</v>
          </cell>
          <cell r="G17" t="e">
            <v>#N/A</v>
          </cell>
        </row>
        <row r="20">
          <cell r="F20">
            <v>147651</v>
          </cell>
        </row>
      </sheetData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Unblock Guide"/>
      <sheetName val="Keyboarding Challenge"/>
      <sheetName val="Results"/>
      <sheetName val="BackgroundCalcs"/>
      <sheetName val="Output"/>
      <sheetName val="Grading"/>
      <sheetName val="Time Grading"/>
    </sheetNames>
    <sheetDataSet>
      <sheetData sheetId="0"/>
      <sheetData sheetId="1"/>
      <sheetData sheetId="2">
        <row r="14">
          <cell r="BF14">
            <v>1010</v>
          </cell>
        </row>
      </sheetData>
      <sheetData sheetId="3"/>
      <sheetData sheetId="4">
        <row r="2">
          <cell r="F2">
            <v>45527.530416666668</v>
          </cell>
          <cell r="G2">
            <v>45527.531701388885</v>
          </cell>
          <cell r="S2">
            <v>0</v>
          </cell>
        </row>
        <row r="5">
          <cell r="D5" t="str">
            <v>MECC Keyboarding Challenge (2022 Edition)</v>
          </cell>
        </row>
        <row r="29">
          <cell r="F29">
            <v>5.6249999906867743E-3</v>
          </cell>
        </row>
        <row r="50">
          <cell r="D50" t="str">
            <v>-------</v>
          </cell>
        </row>
        <row r="51">
          <cell r="D51" t="str">
            <v>XXXXX</v>
          </cell>
        </row>
      </sheetData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Bond Data"/>
      <sheetName val="Exercise 1"/>
      <sheetName val="Exercise 2"/>
      <sheetName val="Exercise 3"/>
      <sheetName val="Exercise 4"/>
      <sheetName val="Exercise 5"/>
      <sheetName val="Results"/>
      <sheetName val="BackgroundCalcs"/>
      <sheetName val="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Matching Exercises Part 1</v>
          </cell>
        </row>
        <row r="5">
          <cell r="B5" t="str">
            <v>Numbers</v>
          </cell>
        </row>
        <row r="8">
          <cell r="B8">
            <v>10</v>
          </cell>
        </row>
        <row r="17">
          <cell r="B17">
            <v>5</v>
          </cell>
        </row>
      </sheetData>
      <sheetData sheetId="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yboard Exercise 1"/>
      <sheetName val="Keyboard Exercise 2"/>
      <sheetName val="Keyboard Exercise 3"/>
      <sheetName val="Keyboard Exercise 4"/>
      <sheetName val="calc"/>
      <sheetName val="Results"/>
    </sheetNames>
    <sheetDataSet>
      <sheetData sheetId="0"/>
      <sheetData sheetId="1"/>
      <sheetData sheetId="2"/>
      <sheetData sheetId="3" refreshError="1"/>
      <sheetData sheetId="4">
        <row r="3">
          <cell r="G3">
            <v>44127.436469907407</v>
          </cell>
        </row>
        <row r="4">
          <cell r="D4" t="b">
            <v>1</v>
          </cell>
        </row>
        <row r="5">
          <cell r="D5" t="b">
            <v>1</v>
          </cell>
        </row>
        <row r="6">
          <cell r="D6" t="b">
            <v>1</v>
          </cell>
          <cell r="G6">
            <v>-44127.436469907407</v>
          </cell>
        </row>
        <row r="7">
          <cell r="D7" t="b">
            <v>1</v>
          </cell>
        </row>
        <row r="8">
          <cell r="D8" t="b">
            <v>1</v>
          </cell>
        </row>
        <row r="9">
          <cell r="D9" t="b">
            <v>1</v>
          </cell>
        </row>
        <row r="10">
          <cell r="D10" t="b">
            <v>1</v>
          </cell>
        </row>
        <row r="11">
          <cell r="D11" t="b">
            <v>1</v>
          </cell>
        </row>
        <row r="12">
          <cell r="D12" t="b">
            <v>1</v>
          </cell>
        </row>
        <row r="13">
          <cell r="D13" t="b">
            <v>1</v>
          </cell>
        </row>
        <row r="14">
          <cell r="D14" t="b">
            <v>1</v>
          </cell>
        </row>
        <row r="15">
          <cell r="D15" t="b">
            <v>1</v>
          </cell>
        </row>
        <row r="16">
          <cell r="D16" t="b">
            <v>1</v>
          </cell>
        </row>
        <row r="17">
          <cell r="D17" t="b">
            <v>1</v>
          </cell>
        </row>
        <row r="18">
          <cell r="D18" t="b">
            <v>1</v>
          </cell>
        </row>
        <row r="19">
          <cell r="D19" t="b">
            <v>1</v>
          </cell>
        </row>
        <row r="20">
          <cell r="D20" t="b">
            <v>1</v>
          </cell>
        </row>
        <row r="21">
          <cell r="D21" t="b">
            <v>1</v>
          </cell>
        </row>
      </sheetData>
      <sheetData sheetId="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2"/>
      <sheetName val="Did you know"/>
      <sheetName val="Fixing Annoyances Full Menus"/>
      <sheetName val="Fixing Annoyances PT Formulas"/>
      <sheetName val="Custom Numeric Formatting"/>
      <sheetName val="Conditional Formatting Tricks"/>
      <sheetName val="Dynamic Ranges"/>
      <sheetName val="Dynamic Ranges and Charts"/>
      <sheetName val="Charts with Custom Symbols"/>
      <sheetName val="Creating Simple UIs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Name</v>
          </cell>
        </row>
      </sheetData>
      <sheetData sheetId="7">
        <row r="5">
          <cell r="B5" t="str">
            <v>Name</v>
          </cell>
        </row>
        <row r="30">
          <cell r="D30">
            <v>14</v>
          </cell>
        </row>
      </sheetData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rst"/>
      <sheetName val="Grading"/>
      <sheetName val="Second"/>
      <sheetName val="calc"/>
      <sheetName val="Results"/>
      <sheetName val="Output"/>
    </sheetNames>
    <sheetDataSet>
      <sheetData sheetId="0">
        <row r="3">
          <cell r="B3" t="str">
            <v>Start here</v>
          </cell>
        </row>
      </sheetData>
      <sheetData sheetId="1"/>
      <sheetData sheetId="2">
        <row r="1">
          <cell r="A1" t="str">
            <v>H</v>
          </cell>
        </row>
      </sheetData>
      <sheetData sheetId="3">
        <row r="3">
          <cell r="F3">
            <v>0</v>
          </cell>
        </row>
        <row r="7">
          <cell r="G7">
            <v>35.000000009313226</v>
          </cell>
        </row>
      </sheetData>
      <sheetData sheetId="4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ortcutChallenge"/>
      <sheetName val="Results"/>
      <sheetName val="calc"/>
      <sheetName val="log"/>
    </sheetNames>
    <sheetDataSet>
      <sheetData sheetId="0" refreshError="1"/>
      <sheetData sheetId="1" refreshError="1"/>
      <sheetData sheetId="2">
        <row r="11">
          <cell r="B11">
            <v>-251732499.72570854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linkedin.com/in/pooryamehrabinia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linkedin.com/in/david-brown-5a44751/" TargetMode="External"/><Relationship Id="rId1" Type="http://schemas.openxmlformats.org/officeDocument/2006/relationships/hyperlink" Target="https://youtu.be/5w2lF7K7nT4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youtu.be/A2U12-ptHGc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facebook.com/sharer.php?u=http%3A%2F%2Fchandoo.org%2Fwp%2F2012%2F08%2F10%2Fexcel-hurdles%2F&amp;t=I%20finished%20Excel%20Hurdle%20challenge%20in%20$$%20seconds." TargetMode="External"/><Relationship Id="rId1" Type="http://schemas.openxmlformats.org/officeDocument/2006/relationships/hyperlink" Target="https://www.linkedin.com/sharing/share-offsite/?url=https://www.fmworldcup.com/microsoft-excel-collegiate-challenge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A1695-2BD9-45F7-A8A1-72A24160420F}">
  <sheetPr codeName="Sheet1"/>
  <dimension ref="A1:XX1205"/>
  <sheetViews>
    <sheetView topLeftCell="A4" zoomScale="115" zoomScaleNormal="115" workbookViewId="0"/>
  </sheetViews>
  <sheetFormatPr defaultColWidth="0" defaultRowHeight="15" customHeight="1" zeroHeight="1"/>
  <cols>
    <col min="1" max="1" width="6.140625" style="17" customWidth="1"/>
    <col min="2" max="2" width="12.85546875" style="17" customWidth="1"/>
    <col min="3" max="4" width="25.85546875" style="17" customWidth="1"/>
    <col min="5" max="5" width="37.140625" style="17" customWidth="1"/>
    <col min="6" max="6" width="8.85546875" style="17" customWidth="1"/>
    <col min="7" max="16384" width="8.85546875" style="17" hidden="1"/>
  </cols>
  <sheetData>
    <row r="1" spans="1:15">
      <c r="A1" s="25"/>
      <c r="B1" s="25"/>
      <c r="C1" s="25"/>
      <c r="D1" s="25"/>
      <c r="E1" s="25"/>
      <c r="F1" s="25"/>
    </row>
    <row r="2" spans="1:15">
      <c r="A2" s="25"/>
      <c r="B2" s="25"/>
      <c r="C2" s="25"/>
      <c r="D2" s="25"/>
      <c r="E2" s="25"/>
      <c r="F2" s="25"/>
    </row>
    <row r="3" spans="1:15">
      <c r="A3" s="25"/>
      <c r="B3" s="25"/>
      <c r="C3" s="25"/>
      <c r="D3" s="25"/>
      <c r="E3" s="25"/>
      <c r="F3" s="25"/>
    </row>
    <row r="4" spans="1:15">
      <c r="A4" s="25"/>
      <c r="B4" s="25"/>
      <c r="C4" s="25"/>
      <c r="D4" s="25"/>
      <c r="E4" s="25"/>
      <c r="F4" s="25"/>
    </row>
    <row r="5" spans="1:15">
      <c r="A5" s="25"/>
      <c r="B5" s="25"/>
      <c r="C5" s="25"/>
      <c r="D5" s="25"/>
      <c r="E5" s="25"/>
      <c r="F5" s="25"/>
    </row>
    <row r="6" spans="1:15">
      <c r="A6" s="25"/>
      <c r="B6" s="25"/>
      <c r="C6" s="25"/>
      <c r="D6" s="25"/>
      <c r="E6" s="25"/>
      <c r="F6" s="25"/>
    </row>
    <row r="7" spans="1:15">
      <c r="A7" s="25"/>
      <c r="B7" s="25"/>
      <c r="C7" s="25"/>
      <c r="D7" s="25"/>
      <c r="E7" s="25"/>
      <c r="F7" s="25"/>
    </row>
    <row r="8" spans="1:15" ht="26.25">
      <c r="A8" s="25"/>
      <c r="B8" s="26" t="str">
        <f>SpreadsheetName</f>
        <v>MECC Keyboarding Challenge (2023 Edition)</v>
      </c>
      <c r="C8" s="25"/>
      <c r="D8" s="25"/>
      <c r="E8" s="25"/>
      <c r="F8" s="25"/>
    </row>
    <row r="9" spans="1:15">
      <c r="A9" s="25"/>
      <c r="B9" s="25" t="s">
        <v>530</v>
      </c>
      <c r="C9" s="27" t="s">
        <v>531</v>
      </c>
      <c r="D9" s="27" t="s">
        <v>532</v>
      </c>
      <c r="E9" s="25"/>
      <c r="F9" s="25"/>
    </row>
    <row r="10" spans="1:15">
      <c r="A10" s="25"/>
      <c r="B10" s="25"/>
      <c r="C10" s="25"/>
      <c r="D10" s="25"/>
      <c r="E10" s="25"/>
      <c r="F10" s="25"/>
    </row>
    <row r="11" spans="1:15">
      <c r="A11" s="25"/>
      <c r="B11" s="28" t="s">
        <v>184</v>
      </c>
      <c r="C11" s="25"/>
      <c r="D11" s="25"/>
      <c r="E11" s="25"/>
      <c r="F11" s="25"/>
    </row>
    <row r="12" spans="1:15">
      <c r="A12" s="25">
        <v>1</v>
      </c>
      <c r="B12" s="25" t="s">
        <v>185</v>
      </c>
      <c r="C12" s="25"/>
      <c r="D12" s="25"/>
      <c r="E12" s="25"/>
      <c r="F12" s="25"/>
    </row>
    <row r="13" spans="1:15">
      <c r="A13" s="25">
        <v>2</v>
      </c>
      <c r="B13" s="25" t="s">
        <v>186</v>
      </c>
      <c r="C13" s="25"/>
      <c r="D13" s="25"/>
      <c r="E13" s="25"/>
      <c r="F13" s="25"/>
    </row>
    <row r="14" spans="1:15">
      <c r="A14" s="25">
        <v>3</v>
      </c>
      <c r="B14" s="25" t="s">
        <v>187</v>
      </c>
      <c r="C14" s="25"/>
      <c r="D14" s="25"/>
      <c r="E14" s="25"/>
      <c r="F14" s="25"/>
    </row>
    <row r="15" spans="1:15">
      <c r="A15" s="25">
        <v>4</v>
      </c>
      <c r="B15" s="25" t="s">
        <v>188</v>
      </c>
      <c r="C15" s="25"/>
      <c r="D15" s="25"/>
      <c r="E15" s="25"/>
      <c r="F15" s="25"/>
    </row>
    <row r="16" spans="1:15">
      <c r="A16" s="25">
        <v>5</v>
      </c>
      <c r="B16" s="25" t="s">
        <v>189</v>
      </c>
      <c r="C16" s="25"/>
      <c r="D16" s="25"/>
      <c r="E16" s="25"/>
      <c r="F16" s="25"/>
      <c r="O16" s="29" t="s">
        <v>190</v>
      </c>
    </row>
    <row r="17" spans="1:15">
      <c r="A17" s="25"/>
      <c r="B17" s="25" t="s">
        <v>191</v>
      </c>
      <c r="C17" s="25"/>
      <c r="D17" s="25"/>
      <c r="E17" s="25"/>
      <c r="F17" s="25"/>
      <c r="O17" s="29" t="s">
        <v>190</v>
      </c>
    </row>
    <row r="18" spans="1:15">
      <c r="A18" s="25">
        <v>6</v>
      </c>
      <c r="B18" s="25" t="s">
        <v>192</v>
      </c>
      <c r="C18" s="25"/>
      <c r="D18" s="25"/>
      <c r="E18" s="25"/>
      <c r="F18" s="25"/>
      <c r="O18" s="29" t="s">
        <v>190</v>
      </c>
    </row>
    <row r="19" spans="1:15">
      <c r="A19" s="25"/>
      <c r="B19" s="25" t="s">
        <v>193</v>
      </c>
      <c r="C19" s="25"/>
      <c r="D19" s="25"/>
      <c r="E19" s="25"/>
      <c r="F19" s="25"/>
      <c r="O19" s="29" t="s">
        <v>190</v>
      </c>
    </row>
    <row r="20" spans="1:15">
      <c r="A20" s="25"/>
      <c r="B20" s="25" t="s">
        <v>194</v>
      </c>
      <c r="C20" s="25"/>
      <c r="D20" s="25"/>
      <c r="E20" s="25"/>
      <c r="F20" s="25"/>
      <c r="O20" s="29" t="s">
        <v>190</v>
      </c>
    </row>
    <row r="21" spans="1:15">
      <c r="A21" s="25">
        <v>7</v>
      </c>
      <c r="B21" s="25" t="s">
        <v>195</v>
      </c>
      <c r="C21" s="25"/>
      <c r="D21" s="25"/>
      <c r="E21" s="25"/>
      <c r="F21" s="25"/>
      <c r="O21" s="29"/>
    </row>
    <row r="22" spans="1:15">
      <c r="A22" s="25">
        <v>8</v>
      </c>
      <c r="B22" s="25" t="s">
        <v>549</v>
      </c>
      <c r="C22" s="25"/>
      <c r="D22" s="25"/>
      <c r="E22" s="25"/>
      <c r="F22" s="25"/>
      <c r="O22" s="29"/>
    </row>
    <row r="23" spans="1:15">
      <c r="A23" s="25"/>
      <c r="B23" s="25" t="s">
        <v>550</v>
      </c>
      <c r="C23" s="25"/>
      <c r="D23" s="25"/>
      <c r="E23" s="27" t="s">
        <v>534</v>
      </c>
      <c r="F23" s="25"/>
      <c r="O23" s="29"/>
    </row>
    <row r="24" spans="1:15">
      <c r="A24" s="25">
        <v>9</v>
      </c>
      <c r="B24" s="25" t="s">
        <v>196</v>
      </c>
      <c r="C24" s="25"/>
      <c r="D24" s="25"/>
      <c r="E24" s="25"/>
      <c r="F24" s="25"/>
      <c r="O24" s="29" t="s">
        <v>190</v>
      </c>
    </row>
    <row r="25" spans="1:15">
      <c r="A25" s="25"/>
      <c r="B25" s="27" t="s">
        <v>536</v>
      </c>
      <c r="C25" s="25"/>
      <c r="D25" s="27"/>
      <c r="E25" s="25"/>
      <c r="F25" s="25"/>
      <c r="O25" s="29" t="s">
        <v>190</v>
      </c>
    </row>
    <row r="26" spans="1:15">
      <c r="A26" s="25"/>
      <c r="B26" s="27"/>
      <c r="C26" s="25"/>
      <c r="D26" s="25"/>
      <c r="E26" s="25"/>
      <c r="F26" s="25"/>
      <c r="O26" s="29"/>
    </row>
    <row r="27" spans="1:15">
      <c r="A27" s="25"/>
      <c r="B27" s="28" t="s">
        <v>197</v>
      </c>
      <c r="C27" s="25"/>
      <c r="D27" s="25"/>
      <c r="E27" s="25"/>
      <c r="F27" s="25"/>
      <c r="O27" s="29" t="s">
        <v>190</v>
      </c>
    </row>
    <row r="28" spans="1:15">
      <c r="A28" s="25"/>
      <c r="B28" s="25" t="s">
        <v>198</v>
      </c>
      <c r="C28" s="25"/>
      <c r="D28" s="25"/>
      <c r="E28" s="25"/>
      <c r="F28" s="25"/>
      <c r="O28" s="29" t="s">
        <v>190</v>
      </c>
    </row>
    <row r="29" spans="1:15">
      <c r="A29" s="25"/>
      <c r="B29" s="25"/>
      <c r="C29" s="25"/>
      <c r="D29" s="25"/>
      <c r="E29" s="25"/>
      <c r="F29" s="25"/>
      <c r="O29" s="29" t="s">
        <v>190</v>
      </c>
    </row>
    <row r="30" spans="1:15">
      <c r="A30" s="25"/>
      <c r="B30" s="25" t="s">
        <v>199</v>
      </c>
      <c r="C30" s="25"/>
      <c r="D30" s="25"/>
      <c r="E30" s="25"/>
      <c r="F30" s="25"/>
      <c r="O30" s="29" t="s">
        <v>190</v>
      </c>
    </row>
    <row r="31" spans="1:15">
      <c r="A31" s="25"/>
      <c r="B31" s="25"/>
      <c r="C31" s="25"/>
      <c r="D31" s="25"/>
      <c r="E31" s="25"/>
      <c r="F31" s="25"/>
      <c r="O31" s="29" t="s">
        <v>190</v>
      </c>
    </row>
    <row r="32" spans="1:15">
      <c r="A32" s="25"/>
      <c r="B32" s="25" t="s">
        <v>200</v>
      </c>
      <c r="C32" s="25"/>
      <c r="D32" s="25"/>
      <c r="E32" s="25"/>
      <c r="F32" s="25"/>
      <c r="O32" s="29" t="s">
        <v>190</v>
      </c>
    </row>
    <row r="33" spans="1:15">
      <c r="A33" s="25"/>
      <c r="B33" s="25"/>
      <c r="C33" s="25"/>
      <c r="D33" s="25"/>
      <c r="E33" s="25"/>
      <c r="F33" s="25"/>
      <c r="O33" s="29" t="s">
        <v>190</v>
      </c>
    </row>
    <row r="34" spans="1:15">
      <c r="A34" s="25"/>
      <c r="B34" s="25"/>
      <c r="C34" s="25"/>
      <c r="D34" s="25"/>
      <c r="E34" s="25"/>
      <c r="F34" s="25"/>
      <c r="O34" s="29" t="s">
        <v>190</v>
      </c>
    </row>
    <row r="35" spans="1:15">
      <c r="A35" s="25"/>
      <c r="B35" s="25"/>
      <c r="C35" s="25"/>
      <c r="D35" s="25"/>
      <c r="E35" s="25"/>
      <c r="F35" s="25"/>
      <c r="O35" s="29" t="s">
        <v>190</v>
      </c>
    </row>
    <row r="36" spans="1:15">
      <c r="A36" s="25"/>
      <c r="B36" s="25"/>
      <c r="C36" s="25"/>
      <c r="D36" s="25"/>
      <c r="E36" s="25"/>
      <c r="F36" s="25"/>
      <c r="O36" s="29" t="s">
        <v>190</v>
      </c>
    </row>
    <row r="37" spans="1:15" hidden="1">
      <c r="O37" s="29" t="s">
        <v>190</v>
      </c>
    </row>
    <row r="38" spans="1:15" hidden="1">
      <c r="O38" s="29" t="s">
        <v>190</v>
      </c>
    </row>
    <row r="39" spans="1:15" hidden="1">
      <c r="O39" s="29" t="s">
        <v>190</v>
      </c>
    </row>
    <row r="40" spans="1:15" hidden="1">
      <c r="O40" s="29" t="s">
        <v>190</v>
      </c>
    </row>
    <row r="41" spans="1:15" hidden="1">
      <c r="O41" s="29" t="s">
        <v>190</v>
      </c>
    </row>
    <row r="42" spans="1:15" hidden="1">
      <c r="O42" s="29" t="s">
        <v>190</v>
      </c>
    </row>
    <row r="43" spans="1:15" hidden="1">
      <c r="O43" s="29" t="s">
        <v>190</v>
      </c>
    </row>
    <row r="44" spans="1:15" hidden="1">
      <c r="O44" s="29" t="s">
        <v>190</v>
      </c>
    </row>
    <row r="45" spans="1:15" hidden="1">
      <c r="O45" s="29" t="s">
        <v>190</v>
      </c>
    </row>
    <row r="46" spans="1:15" hidden="1">
      <c r="O46" s="29" t="s">
        <v>190</v>
      </c>
    </row>
    <row r="47" spans="1:15" hidden="1">
      <c r="O47" s="29" t="s">
        <v>190</v>
      </c>
    </row>
    <row r="48" spans="1:15" hidden="1">
      <c r="O48" s="29" t="s">
        <v>190</v>
      </c>
    </row>
    <row r="49" spans="15:15" hidden="1">
      <c r="O49" s="29" t="s">
        <v>190</v>
      </c>
    </row>
    <row r="50" spans="15:15" hidden="1">
      <c r="O50" s="29" t="s">
        <v>190</v>
      </c>
    </row>
    <row r="51" spans="15:15" hidden="1">
      <c r="O51" s="29" t="s">
        <v>190</v>
      </c>
    </row>
    <row r="52" spans="15:15" hidden="1">
      <c r="O52" s="29" t="s">
        <v>190</v>
      </c>
    </row>
    <row r="53" spans="15:15" hidden="1">
      <c r="O53" s="29" t="s">
        <v>190</v>
      </c>
    </row>
    <row r="54" spans="15:15" hidden="1">
      <c r="O54" s="29" t="s">
        <v>190</v>
      </c>
    </row>
    <row r="55" spans="15:15" hidden="1">
      <c r="O55" s="29" t="s">
        <v>190</v>
      </c>
    </row>
    <row r="56" spans="15:15" hidden="1">
      <c r="O56" s="29" t="s">
        <v>190</v>
      </c>
    </row>
    <row r="57" spans="15:15" hidden="1">
      <c r="O57" s="29" t="s">
        <v>190</v>
      </c>
    </row>
    <row r="58" spans="15:15" hidden="1">
      <c r="O58" s="29" t="s">
        <v>190</v>
      </c>
    </row>
    <row r="59" spans="15:15" hidden="1">
      <c r="O59" s="29" t="s">
        <v>190</v>
      </c>
    </row>
    <row r="60" spans="15:15" hidden="1">
      <c r="O60" s="29" t="s">
        <v>190</v>
      </c>
    </row>
    <row r="61" spans="15:15" hidden="1">
      <c r="O61" s="29" t="s">
        <v>190</v>
      </c>
    </row>
    <row r="62" spans="15:15" hidden="1">
      <c r="O62" s="29" t="s">
        <v>190</v>
      </c>
    </row>
    <row r="63" spans="15:15" hidden="1">
      <c r="O63" s="29" t="s">
        <v>190</v>
      </c>
    </row>
    <row r="64" spans="15:15" hidden="1">
      <c r="O64" s="29" t="s">
        <v>190</v>
      </c>
    </row>
    <row r="65" spans="15:15" hidden="1">
      <c r="O65" s="29" t="s">
        <v>190</v>
      </c>
    </row>
    <row r="66" spans="15:15" hidden="1">
      <c r="O66" s="29" t="s">
        <v>190</v>
      </c>
    </row>
    <row r="67" spans="15:15" hidden="1">
      <c r="O67" s="29" t="s">
        <v>190</v>
      </c>
    </row>
    <row r="68" spans="15:15" hidden="1">
      <c r="O68" s="29" t="s">
        <v>190</v>
      </c>
    </row>
    <row r="69" spans="15:15" hidden="1">
      <c r="O69" s="29" t="s">
        <v>190</v>
      </c>
    </row>
    <row r="70" spans="15:15" hidden="1">
      <c r="O70" s="29" t="s">
        <v>190</v>
      </c>
    </row>
    <row r="71" spans="15:15" hidden="1">
      <c r="O71" s="29" t="s">
        <v>190</v>
      </c>
    </row>
    <row r="72" spans="15:15" hidden="1">
      <c r="O72" s="29" t="s">
        <v>190</v>
      </c>
    </row>
    <row r="73" spans="15:15" hidden="1">
      <c r="O73" s="29" t="s">
        <v>190</v>
      </c>
    </row>
    <row r="74" spans="15:15" hidden="1">
      <c r="O74" s="29" t="s">
        <v>190</v>
      </c>
    </row>
    <row r="75" spans="15:15" hidden="1">
      <c r="O75" s="29" t="s">
        <v>190</v>
      </c>
    </row>
    <row r="76" spans="15:15" hidden="1">
      <c r="O76" s="29" t="s">
        <v>190</v>
      </c>
    </row>
    <row r="77" spans="15:15" hidden="1">
      <c r="O77" s="29" t="s">
        <v>190</v>
      </c>
    </row>
    <row r="78" spans="15:15" hidden="1">
      <c r="O78" s="29" t="s">
        <v>190</v>
      </c>
    </row>
    <row r="79" spans="15:15" hidden="1">
      <c r="O79" s="29" t="s">
        <v>190</v>
      </c>
    </row>
    <row r="80" spans="15:15" hidden="1">
      <c r="O80" s="29" t="s">
        <v>190</v>
      </c>
    </row>
    <row r="81" spans="15:15" hidden="1">
      <c r="O81" s="29" t="s">
        <v>190</v>
      </c>
    </row>
    <row r="82" spans="15:15" hidden="1">
      <c r="O82" s="29" t="s">
        <v>190</v>
      </c>
    </row>
    <row r="83" spans="15:15" hidden="1">
      <c r="O83" s="29" t="s">
        <v>190</v>
      </c>
    </row>
    <row r="84" spans="15:15" hidden="1">
      <c r="O84" s="29" t="s">
        <v>190</v>
      </c>
    </row>
    <row r="85" spans="15:15" hidden="1">
      <c r="O85" s="29" t="s">
        <v>190</v>
      </c>
    </row>
    <row r="86" spans="15:15" hidden="1">
      <c r="O86" s="29" t="s">
        <v>190</v>
      </c>
    </row>
    <row r="87" spans="15:15" hidden="1">
      <c r="O87" s="29" t="s">
        <v>190</v>
      </c>
    </row>
    <row r="88" spans="15:15" hidden="1">
      <c r="O88" s="29" t="s">
        <v>190</v>
      </c>
    </row>
    <row r="89" spans="15:15" hidden="1">
      <c r="O89" s="29" t="s">
        <v>190</v>
      </c>
    </row>
    <row r="90" spans="15:15" hidden="1">
      <c r="O90" s="29" t="s">
        <v>190</v>
      </c>
    </row>
    <row r="91" spans="15:15" hidden="1">
      <c r="O91" s="29" t="s">
        <v>190</v>
      </c>
    </row>
    <row r="92" spans="15:15" hidden="1">
      <c r="O92" s="29" t="s">
        <v>190</v>
      </c>
    </row>
    <row r="93" spans="15:15" hidden="1">
      <c r="O93" s="29" t="s">
        <v>190</v>
      </c>
    </row>
    <row r="94" spans="15:15" hidden="1">
      <c r="O94" s="29" t="s">
        <v>190</v>
      </c>
    </row>
    <row r="95" spans="15:15" hidden="1">
      <c r="O95" s="29" t="s">
        <v>190</v>
      </c>
    </row>
    <row r="96" spans="15:15" hidden="1">
      <c r="O96" s="29" t="s">
        <v>190</v>
      </c>
    </row>
    <row r="97" spans="15:15" hidden="1">
      <c r="O97" s="29" t="s">
        <v>190</v>
      </c>
    </row>
    <row r="98" spans="15:15" hidden="1">
      <c r="O98" s="29" t="s">
        <v>190</v>
      </c>
    </row>
    <row r="99" spans="15:15" hidden="1">
      <c r="O99" s="29" t="s">
        <v>190</v>
      </c>
    </row>
    <row r="100" spans="15:15" hidden="1">
      <c r="O100" s="29" t="s">
        <v>190</v>
      </c>
    </row>
    <row r="101" spans="15:15" hidden="1">
      <c r="O101" s="29" t="s">
        <v>190</v>
      </c>
    </row>
    <row r="102" spans="15:15" hidden="1">
      <c r="O102" s="29" t="s">
        <v>190</v>
      </c>
    </row>
    <row r="103" spans="15:15" hidden="1">
      <c r="O103" s="29" t="s">
        <v>190</v>
      </c>
    </row>
    <row r="104" spans="15:15" hidden="1">
      <c r="O104" s="29" t="s">
        <v>190</v>
      </c>
    </row>
    <row r="105" spans="15:15" hidden="1">
      <c r="O105" s="29" t="s">
        <v>190</v>
      </c>
    </row>
    <row r="106" spans="15:15" hidden="1">
      <c r="O106" s="29" t="s">
        <v>190</v>
      </c>
    </row>
    <row r="107" spans="15:15" hidden="1">
      <c r="O107" s="29" t="s">
        <v>190</v>
      </c>
    </row>
    <row r="108" spans="15:15" hidden="1">
      <c r="O108" s="29" t="s">
        <v>190</v>
      </c>
    </row>
    <row r="109" spans="15:15" hidden="1">
      <c r="O109" s="29" t="s">
        <v>190</v>
      </c>
    </row>
    <row r="110" spans="15:15" hidden="1">
      <c r="O110" s="29" t="s">
        <v>190</v>
      </c>
    </row>
    <row r="111" spans="15:15" hidden="1">
      <c r="O111" s="29" t="s">
        <v>190</v>
      </c>
    </row>
    <row r="112" spans="15:15" hidden="1">
      <c r="O112" s="29" t="s">
        <v>190</v>
      </c>
    </row>
    <row r="113" spans="15:15" hidden="1">
      <c r="O113" s="29" t="s">
        <v>190</v>
      </c>
    </row>
    <row r="114" spans="15:15" hidden="1">
      <c r="O114" s="29" t="s">
        <v>190</v>
      </c>
    </row>
    <row r="115" spans="15:15" hidden="1">
      <c r="O115" s="29" t="s">
        <v>190</v>
      </c>
    </row>
    <row r="116" spans="15:15" hidden="1">
      <c r="O116" s="29" t="s">
        <v>190</v>
      </c>
    </row>
    <row r="117" spans="15:15" hidden="1">
      <c r="O117" s="29" t="s">
        <v>190</v>
      </c>
    </row>
    <row r="118" spans="15:15" hidden="1">
      <c r="O118" s="29" t="s">
        <v>190</v>
      </c>
    </row>
    <row r="119" spans="15:15" hidden="1">
      <c r="O119" s="29" t="s">
        <v>190</v>
      </c>
    </row>
    <row r="120" spans="15:15" hidden="1">
      <c r="O120" s="29" t="s">
        <v>190</v>
      </c>
    </row>
    <row r="121" spans="15:15" hidden="1">
      <c r="O121" s="29" t="s">
        <v>190</v>
      </c>
    </row>
    <row r="122" spans="15:15" hidden="1">
      <c r="O122" s="29" t="s">
        <v>190</v>
      </c>
    </row>
    <row r="123" spans="15:15" hidden="1">
      <c r="O123" s="29" t="s">
        <v>190</v>
      </c>
    </row>
    <row r="124" spans="15:15" hidden="1">
      <c r="O124" s="29" t="s">
        <v>190</v>
      </c>
    </row>
    <row r="125" spans="15:15" hidden="1">
      <c r="O125" s="29" t="s">
        <v>190</v>
      </c>
    </row>
    <row r="126" spans="15:15" hidden="1">
      <c r="O126" s="29" t="s">
        <v>190</v>
      </c>
    </row>
    <row r="127" spans="15:15" hidden="1">
      <c r="O127" s="29" t="s">
        <v>190</v>
      </c>
    </row>
    <row r="128" spans="15:15" hidden="1">
      <c r="O128" s="29" t="s">
        <v>190</v>
      </c>
    </row>
    <row r="129" spans="15:15" hidden="1">
      <c r="O129" s="29" t="s">
        <v>190</v>
      </c>
    </row>
    <row r="130" spans="15:15" hidden="1">
      <c r="O130" s="29" t="s">
        <v>190</v>
      </c>
    </row>
    <row r="131" spans="15:15" hidden="1">
      <c r="O131" s="29" t="s">
        <v>190</v>
      </c>
    </row>
    <row r="132" spans="15:15" hidden="1">
      <c r="O132" s="29" t="s">
        <v>190</v>
      </c>
    </row>
    <row r="133" spans="15:15" hidden="1">
      <c r="O133" s="29" t="s">
        <v>190</v>
      </c>
    </row>
    <row r="134" spans="15:15" hidden="1">
      <c r="O134" s="29" t="s">
        <v>190</v>
      </c>
    </row>
    <row r="135" spans="15:15" hidden="1">
      <c r="O135" s="29" t="s">
        <v>190</v>
      </c>
    </row>
    <row r="136" spans="15:15" hidden="1">
      <c r="O136" s="29" t="s">
        <v>190</v>
      </c>
    </row>
    <row r="137" spans="15:15" hidden="1">
      <c r="O137" s="29" t="s">
        <v>190</v>
      </c>
    </row>
    <row r="138" spans="15:15" hidden="1">
      <c r="O138" s="29" t="s">
        <v>190</v>
      </c>
    </row>
    <row r="139" spans="15:15" hidden="1">
      <c r="O139" s="29" t="s">
        <v>190</v>
      </c>
    </row>
    <row r="140" spans="15:15" hidden="1">
      <c r="O140" s="29" t="s">
        <v>190</v>
      </c>
    </row>
    <row r="141" spans="15:15" hidden="1">
      <c r="O141" s="29" t="s">
        <v>190</v>
      </c>
    </row>
    <row r="142" spans="15:15" hidden="1">
      <c r="O142" s="29" t="s">
        <v>190</v>
      </c>
    </row>
    <row r="143" spans="15:15" hidden="1">
      <c r="O143" s="29" t="s">
        <v>190</v>
      </c>
    </row>
    <row r="144" spans="15:15" hidden="1">
      <c r="O144" s="29" t="s">
        <v>190</v>
      </c>
    </row>
    <row r="145" spans="15:15" hidden="1">
      <c r="O145" s="29" t="s">
        <v>190</v>
      </c>
    </row>
    <row r="146" spans="15:15" hidden="1">
      <c r="O146" s="29" t="s">
        <v>190</v>
      </c>
    </row>
    <row r="147" spans="15:15" hidden="1">
      <c r="O147" s="29" t="s">
        <v>190</v>
      </c>
    </row>
    <row r="148" spans="15:15" hidden="1">
      <c r="O148" s="29" t="s">
        <v>190</v>
      </c>
    </row>
    <row r="149" spans="15:15" hidden="1">
      <c r="O149" s="29" t="s">
        <v>190</v>
      </c>
    </row>
    <row r="150" spans="15:15" hidden="1">
      <c r="O150" s="29" t="s">
        <v>190</v>
      </c>
    </row>
    <row r="151" spans="15:15" hidden="1">
      <c r="O151" s="29" t="s">
        <v>190</v>
      </c>
    </row>
    <row r="152" spans="15:15" hidden="1">
      <c r="O152" s="29" t="s">
        <v>190</v>
      </c>
    </row>
    <row r="153" spans="15:15" hidden="1">
      <c r="O153" s="29" t="s">
        <v>190</v>
      </c>
    </row>
    <row r="154" spans="15:15" hidden="1">
      <c r="O154" s="29" t="s">
        <v>190</v>
      </c>
    </row>
    <row r="155" spans="15:15" hidden="1">
      <c r="O155" s="29" t="s">
        <v>190</v>
      </c>
    </row>
    <row r="156" spans="15:15" hidden="1">
      <c r="O156" s="29" t="s">
        <v>190</v>
      </c>
    </row>
    <row r="157" spans="15:15" hidden="1">
      <c r="O157" s="29" t="s">
        <v>190</v>
      </c>
    </row>
    <row r="158" spans="15:15" hidden="1">
      <c r="O158" s="29" t="s">
        <v>190</v>
      </c>
    </row>
    <row r="159" spans="15:15" hidden="1">
      <c r="O159" s="29" t="s">
        <v>190</v>
      </c>
    </row>
    <row r="160" spans="15:15" hidden="1">
      <c r="O160" s="29" t="s">
        <v>190</v>
      </c>
    </row>
    <row r="161" spans="15:15" hidden="1">
      <c r="O161" s="29" t="s">
        <v>190</v>
      </c>
    </row>
    <row r="162" spans="15:15" hidden="1">
      <c r="O162" s="29" t="s">
        <v>190</v>
      </c>
    </row>
    <row r="163" spans="15:15" hidden="1">
      <c r="O163" s="29" t="s">
        <v>190</v>
      </c>
    </row>
    <row r="164" spans="15:15" hidden="1">
      <c r="O164" s="29" t="s">
        <v>190</v>
      </c>
    </row>
    <row r="165" spans="15:15" hidden="1">
      <c r="O165" s="29" t="s">
        <v>190</v>
      </c>
    </row>
    <row r="166" spans="15:15" hidden="1">
      <c r="O166" s="29" t="s">
        <v>190</v>
      </c>
    </row>
    <row r="167" spans="15:15" hidden="1">
      <c r="O167" s="29" t="s">
        <v>190</v>
      </c>
    </row>
    <row r="168" spans="15:15" hidden="1">
      <c r="O168" s="29" t="s">
        <v>190</v>
      </c>
    </row>
    <row r="169" spans="15:15" hidden="1">
      <c r="O169" s="29" t="s">
        <v>190</v>
      </c>
    </row>
    <row r="170" spans="15:15" hidden="1">
      <c r="O170" s="29" t="s">
        <v>190</v>
      </c>
    </row>
    <row r="171" spans="15:15" hidden="1">
      <c r="O171" s="29" t="s">
        <v>190</v>
      </c>
    </row>
    <row r="172" spans="15:15" hidden="1">
      <c r="O172" s="29" t="s">
        <v>190</v>
      </c>
    </row>
    <row r="173" spans="15:15" hidden="1">
      <c r="O173" s="29" t="s">
        <v>190</v>
      </c>
    </row>
    <row r="174" spans="15:15" hidden="1">
      <c r="O174" s="29" t="s">
        <v>190</v>
      </c>
    </row>
    <row r="175" spans="15:15" hidden="1">
      <c r="O175" s="29" t="s">
        <v>190</v>
      </c>
    </row>
    <row r="176" spans="15:15" hidden="1">
      <c r="O176" s="29" t="s">
        <v>190</v>
      </c>
    </row>
    <row r="177" spans="15:15" hidden="1">
      <c r="O177" s="29" t="s">
        <v>190</v>
      </c>
    </row>
    <row r="178" spans="15:15" hidden="1">
      <c r="O178" s="29" t="s">
        <v>190</v>
      </c>
    </row>
    <row r="179" spans="15:15" hidden="1">
      <c r="O179" s="29" t="s">
        <v>190</v>
      </c>
    </row>
    <row r="180" spans="15:15" hidden="1">
      <c r="O180" s="29" t="s">
        <v>190</v>
      </c>
    </row>
    <row r="181" spans="15:15" hidden="1">
      <c r="O181" s="29" t="s">
        <v>190</v>
      </c>
    </row>
    <row r="182" spans="15:15" hidden="1">
      <c r="O182" s="29" t="s">
        <v>190</v>
      </c>
    </row>
    <row r="183" spans="15:15" hidden="1">
      <c r="O183" s="29" t="s">
        <v>190</v>
      </c>
    </row>
    <row r="184" spans="15:15" hidden="1">
      <c r="O184" s="29" t="s">
        <v>190</v>
      </c>
    </row>
    <row r="185" spans="15:15" hidden="1">
      <c r="O185" s="29" t="s">
        <v>190</v>
      </c>
    </row>
    <row r="186" spans="15:15" hidden="1">
      <c r="O186" s="29" t="s">
        <v>190</v>
      </c>
    </row>
    <row r="187" spans="15:15" hidden="1">
      <c r="O187" s="29" t="s">
        <v>190</v>
      </c>
    </row>
    <row r="188" spans="15:15" hidden="1">
      <c r="O188" s="29" t="s">
        <v>190</v>
      </c>
    </row>
    <row r="189" spans="15:15" hidden="1">
      <c r="O189" s="29" t="s">
        <v>190</v>
      </c>
    </row>
    <row r="190" spans="15:15" hidden="1">
      <c r="O190" s="29" t="s">
        <v>190</v>
      </c>
    </row>
    <row r="191" spans="15:15" hidden="1">
      <c r="O191" s="29" t="s">
        <v>190</v>
      </c>
    </row>
    <row r="192" spans="15:15" hidden="1">
      <c r="O192" s="29" t="s">
        <v>190</v>
      </c>
    </row>
    <row r="193" spans="15:15" hidden="1">
      <c r="O193" s="29" t="s">
        <v>190</v>
      </c>
    </row>
    <row r="194" spans="15:15" hidden="1">
      <c r="O194" s="29" t="s">
        <v>190</v>
      </c>
    </row>
    <row r="195" spans="15:15" hidden="1">
      <c r="O195" s="29" t="s">
        <v>190</v>
      </c>
    </row>
    <row r="196" spans="15:15" hidden="1">
      <c r="O196" s="29" t="s">
        <v>190</v>
      </c>
    </row>
    <row r="197" spans="15:15" hidden="1">
      <c r="O197" s="29" t="s">
        <v>190</v>
      </c>
    </row>
    <row r="198" spans="15:15" hidden="1">
      <c r="O198" s="29" t="s">
        <v>190</v>
      </c>
    </row>
    <row r="199" spans="15:15" hidden="1">
      <c r="O199" s="29" t="s">
        <v>190</v>
      </c>
    </row>
    <row r="200" spans="15:15" hidden="1">
      <c r="O200" s="29" t="s">
        <v>190</v>
      </c>
    </row>
    <row r="201" spans="15:15" hidden="1">
      <c r="O201" s="29" t="s">
        <v>190</v>
      </c>
    </row>
    <row r="202" spans="15:15" hidden="1">
      <c r="O202" s="29" t="s">
        <v>190</v>
      </c>
    </row>
    <row r="203" spans="15:15" hidden="1">
      <c r="O203" s="29" t="s">
        <v>190</v>
      </c>
    </row>
    <row r="204" spans="15:15" hidden="1">
      <c r="O204" s="29" t="s">
        <v>190</v>
      </c>
    </row>
    <row r="205" spans="15:15" hidden="1">
      <c r="O205" s="29" t="s">
        <v>190</v>
      </c>
    </row>
    <row r="206" spans="15:15" hidden="1">
      <c r="O206" s="29" t="s">
        <v>190</v>
      </c>
    </row>
    <row r="207" spans="15:15" hidden="1">
      <c r="O207" s="29" t="s">
        <v>190</v>
      </c>
    </row>
    <row r="208" spans="15:15" hidden="1">
      <c r="O208" s="29" t="s">
        <v>190</v>
      </c>
    </row>
    <row r="209" spans="15:15" hidden="1">
      <c r="O209" s="29" t="s">
        <v>190</v>
      </c>
    </row>
    <row r="210" spans="15:15" hidden="1">
      <c r="O210" s="29" t="s">
        <v>190</v>
      </c>
    </row>
    <row r="211" spans="15:15" hidden="1">
      <c r="O211" s="29" t="s">
        <v>190</v>
      </c>
    </row>
    <row r="212" spans="15:15" hidden="1">
      <c r="O212" s="29" t="s">
        <v>190</v>
      </c>
    </row>
    <row r="213" spans="15:15" hidden="1">
      <c r="O213" s="29" t="s">
        <v>190</v>
      </c>
    </row>
    <row r="214" spans="15:15" hidden="1">
      <c r="O214" s="29" t="s">
        <v>190</v>
      </c>
    </row>
    <row r="215" spans="15:15" hidden="1">
      <c r="O215" s="29" t="s">
        <v>190</v>
      </c>
    </row>
    <row r="216" spans="15:15" hidden="1">
      <c r="O216" s="29" t="s">
        <v>190</v>
      </c>
    </row>
    <row r="217" spans="15:15" hidden="1">
      <c r="O217" s="29" t="s">
        <v>190</v>
      </c>
    </row>
    <row r="218" spans="15:15" hidden="1">
      <c r="O218" s="29" t="s">
        <v>190</v>
      </c>
    </row>
    <row r="219" spans="15:15" hidden="1">
      <c r="O219" s="29" t="s">
        <v>190</v>
      </c>
    </row>
    <row r="220" spans="15:15" hidden="1">
      <c r="O220" s="29" t="s">
        <v>190</v>
      </c>
    </row>
    <row r="221" spans="15:15" hidden="1">
      <c r="O221" s="29" t="s">
        <v>190</v>
      </c>
    </row>
    <row r="222" spans="15:15" hidden="1">
      <c r="O222" s="29" t="s">
        <v>190</v>
      </c>
    </row>
    <row r="223" spans="15:15" hidden="1">
      <c r="O223" s="29" t="s">
        <v>190</v>
      </c>
    </row>
    <row r="224" spans="15:15" hidden="1">
      <c r="O224" s="29" t="s">
        <v>190</v>
      </c>
    </row>
    <row r="225" spans="15:15" hidden="1">
      <c r="O225" s="29" t="s">
        <v>190</v>
      </c>
    </row>
    <row r="226" spans="15:15" hidden="1">
      <c r="O226" s="29" t="s">
        <v>190</v>
      </c>
    </row>
    <row r="227" spans="15:15" hidden="1">
      <c r="O227" s="29" t="s">
        <v>190</v>
      </c>
    </row>
    <row r="228" spans="15:15" hidden="1">
      <c r="O228" s="29" t="s">
        <v>190</v>
      </c>
    </row>
    <row r="229" spans="15:15" hidden="1">
      <c r="O229" s="29" t="s">
        <v>190</v>
      </c>
    </row>
    <row r="230" spans="15:15" hidden="1">
      <c r="O230" s="29" t="s">
        <v>190</v>
      </c>
    </row>
    <row r="231" spans="15:15" hidden="1">
      <c r="O231" s="29" t="s">
        <v>190</v>
      </c>
    </row>
    <row r="232" spans="15:15" hidden="1">
      <c r="O232" s="29" t="s">
        <v>190</v>
      </c>
    </row>
    <row r="233" spans="15:15" hidden="1">
      <c r="O233" s="29" t="s">
        <v>190</v>
      </c>
    </row>
    <row r="234" spans="15:15" hidden="1">
      <c r="O234" s="29" t="s">
        <v>190</v>
      </c>
    </row>
    <row r="235" spans="15:15" hidden="1">
      <c r="O235" s="29" t="s">
        <v>190</v>
      </c>
    </row>
    <row r="236" spans="15:15" hidden="1">
      <c r="O236" s="29" t="s">
        <v>190</v>
      </c>
    </row>
    <row r="237" spans="15:15" hidden="1">
      <c r="O237" s="29" t="s">
        <v>190</v>
      </c>
    </row>
    <row r="238" spans="15:15" hidden="1">
      <c r="O238" s="29" t="s">
        <v>190</v>
      </c>
    </row>
    <row r="239" spans="15:15" hidden="1">
      <c r="O239" s="29" t="s">
        <v>190</v>
      </c>
    </row>
    <row r="240" spans="15:15" hidden="1">
      <c r="O240" s="29" t="s">
        <v>190</v>
      </c>
    </row>
    <row r="241" spans="15:15" hidden="1">
      <c r="O241" s="29" t="s">
        <v>190</v>
      </c>
    </row>
    <row r="242" spans="15:15" hidden="1">
      <c r="O242" s="29" t="s">
        <v>190</v>
      </c>
    </row>
    <row r="243" spans="15:15" hidden="1">
      <c r="O243" s="29" t="s">
        <v>190</v>
      </c>
    </row>
    <row r="244" spans="15:15" hidden="1">
      <c r="O244" s="29" t="s">
        <v>190</v>
      </c>
    </row>
    <row r="245" spans="15:15" hidden="1">
      <c r="O245" s="29" t="s">
        <v>190</v>
      </c>
    </row>
    <row r="246" spans="15:15" hidden="1">
      <c r="O246" s="29" t="s">
        <v>190</v>
      </c>
    </row>
    <row r="247" spans="15:15" hidden="1">
      <c r="O247" s="29" t="s">
        <v>190</v>
      </c>
    </row>
    <row r="248" spans="15:15" hidden="1">
      <c r="O248" s="29" t="s">
        <v>190</v>
      </c>
    </row>
    <row r="249" spans="15:15" hidden="1">
      <c r="O249" s="29" t="s">
        <v>190</v>
      </c>
    </row>
    <row r="250" spans="15:15" hidden="1">
      <c r="O250" s="29" t="s">
        <v>190</v>
      </c>
    </row>
    <row r="251" spans="15:15" hidden="1">
      <c r="O251" s="29" t="s">
        <v>190</v>
      </c>
    </row>
    <row r="252" spans="15:15" hidden="1">
      <c r="O252" s="29" t="s">
        <v>190</v>
      </c>
    </row>
    <row r="253" spans="15:15" hidden="1">
      <c r="O253" s="29" t="s">
        <v>190</v>
      </c>
    </row>
    <row r="254" spans="15:15" hidden="1">
      <c r="O254" s="29" t="s">
        <v>190</v>
      </c>
    </row>
    <row r="255" spans="15:15" hidden="1">
      <c r="O255" s="29" t="s">
        <v>190</v>
      </c>
    </row>
    <row r="256" spans="15:15" hidden="1">
      <c r="O256" s="29" t="s">
        <v>190</v>
      </c>
    </row>
    <row r="257" spans="15:15" hidden="1">
      <c r="O257" s="29" t="s">
        <v>190</v>
      </c>
    </row>
    <row r="258" spans="15:15" hidden="1">
      <c r="O258" s="29" t="s">
        <v>190</v>
      </c>
    </row>
    <row r="259" spans="15:15" hidden="1">
      <c r="O259" s="29" t="s">
        <v>190</v>
      </c>
    </row>
    <row r="260" spans="15:15" hidden="1">
      <c r="O260" s="29" t="s">
        <v>190</v>
      </c>
    </row>
    <row r="261" spans="15:15" hidden="1">
      <c r="O261" s="29" t="s">
        <v>190</v>
      </c>
    </row>
    <row r="262" spans="15:15" hidden="1">
      <c r="O262" s="29" t="s">
        <v>190</v>
      </c>
    </row>
    <row r="263" spans="15:15" hidden="1">
      <c r="O263" s="29" t="s">
        <v>190</v>
      </c>
    </row>
    <row r="264" spans="15:15" hidden="1">
      <c r="O264" s="29" t="s">
        <v>190</v>
      </c>
    </row>
    <row r="265" spans="15:15" hidden="1">
      <c r="O265" s="29" t="s">
        <v>190</v>
      </c>
    </row>
    <row r="266" spans="15:15" hidden="1">
      <c r="O266" s="29" t="s">
        <v>190</v>
      </c>
    </row>
    <row r="267" spans="15:15" hidden="1">
      <c r="O267" s="29" t="s">
        <v>190</v>
      </c>
    </row>
    <row r="268" spans="15:15" hidden="1">
      <c r="O268" s="29" t="s">
        <v>190</v>
      </c>
    </row>
    <row r="269" spans="15:15" hidden="1">
      <c r="O269" s="29" t="s">
        <v>190</v>
      </c>
    </row>
    <row r="270" spans="15:15" hidden="1">
      <c r="O270" s="29" t="s">
        <v>190</v>
      </c>
    </row>
    <row r="271" spans="15:15" hidden="1">
      <c r="O271" s="29" t="s">
        <v>190</v>
      </c>
    </row>
    <row r="272" spans="15:15" hidden="1">
      <c r="O272" s="29" t="s">
        <v>190</v>
      </c>
    </row>
    <row r="273" spans="15:15" hidden="1">
      <c r="O273" s="29" t="s">
        <v>190</v>
      </c>
    </row>
    <row r="274" spans="15:15" hidden="1">
      <c r="O274" s="29" t="s">
        <v>190</v>
      </c>
    </row>
    <row r="275" spans="15:15" hidden="1">
      <c r="O275" s="29" t="s">
        <v>190</v>
      </c>
    </row>
    <row r="276" spans="15:15" hidden="1">
      <c r="O276" s="29" t="s">
        <v>190</v>
      </c>
    </row>
    <row r="277" spans="15:15" hidden="1">
      <c r="O277" s="29" t="s">
        <v>190</v>
      </c>
    </row>
    <row r="278" spans="15:15" hidden="1">
      <c r="O278" s="29" t="s">
        <v>190</v>
      </c>
    </row>
    <row r="279" spans="15:15" hidden="1">
      <c r="O279" s="29" t="s">
        <v>190</v>
      </c>
    </row>
    <row r="280" spans="15:15" hidden="1">
      <c r="O280" s="29" t="s">
        <v>190</v>
      </c>
    </row>
    <row r="281" spans="15:15" hidden="1">
      <c r="O281" s="29" t="s">
        <v>190</v>
      </c>
    </row>
    <row r="282" spans="15:15" hidden="1">
      <c r="O282" s="29" t="s">
        <v>190</v>
      </c>
    </row>
    <row r="283" spans="15:15" hidden="1">
      <c r="O283" s="29" t="s">
        <v>190</v>
      </c>
    </row>
    <row r="284" spans="15:15" hidden="1">
      <c r="O284" s="29" t="s">
        <v>190</v>
      </c>
    </row>
    <row r="285" spans="15:15" hidden="1">
      <c r="O285" s="29" t="s">
        <v>190</v>
      </c>
    </row>
    <row r="286" spans="15:15" hidden="1">
      <c r="O286" s="29" t="s">
        <v>190</v>
      </c>
    </row>
    <row r="287" spans="15:15" hidden="1">
      <c r="O287" s="29" t="s">
        <v>190</v>
      </c>
    </row>
    <row r="288" spans="15:15" hidden="1">
      <c r="O288" s="29" t="s">
        <v>190</v>
      </c>
    </row>
    <row r="289" spans="15:15" hidden="1">
      <c r="O289" s="29" t="s">
        <v>190</v>
      </c>
    </row>
    <row r="290" spans="15:15" hidden="1">
      <c r="O290" s="29" t="s">
        <v>190</v>
      </c>
    </row>
    <row r="291" spans="15:15" hidden="1">
      <c r="O291" s="29" t="s">
        <v>190</v>
      </c>
    </row>
    <row r="292" spans="15:15" hidden="1">
      <c r="O292" s="29" t="s">
        <v>190</v>
      </c>
    </row>
    <row r="293" spans="15:15" hidden="1">
      <c r="O293" s="29" t="s">
        <v>190</v>
      </c>
    </row>
    <row r="294" spans="15:15" hidden="1">
      <c r="O294" s="29" t="s">
        <v>190</v>
      </c>
    </row>
    <row r="295" spans="15:15" hidden="1">
      <c r="O295" s="29" t="s">
        <v>190</v>
      </c>
    </row>
    <row r="296" spans="15:15" hidden="1">
      <c r="O296" s="29" t="s">
        <v>190</v>
      </c>
    </row>
    <row r="297" spans="15:15" hidden="1">
      <c r="O297" s="29" t="s">
        <v>190</v>
      </c>
    </row>
    <row r="298" spans="15:15" hidden="1">
      <c r="O298" s="29" t="s">
        <v>190</v>
      </c>
    </row>
    <row r="299" spans="15:15" hidden="1">
      <c r="O299" s="29" t="s">
        <v>190</v>
      </c>
    </row>
    <row r="300" spans="15:15" hidden="1">
      <c r="O300" s="29" t="s">
        <v>190</v>
      </c>
    </row>
    <row r="301" spans="15:15" hidden="1">
      <c r="O301" s="29" t="s">
        <v>190</v>
      </c>
    </row>
    <row r="302" spans="15:15" hidden="1">
      <c r="O302" s="29" t="s">
        <v>190</v>
      </c>
    </row>
    <row r="303" spans="15:15" hidden="1">
      <c r="O303" s="29" t="s">
        <v>190</v>
      </c>
    </row>
    <row r="304" spans="15:15" hidden="1">
      <c r="O304" s="29" t="s">
        <v>190</v>
      </c>
    </row>
    <row r="305" spans="15:15" hidden="1">
      <c r="O305" s="29" t="s">
        <v>190</v>
      </c>
    </row>
    <row r="306" spans="15:15" hidden="1">
      <c r="O306" s="29" t="s">
        <v>190</v>
      </c>
    </row>
    <row r="307" spans="15:15" hidden="1">
      <c r="O307" s="29" t="s">
        <v>190</v>
      </c>
    </row>
    <row r="308" spans="15:15" hidden="1">
      <c r="O308" s="29" t="s">
        <v>190</v>
      </c>
    </row>
    <row r="309" spans="15:15" hidden="1">
      <c r="O309" s="29" t="s">
        <v>190</v>
      </c>
    </row>
    <row r="310" spans="15:15" hidden="1">
      <c r="O310" s="29" t="s">
        <v>190</v>
      </c>
    </row>
    <row r="311" spans="15:15" hidden="1">
      <c r="O311" s="29" t="s">
        <v>190</v>
      </c>
    </row>
    <row r="312" spans="15:15" hidden="1">
      <c r="O312" s="29" t="s">
        <v>190</v>
      </c>
    </row>
    <row r="313" spans="15:15" hidden="1">
      <c r="O313" s="29" t="s">
        <v>190</v>
      </c>
    </row>
    <row r="314" spans="15:15" hidden="1">
      <c r="O314" s="29" t="s">
        <v>190</v>
      </c>
    </row>
    <row r="315" spans="15:15" hidden="1">
      <c r="O315" s="29" t="s">
        <v>190</v>
      </c>
    </row>
    <row r="316" spans="15:15" hidden="1">
      <c r="O316" s="29" t="s">
        <v>190</v>
      </c>
    </row>
    <row r="317" spans="15:15" hidden="1">
      <c r="O317" s="29" t="s">
        <v>190</v>
      </c>
    </row>
    <row r="318" spans="15:15" hidden="1">
      <c r="O318" s="29" t="s">
        <v>190</v>
      </c>
    </row>
    <row r="319" spans="15:15" hidden="1">
      <c r="O319" s="29" t="s">
        <v>190</v>
      </c>
    </row>
    <row r="320" spans="15:15" hidden="1">
      <c r="O320" s="29" t="s">
        <v>190</v>
      </c>
    </row>
    <row r="321" spans="15:15" hidden="1">
      <c r="O321" s="29" t="s">
        <v>190</v>
      </c>
    </row>
    <row r="322" spans="15:15" hidden="1">
      <c r="O322" s="29" t="s">
        <v>190</v>
      </c>
    </row>
    <row r="323" spans="15:15" hidden="1">
      <c r="O323" s="29" t="s">
        <v>190</v>
      </c>
    </row>
    <row r="324" spans="15:15" hidden="1">
      <c r="O324" s="29" t="s">
        <v>190</v>
      </c>
    </row>
    <row r="325" spans="15:15" hidden="1">
      <c r="O325" s="29" t="s">
        <v>190</v>
      </c>
    </row>
    <row r="326" spans="15:15" hidden="1">
      <c r="O326" s="29" t="s">
        <v>190</v>
      </c>
    </row>
    <row r="327" spans="15:15" hidden="1">
      <c r="O327" s="29" t="s">
        <v>190</v>
      </c>
    </row>
    <row r="328" spans="15:15" hidden="1">
      <c r="O328" s="29" t="s">
        <v>190</v>
      </c>
    </row>
    <row r="329" spans="15:15" hidden="1">
      <c r="O329" s="29" t="s">
        <v>190</v>
      </c>
    </row>
    <row r="330" spans="15:15" hidden="1">
      <c r="O330" s="29" t="s">
        <v>190</v>
      </c>
    </row>
    <row r="331" spans="15:15" hidden="1">
      <c r="O331" s="29" t="s">
        <v>190</v>
      </c>
    </row>
    <row r="332" spans="15:15" hidden="1">
      <c r="O332" s="29" t="s">
        <v>190</v>
      </c>
    </row>
    <row r="333" spans="15:15" hidden="1">
      <c r="O333" s="29" t="s">
        <v>190</v>
      </c>
    </row>
    <row r="334" spans="15:15" hidden="1">
      <c r="O334" s="29" t="s">
        <v>190</v>
      </c>
    </row>
    <row r="335" spans="15:15" hidden="1">
      <c r="O335" s="29" t="s">
        <v>190</v>
      </c>
    </row>
    <row r="336" spans="15:15" hidden="1">
      <c r="O336" s="29" t="s">
        <v>190</v>
      </c>
    </row>
    <row r="337" spans="15:15" hidden="1">
      <c r="O337" s="29" t="s">
        <v>190</v>
      </c>
    </row>
    <row r="338" spans="15:15" hidden="1">
      <c r="O338" s="29" t="s">
        <v>190</v>
      </c>
    </row>
    <row r="339" spans="15:15" hidden="1">
      <c r="O339" s="29" t="s">
        <v>190</v>
      </c>
    </row>
    <row r="340" spans="15:15" hidden="1">
      <c r="O340" s="29" t="s">
        <v>190</v>
      </c>
    </row>
    <row r="341" spans="15:15" hidden="1">
      <c r="O341" s="29" t="s">
        <v>190</v>
      </c>
    </row>
    <row r="342" spans="15:15" hidden="1">
      <c r="O342" s="29" t="s">
        <v>190</v>
      </c>
    </row>
    <row r="343" spans="15:15" hidden="1">
      <c r="O343" s="29" t="s">
        <v>190</v>
      </c>
    </row>
    <row r="344" spans="15:15" hidden="1">
      <c r="O344" s="29" t="s">
        <v>190</v>
      </c>
    </row>
    <row r="345" spans="15:15" hidden="1">
      <c r="O345" s="29" t="s">
        <v>190</v>
      </c>
    </row>
    <row r="346" spans="15:15" hidden="1">
      <c r="O346" s="29" t="s">
        <v>190</v>
      </c>
    </row>
    <row r="347" spans="15:15" hidden="1">
      <c r="O347" s="29" t="s">
        <v>190</v>
      </c>
    </row>
    <row r="348" spans="15:15" hidden="1">
      <c r="O348" s="29" t="s">
        <v>190</v>
      </c>
    </row>
    <row r="349" spans="15:15" hidden="1">
      <c r="O349" s="29" t="s">
        <v>190</v>
      </c>
    </row>
    <row r="350" spans="15:15" hidden="1">
      <c r="O350" s="29" t="s">
        <v>190</v>
      </c>
    </row>
    <row r="351" spans="15:15" hidden="1">
      <c r="O351" s="29" t="s">
        <v>190</v>
      </c>
    </row>
    <row r="352" spans="15:15" hidden="1">
      <c r="O352" s="29" t="s">
        <v>190</v>
      </c>
    </row>
    <row r="353" spans="15:15" hidden="1">
      <c r="O353" s="29" t="s">
        <v>190</v>
      </c>
    </row>
    <row r="354" spans="15:15" hidden="1">
      <c r="O354" s="29" t="s">
        <v>190</v>
      </c>
    </row>
    <row r="355" spans="15:15" hidden="1">
      <c r="O355" s="29" t="s">
        <v>190</v>
      </c>
    </row>
    <row r="356" spans="15:15" hidden="1">
      <c r="O356" s="29" t="s">
        <v>190</v>
      </c>
    </row>
    <row r="357" spans="15:15" hidden="1">
      <c r="O357" s="29" t="s">
        <v>190</v>
      </c>
    </row>
    <row r="358" spans="15:15" hidden="1">
      <c r="O358" s="29" t="s">
        <v>190</v>
      </c>
    </row>
    <row r="359" spans="15:15" hidden="1">
      <c r="O359" s="29" t="s">
        <v>190</v>
      </c>
    </row>
    <row r="360" spans="15:15" hidden="1">
      <c r="O360" s="29" t="s">
        <v>190</v>
      </c>
    </row>
    <row r="361" spans="15:15" hidden="1">
      <c r="O361" s="29" t="s">
        <v>190</v>
      </c>
    </row>
    <row r="362" spans="15:15" hidden="1">
      <c r="O362" s="29" t="s">
        <v>190</v>
      </c>
    </row>
    <row r="363" spans="15:15" hidden="1">
      <c r="O363" s="29" t="s">
        <v>190</v>
      </c>
    </row>
    <row r="364" spans="15:15" hidden="1">
      <c r="O364" s="29" t="s">
        <v>190</v>
      </c>
    </row>
    <row r="365" spans="15:15" hidden="1">
      <c r="O365" s="29" t="s">
        <v>190</v>
      </c>
    </row>
    <row r="366" spans="15:15" hidden="1">
      <c r="O366" s="29" t="s">
        <v>190</v>
      </c>
    </row>
    <row r="367" spans="15:15" hidden="1">
      <c r="O367" s="29" t="s">
        <v>190</v>
      </c>
    </row>
    <row r="368" spans="15:15" hidden="1">
      <c r="O368" s="29" t="s">
        <v>190</v>
      </c>
    </row>
    <row r="369" spans="15:15" hidden="1">
      <c r="O369" s="29" t="s">
        <v>190</v>
      </c>
    </row>
    <row r="370" spans="15:15" hidden="1">
      <c r="O370" s="29" t="s">
        <v>190</v>
      </c>
    </row>
    <row r="371" spans="15:15" hidden="1">
      <c r="O371" s="29" t="s">
        <v>190</v>
      </c>
    </row>
    <row r="372" spans="15:15" hidden="1">
      <c r="O372" s="29" t="s">
        <v>190</v>
      </c>
    </row>
    <row r="373" spans="15:15" hidden="1">
      <c r="O373" s="29" t="s">
        <v>190</v>
      </c>
    </row>
    <row r="374" spans="15:15" hidden="1">
      <c r="O374" s="29" t="s">
        <v>190</v>
      </c>
    </row>
    <row r="375" spans="15:15" hidden="1">
      <c r="O375" s="29" t="s">
        <v>190</v>
      </c>
    </row>
    <row r="376" spans="15:15" hidden="1">
      <c r="O376" s="29" t="s">
        <v>190</v>
      </c>
    </row>
    <row r="377" spans="15:15" hidden="1">
      <c r="O377" s="29" t="s">
        <v>190</v>
      </c>
    </row>
    <row r="378" spans="15:15" hidden="1">
      <c r="O378" s="29" t="s">
        <v>190</v>
      </c>
    </row>
    <row r="379" spans="15:15" hidden="1">
      <c r="O379" s="29" t="s">
        <v>190</v>
      </c>
    </row>
    <row r="380" spans="15:15" hidden="1">
      <c r="O380" s="29" t="s">
        <v>190</v>
      </c>
    </row>
    <row r="381" spans="15:15" hidden="1">
      <c r="O381" s="29" t="s">
        <v>190</v>
      </c>
    </row>
    <row r="382" spans="15:15" hidden="1">
      <c r="O382" s="29" t="s">
        <v>190</v>
      </c>
    </row>
    <row r="383" spans="15:15" hidden="1">
      <c r="O383" s="29" t="s">
        <v>190</v>
      </c>
    </row>
    <row r="384" spans="15:15" hidden="1">
      <c r="O384" s="29" t="s">
        <v>190</v>
      </c>
    </row>
    <row r="385" spans="15:15" hidden="1">
      <c r="O385" s="29" t="s">
        <v>190</v>
      </c>
    </row>
    <row r="386" spans="15:15" hidden="1">
      <c r="O386" s="29" t="s">
        <v>190</v>
      </c>
    </row>
    <row r="387" spans="15:15" hidden="1">
      <c r="O387" s="29" t="s">
        <v>190</v>
      </c>
    </row>
    <row r="388" spans="15:15" hidden="1">
      <c r="O388" s="29" t="s">
        <v>190</v>
      </c>
    </row>
    <row r="389" spans="15:15" hidden="1">
      <c r="O389" s="29" t="s">
        <v>190</v>
      </c>
    </row>
    <row r="390" spans="15:15" hidden="1">
      <c r="O390" s="29" t="s">
        <v>190</v>
      </c>
    </row>
    <row r="391" spans="15:15" hidden="1">
      <c r="O391" s="29" t="s">
        <v>190</v>
      </c>
    </row>
    <row r="392" spans="15:15" hidden="1">
      <c r="O392" s="29" t="s">
        <v>190</v>
      </c>
    </row>
    <row r="393" spans="15:15" hidden="1">
      <c r="O393" s="29" t="s">
        <v>190</v>
      </c>
    </row>
    <row r="394" spans="15:15" hidden="1">
      <c r="O394" s="29" t="s">
        <v>190</v>
      </c>
    </row>
    <row r="395" spans="15:15" hidden="1">
      <c r="O395" s="29" t="s">
        <v>190</v>
      </c>
    </row>
    <row r="396" spans="15:15" hidden="1">
      <c r="O396" s="29" t="s">
        <v>190</v>
      </c>
    </row>
    <row r="397" spans="15:15" hidden="1">
      <c r="O397" s="29" t="s">
        <v>190</v>
      </c>
    </row>
    <row r="398" spans="15:15" hidden="1">
      <c r="O398" s="29" t="s">
        <v>190</v>
      </c>
    </row>
    <row r="399" spans="15:15" hidden="1">
      <c r="O399" s="29" t="s">
        <v>190</v>
      </c>
    </row>
    <row r="400" spans="15:15" hidden="1">
      <c r="O400" s="29" t="s">
        <v>190</v>
      </c>
    </row>
    <row r="401" spans="15:15" hidden="1">
      <c r="O401" s="29" t="s">
        <v>190</v>
      </c>
    </row>
    <row r="402" spans="15:15" hidden="1">
      <c r="O402" s="29" t="s">
        <v>190</v>
      </c>
    </row>
    <row r="403" spans="15:15" hidden="1">
      <c r="O403" s="29" t="s">
        <v>190</v>
      </c>
    </row>
    <row r="404" spans="15:15" hidden="1">
      <c r="O404" s="29" t="s">
        <v>190</v>
      </c>
    </row>
    <row r="405" spans="15:15" hidden="1">
      <c r="O405" s="29" t="s">
        <v>190</v>
      </c>
    </row>
    <row r="406" spans="15:15" hidden="1">
      <c r="O406" s="29" t="s">
        <v>190</v>
      </c>
    </row>
    <row r="407" spans="15:15" hidden="1">
      <c r="O407" s="29" t="s">
        <v>190</v>
      </c>
    </row>
    <row r="408" spans="15:15" hidden="1">
      <c r="O408" s="29" t="s">
        <v>190</v>
      </c>
    </row>
    <row r="409" spans="15:15" hidden="1">
      <c r="O409" s="29" t="s">
        <v>190</v>
      </c>
    </row>
    <row r="410" spans="15:15" hidden="1">
      <c r="O410" s="29" t="s">
        <v>190</v>
      </c>
    </row>
    <row r="411" spans="15:15" hidden="1">
      <c r="O411" s="29" t="s">
        <v>190</v>
      </c>
    </row>
    <row r="412" spans="15:15" hidden="1">
      <c r="O412" s="29" t="s">
        <v>190</v>
      </c>
    </row>
    <row r="413" spans="15:15" hidden="1">
      <c r="O413" s="29" t="s">
        <v>190</v>
      </c>
    </row>
    <row r="414" spans="15:15" hidden="1">
      <c r="O414" s="29" t="s">
        <v>190</v>
      </c>
    </row>
    <row r="415" spans="15:15" hidden="1">
      <c r="O415" s="29" t="s">
        <v>190</v>
      </c>
    </row>
    <row r="416" spans="15:15" hidden="1">
      <c r="O416" s="29" t="s">
        <v>190</v>
      </c>
    </row>
    <row r="417" spans="15:15" hidden="1">
      <c r="O417" s="29" t="s">
        <v>190</v>
      </c>
    </row>
    <row r="418" spans="15:15" hidden="1">
      <c r="O418" s="29" t="s">
        <v>190</v>
      </c>
    </row>
    <row r="419" spans="15:15" hidden="1">
      <c r="O419" s="29" t="s">
        <v>190</v>
      </c>
    </row>
    <row r="420" spans="15:15" hidden="1">
      <c r="O420" s="29" t="s">
        <v>190</v>
      </c>
    </row>
    <row r="421" spans="15:15" hidden="1">
      <c r="O421" s="29" t="s">
        <v>190</v>
      </c>
    </row>
    <row r="422" spans="15:15" hidden="1">
      <c r="O422" s="29" t="s">
        <v>190</v>
      </c>
    </row>
    <row r="423" spans="15:15" hidden="1">
      <c r="O423" s="29" t="s">
        <v>190</v>
      </c>
    </row>
    <row r="424" spans="15:15" hidden="1">
      <c r="O424" s="29" t="s">
        <v>190</v>
      </c>
    </row>
    <row r="425" spans="15:15" hidden="1">
      <c r="O425" s="29" t="s">
        <v>190</v>
      </c>
    </row>
    <row r="426" spans="15:15" hidden="1">
      <c r="O426" s="29" t="s">
        <v>190</v>
      </c>
    </row>
    <row r="427" spans="15:15" hidden="1">
      <c r="O427" s="29" t="s">
        <v>190</v>
      </c>
    </row>
    <row r="428" spans="15:15" hidden="1">
      <c r="O428" s="29" t="s">
        <v>190</v>
      </c>
    </row>
    <row r="429" spans="15:15" hidden="1">
      <c r="O429" s="29" t="s">
        <v>190</v>
      </c>
    </row>
    <row r="430" spans="15:15" hidden="1">
      <c r="O430" s="29" t="s">
        <v>190</v>
      </c>
    </row>
    <row r="431" spans="15:15" hidden="1">
      <c r="O431" s="29" t="s">
        <v>190</v>
      </c>
    </row>
    <row r="432" spans="15:15" hidden="1">
      <c r="O432" s="29" t="s">
        <v>190</v>
      </c>
    </row>
    <row r="433" spans="15:15" hidden="1">
      <c r="O433" s="29" t="s">
        <v>190</v>
      </c>
    </row>
    <row r="434" spans="15:15" hidden="1">
      <c r="O434" s="29" t="s">
        <v>190</v>
      </c>
    </row>
    <row r="435" spans="15:15" hidden="1">
      <c r="O435" s="29" t="s">
        <v>190</v>
      </c>
    </row>
    <row r="436" spans="15:15" hidden="1">
      <c r="O436" s="29" t="s">
        <v>190</v>
      </c>
    </row>
    <row r="437" spans="15:15" hidden="1">
      <c r="O437" s="29" t="s">
        <v>190</v>
      </c>
    </row>
    <row r="438" spans="15:15" hidden="1">
      <c r="O438" s="29" t="s">
        <v>190</v>
      </c>
    </row>
    <row r="439" spans="15:15" hidden="1">
      <c r="O439" s="29" t="s">
        <v>190</v>
      </c>
    </row>
    <row r="440" spans="15:15" hidden="1">
      <c r="O440" s="29" t="s">
        <v>190</v>
      </c>
    </row>
    <row r="441" spans="15:15" hidden="1">
      <c r="O441" s="29" t="s">
        <v>190</v>
      </c>
    </row>
    <row r="442" spans="15:15" hidden="1">
      <c r="O442" s="29" t="s">
        <v>190</v>
      </c>
    </row>
    <row r="443" spans="15:15" hidden="1">
      <c r="O443" s="29" t="s">
        <v>190</v>
      </c>
    </row>
    <row r="444" spans="15:15" hidden="1">
      <c r="O444" s="29" t="s">
        <v>190</v>
      </c>
    </row>
    <row r="445" spans="15:15" hidden="1">
      <c r="O445" s="29" t="s">
        <v>190</v>
      </c>
    </row>
    <row r="446" spans="15:15" hidden="1">
      <c r="O446" s="29" t="s">
        <v>190</v>
      </c>
    </row>
    <row r="447" spans="15:15" hidden="1">
      <c r="O447" s="29" t="s">
        <v>190</v>
      </c>
    </row>
    <row r="448" spans="15:15" hidden="1">
      <c r="O448" s="29" t="s">
        <v>190</v>
      </c>
    </row>
    <row r="449" spans="15:15" hidden="1">
      <c r="O449" s="29" t="s">
        <v>190</v>
      </c>
    </row>
    <row r="450" spans="15:15" hidden="1">
      <c r="O450" s="29" t="s">
        <v>190</v>
      </c>
    </row>
    <row r="451" spans="15:15" hidden="1">
      <c r="O451" s="29" t="s">
        <v>190</v>
      </c>
    </row>
    <row r="452" spans="15:15" hidden="1">
      <c r="O452" s="29" t="s">
        <v>190</v>
      </c>
    </row>
    <row r="453" spans="15:15" hidden="1">
      <c r="O453" s="29" t="s">
        <v>190</v>
      </c>
    </row>
    <row r="454" spans="15:15" hidden="1">
      <c r="O454" s="29" t="s">
        <v>190</v>
      </c>
    </row>
    <row r="455" spans="15:15" hidden="1">
      <c r="O455" s="29" t="s">
        <v>190</v>
      </c>
    </row>
    <row r="456" spans="15:15" hidden="1">
      <c r="O456" s="29" t="s">
        <v>190</v>
      </c>
    </row>
    <row r="457" spans="15:15" hidden="1">
      <c r="O457" s="29" t="s">
        <v>190</v>
      </c>
    </row>
    <row r="458" spans="15:15" hidden="1">
      <c r="O458" s="29" t="s">
        <v>190</v>
      </c>
    </row>
    <row r="459" spans="15:15" hidden="1">
      <c r="O459" s="29" t="s">
        <v>190</v>
      </c>
    </row>
    <row r="460" spans="15:15" hidden="1">
      <c r="O460" s="29" t="s">
        <v>190</v>
      </c>
    </row>
    <row r="461" spans="15:15" hidden="1">
      <c r="O461" s="29" t="s">
        <v>190</v>
      </c>
    </row>
    <row r="462" spans="15:15" hidden="1">
      <c r="O462" s="29" t="s">
        <v>190</v>
      </c>
    </row>
    <row r="463" spans="15:15" hidden="1">
      <c r="O463" s="29" t="s">
        <v>190</v>
      </c>
    </row>
    <row r="464" spans="15:15" hidden="1">
      <c r="O464" s="29" t="s">
        <v>190</v>
      </c>
    </row>
    <row r="465" spans="15:15" hidden="1">
      <c r="O465" s="29" t="s">
        <v>190</v>
      </c>
    </row>
    <row r="466" spans="15:15" hidden="1">
      <c r="O466" s="29" t="s">
        <v>190</v>
      </c>
    </row>
    <row r="467" spans="15:15" hidden="1">
      <c r="O467" s="29" t="s">
        <v>190</v>
      </c>
    </row>
    <row r="468" spans="15:15" hidden="1">
      <c r="O468" s="29" t="s">
        <v>190</v>
      </c>
    </row>
    <row r="469" spans="15:15" hidden="1">
      <c r="O469" s="29" t="s">
        <v>190</v>
      </c>
    </row>
    <row r="470" spans="15:15" hidden="1">
      <c r="O470" s="29" t="s">
        <v>190</v>
      </c>
    </row>
    <row r="471" spans="15:15" hidden="1">
      <c r="O471" s="29" t="s">
        <v>190</v>
      </c>
    </row>
    <row r="472" spans="15:15" hidden="1">
      <c r="O472" s="29" t="s">
        <v>190</v>
      </c>
    </row>
    <row r="473" spans="15:15" hidden="1">
      <c r="O473" s="29" t="s">
        <v>190</v>
      </c>
    </row>
    <row r="474" spans="15:15" hidden="1">
      <c r="O474" s="29" t="s">
        <v>190</v>
      </c>
    </row>
    <row r="475" spans="15:15" hidden="1">
      <c r="O475" s="29" t="s">
        <v>190</v>
      </c>
    </row>
    <row r="476" spans="15:15" hidden="1">
      <c r="O476" s="29" t="s">
        <v>190</v>
      </c>
    </row>
    <row r="477" spans="15:15" hidden="1">
      <c r="O477" s="29" t="s">
        <v>190</v>
      </c>
    </row>
    <row r="478" spans="15:15" hidden="1">
      <c r="O478" s="29" t="s">
        <v>190</v>
      </c>
    </row>
    <row r="479" spans="15:15" hidden="1">
      <c r="O479" s="29" t="s">
        <v>190</v>
      </c>
    </row>
    <row r="480" spans="15:15" hidden="1">
      <c r="O480" s="29" t="s">
        <v>190</v>
      </c>
    </row>
    <row r="481" spans="15:15" hidden="1">
      <c r="O481" s="29" t="s">
        <v>190</v>
      </c>
    </row>
    <row r="482" spans="15:15" hidden="1">
      <c r="O482" s="29" t="s">
        <v>190</v>
      </c>
    </row>
    <row r="483" spans="15:15" hidden="1">
      <c r="O483" s="29" t="s">
        <v>190</v>
      </c>
    </row>
    <row r="484" spans="15:15" hidden="1">
      <c r="O484" s="29" t="s">
        <v>190</v>
      </c>
    </row>
    <row r="485" spans="15:15" hidden="1">
      <c r="O485" s="29" t="s">
        <v>190</v>
      </c>
    </row>
    <row r="486" spans="15:15" hidden="1">
      <c r="O486" s="29" t="s">
        <v>190</v>
      </c>
    </row>
    <row r="487" spans="15:15" hidden="1">
      <c r="O487" s="29" t="s">
        <v>190</v>
      </c>
    </row>
    <row r="488" spans="15:15" hidden="1">
      <c r="O488" s="29" t="s">
        <v>190</v>
      </c>
    </row>
    <row r="489" spans="15:15" hidden="1">
      <c r="O489" s="29" t="s">
        <v>190</v>
      </c>
    </row>
    <row r="490" spans="15:15" hidden="1">
      <c r="O490" s="29" t="s">
        <v>190</v>
      </c>
    </row>
    <row r="491" spans="15:15" hidden="1">
      <c r="O491" s="29" t="s">
        <v>190</v>
      </c>
    </row>
    <row r="492" spans="15:15" hidden="1">
      <c r="O492" s="29" t="s">
        <v>190</v>
      </c>
    </row>
    <row r="493" spans="15:15" hidden="1">
      <c r="O493" s="29" t="s">
        <v>190</v>
      </c>
    </row>
    <row r="494" spans="15:15" hidden="1">
      <c r="O494" s="29" t="s">
        <v>190</v>
      </c>
    </row>
    <row r="495" spans="15:15" hidden="1">
      <c r="O495" s="29" t="s">
        <v>190</v>
      </c>
    </row>
    <row r="496" spans="15:15" hidden="1">
      <c r="O496" s="29" t="s">
        <v>190</v>
      </c>
    </row>
    <row r="497" spans="15:15" hidden="1">
      <c r="O497" s="29" t="s">
        <v>190</v>
      </c>
    </row>
    <row r="498" spans="15:15" hidden="1">
      <c r="O498" s="29" t="s">
        <v>190</v>
      </c>
    </row>
    <row r="499" spans="15:15" hidden="1">
      <c r="O499" s="29" t="s">
        <v>190</v>
      </c>
    </row>
    <row r="500" spans="15:15" hidden="1">
      <c r="O500" s="29" t="s">
        <v>190</v>
      </c>
    </row>
    <row r="501" spans="15:15" hidden="1">
      <c r="O501" s="29" t="s">
        <v>190</v>
      </c>
    </row>
    <row r="502" spans="15:15" hidden="1">
      <c r="O502" s="29" t="s">
        <v>190</v>
      </c>
    </row>
    <row r="503" spans="15:15" hidden="1">
      <c r="O503" s="29" t="s">
        <v>190</v>
      </c>
    </row>
    <row r="504" spans="15:15" hidden="1">
      <c r="O504" s="29" t="s">
        <v>190</v>
      </c>
    </row>
    <row r="505" spans="15:15" hidden="1">
      <c r="O505" s="29" t="s">
        <v>190</v>
      </c>
    </row>
    <row r="506" spans="15:15" hidden="1">
      <c r="O506" s="29" t="s">
        <v>190</v>
      </c>
    </row>
    <row r="507" spans="15:15" hidden="1">
      <c r="O507" s="29" t="s">
        <v>190</v>
      </c>
    </row>
    <row r="508" spans="15:15" hidden="1">
      <c r="O508" s="29" t="s">
        <v>190</v>
      </c>
    </row>
    <row r="509" spans="15:15" hidden="1">
      <c r="O509" s="29" t="s">
        <v>190</v>
      </c>
    </row>
    <row r="510" spans="15:15" hidden="1">
      <c r="O510" s="29" t="s">
        <v>190</v>
      </c>
    </row>
    <row r="511" spans="15:15" hidden="1">
      <c r="O511" s="29" t="s">
        <v>190</v>
      </c>
    </row>
    <row r="512" spans="15:15" hidden="1">
      <c r="O512" s="29" t="s">
        <v>190</v>
      </c>
    </row>
    <row r="513" spans="15:15" hidden="1">
      <c r="O513" s="29" t="s">
        <v>190</v>
      </c>
    </row>
    <row r="514" spans="15:15" hidden="1">
      <c r="O514" s="29" t="s">
        <v>190</v>
      </c>
    </row>
    <row r="515" spans="15:15" hidden="1">
      <c r="O515" s="29" t="s">
        <v>190</v>
      </c>
    </row>
    <row r="516" spans="15:15" hidden="1">
      <c r="O516" s="29" t="s">
        <v>190</v>
      </c>
    </row>
    <row r="517" spans="15:15" hidden="1">
      <c r="O517" s="29" t="s">
        <v>190</v>
      </c>
    </row>
    <row r="518" spans="15:15" hidden="1">
      <c r="O518" s="29" t="s">
        <v>190</v>
      </c>
    </row>
    <row r="519" spans="15:15" hidden="1">
      <c r="O519" s="29" t="s">
        <v>190</v>
      </c>
    </row>
    <row r="520" spans="15:15" hidden="1">
      <c r="O520" s="29" t="s">
        <v>190</v>
      </c>
    </row>
    <row r="521" spans="15:15" hidden="1">
      <c r="O521" s="29" t="s">
        <v>190</v>
      </c>
    </row>
    <row r="522" spans="15:15" hidden="1">
      <c r="O522" s="29" t="s">
        <v>190</v>
      </c>
    </row>
    <row r="523" spans="15:15" hidden="1">
      <c r="O523" s="29" t="s">
        <v>190</v>
      </c>
    </row>
    <row r="524" spans="15:15" hidden="1">
      <c r="O524" s="29" t="s">
        <v>190</v>
      </c>
    </row>
    <row r="525" spans="15:15" hidden="1">
      <c r="O525" s="29" t="s">
        <v>190</v>
      </c>
    </row>
    <row r="526" spans="15:15" hidden="1">
      <c r="O526" s="29" t="s">
        <v>190</v>
      </c>
    </row>
    <row r="527" spans="15:15" hidden="1">
      <c r="O527" s="29" t="s">
        <v>190</v>
      </c>
    </row>
    <row r="528" spans="15:15" hidden="1">
      <c r="O528" s="29" t="s">
        <v>190</v>
      </c>
    </row>
    <row r="529" spans="15:15" hidden="1">
      <c r="O529" s="29" t="s">
        <v>190</v>
      </c>
    </row>
    <row r="530" spans="15:15" hidden="1">
      <c r="O530" s="29" t="s">
        <v>190</v>
      </c>
    </row>
    <row r="531" spans="15:15" hidden="1">
      <c r="O531" s="29" t="s">
        <v>190</v>
      </c>
    </row>
    <row r="532" spans="15:15" hidden="1">
      <c r="O532" s="29" t="s">
        <v>190</v>
      </c>
    </row>
    <row r="533" spans="15:15" hidden="1">
      <c r="O533" s="29" t="s">
        <v>190</v>
      </c>
    </row>
    <row r="534" spans="15:15" hidden="1">
      <c r="O534" s="29" t="s">
        <v>190</v>
      </c>
    </row>
    <row r="535" spans="15:15" hidden="1">
      <c r="O535" s="29" t="s">
        <v>190</v>
      </c>
    </row>
    <row r="536" spans="15:15" hidden="1">
      <c r="O536" s="29" t="s">
        <v>190</v>
      </c>
    </row>
    <row r="537" spans="15:15" hidden="1">
      <c r="O537" s="29" t="s">
        <v>190</v>
      </c>
    </row>
    <row r="538" spans="15:15" hidden="1">
      <c r="O538" s="29" t="s">
        <v>190</v>
      </c>
    </row>
    <row r="539" spans="15:15" hidden="1">
      <c r="O539" s="29" t="s">
        <v>190</v>
      </c>
    </row>
    <row r="540" spans="15:15" hidden="1">
      <c r="O540" s="29" t="s">
        <v>190</v>
      </c>
    </row>
    <row r="541" spans="15:15" hidden="1">
      <c r="O541" s="29" t="s">
        <v>190</v>
      </c>
    </row>
    <row r="542" spans="15:15" hidden="1">
      <c r="O542" s="29" t="s">
        <v>190</v>
      </c>
    </row>
    <row r="543" spans="15:15" hidden="1">
      <c r="O543" s="29" t="s">
        <v>190</v>
      </c>
    </row>
    <row r="544" spans="15:15" hidden="1">
      <c r="O544" s="29" t="s">
        <v>190</v>
      </c>
    </row>
    <row r="545" spans="15:15" hidden="1">
      <c r="O545" s="29" t="s">
        <v>190</v>
      </c>
    </row>
    <row r="546" spans="15:15" hidden="1">
      <c r="O546" s="29" t="s">
        <v>190</v>
      </c>
    </row>
    <row r="547" spans="15:15" hidden="1">
      <c r="O547" s="29" t="s">
        <v>190</v>
      </c>
    </row>
    <row r="548" spans="15:15" hidden="1">
      <c r="O548" s="29" t="s">
        <v>190</v>
      </c>
    </row>
    <row r="549" spans="15:15" hidden="1">
      <c r="O549" s="29" t="s">
        <v>190</v>
      </c>
    </row>
    <row r="550" spans="15:15" hidden="1">
      <c r="O550" s="29" t="s">
        <v>190</v>
      </c>
    </row>
    <row r="551" spans="15:15" hidden="1">
      <c r="O551" s="29" t="s">
        <v>190</v>
      </c>
    </row>
    <row r="552" spans="15:15" hidden="1">
      <c r="O552" s="29" t="s">
        <v>190</v>
      </c>
    </row>
    <row r="553" spans="15:15" hidden="1">
      <c r="O553" s="29" t="s">
        <v>190</v>
      </c>
    </row>
    <row r="554" spans="15:15" hidden="1">
      <c r="O554" s="29" t="s">
        <v>190</v>
      </c>
    </row>
    <row r="555" spans="15:15" hidden="1">
      <c r="O555" s="29" t="s">
        <v>190</v>
      </c>
    </row>
    <row r="556" spans="15:15" hidden="1">
      <c r="O556" s="29" t="s">
        <v>190</v>
      </c>
    </row>
    <row r="557" spans="15:15" hidden="1">
      <c r="O557" s="29" t="s">
        <v>190</v>
      </c>
    </row>
    <row r="558" spans="15:15" hidden="1">
      <c r="O558" s="29" t="s">
        <v>190</v>
      </c>
    </row>
    <row r="559" spans="15:15" hidden="1">
      <c r="O559" s="29" t="s">
        <v>190</v>
      </c>
    </row>
    <row r="560" spans="15:15" hidden="1">
      <c r="O560" s="29" t="s">
        <v>190</v>
      </c>
    </row>
    <row r="561" spans="15:15" hidden="1">
      <c r="O561" s="29" t="s">
        <v>190</v>
      </c>
    </row>
    <row r="562" spans="15:15" hidden="1">
      <c r="O562" s="29" t="s">
        <v>190</v>
      </c>
    </row>
    <row r="563" spans="15:15" hidden="1">
      <c r="O563" s="29" t="s">
        <v>190</v>
      </c>
    </row>
    <row r="564" spans="15:15" hidden="1">
      <c r="O564" s="29" t="s">
        <v>190</v>
      </c>
    </row>
    <row r="565" spans="15:15" hidden="1">
      <c r="O565" s="29" t="s">
        <v>190</v>
      </c>
    </row>
    <row r="566" spans="15:15" hidden="1">
      <c r="O566" s="29" t="s">
        <v>190</v>
      </c>
    </row>
    <row r="567" spans="15:15" hidden="1">
      <c r="O567" s="29" t="s">
        <v>190</v>
      </c>
    </row>
    <row r="568" spans="15:15" hidden="1">
      <c r="O568" s="29" t="s">
        <v>190</v>
      </c>
    </row>
    <row r="569" spans="15:15" hidden="1">
      <c r="O569" s="29" t="s">
        <v>190</v>
      </c>
    </row>
    <row r="570" spans="15:15" hidden="1">
      <c r="O570" s="29" t="s">
        <v>190</v>
      </c>
    </row>
    <row r="571" spans="15:15" hidden="1">
      <c r="O571" s="29" t="s">
        <v>190</v>
      </c>
    </row>
    <row r="572" spans="15:15" hidden="1">
      <c r="O572" s="29" t="s">
        <v>190</v>
      </c>
    </row>
    <row r="573" spans="15:15" hidden="1">
      <c r="O573" s="29" t="s">
        <v>190</v>
      </c>
    </row>
    <row r="574" spans="15:15" hidden="1">
      <c r="O574" s="29" t="s">
        <v>190</v>
      </c>
    </row>
    <row r="575" spans="15:15" hidden="1">
      <c r="O575" s="29" t="s">
        <v>190</v>
      </c>
    </row>
    <row r="576" spans="15:15" hidden="1">
      <c r="O576" s="29" t="s">
        <v>190</v>
      </c>
    </row>
    <row r="577" spans="15:15" hidden="1">
      <c r="O577" s="29" t="s">
        <v>190</v>
      </c>
    </row>
    <row r="578" spans="15:15" hidden="1">
      <c r="O578" s="29" t="s">
        <v>190</v>
      </c>
    </row>
    <row r="579" spans="15:15" hidden="1">
      <c r="O579" s="29" t="s">
        <v>190</v>
      </c>
    </row>
    <row r="580" spans="15:15" hidden="1">
      <c r="O580" s="29" t="s">
        <v>190</v>
      </c>
    </row>
    <row r="581" spans="15:15" hidden="1">
      <c r="O581" s="29" t="s">
        <v>190</v>
      </c>
    </row>
    <row r="582" spans="15:15" hidden="1">
      <c r="O582" s="29" t="s">
        <v>190</v>
      </c>
    </row>
    <row r="583" spans="15:15" hidden="1">
      <c r="O583" s="29" t="s">
        <v>190</v>
      </c>
    </row>
    <row r="584" spans="15:15" hidden="1">
      <c r="O584" s="29" t="s">
        <v>190</v>
      </c>
    </row>
    <row r="585" spans="15:15" hidden="1">
      <c r="O585" s="29" t="s">
        <v>190</v>
      </c>
    </row>
    <row r="586" spans="15:15" hidden="1">
      <c r="O586" s="29" t="s">
        <v>190</v>
      </c>
    </row>
    <row r="587" spans="15:15" hidden="1">
      <c r="O587" s="29" t="s">
        <v>190</v>
      </c>
    </row>
    <row r="588" spans="15:15" hidden="1">
      <c r="O588" s="29" t="s">
        <v>190</v>
      </c>
    </row>
    <row r="589" spans="15:15" hidden="1">
      <c r="O589" s="29" t="s">
        <v>190</v>
      </c>
    </row>
    <row r="590" spans="15:15" hidden="1">
      <c r="O590" s="29" t="s">
        <v>190</v>
      </c>
    </row>
    <row r="591" spans="15:15" hidden="1">
      <c r="O591" s="29" t="s">
        <v>190</v>
      </c>
    </row>
    <row r="592" spans="15:15" hidden="1">
      <c r="O592" s="29" t="s">
        <v>190</v>
      </c>
    </row>
    <row r="593" spans="15:15" hidden="1">
      <c r="O593" s="29" t="s">
        <v>190</v>
      </c>
    </row>
    <row r="594" spans="15:15" hidden="1">
      <c r="O594" s="29" t="s">
        <v>190</v>
      </c>
    </row>
    <row r="595" spans="15:15" hidden="1">
      <c r="O595" s="29" t="s">
        <v>190</v>
      </c>
    </row>
    <row r="596" spans="15:15" hidden="1">
      <c r="O596" s="29" t="s">
        <v>190</v>
      </c>
    </row>
    <row r="597" spans="15:15" hidden="1">
      <c r="O597" s="29" t="s">
        <v>190</v>
      </c>
    </row>
    <row r="598" spans="15:15" hidden="1">
      <c r="O598" s="29" t="s">
        <v>190</v>
      </c>
    </row>
    <row r="599" spans="15:15" hidden="1">
      <c r="O599" s="29" t="s">
        <v>190</v>
      </c>
    </row>
    <row r="600" spans="15:15" hidden="1">
      <c r="O600" s="29" t="s">
        <v>190</v>
      </c>
    </row>
    <row r="601" spans="15:15" hidden="1">
      <c r="O601" s="29" t="s">
        <v>190</v>
      </c>
    </row>
    <row r="602" spans="15:15" hidden="1">
      <c r="O602" s="29" t="s">
        <v>190</v>
      </c>
    </row>
    <row r="603" spans="15:15" hidden="1">
      <c r="O603" s="29" t="s">
        <v>190</v>
      </c>
    </row>
    <row r="604" spans="15:15" hidden="1">
      <c r="O604" s="29" t="s">
        <v>190</v>
      </c>
    </row>
    <row r="605" spans="15:15" hidden="1">
      <c r="O605" s="29" t="s">
        <v>190</v>
      </c>
    </row>
    <row r="606" spans="15:15" hidden="1">
      <c r="O606" s="29" t="s">
        <v>190</v>
      </c>
    </row>
    <row r="607" spans="15:15" hidden="1">
      <c r="O607" s="29" t="s">
        <v>190</v>
      </c>
    </row>
    <row r="608" spans="15:15" hidden="1">
      <c r="O608" s="29" t="s">
        <v>190</v>
      </c>
    </row>
    <row r="609" spans="15:15" hidden="1">
      <c r="O609" s="29" t="s">
        <v>190</v>
      </c>
    </row>
    <row r="610" spans="15:15" hidden="1">
      <c r="O610" s="29" t="s">
        <v>190</v>
      </c>
    </row>
    <row r="611" spans="15:15" hidden="1">
      <c r="O611" s="29" t="s">
        <v>190</v>
      </c>
    </row>
    <row r="612" spans="15:15" hidden="1">
      <c r="O612" s="29" t="s">
        <v>190</v>
      </c>
    </row>
    <row r="613" spans="15:15" hidden="1">
      <c r="O613" s="29" t="s">
        <v>190</v>
      </c>
    </row>
    <row r="614" spans="15:15" hidden="1">
      <c r="O614" s="29" t="s">
        <v>190</v>
      </c>
    </row>
    <row r="615" spans="15:15" hidden="1">
      <c r="O615" s="29" t="s">
        <v>190</v>
      </c>
    </row>
    <row r="616" spans="15:15" hidden="1">
      <c r="O616" s="29" t="s">
        <v>190</v>
      </c>
    </row>
    <row r="617" spans="15:15" hidden="1">
      <c r="O617" s="29" t="s">
        <v>190</v>
      </c>
    </row>
    <row r="618" spans="15:15" hidden="1">
      <c r="O618" s="29" t="s">
        <v>190</v>
      </c>
    </row>
    <row r="619" spans="15:15" hidden="1">
      <c r="O619" s="29" t="s">
        <v>190</v>
      </c>
    </row>
    <row r="620" spans="15:15" hidden="1">
      <c r="O620" s="29" t="s">
        <v>190</v>
      </c>
    </row>
    <row r="621" spans="15:15" hidden="1">
      <c r="O621" s="29" t="s">
        <v>190</v>
      </c>
    </row>
    <row r="622" spans="15:15" hidden="1">
      <c r="O622" s="29" t="s">
        <v>190</v>
      </c>
    </row>
    <row r="623" spans="15:15" hidden="1">
      <c r="O623" s="29" t="s">
        <v>190</v>
      </c>
    </row>
    <row r="624" spans="15:15" hidden="1">
      <c r="O624" s="29" t="s">
        <v>190</v>
      </c>
    </row>
    <row r="625" spans="15:15" hidden="1">
      <c r="O625" s="29" t="s">
        <v>190</v>
      </c>
    </row>
    <row r="626" spans="15:15" hidden="1">
      <c r="O626" s="29" t="s">
        <v>190</v>
      </c>
    </row>
    <row r="627" spans="15:15" hidden="1">
      <c r="O627" s="29" t="s">
        <v>190</v>
      </c>
    </row>
    <row r="628" spans="15:15" hidden="1">
      <c r="O628" s="29" t="s">
        <v>190</v>
      </c>
    </row>
    <row r="629" spans="15:15" hidden="1">
      <c r="O629" s="29" t="s">
        <v>190</v>
      </c>
    </row>
    <row r="630" spans="15:15" hidden="1">
      <c r="O630" s="29" t="s">
        <v>190</v>
      </c>
    </row>
    <row r="631" spans="15:15" hidden="1">
      <c r="O631" s="29" t="s">
        <v>190</v>
      </c>
    </row>
    <row r="632" spans="15:15" hidden="1">
      <c r="O632" s="29" t="s">
        <v>190</v>
      </c>
    </row>
    <row r="633" spans="15:15" hidden="1">
      <c r="O633" s="29" t="s">
        <v>190</v>
      </c>
    </row>
    <row r="634" spans="15:15" hidden="1">
      <c r="O634" s="29" t="s">
        <v>190</v>
      </c>
    </row>
    <row r="635" spans="15:15" hidden="1">
      <c r="O635" s="29" t="s">
        <v>190</v>
      </c>
    </row>
    <row r="636" spans="15:15" hidden="1">
      <c r="O636" s="29" t="s">
        <v>190</v>
      </c>
    </row>
    <row r="637" spans="15:15" hidden="1">
      <c r="O637" s="29" t="s">
        <v>190</v>
      </c>
    </row>
    <row r="638" spans="15:15" hidden="1">
      <c r="O638" s="29" t="s">
        <v>190</v>
      </c>
    </row>
    <row r="639" spans="15:15" hidden="1">
      <c r="O639" s="29" t="s">
        <v>190</v>
      </c>
    </row>
    <row r="640" spans="15:15" hidden="1">
      <c r="O640" s="29" t="s">
        <v>190</v>
      </c>
    </row>
    <row r="641" spans="15:15" hidden="1">
      <c r="O641" s="29" t="s">
        <v>190</v>
      </c>
    </row>
    <row r="642" spans="15:15" hidden="1">
      <c r="O642" s="29" t="s">
        <v>190</v>
      </c>
    </row>
    <row r="643" spans="15:15" hidden="1">
      <c r="O643" s="29" t="s">
        <v>190</v>
      </c>
    </row>
    <row r="644" spans="15:15" hidden="1">
      <c r="O644" s="29" t="s">
        <v>190</v>
      </c>
    </row>
    <row r="645" spans="15:15" hidden="1">
      <c r="O645" s="29" t="s">
        <v>190</v>
      </c>
    </row>
    <row r="646" spans="15:15" hidden="1">
      <c r="O646" s="29" t="s">
        <v>190</v>
      </c>
    </row>
    <row r="647" spans="15:15" hidden="1">
      <c r="O647" s="29" t="s">
        <v>190</v>
      </c>
    </row>
    <row r="648" spans="15:15" hidden="1">
      <c r="O648" s="29" t="s">
        <v>190</v>
      </c>
    </row>
    <row r="649" spans="15:15" hidden="1">
      <c r="O649" s="29" t="s">
        <v>190</v>
      </c>
    </row>
    <row r="650" spans="15:15" hidden="1">
      <c r="O650" s="29" t="s">
        <v>190</v>
      </c>
    </row>
    <row r="651" spans="15:15" hidden="1">
      <c r="O651" s="29" t="s">
        <v>190</v>
      </c>
    </row>
    <row r="652" spans="15:15" hidden="1">
      <c r="O652" s="29" t="s">
        <v>190</v>
      </c>
    </row>
    <row r="653" spans="15:15" hidden="1">
      <c r="O653" s="29" t="s">
        <v>190</v>
      </c>
    </row>
    <row r="654" spans="15:15" hidden="1">
      <c r="O654" s="29" t="s">
        <v>190</v>
      </c>
    </row>
    <row r="655" spans="15:15" hidden="1">
      <c r="O655" s="29" t="s">
        <v>190</v>
      </c>
    </row>
    <row r="656" spans="15:15" hidden="1">
      <c r="O656" s="29" t="s">
        <v>190</v>
      </c>
    </row>
    <row r="657" spans="15:15" hidden="1">
      <c r="O657" s="29" t="s">
        <v>190</v>
      </c>
    </row>
    <row r="658" spans="15:15" hidden="1">
      <c r="O658" s="29" t="s">
        <v>190</v>
      </c>
    </row>
    <row r="659" spans="15:15" hidden="1">
      <c r="O659" s="29" t="s">
        <v>190</v>
      </c>
    </row>
    <row r="660" spans="15:15" hidden="1">
      <c r="O660" s="29" t="s">
        <v>190</v>
      </c>
    </row>
    <row r="661" spans="15:15" hidden="1">
      <c r="O661" s="29" t="s">
        <v>190</v>
      </c>
    </row>
    <row r="662" spans="15:15" hidden="1">
      <c r="O662" s="29" t="s">
        <v>190</v>
      </c>
    </row>
    <row r="663" spans="15:15" hidden="1">
      <c r="O663" s="29" t="s">
        <v>190</v>
      </c>
    </row>
    <row r="664" spans="15:15" hidden="1">
      <c r="O664" s="29" t="s">
        <v>190</v>
      </c>
    </row>
    <row r="665" spans="15:15" hidden="1">
      <c r="O665" s="29" t="s">
        <v>190</v>
      </c>
    </row>
    <row r="666" spans="15:15" hidden="1">
      <c r="O666" s="29" t="s">
        <v>190</v>
      </c>
    </row>
    <row r="667" spans="15:15" hidden="1">
      <c r="O667" s="29" t="s">
        <v>190</v>
      </c>
    </row>
    <row r="668" spans="15:15" hidden="1">
      <c r="O668" s="29" t="s">
        <v>190</v>
      </c>
    </row>
    <row r="669" spans="15:15" hidden="1">
      <c r="O669" s="29" t="s">
        <v>190</v>
      </c>
    </row>
    <row r="670" spans="15:15" hidden="1">
      <c r="O670" s="29" t="s">
        <v>190</v>
      </c>
    </row>
    <row r="671" spans="15:15" hidden="1">
      <c r="O671" s="29" t="s">
        <v>190</v>
      </c>
    </row>
    <row r="672" spans="15:15" hidden="1">
      <c r="O672" s="29" t="s">
        <v>190</v>
      </c>
    </row>
    <row r="673" spans="15:15" hidden="1">
      <c r="O673" s="29" t="s">
        <v>190</v>
      </c>
    </row>
    <row r="674" spans="15:15" hidden="1">
      <c r="O674" s="29" t="s">
        <v>190</v>
      </c>
    </row>
    <row r="675" spans="15:15" hidden="1">
      <c r="O675" s="29" t="s">
        <v>190</v>
      </c>
    </row>
    <row r="676" spans="15:15" hidden="1">
      <c r="O676" s="29" t="s">
        <v>190</v>
      </c>
    </row>
    <row r="677" spans="15:15" hidden="1">
      <c r="O677" s="29" t="s">
        <v>190</v>
      </c>
    </row>
    <row r="678" spans="15:15" hidden="1">
      <c r="O678" s="29" t="s">
        <v>190</v>
      </c>
    </row>
    <row r="679" spans="15:15" hidden="1">
      <c r="O679" s="29" t="s">
        <v>190</v>
      </c>
    </row>
    <row r="680" spans="15:15" hidden="1">
      <c r="O680" s="29" t="s">
        <v>190</v>
      </c>
    </row>
    <row r="681" spans="15:15" hidden="1">
      <c r="O681" s="29" t="s">
        <v>190</v>
      </c>
    </row>
    <row r="682" spans="15:15" hidden="1">
      <c r="O682" s="29" t="s">
        <v>190</v>
      </c>
    </row>
    <row r="683" spans="15:15" hidden="1">
      <c r="O683" s="29" t="s">
        <v>190</v>
      </c>
    </row>
    <row r="684" spans="15:15" hidden="1">
      <c r="O684" s="29" t="s">
        <v>190</v>
      </c>
    </row>
    <row r="685" spans="15:15" hidden="1">
      <c r="O685" s="29" t="s">
        <v>190</v>
      </c>
    </row>
    <row r="686" spans="15:15" hidden="1">
      <c r="O686" s="29" t="s">
        <v>190</v>
      </c>
    </row>
    <row r="687" spans="15:15" hidden="1">
      <c r="O687" s="29" t="s">
        <v>190</v>
      </c>
    </row>
    <row r="688" spans="15:15" hidden="1">
      <c r="O688" s="29" t="s">
        <v>190</v>
      </c>
    </row>
    <row r="689" spans="15:15" hidden="1">
      <c r="O689" s="29" t="s">
        <v>190</v>
      </c>
    </row>
    <row r="690" spans="15:15" hidden="1">
      <c r="O690" s="29" t="s">
        <v>190</v>
      </c>
    </row>
    <row r="691" spans="15:15" hidden="1">
      <c r="O691" s="29" t="s">
        <v>190</v>
      </c>
    </row>
    <row r="692" spans="15:15" hidden="1">
      <c r="O692" s="29" t="s">
        <v>190</v>
      </c>
    </row>
    <row r="693" spans="15:15" hidden="1">
      <c r="O693" s="29" t="s">
        <v>190</v>
      </c>
    </row>
    <row r="694" spans="15:15" hidden="1">
      <c r="O694" s="29" t="s">
        <v>190</v>
      </c>
    </row>
    <row r="695" spans="15:15" hidden="1">
      <c r="O695" s="29" t="s">
        <v>190</v>
      </c>
    </row>
    <row r="696" spans="15:15" hidden="1">
      <c r="O696" s="29" t="s">
        <v>190</v>
      </c>
    </row>
    <row r="697" spans="15:15" hidden="1">
      <c r="O697" s="29" t="s">
        <v>190</v>
      </c>
    </row>
    <row r="698" spans="15:15" hidden="1">
      <c r="O698" s="29" t="s">
        <v>190</v>
      </c>
    </row>
    <row r="699" spans="15:15" hidden="1">
      <c r="O699" s="29" t="s">
        <v>190</v>
      </c>
    </row>
    <row r="700" spans="15:15" hidden="1">
      <c r="O700" s="29" t="s">
        <v>190</v>
      </c>
    </row>
    <row r="701" spans="15:15" hidden="1">
      <c r="O701" s="29" t="s">
        <v>190</v>
      </c>
    </row>
    <row r="702" spans="15:15" hidden="1">
      <c r="O702" s="29" t="s">
        <v>190</v>
      </c>
    </row>
    <row r="703" spans="15:15" hidden="1">
      <c r="O703" s="29" t="s">
        <v>190</v>
      </c>
    </row>
    <row r="704" spans="15:15" hidden="1">
      <c r="O704" s="29" t="s">
        <v>190</v>
      </c>
    </row>
    <row r="705" spans="15:15" hidden="1">
      <c r="O705" s="29" t="s">
        <v>190</v>
      </c>
    </row>
    <row r="706" spans="15:15" hidden="1">
      <c r="O706" s="29" t="s">
        <v>190</v>
      </c>
    </row>
    <row r="707" spans="15:15" hidden="1">
      <c r="O707" s="29" t="s">
        <v>190</v>
      </c>
    </row>
    <row r="708" spans="15:15" hidden="1">
      <c r="O708" s="29" t="s">
        <v>190</v>
      </c>
    </row>
    <row r="709" spans="15:15" hidden="1">
      <c r="O709" s="29" t="s">
        <v>190</v>
      </c>
    </row>
    <row r="710" spans="15:15" hidden="1">
      <c r="O710" s="29" t="s">
        <v>190</v>
      </c>
    </row>
    <row r="711" spans="15:15" hidden="1">
      <c r="O711" s="29" t="s">
        <v>190</v>
      </c>
    </row>
    <row r="712" spans="15:15" hidden="1">
      <c r="O712" s="29" t="s">
        <v>190</v>
      </c>
    </row>
    <row r="713" spans="15:15" hidden="1">
      <c r="O713" s="29" t="s">
        <v>190</v>
      </c>
    </row>
    <row r="714" spans="15:15" hidden="1">
      <c r="O714" s="29" t="s">
        <v>190</v>
      </c>
    </row>
    <row r="715" spans="15:15" hidden="1">
      <c r="O715" s="29" t="s">
        <v>190</v>
      </c>
    </row>
    <row r="716" spans="15:15" hidden="1">
      <c r="O716" s="29" t="s">
        <v>190</v>
      </c>
    </row>
    <row r="717" spans="15:15" hidden="1">
      <c r="O717" s="29" t="s">
        <v>190</v>
      </c>
    </row>
    <row r="718" spans="15:15" hidden="1">
      <c r="O718" s="29" t="s">
        <v>190</v>
      </c>
    </row>
    <row r="719" spans="15:15" hidden="1">
      <c r="O719" s="29" t="s">
        <v>190</v>
      </c>
    </row>
    <row r="720" spans="15:15" hidden="1">
      <c r="O720" s="29" t="s">
        <v>190</v>
      </c>
    </row>
    <row r="721" spans="15:15" hidden="1">
      <c r="O721" s="29" t="s">
        <v>190</v>
      </c>
    </row>
    <row r="722" spans="15:15" hidden="1">
      <c r="O722" s="29" t="s">
        <v>190</v>
      </c>
    </row>
    <row r="723" spans="15:15" hidden="1">
      <c r="O723" s="29" t="s">
        <v>190</v>
      </c>
    </row>
    <row r="724" spans="15:15" hidden="1">
      <c r="O724" s="29" t="s">
        <v>190</v>
      </c>
    </row>
    <row r="725" spans="15:15" hidden="1">
      <c r="O725" s="29" t="s">
        <v>190</v>
      </c>
    </row>
    <row r="726" spans="15:15" hidden="1">
      <c r="O726" s="29" t="s">
        <v>190</v>
      </c>
    </row>
    <row r="727" spans="15:15" hidden="1">
      <c r="O727" s="29" t="s">
        <v>190</v>
      </c>
    </row>
    <row r="728" spans="15:15" hidden="1">
      <c r="O728" s="29" t="s">
        <v>190</v>
      </c>
    </row>
    <row r="729" spans="15:15" hidden="1">
      <c r="O729" s="29" t="s">
        <v>190</v>
      </c>
    </row>
    <row r="730" spans="15:15" hidden="1">
      <c r="O730" s="29" t="s">
        <v>190</v>
      </c>
    </row>
    <row r="731" spans="15:15" hidden="1">
      <c r="O731" s="29" t="s">
        <v>190</v>
      </c>
    </row>
    <row r="732" spans="15:15" hidden="1">
      <c r="O732" s="29" t="s">
        <v>190</v>
      </c>
    </row>
    <row r="733" spans="15:15" hidden="1">
      <c r="O733" s="29" t="s">
        <v>190</v>
      </c>
    </row>
    <row r="734" spans="15:15" hidden="1">
      <c r="O734" s="29" t="s">
        <v>190</v>
      </c>
    </row>
    <row r="735" spans="15:15" hidden="1">
      <c r="O735" s="29" t="s">
        <v>190</v>
      </c>
    </row>
    <row r="736" spans="15:15" hidden="1">
      <c r="O736" s="29" t="s">
        <v>190</v>
      </c>
    </row>
    <row r="737" spans="15:15" hidden="1">
      <c r="O737" s="29" t="s">
        <v>190</v>
      </c>
    </row>
    <row r="738" spans="15:15" hidden="1">
      <c r="O738" s="29" t="s">
        <v>190</v>
      </c>
    </row>
    <row r="739" spans="15:15" hidden="1">
      <c r="O739" s="29" t="s">
        <v>190</v>
      </c>
    </row>
    <row r="740" spans="15:15" hidden="1">
      <c r="O740" s="29" t="s">
        <v>190</v>
      </c>
    </row>
    <row r="741" spans="15:15" hidden="1">
      <c r="O741" s="29" t="s">
        <v>190</v>
      </c>
    </row>
    <row r="742" spans="15:15" hidden="1">
      <c r="O742" s="29" t="s">
        <v>190</v>
      </c>
    </row>
    <row r="743" spans="15:15" hidden="1">
      <c r="O743" s="29" t="s">
        <v>190</v>
      </c>
    </row>
    <row r="744" spans="15:15" hidden="1">
      <c r="O744" s="29" t="s">
        <v>190</v>
      </c>
    </row>
    <row r="745" spans="15:15" hidden="1">
      <c r="O745" s="29" t="s">
        <v>190</v>
      </c>
    </row>
    <row r="746" spans="15:15" hidden="1">
      <c r="O746" s="29" t="s">
        <v>190</v>
      </c>
    </row>
    <row r="747" spans="15:15" hidden="1">
      <c r="O747" s="29" t="s">
        <v>190</v>
      </c>
    </row>
    <row r="748" spans="15:15" hidden="1">
      <c r="O748" s="29" t="s">
        <v>190</v>
      </c>
    </row>
    <row r="749" spans="15:15" hidden="1">
      <c r="O749" s="29" t="s">
        <v>190</v>
      </c>
    </row>
    <row r="750" spans="15:15" hidden="1">
      <c r="O750" s="29" t="s">
        <v>190</v>
      </c>
    </row>
    <row r="751" spans="15:15" hidden="1">
      <c r="O751" s="29" t="s">
        <v>190</v>
      </c>
    </row>
    <row r="752" spans="15:15" hidden="1">
      <c r="O752" s="29" t="s">
        <v>190</v>
      </c>
    </row>
    <row r="753" spans="15:15" hidden="1">
      <c r="O753" s="29" t="s">
        <v>190</v>
      </c>
    </row>
    <row r="754" spans="15:15" hidden="1">
      <c r="O754" s="29" t="s">
        <v>190</v>
      </c>
    </row>
    <row r="755" spans="15:15" hidden="1">
      <c r="O755" s="29" t="s">
        <v>190</v>
      </c>
    </row>
    <row r="756" spans="15:15" hidden="1">
      <c r="O756" s="29" t="s">
        <v>190</v>
      </c>
    </row>
    <row r="757" spans="15:15" hidden="1">
      <c r="O757" s="29" t="s">
        <v>190</v>
      </c>
    </row>
    <row r="758" spans="15:15" hidden="1">
      <c r="O758" s="29" t="s">
        <v>190</v>
      </c>
    </row>
    <row r="759" spans="15:15" hidden="1">
      <c r="O759" s="29" t="s">
        <v>190</v>
      </c>
    </row>
    <row r="760" spans="15:15" hidden="1">
      <c r="O760" s="29" t="s">
        <v>190</v>
      </c>
    </row>
    <row r="761" spans="15:15" hidden="1">
      <c r="O761" s="29" t="s">
        <v>190</v>
      </c>
    </row>
    <row r="762" spans="15:15" hidden="1">
      <c r="O762" s="29" t="s">
        <v>190</v>
      </c>
    </row>
    <row r="763" spans="15:15" hidden="1">
      <c r="O763" s="29" t="s">
        <v>190</v>
      </c>
    </row>
    <row r="764" spans="15:15" hidden="1">
      <c r="O764" s="29" t="s">
        <v>190</v>
      </c>
    </row>
    <row r="765" spans="15:15" hidden="1">
      <c r="O765" s="29" t="s">
        <v>190</v>
      </c>
    </row>
    <row r="766" spans="15:15" hidden="1">
      <c r="O766" s="29" t="s">
        <v>190</v>
      </c>
    </row>
    <row r="767" spans="15:15" hidden="1">
      <c r="O767" s="29" t="s">
        <v>190</v>
      </c>
    </row>
    <row r="768" spans="15:15" hidden="1">
      <c r="O768" s="29" t="s">
        <v>190</v>
      </c>
    </row>
    <row r="769" spans="15:15" hidden="1">
      <c r="O769" s="29" t="s">
        <v>190</v>
      </c>
    </row>
    <row r="770" spans="15:15" hidden="1">
      <c r="O770" s="29" t="s">
        <v>190</v>
      </c>
    </row>
    <row r="771" spans="15:15" hidden="1">
      <c r="O771" s="29" t="s">
        <v>190</v>
      </c>
    </row>
    <row r="772" spans="15:15" hidden="1">
      <c r="O772" s="29" t="s">
        <v>190</v>
      </c>
    </row>
    <row r="773" spans="15:15" hidden="1">
      <c r="O773" s="29" t="s">
        <v>190</v>
      </c>
    </row>
    <row r="774" spans="15:15" hidden="1">
      <c r="O774" s="29" t="s">
        <v>190</v>
      </c>
    </row>
    <row r="775" spans="15:15" hidden="1">
      <c r="O775" s="29" t="s">
        <v>190</v>
      </c>
    </row>
    <row r="776" spans="15:15" hidden="1">
      <c r="O776" s="29" t="s">
        <v>190</v>
      </c>
    </row>
    <row r="777" spans="15:15" hidden="1">
      <c r="O777" s="29" t="s">
        <v>190</v>
      </c>
    </row>
    <row r="778" spans="15:15" hidden="1">
      <c r="O778" s="29" t="s">
        <v>190</v>
      </c>
    </row>
    <row r="779" spans="15:15" hidden="1">
      <c r="O779" s="29" t="s">
        <v>190</v>
      </c>
    </row>
    <row r="780" spans="15:15" hidden="1">
      <c r="O780" s="29" t="s">
        <v>190</v>
      </c>
    </row>
    <row r="781" spans="15:15" hidden="1">
      <c r="O781" s="29" t="s">
        <v>190</v>
      </c>
    </row>
    <row r="782" spans="15:15" hidden="1">
      <c r="O782" s="29" t="s">
        <v>190</v>
      </c>
    </row>
    <row r="783" spans="15:15" hidden="1">
      <c r="O783" s="29" t="s">
        <v>190</v>
      </c>
    </row>
    <row r="784" spans="15:15" hidden="1">
      <c r="O784" s="29" t="s">
        <v>190</v>
      </c>
    </row>
    <row r="785" spans="15:15" hidden="1">
      <c r="O785" s="29" t="s">
        <v>190</v>
      </c>
    </row>
    <row r="786" spans="15:15" hidden="1">
      <c r="O786" s="29" t="s">
        <v>190</v>
      </c>
    </row>
    <row r="787" spans="15:15" hidden="1">
      <c r="O787" s="29" t="s">
        <v>190</v>
      </c>
    </row>
    <row r="788" spans="15:15" hidden="1">
      <c r="O788" s="29" t="s">
        <v>190</v>
      </c>
    </row>
    <row r="789" spans="15:15" hidden="1">
      <c r="O789" s="29" t="s">
        <v>190</v>
      </c>
    </row>
    <row r="790" spans="15:15" hidden="1">
      <c r="O790" s="29" t="s">
        <v>190</v>
      </c>
    </row>
    <row r="791" spans="15:15" hidden="1">
      <c r="O791" s="29" t="s">
        <v>190</v>
      </c>
    </row>
    <row r="792" spans="15:15" hidden="1">
      <c r="O792" s="29" t="s">
        <v>190</v>
      </c>
    </row>
    <row r="793" spans="15:15" hidden="1">
      <c r="O793" s="29" t="s">
        <v>190</v>
      </c>
    </row>
    <row r="794" spans="15:15" hidden="1">
      <c r="O794" s="29" t="s">
        <v>190</v>
      </c>
    </row>
    <row r="795" spans="15:15" hidden="1">
      <c r="O795" s="29" t="s">
        <v>190</v>
      </c>
    </row>
    <row r="796" spans="15:15" hidden="1">
      <c r="O796" s="29" t="s">
        <v>190</v>
      </c>
    </row>
    <row r="797" spans="15:15" hidden="1">
      <c r="O797" s="29" t="s">
        <v>190</v>
      </c>
    </row>
    <row r="798" spans="15:15" hidden="1">
      <c r="O798" s="29" t="s">
        <v>190</v>
      </c>
    </row>
    <row r="799" spans="15:15" hidden="1">
      <c r="O799" s="29" t="s">
        <v>190</v>
      </c>
    </row>
    <row r="800" spans="15:15" hidden="1">
      <c r="O800" s="29" t="s">
        <v>190</v>
      </c>
    </row>
    <row r="801" spans="15:15" hidden="1">
      <c r="O801" s="29" t="s">
        <v>190</v>
      </c>
    </row>
    <row r="802" spans="15:15" hidden="1">
      <c r="O802" s="29" t="s">
        <v>190</v>
      </c>
    </row>
    <row r="803" spans="15:15" hidden="1">
      <c r="O803" s="29" t="s">
        <v>190</v>
      </c>
    </row>
    <row r="804" spans="15:15" hidden="1">
      <c r="O804" s="29" t="s">
        <v>190</v>
      </c>
    </row>
    <row r="805" spans="15:15" hidden="1">
      <c r="O805" s="29" t="s">
        <v>190</v>
      </c>
    </row>
    <row r="806" spans="15:15" hidden="1">
      <c r="O806" s="29" t="s">
        <v>190</v>
      </c>
    </row>
    <row r="807" spans="15:15" hidden="1">
      <c r="O807" s="29" t="s">
        <v>190</v>
      </c>
    </row>
    <row r="808" spans="15:15" hidden="1">
      <c r="O808" s="29" t="s">
        <v>190</v>
      </c>
    </row>
    <row r="809" spans="15:15" hidden="1">
      <c r="O809" s="29" t="s">
        <v>190</v>
      </c>
    </row>
    <row r="810" spans="15:15" hidden="1">
      <c r="O810" s="29" t="s">
        <v>190</v>
      </c>
    </row>
    <row r="811" spans="15:15" hidden="1">
      <c r="O811" s="29" t="s">
        <v>190</v>
      </c>
    </row>
    <row r="812" spans="15:15" hidden="1">
      <c r="O812" s="29" t="s">
        <v>190</v>
      </c>
    </row>
    <row r="813" spans="15:15" hidden="1">
      <c r="O813" s="29" t="s">
        <v>190</v>
      </c>
    </row>
    <row r="814" spans="15:15" hidden="1">
      <c r="O814" s="29" t="s">
        <v>190</v>
      </c>
    </row>
    <row r="815" spans="15:15" hidden="1">
      <c r="O815" s="29" t="s">
        <v>190</v>
      </c>
    </row>
    <row r="816" spans="15:15" hidden="1">
      <c r="O816" s="29" t="s">
        <v>190</v>
      </c>
    </row>
    <row r="817" spans="15:15" hidden="1">
      <c r="O817" s="29" t="s">
        <v>190</v>
      </c>
    </row>
    <row r="818" spans="15:15" hidden="1">
      <c r="O818" s="29" t="s">
        <v>190</v>
      </c>
    </row>
    <row r="819" spans="15:15" hidden="1">
      <c r="O819" s="29" t="s">
        <v>190</v>
      </c>
    </row>
    <row r="820" spans="15:15" hidden="1">
      <c r="O820" s="29" t="s">
        <v>190</v>
      </c>
    </row>
    <row r="821" spans="15:15" hidden="1">
      <c r="O821" s="29" t="s">
        <v>190</v>
      </c>
    </row>
    <row r="822" spans="15:15" hidden="1">
      <c r="O822" s="29" t="s">
        <v>190</v>
      </c>
    </row>
    <row r="823" spans="15:15" hidden="1">
      <c r="O823" s="29" t="s">
        <v>190</v>
      </c>
    </row>
    <row r="824" spans="15:15" hidden="1">
      <c r="O824" s="29" t="s">
        <v>190</v>
      </c>
    </row>
    <row r="825" spans="15:15" hidden="1">
      <c r="O825" s="29" t="s">
        <v>190</v>
      </c>
    </row>
    <row r="826" spans="15:15" hidden="1">
      <c r="O826" s="29" t="s">
        <v>190</v>
      </c>
    </row>
    <row r="827" spans="15:15" hidden="1">
      <c r="O827" s="29" t="s">
        <v>190</v>
      </c>
    </row>
    <row r="828" spans="15:15" hidden="1">
      <c r="O828" s="29" t="s">
        <v>190</v>
      </c>
    </row>
    <row r="829" spans="15:15" hidden="1">
      <c r="O829" s="29" t="s">
        <v>190</v>
      </c>
    </row>
    <row r="830" spans="15:15" hidden="1">
      <c r="O830" s="29" t="s">
        <v>190</v>
      </c>
    </row>
    <row r="831" spans="15:15" hidden="1">
      <c r="O831" s="29" t="s">
        <v>190</v>
      </c>
    </row>
    <row r="832" spans="15:15" hidden="1">
      <c r="O832" s="29" t="s">
        <v>190</v>
      </c>
    </row>
    <row r="833" spans="15:15" hidden="1">
      <c r="O833" s="29" t="s">
        <v>190</v>
      </c>
    </row>
    <row r="834" spans="15:15" hidden="1">
      <c r="O834" s="29" t="s">
        <v>190</v>
      </c>
    </row>
    <row r="835" spans="15:15" hidden="1">
      <c r="O835" s="29" t="s">
        <v>190</v>
      </c>
    </row>
    <row r="836" spans="15:15" hidden="1">
      <c r="O836" s="29" t="s">
        <v>190</v>
      </c>
    </row>
    <row r="837" spans="15:15" hidden="1">
      <c r="O837" s="29" t="s">
        <v>190</v>
      </c>
    </row>
    <row r="838" spans="15:15" hidden="1">
      <c r="O838" s="29" t="s">
        <v>190</v>
      </c>
    </row>
    <row r="839" spans="15:15" hidden="1">
      <c r="O839" s="29" t="s">
        <v>190</v>
      </c>
    </row>
    <row r="840" spans="15:15" hidden="1">
      <c r="O840" s="29" t="s">
        <v>190</v>
      </c>
    </row>
    <row r="841" spans="15:15" hidden="1">
      <c r="O841" s="29" t="s">
        <v>190</v>
      </c>
    </row>
    <row r="842" spans="15:15" hidden="1">
      <c r="O842" s="29" t="s">
        <v>190</v>
      </c>
    </row>
    <row r="843" spans="15:15" hidden="1">
      <c r="O843" s="29" t="s">
        <v>190</v>
      </c>
    </row>
    <row r="844" spans="15:15" hidden="1">
      <c r="O844" s="29" t="s">
        <v>190</v>
      </c>
    </row>
    <row r="845" spans="15:15" hidden="1">
      <c r="O845" s="29" t="s">
        <v>190</v>
      </c>
    </row>
    <row r="846" spans="15:15" hidden="1">
      <c r="O846" s="29" t="s">
        <v>190</v>
      </c>
    </row>
    <row r="847" spans="15:15" hidden="1">
      <c r="O847" s="29" t="s">
        <v>190</v>
      </c>
    </row>
    <row r="848" spans="15:15" hidden="1">
      <c r="O848" s="29" t="s">
        <v>190</v>
      </c>
    </row>
    <row r="849" spans="15:15" hidden="1">
      <c r="O849" s="29" t="s">
        <v>190</v>
      </c>
    </row>
    <row r="850" spans="15:15" hidden="1">
      <c r="O850" s="29" t="s">
        <v>190</v>
      </c>
    </row>
    <row r="851" spans="15:15" hidden="1">
      <c r="O851" s="29" t="s">
        <v>190</v>
      </c>
    </row>
    <row r="852" spans="15:15" hidden="1">
      <c r="O852" s="29" t="s">
        <v>190</v>
      </c>
    </row>
    <row r="853" spans="15:15" hidden="1">
      <c r="O853" s="29" t="s">
        <v>190</v>
      </c>
    </row>
    <row r="854" spans="15:15" hidden="1">
      <c r="O854" s="29" t="s">
        <v>190</v>
      </c>
    </row>
    <row r="855" spans="15:15" hidden="1">
      <c r="O855" s="29" t="s">
        <v>190</v>
      </c>
    </row>
    <row r="856" spans="15:15" hidden="1">
      <c r="O856" s="29" t="s">
        <v>190</v>
      </c>
    </row>
    <row r="857" spans="15:15" hidden="1">
      <c r="O857" s="29" t="s">
        <v>190</v>
      </c>
    </row>
    <row r="858" spans="15:15" hidden="1">
      <c r="O858" s="29" t="s">
        <v>190</v>
      </c>
    </row>
    <row r="859" spans="15:15" hidden="1">
      <c r="O859" s="29" t="s">
        <v>190</v>
      </c>
    </row>
    <row r="860" spans="15:15" hidden="1">
      <c r="O860" s="29" t="s">
        <v>190</v>
      </c>
    </row>
    <row r="861" spans="15:15" hidden="1">
      <c r="O861" s="29" t="s">
        <v>190</v>
      </c>
    </row>
    <row r="862" spans="15:15" hidden="1">
      <c r="O862" s="29" t="s">
        <v>190</v>
      </c>
    </row>
    <row r="863" spans="15:15" hidden="1">
      <c r="O863" s="29" t="s">
        <v>190</v>
      </c>
    </row>
    <row r="864" spans="15:15" hidden="1">
      <c r="O864" s="29" t="s">
        <v>190</v>
      </c>
    </row>
    <row r="865" spans="15:15" hidden="1">
      <c r="O865" s="29" t="s">
        <v>190</v>
      </c>
    </row>
    <row r="866" spans="15:15" hidden="1">
      <c r="O866" s="29" t="s">
        <v>190</v>
      </c>
    </row>
    <row r="867" spans="15:15" hidden="1">
      <c r="O867" s="29" t="s">
        <v>190</v>
      </c>
    </row>
    <row r="868" spans="15:15" hidden="1">
      <c r="O868" s="29" t="s">
        <v>190</v>
      </c>
    </row>
    <row r="869" spans="15:15" hidden="1">
      <c r="O869" s="29" t="s">
        <v>190</v>
      </c>
    </row>
    <row r="870" spans="15:15" hidden="1">
      <c r="O870" s="29" t="s">
        <v>190</v>
      </c>
    </row>
    <row r="871" spans="15:15" hidden="1">
      <c r="O871" s="29" t="s">
        <v>190</v>
      </c>
    </row>
    <row r="872" spans="15:15" hidden="1">
      <c r="O872" s="29" t="s">
        <v>190</v>
      </c>
    </row>
    <row r="873" spans="15:15" hidden="1">
      <c r="O873" s="29" t="s">
        <v>190</v>
      </c>
    </row>
    <row r="874" spans="15:15" hidden="1">
      <c r="O874" s="29" t="s">
        <v>190</v>
      </c>
    </row>
    <row r="875" spans="15:15" hidden="1">
      <c r="O875" s="29" t="s">
        <v>190</v>
      </c>
    </row>
    <row r="876" spans="15:15" hidden="1">
      <c r="O876" s="29" t="s">
        <v>190</v>
      </c>
    </row>
    <row r="877" spans="15:15" hidden="1">
      <c r="O877" s="29" t="s">
        <v>190</v>
      </c>
    </row>
    <row r="878" spans="15:15" hidden="1">
      <c r="O878" s="29" t="s">
        <v>190</v>
      </c>
    </row>
    <row r="879" spans="15:15" hidden="1">
      <c r="O879" s="29" t="s">
        <v>190</v>
      </c>
    </row>
    <row r="880" spans="15:15" hidden="1">
      <c r="O880" s="29" t="s">
        <v>190</v>
      </c>
    </row>
    <row r="881" spans="15:15" hidden="1">
      <c r="O881" s="29" t="s">
        <v>190</v>
      </c>
    </row>
    <row r="882" spans="15:15" hidden="1">
      <c r="O882" s="29" t="s">
        <v>190</v>
      </c>
    </row>
    <row r="883" spans="15:15" hidden="1">
      <c r="O883" s="29" t="s">
        <v>190</v>
      </c>
    </row>
    <row r="884" spans="15:15" hidden="1">
      <c r="O884" s="29" t="s">
        <v>190</v>
      </c>
    </row>
    <row r="885" spans="15:15" hidden="1">
      <c r="O885" s="29" t="s">
        <v>190</v>
      </c>
    </row>
    <row r="886" spans="15:15" hidden="1">
      <c r="O886" s="29" t="s">
        <v>190</v>
      </c>
    </row>
    <row r="887" spans="15:15" hidden="1">
      <c r="O887" s="29" t="s">
        <v>190</v>
      </c>
    </row>
    <row r="888" spans="15:15" hidden="1">
      <c r="O888" s="29" t="s">
        <v>190</v>
      </c>
    </row>
    <row r="889" spans="15:15" hidden="1">
      <c r="O889" s="29" t="s">
        <v>190</v>
      </c>
    </row>
    <row r="890" spans="15:15" hidden="1">
      <c r="O890" s="29" t="s">
        <v>190</v>
      </c>
    </row>
    <row r="891" spans="15:15" hidden="1">
      <c r="O891" s="29" t="s">
        <v>190</v>
      </c>
    </row>
    <row r="892" spans="15:15" hidden="1">
      <c r="O892" s="29" t="s">
        <v>190</v>
      </c>
    </row>
    <row r="893" spans="15:15" hidden="1">
      <c r="O893" s="29" t="s">
        <v>190</v>
      </c>
    </row>
    <row r="894" spans="15:15" hidden="1">
      <c r="O894" s="29" t="s">
        <v>190</v>
      </c>
    </row>
    <row r="895" spans="15:15" hidden="1">
      <c r="O895" s="29" t="s">
        <v>190</v>
      </c>
    </row>
    <row r="896" spans="15:15" hidden="1">
      <c r="O896" s="29" t="s">
        <v>190</v>
      </c>
    </row>
    <row r="897" spans="15:15" hidden="1">
      <c r="O897" s="29" t="s">
        <v>190</v>
      </c>
    </row>
    <row r="898" spans="15:15" hidden="1">
      <c r="O898" s="29" t="s">
        <v>190</v>
      </c>
    </row>
    <row r="899" spans="15:15" hidden="1">
      <c r="O899" s="29" t="s">
        <v>190</v>
      </c>
    </row>
    <row r="900" spans="15:15" hidden="1">
      <c r="O900" s="29" t="s">
        <v>190</v>
      </c>
    </row>
    <row r="901" spans="15:15" hidden="1">
      <c r="O901" s="29" t="s">
        <v>190</v>
      </c>
    </row>
    <row r="902" spans="15:15" hidden="1">
      <c r="O902" s="29" t="s">
        <v>190</v>
      </c>
    </row>
    <row r="903" spans="15:15" hidden="1">
      <c r="O903" s="29" t="s">
        <v>190</v>
      </c>
    </row>
    <row r="904" spans="15:15" hidden="1">
      <c r="O904" s="29" t="s">
        <v>190</v>
      </c>
    </row>
    <row r="905" spans="15:15" hidden="1">
      <c r="O905" s="29" t="s">
        <v>190</v>
      </c>
    </row>
    <row r="906" spans="15:15" hidden="1">
      <c r="O906" s="29" t="s">
        <v>190</v>
      </c>
    </row>
    <row r="907" spans="15:15" hidden="1">
      <c r="O907" s="29" t="s">
        <v>190</v>
      </c>
    </row>
    <row r="908" spans="15:15" hidden="1">
      <c r="O908" s="29" t="s">
        <v>190</v>
      </c>
    </row>
    <row r="909" spans="15:15" hidden="1">
      <c r="O909" s="29" t="s">
        <v>190</v>
      </c>
    </row>
    <row r="910" spans="15:15" hidden="1">
      <c r="O910" s="29" t="s">
        <v>190</v>
      </c>
    </row>
    <row r="911" spans="15:15" hidden="1">
      <c r="O911" s="29" t="s">
        <v>190</v>
      </c>
    </row>
    <row r="912" spans="15:15" hidden="1">
      <c r="O912" s="29" t="s">
        <v>190</v>
      </c>
    </row>
    <row r="913" spans="15:15" hidden="1">
      <c r="O913" s="29" t="s">
        <v>190</v>
      </c>
    </row>
    <row r="914" spans="15:15" hidden="1">
      <c r="O914" s="29" t="s">
        <v>190</v>
      </c>
    </row>
    <row r="915" spans="15:15" hidden="1">
      <c r="O915" s="29" t="s">
        <v>190</v>
      </c>
    </row>
    <row r="916" spans="15:15" hidden="1">
      <c r="O916" s="29" t="s">
        <v>190</v>
      </c>
    </row>
    <row r="917" spans="15:15" hidden="1">
      <c r="O917" s="29" t="s">
        <v>190</v>
      </c>
    </row>
    <row r="918" spans="15:15" hidden="1">
      <c r="O918" s="29" t="s">
        <v>190</v>
      </c>
    </row>
    <row r="919" spans="15:15" hidden="1">
      <c r="O919" s="29" t="s">
        <v>190</v>
      </c>
    </row>
    <row r="920" spans="15:15" hidden="1">
      <c r="O920" s="29" t="s">
        <v>190</v>
      </c>
    </row>
    <row r="921" spans="15:15" hidden="1">
      <c r="O921" s="29" t="s">
        <v>190</v>
      </c>
    </row>
    <row r="922" spans="15:15" hidden="1">
      <c r="O922" s="29" t="s">
        <v>190</v>
      </c>
    </row>
    <row r="923" spans="15:15" hidden="1">
      <c r="O923" s="29" t="s">
        <v>190</v>
      </c>
    </row>
    <row r="924" spans="15:15" hidden="1">
      <c r="O924" s="29" t="s">
        <v>190</v>
      </c>
    </row>
    <row r="925" spans="15:15" hidden="1">
      <c r="O925" s="29" t="s">
        <v>190</v>
      </c>
    </row>
    <row r="926" spans="15:15" hidden="1">
      <c r="O926" s="29" t="s">
        <v>190</v>
      </c>
    </row>
    <row r="927" spans="15:15" hidden="1">
      <c r="O927" s="29" t="s">
        <v>190</v>
      </c>
    </row>
    <row r="928" spans="15:15" hidden="1">
      <c r="O928" s="29" t="s">
        <v>190</v>
      </c>
    </row>
    <row r="929" spans="15:15" hidden="1">
      <c r="O929" s="29" t="s">
        <v>190</v>
      </c>
    </row>
    <row r="930" spans="15:15" hidden="1">
      <c r="O930" s="29" t="s">
        <v>190</v>
      </c>
    </row>
    <row r="931" spans="15:15" hidden="1">
      <c r="O931" s="29" t="s">
        <v>190</v>
      </c>
    </row>
    <row r="932" spans="15:15" hidden="1">
      <c r="O932" s="29" t="s">
        <v>190</v>
      </c>
    </row>
    <row r="933" spans="15:15" hidden="1">
      <c r="O933" s="29" t="s">
        <v>190</v>
      </c>
    </row>
    <row r="934" spans="15:15" hidden="1">
      <c r="O934" s="29" t="s">
        <v>190</v>
      </c>
    </row>
    <row r="935" spans="15:15" hidden="1">
      <c r="O935" s="29" t="s">
        <v>190</v>
      </c>
    </row>
    <row r="936" spans="15:15" hidden="1">
      <c r="O936" s="29" t="s">
        <v>190</v>
      </c>
    </row>
    <row r="937" spans="15:15" hidden="1">
      <c r="O937" s="29" t="s">
        <v>190</v>
      </c>
    </row>
    <row r="938" spans="15:15" hidden="1">
      <c r="O938" s="29" t="s">
        <v>190</v>
      </c>
    </row>
    <row r="939" spans="15:15" hidden="1">
      <c r="O939" s="29" t="s">
        <v>190</v>
      </c>
    </row>
    <row r="940" spans="15:15" hidden="1">
      <c r="O940" s="29" t="s">
        <v>190</v>
      </c>
    </row>
    <row r="941" spans="15:15" hidden="1">
      <c r="O941" s="29" t="s">
        <v>190</v>
      </c>
    </row>
    <row r="942" spans="15:15" hidden="1">
      <c r="O942" s="29" t="s">
        <v>190</v>
      </c>
    </row>
    <row r="943" spans="15:15" hidden="1">
      <c r="O943" s="29" t="s">
        <v>190</v>
      </c>
    </row>
    <row r="944" spans="15:15" hidden="1">
      <c r="O944" s="29" t="s">
        <v>190</v>
      </c>
    </row>
    <row r="945" spans="15:15" hidden="1">
      <c r="O945" s="29" t="s">
        <v>190</v>
      </c>
    </row>
    <row r="946" spans="15:15" hidden="1">
      <c r="O946" s="29" t="s">
        <v>190</v>
      </c>
    </row>
    <row r="947" spans="15:15" hidden="1">
      <c r="O947" s="29" t="s">
        <v>190</v>
      </c>
    </row>
    <row r="948" spans="15:15" hidden="1">
      <c r="O948" s="29" t="s">
        <v>190</v>
      </c>
    </row>
    <row r="949" spans="15:15" hidden="1">
      <c r="O949" s="29" t="s">
        <v>190</v>
      </c>
    </row>
    <row r="950" spans="15:15" hidden="1">
      <c r="O950" s="29" t="s">
        <v>190</v>
      </c>
    </row>
    <row r="951" spans="15:15" hidden="1">
      <c r="O951" s="29" t="s">
        <v>190</v>
      </c>
    </row>
    <row r="952" spans="15:15" hidden="1">
      <c r="O952" s="29" t="s">
        <v>190</v>
      </c>
    </row>
    <row r="953" spans="15:15" hidden="1">
      <c r="O953" s="29" t="s">
        <v>190</v>
      </c>
    </row>
    <row r="954" spans="15:15" hidden="1">
      <c r="O954" s="29" t="s">
        <v>190</v>
      </c>
    </row>
    <row r="955" spans="15:15" hidden="1">
      <c r="O955" s="29" t="s">
        <v>190</v>
      </c>
    </row>
    <row r="956" spans="15:15" hidden="1">
      <c r="O956" s="29" t="s">
        <v>190</v>
      </c>
    </row>
    <row r="957" spans="15:15" hidden="1">
      <c r="O957" s="29" t="s">
        <v>190</v>
      </c>
    </row>
    <row r="958" spans="15:15" hidden="1">
      <c r="O958" s="29" t="s">
        <v>190</v>
      </c>
    </row>
    <row r="959" spans="15:15" hidden="1">
      <c r="O959" s="29" t="s">
        <v>190</v>
      </c>
    </row>
    <row r="960" spans="15:15" hidden="1">
      <c r="O960" s="29" t="s">
        <v>190</v>
      </c>
    </row>
    <row r="961" spans="15:15" hidden="1">
      <c r="O961" s="29" t="s">
        <v>190</v>
      </c>
    </row>
    <row r="962" spans="15:15" hidden="1">
      <c r="O962" s="29" t="s">
        <v>190</v>
      </c>
    </row>
    <row r="963" spans="15:15" hidden="1">
      <c r="O963" s="29" t="s">
        <v>190</v>
      </c>
    </row>
    <row r="964" spans="15:15" hidden="1">
      <c r="O964" s="29" t="s">
        <v>190</v>
      </c>
    </row>
    <row r="965" spans="15:15" hidden="1">
      <c r="O965" s="29" t="s">
        <v>190</v>
      </c>
    </row>
    <row r="966" spans="15:15" hidden="1">
      <c r="O966" s="29" t="s">
        <v>190</v>
      </c>
    </row>
    <row r="967" spans="15:15" hidden="1">
      <c r="O967" s="29" t="s">
        <v>190</v>
      </c>
    </row>
    <row r="968" spans="15:15" hidden="1">
      <c r="O968" s="29" t="s">
        <v>190</v>
      </c>
    </row>
    <row r="969" spans="15:15" hidden="1">
      <c r="O969" s="29" t="s">
        <v>190</v>
      </c>
    </row>
    <row r="970" spans="15:15" hidden="1">
      <c r="O970" s="29" t="s">
        <v>190</v>
      </c>
    </row>
    <row r="971" spans="15:15" hidden="1">
      <c r="O971" s="29" t="s">
        <v>190</v>
      </c>
    </row>
    <row r="972" spans="15:15" hidden="1">
      <c r="O972" s="29" t="s">
        <v>190</v>
      </c>
    </row>
    <row r="973" spans="15:15" hidden="1">
      <c r="O973" s="29" t="s">
        <v>190</v>
      </c>
    </row>
    <row r="974" spans="15:15" hidden="1">
      <c r="O974" s="29" t="s">
        <v>190</v>
      </c>
    </row>
    <row r="975" spans="15:15" hidden="1">
      <c r="O975" s="29" t="s">
        <v>190</v>
      </c>
    </row>
    <row r="976" spans="15:15" hidden="1">
      <c r="O976" s="29" t="s">
        <v>190</v>
      </c>
    </row>
    <row r="977" spans="15:15" hidden="1">
      <c r="O977" s="29" t="s">
        <v>190</v>
      </c>
    </row>
    <row r="978" spans="15:15" hidden="1">
      <c r="O978" s="29" t="s">
        <v>190</v>
      </c>
    </row>
    <row r="979" spans="15:15" hidden="1">
      <c r="O979" s="29" t="s">
        <v>190</v>
      </c>
    </row>
    <row r="980" spans="15:15" hidden="1">
      <c r="O980" s="29" t="s">
        <v>190</v>
      </c>
    </row>
    <row r="981" spans="15:15" hidden="1">
      <c r="O981" s="29" t="s">
        <v>190</v>
      </c>
    </row>
    <row r="982" spans="15:15" hidden="1">
      <c r="O982" s="29" t="s">
        <v>190</v>
      </c>
    </row>
    <row r="983" spans="15:15" hidden="1">
      <c r="O983" s="29" t="s">
        <v>190</v>
      </c>
    </row>
    <row r="984" spans="15:15" hidden="1">
      <c r="O984" s="29" t="s">
        <v>190</v>
      </c>
    </row>
    <row r="985" spans="15:15" hidden="1">
      <c r="O985" s="29" t="s">
        <v>190</v>
      </c>
    </row>
    <row r="986" spans="15:15" hidden="1">
      <c r="O986" s="29" t="s">
        <v>190</v>
      </c>
    </row>
    <row r="987" spans="15:15" hidden="1">
      <c r="O987" s="29" t="s">
        <v>190</v>
      </c>
    </row>
    <row r="988" spans="15:15" hidden="1">
      <c r="O988" s="29" t="s">
        <v>190</v>
      </c>
    </row>
    <row r="989" spans="15:15" hidden="1">
      <c r="O989" s="29" t="s">
        <v>190</v>
      </c>
    </row>
    <row r="990" spans="15:15" hidden="1">
      <c r="O990" s="29" t="s">
        <v>190</v>
      </c>
    </row>
    <row r="991" spans="15:15" hidden="1">
      <c r="O991" s="29" t="s">
        <v>190</v>
      </c>
    </row>
    <row r="992" spans="15:15" hidden="1">
      <c r="O992" s="29" t="s">
        <v>190</v>
      </c>
    </row>
    <row r="993" spans="15:648" hidden="1">
      <c r="O993" s="29" t="s">
        <v>190</v>
      </c>
    </row>
    <row r="994" spans="15:648" hidden="1">
      <c r="O994" s="29" t="s">
        <v>190</v>
      </c>
    </row>
    <row r="995" spans="15:648" hidden="1">
      <c r="O995" s="29" t="s">
        <v>190</v>
      </c>
    </row>
    <row r="996" spans="15:648" hidden="1">
      <c r="O996" s="29" t="s">
        <v>190</v>
      </c>
    </row>
    <row r="997" spans="15:648" hidden="1">
      <c r="O997" s="29" t="s">
        <v>190</v>
      </c>
    </row>
    <row r="998" spans="15:648" hidden="1">
      <c r="O998" s="29" t="s">
        <v>190</v>
      </c>
    </row>
    <row r="999" spans="15:648" hidden="1">
      <c r="O999" s="29" t="s">
        <v>190</v>
      </c>
    </row>
    <row r="1000" spans="15:648" ht="15.75" hidden="1">
      <c r="O1000" s="29" t="s">
        <v>190</v>
      </c>
      <c r="XX1000" s="74">
        <v>125713</v>
      </c>
    </row>
    <row r="1001" spans="15:648" hidden="1">
      <c r="O1001" s="29" t="s">
        <v>190</v>
      </c>
    </row>
    <row r="1002" spans="15:648" hidden="1">
      <c r="O1002" s="29" t="s">
        <v>190</v>
      </c>
    </row>
    <row r="1003" spans="15:648" hidden="1">
      <c r="O1003" s="29" t="s">
        <v>190</v>
      </c>
    </row>
    <row r="1004" spans="15:648" hidden="1">
      <c r="O1004" s="29" t="s">
        <v>190</v>
      </c>
    </row>
    <row r="1005" spans="15:648" hidden="1">
      <c r="O1005" s="29" t="s">
        <v>190</v>
      </c>
    </row>
    <row r="1006" spans="15:648" hidden="1">
      <c r="O1006" s="29" t="s">
        <v>190</v>
      </c>
    </row>
    <row r="1007" spans="15:648" hidden="1">
      <c r="O1007" s="29" t="s">
        <v>190</v>
      </c>
    </row>
    <row r="1008" spans="15:648" hidden="1">
      <c r="O1008" s="29" t="s">
        <v>190</v>
      </c>
    </row>
    <row r="1009" spans="15:15" hidden="1">
      <c r="O1009" s="29" t="s">
        <v>190</v>
      </c>
    </row>
    <row r="1010" spans="15:15" hidden="1">
      <c r="O1010" s="29" t="s">
        <v>190</v>
      </c>
    </row>
    <row r="1011" spans="15:15" hidden="1">
      <c r="O1011" s="29" t="s">
        <v>190</v>
      </c>
    </row>
    <row r="1012" spans="15:15" hidden="1">
      <c r="O1012" s="29" t="s">
        <v>190</v>
      </c>
    </row>
    <row r="1013" spans="15:15" hidden="1">
      <c r="O1013" s="29" t="s">
        <v>190</v>
      </c>
    </row>
    <row r="1014" spans="15:15" hidden="1">
      <c r="O1014" s="29" t="s">
        <v>190</v>
      </c>
    </row>
    <row r="1015" spans="15:15" hidden="1">
      <c r="O1015" s="29" t="s">
        <v>190</v>
      </c>
    </row>
    <row r="1016" spans="15:15" hidden="1">
      <c r="O1016" s="29" t="s">
        <v>190</v>
      </c>
    </row>
    <row r="1017" spans="15:15" hidden="1">
      <c r="O1017" s="29" t="s">
        <v>190</v>
      </c>
    </row>
    <row r="1018" spans="15:15" hidden="1">
      <c r="O1018" s="29" t="s">
        <v>190</v>
      </c>
    </row>
    <row r="1019" spans="15:15" hidden="1">
      <c r="O1019" s="29" t="s">
        <v>190</v>
      </c>
    </row>
    <row r="1020" spans="15:15" hidden="1">
      <c r="O1020" s="29" t="s">
        <v>190</v>
      </c>
    </row>
    <row r="1021" spans="15:15" hidden="1">
      <c r="O1021" s="29" t="s">
        <v>190</v>
      </c>
    </row>
    <row r="1022" spans="15:15" hidden="1">
      <c r="O1022" s="29" t="s">
        <v>190</v>
      </c>
    </row>
    <row r="1023" spans="15:15" hidden="1">
      <c r="O1023" s="29" t="s">
        <v>190</v>
      </c>
    </row>
    <row r="1024" spans="15:15" hidden="1">
      <c r="O1024" s="29" t="s">
        <v>190</v>
      </c>
    </row>
    <row r="1025" spans="15:15" hidden="1">
      <c r="O1025" s="29" t="s">
        <v>190</v>
      </c>
    </row>
    <row r="1026" spans="15:15" hidden="1">
      <c r="O1026" s="29" t="s">
        <v>190</v>
      </c>
    </row>
    <row r="1027" spans="15:15" hidden="1">
      <c r="O1027" s="29" t="s">
        <v>190</v>
      </c>
    </row>
    <row r="1028" spans="15:15" hidden="1">
      <c r="O1028" s="29" t="s">
        <v>190</v>
      </c>
    </row>
    <row r="1029" spans="15:15" hidden="1">
      <c r="O1029" s="29" t="s">
        <v>190</v>
      </c>
    </row>
    <row r="1030" spans="15:15" hidden="1">
      <c r="O1030" s="29" t="s">
        <v>190</v>
      </c>
    </row>
    <row r="1031" spans="15:15" hidden="1">
      <c r="O1031" s="29" t="s">
        <v>190</v>
      </c>
    </row>
    <row r="1032" spans="15:15" hidden="1">
      <c r="O1032" s="29" t="s">
        <v>190</v>
      </c>
    </row>
    <row r="1033" spans="15:15" hidden="1">
      <c r="O1033" s="29" t="s">
        <v>190</v>
      </c>
    </row>
    <row r="1034" spans="15:15" hidden="1">
      <c r="O1034" s="29" t="s">
        <v>190</v>
      </c>
    </row>
    <row r="1035" spans="15:15" hidden="1">
      <c r="O1035" s="29" t="s">
        <v>190</v>
      </c>
    </row>
    <row r="1036" spans="15:15" hidden="1">
      <c r="O1036" s="29" t="s">
        <v>190</v>
      </c>
    </row>
    <row r="1037" spans="15:15" hidden="1">
      <c r="O1037" s="29" t="s">
        <v>190</v>
      </c>
    </row>
    <row r="1038" spans="15:15" hidden="1">
      <c r="O1038" s="29" t="s">
        <v>190</v>
      </c>
    </row>
    <row r="1039" spans="15:15" hidden="1">
      <c r="O1039" s="29" t="s">
        <v>190</v>
      </c>
    </row>
    <row r="1040" spans="15:15" hidden="1">
      <c r="O1040" s="29" t="s">
        <v>190</v>
      </c>
    </row>
    <row r="1041" spans="15:15" hidden="1">
      <c r="O1041" s="29" t="s">
        <v>190</v>
      </c>
    </row>
    <row r="1042" spans="15:15" hidden="1">
      <c r="O1042" s="29" t="s">
        <v>190</v>
      </c>
    </row>
    <row r="1043" spans="15:15" hidden="1">
      <c r="O1043" s="29" t="s">
        <v>190</v>
      </c>
    </row>
    <row r="1044" spans="15:15" hidden="1">
      <c r="O1044" s="29" t="s">
        <v>190</v>
      </c>
    </row>
    <row r="1045" spans="15:15" hidden="1">
      <c r="O1045" s="29" t="s">
        <v>190</v>
      </c>
    </row>
    <row r="1046" spans="15:15" hidden="1">
      <c r="O1046" s="29" t="s">
        <v>190</v>
      </c>
    </row>
    <row r="1047" spans="15:15" hidden="1">
      <c r="O1047" s="29" t="s">
        <v>190</v>
      </c>
    </row>
    <row r="1048" spans="15:15" hidden="1">
      <c r="O1048" s="29" t="s">
        <v>190</v>
      </c>
    </row>
    <row r="1049" spans="15:15" hidden="1">
      <c r="O1049" s="29" t="s">
        <v>190</v>
      </c>
    </row>
    <row r="1050" spans="15:15" hidden="1">
      <c r="O1050" s="29" t="s">
        <v>190</v>
      </c>
    </row>
    <row r="1051" spans="15:15" hidden="1">
      <c r="O1051" s="29" t="s">
        <v>190</v>
      </c>
    </row>
    <row r="1052" spans="15:15" hidden="1">
      <c r="O1052" s="29" t="s">
        <v>190</v>
      </c>
    </row>
    <row r="1053" spans="15:15" hidden="1">
      <c r="O1053" s="29" t="s">
        <v>190</v>
      </c>
    </row>
    <row r="1054" spans="15:15" hidden="1">
      <c r="O1054" s="29" t="s">
        <v>190</v>
      </c>
    </row>
    <row r="1055" spans="15:15" hidden="1">
      <c r="O1055" s="29" t="s">
        <v>190</v>
      </c>
    </row>
    <row r="1056" spans="15:15" hidden="1">
      <c r="O1056" s="29" t="s">
        <v>190</v>
      </c>
    </row>
    <row r="1057" spans="15:15" hidden="1">
      <c r="O1057" s="29" t="s">
        <v>190</v>
      </c>
    </row>
    <row r="1058" spans="15:15" hidden="1">
      <c r="O1058" s="29" t="s">
        <v>190</v>
      </c>
    </row>
    <row r="1059" spans="15:15" hidden="1">
      <c r="O1059" s="29" t="s">
        <v>190</v>
      </c>
    </row>
    <row r="1060" spans="15:15" hidden="1">
      <c r="O1060" s="29" t="s">
        <v>190</v>
      </c>
    </row>
    <row r="1061" spans="15:15" hidden="1">
      <c r="O1061" s="29" t="s">
        <v>190</v>
      </c>
    </row>
    <row r="1062" spans="15:15" hidden="1">
      <c r="O1062" s="29" t="s">
        <v>190</v>
      </c>
    </row>
    <row r="1063" spans="15:15" hidden="1">
      <c r="O1063" s="29" t="s">
        <v>190</v>
      </c>
    </row>
    <row r="1064" spans="15:15" hidden="1">
      <c r="O1064" s="29" t="s">
        <v>190</v>
      </c>
    </row>
    <row r="1065" spans="15:15" hidden="1">
      <c r="O1065" s="29" t="s">
        <v>190</v>
      </c>
    </row>
    <row r="1066" spans="15:15" hidden="1">
      <c r="O1066" s="29" t="s">
        <v>190</v>
      </c>
    </row>
    <row r="1067" spans="15:15" hidden="1">
      <c r="O1067" s="29" t="s">
        <v>190</v>
      </c>
    </row>
    <row r="1068" spans="15:15" hidden="1">
      <c r="O1068" s="29" t="s">
        <v>190</v>
      </c>
    </row>
    <row r="1069" spans="15:15" hidden="1">
      <c r="O1069" s="29" t="s">
        <v>190</v>
      </c>
    </row>
    <row r="1070" spans="15:15" hidden="1">
      <c r="O1070" s="29" t="s">
        <v>190</v>
      </c>
    </row>
    <row r="1071" spans="15:15" hidden="1">
      <c r="O1071" s="29" t="s">
        <v>190</v>
      </c>
    </row>
    <row r="1072" spans="15:15" hidden="1">
      <c r="O1072" s="29" t="s">
        <v>190</v>
      </c>
    </row>
    <row r="1073" spans="15:15" hidden="1">
      <c r="O1073" s="29" t="s">
        <v>190</v>
      </c>
    </row>
    <row r="1074" spans="15:15" hidden="1">
      <c r="O1074" s="29" t="s">
        <v>190</v>
      </c>
    </row>
    <row r="1075" spans="15:15" hidden="1">
      <c r="O1075" s="29" t="s">
        <v>190</v>
      </c>
    </row>
    <row r="1076" spans="15:15" hidden="1">
      <c r="O1076" s="29" t="s">
        <v>190</v>
      </c>
    </row>
    <row r="1077" spans="15:15" hidden="1">
      <c r="O1077" s="29" t="s">
        <v>190</v>
      </c>
    </row>
    <row r="1078" spans="15:15" hidden="1">
      <c r="O1078" s="29" t="s">
        <v>190</v>
      </c>
    </row>
    <row r="1079" spans="15:15" hidden="1">
      <c r="O1079" s="29" t="s">
        <v>190</v>
      </c>
    </row>
    <row r="1080" spans="15:15" hidden="1">
      <c r="O1080" s="29" t="s">
        <v>190</v>
      </c>
    </row>
    <row r="1081" spans="15:15" hidden="1">
      <c r="O1081" s="29" t="s">
        <v>190</v>
      </c>
    </row>
    <row r="1082" spans="15:15" hidden="1">
      <c r="O1082" s="29" t="s">
        <v>190</v>
      </c>
    </row>
    <row r="1083" spans="15:15" hidden="1">
      <c r="O1083" s="29" t="s">
        <v>190</v>
      </c>
    </row>
    <row r="1084" spans="15:15" hidden="1">
      <c r="O1084" s="29" t="s">
        <v>190</v>
      </c>
    </row>
    <row r="1085" spans="15:15" hidden="1">
      <c r="O1085" s="29" t="s">
        <v>190</v>
      </c>
    </row>
    <row r="1086" spans="15:15" hidden="1">
      <c r="O1086" s="29" t="s">
        <v>190</v>
      </c>
    </row>
    <row r="1087" spans="15:15" hidden="1">
      <c r="O1087" s="29" t="s">
        <v>190</v>
      </c>
    </row>
    <row r="1088" spans="15:15" hidden="1">
      <c r="O1088" s="29" t="s">
        <v>190</v>
      </c>
    </row>
    <row r="1089" spans="15:15" hidden="1">
      <c r="O1089" s="29" t="s">
        <v>190</v>
      </c>
    </row>
    <row r="1090" spans="15:15" hidden="1">
      <c r="O1090" s="29" t="s">
        <v>190</v>
      </c>
    </row>
    <row r="1091" spans="15:15" hidden="1">
      <c r="O1091" s="29" t="s">
        <v>190</v>
      </c>
    </row>
    <row r="1092" spans="15:15" hidden="1">
      <c r="O1092" s="29" t="s">
        <v>190</v>
      </c>
    </row>
    <row r="1093" spans="15:15" hidden="1">
      <c r="O1093" s="29" t="s">
        <v>190</v>
      </c>
    </row>
    <row r="1094" spans="15:15" hidden="1">
      <c r="O1094" s="29" t="s">
        <v>190</v>
      </c>
    </row>
    <row r="1095" spans="15:15" hidden="1">
      <c r="O1095" s="29" t="s">
        <v>190</v>
      </c>
    </row>
    <row r="1096" spans="15:15" hidden="1">
      <c r="O1096" s="29" t="s">
        <v>190</v>
      </c>
    </row>
    <row r="1097" spans="15:15" hidden="1">
      <c r="O1097" s="29" t="s">
        <v>190</v>
      </c>
    </row>
    <row r="1098" spans="15:15" hidden="1">
      <c r="O1098" s="29" t="s">
        <v>190</v>
      </c>
    </row>
    <row r="1099" spans="15:15" hidden="1">
      <c r="O1099" s="29" t="s">
        <v>190</v>
      </c>
    </row>
    <row r="1100" spans="15:15" hidden="1">
      <c r="O1100" s="29" t="s">
        <v>190</v>
      </c>
    </row>
    <row r="1101" spans="15:15" hidden="1">
      <c r="O1101" s="29" t="s">
        <v>190</v>
      </c>
    </row>
    <row r="1102" spans="15:15" hidden="1">
      <c r="O1102" s="29" t="s">
        <v>190</v>
      </c>
    </row>
    <row r="1103" spans="15:15" hidden="1">
      <c r="O1103" s="29" t="s">
        <v>190</v>
      </c>
    </row>
    <row r="1104" spans="15:15" hidden="1">
      <c r="O1104" s="29" t="s">
        <v>190</v>
      </c>
    </row>
    <row r="1105" spans="15:15" hidden="1">
      <c r="O1105" s="29" t="s">
        <v>190</v>
      </c>
    </row>
    <row r="1106" spans="15:15" hidden="1">
      <c r="O1106" s="29" t="s">
        <v>190</v>
      </c>
    </row>
    <row r="1107" spans="15:15" hidden="1">
      <c r="O1107" s="29" t="s">
        <v>190</v>
      </c>
    </row>
    <row r="1108" spans="15:15" hidden="1">
      <c r="O1108" s="29" t="s">
        <v>190</v>
      </c>
    </row>
    <row r="1109" spans="15:15" hidden="1">
      <c r="O1109" s="29" t="s">
        <v>190</v>
      </c>
    </row>
    <row r="1110" spans="15:15" hidden="1">
      <c r="O1110" s="29" t="s">
        <v>190</v>
      </c>
    </row>
    <row r="1111" spans="15:15" hidden="1">
      <c r="O1111" s="29" t="s">
        <v>190</v>
      </c>
    </row>
    <row r="1112" spans="15:15" hidden="1">
      <c r="O1112" s="29" t="s">
        <v>190</v>
      </c>
    </row>
    <row r="1113" spans="15:15" hidden="1">
      <c r="O1113" s="29" t="s">
        <v>190</v>
      </c>
    </row>
    <row r="1114" spans="15:15" hidden="1">
      <c r="O1114" s="29" t="s">
        <v>190</v>
      </c>
    </row>
    <row r="1115" spans="15:15" hidden="1">
      <c r="O1115" s="29" t="s">
        <v>190</v>
      </c>
    </row>
    <row r="1116" spans="15:15" hidden="1">
      <c r="O1116" s="29" t="s">
        <v>190</v>
      </c>
    </row>
    <row r="1117" spans="15:15" hidden="1">
      <c r="O1117" s="29" t="s">
        <v>190</v>
      </c>
    </row>
    <row r="1118" spans="15:15" hidden="1">
      <c r="O1118" s="29" t="s">
        <v>190</v>
      </c>
    </row>
    <row r="1119" spans="15:15" hidden="1">
      <c r="O1119" s="29" t="s">
        <v>190</v>
      </c>
    </row>
    <row r="1120" spans="15:15" hidden="1">
      <c r="O1120" s="29" t="s">
        <v>190</v>
      </c>
    </row>
    <row r="1121" spans="15:15" hidden="1">
      <c r="O1121" s="29" t="s">
        <v>190</v>
      </c>
    </row>
    <row r="1122" spans="15:15" hidden="1">
      <c r="O1122" s="29" t="s">
        <v>190</v>
      </c>
    </row>
    <row r="1123" spans="15:15" hidden="1">
      <c r="O1123" s="29" t="s">
        <v>190</v>
      </c>
    </row>
    <row r="1124" spans="15:15" hidden="1">
      <c r="O1124" s="29" t="s">
        <v>190</v>
      </c>
    </row>
    <row r="1125" spans="15:15" hidden="1">
      <c r="O1125" s="29" t="s">
        <v>190</v>
      </c>
    </row>
    <row r="1126" spans="15:15" hidden="1">
      <c r="O1126" s="29" t="s">
        <v>190</v>
      </c>
    </row>
    <row r="1127" spans="15:15" hidden="1">
      <c r="O1127" s="29" t="s">
        <v>190</v>
      </c>
    </row>
    <row r="1128" spans="15:15" hidden="1">
      <c r="O1128" s="29" t="s">
        <v>190</v>
      </c>
    </row>
    <row r="1129" spans="15:15" hidden="1">
      <c r="O1129" s="29" t="s">
        <v>190</v>
      </c>
    </row>
    <row r="1130" spans="15:15" hidden="1">
      <c r="O1130" s="29" t="s">
        <v>190</v>
      </c>
    </row>
    <row r="1131" spans="15:15" hidden="1">
      <c r="O1131" s="29" t="s">
        <v>190</v>
      </c>
    </row>
    <row r="1132" spans="15:15" hidden="1">
      <c r="O1132" s="29" t="s">
        <v>190</v>
      </c>
    </row>
    <row r="1133" spans="15:15" hidden="1">
      <c r="O1133" s="29" t="s">
        <v>190</v>
      </c>
    </row>
    <row r="1134" spans="15:15" hidden="1">
      <c r="O1134" s="29" t="s">
        <v>190</v>
      </c>
    </row>
    <row r="1135" spans="15:15" hidden="1">
      <c r="O1135" s="29" t="s">
        <v>190</v>
      </c>
    </row>
    <row r="1136" spans="15:15" hidden="1">
      <c r="O1136" s="29" t="s">
        <v>190</v>
      </c>
    </row>
    <row r="1137" spans="15:15" hidden="1">
      <c r="O1137" s="29" t="s">
        <v>190</v>
      </c>
    </row>
    <row r="1138" spans="15:15" hidden="1">
      <c r="O1138" s="29" t="s">
        <v>190</v>
      </c>
    </row>
    <row r="1139" spans="15:15" hidden="1">
      <c r="O1139" s="29" t="s">
        <v>190</v>
      </c>
    </row>
    <row r="1140" spans="15:15" hidden="1">
      <c r="O1140" s="29" t="s">
        <v>190</v>
      </c>
    </row>
    <row r="1141" spans="15:15" hidden="1">
      <c r="O1141" s="29" t="s">
        <v>190</v>
      </c>
    </row>
    <row r="1142" spans="15:15" hidden="1">
      <c r="O1142" s="29" t="s">
        <v>190</v>
      </c>
    </row>
    <row r="1143" spans="15:15" hidden="1">
      <c r="O1143" s="29" t="s">
        <v>190</v>
      </c>
    </row>
    <row r="1144" spans="15:15" hidden="1">
      <c r="O1144" s="29" t="s">
        <v>190</v>
      </c>
    </row>
    <row r="1145" spans="15:15" hidden="1">
      <c r="O1145" s="29" t="s">
        <v>190</v>
      </c>
    </row>
    <row r="1146" spans="15:15" hidden="1">
      <c r="O1146" s="29" t="s">
        <v>190</v>
      </c>
    </row>
    <row r="1147" spans="15:15" hidden="1">
      <c r="O1147" s="29" t="s">
        <v>190</v>
      </c>
    </row>
    <row r="1148" spans="15:15" hidden="1">
      <c r="O1148" s="29" t="s">
        <v>190</v>
      </c>
    </row>
    <row r="1149" spans="15:15" hidden="1">
      <c r="O1149" s="29" t="s">
        <v>190</v>
      </c>
    </row>
    <row r="1150" spans="15:15" hidden="1">
      <c r="O1150" s="29" t="s">
        <v>190</v>
      </c>
    </row>
    <row r="1151" spans="15:15" hidden="1">
      <c r="O1151" s="29" t="s">
        <v>190</v>
      </c>
    </row>
    <row r="1152" spans="15:15" hidden="1">
      <c r="O1152" s="29" t="s">
        <v>190</v>
      </c>
    </row>
    <row r="1153" spans="15:15" hidden="1">
      <c r="O1153" s="29" t="s">
        <v>190</v>
      </c>
    </row>
    <row r="1154" spans="15:15" hidden="1">
      <c r="O1154" s="29" t="s">
        <v>190</v>
      </c>
    </row>
    <row r="1155" spans="15:15" hidden="1">
      <c r="O1155" s="29" t="s">
        <v>190</v>
      </c>
    </row>
    <row r="1156" spans="15:15" hidden="1">
      <c r="O1156" s="29" t="s">
        <v>190</v>
      </c>
    </row>
    <row r="1157" spans="15:15" hidden="1">
      <c r="O1157" s="29" t="s">
        <v>190</v>
      </c>
    </row>
    <row r="1158" spans="15:15" hidden="1">
      <c r="O1158" s="29" t="s">
        <v>190</v>
      </c>
    </row>
    <row r="1159" spans="15:15" hidden="1">
      <c r="O1159" s="29" t="s">
        <v>190</v>
      </c>
    </row>
    <row r="1160" spans="15:15" hidden="1">
      <c r="O1160" s="29" t="s">
        <v>190</v>
      </c>
    </row>
    <row r="1161" spans="15:15" hidden="1">
      <c r="O1161" s="29" t="s">
        <v>190</v>
      </c>
    </row>
    <row r="1162" spans="15:15" hidden="1">
      <c r="O1162" s="29" t="s">
        <v>190</v>
      </c>
    </row>
    <row r="1163" spans="15:15" hidden="1">
      <c r="O1163" s="29" t="s">
        <v>190</v>
      </c>
    </row>
    <row r="1164" spans="15:15" hidden="1">
      <c r="O1164" s="29" t="s">
        <v>190</v>
      </c>
    </row>
    <row r="1165" spans="15:15" hidden="1">
      <c r="O1165" s="29" t="s">
        <v>190</v>
      </c>
    </row>
    <row r="1166" spans="15:15" hidden="1">
      <c r="O1166" s="29" t="s">
        <v>190</v>
      </c>
    </row>
    <row r="1167" spans="15:15" hidden="1">
      <c r="O1167" s="29" t="s">
        <v>190</v>
      </c>
    </row>
    <row r="1168" spans="15:15" hidden="1">
      <c r="O1168" s="29" t="s">
        <v>190</v>
      </c>
    </row>
    <row r="1169" spans="15:15" hidden="1">
      <c r="O1169" s="29" t="s">
        <v>190</v>
      </c>
    </row>
    <row r="1170" spans="15:15" hidden="1">
      <c r="O1170" s="29" t="s">
        <v>190</v>
      </c>
    </row>
    <row r="1171" spans="15:15" hidden="1">
      <c r="O1171" s="29" t="s">
        <v>190</v>
      </c>
    </row>
    <row r="1172" spans="15:15" hidden="1">
      <c r="O1172" s="29" t="s">
        <v>190</v>
      </c>
    </row>
    <row r="1173" spans="15:15" hidden="1">
      <c r="O1173" s="29" t="s">
        <v>190</v>
      </c>
    </row>
    <row r="1174" spans="15:15" hidden="1">
      <c r="O1174" s="29" t="s">
        <v>190</v>
      </c>
    </row>
    <row r="1175" spans="15:15" hidden="1">
      <c r="O1175" s="29" t="s">
        <v>190</v>
      </c>
    </row>
    <row r="1176" spans="15:15" hidden="1">
      <c r="O1176" s="29" t="s">
        <v>190</v>
      </c>
    </row>
    <row r="1177" spans="15:15" hidden="1">
      <c r="O1177" s="29" t="s">
        <v>190</v>
      </c>
    </row>
    <row r="1178" spans="15:15" hidden="1">
      <c r="O1178" s="29" t="s">
        <v>190</v>
      </c>
    </row>
    <row r="1179" spans="15:15" hidden="1">
      <c r="O1179" s="29" t="s">
        <v>190</v>
      </c>
    </row>
    <row r="1180" spans="15:15" hidden="1">
      <c r="O1180" s="29" t="s">
        <v>190</v>
      </c>
    </row>
    <row r="1181" spans="15:15" hidden="1">
      <c r="O1181" s="29" t="s">
        <v>190</v>
      </c>
    </row>
    <row r="1182" spans="15:15" hidden="1">
      <c r="O1182" s="29" t="s">
        <v>190</v>
      </c>
    </row>
    <row r="1183" spans="15:15" hidden="1">
      <c r="O1183" s="29" t="s">
        <v>190</v>
      </c>
    </row>
    <row r="1184" spans="15:15" hidden="1">
      <c r="O1184" s="29" t="s">
        <v>190</v>
      </c>
    </row>
    <row r="1185" spans="15:15" hidden="1">
      <c r="O1185" s="29" t="s">
        <v>190</v>
      </c>
    </row>
    <row r="1186" spans="15:15" hidden="1">
      <c r="O1186" s="29" t="s">
        <v>190</v>
      </c>
    </row>
    <row r="1187" spans="15:15" hidden="1">
      <c r="O1187" s="29" t="s">
        <v>190</v>
      </c>
    </row>
    <row r="1188" spans="15:15" hidden="1">
      <c r="O1188" s="29" t="s">
        <v>190</v>
      </c>
    </row>
    <row r="1189" spans="15:15" hidden="1">
      <c r="O1189" s="29" t="s">
        <v>190</v>
      </c>
    </row>
    <row r="1190" spans="15:15" hidden="1">
      <c r="O1190" s="29" t="s">
        <v>190</v>
      </c>
    </row>
    <row r="1191" spans="15:15" hidden="1">
      <c r="O1191" s="29" t="s">
        <v>190</v>
      </c>
    </row>
    <row r="1192" spans="15:15" hidden="1">
      <c r="O1192" s="29" t="s">
        <v>190</v>
      </c>
    </row>
    <row r="1193" spans="15:15" hidden="1">
      <c r="O1193" s="29" t="s">
        <v>190</v>
      </c>
    </row>
    <row r="1194" spans="15:15" hidden="1">
      <c r="O1194" s="29" t="s">
        <v>190</v>
      </c>
    </row>
    <row r="1195" spans="15:15" hidden="1">
      <c r="O1195" s="29" t="s">
        <v>190</v>
      </c>
    </row>
    <row r="1196" spans="15:15" hidden="1">
      <c r="O1196" s="29" t="s">
        <v>190</v>
      </c>
    </row>
    <row r="1197" spans="15:15" hidden="1">
      <c r="O1197" s="29" t="s">
        <v>190</v>
      </c>
    </row>
    <row r="1198" spans="15:15" hidden="1">
      <c r="O1198" s="29" t="s">
        <v>190</v>
      </c>
    </row>
    <row r="1199" spans="15:15" hidden="1">
      <c r="O1199" s="29" t="s">
        <v>190</v>
      </c>
    </row>
    <row r="1200" spans="15:15" hidden="1">
      <c r="O1200" s="29" t="s">
        <v>190</v>
      </c>
    </row>
    <row r="1201" spans="15:15" hidden="1">
      <c r="O1201" s="29" t="s">
        <v>190</v>
      </c>
    </row>
    <row r="1202" spans="15:15" hidden="1">
      <c r="O1202" s="29" t="s">
        <v>190</v>
      </c>
    </row>
    <row r="1203" spans="15:15" hidden="1">
      <c r="O1203" s="29" t="s">
        <v>190</v>
      </c>
    </row>
    <row r="1204" spans="15:15" hidden="1">
      <c r="O1204" s="29" t="s">
        <v>190</v>
      </c>
    </row>
    <row r="1205" spans="15:15" hidden="1">
      <c r="O1205" s="29" t="s">
        <v>190</v>
      </c>
    </row>
  </sheetData>
  <hyperlinks>
    <hyperlink ref="B25" r:id="rId1" xr:uid="{A38E8369-D0AB-4C0E-B504-B7A8F266362F}"/>
    <hyperlink ref="D9" r:id="rId2" display="Case Author: David Brown" xr:uid="{139794EF-DB32-40D7-886B-07682D0A7849}"/>
    <hyperlink ref="C9" r:id="rId3" xr:uid="{71B45F9B-46B8-440E-9D5C-4C4046AD0326}"/>
    <hyperlink ref="E23" r:id="rId4" xr:uid="{7FC3EBB6-D0E6-4E53-AB5E-9042D67FFF9F}"/>
  </hyperlinks>
  <pageMargins left="0.7" right="0.7" top="0.75" bottom="0.75" header="0.3" footer="0.3"/>
  <pageSetup orientation="portrait" r:id="rId5"/>
  <ignoredErrors>
    <ignoredError sqref="B8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Drop Down 1">
              <controlPr defaultSize="0" autoLine="0" autoPict="0">
                <anchor moveWithCells="1">
                  <from>
                    <xdr:col>2</xdr:col>
                    <xdr:colOff>866775</xdr:colOff>
                    <xdr:row>26</xdr:row>
                    <xdr:rowOff>180975</xdr:rowOff>
                  </from>
                  <to>
                    <xdr:col>3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9" name="Drop Down 2">
              <controlPr defaultSize="0" autoLine="0" autoPict="0">
                <anchor moveWithCells="1">
                  <from>
                    <xdr:col>2</xdr:col>
                    <xdr:colOff>876300</xdr:colOff>
                    <xdr:row>29</xdr:row>
                    <xdr:rowOff>0</xdr:rowOff>
                  </from>
                  <to>
                    <xdr:col>3</xdr:col>
                    <xdr:colOff>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0" name="Drop Down 3">
              <controlPr defaultSize="0" autoLine="0" autoPict="0">
                <anchor moveWithCells="1">
                  <from>
                    <xdr:col>2</xdr:col>
                    <xdr:colOff>866775</xdr:colOff>
                    <xdr:row>31</xdr:row>
                    <xdr:rowOff>9525</xdr:rowOff>
                  </from>
                  <to>
                    <xdr:col>3</xdr:col>
                    <xdr:colOff>0</xdr:colOff>
                    <xdr:row>32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F54B-B6E7-4F91-B9A4-3A2EAD7278F3}">
  <sheetPr codeName="Sheet3"/>
  <dimension ref="A1:XX1000"/>
  <sheetViews>
    <sheetView showGridLines="0" workbookViewId="0">
      <selection activeCell="B75" sqref="B75"/>
    </sheetView>
  </sheetViews>
  <sheetFormatPr defaultRowHeight="15"/>
  <sheetData>
    <row r="1" spans="1:1">
      <c r="A1" s="71" t="s">
        <v>548</v>
      </c>
    </row>
    <row r="2" spans="1:1">
      <c r="A2" t="s">
        <v>547</v>
      </c>
    </row>
    <row r="21" spans="1:1">
      <c r="A21" t="s">
        <v>537</v>
      </c>
    </row>
    <row r="22" spans="1:1">
      <c r="A22" t="s">
        <v>538</v>
      </c>
    </row>
    <row r="43" spans="1:1">
      <c r="A43" t="s">
        <v>539</v>
      </c>
    </row>
    <row r="44" spans="1:1">
      <c r="A44" t="s">
        <v>540</v>
      </c>
    </row>
    <row r="45" spans="1:1">
      <c r="A45" t="s">
        <v>541</v>
      </c>
    </row>
    <row r="46" spans="1:1">
      <c r="A46" t="s">
        <v>542</v>
      </c>
    </row>
    <row r="47" spans="1:1">
      <c r="A47" t="s">
        <v>543</v>
      </c>
    </row>
    <row r="48" spans="1:1">
      <c r="A48" t="s">
        <v>544</v>
      </c>
    </row>
    <row r="49" spans="1:1">
      <c r="A49" t="s">
        <v>545</v>
      </c>
    </row>
    <row r="71" spans="1:1">
      <c r="A71" t="s">
        <v>546</v>
      </c>
    </row>
    <row r="1000" spans="648:648" ht="15.75">
      <c r="XX1000" s="74">
        <v>125713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B5F31-016B-48F5-8443-F9B9689193E6}">
  <sheetPr codeName="Sheet4"/>
  <dimension ref="A1:XX1000"/>
  <sheetViews>
    <sheetView showGridLines="0" topLeftCell="R1" workbookViewId="0">
      <pane ySplit="8" topLeftCell="A92" activePane="bottomLeft" state="frozen"/>
      <selection pane="bottomLeft" activeCell="AB97" sqref="AB97"/>
    </sheetView>
  </sheetViews>
  <sheetFormatPr defaultRowHeight="15"/>
  <cols>
    <col min="6" max="6" width="11" customWidth="1"/>
    <col min="7" max="11" width="8.85546875" customWidth="1"/>
    <col min="12" max="12" width="11.140625" customWidth="1"/>
    <col min="13" max="19" width="8.85546875" customWidth="1"/>
    <col min="20" max="20" width="15.7109375" customWidth="1"/>
    <col min="21" max="23" width="8.85546875" customWidth="1"/>
    <col min="24" max="24" width="10.28515625" customWidth="1"/>
    <col min="25" max="26" width="8.85546875" customWidth="1"/>
    <col min="27" max="27" width="22.85546875" bestFit="1" customWidth="1"/>
    <col min="28" max="28" width="8.85546875" customWidth="1"/>
  </cols>
  <sheetData>
    <row r="1" spans="1:12">
      <c r="F1" s="56"/>
    </row>
    <row r="2" spans="1:12">
      <c r="F2" s="56"/>
    </row>
    <row r="3" spans="1:12">
      <c r="F3" s="56"/>
    </row>
    <row r="4" spans="1:12">
      <c r="F4" s="56"/>
    </row>
    <row r="5" spans="1:12">
      <c r="F5" s="56"/>
    </row>
    <row r="6" spans="1:12">
      <c r="F6" s="56"/>
    </row>
    <row r="7" spans="1:12">
      <c r="F7" s="56"/>
    </row>
    <row r="8" spans="1:12">
      <c r="F8" s="56"/>
      <c r="G8" s="60" t="s">
        <v>4</v>
      </c>
      <c r="H8" s="58" t="s">
        <v>0</v>
      </c>
      <c r="I8" s="58" t="s">
        <v>1</v>
      </c>
      <c r="J8" s="58" t="s">
        <v>15</v>
      </c>
      <c r="K8" s="58" t="s">
        <v>2</v>
      </c>
      <c r="L8" s="58" t="s">
        <v>102</v>
      </c>
    </row>
    <row r="9" spans="1:12" ht="15.75" thickBot="1">
      <c r="F9" s="67" cm="1">
        <f t="array" ref="F9:F108">_xlfn.SEQUENCE(100)</f>
        <v>1</v>
      </c>
      <c r="G9" s="61" t="str">
        <f>BackgroundCalcs!AN2</f>
        <v>Wesley</v>
      </c>
      <c r="H9" s="56">
        <f>BackgroundCalcs!AO2</f>
        <v>1</v>
      </c>
      <c r="I9" s="56">
        <f>BackgroundCalcs!AP2</f>
        <v>1</v>
      </c>
      <c r="J9" s="59">
        <f>BackgroundCalcs!AQ2</f>
        <v>3.1058220132713821</v>
      </c>
      <c r="K9" s="56">
        <f>BackgroundCalcs!AS2</f>
        <v>38341</v>
      </c>
      <c r="L9" s="56" t="str">
        <f>RIGHT(K9,3)</f>
        <v>341</v>
      </c>
    </row>
    <row r="10" spans="1:12" ht="15.75" thickBot="1">
      <c r="A10" s="70" t="s">
        <v>518</v>
      </c>
      <c r="B10" s="69" t="str">
        <f>EmptyCell</f>
        <v>-------</v>
      </c>
      <c r="F10" s="56">
        <v>2</v>
      </c>
      <c r="G10" s="61" t="str">
        <f>BackgroundCalcs!AN3</f>
        <v>Adrien</v>
      </c>
      <c r="H10" s="56">
        <f>BackgroundCalcs!AO3</f>
        <v>1</v>
      </c>
      <c r="I10" s="56">
        <f>BackgroundCalcs!AP3</f>
        <v>0</v>
      </c>
      <c r="J10" s="59">
        <f>BackgroundCalcs!AQ3</f>
        <v>2.8811058170623181</v>
      </c>
      <c r="K10" s="56">
        <f>BackgroundCalcs!AS3</f>
        <v>35908</v>
      </c>
      <c r="L10" s="56" t="str">
        <f t="shared" ref="L10:L73" si="0">RIGHT(K10,3)</f>
        <v>908</v>
      </c>
    </row>
    <row r="11" spans="1:12">
      <c r="F11" s="56">
        <v>3</v>
      </c>
      <c r="G11" s="61" t="str">
        <f>BackgroundCalcs!AN4</f>
        <v>Jessica</v>
      </c>
      <c r="H11" s="56">
        <f>BackgroundCalcs!AO4</f>
        <v>0</v>
      </c>
      <c r="I11" s="56">
        <f>BackgroundCalcs!AP4</f>
        <v>1</v>
      </c>
      <c r="J11" s="66">
        <v>3.0545838598437989</v>
      </c>
      <c r="K11" s="56">
        <f>BackgroundCalcs!AS4</f>
        <v>36516</v>
      </c>
      <c r="L11" s="56" t="str">
        <f t="shared" si="0"/>
        <v>516</v>
      </c>
    </row>
    <row r="12" spans="1:12">
      <c r="F12" s="56">
        <v>4</v>
      </c>
      <c r="G12" s="61" t="str">
        <f>BackgroundCalcs!AN5</f>
        <v>Pamela</v>
      </c>
      <c r="H12" s="56">
        <f>BackgroundCalcs!AO5</f>
        <v>0</v>
      </c>
      <c r="I12" s="56">
        <f>BackgroundCalcs!AP5</f>
        <v>0</v>
      </c>
      <c r="J12" s="66">
        <v>3.0545838598437989</v>
      </c>
      <c r="K12" s="56">
        <f>BackgroundCalcs!AS5</f>
        <v>37254</v>
      </c>
      <c r="L12" s="56" t="str">
        <f t="shared" si="0"/>
        <v>254</v>
      </c>
    </row>
    <row r="13" spans="1:12">
      <c r="F13" s="56">
        <v>5</v>
      </c>
      <c r="G13" s="61" t="str">
        <f>BackgroundCalcs!AN6</f>
        <v>Wyatt</v>
      </c>
      <c r="H13" s="56">
        <f>BackgroundCalcs!AO6</f>
        <v>1</v>
      </c>
      <c r="I13" s="56">
        <f>BackgroundCalcs!AP6</f>
        <v>0</v>
      </c>
      <c r="J13" s="66">
        <v>3.0545838598437989</v>
      </c>
      <c r="K13" s="56">
        <f>BackgroundCalcs!AS6</f>
        <v>38109</v>
      </c>
      <c r="L13" s="56" t="str">
        <f t="shared" si="0"/>
        <v>109</v>
      </c>
    </row>
    <row r="14" spans="1:12">
      <c r="F14" s="56">
        <v>6</v>
      </c>
      <c r="G14" s="61" t="str">
        <f>BackgroundCalcs!AN7</f>
        <v>Lucien</v>
      </c>
      <c r="H14" s="56">
        <f>BackgroundCalcs!AO7</f>
        <v>1</v>
      </c>
      <c r="I14" s="56">
        <f>BackgroundCalcs!AP7</f>
        <v>1</v>
      </c>
      <c r="J14" s="66">
        <v>3.0545838598437989</v>
      </c>
      <c r="K14" s="56">
        <f>BackgroundCalcs!AS7</f>
        <v>37810</v>
      </c>
      <c r="L14" s="56" t="str">
        <f t="shared" si="0"/>
        <v>810</v>
      </c>
    </row>
    <row r="15" spans="1:12">
      <c r="F15" s="56">
        <v>7</v>
      </c>
      <c r="G15" s="61" t="str">
        <f>BackgroundCalcs!AN8</f>
        <v>Luna</v>
      </c>
      <c r="H15" s="56">
        <f>BackgroundCalcs!AO8</f>
        <v>0</v>
      </c>
      <c r="I15" s="56">
        <f>BackgroundCalcs!AP8</f>
        <v>0</v>
      </c>
      <c r="J15" s="66">
        <v>3.0545838598437989</v>
      </c>
      <c r="K15" s="56">
        <f>BackgroundCalcs!AS8</f>
        <v>38183</v>
      </c>
      <c r="L15" s="56" t="str">
        <f t="shared" si="0"/>
        <v>183</v>
      </c>
    </row>
    <row r="16" spans="1:12">
      <c r="F16" s="56">
        <v>8</v>
      </c>
      <c r="G16" s="61" t="str">
        <f>BackgroundCalcs!AN9</f>
        <v>Samantha</v>
      </c>
      <c r="H16" s="56">
        <f>BackgroundCalcs!AO9</f>
        <v>0</v>
      </c>
      <c r="I16" s="56">
        <f>BackgroundCalcs!AP9</f>
        <v>1</v>
      </c>
      <c r="J16" s="66">
        <v>3.0545838598437989</v>
      </c>
      <c r="K16" s="56">
        <f>BackgroundCalcs!AS9</f>
        <v>36601</v>
      </c>
      <c r="L16" s="56" t="str">
        <f t="shared" si="0"/>
        <v>601</v>
      </c>
    </row>
    <row r="17" spans="6:16">
      <c r="F17" s="56">
        <v>9</v>
      </c>
      <c r="G17" s="61" t="str">
        <f>BackgroundCalcs!AN10</f>
        <v>Beau</v>
      </c>
      <c r="H17" s="56">
        <f>BackgroundCalcs!AO10</f>
        <v>1</v>
      </c>
      <c r="I17" s="56">
        <f>BackgroundCalcs!AP10</f>
        <v>1</v>
      </c>
      <c r="J17" s="66">
        <v>3.0545838598437989</v>
      </c>
      <c r="K17" s="56">
        <f>BackgroundCalcs!AS10</f>
        <v>35647</v>
      </c>
      <c r="L17" s="56" t="str">
        <f t="shared" si="0"/>
        <v>647</v>
      </c>
    </row>
    <row r="18" spans="6:16">
      <c r="F18" s="56">
        <v>10</v>
      </c>
      <c r="G18" s="61" t="str">
        <f>BackgroundCalcs!AN11</f>
        <v>Violet</v>
      </c>
      <c r="H18" s="56">
        <f>BackgroundCalcs!AO11</f>
        <v>0</v>
      </c>
      <c r="I18" s="56">
        <f>BackgroundCalcs!AP11</f>
        <v>0</v>
      </c>
      <c r="J18" s="66">
        <v>3.0545838598437989</v>
      </c>
      <c r="K18" s="56">
        <f>BackgroundCalcs!AS11</f>
        <v>37412</v>
      </c>
      <c r="L18" s="56" t="str">
        <f t="shared" si="0"/>
        <v>412</v>
      </c>
    </row>
    <row r="19" spans="6:16">
      <c r="F19" s="56">
        <v>11</v>
      </c>
      <c r="G19" s="61" t="str">
        <f>BackgroundCalcs!AN12</f>
        <v>Harper</v>
      </c>
      <c r="H19" s="56">
        <f>BackgroundCalcs!AO12</f>
        <v>1</v>
      </c>
      <c r="I19" s="56">
        <f>BackgroundCalcs!AP12</f>
        <v>0</v>
      </c>
      <c r="J19" s="59">
        <f>BackgroundCalcs!AQ12</f>
        <v>3.7301009335816842</v>
      </c>
      <c r="K19" s="56">
        <f>BackgroundCalcs!AS12</f>
        <v>35667</v>
      </c>
      <c r="L19" s="56" t="str">
        <f t="shared" si="0"/>
        <v>667</v>
      </c>
    </row>
    <row r="20" spans="6:16">
      <c r="F20" s="56">
        <v>12</v>
      </c>
      <c r="G20" s="61" t="str">
        <f>BackgroundCalcs!AN13</f>
        <v>Nathaniel</v>
      </c>
      <c r="H20" s="56">
        <f>BackgroundCalcs!AO13</f>
        <v>1</v>
      </c>
      <c r="I20" s="56">
        <f>BackgroundCalcs!AP13</f>
        <v>0</v>
      </c>
      <c r="J20" s="59">
        <f>BackgroundCalcs!AQ13</f>
        <v>2.8811058170623181</v>
      </c>
      <c r="K20" s="56">
        <f>BackgroundCalcs!AS13</f>
        <v>36123</v>
      </c>
      <c r="L20" s="56" t="str">
        <f t="shared" si="0"/>
        <v>123</v>
      </c>
    </row>
    <row r="21" spans="6:16">
      <c r="F21" s="56">
        <v>13</v>
      </c>
      <c r="G21" s="61" t="str">
        <f>BackgroundCalcs!AN14</f>
        <v>Zander</v>
      </c>
      <c r="H21" s="56">
        <f>BackgroundCalcs!AO14</f>
        <v>1</v>
      </c>
      <c r="I21" s="56">
        <f>BackgroundCalcs!AP14</f>
        <v>1</v>
      </c>
      <c r="J21" s="59">
        <f>BackgroundCalcs!AQ14</f>
        <v>3.8015784380038458</v>
      </c>
      <c r="K21" s="56">
        <f>BackgroundCalcs!AS14</f>
        <v>37372</v>
      </c>
      <c r="L21" s="56" t="str">
        <f t="shared" si="0"/>
        <v>372</v>
      </c>
    </row>
    <row r="22" spans="6:16">
      <c r="F22" s="56">
        <v>14</v>
      </c>
      <c r="G22" s="61" t="str">
        <f>BackgroundCalcs!AN15</f>
        <v>Ella</v>
      </c>
      <c r="H22" s="56">
        <f>BackgroundCalcs!AO15</f>
        <v>0</v>
      </c>
      <c r="I22" s="56">
        <f>BackgroundCalcs!AP15</f>
        <v>0</v>
      </c>
      <c r="J22" s="59">
        <f>BackgroundCalcs!AQ15</f>
        <v>2.8811058170623181</v>
      </c>
      <c r="K22" s="56">
        <f>BackgroundCalcs!AS15</f>
        <v>35711</v>
      </c>
      <c r="L22" s="56" t="str">
        <f t="shared" si="0"/>
        <v>711</v>
      </c>
      <c r="P22" s="1"/>
    </row>
    <row r="23" spans="6:16">
      <c r="F23" s="56">
        <v>15</v>
      </c>
      <c r="G23" s="61" t="str">
        <f>BackgroundCalcs!AN16</f>
        <v>Logan</v>
      </c>
      <c r="H23" s="56">
        <f>BackgroundCalcs!AO16</f>
        <v>1</v>
      </c>
      <c r="I23" s="56">
        <f>BackgroundCalcs!AP16</f>
        <v>0</v>
      </c>
      <c r="J23" s="59">
        <f>BackgroundCalcs!AQ16</f>
        <v>2.5782243864508061</v>
      </c>
      <c r="K23" s="56">
        <f>BackgroundCalcs!AS16</f>
        <v>35682</v>
      </c>
      <c r="L23" s="56" t="str">
        <f t="shared" si="0"/>
        <v>682</v>
      </c>
    </row>
    <row r="24" spans="6:16">
      <c r="F24" s="56">
        <v>16</v>
      </c>
      <c r="G24" s="61" t="str">
        <f>BackgroundCalcs!AN17</f>
        <v>Amy</v>
      </c>
      <c r="H24" s="56">
        <f>BackgroundCalcs!AO17</f>
        <v>0</v>
      </c>
      <c r="I24" s="56">
        <f>BackgroundCalcs!AP17</f>
        <v>1</v>
      </c>
      <c r="J24" s="59">
        <f>BackgroundCalcs!AQ17</f>
        <v>2.8811058170623181</v>
      </c>
      <c r="K24" s="56">
        <f>BackgroundCalcs!AS17</f>
        <v>38355</v>
      </c>
      <c r="L24" s="56" t="str">
        <f t="shared" si="0"/>
        <v>355</v>
      </c>
    </row>
    <row r="25" spans="6:16">
      <c r="F25" s="56">
        <v>17</v>
      </c>
      <c r="G25" s="61" t="str">
        <f>BackgroundCalcs!AN18</f>
        <v>Luke</v>
      </c>
      <c r="H25" s="56">
        <f>BackgroundCalcs!AO18</f>
        <v>1</v>
      </c>
      <c r="I25" s="56">
        <f>BackgroundCalcs!AP18</f>
        <v>0</v>
      </c>
      <c r="J25" s="59">
        <f>BackgroundCalcs!AQ18</f>
        <v>3.4089689855564576</v>
      </c>
      <c r="K25" s="56">
        <f>BackgroundCalcs!AS18</f>
        <v>37772</v>
      </c>
      <c r="L25" s="56" t="str">
        <f t="shared" si="0"/>
        <v>772</v>
      </c>
    </row>
    <row r="26" spans="6:16">
      <c r="F26" s="56">
        <v>18</v>
      </c>
      <c r="G26" s="61" t="str">
        <f>BackgroundCalcs!AN19</f>
        <v>Eden</v>
      </c>
      <c r="H26" s="56">
        <f>BackgroundCalcs!AO19</f>
        <v>1</v>
      </c>
      <c r="I26" s="56">
        <f>BackgroundCalcs!AP19</f>
        <v>0</v>
      </c>
      <c r="J26" s="59">
        <f>BackgroundCalcs!AQ19</f>
        <v>2.8811058170623181</v>
      </c>
      <c r="K26" s="56">
        <f>BackgroundCalcs!AS19</f>
        <v>38222</v>
      </c>
      <c r="L26" s="56" t="str">
        <f t="shared" si="0"/>
        <v>222</v>
      </c>
    </row>
    <row r="27" spans="6:16">
      <c r="F27" s="56">
        <v>19</v>
      </c>
      <c r="G27" s="61" t="str">
        <f>BackgroundCalcs!AN20</f>
        <v>Vincent</v>
      </c>
      <c r="H27" s="56">
        <f>BackgroundCalcs!AO20</f>
        <v>1</v>
      </c>
      <c r="I27" s="56">
        <f>BackgroundCalcs!AP20</f>
        <v>0</v>
      </c>
      <c r="J27" s="66">
        <v>3.0545838598437989</v>
      </c>
      <c r="K27" s="56">
        <f>BackgroundCalcs!AS20</f>
        <v>36050</v>
      </c>
      <c r="L27" s="56" t="str">
        <f t="shared" si="0"/>
        <v>050</v>
      </c>
    </row>
    <row r="28" spans="6:16">
      <c r="F28" s="56">
        <v>20</v>
      </c>
      <c r="G28" s="61" t="str">
        <f>BackgroundCalcs!AN21</f>
        <v>Calix</v>
      </c>
      <c r="H28" s="56">
        <f>BackgroundCalcs!AO21</f>
        <v>1</v>
      </c>
      <c r="I28" s="56">
        <f>BackgroundCalcs!AP21</f>
        <v>0</v>
      </c>
      <c r="J28" s="66">
        <v>3.0545838598437989</v>
      </c>
      <c r="K28" s="56">
        <f>BackgroundCalcs!AS21</f>
        <v>37589</v>
      </c>
      <c r="L28" s="56" t="str">
        <f t="shared" si="0"/>
        <v>589</v>
      </c>
    </row>
    <row r="29" spans="6:16">
      <c r="F29" s="56">
        <v>21</v>
      </c>
      <c r="G29" s="61" t="str">
        <f>BackgroundCalcs!AN22</f>
        <v>Ezra</v>
      </c>
      <c r="H29" s="56">
        <f>BackgroundCalcs!AO22</f>
        <v>1</v>
      </c>
      <c r="I29" s="56">
        <f>BackgroundCalcs!AP22</f>
        <v>1</v>
      </c>
      <c r="J29" s="66">
        <v>3.0545838598437989</v>
      </c>
      <c r="K29" s="56">
        <f>BackgroundCalcs!AS22</f>
        <v>36324</v>
      </c>
      <c r="L29" s="56" t="str">
        <f t="shared" si="0"/>
        <v>324</v>
      </c>
    </row>
    <row r="30" spans="6:16">
      <c r="F30" s="56">
        <v>22</v>
      </c>
      <c r="G30" s="61" t="str">
        <f>BackgroundCalcs!AN23</f>
        <v>Helen</v>
      </c>
      <c r="H30" s="56">
        <f>BackgroundCalcs!AO23</f>
        <v>0</v>
      </c>
      <c r="I30" s="56">
        <f>BackgroundCalcs!AP23</f>
        <v>1</v>
      </c>
      <c r="J30" s="66">
        <v>3.0545838598437989</v>
      </c>
      <c r="K30" s="56">
        <f>BackgroundCalcs!AS23</f>
        <v>36453</v>
      </c>
      <c r="L30" s="56" t="str">
        <f t="shared" si="0"/>
        <v>453</v>
      </c>
    </row>
    <row r="31" spans="6:16">
      <c r="F31" s="56">
        <v>23</v>
      </c>
      <c r="G31" s="61" t="str">
        <f>BackgroundCalcs!AN24</f>
        <v>Isaiah</v>
      </c>
      <c r="H31" s="56">
        <f>BackgroundCalcs!AO24</f>
        <v>1</v>
      </c>
      <c r="I31" s="56">
        <f>BackgroundCalcs!AP24</f>
        <v>1</v>
      </c>
      <c r="J31" s="66">
        <v>3.0545838598437989</v>
      </c>
      <c r="K31" s="56">
        <f>BackgroundCalcs!AS24</f>
        <v>37597</v>
      </c>
      <c r="L31" s="56" t="str">
        <f t="shared" si="0"/>
        <v>597</v>
      </c>
    </row>
    <row r="32" spans="6:16">
      <c r="F32" s="56">
        <v>24</v>
      </c>
      <c r="G32" s="61" t="str">
        <f>BackgroundCalcs!AN25</f>
        <v>Callum</v>
      </c>
      <c r="H32" s="56">
        <f>BackgroundCalcs!AO25</f>
        <v>1</v>
      </c>
      <c r="I32" s="56">
        <f>BackgroundCalcs!AP25</f>
        <v>0</v>
      </c>
      <c r="J32" s="66">
        <v>3.0545838598437989</v>
      </c>
      <c r="K32" s="56">
        <f>BackgroundCalcs!AS25</f>
        <v>36653</v>
      </c>
      <c r="L32" s="56" t="str">
        <f t="shared" si="0"/>
        <v>653</v>
      </c>
    </row>
    <row r="33" spans="6:25">
      <c r="F33" s="56">
        <v>25</v>
      </c>
      <c r="G33" s="61" t="str">
        <f>BackgroundCalcs!AN26</f>
        <v>Landon</v>
      </c>
      <c r="H33" s="56">
        <f>BackgroundCalcs!AO26</f>
        <v>1</v>
      </c>
      <c r="I33" s="56">
        <f>BackgroundCalcs!AP26</f>
        <v>0</v>
      </c>
      <c r="J33" s="66">
        <v>3.0545838598437989</v>
      </c>
      <c r="K33" s="56">
        <f>BackgroundCalcs!AS26</f>
        <v>38267</v>
      </c>
      <c r="L33" s="56" t="str">
        <f t="shared" si="0"/>
        <v>267</v>
      </c>
    </row>
    <row r="34" spans="6:25">
      <c r="F34" s="56">
        <v>26</v>
      </c>
      <c r="G34" s="61" t="str">
        <f>BackgroundCalcs!AN27</f>
        <v>Dante</v>
      </c>
      <c r="H34" s="56">
        <f>BackgroundCalcs!AO27</f>
        <v>1</v>
      </c>
      <c r="I34" s="56">
        <f>BackgroundCalcs!AP27</f>
        <v>0</v>
      </c>
      <c r="J34" s="66">
        <v>3.0545838598437989</v>
      </c>
      <c r="K34" s="56">
        <f>BackgroundCalcs!AS27</f>
        <v>36602</v>
      </c>
      <c r="L34" s="56" t="str">
        <f t="shared" si="0"/>
        <v>602</v>
      </c>
    </row>
    <row r="35" spans="6:25">
      <c r="F35" s="56">
        <v>27</v>
      </c>
      <c r="G35" s="61" t="str">
        <f>BackgroundCalcs!AN28</f>
        <v>Anna</v>
      </c>
      <c r="H35" s="56">
        <f>BackgroundCalcs!AO28</f>
        <v>0</v>
      </c>
      <c r="I35" s="56">
        <f>BackgroundCalcs!AP28</f>
        <v>0</v>
      </c>
      <c r="J35" s="66">
        <v>3.0545838598437989</v>
      </c>
      <c r="K35" s="56">
        <f>BackgroundCalcs!AS28</f>
        <v>37987</v>
      </c>
      <c r="L35" s="56" t="str">
        <f t="shared" si="0"/>
        <v>987</v>
      </c>
    </row>
    <row r="36" spans="6:25">
      <c r="F36" s="56">
        <v>28</v>
      </c>
      <c r="G36" s="61" t="str">
        <f>BackgroundCalcs!AN29</f>
        <v>Tobias</v>
      </c>
      <c r="H36" s="56">
        <f>BackgroundCalcs!AO29</f>
        <v>1</v>
      </c>
      <c r="I36" s="56">
        <f>BackgroundCalcs!AP29</f>
        <v>1</v>
      </c>
      <c r="J36" s="66">
        <v>3.0545838598437989</v>
      </c>
      <c r="K36" s="56">
        <f>BackgroundCalcs!AS29</f>
        <v>38175</v>
      </c>
      <c r="L36" s="56" t="str">
        <f t="shared" si="0"/>
        <v>175</v>
      </c>
    </row>
    <row r="37" spans="6:25">
      <c r="F37" s="56">
        <v>29</v>
      </c>
      <c r="G37" s="61" t="str">
        <f>BackgroundCalcs!AN30</f>
        <v>Jade</v>
      </c>
      <c r="H37" s="56">
        <f>BackgroundCalcs!AO30</f>
        <v>1</v>
      </c>
      <c r="I37" s="56">
        <f>BackgroundCalcs!AP30</f>
        <v>1</v>
      </c>
      <c r="J37" s="66">
        <v>3.0545838598437989</v>
      </c>
      <c r="K37" s="56">
        <f>BackgroundCalcs!AS30</f>
        <v>37689</v>
      </c>
      <c r="L37" s="56" t="str">
        <f t="shared" si="0"/>
        <v>689</v>
      </c>
    </row>
    <row r="38" spans="6:25">
      <c r="F38" s="56">
        <v>30</v>
      </c>
      <c r="G38" s="61" t="str">
        <f>BackgroundCalcs!AN31</f>
        <v>Rowan</v>
      </c>
      <c r="H38" s="56">
        <f>BackgroundCalcs!AO31</f>
        <v>1</v>
      </c>
      <c r="I38" s="56">
        <f>BackgroundCalcs!AP31</f>
        <v>1</v>
      </c>
      <c r="J38" s="66">
        <v>3.0545838598437989</v>
      </c>
      <c r="K38" s="56">
        <f>BackgroundCalcs!AS31</f>
        <v>38265</v>
      </c>
      <c r="L38" s="56" t="str">
        <f t="shared" si="0"/>
        <v>265</v>
      </c>
    </row>
    <row r="39" spans="6:25">
      <c r="F39" s="56">
        <v>31</v>
      </c>
      <c r="G39" s="61" t="str">
        <f>BackgroundCalcs!AN32</f>
        <v>Jonah</v>
      </c>
      <c r="H39" s="56">
        <f>BackgroundCalcs!AO32</f>
        <v>1</v>
      </c>
      <c r="I39" s="56">
        <f>BackgroundCalcs!AP32</f>
        <v>0</v>
      </c>
      <c r="J39" s="66">
        <v>3.0545838598437989</v>
      </c>
      <c r="K39" s="56">
        <f>BackgroundCalcs!AS32</f>
        <v>36191</v>
      </c>
      <c r="L39" s="56" t="str">
        <f t="shared" si="0"/>
        <v>191</v>
      </c>
    </row>
    <row r="40" spans="6:25">
      <c r="F40" s="56">
        <v>32</v>
      </c>
      <c r="G40" s="61" t="str">
        <f>BackgroundCalcs!AN33</f>
        <v>Dominic</v>
      </c>
      <c r="H40" s="56">
        <f>BackgroundCalcs!AO33</f>
        <v>1</v>
      </c>
      <c r="I40" s="56">
        <f>BackgroundCalcs!AP33</f>
        <v>0</v>
      </c>
      <c r="J40" s="59">
        <f>BackgroundCalcs!AQ33</f>
        <v>3.4148123623931705</v>
      </c>
      <c r="K40" s="56">
        <f>BackgroundCalcs!AS33</f>
        <v>37432</v>
      </c>
      <c r="L40" s="56" t="str">
        <f t="shared" si="0"/>
        <v>432</v>
      </c>
    </row>
    <row r="41" spans="6:25">
      <c r="F41" s="56">
        <v>33</v>
      </c>
      <c r="G41" s="61" t="str">
        <f>BackgroundCalcs!AN34</f>
        <v>Cyrus</v>
      </c>
      <c r="H41" s="56">
        <f>BackgroundCalcs!AO34</f>
        <v>1</v>
      </c>
      <c r="I41" s="56">
        <f>BackgroundCalcs!AP34</f>
        <v>0</v>
      </c>
      <c r="J41" s="59">
        <f>BackgroundCalcs!AQ34</f>
        <v>2.8811058170623181</v>
      </c>
      <c r="K41" s="56">
        <f>BackgroundCalcs!AS34</f>
        <v>37102</v>
      </c>
      <c r="L41" s="56" t="str">
        <f t="shared" si="0"/>
        <v>102</v>
      </c>
      <c r="Y41" t="s">
        <v>111</v>
      </c>
    </row>
    <row r="42" spans="6:25">
      <c r="F42" s="56">
        <v>34</v>
      </c>
      <c r="G42" s="61" t="str">
        <f>BackgroundCalcs!AN35</f>
        <v>Susan</v>
      </c>
      <c r="H42" s="56">
        <f>BackgroundCalcs!AO35</f>
        <v>0</v>
      </c>
      <c r="I42" s="56">
        <f>BackgroundCalcs!AP35</f>
        <v>0</v>
      </c>
      <c r="J42" s="59">
        <f>BackgroundCalcs!AQ35</f>
        <v>2.501484019080535</v>
      </c>
      <c r="K42" s="56">
        <f>BackgroundCalcs!AS35</f>
        <v>36528</v>
      </c>
      <c r="L42" s="56" t="str">
        <f t="shared" si="0"/>
        <v>528</v>
      </c>
      <c r="Y42" t="s">
        <v>112</v>
      </c>
    </row>
    <row r="43" spans="6:25">
      <c r="F43" s="56">
        <v>35</v>
      </c>
      <c r="G43" s="61" t="str">
        <f>BackgroundCalcs!AN36</f>
        <v>Gideon</v>
      </c>
      <c r="H43" s="56">
        <f>BackgroundCalcs!AO36</f>
        <v>1</v>
      </c>
      <c r="I43" s="56">
        <f>BackgroundCalcs!AP36</f>
        <v>1</v>
      </c>
      <c r="J43" s="59">
        <f>BackgroundCalcs!AQ36</f>
        <v>2.8811058170623181</v>
      </c>
      <c r="K43" s="56">
        <f>BackgroundCalcs!AS36</f>
        <v>36819</v>
      </c>
      <c r="L43" s="56" t="str">
        <f t="shared" si="0"/>
        <v>819</v>
      </c>
      <c r="Y43" t="s">
        <v>111</v>
      </c>
    </row>
    <row r="44" spans="6:25">
      <c r="F44" s="56">
        <v>36</v>
      </c>
      <c r="G44" s="61" t="str">
        <f>BackgroundCalcs!AN37</f>
        <v>Carol</v>
      </c>
      <c r="H44" s="56">
        <f>BackgroundCalcs!AO37</f>
        <v>0</v>
      </c>
      <c r="I44" s="56">
        <f>BackgroundCalcs!AP37</f>
        <v>1</v>
      </c>
      <c r="J44" s="59">
        <f>BackgroundCalcs!AQ37</f>
        <v>3.2796748436769603</v>
      </c>
      <c r="K44" s="56">
        <f>BackgroundCalcs!AS37</f>
        <v>38341</v>
      </c>
      <c r="L44" s="56" t="str">
        <f t="shared" si="0"/>
        <v>341</v>
      </c>
      <c r="Y44" t="s">
        <v>112</v>
      </c>
    </row>
    <row r="45" spans="6:25">
      <c r="F45" s="56">
        <v>37</v>
      </c>
      <c r="G45" s="61" t="str">
        <f>BackgroundCalcs!AN38</f>
        <v>Alaric</v>
      </c>
      <c r="H45" s="56">
        <f>BackgroundCalcs!AO38</f>
        <v>1</v>
      </c>
      <c r="I45" s="56">
        <f>BackgroundCalcs!AP38</f>
        <v>1</v>
      </c>
      <c r="J45" s="59">
        <f>BackgroundCalcs!AQ38</f>
        <v>2.8811058170623181</v>
      </c>
      <c r="K45" s="56">
        <f>BackgroundCalcs!AS38</f>
        <v>36392</v>
      </c>
      <c r="L45" s="56" t="str">
        <f t="shared" si="0"/>
        <v>392</v>
      </c>
      <c r="Y45" t="s">
        <v>111</v>
      </c>
    </row>
    <row r="46" spans="6:25">
      <c r="F46" s="56">
        <v>38</v>
      </c>
      <c r="G46" s="61" t="str">
        <f>BackgroundCalcs!AN39</f>
        <v>Keiran</v>
      </c>
      <c r="H46" s="56">
        <f>BackgroundCalcs!AO39</f>
        <v>1</v>
      </c>
      <c r="I46" s="56">
        <f>BackgroundCalcs!AP39</f>
        <v>0</v>
      </c>
      <c r="J46" s="59">
        <f>BackgroundCalcs!AQ39</f>
        <v>2.3946968033593663</v>
      </c>
      <c r="K46" s="56">
        <f>BackgroundCalcs!AS39</f>
        <v>35829</v>
      </c>
      <c r="L46" s="56" t="str">
        <f t="shared" si="0"/>
        <v>829</v>
      </c>
    </row>
    <row r="47" spans="6:25">
      <c r="F47" s="56">
        <v>39</v>
      </c>
      <c r="G47" s="61" t="str">
        <f>BackgroundCalcs!AN40</f>
        <v>Shirley</v>
      </c>
      <c r="H47" s="56">
        <f>BackgroundCalcs!AO40</f>
        <v>0</v>
      </c>
      <c r="I47" s="56">
        <f>BackgroundCalcs!AP40</f>
        <v>0</v>
      </c>
      <c r="J47" s="59">
        <f>BackgroundCalcs!AQ40</f>
        <v>2.8811058170623181</v>
      </c>
      <c r="K47" s="56">
        <f>BackgroundCalcs!AS40</f>
        <v>37294</v>
      </c>
      <c r="L47" s="56" t="str">
        <f t="shared" si="0"/>
        <v>294</v>
      </c>
    </row>
    <row r="48" spans="6:25">
      <c r="F48" s="56">
        <v>40</v>
      </c>
      <c r="G48" s="61" t="str">
        <f>BackgroundCalcs!AN41</f>
        <v>Angela</v>
      </c>
      <c r="H48" s="56">
        <f>BackgroundCalcs!AO41</f>
        <v>0</v>
      </c>
      <c r="I48" s="56">
        <f>BackgroundCalcs!AP41</f>
        <v>1</v>
      </c>
      <c r="J48" s="59">
        <f>BackgroundCalcs!AQ41</f>
        <v>3.7102958035199807</v>
      </c>
      <c r="K48" s="56">
        <f>BackgroundCalcs!AS41</f>
        <v>37929</v>
      </c>
      <c r="L48" s="56" t="str">
        <f t="shared" si="0"/>
        <v>929</v>
      </c>
    </row>
    <row r="49" spans="6:12">
      <c r="F49" s="56">
        <v>41</v>
      </c>
      <c r="G49" s="61" t="str">
        <f>BackgroundCalcs!AN42</f>
        <v>Linda</v>
      </c>
      <c r="H49" s="56">
        <f>BackgroundCalcs!AO42</f>
        <v>0</v>
      </c>
      <c r="I49" s="56">
        <f>BackgroundCalcs!AP42</f>
        <v>1</v>
      </c>
      <c r="J49" s="59">
        <f>BackgroundCalcs!AQ42</f>
        <v>2.8811058170623181</v>
      </c>
      <c r="K49" s="56">
        <f>BackgroundCalcs!AS42</f>
        <v>36060</v>
      </c>
      <c r="L49" s="56" t="str">
        <f t="shared" si="0"/>
        <v>060</v>
      </c>
    </row>
    <row r="50" spans="6:12">
      <c r="F50" s="56">
        <v>42</v>
      </c>
      <c r="G50" s="61" t="str">
        <f>BackgroundCalcs!AN43</f>
        <v>Donna</v>
      </c>
      <c r="H50" s="56">
        <f>BackgroundCalcs!AO43</f>
        <v>0</v>
      </c>
      <c r="I50" s="56">
        <f>BackgroundCalcs!AP43</f>
        <v>1</v>
      </c>
      <c r="J50" s="59">
        <f>BackgroundCalcs!AQ43</f>
        <v>2.2891800011098313</v>
      </c>
      <c r="K50" s="56">
        <f>BackgroundCalcs!AS43</f>
        <v>37323</v>
      </c>
      <c r="L50" s="56" t="str">
        <f t="shared" si="0"/>
        <v>323</v>
      </c>
    </row>
    <row r="51" spans="6:12">
      <c r="F51" s="56">
        <v>43</v>
      </c>
      <c r="G51" s="61" t="str">
        <f>BackgroundCalcs!AN44</f>
        <v>Maria</v>
      </c>
      <c r="H51" s="56">
        <f>BackgroundCalcs!AO44</f>
        <v>0</v>
      </c>
      <c r="I51" s="56">
        <f>BackgroundCalcs!AP44</f>
        <v>0</v>
      </c>
      <c r="J51" s="59">
        <f>BackgroundCalcs!AQ44</f>
        <v>2.8811058170623181</v>
      </c>
      <c r="K51" s="56">
        <f>BackgroundCalcs!AS44</f>
        <v>37191</v>
      </c>
      <c r="L51" s="56" t="str">
        <f t="shared" si="0"/>
        <v>191</v>
      </c>
    </row>
    <row r="52" spans="6:12">
      <c r="F52" s="56">
        <v>44</v>
      </c>
      <c r="G52" s="61" t="str">
        <f>BackgroundCalcs!AN45</f>
        <v>Rhett</v>
      </c>
      <c r="H52" s="56">
        <f>BackgroundCalcs!AO45</f>
        <v>1</v>
      </c>
      <c r="I52" s="56">
        <f>BackgroundCalcs!AP45</f>
        <v>1</v>
      </c>
      <c r="J52" s="66">
        <v>3.0545838598437989</v>
      </c>
      <c r="K52" s="56">
        <f>BackgroundCalcs!AS45</f>
        <v>35648</v>
      </c>
      <c r="L52" s="56" t="str">
        <f t="shared" si="0"/>
        <v>648</v>
      </c>
    </row>
    <row r="53" spans="6:12">
      <c r="F53" s="56">
        <v>45</v>
      </c>
      <c r="G53" s="61" t="str">
        <f>BackgroundCalcs!AN46</f>
        <v>Jason</v>
      </c>
      <c r="H53" s="56">
        <f>BackgroundCalcs!AO46</f>
        <v>0</v>
      </c>
      <c r="I53" s="56">
        <f>BackgroundCalcs!AP46</f>
        <v>1</v>
      </c>
      <c r="J53" s="66">
        <v>3.0545838598437989</v>
      </c>
      <c r="K53" s="56">
        <f>BackgroundCalcs!AS46</f>
        <v>37802</v>
      </c>
      <c r="L53" s="56" t="str">
        <f t="shared" si="0"/>
        <v>802</v>
      </c>
    </row>
    <row r="54" spans="6:12">
      <c r="F54" s="56">
        <v>46</v>
      </c>
      <c r="G54" s="61" t="str">
        <f>BackgroundCalcs!AN47</f>
        <v>Nathan</v>
      </c>
      <c r="H54" s="56">
        <f>BackgroundCalcs!AO47</f>
        <v>1</v>
      </c>
      <c r="I54" s="56">
        <f>BackgroundCalcs!AP47</f>
        <v>0</v>
      </c>
      <c r="J54" s="66">
        <v>3.0545838598437989</v>
      </c>
      <c r="K54" s="56">
        <f>BackgroundCalcs!AS47</f>
        <v>37803</v>
      </c>
      <c r="L54" s="56" t="str">
        <f t="shared" si="0"/>
        <v>803</v>
      </c>
    </row>
    <row r="55" spans="6:12">
      <c r="F55" s="56">
        <v>47</v>
      </c>
      <c r="G55" s="61" t="str">
        <f>BackgroundCalcs!AN48</f>
        <v>Zachary</v>
      </c>
      <c r="H55" s="56">
        <f>BackgroundCalcs!AO48</f>
        <v>1</v>
      </c>
      <c r="I55" s="56">
        <f>BackgroundCalcs!AP48</f>
        <v>0</v>
      </c>
      <c r="J55" s="66">
        <v>3.0545838598437989</v>
      </c>
      <c r="K55" s="56">
        <f>BackgroundCalcs!AS48</f>
        <v>37859</v>
      </c>
      <c r="L55" s="56" t="str">
        <f t="shared" si="0"/>
        <v>859</v>
      </c>
    </row>
    <row r="56" spans="6:12">
      <c r="F56" s="56">
        <v>48</v>
      </c>
      <c r="G56" s="61" t="str">
        <f>BackgroundCalcs!AN49</f>
        <v>Mateo</v>
      </c>
      <c r="H56" s="56">
        <f>BackgroundCalcs!AO49</f>
        <v>1</v>
      </c>
      <c r="I56" s="56">
        <f>BackgroundCalcs!AP49</f>
        <v>1</v>
      </c>
      <c r="J56" s="66">
        <v>3.0545838598437989</v>
      </c>
      <c r="K56" s="56">
        <f>BackgroundCalcs!AS49</f>
        <v>37163</v>
      </c>
      <c r="L56" s="56" t="str">
        <f t="shared" si="0"/>
        <v>163</v>
      </c>
    </row>
    <row r="57" spans="6:12">
      <c r="F57" s="56">
        <v>49</v>
      </c>
      <c r="G57" s="61" t="str">
        <f>BackgroundCalcs!AN50</f>
        <v>Apollo</v>
      </c>
      <c r="H57" s="56">
        <f>BackgroundCalcs!AO50</f>
        <v>1</v>
      </c>
      <c r="I57" s="56">
        <f>BackgroundCalcs!AP50</f>
        <v>1</v>
      </c>
      <c r="J57" s="66">
        <v>3.0545838598437989</v>
      </c>
      <c r="K57" s="56">
        <f>BackgroundCalcs!AS50</f>
        <v>37497</v>
      </c>
      <c r="L57" s="56" t="str">
        <f t="shared" si="0"/>
        <v>497</v>
      </c>
    </row>
    <row r="58" spans="6:12">
      <c r="F58" s="56">
        <v>50</v>
      </c>
      <c r="G58" s="61" t="str">
        <f>BackgroundCalcs!AN51</f>
        <v>Chase</v>
      </c>
      <c r="H58" s="56">
        <f>BackgroundCalcs!AO51</f>
        <v>1</v>
      </c>
      <c r="I58" s="56">
        <f>BackgroundCalcs!AP51</f>
        <v>0</v>
      </c>
      <c r="J58" s="66">
        <v>3.0545838598437989</v>
      </c>
      <c r="K58" s="56">
        <f>BackgroundCalcs!AS51</f>
        <v>38242</v>
      </c>
      <c r="L58" s="56" t="str">
        <f t="shared" si="0"/>
        <v>242</v>
      </c>
    </row>
    <row r="59" spans="6:12">
      <c r="F59" s="56">
        <v>51</v>
      </c>
      <c r="G59" s="61" t="str">
        <f>BackgroundCalcs!AN52</f>
        <v>Thomas</v>
      </c>
      <c r="H59" s="56">
        <f>BackgroundCalcs!AO52</f>
        <v>0</v>
      </c>
      <c r="I59" s="56">
        <f>BackgroundCalcs!AP52</f>
        <v>0</v>
      </c>
      <c r="J59" s="66">
        <v>3.0545838598437989</v>
      </c>
      <c r="K59" s="56">
        <f>BackgroundCalcs!AS52</f>
        <v>36790</v>
      </c>
      <c r="L59" s="56" t="str">
        <f t="shared" si="0"/>
        <v>790</v>
      </c>
    </row>
    <row r="60" spans="6:12">
      <c r="F60" s="56">
        <v>52</v>
      </c>
      <c r="G60" s="61" t="str">
        <f>BackgroundCalcs!AN53</f>
        <v>Brad</v>
      </c>
      <c r="H60" s="56">
        <f>BackgroundCalcs!AO53</f>
        <v>0</v>
      </c>
      <c r="I60" s="56">
        <f>BackgroundCalcs!AP53</f>
        <v>1</v>
      </c>
      <c r="J60" s="66">
        <v>3.0545838598437989</v>
      </c>
      <c r="K60" s="56">
        <f>BackgroundCalcs!AS53</f>
        <v>38188</v>
      </c>
      <c r="L60" s="56" t="str">
        <f t="shared" si="0"/>
        <v>188</v>
      </c>
    </row>
    <row r="61" spans="6:12">
      <c r="F61" s="56">
        <v>53</v>
      </c>
      <c r="G61" s="61" t="str">
        <f>BackgroundCalcs!AN54</f>
        <v>Astrid</v>
      </c>
      <c r="H61" s="56">
        <f>BackgroundCalcs!AO54</f>
        <v>1</v>
      </c>
      <c r="I61" s="56">
        <f>BackgroundCalcs!AP54</f>
        <v>0</v>
      </c>
      <c r="J61" s="59">
        <f>BackgroundCalcs!AQ54</f>
        <v>3.5175886262067797</v>
      </c>
      <c r="K61" s="56">
        <f>BackgroundCalcs!AS54</f>
        <v>37353</v>
      </c>
      <c r="L61" s="56" t="str">
        <f t="shared" si="0"/>
        <v>353</v>
      </c>
    </row>
    <row r="62" spans="6:12">
      <c r="F62" s="56">
        <v>54</v>
      </c>
      <c r="G62" s="61" t="str">
        <f>BackgroundCalcs!AN55</f>
        <v>Lucy</v>
      </c>
      <c r="H62" s="56">
        <f>BackgroundCalcs!AO55</f>
        <v>1</v>
      </c>
      <c r="I62" s="56">
        <f>BackgroundCalcs!AP55</f>
        <v>0</v>
      </c>
      <c r="J62" s="59">
        <f>BackgroundCalcs!AQ55</f>
        <v>2.8811058170623181</v>
      </c>
      <c r="K62" s="56">
        <f>BackgroundCalcs!AS55</f>
        <v>38276</v>
      </c>
      <c r="L62" s="56" t="str">
        <f t="shared" si="0"/>
        <v>276</v>
      </c>
    </row>
    <row r="63" spans="6:12">
      <c r="F63" s="56">
        <v>55</v>
      </c>
      <c r="G63" s="61" t="str">
        <f>BackgroundCalcs!AN56</f>
        <v>Ruby</v>
      </c>
      <c r="H63" s="56">
        <f>BackgroundCalcs!AO56</f>
        <v>1</v>
      </c>
      <c r="I63" s="56">
        <f>BackgroundCalcs!AP56</f>
        <v>0</v>
      </c>
      <c r="J63" s="59">
        <f>BackgroundCalcs!AQ56</f>
        <v>3.9500839853954064</v>
      </c>
      <c r="K63" s="56">
        <f>BackgroundCalcs!AS56</f>
        <v>35716</v>
      </c>
      <c r="L63" s="56" t="str">
        <f t="shared" si="0"/>
        <v>716</v>
      </c>
    </row>
    <row r="64" spans="6:12">
      <c r="F64" s="56">
        <v>56</v>
      </c>
      <c r="G64" s="61" t="str">
        <f>BackgroundCalcs!AN57</f>
        <v>James</v>
      </c>
      <c r="H64" s="56">
        <f>BackgroundCalcs!AO57</f>
        <v>0</v>
      </c>
      <c r="I64" s="56">
        <f>BackgroundCalcs!AP57</f>
        <v>0</v>
      </c>
      <c r="J64" s="59">
        <f>BackgroundCalcs!AQ57</f>
        <v>2.8811058170623181</v>
      </c>
      <c r="K64" s="56">
        <f>BackgroundCalcs!AS57</f>
        <v>36988</v>
      </c>
      <c r="L64" s="56" t="str">
        <f t="shared" si="0"/>
        <v>988</v>
      </c>
    </row>
    <row r="65" spans="6:12">
      <c r="F65" s="56">
        <v>57</v>
      </c>
      <c r="G65" s="61" t="str">
        <f>BackgroundCalcs!AN58</f>
        <v>Peter</v>
      </c>
      <c r="H65" s="56">
        <f>BackgroundCalcs!AO58</f>
        <v>0</v>
      </c>
      <c r="I65" s="56">
        <f>BackgroundCalcs!AP58</f>
        <v>0</v>
      </c>
      <c r="J65" s="59">
        <f>BackgroundCalcs!AQ58</f>
        <v>3.3103839232352033</v>
      </c>
      <c r="K65" s="56">
        <f>BackgroundCalcs!AS58</f>
        <v>38196</v>
      </c>
      <c r="L65" s="56" t="str">
        <f t="shared" si="0"/>
        <v>196</v>
      </c>
    </row>
    <row r="66" spans="6:12">
      <c r="F66" s="56">
        <v>58</v>
      </c>
      <c r="G66" s="61" t="str">
        <f>BackgroundCalcs!AN59</f>
        <v>Brian</v>
      </c>
      <c r="H66" s="56">
        <f>BackgroundCalcs!AO59</f>
        <v>0</v>
      </c>
      <c r="I66" s="56">
        <f>BackgroundCalcs!AP59</f>
        <v>1</v>
      </c>
      <c r="J66" s="59">
        <f>BackgroundCalcs!AQ59</f>
        <v>2.8811058170623181</v>
      </c>
      <c r="K66" s="56">
        <f>BackgroundCalcs!AS59</f>
        <v>36532</v>
      </c>
      <c r="L66" s="56" t="str">
        <f t="shared" si="0"/>
        <v>532</v>
      </c>
    </row>
    <row r="67" spans="6:12">
      <c r="F67" s="56">
        <v>59</v>
      </c>
      <c r="G67" s="61" t="str">
        <f>BackgroundCalcs!AN60</f>
        <v>Charles</v>
      </c>
      <c r="H67" s="56">
        <f>BackgroundCalcs!AO60</f>
        <v>0</v>
      </c>
      <c r="I67" s="56">
        <f>BackgroundCalcs!AP60</f>
        <v>0</v>
      </c>
      <c r="J67" s="59">
        <f>BackgroundCalcs!AQ60</f>
        <v>2.3676696652171092</v>
      </c>
      <c r="K67" s="56">
        <f>BackgroundCalcs!AS60</f>
        <v>38058</v>
      </c>
      <c r="L67" s="56" t="str">
        <f t="shared" si="0"/>
        <v>058</v>
      </c>
    </row>
    <row r="68" spans="6:12">
      <c r="F68" s="56">
        <v>60</v>
      </c>
      <c r="G68" s="61" t="str">
        <f>BackgroundCalcs!AN61</f>
        <v>Joshua</v>
      </c>
      <c r="H68" s="56">
        <f>BackgroundCalcs!AO61</f>
        <v>0</v>
      </c>
      <c r="I68" s="56">
        <f>BackgroundCalcs!AP61</f>
        <v>1</v>
      </c>
      <c r="J68" s="59">
        <f>BackgroundCalcs!AQ61</f>
        <v>2.8811058170623181</v>
      </c>
      <c r="K68" s="56">
        <f>BackgroundCalcs!AS61</f>
        <v>35617</v>
      </c>
      <c r="L68" s="56" t="str">
        <f t="shared" si="0"/>
        <v>617</v>
      </c>
    </row>
    <row r="69" spans="6:12">
      <c r="F69" s="56">
        <v>61</v>
      </c>
      <c r="G69" s="61" t="str">
        <f>BackgroundCalcs!AN62</f>
        <v>Jonathan</v>
      </c>
      <c r="H69" s="56">
        <f>BackgroundCalcs!AO62</f>
        <v>0</v>
      </c>
      <c r="I69" s="56">
        <f>BackgroundCalcs!AP62</f>
        <v>1</v>
      </c>
      <c r="J69" s="59">
        <f>BackgroundCalcs!AQ62</f>
        <v>3.5052275907522299</v>
      </c>
      <c r="K69" s="56">
        <f>BackgroundCalcs!AS62</f>
        <v>35948</v>
      </c>
      <c r="L69" s="56" t="str">
        <f t="shared" si="0"/>
        <v>948</v>
      </c>
    </row>
    <row r="70" spans="6:12">
      <c r="F70" s="56">
        <v>62</v>
      </c>
      <c r="G70" s="61" t="str">
        <f>BackgroundCalcs!AN63</f>
        <v>Esme</v>
      </c>
      <c r="H70" s="56">
        <f>BackgroundCalcs!AO63</f>
        <v>1</v>
      </c>
      <c r="I70" s="56">
        <f>BackgroundCalcs!AP63</f>
        <v>0</v>
      </c>
      <c r="J70" s="59">
        <f>BackgroundCalcs!AQ63</f>
        <v>2.8811058170623181</v>
      </c>
      <c r="K70" s="56">
        <f>BackgroundCalcs!AS63</f>
        <v>36981</v>
      </c>
      <c r="L70" s="56" t="str">
        <f t="shared" si="0"/>
        <v>981</v>
      </c>
    </row>
    <row r="71" spans="6:12">
      <c r="F71" s="56">
        <v>63</v>
      </c>
      <c r="G71" s="61" t="str">
        <f>BackgroundCalcs!AN64</f>
        <v>Samuel</v>
      </c>
      <c r="H71" s="56">
        <f>BackgroundCalcs!AO64</f>
        <v>0</v>
      </c>
      <c r="I71" s="56">
        <f>BackgroundCalcs!AP64</f>
        <v>1</v>
      </c>
      <c r="J71" s="66">
        <v>3.0545838598437989</v>
      </c>
      <c r="K71" s="56">
        <f>BackgroundCalcs!AS64</f>
        <v>37256</v>
      </c>
      <c r="L71" s="56" t="str">
        <f t="shared" si="0"/>
        <v>256</v>
      </c>
    </row>
    <row r="72" spans="6:12">
      <c r="F72" s="56">
        <v>64</v>
      </c>
      <c r="G72" s="61" t="str">
        <f>BackgroundCalcs!AN65</f>
        <v>Jack</v>
      </c>
      <c r="H72" s="56">
        <f>BackgroundCalcs!AO65</f>
        <v>0</v>
      </c>
      <c r="I72" s="56">
        <f>BackgroundCalcs!AP65</f>
        <v>1</v>
      </c>
      <c r="J72" s="66">
        <v>3.0545838598437989</v>
      </c>
      <c r="K72" s="56">
        <f>BackgroundCalcs!AS65</f>
        <v>36976</v>
      </c>
      <c r="L72" s="56" t="str">
        <f t="shared" si="0"/>
        <v>976</v>
      </c>
    </row>
    <row r="73" spans="6:12">
      <c r="F73" s="56">
        <v>65</v>
      </c>
      <c r="G73" s="61" t="str">
        <f>BackgroundCalcs!AN66</f>
        <v>William</v>
      </c>
      <c r="H73" s="56">
        <f>BackgroundCalcs!AO66</f>
        <v>0</v>
      </c>
      <c r="I73" s="56">
        <f>BackgroundCalcs!AP66</f>
        <v>1</v>
      </c>
      <c r="J73" s="66">
        <v>3.0545838598437989</v>
      </c>
      <c r="K73" s="56">
        <f>BackgroundCalcs!AS66</f>
        <v>37273</v>
      </c>
      <c r="L73" s="56" t="str">
        <f t="shared" si="0"/>
        <v>273</v>
      </c>
    </row>
    <row r="74" spans="6:12">
      <c r="F74" s="56">
        <v>66</v>
      </c>
      <c r="G74" s="61" t="str">
        <f>BackgroundCalcs!AN67</f>
        <v>Benjamin</v>
      </c>
      <c r="H74" s="56">
        <f>BackgroundCalcs!AO67</f>
        <v>0</v>
      </c>
      <c r="I74" s="56">
        <f>BackgroundCalcs!AP67</f>
        <v>0</v>
      </c>
      <c r="J74" s="66">
        <v>3.0545838598437989</v>
      </c>
      <c r="K74" s="56">
        <f>BackgroundCalcs!AS67</f>
        <v>37999</v>
      </c>
      <c r="L74" s="56" t="str">
        <f t="shared" ref="L74:L108" si="1">RIGHT(K74,3)</f>
        <v>999</v>
      </c>
    </row>
    <row r="75" spans="6:12">
      <c r="F75" s="56">
        <v>67</v>
      </c>
      <c r="G75" s="61" t="str">
        <f>BackgroundCalcs!AN68</f>
        <v>John</v>
      </c>
      <c r="H75" s="56">
        <f>BackgroundCalcs!AO68</f>
        <v>0</v>
      </c>
      <c r="I75" s="56">
        <f>BackgroundCalcs!AP68</f>
        <v>0</v>
      </c>
      <c r="J75" s="66">
        <v>3.0545838598437989</v>
      </c>
      <c r="K75" s="56">
        <f>BackgroundCalcs!AS68</f>
        <v>36672</v>
      </c>
      <c r="L75" s="56" t="str">
        <f t="shared" si="1"/>
        <v>672</v>
      </c>
    </row>
    <row r="76" spans="6:12">
      <c r="F76" s="56">
        <v>68</v>
      </c>
      <c r="G76" s="61" t="str">
        <f>BackgroundCalcs!AN69</f>
        <v>Celeste</v>
      </c>
      <c r="H76" s="56">
        <f>BackgroundCalcs!AO69</f>
        <v>1</v>
      </c>
      <c r="I76" s="56">
        <f>BackgroundCalcs!AP69</f>
        <v>1</v>
      </c>
      <c r="J76" s="66">
        <v>3.0545838598437989</v>
      </c>
      <c r="K76" s="56">
        <f>BackgroundCalcs!AS69</f>
        <v>38066</v>
      </c>
      <c r="L76" s="56" t="str">
        <f t="shared" si="1"/>
        <v>066</v>
      </c>
    </row>
    <row r="77" spans="6:12">
      <c r="F77" s="56">
        <v>69</v>
      </c>
      <c r="G77" s="61" t="str">
        <f>BackgroundCalcs!AN70</f>
        <v>Lorelei</v>
      </c>
      <c r="H77" s="56">
        <f>BackgroundCalcs!AO70</f>
        <v>1</v>
      </c>
      <c r="I77" s="56">
        <f>BackgroundCalcs!AP70</f>
        <v>1</v>
      </c>
      <c r="J77" s="66">
        <v>3.0545838598437989</v>
      </c>
      <c r="K77" s="56">
        <f>BackgroundCalcs!AS70</f>
        <v>36999</v>
      </c>
      <c r="L77" s="56" t="str">
        <f t="shared" si="1"/>
        <v>999</v>
      </c>
    </row>
    <row r="78" spans="6:12">
      <c r="F78" s="56">
        <v>70</v>
      </c>
      <c r="G78" s="61" t="str">
        <f>BackgroundCalcs!AN71</f>
        <v>Jacob</v>
      </c>
      <c r="H78" s="56">
        <f>BackgroundCalcs!AO71</f>
        <v>0</v>
      </c>
      <c r="I78" s="56">
        <f>BackgroundCalcs!AP71</f>
        <v>0</v>
      </c>
      <c r="J78" s="66">
        <v>3.0545838598437989</v>
      </c>
      <c r="K78" s="56">
        <f>BackgroundCalcs!AS71</f>
        <v>36559</v>
      </c>
      <c r="L78" s="56" t="str">
        <f t="shared" si="1"/>
        <v>559</v>
      </c>
    </row>
    <row r="79" spans="6:12">
      <c r="F79" s="56">
        <v>71</v>
      </c>
      <c r="G79" s="61" t="str">
        <f>BackgroundCalcs!AN72</f>
        <v>Maia</v>
      </c>
      <c r="H79" s="56">
        <f>BackgroundCalcs!AO72</f>
        <v>1</v>
      </c>
      <c r="I79" s="56">
        <f>BackgroundCalcs!AP72</f>
        <v>0</v>
      </c>
      <c r="J79" s="66">
        <v>3.0545838598437989</v>
      </c>
      <c r="K79" s="56">
        <f>BackgroundCalcs!AS72</f>
        <v>36503</v>
      </c>
      <c r="L79" s="56" t="str">
        <f t="shared" si="1"/>
        <v>503</v>
      </c>
    </row>
    <row r="80" spans="6:12">
      <c r="F80" s="56">
        <v>72</v>
      </c>
      <c r="G80" s="61" t="str">
        <f>BackgroundCalcs!AN73</f>
        <v>Lilah</v>
      </c>
      <c r="H80" s="56">
        <f>BackgroundCalcs!AO73</f>
        <v>1</v>
      </c>
      <c r="I80" s="56">
        <f>BackgroundCalcs!AP73</f>
        <v>1</v>
      </c>
      <c r="J80" s="66">
        <v>3.0545838598437989</v>
      </c>
      <c r="K80" s="56">
        <f>BackgroundCalcs!AS73</f>
        <v>36192</v>
      </c>
      <c r="L80" s="56" t="str">
        <f t="shared" si="1"/>
        <v>192</v>
      </c>
    </row>
    <row r="81" spans="6:27">
      <c r="F81" s="56">
        <v>73</v>
      </c>
      <c r="G81" s="61" t="str">
        <f>BackgroundCalcs!AN74</f>
        <v>Jerry</v>
      </c>
      <c r="H81" s="56">
        <f>BackgroundCalcs!AO74</f>
        <v>0</v>
      </c>
      <c r="I81" s="56">
        <f>BackgroundCalcs!AP74</f>
        <v>1</v>
      </c>
      <c r="J81" s="66">
        <v>3.0545838598437989</v>
      </c>
      <c r="K81" s="56">
        <f>BackgroundCalcs!AS74</f>
        <v>37095</v>
      </c>
      <c r="L81" s="56" t="str">
        <f t="shared" si="1"/>
        <v>095</v>
      </c>
    </row>
    <row r="82" spans="6:27">
      <c r="F82" s="56">
        <v>74</v>
      </c>
      <c r="G82" s="61" t="str">
        <f>BackgroundCalcs!AN75</f>
        <v>Autumn</v>
      </c>
      <c r="H82" s="56">
        <f>BackgroundCalcs!AO75</f>
        <v>1</v>
      </c>
      <c r="I82" s="56">
        <f>BackgroundCalcs!AP75</f>
        <v>1</v>
      </c>
      <c r="J82" s="59">
        <f>BackgroundCalcs!AQ75</f>
        <v>3.9354</v>
      </c>
      <c r="K82" s="56">
        <f>BackgroundCalcs!AS75</f>
        <v>37379</v>
      </c>
      <c r="L82" s="56" t="str">
        <f t="shared" si="1"/>
        <v>379</v>
      </c>
    </row>
    <row r="83" spans="6:27">
      <c r="F83" s="56">
        <v>75</v>
      </c>
      <c r="G83" s="61" t="str">
        <f>BackgroundCalcs!AN76</f>
        <v>Andrew</v>
      </c>
      <c r="H83" s="56">
        <f>BackgroundCalcs!AO76</f>
        <v>0</v>
      </c>
      <c r="I83" s="56">
        <f>BackgroundCalcs!AP76</f>
        <v>0</v>
      </c>
      <c r="J83" s="59">
        <f>BackgroundCalcs!AQ76</f>
        <v>2.8811058170623181</v>
      </c>
      <c r="K83" s="56">
        <f>BackgroundCalcs!AS76</f>
        <v>38128</v>
      </c>
      <c r="L83" s="56" t="str">
        <f t="shared" si="1"/>
        <v>128</v>
      </c>
    </row>
    <row r="84" spans="6:27">
      <c r="F84" s="56">
        <v>76</v>
      </c>
      <c r="G84" s="61" t="str">
        <f>BackgroundCalcs!AN77</f>
        <v>George</v>
      </c>
      <c r="H84" s="56">
        <f>BackgroundCalcs!AO77</f>
        <v>0</v>
      </c>
      <c r="I84" s="56">
        <f>BackgroundCalcs!AP77</f>
        <v>1</v>
      </c>
      <c r="J84" s="59">
        <f>BackgroundCalcs!AQ77</f>
        <v>3.009269268628981</v>
      </c>
      <c r="K84" s="56">
        <f>BackgroundCalcs!AS77</f>
        <v>38209</v>
      </c>
      <c r="L84" s="56" t="str">
        <f t="shared" si="1"/>
        <v>209</v>
      </c>
    </row>
    <row r="85" spans="6:27">
      <c r="F85" s="56">
        <v>77</v>
      </c>
      <c r="G85" s="61" t="str">
        <f>BackgroundCalcs!AN78</f>
        <v>Adalynn</v>
      </c>
      <c r="H85" s="56">
        <f>BackgroundCalcs!AO78</f>
        <v>1</v>
      </c>
      <c r="I85" s="56">
        <f>BackgroundCalcs!AP78</f>
        <v>0</v>
      </c>
      <c r="J85" s="59">
        <f>BackgroundCalcs!AQ78</f>
        <v>2.8811058170623181</v>
      </c>
      <c r="K85" s="56">
        <f>BackgroundCalcs!AS78</f>
        <v>37006</v>
      </c>
      <c r="L85" s="56" t="str">
        <f t="shared" si="1"/>
        <v>006</v>
      </c>
    </row>
    <row r="86" spans="6:27">
      <c r="F86" s="56">
        <v>78</v>
      </c>
      <c r="G86" s="61" t="str">
        <f>BackgroundCalcs!AN79</f>
        <v>Matilda</v>
      </c>
      <c r="H86" s="56">
        <f>BackgroundCalcs!AO79</f>
        <v>1</v>
      </c>
      <c r="I86" s="56">
        <f>BackgroundCalcs!AP79</f>
        <v>0</v>
      </c>
      <c r="J86" s="59">
        <f>BackgroundCalcs!AQ79</f>
        <v>2.9575279798488685</v>
      </c>
      <c r="K86" s="56">
        <f>BackgroundCalcs!AS79</f>
        <v>36628</v>
      </c>
      <c r="L86" s="56" t="str">
        <f t="shared" si="1"/>
        <v>628</v>
      </c>
    </row>
    <row r="87" spans="6:27">
      <c r="F87" s="56">
        <v>79</v>
      </c>
      <c r="G87" s="61" t="str">
        <f>BackgroundCalcs!AN80</f>
        <v>Zed</v>
      </c>
      <c r="H87" s="56">
        <f>BackgroundCalcs!AO80</f>
        <v>0</v>
      </c>
      <c r="I87" s="56">
        <f>BackgroundCalcs!AP80</f>
        <v>1</v>
      </c>
      <c r="J87" s="59">
        <f>BackgroundCalcs!AQ80</f>
        <v>2.8811058170623181</v>
      </c>
      <c r="K87" s="56">
        <f>BackgroundCalcs!AS80</f>
        <v>36421</v>
      </c>
      <c r="L87" s="56" t="str">
        <f t="shared" si="1"/>
        <v>421</v>
      </c>
    </row>
    <row r="88" spans="6:27">
      <c r="F88" s="56">
        <v>80</v>
      </c>
      <c r="G88" s="61" t="str">
        <f>BackgroundCalcs!AN81</f>
        <v>Frank</v>
      </c>
      <c r="H88" s="56">
        <f>BackgroundCalcs!AO81</f>
        <v>0</v>
      </c>
      <c r="I88" s="56">
        <f>BackgroundCalcs!AP81</f>
        <v>1</v>
      </c>
      <c r="J88" s="59">
        <f>BackgroundCalcs!AQ81</f>
        <v>3.6976950812244205</v>
      </c>
      <c r="K88" s="56">
        <f>BackgroundCalcs!AS81</f>
        <v>38334</v>
      </c>
      <c r="L88" s="56" t="str">
        <f t="shared" si="1"/>
        <v>334</v>
      </c>
    </row>
    <row r="89" spans="6:27">
      <c r="F89" s="56">
        <v>81</v>
      </c>
      <c r="G89" s="61" t="str">
        <f>BackgroundCalcs!AN82</f>
        <v>Daphne</v>
      </c>
      <c r="H89" s="56">
        <f>BackgroundCalcs!AO82</f>
        <v>1</v>
      </c>
      <c r="I89" s="56">
        <f>BackgroundCalcs!AP82</f>
        <v>1</v>
      </c>
      <c r="J89" s="59">
        <f>BackgroundCalcs!AQ82</f>
        <v>2.8811058170623181</v>
      </c>
      <c r="K89" s="56">
        <f>BackgroundCalcs!AS82</f>
        <v>36443</v>
      </c>
      <c r="L89" s="56" t="str">
        <f t="shared" si="1"/>
        <v>443</v>
      </c>
    </row>
    <row r="90" spans="6:27">
      <c r="F90" s="56">
        <v>82</v>
      </c>
      <c r="G90" s="61" t="str">
        <f>BackgroundCalcs!AN83</f>
        <v>Olive</v>
      </c>
      <c r="H90" s="56">
        <f>BackgroundCalcs!AO83</f>
        <v>1</v>
      </c>
      <c r="I90" s="56">
        <f>BackgroundCalcs!AP83</f>
        <v>1</v>
      </c>
      <c r="J90" s="59">
        <f>BackgroundCalcs!AQ83</f>
        <v>3.3341806716957678</v>
      </c>
      <c r="K90" s="56">
        <f>BackgroundCalcs!AS83</f>
        <v>36540</v>
      </c>
      <c r="L90" s="56" t="str">
        <f t="shared" si="1"/>
        <v>540</v>
      </c>
    </row>
    <row r="91" spans="6:27">
      <c r="F91" s="56">
        <v>83</v>
      </c>
      <c r="G91" s="61" t="str">
        <f>BackgroundCalcs!AN84</f>
        <v>Dennis</v>
      </c>
      <c r="H91" s="56">
        <f>BackgroundCalcs!AO84</f>
        <v>0</v>
      </c>
      <c r="I91" s="56">
        <f>BackgroundCalcs!AP84</f>
        <v>1</v>
      </c>
      <c r="J91" s="59">
        <f>BackgroundCalcs!AQ84</f>
        <v>2.8811058170623181</v>
      </c>
      <c r="K91" s="56">
        <f>BackgroundCalcs!AS84</f>
        <v>37197</v>
      </c>
      <c r="L91" s="56" t="str">
        <f t="shared" si="1"/>
        <v>197</v>
      </c>
    </row>
    <row r="92" spans="6:27">
      <c r="F92" s="56">
        <v>84</v>
      </c>
      <c r="G92" s="61" t="str">
        <f>BackgroundCalcs!AN85</f>
        <v>Donald</v>
      </c>
      <c r="H92" s="56">
        <f>BackgroundCalcs!AO85</f>
        <v>0</v>
      </c>
      <c r="I92" s="56">
        <f>BackgroundCalcs!AP85</f>
        <v>0</v>
      </c>
      <c r="J92" s="59">
        <f>BackgroundCalcs!AQ85</f>
        <v>3.4386913191356552</v>
      </c>
      <c r="K92" s="56">
        <f>BackgroundCalcs!AS85</f>
        <v>35944</v>
      </c>
      <c r="L92" s="56" t="str">
        <f t="shared" si="1"/>
        <v>944</v>
      </c>
    </row>
    <row r="93" spans="6:27">
      <c r="F93" s="56">
        <v>85</v>
      </c>
      <c r="G93" s="61" t="str">
        <f>BackgroundCalcs!AN86</f>
        <v>Arabella</v>
      </c>
      <c r="H93" s="56">
        <f>BackgroundCalcs!AO86</f>
        <v>1</v>
      </c>
      <c r="I93" s="56">
        <f>BackgroundCalcs!AP86</f>
        <v>1</v>
      </c>
      <c r="J93" s="59">
        <f>BackgroundCalcs!AQ86</f>
        <v>2.8811058170623181</v>
      </c>
      <c r="K93" s="56">
        <f>BackgroundCalcs!AS86</f>
        <v>35745</v>
      </c>
      <c r="L93" s="56" t="str">
        <f t="shared" si="1"/>
        <v>745</v>
      </c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</row>
    <row r="94" spans="6:27">
      <c r="F94" s="56">
        <v>86</v>
      </c>
      <c r="G94" s="61" t="str">
        <f>BackgroundCalcs!AN87</f>
        <v>Delilah</v>
      </c>
      <c r="H94" s="56">
        <f>BackgroundCalcs!AO87</f>
        <v>1</v>
      </c>
      <c r="I94" s="56">
        <f>BackgroundCalcs!AP87</f>
        <v>0</v>
      </c>
      <c r="J94" s="59">
        <f>BackgroundCalcs!AQ87</f>
        <v>2.1369337155684924</v>
      </c>
      <c r="K94" s="56">
        <f>BackgroundCalcs!AS87</f>
        <v>36815</v>
      </c>
      <c r="L94" s="56" t="str">
        <f t="shared" si="1"/>
        <v>815</v>
      </c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</row>
    <row r="95" spans="6:27">
      <c r="F95" s="56">
        <v>87</v>
      </c>
      <c r="G95" s="61" t="str">
        <f>BackgroundCalcs!AN88</f>
        <v>Ryan</v>
      </c>
      <c r="H95" s="56">
        <f>BackgroundCalcs!AO88</f>
        <v>0</v>
      </c>
      <c r="I95" s="56">
        <f>BackgroundCalcs!AP88</f>
        <v>1</v>
      </c>
      <c r="J95" s="59">
        <f>BackgroundCalcs!AQ88</f>
        <v>2.8811058170623181</v>
      </c>
      <c r="K95" s="56">
        <f>BackgroundCalcs!AS88</f>
        <v>37360</v>
      </c>
      <c r="L95" s="56" t="str">
        <f t="shared" si="1"/>
        <v>360</v>
      </c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</row>
    <row r="96" spans="6:27">
      <c r="F96" s="56">
        <v>88</v>
      </c>
      <c r="G96" s="61" t="str">
        <f>BackgroundCalcs!AN89</f>
        <v>Emily</v>
      </c>
      <c r="H96" s="56">
        <f>BackgroundCalcs!AO89</f>
        <v>1</v>
      </c>
      <c r="I96" s="56">
        <f>BackgroundCalcs!AP89</f>
        <v>0</v>
      </c>
      <c r="J96" s="66">
        <v>3.0545838598437989</v>
      </c>
      <c r="K96" s="56">
        <f>BackgroundCalcs!AS89</f>
        <v>37237</v>
      </c>
      <c r="L96" s="56" t="str">
        <f t="shared" si="1"/>
        <v>237</v>
      </c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</row>
    <row r="97" spans="6:28">
      <c r="F97" s="56">
        <v>89</v>
      </c>
      <c r="G97" s="61" t="str">
        <f>BackgroundCalcs!AN90</f>
        <v>Robert</v>
      </c>
      <c r="H97" s="56">
        <f>BackgroundCalcs!AO90</f>
        <v>0</v>
      </c>
      <c r="I97" s="56">
        <f>BackgroundCalcs!AP90</f>
        <v>0</v>
      </c>
      <c r="J97" s="66">
        <v>3.0545838598437989</v>
      </c>
      <c r="K97" s="56">
        <f>BackgroundCalcs!AS90</f>
        <v>38093</v>
      </c>
      <c r="L97" s="56" t="str">
        <f t="shared" si="1"/>
        <v>093</v>
      </c>
      <c r="O97" s="56"/>
      <c r="P97" s="56"/>
      <c r="Q97" s="56"/>
      <c r="R97" s="56"/>
      <c r="S97" s="56"/>
      <c r="T97" s="56"/>
      <c r="U97" s="56"/>
      <c r="V97" s="56"/>
      <c r="W97" s="56"/>
      <c r="X97" s="56" t="str">
        <f>Track</f>
        <v>XXXXX</v>
      </c>
      <c r="Y97" s="56" t="str">
        <f>Track</f>
        <v>XXXXX</v>
      </c>
      <c r="Z97" s="56" t="str">
        <f>Track</f>
        <v>XXXXX</v>
      </c>
      <c r="AA97" s="56" t="str">
        <f>Track</f>
        <v>XXXXX</v>
      </c>
      <c r="AB97" s="63" t="s">
        <v>529</v>
      </c>
    </row>
    <row r="98" spans="6:28">
      <c r="F98" s="56">
        <v>90</v>
      </c>
      <c r="G98" s="61" t="str">
        <f>BackgroundCalcs!AN91</f>
        <v>Daisy</v>
      </c>
      <c r="H98" s="56">
        <f>BackgroundCalcs!AO91</f>
        <v>1</v>
      </c>
      <c r="I98" s="56">
        <f>BackgroundCalcs!AP91</f>
        <v>0</v>
      </c>
      <c r="J98" s="66">
        <v>3.0545838598437989</v>
      </c>
      <c r="K98" s="56">
        <f>BackgroundCalcs!AS91</f>
        <v>36356</v>
      </c>
      <c r="L98" s="56" t="str">
        <f t="shared" si="1"/>
        <v>356</v>
      </c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 t="str">
        <f>Track</f>
        <v>XXXXX</v>
      </c>
    </row>
    <row r="99" spans="6:28">
      <c r="F99" s="56">
        <v>91</v>
      </c>
      <c r="G99" s="61" t="str">
        <f>BackgroundCalcs!AN92</f>
        <v>Kenneth</v>
      </c>
      <c r="H99" s="56">
        <f>BackgroundCalcs!AO92</f>
        <v>0</v>
      </c>
      <c r="I99" s="56">
        <f>BackgroundCalcs!AP92</f>
        <v>0</v>
      </c>
      <c r="J99" s="66">
        <v>3.0545838598437989</v>
      </c>
      <c r="K99" s="56">
        <f>BackgroundCalcs!AS92</f>
        <v>35841</v>
      </c>
      <c r="L99" s="56" t="str">
        <f t="shared" si="1"/>
        <v>841</v>
      </c>
      <c r="O99" s="56"/>
      <c r="P99" s="56"/>
      <c r="Q99" s="56"/>
      <c r="R99" s="56"/>
      <c r="S99" s="56"/>
      <c r="T99" s="56"/>
      <c r="U99" s="56"/>
      <c r="V99" s="56"/>
      <c r="W99" s="56"/>
      <c r="X99" s="56" t="str">
        <f>Track</f>
        <v>XXXXX</v>
      </c>
      <c r="Y99" s="56"/>
      <c r="Z99" s="56"/>
      <c r="AA99" s="80" t="s">
        <v>113</v>
      </c>
    </row>
    <row r="100" spans="6:28">
      <c r="F100" s="56">
        <v>92</v>
      </c>
      <c r="G100" s="61" t="str">
        <f>BackgroundCalcs!AN93</f>
        <v>Nicholas</v>
      </c>
      <c r="H100" s="56">
        <f>BackgroundCalcs!AO93</f>
        <v>0</v>
      </c>
      <c r="I100" s="56">
        <f>BackgroundCalcs!AP93</f>
        <v>1</v>
      </c>
      <c r="J100" s="66">
        <v>3.0545838598437989</v>
      </c>
      <c r="K100" s="56">
        <f>BackgroundCalcs!AS93</f>
        <v>37498</v>
      </c>
      <c r="L100" s="56" t="str">
        <f t="shared" si="1"/>
        <v>498</v>
      </c>
      <c r="O100" s="56"/>
      <c r="P100" s="56"/>
      <c r="Q100" s="56"/>
      <c r="R100" s="56"/>
      <c r="S100" s="56"/>
      <c r="T100" s="56"/>
      <c r="U100" s="56"/>
      <c r="V100" s="56"/>
      <c r="W100" s="56"/>
      <c r="X100" s="56" t="str">
        <f>Track</f>
        <v>XXXXX</v>
      </c>
      <c r="Y100" s="56"/>
      <c r="Z100" s="56"/>
      <c r="AA100" s="56" t="str">
        <f>Track</f>
        <v>XXXXX</v>
      </c>
    </row>
    <row r="101" spans="6:28">
      <c r="F101" s="56">
        <v>93</v>
      </c>
      <c r="G101" s="61" t="str">
        <f>BackgroundCalcs!AN94</f>
        <v>Justin</v>
      </c>
      <c r="H101" s="56">
        <f>BackgroundCalcs!AO94</f>
        <v>0</v>
      </c>
      <c r="I101" s="56">
        <f>BackgroundCalcs!AP94</f>
        <v>0</v>
      </c>
      <c r="J101" s="66">
        <v>3.0545838598437989</v>
      </c>
      <c r="K101" s="56">
        <f>BackgroundCalcs!AS94</f>
        <v>37231</v>
      </c>
      <c r="L101" s="56" t="str">
        <f t="shared" si="1"/>
        <v>231</v>
      </c>
      <c r="O101" s="56"/>
      <c r="P101" s="56"/>
      <c r="Q101" s="56"/>
      <c r="R101" s="56"/>
      <c r="S101" s="56"/>
      <c r="T101" s="56"/>
      <c r="U101" s="56"/>
      <c r="V101" s="56"/>
      <c r="W101" s="56"/>
      <c r="X101" s="56" t="str">
        <f>Track</f>
        <v>XXXXX</v>
      </c>
      <c r="Y101" s="56"/>
      <c r="Z101" s="56"/>
      <c r="AA101" s="56" t="str">
        <f>Track</f>
        <v>XXXXX</v>
      </c>
    </row>
    <row r="102" spans="6:28">
      <c r="F102" s="56">
        <v>94</v>
      </c>
      <c r="G102" s="61" t="str">
        <f>BackgroundCalcs!AN95</f>
        <v>Mark</v>
      </c>
      <c r="H102" s="56">
        <f>BackgroundCalcs!AO95</f>
        <v>0</v>
      </c>
      <c r="I102" s="56">
        <f>BackgroundCalcs!AP95</f>
        <v>0</v>
      </c>
      <c r="J102" s="66">
        <v>3.0545838598437989</v>
      </c>
      <c r="K102" s="56">
        <f>BackgroundCalcs!AS95</f>
        <v>35608</v>
      </c>
      <c r="L102" s="56" t="str">
        <f t="shared" si="1"/>
        <v>608</v>
      </c>
      <c r="O102" s="56"/>
      <c r="P102" s="56"/>
      <c r="Q102" s="56"/>
      <c r="R102" s="56"/>
      <c r="S102" s="56"/>
      <c r="T102" s="56"/>
      <c r="U102" s="56"/>
      <c r="V102" s="56"/>
      <c r="W102" s="56"/>
      <c r="X102" s="56" t="str">
        <f>Track</f>
        <v>XXXXX</v>
      </c>
      <c r="Y102" s="56"/>
      <c r="Z102" s="56"/>
      <c r="AA102" s="56" t="str">
        <f>Track</f>
        <v>XXXXX</v>
      </c>
    </row>
    <row r="103" spans="6:28">
      <c r="F103" s="56">
        <v>95</v>
      </c>
      <c r="G103" s="61" t="str">
        <f>BackgroundCalcs!AN96</f>
        <v>Sophie</v>
      </c>
      <c r="H103" s="56">
        <f>BackgroundCalcs!AO96</f>
        <v>1</v>
      </c>
      <c r="I103" s="56">
        <f>BackgroundCalcs!AP96</f>
        <v>0</v>
      </c>
      <c r="J103" s="66">
        <v>3.0545838598437989</v>
      </c>
      <c r="K103" s="56">
        <f>BackgroundCalcs!AS96</f>
        <v>36975</v>
      </c>
      <c r="L103" s="56" t="str">
        <f t="shared" si="1"/>
        <v>975</v>
      </c>
      <c r="O103" s="56"/>
      <c r="P103" s="56"/>
      <c r="Q103" s="56"/>
      <c r="R103" s="56"/>
      <c r="S103" s="56"/>
      <c r="T103" s="56"/>
      <c r="U103" s="56"/>
      <c r="V103" s="80">
        <f>_xlfn.XLOOKUP(eleventh,G9:G108,K9:K108,"",0,1)</f>
        <v>35648</v>
      </c>
      <c r="W103" s="56" t="str">
        <f>Track</f>
        <v>XXXXX</v>
      </c>
      <c r="X103" s="81">
        <f>V103</f>
        <v>35648</v>
      </c>
      <c r="Y103" s="56" t="str">
        <f>Track</f>
        <v>XXXXX</v>
      </c>
      <c r="Z103" s="56" t="str">
        <f>Track</f>
        <v>XXXXX</v>
      </c>
      <c r="AA103" s="56" t="str">
        <f>Track</f>
        <v>XXXXX</v>
      </c>
    </row>
    <row r="104" spans="6:28">
      <c r="F104" s="56">
        <v>96</v>
      </c>
      <c r="G104" s="61" t="str">
        <f>BackgroundCalcs!AN97</f>
        <v>Richard</v>
      </c>
      <c r="H104" s="56">
        <f>BackgroundCalcs!AO97</f>
        <v>0</v>
      </c>
      <c r="I104" s="56">
        <f>BackgroundCalcs!AP97</f>
        <v>0</v>
      </c>
      <c r="J104" s="66">
        <v>3.0545838598437989</v>
      </c>
      <c r="K104" s="56">
        <f>BackgroundCalcs!AS97</f>
        <v>36064</v>
      </c>
      <c r="L104" s="56" t="str">
        <f t="shared" si="1"/>
        <v>064</v>
      </c>
      <c r="O104" s="56"/>
      <c r="P104" s="56"/>
      <c r="Q104" s="56"/>
      <c r="R104" s="56"/>
      <c r="S104" s="56"/>
      <c r="T104" s="56"/>
      <c r="U104" s="56"/>
      <c r="V104" s="56" t="str">
        <f>Track</f>
        <v>XXXXX</v>
      </c>
      <c r="W104" s="56"/>
      <c r="X104" s="56"/>
      <c r="Y104" s="56"/>
      <c r="Z104" s="56"/>
      <c r="AA104" s="56"/>
    </row>
    <row r="105" spans="6:28">
      <c r="F105" s="56">
        <v>97</v>
      </c>
      <c r="G105" s="61" t="str">
        <f>BackgroundCalcs!AN98</f>
        <v>Calliope</v>
      </c>
      <c r="H105" s="56">
        <f>BackgroundCalcs!AO98</f>
        <v>1</v>
      </c>
      <c r="I105" s="56">
        <f>BackgroundCalcs!AP98</f>
        <v>0</v>
      </c>
      <c r="J105" s="66">
        <v>3.0545838598437989</v>
      </c>
      <c r="K105" s="56">
        <f>BackgroundCalcs!AS98</f>
        <v>36603</v>
      </c>
      <c r="L105" s="56" t="str">
        <f t="shared" si="1"/>
        <v>603</v>
      </c>
      <c r="O105" s="56"/>
      <c r="P105" s="56"/>
      <c r="Q105" s="56"/>
      <c r="R105" s="56"/>
      <c r="S105" s="56"/>
      <c r="T105" s="56"/>
      <c r="U105" s="56"/>
      <c r="V105" s="56" t="str">
        <f>Track</f>
        <v>XXXXX</v>
      </c>
      <c r="W105" s="56"/>
      <c r="X105" s="56"/>
      <c r="Y105" s="56"/>
      <c r="Z105" s="56"/>
      <c r="AA105" s="56"/>
    </row>
    <row r="106" spans="6:28" ht="26.25">
      <c r="F106" s="56">
        <v>98</v>
      </c>
      <c r="G106" s="61" t="str">
        <f>BackgroundCalcs!AN99</f>
        <v>Declan</v>
      </c>
      <c r="H106" s="56">
        <f>BackgroundCalcs!AO99</f>
        <v>0</v>
      </c>
      <c r="I106" s="56">
        <f>BackgroundCalcs!AP99</f>
        <v>0</v>
      </c>
      <c r="J106" s="59">
        <f>BackgroundCalcs!AQ99</f>
        <v>3.9297784979752275</v>
      </c>
      <c r="K106" s="56">
        <f>BackgroundCalcs!AS99</f>
        <v>36353</v>
      </c>
      <c r="L106" s="56" t="str">
        <f t="shared" si="1"/>
        <v>353</v>
      </c>
      <c r="O106" s="56"/>
      <c r="P106" s="56"/>
      <c r="Q106" s="56" t="str">
        <f>Track</f>
        <v>XXXXX</v>
      </c>
      <c r="R106" s="78" t="str">
        <f>EmptyCell</f>
        <v>-------</v>
      </c>
      <c r="S106" s="56" t="str">
        <f>Track</f>
        <v>XXXXX</v>
      </c>
      <c r="T106" s="79" t="str">
        <f>BackgroundCalcs!AB18</f>
        <v>Rhett</v>
      </c>
      <c r="U106" s="56" t="str">
        <f>Track</f>
        <v>XXXXX</v>
      </c>
      <c r="V106" s="56" t="str">
        <f>Track</f>
        <v>XXXXX</v>
      </c>
      <c r="W106" s="56"/>
      <c r="X106" s="56"/>
      <c r="Y106" s="56"/>
      <c r="Z106" s="56"/>
      <c r="AA106" s="56"/>
    </row>
    <row r="107" spans="6:28">
      <c r="F107" s="56">
        <v>99</v>
      </c>
      <c r="G107" s="61" t="str">
        <f>BackgroundCalcs!AN100</f>
        <v>Aaron</v>
      </c>
      <c r="H107" s="56">
        <f>BackgroundCalcs!AO100</f>
        <v>0</v>
      </c>
      <c r="I107" s="56">
        <f>BackgroundCalcs!AP100</f>
        <v>1</v>
      </c>
      <c r="J107" s="59">
        <f>BackgroundCalcs!AQ100</f>
        <v>2.8811058170623181</v>
      </c>
      <c r="K107" s="56">
        <f>BackgroundCalcs!AS100</f>
        <v>36416</v>
      </c>
      <c r="L107" s="56" t="str">
        <f t="shared" si="1"/>
        <v>416</v>
      </c>
      <c r="O107" s="56"/>
      <c r="P107" s="56"/>
      <c r="Q107" s="56" t="str">
        <f>Track</f>
        <v>XXXXX</v>
      </c>
      <c r="R107" s="56"/>
      <c r="S107" s="56"/>
      <c r="T107" s="56"/>
      <c r="U107" s="56"/>
      <c r="V107" s="56"/>
      <c r="W107" s="56"/>
      <c r="X107" s="56"/>
      <c r="Y107" s="56"/>
      <c r="Z107" s="56"/>
      <c r="AA107" s="56"/>
    </row>
    <row r="108" spans="6:28">
      <c r="F108" s="56">
        <v>100</v>
      </c>
      <c r="G108" s="61" t="str">
        <f>BackgroundCalcs!AN101</f>
        <v>Zoe</v>
      </c>
      <c r="H108" s="56">
        <f>BackgroundCalcs!AO101</f>
        <v>1</v>
      </c>
      <c r="I108" s="56">
        <f>BackgroundCalcs!AP101</f>
        <v>1</v>
      </c>
      <c r="J108" s="59">
        <f>BackgroundCalcs!AQ101</f>
        <v>3.2228006079623532</v>
      </c>
      <c r="K108" s="56">
        <f>BackgroundCalcs!AS101</f>
        <v>36556</v>
      </c>
      <c r="L108" s="56" t="str">
        <f t="shared" si="1"/>
        <v>556</v>
      </c>
      <c r="O108" s="56" t="str">
        <f t="shared" ref="O108:O119" si="2">Track</f>
        <v>XXXXX</v>
      </c>
      <c r="P108" s="78" t="str">
        <f>EmptyCell</f>
        <v>-------</v>
      </c>
      <c r="Q108" s="56" t="str">
        <f>Track</f>
        <v>XXXXX</v>
      </c>
      <c r="R108" s="56"/>
      <c r="S108" s="56"/>
      <c r="T108" s="56"/>
      <c r="U108" s="56"/>
      <c r="V108" s="56"/>
      <c r="W108" s="56"/>
      <c r="X108" s="56"/>
      <c r="Y108" s="56"/>
      <c r="Z108" s="56"/>
      <c r="AA108" s="56"/>
    </row>
    <row r="109" spans="6:28">
      <c r="F109" s="56" t="str">
        <f>Track</f>
        <v>XXXXX</v>
      </c>
      <c r="O109" s="56" t="str">
        <f t="shared" si="2"/>
        <v>XXXXX</v>
      </c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</row>
    <row r="110" spans="6:28">
      <c r="F110" s="57" t="s">
        <v>16</v>
      </c>
      <c r="G110" s="56" t="str">
        <f t="shared" ref="G110:G112" si="3">Track</f>
        <v>XXXXX</v>
      </c>
      <c r="H110" s="56"/>
      <c r="I110" s="56"/>
      <c r="J110" s="56"/>
      <c r="K110" s="56"/>
      <c r="L110" s="56"/>
      <c r="M110" s="56"/>
      <c r="N110" s="56"/>
      <c r="O110" s="56" t="str">
        <f t="shared" si="2"/>
        <v>XXXXX</v>
      </c>
    </row>
    <row r="111" spans="6:28">
      <c r="F111" s="56"/>
      <c r="G111" s="56" t="str">
        <f t="shared" si="3"/>
        <v>XXXXX</v>
      </c>
      <c r="H111" s="56"/>
      <c r="I111" s="56"/>
      <c r="J111" s="56"/>
      <c r="K111" s="56"/>
      <c r="L111" s="56"/>
      <c r="M111" s="56"/>
      <c r="N111" s="56"/>
      <c r="O111" s="56" t="str">
        <f t="shared" si="2"/>
        <v>XXXXX</v>
      </c>
    </row>
    <row r="112" spans="6:28">
      <c r="F112" s="56"/>
      <c r="G112" s="56" t="str">
        <f t="shared" si="3"/>
        <v>XXXXX</v>
      </c>
      <c r="H112" s="56"/>
      <c r="I112" s="56"/>
      <c r="J112" s="56"/>
      <c r="K112" s="56"/>
      <c r="L112" s="56"/>
      <c r="M112" s="56"/>
      <c r="N112" s="56"/>
      <c r="O112" s="56" t="str">
        <f t="shared" si="2"/>
        <v>XXXXX</v>
      </c>
    </row>
    <row r="113" spans="6:15">
      <c r="F113" s="56"/>
      <c r="G113" s="67">
        <f>SUM(H9:H108)</f>
        <v>53</v>
      </c>
      <c r="H113" s="56"/>
      <c r="I113" s="56"/>
      <c r="J113" s="56"/>
      <c r="K113" s="56"/>
      <c r="L113" s="56"/>
      <c r="M113" s="56"/>
      <c r="N113" s="56"/>
      <c r="O113" s="56" t="str">
        <f t="shared" si="2"/>
        <v>XXXXX</v>
      </c>
    </row>
    <row r="114" spans="6:15">
      <c r="F114" s="56"/>
      <c r="G114" s="56" t="str">
        <f>Track</f>
        <v>XXXXX</v>
      </c>
      <c r="H114" s="56"/>
      <c r="I114" s="56"/>
      <c r="J114" s="56"/>
      <c r="K114" s="56"/>
      <c r="L114" s="56"/>
      <c r="M114" s="56"/>
      <c r="N114" s="56"/>
      <c r="O114" s="56" t="str">
        <f t="shared" si="2"/>
        <v>XXXXX</v>
      </c>
    </row>
    <row r="115" spans="6:15">
      <c r="F115" s="56"/>
      <c r="G115" s="77">
        <f>(100-SUM(I9:I108))/100</f>
        <v>0.54</v>
      </c>
      <c r="H115" s="56"/>
      <c r="I115" s="56"/>
      <c r="J115" s="56"/>
      <c r="K115" s="56"/>
      <c r="L115" s="56"/>
      <c r="M115" s="56"/>
      <c r="N115" s="56"/>
      <c r="O115" s="56" t="str">
        <f t="shared" si="2"/>
        <v>XXXXX</v>
      </c>
    </row>
    <row r="116" spans="6:15">
      <c r="F116" s="56"/>
      <c r="G116" s="56" t="str">
        <f>Track</f>
        <v>XXXXX</v>
      </c>
      <c r="H116" s="56"/>
      <c r="I116" s="56"/>
      <c r="J116" s="56"/>
      <c r="K116" s="56"/>
      <c r="L116" s="56"/>
      <c r="M116" s="56"/>
      <c r="N116" s="56"/>
      <c r="O116" s="56" t="str">
        <f t="shared" si="2"/>
        <v>XXXXX</v>
      </c>
    </row>
    <row r="117" spans="6:15">
      <c r="F117" s="56"/>
      <c r="G117" s="67">
        <f>SUMPRODUCT(H9:H108,I9:I108)</f>
        <v>22</v>
      </c>
      <c r="H117" s="56"/>
      <c r="I117" s="56"/>
      <c r="J117" s="56"/>
      <c r="K117" s="56"/>
      <c r="L117" s="56"/>
      <c r="M117" s="56"/>
      <c r="N117" s="56"/>
      <c r="O117" s="56" t="str">
        <f t="shared" si="2"/>
        <v>XXXXX</v>
      </c>
    </row>
    <row r="118" spans="6:15">
      <c r="F118" s="56"/>
      <c r="G118" s="56" t="str">
        <f>Track</f>
        <v>XXXXX</v>
      </c>
      <c r="H118" s="56"/>
      <c r="I118" s="56"/>
      <c r="J118" s="56"/>
      <c r="K118" s="56"/>
      <c r="L118" s="56"/>
      <c r="M118" s="56"/>
      <c r="N118" s="56"/>
      <c r="O118" s="56" t="str">
        <f t="shared" si="2"/>
        <v>XXXXX</v>
      </c>
    </row>
    <row r="119" spans="6:15">
      <c r="F119" s="56"/>
      <c r="G119" s="78">
        <f>AVERAGE(J9:J108)</f>
        <v>3.0545838598437967</v>
      </c>
      <c r="H119" s="56" t="str">
        <f t="shared" ref="H119:M119" si="4">Track</f>
        <v>XXXXX</v>
      </c>
      <c r="I119" s="56" t="str">
        <f t="shared" si="4"/>
        <v>XXXXX</v>
      </c>
      <c r="J119" s="56" t="str">
        <f t="shared" si="4"/>
        <v>XXXXX</v>
      </c>
      <c r="K119" s="56" t="str">
        <f t="shared" si="4"/>
        <v>XXXXX</v>
      </c>
      <c r="L119" s="56" t="str">
        <f t="shared" si="4"/>
        <v>XXXXX</v>
      </c>
      <c r="M119" s="56" t="str">
        <f t="shared" si="4"/>
        <v>XXXXX</v>
      </c>
      <c r="N119" s="78">
        <f>SUM(J9:J108)</f>
        <v>305.45838598437967</v>
      </c>
      <c r="O119" s="56" t="str">
        <f t="shared" si="2"/>
        <v>XXXXX</v>
      </c>
    </row>
    <row r="120" spans="6:15">
      <c r="F120" s="56"/>
    </row>
    <row r="1000" spans="648:648" ht="15.75">
      <c r="XX1000" s="74">
        <v>125713</v>
      </c>
    </row>
  </sheetData>
  <conditionalFormatting sqref="J9:J108">
    <cfRule type="cellIs" dxfId="0" priority="1" operator="greaterThan">
      <formula>3.6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1D967-8F43-493B-8C81-43C90010F3B5}">
  <sheetPr codeName="Sheet7"/>
  <dimension ref="A1:XX1000"/>
  <sheetViews>
    <sheetView tabSelected="1" zoomScale="115" zoomScaleNormal="115" workbookViewId="0"/>
  </sheetViews>
  <sheetFormatPr defaultColWidth="0" defaultRowHeight="15" customHeight="1" zeroHeight="1"/>
  <cols>
    <col min="1" max="1" width="3.140625" style="17" customWidth="1"/>
    <col min="2" max="2" width="19.85546875" style="12" customWidth="1"/>
    <col min="3" max="5" width="19.85546875" style="17" customWidth="1"/>
    <col min="6" max="6" width="3.140625" style="17" customWidth="1"/>
    <col min="7" max="8" width="0" style="17" hidden="1" customWidth="1"/>
    <col min="9" max="26" width="8.85546875" style="17" hidden="1"/>
    <col min="27" max="69" width="5.85546875" style="17" hidden="1" customWidth="1"/>
    <col min="70" max="70" width="8.85546875" style="17" hidden="1" customWidth="1"/>
    <col min="71" max="71" width="5.85546875" style="17" hidden="1" customWidth="1"/>
    <col min="72" max="72" width="8.85546875" style="17" hidden="1" customWidth="1"/>
    <col min="73" max="103" width="5.85546875" style="17" hidden="1" customWidth="1"/>
    <col min="104" max="104" width="8.85546875" style="17" hidden="1" customWidth="1"/>
    <col min="105" max="16384" width="8.85546875" style="17" hidden="1"/>
  </cols>
  <sheetData>
    <row r="1" spans="1:99" ht="18.75">
      <c r="A1" s="30"/>
      <c r="B1" s="31"/>
      <c r="C1" s="30"/>
      <c r="D1" s="30"/>
      <c r="E1" s="30"/>
      <c r="F1" s="30"/>
    </row>
    <row r="2" spans="1:99" ht="18.75">
      <c r="A2" s="72">
        <f>IF(ISNUMBER(E16),1,0)</f>
        <v>1</v>
      </c>
      <c r="B2" s="31" t="str">
        <f>"Results for "&amp;SpreadsheetName</f>
        <v>Results for MECC Keyboarding Challenge (2023 Edition)</v>
      </c>
      <c r="C2" s="30"/>
      <c r="D2" s="30"/>
      <c r="E2" s="30"/>
      <c r="F2" s="30"/>
    </row>
    <row r="3" spans="1:99">
      <c r="A3" s="30"/>
      <c r="B3" s="32"/>
      <c r="C3" s="30"/>
      <c r="D3" s="30"/>
      <c r="E3" s="30"/>
      <c r="F3" s="30"/>
    </row>
    <row r="4" spans="1:99" ht="16.5" thickBot="1">
      <c r="A4" s="30"/>
      <c r="B4" s="33" t="s">
        <v>497</v>
      </c>
      <c r="C4" s="30"/>
      <c r="D4" s="30"/>
      <c r="E4" s="30"/>
      <c r="F4" s="30"/>
    </row>
    <row r="5" spans="1:99" ht="39.75" customHeight="1" thickBot="1">
      <c r="A5" s="30"/>
      <c r="B5" s="34" t="str">
        <f>BackgroundCalcs!D55</f>
        <v>I finished the MECC Keyboarding Challenge in 492 seconds. Sign up for the Microsoft Excel Collegiate Challenge and give it a try! #ExcelEsports #ExcelAtEller</v>
      </c>
      <c r="C5" s="35"/>
      <c r="D5" s="35"/>
      <c r="E5" s="36"/>
      <c r="F5" s="30"/>
    </row>
    <row r="6" spans="1:99" ht="15.75" thickBot="1">
      <c r="A6" s="30"/>
      <c r="B6" s="30"/>
      <c r="C6" s="30"/>
      <c r="D6" s="30"/>
      <c r="E6" s="30"/>
      <c r="F6" s="30"/>
    </row>
    <row r="7" spans="1:99">
      <c r="A7" s="30"/>
      <c r="B7" s="30"/>
      <c r="C7" s="75" t="str">
        <f>HYPERLINK(BackgroundCalcs!D65,"Post to Twitter")</f>
        <v>Post to Twitter</v>
      </c>
      <c r="D7" s="75" t="str">
        <f>HYPERLINK(BackgroundCalcs!D59,"Post to LinkedIn")</f>
        <v>Post to LinkedIn</v>
      </c>
      <c r="E7" s="30"/>
      <c r="F7" s="30"/>
    </row>
    <row r="8" spans="1:99" ht="15.75" thickBot="1">
      <c r="A8" s="30"/>
      <c r="B8" s="30"/>
      <c r="C8" s="76"/>
      <c r="D8" s="76"/>
      <c r="E8" s="30"/>
      <c r="F8" s="30"/>
      <c r="CT8" s="25"/>
      <c r="CU8" s="25"/>
    </row>
    <row r="9" spans="1:99">
      <c r="A9" s="30"/>
      <c r="B9" s="30"/>
      <c r="C9" s="30"/>
      <c r="D9" s="30"/>
      <c r="E9" s="30"/>
      <c r="F9" s="30"/>
    </row>
    <row r="10" spans="1:99">
      <c r="A10" s="30"/>
      <c r="B10" s="37" t="s">
        <v>498</v>
      </c>
      <c r="C10" s="30"/>
      <c r="D10" s="30"/>
      <c r="E10" s="30"/>
      <c r="F10" s="30"/>
    </row>
    <row r="11" spans="1:99" ht="15.75" thickBot="1">
      <c r="A11" s="30"/>
      <c r="B11" s="38" t="s">
        <v>499</v>
      </c>
      <c r="C11" s="38" t="s">
        <v>500</v>
      </c>
      <c r="D11" s="38" t="s">
        <v>501</v>
      </c>
      <c r="E11" s="38" t="s">
        <v>162</v>
      </c>
      <c r="F11" s="30"/>
      <c r="BF11" s="39"/>
    </row>
    <row r="12" spans="1:99">
      <c r="A12" s="30"/>
      <c r="B12" s="40">
        <v>45582.948495370372</v>
      </c>
      <c r="C12" s="41">
        <v>492</v>
      </c>
      <c r="D12" s="41">
        <v>0</v>
      </c>
      <c r="E12" s="42">
        <v>492</v>
      </c>
      <c r="F12" s="30"/>
    </row>
    <row r="13" spans="1:99">
      <c r="A13" s="30"/>
      <c r="B13" s="30"/>
      <c r="C13" s="30"/>
      <c r="D13" s="30"/>
      <c r="E13" s="30"/>
      <c r="F13" s="30"/>
    </row>
    <row r="14" spans="1:99" ht="15.75" thickBot="1">
      <c r="A14" s="30"/>
      <c r="B14" s="37" t="s">
        <v>502</v>
      </c>
      <c r="C14" s="30"/>
      <c r="D14" s="30"/>
      <c r="E14" s="30"/>
      <c r="F14" s="30"/>
    </row>
    <row r="15" spans="1:99" ht="15.75" thickBot="1">
      <c r="A15" s="30"/>
      <c r="B15" s="38" t="s">
        <v>499</v>
      </c>
      <c r="C15" s="38" t="s">
        <v>500</v>
      </c>
      <c r="D15" s="38" t="s">
        <v>501</v>
      </c>
      <c r="E15" s="38" t="s">
        <v>162</v>
      </c>
      <c r="F15" s="30"/>
      <c r="BP15" s="43"/>
      <c r="BR15" s="43"/>
      <c r="BT15" s="43"/>
      <c r="BW15" s="39"/>
      <c r="BY15" s="39"/>
      <c r="CA15" s="39"/>
      <c r="CC15" s="44"/>
    </row>
    <row r="16" spans="1:99">
      <c r="A16" s="30"/>
      <c r="B16" s="40">
        <f>IF(ISBLANK(B20),"",INDEX(B20:B138,MATCH(C16,C20:C138,0)))</f>
        <v>45582.948495370372</v>
      </c>
      <c r="C16" s="41">
        <f>IF(ISBLANK(C20),"",INDEX(C20:C138,MATCH($E$16,$E$20:$E$138,0)))</f>
        <v>492</v>
      </c>
      <c r="D16" s="41">
        <f>IF(ISBLANK(D20),"",INDEX(D20:D138,MATCH($E$16,$E$20:$E$138,0)))</f>
        <v>0</v>
      </c>
      <c r="E16" s="42">
        <f>IF(ISBLANK(E20),"",MIN(E20:E138))</f>
        <v>492</v>
      </c>
      <c r="F16" s="30"/>
    </row>
    <row r="17" spans="1:104">
      <c r="A17" s="30"/>
      <c r="B17" s="30"/>
      <c r="C17" s="30"/>
      <c r="D17" s="30"/>
      <c r="E17" s="30"/>
      <c r="F17" s="30"/>
      <c r="CZ17" s="39"/>
    </row>
    <row r="18" spans="1:104">
      <c r="A18" s="30"/>
      <c r="B18" s="37" t="s">
        <v>503</v>
      </c>
      <c r="C18" s="30"/>
      <c r="D18" s="30"/>
      <c r="E18" s="30"/>
      <c r="F18" s="30"/>
    </row>
    <row r="19" spans="1:104" ht="15.75" thickBot="1">
      <c r="A19" s="30"/>
      <c r="B19" s="38" t="s">
        <v>499</v>
      </c>
      <c r="C19" s="38" t="s">
        <v>500</v>
      </c>
      <c r="D19" s="38" t="s">
        <v>501</v>
      </c>
      <c r="E19" s="38" t="s">
        <v>162</v>
      </c>
      <c r="F19" s="30"/>
    </row>
    <row r="20" spans="1:104">
      <c r="A20" s="30"/>
      <c r="B20" s="40">
        <v>45582.948495370372</v>
      </c>
      <c r="C20" s="42">
        <v>492</v>
      </c>
      <c r="D20" s="42">
        <v>0</v>
      </c>
      <c r="E20" s="42">
        <v>492</v>
      </c>
      <c r="F20" s="30"/>
    </row>
    <row r="21" spans="1:104">
      <c r="A21" s="30"/>
      <c r="B21" s="40"/>
      <c r="C21" s="42"/>
      <c r="D21" s="42"/>
      <c r="E21" s="42"/>
      <c r="F21" s="30"/>
    </row>
    <row r="22" spans="1:104">
      <c r="A22" s="30"/>
      <c r="B22" s="40"/>
      <c r="C22" s="42"/>
      <c r="D22" s="42"/>
      <c r="E22" s="42"/>
      <c r="F22" s="30"/>
    </row>
    <row r="23" spans="1:104">
      <c r="A23" s="30"/>
      <c r="B23" s="40"/>
      <c r="C23" s="42"/>
      <c r="D23" s="42"/>
      <c r="E23" s="42"/>
      <c r="F23" s="30"/>
    </row>
    <row r="24" spans="1:104">
      <c r="A24" s="30"/>
      <c r="B24" s="40"/>
      <c r="C24" s="42"/>
      <c r="D24" s="42"/>
      <c r="E24" s="42"/>
      <c r="F24" s="30"/>
    </row>
    <row r="25" spans="1:104">
      <c r="A25" s="30"/>
      <c r="B25" s="40"/>
      <c r="C25" s="42"/>
      <c r="D25" s="42"/>
      <c r="E25" s="42"/>
      <c r="F25" s="30"/>
    </row>
    <row r="26" spans="1:104">
      <c r="A26" s="30"/>
      <c r="B26" s="40"/>
      <c r="C26" s="42"/>
      <c r="D26" s="42"/>
      <c r="E26" s="42"/>
      <c r="F26" s="30"/>
    </row>
    <row r="27" spans="1:104">
      <c r="A27" s="30"/>
      <c r="B27" s="40"/>
      <c r="C27" s="42"/>
      <c r="D27" s="42"/>
      <c r="E27" s="42"/>
      <c r="F27" s="30"/>
    </row>
    <row r="28" spans="1:104">
      <c r="A28" s="30"/>
      <c r="B28" s="40"/>
      <c r="C28" s="42"/>
      <c r="D28" s="42"/>
      <c r="E28" s="42"/>
      <c r="F28" s="30"/>
    </row>
    <row r="29" spans="1:104">
      <c r="A29" s="30"/>
      <c r="B29" s="40"/>
      <c r="C29" s="42"/>
      <c r="D29" s="42"/>
      <c r="E29" s="42"/>
      <c r="F29" s="30"/>
    </row>
    <row r="30" spans="1:104">
      <c r="A30" s="30"/>
      <c r="B30" s="40"/>
      <c r="C30" s="42"/>
      <c r="D30" s="42"/>
      <c r="E30" s="42"/>
      <c r="F30" s="30"/>
    </row>
    <row r="31" spans="1:104">
      <c r="A31" s="30"/>
      <c r="B31" s="40"/>
      <c r="C31" s="42"/>
      <c r="D31" s="42"/>
      <c r="E31" s="42"/>
      <c r="F31" s="30"/>
    </row>
    <row r="32" spans="1:104">
      <c r="A32" s="30"/>
      <c r="B32" s="40"/>
      <c r="C32" s="42"/>
      <c r="D32" s="42"/>
      <c r="E32" s="42"/>
      <c r="F32" s="30"/>
    </row>
    <row r="33" spans="1:6">
      <c r="A33" s="30"/>
      <c r="B33" s="40"/>
      <c r="C33" s="42"/>
      <c r="D33" s="42"/>
      <c r="E33" s="42"/>
      <c r="F33" s="30"/>
    </row>
    <row r="34" spans="1:6">
      <c r="A34" s="30"/>
      <c r="B34" s="40"/>
      <c r="C34" s="42"/>
      <c r="D34" s="42"/>
      <c r="E34" s="42"/>
      <c r="F34" s="30"/>
    </row>
    <row r="35" spans="1:6">
      <c r="A35" s="30"/>
      <c r="B35" s="40"/>
      <c r="C35" s="42"/>
      <c r="D35" s="42"/>
      <c r="E35" s="42"/>
      <c r="F35" s="30"/>
    </row>
    <row r="36" spans="1:6">
      <c r="A36" s="30"/>
      <c r="B36" s="40"/>
      <c r="C36" s="42"/>
      <c r="D36" s="42"/>
      <c r="E36" s="42"/>
      <c r="F36" s="30"/>
    </row>
    <row r="37" spans="1:6">
      <c r="A37" s="30"/>
      <c r="B37" s="40"/>
      <c r="C37" s="42"/>
      <c r="D37" s="42"/>
      <c r="E37" s="42"/>
      <c r="F37" s="30"/>
    </row>
    <row r="38" spans="1:6">
      <c r="A38" s="30"/>
      <c r="B38" s="40"/>
      <c r="C38" s="42"/>
      <c r="D38" s="42"/>
      <c r="E38" s="42"/>
      <c r="F38" s="30"/>
    </row>
    <row r="39" spans="1:6">
      <c r="A39" s="30"/>
      <c r="B39" s="40"/>
      <c r="C39" s="42"/>
      <c r="D39" s="42"/>
      <c r="E39" s="42"/>
      <c r="F39" s="30"/>
    </row>
    <row r="40" spans="1:6">
      <c r="A40" s="30"/>
      <c r="B40" s="40"/>
      <c r="C40" s="42"/>
      <c r="D40" s="42"/>
      <c r="E40" s="42"/>
      <c r="F40" s="30"/>
    </row>
    <row r="41" spans="1:6">
      <c r="A41" s="30"/>
      <c r="B41" s="40"/>
      <c r="C41" s="42"/>
      <c r="D41" s="42"/>
      <c r="E41" s="42"/>
      <c r="F41" s="30"/>
    </row>
    <row r="42" spans="1:6">
      <c r="A42" s="30"/>
      <c r="B42" s="40"/>
      <c r="C42" s="42"/>
      <c r="D42" s="42"/>
      <c r="E42" s="42"/>
      <c r="F42" s="30"/>
    </row>
    <row r="43" spans="1:6">
      <c r="A43" s="30"/>
      <c r="B43" s="40"/>
      <c r="C43" s="42"/>
      <c r="D43" s="42"/>
      <c r="E43" s="42"/>
      <c r="F43" s="30"/>
    </row>
    <row r="44" spans="1:6">
      <c r="A44" s="30"/>
      <c r="B44" s="40"/>
      <c r="C44" s="42"/>
      <c r="D44" s="42"/>
      <c r="E44" s="42"/>
      <c r="F44" s="30"/>
    </row>
    <row r="45" spans="1:6">
      <c r="A45" s="30"/>
      <c r="B45" s="40"/>
      <c r="C45" s="42"/>
      <c r="D45" s="42"/>
      <c r="E45" s="42"/>
      <c r="F45" s="30"/>
    </row>
    <row r="46" spans="1:6">
      <c r="A46" s="30"/>
      <c r="B46" s="40"/>
      <c r="C46" s="42"/>
      <c r="D46" s="42"/>
      <c r="E46" s="42"/>
      <c r="F46" s="30"/>
    </row>
    <row r="47" spans="1:6">
      <c r="A47" s="30"/>
      <c r="B47" s="40"/>
      <c r="C47" s="42"/>
      <c r="D47" s="42"/>
      <c r="E47" s="42"/>
      <c r="F47" s="30"/>
    </row>
    <row r="48" spans="1:6">
      <c r="A48" s="30"/>
      <c r="B48" s="40"/>
      <c r="C48" s="42"/>
      <c r="D48" s="42"/>
      <c r="E48" s="42"/>
      <c r="F48" s="30"/>
    </row>
    <row r="49" spans="1:6">
      <c r="A49" s="30"/>
      <c r="B49" s="40"/>
      <c r="C49" s="42"/>
      <c r="D49" s="42"/>
      <c r="E49" s="42"/>
      <c r="F49" s="30"/>
    </row>
    <row r="50" spans="1:6">
      <c r="A50" s="30"/>
      <c r="B50" s="40"/>
      <c r="C50" s="42"/>
      <c r="D50" s="42"/>
      <c r="E50" s="42"/>
      <c r="F50" s="30"/>
    </row>
    <row r="51" spans="1:6">
      <c r="A51" s="30"/>
      <c r="B51" s="40"/>
      <c r="C51" s="42"/>
      <c r="D51" s="42"/>
      <c r="E51" s="42"/>
      <c r="F51" s="30"/>
    </row>
    <row r="52" spans="1:6">
      <c r="A52" s="30"/>
      <c r="B52" s="40"/>
      <c r="C52" s="42"/>
      <c r="D52" s="42"/>
      <c r="E52" s="42"/>
      <c r="F52" s="30"/>
    </row>
    <row r="53" spans="1:6">
      <c r="A53" s="30"/>
      <c r="B53" s="40"/>
      <c r="C53" s="42"/>
      <c r="D53" s="42"/>
      <c r="E53" s="42"/>
      <c r="F53" s="30"/>
    </row>
    <row r="54" spans="1:6">
      <c r="A54" s="30"/>
      <c r="B54" s="40"/>
      <c r="C54" s="42"/>
      <c r="D54" s="42"/>
      <c r="E54" s="42"/>
      <c r="F54" s="30"/>
    </row>
    <row r="55" spans="1:6">
      <c r="A55" s="30"/>
      <c r="B55" s="40"/>
      <c r="C55" s="42"/>
      <c r="D55" s="42"/>
      <c r="E55" s="42"/>
      <c r="F55" s="30"/>
    </row>
    <row r="56" spans="1:6">
      <c r="A56" s="30"/>
      <c r="B56" s="40"/>
      <c r="C56" s="42"/>
      <c r="D56" s="42"/>
      <c r="E56" s="42"/>
      <c r="F56" s="30"/>
    </row>
    <row r="57" spans="1:6">
      <c r="A57" s="30"/>
      <c r="B57" s="40"/>
      <c r="C57" s="42"/>
      <c r="D57" s="42"/>
      <c r="E57" s="42"/>
      <c r="F57" s="30"/>
    </row>
    <row r="58" spans="1:6">
      <c r="A58" s="30"/>
      <c r="B58" s="40"/>
      <c r="C58" s="42"/>
      <c r="D58" s="42"/>
      <c r="E58" s="42"/>
      <c r="F58" s="30"/>
    </row>
    <row r="59" spans="1:6">
      <c r="A59" s="30"/>
      <c r="B59" s="40"/>
      <c r="C59" s="42"/>
      <c r="D59" s="42"/>
      <c r="E59" s="42"/>
      <c r="F59" s="30"/>
    </row>
    <row r="60" spans="1:6">
      <c r="A60" s="30"/>
      <c r="B60" s="40"/>
      <c r="C60" s="42"/>
      <c r="D60" s="42"/>
      <c r="E60" s="42"/>
      <c r="F60" s="30"/>
    </row>
    <row r="61" spans="1:6">
      <c r="A61" s="30"/>
      <c r="B61" s="40"/>
      <c r="C61" s="42"/>
      <c r="D61" s="42"/>
      <c r="E61" s="42"/>
      <c r="F61" s="30"/>
    </row>
    <row r="62" spans="1:6">
      <c r="A62" s="30"/>
      <c r="B62" s="40"/>
      <c r="C62" s="42"/>
      <c r="D62" s="42"/>
      <c r="E62" s="42"/>
      <c r="F62" s="30"/>
    </row>
    <row r="63" spans="1:6">
      <c r="A63" s="30"/>
      <c r="B63" s="40"/>
      <c r="C63" s="42"/>
      <c r="D63" s="42"/>
      <c r="E63" s="42"/>
      <c r="F63" s="30"/>
    </row>
    <row r="64" spans="1:6">
      <c r="A64" s="30"/>
      <c r="B64" s="40"/>
      <c r="C64" s="42"/>
      <c r="D64" s="42"/>
      <c r="E64" s="42"/>
      <c r="F64" s="30"/>
    </row>
    <row r="65" spans="1:6">
      <c r="A65" s="30"/>
      <c r="B65" s="40"/>
      <c r="C65" s="42"/>
      <c r="D65" s="42"/>
      <c r="E65" s="42"/>
      <c r="F65" s="30"/>
    </row>
    <row r="66" spans="1:6">
      <c r="A66" s="30"/>
      <c r="B66" s="40"/>
      <c r="C66" s="42"/>
      <c r="D66" s="42"/>
      <c r="E66" s="42"/>
      <c r="F66" s="30"/>
    </row>
    <row r="67" spans="1:6">
      <c r="A67" s="30"/>
      <c r="B67" s="40"/>
      <c r="C67" s="42"/>
      <c r="D67" s="42"/>
      <c r="E67" s="42"/>
      <c r="F67" s="30"/>
    </row>
    <row r="68" spans="1:6">
      <c r="A68" s="30"/>
      <c r="B68" s="40"/>
      <c r="C68" s="42"/>
      <c r="D68" s="42"/>
      <c r="E68" s="42"/>
      <c r="F68" s="30"/>
    </row>
    <row r="69" spans="1:6">
      <c r="A69" s="30"/>
      <c r="B69" s="40"/>
      <c r="C69" s="42"/>
      <c r="D69" s="42"/>
      <c r="E69" s="42"/>
      <c r="F69" s="30"/>
    </row>
    <row r="70" spans="1:6">
      <c r="A70" s="30"/>
      <c r="B70" s="40"/>
      <c r="C70" s="42"/>
      <c r="D70" s="42"/>
      <c r="E70" s="42"/>
      <c r="F70" s="30"/>
    </row>
    <row r="71" spans="1:6">
      <c r="A71" s="30"/>
      <c r="B71" s="40"/>
      <c r="C71" s="42"/>
      <c r="D71" s="42"/>
      <c r="E71" s="42"/>
      <c r="F71" s="30"/>
    </row>
    <row r="72" spans="1:6">
      <c r="A72" s="30"/>
      <c r="B72" s="40"/>
      <c r="C72" s="42"/>
      <c r="D72" s="42"/>
      <c r="E72" s="42"/>
      <c r="F72" s="30"/>
    </row>
    <row r="73" spans="1:6">
      <c r="A73" s="30"/>
      <c r="B73" s="40"/>
      <c r="C73" s="42"/>
      <c r="D73" s="42"/>
      <c r="E73" s="42"/>
      <c r="F73" s="30"/>
    </row>
    <row r="74" spans="1:6">
      <c r="A74" s="30"/>
      <c r="B74" s="40"/>
      <c r="C74" s="42"/>
      <c r="D74" s="42"/>
      <c r="E74" s="42"/>
      <c r="F74" s="30"/>
    </row>
    <row r="75" spans="1:6">
      <c r="A75" s="30"/>
      <c r="B75" s="40"/>
      <c r="C75" s="42"/>
      <c r="D75" s="42"/>
      <c r="E75" s="42"/>
      <c r="F75" s="30"/>
    </row>
    <row r="76" spans="1:6">
      <c r="A76" s="30"/>
      <c r="B76" s="40"/>
      <c r="C76" s="42"/>
      <c r="D76" s="42"/>
      <c r="E76" s="42"/>
      <c r="F76" s="30"/>
    </row>
    <row r="77" spans="1:6">
      <c r="A77" s="30"/>
      <c r="B77" s="40"/>
      <c r="C77" s="42"/>
      <c r="D77" s="42"/>
      <c r="E77" s="42"/>
      <c r="F77" s="30"/>
    </row>
    <row r="78" spans="1:6">
      <c r="A78" s="30"/>
      <c r="B78" s="40"/>
      <c r="C78" s="42"/>
      <c r="D78" s="42"/>
      <c r="E78" s="42"/>
      <c r="F78" s="30"/>
    </row>
    <row r="79" spans="1:6">
      <c r="A79" s="30"/>
      <c r="B79" s="40"/>
      <c r="C79" s="42"/>
      <c r="D79" s="42"/>
      <c r="E79" s="42"/>
      <c r="F79" s="30"/>
    </row>
    <row r="80" spans="1:6">
      <c r="A80" s="30"/>
      <c r="B80" s="40"/>
      <c r="C80" s="42"/>
      <c r="D80" s="42"/>
      <c r="E80" s="42"/>
      <c r="F80" s="30"/>
    </row>
    <row r="81" spans="1:6">
      <c r="A81" s="30"/>
      <c r="B81" s="40"/>
      <c r="C81" s="42"/>
      <c r="D81" s="42"/>
      <c r="E81" s="42"/>
      <c r="F81" s="30"/>
    </row>
    <row r="82" spans="1:6">
      <c r="A82" s="30"/>
      <c r="B82" s="40"/>
      <c r="C82" s="42"/>
      <c r="D82" s="42"/>
      <c r="E82" s="42"/>
      <c r="F82" s="30"/>
    </row>
    <row r="83" spans="1:6">
      <c r="A83" s="30"/>
      <c r="B83" s="40"/>
      <c r="C83" s="42"/>
      <c r="D83" s="42"/>
      <c r="E83" s="42"/>
      <c r="F83" s="30"/>
    </row>
    <row r="84" spans="1:6">
      <c r="A84" s="30"/>
      <c r="B84" s="40"/>
      <c r="C84" s="42"/>
      <c r="D84" s="42"/>
      <c r="E84" s="42"/>
      <c r="F84" s="30"/>
    </row>
    <row r="85" spans="1:6">
      <c r="A85" s="30"/>
      <c r="B85" s="40"/>
      <c r="C85" s="42"/>
      <c r="D85" s="42"/>
      <c r="E85" s="42"/>
      <c r="F85" s="30"/>
    </row>
    <row r="86" spans="1:6">
      <c r="A86" s="30"/>
      <c r="B86" s="40"/>
      <c r="C86" s="42"/>
      <c r="D86" s="42"/>
      <c r="E86" s="42"/>
      <c r="F86" s="30"/>
    </row>
    <row r="87" spans="1:6">
      <c r="A87" s="30"/>
      <c r="B87" s="40"/>
      <c r="C87" s="42"/>
      <c r="D87" s="42"/>
      <c r="E87" s="42"/>
      <c r="F87" s="30"/>
    </row>
    <row r="88" spans="1:6">
      <c r="A88" s="30"/>
      <c r="B88" s="40"/>
      <c r="C88" s="42"/>
      <c r="D88" s="42"/>
      <c r="E88" s="42"/>
      <c r="F88" s="30"/>
    </row>
    <row r="89" spans="1:6">
      <c r="A89" s="30"/>
      <c r="B89" s="40"/>
      <c r="C89" s="42"/>
      <c r="D89" s="42"/>
      <c r="E89" s="42"/>
      <c r="F89" s="30"/>
    </row>
    <row r="90" spans="1:6">
      <c r="A90" s="30"/>
      <c r="B90" s="40"/>
      <c r="C90" s="42"/>
      <c r="D90" s="42"/>
      <c r="E90" s="42"/>
      <c r="F90" s="30"/>
    </row>
    <row r="91" spans="1:6">
      <c r="A91" s="30"/>
      <c r="B91" s="40"/>
      <c r="C91" s="42"/>
      <c r="D91" s="42"/>
      <c r="E91" s="42"/>
      <c r="F91" s="30"/>
    </row>
    <row r="92" spans="1:6">
      <c r="A92" s="30"/>
      <c r="B92" s="40"/>
      <c r="C92" s="42"/>
      <c r="D92" s="42"/>
      <c r="E92" s="42"/>
      <c r="F92" s="30"/>
    </row>
    <row r="93" spans="1:6">
      <c r="A93" s="30"/>
      <c r="B93" s="40"/>
      <c r="C93" s="42"/>
      <c r="D93" s="42"/>
      <c r="E93" s="42"/>
      <c r="F93" s="30"/>
    </row>
    <row r="94" spans="1:6">
      <c r="A94" s="30"/>
      <c r="B94" s="40"/>
      <c r="C94" s="42"/>
      <c r="D94" s="42"/>
      <c r="E94" s="42"/>
      <c r="F94" s="30"/>
    </row>
    <row r="95" spans="1:6">
      <c r="A95" s="30"/>
      <c r="B95" s="40"/>
      <c r="C95" s="42"/>
      <c r="D95" s="42"/>
      <c r="E95" s="42"/>
      <c r="F95" s="30"/>
    </row>
    <row r="96" spans="1:6">
      <c r="A96" s="30"/>
      <c r="B96" s="40"/>
      <c r="C96" s="42"/>
      <c r="D96" s="42"/>
      <c r="E96" s="42"/>
      <c r="F96" s="30"/>
    </row>
    <row r="97" spans="1:6">
      <c r="A97" s="30"/>
      <c r="B97" s="40"/>
      <c r="C97" s="42"/>
      <c r="D97" s="42"/>
      <c r="E97" s="42"/>
      <c r="F97" s="30"/>
    </row>
    <row r="98" spans="1:6">
      <c r="A98" s="30"/>
      <c r="B98" s="40"/>
      <c r="C98" s="42"/>
      <c r="D98" s="42"/>
      <c r="E98" s="42"/>
      <c r="F98" s="30"/>
    </row>
    <row r="99" spans="1:6">
      <c r="A99" s="30"/>
      <c r="B99" s="40"/>
      <c r="C99" s="42"/>
      <c r="D99" s="42"/>
      <c r="E99" s="42"/>
      <c r="F99" s="30"/>
    </row>
    <row r="100" spans="1:6">
      <c r="A100" s="30"/>
      <c r="B100" s="40"/>
      <c r="C100" s="42"/>
      <c r="D100" s="42"/>
      <c r="E100" s="42"/>
      <c r="F100" s="30"/>
    </row>
    <row r="101" spans="1:6">
      <c r="A101" s="30"/>
      <c r="B101" s="40"/>
      <c r="C101" s="42"/>
      <c r="D101" s="42"/>
      <c r="E101" s="42"/>
      <c r="F101" s="30"/>
    </row>
    <row r="102" spans="1:6">
      <c r="A102" s="30"/>
      <c r="B102" s="40"/>
      <c r="C102" s="42"/>
      <c r="D102" s="42"/>
      <c r="E102" s="42"/>
      <c r="F102" s="30"/>
    </row>
    <row r="103" spans="1:6">
      <c r="A103" s="30"/>
      <c r="B103" s="40"/>
      <c r="C103" s="42"/>
      <c r="D103" s="42"/>
      <c r="E103" s="42"/>
      <c r="F103" s="30"/>
    </row>
    <row r="104" spans="1:6">
      <c r="A104" s="30"/>
      <c r="B104" s="40"/>
      <c r="C104" s="42"/>
      <c r="D104" s="42"/>
      <c r="E104" s="42"/>
      <c r="F104" s="30"/>
    </row>
    <row r="105" spans="1:6">
      <c r="A105" s="30"/>
      <c r="B105" s="40"/>
      <c r="C105" s="42"/>
      <c r="D105" s="42"/>
      <c r="E105" s="42"/>
      <c r="F105" s="30"/>
    </row>
    <row r="106" spans="1:6">
      <c r="A106" s="30"/>
      <c r="B106" s="40"/>
      <c r="C106" s="42"/>
      <c r="D106" s="42"/>
      <c r="E106" s="42"/>
      <c r="F106" s="30"/>
    </row>
    <row r="107" spans="1:6">
      <c r="A107" s="30"/>
      <c r="B107" s="40"/>
      <c r="C107" s="42"/>
      <c r="D107" s="42"/>
      <c r="E107" s="42"/>
      <c r="F107" s="30"/>
    </row>
    <row r="108" spans="1:6">
      <c r="A108" s="30"/>
      <c r="B108" s="40"/>
      <c r="C108" s="42"/>
      <c r="D108" s="42"/>
      <c r="E108" s="42"/>
      <c r="F108" s="30"/>
    </row>
    <row r="109" spans="1:6">
      <c r="A109" s="30"/>
      <c r="B109" s="40"/>
      <c r="C109" s="42"/>
      <c r="D109" s="42"/>
      <c r="E109" s="42"/>
      <c r="F109" s="30"/>
    </row>
    <row r="110" spans="1:6">
      <c r="A110" s="30"/>
      <c r="B110" s="40"/>
      <c r="C110" s="42"/>
      <c r="D110" s="42"/>
      <c r="E110" s="42"/>
      <c r="F110" s="30"/>
    </row>
    <row r="111" spans="1:6">
      <c r="A111" s="30"/>
      <c r="B111" s="40"/>
      <c r="C111" s="42"/>
      <c r="D111" s="42"/>
      <c r="E111" s="42"/>
      <c r="F111" s="30"/>
    </row>
    <row r="112" spans="1:6">
      <c r="A112" s="30"/>
      <c r="B112" s="40"/>
      <c r="C112" s="42"/>
      <c r="D112" s="42"/>
      <c r="E112" s="42"/>
      <c r="F112" s="30"/>
    </row>
    <row r="113" spans="1:6">
      <c r="A113" s="30"/>
      <c r="B113" s="40"/>
      <c r="C113" s="42"/>
      <c r="D113" s="42"/>
      <c r="E113" s="42"/>
      <c r="F113" s="30"/>
    </row>
    <row r="114" spans="1:6">
      <c r="A114" s="30"/>
      <c r="B114" s="40"/>
      <c r="C114" s="42"/>
      <c r="D114" s="42"/>
      <c r="E114" s="42"/>
      <c r="F114" s="30"/>
    </row>
    <row r="115" spans="1:6">
      <c r="A115" s="30"/>
      <c r="B115" s="40"/>
      <c r="C115" s="42"/>
      <c r="D115" s="42"/>
      <c r="E115" s="42"/>
      <c r="F115" s="30"/>
    </row>
    <row r="116" spans="1:6">
      <c r="A116" s="30"/>
      <c r="B116" s="40"/>
      <c r="C116" s="42"/>
      <c r="D116" s="42"/>
      <c r="E116" s="42"/>
      <c r="F116" s="30"/>
    </row>
    <row r="117" spans="1:6">
      <c r="A117" s="30"/>
      <c r="B117" s="40"/>
      <c r="C117" s="42"/>
      <c r="D117" s="42"/>
      <c r="E117" s="42"/>
      <c r="F117" s="30"/>
    </row>
    <row r="118" spans="1:6">
      <c r="A118" s="30"/>
      <c r="B118" s="40"/>
      <c r="C118" s="42"/>
      <c r="D118" s="42"/>
      <c r="E118" s="42"/>
      <c r="F118" s="30"/>
    </row>
    <row r="119" spans="1:6">
      <c r="A119" s="30"/>
      <c r="B119" s="40"/>
      <c r="C119" s="42"/>
      <c r="D119" s="42"/>
      <c r="E119" s="42"/>
      <c r="F119" s="30"/>
    </row>
    <row r="120" spans="1:6">
      <c r="A120" s="30"/>
      <c r="B120" s="40"/>
      <c r="C120" s="42"/>
      <c r="D120" s="42"/>
      <c r="E120" s="42"/>
      <c r="F120" s="30"/>
    </row>
    <row r="121" spans="1:6">
      <c r="A121" s="30"/>
      <c r="B121" s="40"/>
      <c r="C121" s="42"/>
      <c r="D121" s="42"/>
      <c r="E121" s="42"/>
      <c r="F121" s="30"/>
    </row>
    <row r="122" spans="1:6">
      <c r="A122" s="30"/>
      <c r="B122" s="40"/>
      <c r="C122" s="42"/>
      <c r="D122" s="42"/>
      <c r="E122" s="42"/>
      <c r="F122" s="30"/>
    </row>
    <row r="123" spans="1:6">
      <c r="A123" s="30"/>
      <c r="B123" s="40"/>
      <c r="C123" s="42"/>
      <c r="D123" s="42"/>
      <c r="E123" s="42"/>
      <c r="F123" s="30"/>
    </row>
    <row r="124" spans="1:6">
      <c r="A124" s="30"/>
      <c r="B124" s="40"/>
      <c r="C124" s="42"/>
      <c r="D124" s="42"/>
      <c r="E124" s="42"/>
      <c r="F124" s="30"/>
    </row>
    <row r="125" spans="1:6">
      <c r="A125" s="30"/>
      <c r="B125" s="40"/>
      <c r="C125" s="42"/>
      <c r="D125" s="42"/>
      <c r="E125" s="42"/>
      <c r="F125" s="30"/>
    </row>
    <row r="126" spans="1:6">
      <c r="A126" s="30"/>
      <c r="B126" s="40"/>
      <c r="C126" s="42"/>
      <c r="D126" s="42"/>
      <c r="E126" s="42"/>
      <c r="F126" s="30"/>
    </row>
    <row r="127" spans="1:6">
      <c r="A127" s="30"/>
      <c r="B127" s="40"/>
      <c r="C127" s="42"/>
      <c r="D127" s="42"/>
      <c r="E127" s="42"/>
      <c r="F127" s="30"/>
    </row>
    <row r="128" spans="1:6">
      <c r="A128" s="30"/>
      <c r="B128" s="40"/>
      <c r="C128" s="42"/>
      <c r="D128" s="42"/>
      <c r="E128" s="42"/>
      <c r="F128" s="30"/>
    </row>
    <row r="129" spans="1:6">
      <c r="A129" s="30"/>
      <c r="B129" s="40"/>
      <c r="C129" s="42"/>
      <c r="D129" s="42"/>
      <c r="E129" s="42"/>
      <c r="F129" s="30"/>
    </row>
    <row r="130" spans="1:6">
      <c r="A130" s="30"/>
      <c r="B130" s="40"/>
      <c r="C130" s="42"/>
      <c r="D130" s="42"/>
      <c r="E130" s="42"/>
      <c r="F130" s="30"/>
    </row>
    <row r="131" spans="1:6">
      <c r="A131" s="30"/>
      <c r="B131" s="40"/>
      <c r="C131" s="42"/>
      <c r="D131" s="42"/>
      <c r="E131" s="42"/>
      <c r="F131" s="30"/>
    </row>
    <row r="132" spans="1:6">
      <c r="A132" s="30"/>
      <c r="B132" s="40"/>
      <c r="C132" s="42"/>
      <c r="D132" s="42"/>
      <c r="E132" s="42"/>
      <c r="F132" s="30"/>
    </row>
    <row r="133" spans="1:6">
      <c r="A133" s="30"/>
      <c r="B133" s="40"/>
      <c r="C133" s="42"/>
      <c r="D133" s="42"/>
      <c r="E133" s="42"/>
      <c r="F133" s="30"/>
    </row>
    <row r="134" spans="1:6">
      <c r="A134" s="30"/>
      <c r="B134" s="40"/>
      <c r="C134" s="42"/>
      <c r="D134" s="42"/>
      <c r="E134" s="42"/>
      <c r="F134" s="30"/>
    </row>
    <row r="135" spans="1:6">
      <c r="A135" s="30"/>
      <c r="B135" s="40"/>
      <c r="C135" s="42"/>
      <c r="D135" s="42"/>
      <c r="E135" s="42"/>
      <c r="F135" s="30"/>
    </row>
    <row r="136" spans="1:6">
      <c r="A136" s="30"/>
      <c r="B136" s="40"/>
      <c r="C136" s="42"/>
      <c r="D136" s="42"/>
      <c r="E136" s="42"/>
      <c r="F136" s="30"/>
    </row>
    <row r="137" spans="1:6">
      <c r="A137" s="30"/>
      <c r="B137" s="40"/>
      <c r="C137" s="42"/>
      <c r="D137" s="42"/>
      <c r="E137" s="42"/>
      <c r="F137" s="30"/>
    </row>
    <row r="138" spans="1:6">
      <c r="A138" s="30"/>
      <c r="B138" s="40"/>
      <c r="C138" s="42"/>
      <c r="D138" s="42"/>
      <c r="E138" s="42"/>
      <c r="F138" s="30"/>
    </row>
    <row r="139" spans="1:6"/>
    <row r="140" spans="1:6"/>
    <row r="141" spans="1:6"/>
    <row r="142" spans="1:6"/>
    <row r="1000" spans="648:648" ht="15.75">
      <c r="XX1000" s="74">
        <v>125713</v>
      </c>
    </row>
  </sheetData>
  <mergeCells count="2">
    <mergeCell ref="C7:C8"/>
    <mergeCell ref="D7:D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990BC-4AE1-4C7A-BFAD-2951B480B74B}">
  <sheetPr codeName="Sheet8"/>
  <dimension ref="A1:CL1102"/>
  <sheetViews>
    <sheetView zoomScale="90" zoomScaleNormal="90" workbookViewId="0">
      <selection activeCell="AB11" sqref="AB11:AB12 AB14:AB15"/>
    </sheetView>
  </sheetViews>
  <sheetFormatPr defaultColWidth="8.85546875" defaultRowHeight="15"/>
  <cols>
    <col min="1" max="1" width="8.85546875" style="3"/>
    <col min="2" max="2" width="22.85546875" style="3" bestFit="1" customWidth="1"/>
    <col min="3" max="3" width="3.85546875" style="3" customWidth="1"/>
    <col min="4" max="4" width="23.5703125" style="3" customWidth="1"/>
    <col min="5" max="5" width="3.85546875" style="3" customWidth="1"/>
    <col min="6" max="6" width="17.85546875" style="3" customWidth="1"/>
    <col min="7" max="7" width="21.85546875" style="3" bestFit="1" customWidth="1"/>
    <col min="8" max="8" width="3.85546875" style="3" customWidth="1"/>
    <col min="9" max="9" width="17.85546875" style="3" bestFit="1" customWidth="1"/>
    <col min="10" max="12" width="15.42578125" style="3" customWidth="1"/>
    <col min="13" max="13" width="3.85546875" style="3" customWidth="1"/>
    <col min="14" max="15" width="15.42578125" style="3" customWidth="1"/>
    <col min="16" max="16" width="3.85546875" style="3" customWidth="1"/>
    <col min="17" max="18" width="15.42578125" style="3" customWidth="1"/>
    <col min="19" max="19" width="16.85546875" style="3" bestFit="1" customWidth="1"/>
    <col min="20" max="20" width="16.85546875" style="3" customWidth="1"/>
    <col min="21" max="21" width="3.85546875" style="3" customWidth="1"/>
    <col min="22" max="22" width="14.140625" style="3" bestFit="1" customWidth="1"/>
    <col min="23" max="23" width="13" style="3" customWidth="1"/>
    <col min="24" max="24" width="3.85546875" style="3" customWidth="1"/>
    <col min="25" max="28" width="15.140625" style="3" customWidth="1"/>
    <col min="29" max="29" width="3.85546875" style="3" customWidth="1"/>
    <col min="30" max="30" width="11.42578125" style="3" bestFit="1" customWidth="1"/>
    <col min="31" max="31" width="8.42578125" style="3" bestFit="1" customWidth="1"/>
    <col min="32" max="32" width="17.42578125" style="3" bestFit="1" customWidth="1"/>
    <col min="33" max="34" width="17.42578125" style="3" customWidth="1"/>
    <col min="35" max="35" width="23.140625" style="3" bestFit="1" customWidth="1"/>
    <col min="36" max="36" width="9.140625" style="3" bestFit="1" customWidth="1"/>
    <col min="37" max="37" width="3.85546875" style="3" customWidth="1"/>
    <col min="38" max="38" width="10.140625" style="3" bestFit="1" customWidth="1"/>
    <col min="39" max="39" width="11.42578125" style="3" bestFit="1" customWidth="1"/>
    <col min="40" max="40" width="8.85546875" style="3" customWidth="1"/>
    <col min="41" max="42" width="8.85546875" style="3"/>
    <col min="43" max="44" width="8.85546875" style="3" customWidth="1"/>
    <col min="45" max="45" width="9.42578125" style="3" bestFit="1" customWidth="1"/>
    <col min="46" max="46" width="11.5703125" style="3" bestFit="1" customWidth="1"/>
    <col min="47" max="16384" width="8.85546875" style="3"/>
  </cols>
  <sheetData>
    <row r="1" spans="1:90">
      <c r="A1" s="2"/>
      <c r="B1" s="2"/>
      <c r="D1" s="2" t="s">
        <v>114</v>
      </c>
      <c r="F1" s="2" t="s">
        <v>115</v>
      </c>
      <c r="G1" s="2" t="s">
        <v>116</v>
      </c>
      <c r="I1" s="2" t="s">
        <v>117</v>
      </c>
      <c r="J1" s="2" t="s">
        <v>118</v>
      </c>
      <c r="K1" s="2" t="s">
        <v>119</v>
      </c>
      <c r="L1" s="2" t="s">
        <v>120</v>
      </c>
      <c r="N1" s="2" t="s">
        <v>117</v>
      </c>
      <c r="O1" s="2" t="s">
        <v>121</v>
      </c>
      <c r="P1"/>
      <c r="Q1" s="4" t="s">
        <v>4</v>
      </c>
      <c r="R1" s="5" t="s">
        <v>122</v>
      </c>
      <c r="S1" s="5" t="s">
        <v>123</v>
      </c>
      <c r="T1" s="6" t="s">
        <v>124</v>
      </c>
      <c r="V1" t="s">
        <v>125</v>
      </c>
      <c r="W1" t="s">
        <v>126</v>
      </c>
      <c r="X1"/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/>
      <c r="AE1"/>
      <c r="AF1"/>
      <c r="AG1"/>
      <c r="AH1"/>
      <c r="AK1" t="s">
        <v>95</v>
      </c>
      <c r="AL1" t="s">
        <v>495</v>
      </c>
      <c r="AM1" t="s">
        <v>496</v>
      </c>
      <c r="AN1" t="s">
        <v>4</v>
      </c>
      <c r="AO1" t="s">
        <v>93</v>
      </c>
      <c r="AP1" t="s">
        <v>1</v>
      </c>
      <c r="AQ1" t="s">
        <v>15</v>
      </c>
      <c r="AR1" t="s">
        <v>519</v>
      </c>
      <c r="AS1" t="s">
        <v>2</v>
      </c>
      <c r="AT1" s="3" t="s">
        <v>102</v>
      </c>
      <c r="AV1" s="7" t="s">
        <v>533</v>
      </c>
      <c r="AY1" s="3">
        <v>1</v>
      </c>
      <c r="BC1" s="3">
        <v>2</v>
      </c>
      <c r="BG1" s="3">
        <v>3</v>
      </c>
      <c r="BK1" s="3">
        <v>4</v>
      </c>
      <c r="BO1" s="3">
        <v>5</v>
      </c>
      <c r="BS1" s="3">
        <v>6</v>
      </c>
      <c r="BW1" s="3">
        <v>7</v>
      </c>
      <c r="CA1" s="3">
        <v>8</v>
      </c>
      <c r="CE1" s="3">
        <v>9</v>
      </c>
      <c r="CI1" s="3">
        <v>10</v>
      </c>
    </row>
    <row r="2" spans="1:90">
      <c r="B2" s="8"/>
      <c r="D2" s="3" t="s">
        <v>132</v>
      </c>
      <c r="F2" s="9">
        <v>45582.948495370372</v>
      </c>
      <c r="G2" s="9">
        <v>45582.954189814816</v>
      </c>
      <c r="I2" s="9" t="s">
        <v>133</v>
      </c>
      <c r="J2" s="9" t="s">
        <v>521</v>
      </c>
      <c r="K2" s="9"/>
      <c r="L2" s="9" t="s">
        <v>134</v>
      </c>
      <c r="N2" s="3" t="s">
        <v>135</v>
      </c>
      <c r="O2" s="3" t="s">
        <v>136</v>
      </c>
      <c r="P2">
        <v>1</v>
      </c>
      <c r="Q2" s="10" t="s">
        <v>137</v>
      </c>
      <c r="R2" s="10" t="b">
        <v>1</v>
      </c>
      <c r="S2" s="11">
        <v>0</v>
      </c>
      <c r="T2" s="11">
        <f>pCountNew+COUNTIF(R2:R18,"&lt;&gt;TRUE")</f>
        <v>17</v>
      </c>
      <c r="V2" cm="1">
        <f t="array" ref="V2:V15">_xlfn.SEQUENCE(14)</f>
        <v>1</v>
      </c>
      <c r="W2">
        <f>IF(AA2=AB2,1,0)</f>
        <v>1</v>
      </c>
      <c r="X2"/>
      <c r="Y2">
        <v>1</v>
      </c>
      <c r="Z2" s="62">
        <v>0</v>
      </c>
      <c r="AA2" t="b">
        <v>1</v>
      </c>
      <c r="AB2" t="b">
        <f>Answer2</f>
        <v>1</v>
      </c>
      <c r="AC2" s="54"/>
      <c r="AD2" s="54"/>
      <c r="AE2" s="54"/>
      <c r="AF2" s="54"/>
      <c r="AG2" s="7"/>
      <c r="AH2" s="7"/>
      <c r="AI2" s="7"/>
      <c r="AK2" cm="1">
        <f t="array" ref="AK2:AK101">_xlfn.SEQUENCE(100)</f>
        <v>1</v>
      </c>
      <c r="AL2" t="s">
        <v>485</v>
      </c>
      <c r="AM2" t="s">
        <v>314</v>
      </c>
      <c r="AN2" t="str">
        <f>IF(AO2,AM2,AL2)</f>
        <v>Wesley</v>
      </c>
      <c r="AO2" cm="1">
        <f t="array" ref="AO2">INDEX($AY$2:$CL$101,$AK2,($AV$2-1)*4+1)</f>
        <v>1</v>
      </c>
      <c r="AP2" cm="1">
        <f t="array" ref="AP2">INDEX($AY$2:$CL$101,$AK2,($AV$2-1)*4+2)</f>
        <v>1</v>
      </c>
      <c r="AQ2" cm="1">
        <f t="array" ref="AQ2">INDEX($AY$2:$CL$101,$AK2,($AV$2-1)*4+3)</f>
        <v>3.1058220132713821</v>
      </c>
      <c r="AR2" s="1">
        <f>AQ2</f>
        <v>3.1058220132713821</v>
      </c>
      <c r="AS2" cm="1">
        <f t="array" ref="AS2">INDEX($AY$2:$CL$101,$AK2,($AV$2-1)*4+4)</f>
        <v>38341</v>
      </c>
      <c r="AT2" s="53" t="str">
        <f>RIGHT(AS2,3)</f>
        <v>341</v>
      </c>
      <c r="AU2" s="53"/>
      <c r="AV2" s="7">
        <v>1</v>
      </c>
      <c r="AY2" s="56">
        <v>1</v>
      </c>
      <c r="AZ2" s="56">
        <v>1</v>
      </c>
      <c r="BA2" s="56">
        <v>3.1058220132713821</v>
      </c>
      <c r="BB2" s="65">
        <v>38341</v>
      </c>
      <c r="BC2" s="56">
        <v>0</v>
      </c>
      <c r="BD2" s="56">
        <v>0</v>
      </c>
      <c r="BE2" s="56">
        <v>3.4521788414004533</v>
      </c>
      <c r="BF2" s="65">
        <v>36831</v>
      </c>
      <c r="BG2" s="56">
        <v>0</v>
      </c>
      <c r="BH2" s="56">
        <v>0</v>
      </c>
      <c r="BI2" s="56">
        <v>2.1792748462990637</v>
      </c>
      <c r="BJ2" s="65">
        <v>36534</v>
      </c>
      <c r="BK2" s="56">
        <v>0</v>
      </c>
      <c r="BL2" s="56">
        <v>1</v>
      </c>
      <c r="BM2" s="56">
        <v>2.9616941454430288</v>
      </c>
      <c r="BN2" s="65">
        <v>36589</v>
      </c>
      <c r="BO2" s="56">
        <v>0</v>
      </c>
      <c r="BP2" s="56">
        <v>1</v>
      </c>
      <c r="BQ2" s="56">
        <v>3.4109551015872084</v>
      </c>
      <c r="BR2" s="65">
        <v>38426</v>
      </c>
      <c r="BS2" s="56">
        <v>1</v>
      </c>
      <c r="BT2" s="56">
        <v>1</v>
      </c>
      <c r="BU2" s="56">
        <v>2.076613068893864</v>
      </c>
      <c r="BV2" s="65">
        <v>37184</v>
      </c>
      <c r="BW2" s="56">
        <v>0</v>
      </c>
      <c r="BX2" s="56">
        <v>0</v>
      </c>
      <c r="BY2" s="56">
        <v>2.1764370358311931</v>
      </c>
      <c r="BZ2" s="65">
        <v>38467</v>
      </c>
      <c r="CA2" s="56">
        <v>1</v>
      </c>
      <c r="CB2" s="56">
        <v>1</v>
      </c>
      <c r="CC2" s="56">
        <v>2.603018512869014</v>
      </c>
      <c r="CD2" s="65">
        <v>38211</v>
      </c>
      <c r="CE2" s="56">
        <v>0</v>
      </c>
      <c r="CF2" s="56">
        <v>1</v>
      </c>
      <c r="CG2" s="56">
        <v>2.3092481578375192</v>
      </c>
      <c r="CH2" s="65">
        <v>35666</v>
      </c>
      <c r="CI2" s="56">
        <v>1</v>
      </c>
      <c r="CJ2" s="56">
        <v>0</v>
      </c>
      <c r="CK2" s="56">
        <v>3.2842452986216397</v>
      </c>
      <c r="CL2" s="65">
        <v>37736</v>
      </c>
    </row>
    <row r="3" spans="1:90">
      <c r="B3" s="8"/>
      <c r="I3" s="9"/>
      <c r="J3" s="9"/>
      <c r="K3" s="9"/>
      <c r="L3" s="9"/>
      <c r="N3" s="3" t="s">
        <v>138</v>
      </c>
      <c r="O3" s="3" t="s">
        <v>139</v>
      </c>
      <c r="P3">
        <v>2</v>
      </c>
      <c r="Q3" s="10" t="s">
        <v>522</v>
      </c>
      <c r="R3" s="10" t="b">
        <v>1</v>
      </c>
      <c r="S3" s="8"/>
      <c r="T3" s="8"/>
      <c r="V3">
        <v>2</v>
      </c>
      <c r="W3">
        <f t="shared" ref="W3:W4" si="0">IF(AA3=AB3,1,0)</f>
        <v>1</v>
      </c>
      <c r="X3"/>
      <c r="Y3">
        <v>1</v>
      </c>
      <c r="Z3" s="62">
        <v>0</v>
      </c>
      <c r="AA3">
        <v>100</v>
      </c>
      <c r="AB3">
        <f>IFERROR('Keyboarding Challenge'!$F$108, 0)</f>
        <v>100</v>
      </c>
      <c r="AC3" s="55"/>
      <c r="AD3" s="55"/>
      <c r="AE3" s="55"/>
      <c r="AF3" s="55"/>
      <c r="AG3" s="13"/>
      <c r="AH3" s="13"/>
      <c r="AI3" s="13"/>
      <c r="AK3">
        <v>2</v>
      </c>
      <c r="AL3" t="s">
        <v>107</v>
      </c>
      <c r="AM3" t="s">
        <v>407</v>
      </c>
      <c r="AN3" t="str">
        <f t="shared" ref="AN3:AN66" si="1">IF(AO3,AM3,AL3)</f>
        <v>Adrien</v>
      </c>
      <c r="AO3" cm="1">
        <f t="array" ref="AO3">INDEX($AY$2:$CL$101,$AK3,($AV$2-1)*4+1)</f>
        <v>1</v>
      </c>
      <c r="AP3" cm="1">
        <f t="array" ref="AP3">INDEX($AY$2:$CL$101,$AK3,($AV$2-1)*4+2)</f>
        <v>0</v>
      </c>
      <c r="AQ3" cm="1">
        <f t="array" ref="AQ3">INDEX($AY$2:$CL$101,$AK3,($AV$2-1)*4+3)</f>
        <v>2.8811058170623181</v>
      </c>
      <c r="AR3" s="1">
        <f>AQ3</f>
        <v>2.8811058170623181</v>
      </c>
      <c r="AS3" cm="1">
        <f t="array" ref="AS3">INDEX($AY$2:$CL$101,$AK3,($AV$2-1)*4+4)</f>
        <v>35908</v>
      </c>
      <c r="AT3" s="53" t="str">
        <f t="shared" ref="AT3:AT66" si="2">RIGHT(AS3,3)</f>
        <v>908</v>
      </c>
      <c r="AU3" s="64"/>
      <c r="AV3" s="7">
        <v>44</v>
      </c>
      <c r="AY3" s="56">
        <v>1</v>
      </c>
      <c r="AZ3" s="56">
        <v>0</v>
      </c>
      <c r="BA3" s="56">
        <v>2.8811058170623181</v>
      </c>
      <c r="BB3" s="65">
        <v>35908</v>
      </c>
      <c r="BC3" s="56">
        <v>1</v>
      </c>
      <c r="BD3" s="56">
        <v>1</v>
      </c>
      <c r="BE3" s="56">
        <v>2.8811058170623181</v>
      </c>
      <c r="BF3" s="65">
        <v>36795</v>
      </c>
      <c r="BG3" s="56">
        <v>1</v>
      </c>
      <c r="BH3" s="56">
        <v>1</v>
      </c>
      <c r="BI3" s="56">
        <v>2.8811058170623181</v>
      </c>
      <c r="BJ3" s="65">
        <v>38455</v>
      </c>
      <c r="BK3" s="56">
        <v>1</v>
      </c>
      <c r="BL3" s="56">
        <v>1</v>
      </c>
      <c r="BM3" s="56">
        <v>2.8811058170623181</v>
      </c>
      <c r="BN3" s="65">
        <v>35749</v>
      </c>
      <c r="BO3" s="56">
        <v>1</v>
      </c>
      <c r="BP3" s="56">
        <v>1</v>
      </c>
      <c r="BQ3" s="56">
        <v>2.8811058170623181</v>
      </c>
      <c r="BR3" s="65">
        <v>36156</v>
      </c>
      <c r="BS3" s="56">
        <v>0</v>
      </c>
      <c r="BT3" s="56">
        <v>1</v>
      </c>
      <c r="BU3" s="56">
        <v>2.8811058170623181</v>
      </c>
      <c r="BV3" s="65">
        <v>37208</v>
      </c>
      <c r="BW3" s="56">
        <v>1</v>
      </c>
      <c r="BX3" s="56">
        <v>0</v>
      </c>
      <c r="BY3" s="56">
        <v>2.8811058170623181</v>
      </c>
      <c r="BZ3" s="65">
        <v>37653</v>
      </c>
      <c r="CA3" s="56">
        <v>1</v>
      </c>
      <c r="CB3" s="56">
        <v>1</v>
      </c>
      <c r="CC3" s="56">
        <v>2.8811058170623181</v>
      </c>
      <c r="CD3" s="65">
        <v>35542</v>
      </c>
      <c r="CE3" s="56">
        <v>0</v>
      </c>
      <c r="CF3" s="56">
        <v>0</v>
      </c>
      <c r="CG3" s="56">
        <v>2.8811058170623181</v>
      </c>
      <c r="CH3" s="65">
        <v>36655</v>
      </c>
      <c r="CI3" s="56">
        <v>1</v>
      </c>
      <c r="CJ3" s="56">
        <v>1</v>
      </c>
      <c r="CK3" s="56">
        <v>2.8811058170623181</v>
      </c>
      <c r="CL3" s="65">
        <v>36461</v>
      </c>
    </row>
    <row r="4" spans="1:90">
      <c r="B4" s="8"/>
      <c r="C4" s="14"/>
      <c r="D4" s="2" t="s">
        <v>140</v>
      </c>
      <c r="F4" s="2" t="s">
        <v>141</v>
      </c>
      <c r="G4" s="2" t="s">
        <v>142</v>
      </c>
      <c r="I4" s="9"/>
      <c r="J4" s="9"/>
      <c r="K4" s="9"/>
      <c r="L4" s="9"/>
      <c r="O4" s="9"/>
      <c r="P4" s="52">
        <v>3</v>
      </c>
      <c r="Q4" s="12" t="s">
        <v>16</v>
      </c>
      <c r="R4" s="3" t="b">
        <v>1</v>
      </c>
      <c r="U4" s="52"/>
      <c r="V4" s="52">
        <v>3</v>
      </c>
      <c r="W4">
        <f t="shared" si="0"/>
        <v>1</v>
      </c>
      <c r="Y4" s="52">
        <v>0</v>
      </c>
      <c r="Z4">
        <f t="shared" ref="Z4:Z7" si="3">W4*Y4</f>
        <v>0</v>
      </c>
      <c r="AA4" s="3" t="b">
        <v>1</v>
      </c>
      <c r="AB4" s="3" t="b">
        <f>$R$4</f>
        <v>1</v>
      </c>
      <c r="AC4" t="s">
        <v>509</v>
      </c>
      <c r="AD4" t="s">
        <v>524</v>
      </c>
      <c r="AE4" cm="1">
        <f t="array" aca="1" ref="AE4" ca="1">COLUMN(INDIRECT(AC4&amp;"1"))</f>
        <v>7</v>
      </c>
      <c r="AF4" cm="1">
        <f t="array" aca="1" ref="AF4" ca="1">COLUMN(INDIRECT(AD4&amp;"1"))</f>
        <v>12</v>
      </c>
      <c r="AG4" s="13"/>
      <c r="AH4" s="13"/>
      <c r="AI4" s="13"/>
      <c r="AK4">
        <v>3</v>
      </c>
      <c r="AL4" t="s">
        <v>26</v>
      </c>
      <c r="AM4" t="s">
        <v>317</v>
      </c>
      <c r="AN4" t="str">
        <f t="shared" si="1"/>
        <v>Jessica</v>
      </c>
      <c r="AO4" cm="1">
        <f t="array" ref="AO4">INDEX($AY$2:$CL$101,$AK4,($AV$2-1)*4+1)</f>
        <v>0</v>
      </c>
      <c r="AP4" cm="1">
        <f t="array" ref="AP4">INDEX($AY$2:$CL$101,$AK4,($AV$2-1)*4+2)</f>
        <v>1</v>
      </c>
      <c r="AQ4"/>
      <c r="AR4" s="1">
        <f>AVERAGE($AQ$2:$AQ$101)</f>
        <v>3.0545838598437989</v>
      </c>
      <c r="AS4" cm="1">
        <f t="array" ref="AS4">INDEX($AY$2:$CL$101,$AK4,($AV$2-1)*4+4)</f>
        <v>36516</v>
      </c>
      <c r="AT4" s="53" t="str">
        <f t="shared" si="2"/>
        <v>516</v>
      </c>
      <c r="AY4" s="56">
        <v>0</v>
      </c>
      <c r="AZ4" s="56">
        <v>1</v>
      </c>
      <c r="BA4" s="56"/>
      <c r="BB4" s="65">
        <v>36516</v>
      </c>
      <c r="BC4" s="56">
        <v>0</v>
      </c>
      <c r="BD4" s="56">
        <v>1</v>
      </c>
      <c r="BE4" s="56"/>
      <c r="BF4" s="65">
        <v>36261</v>
      </c>
      <c r="BG4" s="56">
        <v>0</v>
      </c>
      <c r="BH4" s="56">
        <v>0</v>
      </c>
      <c r="BI4" s="56"/>
      <c r="BJ4" s="65">
        <v>38094</v>
      </c>
      <c r="BK4" s="56">
        <v>0</v>
      </c>
      <c r="BL4" s="56">
        <v>1</v>
      </c>
      <c r="BM4" s="56"/>
      <c r="BN4" s="65">
        <v>37541</v>
      </c>
      <c r="BO4" s="56">
        <v>0</v>
      </c>
      <c r="BP4" s="56">
        <v>0</v>
      </c>
      <c r="BQ4" s="56"/>
      <c r="BR4" s="65">
        <v>37774</v>
      </c>
      <c r="BS4" s="56">
        <v>0</v>
      </c>
      <c r="BT4" s="56">
        <v>1</v>
      </c>
      <c r="BU4" s="56"/>
      <c r="BV4" s="65">
        <v>38028</v>
      </c>
      <c r="BW4" s="56">
        <v>0</v>
      </c>
      <c r="BX4" s="56">
        <v>1</v>
      </c>
      <c r="BY4" s="56"/>
      <c r="BZ4" s="65">
        <v>36228</v>
      </c>
      <c r="CA4" s="56">
        <v>0</v>
      </c>
      <c r="CB4" s="56">
        <v>0</v>
      </c>
      <c r="CC4" s="56"/>
      <c r="CD4" s="65">
        <v>35734</v>
      </c>
      <c r="CE4" s="56">
        <v>0</v>
      </c>
      <c r="CF4" s="56">
        <v>0</v>
      </c>
      <c r="CG4" s="56"/>
      <c r="CH4" s="65">
        <v>38408</v>
      </c>
      <c r="CI4" s="56">
        <v>1</v>
      </c>
      <c r="CJ4" s="56">
        <v>0</v>
      </c>
      <c r="CK4" s="56"/>
      <c r="CL4" s="65">
        <v>37060</v>
      </c>
    </row>
    <row r="5" spans="1:90">
      <c r="B5" s="8"/>
      <c r="D5" s="3" t="s">
        <v>551</v>
      </c>
      <c r="F5" s="3" t="b">
        <v>0</v>
      </c>
      <c r="G5" s="3">
        <f>ROUND((endTime-startTime)*3600*24,0)</f>
        <v>492</v>
      </c>
      <c r="I5" s="9"/>
      <c r="J5" s="9"/>
      <c r="K5" s="9"/>
      <c r="L5" s="9"/>
      <c r="P5">
        <v>4</v>
      </c>
      <c r="Q5" s="10" t="s">
        <v>143</v>
      </c>
      <c r="R5" s="10" t="b">
        <v>1</v>
      </c>
      <c r="S5" s="8"/>
      <c r="T5" s="8"/>
      <c r="U5" s="14"/>
      <c r="V5">
        <v>4</v>
      </c>
      <c r="W5">
        <f t="shared" ref="W5:W15" si="4">IF(AA5=AB5,1,0)</f>
        <v>1</v>
      </c>
      <c r="X5"/>
      <c r="Y5">
        <v>0</v>
      </c>
      <c r="Z5">
        <f t="shared" si="3"/>
        <v>0</v>
      </c>
      <c r="AA5">
        <f>SUM(AO2:AO101)</f>
        <v>53</v>
      </c>
      <c r="AB5">
        <f>IFERROR('Keyboarding Challenge'!$G$113, 0)</f>
        <v>53</v>
      </c>
      <c r="AC5" s="54"/>
      <c r="AD5" s="54"/>
      <c r="AE5" s="54"/>
      <c r="AF5" s="54"/>
      <c r="AG5" s="45">
        <v>114</v>
      </c>
      <c r="AH5" s="45">
        <v>115</v>
      </c>
      <c r="AI5" s="13"/>
      <c r="AK5">
        <v>4</v>
      </c>
      <c r="AL5" t="s">
        <v>72</v>
      </c>
      <c r="AM5" t="s">
        <v>424</v>
      </c>
      <c r="AN5" t="str">
        <f t="shared" si="1"/>
        <v>Pamela</v>
      </c>
      <c r="AO5" cm="1">
        <f t="array" ref="AO5">INDEX($AY$2:$CL$101,$AK5,($AV$2-1)*4+1)</f>
        <v>0</v>
      </c>
      <c r="AP5" cm="1">
        <f t="array" ref="AP5">INDEX($AY$2:$CL$101,$AK5,($AV$2-1)*4+2)</f>
        <v>0</v>
      </c>
      <c r="AQ5"/>
      <c r="AR5" s="1">
        <f t="shared" ref="AR5:AR11" si="5">AVERAGE($AQ$2:$AQ$101)</f>
        <v>3.0545838598437989</v>
      </c>
      <c r="AS5" cm="1">
        <f t="array" ref="AS5">INDEX($AY$2:$CL$101,$AK5,($AV$2-1)*4+4)</f>
        <v>37254</v>
      </c>
      <c r="AT5" s="53" t="str">
        <f t="shared" si="2"/>
        <v>254</v>
      </c>
      <c r="AY5" s="56">
        <v>0</v>
      </c>
      <c r="AZ5" s="56">
        <v>0</v>
      </c>
      <c r="BA5" s="56"/>
      <c r="BB5" s="65">
        <v>37254</v>
      </c>
      <c r="BC5" s="56">
        <v>0</v>
      </c>
      <c r="BD5" s="56">
        <v>1</v>
      </c>
      <c r="BE5" s="56"/>
      <c r="BF5" s="65">
        <v>36618</v>
      </c>
      <c r="BG5" s="56">
        <v>0</v>
      </c>
      <c r="BH5" s="56">
        <v>0</v>
      </c>
      <c r="BI5" s="56"/>
      <c r="BJ5" s="65">
        <v>38131</v>
      </c>
      <c r="BK5" s="56">
        <v>0</v>
      </c>
      <c r="BL5" s="56">
        <v>1</v>
      </c>
      <c r="BM5" s="56"/>
      <c r="BN5" s="65">
        <v>36562</v>
      </c>
      <c r="BO5" s="56">
        <v>1</v>
      </c>
      <c r="BP5" s="56">
        <v>1</v>
      </c>
      <c r="BQ5" s="56"/>
      <c r="BR5" s="65">
        <v>37981</v>
      </c>
      <c r="BS5" s="56">
        <v>0</v>
      </c>
      <c r="BT5" s="56">
        <v>0</v>
      </c>
      <c r="BU5" s="56"/>
      <c r="BV5" s="65">
        <v>37784</v>
      </c>
      <c r="BW5" s="56">
        <v>1</v>
      </c>
      <c r="BX5" s="56">
        <v>0</v>
      </c>
      <c r="BY5" s="56"/>
      <c r="BZ5" s="65">
        <v>37455</v>
      </c>
      <c r="CA5" s="56">
        <v>0</v>
      </c>
      <c r="CB5" s="56">
        <v>1</v>
      </c>
      <c r="CC5" s="56"/>
      <c r="CD5" s="65">
        <v>37750</v>
      </c>
      <c r="CE5" s="56">
        <v>1</v>
      </c>
      <c r="CF5" s="56">
        <v>0</v>
      </c>
      <c r="CG5" s="56"/>
      <c r="CH5" s="65">
        <v>38318</v>
      </c>
      <c r="CI5" s="56">
        <v>1</v>
      </c>
      <c r="CJ5" s="56">
        <v>0</v>
      </c>
      <c r="CK5" s="56"/>
      <c r="CL5" s="65">
        <v>36213</v>
      </c>
    </row>
    <row r="6" spans="1:90">
      <c r="B6" s="8"/>
      <c r="J6" s="9"/>
      <c r="K6" s="9"/>
      <c r="L6" s="9"/>
      <c r="N6" s="9"/>
      <c r="O6" s="9"/>
      <c r="P6">
        <v>5</v>
      </c>
      <c r="Q6" s="10" t="s">
        <v>144</v>
      </c>
      <c r="R6" s="10" t="b">
        <v>1</v>
      </c>
      <c r="S6" s="8"/>
      <c r="T6" s="8"/>
      <c r="V6">
        <v>5</v>
      </c>
      <c r="W6">
        <f>IF(OR(AA6=AB6,AA6/100=AB6),1,0)</f>
        <v>1</v>
      </c>
      <c r="X6"/>
      <c r="Y6">
        <v>0</v>
      </c>
      <c r="Z6">
        <f t="shared" si="3"/>
        <v>0</v>
      </c>
      <c r="AA6">
        <f>100-SUM(AP2:AP101)</f>
        <v>54</v>
      </c>
      <c r="AB6" s="49">
        <f>IFERROR('Keyboarding Challenge'!$G$115, 0)</f>
        <v>0.54</v>
      </c>
      <c r="AC6" s="54"/>
      <c r="AD6" s="54"/>
      <c r="AE6" s="54"/>
      <c r="AF6" s="54"/>
      <c r="AG6" s="45">
        <v>116</v>
      </c>
      <c r="AH6" s="45">
        <v>117</v>
      </c>
      <c r="AI6" s="13"/>
      <c r="AK6">
        <v>5</v>
      </c>
      <c r="AL6" t="s">
        <v>8</v>
      </c>
      <c r="AM6" t="s">
        <v>320</v>
      </c>
      <c r="AN6" t="str">
        <f t="shared" si="1"/>
        <v>Wyatt</v>
      </c>
      <c r="AO6" cm="1">
        <f t="array" ref="AO6">INDEX($AY$2:$CL$101,$AK6,($AV$2-1)*4+1)</f>
        <v>1</v>
      </c>
      <c r="AP6" cm="1">
        <f t="array" ref="AP6">INDEX($AY$2:$CL$101,$AK6,($AV$2-1)*4+2)</f>
        <v>0</v>
      </c>
      <c r="AQ6"/>
      <c r="AR6" s="1">
        <f t="shared" si="5"/>
        <v>3.0545838598437989</v>
      </c>
      <c r="AS6" cm="1">
        <f t="array" ref="AS6">INDEX($AY$2:$CL$101,$AK6,($AV$2-1)*4+4)</f>
        <v>38109</v>
      </c>
      <c r="AT6" s="53" t="str">
        <f t="shared" si="2"/>
        <v>109</v>
      </c>
      <c r="AY6" s="56">
        <v>1</v>
      </c>
      <c r="AZ6" s="56">
        <v>0</v>
      </c>
      <c r="BA6" s="56"/>
      <c r="BB6" s="65">
        <v>38109</v>
      </c>
      <c r="BC6" s="56">
        <v>1</v>
      </c>
      <c r="BD6" s="56">
        <v>1</v>
      </c>
      <c r="BE6" s="56"/>
      <c r="BF6" s="65">
        <v>35612</v>
      </c>
      <c r="BG6" s="56">
        <v>1</v>
      </c>
      <c r="BH6" s="56">
        <v>0</v>
      </c>
      <c r="BI6" s="56"/>
      <c r="BJ6" s="65">
        <v>37426</v>
      </c>
      <c r="BK6" s="56">
        <v>1</v>
      </c>
      <c r="BL6" s="56">
        <v>0</v>
      </c>
      <c r="BM6" s="56"/>
      <c r="BN6" s="65">
        <v>37287</v>
      </c>
      <c r="BO6" s="56">
        <v>0</v>
      </c>
      <c r="BP6" s="56">
        <v>0</v>
      </c>
      <c r="BQ6" s="56"/>
      <c r="BR6" s="65">
        <v>38050</v>
      </c>
      <c r="BS6" s="56">
        <v>1</v>
      </c>
      <c r="BT6" s="56">
        <v>1</v>
      </c>
      <c r="BU6" s="56"/>
      <c r="BV6" s="65">
        <v>36277</v>
      </c>
      <c r="BW6" s="56">
        <v>1</v>
      </c>
      <c r="BX6" s="56">
        <v>1</v>
      </c>
      <c r="BY6" s="56"/>
      <c r="BZ6" s="65">
        <v>36793</v>
      </c>
      <c r="CA6" s="56">
        <v>1</v>
      </c>
      <c r="CB6" s="56">
        <v>0</v>
      </c>
      <c r="CC6" s="56"/>
      <c r="CD6" s="65">
        <v>36073</v>
      </c>
      <c r="CE6" s="56">
        <v>0</v>
      </c>
      <c r="CF6" s="56">
        <v>0</v>
      </c>
      <c r="CG6" s="56"/>
      <c r="CH6" s="65">
        <v>36042</v>
      </c>
      <c r="CI6" s="56">
        <v>1</v>
      </c>
      <c r="CJ6" s="56">
        <v>1</v>
      </c>
      <c r="CK6" s="56"/>
      <c r="CL6" s="65">
        <v>36764</v>
      </c>
    </row>
    <row r="7" spans="1:90">
      <c r="B7" s="8"/>
      <c r="D7" s="2"/>
      <c r="F7" s="2" t="s">
        <v>145</v>
      </c>
      <c r="G7" s="2" t="s">
        <v>146</v>
      </c>
      <c r="J7" s="9"/>
      <c r="K7" s="9"/>
      <c r="L7" s="9"/>
      <c r="N7" s="9"/>
      <c r="P7">
        <v>6</v>
      </c>
      <c r="Q7" s="10" t="s">
        <v>147</v>
      </c>
      <c r="R7" s="10" t="b">
        <v>1</v>
      </c>
      <c r="S7" s="8"/>
      <c r="T7" s="8"/>
      <c r="V7">
        <v>6</v>
      </c>
      <c r="W7">
        <f t="shared" si="4"/>
        <v>1</v>
      </c>
      <c r="X7"/>
      <c r="Y7">
        <v>0</v>
      </c>
      <c r="Z7">
        <f t="shared" si="3"/>
        <v>0</v>
      </c>
      <c r="AA7">
        <f>SUMPRODUCT(AO2:AO101,AP2:AP101)</f>
        <v>22</v>
      </c>
      <c r="AB7">
        <f>IFERROR('Keyboarding Challenge'!$G$117, 0)</f>
        <v>22</v>
      </c>
      <c r="AC7" s="54"/>
      <c r="AD7" s="54"/>
      <c r="AE7" s="54"/>
      <c r="AF7" s="54"/>
      <c r="AG7" s="45">
        <v>118</v>
      </c>
      <c r="AH7" s="45">
        <v>119</v>
      </c>
      <c r="AI7" s="13"/>
      <c r="AK7">
        <v>6</v>
      </c>
      <c r="AL7" t="s">
        <v>109</v>
      </c>
      <c r="AM7" t="s">
        <v>322</v>
      </c>
      <c r="AN7" t="str">
        <f t="shared" si="1"/>
        <v>Lucien</v>
      </c>
      <c r="AO7" cm="1">
        <f t="array" ref="AO7">INDEX($AY$2:$CL$101,$AK7,($AV$2-1)*4+1)</f>
        <v>1</v>
      </c>
      <c r="AP7" cm="1">
        <f t="array" ref="AP7">INDEX($AY$2:$CL$101,$AK7,($AV$2-1)*4+2)</f>
        <v>1</v>
      </c>
      <c r="AQ7"/>
      <c r="AR7" s="1">
        <f t="shared" si="5"/>
        <v>3.0545838598437989</v>
      </c>
      <c r="AS7" cm="1">
        <f t="array" ref="AS7">INDEX($AY$2:$CL$101,$AK7,($AV$2-1)*4+4)</f>
        <v>37810</v>
      </c>
      <c r="AT7" s="53" t="str">
        <f t="shared" si="2"/>
        <v>810</v>
      </c>
      <c r="AY7" s="56">
        <v>1</v>
      </c>
      <c r="AZ7" s="56">
        <v>1</v>
      </c>
      <c r="BA7" s="56"/>
      <c r="BB7" s="65">
        <v>37810</v>
      </c>
      <c r="BC7" s="56">
        <v>0</v>
      </c>
      <c r="BD7" s="56">
        <v>1</v>
      </c>
      <c r="BE7" s="56"/>
      <c r="BF7" s="65">
        <v>38408</v>
      </c>
      <c r="BG7" s="56">
        <v>0</v>
      </c>
      <c r="BH7" s="56">
        <v>1</v>
      </c>
      <c r="BI7" s="56"/>
      <c r="BJ7" s="65">
        <v>38277</v>
      </c>
      <c r="BK7" s="56">
        <v>1</v>
      </c>
      <c r="BL7" s="56">
        <v>0</v>
      </c>
      <c r="BM7" s="56"/>
      <c r="BN7" s="65">
        <v>35636</v>
      </c>
      <c r="BO7" s="56">
        <v>1</v>
      </c>
      <c r="BP7" s="56">
        <v>1</v>
      </c>
      <c r="BQ7" s="56"/>
      <c r="BR7" s="65">
        <v>36721</v>
      </c>
      <c r="BS7" s="56">
        <v>0</v>
      </c>
      <c r="BT7" s="56">
        <v>0</v>
      </c>
      <c r="BU7" s="56"/>
      <c r="BV7" s="65">
        <v>37078</v>
      </c>
      <c r="BW7" s="56">
        <v>1</v>
      </c>
      <c r="BX7" s="56">
        <v>0</v>
      </c>
      <c r="BY7" s="56"/>
      <c r="BZ7" s="65">
        <v>38390</v>
      </c>
      <c r="CA7" s="56">
        <v>1</v>
      </c>
      <c r="CB7" s="56">
        <v>0</v>
      </c>
      <c r="CC7" s="56"/>
      <c r="CD7" s="65">
        <v>36406</v>
      </c>
      <c r="CE7" s="56">
        <v>0</v>
      </c>
      <c r="CF7" s="56">
        <v>1</v>
      </c>
      <c r="CG7" s="56"/>
      <c r="CH7" s="65">
        <v>35956</v>
      </c>
      <c r="CI7" s="56">
        <v>1</v>
      </c>
      <c r="CJ7" s="56">
        <v>0</v>
      </c>
      <c r="CK7" s="56"/>
      <c r="CL7" s="65">
        <v>38266</v>
      </c>
    </row>
    <row r="8" spans="1:90">
      <c r="B8" s="8"/>
      <c r="F8" s="3" t="b">
        <f>IF(AND(ISERROR(MATCH(FALSE,R2:R15,0)),PRODUCT(W2:W15)=1),TRUE,FALSE)</f>
        <v>1</v>
      </c>
      <c r="G8" s="3" t="b">
        <v>0</v>
      </c>
      <c r="N8" s="9"/>
      <c r="O8" s="9"/>
      <c r="P8">
        <v>7</v>
      </c>
      <c r="Q8" s="10" t="s">
        <v>148</v>
      </c>
      <c r="R8" s="10" t="b">
        <v>1</v>
      </c>
      <c r="S8" s="8"/>
      <c r="T8" s="8"/>
      <c r="V8">
        <v>7</v>
      </c>
      <c r="W8">
        <f t="shared" si="4"/>
        <v>1</v>
      </c>
      <c r="X8"/>
      <c r="Y8">
        <v>0</v>
      </c>
      <c r="Z8">
        <f t="shared" ref="Z8:Z15" si="6">W8*Y8</f>
        <v>0</v>
      </c>
      <c r="AA8" s="50">
        <f>ROUND(AVERAGE(AQ2:AQ101),6)</f>
        <v>3.0545840000000002</v>
      </c>
      <c r="AB8" s="1">
        <f>IFERROR(ROUND('Keyboarding Challenge'!$G$119,6), 0)</f>
        <v>3.0545840000000002</v>
      </c>
      <c r="AC8" t="s">
        <v>508</v>
      </c>
      <c r="AD8" t="s">
        <v>510</v>
      </c>
      <c r="AE8" cm="1">
        <f t="array" aca="1" ref="AE8" ca="1">COLUMN(INDIRECT(AC8&amp;"1"))</f>
        <v>13</v>
      </c>
      <c r="AF8" cm="1">
        <f t="array" aca="1" ref="AF8" ca="1">COLUMN(INDIRECT(AD8&amp;"1"))</f>
        <v>14</v>
      </c>
      <c r="AG8"/>
      <c r="AH8"/>
      <c r="AI8" s="13"/>
      <c r="AK8">
        <v>7</v>
      </c>
      <c r="AL8" t="s">
        <v>103</v>
      </c>
      <c r="AM8" t="s">
        <v>324</v>
      </c>
      <c r="AN8" t="str">
        <f t="shared" si="1"/>
        <v>Luna</v>
      </c>
      <c r="AO8" cm="1">
        <f t="array" ref="AO8">INDEX($AY$2:$CL$101,$AK8,($AV$2-1)*4+1)</f>
        <v>0</v>
      </c>
      <c r="AP8" cm="1">
        <f t="array" ref="AP8">INDEX($AY$2:$CL$101,$AK8,($AV$2-1)*4+2)</f>
        <v>0</v>
      </c>
      <c r="AQ8"/>
      <c r="AR8" s="1">
        <f t="shared" si="5"/>
        <v>3.0545838598437989</v>
      </c>
      <c r="AS8" cm="1">
        <f t="array" ref="AS8">INDEX($AY$2:$CL$101,$AK8,($AV$2-1)*4+4)</f>
        <v>38183</v>
      </c>
      <c r="AT8" s="53" t="str">
        <f t="shared" si="2"/>
        <v>183</v>
      </c>
      <c r="AY8" s="56">
        <v>0</v>
      </c>
      <c r="AZ8" s="56">
        <v>0</v>
      </c>
      <c r="BA8" s="56"/>
      <c r="BB8" s="65">
        <v>38183</v>
      </c>
      <c r="BC8" s="56">
        <v>0</v>
      </c>
      <c r="BD8" s="56">
        <v>1</v>
      </c>
      <c r="BE8" s="56"/>
      <c r="BF8" s="65">
        <v>36690</v>
      </c>
      <c r="BG8" s="56">
        <v>1</v>
      </c>
      <c r="BH8" s="56">
        <v>1</v>
      </c>
      <c r="BI8" s="56"/>
      <c r="BJ8" s="65">
        <v>37511</v>
      </c>
      <c r="BK8" s="56">
        <v>1</v>
      </c>
      <c r="BL8" s="56">
        <v>0</v>
      </c>
      <c r="BM8" s="56"/>
      <c r="BN8" s="65">
        <v>36761</v>
      </c>
      <c r="BO8" s="56">
        <v>1</v>
      </c>
      <c r="BP8" s="56">
        <v>1</v>
      </c>
      <c r="BQ8" s="56"/>
      <c r="BR8" s="65">
        <v>38441</v>
      </c>
      <c r="BS8" s="56">
        <v>1</v>
      </c>
      <c r="BT8" s="56">
        <v>0</v>
      </c>
      <c r="BU8" s="56"/>
      <c r="BV8" s="65">
        <v>37946</v>
      </c>
      <c r="BW8" s="56">
        <v>0</v>
      </c>
      <c r="BX8" s="56">
        <v>1</v>
      </c>
      <c r="BY8" s="56"/>
      <c r="BZ8" s="65">
        <v>36451</v>
      </c>
      <c r="CA8" s="56">
        <v>0</v>
      </c>
      <c r="CB8" s="56">
        <v>1</v>
      </c>
      <c r="CC8" s="56"/>
      <c r="CD8" s="65">
        <v>37295</v>
      </c>
      <c r="CE8" s="56">
        <v>0</v>
      </c>
      <c r="CF8" s="56">
        <v>0</v>
      </c>
      <c r="CG8" s="56"/>
      <c r="CH8" s="65">
        <v>35949</v>
      </c>
      <c r="CI8" s="56">
        <v>1</v>
      </c>
      <c r="CJ8" s="56">
        <v>0</v>
      </c>
      <c r="CK8" s="56"/>
      <c r="CL8" s="65">
        <v>36847</v>
      </c>
    </row>
    <row r="9" spans="1:90">
      <c r="B9" s="8"/>
      <c r="N9" s="9"/>
      <c r="P9">
        <v>8</v>
      </c>
      <c r="Q9" s="10" t="s">
        <v>149</v>
      </c>
      <c r="R9" s="10" t="b">
        <v>1</v>
      </c>
      <c r="S9" s="15"/>
      <c r="T9" s="15"/>
      <c r="V9">
        <v>8</v>
      </c>
      <c r="W9">
        <f t="shared" si="4"/>
        <v>1</v>
      </c>
      <c r="X9"/>
      <c r="Y9">
        <v>0</v>
      </c>
      <c r="Z9">
        <f t="shared" si="6"/>
        <v>0</v>
      </c>
      <c r="AA9" s="1">
        <f>ROUND(SUM(AR2:AR101),6)</f>
        <v>305.45838600000002</v>
      </c>
      <c r="AB9" s="1">
        <f>IFERROR(ROUND('Keyboarding Challenge'!$N$119,6), 0)</f>
        <v>305.45838600000002</v>
      </c>
      <c r="AC9" t="s">
        <v>511</v>
      </c>
      <c r="AD9" t="s">
        <v>512</v>
      </c>
      <c r="AE9" cm="1">
        <f t="array" aca="1" ref="AE9" ca="1">COLUMN(INDIRECT(AC9&amp;"1"))</f>
        <v>15</v>
      </c>
      <c r="AF9" cm="1">
        <f t="array" aca="1" ref="AF9" ca="1">COLUMN(INDIRECT(AD9&amp;"1"))</f>
        <v>16</v>
      </c>
      <c r="AG9"/>
      <c r="AH9"/>
      <c r="AI9" s="13"/>
      <c r="AK9">
        <v>8</v>
      </c>
      <c r="AL9" t="s">
        <v>78</v>
      </c>
      <c r="AM9" t="s">
        <v>327</v>
      </c>
      <c r="AN9" t="str">
        <f t="shared" si="1"/>
        <v>Samantha</v>
      </c>
      <c r="AO9" cm="1">
        <f t="array" ref="AO9">INDEX($AY$2:$CL$101,$AK9,($AV$2-1)*4+1)</f>
        <v>0</v>
      </c>
      <c r="AP9" cm="1">
        <f t="array" ref="AP9">INDEX($AY$2:$CL$101,$AK9,($AV$2-1)*4+2)</f>
        <v>1</v>
      </c>
      <c r="AQ9"/>
      <c r="AR9" s="1">
        <f t="shared" si="5"/>
        <v>3.0545838598437989</v>
      </c>
      <c r="AS9" cm="1">
        <f t="array" ref="AS9">INDEX($AY$2:$CL$101,$AK9,($AV$2-1)*4+4)</f>
        <v>36601</v>
      </c>
      <c r="AT9" s="53" t="str">
        <f t="shared" si="2"/>
        <v>601</v>
      </c>
      <c r="AY9" s="56">
        <v>0</v>
      </c>
      <c r="AZ9" s="56">
        <v>1</v>
      </c>
      <c r="BA9" s="56"/>
      <c r="BB9" s="65">
        <v>36601</v>
      </c>
      <c r="BC9" s="56">
        <v>1</v>
      </c>
      <c r="BD9" s="56">
        <v>0</v>
      </c>
      <c r="BE9" s="56"/>
      <c r="BF9" s="65">
        <v>37159</v>
      </c>
      <c r="BG9" s="56">
        <v>0</v>
      </c>
      <c r="BH9" s="56">
        <v>1</v>
      </c>
      <c r="BI9" s="56"/>
      <c r="BJ9" s="65">
        <v>38300</v>
      </c>
      <c r="BK9" s="56">
        <v>0</v>
      </c>
      <c r="BL9" s="56">
        <v>1</v>
      </c>
      <c r="BM9" s="56"/>
      <c r="BN9" s="65">
        <v>38067</v>
      </c>
      <c r="BO9" s="56">
        <v>0</v>
      </c>
      <c r="BP9" s="56">
        <v>1</v>
      </c>
      <c r="BQ9" s="56"/>
      <c r="BR9" s="65">
        <v>36363</v>
      </c>
      <c r="BS9" s="56">
        <v>1</v>
      </c>
      <c r="BT9" s="56">
        <v>0</v>
      </c>
      <c r="BU9" s="56"/>
      <c r="BV9" s="65">
        <v>36817</v>
      </c>
      <c r="BW9" s="56">
        <v>1</v>
      </c>
      <c r="BX9" s="56">
        <v>0</v>
      </c>
      <c r="BY9" s="56"/>
      <c r="BZ9" s="65">
        <v>36342</v>
      </c>
      <c r="CA9" s="56">
        <v>0</v>
      </c>
      <c r="CB9" s="56">
        <v>1</v>
      </c>
      <c r="CC9" s="56"/>
      <c r="CD9" s="65">
        <v>38049</v>
      </c>
      <c r="CE9" s="56">
        <v>0</v>
      </c>
      <c r="CF9" s="56">
        <v>0</v>
      </c>
      <c r="CG9" s="56"/>
      <c r="CH9" s="65">
        <v>38028</v>
      </c>
      <c r="CI9" s="56">
        <v>0</v>
      </c>
      <c r="CJ9" s="56">
        <v>1</v>
      </c>
      <c r="CK9" s="56"/>
      <c r="CL9" s="65">
        <v>36484</v>
      </c>
    </row>
    <row r="10" spans="1:90">
      <c r="B10" s="8"/>
      <c r="D10" s="2"/>
      <c r="F10" s="2"/>
      <c r="G10" s="2"/>
      <c r="N10" s="9"/>
      <c r="O10" s="9"/>
      <c r="P10">
        <v>9</v>
      </c>
      <c r="Q10" s="10" t="s">
        <v>150</v>
      </c>
      <c r="R10" s="10" t="b">
        <v>1</v>
      </c>
      <c r="V10">
        <v>9</v>
      </c>
      <c r="W10">
        <f t="shared" si="4"/>
        <v>1</v>
      </c>
      <c r="X10"/>
      <c r="Y10">
        <v>0</v>
      </c>
      <c r="Z10">
        <f t="shared" si="6"/>
        <v>0</v>
      </c>
      <c r="AA10" s="1">
        <f>AT2+AT101</f>
        <v>897</v>
      </c>
      <c r="AB10">
        <f>IFERROR('Keyboarding Challenge'!L9+'Keyboarding Challenge'!L108, 0)</f>
        <v>897</v>
      </c>
      <c r="AC10" t="s">
        <v>525</v>
      </c>
      <c r="AD10" t="s">
        <v>513</v>
      </c>
      <c r="AE10" cm="1">
        <f t="array" aca="1" ref="AE10" ca="1">COLUMN(INDIRECT(AC10&amp;"1"))</f>
        <v>17</v>
      </c>
      <c r="AF10" cm="1">
        <f t="array" aca="1" ref="AF10" ca="1">COLUMN(INDIRECT(AD10&amp;"1"))</f>
        <v>18</v>
      </c>
      <c r="AG10"/>
      <c r="AH10"/>
      <c r="AI10" s="13"/>
      <c r="AK10">
        <v>9</v>
      </c>
      <c r="AL10" t="s">
        <v>44</v>
      </c>
      <c r="AM10" t="s">
        <v>329</v>
      </c>
      <c r="AN10" t="str">
        <f t="shared" si="1"/>
        <v>Beau</v>
      </c>
      <c r="AO10" cm="1">
        <f t="array" ref="AO10">INDEX($AY$2:$CL$101,$AK10,($AV$2-1)*4+1)</f>
        <v>1</v>
      </c>
      <c r="AP10" cm="1">
        <f t="array" ref="AP10">INDEX($AY$2:$CL$101,$AK10,($AV$2-1)*4+2)</f>
        <v>1</v>
      </c>
      <c r="AQ10"/>
      <c r="AR10" s="1">
        <f t="shared" si="5"/>
        <v>3.0545838598437989</v>
      </c>
      <c r="AS10" cm="1">
        <f t="array" ref="AS10">INDEX($AY$2:$CL$101,$AK10,($AV$2-1)*4+4)</f>
        <v>35647</v>
      </c>
      <c r="AT10" s="53" t="str">
        <f t="shared" si="2"/>
        <v>647</v>
      </c>
      <c r="AY10" s="56">
        <v>1</v>
      </c>
      <c r="AZ10" s="56">
        <v>1</v>
      </c>
      <c r="BA10" s="56"/>
      <c r="BB10" s="65">
        <v>35647</v>
      </c>
      <c r="BC10" s="56">
        <v>1</v>
      </c>
      <c r="BD10" s="56">
        <v>1</v>
      </c>
      <c r="BE10" s="56"/>
      <c r="BF10" s="65">
        <v>36183</v>
      </c>
      <c r="BG10" s="56">
        <v>0</v>
      </c>
      <c r="BH10" s="56">
        <v>1</v>
      </c>
      <c r="BI10" s="56"/>
      <c r="BJ10" s="65">
        <v>38047</v>
      </c>
      <c r="BK10" s="56">
        <v>1</v>
      </c>
      <c r="BL10" s="56">
        <v>0</v>
      </c>
      <c r="BM10" s="56"/>
      <c r="BN10" s="65">
        <v>36551</v>
      </c>
      <c r="BO10" s="56">
        <v>1</v>
      </c>
      <c r="BP10" s="56">
        <v>1</v>
      </c>
      <c r="BQ10" s="56"/>
      <c r="BR10" s="65">
        <v>37858</v>
      </c>
      <c r="BS10" s="56">
        <v>1</v>
      </c>
      <c r="BT10" s="56">
        <v>1</v>
      </c>
      <c r="BU10" s="56"/>
      <c r="BV10" s="65">
        <v>37213</v>
      </c>
      <c r="BW10" s="56">
        <v>1</v>
      </c>
      <c r="BX10" s="56">
        <v>0</v>
      </c>
      <c r="BY10" s="56"/>
      <c r="BZ10" s="65">
        <v>35747</v>
      </c>
      <c r="CA10" s="56">
        <v>1</v>
      </c>
      <c r="CB10" s="56">
        <v>0</v>
      </c>
      <c r="CC10" s="56"/>
      <c r="CD10" s="65">
        <v>35871</v>
      </c>
      <c r="CE10" s="56">
        <v>0</v>
      </c>
      <c r="CF10" s="56">
        <v>1</v>
      </c>
      <c r="CG10" s="56"/>
      <c r="CH10" s="65">
        <v>38393</v>
      </c>
      <c r="CI10" s="56">
        <v>0</v>
      </c>
      <c r="CJ10" s="56">
        <v>0</v>
      </c>
      <c r="CK10" s="56"/>
      <c r="CL10" s="65">
        <v>35647</v>
      </c>
    </row>
    <row r="11" spans="1:90">
      <c r="B11" s="8"/>
      <c r="N11" s="9"/>
      <c r="P11">
        <v>10</v>
      </c>
      <c r="Q11" s="10" t="s">
        <v>151</v>
      </c>
      <c r="R11" s="10" t="b">
        <v>1</v>
      </c>
      <c r="S11" s="8"/>
      <c r="T11" s="8"/>
      <c r="V11">
        <v>10</v>
      </c>
      <c r="W11">
        <f t="shared" si="4"/>
        <v>1</v>
      </c>
      <c r="X11"/>
      <c r="Y11">
        <v>0</v>
      </c>
      <c r="Z11">
        <f t="shared" si="6"/>
        <v>0</v>
      </c>
      <c r="AA11">
        <v>1</v>
      </c>
      <c r="AB11" s="51">
        <v>1</v>
      </c>
      <c r="AC11" t="s">
        <v>514</v>
      </c>
      <c r="AD11" t="s">
        <v>515</v>
      </c>
      <c r="AE11" cm="1">
        <f t="array" aca="1" ref="AE11" ca="1">COLUMN(INDIRECT(AC11&amp;"1"))</f>
        <v>19</v>
      </c>
      <c r="AF11" cm="1">
        <f t="array" aca="1" ref="AF11" ca="1">COLUMN(INDIRECT(AD11&amp;"1"))</f>
        <v>21</v>
      </c>
      <c r="AG11"/>
      <c r="AH11"/>
      <c r="AI11" s="13"/>
      <c r="AK11">
        <v>10</v>
      </c>
      <c r="AL11" t="s">
        <v>104</v>
      </c>
      <c r="AM11" t="s">
        <v>331</v>
      </c>
      <c r="AN11" t="str">
        <f t="shared" si="1"/>
        <v>Violet</v>
      </c>
      <c r="AO11" cm="1">
        <f t="array" ref="AO11">INDEX($AY$2:$CL$101,$AK11,($AV$2-1)*4+1)</f>
        <v>0</v>
      </c>
      <c r="AP11" cm="1">
        <f t="array" ref="AP11">INDEX($AY$2:$CL$101,$AK11,($AV$2-1)*4+2)</f>
        <v>0</v>
      </c>
      <c r="AQ11"/>
      <c r="AR11" s="1">
        <f t="shared" si="5"/>
        <v>3.0545838598437989</v>
      </c>
      <c r="AS11" cm="1">
        <f t="array" ref="AS11">INDEX($AY$2:$CL$101,$AK11,($AV$2-1)*4+4)</f>
        <v>37412</v>
      </c>
      <c r="AT11" s="53" t="str">
        <f t="shared" si="2"/>
        <v>412</v>
      </c>
      <c r="AY11" s="56">
        <v>0</v>
      </c>
      <c r="AZ11" s="56">
        <v>0</v>
      </c>
      <c r="BA11" s="56"/>
      <c r="BB11" s="65">
        <v>37412</v>
      </c>
      <c r="BC11" s="56">
        <v>0</v>
      </c>
      <c r="BD11" s="56">
        <v>1</v>
      </c>
      <c r="BE11" s="56"/>
      <c r="BF11" s="65">
        <v>38249</v>
      </c>
      <c r="BG11" s="56">
        <v>0</v>
      </c>
      <c r="BH11" s="56">
        <v>0</v>
      </c>
      <c r="BI11" s="56"/>
      <c r="BJ11" s="65">
        <v>36243</v>
      </c>
      <c r="BK11" s="56">
        <v>0</v>
      </c>
      <c r="BL11" s="56">
        <v>0</v>
      </c>
      <c r="BM11" s="56"/>
      <c r="BN11" s="65">
        <v>35662</v>
      </c>
      <c r="BO11" s="56">
        <v>0</v>
      </c>
      <c r="BP11" s="56">
        <v>0</v>
      </c>
      <c r="BQ11" s="56"/>
      <c r="BR11" s="65">
        <v>38488</v>
      </c>
      <c r="BS11" s="56">
        <v>0</v>
      </c>
      <c r="BT11" s="56">
        <v>0</v>
      </c>
      <c r="BU11" s="56"/>
      <c r="BV11" s="65">
        <v>37558</v>
      </c>
      <c r="BW11" s="56">
        <v>0</v>
      </c>
      <c r="BX11" s="56">
        <v>0</v>
      </c>
      <c r="BY11" s="56"/>
      <c r="BZ11" s="65">
        <v>35531</v>
      </c>
      <c r="CA11" s="56">
        <v>1</v>
      </c>
      <c r="CB11" s="56">
        <v>1</v>
      </c>
      <c r="CC11" s="56"/>
      <c r="CD11" s="65">
        <v>36348</v>
      </c>
      <c r="CE11" s="56">
        <v>1</v>
      </c>
      <c r="CF11" s="56">
        <v>0</v>
      </c>
      <c r="CG11" s="56"/>
      <c r="CH11" s="65">
        <v>38291</v>
      </c>
      <c r="CI11" s="56">
        <v>1</v>
      </c>
      <c r="CJ11" s="56">
        <v>0</v>
      </c>
      <c r="CK11" s="56"/>
      <c r="CL11" s="65">
        <v>36300</v>
      </c>
    </row>
    <row r="12" spans="1:90">
      <c r="B12" s="8"/>
      <c r="N12" s="9"/>
      <c r="O12" s="9"/>
      <c r="P12">
        <v>11</v>
      </c>
      <c r="Q12" s="16" t="s">
        <v>152</v>
      </c>
      <c r="R12" s="10" t="b">
        <v>1</v>
      </c>
      <c r="V12">
        <v>11</v>
      </c>
      <c r="W12">
        <f t="shared" si="4"/>
        <v>1</v>
      </c>
      <c r="X12"/>
      <c r="Y12">
        <v>0</v>
      </c>
      <c r="Z12">
        <f t="shared" si="6"/>
        <v>0</v>
      </c>
      <c r="AA12">
        <v>1</v>
      </c>
      <c r="AB12">
        <v>1</v>
      </c>
      <c r="AC12" t="s">
        <v>516</v>
      </c>
      <c r="AD12" t="s">
        <v>516</v>
      </c>
      <c r="AE12" cm="1">
        <f t="array" aca="1" ref="AE12" ca="1">COLUMN(INDIRECT(AC12&amp;"1"))</f>
        <v>22</v>
      </c>
      <c r="AF12" cm="1">
        <f t="array" aca="1" ref="AF12" ca="1">COLUMN(INDIRECT(AD12&amp;"1"))</f>
        <v>22</v>
      </c>
      <c r="AG12"/>
      <c r="AH12"/>
      <c r="AI12" s="13"/>
      <c r="AK12">
        <v>11</v>
      </c>
      <c r="AL12" t="s">
        <v>33</v>
      </c>
      <c r="AM12" t="s">
        <v>486</v>
      </c>
      <c r="AN12" t="str">
        <f t="shared" si="1"/>
        <v>Harper</v>
      </c>
      <c r="AO12" cm="1">
        <f t="array" ref="AO12">INDEX($AY$2:$CL$101,$AK12,($AV$2-1)*4+1)</f>
        <v>1</v>
      </c>
      <c r="AP12" cm="1">
        <f t="array" ref="AP12">INDEX($AY$2:$CL$101,$AK12,($AV$2-1)*4+2)</f>
        <v>0</v>
      </c>
      <c r="AQ12" cm="1">
        <f t="array" ref="AQ12">INDEX($AY$2:$CL$101,$AK12,($AV$2-1)*4+3)</f>
        <v>3.7301009335816842</v>
      </c>
      <c r="AR12" s="1">
        <f t="shared" ref="AR12:AR19" si="7">AQ12</f>
        <v>3.7301009335816842</v>
      </c>
      <c r="AS12" cm="1">
        <f t="array" ref="AS12">INDEX($AY$2:$CL$101,$AK12,($AV$2-1)*4+4)</f>
        <v>35667</v>
      </c>
      <c r="AT12" s="53" t="str">
        <f t="shared" si="2"/>
        <v>667</v>
      </c>
      <c r="AY12" s="56">
        <v>1</v>
      </c>
      <c r="AZ12" s="56">
        <v>0</v>
      </c>
      <c r="BA12" s="56">
        <v>3.7301009335816842</v>
      </c>
      <c r="BB12" s="65">
        <v>35667</v>
      </c>
      <c r="BC12" s="56">
        <v>0</v>
      </c>
      <c r="BD12" s="56">
        <v>0</v>
      </c>
      <c r="BE12" s="56">
        <v>3.4317445514322698</v>
      </c>
      <c r="BF12" s="65">
        <v>38330</v>
      </c>
      <c r="BG12" s="56">
        <v>1</v>
      </c>
      <c r="BH12" s="56">
        <v>1</v>
      </c>
      <c r="BI12" s="56">
        <v>3.7054252434261548</v>
      </c>
      <c r="BJ12" s="65">
        <v>37875</v>
      </c>
      <c r="BK12" s="56">
        <v>0</v>
      </c>
      <c r="BL12" s="56">
        <v>1</v>
      </c>
      <c r="BM12" s="56">
        <v>3.5163921251078469</v>
      </c>
      <c r="BN12" s="65">
        <v>37165</v>
      </c>
      <c r="BO12" s="56">
        <v>1</v>
      </c>
      <c r="BP12" s="56">
        <v>0</v>
      </c>
      <c r="BQ12" s="56">
        <v>2.4839885309031819</v>
      </c>
      <c r="BR12" s="65">
        <v>37838</v>
      </c>
      <c r="BS12" s="56">
        <v>1</v>
      </c>
      <c r="BT12" s="56">
        <v>0</v>
      </c>
      <c r="BU12" s="56">
        <v>2.9025143097574073</v>
      </c>
      <c r="BV12" s="65">
        <v>35821</v>
      </c>
      <c r="BW12" s="56">
        <v>0</v>
      </c>
      <c r="BX12" s="56">
        <v>0</v>
      </c>
      <c r="BY12" s="56">
        <v>2.4474036986162466</v>
      </c>
      <c r="BZ12" s="65">
        <v>36351</v>
      </c>
      <c r="CA12" s="56">
        <v>0</v>
      </c>
      <c r="CB12" s="56">
        <v>0</v>
      </c>
      <c r="CC12" s="56">
        <v>3.1710363431274953</v>
      </c>
      <c r="CD12" s="65">
        <v>37905</v>
      </c>
      <c r="CE12" s="56">
        <v>1</v>
      </c>
      <c r="CF12" s="56">
        <v>1</v>
      </c>
      <c r="CG12" s="56">
        <v>2.0017992445550155</v>
      </c>
      <c r="CH12" s="65">
        <v>37451</v>
      </c>
      <c r="CI12" s="56">
        <v>1</v>
      </c>
      <c r="CJ12" s="56">
        <v>1</v>
      </c>
      <c r="CK12" s="56">
        <v>2.3794779966183128</v>
      </c>
      <c r="CL12" s="65">
        <v>35635</v>
      </c>
    </row>
    <row r="13" spans="1:90">
      <c r="B13" s="8"/>
      <c r="D13" s="2" t="s">
        <v>153</v>
      </c>
      <c r="F13" s="2"/>
      <c r="N13" s="9"/>
      <c r="P13">
        <v>12</v>
      </c>
      <c r="Q13" s="16" t="s">
        <v>154</v>
      </c>
      <c r="R13" s="10" t="b">
        <v>1</v>
      </c>
      <c r="V13">
        <v>12</v>
      </c>
      <c r="W13">
        <f t="shared" si="4"/>
        <v>1</v>
      </c>
      <c r="X13"/>
      <c r="Y13">
        <v>0</v>
      </c>
      <c r="Z13">
        <f t="shared" si="6"/>
        <v>0</v>
      </c>
      <c r="AA13">
        <f>AB19</f>
        <v>35648</v>
      </c>
      <c r="AB13" s="51">
        <f>IFERROR(twelveth, 0)</f>
        <v>35648</v>
      </c>
      <c r="AC13" t="s">
        <v>526</v>
      </c>
      <c r="AD13" t="s">
        <v>527</v>
      </c>
      <c r="AE13" cm="1">
        <f t="array" aca="1" ref="AE13" ca="1">COLUMN(INDIRECT(AC13&amp;"1"))</f>
        <v>23</v>
      </c>
      <c r="AF13" cm="1">
        <f t="array" aca="1" ref="AF13" ca="1">COLUMN(INDIRECT(AD13&amp;"1"))</f>
        <v>24</v>
      </c>
      <c r="AG13"/>
      <c r="AH13"/>
      <c r="AI13" s="13"/>
      <c r="AK13">
        <v>12</v>
      </c>
      <c r="AL13" t="s">
        <v>55</v>
      </c>
      <c r="AM13" t="s">
        <v>334</v>
      </c>
      <c r="AN13" t="str">
        <f t="shared" si="1"/>
        <v>Nathaniel</v>
      </c>
      <c r="AO13" cm="1">
        <f t="array" ref="AO13">INDEX($AY$2:$CL$101,$AK13,($AV$2-1)*4+1)</f>
        <v>1</v>
      </c>
      <c r="AP13" cm="1">
        <f t="array" ref="AP13">INDEX($AY$2:$CL$101,$AK13,($AV$2-1)*4+2)</f>
        <v>0</v>
      </c>
      <c r="AQ13" cm="1">
        <f t="array" ref="AQ13">INDEX($AY$2:$CL$101,$AK13,($AV$2-1)*4+3)</f>
        <v>2.8811058170623181</v>
      </c>
      <c r="AR13" s="1">
        <f t="shared" si="7"/>
        <v>2.8811058170623181</v>
      </c>
      <c r="AS13" cm="1">
        <f t="array" ref="AS13">INDEX($AY$2:$CL$101,$AK13,($AV$2-1)*4+4)</f>
        <v>36123</v>
      </c>
      <c r="AT13" s="53" t="str">
        <f t="shared" si="2"/>
        <v>123</v>
      </c>
      <c r="AY13" s="56">
        <v>1</v>
      </c>
      <c r="AZ13" s="56">
        <v>0</v>
      </c>
      <c r="BA13" s="56">
        <v>2.8811058170623181</v>
      </c>
      <c r="BB13" s="65">
        <v>36123</v>
      </c>
      <c r="BC13" s="56">
        <v>0</v>
      </c>
      <c r="BD13" s="56">
        <v>1</v>
      </c>
      <c r="BE13" s="56">
        <v>2.8811058170623181</v>
      </c>
      <c r="BF13" s="65">
        <v>37536</v>
      </c>
      <c r="BG13" s="56">
        <v>1</v>
      </c>
      <c r="BH13" s="56">
        <v>1</v>
      </c>
      <c r="BI13" s="56">
        <v>2.8811058170623181</v>
      </c>
      <c r="BJ13" s="65">
        <v>35893</v>
      </c>
      <c r="BK13" s="56">
        <v>1</v>
      </c>
      <c r="BL13" s="56">
        <v>1</v>
      </c>
      <c r="BM13" s="56">
        <v>2.8811058170623181</v>
      </c>
      <c r="BN13" s="65">
        <v>36348</v>
      </c>
      <c r="BO13" s="56">
        <v>0</v>
      </c>
      <c r="BP13" s="56">
        <v>1</v>
      </c>
      <c r="BQ13" s="56">
        <v>2.8811058170623181</v>
      </c>
      <c r="BR13" s="65">
        <v>36719</v>
      </c>
      <c r="BS13" s="56">
        <v>1</v>
      </c>
      <c r="BT13" s="56">
        <v>1</v>
      </c>
      <c r="BU13" s="56">
        <v>2.8811058170623181</v>
      </c>
      <c r="BV13" s="65">
        <v>37571</v>
      </c>
      <c r="BW13" s="56">
        <v>0</v>
      </c>
      <c r="BX13" s="56">
        <v>1</v>
      </c>
      <c r="BY13" s="56">
        <v>2.8811058170623181</v>
      </c>
      <c r="BZ13" s="65">
        <v>37167</v>
      </c>
      <c r="CA13" s="56">
        <v>0</v>
      </c>
      <c r="CB13" s="56">
        <v>1</v>
      </c>
      <c r="CC13" s="56">
        <v>2.8811058170623181</v>
      </c>
      <c r="CD13" s="65">
        <v>38038</v>
      </c>
      <c r="CE13" s="56">
        <v>0</v>
      </c>
      <c r="CF13" s="56">
        <v>1</v>
      </c>
      <c r="CG13" s="56">
        <v>2.8811058170623181</v>
      </c>
      <c r="CH13" s="65">
        <v>35874</v>
      </c>
      <c r="CI13" s="56">
        <v>1</v>
      </c>
      <c r="CJ13" s="56">
        <v>1</v>
      </c>
      <c r="CK13" s="56">
        <v>2.8811058170623181</v>
      </c>
      <c r="CL13" s="65">
        <v>38025</v>
      </c>
    </row>
    <row r="14" spans="1:90">
      <c r="B14" s="8"/>
      <c r="D14" s="3">
        <f>COUNTA(I2:I26)</f>
        <v>1</v>
      </c>
      <c r="P14">
        <v>13</v>
      </c>
      <c r="Q14" s="10" t="s">
        <v>155</v>
      </c>
      <c r="R14" s="10" t="b">
        <v>1</v>
      </c>
      <c r="V14">
        <v>13</v>
      </c>
      <c r="W14">
        <f t="shared" si="4"/>
        <v>1</v>
      </c>
      <c r="X14"/>
      <c r="Y14">
        <v>0</v>
      </c>
      <c r="Z14">
        <f t="shared" si="6"/>
        <v>0</v>
      </c>
      <c r="AA14">
        <v>1</v>
      </c>
      <c r="AB14">
        <v>1</v>
      </c>
      <c r="AC14" t="s">
        <v>528</v>
      </c>
      <c r="AD14" t="s">
        <v>517</v>
      </c>
      <c r="AE14" cm="1">
        <f t="array" aca="1" ref="AE14" ca="1">COLUMN(INDIRECT(AC14&amp;"1"))</f>
        <v>25</v>
      </c>
      <c r="AF14" cm="1">
        <f t="array" aca="1" ref="AF14" ca="1">COLUMN(INDIRECT(AD14&amp;"1"))</f>
        <v>27</v>
      </c>
      <c r="AG14"/>
      <c r="AH14"/>
      <c r="AI14" s="13"/>
      <c r="AK14">
        <v>13</v>
      </c>
      <c r="AL14" t="s">
        <v>74</v>
      </c>
      <c r="AM14" t="s">
        <v>409</v>
      </c>
      <c r="AN14" t="str">
        <f t="shared" si="1"/>
        <v>Zander</v>
      </c>
      <c r="AO14" cm="1">
        <f t="array" ref="AO14">INDEX($AY$2:$CL$101,$AK14,($AV$2-1)*4+1)</f>
        <v>1</v>
      </c>
      <c r="AP14" cm="1">
        <f t="array" ref="AP14">INDEX($AY$2:$CL$101,$AK14,($AV$2-1)*4+2)</f>
        <v>1</v>
      </c>
      <c r="AQ14" cm="1">
        <f t="array" ref="AQ14">INDEX($AY$2:$CL$101,$AK14,($AV$2-1)*4+3)</f>
        <v>3.8015784380038458</v>
      </c>
      <c r="AR14" s="1">
        <f t="shared" si="7"/>
        <v>3.8015784380038458</v>
      </c>
      <c r="AS14" cm="1">
        <f t="array" ref="AS14">INDEX($AY$2:$CL$101,$AK14,($AV$2-1)*4+4)</f>
        <v>37372</v>
      </c>
      <c r="AT14" s="53" t="str">
        <f t="shared" si="2"/>
        <v>372</v>
      </c>
      <c r="AY14" s="56">
        <v>1</v>
      </c>
      <c r="AZ14" s="56">
        <v>1</v>
      </c>
      <c r="BA14" s="56">
        <v>3.8015784380038458</v>
      </c>
      <c r="BB14" s="65">
        <v>37372</v>
      </c>
      <c r="BC14" s="56">
        <v>0</v>
      </c>
      <c r="BD14" s="56">
        <v>1</v>
      </c>
      <c r="BE14" s="56">
        <v>2.2885477124078371</v>
      </c>
      <c r="BF14" s="65">
        <v>36096</v>
      </c>
      <c r="BG14" s="56">
        <v>1</v>
      </c>
      <c r="BH14" s="56">
        <v>1</v>
      </c>
      <c r="BI14" s="56">
        <v>2.0254404927823502</v>
      </c>
      <c r="BJ14" s="65">
        <v>37476</v>
      </c>
      <c r="BK14" s="56">
        <v>0</v>
      </c>
      <c r="BL14" s="56">
        <v>1</v>
      </c>
      <c r="BM14" s="56">
        <v>3.1087597698478882</v>
      </c>
      <c r="BN14" s="65">
        <v>36598</v>
      </c>
      <c r="BO14" s="56">
        <v>1</v>
      </c>
      <c r="BP14" s="56">
        <v>0</v>
      </c>
      <c r="BQ14" s="56">
        <v>3.1866701423738428</v>
      </c>
      <c r="BR14" s="65">
        <v>36975</v>
      </c>
      <c r="BS14" s="56">
        <v>1</v>
      </c>
      <c r="BT14" s="56">
        <v>0</v>
      </c>
      <c r="BU14" s="56">
        <v>3.4949358630437839</v>
      </c>
      <c r="BV14" s="65">
        <v>37742</v>
      </c>
      <c r="BW14" s="56">
        <v>0</v>
      </c>
      <c r="BX14" s="56">
        <v>1</v>
      </c>
      <c r="BY14" s="56">
        <v>2.3151137854016501</v>
      </c>
      <c r="BZ14" s="65">
        <v>37384</v>
      </c>
      <c r="CA14" s="56">
        <v>1</v>
      </c>
      <c r="CB14" s="56">
        <v>0</v>
      </c>
      <c r="CC14" s="56">
        <v>3.1340359648488532</v>
      </c>
      <c r="CD14" s="65">
        <v>35607</v>
      </c>
      <c r="CE14" s="56">
        <v>1</v>
      </c>
      <c r="CF14" s="56">
        <v>0</v>
      </c>
      <c r="CG14" s="56">
        <v>2.3100218646725375</v>
      </c>
      <c r="CH14" s="65">
        <v>36658</v>
      </c>
      <c r="CI14" s="56">
        <v>1</v>
      </c>
      <c r="CJ14" s="56">
        <v>1</v>
      </c>
      <c r="CK14" s="56">
        <v>2.5889045150281111</v>
      </c>
      <c r="CL14" s="65">
        <v>36854</v>
      </c>
    </row>
    <row r="15" spans="1:90">
      <c r="B15" s="8"/>
      <c r="G15" s="2" t="s">
        <v>156</v>
      </c>
      <c r="P15" s="3">
        <v>14</v>
      </c>
      <c r="Q15" s="12" t="s">
        <v>523</v>
      </c>
      <c r="R15" s="10" t="b">
        <v>1</v>
      </c>
      <c r="V15">
        <v>14</v>
      </c>
      <c r="W15">
        <f t="shared" si="4"/>
        <v>1</v>
      </c>
      <c r="X15"/>
      <c r="Y15">
        <v>0</v>
      </c>
      <c r="Z15">
        <f t="shared" si="6"/>
        <v>0</v>
      </c>
      <c r="AA15">
        <v>1</v>
      </c>
      <c r="AB15">
        <v>1</v>
      </c>
      <c r="AC15" t="s">
        <v>535</v>
      </c>
      <c r="AD15" t="s">
        <v>535</v>
      </c>
      <c r="AE15" cm="1">
        <f t="array" aca="1" ref="AE15" ca="1">COLUMN(INDIRECT(AC15&amp;"1"))</f>
        <v>28</v>
      </c>
      <c r="AF15" cm="1">
        <f t="array" aca="1" ref="AF15" ca="1">COLUMN(INDIRECT(AD15&amp;"1"))</f>
        <v>28</v>
      </c>
      <c r="AG15"/>
      <c r="AH15"/>
      <c r="AI15" s="13"/>
      <c r="AK15">
        <v>14</v>
      </c>
      <c r="AL15" t="s">
        <v>108</v>
      </c>
      <c r="AM15" t="s">
        <v>337</v>
      </c>
      <c r="AN15" t="str">
        <f t="shared" si="1"/>
        <v>Ella</v>
      </c>
      <c r="AO15" cm="1">
        <f t="array" ref="AO15">INDEX($AY$2:$CL$101,$AK15,($AV$2-1)*4+1)</f>
        <v>0</v>
      </c>
      <c r="AP15" cm="1">
        <f t="array" ref="AP15">INDEX($AY$2:$CL$101,$AK15,($AV$2-1)*4+2)</f>
        <v>0</v>
      </c>
      <c r="AQ15" cm="1">
        <f t="array" ref="AQ15">INDEX($AY$2:$CL$101,$AK15,($AV$2-1)*4+3)</f>
        <v>2.8811058170623181</v>
      </c>
      <c r="AR15" s="1">
        <f t="shared" si="7"/>
        <v>2.8811058170623181</v>
      </c>
      <c r="AS15" cm="1">
        <f t="array" ref="AS15">INDEX($AY$2:$CL$101,$AK15,($AV$2-1)*4+4)</f>
        <v>35711</v>
      </c>
      <c r="AT15" s="53" t="str">
        <f t="shared" si="2"/>
        <v>711</v>
      </c>
      <c r="AY15" s="56">
        <v>0</v>
      </c>
      <c r="AZ15" s="56">
        <v>0</v>
      </c>
      <c r="BA15" s="56">
        <v>2.8811058170623181</v>
      </c>
      <c r="BB15" s="65">
        <v>35711</v>
      </c>
      <c r="BC15" s="56">
        <v>0</v>
      </c>
      <c r="BD15" s="56">
        <v>1</v>
      </c>
      <c r="BE15" s="56">
        <v>2.8811058170623181</v>
      </c>
      <c r="BF15" s="65">
        <v>35687</v>
      </c>
      <c r="BG15" s="56">
        <v>0</v>
      </c>
      <c r="BH15" s="56">
        <v>1</v>
      </c>
      <c r="BI15" s="56">
        <v>2.8811058170623181</v>
      </c>
      <c r="BJ15" s="65">
        <v>35581</v>
      </c>
      <c r="BK15" s="56">
        <v>0</v>
      </c>
      <c r="BL15" s="56">
        <v>1</v>
      </c>
      <c r="BM15" s="56">
        <v>2.8811058170623181</v>
      </c>
      <c r="BN15" s="65">
        <v>36710</v>
      </c>
      <c r="BO15" s="56">
        <v>0</v>
      </c>
      <c r="BP15" s="56">
        <v>1</v>
      </c>
      <c r="BQ15" s="56">
        <v>2.8811058170623181</v>
      </c>
      <c r="BR15" s="65">
        <v>35737</v>
      </c>
      <c r="BS15" s="56">
        <v>0</v>
      </c>
      <c r="BT15" s="56">
        <v>1</v>
      </c>
      <c r="BU15" s="56">
        <v>2.8811058170623181</v>
      </c>
      <c r="BV15" s="65">
        <v>36725</v>
      </c>
      <c r="BW15" s="56">
        <v>0</v>
      </c>
      <c r="BX15" s="56">
        <v>0</v>
      </c>
      <c r="BY15" s="56">
        <v>2.8811058170623181</v>
      </c>
      <c r="BZ15" s="65">
        <v>37230</v>
      </c>
      <c r="CA15" s="56">
        <v>1</v>
      </c>
      <c r="CB15" s="56">
        <v>1</v>
      </c>
      <c r="CC15" s="56">
        <v>2.8811058170623181</v>
      </c>
      <c r="CD15" s="65">
        <v>37570</v>
      </c>
      <c r="CE15" s="56">
        <v>0</v>
      </c>
      <c r="CF15" s="56">
        <v>0</v>
      </c>
      <c r="CG15" s="56">
        <v>2.8811058170623181</v>
      </c>
      <c r="CH15" s="65">
        <v>37122</v>
      </c>
      <c r="CI15" s="56">
        <v>1</v>
      </c>
      <c r="CJ15" s="56">
        <v>1</v>
      </c>
      <c r="CK15" s="56">
        <v>2.8811058170623181</v>
      </c>
      <c r="CL15" s="65">
        <v>37765</v>
      </c>
    </row>
    <row r="16" spans="1:90">
      <c r="B16" s="8"/>
      <c r="D16" s="2" t="s">
        <v>157</v>
      </c>
      <c r="G16" s="3">
        <f>SUM(W2:W18)</f>
        <v>14</v>
      </c>
      <c r="P16"/>
      <c r="Q16" s="16"/>
      <c r="R16" s="10"/>
      <c r="V16"/>
      <c r="W16"/>
      <c r="X16"/>
      <c r="Y16">
        <v>1</v>
      </c>
      <c r="Z16"/>
      <c r="AA16"/>
      <c r="AB16"/>
      <c r="AC16"/>
      <c r="AD16"/>
      <c r="AE16"/>
      <c r="AF16"/>
      <c r="AG16"/>
      <c r="AH16"/>
      <c r="AI16" s="13"/>
      <c r="AK16">
        <v>15</v>
      </c>
      <c r="AL16" t="s">
        <v>57</v>
      </c>
      <c r="AM16" t="s">
        <v>487</v>
      </c>
      <c r="AN16" t="str">
        <f t="shared" si="1"/>
        <v>Logan</v>
      </c>
      <c r="AO16" cm="1">
        <f t="array" ref="AO16">INDEX($AY$2:$CL$101,$AK16,($AV$2-1)*4+1)</f>
        <v>1</v>
      </c>
      <c r="AP16" cm="1">
        <f t="array" ref="AP16">INDEX($AY$2:$CL$101,$AK16,($AV$2-1)*4+2)</f>
        <v>0</v>
      </c>
      <c r="AQ16" cm="1">
        <f t="array" ref="AQ16">INDEX($AY$2:$CL$101,$AK16,($AV$2-1)*4+3)</f>
        <v>2.5782243864508061</v>
      </c>
      <c r="AR16" s="1">
        <f t="shared" si="7"/>
        <v>2.5782243864508061</v>
      </c>
      <c r="AS16" cm="1">
        <f t="array" ref="AS16">INDEX($AY$2:$CL$101,$AK16,($AV$2-1)*4+4)</f>
        <v>35682</v>
      </c>
      <c r="AT16" s="53" t="str">
        <f t="shared" si="2"/>
        <v>682</v>
      </c>
      <c r="AY16" s="56">
        <v>1</v>
      </c>
      <c r="AZ16" s="56">
        <v>0</v>
      </c>
      <c r="BA16" s="56">
        <v>2.5782243864508061</v>
      </c>
      <c r="BB16" s="65">
        <v>35682</v>
      </c>
      <c r="BC16" s="56">
        <v>1</v>
      </c>
      <c r="BD16" s="56">
        <v>0</v>
      </c>
      <c r="BE16" s="56">
        <v>2.3129105077352672</v>
      </c>
      <c r="BF16" s="65">
        <v>37222</v>
      </c>
      <c r="BG16" s="56">
        <v>1</v>
      </c>
      <c r="BH16" s="56">
        <v>0</v>
      </c>
      <c r="BI16" s="56">
        <v>3.6086993843856847</v>
      </c>
      <c r="BJ16" s="65">
        <v>36944</v>
      </c>
      <c r="BK16" s="56">
        <v>1</v>
      </c>
      <c r="BL16" s="56">
        <v>0</v>
      </c>
      <c r="BM16" s="56">
        <v>3.3067015087814027</v>
      </c>
      <c r="BN16" s="65">
        <v>37518</v>
      </c>
      <c r="BO16" s="56">
        <v>0</v>
      </c>
      <c r="BP16" s="56">
        <v>1</v>
      </c>
      <c r="BQ16" s="56">
        <v>2.8804878920260966</v>
      </c>
      <c r="BR16" s="65">
        <v>38416</v>
      </c>
      <c r="BS16" s="56">
        <v>1</v>
      </c>
      <c r="BT16" s="56">
        <v>0</v>
      </c>
      <c r="BU16" s="56">
        <v>3.0525146669486487</v>
      </c>
      <c r="BV16" s="65">
        <v>35595</v>
      </c>
      <c r="BW16" s="56">
        <v>1</v>
      </c>
      <c r="BX16" s="56">
        <v>1</v>
      </c>
      <c r="BY16" s="56">
        <v>3.8904396796824372</v>
      </c>
      <c r="BZ16" s="65">
        <v>37135</v>
      </c>
      <c r="CA16" s="56">
        <v>0</v>
      </c>
      <c r="CB16" s="56">
        <v>0</v>
      </c>
      <c r="CC16" s="56">
        <v>3.1305694025760467</v>
      </c>
      <c r="CD16" s="65">
        <v>36904</v>
      </c>
      <c r="CE16" s="56">
        <v>1</v>
      </c>
      <c r="CF16" s="56">
        <v>0</v>
      </c>
      <c r="CG16" s="56">
        <v>3.3055317564603586</v>
      </c>
      <c r="CH16" s="65">
        <v>35977</v>
      </c>
      <c r="CI16" s="56">
        <v>0</v>
      </c>
      <c r="CJ16" s="56">
        <v>1</v>
      </c>
      <c r="CK16" s="56">
        <v>2.6343547701462695</v>
      </c>
      <c r="CL16" s="65">
        <v>37584</v>
      </c>
    </row>
    <row r="17" spans="2:90">
      <c r="B17" s="8"/>
      <c r="D17" s="3">
        <f>COUNTA(N2:N100)</f>
        <v>2</v>
      </c>
      <c r="P17"/>
      <c r="Q17" s="16"/>
      <c r="R17" s="10"/>
      <c r="V17"/>
      <c r="W17"/>
      <c r="X17"/>
      <c r="Y17">
        <v>1</v>
      </c>
      <c r="Z17"/>
      <c r="AA17"/>
      <c r="AB17"/>
      <c r="AC17"/>
      <c r="AD17"/>
      <c r="AE17"/>
      <c r="AF17"/>
      <c r="AG17"/>
      <c r="AH17"/>
      <c r="AI17" s="13"/>
      <c r="AK17">
        <v>16</v>
      </c>
      <c r="AL17" t="s">
        <v>62</v>
      </c>
      <c r="AM17" t="s">
        <v>340</v>
      </c>
      <c r="AN17" t="str">
        <f t="shared" si="1"/>
        <v>Amy</v>
      </c>
      <c r="AO17" cm="1">
        <f t="array" ref="AO17">INDEX($AY$2:$CL$101,$AK17,($AV$2-1)*4+1)</f>
        <v>0</v>
      </c>
      <c r="AP17" cm="1">
        <f t="array" ref="AP17">INDEX($AY$2:$CL$101,$AK17,($AV$2-1)*4+2)</f>
        <v>1</v>
      </c>
      <c r="AQ17" cm="1">
        <f t="array" ref="AQ17">INDEX($AY$2:$CL$101,$AK17,($AV$2-1)*4+3)</f>
        <v>2.8811058170623181</v>
      </c>
      <c r="AR17" s="1">
        <f t="shared" si="7"/>
        <v>2.8811058170623181</v>
      </c>
      <c r="AS17" cm="1">
        <f t="array" ref="AS17">INDEX($AY$2:$CL$101,$AK17,($AV$2-1)*4+4)</f>
        <v>38355</v>
      </c>
      <c r="AT17" s="53" t="str">
        <f t="shared" si="2"/>
        <v>355</v>
      </c>
      <c r="AY17" s="56">
        <v>0</v>
      </c>
      <c r="AZ17" s="56">
        <v>1</v>
      </c>
      <c r="BA17" s="56">
        <v>2.8811058170623181</v>
      </c>
      <c r="BB17" s="65">
        <v>38355</v>
      </c>
      <c r="BC17" s="56">
        <v>1</v>
      </c>
      <c r="BD17" s="56">
        <v>0</v>
      </c>
      <c r="BE17" s="56">
        <v>2.8811058170623181</v>
      </c>
      <c r="BF17" s="65">
        <v>36166</v>
      </c>
      <c r="BG17" s="56">
        <v>0</v>
      </c>
      <c r="BH17" s="56">
        <v>0</v>
      </c>
      <c r="BI17" s="56">
        <v>2.8811058170623181</v>
      </c>
      <c r="BJ17" s="65">
        <v>37290</v>
      </c>
      <c r="BK17" s="56">
        <v>0</v>
      </c>
      <c r="BL17" s="56">
        <v>0</v>
      </c>
      <c r="BM17" s="56">
        <v>2.8811058170623181</v>
      </c>
      <c r="BN17" s="65">
        <v>38124</v>
      </c>
      <c r="BO17" s="56">
        <v>1</v>
      </c>
      <c r="BP17" s="56">
        <v>0</v>
      </c>
      <c r="BQ17" s="56">
        <v>2.8811058170623181</v>
      </c>
      <c r="BR17" s="65">
        <v>37756</v>
      </c>
      <c r="BS17" s="56">
        <v>1</v>
      </c>
      <c r="BT17" s="56">
        <v>0</v>
      </c>
      <c r="BU17" s="56">
        <v>2.8811058170623181</v>
      </c>
      <c r="BV17" s="65">
        <v>38493</v>
      </c>
      <c r="BW17" s="56">
        <v>1</v>
      </c>
      <c r="BX17" s="56">
        <v>1</v>
      </c>
      <c r="BY17" s="56">
        <v>2.8811058170623181</v>
      </c>
      <c r="BZ17" s="65">
        <v>36356</v>
      </c>
      <c r="CA17" s="56">
        <v>0</v>
      </c>
      <c r="CB17" s="56">
        <v>0</v>
      </c>
      <c r="CC17" s="56">
        <v>2.8811058170623181</v>
      </c>
      <c r="CD17" s="65">
        <v>37521</v>
      </c>
      <c r="CE17" s="56">
        <v>0</v>
      </c>
      <c r="CF17" s="56">
        <v>0</v>
      </c>
      <c r="CG17" s="56">
        <v>2.8811058170623181</v>
      </c>
      <c r="CH17" s="65">
        <v>38495</v>
      </c>
      <c r="CI17" s="56">
        <v>1</v>
      </c>
      <c r="CJ17" s="56">
        <v>0</v>
      </c>
      <c r="CK17" s="56">
        <v>2.8811058170623181</v>
      </c>
      <c r="CL17" s="65">
        <v>35894</v>
      </c>
    </row>
    <row r="18" spans="2:90">
      <c r="B18" s="8"/>
      <c r="P18"/>
      <c r="Q18" s="16"/>
      <c r="R18" s="10"/>
      <c r="V18"/>
      <c r="W18"/>
      <c r="X18"/>
      <c r="Y18">
        <v>1</v>
      </c>
      <c r="Z18"/>
      <c r="AA18" t="s">
        <v>520</v>
      </c>
      <c r="AB18" t="str" cm="1">
        <f t="array" ref="AB18">INDEX(AN2:AN101,AV3)</f>
        <v>Rhett</v>
      </c>
      <c r="AC18"/>
      <c r="AD18"/>
      <c r="AE18"/>
      <c r="AF18"/>
      <c r="AG18"/>
      <c r="AH18"/>
      <c r="AJ18" s="13"/>
      <c r="AK18">
        <v>17</v>
      </c>
      <c r="AL18" t="s">
        <v>49</v>
      </c>
      <c r="AM18" t="s">
        <v>342</v>
      </c>
      <c r="AN18" t="str">
        <f t="shared" si="1"/>
        <v>Luke</v>
      </c>
      <c r="AO18" cm="1">
        <f t="array" ref="AO18">INDEX($AY$2:$CL$101,$AK18,($AV$2-1)*4+1)</f>
        <v>1</v>
      </c>
      <c r="AP18" cm="1">
        <f t="array" ref="AP18">INDEX($AY$2:$CL$101,$AK18,($AV$2-1)*4+2)</f>
        <v>0</v>
      </c>
      <c r="AQ18" cm="1">
        <f t="array" ref="AQ18">INDEX($AY$2:$CL$101,$AK18,($AV$2-1)*4+3)</f>
        <v>3.4089689855564576</v>
      </c>
      <c r="AR18" s="1">
        <f t="shared" si="7"/>
        <v>3.4089689855564576</v>
      </c>
      <c r="AS18" cm="1">
        <f t="array" ref="AS18">INDEX($AY$2:$CL$101,$AK18,($AV$2-1)*4+4)</f>
        <v>37772</v>
      </c>
      <c r="AT18" s="53" t="str">
        <f t="shared" si="2"/>
        <v>772</v>
      </c>
      <c r="AY18" s="56">
        <v>1</v>
      </c>
      <c r="AZ18" s="56">
        <v>0</v>
      </c>
      <c r="BA18" s="56">
        <v>3.4089689855564576</v>
      </c>
      <c r="BB18" s="65">
        <v>37772</v>
      </c>
      <c r="BC18" s="56">
        <v>1</v>
      </c>
      <c r="BD18" s="56">
        <v>0</v>
      </c>
      <c r="BE18" s="56">
        <v>3.5923856852698375</v>
      </c>
      <c r="BF18" s="65">
        <v>36918</v>
      </c>
      <c r="BG18" s="56">
        <v>0</v>
      </c>
      <c r="BH18" s="56">
        <v>1</v>
      </c>
      <c r="BI18" s="56">
        <v>3.4891776608594065</v>
      </c>
      <c r="BJ18" s="65">
        <v>37602</v>
      </c>
      <c r="BK18" s="56">
        <v>1</v>
      </c>
      <c r="BL18" s="56">
        <v>0</v>
      </c>
      <c r="BM18" s="56">
        <v>3.5101967238531451</v>
      </c>
      <c r="BN18" s="65">
        <v>35807</v>
      </c>
      <c r="BO18" s="56">
        <v>1</v>
      </c>
      <c r="BP18" s="56">
        <v>1</v>
      </c>
      <c r="BQ18" s="56">
        <v>3.6425070066574081</v>
      </c>
      <c r="BR18" s="65">
        <v>37689</v>
      </c>
      <c r="BS18" s="56">
        <v>1</v>
      </c>
      <c r="BT18" s="56">
        <v>1</v>
      </c>
      <c r="BU18" s="56">
        <v>3.911345566109413</v>
      </c>
      <c r="BV18" s="65">
        <v>37039</v>
      </c>
      <c r="BW18" s="56">
        <v>0</v>
      </c>
      <c r="BX18" s="56">
        <v>1</v>
      </c>
      <c r="BY18" s="56">
        <v>2.9010154412734552</v>
      </c>
      <c r="BZ18" s="65">
        <v>36215</v>
      </c>
      <c r="CA18" s="56">
        <v>1</v>
      </c>
      <c r="CB18" s="56">
        <v>0</v>
      </c>
      <c r="CC18" s="56">
        <v>3.2073562901977306</v>
      </c>
      <c r="CD18" s="65">
        <v>38332</v>
      </c>
      <c r="CE18" s="56">
        <v>1</v>
      </c>
      <c r="CF18" s="56">
        <v>0</v>
      </c>
      <c r="CG18" s="56">
        <v>2.3331054925339396</v>
      </c>
      <c r="CH18" s="65">
        <v>37742</v>
      </c>
      <c r="CI18" s="56">
        <v>1</v>
      </c>
      <c r="CJ18" s="56">
        <v>1</v>
      </c>
      <c r="CK18" s="56">
        <v>2.8717633872599304</v>
      </c>
      <c r="CL18" s="65">
        <v>36529</v>
      </c>
    </row>
    <row r="19" spans="2:90">
      <c r="B19" s="8"/>
      <c r="D19" s="2" t="s">
        <v>158</v>
      </c>
      <c r="P19"/>
      <c r="Q19" s="16"/>
      <c r="R19" s="10"/>
      <c r="AA19" s="3" t="s">
        <v>2</v>
      </c>
      <c r="AB19" s="3">
        <f>_xlfn.XLOOKUP(AB18,AN2:AN101,AS2:AS101)</f>
        <v>35648</v>
      </c>
      <c r="AE19" s="18"/>
      <c r="AF19" s="13"/>
      <c r="AG19" s="13"/>
      <c r="AH19" s="13"/>
      <c r="AI19" s="13"/>
      <c r="AK19">
        <v>18</v>
      </c>
      <c r="AL19" t="s">
        <v>53</v>
      </c>
      <c r="AM19" t="s">
        <v>488</v>
      </c>
      <c r="AN19" t="str">
        <f t="shared" si="1"/>
        <v>Eden</v>
      </c>
      <c r="AO19" cm="1">
        <f t="array" ref="AO19">INDEX($AY$2:$CL$101,$AK19,($AV$2-1)*4+1)</f>
        <v>1</v>
      </c>
      <c r="AP19" cm="1">
        <f t="array" ref="AP19">INDEX($AY$2:$CL$101,$AK19,($AV$2-1)*4+2)</f>
        <v>0</v>
      </c>
      <c r="AQ19" cm="1">
        <f t="array" ref="AQ19">INDEX($AY$2:$CL$101,$AK19,($AV$2-1)*4+3)</f>
        <v>2.8811058170623181</v>
      </c>
      <c r="AR19" s="1">
        <f t="shared" si="7"/>
        <v>2.8811058170623181</v>
      </c>
      <c r="AS19" cm="1">
        <f t="array" ref="AS19">INDEX($AY$2:$CL$101,$AK19,($AV$2-1)*4+4)</f>
        <v>38222</v>
      </c>
      <c r="AT19" s="53" t="str">
        <f t="shared" si="2"/>
        <v>222</v>
      </c>
      <c r="AY19" s="56">
        <v>1</v>
      </c>
      <c r="AZ19" s="56">
        <v>0</v>
      </c>
      <c r="BA19" s="56">
        <v>2.8811058170623181</v>
      </c>
      <c r="BB19" s="65">
        <v>38222</v>
      </c>
      <c r="BC19" s="56">
        <v>1</v>
      </c>
      <c r="BD19" s="56">
        <v>1</v>
      </c>
      <c r="BE19" s="56">
        <v>2.8811058170623181</v>
      </c>
      <c r="BF19" s="65">
        <v>37870</v>
      </c>
      <c r="BG19" s="56">
        <v>0</v>
      </c>
      <c r="BH19" s="56">
        <v>1</v>
      </c>
      <c r="BI19" s="56">
        <v>2.8811058170623181</v>
      </c>
      <c r="BJ19" s="65">
        <v>36482</v>
      </c>
      <c r="BK19" s="56">
        <v>1</v>
      </c>
      <c r="BL19" s="56">
        <v>1</v>
      </c>
      <c r="BM19" s="56">
        <v>2.8811058170623181</v>
      </c>
      <c r="BN19" s="65">
        <v>37709</v>
      </c>
      <c r="BO19" s="56">
        <v>0</v>
      </c>
      <c r="BP19" s="56">
        <v>1</v>
      </c>
      <c r="BQ19" s="56">
        <v>2.8811058170623181</v>
      </c>
      <c r="BR19" s="65">
        <v>37270</v>
      </c>
      <c r="BS19" s="56">
        <v>0</v>
      </c>
      <c r="BT19" s="56">
        <v>1</v>
      </c>
      <c r="BU19" s="56">
        <v>2.8811058170623181</v>
      </c>
      <c r="BV19" s="65">
        <v>37839</v>
      </c>
      <c r="BW19" s="56">
        <v>1</v>
      </c>
      <c r="BX19" s="56">
        <v>1</v>
      </c>
      <c r="BY19" s="56">
        <v>2.8811058170623181</v>
      </c>
      <c r="BZ19" s="65">
        <v>37499</v>
      </c>
      <c r="CA19" s="56">
        <v>0</v>
      </c>
      <c r="CB19" s="56">
        <v>1</v>
      </c>
      <c r="CC19" s="56">
        <v>2.8811058170623181</v>
      </c>
      <c r="CD19" s="65">
        <v>36373</v>
      </c>
      <c r="CE19" s="56">
        <v>0</v>
      </c>
      <c r="CF19" s="56">
        <v>0</v>
      </c>
      <c r="CG19" s="56">
        <v>2.8811058170623181</v>
      </c>
      <c r="CH19" s="65">
        <v>37751</v>
      </c>
      <c r="CI19" s="56">
        <v>1</v>
      </c>
      <c r="CJ19" s="56">
        <v>0</v>
      </c>
      <c r="CK19" s="56">
        <v>2.8811058170623181</v>
      </c>
      <c r="CL19" s="65">
        <v>35562</v>
      </c>
    </row>
    <row r="20" spans="2:90">
      <c r="B20" s="8"/>
      <c r="D20" s="3">
        <f>COUNTA(AB2:AB100)</f>
        <v>16</v>
      </c>
      <c r="J20" s="17"/>
      <c r="P20"/>
      <c r="Q20" s="16"/>
      <c r="R20" s="10"/>
      <c r="AD20" s="7"/>
      <c r="AE20" s="18"/>
      <c r="AF20" s="13"/>
      <c r="AG20" s="13"/>
      <c r="AH20" s="13"/>
      <c r="AI20" s="13"/>
      <c r="AK20">
        <v>19</v>
      </c>
      <c r="AL20" t="s">
        <v>28</v>
      </c>
      <c r="AM20" t="s">
        <v>343</v>
      </c>
      <c r="AN20" t="str">
        <f t="shared" si="1"/>
        <v>Vincent</v>
      </c>
      <c r="AO20" cm="1">
        <f t="array" ref="AO20">INDEX($AY$2:$CL$101,$AK20,($AV$2-1)*4+1)</f>
        <v>1</v>
      </c>
      <c r="AP20" cm="1">
        <f t="array" ref="AP20">INDEX($AY$2:$CL$101,$AK20,($AV$2-1)*4+2)</f>
        <v>0</v>
      </c>
      <c r="AQ20"/>
      <c r="AR20" s="1">
        <f t="shared" ref="AR20:AR32" si="8">AVERAGE($AQ$2:$AQ$101)</f>
        <v>3.0545838598437989</v>
      </c>
      <c r="AS20" cm="1">
        <f t="array" ref="AS20">INDEX($AY$2:$CL$101,$AK20,($AV$2-1)*4+4)</f>
        <v>36050</v>
      </c>
      <c r="AT20" s="53" t="str">
        <f t="shared" si="2"/>
        <v>050</v>
      </c>
      <c r="AY20" s="56">
        <v>1</v>
      </c>
      <c r="AZ20" s="56">
        <v>0</v>
      </c>
      <c r="BA20" s="56"/>
      <c r="BB20" s="65">
        <v>36050</v>
      </c>
      <c r="BC20" s="56">
        <v>1</v>
      </c>
      <c r="BD20" s="56">
        <v>0</v>
      </c>
      <c r="BE20" s="56"/>
      <c r="BF20" s="65">
        <v>35831</v>
      </c>
      <c r="BG20" s="56">
        <v>0</v>
      </c>
      <c r="BH20" s="56">
        <v>1</v>
      </c>
      <c r="BI20" s="56"/>
      <c r="BJ20" s="65">
        <v>35943</v>
      </c>
      <c r="BK20" s="56">
        <v>1</v>
      </c>
      <c r="BL20" s="56">
        <v>0</v>
      </c>
      <c r="BM20" s="56"/>
      <c r="BN20" s="65">
        <v>37610</v>
      </c>
      <c r="BO20" s="56">
        <v>1</v>
      </c>
      <c r="BP20" s="56">
        <v>1</v>
      </c>
      <c r="BQ20" s="56"/>
      <c r="BR20" s="65">
        <v>37113</v>
      </c>
      <c r="BS20" s="56">
        <v>1</v>
      </c>
      <c r="BT20" s="56">
        <v>1</v>
      </c>
      <c r="BU20" s="56"/>
      <c r="BV20" s="65">
        <v>38132</v>
      </c>
      <c r="BW20" s="56">
        <v>1</v>
      </c>
      <c r="BX20" s="56">
        <v>0</v>
      </c>
      <c r="BY20" s="56"/>
      <c r="BZ20" s="65">
        <v>37460</v>
      </c>
      <c r="CA20" s="56">
        <v>0</v>
      </c>
      <c r="CB20" s="56">
        <v>0</v>
      </c>
      <c r="CC20" s="56"/>
      <c r="CD20" s="65">
        <v>36112</v>
      </c>
      <c r="CE20" s="56">
        <v>0</v>
      </c>
      <c r="CF20" s="56">
        <v>0</v>
      </c>
      <c r="CG20" s="56"/>
      <c r="CH20" s="65">
        <v>38353</v>
      </c>
      <c r="CI20" s="56">
        <v>0</v>
      </c>
      <c r="CJ20" s="56">
        <v>1</v>
      </c>
      <c r="CK20" s="56"/>
      <c r="CL20" s="65">
        <v>37418</v>
      </c>
    </row>
    <row r="21" spans="2:90">
      <c r="B21" s="8"/>
      <c r="J21" s="17"/>
      <c r="P21"/>
      <c r="Q21" s="16"/>
      <c r="R21"/>
      <c r="AD21" s="7"/>
      <c r="AE21" s="7"/>
      <c r="AF21" s="7"/>
      <c r="AG21" s="7"/>
      <c r="AH21" s="7"/>
      <c r="AI21" s="7"/>
      <c r="AK21">
        <v>20</v>
      </c>
      <c r="AL21" t="s">
        <v>105</v>
      </c>
      <c r="AM21" t="s">
        <v>345</v>
      </c>
      <c r="AN21" t="str">
        <f t="shared" si="1"/>
        <v>Calix</v>
      </c>
      <c r="AO21" cm="1">
        <f t="array" ref="AO21">INDEX($AY$2:$CL$101,$AK21,($AV$2-1)*4+1)</f>
        <v>1</v>
      </c>
      <c r="AP21" cm="1">
        <f t="array" ref="AP21">INDEX($AY$2:$CL$101,$AK21,($AV$2-1)*4+2)</f>
        <v>0</v>
      </c>
      <c r="AQ21"/>
      <c r="AR21" s="1">
        <f t="shared" si="8"/>
        <v>3.0545838598437989</v>
      </c>
      <c r="AS21" cm="1">
        <f t="array" ref="AS21">INDEX($AY$2:$CL$101,$AK21,($AV$2-1)*4+4)</f>
        <v>37589</v>
      </c>
      <c r="AT21" s="53" t="str">
        <f t="shared" si="2"/>
        <v>589</v>
      </c>
      <c r="AY21" s="56">
        <v>1</v>
      </c>
      <c r="AZ21" s="56">
        <v>0</v>
      </c>
      <c r="BA21" s="56"/>
      <c r="BB21" s="65">
        <v>37589</v>
      </c>
      <c r="BC21" s="56">
        <v>0</v>
      </c>
      <c r="BD21" s="56">
        <v>1</v>
      </c>
      <c r="BE21" s="56"/>
      <c r="BF21" s="65">
        <v>38235</v>
      </c>
      <c r="BG21" s="56">
        <v>0</v>
      </c>
      <c r="BH21" s="56">
        <v>0</v>
      </c>
      <c r="BI21" s="56"/>
      <c r="BJ21" s="65">
        <v>37608</v>
      </c>
      <c r="BK21" s="56">
        <v>0</v>
      </c>
      <c r="BL21" s="56">
        <v>0</v>
      </c>
      <c r="BM21" s="56"/>
      <c r="BN21" s="65">
        <v>35655</v>
      </c>
      <c r="BO21" s="56">
        <v>0</v>
      </c>
      <c r="BP21" s="56">
        <v>0</v>
      </c>
      <c r="BQ21" s="56"/>
      <c r="BR21" s="65">
        <v>36335</v>
      </c>
      <c r="BS21" s="56">
        <v>1</v>
      </c>
      <c r="BT21" s="56">
        <v>0</v>
      </c>
      <c r="BU21" s="56"/>
      <c r="BV21" s="65">
        <v>35775</v>
      </c>
      <c r="BW21" s="56">
        <v>0</v>
      </c>
      <c r="BX21" s="56">
        <v>1</v>
      </c>
      <c r="BY21" s="56"/>
      <c r="BZ21" s="65">
        <v>36710</v>
      </c>
      <c r="CA21" s="56">
        <v>1</v>
      </c>
      <c r="CB21" s="56">
        <v>1</v>
      </c>
      <c r="CC21" s="56"/>
      <c r="CD21" s="65">
        <v>37483</v>
      </c>
      <c r="CE21" s="56">
        <v>0</v>
      </c>
      <c r="CF21" s="56">
        <v>0</v>
      </c>
      <c r="CG21" s="56"/>
      <c r="CH21" s="65">
        <v>37844</v>
      </c>
      <c r="CI21" s="56">
        <v>0</v>
      </c>
      <c r="CJ21" s="56">
        <v>1</v>
      </c>
      <c r="CK21" s="56"/>
      <c r="CL21" s="65">
        <v>36196</v>
      </c>
    </row>
    <row r="22" spans="2:90">
      <c r="B22" s="8"/>
      <c r="F22" s="2"/>
      <c r="G22" s="2" t="s">
        <v>159</v>
      </c>
      <c r="J22" s="17"/>
      <c r="P22"/>
      <c r="Q22" s="16"/>
      <c r="R22"/>
      <c r="AE22" s="18"/>
      <c r="AF22" s="13"/>
      <c r="AG22" s="13"/>
      <c r="AH22" s="13"/>
      <c r="AI22" s="13"/>
      <c r="AK22">
        <v>21</v>
      </c>
      <c r="AL22" t="s">
        <v>35</v>
      </c>
      <c r="AM22" t="s">
        <v>347</v>
      </c>
      <c r="AN22" t="str">
        <f t="shared" si="1"/>
        <v>Ezra</v>
      </c>
      <c r="AO22" cm="1">
        <f t="array" ref="AO22">INDEX($AY$2:$CL$101,$AK22,($AV$2-1)*4+1)</f>
        <v>1</v>
      </c>
      <c r="AP22" cm="1">
        <f t="array" ref="AP22">INDEX($AY$2:$CL$101,$AK22,($AV$2-1)*4+2)</f>
        <v>1</v>
      </c>
      <c r="AQ22"/>
      <c r="AR22" s="1">
        <f t="shared" si="8"/>
        <v>3.0545838598437989</v>
      </c>
      <c r="AS22" cm="1">
        <f t="array" ref="AS22">INDEX($AY$2:$CL$101,$AK22,($AV$2-1)*4+4)</f>
        <v>36324</v>
      </c>
      <c r="AT22" s="53" t="str">
        <f t="shared" si="2"/>
        <v>324</v>
      </c>
      <c r="AY22" s="56">
        <v>1</v>
      </c>
      <c r="AZ22" s="56">
        <v>1</v>
      </c>
      <c r="BA22" s="56"/>
      <c r="BB22" s="65">
        <v>36324</v>
      </c>
      <c r="BC22" s="56">
        <v>1</v>
      </c>
      <c r="BD22" s="56">
        <v>0</v>
      </c>
      <c r="BE22" s="56"/>
      <c r="BF22" s="65">
        <v>37570</v>
      </c>
      <c r="BG22" s="56">
        <v>1</v>
      </c>
      <c r="BH22" s="56">
        <v>0</v>
      </c>
      <c r="BI22" s="56"/>
      <c r="BJ22" s="65">
        <v>38176</v>
      </c>
      <c r="BK22" s="56">
        <v>1</v>
      </c>
      <c r="BL22" s="56">
        <v>0</v>
      </c>
      <c r="BM22" s="56"/>
      <c r="BN22" s="65">
        <v>38217</v>
      </c>
      <c r="BO22" s="56">
        <v>0</v>
      </c>
      <c r="BP22" s="56">
        <v>1</v>
      </c>
      <c r="BQ22" s="56"/>
      <c r="BR22" s="65">
        <v>37520</v>
      </c>
      <c r="BS22" s="56">
        <v>0</v>
      </c>
      <c r="BT22" s="56">
        <v>1</v>
      </c>
      <c r="BU22" s="56"/>
      <c r="BV22" s="65">
        <v>37872</v>
      </c>
      <c r="BW22" s="56">
        <v>1</v>
      </c>
      <c r="BX22" s="56">
        <v>0</v>
      </c>
      <c r="BY22" s="56"/>
      <c r="BZ22" s="65">
        <v>38027</v>
      </c>
      <c r="CA22" s="56">
        <v>1</v>
      </c>
      <c r="CB22" s="56">
        <v>1</v>
      </c>
      <c r="CC22" s="56"/>
      <c r="CD22" s="65">
        <v>38096</v>
      </c>
      <c r="CE22" s="56">
        <v>0</v>
      </c>
      <c r="CF22" s="56">
        <v>0</v>
      </c>
      <c r="CG22" s="56"/>
      <c r="CH22" s="65">
        <v>37877</v>
      </c>
      <c r="CI22" s="56">
        <v>1</v>
      </c>
      <c r="CJ22" s="56">
        <v>1</v>
      </c>
      <c r="CK22" s="56"/>
      <c r="CL22" s="65">
        <v>35537</v>
      </c>
    </row>
    <row r="23" spans="2:90">
      <c r="B23" s="8"/>
      <c r="G23" s="3">
        <v>0</v>
      </c>
      <c r="J23" s="17"/>
      <c r="P23"/>
      <c r="Q23" s="10"/>
      <c r="R23"/>
      <c r="X23" s="3">
        <v>0.01</v>
      </c>
      <c r="Y23" s="3">
        <v>1</v>
      </c>
      <c r="Z23" s="3">
        <f>1/100</f>
        <v>0.01</v>
      </c>
      <c r="AA23" s="3">
        <f>IF(OR(X23=Y23,X23=Z23),1)</f>
        <v>1</v>
      </c>
      <c r="AE23" s="18"/>
      <c r="AF23" s="13"/>
      <c r="AG23" s="13"/>
      <c r="AH23" s="13"/>
      <c r="AI23" s="13"/>
      <c r="AK23">
        <v>22</v>
      </c>
      <c r="AL23" t="s">
        <v>76</v>
      </c>
      <c r="AM23" t="s">
        <v>489</v>
      </c>
      <c r="AN23" t="str">
        <f t="shared" si="1"/>
        <v>Helen</v>
      </c>
      <c r="AO23" cm="1">
        <f t="array" ref="AO23">INDEX($AY$2:$CL$101,$AK23,($AV$2-1)*4+1)</f>
        <v>0</v>
      </c>
      <c r="AP23" cm="1">
        <f t="array" ref="AP23">INDEX($AY$2:$CL$101,$AK23,($AV$2-1)*4+2)</f>
        <v>1</v>
      </c>
      <c r="AQ23"/>
      <c r="AR23" s="1">
        <f t="shared" si="8"/>
        <v>3.0545838598437989</v>
      </c>
      <c r="AS23" cm="1">
        <f t="array" ref="AS23">INDEX($AY$2:$CL$101,$AK23,($AV$2-1)*4+4)</f>
        <v>36453</v>
      </c>
      <c r="AT23" s="53" t="str">
        <f t="shared" si="2"/>
        <v>453</v>
      </c>
      <c r="AY23" s="56">
        <v>0</v>
      </c>
      <c r="AZ23" s="56">
        <v>1</v>
      </c>
      <c r="BA23" s="56"/>
      <c r="BB23" s="65">
        <v>36453</v>
      </c>
      <c r="BC23" s="56">
        <v>1</v>
      </c>
      <c r="BD23" s="56">
        <v>1</v>
      </c>
      <c r="BE23" s="56"/>
      <c r="BF23" s="65">
        <v>37374</v>
      </c>
      <c r="BG23" s="56">
        <v>0</v>
      </c>
      <c r="BH23" s="56">
        <v>0</v>
      </c>
      <c r="BI23" s="56"/>
      <c r="BJ23" s="65">
        <v>38174</v>
      </c>
      <c r="BK23" s="56">
        <v>1</v>
      </c>
      <c r="BL23" s="56">
        <v>0</v>
      </c>
      <c r="BM23" s="56"/>
      <c r="BN23" s="65">
        <v>37383</v>
      </c>
      <c r="BO23" s="56">
        <v>0</v>
      </c>
      <c r="BP23" s="56">
        <v>1</v>
      </c>
      <c r="BQ23" s="56"/>
      <c r="BR23" s="65">
        <v>37881</v>
      </c>
      <c r="BS23" s="56">
        <v>1</v>
      </c>
      <c r="BT23" s="56">
        <v>0</v>
      </c>
      <c r="BU23" s="56"/>
      <c r="BV23" s="65">
        <v>36287</v>
      </c>
      <c r="BW23" s="56">
        <v>0</v>
      </c>
      <c r="BX23" s="56">
        <v>1</v>
      </c>
      <c r="BY23" s="56"/>
      <c r="BZ23" s="65">
        <v>37387</v>
      </c>
      <c r="CA23" s="56">
        <v>0</v>
      </c>
      <c r="CB23" s="56">
        <v>1</v>
      </c>
      <c r="CC23" s="56"/>
      <c r="CD23" s="65">
        <v>36586</v>
      </c>
      <c r="CE23" s="56">
        <v>1</v>
      </c>
      <c r="CF23" s="56">
        <v>0</v>
      </c>
      <c r="CG23" s="56"/>
      <c r="CH23" s="65">
        <v>36967</v>
      </c>
      <c r="CI23" s="56">
        <v>1</v>
      </c>
      <c r="CJ23" s="56">
        <v>1</v>
      </c>
      <c r="CK23" s="56"/>
      <c r="CL23" s="65">
        <v>37261</v>
      </c>
    </row>
    <row r="24" spans="2:90">
      <c r="B24" s="8"/>
      <c r="J24" s="17"/>
      <c r="P24"/>
      <c r="Q24" s="10"/>
      <c r="R24"/>
      <c r="AE24" s="18"/>
      <c r="AF24" s="13"/>
      <c r="AG24" s="13"/>
      <c r="AH24" s="13"/>
      <c r="AI24" s="13"/>
      <c r="AK24">
        <v>23</v>
      </c>
      <c r="AL24" t="s">
        <v>22</v>
      </c>
      <c r="AM24" t="s">
        <v>350</v>
      </c>
      <c r="AN24" t="str">
        <f t="shared" si="1"/>
        <v>Isaiah</v>
      </c>
      <c r="AO24" cm="1">
        <f t="array" ref="AO24">INDEX($AY$2:$CL$101,$AK24,($AV$2-1)*4+1)</f>
        <v>1</v>
      </c>
      <c r="AP24" cm="1">
        <f t="array" ref="AP24">INDEX($AY$2:$CL$101,$AK24,($AV$2-1)*4+2)</f>
        <v>1</v>
      </c>
      <c r="AQ24"/>
      <c r="AR24" s="1">
        <f t="shared" si="8"/>
        <v>3.0545838598437989</v>
      </c>
      <c r="AS24" cm="1">
        <f t="array" ref="AS24">INDEX($AY$2:$CL$101,$AK24,($AV$2-1)*4+4)</f>
        <v>37597</v>
      </c>
      <c r="AT24" s="53" t="str">
        <f t="shared" si="2"/>
        <v>597</v>
      </c>
      <c r="AY24" s="56">
        <v>1</v>
      </c>
      <c r="AZ24" s="56">
        <v>1</v>
      </c>
      <c r="BA24" s="56"/>
      <c r="BB24" s="65">
        <v>37597</v>
      </c>
      <c r="BC24" s="56">
        <v>0</v>
      </c>
      <c r="BD24" s="56">
        <v>1</v>
      </c>
      <c r="BE24" s="56"/>
      <c r="BF24" s="65">
        <v>38060</v>
      </c>
      <c r="BG24" s="56">
        <v>1</v>
      </c>
      <c r="BH24" s="56">
        <v>0</v>
      </c>
      <c r="BI24" s="56"/>
      <c r="BJ24" s="65">
        <v>35734</v>
      </c>
      <c r="BK24" s="56">
        <v>0</v>
      </c>
      <c r="BL24" s="56">
        <v>1</v>
      </c>
      <c r="BM24" s="56"/>
      <c r="BN24" s="65">
        <v>38008</v>
      </c>
      <c r="BO24" s="56">
        <v>1</v>
      </c>
      <c r="BP24" s="56">
        <v>0</v>
      </c>
      <c r="BQ24" s="56"/>
      <c r="BR24" s="65">
        <v>38049</v>
      </c>
      <c r="BS24" s="56">
        <v>1</v>
      </c>
      <c r="BT24" s="56">
        <v>1</v>
      </c>
      <c r="BU24" s="56"/>
      <c r="BV24" s="65">
        <v>37856</v>
      </c>
      <c r="BW24" s="56">
        <v>1</v>
      </c>
      <c r="BX24" s="56">
        <v>0</v>
      </c>
      <c r="BY24" s="56"/>
      <c r="BZ24" s="65">
        <v>36408</v>
      </c>
      <c r="CA24" s="56">
        <v>0</v>
      </c>
      <c r="CB24" s="56">
        <v>1</v>
      </c>
      <c r="CC24" s="56"/>
      <c r="CD24" s="65">
        <v>37970</v>
      </c>
      <c r="CE24" s="56">
        <v>1</v>
      </c>
      <c r="CF24" s="56">
        <v>1</v>
      </c>
      <c r="CG24" s="56"/>
      <c r="CH24" s="65">
        <v>37075</v>
      </c>
      <c r="CI24" s="56">
        <v>0</v>
      </c>
      <c r="CJ24" s="56">
        <v>1</v>
      </c>
      <c r="CK24" s="56"/>
      <c r="CL24" s="65">
        <v>38046</v>
      </c>
    </row>
    <row r="25" spans="2:90">
      <c r="B25" s="8"/>
      <c r="F25" s="2" t="s">
        <v>160</v>
      </c>
      <c r="G25" s="2" t="s">
        <v>161</v>
      </c>
      <c r="J25" s="17"/>
      <c r="P25"/>
      <c r="Q25" s="10"/>
      <c r="R25"/>
      <c r="AE25" s="18"/>
      <c r="AF25" s="13"/>
      <c r="AG25" s="13"/>
      <c r="AH25" s="13"/>
      <c r="AI25" s="13"/>
      <c r="AK25">
        <v>24</v>
      </c>
      <c r="AL25" t="s">
        <v>11</v>
      </c>
      <c r="AM25" t="s">
        <v>352</v>
      </c>
      <c r="AN25" t="str">
        <f t="shared" si="1"/>
        <v>Callum</v>
      </c>
      <c r="AO25" cm="1">
        <f t="array" ref="AO25">INDEX($AY$2:$CL$101,$AK25,($AV$2-1)*4+1)</f>
        <v>1</v>
      </c>
      <c r="AP25" cm="1">
        <f t="array" ref="AP25">INDEX($AY$2:$CL$101,$AK25,($AV$2-1)*4+2)</f>
        <v>0</v>
      </c>
      <c r="AQ25"/>
      <c r="AR25" s="1">
        <f t="shared" si="8"/>
        <v>3.0545838598437989</v>
      </c>
      <c r="AS25" cm="1">
        <f t="array" ref="AS25">INDEX($AY$2:$CL$101,$AK25,($AV$2-1)*4+4)</f>
        <v>36653</v>
      </c>
      <c r="AT25" s="53" t="str">
        <f t="shared" si="2"/>
        <v>653</v>
      </c>
      <c r="AY25" s="56">
        <v>1</v>
      </c>
      <c r="AZ25" s="56">
        <v>0</v>
      </c>
      <c r="BA25" s="56"/>
      <c r="BB25" s="65">
        <v>36653</v>
      </c>
      <c r="BC25" s="56">
        <v>0</v>
      </c>
      <c r="BD25" s="56">
        <v>1</v>
      </c>
      <c r="BE25" s="56"/>
      <c r="BF25" s="65">
        <v>36238</v>
      </c>
      <c r="BG25" s="56">
        <v>0</v>
      </c>
      <c r="BH25" s="56">
        <v>0</v>
      </c>
      <c r="BI25" s="56"/>
      <c r="BJ25" s="65">
        <v>37299</v>
      </c>
      <c r="BK25" s="56">
        <v>1</v>
      </c>
      <c r="BL25" s="56">
        <v>0</v>
      </c>
      <c r="BM25" s="56"/>
      <c r="BN25" s="65">
        <v>38017</v>
      </c>
      <c r="BO25" s="56">
        <v>1</v>
      </c>
      <c r="BP25" s="56">
        <v>0</v>
      </c>
      <c r="BQ25" s="56"/>
      <c r="BR25" s="65">
        <v>36950</v>
      </c>
      <c r="BS25" s="56">
        <v>1</v>
      </c>
      <c r="BT25" s="56">
        <v>0</v>
      </c>
      <c r="BU25" s="56"/>
      <c r="BV25" s="65">
        <v>36102</v>
      </c>
      <c r="BW25" s="56">
        <v>1</v>
      </c>
      <c r="BX25" s="56">
        <v>1</v>
      </c>
      <c r="BY25" s="56"/>
      <c r="BZ25" s="65">
        <v>36677</v>
      </c>
      <c r="CA25" s="56">
        <v>0</v>
      </c>
      <c r="CB25" s="56">
        <v>1</v>
      </c>
      <c r="CC25" s="56"/>
      <c r="CD25" s="65">
        <v>36766</v>
      </c>
      <c r="CE25" s="56">
        <v>0</v>
      </c>
      <c r="CF25" s="56">
        <v>0</v>
      </c>
      <c r="CG25" s="56"/>
      <c r="CH25" s="65">
        <v>36121</v>
      </c>
      <c r="CI25" s="56">
        <v>0</v>
      </c>
      <c r="CJ25" s="56">
        <v>1</v>
      </c>
      <c r="CK25" s="56"/>
      <c r="CL25" s="65">
        <v>35589</v>
      </c>
    </row>
    <row r="26" spans="2:90">
      <c r="B26" s="8"/>
      <c r="F26" s="3" t="b">
        <v>1</v>
      </c>
      <c r="G26" s="8">
        <v>45582.954189814816</v>
      </c>
      <c r="J26" s="17"/>
      <c r="P26"/>
      <c r="Q26" s="10"/>
      <c r="R26"/>
      <c r="AE26" s="18"/>
      <c r="AF26" s="13"/>
      <c r="AG26" s="13"/>
      <c r="AH26" s="13"/>
      <c r="AI26" s="13"/>
      <c r="AK26">
        <v>25</v>
      </c>
      <c r="AL26" t="s">
        <v>13</v>
      </c>
      <c r="AM26" t="s">
        <v>354</v>
      </c>
      <c r="AN26" t="str">
        <f t="shared" si="1"/>
        <v>Landon</v>
      </c>
      <c r="AO26" cm="1">
        <f t="array" ref="AO26">INDEX($AY$2:$CL$101,$AK26,($AV$2-1)*4+1)</f>
        <v>1</v>
      </c>
      <c r="AP26" cm="1">
        <f t="array" ref="AP26">INDEX($AY$2:$CL$101,$AK26,($AV$2-1)*4+2)</f>
        <v>0</v>
      </c>
      <c r="AQ26"/>
      <c r="AR26" s="1">
        <f t="shared" si="8"/>
        <v>3.0545838598437989</v>
      </c>
      <c r="AS26" cm="1">
        <f t="array" ref="AS26">INDEX($AY$2:$CL$101,$AK26,($AV$2-1)*4+4)</f>
        <v>38267</v>
      </c>
      <c r="AT26" s="53" t="str">
        <f t="shared" si="2"/>
        <v>267</v>
      </c>
      <c r="AY26" s="56">
        <v>1</v>
      </c>
      <c r="AZ26" s="56">
        <v>0</v>
      </c>
      <c r="BA26" s="56"/>
      <c r="BB26" s="65">
        <v>38267</v>
      </c>
      <c r="BC26" s="56">
        <v>0</v>
      </c>
      <c r="BD26" s="56">
        <v>0</v>
      </c>
      <c r="BE26" s="56"/>
      <c r="BF26" s="65">
        <v>38469</v>
      </c>
      <c r="BG26" s="56">
        <v>1</v>
      </c>
      <c r="BH26" s="56">
        <v>1</v>
      </c>
      <c r="BI26" s="56"/>
      <c r="BJ26" s="65">
        <v>37593</v>
      </c>
      <c r="BK26" s="56">
        <v>0</v>
      </c>
      <c r="BL26" s="56">
        <v>1</v>
      </c>
      <c r="BM26" s="56"/>
      <c r="BN26" s="65">
        <v>36174</v>
      </c>
      <c r="BO26" s="56">
        <v>1</v>
      </c>
      <c r="BP26" s="56">
        <v>0</v>
      </c>
      <c r="BQ26" s="56"/>
      <c r="BR26" s="65">
        <v>35827</v>
      </c>
      <c r="BS26" s="56">
        <v>0</v>
      </c>
      <c r="BT26" s="56">
        <v>1</v>
      </c>
      <c r="BU26" s="56"/>
      <c r="BV26" s="65">
        <v>37201</v>
      </c>
      <c r="BW26" s="56">
        <v>0</v>
      </c>
      <c r="BX26" s="56">
        <v>1</v>
      </c>
      <c r="BY26" s="56"/>
      <c r="BZ26" s="65">
        <v>36595</v>
      </c>
      <c r="CA26" s="56">
        <v>1</v>
      </c>
      <c r="CB26" s="56">
        <v>0</v>
      </c>
      <c r="CC26" s="56"/>
      <c r="CD26" s="65">
        <v>36606</v>
      </c>
      <c r="CE26" s="56">
        <v>0</v>
      </c>
      <c r="CF26" s="56">
        <v>1</v>
      </c>
      <c r="CG26" s="56"/>
      <c r="CH26" s="65">
        <v>36406</v>
      </c>
      <c r="CI26" s="56">
        <v>1</v>
      </c>
      <c r="CJ26" s="56">
        <v>1</v>
      </c>
      <c r="CK26" s="56"/>
      <c r="CL26" s="65">
        <v>35634</v>
      </c>
    </row>
    <row r="27" spans="2:90">
      <c r="B27" s="8"/>
      <c r="J27" s="17"/>
      <c r="P27"/>
      <c r="Q27" s="16"/>
      <c r="R27"/>
      <c r="AE27" s="18"/>
      <c r="AF27" s="13"/>
      <c r="AG27" s="13"/>
      <c r="AH27" s="13"/>
      <c r="AI27" s="13"/>
      <c r="AK27">
        <v>26</v>
      </c>
      <c r="AL27" t="s">
        <v>31</v>
      </c>
      <c r="AM27" t="s">
        <v>356</v>
      </c>
      <c r="AN27" t="str">
        <f t="shared" si="1"/>
        <v>Dante</v>
      </c>
      <c r="AO27" cm="1">
        <f t="array" ref="AO27">INDEX($AY$2:$CL$101,$AK27,($AV$2-1)*4+1)</f>
        <v>1</v>
      </c>
      <c r="AP27" cm="1">
        <f t="array" ref="AP27">INDEX($AY$2:$CL$101,$AK27,($AV$2-1)*4+2)</f>
        <v>0</v>
      </c>
      <c r="AQ27"/>
      <c r="AR27" s="1">
        <f t="shared" si="8"/>
        <v>3.0545838598437989</v>
      </c>
      <c r="AS27" cm="1">
        <f t="array" ref="AS27">INDEX($AY$2:$CL$101,$AK27,($AV$2-1)*4+4)</f>
        <v>36602</v>
      </c>
      <c r="AT27" s="53" t="str">
        <f t="shared" si="2"/>
        <v>602</v>
      </c>
      <c r="AY27" s="56">
        <v>1</v>
      </c>
      <c r="AZ27" s="56">
        <v>0</v>
      </c>
      <c r="BA27" s="56"/>
      <c r="BB27" s="65">
        <v>36602</v>
      </c>
      <c r="BC27" s="56">
        <v>0</v>
      </c>
      <c r="BD27" s="56">
        <v>0</v>
      </c>
      <c r="BE27" s="56"/>
      <c r="BF27" s="65">
        <v>36802</v>
      </c>
      <c r="BG27" s="56">
        <v>1</v>
      </c>
      <c r="BH27" s="56">
        <v>1</v>
      </c>
      <c r="BI27" s="56"/>
      <c r="BJ27" s="65">
        <v>36436</v>
      </c>
      <c r="BK27" s="56">
        <v>0</v>
      </c>
      <c r="BL27" s="56">
        <v>1</v>
      </c>
      <c r="BM27" s="56"/>
      <c r="BN27" s="65">
        <v>37713</v>
      </c>
      <c r="BO27" s="56">
        <v>1</v>
      </c>
      <c r="BP27" s="56">
        <v>0</v>
      </c>
      <c r="BQ27" s="56"/>
      <c r="BR27" s="65">
        <v>38114</v>
      </c>
      <c r="BS27" s="56">
        <v>1</v>
      </c>
      <c r="BT27" s="56">
        <v>1</v>
      </c>
      <c r="BU27" s="56"/>
      <c r="BV27" s="65">
        <v>37335</v>
      </c>
      <c r="BW27" s="56">
        <v>0</v>
      </c>
      <c r="BX27" s="56">
        <v>0</v>
      </c>
      <c r="BY27" s="56"/>
      <c r="BZ27" s="65">
        <v>37359</v>
      </c>
      <c r="CA27" s="56">
        <v>0</v>
      </c>
      <c r="CB27" s="56">
        <v>0</v>
      </c>
      <c r="CC27" s="56"/>
      <c r="CD27" s="65">
        <v>37080</v>
      </c>
      <c r="CE27" s="56">
        <v>0</v>
      </c>
      <c r="CF27" s="56">
        <v>0</v>
      </c>
      <c r="CG27" s="56"/>
      <c r="CH27" s="65">
        <v>35811</v>
      </c>
      <c r="CI27" s="56">
        <v>0</v>
      </c>
      <c r="CJ27" s="56">
        <v>0</v>
      </c>
      <c r="CK27" s="56"/>
      <c r="CL27" s="65">
        <v>37004</v>
      </c>
    </row>
    <row r="28" spans="2:90">
      <c r="B28" s="8"/>
      <c r="F28" s="2" t="s">
        <v>162</v>
      </c>
      <c r="G28" s="2" t="s">
        <v>163</v>
      </c>
      <c r="J28" s="17"/>
      <c r="P28"/>
      <c r="Q28" s="16"/>
      <c r="R28"/>
      <c r="AE28" s="18"/>
      <c r="AF28" s="13"/>
      <c r="AG28" s="13"/>
      <c r="AH28" s="13"/>
      <c r="AI28" s="13"/>
      <c r="AK28">
        <v>27</v>
      </c>
      <c r="AL28" t="s">
        <v>68</v>
      </c>
      <c r="AM28" t="s">
        <v>358</v>
      </c>
      <c r="AN28" t="str">
        <f t="shared" si="1"/>
        <v>Anna</v>
      </c>
      <c r="AO28" cm="1">
        <f t="array" ref="AO28">INDEX($AY$2:$CL$101,$AK28,($AV$2-1)*4+1)</f>
        <v>0</v>
      </c>
      <c r="AP28" cm="1">
        <f t="array" ref="AP28">INDEX($AY$2:$CL$101,$AK28,($AV$2-1)*4+2)</f>
        <v>0</v>
      </c>
      <c r="AQ28"/>
      <c r="AR28" s="1">
        <f t="shared" si="8"/>
        <v>3.0545838598437989</v>
      </c>
      <c r="AS28" cm="1">
        <f t="array" ref="AS28">INDEX($AY$2:$CL$101,$AK28,($AV$2-1)*4+4)</f>
        <v>37987</v>
      </c>
      <c r="AT28" s="53" t="str">
        <f t="shared" si="2"/>
        <v>987</v>
      </c>
      <c r="AY28" s="56">
        <v>0</v>
      </c>
      <c r="AZ28" s="56">
        <v>0</v>
      </c>
      <c r="BA28" s="56"/>
      <c r="BB28" s="65">
        <v>37987</v>
      </c>
      <c r="BC28" s="56">
        <v>0</v>
      </c>
      <c r="BD28" s="56">
        <v>1</v>
      </c>
      <c r="BE28" s="56"/>
      <c r="BF28" s="65">
        <v>35745</v>
      </c>
      <c r="BG28" s="56">
        <v>1</v>
      </c>
      <c r="BH28" s="56">
        <v>0</v>
      </c>
      <c r="BI28" s="56"/>
      <c r="BJ28" s="65">
        <v>38182</v>
      </c>
      <c r="BK28" s="56">
        <v>0</v>
      </c>
      <c r="BL28" s="56">
        <v>0</v>
      </c>
      <c r="BM28" s="56"/>
      <c r="BN28" s="65">
        <v>38418</v>
      </c>
      <c r="BO28" s="56">
        <v>1</v>
      </c>
      <c r="BP28" s="56">
        <v>1</v>
      </c>
      <c r="BQ28" s="56"/>
      <c r="BR28" s="65">
        <v>38421</v>
      </c>
      <c r="BS28" s="56">
        <v>1</v>
      </c>
      <c r="BT28" s="56">
        <v>0</v>
      </c>
      <c r="BU28" s="56"/>
      <c r="BV28" s="65">
        <v>36790</v>
      </c>
      <c r="BW28" s="56">
        <v>1</v>
      </c>
      <c r="BX28" s="56">
        <v>1</v>
      </c>
      <c r="BY28" s="56"/>
      <c r="BZ28" s="65">
        <v>37618</v>
      </c>
      <c r="CA28" s="56">
        <v>0</v>
      </c>
      <c r="CB28" s="56">
        <v>0</v>
      </c>
      <c r="CC28" s="56"/>
      <c r="CD28" s="65">
        <v>37075</v>
      </c>
      <c r="CE28" s="56">
        <v>1</v>
      </c>
      <c r="CF28" s="56">
        <v>1</v>
      </c>
      <c r="CG28" s="56"/>
      <c r="CH28" s="65">
        <v>36831</v>
      </c>
      <c r="CI28" s="56">
        <v>0</v>
      </c>
      <c r="CJ28" s="56">
        <v>1</v>
      </c>
      <c r="CK28" s="56"/>
      <c r="CL28" s="65">
        <v>36944</v>
      </c>
    </row>
    <row r="29" spans="2:90">
      <c r="B29" s="8"/>
      <c r="F29" s="19">
        <v>0.40460648146108724</v>
      </c>
      <c r="G29" s="3">
        <f>totalTime*24*3600</f>
        <v>34957.999998237938</v>
      </c>
      <c r="J29" s="17"/>
      <c r="P29"/>
      <c r="Q29" s="16"/>
      <c r="R29"/>
      <c r="AE29" s="18"/>
      <c r="AF29" s="13"/>
      <c r="AG29" s="13"/>
      <c r="AH29" s="13"/>
      <c r="AI29" s="13"/>
      <c r="AK29">
        <v>28</v>
      </c>
      <c r="AL29" t="s">
        <v>60</v>
      </c>
      <c r="AM29" t="s">
        <v>360</v>
      </c>
      <c r="AN29" t="str">
        <f t="shared" si="1"/>
        <v>Tobias</v>
      </c>
      <c r="AO29" cm="1">
        <f t="array" ref="AO29">INDEX($AY$2:$CL$101,$AK29,($AV$2-1)*4+1)</f>
        <v>1</v>
      </c>
      <c r="AP29" cm="1">
        <f t="array" ref="AP29">INDEX($AY$2:$CL$101,$AK29,($AV$2-1)*4+2)</f>
        <v>1</v>
      </c>
      <c r="AQ29"/>
      <c r="AR29" s="1">
        <f t="shared" si="8"/>
        <v>3.0545838598437989</v>
      </c>
      <c r="AS29" cm="1">
        <f t="array" ref="AS29">INDEX($AY$2:$CL$101,$AK29,($AV$2-1)*4+4)</f>
        <v>38175</v>
      </c>
      <c r="AT29" s="53" t="str">
        <f t="shared" si="2"/>
        <v>175</v>
      </c>
      <c r="AY29" s="56">
        <v>1</v>
      </c>
      <c r="AZ29" s="56">
        <v>1</v>
      </c>
      <c r="BA29" s="56"/>
      <c r="BB29" s="65">
        <v>38175</v>
      </c>
      <c r="BC29" s="56">
        <v>0</v>
      </c>
      <c r="BD29" s="56">
        <v>0</v>
      </c>
      <c r="BE29" s="56"/>
      <c r="BF29" s="65">
        <v>37132</v>
      </c>
      <c r="BG29" s="56">
        <v>1</v>
      </c>
      <c r="BH29" s="56">
        <v>0</v>
      </c>
      <c r="BI29" s="56"/>
      <c r="BJ29" s="65">
        <v>38255</v>
      </c>
      <c r="BK29" s="56">
        <v>0</v>
      </c>
      <c r="BL29" s="56">
        <v>1</v>
      </c>
      <c r="BM29" s="56"/>
      <c r="BN29" s="65">
        <v>35931</v>
      </c>
      <c r="BO29" s="56">
        <v>1</v>
      </c>
      <c r="BP29" s="56">
        <v>0</v>
      </c>
      <c r="BQ29" s="56"/>
      <c r="BR29" s="65">
        <v>35971</v>
      </c>
      <c r="BS29" s="56">
        <v>0</v>
      </c>
      <c r="BT29" s="56">
        <v>1</v>
      </c>
      <c r="BU29" s="56"/>
      <c r="BV29" s="65">
        <v>36009</v>
      </c>
      <c r="BW29" s="56">
        <v>1</v>
      </c>
      <c r="BX29" s="56">
        <v>1</v>
      </c>
      <c r="BY29" s="56"/>
      <c r="BZ29" s="65">
        <v>37305</v>
      </c>
      <c r="CA29" s="56">
        <v>1</v>
      </c>
      <c r="CB29" s="56">
        <v>0</v>
      </c>
      <c r="CC29" s="56"/>
      <c r="CD29" s="65">
        <v>36126</v>
      </c>
      <c r="CE29" s="56">
        <v>0</v>
      </c>
      <c r="CF29" s="56">
        <v>0</v>
      </c>
      <c r="CG29" s="56"/>
      <c r="CH29" s="65">
        <v>37454</v>
      </c>
      <c r="CI29" s="56">
        <v>0</v>
      </c>
      <c r="CJ29" s="56">
        <v>1</v>
      </c>
      <c r="CK29" s="56"/>
      <c r="CL29" s="65">
        <v>37229</v>
      </c>
    </row>
    <row r="30" spans="2:90">
      <c r="B30" s="8"/>
      <c r="J30" s="17"/>
      <c r="P30"/>
      <c r="Q30" s="16"/>
      <c r="R30"/>
      <c r="AE30" s="18"/>
      <c r="AF30" s="13"/>
      <c r="AG30" s="13"/>
      <c r="AH30" s="13"/>
      <c r="AI30" s="13"/>
      <c r="AK30">
        <v>29</v>
      </c>
      <c r="AL30" t="s">
        <v>70</v>
      </c>
      <c r="AM30" t="s">
        <v>490</v>
      </c>
      <c r="AN30" t="str">
        <f t="shared" si="1"/>
        <v>Jade</v>
      </c>
      <c r="AO30" cm="1">
        <f t="array" ref="AO30">INDEX($AY$2:$CL$101,$AK30,($AV$2-1)*4+1)</f>
        <v>1</v>
      </c>
      <c r="AP30" cm="1">
        <f t="array" ref="AP30">INDEX($AY$2:$CL$101,$AK30,($AV$2-1)*4+2)</f>
        <v>1</v>
      </c>
      <c r="AQ30"/>
      <c r="AR30" s="1">
        <f t="shared" si="8"/>
        <v>3.0545838598437989</v>
      </c>
      <c r="AS30" cm="1">
        <f t="array" ref="AS30">INDEX($AY$2:$CL$101,$AK30,($AV$2-1)*4+4)</f>
        <v>37689</v>
      </c>
      <c r="AT30" s="53" t="str">
        <f t="shared" si="2"/>
        <v>689</v>
      </c>
      <c r="AY30" s="56">
        <v>1</v>
      </c>
      <c r="AZ30" s="56">
        <v>1</v>
      </c>
      <c r="BA30" s="56"/>
      <c r="BB30" s="65">
        <v>37689</v>
      </c>
      <c r="BC30" s="56">
        <v>0</v>
      </c>
      <c r="BD30" s="56">
        <v>1</v>
      </c>
      <c r="BE30" s="56"/>
      <c r="BF30" s="65">
        <v>35625</v>
      </c>
      <c r="BG30" s="56">
        <v>1</v>
      </c>
      <c r="BH30" s="56">
        <v>1</v>
      </c>
      <c r="BI30" s="56"/>
      <c r="BJ30" s="65">
        <v>38215</v>
      </c>
      <c r="BK30" s="56">
        <v>0</v>
      </c>
      <c r="BL30" s="56">
        <v>1</v>
      </c>
      <c r="BM30" s="56"/>
      <c r="BN30" s="65">
        <v>37275</v>
      </c>
      <c r="BO30" s="56">
        <v>0</v>
      </c>
      <c r="BP30" s="56">
        <v>1</v>
      </c>
      <c r="BQ30" s="56"/>
      <c r="BR30" s="65">
        <v>36715</v>
      </c>
      <c r="BS30" s="56">
        <v>0</v>
      </c>
      <c r="BT30" s="56">
        <v>0</v>
      </c>
      <c r="BU30" s="56"/>
      <c r="BV30" s="65">
        <v>36072</v>
      </c>
      <c r="BW30" s="56">
        <v>0</v>
      </c>
      <c r="BX30" s="56">
        <v>0</v>
      </c>
      <c r="BY30" s="56"/>
      <c r="BZ30" s="65">
        <v>37947</v>
      </c>
      <c r="CA30" s="56">
        <v>0</v>
      </c>
      <c r="CB30" s="56">
        <v>1</v>
      </c>
      <c r="CC30" s="56"/>
      <c r="CD30" s="65">
        <v>35777</v>
      </c>
      <c r="CE30" s="56">
        <v>0</v>
      </c>
      <c r="CF30" s="56">
        <v>1</v>
      </c>
      <c r="CG30" s="56"/>
      <c r="CH30" s="65">
        <v>38217</v>
      </c>
      <c r="CI30" s="56">
        <v>1</v>
      </c>
      <c r="CJ30" s="56">
        <v>0</v>
      </c>
      <c r="CK30" s="56"/>
      <c r="CL30" s="65">
        <v>38270</v>
      </c>
    </row>
    <row r="31" spans="2:90">
      <c r="B31" s="8"/>
      <c r="J31" s="17"/>
      <c r="P31"/>
      <c r="Q31" s="16"/>
      <c r="R31"/>
      <c r="AE31" s="18"/>
      <c r="AF31" s="13"/>
      <c r="AG31" s="13"/>
      <c r="AH31" s="13"/>
      <c r="AI31" s="13"/>
      <c r="AK31">
        <v>30</v>
      </c>
      <c r="AL31" t="s">
        <v>37</v>
      </c>
      <c r="AM31" t="s">
        <v>363</v>
      </c>
      <c r="AN31" t="str">
        <f t="shared" si="1"/>
        <v>Rowan</v>
      </c>
      <c r="AO31" cm="1">
        <f t="array" ref="AO31">INDEX($AY$2:$CL$101,$AK31,($AV$2-1)*4+1)</f>
        <v>1</v>
      </c>
      <c r="AP31" cm="1">
        <f t="array" ref="AP31">INDEX($AY$2:$CL$101,$AK31,($AV$2-1)*4+2)</f>
        <v>1</v>
      </c>
      <c r="AQ31"/>
      <c r="AR31" s="1">
        <f t="shared" si="8"/>
        <v>3.0545838598437989</v>
      </c>
      <c r="AS31" cm="1">
        <f t="array" ref="AS31">INDEX($AY$2:$CL$101,$AK31,($AV$2-1)*4+4)</f>
        <v>38265</v>
      </c>
      <c r="AT31" s="53" t="str">
        <f t="shared" si="2"/>
        <v>265</v>
      </c>
      <c r="AY31" s="56">
        <v>1</v>
      </c>
      <c r="AZ31" s="56">
        <v>1</v>
      </c>
      <c r="BA31" s="56"/>
      <c r="BB31" s="65">
        <v>38265</v>
      </c>
      <c r="BC31" s="56">
        <v>0</v>
      </c>
      <c r="BD31" s="56">
        <v>1</v>
      </c>
      <c r="BE31" s="56"/>
      <c r="BF31" s="65">
        <v>36413</v>
      </c>
      <c r="BG31" s="56">
        <v>1</v>
      </c>
      <c r="BH31" s="56">
        <v>0</v>
      </c>
      <c r="BI31" s="56"/>
      <c r="BJ31" s="65">
        <v>35817</v>
      </c>
      <c r="BK31" s="56">
        <v>0</v>
      </c>
      <c r="BL31" s="56">
        <v>1</v>
      </c>
      <c r="BM31" s="56"/>
      <c r="BN31" s="65">
        <v>36870</v>
      </c>
      <c r="BO31" s="56">
        <v>1</v>
      </c>
      <c r="BP31" s="56">
        <v>0</v>
      </c>
      <c r="BQ31" s="56"/>
      <c r="BR31" s="65">
        <v>38170</v>
      </c>
      <c r="BS31" s="56">
        <v>1</v>
      </c>
      <c r="BT31" s="56">
        <v>0</v>
      </c>
      <c r="BU31" s="56"/>
      <c r="BV31" s="65">
        <v>36834</v>
      </c>
      <c r="BW31" s="56">
        <v>0</v>
      </c>
      <c r="BX31" s="56">
        <v>1</v>
      </c>
      <c r="BY31" s="56"/>
      <c r="BZ31" s="65">
        <v>37566</v>
      </c>
      <c r="CA31" s="56">
        <v>0</v>
      </c>
      <c r="CB31" s="56">
        <v>0</v>
      </c>
      <c r="CC31" s="56"/>
      <c r="CD31" s="65">
        <v>37560</v>
      </c>
      <c r="CE31" s="56">
        <v>1</v>
      </c>
      <c r="CF31" s="56">
        <v>1</v>
      </c>
      <c r="CG31" s="56"/>
      <c r="CH31" s="65">
        <v>38210</v>
      </c>
      <c r="CI31" s="56">
        <v>1</v>
      </c>
      <c r="CJ31" s="56">
        <v>1</v>
      </c>
      <c r="CK31" s="56"/>
      <c r="CL31" s="65">
        <v>35685</v>
      </c>
    </row>
    <row r="32" spans="2:90">
      <c r="B32" s="8"/>
      <c r="J32" s="17"/>
      <c r="P32"/>
      <c r="Q32" s="16"/>
      <c r="R32"/>
      <c r="AE32" s="18"/>
      <c r="AF32" s="13"/>
      <c r="AG32" s="13"/>
      <c r="AH32" s="13"/>
      <c r="AI32" s="13"/>
      <c r="AK32">
        <v>31</v>
      </c>
      <c r="AL32" t="s">
        <v>81</v>
      </c>
      <c r="AM32" t="s">
        <v>365</v>
      </c>
      <c r="AN32" t="str">
        <f t="shared" si="1"/>
        <v>Jonah</v>
      </c>
      <c r="AO32" cm="1">
        <f t="array" ref="AO32">INDEX($AY$2:$CL$101,$AK32,($AV$2-1)*4+1)</f>
        <v>1</v>
      </c>
      <c r="AP32" cm="1">
        <f t="array" ref="AP32">INDEX($AY$2:$CL$101,$AK32,($AV$2-1)*4+2)</f>
        <v>0</v>
      </c>
      <c r="AQ32"/>
      <c r="AR32" s="1">
        <f t="shared" si="8"/>
        <v>3.0545838598437989</v>
      </c>
      <c r="AS32" cm="1">
        <f t="array" ref="AS32">INDEX($AY$2:$CL$101,$AK32,($AV$2-1)*4+4)</f>
        <v>36191</v>
      </c>
      <c r="AT32" s="53" t="str">
        <f t="shared" si="2"/>
        <v>191</v>
      </c>
      <c r="AY32" s="56">
        <v>1</v>
      </c>
      <c r="AZ32" s="56">
        <v>0</v>
      </c>
      <c r="BA32" s="56"/>
      <c r="BB32" s="65">
        <v>36191</v>
      </c>
      <c r="BC32" s="56">
        <v>0</v>
      </c>
      <c r="BD32" s="56">
        <v>0</v>
      </c>
      <c r="BE32" s="56"/>
      <c r="BF32" s="65">
        <v>38134</v>
      </c>
      <c r="BG32" s="56">
        <v>1</v>
      </c>
      <c r="BH32" s="56">
        <v>1</v>
      </c>
      <c r="BI32" s="56"/>
      <c r="BJ32" s="65">
        <v>36011</v>
      </c>
      <c r="BK32" s="56">
        <v>1</v>
      </c>
      <c r="BL32" s="56">
        <v>1</v>
      </c>
      <c r="BM32" s="56"/>
      <c r="BN32" s="65">
        <v>37031</v>
      </c>
      <c r="BO32" s="56">
        <v>1</v>
      </c>
      <c r="BP32" s="56">
        <v>1</v>
      </c>
      <c r="BQ32" s="56"/>
      <c r="BR32" s="65">
        <v>35721</v>
      </c>
      <c r="BS32" s="56">
        <v>0</v>
      </c>
      <c r="BT32" s="56">
        <v>0</v>
      </c>
      <c r="BU32" s="56"/>
      <c r="BV32" s="65">
        <v>35962</v>
      </c>
      <c r="BW32" s="56">
        <v>1</v>
      </c>
      <c r="BX32" s="56">
        <v>1</v>
      </c>
      <c r="BY32" s="56"/>
      <c r="BZ32" s="65">
        <v>36007</v>
      </c>
      <c r="CA32" s="56">
        <v>1</v>
      </c>
      <c r="CB32" s="56">
        <v>1</v>
      </c>
      <c r="CC32" s="56"/>
      <c r="CD32" s="65">
        <v>36743</v>
      </c>
      <c r="CE32" s="56">
        <v>1</v>
      </c>
      <c r="CF32" s="56">
        <v>1</v>
      </c>
      <c r="CG32" s="56"/>
      <c r="CH32" s="65">
        <v>35933</v>
      </c>
      <c r="CI32" s="56">
        <v>1</v>
      </c>
      <c r="CJ32" s="56">
        <v>1</v>
      </c>
      <c r="CK32" s="56"/>
      <c r="CL32" s="65">
        <v>36391</v>
      </c>
    </row>
    <row r="33" spans="2:90">
      <c r="B33" s="8"/>
      <c r="P33"/>
      <c r="Q33" s="16"/>
      <c r="R33"/>
      <c r="AE33" s="18"/>
      <c r="AF33" s="13"/>
      <c r="AG33" s="13"/>
      <c r="AH33" s="13"/>
      <c r="AI33" s="13"/>
      <c r="AK33">
        <v>32</v>
      </c>
      <c r="AL33" t="s">
        <v>491</v>
      </c>
      <c r="AM33" t="s">
        <v>367</v>
      </c>
      <c r="AN33" t="str">
        <f t="shared" si="1"/>
        <v>Dominic</v>
      </c>
      <c r="AO33" cm="1">
        <f t="array" ref="AO33">INDEX($AY$2:$CL$101,$AK33,($AV$2-1)*4+1)</f>
        <v>1</v>
      </c>
      <c r="AP33" cm="1">
        <f t="array" ref="AP33">INDEX($AY$2:$CL$101,$AK33,($AV$2-1)*4+2)</f>
        <v>0</v>
      </c>
      <c r="AQ33" cm="1">
        <f t="array" ref="AQ33">INDEX($AY$2:$CL$101,$AK33,($AV$2-1)*4+3)</f>
        <v>3.4148123623931705</v>
      </c>
      <c r="AR33" s="1">
        <f t="shared" ref="AR33:AR44" si="9">AQ33</f>
        <v>3.4148123623931705</v>
      </c>
      <c r="AS33" cm="1">
        <f t="array" ref="AS33">INDEX($AY$2:$CL$101,$AK33,($AV$2-1)*4+4)</f>
        <v>37432</v>
      </c>
      <c r="AT33" s="53" t="str">
        <f t="shared" si="2"/>
        <v>432</v>
      </c>
      <c r="AY33" s="56">
        <v>1</v>
      </c>
      <c r="AZ33" s="56">
        <v>0</v>
      </c>
      <c r="BA33" s="56">
        <v>3.4148123623931705</v>
      </c>
      <c r="BB33" s="65">
        <v>37432</v>
      </c>
      <c r="BC33" s="56">
        <v>0</v>
      </c>
      <c r="BD33" s="56">
        <v>1</v>
      </c>
      <c r="BE33" s="56">
        <v>2.7894540016586094</v>
      </c>
      <c r="BF33" s="65">
        <v>37599</v>
      </c>
      <c r="BG33" s="56">
        <v>0</v>
      </c>
      <c r="BH33" s="56">
        <v>1</v>
      </c>
      <c r="BI33" s="56">
        <v>3.3791395086228353</v>
      </c>
      <c r="BJ33" s="65">
        <v>35627</v>
      </c>
      <c r="BK33" s="56">
        <v>0</v>
      </c>
      <c r="BL33" s="56">
        <v>1</v>
      </c>
      <c r="BM33" s="56">
        <v>2.5688960456101064</v>
      </c>
      <c r="BN33" s="65">
        <v>36157</v>
      </c>
      <c r="BO33" s="56">
        <v>0</v>
      </c>
      <c r="BP33" s="56">
        <v>0</v>
      </c>
      <c r="BQ33" s="56">
        <v>2.5429971503273778</v>
      </c>
      <c r="BR33" s="65">
        <v>36498</v>
      </c>
      <c r="BS33" s="56">
        <v>0</v>
      </c>
      <c r="BT33" s="56">
        <v>0</v>
      </c>
      <c r="BU33" s="56">
        <v>3.3023656908748062</v>
      </c>
      <c r="BV33" s="65">
        <v>38340</v>
      </c>
      <c r="BW33" s="56">
        <v>0</v>
      </c>
      <c r="BX33" s="56">
        <v>1</v>
      </c>
      <c r="BY33" s="56">
        <v>3.7771907005421315</v>
      </c>
      <c r="BZ33" s="65">
        <v>36316</v>
      </c>
      <c r="CA33" s="56">
        <v>0</v>
      </c>
      <c r="CB33" s="56">
        <v>1</v>
      </c>
      <c r="CC33" s="56">
        <v>2.3911367224829165</v>
      </c>
      <c r="CD33" s="65">
        <v>37465</v>
      </c>
      <c r="CE33" s="56">
        <v>1</v>
      </c>
      <c r="CF33" s="56">
        <v>0</v>
      </c>
      <c r="CG33" s="56">
        <v>2.5231341875990689</v>
      </c>
      <c r="CH33" s="65">
        <v>37497</v>
      </c>
      <c r="CI33" s="56">
        <v>0</v>
      </c>
      <c r="CJ33" s="56">
        <v>1</v>
      </c>
      <c r="CK33" s="56">
        <v>3.4371220080850997</v>
      </c>
      <c r="CL33" s="65">
        <v>38457</v>
      </c>
    </row>
    <row r="34" spans="2:90">
      <c r="B34" s="8"/>
      <c r="P34"/>
      <c r="Q34" s="16"/>
      <c r="R34"/>
      <c r="AE34" s="18"/>
      <c r="AF34" s="13"/>
      <c r="AG34" s="13"/>
      <c r="AH34" s="13"/>
      <c r="AI34" s="13"/>
      <c r="AK34">
        <v>33</v>
      </c>
      <c r="AL34" t="s">
        <v>86</v>
      </c>
      <c r="AM34" t="s">
        <v>369</v>
      </c>
      <c r="AN34" t="str">
        <f t="shared" si="1"/>
        <v>Cyrus</v>
      </c>
      <c r="AO34" cm="1">
        <f t="array" ref="AO34">INDEX($AY$2:$CL$101,$AK34,($AV$2-1)*4+1)</f>
        <v>1</v>
      </c>
      <c r="AP34" cm="1">
        <f t="array" ref="AP34">INDEX($AY$2:$CL$101,$AK34,($AV$2-1)*4+2)</f>
        <v>0</v>
      </c>
      <c r="AQ34" cm="1">
        <f t="array" ref="AQ34">INDEX($AY$2:$CL$101,$AK34,($AV$2-1)*4+3)</f>
        <v>2.8811058170623181</v>
      </c>
      <c r="AR34" s="1">
        <f t="shared" si="9"/>
        <v>2.8811058170623181</v>
      </c>
      <c r="AS34" cm="1">
        <f t="array" ref="AS34">INDEX($AY$2:$CL$101,$AK34,($AV$2-1)*4+4)</f>
        <v>37102</v>
      </c>
      <c r="AT34" s="53" t="str">
        <f t="shared" si="2"/>
        <v>102</v>
      </c>
      <c r="AY34" s="56">
        <v>1</v>
      </c>
      <c r="AZ34" s="56">
        <v>0</v>
      </c>
      <c r="BA34" s="56">
        <v>2.8811058170623181</v>
      </c>
      <c r="BB34" s="65">
        <v>37102</v>
      </c>
      <c r="BC34" s="56">
        <v>0</v>
      </c>
      <c r="BD34" s="56">
        <v>0</v>
      </c>
      <c r="BE34" s="56">
        <v>2.8811058170623181</v>
      </c>
      <c r="BF34" s="65">
        <v>35585</v>
      </c>
      <c r="BG34" s="56">
        <v>1</v>
      </c>
      <c r="BH34" s="56">
        <v>0</v>
      </c>
      <c r="BI34" s="56">
        <v>2.8811058170623181</v>
      </c>
      <c r="BJ34" s="65">
        <v>37940</v>
      </c>
      <c r="BK34" s="56">
        <v>0</v>
      </c>
      <c r="BL34" s="56">
        <v>0</v>
      </c>
      <c r="BM34" s="56">
        <v>2.8811058170623181</v>
      </c>
      <c r="BN34" s="65">
        <v>36382</v>
      </c>
      <c r="BO34" s="56">
        <v>0</v>
      </c>
      <c r="BP34" s="56">
        <v>1</v>
      </c>
      <c r="BQ34" s="56">
        <v>2.8811058170623181</v>
      </c>
      <c r="BR34" s="65">
        <v>36367</v>
      </c>
      <c r="BS34" s="56">
        <v>1</v>
      </c>
      <c r="BT34" s="56">
        <v>1</v>
      </c>
      <c r="BU34" s="56">
        <v>2.8811058170623181</v>
      </c>
      <c r="BV34" s="65">
        <v>35513</v>
      </c>
      <c r="BW34" s="56">
        <v>0</v>
      </c>
      <c r="BX34" s="56">
        <v>1</v>
      </c>
      <c r="BY34" s="56">
        <v>2.8811058170623181</v>
      </c>
      <c r="BZ34" s="65">
        <v>36700</v>
      </c>
      <c r="CA34" s="56">
        <v>1</v>
      </c>
      <c r="CB34" s="56">
        <v>1</v>
      </c>
      <c r="CC34" s="56">
        <v>2.8811058170623181</v>
      </c>
      <c r="CD34" s="65">
        <v>37959</v>
      </c>
      <c r="CE34" s="56">
        <v>1</v>
      </c>
      <c r="CF34" s="56">
        <v>0</v>
      </c>
      <c r="CG34" s="56">
        <v>2.8811058170623181</v>
      </c>
      <c r="CH34" s="65">
        <v>37503</v>
      </c>
      <c r="CI34" s="56">
        <v>1</v>
      </c>
      <c r="CJ34" s="56">
        <v>1</v>
      </c>
      <c r="CK34" s="56">
        <v>2.8811058170623181</v>
      </c>
      <c r="CL34" s="65">
        <v>36010</v>
      </c>
    </row>
    <row r="35" spans="2:90">
      <c r="B35" s="8"/>
      <c r="D35" s="2" t="s">
        <v>164</v>
      </c>
      <c r="AE35" s="18"/>
      <c r="AF35" s="13"/>
      <c r="AG35" s="13"/>
      <c r="AH35" s="13"/>
      <c r="AI35" s="13"/>
      <c r="AK35">
        <v>34</v>
      </c>
      <c r="AL35" t="s">
        <v>24</v>
      </c>
      <c r="AM35" t="s">
        <v>371</v>
      </c>
      <c r="AN35" t="str">
        <f t="shared" si="1"/>
        <v>Susan</v>
      </c>
      <c r="AO35" cm="1">
        <f t="array" ref="AO35">INDEX($AY$2:$CL$101,$AK35,($AV$2-1)*4+1)</f>
        <v>0</v>
      </c>
      <c r="AP35" cm="1">
        <f t="array" ref="AP35">INDEX($AY$2:$CL$101,$AK35,($AV$2-1)*4+2)</f>
        <v>0</v>
      </c>
      <c r="AQ35" cm="1">
        <f t="array" ref="AQ35">INDEX($AY$2:$CL$101,$AK35,($AV$2-1)*4+3)</f>
        <v>2.501484019080535</v>
      </c>
      <c r="AR35" s="1">
        <f t="shared" si="9"/>
        <v>2.501484019080535</v>
      </c>
      <c r="AS35" cm="1">
        <f t="array" ref="AS35">INDEX($AY$2:$CL$101,$AK35,($AV$2-1)*4+4)</f>
        <v>36528</v>
      </c>
      <c r="AT35" s="53" t="str">
        <f t="shared" si="2"/>
        <v>528</v>
      </c>
      <c r="AY35" s="56">
        <v>0</v>
      </c>
      <c r="AZ35" s="56">
        <v>0</v>
      </c>
      <c r="BA35" s="56">
        <v>2.501484019080535</v>
      </c>
      <c r="BB35" s="65">
        <v>36528</v>
      </c>
      <c r="BC35" s="56">
        <v>1</v>
      </c>
      <c r="BD35" s="56">
        <v>0</v>
      </c>
      <c r="BE35" s="56">
        <v>2.4670644753208331</v>
      </c>
      <c r="BF35" s="65">
        <v>35886</v>
      </c>
      <c r="BG35" s="56">
        <v>0</v>
      </c>
      <c r="BH35" s="56">
        <v>1</v>
      </c>
      <c r="BI35" s="56">
        <v>2.0095683994568088</v>
      </c>
      <c r="BJ35" s="65">
        <v>36023</v>
      </c>
      <c r="BK35" s="56">
        <v>0</v>
      </c>
      <c r="BL35" s="56">
        <v>1</v>
      </c>
      <c r="BM35" s="56">
        <v>3.5803204547538989</v>
      </c>
      <c r="BN35" s="65">
        <v>38367</v>
      </c>
      <c r="BO35" s="56">
        <v>0</v>
      </c>
      <c r="BP35" s="56">
        <v>0</v>
      </c>
      <c r="BQ35" s="56">
        <v>2.4827514447143866</v>
      </c>
      <c r="BR35" s="65">
        <v>37297</v>
      </c>
      <c r="BS35" s="56">
        <v>1</v>
      </c>
      <c r="BT35" s="56">
        <v>1</v>
      </c>
      <c r="BU35" s="56">
        <v>3.7015417552268151</v>
      </c>
      <c r="BV35" s="65">
        <v>37354</v>
      </c>
      <c r="BW35" s="56">
        <v>0</v>
      </c>
      <c r="BX35" s="56">
        <v>1</v>
      </c>
      <c r="BY35" s="56">
        <v>2.9984919966379833</v>
      </c>
      <c r="BZ35" s="65">
        <v>36809</v>
      </c>
      <c r="CA35" s="56">
        <v>1</v>
      </c>
      <c r="CB35" s="56">
        <v>1</v>
      </c>
      <c r="CC35" s="56">
        <v>3.3489811361293436</v>
      </c>
      <c r="CD35" s="65">
        <v>37037</v>
      </c>
      <c r="CE35" s="56">
        <v>0</v>
      </c>
      <c r="CF35" s="56">
        <v>0</v>
      </c>
      <c r="CG35" s="56">
        <v>2.5674753165581281</v>
      </c>
      <c r="CH35" s="65">
        <v>35573</v>
      </c>
      <c r="CI35" s="56">
        <v>0</v>
      </c>
      <c r="CJ35" s="56">
        <v>0</v>
      </c>
      <c r="CK35" s="56">
        <v>3.6984589121839555</v>
      </c>
      <c r="CL35" s="65">
        <v>37385</v>
      </c>
    </row>
    <row r="36" spans="2:90">
      <c r="B36" s="8"/>
      <c r="D36" s="3">
        <f>StudentIDCell</f>
        <v>0</v>
      </c>
      <c r="AE36" s="18"/>
      <c r="AF36" s="13"/>
      <c r="AG36" s="13"/>
      <c r="AH36" s="13"/>
      <c r="AI36" s="13"/>
      <c r="AK36">
        <v>35</v>
      </c>
      <c r="AL36" t="s">
        <v>10</v>
      </c>
      <c r="AM36" t="s">
        <v>373</v>
      </c>
      <c r="AN36" t="str">
        <f t="shared" si="1"/>
        <v>Gideon</v>
      </c>
      <c r="AO36" cm="1">
        <f t="array" ref="AO36">INDEX($AY$2:$CL$101,$AK36,($AV$2-1)*4+1)</f>
        <v>1</v>
      </c>
      <c r="AP36" cm="1">
        <f t="array" ref="AP36">INDEX($AY$2:$CL$101,$AK36,($AV$2-1)*4+2)</f>
        <v>1</v>
      </c>
      <c r="AQ36" cm="1">
        <f t="array" ref="AQ36">INDEX($AY$2:$CL$101,$AK36,($AV$2-1)*4+3)</f>
        <v>2.8811058170623181</v>
      </c>
      <c r="AR36" s="1">
        <f t="shared" si="9"/>
        <v>2.8811058170623181</v>
      </c>
      <c r="AS36" cm="1">
        <f t="array" ref="AS36">INDEX($AY$2:$CL$101,$AK36,($AV$2-1)*4+4)</f>
        <v>36819</v>
      </c>
      <c r="AT36" s="53" t="str">
        <f t="shared" si="2"/>
        <v>819</v>
      </c>
      <c r="AY36" s="56">
        <v>1</v>
      </c>
      <c r="AZ36" s="56">
        <v>1</v>
      </c>
      <c r="BA36" s="56">
        <v>2.8811058170623181</v>
      </c>
      <c r="BB36" s="65">
        <v>36819</v>
      </c>
      <c r="BC36" s="56">
        <v>0</v>
      </c>
      <c r="BD36" s="56">
        <v>1</v>
      </c>
      <c r="BE36" s="56">
        <v>2.8811058170623181</v>
      </c>
      <c r="BF36" s="65">
        <v>37162</v>
      </c>
      <c r="BG36" s="56">
        <v>1</v>
      </c>
      <c r="BH36" s="56">
        <v>0</v>
      </c>
      <c r="BI36" s="56">
        <v>2.8811058170623181</v>
      </c>
      <c r="BJ36" s="65">
        <v>37797</v>
      </c>
      <c r="BK36" s="56">
        <v>0</v>
      </c>
      <c r="BL36" s="56">
        <v>0</v>
      </c>
      <c r="BM36" s="56">
        <v>2.8811058170623181</v>
      </c>
      <c r="BN36" s="65">
        <v>36764</v>
      </c>
      <c r="BO36" s="56">
        <v>1</v>
      </c>
      <c r="BP36" s="56">
        <v>1</v>
      </c>
      <c r="BQ36" s="56">
        <v>2.8811058170623181</v>
      </c>
      <c r="BR36" s="65">
        <v>36789</v>
      </c>
      <c r="BS36" s="56">
        <v>1</v>
      </c>
      <c r="BT36" s="56">
        <v>0</v>
      </c>
      <c r="BU36" s="56">
        <v>2.8811058170623181</v>
      </c>
      <c r="BV36" s="65">
        <v>36605</v>
      </c>
      <c r="BW36" s="56">
        <v>0</v>
      </c>
      <c r="BX36" s="56">
        <v>1</v>
      </c>
      <c r="BY36" s="56">
        <v>2.8811058170623181</v>
      </c>
      <c r="BZ36" s="65">
        <v>38060</v>
      </c>
      <c r="CA36" s="56">
        <v>1</v>
      </c>
      <c r="CB36" s="56">
        <v>1</v>
      </c>
      <c r="CC36" s="56">
        <v>2.8811058170623181</v>
      </c>
      <c r="CD36" s="65">
        <v>37886</v>
      </c>
      <c r="CE36" s="56">
        <v>0</v>
      </c>
      <c r="CF36" s="56">
        <v>1</v>
      </c>
      <c r="CG36" s="56">
        <v>2.8811058170623181</v>
      </c>
      <c r="CH36" s="65">
        <v>38349</v>
      </c>
      <c r="CI36" s="56">
        <v>1</v>
      </c>
      <c r="CJ36" s="56">
        <v>1</v>
      </c>
      <c r="CK36" s="56">
        <v>2.8811058170623181</v>
      </c>
      <c r="CL36" s="65">
        <v>36746</v>
      </c>
    </row>
    <row r="37" spans="2:90">
      <c r="B37" s="8"/>
      <c r="D37" s="3">
        <f>StudentNameCell</f>
        <v>0</v>
      </c>
      <c r="AE37" s="18"/>
      <c r="AF37" s="13"/>
      <c r="AG37" s="13"/>
      <c r="AH37" s="13"/>
      <c r="AI37" s="13"/>
      <c r="AK37">
        <v>36</v>
      </c>
      <c r="AL37" t="s">
        <v>12</v>
      </c>
      <c r="AM37" t="s">
        <v>416</v>
      </c>
      <c r="AN37" t="str">
        <f t="shared" si="1"/>
        <v>Carol</v>
      </c>
      <c r="AO37" cm="1">
        <f t="array" ref="AO37">INDEX($AY$2:$CL$101,$AK37,($AV$2-1)*4+1)</f>
        <v>0</v>
      </c>
      <c r="AP37" cm="1">
        <f t="array" ref="AP37">INDEX($AY$2:$CL$101,$AK37,($AV$2-1)*4+2)</f>
        <v>1</v>
      </c>
      <c r="AQ37" cm="1">
        <f t="array" ref="AQ37">INDEX($AY$2:$CL$101,$AK37,($AV$2-1)*4+3)</f>
        <v>3.2796748436769603</v>
      </c>
      <c r="AR37" s="1">
        <f t="shared" si="9"/>
        <v>3.2796748436769603</v>
      </c>
      <c r="AS37" cm="1">
        <f t="array" ref="AS37">INDEX($AY$2:$CL$101,$AK37,($AV$2-1)*4+4)</f>
        <v>38341</v>
      </c>
      <c r="AT37" s="53" t="str">
        <f t="shared" si="2"/>
        <v>341</v>
      </c>
      <c r="AY37" s="56">
        <v>0</v>
      </c>
      <c r="AZ37" s="56">
        <v>1</v>
      </c>
      <c r="BA37" s="56">
        <v>3.2796748436769603</v>
      </c>
      <c r="BB37" s="65">
        <v>38341</v>
      </c>
      <c r="BC37" s="56">
        <v>1</v>
      </c>
      <c r="BD37" s="56">
        <v>0</v>
      </c>
      <c r="BE37" s="56">
        <v>3.4050863831337868</v>
      </c>
      <c r="BF37" s="65">
        <v>37137</v>
      </c>
      <c r="BG37" s="56">
        <v>1</v>
      </c>
      <c r="BH37" s="56">
        <v>1</v>
      </c>
      <c r="BI37" s="56">
        <v>2.4398493260184835</v>
      </c>
      <c r="BJ37" s="65">
        <v>35619</v>
      </c>
      <c r="BK37" s="56">
        <v>1</v>
      </c>
      <c r="BL37" s="56">
        <v>0</v>
      </c>
      <c r="BM37" s="56">
        <v>2.7511374159189841</v>
      </c>
      <c r="BN37" s="65">
        <v>37919</v>
      </c>
      <c r="BO37" s="56">
        <v>1</v>
      </c>
      <c r="BP37" s="56">
        <v>0</v>
      </c>
      <c r="BQ37" s="56">
        <v>2.893357690944911</v>
      </c>
      <c r="BR37" s="65">
        <v>36063</v>
      </c>
      <c r="BS37" s="56">
        <v>0</v>
      </c>
      <c r="BT37" s="56">
        <v>0</v>
      </c>
      <c r="BU37" s="56">
        <v>2.6986565335338639</v>
      </c>
      <c r="BV37" s="65">
        <v>38271</v>
      </c>
      <c r="BW37" s="56">
        <v>0</v>
      </c>
      <c r="BX37" s="56">
        <v>1</v>
      </c>
      <c r="BY37" s="56">
        <v>2.5874465795518589</v>
      </c>
      <c r="BZ37" s="65">
        <v>35932</v>
      </c>
      <c r="CA37" s="56">
        <v>1</v>
      </c>
      <c r="CB37" s="56">
        <v>1</v>
      </c>
      <c r="CC37" s="56">
        <v>3.0948801054316948</v>
      </c>
      <c r="CD37" s="65">
        <v>36366</v>
      </c>
      <c r="CE37" s="56">
        <v>1</v>
      </c>
      <c r="CF37" s="56">
        <v>0</v>
      </c>
      <c r="CG37" s="56">
        <v>3.7965809337954743</v>
      </c>
      <c r="CH37" s="65">
        <v>36789</v>
      </c>
      <c r="CI37" s="56">
        <v>1</v>
      </c>
      <c r="CJ37" s="56">
        <v>0</v>
      </c>
      <c r="CK37" s="56">
        <v>2.4042448280023678</v>
      </c>
      <c r="CL37" s="65">
        <v>36478</v>
      </c>
    </row>
    <row r="38" spans="2:90">
      <c r="B38" s="8"/>
      <c r="AE38" s="18"/>
      <c r="AF38" s="13"/>
      <c r="AG38" s="13"/>
      <c r="AH38" s="13"/>
      <c r="AJ38" s="13"/>
      <c r="AK38">
        <v>37</v>
      </c>
      <c r="AL38" t="s">
        <v>84</v>
      </c>
      <c r="AM38" t="s">
        <v>376</v>
      </c>
      <c r="AN38" t="str">
        <f t="shared" si="1"/>
        <v>Alaric</v>
      </c>
      <c r="AO38" cm="1">
        <f t="array" ref="AO38">INDEX($AY$2:$CL$101,$AK38,($AV$2-1)*4+1)</f>
        <v>1</v>
      </c>
      <c r="AP38" cm="1">
        <f t="array" ref="AP38">INDEX($AY$2:$CL$101,$AK38,($AV$2-1)*4+2)</f>
        <v>1</v>
      </c>
      <c r="AQ38" cm="1">
        <f t="array" ref="AQ38">INDEX($AY$2:$CL$101,$AK38,($AV$2-1)*4+3)</f>
        <v>2.8811058170623181</v>
      </c>
      <c r="AR38" s="1">
        <f t="shared" si="9"/>
        <v>2.8811058170623181</v>
      </c>
      <c r="AS38" cm="1">
        <f t="array" ref="AS38">INDEX($AY$2:$CL$101,$AK38,($AV$2-1)*4+4)</f>
        <v>36392</v>
      </c>
      <c r="AT38" s="53" t="str">
        <f t="shared" si="2"/>
        <v>392</v>
      </c>
      <c r="AY38" s="56">
        <v>1</v>
      </c>
      <c r="AZ38" s="56">
        <v>1</v>
      </c>
      <c r="BA38" s="56">
        <v>2.8811058170623181</v>
      </c>
      <c r="BB38" s="65">
        <v>36392</v>
      </c>
      <c r="BC38" s="56">
        <v>0</v>
      </c>
      <c r="BD38" s="56">
        <v>0</v>
      </c>
      <c r="BE38" s="56">
        <v>2.8811058170623181</v>
      </c>
      <c r="BF38" s="65">
        <v>38016</v>
      </c>
      <c r="BG38" s="56">
        <v>0</v>
      </c>
      <c r="BH38" s="56">
        <v>0</v>
      </c>
      <c r="BI38" s="56">
        <v>2.8811058170623181</v>
      </c>
      <c r="BJ38" s="65">
        <v>36706</v>
      </c>
      <c r="BK38" s="56">
        <v>1</v>
      </c>
      <c r="BL38" s="56">
        <v>1</v>
      </c>
      <c r="BM38" s="56">
        <v>2.8811058170623181</v>
      </c>
      <c r="BN38" s="65">
        <v>36808</v>
      </c>
      <c r="BO38" s="56">
        <v>1</v>
      </c>
      <c r="BP38" s="56">
        <v>0</v>
      </c>
      <c r="BQ38" s="56">
        <v>2.8811058170623181</v>
      </c>
      <c r="BR38" s="65">
        <v>37372</v>
      </c>
      <c r="BS38" s="56">
        <v>1</v>
      </c>
      <c r="BT38" s="56">
        <v>0</v>
      </c>
      <c r="BU38" s="56">
        <v>2.8811058170623181</v>
      </c>
      <c r="BV38" s="65">
        <v>37643</v>
      </c>
      <c r="BW38" s="56">
        <v>0</v>
      </c>
      <c r="BX38" s="56">
        <v>1</v>
      </c>
      <c r="BY38" s="56">
        <v>2.8811058170623181</v>
      </c>
      <c r="BZ38" s="65">
        <v>38169</v>
      </c>
      <c r="CA38" s="56">
        <v>0</v>
      </c>
      <c r="CB38" s="56">
        <v>1</v>
      </c>
      <c r="CC38" s="56">
        <v>2.8811058170623181</v>
      </c>
      <c r="CD38" s="65">
        <v>37720</v>
      </c>
      <c r="CE38" s="56">
        <v>1</v>
      </c>
      <c r="CF38" s="56">
        <v>0</v>
      </c>
      <c r="CG38" s="56">
        <v>2.8811058170623181</v>
      </c>
      <c r="CH38" s="65">
        <v>37313</v>
      </c>
      <c r="CI38" s="56">
        <v>1</v>
      </c>
      <c r="CJ38" s="56">
        <v>0</v>
      </c>
      <c r="CK38" s="56">
        <v>2.8811058170623181</v>
      </c>
      <c r="CL38" s="65">
        <v>37046</v>
      </c>
    </row>
    <row r="39" spans="2:90">
      <c r="B39" s="8"/>
      <c r="AE39" s="18"/>
      <c r="AF39" s="13"/>
      <c r="AG39" s="13"/>
      <c r="AH39" s="13"/>
      <c r="AI39" s="13"/>
      <c r="AK39">
        <v>38</v>
      </c>
      <c r="AL39" t="s">
        <v>92</v>
      </c>
      <c r="AM39" t="s">
        <v>378</v>
      </c>
      <c r="AN39" t="str">
        <f t="shared" si="1"/>
        <v>Keiran</v>
      </c>
      <c r="AO39" cm="1">
        <f t="array" ref="AO39">INDEX($AY$2:$CL$101,$AK39,($AV$2-1)*4+1)</f>
        <v>1</v>
      </c>
      <c r="AP39" cm="1">
        <f t="array" ref="AP39">INDEX($AY$2:$CL$101,$AK39,($AV$2-1)*4+2)</f>
        <v>0</v>
      </c>
      <c r="AQ39" cm="1">
        <f t="array" ref="AQ39">INDEX($AY$2:$CL$101,$AK39,($AV$2-1)*4+3)</f>
        <v>2.3946968033593663</v>
      </c>
      <c r="AR39" s="1">
        <f t="shared" si="9"/>
        <v>2.3946968033593663</v>
      </c>
      <c r="AS39" cm="1">
        <f t="array" ref="AS39">INDEX($AY$2:$CL$101,$AK39,($AV$2-1)*4+4)</f>
        <v>35829</v>
      </c>
      <c r="AT39" s="53" t="str">
        <f t="shared" si="2"/>
        <v>829</v>
      </c>
      <c r="AY39" s="56">
        <v>1</v>
      </c>
      <c r="AZ39" s="56">
        <v>0</v>
      </c>
      <c r="BA39" s="56">
        <v>2.3946968033593663</v>
      </c>
      <c r="BB39" s="65">
        <v>35829</v>
      </c>
      <c r="BC39" s="56">
        <v>0</v>
      </c>
      <c r="BD39" s="56">
        <v>1</v>
      </c>
      <c r="BE39" s="56">
        <v>3.3690580135985186</v>
      </c>
      <c r="BF39" s="65">
        <v>36727</v>
      </c>
      <c r="BG39" s="56">
        <v>1</v>
      </c>
      <c r="BH39" s="56">
        <v>1</v>
      </c>
      <c r="BI39" s="56">
        <v>3.5959943732092849</v>
      </c>
      <c r="BJ39" s="65">
        <v>37419</v>
      </c>
      <c r="BK39" s="56">
        <v>1</v>
      </c>
      <c r="BL39" s="56">
        <v>0</v>
      </c>
      <c r="BM39" s="56">
        <v>3.9720715439154439</v>
      </c>
      <c r="BN39" s="65">
        <v>37782</v>
      </c>
      <c r="BO39" s="56">
        <v>0</v>
      </c>
      <c r="BP39" s="56">
        <v>0</v>
      </c>
      <c r="BQ39" s="56">
        <v>2.6942621009319101</v>
      </c>
      <c r="BR39" s="65">
        <v>36622</v>
      </c>
      <c r="BS39" s="56">
        <v>0</v>
      </c>
      <c r="BT39" s="56">
        <v>0</v>
      </c>
      <c r="BU39" s="56">
        <v>2.5880321433372093</v>
      </c>
      <c r="BV39" s="65">
        <v>35545</v>
      </c>
      <c r="BW39" s="56">
        <v>0</v>
      </c>
      <c r="BX39" s="56">
        <v>1</v>
      </c>
      <c r="BY39" s="56">
        <v>2.9315846861845842</v>
      </c>
      <c r="BZ39" s="65">
        <v>38267</v>
      </c>
      <c r="CA39" s="56">
        <v>0</v>
      </c>
      <c r="CB39" s="56">
        <v>0</v>
      </c>
      <c r="CC39" s="56">
        <v>2.11073959701453</v>
      </c>
      <c r="CD39" s="65">
        <v>37669</v>
      </c>
      <c r="CE39" s="56">
        <v>1</v>
      </c>
      <c r="CF39" s="56">
        <v>1</v>
      </c>
      <c r="CG39" s="56">
        <v>2.8776636075760633</v>
      </c>
      <c r="CH39" s="65">
        <v>37959</v>
      </c>
      <c r="CI39" s="56">
        <v>1</v>
      </c>
      <c r="CJ39" s="56">
        <v>0</v>
      </c>
      <c r="CK39" s="56">
        <v>2.3362747291502779</v>
      </c>
      <c r="CL39" s="65">
        <v>36557</v>
      </c>
    </row>
    <row r="40" spans="2:90">
      <c r="B40" s="8"/>
      <c r="AD40" s="7"/>
      <c r="AE40" s="18"/>
      <c r="AF40" s="13"/>
      <c r="AG40" s="13"/>
      <c r="AH40" s="13"/>
      <c r="AI40" s="13"/>
      <c r="AK40">
        <v>39</v>
      </c>
      <c r="AL40" t="s">
        <v>66</v>
      </c>
      <c r="AM40" t="s">
        <v>492</v>
      </c>
      <c r="AN40" t="str">
        <f t="shared" si="1"/>
        <v>Shirley</v>
      </c>
      <c r="AO40" cm="1">
        <f t="array" ref="AO40">INDEX($AY$2:$CL$101,$AK40,($AV$2-1)*4+1)</f>
        <v>0</v>
      </c>
      <c r="AP40" cm="1">
        <f t="array" ref="AP40">INDEX($AY$2:$CL$101,$AK40,($AV$2-1)*4+2)</f>
        <v>0</v>
      </c>
      <c r="AQ40" cm="1">
        <f t="array" ref="AQ40">INDEX($AY$2:$CL$101,$AK40,($AV$2-1)*4+3)</f>
        <v>2.8811058170623181</v>
      </c>
      <c r="AR40" s="1">
        <f t="shared" si="9"/>
        <v>2.8811058170623181</v>
      </c>
      <c r="AS40" cm="1">
        <f t="array" ref="AS40">INDEX($AY$2:$CL$101,$AK40,($AV$2-1)*4+4)</f>
        <v>37294</v>
      </c>
      <c r="AT40" s="53" t="str">
        <f t="shared" si="2"/>
        <v>294</v>
      </c>
      <c r="AY40" s="56">
        <v>0</v>
      </c>
      <c r="AZ40" s="56">
        <v>0</v>
      </c>
      <c r="BA40" s="56">
        <v>2.8811058170623181</v>
      </c>
      <c r="BB40" s="65">
        <v>37294</v>
      </c>
      <c r="BC40" s="56">
        <v>0</v>
      </c>
      <c r="BD40" s="56">
        <v>1</v>
      </c>
      <c r="BE40" s="56">
        <v>2.8811058170623181</v>
      </c>
      <c r="BF40" s="65">
        <v>37399</v>
      </c>
      <c r="BG40" s="56">
        <v>0</v>
      </c>
      <c r="BH40" s="56">
        <v>0</v>
      </c>
      <c r="BI40" s="56">
        <v>2.8811058170623181</v>
      </c>
      <c r="BJ40" s="65">
        <v>36400</v>
      </c>
      <c r="BK40" s="56">
        <v>1</v>
      </c>
      <c r="BL40" s="56">
        <v>0</v>
      </c>
      <c r="BM40" s="56">
        <v>2.8811058170623181</v>
      </c>
      <c r="BN40" s="65">
        <v>38301</v>
      </c>
      <c r="BO40" s="56">
        <v>0</v>
      </c>
      <c r="BP40" s="56">
        <v>1</v>
      </c>
      <c r="BQ40" s="56">
        <v>2.8811058170623181</v>
      </c>
      <c r="BR40" s="65">
        <v>36991</v>
      </c>
      <c r="BS40" s="56">
        <v>0</v>
      </c>
      <c r="BT40" s="56">
        <v>1</v>
      </c>
      <c r="BU40" s="56">
        <v>2.8811058170623181</v>
      </c>
      <c r="BV40" s="65">
        <v>36220</v>
      </c>
      <c r="BW40" s="56">
        <v>1</v>
      </c>
      <c r="BX40" s="56">
        <v>0</v>
      </c>
      <c r="BY40" s="56">
        <v>2.8811058170623181</v>
      </c>
      <c r="BZ40" s="65">
        <v>36496</v>
      </c>
      <c r="CA40" s="56">
        <v>1</v>
      </c>
      <c r="CB40" s="56">
        <v>0</v>
      </c>
      <c r="CC40" s="56">
        <v>2.8811058170623181</v>
      </c>
      <c r="CD40" s="65">
        <v>37772</v>
      </c>
      <c r="CE40" s="56">
        <v>1</v>
      </c>
      <c r="CF40" s="56">
        <v>0</v>
      </c>
      <c r="CG40" s="56">
        <v>2.8811058170623181</v>
      </c>
      <c r="CH40" s="65">
        <v>35912</v>
      </c>
      <c r="CI40" s="56">
        <v>0</v>
      </c>
      <c r="CJ40" s="56">
        <v>0</v>
      </c>
      <c r="CK40" s="56">
        <v>2.8811058170623181</v>
      </c>
      <c r="CL40" s="65">
        <v>37368</v>
      </c>
    </row>
    <row r="41" spans="2:90">
      <c r="B41" s="8"/>
      <c r="AD41" s="7"/>
      <c r="AE41" s="7"/>
      <c r="AF41" s="7"/>
      <c r="AG41" s="7"/>
      <c r="AH41" s="7"/>
      <c r="AI41" s="7"/>
      <c r="AK41">
        <v>40</v>
      </c>
      <c r="AL41" t="s">
        <v>64</v>
      </c>
      <c r="AM41" t="s">
        <v>493</v>
      </c>
      <c r="AN41" t="str">
        <f t="shared" si="1"/>
        <v>Angela</v>
      </c>
      <c r="AO41" cm="1">
        <f t="array" ref="AO41">INDEX($AY$2:$CL$101,$AK41,($AV$2-1)*4+1)</f>
        <v>0</v>
      </c>
      <c r="AP41" cm="1">
        <f t="array" ref="AP41">INDEX($AY$2:$CL$101,$AK41,($AV$2-1)*4+2)</f>
        <v>1</v>
      </c>
      <c r="AQ41" cm="1">
        <f t="array" ref="AQ41">INDEX($AY$2:$CL$101,$AK41,($AV$2-1)*4+3)</f>
        <v>3.7102958035199807</v>
      </c>
      <c r="AR41" s="1">
        <f t="shared" si="9"/>
        <v>3.7102958035199807</v>
      </c>
      <c r="AS41" cm="1">
        <f t="array" ref="AS41">INDEX($AY$2:$CL$101,$AK41,($AV$2-1)*4+4)</f>
        <v>37929</v>
      </c>
      <c r="AT41" s="53" t="str">
        <f t="shared" si="2"/>
        <v>929</v>
      </c>
      <c r="AY41" s="56">
        <v>0</v>
      </c>
      <c r="AZ41" s="56">
        <v>1</v>
      </c>
      <c r="BA41" s="56">
        <v>3.7102958035199807</v>
      </c>
      <c r="BB41" s="65">
        <v>37929</v>
      </c>
      <c r="BC41" s="56">
        <v>0</v>
      </c>
      <c r="BD41" s="56">
        <v>0</v>
      </c>
      <c r="BE41" s="56">
        <v>3.7501726271741607</v>
      </c>
      <c r="BF41" s="65">
        <v>37532</v>
      </c>
      <c r="BG41" s="56">
        <v>0</v>
      </c>
      <c r="BH41" s="56">
        <v>1</v>
      </c>
      <c r="BI41" s="56">
        <v>2.4558119378042704</v>
      </c>
      <c r="BJ41" s="65">
        <v>37809</v>
      </c>
      <c r="BK41" s="56">
        <v>1</v>
      </c>
      <c r="BL41" s="56">
        <v>1</v>
      </c>
      <c r="BM41" s="56">
        <v>3.0948455527390593</v>
      </c>
      <c r="BN41" s="65">
        <v>36204</v>
      </c>
      <c r="BO41" s="56">
        <v>0</v>
      </c>
      <c r="BP41" s="56">
        <v>1</v>
      </c>
      <c r="BQ41" s="56">
        <v>2.2754752200513284</v>
      </c>
      <c r="BR41" s="65">
        <v>35546</v>
      </c>
      <c r="BS41" s="56">
        <v>1</v>
      </c>
      <c r="BT41" s="56">
        <v>0</v>
      </c>
      <c r="BU41" s="56">
        <v>2.5514152039479847</v>
      </c>
      <c r="BV41" s="65">
        <v>36924</v>
      </c>
      <c r="BW41" s="56">
        <v>1</v>
      </c>
      <c r="BX41" s="56">
        <v>0</v>
      </c>
      <c r="BY41" s="56">
        <v>2.8702141030237565</v>
      </c>
      <c r="BZ41" s="65">
        <v>36771</v>
      </c>
      <c r="CA41" s="56">
        <v>0</v>
      </c>
      <c r="CB41" s="56">
        <v>1</v>
      </c>
      <c r="CC41" s="56">
        <v>2.2046027333211078</v>
      </c>
      <c r="CD41" s="65">
        <v>37788</v>
      </c>
      <c r="CE41" s="56">
        <v>0</v>
      </c>
      <c r="CF41" s="56">
        <v>0</v>
      </c>
      <c r="CG41" s="56">
        <v>3.5369630576931312</v>
      </c>
      <c r="CH41" s="65">
        <v>38332</v>
      </c>
      <c r="CI41" s="56">
        <v>1</v>
      </c>
      <c r="CJ41" s="56">
        <v>0</v>
      </c>
      <c r="CK41" s="56">
        <v>2.8220655416848643</v>
      </c>
      <c r="CL41" s="65">
        <v>36212</v>
      </c>
    </row>
    <row r="42" spans="2:90">
      <c r="B42" s="8"/>
      <c r="AE42" s="18"/>
      <c r="AF42" s="13"/>
      <c r="AG42" s="13"/>
      <c r="AH42" s="13"/>
      <c r="AI42" s="13"/>
      <c r="AK42">
        <v>41</v>
      </c>
      <c r="AL42" t="s">
        <v>9</v>
      </c>
      <c r="AM42" t="s">
        <v>383</v>
      </c>
      <c r="AN42" t="str">
        <f t="shared" si="1"/>
        <v>Linda</v>
      </c>
      <c r="AO42" cm="1">
        <f t="array" ref="AO42">INDEX($AY$2:$CL$101,$AK42,($AV$2-1)*4+1)</f>
        <v>0</v>
      </c>
      <c r="AP42" cm="1">
        <f t="array" ref="AP42">INDEX($AY$2:$CL$101,$AK42,($AV$2-1)*4+2)</f>
        <v>1</v>
      </c>
      <c r="AQ42" cm="1">
        <f t="array" ref="AQ42">INDEX($AY$2:$CL$101,$AK42,($AV$2-1)*4+3)</f>
        <v>2.8811058170623181</v>
      </c>
      <c r="AR42" s="1">
        <f t="shared" si="9"/>
        <v>2.8811058170623181</v>
      </c>
      <c r="AS42" cm="1">
        <f t="array" ref="AS42">INDEX($AY$2:$CL$101,$AK42,($AV$2-1)*4+4)</f>
        <v>36060</v>
      </c>
      <c r="AT42" s="53" t="str">
        <f t="shared" si="2"/>
        <v>060</v>
      </c>
      <c r="AY42" s="56">
        <v>0</v>
      </c>
      <c r="AZ42" s="56">
        <v>1</v>
      </c>
      <c r="BA42" s="56">
        <v>2.8811058170623181</v>
      </c>
      <c r="BB42" s="65">
        <v>36060</v>
      </c>
      <c r="BC42" s="56">
        <v>0</v>
      </c>
      <c r="BD42" s="56">
        <v>0</v>
      </c>
      <c r="BE42" s="56">
        <v>2.8811058170623181</v>
      </c>
      <c r="BF42" s="65">
        <v>37774</v>
      </c>
      <c r="BG42" s="56">
        <v>0</v>
      </c>
      <c r="BH42" s="56">
        <v>0</v>
      </c>
      <c r="BI42" s="56">
        <v>2.8811058170623181</v>
      </c>
      <c r="BJ42" s="65">
        <v>37437</v>
      </c>
      <c r="BK42" s="56">
        <v>0</v>
      </c>
      <c r="BL42" s="56">
        <v>0</v>
      </c>
      <c r="BM42" s="56">
        <v>2.8811058170623181</v>
      </c>
      <c r="BN42" s="65">
        <v>36833</v>
      </c>
      <c r="BO42" s="56">
        <v>0</v>
      </c>
      <c r="BP42" s="56">
        <v>1</v>
      </c>
      <c r="BQ42" s="56">
        <v>2.8811058170623181</v>
      </c>
      <c r="BR42" s="65">
        <v>38365</v>
      </c>
      <c r="BS42" s="56">
        <v>0</v>
      </c>
      <c r="BT42" s="56">
        <v>1</v>
      </c>
      <c r="BU42" s="56">
        <v>2.8811058170623181</v>
      </c>
      <c r="BV42" s="65">
        <v>35922</v>
      </c>
      <c r="BW42" s="56">
        <v>1</v>
      </c>
      <c r="BX42" s="56">
        <v>1</v>
      </c>
      <c r="BY42" s="56">
        <v>2.8811058170623181</v>
      </c>
      <c r="BZ42" s="65">
        <v>37187</v>
      </c>
      <c r="CA42" s="56">
        <v>0</v>
      </c>
      <c r="CB42" s="56">
        <v>1</v>
      </c>
      <c r="CC42" s="56">
        <v>2.8811058170623181</v>
      </c>
      <c r="CD42" s="65">
        <v>36179</v>
      </c>
      <c r="CE42" s="56">
        <v>0</v>
      </c>
      <c r="CF42" s="56">
        <v>1</v>
      </c>
      <c r="CG42" s="56">
        <v>2.8811058170623181</v>
      </c>
      <c r="CH42" s="65">
        <v>36937</v>
      </c>
      <c r="CI42" s="56">
        <v>1</v>
      </c>
      <c r="CJ42" s="56">
        <v>1</v>
      </c>
      <c r="CK42" s="56">
        <v>2.8811058170623181</v>
      </c>
      <c r="CL42" s="65">
        <v>36539</v>
      </c>
    </row>
    <row r="43" spans="2:90">
      <c r="B43" s="8"/>
      <c r="AE43" s="18"/>
      <c r="AF43" s="13"/>
      <c r="AG43" s="13"/>
      <c r="AH43" s="13"/>
      <c r="AI43" s="13"/>
      <c r="AK43">
        <v>42</v>
      </c>
      <c r="AL43" t="s">
        <v>42</v>
      </c>
      <c r="AM43" t="s">
        <v>385</v>
      </c>
      <c r="AN43" t="str">
        <f t="shared" si="1"/>
        <v>Donna</v>
      </c>
      <c r="AO43" cm="1">
        <f t="array" ref="AO43">INDEX($AY$2:$CL$101,$AK43,($AV$2-1)*4+1)</f>
        <v>0</v>
      </c>
      <c r="AP43" cm="1">
        <f t="array" ref="AP43">INDEX($AY$2:$CL$101,$AK43,($AV$2-1)*4+2)</f>
        <v>1</v>
      </c>
      <c r="AQ43" cm="1">
        <f t="array" ref="AQ43">INDEX($AY$2:$CL$101,$AK43,($AV$2-1)*4+3)</f>
        <v>2.2891800011098313</v>
      </c>
      <c r="AR43" s="1">
        <f t="shared" si="9"/>
        <v>2.2891800011098313</v>
      </c>
      <c r="AS43" cm="1">
        <f t="array" ref="AS43">INDEX($AY$2:$CL$101,$AK43,($AV$2-1)*4+4)</f>
        <v>37323</v>
      </c>
      <c r="AT43" s="53" t="str">
        <f t="shared" si="2"/>
        <v>323</v>
      </c>
      <c r="AY43" s="56">
        <v>0</v>
      </c>
      <c r="AZ43" s="56">
        <v>1</v>
      </c>
      <c r="BA43" s="56">
        <v>2.2891800011098313</v>
      </c>
      <c r="BB43" s="65">
        <v>37323</v>
      </c>
      <c r="BC43" s="56">
        <v>1</v>
      </c>
      <c r="BD43" s="56">
        <v>1</v>
      </c>
      <c r="BE43" s="56">
        <v>2.9217767636304885</v>
      </c>
      <c r="BF43" s="65">
        <v>37638</v>
      </c>
      <c r="BG43" s="56">
        <v>1</v>
      </c>
      <c r="BH43" s="56">
        <v>1</v>
      </c>
      <c r="BI43" s="56">
        <v>2.5966168471996829</v>
      </c>
      <c r="BJ43" s="65">
        <v>37176</v>
      </c>
      <c r="BK43" s="56">
        <v>0</v>
      </c>
      <c r="BL43" s="56">
        <v>1</v>
      </c>
      <c r="BM43" s="56">
        <v>2.600398896742492</v>
      </c>
      <c r="BN43" s="65">
        <v>35556</v>
      </c>
      <c r="BO43" s="56">
        <v>0</v>
      </c>
      <c r="BP43" s="56">
        <v>1</v>
      </c>
      <c r="BQ43" s="56">
        <v>3.5599579413533977</v>
      </c>
      <c r="BR43" s="65">
        <v>36720</v>
      </c>
      <c r="BS43" s="56">
        <v>0</v>
      </c>
      <c r="BT43" s="56">
        <v>1</v>
      </c>
      <c r="BU43" s="56">
        <v>2.0788918298282479</v>
      </c>
      <c r="BV43" s="65">
        <v>36391</v>
      </c>
      <c r="BW43" s="56">
        <v>1</v>
      </c>
      <c r="BX43" s="56">
        <v>0</v>
      </c>
      <c r="BY43" s="56">
        <v>3.9867813740752642</v>
      </c>
      <c r="BZ43" s="65">
        <v>37732</v>
      </c>
      <c r="CA43" s="56">
        <v>1</v>
      </c>
      <c r="CB43" s="56">
        <v>0</v>
      </c>
      <c r="CC43" s="56">
        <v>2.148324088250023</v>
      </c>
      <c r="CD43" s="65">
        <v>36878</v>
      </c>
      <c r="CE43" s="56">
        <v>0</v>
      </c>
      <c r="CF43" s="56">
        <v>0</v>
      </c>
      <c r="CG43" s="56">
        <v>3.2947954236397652</v>
      </c>
      <c r="CH43" s="65">
        <v>36432</v>
      </c>
      <c r="CI43" s="56">
        <v>0</v>
      </c>
      <c r="CJ43" s="56">
        <v>0</v>
      </c>
      <c r="CK43" s="56">
        <v>2.0796389251376945</v>
      </c>
      <c r="CL43" s="65">
        <v>36938</v>
      </c>
    </row>
    <row r="44" spans="2:90">
      <c r="B44" s="8"/>
      <c r="AE44" s="18"/>
      <c r="AF44" s="13"/>
      <c r="AG44" s="13"/>
      <c r="AH44" s="13"/>
      <c r="AI44" s="13"/>
      <c r="AK44">
        <v>43</v>
      </c>
      <c r="AL44" t="s">
        <v>90</v>
      </c>
      <c r="AM44" t="s">
        <v>494</v>
      </c>
      <c r="AN44" t="str">
        <f t="shared" si="1"/>
        <v>Maria</v>
      </c>
      <c r="AO44" cm="1">
        <f t="array" ref="AO44">INDEX($AY$2:$CL$101,$AK44,($AV$2-1)*4+1)</f>
        <v>0</v>
      </c>
      <c r="AP44" cm="1">
        <f t="array" ref="AP44">INDEX($AY$2:$CL$101,$AK44,($AV$2-1)*4+2)</f>
        <v>0</v>
      </c>
      <c r="AQ44" cm="1">
        <f t="array" ref="AQ44">INDEX($AY$2:$CL$101,$AK44,($AV$2-1)*4+3)</f>
        <v>2.8811058170623181</v>
      </c>
      <c r="AR44" s="1">
        <f t="shared" si="9"/>
        <v>2.8811058170623181</v>
      </c>
      <c r="AS44" cm="1">
        <f t="array" ref="AS44">INDEX($AY$2:$CL$101,$AK44,($AV$2-1)*4+4)</f>
        <v>37191</v>
      </c>
      <c r="AT44" s="53" t="str">
        <f t="shared" si="2"/>
        <v>191</v>
      </c>
      <c r="AY44" s="56">
        <v>0</v>
      </c>
      <c r="AZ44" s="56">
        <v>0</v>
      </c>
      <c r="BA44" s="56">
        <v>2.8811058170623181</v>
      </c>
      <c r="BB44" s="65">
        <v>37191</v>
      </c>
      <c r="BC44" s="56">
        <v>0</v>
      </c>
      <c r="BD44" s="56">
        <v>1</v>
      </c>
      <c r="BE44" s="56">
        <v>2.8811058170623181</v>
      </c>
      <c r="BF44" s="65">
        <v>35883</v>
      </c>
      <c r="BG44" s="56">
        <v>0</v>
      </c>
      <c r="BH44" s="56">
        <v>0</v>
      </c>
      <c r="BI44" s="56">
        <v>2.8811058170623181</v>
      </c>
      <c r="BJ44" s="65">
        <v>36686</v>
      </c>
      <c r="BK44" s="56">
        <v>1</v>
      </c>
      <c r="BL44" s="56">
        <v>0</v>
      </c>
      <c r="BM44" s="56">
        <v>2.8811058170623181</v>
      </c>
      <c r="BN44" s="65">
        <v>38000</v>
      </c>
      <c r="BO44" s="56">
        <v>1</v>
      </c>
      <c r="BP44" s="56">
        <v>1</v>
      </c>
      <c r="BQ44" s="56">
        <v>2.8811058170623181</v>
      </c>
      <c r="BR44" s="65">
        <v>37613</v>
      </c>
      <c r="BS44" s="56">
        <v>0</v>
      </c>
      <c r="BT44" s="56">
        <v>1</v>
      </c>
      <c r="BU44" s="56">
        <v>2.8811058170623181</v>
      </c>
      <c r="BV44" s="65">
        <v>36022</v>
      </c>
      <c r="BW44" s="56">
        <v>0</v>
      </c>
      <c r="BX44" s="56">
        <v>1</v>
      </c>
      <c r="BY44" s="56">
        <v>2.8811058170623181</v>
      </c>
      <c r="BZ44" s="65">
        <v>38312</v>
      </c>
      <c r="CA44" s="56">
        <v>0</v>
      </c>
      <c r="CB44" s="56">
        <v>1</v>
      </c>
      <c r="CC44" s="56">
        <v>2.8811058170623181</v>
      </c>
      <c r="CD44" s="65">
        <v>37930</v>
      </c>
      <c r="CE44" s="56">
        <v>1</v>
      </c>
      <c r="CF44" s="56">
        <v>1</v>
      </c>
      <c r="CG44" s="56">
        <v>2.8811058170623181</v>
      </c>
      <c r="CH44" s="65">
        <v>38123</v>
      </c>
      <c r="CI44" s="56">
        <v>0</v>
      </c>
      <c r="CJ44" s="56">
        <v>1</v>
      </c>
      <c r="CK44" s="56">
        <v>2.8811058170623181</v>
      </c>
      <c r="CL44" s="65">
        <v>36110</v>
      </c>
    </row>
    <row r="45" spans="2:90">
      <c r="B45" s="8"/>
      <c r="D45" s="7" t="s">
        <v>165</v>
      </c>
      <c r="F45" s="7" t="s">
        <v>166</v>
      </c>
      <c r="AE45" s="18"/>
      <c r="AF45" s="13"/>
      <c r="AG45" s="13"/>
      <c r="AH45" s="13"/>
      <c r="AI45" s="13"/>
      <c r="AK45">
        <v>44</v>
      </c>
      <c r="AL45" t="s">
        <v>14</v>
      </c>
      <c r="AM45" t="s">
        <v>388</v>
      </c>
      <c r="AN45" t="str">
        <f t="shared" si="1"/>
        <v>Rhett</v>
      </c>
      <c r="AO45" cm="1">
        <f t="array" ref="AO45">INDEX($AY$2:$CL$101,$AK45,($AV$2-1)*4+1)</f>
        <v>1</v>
      </c>
      <c r="AP45" cm="1">
        <f t="array" ref="AP45">INDEX($AY$2:$CL$101,$AK45,($AV$2-1)*4+2)</f>
        <v>1</v>
      </c>
      <c r="AQ45"/>
      <c r="AR45" s="1">
        <f t="shared" ref="AR45:AR53" si="10">AVERAGE($AQ$2:$AQ$101)</f>
        <v>3.0545838598437989</v>
      </c>
      <c r="AS45" cm="1">
        <f t="array" ref="AS45">INDEX($AY$2:$CL$101,$AK45,($AV$2-1)*4+4)</f>
        <v>35648</v>
      </c>
      <c r="AT45" s="53" t="str">
        <f t="shared" si="2"/>
        <v>648</v>
      </c>
      <c r="AY45" s="56">
        <v>1</v>
      </c>
      <c r="AZ45" s="56">
        <v>1</v>
      </c>
      <c r="BA45" s="56"/>
      <c r="BB45" s="65">
        <v>35648</v>
      </c>
      <c r="BC45" s="56">
        <v>1</v>
      </c>
      <c r="BD45" s="56">
        <v>1</v>
      </c>
      <c r="BE45" s="56"/>
      <c r="BF45" s="65">
        <v>37958</v>
      </c>
      <c r="BG45" s="56">
        <v>0</v>
      </c>
      <c r="BH45" s="56">
        <v>0</v>
      </c>
      <c r="BI45" s="56"/>
      <c r="BJ45" s="65">
        <v>37983</v>
      </c>
      <c r="BK45" s="56">
        <v>0</v>
      </c>
      <c r="BL45" s="56">
        <v>1</v>
      </c>
      <c r="BM45" s="56"/>
      <c r="BN45" s="65">
        <v>37917</v>
      </c>
      <c r="BO45" s="56">
        <v>1</v>
      </c>
      <c r="BP45" s="56">
        <v>0</v>
      </c>
      <c r="BQ45" s="56"/>
      <c r="BR45" s="65">
        <v>37892</v>
      </c>
      <c r="BS45" s="56">
        <v>0</v>
      </c>
      <c r="BT45" s="56">
        <v>1</v>
      </c>
      <c r="BU45" s="56"/>
      <c r="BV45" s="65">
        <v>36509</v>
      </c>
      <c r="BW45" s="56">
        <v>0</v>
      </c>
      <c r="BX45" s="56">
        <v>0</v>
      </c>
      <c r="BY45" s="56"/>
      <c r="BZ45" s="65">
        <v>37329</v>
      </c>
      <c r="CA45" s="56">
        <v>1</v>
      </c>
      <c r="CB45" s="56">
        <v>1</v>
      </c>
      <c r="CC45" s="56"/>
      <c r="CD45" s="65">
        <v>36571</v>
      </c>
      <c r="CE45" s="56">
        <v>1</v>
      </c>
      <c r="CF45" s="56">
        <v>0</v>
      </c>
      <c r="CG45" s="56"/>
      <c r="CH45" s="65">
        <v>36542</v>
      </c>
      <c r="CI45" s="56">
        <v>0</v>
      </c>
      <c r="CJ45" s="56">
        <v>1</v>
      </c>
      <c r="CK45" s="56"/>
      <c r="CL45" s="65">
        <v>37453</v>
      </c>
    </row>
    <row r="46" spans="2:90">
      <c r="B46" s="8"/>
      <c r="D46" s="3" t="s">
        <v>167</v>
      </c>
      <c r="F46" s="3">
        <v>1</v>
      </c>
      <c r="AE46" s="18"/>
      <c r="AF46" s="13"/>
      <c r="AG46" s="13"/>
      <c r="AH46" s="13"/>
      <c r="AI46" s="13"/>
      <c r="AK46">
        <v>45</v>
      </c>
      <c r="AL46" t="s">
        <v>54</v>
      </c>
      <c r="AM46" t="s">
        <v>390</v>
      </c>
      <c r="AN46" t="str">
        <f t="shared" si="1"/>
        <v>Jason</v>
      </c>
      <c r="AO46" cm="1">
        <f t="array" ref="AO46">INDEX($AY$2:$CL$101,$AK46,($AV$2-1)*4+1)</f>
        <v>0</v>
      </c>
      <c r="AP46" cm="1">
        <f t="array" ref="AP46">INDEX($AY$2:$CL$101,$AK46,($AV$2-1)*4+2)</f>
        <v>1</v>
      </c>
      <c r="AQ46"/>
      <c r="AR46" s="1">
        <f t="shared" si="10"/>
        <v>3.0545838598437989</v>
      </c>
      <c r="AS46" cm="1">
        <f t="array" ref="AS46">INDEX($AY$2:$CL$101,$AK46,($AV$2-1)*4+4)</f>
        <v>37802</v>
      </c>
      <c r="AT46" s="53" t="str">
        <f t="shared" si="2"/>
        <v>802</v>
      </c>
      <c r="AY46" s="56">
        <v>0</v>
      </c>
      <c r="AZ46" s="56">
        <v>1</v>
      </c>
      <c r="BA46" s="56"/>
      <c r="BB46" s="65">
        <v>37802</v>
      </c>
      <c r="BC46" s="56">
        <v>0</v>
      </c>
      <c r="BD46" s="56">
        <v>0</v>
      </c>
      <c r="BE46" s="56"/>
      <c r="BF46" s="65">
        <v>37511</v>
      </c>
      <c r="BG46" s="56">
        <v>1</v>
      </c>
      <c r="BH46" s="56">
        <v>0</v>
      </c>
      <c r="BI46" s="56"/>
      <c r="BJ46" s="65">
        <v>37272</v>
      </c>
      <c r="BK46" s="56">
        <v>1</v>
      </c>
      <c r="BL46" s="56">
        <v>1</v>
      </c>
      <c r="BM46" s="56"/>
      <c r="BN46" s="65">
        <v>37260</v>
      </c>
      <c r="BO46" s="56">
        <v>1</v>
      </c>
      <c r="BP46" s="56">
        <v>0</v>
      </c>
      <c r="BQ46" s="56"/>
      <c r="BR46" s="65">
        <v>35721</v>
      </c>
      <c r="BS46" s="56">
        <v>0</v>
      </c>
      <c r="BT46" s="56">
        <v>0</v>
      </c>
      <c r="BU46" s="56"/>
      <c r="BV46" s="65">
        <v>36144</v>
      </c>
      <c r="BW46" s="56">
        <v>0</v>
      </c>
      <c r="BX46" s="56">
        <v>0</v>
      </c>
      <c r="BY46" s="56"/>
      <c r="BZ46" s="65">
        <v>37848</v>
      </c>
      <c r="CA46" s="56">
        <v>0</v>
      </c>
      <c r="CB46" s="56">
        <v>0</v>
      </c>
      <c r="CC46" s="56"/>
      <c r="CD46" s="65">
        <v>37058</v>
      </c>
      <c r="CE46" s="56">
        <v>1</v>
      </c>
      <c r="CF46" s="56">
        <v>0</v>
      </c>
      <c r="CG46" s="56"/>
      <c r="CH46" s="65">
        <v>35918</v>
      </c>
      <c r="CI46" s="56">
        <v>0</v>
      </c>
      <c r="CJ46" s="56">
        <v>1</v>
      </c>
      <c r="CK46" s="56"/>
      <c r="CL46" s="65">
        <v>38250</v>
      </c>
    </row>
    <row r="47" spans="2:90">
      <c r="B47" s="8"/>
      <c r="D47" s="3" t="s">
        <v>132</v>
      </c>
      <c r="AE47" s="18"/>
      <c r="AF47" s="13"/>
      <c r="AG47" s="13"/>
      <c r="AH47" s="13"/>
      <c r="AI47" s="13"/>
      <c r="AK47">
        <v>46</v>
      </c>
      <c r="AL47" t="s">
        <v>46</v>
      </c>
      <c r="AM47" t="s">
        <v>391</v>
      </c>
      <c r="AN47" t="str">
        <f t="shared" si="1"/>
        <v>Nathan</v>
      </c>
      <c r="AO47" cm="1">
        <f t="array" ref="AO47">INDEX($AY$2:$CL$101,$AK47,($AV$2-1)*4+1)</f>
        <v>1</v>
      </c>
      <c r="AP47" cm="1">
        <f t="array" ref="AP47">INDEX($AY$2:$CL$101,$AK47,($AV$2-1)*4+2)</f>
        <v>0</v>
      </c>
      <c r="AQ47"/>
      <c r="AR47" s="1">
        <f t="shared" si="10"/>
        <v>3.0545838598437989</v>
      </c>
      <c r="AS47" cm="1">
        <f t="array" ref="AS47">INDEX($AY$2:$CL$101,$AK47,($AV$2-1)*4+4)</f>
        <v>37803</v>
      </c>
      <c r="AT47" s="53" t="str">
        <f t="shared" si="2"/>
        <v>803</v>
      </c>
      <c r="AY47" s="56">
        <v>1</v>
      </c>
      <c r="AZ47" s="56">
        <v>0</v>
      </c>
      <c r="BA47" s="56"/>
      <c r="BB47" s="65">
        <v>37803</v>
      </c>
      <c r="BC47" s="56">
        <v>1</v>
      </c>
      <c r="BD47" s="56">
        <v>0</v>
      </c>
      <c r="BE47" s="56"/>
      <c r="BF47" s="65">
        <v>36763</v>
      </c>
      <c r="BG47" s="56">
        <v>1</v>
      </c>
      <c r="BH47" s="56">
        <v>1</v>
      </c>
      <c r="BI47" s="56"/>
      <c r="BJ47" s="65">
        <v>38083</v>
      </c>
      <c r="BK47" s="56">
        <v>0</v>
      </c>
      <c r="BL47" s="56">
        <v>0</v>
      </c>
      <c r="BM47" s="56"/>
      <c r="BN47" s="65">
        <v>37951</v>
      </c>
      <c r="BO47" s="56">
        <v>1</v>
      </c>
      <c r="BP47" s="56">
        <v>1</v>
      </c>
      <c r="BQ47" s="56"/>
      <c r="BR47" s="65">
        <v>35719</v>
      </c>
      <c r="BS47" s="56">
        <v>1</v>
      </c>
      <c r="BT47" s="56">
        <v>0</v>
      </c>
      <c r="BU47" s="56"/>
      <c r="BV47" s="65">
        <v>38340</v>
      </c>
      <c r="BW47" s="56">
        <v>1</v>
      </c>
      <c r="BX47" s="56">
        <v>1</v>
      </c>
      <c r="BY47" s="56"/>
      <c r="BZ47" s="65">
        <v>37985</v>
      </c>
      <c r="CA47" s="56">
        <v>1</v>
      </c>
      <c r="CB47" s="56">
        <v>0</v>
      </c>
      <c r="CC47" s="56"/>
      <c r="CD47" s="65">
        <v>36727</v>
      </c>
      <c r="CE47" s="56">
        <v>1</v>
      </c>
      <c r="CF47" s="56">
        <v>0</v>
      </c>
      <c r="CG47" s="56"/>
      <c r="CH47" s="65">
        <v>35512</v>
      </c>
      <c r="CI47" s="56">
        <v>0</v>
      </c>
      <c r="CJ47" s="56">
        <v>1</v>
      </c>
      <c r="CK47" s="56"/>
      <c r="CL47" s="65">
        <v>36163</v>
      </c>
    </row>
    <row r="48" spans="2:90">
      <c r="B48" s="8"/>
      <c r="F48" s="7" t="s">
        <v>168</v>
      </c>
      <c r="AE48" s="18"/>
      <c r="AF48" s="13"/>
      <c r="AG48" s="13"/>
      <c r="AH48" s="13"/>
      <c r="AI48" s="13"/>
      <c r="AK48">
        <v>47</v>
      </c>
      <c r="AL48" t="s">
        <v>50</v>
      </c>
      <c r="AM48" t="s">
        <v>393</v>
      </c>
      <c r="AN48" t="str">
        <f t="shared" si="1"/>
        <v>Zachary</v>
      </c>
      <c r="AO48" cm="1">
        <f t="array" ref="AO48">INDEX($AY$2:$CL$101,$AK48,($AV$2-1)*4+1)</f>
        <v>1</v>
      </c>
      <c r="AP48" cm="1">
        <f t="array" ref="AP48">INDEX($AY$2:$CL$101,$AK48,($AV$2-1)*4+2)</f>
        <v>0</v>
      </c>
      <c r="AQ48"/>
      <c r="AR48" s="1">
        <f t="shared" si="10"/>
        <v>3.0545838598437989</v>
      </c>
      <c r="AS48" cm="1">
        <f t="array" ref="AS48">INDEX($AY$2:$CL$101,$AK48,($AV$2-1)*4+4)</f>
        <v>37859</v>
      </c>
      <c r="AT48" s="53" t="str">
        <f t="shared" si="2"/>
        <v>859</v>
      </c>
      <c r="AY48" s="56">
        <v>1</v>
      </c>
      <c r="AZ48" s="56">
        <v>0</v>
      </c>
      <c r="BA48" s="56"/>
      <c r="BB48" s="65">
        <v>37859</v>
      </c>
      <c r="BC48" s="56">
        <v>0</v>
      </c>
      <c r="BD48" s="56">
        <v>0</v>
      </c>
      <c r="BE48" s="56"/>
      <c r="BF48" s="65">
        <v>37270</v>
      </c>
      <c r="BG48" s="56">
        <v>1</v>
      </c>
      <c r="BH48" s="56">
        <v>0</v>
      </c>
      <c r="BI48" s="56"/>
      <c r="BJ48" s="65">
        <v>35878</v>
      </c>
      <c r="BK48" s="56">
        <v>1</v>
      </c>
      <c r="BL48" s="56">
        <v>1</v>
      </c>
      <c r="BM48" s="56"/>
      <c r="BN48" s="65">
        <v>38363</v>
      </c>
      <c r="BO48" s="56">
        <v>1</v>
      </c>
      <c r="BP48" s="56">
        <v>0</v>
      </c>
      <c r="BQ48" s="56"/>
      <c r="BR48" s="65">
        <v>37773</v>
      </c>
      <c r="BS48" s="56">
        <v>0</v>
      </c>
      <c r="BT48" s="56">
        <v>0</v>
      </c>
      <c r="BU48" s="56"/>
      <c r="BV48" s="65">
        <v>36087</v>
      </c>
      <c r="BW48" s="56">
        <v>1</v>
      </c>
      <c r="BX48" s="56">
        <v>0</v>
      </c>
      <c r="BY48" s="56"/>
      <c r="BZ48" s="65">
        <v>35980</v>
      </c>
      <c r="CA48" s="56">
        <v>1</v>
      </c>
      <c r="CB48" s="56">
        <v>0</v>
      </c>
      <c r="CC48" s="56"/>
      <c r="CD48" s="65">
        <v>38352</v>
      </c>
      <c r="CE48" s="56">
        <v>1</v>
      </c>
      <c r="CF48" s="56">
        <v>1</v>
      </c>
      <c r="CG48" s="56"/>
      <c r="CH48" s="65">
        <v>36661</v>
      </c>
      <c r="CI48" s="56">
        <v>0</v>
      </c>
      <c r="CJ48" s="56">
        <v>1</v>
      </c>
      <c r="CK48" s="56"/>
      <c r="CL48" s="65">
        <v>37028</v>
      </c>
    </row>
    <row r="49" spans="2:90">
      <c r="B49" s="8"/>
      <c r="D49" s="7" t="s">
        <v>169</v>
      </c>
      <c r="F49" s="3">
        <v>1</v>
      </c>
      <c r="AE49" s="18"/>
      <c r="AF49" s="13"/>
      <c r="AG49" s="13"/>
      <c r="AH49" s="13"/>
      <c r="AI49" s="13"/>
      <c r="AK49">
        <v>48</v>
      </c>
      <c r="AL49" t="s">
        <v>85</v>
      </c>
      <c r="AM49" t="s">
        <v>395</v>
      </c>
      <c r="AN49" t="str">
        <f t="shared" si="1"/>
        <v>Mateo</v>
      </c>
      <c r="AO49" cm="1">
        <f t="array" ref="AO49">INDEX($AY$2:$CL$101,$AK49,($AV$2-1)*4+1)</f>
        <v>1</v>
      </c>
      <c r="AP49" cm="1">
        <f t="array" ref="AP49">INDEX($AY$2:$CL$101,$AK49,($AV$2-1)*4+2)</f>
        <v>1</v>
      </c>
      <c r="AQ49"/>
      <c r="AR49" s="1">
        <f t="shared" si="10"/>
        <v>3.0545838598437989</v>
      </c>
      <c r="AS49" cm="1">
        <f t="array" ref="AS49">INDEX($AY$2:$CL$101,$AK49,($AV$2-1)*4+4)</f>
        <v>37163</v>
      </c>
      <c r="AT49" s="53" t="str">
        <f t="shared" si="2"/>
        <v>163</v>
      </c>
      <c r="AY49" s="56">
        <v>1</v>
      </c>
      <c r="AZ49" s="56">
        <v>1</v>
      </c>
      <c r="BA49" s="56"/>
      <c r="BB49" s="65">
        <v>37163</v>
      </c>
      <c r="BC49" s="56">
        <v>1</v>
      </c>
      <c r="BD49" s="56">
        <v>0</v>
      </c>
      <c r="BE49" s="56"/>
      <c r="BF49" s="65">
        <v>36153</v>
      </c>
      <c r="BG49" s="56">
        <v>1</v>
      </c>
      <c r="BH49" s="56">
        <v>0</v>
      </c>
      <c r="BI49" s="56"/>
      <c r="BJ49" s="65">
        <v>38447</v>
      </c>
      <c r="BK49" s="56">
        <v>0</v>
      </c>
      <c r="BL49" s="56">
        <v>1</v>
      </c>
      <c r="BM49" s="56"/>
      <c r="BN49" s="65">
        <v>36552</v>
      </c>
      <c r="BO49" s="56">
        <v>1</v>
      </c>
      <c r="BP49" s="56">
        <v>0</v>
      </c>
      <c r="BQ49" s="56"/>
      <c r="BR49" s="65">
        <v>36276</v>
      </c>
      <c r="BS49" s="56">
        <v>0</v>
      </c>
      <c r="BT49" s="56">
        <v>1</v>
      </c>
      <c r="BU49" s="56"/>
      <c r="BV49" s="65">
        <v>37321</v>
      </c>
      <c r="BW49" s="56">
        <v>1</v>
      </c>
      <c r="BX49" s="56">
        <v>0</v>
      </c>
      <c r="BY49" s="56"/>
      <c r="BZ49" s="65">
        <v>36406</v>
      </c>
      <c r="CA49" s="56">
        <v>1</v>
      </c>
      <c r="CB49" s="56">
        <v>0</v>
      </c>
      <c r="CC49" s="56"/>
      <c r="CD49" s="65">
        <v>37024</v>
      </c>
      <c r="CE49" s="56">
        <v>1</v>
      </c>
      <c r="CF49" s="56">
        <v>0</v>
      </c>
      <c r="CG49" s="56"/>
      <c r="CH49" s="65">
        <v>37263</v>
      </c>
      <c r="CI49" s="56">
        <v>0</v>
      </c>
      <c r="CJ49" s="56">
        <v>0</v>
      </c>
      <c r="CK49" s="56"/>
      <c r="CL49" s="65">
        <v>36596</v>
      </c>
    </row>
    <row r="50" spans="2:90">
      <c r="B50" s="8"/>
      <c r="D50" s="20" t="s">
        <v>170</v>
      </c>
      <c r="AE50" s="18"/>
      <c r="AF50" s="13"/>
      <c r="AG50" s="13"/>
      <c r="AH50" s="13"/>
      <c r="AI50" s="13"/>
      <c r="AK50">
        <v>49</v>
      </c>
      <c r="AL50" t="s">
        <v>32</v>
      </c>
      <c r="AM50" t="s">
        <v>396</v>
      </c>
      <c r="AN50" t="str">
        <f t="shared" si="1"/>
        <v>Apollo</v>
      </c>
      <c r="AO50" cm="1">
        <f t="array" ref="AO50">INDEX($AY$2:$CL$101,$AK50,($AV$2-1)*4+1)</f>
        <v>1</v>
      </c>
      <c r="AP50" cm="1">
        <f t="array" ref="AP50">INDEX($AY$2:$CL$101,$AK50,($AV$2-1)*4+2)</f>
        <v>1</v>
      </c>
      <c r="AQ50"/>
      <c r="AR50" s="1">
        <f t="shared" si="10"/>
        <v>3.0545838598437989</v>
      </c>
      <c r="AS50" cm="1">
        <f t="array" ref="AS50">INDEX($AY$2:$CL$101,$AK50,($AV$2-1)*4+4)</f>
        <v>37497</v>
      </c>
      <c r="AT50" s="53" t="str">
        <f t="shared" si="2"/>
        <v>497</v>
      </c>
      <c r="AY50" s="56">
        <v>1</v>
      </c>
      <c r="AZ50" s="56">
        <v>1</v>
      </c>
      <c r="BA50" s="56"/>
      <c r="BB50" s="65">
        <v>37497</v>
      </c>
      <c r="BC50" s="56">
        <v>1</v>
      </c>
      <c r="BD50" s="56">
        <v>1</v>
      </c>
      <c r="BE50" s="56"/>
      <c r="BF50" s="65">
        <v>35754</v>
      </c>
      <c r="BG50" s="56">
        <v>1</v>
      </c>
      <c r="BH50" s="56">
        <v>0</v>
      </c>
      <c r="BI50" s="56"/>
      <c r="BJ50" s="65">
        <v>35695</v>
      </c>
      <c r="BK50" s="56">
        <v>1</v>
      </c>
      <c r="BL50" s="56">
        <v>1</v>
      </c>
      <c r="BM50" s="56"/>
      <c r="BN50" s="65">
        <v>36957</v>
      </c>
      <c r="BO50" s="56">
        <v>0</v>
      </c>
      <c r="BP50" s="56">
        <v>0</v>
      </c>
      <c r="BQ50" s="56"/>
      <c r="BR50" s="65">
        <v>35530</v>
      </c>
      <c r="BS50" s="56">
        <v>0</v>
      </c>
      <c r="BT50" s="56">
        <v>1</v>
      </c>
      <c r="BU50" s="56"/>
      <c r="BV50" s="65">
        <v>37079</v>
      </c>
      <c r="BW50" s="56">
        <v>1</v>
      </c>
      <c r="BX50" s="56">
        <v>0</v>
      </c>
      <c r="BY50" s="56"/>
      <c r="BZ50" s="65">
        <v>36458</v>
      </c>
      <c r="CA50" s="56">
        <v>0</v>
      </c>
      <c r="CB50" s="56">
        <v>0</v>
      </c>
      <c r="CC50" s="56"/>
      <c r="CD50" s="65">
        <v>38384</v>
      </c>
      <c r="CE50" s="56">
        <v>1</v>
      </c>
      <c r="CF50" s="56">
        <v>1</v>
      </c>
      <c r="CG50" s="56"/>
      <c r="CH50" s="65">
        <v>35950</v>
      </c>
      <c r="CI50" s="56">
        <v>0</v>
      </c>
      <c r="CJ50" s="56">
        <v>0</v>
      </c>
      <c r="CK50" s="56"/>
      <c r="CL50" s="65">
        <v>35650</v>
      </c>
    </row>
    <row r="51" spans="2:90">
      <c r="B51" s="8"/>
      <c r="D51" t="s">
        <v>3</v>
      </c>
      <c r="F51" s="7" t="s">
        <v>171</v>
      </c>
      <c r="AE51" s="18"/>
      <c r="AF51" s="13"/>
      <c r="AG51" s="13"/>
      <c r="AH51" s="13"/>
      <c r="AI51" s="13"/>
      <c r="AK51">
        <v>50</v>
      </c>
      <c r="AL51" t="s">
        <v>38</v>
      </c>
      <c r="AM51" t="s">
        <v>398</v>
      </c>
      <c r="AN51" t="str">
        <f t="shared" si="1"/>
        <v>Chase</v>
      </c>
      <c r="AO51" cm="1">
        <f t="array" ref="AO51">INDEX($AY$2:$CL$101,$AK51,($AV$2-1)*4+1)</f>
        <v>1</v>
      </c>
      <c r="AP51" cm="1">
        <f t="array" ref="AP51">INDEX($AY$2:$CL$101,$AK51,($AV$2-1)*4+2)</f>
        <v>0</v>
      </c>
      <c r="AQ51"/>
      <c r="AR51" s="1">
        <f t="shared" si="10"/>
        <v>3.0545838598437989</v>
      </c>
      <c r="AS51" cm="1">
        <f t="array" ref="AS51">INDEX($AY$2:$CL$101,$AK51,($AV$2-1)*4+4)</f>
        <v>38242</v>
      </c>
      <c r="AT51" s="53" t="str">
        <f t="shared" si="2"/>
        <v>242</v>
      </c>
      <c r="AY51" s="56">
        <v>1</v>
      </c>
      <c r="AZ51" s="56">
        <v>0</v>
      </c>
      <c r="BA51" s="56"/>
      <c r="BB51" s="65">
        <v>38242</v>
      </c>
      <c r="BC51" s="56">
        <v>1</v>
      </c>
      <c r="BD51" s="56">
        <v>1</v>
      </c>
      <c r="BE51" s="56"/>
      <c r="BF51" s="65">
        <v>37956</v>
      </c>
      <c r="BG51" s="56">
        <v>1</v>
      </c>
      <c r="BH51" s="56">
        <v>1</v>
      </c>
      <c r="BI51" s="56"/>
      <c r="BJ51" s="65">
        <v>37300</v>
      </c>
      <c r="BK51" s="56">
        <v>1</v>
      </c>
      <c r="BL51" s="56">
        <v>0</v>
      </c>
      <c r="BM51" s="56"/>
      <c r="BN51" s="65">
        <v>35709</v>
      </c>
      <c r="BO51" s="56">
        <v>0</v>
      </c>
      <c r="BP51" s="56">
        <v>0</v>
      </c>
      <c r="BQ51" s="56"/>
      <c r="BR51" s="65">
        <v>35525</v>
      </c>
      <c r="BS51" s="56">
        <v>1</v>
      </c>
      <c r="BT51" s="56">
        <v>1</v>
      </c>
      <c r="BU51" s="56"/>
      <c r="BV51" s="65">
        <v>37301</v>
      </c>
      <c r="BW51" s="56">
        <v>0</v>
      </c>
      <c r="BX51" s="56">
        <v>0</v>
      </c>
      <c r="BY51" s="56"/>
      <c r="BZ51" s="65">
        <v>36001</v>
      </c>
      <c r="CA51" s="56">
        <v>0</v>
      </c>
      <c r="CB51" s="56">
        <v>0</v>
      </c>
      <c r="CC51" s="56"/>
      <c r="CD51" s="65">
        <v>37722</v>
      </c>
      <c r="CE51" s="56">
        <v>1</v>
      </c>
      <c r="CF51" s="56">
        <v>0</v>
      </c>
      <c r="CG51" s="56"/>
      <c r="CH51" s="65">
        <v>36167</v>
      </c>
      <c r="CI51" s="56">
        <v>1</v>
      </c>
      <c r="CJ51" s="56">
        <v>0</v>
      </c>
      <c r="CK51" s="56"/>
      <c r="CL51" s="65">
        <v>36827</v>
      </c>
    </row>
    <row r="52" spans="2:90">
      <c r="B52" s="8"/>
      <c r="F52" s="3">
        <v>2</v>
      </c>
      <c r="AE52" s="18"/>
      <c r="AF52" s="13"/>
      <c r="AG52" s="13"/>
      <c r="AH52" s="13"/>
      <c r="AI52" s="13"/>
      <c r="AK52">
        <v>51</v>
      </c>
      <c r="AL52" t="s">
        <v>27</v>
      </c>
      <c r="AM52" t="s">
        <v>406</v>
      </c>
      <c r="AN52" t="str">
        <f t="shared" si="1"/>
        <v>Thomas</v>
      </c>
      <c r="AO52" cm="1">
        <f t="array" ref="AO52">INDEX($AY$2:$CL$101,$AK52,($AV$2-1)*4+1)</f>
        <v>0</v>
      </c>
      <c r="AP52" cm="1">
        <f t="array" ref="AP52">INDEX($AY$2:$CL$101,$AK52,($AV$2-1)*4+2)</f>
        <v>0</v>
      </c>
      <c r="AQ52"/>
      <c r="AR52" s="1">
        <f t="shared" si="10"/>
        <v>3.0545838598437989</v>
      </c>
      <c r="AS52" cm="1">
        <f t="array" ref="AS52">INDEX($AY$2:$CL$101,$AK52,($AV$2-1)*4+4)</f>
        <v>36790</v>
      </c>
      <c r="AT52" s="53" t="str">
        <f t="shared" si="2"/>
        <v>790</v>
      </c>
      <c r="AY52" s="56">
        <v>0</v>
      </c>
      <c r="AZ52" s="56">
        <v>0</v>
      </c>
      <c r="BA52" s="56"/>
      <c r="BB52" s="65">
        <v>36790</v>
      </c>
      <c r="BC52" s="56">
        <v>1</v>
      </c>
      <c r="BD52" s="56">
        <v>1</v>
      </c>
      <c r="BE52" s="56"/>
      <c r="BF52" s="65">
        <v>36927</v>
      </c>
      <c r="BG52" s="56">
        <v>0</v>
      </c>
      <c r="BH52" s="56">
        <v>0</v>
      </c>
      <c r="BI52" s="56"/>
      <c r="BJ52" s="65">
        <v>38439</v>
      </c>
      <c r="BK52" s="56">
        <v>1</v>
      </c>
      <c r="BL52" s="56">
        <v>0</v>
      </c>
      <c r="BM52" s="56"/>
      <c r="BN52" s="65">
        <v>37059</v>
      </c>
      <c r="BO52" s="56">
        <v>0</v>
      </c>
      <c r="BP52" s="56">
        <v>1</v>
      </c>
      <c r="BQ52" s="56"/>
      <c r="BR52" s="65">
        <v>35912</v>
      </c>
      <c r="BS52" s="56">
        <v>1</v>
      </c>
      <c r="BT52" s="56">
        <v>1</v>
      </c>
      <c r="BU52" s="56"/>
      <c r="BV52" s="65">
        <v>37993</v>
      </c>
      <c r="BW52" s="56">
        <v>1</v>
      </c>
      <c r="BX52" s="56">
        <v>1</v>
      </c>
      <c r="BY52" s="56"/>
      <c r="BZ52" s="65">
        <v>36156</v>
      </c>
      <c r="CA52" s="56">
        <v>0</v>
      </c>
      <c r="CB52" s="56">
        <v>1</v>
      </c>
      <c r="CC52" s="56"/>
      <c r="CD52" s="65">
        <v>35575</v>
      </c>
      <c r="CE52" s="56">
        <v>0</v>
      </c>
      <c r="CF52" s="56">
        <v>1</v>
      </c>
      <c r="CG52" s="56"/>
      <c r="CH52" s="65">
        <v>37547</v>
      </c>
      <c r="CI52" s="56">
        <v>0</v>
      </c>
      <c r="CJ52" s="56">
        <v>1</v>
      </c>
      <c r="CK52" s="56"/>
      <c r="CL52" s="65">
        <v>35879</v>
      </c>
    </row>
    <row r="53" spans="2:90">
      <c r="B53" s="8"/>
      <c r="AE53" s="18"/>
      <c r="AF53" s="13"/>
      <c r="AG53" s="13"/>
      <c r="AH53" s="13"/>
      <c r="AI53" s="13"/>
      <c r="AK53">
        <v>52</v>
      </c>
      <c r="AL53" t="s">
        <v>96</v>
      </c>
      <c r="AM53" t="s">
        <v>481</v>
      </c>
      <c r="AN53" t="str">
        <f t="shared" si="1"/>
        <v>Brad</v>
      </c>
      <c r="AO53" cm="1">
        <f t="array" ref="AO53">INDEX($AY$2:$CL$101,$AK53,($AV$2-1)*4+1)</f>
        <v>0</v>
      </c>
      <c r="AP53" cm="1">
        <f t="array" ref="AP53">INDEX($AY$2:$CL$101,$AK53,($AV$2-1)*4+2)</f>
        <v>1</v>
      </c>
      <c r="AQ53"/>
      <c r="AR53" s="1">
        <f t="shared" si="10"/>
        <v>3.0545838598437989</v>
      </c>
      <c r="AS53" cm="1">
        <f t="array" ref="AS53">INDEX($AY$2:$CL$101,$AK53,($AV$2-1)*4+4)</f>
        <v>38188</v>
      </c>
      <c r="AT53" s="53" t="str">
        <f t="shared" si="2"/>
        <v>188</v>
      </c>
      <c r="AY53" s="56">
        <v>0</v>
      </c>
      <c r="AZ53" s="56">
        <v>1</v>
      </c>
      <c r="BA53" s="56"/>
      <c r="BB53" s="65">
        <v>38188</v>
      </c>
      <c r="BC53" s="56">
        <v>0</v>
      </c>
      <c r="BD53" s="56">
        <v>0</v>
      </c>
      <c r="BE53" s="56"/>
      <c r="BF53" s="65">
        <v>37812</v>
      </c>
      <c r="BG53" s="56">
        <v>0</v>
      </c>
      <c r="BH53" s="56">
        <v>0</v>
      </c>
      <c r="BI53" s="56"/>
      <c r="BJ53" s="65">
        <v>35840</v>
      </c>
      <c r="BK53" s="56">
        <v>0</v>
      </c>
      <c r="BL53" s="56">
        <v>1</v>
      </c>
      <c r="BM53" s="56"/>
      <c r="BN53" s="65">
        <v>38098</v>
      </c>
      <c r="BO53" s="56">
        <v>0</v>
      </c>
      <c r="BP53" s="56">
        <v>0</v>
      </c>
      <c r="BQ53" s="56"/>
      <c r="BR53" s="65">
        <v>36714</v>
      </c>
      <c r="BS53" s="56">
        <v>0</v>
      </c>
      <c r="BT53" s="56">
        <v>1</v>
      </c>
      <c r="BU53" s="56"/>
      <c r="BV53" s="65">
        <v>35841</v>
      </c>
      <c r="BW53" s="56">
        <v>0</v>
      </c>
      <c r="BX53" s="56">
        <v>0</v>
      </c>
      <c r="BY53" s="56"/>
      <c r="BZ53" s="65">
        <v>35551</v>
      </c>
      <c r="CA53" s="56">
        <v>1</v>
      </c>
      <c r="CB53" s="56">
        <v>0</v>
      </c>
      <c r="CC53" s="56"/>
      <c r="CD53" s="65">
        <v>35928</v>
      </c>
      <c r="CE53" s="56">
        <v>1</v>
      </c>
      <c r="CF53" s="56">
        <v>1</v>
      </c>
      <c r="CG53" s="56"/>
      <c r="CH53" s="65">
        <v>37558</v>
      </c>
      <c r="CI53" s="56">
        <v>1</v>
      </c>
      <c r="CJ53" s="56">
        <v>1</v>
      </c>
      <c r="CK53" s="56"/>
      <c r="CL53" s="65">
        <v>35820</v>
      </c>
    </row>
    <row r="54" spans="2:90">
      <c r="B54" s="8"/>
      <c r="AE54" s="18"/>
      <c r="AF54" s="13"/>
      <c r="AG54" s="13"/>
      <c r="AH54" s="13"/>
      <c r="AI54" s="13"/>
      <c r="AK54">
        <v>53</v>
      </c>
      <c r="AL54" t="s">
        <v>6</v>
      </c>
      <c r="AM54" t="s">
        <v>480</v>
      </c>
      <c r="AN54" t="str">
        <f t="shared" si="1"/>
        <v>Astrid</v>
      </c>
      <c r="AO54" cm="1">
        <f t="array" ref="AO54">INDEX($AY$2:$CL$101,$AK54,($AV$2-1)*4+1)</f>
        <v>1</v>
      </c>
      <c r="AP54" cm="1">
        <f t="array" ref="AP54">INDEX($AY$2:$CL$101,$AK54,($AV$2-1)*4+2)</f>
        <v>0</v>
      </c>
      <c r="AQ54" cm="1">
        <f t="array" ref="AQ54">INDEX($AY$2:$CL$101,$AK54,($AV$2-1)*4+3)</f>
        <v>3.5175886262067797</v>
      </c>
      <c r="AR54" s="1">
        <f t="shared" ref="AR54:AR63" si="11">AQ54</f>
        <v>3.5175886262067797</v>
      </c>
      <c r="AS54" cm="1">
        <f t="array" ref="AS54">INDEX($AY$2:$CL$101,$AK54,($AV$2-1)*4+4)</f>
        <v>37353</v>
      </c>
      <c r="AT54" s="53" t="str">
        <f t="shared" si="2"/>
        <v>353</v>
      </c>
      <c r="AY54" s="56">
        <v>1</v>
      </c>
      <c r="AZ54" s="56">
        <v>0</v>
      </c>
      <c r="BA54" s="56">
        <v>3.5175886262067797</v>
      </c>
      <c r="BB54" s="65">
        <v>37353</v>
      </c>
      <c r="BC54" s="56">
        <v>0</v>
      </c>
      <c r="BD54" s="56">
        <v>0</v>
      </c>
      <c r="BE54" s="56">
        <v>3.4313365034353112</v>
      </c>
      <c r="BF54" s="65">
        <v>36495</v>
      </c>
      <c r="BG54" s="56">
        <v>1</v>
      </c>
      <c r="BH54" s="56">
        <v>0</v>
      </c>
      <c r="BI54" s="56">
        <v>2.898215367665625</v>
      </c>
      <c r="BJ54" s="65">
        <v>36079</v>
      </c>
      <c r="BK54" s="56">
        <v>1</v>
      </c>
      <c r="BL54" s="56">
        <v>0</v>
      </c>
      <c r="BM54" s="56">
        <v>3.3277649239901064</v>
      </c>
      <c r="BN54" s="65">
        <v>37896</v>
      </c>
      <c r="BO54" s="56">
        <v>1</v>
      </c>
      <c r="BP54" s="56">
        <v>0</v>
      </c>
      <c r="BQ54" s="56">
        <v>2.0879233750209183</v>
      </c>
      <c r="BR54" s="65">
        <v>37770</v>
      </c>
      <c r="BS54" s="56">
        <v>0</v>
      </c>
      <c r="BT54" s="56">
        <v>1</v>
      </c>
      <c r="BU54" s="56">
        <v>3.4173373521377459</v>
      </c>
      <c r="BV54" s="65">
        <v>37866</v>
      </c>
      <c r="BW54" s="56">
        <v>0</v>
      </c>
      <c r="BX54" s="56">
        <v>0</v>
      </c>
      <c r="BY54" s="56">
        <v>3.5314755082259146</v>
      </c>
      <c r="BZ54" s="65">
        <v>36295</v>
      </c>
      <c r="CA54" s="56">
        <v>1</v>
      </c>
      <c r="CB54" s="56">
        <v>1</v>
      </c>
      <c r="CC54" s="56">
        <v>3.5580242086972937</v>
      </c>
      <c r="CD54" s="65">
        <v>38401</v>
      </c>
      <c r="CE54" s="56">
        <v>1</v>
      </c>
      <c r="CF54" s="56">
        <v>1</v>
      </c>
      <c r="CG54" s="56">
        <v>2.7111836430118164</v>
      </c>
      <c r="CH54" s="65">
        <v>36461</v>
      </c>
      <c r="CI54" s="56">
        <v>1</v>
      </c>
      <c r="CJ54" s="56">
        <v>1</v>
      </c>
      <c r="CK54" s="56">
        <v>3.8690387474759795</v>
      </c>
      <c r="CL54" s="65">
        <v>37537</v>
      </c>
    </row>
    <row r="55" spans="2:90">
      <c r="B55" s="8"/>
      <c r="D55" s="10" t="str">
        <f>"I finished the MECC Keyboarding Challenge in "&amp;Results!$E$16&amp;" seconds. Sign up for the Microsoft Excel Collegiate Challenge and give it a try! #ExcelEsports #ExcelAtEller"</f>
        <v>I finished the MECC Keyboarding Challenge in 492 seconds. Sign up for the Microsoft Excel Collegiate Challenge and give it a try! #ExcelEsports #ExcelAtEller</v>
      </c>
      <c r="AE55" s="18"/>
      <c r="AF55" s="13"/>
      <c r="AG55" s="13"/>
      <c r="AH55" s="13"/>
      <c r="AI55" s="13"/>
      <c r="AK55">
        <v>54</v>
      </c>
      <c r="AL55" t="s">
        <v>30</v>
      </c>
      <c r="AM55" t="s">
        <v>479</v>
      </c>
      <c r="AN55" t="str">
        <f t="shared" si="1"/>
        <v>Lucy</v>
      </c>
      <c r="AO55" cm="1">
        <f t="array" ref="AO55">INDEX($AY$2:$CL$101,$AK55,($AV$2-1)*4+1)</f>
        <v>1</v>
      </c>
      <c r="AP55" cm="1">
        <f t="array" ref="AP55">INDEX($AY$2:$CL$101,$AK55,($AV$2-1)*4+2)</f>
        <v>0</v>
      </c>
      <c r="AQ55" cm="1">
        <f t="array" ref="AQ55">INDEX($AY$2:$CL$101,$AK55,($AV$2-1)*4+3)</f>
        <v>2.8811058170623181</v>
      </c>
      <c r="AR55" s="1">
        <f t="shared" si="11"/>
        <v>2.8811058170623181</v>
      </c>
      <c r="AS55" cm="1">
        <f t="array" ref="AS55">INDEX($AY$2:$CL$101,$AK55,($AV$2-1)*4+4)</f>
        <v>38276</v>
      </c>
      <c r="AT55" s="53" t="str">
        <f t="shared" si="2"/>
        <v>276</v>
      </c>
      <c r="AY55" s="56">
        <v>1</v>
      </c>
      <c r="AZ55" s="56">
        <v>0</v>
      </c>
      <c r="BA55" s="56">
        <v>2.8811058170623181</v>
      </c>
      <c r="BB55" s="65">
        <v>38276</v>
      </c>
      <c r="BC55" s="56">
        <v>1</v>
      </c>
      <c r="BD55" s="56">
        <v>1</v>
      </c>
      <c r="BE55" s="56">
        <v>2.8811058170623181</v>
      </c>
      <c r="BF55" s="65">
        <v>38196</v>
      </c>
      <c r="BG55" s="56">
        <v>1</v>
      </c>
      <c r="BH55" s="56">
        <v>1</v>
      </c>
      <c r="BI55" s="56">
        <v>2.8811058170623181</v>
      </c>
      <c r="BJ55" s="65">
        <v>37920</v>
      </c>
      <c r="BK55" s="56">
        <v>0</v>
      </c>
      <c r="BL55" s="56">
        <v>1</v>
      </c>
      <c r="BM55" s="56">
        <v>2.8811058170623181</v>
      </c>
      <c r="BN55" s="65">
        <v>38144</v>
      </c>
      <c r="BO55" s="56">
        <v>1</v>
      </c>
      <c r="BP55" s="56">
        <v>1</v>
      </c>
      <c r="BQ55" s="56">
        <v>2.8811058170623181</v>
      </c>
      <c r="BR55" s="65">
        <v>35902</v>
      </c>
      <c r="BS55" s="56">
        <v>1</v>
      </c>
      <c r="BT55" s="56">
        <v>1</v>
      </c>
      <c r="BU55" s="56">
        <v>2.8811058170623181</v>
      </c>
      <c r="BV55" s="65">
        <v>37517</v>
      </c>
      <c r="BW55" s="56">
        <v>1</v>
      </c>
      <c r="BX55" s="56">
        <v>1</v>
      </c>
      <c r="BY55" s="56">
        <v>2.8811058170623181</v>
      </c>
      <c r="BZ55" s="65">
        <v>35552</v>
      </c>
      <c r="CA55" s="56">
        <v>1</v>
      </c>
      <c r="CB55" s="56">
        <v>1</v>
      </c>
      <c r="CC55" s="56">
        <v>2.8811058170623181</v>
      </c>
      <c r="CD55" s="65">
        <v>36199</v>
      </c>
      <c r="CE55" s="56">
        <v>1</v>
      </c>
      <c r="CF55" s="56">
        <v>1</v>
      </c>
      <c r="CG55" s="56">
        <v>2.8811058170623181</v>
      </c>
      <c r="CH55" s="65">
        <v>35702</v>
      </c>
      <c r="CI55" s="56">
        <v>0</v>
      </c>
      <c r="CJ55" s="56">
        <v>1</v>
      </c>
      <c r="CK55" s="56">
        <v>2.8811058170623181</v>
      </c>
      <c r="CL55" s="65">
        <v>36346</v>
      </c>
    </row>
    <row r="56" spans="2:90">
      <c r="D56" s="3">
        <f>LEN(D55)</f>
        <v>157</v>
      </c>
      <c r="AE56" s="18"/>
      <c r="AF56" s="13"/>
      <c r="AG56" s="13"/>
      <c r="AH56" s="13"/>
      <c r="AI56" s="13"/>
      <c r="AK56">
        <v>55</v>
      </c>
      <c r="AL56" t="s">
        <v>51</v>
      </c>
      <c r="AM56" t="s">
        <v>478</v>
      </c>
      <c r="AN56" t="str">
        <f t="shared" si="1"/>
        <v>Ruby</v>
      </c>
      <c r="AO56" cm="1">
        <f t="array" ref="AO56">INDEX($AY$2:$CL$101,$AK56,($AV$2-1)*4+1)</f>
        <v>1</v>
      </c>
      <c r="AP56" cm="1">
        <f t="array" ref="AP56">INDEX($AY$2:$CL$101,$AK56,($AV$2-1)*4+2)</f>
        <v>0</v>
      </c>
      <c r="AQ56" cm="1">
        <f t="array" ref="AQ56">INDEX($AY$2:$CL$101,$AK56,($AV$2-1)*4+3)</f>
        <v>3.9500839853954064</v>
      </c>
      <c r="AR56" s="1">
        <f t="shared" si="11"/>
        <v>3.9500839853954064</v>
      </c>
      <c r="AS56" cm="1">
        <f t="array" ref="AS56">INDEX($AY$2:$CL$101,$AK56,($AV$2-1)*4+4)</f>
        <v>35716</v>
      </c>
      <c r="AT56" s="53" t="str">
        <f t="shared" si="2"/>
        <v>716</v>
      </c>
      <c r="AY56" s="56">
        <v>1</v>
      </c>
      <c r="AZ56" s="56">
        <v>0</v>
      </c>
      <c r="BA56" s="56">
        <v>3.9500839853954064</v>
      </c>
      <c r="BB56" s="65">
        <v>35716</v>
      </c>
      <c r="BC56" s="56">
        <v>1</v>
      </c>
      <c r="BD56" s="56">
        <v>1</v>
      </c>
      <c r="BE56" s="56">
        <v>2.1115941029883749</v>
      </c>
      <c r="BF56" s="65">
        <v>36117</v>
      </c>
      <c r="BG56" s="56">
        <v>0</v>
      </c>
      <c r="BH56" s="56">
        <v>0</v>
      </c>
      <c r="BI56" s="56">
        <v>2.080615779930584</v>
      </c>
      <c r="BJ56" s="65">
        <v>36377</v>
      </c>
      <c r="BK56" s="56">
        <v>0</v>
      </c>
      <c r="BL56" s="56">
        <v>1</v>
      </c>
      <c r="BM56" s="56">
        <v>2.3424264782437212</v>
      </c>
      <c r="BN56" s="65">
        <v>35928</v>
      </c>
      <c r="BO56" s="56">
        <v>1</v>
      </c>
      <c r="BP56" s="56">
        <v>0</v>
      </c>
      <c r="BQ56" s="56">
        <v>2.8562887469916536</v>
      </c>
      <c r="BR56" s="65">
        <v>36882</v>
      </c>
      <c r="BS56" s="56">
        <v>1</v>
      </c>
      <c r="BT56" s="56">
        <v>0</v>
      </c>
      <c r="BU56" s="56">
        <v>2.2637330765855048</v>
      </c>
      <c r="BV56" s="65">
        <v>35942</v>
      </c>
      <c r="BW56" s="56">
        <v>1</v>
      </c>
      <c r="BX56" s="56">
        <v>0</v>
      </c>
      <c r="BY56" s="56">
        <v>2.5964812548403695</v>
      </c>
      <c r="BZ56" s="65">
        <v>36782</v>
      </c>
      <c r="CA56" s="56">
        <v>0</v>
      </c>
      <c r="CB56" s="56">
        <v>0</v>
      </c>
      <c r="CC56" s="56">
        <v>2.462208606118736</v>
      </c>
      <c r="CD56" s="65">
        <v>37287</v>
      </c>
      <c r="CE56" s="56">
        <v>1</v>
      </c>
      <c r="CF56" s="56">
        <v>0</v>
      </c>
      <c r="CG56" s="56">
        <v>3.8270711325612781</v>
      </c>
      <c r="CH56" s="65">
        <v>36929</v>
      </c>
      <c r="CI56" s="56">
        <v>1</v>
      </c>
      <c r="CJ56" s="56">
        <v>1</v>
      </c>
      <c r="CK56" s="56">
        <v>3.9304768855482504</v>
      </c>
      <c r="CL56" s="65">
        <v>36518</v>
      </c>
    </row>
    <row r="57" spans="2:90">
      <c r="AE57" s="18"/>
      <c r="AF57" s="13"/>
      <c r="AG57" s="13"/>
      <c r="AH57" s="13"/>
      <c r="AI57" s="13"/>
      <c r="AK57">
        <v>56</v>
      </c>
      <c r="AL57" t="s">
        <v>17</v>
      </c>
      <c r="AM57" t="s">
        <v>477</v>
      </c>
      <c r="AN57" t="str">
        <f t="shared" si="1"/>
        <v>James</v>
      </c>
      <c r="AO57" cm="1">
        <f t="array" ref="AO57">INDEX($AY$2:$CL$101,$AK57,($AV$2-1)*4+1)</f>
        <v>0</v>
      </c>
      <c r="AP57" cm="1">
        <f t="array" ref="AP57">INDEX($AY$2:$CL$101,$AK57,($AV$2-1)*4+2)</f>
        <v>0</v>
      </c>
      <c r="AQ57" cm="1">
        <f t="array" ref="AQ57">INDEX($AY$2:$CL$101,$AK57,($AV$2-1)*4+3)</f>
        <v>2.8811058170623181</v>
      </c>
      <c r="AR57" s="1">
        <f t="shared" si="11"/>
        <v>2.8811058170623181</v>
      </c>
      <c r="AS57" cm="1">
        <f t="array" ref="AS57">INDEX($AY$2:$CL$101,$AK57,($AV$2-1)*4+4)</f>
        <v>36988</v>
      </c>
      <c r="AT57" s="53" t="str">
        <f t="shared" si="2"/>
        <v>988</v>
      </c>
      <c r="AY57" s="56">
        <v>0</v>
      </c>
      <c r="AZ57" s="56">
        <v>0</v>
      </c>
      <c r="BA57" s="56">
        <v>2.8811058170623181</v>
      </c>
      <c r="BB57" s="65">
        <v>36988</v>
      </c>
      <c r="BC57" s="56">
        <v>1</v>
      </c>
      <c r="BD57" s="56">
        <v>1</v>
      </c>
      <c r="BE57" s="56">
        <v>2.8811058170623181</v>
      </c>
      <c r="BF57" s="65">
        <v>37939</v>
      </c>
      <c r="BG57" s="56">
        <v>0</v>
      </c>
      <c r="BH57" s="56">
        <v>0</v>
      </c>
      <c r="BI57" s="56">
        <v>2.8811058170623181</v>
      </c>
      <c r="BJ57" s="65">
        <v>37361</v>
      </c>
      <c r="BK57" s="56">
        <v>0</v>
      </c>
      <c r="BL57" s="56">
        <v>1</v>
      </c>
      <c r="BM57" s="56">
        <v>2.8811058170623181</v>
      </c>
      <c r="BN57" s="65">
        <v>38034</v>
      </c>
      <c r="BO57" s="56">
        <v>0</v>
      </c>
      <c r="BP57" s="56">
        <v>0</v>
      </c>
      <c r="BQ57" s="56">
        <v>2.8811058170623181</v>
      </c>
      <c r="BR57" s="65">
        <v>37507</v>
      </c>
      <c r="BS57" s="56">
        <v>0</v>
      </c>
      <c r="BT57" s="56">
        <v>1</v>
      </c>
      <c r="BU57" s="56">
        <v>2.8811058170623181</v>
      </c>
      <c r="BV57" s="65">
        <v>35818</v>
      </c>
      <c r="BW57" s="56">
        <v>1</v>
      </c>
      <c r="BX57" s="56">
        <v>0</v>
      </c>
      <c r="BY57" s="56">
        <v>2.8811058170623181</v>
      </c>
      <c r="BZ57" s="65">
        <v>35600</v>
      </c>
      <c r="CA57" s="56">
        <v>0</v>
      </c>
      <c r="CB57" s="56">
        <v>1</v>
      </c>
      <c r="CC57" s="56">
        <v>2.8811058170623181</v>
      </c>
      <c r="CD57" s="65">
        <v>35539</v>
      </c>
      <c r="CE57" s="56">
        <v>1</v>
      </c>
      <c r="CF57" s="56">
        <v>0</v>
      </c>
      <c r="CG57" s="56">
        <v>2.8811058170623181</v>
      </c>
      <c r="CH57" s="65">
        <v>37968</v>
      </c>
      <c r="CI57" s="56">
        <v>1</v>
      </c>
      <c r="CJ57" s="56">
        <v>1</v>
      </c>
      <c r="CK57" s="56">
        <v>2.8811058170623181</v>
      </c>
      <c r="CL57" s="65">
        <v>38357</v>
      </c>
    </row>
    <row r="58" spans="2:90">
      <c r="D58" s="21"/>
      <c r="AD58" s="7"/>
      <c r="AE58" s="7"/>
      <c r="AF58" s="7"/>
      <c r="AG58" s="7"/>
      <c r="AH58" s="7"/>
      <c r="AJ58" s="13"/>
      <c r="AK58">
        <v>57</v>
      </c>
      <c r="AL58" t="s">
        <v>101</v>
      </c>
      <c r="AM58" t="s">
        <v>476</v>
      </c>
      <c r="AN58" t="str">
        <f t="shared" si="1"/>
        <v>Peter</v>
      </c>
      <c r="AO58" cm="1">
        <f t="array" ref="AO58">INDEX($AY$2:$CL$101,$AK58,($AV$2-1)*4+1)</f>
        <v>0</v>
      </c>
      <c r="AP58" cm="1">
        <f t="array" ref="AP58">INDEX($AY$2:$CL$101,$AK58,($AV$2-1)*4+2)</f>
        <v>0</v>
      </c>
      <c r="AQ58" cm="1">
        <f t="array" ref="AQ58">INDEX($AY$2:$CL$101,$AK58,($AV$2-1)*4+3)</f>
        <v>3.3103839232352033</v>
      </c>
      <c r="AR58" s="1">
        <f t="shared" si="11"/>
        <v>3.3103839232352033</v>
      </c>
      <c r="AS58" cm="1">
        <f t="array" ref="AS58">INDEX($AY$2:$CL$101,$AK58,($AV$2-1)*4+4)</f>
        <v>38196</v>
      </c>
      <c r="AT58" s="53" t="str">
        <f t="shared" si="2"/>
        <v>196</v>
      </c>
      <c r="AY58" s="56">
        <v>0</v>
      </c>
      <c r="AZ58" s="56">
        <v>0</v>
      </c>
      <c r="BA58" s="56">
        <v>3.3103839232352033</v>
      </c>
      <c r="BB58" s="65">
        <v>38196</v>
      </c>
      <c r="BC58" s="56">
        <v>0</v>
      </c>
      <c r="BD58" s="56">
        <v>0</v>
      </c>
      <c r="BE58" s="56">
        <v>3.5522762613530841</v>
      </c>
      <c r="BF58" s="65">
        <v>36210</v>
      </c>
      <c r="BG58" s="56">
        <v>1</v>
      </c>
      <c r="BH58" s="56">
        <v>1</v>
      </c>
      <c r="BI58" s="56">
        <v>3.0258385488562967</v>
      </c>
      <c r="BJ58" s="65">
        <v>37511</v>
      </c>
      <c r="BK58" s="56">
        <v>1</v>
      </c>
      <c r="BL58" s="56">
        <v>0</v>
      </c>
      <c r="BM58" s="56">
        <v>3.8900819716075192</v>
      </c>
      <c r="BN58" s="65">
        <v>37075</v>
      </c>
      <c r="BO58" s="56">
        <v>0</v>
      </c>
      <c r="BP58" s="56">
        <v>0</v>
      </c>
      <c r="BQ58" s="56">
        <v>3.4033570169070293</v>
      </c>
      <c r="BR58" s="65">
        <v>37344</v>
      </c>
      <c r="BS58" s="56">
        <v>0</v>
      </c>
      <c r="BT58" s="56">
        <v>1</v>
      </c>
      <c r="BU58" s="56">
        <v>3.9556545940137502</v>
      </c>
      <c r="BV58" s="65">
        <v>37800</v>
      </c>
      <c r="BW58" s="56">
        <v>1</v>
      </c>
      <c r="BX58" s="56">
        <v>0</v>
      </c>
      <c r="BY58" s="56">
        <v>3.4312320543217227</v>
      </c>
      <c r="BZ58" s="65">
        <v>36484</v>
      </c>
      <c r="CA58" s="56">
        <v>1</v>
      </c>
      <c r="CB58" s="56">
        <v>1</v>
      </c>
      <c r="CC58" s="56">
        <v>3.6650017112069788</v>
      </c>
      <c r="CD58" s="65">
        <v>37939</v>
      </c>
      <c r="CE58" s="56">
        <v>0</v>
      </c>
      <c r="CF58" s="56">
        <v>0</v>
      </c>
      <c r="CG58" s="56">
        <v>2.3915942077660652</v>
      </c>
      <c r="CH58" s="65">
        <v>38162</v>
      </c>
      <c r="CI58" s="56">
        <v>1</v>
      </c>
      <c r="CJ58" s="56">
        <v>1</v>
      </c>
      <c r="CK58" s="56">
        <v>2.9560262233627692</v>
      </c>
      <c r="CL58" s="65">
        <v>36968</v>
      </c>
    </row>
    <row r="59" spans="2:90">
      <c r="D59" s="22" t="s">
        <v>172</v>
      </c>
      <c r="AE59" s="18"/>
      <c r="AF59" s="13"/>
      <c r="AG59" s="13"/>
      <c r="AH59" s="13"/>
      <c r="AI59" s="13"/>
      <c r="AK59">
        <v>58</v>
      </c>
      <c r="AL59" t="s">
        <v>47</v>
      </c>
      <c r="AM59" t="s">
        <v>475</v>
      </c>
      <c r="AN59" t="str">
        <f t="shared" si="1"/>
        <v>Brian</v>
      </c>
      <c r="AO59" cm="1">
        <f t="array" ref="AO59">INDEX($AY$2:$CL$101,$AK59,($AV$2-1)*4+1)</f>
        <v>0</v>
      </c>
      <c r="AP59" cm="1">
        <f t="array" ref="AP59">INDEX($AY$2:$CL$101,$AK59,($AV$2-1)*4+2)</f>
        <v>1</v>
      </c>
      <c r="AQ59" cm="1">
        <f t="array" ref="AQ59">INDEX($AY$2:$CL$101,$AK59,($AV$2-1)*4+3)</f>
        <v>2.8811058170623181</v>
      </c>
      <c r="AR59" s="1">
        <f t="shared" si="11"/>
        <v>2.8811058170623181</v>
      </c>
      <c r="AS59" cm="1">
        <f t="array" ref="AS59">INDEX($AY$2:$CL$101,$AK59,($AV$2-1)*4+4)</f>
        <v>36532</v>
      </c>
      <c r="AT59" s="53" t="str">
        <f t="shared" si="2"/>
        <v>532</v>
      </c>
      <c r="AY59" s="56">
        <v>0</v>
      </c>
      <c r="AZ59" s="56">
        <v>1</v>
      </c>
      <c r="BA59" s="56">
        <v>2.8811058170623181</v>
      </c>
      <c r="BB59" s="65">
        <v>36532</v>
      </c>
      <c r="BC59" s="56">
        <v>1</v>
      </c>
      <c r="BD59" s="56">
        <v>1</v>
      </c>
      <c r="BE59" s="56">
        <v>2.8811058170623181</v>
      </c>
      <c r="BF59" s="65">
        <v>37070</v>
      </c>
      <c r="BG59" s="56">
        <v>1</v>
      </c>
      <c r="BH59" s="56">
        <v>0</v>
      </c>
      <c r="BI59" s="56">
        <v>2.8811058170623181</v>
      </c>
      <c r="BJ59" s="65">
        <v>37731</v>
      </c>
      <c r="BK59" s="56">
        <v>0</v>
      </c>
      <c r="BL59" s="56">
        <v>0</v>
      </c>
      <c r="BM59" s="56">
        <v>2.8811058170623181</v>
      </c>
      <c r="BN59" s="65">
        <v>35812</v>
      </c>
      <c r="BO59" s="56">
        <v>0</v>
      </c>
      <c r="BP59" s="56">
        <v>1</v>
      </c>
      <c r="BQ59" s="56">
        <v>2.8811058170623181</v>
      </c>
      <c r="BR59" s="65">
        <v>37674</v>
      </c>
      <c r="BS59" s="56">
        <v>0</v>
      </c>
      <c r="BT59" s="56">
        <v>1</v>
      </c>
      <c r="BU59" s="56">
        <v>2.8811058170623181</v>
      </c>
      <c r="BV59" s="65">
        <v>36449</v>
      </c>
      <c r="BW59" s="56">
        <v>0</v>
      </c>
      <c r="BX59" s="56">
        <v>1</v>
      </c>
      <c r="BY59" s="56">
        <v>2.8811058170623181</v>
      </c>
      <c r="BZ59" s="65">
        <v>35755</v>
      </c>
      <c r="CA59" s="56">
        <v>1</v>
      </c>
      <c r="CB59" s="56">
        <v>0</v>
      </c>
      <c r="CC59" s="56">
        <v>2.8811058170623181</v>
      </c>
      <c r="CD59" s="65">
        <v>37042</v>
      </c>
      <c r="CE59" s="56">
        <v>1</v>
      </c>
      <c r="CF59" s="56">
        <v>1</v>
      </c>
      <c r="CG59" s="56">
        <v>2.8811058170623181</v>
      </c>
      <c r="CH59" s="65">
        <v>36077</v>
      </c>
      <c r="CI59" s="56">
        <v>0</v>
      </c>
      <c r="CJ59" s="56">
        <v>0</v>
      </c>
      <c r="CK59" s="56">
        <v>2.8811058170623181</v>
      </c>
      <c r="CL59" s="65">
        <v>37908</v>
      </c>
    </row>
    <row r="60" spans="2:90">
      <c r="AD60" s="7"/>
      <c r="AE60" s="18"/>
      <c r="AF60" s="13"/>
      <c r="AG60" s="13"/>
      <c r="AH60" s="13"/>
      <c r="AI60" s="13"/>
      <c r="AK60">
        <v>59</v>
      </c>
      <c r="AL60" t="s">
        <v>29</v>
      </c>
      <c r="AM60" t="s">
        <v>474</v>
      </c>
      <c r="AN60" t="str">
        <f t="shared" si="1"/>
        <v>Charles</v>
      </c>
      <c r="AO60" cm="1">
        <f t="array" ref="AO60">INDEX($AY$2:$CL$101,$AK60,($AV$2-1)*4+1)</f>
        <v>0</v>
      </c>
      <c r="AP60" cm="1">
        <f t="array" ref="AP60">INDEX($AY$2:$CL$101,$AK60,($AV$2-1)*4+2)</f>
        <v>0</v>
      </c>
      <c r="AQ60" cm="1">
        <f t="array" ref="AQ60">INDEX($AY$2:$CL$101,$AK60,($AV$2-1)*4+3)</f>
        <v>2.3676696652171092</v>
      </c>
      <c r="AR60" s="1">
        <f t="shared" si="11"/>
        <v>2.3676696652171092</v>
      </c>
      <c r="AS60" cm="1">
        <f t="array" ref="AS60">INDEX($AY$2:$CL$101,$AK60,($AV$2-1)*4+4)</f>
        <v>38058</v>
      </c>
      <c r="AT60" s="53" t="str">
        <f t="shared" si="2"/>
        <v>058</v>
      </c>
      <c r="AY60" s="56">
        <v>0</v>
      </c>
      <c r="AZ60" s="56">
        <v>0</v>
      </c>
      <c r="BA60" s="56">
        <v>2.3676696652171092</v>
      </c>
      <c r="BB60" s="65">
        <v>38058</v>
      </c>
      <c r="BC60" s="56">
        <v>1</v>
      </c>
      <c r="BD60" s="56">
        <v>0</v>
      </c>
      <c r="BE60" s="56">
        <v>2.4098973426455963</v>
      </c>
      <c r="BF60" s="65">
        <v>38493</v>
      </c>
      <c r="BG60" s="56">
        <v>0</v>
      </c>
      <c r="BH60" s="56">
        <v>1</v>
      </c>
      <c r="BI60" s="56">
        <v>3.9779004399975069</v>
      </c>
      <c r="BJ60" s="65">
        <v>37779</v>
      </c>
      <c r="BK60" s="56">
        <v>1</v>
      </c>
      <c r="BL60" s="56">
        <v>1</v>
      </c>
      <c r="BM60" s="56">
        <v>2.6316544952265182</v>
      </c>
      <c r="BN60" s="65">
        <v>37454</v>
      </c>
      <c r="BO60" s="56">
        <v>1</v>
      </c>
      <c r="BP60" s="56">
        <v>1</v>
      </c>
      <c r="BQ60" s="56">
        <v>2.7691156054136226</v>
      </c>
      <c r="BR60" s="65">
        <v>36452</v>
      </c>
      <c r="BS60" s="56">
        <v>1</v>
      </c>
      <c r="BT60" s="56">
        <v>1</v>
      </c>
      <c r="BU60" s="56">
        <v>2.1265404744167178</v>
      </c>
      <c r="BV60" s="65">
        <v>37764</v>
      </c>
      <c r="BW60" s="56">
        <v>0</v>
      </c>
      <c r="BX60" s="56">
        <v>1</v>
      </c>
      <c r="BY60" s="56">
        <v>2.0859542812538248</v>
      </c>
      <c r="BZ60" s="65">
        <v>36476</v>
      </c>
      <c r="CA60" s="56">
        <v>0</v>
      </c>
      <c r="CB60" s="56">
        <v>0</v>
      </c>
      <c r="CC60" s="56">
        <v>3.7212552174769451</v>
      </c>
      <c r="CD60" s="65">
        <v>36326</v>
      </c>
      <c r="CE60" s="56">
        <v>1</v>
      </c>
      <c r="CF60" s="56">
        <v>1</v>
      </c>
      <c r="CG60" s="56">
        <v>3.0008034961065988</v>
      </c>
      <c r="CH60" s="65">
        <v>36879</v>
      </c>
      <c r="CI60" s="56">
        <v>0</v>
      </c>
      <c r="CJ60" s="56">
        <v>1</v>
      </c>
      <c r="CK60" s="56">
        <v>3.3121851354203695</v>
      </c>
      <c r="CL60" s="65">
        <v>37732</v>
      </c>
    </row>
    <row r="61" spans="2:90">
      <c r="D61" s="12" t="s">
        <v>173</v>
      </c>
      <c r="AD61" s="7"/>
      <c r="AE61" s="7"/>
      <c r="AF61" s="7"/>
      <c r="AG61" s="7"/>
      <c r="AH61" s="7"/>
      <c r="AI61" s="7"/>
      <c r="AK61">
        <v>60</v>
      </c>
      <c r="AL61" t="s">
        <v>43</v>
      </c>
      <c r="AM61" t="s">
        <v>325</v>
      </c>
      <c r="AN61" t="str">
        <f t="shared" si="1"/>
        <v>Joshua</v>
      </c>
      <c r="AO61" cm="1">
        <f t="array" ref="AO61">INDEX($AY$2:$CL$101,$AK61,($AV$2-1)*4+1)</f>
        <v>0</v>
      </c>
      <c r="AP61" cm="1">
        <f t="array" ref="AP61">INDEX($AY$2:$CL$101,$AK61,($AV$2-1)*4+2)</f>
        <v>1</v>
      </c>
      <c r="AQ61" cm="1">
        <f t="array" ref="AQ61">INDEX($AY$2:$CL$101,$AK61,($AV$2-1)*4+3)</f>
        <v>2.8811058170623181</v>
      </c>
      <c r="AR61" s="1">
        <f t="shared" si="11"/>
        <v>2.8811058170623181</v>
      </c>
      <c r="AS61" cm="1">
        <f t="array" ref="AS61">INDEX($AY$2:$CL$101,$AK61,($AV$2-1)*4+4)</f>
        <v>35617</v>
      </c>
      <c r="AT61" s="53" t="str">
        <f t="shared" si="2"/>
        <v>617</v>
      </c>
      <c r="AY61" s="56">
        <v>0</v>
      </c>
      <c r="AZ61" s="56">
        <v>1</v>
      </c>
      <c r="BA61" s="56">
        <v>2.8811058170623181</v>
      </c>
      <c r="BB61" s="65">
        <v>35617</v>
      </c>
      <c r="BC61" s="56">
        <v>1</v>
      </c>
      <c r="BD61" s="56">
        <v>0</v>
      </c>
      <c r="BE61" s="56">
        <v>2.8811058170623181</v>
      </c>
      <c r="BF61" s="65">
        <v>35549</v>
      </c>
      <c r="BG61" s="56">
        <v>1</v>
      </c>
      <c r="BH61" s="56">
        <v>1</v>
      </c>
      <c r="BI61" s="56">
        <v>2.8811058170623181</v>
      </c>
      <c r="BJ61" s="65">
        <v>37155</v>
      </c>
      <c r="BK61" s="56">
        <v>1</v>
      </c>
      <c r="BL61" s="56">
        <v>0</v>
      </c>
      <c r="BM61" s="56">
        <v>2.8811058170623181</v>
      </c>
      <c r="BN61" s="65">
        <v>36963</v>
      </c>
      <c r="BO61" s="56">
        <v>1</v>
      </c>
      <c r="BP61" s="56">
        <v>0</v>
      </c>
      <c r="BQ61" s="56">
        <v>2.8811058170623181</v>
      </c>
      <c r="BR61" s="65">
        <v>36509</v>
      </c>
      <c r="BS61" s="56">
        <v>0</v>
      </c>
      <c r="BT61" s="56">
        <v>1</v>
      </c>
      <c r="BU61" s="56">
        <v>2.8811058170623181</v>
      </c>
      <c r="BV61" s="65">
        <v>36391</v>
      </c>
      <c r="BW61" s="56">
        <v>1</v>
      </c>
      <c r="BX61" s="56">
        <v>0</v>
      </c>
      <c r="BY61" s="56">
        <v>2.8811058170623181</v>
      </c>
      <c r="BZ61" s="65">
        <v>37547</v>
      </c>
      <c r="CA61" s="56">
        <v>1</v>
      </c>
      <c r="CB61" s="56">
        <v>0</v>
      </c>
      <c r="CC61" s="56">
        <v>2.8811058170623181</v>
      </c>
      <c r="CD61" s="65">
        <v>37848</v>
      </c>
      <c r="CE61" s="56">
        <v>1</v>
      </c>
      <c r="CF61" s="56">
        <v>1</v>
      </c>
      <c r="CG61" s="56">
        <v>2.8811058170623181</v>
      </c>
      <c r="CH61" s="65">
        <v>36146</v>
      </c>
      <c r="CI61" s="56">
        <v>0</v>
      </c>
      <c r="CJ61" s="56">
        <v>1</v>
      </c>
      <c r="CK61" s="56">
        <v>2.8811058170623181</v>
      </c>
      <c r="CL61" s="65">
        <v>37758</v>
      </c>
    </row>
    <row r="62" spans="2:90">
      <c r="AE62" s="18"/>
      <c r="AF62" s="13"/>
      <c r="AG62" s="13"/>
      <c r="AH62" s="13"/>
      <c r="AI62" s="13"/>
      <c r="AK62">
        <v>61</v>
      </c>
      <c r="AL62" t="s">
        <v>67</v>
      </c>
      <c r="AM62" t="s">
        <v>473</v>
      </c>
      <c r="AN62" t="str">
        <f t="shared" si="1"/>
        <v>Jonathan</v>
      </c>
      <c r="AO62" cm="1">
        <f t="array" ref="AO62">INDEX($AY$2:$CL$101,$AK62,($AV$2-1)*4+1)</f>
        <v>0</v>
      </c>
      <c r="AP62" cm="1">
        <f t="array" ref="AP62">INDEX($AY$2:$CL$101,$AK62,($AV$2-1)*4+2)</f>
        <v>1</v>
      </c>
      <c r="AQ62" cm="1">
        <f t="array" ref="AQ62">INDEX($AY$2:$CL$101,$AK62,($AV$2-1)*4+3)</f>
        <v>3.5052275907522299</v>
      </c>
      <c r="AR62" s="1">
        <f t="shared" si="11"/>
        <v>3.5052275907522299</v>
      </c>
      <c r="AS62" cm="1">
        <f t="array" ref="AS62">INDEX($AY$2:$CL$101,$AK62,($AV$2-1)*4+4)</f>
        <v>35948</v>
      </c>
      <c r="AT62" s="53" t="str">
        <f t="shared" si="2"/>
        <v>948</v>
      </c>
      <c r="AY62" s="56">
        <v>0</v>
      </c>
      <c r="AZ62" s="56">
        <v>1</v>
      </c>
      <c r="BA62" s="56">
        <v>3.5052275907522299</v>
      </c>
      <c r="BB62" s="65">
        <v>35948</v>
      </c>
      <c r="BC62" s="56">
        <v>0</v>
      </c>
      <c r="BD62" s="56">
        <v>1</v>
      </c>
      <c r="BE62" s="56">
        <v>3.7430149726188207</v>
      </c>
      <c r="BF62" s="65">
        <v>37545</v>
      </c>
      <c r="BG62" s="56">
        <v>1</v>
      </c>
      <c r="BH62" s="56">
        <v>0</v>
      </c>
      <c r="BI62" s="56">
        <v>3.5311726816145899</v>
      </c>
      <c r="BJ62" s="65">
        <v>36397</v>
      </c>
      <c r="BK62" s="56">
        <v>1</v>
      </c>
      <c r="BL62" s="56">
        <v>0</v>
      </c>
      <c r="BM62" s="56">
        <v>2.8466482726238489</v>
      </c>
      <c r="BN62" s="65">
        <v>38204</v>
      </c>
      <c r="BO62" s="56">
        <v>1</v>
      </c>
      <c r="BP62" s="56">
        <v>0</v>
      </c>
      <c r="BQ62" s="56">
        <v>3.4201394689987183</v>
      </c>
      <c r="BR62" s="65">
        <v>36861</v>
      </c>
      <c r="BS62" s="56">
        <v>1</v>
      </c>
      <c r="BT62" s="56">
        <v>0</v>
      </c>
      <c r="BU62" s="56">
        <v>2.3663646643547693</v>
      </c>
      <c r="BV62" s="65">
        <v>35718</v>
      </c>
      <c r="BW62" s="56">
        <v>0</v>
      </c>
      <c r="BX62" s="56">
        <v>1</v>
      </c>
      <c r="BY62" s="56">
        <v>3.2448575462915183</v>
      </c>
      <c r="BZ62" s="65">
        <v>37019</v>
      </c>
      <c r="CA62" s="56">
        <v>1</v>
      </c>
      <c r="CB62" s="56">
        <v>0</v>
      </c>
      <c r="CC62" s="56">
        <v>2.1152352188337922</v>
      </c>
      <c r="CD62" s="65">
        <v>36192</v>
      </c>
      <c r="CE62" s="56">
        <v>0</v>
      </c>
      <c r="CF62" s="56">
        <v>1</v>
      </c>
      <c r="CG62" s="56">
        <v>2.6382978380262765</v>
      </c>
      <c r="CH62" s="65">
        <v>37316</v>
      </c>
      <c r="CI62" s="56">
        <v>1</v>
      </c>
      <c r="CJ62" s="56">
        <v>1</v>
      </c>
      <c r="CK62" s="56">
        <v>2.1721684226130447</v>
      </c>
      <c r="CL62" s="65">
        <v>37128</v>
      </c>
    </row>
    <row r="63" spans="2:90">
      <c r="D63" s="23"/>
      <c r="AE63" s="18"/>
      <c r="AF63" s="13"/>
      <c r="AG63" s="13"/>
      <c r="AH63" s="13"/>
      <c r="AI63" s="13"/>
      <c r="AK63">
        <v>62</v>
      </c>
      <c r="AL63" t="s">
        <v>7</v>
      </c>
      <c r="AM63" t="s">
        <v>472</v>
      </c>
      <c r="AN63" t="str">
        <f t="shared" si="1"/>
        <v>Esme</v>
      </c>
      <c r="AO63" cm="1">
        <f t="array" ref="AO63">INDEX($AY$2:$CL$101,$AK63,($AV$2-1)*4+1)</f>
        <v>1</v>
      </c>
      <c r="AP63" cm="1">
        <f t="array" ref="AP63">INDEX($AY$2:$CL$101,$AK63,($AV$2-1)*4+2)</f>
        <v>0</v>
      </c>
      <c r="AQ63" cm="1">
        <f t="array" ref="AQ63">INDEX($AY$2:$CL$101,$AK63,($AV$2-1)*4+3)</f>
        <v>2.8811058170623181</v>
      </c>
      <c r="AR63" s="1">
        <f t="shared" si="11"/>
        <v>2.8811058170623181</v>
      </c>
      <c r="AS63" cm="1">
        <f t="array" ref="AS63">INDEX($AY$2:$CL$101,$AK63,($AV$2-1)*4+4)</f>
        <v>36981</v>
      </c>
      <c r="AT63" s="53" t="str">
        <f t="shared" si="2"/>
        <v>981</v>
      </c>
      <c r="AY63" s="56">
        <v>1</v>
      </c>
      <c r="AZ63" s="56">
        <v>0</v>
      </c>
      <c r="BA63" s="56">
        <v>2.8811058170623181</v>
      </c>
      <c r="BB63" s="65">
        <v>36981</v>
      </c>
      <c r="BC63" s="56">
        <v>1</v>
      </c>
      <c r="BD63" s="56">
        <v>0</v>
      </c>
      <c r="BE63" s="56">
        <v>2.8811058170623181</v>
      </c>
      <c r="BF63" s="65">
        <v>36432</v>
      </c>
      <c r="BG63" s="56">
        <v>1</v>
      </c>
      <c r="BH63" s="56">
        <v>1</v>
      </c>
      <c r="BI63" s="56">
        <v>2.8811058170623181</v>
      </c>
      <c r="BJ63" s="65">
        <v>36814</v>
      </c>
      <c r="BK63" s="56">
        <v>1</v>
      </c>
      <c r="BL63" s="56">
        <v>1</v>
      </c>
      <c r="BM63" s="56">
        <v>2.8811058170623181</v>
      </c>
      <c r="BN63" s="65">
        <v>37985</v>
      </c>
      <c r="BO63" s="56">
        <v>1</v>
      </c>
      <c r="BP63" s="56">
        <v>1</v>
      </c>
      <c r="BQ63" s="56">
        <v>2.8811058170623181</v>
      </c>
      <c r="BR63" s="65">
        <v>37015</v>
      </c>
      <c r="BS63" s="56">
        <v>0</v>
      </c>
      <c r="BT63" s="56">
        <v>0</v>
      </c>
      <c r="BU63" s="56">
        <v>2.8811058170623181</v>
      </c>
      <c r="BV63" s="65">
        <v>37077</v>
      </c>
      <c r="BW63" s="56">
        <v>1</v>
      </c>
      <c r="BX63" s="56">
        <v>1</v>
      </c>
      <c r="BY63" s="56">
        <v>2.8811058170623181</v>
      </c>
      <c r="BZ63" s="65">
        <v>36936</v>
      </c>
      <c r="CA63" s="56">
        <v>1</v>
      </c>
      <c r="CB63" s="56">
        <v>0</v>
      </c>
      <c r="CC63" s="56">
        <v>2.8811058170623181</v>
      </c>
      <c r="CD63" s="65">
        <v>37910</v>
      </c>
      <c r="CE63" s="56">
        <v>1</v>
      </c>
      <c r="CF63" s="56">
        <v>1</v>
      </c>
      <c r="CG63" s="56">
        <v>2.8811058170623181</v>
      </c>
      <c r="CH63" s="65">
        <v>35545</v>
      </c>
      <c r="CI63" s="56">
        <v>1</v>
      </c>
      <c r="CJ63" s="56">
        <v>1</v>
      </c>
      <c r="CK63" s="56">
        <v>2.8811058170623181</v>
      </c>
      <c r="CL63" s="65">
        <v>38168</v>
      </c>
    </row>
    <row r="64" spans="2:90">
      <c r="D64" s="12"/>
      <c r="AE64" s="18"/>
      <c r="AF64" s="13"/>
      <c r="AG64" s="13"/>
      <c r="AH64" s="13"/>
      <c r="AI64" s="13"/>
      <c r="AK64">
        <v>63</v>
      </c>
      <c r="AL64" t="s">
        <v>79</v>
      </c>
      <c r="AM64" t="s">
        <v>471</v>
      </c>
      <c r="AN64" t="str">
        <f t="shared" si="1"/>
        <v>Samuel</v>
      </c>
      <c r="AO64" cm="1">
        <f t="array" ref="AO64">INDEX($AY$2:$CL$101,$AK64,($AV$2-1)*4+1)</f>
        <v>0</v>
      </c>
      <c r="AP64" cm="1">
        <f t="array" ref="AP64">INDEX($AY$2:$CL$101,$AK64,($AV$2-1)*4+2)</f>
        <v>1</v>
      </c>
      <c r="AQ64"/>
      <c r="AR64" s="1">
        <f t="shared" ref="AR64:AR74" si="12">AVERAGE($AQ$2:$AQ$101)</f>
        <v>3.0545838598437989</v>
      </c>
      <c r="AS64" cm="1">
        <f t="array" ref="AS64">INDEX($AY$2:$CL$101,$AK64,($AV$2-1)*4+4)</f>
        <v>37256</v>
      </c>
      <c r="AT64" s="53" t="str">
        <f t="shared" si="2"/>
        <v>256</v>
      </c>
      <c r="AY64" s="56">
        <v>0</v>
      </c>
      <c r="AZ64" s="56">
        <v>1</v>
      </c>
      <c r="BA64" s="56"/>
      <c r="BB64" s="65">
        <v>37256</v>
      </c>
      <c r="BC64" s="56">
        <v>0</v>
      </c>
      <c r="BD64" s="56">
        <v>0</v>
      </c>
      <c r="BE64" s="56"/>
      <c r="BF64" s="65">
        <v>37867</v>
      </c>
      <c r="BG64" s="56">
        <v>1</v>
      </c>
      <c r="BH64" s="56">
        <v>1</v>
      </c>
      <c r="BI64" s="56"/>
      <c r="BJ64" s="65">
        <v>37013</v>
      </c>
      <c r="BK64" s="56">
        <v>0</v>
      </c>
      <c r="BL64" s="56">
        <v>1</v>
      </c>
      <c r="BM64" s="56"/>
      <c r="BN64" s="65">
        <v>38358</v>
      </c>
      <c r="BO64" s="56">
        <v>1</v>
      </c>
      <c r="BP64" s="56">
        <v>0</v>
      </c>
      <c r="BQ64" s="56"/>
      <c r="BR64" s="65">
        <v>35508</v>
      </c>
      <c r="BS64" s="56">
        <v>0</v>
      </c>
      <c r="BT64" s="56">
        <v>1</v>
      </c>
      <c r="BU64" s="56"/>
      <c r="BV64" s="65">
        <v>35911</v>
      </c>
      <c r="BW64" s="56">
        <v>0</v>
      </c>
      <c r="BX64" s="56">
        <v>0</v>
      </c>
      <c r="BY64" s="56"/>
      <c r="BZ64" s="65">
        <v>35607</v>
      </c>
      <c r="CA64" s="56">
        <v>0</v>
      </c>
      <c r="CB64" s="56">
        <v>1</v>
      </c>
      <c r="CC64" s="56"/>
      <c r="CD64" s="65">
        <v>35661</v>
      </c>
      <c r="CE64" s="56">
        <v>1</v>
      </c>
      <c r="CF64" s="56">
        <v>0</v>
      </c>
      <c r="CG64" s="56"/>
      <c r="CH64" s="65">
        <v>38241</v>
      </c>
      <c r="CI64" s="56">
        <v>1</v>
      </c>
      <c r="CJ64" s="56">
        <v>1</v>
      </c>
      <c r="CK64" s="56"/>
      <c r="CL64" s="65">
        <v>38302</v>
      </c>
    </row>
    <row r="65" spans="2:90">
      <c r="D65" s="12" t="str">
        <f>"https://twitter.com/intent/tweet?text=I+finished+the+MECC+Keyboarding+Challenge+in+"&amp;Results!$E$16&amp;"+seconds.+Sign+up+and+give+it+a+try!&amp;hashtags=ExcelEsports,ExcelAtEller"</f>
        <v>https://twitter.com/intent/tweet?text=I+finished+the+MECC+Keyboarding+Challenge+in+492+seconds.+Sign+up+and+give+it+a+try!&amp;hashtags=ExcelEsports,ExcelAtEller</v>
      </c>
      <c r="AE65" s="18"/>
      <c r="AF65" s="13"/>
      <c r="AG65" s="13"/>
      <c r="AH65" s="13"/>
      <c r="AI65" s="13"/>
      <c r="AK65">
        <v>64</v>
      </c>
      <c r="AL65" t="s">
        <v>88</v>
      </c>
      <c r="AM65" t="s">
        <v>470</v>
      </c>
      <c r="AN65" t="str">
        <f t="shared" si="1"/>
        <v>Jack</v>
      </c>
      <c r="AO65" cm="1">
        <f t="array" ref="AO65">INDEX($AY$2:$CL$101,$AK65,($AV$2-1)*4+1)</f>
        <v>0</v>
      </c>
      <c r="AP65" cm="1">
        <f t="array" ref="AP65">INDEX($AY$2:$CL$101,$AK65,($AV$2-1)*4+2)</f>
        <v>1</v>
      </c>
      <c r="AQ65"/>
      <c r="AR65" s="1">
        <f t="shared" si="12"/>
        <v>3.0545838598437989</v>
      </c>
      <c r="AS65" cm="1">
        <f t="array" ref="AS65">INDEX($AY$2:$CL$101,$AK65,($AV$2-1)*4+4)</f>
        <v>36976</v>
      </c>
      <c r="AT65" s="53" t="str">
        <f t="shared" si="2"/>
        <v>976</v>
      </c>
      <c r="AY65" s="56">
        <v>0</v>
      </c>
      <c r="AZ65" s="56">
        <v>1</v>
      </c>
      <c r="BA65" s="56"/>
      <c r="BB65" s="65">
        <v>36976</v>
      </c>
      <c r="BC65" s="56">
        <v>0</v>
      </c>
      <c r="BD65" s="56">
        <v>1</v>
      </c>
      <c r="BE65" s="56"/>
      <c r="BF65" s="65">
        <v>37613</v>
      </c>
      <c r="BG65" s="56">
        <v>1</v>
      </c>
      <c r="BH65" s="56">
        <v>1</v>
      </c>
      <c r="BI65" s="56"/>
      <c r="BJ65" s="65">
        <v>37971</v>
      </c>
      <c r="BK65" s="56">
        <v>1</v>
      </c>
      <c r="BL65" s="56">
        <v>1</v>
      </c>
      <c r="BM65" s="56"/>
      <c r="BN65" s="65">
        <v>37003</v>
      </c>
      <c r="BO65" s="56">
        <v>1</v>
      </c>
      <c r="BP65" s="56">
        <v>0</v>
      </c>
      <c r="BQ65" s="56"/>
      <c r="BR65" s="65">
        <v>35764</v>
      </c>
      <c r="BS65" s="56">
        <v>0</v>
      </c>
      <c r="BT65" s="56">
        <v>1</v>
      </c>
      <c r="BU65" s="56"/>
      <c r="BV65" s="65">
        <v>37242</v>
      </c>
      <c r="BW65" s="56">
        <v>1</v>
      </c>
      <c r="BX65" s="56">
        <v>1</v>
      </c>
      <c r="BY65" s="56"/>
      <c r="BZ65" s="65">
        <v>37078</v>
      </c>
      <c r="CA65" s="56">
        <v>1</v>
      </c>
      <c r="CB65" s="56">
        <v>1</v>
      </c>
      <c r="CC65" s="56"/>
      <c r="CD65" s="65">
        <v>37237</v>
      </c>
      <c r="CE65" s="56">
        <v>0</v>
      </c>
      <c r="CF65" s="56">
        <v>0</v>
      </c>
      <c r="CG65" s="56"/>
      <c r="CH65" s="65">
        <v>37243</v>
      </c>
      <c r="CI65" s="56">
        <v>0</v>
      </c>
      <c r="CJ65" s="56">
        <v>1</v>
      </c>
      <c r="CK65" s="56"/>
      <c r="CL65" s="65">
        <v>37619</v>
      </c>
    </row>
    <row r="66" spans="2:90">
      <c r="AE66" s="18"/>
      <c r="AF66" s="13"/>
      <c r="AG66" s="13"/>
      <c r="AH66" s="13"/>
      <c r="AI66" s="13"/>
      <c r="AK66">
        <v>65</v>
      </c>
      <c r="AL66" t="s">
        <v>21</v>
      </c>
      <c r="AM66" t="s">
        <v>408</v>
      </c>
      <c r="AN66" t="str">
        <f t="shared" si="1"/>
        <v>William</v>
      </c>
      <c r="AO66" cm="1">
        <f t="array" ref="AO66">INDEX($AY$2:$CL$101,$AK66,($AV$2-1)*4+1)</f>
        <v>0</v>
      </c>
      <c r="AP66" cm="1">
        <f t="array" ref="AP66">INDEX($AY$2:$CL$101,$AK66,($AV$2-1)*4+2)</f>
        <v>1</v>
      </c>
      <c r="AQ66"/>
      <c r="AR66" s="1">
        <f t="shared" si="12"/>
        <v>3.0545838598437989</v>
      </c>
      <c r="AS66" cm="1">
        <f t="array" ref="AS66">INDEX($AY$2:$CL$101,$AK66,($AV$2-1)*4+4)</f>
        <v>37273</v>
      </c>
      <c r="AT66" s="53" t="str">
        <f t="shared" si="2"/>
        <v>273</v>
      </c>
      <c r="AY66" s="56">
        <v>0</v>
      </c>
      <c r="AZ66" s="56">
        <v>1</v>
      </c>
      <c r="BA66" s="56"/>
      <c r="BB66" s="65">
        <v>37273</v>
      </c>
      <c r="BC66" s="56">
        <v>0</v>
      </c>
      <c r="BD66" s="56">
        <v>0</v>
      </c>
      <c r="BE66" s="56"/>
      <c r="BF66" s="65">
        <v>36871</v>
      </c>
      <c r="BG66" s="56">
        <v>1</v>
      </c>
      <c r="BH66" s="56">
        <v>1</v>
      </c>
      <c r="BI66" s="56"/>
      <c r="BJ66" s="65">
        <v>36033</v>
      </c>
      <c r="BK66" s="56">
        <v>1</v>
      </c>
      <c r="BL66" s="56">
        <v>0</v>
      </c>
      <c r="BM66" s="56"/>
      <c r="BN66" s="65">
        <v>36396</v>
      </c>
      <c r="BO66" s="56">
        <v>0</v>
      </c>
      <c r="BP66" s="56">
        <v>1</v>
      </c>
      <c r="BQ66" s="56"/>
      <c r="BR66" s="65">
        <v>37995</v>
      </c>
      <c r="BS66" s="56">
        <v>0</v>
      </c>
      <c r="BT66" s="56">
        <v>0</v>
      </c>
      <c r="BU66" s="56"/>
      <c r="BV66" s="65">
        <v>37432</v>
      </c>
      <c r="BW66" s="56">
        <v>0</v>
      </c>
      <c r="BX66" s="56">
        <v>1</v>
      </c>
      <c r="BY66" s="56"/>
      <c r="BZ66" s="65">
        <v>37906</v>
      </c>
      <c r="CA66" s="56">
        <v>1</v>
      </c>
      <c r="CB66" s="56">
        <v>1</v>
      </c>
      <c r="CC66" s="56"/>
      <c r="CD66" s="65">
        <v>38387</v>
      </c>
      <c r="CE66" s="56">
        <v>1</v>
      </c>
      <c r="CF66" s="56">
        <v>1</v>
      </c>
      <c r="CG66" s="56"/>
      <c r="CH66" s="65">
        <v>36612</v>
      </c>
      <c r="CI66" s="56">
        <v>0</v>
      </c>
      <c r="CJ66" s="56">
        <v>0</v>
      </c>
      <c r="CK66" s="56"/>
      <c r="CL66" s="65">
        <v>38345</v>
      </c>
    </row>
    <row r="67" spans="2:90">
      <c r="D67" s="24" t="s">
        <v>174</v>
      </c>
      <c r="AE67" s="18"/>
      <c r="AF67" s="13"/>
      <c r="AG67" s="13"/>
      <c r="AH67" s="13"/>
      <c r="AI67" s="13"/>
      <c r="AK67">
        <v>66</v>
      </c>
      <c r="AL67" t="s">
        <v>77</v>
      </c>
      <c r="AM67" t="s">
        <v>469</v>
      </c>
      <c r="AN67" t="str">
        <f t="shared" ref="AN67:AN101" si="13">IF(AO67,AM67,AL67)</f>
        <v>Benjamin</v>
      </c>
      <c r="AO67" cm="1">
        <f t="array" ref="AO67">INDEX($AY$2:$CL$101,$AK67,($AV$2-1)*4+1)</f>
        <v>0</v>
      </c>
      <c r="AP67" cm="1">
        <f t="array" ref="AP67">INDEX($AY$2:$CL$101,$AK67,($AV$2-1)*4+2)</f>
        <v>0</v>
      </c>
      <c r="AQ67"/>
      <c r="AR67" s="1">
        <f t="shared" si="12"/>
        <v>3.0545838598437989</v>
      </c>
      <c r="AS67" cm="1">
        <f t="array" ref="AS67">INDEX($AY$2:$CL$101,$AK67,($AV$2-1)*4+4)</f>
        <v>37999</v>
      </c>
      <c r="AT67" s="53" t="str">
        <f t="shared" ref="AT67:AT101" si="14">RIGHT(AS67,3)</f>
        <v>999</v>
      </c>
      <c r="AY67" s="56">
        <v>0</v>
      </c>
      <c r="AZ67" s="56">
        <v>0</v>
      </c>
      <c r="BA67" s="56"/>
      <c r="BB67" s="65">
        <v>37999</v>
      </c>
      <c r="BC67" s="56">
        <v>1</v>
      </c>
      <c r="BD67" s="56">
        <v>0</v>
      </c>
      <c r="BE67" s="56"/>
      <c r="BF67" s="65">
        <v>36763</v>
      </c>
      <c r="BG67" s="56">
        <v>1</v>
      </c>
      <c r="BH67" s="56">
        <v>1</v>
      </c>
      <c r="BI67" s="56"/>
      <c r="BJ67" s="65">
        <v>35874</v>
      </c>
      <c r="BK67" s="56">
        <v>1</v>
      </c>
      <c r="BL67" s="56">
        <v>1</v>
      </c>
      <c r="BM67" s="56"/>
      <c r="BN67" s="65">
        <v>37472</v>
      </c>
      <c r="BO67" s="56">
        <v>0</v>
      </c>
      <c r="BP67" s="56">
        <v>0</v>
      </c>
      <c r="BQ67" s="56"/>
      <c r="BR67" s="65">
        <v>37931</v>
      </c>
      <c r="BS67" s="56">
        <v>1</v>
      </c>
      <c r="BT67" s="56">
        <v>0</v>
      </c>
      <c r="BU67" s="56"/>
      <c r="BV67" s="65">
        <v>36000</v>
      </c>
      <c r="BW67" s="56">
        <v>0</v>
      </c>
      <c r="BX67" s="56">
        <v>0</v>
      </c>
      <c r="BY67" s="56"/>
      <c r="BZ67" s="65">
        <v>36806</v>
      </c>
      <c r="CA67" s="56">
        <v>1</v>
      </c>
      <c r="CB67" s="56">
        <v>1</v>
      </c>
      <c r="CC67" s="56"/>
      <c r="CD67" s="65">
        <v>36516</v>
      </c>
      <c r="CE67" s="56">
        <v>1</v>
      </c>
      <c r="CF67" s="56">
        <v>0</v>
      </c>
      <c r="CG67" s="56"/>
      <c r="CH67" s="65">
        <v>37515</v>
      </c>
      <c r="CI67" s="56">
        <v>1</v>
      </c>
      <c r="CJ67" s="56">
        <v>1</v>
      </c>
      <c r="CK67" s="56"/>
      <c r="CL67" s="65">
        <v>37967</v>
      </c>
    </row>
    <row r="68" spans="2:90">
      <c r="AE68" s="18"/>
      <c r="AF68" s="13"/>
      <c r="AG68" s="13"/>
      <c r="AH68" s="13"/>
      <c r="AI68" s="13"/>
      <c r="AK68">
        <v>67</v>
      </c>
      <c r="AL68" t="s">
        <v>19</v>
      </c>
      <c r="AM68" t="s">
        <v>468</v>
      </c>
      <c r="AN68" t="str">
        <f t="shared" si="13"/>
        <v>John</v>
      </c>
      <c r="AO68" cm="1">
        <f t="array" ref="AO68">INDEX($AY$2:$CL$101,$AK68,($AV$2-1)*4+1)</f>
        <v>0</v>
      </c>
      <c r="AP68" cm="1">
        <f t="array" ref="AP68">INDEX($AY$2:$CL$101,$AK68,($AV$2-1)*4+2)</f>
        <v>0</v>
      </c>
      <c r="AQ68"/>
      <c r="AR68" s="1">
        <f t="shared" si="12"/>
        <v>3.0545838598437989</v>
      </c>
      <c r="AS68" cm="1">
        <f t="array" ref="AS68">INDEX($AY$2:$CL$101,$AK68,($AV$2-1)*4+4)</f>
        <v>36672</v>
      </c>
      <c r="AT68" s="53" t="str">
        <f t="shared" si="14"/>
        <v>672</v>
      </c>
      <c r="AY68" s="56">
        <v>0</v>
      </c>
      <c r="AZ68" s="56">
        <v>0</v>
      </c>
      <c r="BA68" s="56"/>
      <c r="BB68" s="65">
        <v>36672</v>
      </c>
      <c r="BC68" s="56">
        <v>1</v>
      </c>
      <c r="BD68" s="56">
        <v>0</v>
      </c>
      <c r="BE68" s="56"/>
      <c r="BF68" s="65">
        <v>36703</v>
      </c>
      <c r="BG68" s="56">
        <v>1</v>
      </c>
      <c r="BH68" s="56">
        <v>0</v>
      </c>
      <c r="BI68" s="56"/>
      <c r="BJ68" s="65">
        <v>35757</v>
      </c>
      <c r="BK68" s="56">
        <v>1</v>
      </c>
      <c r="BL68" s="56">
        <v>1</v>
      </c>
      <c r="BM68" s="56"/>
      <c r="BN68" s="65">
        <v>37182</v>
      </c>
      <c r="BO68" s="56">
        <v>0</v>
      </c>
      <c r="BP68" s="56">
        <v>0</v>
      </c>
      <c r="BQ68" s="56"/>
      <c r="BR68" s="65">
        <v>35933</v>
      </c>
      <c r="BS68" s="56">
        <v>0</v>
      </c>
      <c r="BT68" s="56">
        <v>1</v>
      </c>
      <c r="BU68" s="56"/>
      <c r="BV68" s="65">
        <v>37071</v>
      </c>
      <c r="BW68" s="56">
        <v>0</v>
      </c>
      <c r="BX68" s="56">
        <v>0</v>
      </c>
      <c r="BY68" s="56"/>
      <c r="BZ68" s="65">
        <v>36481</v>
      </c>
      <c r="CA68" s="56">
        <v>0</v>
      </c>
      <c r="CB68" s="56">
        <v>0</v>
      </c>
      <c r="CC68" s="56"/>
      <c r="CD68" s="65">
        <v>37556</v>
      </c>
      <c r="CE68" s="56">
        <v>0</v>
      </c>
      <c r="CF68" s="56">
        <v>0</v>
      </c>
      <c r="CG68" s="56"/>
      <c r="CH68" s="65">
        <v>36523</v>
      </c>
      <c r="CI68" s="56">
        <v>1</v>
      </c>
      <c r="CJ68" s="56">
        <v>1</v>
      </c>
      <c r="CK68" s="56"/>
      <c r="CL68" s="65">
        <v>38322</v>
      </c>
    </row>
    <row r="69" spans="2:90">
      <c r="D69" s="12" t="str">
        <f>"http://www.facebook.com/sharer.php?t=I%20finished%20the%20MECC%20Keyboarding%20Challenge%20in%20"&amp;Results!$E$16&amp;"%20seconds.%20Sign%20up%20for%20the%20Microsoft%20Excel%20Collegiate%20Challenge%20and%20give%20it%20a%20try!"</f>
        <v>http://www.facebook.com/sharer.php?t=I%20finished%20the%20MECC%20Keyboarding%20Challenge%20in%20492%20seconds.%20Sign%20up%20for%20the%20Microsoft%20Excel%20Collegiate%20Challenge%20and%20give%20it%20a%20try!</v>
      </c>
      <c r="AE69" s="18"/>
      <c r="AF69" s="13"/>
      <c r="AG69" s="13"/>
      <c r="AH69" s="13"/>
      <c r="AI69" s="13"/>
      <c r="AK69">
        <v>68</v>
      </c>
      <c r="AL69" t="s">
        <v>20</v>
      </c>
      <c r="AM69" t="s">
        <v>467</v>
      </c>
      <c r="AN69" t="str">
        <f t="shared" si="13"/>
        <v>Celeste</v>
      </c>
      <c r="AO69" cm="1">
        <f t="array" ref="AO69">INDEX($AY$2:$CL$101,$AK69,($AV$2-1)*4+1)</f>
        <v>1</v>
      </c>
      <c r="AP69" cm="1">
        <f t="array" ref="AP69">INDEX($AY$2:$CL$101,$AK69,($AV$2-1)*4+2)</f>
        <v>1</v>
      </c>
      <c r="AQ69"/>
      <c r="AR69" s="1">
        <f t="shared" si="12"/>
        <v>3.0545838598437989</v>
      </c>
      <c r="AS69" cm="1">
        <f t="array" ref="AS69">INDEX($AY$2:$CL$101,$AK69,($AV$2-1)*4+4)</f>
        <v>38066</v>
      </c>
      <c r="AT69" s="53" t="str">
        <f t="shared" si="14"/>
        <v>066</v>
      </c>
      <c r="AY69" s="56">
        <v>1</v>
      </c>
      <c r="AZ69" s="56">
        <v>1</v>
      </c>
      <c r="BA69" s="56"/>
      <c r="BB69" s="65">
        <v>38066</v>
      </c>
      <c r="BC69" s="56">
        <v>1</v>
      </c>
      <c r="BD69" s="56">
        <v>1</v>
      </c>
      <c r="BE69" s="56"/>
      <c r="BF69" s="65">
        <v>35857</v>
      </c>
      <c r="BG69" s="56">
        <v>0</v>
      </c>
      <c r="BH69" s="56">
        <v>0</v>
      </c>
      <c r="BI69" s="56"/>
      <c r="BJ69" s="65">
        <v>36640</v>
      </c>
      <c r="BK69" s="56">
        <v>1</v>
      </c>
      <c r="BL69" s="56">
        <v>1</v>
      </c>
      <c r="BM69" s="56"/>
      <c r="BN69" s="65">
        <v>35905</v>
      </c>
      <c r="BO69" s="56">
        <v>0</v>
      </c>
      <c r="BP69" s="56">
        <v>1</v>
      </c>
      <c r="BQ69" s="56"/>
      <c r="BR69" s="65">
        <v>36220</v>
      </c>
      <c r="BS69" s="56">
        <v>0</v>
      </c>
      <c r="BT69" s="56">
        <v>0</v>
      </c>
      <c r="BU69" s="56"/>
      <c r="BV69" s="65">
        <v>36073</v>
      </c>
      <c r="BW69" s="56">
        <v>0</v>
      </c>
      <c r="BX69" s="56">
        <v>1</v>
      </c>
      <c r="BY69" s="56"/>
      <c r="BZ69" s="65">
        <v>38121</v>
      </c>
      <c r="CA69" s="56">
        <v>1</v>
      </c>
      <c r="CB69" s="56">
        <v>0</v>
      </c>
      <c r="CC69" s="56"/>
      <c r="CD69" s="65">
        <v>38451</v>
      </c>
      <c r="CE69" s="56">
        <v>1</v>
      </c>
      <c r="CF69" s="56">
        <v>0</v>
      </c>
      <c r="CG69" s="56"/>
      <c r="CH69" s="65">
        <v>36010</v>
      </c>
      <c r="CI69" s="56">
        <v>1</v>
      </c>
      <c r="CJ69" s="56">
        <v>1</v>
      </c>
      <c r="CK69" s="56"/>
      <c r="CL69" s="65">
        <v>37553</v>
      </c>
    </row>
    <row r="70" spans="2:90">
      <c r="AE70" s="18"/>
      <c r="AF70" s="13"/>
      <c r="AG70" s="13"/>
      <c r="AH70" s="13"/>
      <c r="AI70" s="13"/>
      <c r="AK70">
        <v>69</v>
      </c>
      <c r="AL70" t="s">
        <v>65</v>
      </c>
      <c r="AM70" t="s">
        <v>466</v>
      </c>
      <c r="AN70" t="str">
        <f t="shared" si="13"/>
        <v>Lorelei</v>
      </c>
      <c r="AO70" cm="1">
        <f t="array" ref="AO70">INDEX($AY$2:$CL$101,$AK70,($AV$2-1)*4+1)</f>
        <v>1</v>
      </c>
      <c r="AP70" cm="1">
        <f t="array" ref="AP70">INDEX($AY$2:$CL$101,$AK70,($AV$2-1)*4+2)</f>
        <v>1</v>
      </c>
      <c r="AQ70"/>
      <c r="AR70" s="1">
        <f t="shared" si="12"/>
        <v>3.0545838598437989</v>
      </c>
      <c r="AS70" cm="1">
        <f t="array" ref="AS70">INDEX($AY$2:$CL$101,$AK70,($AV$2-1)*4+4)</f>
        <v>36999</v>
      </c>
      <c r="AT70" s="53" t="str">
        <f t="shared" si="14"/>
        <v>999</v>
      </c>
      <c r="AY70" s="56">
        <v>1</v>
      </c>
      <c r="AZ70" s="56">
        <v>1</v>
      </c>
      <c r="BA70" s="56"/>
      <c r="BB70" s="65">
        <v>36999</v>
      </c>
      <c r="BC70" s="56">
        <v>1</v>
      </c>
      <c r="BD70" s="56">
        <v>0</v>
      </c>
      <c r="BE70" s="56"/>
      <c r="BF70" s="65">
        <v>36343</v>
      </c>
      <c r="BG70" s="56">
        <v>0</v>
      </c>
      <c r="BH70" s="56">
        <v>1</v>
      </c>
      <c r="BI70" s="56"/>
      <c r="BJ70" s="65">
        <v>36558</v>
      </c>
      <c r="BK70" s="56">
        <v>1</v>
      </c>
      <c r="BL70" s="56">
        <v>0</v>
      </c>
      <c r="BM70" s="56"/>
      <c r="BN70" s="65">
        <v>36461</v>
      </c>
      <c r="BO70" s="56">
        <v>1</v>
      </c>
      <c r="BP70" s="56">
        <v>1</v>
      </c>
      <c r="BQ70" s="56"/>
      <c r="BR70" s="65">
        <v>37273</v>
      </c>
      <c r="BS70" s="56">
        <v>1</v>
      </c>
      <c r="BT70" s="56">
        <v>1</v>
      </c>
      <c r="BU70" s="56"/>
      <c r="BV70" s="65">
        <v>37522</v>
      </c>
      <c r="BW70" s="56">
        <v>1</v>
      </c>
      <c r="BX70" s="56">
        <v>1</v>
      </c>
      <c r="BY70" s="56"/>
      <c r="BZ70" s="65">
        <v>38037</v>
      </c>
      <c r="CA70" s="56">
        <v>0</v>
      </c>
      <c r="CB70" s="56">
        <v>0</v>
      </c>
      <c r="CC70" s="56"/>
      <c r="CD70" s="65">
        <v>36968</v>
      </c>
      <c r="CE70" s="56">
        <v>0</v>
      </c>
      <c r="CF70" s="56">
        <v>0</v>
      </c>
      <c r="CG70" s="56"/>
      <c r="CH70" s="65">
        <v>37974</v>
      </c>
      <c r="CI70" s="56">
        <v>0</v>
      </c>
      <c r="CJ70" s="56">
        <v>1</v>
      </c>
      <c r="CK70" s="56"/>
      <c r="CL70" s="65">
        <v>36093</v>
      </c>
    </row>
    <row r="71" spans="2:90">
      <c r="B71" s="3" t="s">
        <v>113</v>
      </c>
      <c r="AE71" s="18"/>
      <c r="AF71" s="13"/>
      <c r="AG71" s="13"/>
      <c r="AH71" s="13"/>
      <c r="AI71" s="13"/>
      <c r="AK71">
        <v>70</v>
      </c>
      <c r="AL71" t="s">
        <v>59</v>
      </c>
      <c r="AM71" t="s">
        <v>465</v>
      </c>
      <c r="AN71" t="str">
        <f t="shared" si="13"/>
        <v>Jacob</v>
      </c>
      <c r="AO71" cm="1">
        <f t="array" ref="AO71">INDEX($AY$2:$CL$101,$AK71,($AV$2-1)*4+1)</f>
        <v>0</v>
      </c>
      <c r="AP71" cm="1">
        <f t="array" ref="AP71">INDEX($AY$2:$CL$101,$AK71,($AV$2-1)*4+2)</f>
        <v>0</v>
      </c>
      <c r="AQ71"/>
      <c r="AR71" s="1">
        <f t="shared" si="12"/>
        <v>3.0545838598437989</v>
      </c>
      <c r="AS71" cm="1">
        <f t="array" ref="AS71">INDEX($AY$2:$CL$101,$AK71,($AV$2-1)*4+4)</f>
        <v>36559</v>
      </c>
      <c r="AT71" s="53" t="str">
        <f t="shared" si="14"/>
        <v>559</v>
      </c>
      <c r="AY71" s="56">
        <v>0</v>
      </c>
      <c r="AZ71" s="56">
        <v>0</v>
      </c>
      <c r="BA71" s="56"/>
      <c r="BB71" s="65">
        <v>36559</v>
      </c>
      <c r="BC71" s="56">
        <v>1</v>
      </c>
      <c r="BD71" s="56">
        <v>1</v>
      </c>
      <c r="BE71" s="56"/>
      <c r="BF71" s="65">
        <v>37122</v>
      </c>
      <c r="BG71" s="56">
        <v>1</v>
      </c>
      <c r="BH71" s="56">
        <v>1</v>
      </c>
      <c r="BI71" s="56"/>
      <c r="BJ71" s="65">
        <v>37229</v>
      </c>
      <c r="BK71" s="56">
        <v>1</v>
      </c>
      <c r="BL71" s="56">
        <v>1</v>
      </c>
      <c r="BM71" s="56"/>
      <c r="BN71" s="65">
        <v>38344</v>
      </c>
      <c r="BO71" s="56">
        <v>0</v>
      </c>
      <c r="BP71" s="56">
        <v>1</v>
      </c>
      <c r="BQ71" s="56"/>
      <c r="BR71" s="65">
        <v>38481</v>
      </c>
      <c r="BS71" s="56">
        <v>0</v>
      </c>
      <c r="BT71" s="56">
        <v>0</v>
      </c>
      <c r="BU71" s="56"/>
      <c r="BV71" s="65">
        <v>37094</v>
      </c>
      <c r="BW71" s="56">
        <v>0</v>
      </c>
      <c r="BX71" s="56">
        <v>1</v>
      </c>
      <c r="BY71" s="56"/>
      <c r="BZ71" s="65">
        <v>36792</v>
      </c>
      <c r="CA71" s="56">
        <v>1</v>
      </c>
      <c r="CB71" s="56">
        <v>1</v>
      </c>
      <c r="CC71" s="56"/>
      <c r="CD71" s="65">
        <v>38277</v>
      </c>
      <c r="CE71" s="56">
        <v>1</v>
      </c>
      <c r="CF71" s="56">
        <v>0</v>
      </c>
      <c r="CG71" s="56"/>
      <c r="CH71" s="65">
        <v>37226</v>
      </c>
      <c r="CI71" s="56">
        <v>1</v>
      </c>
      <c r="CJ71" s="56">
        <v>1</v>
      </c>
      <c r="CK71" s="56"/>
      <c r="CL71" s="65">
        <v>36408</v>
      </c>
    </row>
    <row r="72" spans="2:90">
      <c r="AE72" s="18"/>
      <c r="AF72" s="13"/>
      <c r="AG72" s="13"/>
      <c r="AH72" s="13"/>
      <c r="AI72" s="13"/>
      <c r="AK72">
        <v>71</v>
      </c>
      <c r="AL72" t="s">
        <v>52</v>
      </c>
      <c r="AM72" t="s">
        <v>411</v>
      </c>
      <c r="AN72" t="str">
        <f t="shared" si="13"/>
        <v>Maia</v>
      </c>
      <c r="AO72" cm="1">
        <f t="array" ref="AO72">INDEX($AY$2:$CL$101,$AK72,($AV$2-1)*4+1)</f>
        <v>1</v>
      </c>
      <c r="AP72" cm="1">
        <f t="array" ref="AP72">INDEX($AY$2:$CL$101,$AK72,($AV$2-1)*4+2)</f>
        <v>0</v>
      </c>
      <c r="AQ72"/>
      <c r="AR72" s="1">
        <f t="shared" si="12"/>
        <v>3.0545838598437989</v>
      </c>
      <c r="AS72" cm="1">
        <f t="array" ref="AS72">INDEX($AY$2:$CL$101,$AK72,($AV$2-1)*4+4)</f>
        <v>36503</v>
      </c>
      <c r="AT72" s="53" t="str">
        <f t="shared" si="14"/>
        <v>503</v>
      </c>
      <c r="AY72" s="56">
        <v>1</v>
      </c>
      <c r="AZ72" s="56">
        <v>0</v>
      </c>
      <c r="BA72" s="56"/>
      <c r="BB72" s="65">
        <v>36503</v>
      </c>
      <c r="BC72" s="56">
        <v>0</v>
      </c>
      <c r="BD72" s="56">
        <v>0</v>
      </c>
      <c r="BE72" s="56"/>
      <c r="BF72" s="65">
        <v>38442</v>
      </c>
      <c r="BG72" s="56">
        <v>0</v>
      </c>
      <c r="BH72" s="56">
        <v>1</v>
      </c>
      <c r="BI72" s="56"/>
      <c r="BJ72" s="65">
        <v>36634</v>
      </c>
      <c r="BK72" s="56">
        <v>1</v>
      </c>
      <c r="BL72" s="56">
        <v>1</v>
      </c>
      <c r="BM72" s="56"/>
      <c r="BN72" s="65">
        <v>36651</v>
      </c>
      <c r="BO72" s="56">
        <v>0</v>
      </c>
      <c r="BP72" s="56">
        <v>0</v>
      </c>
      <c r="BQ72" s="56"/>
      <c r="BR72" s="65">
        <v>36013</v>
      </c>
      <c r="BS72" s="56">
        <v>0</v>
      </c>
      <c r="BT72" s="56">
        <v>0</v>
      </c>
      <c r="BU72" s="56"/>
      <c r="BV72" s="65">
        <v>37259</v>
      </c>
      <c r="BW72" s="56">
        <v>1</v>
      </c>
      <c r="BX72" s="56">
        <v>0</v>
      </c>
      <c r="BY72" s="56"/>
      <c r="BZ72" s="65">
        <v>36066</v>
      </c>
      <c r="CA72" s="56">
        <v>1</v>
      </c>
      <c r="CB72" s="56">
        <v>1</v>
      </c>
      <c r="CC72" s="56"/>
      <c r="CD72" s="65">
        <v>35904</v>
      </c>
      <c r="CE72" s="56">
        <v>0</v>
      </c>
      <c r="CF72" s="56">
        <v>0</v>
      </c>
      <c r="CG72" s="56"/>
      <c r="CH72" s="65">
        <v>37642</v>
      </c>
      <c r="CI72" s="56">
        <v>0</v>
      </c>
      <c r="CJ72" s="56">
        <v>0</v>
      </c>
      <c r="CK72" s="56"/>
      <c r="CL72" s="65">
        <v>37609</v>
      </c>
    </row>
    <row r="73" spans="2:90">
      <c r="AE73" s="18"/>
      <c r="AF73" s="13"/>
      <c r="AG73" s="13"/>
      <c r="AH73" s="13"/>
      <c r="AI73" s="13"/>
      <c r="AK73">
        <v>72</v>
      </c>
      <c r="AL73" t="s">
        <v>87</v>
      </c>
      <c r="AM73" t="s">
        <v>413</v>
      </c>
      <c r="AN73" t="str">
        <f t="shared" si="13"/>
        <v>Lilah</v>
      </c>
      <c r="AO73" cm="1">
        <f t="array" ref="AO73">INDEX($AY$2:$CL$101,$AK73,($AV$2-1)*4+1)</f>
        <v>1</v>
      </c>
      <c r="AP73" cm="1">
        <f t="array" ref="AP73">INDEX($AY$2:$CL$101,$AK73,($AV$2-1)*4+2)</f>
        <v>1</v>
      </c>
      <c r="AQ73"/>
      <c r="AR73" s="1">
        <f t="shared" si="12"/>
        <v>3.0545838598437989</v>
      </c>
      <c r="AS73" cm="1">
        <f t="array" ref="AS73">INDEX($AY$2:$CL$101,$AK73,($AV$2-1)*4+4)</f>
        <v>36192</v>
      </c>
      <c r="AT73" s="53" t="str">
        <f t="shared" si="14"/>
        <v>192</v>
      </c>
      <c r="AY73" s="56">
        <v>1</v>
      </c>
      <c r="AZ73" s="56">
        <v>1</v>
      </c>
      <c r="BA73" s="56"/>
      <c r="BB73" s="65">
        <v>36192</v>
      </c>
      <c r="BC73" s="56">
        <v>0</v>
      </c>
      <c r="BD73" s="56">
        <v>0</v>
      </c>
      <c r="BE73" s="56"/>
      <c r="BF73" s="65">
        <v>38338</v>
      </c>
      <c r="BG73" s="56">
        <v>0</v>
      </c>
      <c r="BH73" s="56">
        <v>1</v>
      </c>
      <c r="BI73" s="56"/>
      <c r="BJ73" s="65">
        <v>37493</v>
      </c>
      <c r="BK73" s="56">
        <v>0</v>
      </c>
      <c r="BL73" s="56">
        <v>1</v>
      </c>
      <c r="BM73" s="56"/>
      <c r="BN73" s="65">
        <v>36741</v>
      </c>
      <c r="BO73" s="56">
        <v>0</v>
      </c>
      <c r="BP73" s="56">
        <v>1</v>
      </c>
      <c r="BQ73" s="56"/>
      <c r="BR73" s="65">
        <v>35757</v>
      </c>
      <c r="BS73" s="56">
        <v>1</v>
      </c>
      <c r="BT73" s="56">
        <v>0</v>
      </c>
      <c r="BU73" s="56"/>
      <c r="BV73" s="65">
        <v>38052</v>
      </c>
      <c r="BW73" s="56">
        <v>0</v>
      </c>
      <c r="BX73" s="56">
        <v>1</v>
      </c>
      <c r="BY73" s="56"/>
      <c r="BZ73" s="65">
        <v>37448</v>
      </c>
      <c r="CA73" s="56">
        <v>0</v>
      </c>
      <c r="CB73" s="56">
        <v>0</v>
      </c>
      <c r="CC73" s="56"/>
      <c r="CD73" s="65">
        <v>38086</v>
      </c>
      <c r="CE73" s="56">
        <v>1</v>
      </c>
      <c r="CF73" s="56">
        <v>0</v>
      </c>
      <c r="CG73" s="56"/>
      <c r="CH73" s="65">
        <v>37531</v>
      </c>
      <c r="CI73" s="56">
        <v>1</v>
      </c>
      <c r="CJ73" s="56">
        <v>1</v>
      </c>
      <c r="CK73" s="56"/>
      <c r="CL73" s="65">
        <v>38111</v>
      </c>
    </row>
    <row r="74" spans="2:90">
      <c r="AE74" s="18"/>
      <c r="AF74" s="13"/>
      <c r="AG74" s="13"/>
      <c r="AH74" s="13"/>
      <c r="AI74" s="13"/>
      <c r="AK74">
        <v>73</v>
      </c>
      <c r="AL74" t="s">
        <v>91</v>
      </c>
      <c r="AM74" t="s">
        <v>464</v>
      </c>
      <c r="AN74" t="str">
        <f t="shared" si="13"/>
        <v>Jerry</v>
      </c>
      <c r="AO74" cm="1">
        <f t="array" ref="AO74">INDEX($AY$2:$CL$101,$AK74,($AV$2-1)*4+1)</f>
        <v>0</v>
      </c>
      <c r="AP74" cm="1">
        <f t="array" ref="AP74">INDEX($AY$2:$CL$101,$AK74,($AV$2-1)*4+2)</f>
        <v>1</v>
      </c>
      <c r="AQ74"/>
      <c r="AR74" s="1">
        <f t="shared" si="12"/>
        <v>3.0545838598437989</v>
      </c>
      <c r="AS74" cm="1">
        <f t="array" ref="AS74">INDEX($AY$2:$CL$101,$AK74,($AV$2-1)*4+4)</f>
        <v>37095</v>
      </c>
      <c r="AT74" s="53" t="str">
        <f t="shared" si="14"/>
        <v>095</v>
      </c>
      <c r="AY74" s="56">
        <v>0</v>
      </c>
      <c r="AZ74" s="56">
        <v>1</v>
      </c>
      <c r="BA74" s="56"/>
      <c r="BB74" s="65">
        <v>37095</v>
      </c>
      <c r="BC74" s="56">
        <v>0</v>
      </c>
      <c r="BD74" s="56">
        <v>1</v>
      </c>
      <c r="BE74" s="56"/>
      <c r="BF74" s="65">
        <v>37238</v>
      </c>
      <c r="BG74" s="56">
        <v>1</v>
      </c>
      <c r="BH74" s="56">
        <v>0</v>
      </c>
      <c r="BI74" s="56"/>
      <c r="BJ74" s="65">
        <v>36751</v>
      </c>
      <c r="BK74" s="56">
        <v>1</v>
      </c>
      <c r="BL74" s="56">
        <v>1</v>
      </c>
      <c r="BM74" s="56"/>
      <c r="BN74" s="65">
        <v>35801</v>
      </c>
      <c r="BO74" s="56">
        <v>1</v>
      </c>
      <c r="BP74" s="56">
        <v>0</v>
      </c>
      <c r="BQ74" s="56"/>
      <c r="BR74" s="65">
        <v>37952</v>
      </c>
      <c r="BS74" s="56">
        <v>0</v>
      </c>
      <c r="BT74" s="56">
        <v>1</v>
      </c>
      <c r="BU74" s="56"/>
      <c r="BV74" s="65">
        <v>37893</v>
      </c>
      <c r="BW74" s="56">
        <v>1</v>
      </c>
      <c r="BX74" s="56">
        <v>1</v>
      </c>
      <c r="BY74" s="56"/>
      <c r="BZ74" s="65">
        <v>36793</v>
      </c>
      <c r="CA74" s="56">
        <v>1</v>
      </c>
      <c r="CB74" s="56">
        <v>1</v>
      </c>
      <c r="CC74" s="56"/>
      <c r="CD74" s="65">
        <v>35881</v>
      </c>
      <c r="CE74" s="56">
        <v>1</v>
      </c>
      <c r="CF74" s="56">
        <v>0</v>
      </c>
      <c r="CG74" s="56"/>
      <c r="CH74" s="65">
        <v>36923</v>
      </c>
      <c r="CI74" s="56">
        <v>1</v>
      </c>
      <c r="CJ74" s="56">
        <v>1</v>
      </c>
      <c r="CK74" s="56"/>
      <c r="CL74" s="65">
        <v>36884</v>
      </c>
    </row>
    <row r="75" spans="2:90">
      <c r="AE75" s="18"/>
      <c r="AF75" s="13"/>
      <c r="AG75" s="13"/>
      <c r="AH75" s="13"/>
      <c r="AI75" s="13"/>
      <c r="AK75">
        <v>74</v>
      </c>
      <c r="AL75" t="s">
        <v>39</v>
      </c>
      <c r="AM75" t="s">
        <v>463</v>
      </c>
      <c r="AN75" t="str">
        <f t="shared" si="13"/>
        <v>Autumn</v>
      </c>
      <c r="AO75" cm="1">
        <f t="array" ref="AO75">INDEX($AY$2:$CL$101,$AK75,($AV$2-1)*4+1)</f>
        <v>1</v>
      </c>
      <c r="AP75" cm="1">
        <f t="array" ref="AP75">INDEX($AY$2:$CL$101,$AK75,($AV$2-1)*4+2)</f>
        <v>1</v>
      </c>
      <c r="AQ75" cm="1">
        <f t="array" ref="AQ75">INDEX($AY$2:$CL$101,$AK75,($AV$2-1)*4+3)</f>
        <v>3.9354</v>
      </c>
      <c r="AR75" s="1">
        <f t="shared" ref="AR75:AR88" si="15">AQ75</f>
        <v>3.9354</v>
      </c>
      <c r="AS75" cm="1">
        <f t="array" ref="AS75">INDEX($AY$2:$CL$101,$AK75,($AV$2-1)*4+4)</f>
        <v>37379</v>
      </c>
      <c r="AT75" s="53" t="str">
        <f t="shared" si="14"/>
        <v>379</v>
      </c>
      <c r="AY75" s="56">
        <v>1</v>
      </c>
      <c r="AZ75" s="56">
        <v>1</v>
      </c>
      <c r="BA75" s="68">
        <v>3.9354</v>
      </c>
      <c r="BB75" s="65">
        <v>37379</v>
      </c>
      <c r="BC75" s="56">
        <v>1</v>
      </c>
      <c r="BD75" s="56">
        <v>1</v>
      </c>
      <c r="BE75" s="68">
        <v>3.8003999999999998</v>
      </c>
      <c r="BF75" s="65">
        <v>36237</v>
      </c>
      <c r="BG75" s="56">
        <v>1</v>
      </c>
      <c r="BH75" s="56">
        <v>1</v>
      </c>
      <c r="BI75" s="68">
        <v>3.911</v>
      </c>
      <c r="BJ75" s="65">
        <v>37526</v>
      </c>
      <c r="BK75" s="56">
        <v>1</v>
      </c>
      <c r="BL75" s="56">
        <v>0</v>
      </c>
      <c r="BM75" s="68">
        <v>3.9689000000000001</v>
      </c>
      <c r="BN75" s="65">
        <v>35799</v>
      </c>
      <c r="BO75" s="56">
        <v>0</v>
      </c>
      <c r="BP75" s="56">
        <v>1</v>
      </c>
      <c r="BQ75" s="68">
        <v>3.7551999999999999</v>
      </c>
      <c r="BR75" s="65">
        <v>36443</v>
      </c>
      <c r="BS75" s="56">
        <v>1</v>
      </c>
      <c r="BT75" s="56">
        <v>1</v>
      </c>
      <c r="BU75" s="68">
        <v>3.9874999999999998</v>
      </c>
      <c r="BV75" s="65">
        <v>35838</v>
      </c>
      <c r="BW75" s="56">
        <v>1</v>
      </c>
      <c r="BX75" s="56">
        <v>0</v>
      </c>
      <c r="BY75" s="68">
        <v>3.9533999999999998</v>
      </c>
      <c r="BZ75" s="65">
        <v>37948</v>
      </c>
      <c r="CA75" s="56">
        <v>0</v>
      </c>
      <c r="CB75" s="56">
        <v>1</v>
      </c>
      <c r="CC75" s="68">
        <v>3.9058999999999999</v>
      </c>
      <c r="CD75" s="65">
        <v>38196</v>
      </c>
      <c r="CE75" s="56">
        <v>1</v>
      </c>
      <c r="CF75" s="56">
        <v>1</v>
      </c>
      <c r="CG75" s="68">
        <v>3.6217999999999999</v>
      </c>
      <c r="CH75" s="65">
        <v>36383</v>
      </c>
      <c r="CI75" s="56">
        <v>1</v>
      </c>
      <c r="CJ75" s="56">
        <v>0</v>
      </c>
      <c r="CK75" s="68">
        <v>3.8523999999999998</v>
      </c>
      <c r="CL75" s="65">
        <v>38145</v>
      </c>
    </row>
    <row r="76" spans="2:90">
      <c r="AE76" s="18"/>
      <c r="AF76" s="13"/>
      <c r="AG76" s="13"/>
      <c r="AH76" s="13"/>
      <c r="AI76" s="13"/>
      <c r="AK76">
        <v>75</v>
      </c>
      <c r="AL76" t="s">
        <v>41</v>
      </c>
      <c r="AM76" t="s">
        <v>414</v>
      </c>
      <c r="AN76" t="str">
        <f t="shared" si="13"/>
        <v>Andrew</v>
      </c>
      <c r="AO76" cm="1">
        <f t="array" ref="AO76">INDEX($AY$2:$CL$101,$AK76,($AV$2-1)*4+1)</f>
        <v>0</v>
      </c>
      <c r="AP76" cm="1">
        <f t="array" ref="AP76">INDEX($AY$2:$CL$101,$AK76,($AV$2-1)*4+2)</f>
        <v>0</v>
      </c>
      <c r="AQ76" cm="1">
        <f t="array" ref="AQ76">INDEX($AY$2:$CL$101,$AK76,($AV$2-1)*4+3)</f>
        <v>2.8811058170623181</v>
      </c>
      <c r="AR76" s="1">
        <f t="shared" si="15"/>
        <v>2.8811058170623181</v>
      </c>
      <c r="AS76" cm="1">
        <f t="array" ref="AS76">INDEX($AY$2:$CL$101,$AK76,($AV$2-1)*4+4)</f>
        <v>38128</v>
      </c>
      <c r="AT76" s="53" t="str">
        <f t="shared" si="14"/>
        <v>128</v>
      </c>
      <c r="AY76" s="56">
        <v>0</v>
      </c>
      <c r="AZ76" s="56">
        <v>0</v>
      </c>
      <c r="BA76" s="56">
        <v>2.8811058170623181</v>
      </c>
      <c r="BB76" s="65">
        <v>38128</v>
      </c>
      <c r="BC76" s="56">
        <v>0</v>
      </c>
      <c r="BD76" s="56">
        <v>1</v>
      </c>
      <c r="BE76" s="56">
        <v>2.8811058170623181</v>
      </c>
      <c r="BF76" s="65">
        <v>38407</v>
      </c>
      <c r="BG76" s="56">
        <v>0</v>
      </c>
      <c r="BH76" s="56">
        <v>1</v>
      </c>
      <c r="BI76" s="56">
        <v>2.8811058170623181</v>
      </c>
      <c r="BJ76" s="65">
        <v>38359</v>
      </c>
      <c r="BK76" s="56">
        <v>0</v>
      </c>
      <c r="BL76" s="56">
        <v>0</v>
      </c>
      <c r="BM76" s="56">
        <v>2.8811058170623181</v>
      </c>
      <c r="BN76" s="65">
        <v>35633</v>
      </c>
      <c r="BO76" s="56">
        <v>0</v>
      </c>
      <c r="BP76" s="56">
        <v>1</v>
      </c>
      <c r="BQ76" s="56">
        <v>2.8811058170623181</v>
      </c>
      <c r="BR76" s="65">
        <v>35983</v>
      </c>
      <c r="BS76" s="56">
        <v>1</v>
      </c>
      <c r="BT76" s="56">
        <v>1</v>
      </c>
      <c r="BU76" s="56">
        <v>2.8811058170623181</v>
      </c>
      <c r="BV76" s="65">
        <v>37768</v>
      </c>
      <c r="BW76" s="56">
        <v>0</v>
      </c>
      <c r="BX76" s="56">
        <v>0</v>
      </c>
      <c r="BY76" s="56">
        <v>2.8811058170623181</v>
      </c>
      <c r="BZ76" s="65">
        <v>36024</v>
      </c>
      <c r="CA76" s="56">
        <v>1</v>
      </c>
      <c r="CB76" s="56">
        <v>1</v>
      </c>
      <c r="CC76" s="56">
        <v>2.8811058170623181</v>
      </c>
      <c r="CD76" s="65">
        <v>36835</v>
      </c>
      <c r="CE76" s="56">
        <v>1</v>
      </c>
      <c r="CF76" s="56">
        <v>1</v>
      </c>
      <c r="CG76" s="56">
        <v>2.8811058170623181</v>
      </c>
      <c r="CH76" s="65">
        <v>37781</v>
      </c>
      <c r="CI76" s="56">
        <v>1</v>
      </c>
      <c r="CJ76" s="56">
        <v>0</v>
      </c>
      <c r="CK76" s="56">
        <v>2.8811058170623181</v>
      </c>
      <c r="CL76" s="65">
        <v>36269</v>
      </c>
    </row>
    <row r="77" spans="2:90">
      <c r="AE77" s="18"/>
      <c r="AF77" s="13"/>
      <c r="AG77" s="13"/>
      <c r="AH77" s="13"/>
      <c r="AI77" s="13"/>
      <c r="AK77">
        <v>76</v>
      </c>
      <c r="AL77" t="s">
        <v>48</v>
      </c>
      <c r="AM77" t="s">
        <v>462</v>
      </c>
      <c r="AN77" t="str">
        <f t="shared" si="13"/>
        <v>George</v>
      </c>
      <c r="AO77" cm="1">
        <f t="array" ref="AO77">INDEX($AY$2:$CL$101,$AK77,($AV$2-1)*4+1)</f>
        <v>0</v>
      </c>
      <c r="AP77" cm="1">
        <f t="array" ref="AP77">INDEX($AY$2:$CL$101,$AK77,($AV$2-1)*4+2)</f>
        <v>1</v>
      </c>
      <c r="AQ77" cm="1">
        <f t="array" ref="AQ77">INDEX($AY$2:$CL$101,$AK77,($AV$2-1)*4+3)</f>
        <v>3.009269268628981</v>
      </c>
      <c r="AR77" s="1">
        <f t="shared" si="15"/>
        <v>3.009269268628981</v>
      </c>
      <c r="AS77" cm="1">
        <f t="array" ref="AS77">INDEX($AY$2:$CL$101,$AK77,($AV$2-1)*4+4)</f>
        <v>38209</v>
      </c>
      <c r="AT77" s="53" t="str">
        <f t="shared" si="14"/>
        <v>209</v>
      </c>
      <c r="AY77" s="56">
        <v>0</v>
      </c>
      <c r="AZ77" s="56">
        <v>1</v>
      </c>
      <c r="BA77" s="56">
        <v>3.009269268628981</v>
      </c>
      <c r="BB77" s="65">
        <v>38209</v>
      </c>
      <c r="BC77" s="56">
        <v>1</v>
      </c>
      <c r="BD77" s="56">
        <v>0</v>
      </c>
      <c r="BE77" s="56">
        <v>3.5733421816791031</v>
      </c>
      <c r="BF77" s="65">
        <v>36124</v>
      </c>
      <c r="BG77" s="56">
        <v>1</v>
      </c>
      <c r="BH77" s="56">
        <v>1</v>
      </c>
      <c r="BI77" s="56">
        <v>2.5281121495028658</v>
      </c>
      <c r="BJ77" s="65">
        <v>36081</v>
      </c>
      <c r="BK77" s="56">
        <v>1</v>
      </c>
      <c r="BL77" s="56">
        <v>0</v>
      </c>
      <c r="BM77" s="56">
        <v>3.974791378134924</v>
      </c>
      <c r="BN77" s="65">
        <v>36561</v>
      </c>
      <c r="BO77" s="56">
        <v>1</v>
      </c>
      <c r="BP77" s="56">
        <v>1</v>
      </c>
      <c r="BQ77" s="56">
        <v>2.7367459856746654</v>
      </c>
      <c r="BR77" s="65">
        <v>37333</v>
      </c>
      <c r="BS77" s="56">
        <v>0</v>
      </c>
      <c r="BT77" s="56">
        <v>0</v>
      </c>
      <c r="BU77" s="56">
        <v>2.6612465931146572</v>
      </c>
      <c r="BV77" s="65">
        <v>36779</v>
      </c>
      <c r="BW77" s="56">
        <v>1</v>
      </c>
      <c r="BX77" s="56">
        <v>1</v>
      </c>
      <c r="BY77" s="56">
        <v>3.7294350712930964</v>
      </c>
      <c r="BZ77" s="65">
        <v>36757</v>
      </c>
      <c r="CA77" s="56">
        <v>0</v>
      </c>
      <c r="CB77" s="56">
        <v>1</v>
      </c>
      <c r="CC77" s="56">
        <v>2.788348292165991</v>
      </c>
      <c r="CD77" s="65">
        <v>35727</v>
      </c>
      <c r="CE77" s="56">
        <v>1</v>
      </c>
      <c r="CF77" s="56">
        <v>1</v>
      </c>
      <c r="CG77" s="56">
        <v>2.8167162642346582</v>
      </c>
      <c r="CH77" s="65">
        <v>36079</v>
      </c>
      <c r="CI77" s="56">
        <v>0</v>
      </c>
      <c r="CJ77" s="56">
        <v>0</v>
      </c>
      <c r="CK77" s="56">
        <v>3.2990167403492077</v>
      </c>
      <c r="CL77" s="65">
        <v>36348</v>
      </c>
    </row>
    <row r="78" spans="2:90">
      <c r="AE78" s="18"/>
      <c r="AF78" s="13"/>
      <c r="AG78" s="13"/>
      <c r="AH78" s="13"/>
      <c r="AJ78" s="13"/>
      <c r="AK78">
        <v>77</v>
      </c>
      <c r="AL78" t="s">
        <v>80</v>
      </c>
      <c r="AM78" t="s">
        <v>415</v>
      </c>
      <c r="AN78" t="str">
        <f t="shared" si="13"/>
        <v>Adalynn</v>
      </c>
      <c r="AO78" cm="1">
        <f t="array" ref="AO78">INDEX($AY$2:$CL$101,$AK78,($AV$2-1)*4+1)</f>
        <v>1</v>
      </c>
      <c r="AP78" cm="1">
        <f t="array" ref="AP78">INDEX($AY$2:$CL$101,$AK78,($AV$2-1)*4+2)</f>
        <v>0</v>
      </c>
      <c r="AQ78" cm="1">
        <f t="array" ref="AQ78">INDEX($AY$2:$CL$101,$AK78,($AV$2-1)*4+3)</f>
        <v>2.8811058170623181</v>
      </c>
      <c r="AR78" s="1">
        <f t="shared" si="15"/>
        <v>2.8811058170623181</v>
      </c>
      <c r="AS78" cm="1">
        <f t="array" ref="AS78">INDEX($AY$2:$CL$101,$AK78,($AV$2-1)*4+4)</f>
        <v>37006</v>
      </c>
      <c r="AT78" s="53" t="str">
        <f t="shared" si="14"/>
        <v>006</v>
      </c>
      <c r="AY78" s="56">
        <v>1</v>
      </c>
      <c r="AZ78" s="56">
        <v>0</v>
      </c>
      <c r="BA78" s="56">
        <v>2.8811058170623181</v>
      </c>
      <c r="BB78" s="65">
        <v>37006</v>
      </c>
      <c r="BC78" s="56">
        <v>0</v>
      </c>
      <c r="BD78" s="56">
        <v>0</v>
      </c>
      <c r="BE78" s="56">
        <v>2.8811058170623181</v>
      </c>
      <c r="BF78" s="65">
        <v>37233</v>
      </c>
      <c r="BG78" s="56">
        <v>0</v>
      </c>
      <c r="BH78" s="56">
        <v>1</v>
      </c>
      <c r="BI78" s="56">
        <v>2.8811058170623181</v>
      </c>
      <c r="BJ78" s="65">
        <v>37891</v>
      </c>
      <c r="BK78" s="56">
        <v>0</v>
      </c>
      <c r="BL78" s="56">
        <v>0</v>
      </c>
      <c r="BM78" s="56">
        <v>2.8811058170623181</v>
      </c>
      <c r="BN78" s="65">
        <v>38084</v>
      </c>
      <c r="BO78" s="56">
        <v>0</v>
      </c>
      <c r="BP78" s="56">
        <v>0</v>
      </c>
      <c r="BQ78" s="56">
        <v>2.8811058170623181</v>
      </c>
      <c r="BR78" s="65">
        <v>36631</v>
      </c>
      <c r="BS78" s="56">
        <v>1</v>
      </c>
      <c r="BT78" s="56">
        <v>1</v>
      </c>
      <c r="BU78" s="56">
        <v>2.8811058170623181</v>
      </c>
      <c r="BV78" s="65">
        <v>37312</v>
      </c>
      <c r="BW78" s="56">
        <v>0</v>
      </c>
      <c r="BX78" s="56">
        <v>0</v>
      </c>
      <c r="BY78" s="56">
        <v>2.8811058170623181</v>
      </c>
      <c r="BZ78" s="65">
        <v>35586</v>
      </c>
      <c r="CA78" s="56">
        <v>0</v>
      </c>
      <c r="CB78" s="56">
        <v>0</v>
      </c>
      <c r="CC78" s="56">
        <v>2.8811058170623181</v>
      </c>
      <c r="CD78" s="65">
        <v>38062</v>
      </c>
      <c r="CE78" s="56">
        <v>1</v>
      </c>
      <c r="CF78" s="56">
        <v>0</v>
      </c>
      <c r="CG78" s="56">
        <v>2.8811058170623181</v>
      </c>
      <c r="CH78" s="65">
        <v>36888</v>
      </c>
      <c r="CI78" s="56">
        <v>1</v>
      </c>
      <c r="CJ78" s="56">
        <v>0</v>
      </c>
      <c r="CK78" s="56">
        <v>2.8811058170623181</v>
      </c>
      <c r="CL78" s="65">
        <v>38116</v>
      </c>
    </row>
    <row r="79" spans="2:90">
      <c r="AE79" s="18"/>
      <c r="AF79" s="13"/>
      <c r="AG79" s="13"/>
      <c r="AH79" s="13"/>
      <c r="AI79" s="13"/>
      <c r="AK79">
        <v>78</v>
      </c>
      <c r="AL79" t="s">
        <v>97</v>
      </c>
      <c r="AM79" t="s">
        <v>461</v>
      </c>
      <c r="AN79" t="str">
        <f t="shared" si="13"/>
        <v>Matilda</v>
      </c>
      <c r="AO79" cm="1">
        <f t="array" ref="AO79">INDEX($AY$2:$CL$101,$AK79,($AV$2-1)*4+1)</f>
        <v>1</v>
      </c>
      <c r="AP79" cm="1">
        <f t="array" ref="AP79">INDEX($AY$2:$CL$101,$AK79,($AV$2-1)*4+2)</f>
        <v>0</v>
      </c>
      <c r="AQ79" cm="1">
        <f t="array" ref="AQ79">INDEX($AY$2:$CL$101,$AK79,($AV$2-1)*4+3)</f>
        <v>2.9575279798488685</v>
      </c>
      <c r="AR79" s="1">
        <f t="shared" si="15"/>
        <v>2.9575279798488685</v>
      </c>
      <c r="AS79" cm="1">
        <f t="array" ref="AS79">INDEX($AY$2:$CL$101,$AK79,($AV$2-1)*4+4)</f>
        <v>36628</v>
      </c>
      <c r="AT79" s="53" t="str">
        <f t="shared" si="14"/>
        <v>628</v>
      </c>
      <c r="AY79" s="56">
        <v>1</v>
      </c>
      <c r="AZ79" s="56">
        <v>0</v>
      </c>
      <c r="BA79" s="56">
        <v>2.9575279798488685</v>
      </c>
      <c r="BB79" s="65">
        <v>36628</v>
      </c>
      <c r="BC79" s="56">
        <v>0</v>
      </c>
      <c r="BD79" s="56">
        <v>1</v>
      </c>
      <c r="BE79" s="56">
        <v>2.4828987500552668</v>
      </c>
      <c r="BF79" s="65">
        <v>37769</v>
      </c>
      <c r="BG79" s="56">
        <v>1</v>
      </c>
      <c r="BH79" s="56">
        <v>1</v>
      </c>
      <c r="BI79" s="56">
        <v>3.303954376039286</v>
      </c>
      <c r="BJ79" s="65">
        <v>38341</v>
      </c>
      <c r="BK79" s="56">
        <v>1</v>
      </c>
      <c r="BL79" s="56">
        <v>1</v>
      </c>
      <c r="BM79" s="56">
        <v>2.7912133928706138</v>
      </c>
      <c r="BN79" s="65">
        <v>37452</v>
      </c>
      <c r="BO79" s="56">
        <v>1</v>
      </c>
      <c r="BP79" s="56">
        <v>0</v>
      </c>
      <c r="BQ79" s="56">
        <v>2.3690177738703708</v>
      </c>
      <c r="BR79" s="65">
        <v>37072</v>
      </c>
      <c r="BS79" s="56">
        <v>1</v>
      </c>
      <c r="BT79" s="56">
        <v>1</v>
      </c>
      <c r="BU79" s="56">
        <v>3.9233214871574669</v>
      </c>
      <c r="BV79" s="65">
        <v>38353</v>
      </c>
      <c r="BW79" s="56">
        <v>0</v>
      </c>
      <c r="BX79" s="56">
        <v>0</v>
      </c>
      <c r="BY79" s="56">
        <v>3.3667257824480545</v>
      </c>
      <c r="BZ79" s="65">
        <v>37259</v>
      </c>
      <c r="CA79" s="56">
        <v>1</v>
      </c>
      <c r="CB79" s="56">
        <v>1</v>
      </c>
      <c r="CC79" s="56">
        <v>2.1700974828542448</v>
      </c>
      <c r="CD79" s="65">
        <v>36369</v>
      </c>
      <c r="CE79" s="56">
        <v>1</v>
      </c>
      <c r="CF79" s="56">
        <v>0</v>
      </c>
      <c r="CG79" s="56">
        <v>2.6031768574022296</v>
      </c>
      <c r="CH79" s="65">
        <v>37752</v>
      </c>
      <c r="CI79" s="56">
        <v>1</v>
      </c>
      <c r="CJ79" s="56">
        <v>1</v>
      </c>
      <c r="CK79" s="56">
        <v>2.8144127948786943</v>
      </c>
      <c r="CL79" s="65">
        <v>36482</v>
      </c>
    </row>
    <row r="80" spans="2:90">
      <c r="AD80" s="7"/>
      <c r="AE80" s="18"/>
      <c r="AF80" s="13"/>
      <c r="AG80" s="13"/>
      <c r="AH80" s="13"/>
      <c r="AI80" s="13"/>
      <c r="AK80">
        <v>79</v>
      </c>
      <c r="AL80" t="s">
        <v>98</v>
      </c>
      <c r="AM80" t="s">
        <v>460</v>
      </c>
      <c r="AN80" t="str">
        <f t="shared" si="13"/>
        <v>Zed</v>
      </c>
      <c r="AO80" cm="1">
        <f t="array" ref="AO80">INDEX($AY$2:$CL$101,$AK80,($AV$2-1)*4+1)</f>
        <v>0</v>
      </c>
      <c r="AP80" cm="1">
        <f t="array" ref="AP80">INDEX($AY$2:$CL$101,$AK80,($AV$2-1)*4+2)</f>
        <v>1</v>
      </c>
      <c r="AQ80" cm="1">
        <f t="array" ref="AQ80">INDEX($AY$2:$CL$101,$AK80,($AV$2-1)*4+3)</f>
        <v>2.8811058170623181</v>
      </c>
      <c r="AR80" s="1">
        <f t="shared" si="15"/>
        <v>2.8811058170623181</v>
      </c>
      <c r="AS80" cm="1">
        <f t="array" ref="AS80">INDEX($AY$2:$CL$101,$AK80,($AV$2-1)*4+4)</f>
        <v>36421</v>
      </c>
      <c r="AT80" s="53" t="str">
        <f t="shared" si="14"/>
        <v>421</v>
      </c>
      <c r="AY80" s="56">
        <v>0</v>
      </c>
      <c r="AZ80" s="56">
        <v>1</v>
      </c>
      <c r="BA80" s="56">
        <v>2.8811058170623181</v>
      </c>
      <c r="BB80" s="65">
        <v>36421</v>
      </c>
      <c r="BC80" s="56">
        <v>1</v>
      </c>
      <c r="BD80" s="56">
        <v>0</v>
      </c>
      <c r="BE80" s="56">
        <v>2.8811058170623181</v>
      </c>
      <c r="BF80" s="65">
        <v>38186</v>
      </c>
      <c r="BG80" s="56">
        <v>0</v>
      </c>
      <c r="BH80" s="56">
        <v>0</v>
      </c>
      <c r="BI80" s="56">
        <v>2.8811058170623181</v>
      </c>
      <c r="BJ80" s="65">
        <v>37118</v>
      </c>
      <c r="BK80" s="56">
        <v>0</v>
      </c>
      <c r="BL80" s="56">
        <v>1</v>
      </c>
      <c r="BM80" s="56">
        <v>2.8811058170623181</v>
      </c>
      <c r="BN80" s="65">
        <v>37980</v>
      </c>
      <c r="BO80" s="56">
        <v>0</v>
      </c>
      <c r="BP80" s="56">
        <v>1</v>
      </c>
      <c r="BQ80" s="56">
        <v>2.8811058170623181</v>
      </c>
      <c r="BR80" s="65">
        <v>38247</v>
      </c>
      <c r="BS80" s="56">
        <v>0</v>
      </c>
      <c r="BT80" s="56">
        <v>0</v>
      </c>
      <c r="BU80" s="56">
        <v>2.8811058170623181</v>
      </c>
      <c r="BV80" s="65">
        <v>36649</v>
      </c>
      <c r="BW80" s="56">
        <v>1</v>
      </c>
      <c r="BX80" s="56">
        <v>0</v>
      </c>
      <c r="BY80" s="56">
        <v>2.8811058170623181</v>
      </c>
      <c r="BZ80" s="65">
        <v>36622</v>
      </c>
      <c r="CA80" s="56">
        <v>1</v>
      </c>
      <c r="CB80" s="56">
        <v>0</v>
      </c>
      <c r="CC80" s="56">
        <v>2.8811058170623181</v>
      </c>
      <c r="CD80" s="65">
        <v>38082</v>
      </c>
      <c r="CE80" s="56">
        <v>0</v>
      </c>
      <c r="CF80" s="56">
        <v>0</v>
      </c>
      <c r="CG80" s="56">
        <v>2.8811058170623181</v>
      </c>
      <c r="CH80" s="65">
        <v>38476</v>
      </c>
      <c r="CI80" s="56">
        <v>0</v>
      </c>
      <c r="CJ80" s="56">
        <v>1</v>
      </c>
      <c r="CK80" s="56">
        <v>2.8811058170623181</v>
      </c>
      <c r="CL80" s="65">
        <v>36450</v>
      </c>
    </row>
    <row r="81" spans="30:90">
      <c r="AD81" s="7"/>
      <c r="AE81" s="7"/>
      <c r="AF81" s="7"/>
      <c r="AG81" s="7"/>
      <c r="AH81" s="7"/>
      <c r="AI81" s="7"/>
      <c r="AK81">
        <v>80</v>
      </c>
      <c r="AL81" t="s">
        <v>83</v>
      </c>
      <c r="AM81" t="s">
        <v>459</v>
      </c>
      <c r="AN81" t="str">
        <f t="shared" si="13"/>
        <v>Frank</v>
      </c>
      <c r="AO81" cm="1">
        <f t="array" ref="AO81">INDEX($AY$2:$CL$101,$AK81,($AV$2-1)*4+1)</f>
        <v>0</v>
      </c>
      <c r="AP81" cm="1">
        <f t="array" ref="AP81">INDEX($AY$2:$CL$101,$AK81,($AV$2-1)*4+2)</f>
        <v>1</v>
      </c>
      <c r="AQ81" cm="1">
        <f t="array" ref="AQ81">INDEX($AY$2:$CL$101,$AK81,($AV$2-1)*4+3)</f>
        <v>3.6976950812244205</v>
      </c>
      <c r="AR81" s="1">
        <f t="shared" si="15"/>
        <v>3.6976950812244205</v>
      </c>
      <c r="AS81" cm="1">
        <f t="array" ref="AS81">INDEX($AY$2:$CL$101,$AK81,($AV$2-1)*4+4)</f>
        <v>38334</v>
      </c>
      <c r="AT81" s="53" t="str">
        <f t="shared" si="14"/>
        <v>334</v>
      </c>
      <c r="AY81" s="56">
        <v>0</v>
      </c>
      <c r="AZ81" s="56">
        <v>1</v>
      </c>
      <c r="BA81" s="56">
        <v>3.6976950812244205</v>
      </c>
      <c r="BB81" s="65">
        <v>38334</v>
      </c>
      <c r="BC81" s="56">
        <v>0</v>
      </c>
      <c r="BD81" s="56">
        <v>0</v>
      </c>
      <c r="BE81" s="56">
        <v>3.6688956016352536</v>
      </c>
      <c r="BF81" s="65">
        <v>36872</v>
      </c>
      <c r="BG81" s="56">
        <v>0</v>
      </c>
      <c r="BH81" s="56">
        <v>0</v>
      </c>
      <c r="BI81" s="56">
        <v>3.3286572673863843</v>
      </c>
      <c r="BJ81" s="65">
        <v>37199</v>
      </c>
      <c r="BK81" s="56">
        <v>1</v>
      </c>
      <c r="BL81" s="56">
        <v>1</v>
      </c>
      <c r="BM81" s="56">
        <v>2.7299735247389005</v>
      </c>
      <c r="BN81" s="65">
        <v>36173</v>
      </c>
      <c r="BO81" s="56">
        <v>0</v>
      </c>
      <c r="BP81" s="56">
        <v>0</v>
      </c>
      <c r="BQ81" s="56">
        <v>2.5534410580862286</v>
      </c>
      <c r="BR81" s="65">
        <v>36497</v>
      </c>
      <c r="BS81" s="56">
        <v>0</v>
      </c>
      <c r="BT81" s="56">
        <v>1</v>
      </c>
      <c r="BU81" s="56">
        <v>2.8808018495854499</v>
      </c>
      <c r="BV81" s="65">
        <v>35512</v>
      </c>
      <c r="BW81" s="56">
        <v>1</v>
      </c>
      <c r="BX81" s="56">
        <v>0</v>
      </c>
      <c r="BY81" s="56">
        <v>2.2057753500789721</v>
      </c>
      <c r="BZ81" s="65">
        <v>36558</v>
      </c>
      <c r="CA81" s="56">
        <v>1</v>
      </c>
      <c r="CB81" s="56">
        <v>0</v>
      </c>
      <c r="CC81" s="56">
        <v>2.2177222871137126</v>
      </c>
      <c r="CD81" s="65">
        <v>37279</v>
      </c>
      <c r="CE81" s="56">
        <v>1</v>
      </c>
      <c r="CF81" s="56">
        <v>0</v>
      </c>
      <c r="CG81" s="56">
        <v>3.0562080755219228</v>
      </c>
      <c r="CH81" s="65">
        <v>36668</v>
      </c>
      <c r="CI81" s="56">
        <v>0</v>
      </c>
      <c r="CJ81" s="56">
        <v>0</v>
      </c>
      <c r="CK81" s="56">
        <v>3.5226079585001711</v>
      </c>
      <c r="CL81" s="65">
        <v>36108</v>
      </c>
    </row>
    <row r="82" spans="30:90">
      <c r="AE82" s="18"/>
      <c r="AF82" s="13"/>
      <c r="AG82" s="13"/>
      <c r="AH82" s="13"/>
      <c r="AI82" s="13"/>
      <c r="AK82">
        <v>81</v>
      </c>
      <c r="AL82" t="s">
        <v>56</v>
      </c>
      <c r="AM82" t="s">
        <v>458</v>
      </c>
      <c r="AN82" t="str">
        <f t="shared" si="13"/>
        <v>Daphne</v>
      </c>
      <c r="AO82" cm="1">
        <f t="array" ref="AO82">INDEX($AY$2:$CL$101,$AK82,($AV$2-1)*4+1)</f>
        <v>1</v>
      </c>
      <c r="AP82" cm="1">
        <f t="array" ref="AP82">INDEX($AY$2:$CL$101,$AK82,($AV$2-1)*4+2)</f>
        <v>1</v>
      </c>
      <c r="AQ82" cm="1">
        <f t="array" ref="AQ82">INDEX($AY$2:$CL$101,$AK82,($AV$2-1)*4+3)</f>
        <v>2.8811058170623181</v>
      </c>
      <c r="AR82" s="1">
        <f t="shared" si="15"/>
        <v>2.8811058170623181</v>
      </c>
      <c r="AS82" cm="1">
        <f t="array" ref="AS82">INDEX($AY$2:$CL$101,$AK82,($AV$2-1)*4+4)</f>
        <v>36443</v>
      </c>
      <c r="AT82" s="53" t="str">
        <f t="shared" si="14"/>
        <v>443</v>
      </c>
      <c r="AY82" s="56">
        <v>1</v>
      </c>
      <c r="AZ82" s="56">
        <v>1</v>
      </c>
      <c r="BA82" s="56">
        <v>2.8811058170623181</v>
      </c>
      <c r="BB82" s="65">
        <v>36443</v>
      </c>
      <c r="BC82" s="56">
        <v>0</v>
      </c>
      <c r="BD82" s="56">
        <v>0</v>
      </c>
      <c r="BE82" s="56">
        <v>2.8811058170623181</v>
      </c>
      <c r="BF82" s="65">
        <v>37317</v>
      </c>
      <c r="BG82" s="56">
        <v>0</v>
      </c>
      <c r="BH82" s="56">
        <v>0</v>
      </c>
      <c r="BI82" s="56">
        <v>2.8811058170623181</v>
      </c>
      <c r="BJ82" s="65">
        <v>37960</v>
      </c>
      <c r="BK82" s="56">
        <v>0</v>
      </c>
      <c r="BL82" s="56">
        <v>0</v>
      </c>
      <c r="BM82" s="56">
        <v>2.8811058170623181</v>
      </c>
      <c r="BN82" s="65">
        <v>38242</v>
      </c>
      <c r="BO82" s="56">
        <v>1</v>
      </c>
      <c r="BP82" s="56">
        <v>1</v>
      </c>
      <c r="BQ82" s="56">
        <v>2.8811058170623181</v>
      </c>
      <c r="BR82" s="65">
        <v>36126</v>
      </c>
      <c r="BS82" s="56">
        <v>0</v>
      </c>
      <c r="BT82" s="56">
        <v>1</v>
      </c>
      <c r="BU82" s="56">
        <v>2.8811058170623181</v>
      </c>
      <c r="BV82" s="65">
        <v>36394</v>
      </c>
      <c r="BW82" s="56">
        <v>1</v>
      </c>
      <c r="BX82" s="56">
        <v>1</v>
      </c>
      <c r="BY82" s="56">
        <v>2.8811058170623181</v>
      </c>
      <c r="BZ82" s="65">
        <v>36262</v>
      </c>
      <c r="CA82" s="56">
        <v>1</v>
      </c>
      <c r="CB82" s="56">
        <v>1</v>
      </c>
      <c r="CC82" s="56">
        <v>2.8811058170623181</v>
      </c>
      <c r="CD82" s="65">
        <v>35859</v>
      </c>
      <c r="CE82" s="56">
        <v>0</v>
      </c>
      <c r="CF82" s="56">
        <v>1</v>
      </c>
      <c r="CG82" s="56">
        <v>2.8811058170623181</v>
      </c>
      <c r="CH82" s="65">
        <v>37545</v>
      </c>
      <c r="CI82" s="56">
        <v>1</v>
      </c>
      <c r="CJ82" s="56">
        <v>0</v>
      </c>
      <c r="CK82" s="56">
        <v>2.8811058170623181</v>
      </c>
      <c r="CL82" s="65">
        <v>36706</v>
      </c>
    </row>
    <row r="83" spans="30:90">
      <c r="AE83" s="18"/>
      <c r="AF83" s="13"/>
      <c r="AG83" s="13"/>
      <c r="AH83" s="13"/>
      <c r="AI83" s="13"/>
      <c r="AK83">
        <v>82</v>
      </c>
      <c r="AL83" t="s">
        <v>82</v>
      </c>
      <c r="AM83" t="s">
        <v>457</v>
      </c>
      <c r="AN83" t="str">
        <f t="shared" si="13"/>
        <v>Olive</v>
      </c>
      <c r="AO83" cm="1">
        <f t="array" ref="AO83">INDEX($AY$2:$CL$101,$AK83,($AV$2-1)*4+1)</f>
        <v>1</v>
      </c>
      <c r="AP83" cm="1">
        <f t="array" ref="AP83">INDEX($AY$2:$CL$101,$AK83,($AV$2-1)*4+2)</f>
        <v>1</v>
      </c>
      <c r="AQ83" cm="1">
        <f t="array" ref="AQ83">INDEX($AY$2:$CL$101,$AK83,($AV$2-1)*4+3)</f>
        <v>3.3341806716957678</v>
      </c>
      <c r="AR83" s="1">
        <f t="shared" si="15"/>
        <v>3.3341806716957678</v>
      </c>
      <c r="AS83" cm="1">
        <f t="array" ref="AS83">INDEX($AY$2:$CL$101,$AK83,($AV$2-1)*4+4)</f>
        <v>36540</v>
      </c>
      <c r="AT83" s="53" t="str">
        <f t="shared" si="14"/>
        <v>540</v>
      </c>
      <c r="AY83" s="56">
        <v>1</v>
      </c>
      <c r="AZ83" s="56">
        <v>1</v>
      </c>
      <c r="BA83" s="56">
        <v>3.3341806716957678</v>
      </c>
      <c r="BB83" s="65">
        <v>36540</v>
      </c>
      <c r="BC83" s="56">
        <v>0</v>
      </c>
      <c r="BD83" s="56">
        <v>1</v>
      </c>
      <c r="BE83" s="56">
        <v>2.8493249949895532</v>
      </c>
      <c r="BF83" s="65">
        <v>37937</v>
      </c>
      <c r="BG83" s="56">
        <v>1</v>
      </c>
      <c r="BH83" s="56">
        <v>1</v>
      </c>
      <c r="BI83" s="56">
        <v>2.2729803968909841</v>
      </c>
      <c r="BJ83" s="65">
        <v>37403</v>
      </c>
      <c r="BK83" s="56">
        <v>1</v>
      </c>
      <c r="BL83" s="56">
        <v>1</v>
      </c>
      <c r="BM83" s="56">
        <v>3.7743837759252452</v>
      </c>
      <c r="BN83" s="65">
        <v>36371</v>
      </c>
      <c r="BO83" s="56">
        <v>1</v>
      </c>
      <c r="BP83" s="56">
        <v>1</v>
      </c>
      <c r="BQ83" s="56">
        <v>3.2885555465684826</v>
      </c>
      <c r="BR83" s="65">
        <v>36083</v>
      </c>
      <c r="BS83" s="56">
        <v>1</v>
      </c>
      <c r="BT83" s="56">
        <v>0</v>
      </c>
      <c r="BU83" s="56">
        <v>2.3280203429978004</v>
      </c>
      <c r="BV83" s="65">
        <v>38306</v>
      </c>
      <c r="BW83" s="56">
        <v>1</v>
      </c>
      <c r="BX83" s="56">
        <v>1</v>
      </c>
      <c r="BY83" s="56">
        <v>2.8956928845434868</v>
      </c>
      <c r="BZ83" s="65">
        <v>38174</v>
      </c>
      <c r="CA83" s="56">
        <v>0</v>
      </c>
      <c r="CB83" s="56">
        <v>1</v>
      </c>
      <c r="CC83" s="56">
        <v>3.128701428074971</v>
      </c>
      <c r="CD83" s="65">
        <v>37366</v>
      </c>
      <c r="CE83" s="56">
        <v>1</v>
      </c>
      <c r="CF83" s="56">
        <v>1</v>
      </c>
      <c r="CG83" s="56">
        <v>3.3429491541621932</v>
      </c>
      <c r="CH83" s="65">
        <v>37517</v>
      </c>
      <c r="CI83" s="56">
        <v>0</v>
      </c>
      <c r="CJ83" s="56">
        <v>1</v>
      </c>
      <c r="CK83" s="56">
        <v>3.9837121475451678</v>
      </c>
      <c r="CL83" s="65">
        <v>36169</v>
      </c>
    </row>
    <row r="84" spans="30:90">
      <c r="AE84" s="18"/>
      <c r="AF84" s="13"/>
      <c r="AG84" s="13"/>
      <c r="AH84" s="13"/>
      <c r="AI84" s="13"/>
      <c r="AK84">
        <v>83</v>
      </c>
      <c r="AL84" t="s">
        <v>89</v>
      </c>
      <c r="AM84" t="s">
        <v>456</v>
      </c>
      <c r="AN84" t="str">
        <f t="shared" si="13"/>
        <v>Dennis</v>
      </c>
      <c r="AO84" cm="1">
        <f t="array" ref="AO84">INDEX($AY$2:$CL$101,$AK84,($AV$2-1)*4+1)</f>
        <v>0</v>
      </c>
      <c r="AP84" cm="1">
        <f t="array" ref="AP84">INDEX($AY$2:$CL$101,$AK84,($AV$2-1)*4+2)</f>
        <v>1</v>
      </c>
      <c r="AQ84" cm="1">
        <f t="array" ref="AQ84">INDEX($AY$2:$CL$101,$AK84,($AV$2-1)*4+3)</f>
        <v>2.8811058170623181</v>
      </c>
      <c r="AR84" s="1">
        <f t="shared" si="15"/>
        <v>2.8811058170623181</v>
      </c>
      <c r="AS84" cm="1">
        <f t="array" ref="AS84">INDEX($AY$2:$CL$101,$AK84,($AV$2-1)*4+4)</f>
        <v>37197</v>
      </c>
      <c r="AT84" s="53" t="str">
        <f t="shared" si="14"/>
        <v>197</v>
      </c>
      <c r="AY84" s="56">
        <v>0</v>
      </c>
      <c r="AZ84" s="56">
        <v>1</v>
      </c>
      <c r="BA84" s="56">
        <v>2.8811058170623181</v>
      </c>
      <c r="BB84" s="65">
        <v>37197</v>
      </c>
      <c r="BC84" s="56">
        <v>0</v>
      </c>
      <c r="BD84" s="56">
        <v>1</v>
      </c>
      <c r="BE84" s="56">
        <v>2.8811058170623181</v>
      </c>
      <c r="BF84" s="65">
        <v>35518</v>
      </c>
      <c r="BG84" s="56">
        <v>0</v>
      </c>
      <c r="BH84" s="56">
        <v>1</v>
      </c>
      <c r="BI84" s="56">
        <v>2.8811058170623181</v>
      </c>
      <c r="BJ84" s="65">
        <v>36663</v>
      </c>
      <c r="BK84" s="56">
        <v>1</v>
      </c>
      <c r="BL84" s="56">
        <v>0</v>
      </c>
      <c r="BM84" s="56">
        <v>2.8811058170623181</v>
      </c>
      <c r="BN84" s="65">
        <v>37149</v>
      </c>
      <c r="BO84" s="56">
        <v>1</v>
      </c>
      <c r="BP84" s="56">
        <v>1</v>
      </c>
      <c r="BQ84" s="56">
        <v>2.8811058170623181</v>
      </c>
      <c r="BR84" s="65">
        <v>36716</v>
      </c>
      <c r="BS84" s="56">
        <v>1</v>
      </c>
      <c r="BT84" s="56">
        <v>1</v>
      </c>
      <c r="BU84" s="56">
        <v>2.8811058170623181</v>
      </c>
      <c r="BV84" s="65">
        <v>35622</v>
      </c>
      <c r="BW84" s="56">
        <v>0</v>
      </c>
      <c r="BX84" s="56">
        <v>1</v>
      </c>
      <c r="BY84" s="56">
        <v>2.8811058170623181</v>
      </c>
      <c r="BZ84" s="65">
        <v>37534</v>
      </c>
      <c r="CA84" s="56">
        <v>1</v>
      </c>
      <c r="CB84" s="56">
        <v>0</v>
      </c>
      <c r="CC84" s="56">
        <v>2.8811058170623181</v>
      </c>
      <c r="CD84" s="65">
        <v>38481</v>
      </c>
      <c r="CE84" s="56">
        <v>1</v>
      </c>
      <c r="CF84" s="56">
        <v>0</v>
      </c>
      <c r="CG84" s="56">
        <v>2.8811058170623181</v>
      </c>
      <c r="CH84" s="65">
        <v>37225</v>
      </c>
      <c r="CI84" s="56">
        <v>1</v>
      </c>
      <c r="CJ84" s="56">
        <v>1</v>
      </c>
      <c r="CK84" s="56">
        <v>2.8811058170623181</v>
      </c>
      <c r="CL84" s="65">
        <v>36574</v>
      </c>
    </row>
    <row r="85" spans="30:90">
      <c r="AE85" s="18"/>
      <c r="AF85" s="13"/>
      <c r="AG85" s="13"/>
      <c r="AH85" s="13"/>
      <c r="AI85" s="13"/>
      <c r="AK85">
        <v>84</v>
      </c>
      <c r="AL85" t="s">
        <v>36</v>
      </c>
      <c r="AM85" t="s">
        <v>455</v>
      </c>
      <c r="AN85" t="str">
        <f t="shared" si="13"/>
        <v>Donald</v>
      </c>
      <c r="AO85" cm="1">
        <f t="array" ref="AO85">INDEX($AY$2:$CL$101,$AK85,($AV$2-1)*4+1)</f>
        <v>0</v>
      </c>
      <c r="AP85" cm="1">
        <f t="array" ref="AP85">INDEX($AY$2:$CL$101,$AK85,($AV$2-1)*4+2)</f>
        <v>0</v>
      </c>
      <c r="AQ85" cm="1">
        <f t="array" ref="AQ85">INDEX($AY$2:$CL$101,$AK85,($AV$2-1)*4+3)</f>
        <v>3.4386913191356552</v>
      </c>
      <c r="AR85" s="1">
        <f t="shared" si="15"/>
        <v>3.4386913191356552</v>
      </c>
      <c r="AS85" cm="1">
        <f t="array" ref="AS85">INDEX($AY$2:$CL$101,$AK85,($AV$2-1)*4+4)</f>
        <v>35944</v>
      </c>
      <c r="AT85" s="53" t="str">
        <f t="shared" si="14"/>
        <v>944</v>
      </c>
      <c r="AY85" s="56">
        <v>0</v>
      </c>
      <c r="AZ85" s="56">
        <v>0</v>
      </c>
      <c r="BA85" s="56">
        <v>3.4386913191356552</v>
      </c>
      <c r="BB85" s="65">
        <v>35944</v>
      </c>
      <c r="BC85" s="56">
        <v>1</v>
      </c>
      <c r="BD85" s="56">
        <v>1</v>
      </c>
      <c r="BE85" s="56">
        <v>2.2134120737661203</v>
      </c>
      <c r="BF85" s="65">
        <v>37293</v>
      </c>
      <c r="BG85" s="56">
        <v>1</v>
      </c>
      <c r="BH85" s="56">
        <v>1</v>
      </c>
      <c r="BI85" s="56">
        <v>2.9140883974852052</v>
      </c>
      <c r="BJ85" s="65">
        <v>36898</v>
      </c>
      <c r="BK85" s="56">
        <v>0</v>
      </c>
      <c r="BL85" s="56">
        <v>1</v>
      </c>
      <c r="BM85" s="56">
        <v>3.9188358232972709</v>
      </c>
      <c r="BN85" s="65">
        <v>37602</v>
      </c>
      <c r="BO85" s="56">
        <v>1</v>
      </c>
      <c r="BP85" s="56">
        <v>0</v>
      </c>
      <c r="BQ85" s="56">
        <v>3.0116582151255238</v>
      </c>
      <c r="BR85" s="65">
        <v>37834</v>
      </c>
      <c r="BS85" s="56">
        <v>1</v>
      </c>
      <c r="BT85" s="56">
        <v>0</v>
      </c>
      <c r="BU85" s="56">
        <v>2.8194528501488816</v>
      </c>
      <c r="BV85" s="65">
        <v>36860</v>
      </c>
      <c r="BW85" s="56">
        <v>0</v>
      </c>
      <c r="BX85" s="56">
        <v>0</v>
      </c>
      <c r="BY85" s="56">
        <v>2.0420649497448351</v>
      </c>
      <c r="BZ85" s="65">
        <v>38129</v>
      </c>
      <c r="CA85" s="56">
        <v>0</v>
      </c>
      <c r="CB85" s="56">
        <v>1</v>
      </c>
      <c r="CC85" s="56">
        <v>3.9317949000916812</v>
      </c>
      <c r="CD85" s="65">
        <v>35876</v>
      </c>
      <c r="CE85" s="56">
        <v>0</v>
      </c>
      <c r="CF85" s="56">
        <v>0</v>
      </c>
      <c r="CG85" s="56">
        <v>2.4151302412902229</v>
      </c>
      <c r="CH85" s="65">
        <v>36067</v>
      </c>
      <c r="CI85" s="56">
        <v>1</v>
      </c>
      <c r="CJ85" s="56">
        <v>1</v>
      </c>
      <c r="CK85" s="56">
        <v>3.5657411319102525</v>
      </c>
      <c r="CL85" s="65">
        <v>36295</v>
      </c>
    </row>
    <row r="86" spans="30:90">
      <c r="AE86" s="18"/>
      <c r="AF86" s="13"/>
      <c r="AG86" s="13"/>
      <c r="AH86" s="13"/>
      <c r="AI86" s="13"/>
      <c r="AK86">
        <v>85</v>
      </c>
      <c r="AL86" t="s">
        <v>71</v>
      </c>
      <c r="AM86" t="s">
        <v>454</v>
      </c>
      <c r="AN86" t="str">
        <f t="shared" si="13"/>
        <v>Arabella</v>
      </c>
      <c r="AO86" cm="1">
        <f t="array" ref="AO86">INDEX($AY$2:$CL$101,$AK86,($AV$2-1)*4+1)</f>
        <v>1</v>
      </c>
      <c r="AP86" cm="1">
        <f t="array" ref="AP86">INDEX($AY$2:$CL$101,$AK86,($AV$2-1)*4+2)</f>
        <v>1</v>
      </c>
      <c r="AQ86" cm="1">
        <f t="array" ref="AQ86">INDEX($AY$2:$CL$101,$AK86,($AV$2-1)*4+3)</f>
        <v>2.8811058170623181</v>
      </c>
      <c r="AR86" s="1">
        <f t="shared" si="15"/>
        <v>2.8811058170623181</v>
      </c>
      <c r="AS86" cm="1">
        <f t="array" ref="AS86">INDEX($AY$2:$CL$101,$AK86,($AV$2-1)*4+4)</f>
        <v>35745</v>
      </c>
      <c r="AT86" s="53" t="str">
        <f t="shared" si="14"/>
        <v>745</v>
      </c>
      <c r="AY86" s="56">
        <v>1</v>
      </c>
      <c r="AZ86" s="56">
        <v>1</v>
      </c>
      <c r="BA86" s="56">
        <v>2.8811058170623181</v>
      </c>
      <c r="BB86" s="65">
        <v>35745</v>
      </c>
      <c r="BC86" s="56">
        <v>1</v>
      </c>
      <c r="BD86" s="56">
        <v>1</v>
      </c>
      <c r="BE86" s="56">
        <v>2.8811058170623181</v>
      </c>
      <c r="BF86" s="65">
        <v>36364</v>
      </c>
      <c r="BG86" s="56">
        <v>1</v>
      </c>
      <c r="BH86" s="56">
        <v>0</v>
      </c>
      <c r="BI86" s="56">
        <v>2.8811058170623181</v>
      </c>
      <c r="BJ86" s="65">
        <v>38081</v>
      </c>
      <c r="BK86" s="56">
        <v>0</v>
      </c>
      <c r="BL86" s="56">
        <v>1</v>
      </c>
      <c r="BM86" s="56">
        <v>2.8811058170623181</v>
      </c>
      <c r="BN86" s="65">
        <v>35502</v>
      </c>
      <c r="BO86" s="56">
        <v>0</v>
      </c>
      <c r="BP86" s="56">
        <v>0</v>
      </c>
      <c r="BQ86" s="56">
        <v>2.8811058170623181</v>
      </c>
      <c r="BR86" s="65">
        <v>38070</v>
      </c>
      <c r="BS86" s="56">
        <v>0</v>
      </c>
      <c r="BT86" s="56">
        <v>0</v>
      </c>
      <c r="BU86" s="56">
        <v>2.8811058170623181</v>
      </c>
      <c r="BV86" s="65">
        <v>37975</v>
      </c>
      <c r="BW86" s="56">
        <v>0</v>
      </c>
      <c r="BX86" s="56">
        <v>1</v>
      </c>
      <c r="BY86" s="56">
        <v>2.8811058170623181</v>
      </c>
      <c r="BZ86" s="65">
        <v>37357</v>
      </c>
      <c r="CA86" s="56">
        <v>0</v>
      </c>
      <c r="CB86" s="56">
        <v>0</v>
      </c>
      <c r="CC86" s="56">
        <v>2.8811058170623181</v>
      </c>
      <c r="CD86" s="65">
        <v>37719</v>
      </c>
      <c r="CE86" s="56">
        <v>0</v>
      </c>
      <c r="CF86" s="56">
        <v>1</v>
      </c>
      <c r="CG86" s="56">
        <v>2.8811058170623181</v>
      </c>
      <c r="CH86" s="65">
        <v>37740</v>
      </c>
      <c r="CI86" s="56">
        <v>0</v>
      </c>
      <c r="CJ86" s="56">
        <v>1</v>
      </c>
      <c r="CK86" s="56">
        <v>2.8811058170623181</v>
      </c>
      <c r="CL86" s="65">
        <v>36789</v>
      </c>
    </row>
    <row r="87" spans="30:90">
      <c r="AE87" s="18"/>
      <c r="AF87" s="13"/>
      <c r="AG87" s="13"/>
      <c r="AH87" s="13"/>
      <c r="AI87" s="13"/>
      <c r="AK87">
        <v>86</v>
      </c>
      <c r="AL87" t="s">
        <v>99</v>
      </c>
      <c r="AM87" t="s">
        <v>453</v>
      </c>
      <c r="AN87" t="str">
        <f t="shared" si="13"/>
        <v>Delilah</v>
      </c>
      <c r="AO87" cm="1">
        <f t="array" ref="AO87">INDEX($AY$2:$CL$101,$AK87,($AV$2-1)*4+1)</f>
        <v>1</v>
      </c>
      <c r="AP87" cm="1">
        <f t="array" ref="AP87">INDEX($AY$2:$CL$101,$AK87,($AV$2-1)*4+2)</f>
        <v>0</v>
      </c>
      <c r="AQ87" cm="1">
        <f t="array" ref="AQ87">INDEX($AY$2:$CL$101,$AK87,($AV$2-1)*4+3)</f>
        <v>2.1369337155684924</v>
      </c>
      <c r="AR87" s="1">
        <f t="shared" si="15"/>
        <v>2.1369337155684924</v>
      </c>
      <c r="AS87" cm="1">
        <f t="array" ref="AS87">INDEX($AY$2:$CL$101,$AK87,($AV$2-1)*4+4)</f>
        <v>36815</v>
      </c>
      <c r="AT87" s="53" t="str">
        <f t="shared" si="14"/>
        <v>815</v>
      </c>
      <c r="AY87" s="56">
        <v>1</v>
      </c>
      <c r="AZ87" s="56">
        <v>0</v>
      </c>
      <c r="BA87" s="56">
        <v>2.1369337155684924</v>
      </c>
      <c r="BB87" s="65">
        <v>36815</v>
      </c>
      <c r="BC87" s="56">
        <v>1</v>
      </c>
      <c r="BD87" s="56">
        <v>0</v>
      </c>
      <c r="BE87" s="56">
        <v>3.7541365202492574</v>
      </c>
      <c r="BF87" s="65">
        <v>37080</v>
      </c>
      <c r="BG87" s="56">
        <v>0</v>
      </c>
      <c r="BH87" s="56">
        <v>1</v>
      </c>
      <c r="BI87" s="56">
        <v>3.0945772753578691</v>
      </c>
      <c r="BJ87" s="65">
        <v>36666</v>
      </c>
      <c r="BK87" s="56">
        <v>0</v>
      </c>
      <c r="BL87" s="56">
        <v>0</v>
      </c>
      <c r="BM87" s="56">
        <v>3.3970687857964159</v>
      </c>
      <c r="BN87" s="65">
        <v>35888</v>
      </c>
      <c r="BO87" s="56">
        <v>1</v>
      </c>
      <c r="BP87" s="56">
        <v>0</v>
      </c>
      <c r="BQ87" s="56">
        <v>3.8893647798133331</v>
      </c>
      <c r="BR87" s="65">
        <v>37541</v>
      </c>
      <c r="BS87" s="56">
        <v>1</v>
      </c>
      <c r="BT87" s="56">
        <v>1</v>
      </c>
      <c r="BU87" s="56">
        <v>2.4154946875027892</v>
      </c>
      <c r="BV87" s="65">
        <v>36583</v>
      </c>
      <c r="BW87" s="56">
        <v>1</v>
      </c>
      <c r="BX87" s="56">
        <v>0</v>
      </c>
      <c r="BY87" s="56">
        <v>3.6882768013199092</v>
      </c>
      <c r="BZ87" s="65">
        <v>35928</v>
      </c>
      <c r="CA87" s="56">
        <v>0</v>
      </c>
      <c r="CB87" s="56">
        <v>1</v>
      </c>
      <c r="CC87" s="56">
        <v>2.3969287957610188</v>
      </c>
      <c r="CD87" s="65">
        <v>37504</v>
      </c>
      <c r="CE87" s="56">
        <v>1</v>
      </c>
      <c r="CF87" s="56">
        <v>1</v>
      </c>
      <c r="CG87" s="56">
        <v>3.7946227785293116</v>
      </c>
      <c r="CH87" s="65">
        <v>36076</v>
      </c>
      <c r="CI87" s="56">
        <v>0</v>
      </c>
      <c r="CJ87" s="56">
        <v>1</v>
      </c>
      <c r="CK87" s="56">
        <v>3.5429341874484139</v>
      </c>
      <c r="CL87" s="65">
        <v>35932</v>
      </c>
    </row>
    <row r="88" spans="30:90">
      <c r="AE88" s="18"/>
      <c r="AF88" s="13"/>
      <c r="AG88" s="13"/>
      <c r="AH88" s="13"/>
      <c r="AI88" s="13"/>
      <c r="AK88">
        <v>87</v>
      </c>
      <c r="AL88" t="s">
        <v>58</v>
      </c>
      <c r="AM88" t="s">
        <v>452</v>
      </c>
      <c r="AN88" t="str">
        <f t="shared" si="13"/>
        <v>Ryan</v>
      </c>
      <c r="AO88" cm="1">
        <f t="array" ref="AO88">INDEX($AY$2:$CL$101,$AK88,($AV$2-1)*4+1)</f>
        <v>0</v>
      </c>
      <c r="AP88" cm="1">
        <f t="array" ref="AP88">INDEX($AY$2:$CL$101,$AK88,($AV$2-1)*4+2)</f>
        <v>1</v>
      </c>
      <c r="AQ88" cm="1">
        <f t="array" ref="AQ88">INDEX($AY$2:$CL$101,$AK88,($AV$2-1)*4+3)</f>
        <v>2.8811058170623181</v>
      </c>
      <c r="AR88" s="1">
        <f t="shared" si="15"/>
        <v>2.8811058170623181</v>
      </c>
      <c r="AS88" cm="1">
        <f t="array" ref="AS88">INDEX($AY$2:$CL$101,$AK88,($AV$2-1)*4+4)</f>
        <v>37360</v>
      </c>
      <c r="AT88" s="53" t="str">
        <f t="shared" si="14"/>
        <v>360</v>
      </c>
      <c r="AY88" s="56">
        <v>0</v>
      </c>
      <c r="AZ88" s="56">
        <v>1</v>
      </c>
      <c r="BA88" s="56">
        <v>2.8811058170623181</v>
      </c>
      <c r="BB88" s="65">
        <v>37360</v>
      </c>
      <c r="BC88" s="56">
        <v>0</v>
      </c>
      <c r="BD88" s="56">
        <v>1</v>
      </c>
      <c r="BE88" s="56">
        <v>2.8811058170623181</v>
      </c>
      <c r="BF88" s="65">
        <v>38132</v>
      </c>
      <c r="BG88" s="56">
        <v>1</v>
      </c>
      <c r="BH88" s="56">
        <v>0</v>
      </c>
      <c r="BI88" s="56">
        <v>2.8811058170623181</v>
      </c>
      <c r="BJ88" s="65">
        <v>37342</v>
      </c>
      <c r="BK88" s="56">
        <v>0</v>
      </c>
      <c r="BL88" s="56">
        <v>0</v>
      </c>
      <c r="BM88" s="56">
        <v>2.8811058170623181</v>
      </c>
      <c r="BN88" s="65">
        <v>36324</v>
      </c>
      <c r="BO88" s="56">
        <v>0</v>
      </c>
      <c r="BP88" s="56">
        <v>0</v>
      </c>
      <c r="BQ88" s="56">
        <v>2.8811058170623181</v>
      </c>
      <c r="BR88" s="65">
        <v>35829</v>
      </c>
      <c r="BS88" s="56">
        <v>1</v>
      </c>
      <c r="BT88" s="56">
        <v>1</v>
      </c>
      <c r="BU88" s="56">
        <v>2.8811058170623181</v>
      </c>
      <c r="BV88" s="65">
        <v>37348</v>
      </c>
      <c r="BW88" s="56">
        <v>1</v>
      </c>
      <c r="BX88" s="56">
        <v>1</v>
      </c>
      <c r="BY88" s="56">
        <v>2.8811058170623181</v>
      </c>
      <c r="BZ88" s="65">
        <v>36869</v>
      </c>
      <c r="CA88" s="56">
        <v>1</v>
      </c>
      <c r="CB88" s="56">
        <v>0</v>
      </c>
      <c r="CC88" s="56">
        <v>2.8811058170623181</v>
      </c>
      <c r="CD88" s="65">
        <v>35685</v>
      </c>
      <c r="CE88" s="56">
        <v>1</v>
      </c>
      <c r="CF88" s="56">
        <v>1</v>
      </c>
      <c r="CG88" s="56">
        <v>2.8811058170623181</v>
      </c>
      <c r="CH88" s="65">
        <v>37636</v>
      </c>
      <c r="CI88" s="56">
        <v>0</v>
      </c>
      <c r="CJ88" s="56">
        <v>1</v>
      </c>
      <c r="CK88" s="56">
        <v>2.8811058170623181</v>
      </c>
      <c r="CL88" s="65">
        <v>38022</v>
      </c>
    </row>
    <row r="89" spans="30:90">
      <c r="AE89" s="18"/>
      <c r="AF89" s="13"/>
      <c r="AG89" s="13"/>
      <c r="AH89" s="13"/>
      <c r="AI89" s="13"/>
      <c r="AK89">
        <v>88</v>
      </c>
      <c r="AL89" t="s">
        <v>69</v>
      </c>
      <c r="AM89" t="s">
        <v>40</v>
      </c>
      <c r="AN89" t="str">
        <f t="shared" si="13"/>
        <v>Emily</v>
      </c>
      <c r="AO89" cm="1">
        <f t="array" ref="AO89">INDEX($AY$2:$CL$101,$AK89,($AV$2-1)*4+1)</f>
        <v>1</v>
      </c>
      <c r="AP89" cm="1">
        <f t="array" ref="AP89">INDEX($AY$2:$CL$101,$AK89,($AV$2-1)*4+2)</f>
        <v>0</v>
      </c>
      <c r="AQ89"/>
      <c r="AR89" s="1">
        <f t="shared" ref="AR89:AR98" si="16">AVERAGE($AQ$2:$AQ$101)</f>
        <v>3.0545838598437989</v>
      </c>
      <c r="AS89" cm="1">
        <f t="array" ref="AS89">INDEX($AY$2:$CL$101,$AK89,($AV$2-1)*4+4)</f>
        <v>37237</v>
      </c>
      <c r="AT89" s="53" t="str">
        <f t="shared" si="14"/>
        <v>237</v>
      </c>
      <c r="AY89" s="56">
        <v>1</v>
      </c>
      <c r="AZ89" s="56">
        <v>0</v>
      </c>
      <c r="BA89" s="56"/>
      <c r="BB89" s="65">
        <v>37237</v>
      </c>
      <c r="BC89" s="56">
        <v>0</v>
      </c>
      <c r="BD89" s="56">
        <v>1</v>
      </c>
      <c r="BE89" s="56"/>
      <c r="BF89" s="65">
        <v>36176</v>
      </c>
      <c r="BG89" s="56">
        <v>0</v>
      </c>
      <c r="BH89" s="56">
        <v>1</v>
      </c>
      <c r="BI89" s="56"/>
      <c r="BJ89" s="65">
        <v>38307</v>
      </c>
      <c r="BK89" s="56">
        <v>1</v>
      </c>
      <c r="BL89" s="56">
        <v>1</v>
      </c>
      <c r="BM89" s="56"/>
      <c r="BN89" s="65">
        <v>35723</v>
      </c>
      <c r="BO89" s="56">
        <v>0</v>
      </c>
      <c r="BP89" s="56">
        <v>0</v>
      </c>
      <c r="BQ89" s="56"/>
      <c r="BR89" s="65">
        <v>37105</v>
      </c>
      <c r="BS89" s="56">
        <v>0</v>
      </c>
      <c r="BT89" s="56">
        <v>1</v>
      </c>
      <c r="BU89" s="56"/>
      <c r="BV89" s="65">
        <v>35525</v>
      </c>
      <c r="BW89" s="56">
        <v>0</v>
      </c>
      <c r="BX89" s="56">
        <v>0</v>
      </c>
      <c r="BY89" s="56"/>
      <c r="BZ89" s="65">
        <v>37963</v>
      </c>
      <c r="CA89" s="56">
        <v>1</v>
      </c>
      <c r="CB89" s="56">
        <v>0</v>
      </c>
      <c r="CC89" s="56"/>
      <c r="CD89" s="65">
        <v>38188</v>
      </c>
      <c r="CE89" s="56">
        <v>0</v>
      </c>
      <c r="CF89" s="56">
        <v>1</v>
      </c>
      <c r="CG89" s="56"/>
      <c r="CH89" s="65">
        <v>38464</v>
      </c>
      <c r="CI89" s="56">
        <v>1</v>
      </c>
      <c r="CJ89" s="56">
        <v>1</v>
      </c>
      <c r="CK89" s="56"/>
      <c r="CL89" s="65">
        <v>38473</v>
      </c>
    </row>
    <row r="90" spans="30:90">
      <c r="AE90" s="18"/>
      <c r="AF90" s="13"/>
      <c r="AG90" s="13"/>
      <c r="AH90" s="13"/>
      <c r="AI90" s="13"/>
      <c r="AK90">
        <v>89</v>
      </c>
      <c r="AL90" t="s">
        <v>18</v>
      </c>
      <c r="AM90" t="s">
        <v>417</v>
      </c>
      <c r="AN90" t="str">
        <f t="shared" si="13"/>
        <v>Robert</v>
      </c>
      <c r="AO90" cm="1">
        <f t="array" ref="AO90">INDEX($AY$2:$CL$101,$AK90,($AV$2-1)*4+1)</f>
        <v>0</v>
      </c>
      <c r="AP90" cm="1">
        <f t="array" ref="AP90">INDEX($AY$2:$CL$101,$AK90,($AV$2-1)*4+2)</f>
        <v>0</v>
      </c>
      <c r="AQ90"/>
      <c r="AR90" s="1">
        <f t="shared" si="16"/>
        <v>3.0545838598437989</v>
      </c>
      <c r="AS90" cm="1">
        <f t="array" ref="AS90">INDEX($AY$2:$CL$101,$AK90,($AV$2-1)*4+4)</f>
        <v>38093</v>
      </c>
      <c r="AT90" s="53" t="str">
        <f t="shared" si="14"/>
        <v>093</v>
      </c>
      <c r="AY90" s="56">
        <v>0</v>
      </c>
      <c r="AZ90" s="56">
        <v>0</v>
      </c>
      <c r="BA90" s="56"/>
      <c r="BB90" s="65">
        <v>38093</v>
      </c>
      <c r="BC90" s="56">
        <v>0</v>
      </c>
      <c r="BD90" s="56">
        <v>0</v>
      </c>
      <c r="BE90" s="56"/>
      <c r="BF90" s="65">
        <v>37709</v>
      </c>
      <c r="BG90" s="56">
        <v>1</v>
      </c>
      <c r="BH90" s="56">
        <v>0</v>
      </c>
      <c r="BI90" s="56"/>
      <c r="BJ90" s="65">
        <v>36568</v>
      </c>
      <c r="BK90" s="56">
        <v>1</v>
      </c>
      <c r="BL90" s="56">
        <v>0</v>
      </c>
      <c r="BM90" s="56"/>
      <c r="BN90" s="65">
        <v>37411</v>
      </c>
      <c r="BO90" s="56">
        <v>0</v>
      </c>
      <c r="BP90" s="56">
        <v>0</v>
      </c>
      <c r="BQ90" s="56"/>
      <c r="BR90" s="65">
        <v>35781</v>
      </c>
      <c r="BS90" s="56">
        <v>0</v>
      </c>
      <c r="BT90" s="56">
        <v>1</v>
      </c>
      <c r="BU90" s="56"/>
      <c r="BV90" s="65">
        <v>35727</v>
      </c>
      <c r="BW90" s="56">
        <v>0</v>
      </c>
      <c r="BX90" s="56">
        <v>1</v>
      </c>
      <c r="BY90" s="56"/>
      <c r="BZ90" s="65">
        <v>36691</v>
      </c>
      <c r="CA90" s="56">
        <v>1</v>
      </c>
      <c r="CB90" s="56">
        <v>0</v>
      </c>
      <c r="CC90" s="56"/>
      <c r="CD90" s="65">
        <v>37273</v>
      </c>
      <c r="CE90" s="56">
        <v>1</v>
      </c>
      <c r="CF90" s="56">
        <v>0</v>
      </c>
      <c r="CG90" s="56"/>
      <c r="CH90" s="65">
        <v>37615</v>
      </c>
      <c r="CI90" s="56">
        <v>1</v>
      </c>
      <c r="CJ90" s="56">
        <v>0</v>
      </c>
      <c r="CK90" s="56"/>
      <c r="CL90" s="65">
        <v>37638</v>
      </c>
    </row>
    <row r="91" spans="30:90">
      <c r="AE91" s="18"/>
      <c r="AF91" s="13"/>
      <c r="AG91" s="13"/>
      <c r="AH91" s="13"/>
      <c r="AI91" s="13"/>
      <c r="AK91">
        <v>90</v>
      </c>
      <c r="AL91" t="s">
        <v>34</v>
      </c>
      <c r="AM91" t="s">
        <v>433</v>
      </c>
      <c r="AN91" t="str">
        <f t="shared" si="13"/>
        <v>Daisy</v>
      </c>
      <c r="AO91" cm="1">
        <f t="array" ref="AO91">INDEX($AY$2:$CL$101,$AK91,($AV$2-1)*4+1)</f>
        <v>1</v>
      </c>
      <c r="AP91" cm="1">
        <f t="array" ref="AP91">INDEX($AY$2:$CL$101,$AK91,($AV$2-1)*4+2)</f>
        <v>0</v>
      </c>
      <c r="AQ91"/>
      <c r="AR91" s="1">
        <f t="shared" si="16"/>
        <v>3.0545838598437989</v>
      </c>
      <c r="AS91" cm="1">
        <f t="array" ref="AS91">INDEX($AY$2:$CL$101,$AK91,($AV$2-1)*4+4)</f>
        <v>36356</v>
      </c>
      <c r="AT91" s="53" t="str">
        <f t="shared" si="14"/>
        <v>356</v>
      </c>
      <c r="AY91" s="56">
        <v>1</v>
      </c>
      <c r="AZ91" s="56">
        <v>0</v>
      </c>
      <c r="BA91" s="56"/>
      <c r="BB91" s="65">
        <v>36356</v>
      </c>
      <c r="BC91" s="56">
        <v>0</v>
      </c>
      <c r="BD91" s="56">
        <v>1</v>
      </c>
      <c r="BE91" s="56"/>
      <c r="BF91" s="65">
        <v>37522</v>
      </c>
      <c r="BG91" s="56">
        <v>0</v>
      </c>
      <c r="BH91" s="56">
        <v>1</v>
      </c>
      <c r="BI91" s="56"/>
      <c r="BJ91" s="65">
        <v>36977</v>
      </c>
      <c r="BK91" s="56">
        <v>1</v>
      </c>
      <c r="BL91" s="56">
        <v>1</v>
      </c>
      <c r="BM91" s="56"/>
      <c r="BN91" s="65">
        <v>37861</v>
      </c>
      <c r="BO91" s="56">
        <v>0</v>
      </c>
      <c r="BP91" s="56">
        <v>1</v>
      </c>
      <c r="BQ91" s="56"/>
      <c r="BR91" s="65">
        <v>37063</v>
      </c>
      <c r="BS91" s="56">
        <v>1</v>
      </c>
      <c r="BT91" s="56">
        <v>0</v>
      </c>
      <c r="BU91" s="56"/>
      <c r="BV91" s="65">
        <v>37496</v>
      </c>
      <c r="BW91" s="56">
        <v>0</v>
      </c>
      <c r="BX91" s="56">
        <v>1</v>
      </c>
      <c r="BY91" s="56"/>
      <c r="BZ91" s="65">
        <v>36120</v>
      </c>
      <c r="CA91" s="56">
        <v>1</v>
      </c>
      <c r="CB91" s="56">
        <v>1</v>
      </c>
      <c r="CC91" s="56"/>
      <c r="CD91" s="65">
        <v>38386</v>
      </c>
      <c r="CE91" s="56">
        <v>0</v>
      </c>
      <c r="CF91" s="56">
        <v>1</v>
      </c>
      <c r="CG91" s="56"/>
      <c r="CH91" s="65">
        <v>36997</v>
      </c>
      <c r="CI91" s="56">
        <v>1</v>
      </c>
      <c r="CJ91" s="56">
        <v>1</v>
      </c>
      <c r="CK91" s="56"/>
      <c r="CL91" s="65">
        <v>37374</v>
      </c>
    </row>
    <row r="92" spans="30:90">
      <c r="AE92" s="18"/>
      <c r="AF92" s="13"/>
      <c r="AG92" s="13"/>
      <c r="AH92" s="13"/>
      <c r="AI92" s="13"/>
      <c r="AK92">
        <v>91</v>
      </c>
      <c r="AL92" t="s">
        <v>45</v>
      </c>
      <c r="AM92" t="s">
        <v>434</v>
      </c>
      <c r="AN92" t="str">
        <f t="shared" si="13"/>
        <v>Kenneth</v>
      </c>
      <c r="AO92" cm="1">
        <f t="array" ref="AO92">INDEX($AY$2:$CL$101,$AK92,($AV$2-1)*4+1)</f>
        <v>0</v>
      </c>
      <c r="AP92" cm="1">
        <f t="array" ref="AP92">INDEX($AY$2:$CL$101,$AK92,($AV$2-1)*4+2)</f>
        <v>0</v>
      </c>
      <c r="AQ92"/>
      <c r="AR92" s="1">
        <f t="shared" si="16"/>
        <v>3.0545838598437989</v>
      </c>
      <c r="AS92" cm="1">
        <f t="array" ref="AS92">INDEX($AY$2:$CL$101,$AK92,($AV$2-1)*4+4)</f>
        <v>35841</v>
      </c>
      <c r="AT92" s="53" t="str">
        <f t="shared" si="14"/>
        <v>841</v>
      </c>
      <c r="AY92" s="56">
        <v>0</v>
      </c>
      <c r="AZ92" s="56">
        <v>0</v>
      </c>
      <c r="BA92" s="56"/>
      <c r="BB92" s="65">
        <v>35841</v>
      </c>
      <c r="BC92" s="56">
        <v>0</v>
      </c>
      <c r="BD92" s="56">
        <v>0</v>
      </c>
      <c r="BE92" s="56"/>
      <c r="BF92" s="65">
        <v>36721</v>
      </c>
      <c r="BG92" s="56">
        <v>1</v>
      </c>
      <c r="BH92" s="56">
        <v>1</v>
      </c>
      <c r="BI92" s="56"/>
      <c r="BJ92" s="65">
        <v>37635</v>
      </c>
      <c r="BK92" s="56">
        <v>0</v>
      </c>
      <c r="BL92" s="56">
        <v>0</v>
      </c>
      <c r="BM92" s="56"/>
      <c r="BN92" s="65">
        <v>38278</v>
      </c>
      <c r="BO92" s="56">
        <v>1</v>
      </c>
      <c r="BP92" s="56">
        <v>1</v>
      </c>
      <c r="BQ92" s="56"/>
      <c r="BR92" s="65">
        <v>36951</v>
      </c>
      <c r="BS92" s="56">
        <v>0</v>
      </c>
      <c r="BT92" s="56">
        <v>0</v>
      </c>
      <c r="BU92" s="56"/>
      <c r="BV92" s="65">
        <v>35682</v>
      </c>
      <c r="BW92" s="56">
        <v>0</v>
      </c>
      <c r="BX92" s="56">
        <v>1</v>
      </c>
      <c r="BY92" s="56"/>
      <c r="BZ92" s="65">
        <v>36230</v>
      </c>
      <c r="CA92" s="56">
        <v>0</v>
      </c>
      <c r="CB92" s="56">
        <v>1</v>
      </c>
      <c r="CC92" s="56"/>
      <c r="CD92" s="65">
        <v>37027</v>
      </c>
      <c r="CE92" s="56">
        <v>1</v>
      </c>
      <c r="CF92" s="56">
        <v>1</v>
      </c>
      <c r="CG92" s="56"/>
      <c r="CH92" s="65">
        <v>36900</v>
      </c>
      <c r="CI92" s="56">
        <v>0</v>
      </c>
      <c r="CJ92" s="56">
        <v>0</v>
      </c>
      <c r="CK92" s="56"/>
      <c r="CL92" s="65">
        <v>37917</v>
      </c>
    </row>
    <row r="93" spans="30:90">
      <c r="AE93" s="18"/>
      <c r="AF93" s="13"/>
      <c r="AG93" s="13"/>
      <c r="AH93" s="13"/>
      <c r="AI93" s="13"/>
      <c r="AK93">
        <v>92</v>
      </c>
      <c r="AL93" t="s">
        <v>63</v>
      </c>
      <c r="AM93" t="s">
        <v>435</v>
      </c>
      <c r="AN93" t="str">
        <f t="shared" si="13"/>
        <v>Nicholas</v>
      </c>
      <c r="AO93" cm="1">
        <f t="array" ref="AO93">INDEX($AY$2:$CL$101,$AK93,($AV$2-1)*4+1)</f>
        <v>0</v>
      </c>
      <c r="AP93" cm="1">
        <f t="array" ref="AP93">INDEX($AY$2:$CL$101,$AK93,($AV$2-1)*4+2)</f>
        <v>1</v>
      </c>
      <c r="AQ93"/>
      <c r="AR93" s="1">
        <f t="shared" si="16"/>
        <v>3.0545838598437989</v>
      </c>
      <c r="AS93" cm="1">
        <f t="array" ref="AS93">INDEX($AY$2:$CL$101,$AK93,($AV$2-1)*4+4)</f>
        <v>37498</v>
      </c>
      <c r="AT93" s="53" t="str">
        <f t="shared" si="14"/>
        <v>498</v>
      </c>
      <c r="AY93" s="56">
        <v>0</v>
      </c>
      <c r="AZ93" s="56">
        <v>1</v>
      </c>
      <c r="BA93" s="56"/>
      <c r="BB93" s="65">
        <v>37498</v>
      </c>
      <c r="BC93" s="56">
        <v>0</v>
      </c>
      <c r="BD93" s="56">
        <v>0</v>
      </c>
      <c r="BE93" s="56"/>
      <c r="BF93" s="65">
        <v>35894</v>
      </c>
      <c r="BG93" s="56">
        <v>1</v>
      </c>
      <c r="BH93" s="56">
        <v>0</v>
      </c>
      <c r="BI93" s="56"/>
      <c r="BJ93" s="65">
        <v>37582</v>
      </c>
      <c r="BK93" s="56">
        <v>1</v>
      </c>
      <c r="BL93" s="56">
        <v>0</v>
      </c>
      <c r="BM93" s="56"/>
      <c r="BN93" s="65">
        <v>37121</v>
      </c>
      <c r="BO93" s="56">
        <v>1</v>
      </c>
      <c r="BP93" s="56">
        <v>0</v>
      </c>
      <c r="BQ93" s="56"/>
      <c r="BR93" s="65">
        <v>35553</v>
      </c>
      <c r="BS93" s="56">
        <v>0</v>
      </c>
      <c r="BT93" s="56">
        <v>1</v>
      </c>
      <c r="BU93" s="56"/>
      <c r="BV93" s="65">
        <v>36016</v>
      </c>
      <c r="BW93" s="56">
        <v>1</v>
      </c>
      <c r="BX93" s="56">
        <v>1</v>
      </c>
      <c r="BY93" s="56"/>
      <c r="BZ93" s="65">
        <v>38318</v>
      </c>
      <c r="CA93" s="56">
        <v>0</v>
      </c>
      <c r="CB93" s="56">
        <v>0</v>
      </c>
      <c r="CC93" s="56"/>
      <c r="CD93" s="65">
        <v>38166</v>
      </c>
      <c r="CE93" s="56">
        <v>0</v>
      </c>
      <c r="CF93" s="56">
        <v>0</v>
      </c>
      <c r="CG93" s="56"/>
      <c r="CH93" s="65">
        <v>37471</v>
      </c>
      <c r="CI93" s="56">
        <v>1</v>
      </c>
      <c r="CJ93" s="56">
        <v>0</v>
      </c>
      <c r="CK93" s="56"/>
      <c r="CL93" s="65">
        <v>37408</v>
      </c>
    </row>
    <row r="94" spans="30:90">
      <c r="AE94" s="18"/>
      <c r="AF94" s="13"/>
      <c r="AG94" s="13"/>
      <c r="AH94" s="13"/>
      <c r="AI94" s="13"/>
      <c r="AK94">
        <v>93</v>
      </c>
      <c r="AL94" t="s">
        <v>73</v>
      </c>
      <c r="AM94" t="s">
        <v>381</v>
      </c>
      <c r="AN94" t="str">
        <f t="shared" si="13"/>
        <v>Justin</v>
      </c>
      <c r="AO94" cm="1">
        <f t="array" ref="AO94">INDEX($AY$2:$CL$101,$AK94,($AV$2-1)*4+1)</f>
        <v>0</v>
      </c>
      <c r="AP94" cm="1">
        <f t="array" ref="AP94">INDEX($AY$2:$CL$101,$AK94,($AV$2-1)*4+2)</f>
        <v>0</v>
      </c>
      <c r="AQ94"/>
      <c r="AR94" s="1">
        <f t="shared" si="16"/>
        <v>3.0545838598437989</v>
      </c>
      <c r="AS94" cm="1">
        <f t="array" ref="AS94">INDEX($AY$2:$CL$101,$AK94,($AV$2-1)*4+4)</f>
        <v>37231</v>
      </c>
      <c r="AT94" s="53" t="str">
        <f t="shared" si="14"/>
        <v>231</v>
      </c>
      <c r="AY94" s="56">
        <v>0</v>
      </c>
      <c r="AZ94" s="56">
        <v>0</v>
      </c>
      <c r="BA94" s="56"/>
      <c r="BB94" s="65">
        <v>37231</v>
      </c>
      <c r="BC94" s="56">
        <v>0</v>
      </c>
      <c r="BD94" s="56">
        <v>1</v>
      </c>
      <c r="BE94" s="56"/>
      <c r="BF94" s="65">
        <v>35719</v>
      </c>
      <c r="BG94" s="56">
        <v>1</v>
      </c>
      <c r="BH94" s="56">
        <v>0</v>
      </c>
      <c r="BI94" s="56"/>
      <c r="BJ94" s="65">
        <v>35877</v>
      </c>
      <c r="BK94" s="56">
        <v>0</v>
      </c>
      <c r="BL94" s="56">
        <v>0</v>
      </c>
      <c r="BM94" s="56"/>
      <c r="BN94" s="65">
        <v>36085</v>
      </c>
      <c r="BO94" s="56">
        <v>1</v>
      </c>
      <c r="BP94" s="56">
        <v>1</v>
      </c>
      <c r="BQ94" s="56"/>
      <c r="BR94" s="65">
        <v>37364</v>
      </c>
      <c r="BS94" s="56">
        <v>0</v>
      </c>
      <c r="BT94" s="56">
        <v>1</v>
      </c>
      <c r="BU94" s="56"/>
      <c r="BV94" s="65">
        <v>36478</v>
      </c>
      <c r="BW94" s="56">
        <v>1</v>
      </c>
      <c r="BX94" s="56">
        <v>1</v>
      </c>
      <c r="BY94" s="56"/>
      <c r="BZ94" s="65">
        <v>36974</v>
      </c>
      <c r="CA94" s="56">
        <v>1</v>
      </c>
      <c r="CB94" s="56">
        <v>1</v>
      </c>
      <c r="CC94" s="56"/>
      <c r="CD94" s="65">
        <v>35664</v>
      </c>
      <c r="CE94" s="56">
        <v>0</v>
      </c>
      <c r="CF94" s="56">
        <v>0</v>
      </c>
      <c r="CG94" s="56"/>
      <c r="CH94" s="65">
        <v>36429</v>
      </c>
      <c r="CI94" s="56">
        <v>0</v>
      </c>
      <c r="CJ94" s="56">
        <v>1</v>
      </c>
      <c r="CK94" s="56"/>
      <c r="CL94" s="65">
        <v>35898</v>
      </c>
    </row>
    <row r="95" spans="30:90">
      <c r="AE95" s="18"/>
      <c r="AF95" s="13"/>
      <c r="AG95" s="13"/>
      <c r="AH95" s="13"/>
      <c r="AI95" s="13"/>
      <c r="AK95">
        <v>94</v>
      </c>
      <c r="AL95" t="s">
        <v>5</v>
      </c>
      <c r="AM95" t="s">
        <v>444</v>
      </c>
      <c r="AN95" t="str">
        <f t="shared" si="13"/>
        <v>Mark</v>
      </c>
      <c r="AO95" cm="1">
        <f t="array" ref="AO95">INDEX($AY$2:$CL$101,$AK95,($AV$2-1)*4+1)</f>
        <v>0</v>
      </c>
      <c r="AP95" cm="1">
        <f t="array" ref="AP95">INDEX($AY$2:$CL$101,$AK95,($AV$2-1)*4+2)</f>
        <v>0</v>
      </c>
      <c r="AQ95"/>
      <c r="AR95" s="1">
        <f t="shared" si="16"/>
        <v>3.0545838598437989</v>
      </c>
      <c r="AS95" cm="1">
        <f t="array" ref="AS95">INDEX($AY$2:$CL$101,$AK95,($AV$2-1)*4+4)</f>
        <v>35608</v>
      </c>
      <c r="AT95" s="53" t="str">
        <f t="shared" si="14"/>
        <v>608</v>
      </c>
      <c r="AY95" s="56">
        <v>0</v>
      </c>
      <c r="AZ95" s="56">
        <v>0</v>
      </c>
      <c r="BA95" s="56"/>
      <c r="BB95" s="65">
        <v>35608</v>
      </c>
      <c r="BC95" s="56">
        <v>0</v>
      </c>
      <c r="BD95" s="56">
        <v>0</v>
      </c>
      <c r="BE95" s="56"/>
      <c r="BF95" s="65">
        <v>37663</v>
      </c>
      <c r="BG95" s="56">
        <v>1</v>
      </c>
      <c r="BH95" s="56">
        <v>1</v>
      </c>
      <c r="BI95" s="56"/>
      <c r="BJ95" s="65">
        <v>36086</v>
      </c>
      <c r="BK95" s="56">
        <v>1</v>
      </c>
      <c r="BL95" s="56">
        <v>1</v>
      </c>
      <c r="BM95" s="56"/>
      <c r="BN95" s="65">
        <v>36622</v>
      </c>
      <c r="BO95" s="56">
        <v>1</v>
      </c>
      <c r="BP95" s="56">
        <v>1</v>
      </c>
      <c r="BQ95" s="56"/>
      <c r="BR95" s="65">
        <v>37824</v>
      </c>
      <c r="BS95" s="56">
        <v>0</v>
      </c>
      <c r="BT95" s="56">
        <v>0</v>
      </c>
      <c r="BU95" s="56"/>
      <c r="BV95" s="65">
        <v>35776</v>
      </c>
      <c r="BW95" s="56">
        <v>1</v>
      </c>
      <c r="BX95" s="56">
        <v>0</v>
      </c>
      <c r="BY95" s="56"/>
      <c r="BZ95" s="65">
        <v>36142</v>
      </c>
      <c r="CA95" s="56">
        <v>0</v>
      </c>
      <c r="CB95" s="56">
        <v>1</v>
      </c>
      <c r="CC95" s="56"/>
      <c r="CD95" s="65">
        <v>35815</v>
      </c>
      <c r="CE95" s="56">
        <v>1</v>
      </c>
      <c r="CF95" s="56">
        <v>0</v>
      </c>
      <c r="CG95" s="56"/>
      <c r="CH95" s="65">
        <v>36827</v>
      </c>
      <c r="CI95" s="56">
        <v>1</v>
      </c>
      <c r="CJ95" s="56">
        <v>1</v>
      </c>
      <c r="CK95" s="56"/>
      <c r="CL95" s="65">
        <v>36665</v>
      </c>
    </row>
    <row r="96" spans="30:90">
      <c r="AE96" s="18"/>
      <c r="AF96" s="13"/>
      <c r="AG96" s="13"/>
      <c r="AH96" s="13"/>
      <c r="AI96" s="13"/>
      <c r="AK96">
        <v>95</v>
      </c>
      <c r="AL96" t="s">
        <v>75</v>
      </c>
      <c r="AM96" t="s">
        <v>446</v>
      </c>
      <c r="AN96" t="str">
        <f t="shared" si="13"/>
        <v>Sophie</v>
      </c>
      <c r="AO96" cm="1">
        <f t="array" ref="AO96">INDEX($AY$2:$CL$101,$AK96,($AV$2-1)*4+1)</f>
        <v>1</v>
      </c>
      <c r="AP96" cm="1">
        <f t="array" ref="AP96">INDEX($AY$2:$CL$101,$AK96,($AV$2-1)*4+2)</f>
        <v>0</v>
      </c>
      <c r="AQ96"/>
      <c r="AR96" s="1">
        <f t="shared" si="16"/>
        <v>3.0545838598437989</v>
      </c>
      <c r="AS96" cm="1">
        <f t="array" ref="AS96">INDEX($AY$2:$CL$101,$AK96,($AV$2-1)*4+4)</f>
        <v>36975</v>
      </c>
      <c r="AT96" s="53" t="str">
        <f t="shared" si="14"/>
        <v>975</v>
      </c>
      <c r="AY96" s="56">
        <v>1</v>
      </c>
      <c r="AZ96" s="56">
        <v>0</v>
      </c>
      <c r="BA96" s="56"/>
      <c r="BB96" s="65">
        <v>36975</v>
      </c>
      <c r="BC96" s="56">
        <v>0</v>
      </c>
      <c r="BD96" s="56">
        <v>0</v>
      </c>
      <c r="BE96" s="56"/>
      <c r="BF96" s="65">
        <v>37699</v>
      </c>
      <c r="BG96" s="56">
        <v>1</v>
      </c>
      <c r="BH96" s="56">
        <v>1</v>
      </c>
      <c r="BI96" s="56"/>
      <c r="BJ96" s="65">
        <v>36929</v>
      </c>
      <c r="BK96" s="56">
        <v>0</v>
      </c>
      <c r="BL96" s="56">
        <v>1</v>
      </c>
      <c r="BM96" s="56"/>
      <c r="BN96" s="65">
        <v>37738</v>
      </c>
      <c r="BO96" s="56">
        <v>0</v>
      </c>
      <c r="BP96" s="56">
        <v>0</v>
      </c>
      <c r="BQ96" s="56"/>
      <c r="BR96" s="65">
        <v>37560</v>
      </c>
      <c r="BS96" s="56">
        <v>0</v>
      </c>
      <c r="BT96" s="56">
        <v>1</v>
      </c>
      <c r="BU96" s="56"/>
      <c r="BV96" s="65">
        <v>37767</v>
      </c>
      <c r="BW96" s="56">
        <v>0</v>
      </c>
      <c r="BX96" s="56">
        <v>1</v>
      </c>
      <c r="BY96" s="56"/>
      <c r="BZ96" s="65">
        <v>35728</v>
      </c>
      <c r="CA96" s="56">
        <v>1</v>
      </c>
      <c r="CB96" s="56">
        <v>0</v>
      </c>
      <c r="CC96" s="56"/>
      <c r="CD96" s="65">
        <v>35747</v>
      </c>
      <c r="CE96" s="56">
        <v>0</v>
      </c>
      <c r="CF96" s="56">
        <v>0</v>
      </c>
      <c r="CG96" s="56"/>
      <c r="CH96" s="65">
        <v>35834</v>
      </c>
      <c r="CI96" s="56">
        <v>1</v>
      </c>
      <c r="CJ96" s="56">
        <v>0</v>
      </c>
      <c r="CK96" s="56"/>
      <c r="CL96" s="65">
        <v>37865</v>
      </c>
    </row>
    <row r="97" spans="30:90">
      <c r="AE97" s="18"/>
      <c r="AF97" s="13"/>
      <c r="AG97" s="13"/>
      <c r="AH97" s="13"/>
      <c r="AI97" s="13"/>
      <c r="AK97">
        <v>96</v>
      </c>
      <c r="AL97" t="s">
        <v>23</v>
      </c>
      <c r="AM97" t="s">
        <v>445</v>
      </c>
      <c r="AN97" t="str">
        <f t="shared" si="13"/>
        <v>Richard</v>
      </c>
      <c r="AO97" cm="1">
        <f t="array" ref="AO97">INDEX($AY$2:$CL$101,$AK97,($AV$2-1)*4+1)</f>
        <v>0</v>
      </c>
      <c r="AP97" cm="1">
        <f t="array" ref="AP97">INDEX($AY$2:$CL$101,$AK97,($AV$2-1)*4+2)</f>
        <v>0</v>
      </c>
      <c r="AQ97"/>
      <c r="AR97" s="1">
        <f t="shared" si="16"/>
        <v>3.0545838598437989</v>
      </c>
      <c r="AS97" cm="1">
        <f t="array" ref="AS97">INDEX($AY$2:$CL$101,$AK97,($AV$2-1)*4+4)</f>
        <v>36064</v>
      </c>
      <c r="AT97" s="53" t="str">
        <f t="shared" si="14"/>
        <v>064</v>
      </c>
      <c r="AY97" s="56">
        <v>0</v>
      </c>
      <c r="AZ97" s="56">
        <v>0</v>
      </c>
      <c r="BA97" s="56"/>
      <c r="BB97" s="65">
        <v>36064</v>
      </c>
      <c r="BC97" s="56">
        <v>0</v>
      </c>
      <c r="BD97" s="56">
        <v>1</v>
      </c>
      <c r="BE97" s="56"/>
      <c r="BF97" s="65">
        <v>37320</v>
      </c>
      <c r="BG97" s="56">
        <v>1</v>
      </c>
      <c r="BH97" s="56">
        <v>0</v>
      </c>
      <c r="BI97" s="56"/>
      <c r="BJ97" s="65">
        <v>37327</v>
      </c>
      <c r="BK97" s="56">
        <v>1</v>
      </c>
      <c r="BL97" s="56">
        <v>0</v>
      </c>
      <c r="BM97" s="56"/>
      <c r="BN97" s="65">
        <v>35614</v>
      </c>
      <c r="BO97" s="56">
        <v>1</v>
      </c>
      <c r="BP97" s="56">
        <v>0</v>
      </c>
      <c r="BQ97" s="56"/>
      <c r="BR97" s="65">
        <v>36343</v>
      </c>
      <c r="BS97" s="56">
        <v>1</v>
      </c>
      <c r="BT97" s="56">
        <v>1</v>
      </c>
      <c r="BU97" s="56"/>
      <c r="BV97" s="65">
        <v>36975</v>
      </c>
      <c r="BW97" s="56">
        <v>0</v>
      </c>
      <c r="BX97" s="56">
        <v>1</v>
      </c>
      <c r="BY97" s="56"/>
      <c r="BZ97" s="65">
        <v>38500</v>
      </c>
      <c r="CA97" s="56">
        <v>0</v>
      </c>
      <c r="CB97" s="56">
        <v>0</v>
      </c>
      <c r="CC97" s="56"/>
      <c r="CD97" s="65">
        <v>38033</v>
      </c>
      <c r="CE97" s="56">
        <v>0</v>
      </c>
      <c r="CF97" s="56">
        <v>0</v>
      </c>
      <c r="CG97" s="56"/>
      <c r="CH97" s="65">
        <v>36358</v>
      </c>
      <c r="CI97" s="56">
        <v>1</v>
      </c>
      <c r="CJ97" s="56">
        <v>1</v>
      </c>
      <c r="CK97" s="56"/>
      <c r="CL97" s="65">
        <v>36443</v>
      </c>
    </row>
    <row r="98" spans="30:90">
      <c r="AE98" s="18"/>
      <c r="AF98" s="13"/>
      <c r="AG98" s="13"/>
      <c r="AH98" s="13"/>
      <c r="AJ98" s="13"/>
      <c r="AK98">
        <v>97</v>
      </c>
      <c r="AL98" t="s">
        <v>25</v>
      </c>
      <c r="AM98" t="s">
        <v>436</v>
      </c>
      <c r="AN98" t="str">
        <f t="shared" si="13"/>
        <v>Calliope</v>
      </c>
      <c r="AO98" cm="1">
        <f t="array" ref="AO98">INDEX($AY$2:$CL$101,$AK98,($AV$2-1)*4+1)</f>
        <v>1</v>
      </c>
      <c r="AP98" cm="1">
        <f t="array" ref="AP98">INDEX($AY$2:$CL$101,$AK98,($AV$2-1)*4+2)</f>
        <v>0</v>
      </c>
      <c r="AQ98"/>
      <c r="AR98" s="1">
        <f t="shared" si="16"/>
        <v>3.0545838598437989</v>
      </c>
      <c r="AS98" cm="1">
        <f t="array" ref="AS98">INDEX($AY$2:$CL$101,$AK98,($AV$2-1)*4+4)</f>
        <v>36603</v>
      </c>
      <c r="AT98" s="53" t="str">
        <f t="shared" si="14"/>
        <v>603</v>
      </c>
      <c r="AY98" s="56">
        <v>1</v>
      </c>
      <c r="AZ98" s="56">
        <v>0</v>
      </c>
      <c r="BA98" s="56"/>
      <c r="BB98" s="65">
        <v>36603</v>
      </c>
      <c r="BC98" s="56">
        <v>0</v>
      </c>
      <c r="BD98" s="56">
        <v>1</v>
      </c>
      <c r="BE98" s="56"/>
      <c r="BF98" s="65">
        <v>37067</v>
      </c>
      <c r="BG98" s="56">
        <v>0</v>
      </c>
      <c r="BH98" s="56">
        <v>0</v>
      </c>
      <c r="BI98" s="56"/>
      <c r="BJ98" s="65">
        <v>37858</v>
      </c>
      <c r="BK98" s="56">
        <v>1</v>
      </c>
      <c r="BL98" s="56">
        <v>1</v>
      </c>
      <c r="BM98" s="56"/>
      <c r="BN98" s="65">
        <v>38191</v>
      </c>
      <c r="BO98" s="56">
        <v>0</v>
      </c>
      <c r="BP98" s="56">
        <v>0</v>
      </c>
      <c r="BQ98" s="56"/>
      <c r="BR98" s="65">
        <v>37052</v>
      </c>
      <c r="BS98" s="56">
        <v>1</v>
      </c>
      <c r="BT98" s="56">
        <v>0</v>
      </c>
      <c r="BU98" s="56"/>
      <c r="BV98" s="65">
        <v>37747</v>
      </c>
      <c r="BW98" s="56">
        <v>0</v>
      </c>
      <c r="BX98" s="56">
        <v>1</v>
      </c>
      <c r="BY98" s="56"/>
      <c r="BZ98" s="65">
        <v>37301</v>
      </c>
      <c r="CA98" s="56">
        <v>1</v>
      </c>
      <c r="CB98" s="56">
        <v>0</v>
      </c>
      <c r="CC98" s="56"/>
      <c r="CD98" s="65">
        <v>36247</v>
      </c>
      <c r="CE98" s="56">
        <v>0</v>
      </c>
      <c r="CF98" s="56">
        <v>0</v>
      </c>
      <c r="CG98" s="56"/>
      <c r="CH98" s="65">
        <v>36079</v>
      </c>
      <c r="CI98" s="56">
        <v>1</v>
      </c>
      <c r="CJ98" s="56">
        <v>1</v>
      </c>
      <c r="CK98" s="56"/>
      <c r="CL98" s="65">
        <v>38232</v>
      </c>
    </row>
    <row r="99" spans="30:90">
      <c r="AE99" s="18"/>
      <c r="AF99" s="13"/>
      <c r="AG99" s="13"/>
      <c r="AH99" s="13"/>
      <c r="AI99" s="13"/>
      <c r="AK99">
        <v>98</v>
      </c>
      <c r="AL99" t="s">
        <v>106</v>
      </c>
      <c r="AM99" t="s">
        <v>448</v>
      </c>
      <c r="AN99" t="str">
        <f t="shared" si="13"/>
        <v>Declan</v>
      </c>
      <c r="AO99" cm="1">
        <f t="array" ref="AO99">INDEX($AY$2:$CL$101,$AK99,($AV$2-1)*4+1)</f>
        <v>0</v>
      </c>
      <c r="AP99" cm="1">
        <f t="array" ref="AP99">INDEX($AY$2:$CL$101,$AK99,($AV$2-1)*4+2)</f>
        <v>0</v>
      </c>
      <c r="AQ99" cm="1">
        <f t="array" ref="AQ99">INDEX($AY$2:$CL$101,$AK99,($AV$2-1)*4+3)</f>
        <v>3.9297784979752275</v>
      </c>
      <c r="AR99" s="1">
        <f>AQ99</f>
        <v>3.9297784979752275</v>
      </c>
      <c r="AS99" cm="1">
        <f t="array" ref="AS99">INDEX($AY$2:$CL$101,$AK99,($AV$2-1)*4+4)</f>
        <v>36353</v>
      </c>
      <c r="AT99" s="53" t="str">
        <f t="shared" si="14"/>
        <v>353</v>
      </c>
      <c r="AY99" s="56">
        <v>0</v>
      </c>
      <c r="AZ99" s="56">
        <v>0</v>
      </c>
      <c r="BA99" s="56">
        <v>3.9297784979752275</v>
      </c>
      <c r="BB99" s="65">
        <v>36353</v>
      </c>
      <c r="BC99" s="56">
        <v>0</v>
      </c>
      <c r="BD99" s="56">
        <v>0</v>
      </c>
      <c r="BE99" s="56">
        <v>2.315890429391394</v>
      </c>
      <c r="BF99" s="65">
        <v>37515</v>
      </c>
      <c r="BG99" s="56">
        <v>1</v>
      </c>
      <c r="BH99" s="56">
        <v>1</v>
      </c>
      <c r="BI99" s="56">
        <v>3.7560161376949859</v>
      </c>
      <c r="BJ99" s="65">
        <v>36995</v>
      </c>
      <c r="BK99" s="56">
        <v>1</v>
      </c>
      <c r="BL99" s="56">
        <v>0</v>
      </c>
      <c r="BM99" s="56">
        <v>2.4596144279427268</v>
      </c>
      <c r="BN99" s="65">
        <v>36063</v>
      </c>
      <c r="BO99" s="56">
        <v>1</v>
      </c>
      <c r="BP99" s="56">
        <v>1</v>
      </c>
      <c r="BQ99" s="56">
        <v>2.2789033978472908</v>
      </c>
      <c r="BR99" s="65">
        <v>35783</v>
      </c>
      <c r="BS99" s="56">
        <v>0</v>
      </c>
      <c r="BT99" s="56">
        <v>1</v>
      </c>
      <c r="BU99" s="56">
        <v>2.5140312958248394</v>
      </c>
      <c r="BV99" s="65">
        <v>36117</v>
      </c>
      <c r="BW99" s="56">
        <v>1</v>
      </c>
      <c r="BX99" s="56">
        <v>0</v>
      </c>
      <c r="BY99" s="56">
        <v>2.6474174898789502</v>
      </c>
      <c r="BZ99" s="65">
        <v>37113</v>
      </c>
      <c r="CA99" s="56">
        <v>0</v>
      </c>
      <c r="CB99" s="56">
        <v>0</v>
      </c>
      <c r="CC99" s="56">
        <v>2.5755558681950115</v>
      </c>
      <c r="CD99" s="65">
        <v>37768</v>
      </c>
      <c r="CE99" s="56">
        <v>0</v>
      </c>
      <c r="CF99" s="56">
        <v>0</v>
      </c>
      <c r="CG99" s="56">
        <v>2.6584174648227794</v>
      </c>
      <c r="CH99" s="65">
        <v>37246</v>
      </c>
      <c r="CI99" s="56">
        <v>1</v>
      </c>
      <c r="CJ99" s="56">
        <v>1</v>
      </c>
      <c r="CK99" s="56">
        <v>2.193062944194895</v>
      </c>
      <c r="CL99" s="65">
        <v>35763</v>
      </c>
    </row>
    <row r="100" spans="30:90">
      <c r="AD100" s="7"/>
      <c r="AE100" s="18"/>
      <c r="AF100" s="13"/>
      <c r="AG100" s="13"/>
      <c r="AH100" s="13"/>
      <c r="AJ100" s="13"/>
      <c r="AK100">
        <v>99</v>
      </c>
      <c r="AL100" t="s">
        <v>100</v>
      </c>
      <c r="AM100" t="s">
        <v>447</v>
      </c>
      <c r="AN100" t="str">
        <f t="shared" si="13"/>
        <v>Aaron</v>
      </c>
      <c r="AO100" cm="1">
        <f t="array" ref="AO100">INDEX($AY$2:$CL$101,$AK100,($AV$2-1)*4+1)</f>
        <v>0</v>
      </c>
      <c r="AP100" cm="1">
        <f t="array" ref="AP100">INDEX($AY$2:$CL$101,$AK100,($AV$2-1)*4+2)</f>
        <v>1</v>
      </c>
      <c r="AQ100" cm="1">
        <f t="array" ref="AQ100">INDEX($AY$2:$CL$101,$AK100,($AV$2-1)*4+3)</f>
        <v>2.8811058170623181</v>
      </c>
      <c r="AR100" s="1">
        <f>AQ100</f>
        <v>2.8811058170623181</v>
      </c>
      <c r="AS100" cm="1">
        <f t="array" ref="AS100">INDEX($AY$2:$CL$101,$AK100,($AV$2-1)*4+4)</f>
        <v>36416</v>
      </c>
      <c r="AT100" s="53" t="str">
        <f t="shared" si="14"/>
        <v>416</v>
      </c>
      <c r="AY100" s="56">
        <v>0</v>
      </c>
      <c r="AZ100" s="56">
        <v>1</v>
      </c>
      <c r="BA100" s="56">
        <v>2.8811058170623181</v>
      </c>
      <c r="BB100" s="65">
        <v>36416</v>
      </c>
      <c r="BC100" s="56">
        <v>0</v>
      </c>
      <c r="BD100" s="56">
        <v>0</v>
      </c>
      <c r="BE100" s="56">
        <v>2.8811058170623181</v>
      </c>
      <c r="BF100" s="65">
        <v>37783</v>
      </c>
      <c r="BG100" s="56">
        <v>0</v>
      </c>
      <c r="BH100" s="56">
        <v>0</v>
      </c>
      <c r="BI100" s="56">
        <v>2.8811058170623181</v>
      </c>
      <c r="BJ100" s="65">
        <v>36275</v>
      </c>
      <c r="BK100" s="56">
        <v>0</v>
      </c>
      <c r="BL100" s="56">
        <v>0</v>
      </c>
      <c r="BM100" s="56">
        <v>2.8811058170623181</v>
      </c>
      <c r="BN100" s="65">
        <v>38002</v>
      </c>
      <c r="BO100" s="56">
        <v>1</v>
      </c>
      <c r="BP100" s="56">
        <v>0</v>
      </c>
      <c r="BQ100" s="56">
        <v>2.8811058170623181</v>
      </c>
      <c r="BR100" s="65">
        <v>38375</v>
      </c>
      <c r="BS100" s="56">
        <v>0</v>
      </c>
      <c r="BT100" s="56">
        <v>1</v>
      </c>
      <c r="BU100" s="56">
        <v>2.8811058170623181</v>
      </c>
      <c r="BV100" s="65">
        <v>36091</v>
      </c>
      <c r="BW100" s="56">
        <v>1</v>
      </c>
      <c r="BX100" s="56">
        <v>0</v>
      </c>
      <c r="BY100" s="56">
        <v>2.8811058170623181</v>
      </c>
      <c r="BZ100" s="65">
        <v>38157</v>
      </c>
      <c r="CA100" s="56">
        <v>0</v>
      </c>
      <c r="CB100" s="56">
        <v>1</v>
      </c>
      <c r="CC100" s="56">
        <v>2.8811058170623181</v>
      </c>
      <c r="CD100" s="65">
        <v>35553</v>
      </c>
      <c r="CE100" s="56">
        <v>0</v>
      </c>
      <c r="CF100" s="56">
        <v>1</v>
      </c>
      <c r="CG100" s="56">
        <v>2.8811058170623181</v>
      </c>
      <c r="CH100" s="65">
        <v>38060</v>
      </c>
      <c r="CI100" s="56">
        <v>0</v>
      </c>
      <c r="CJ100" s="56">
        <v>1</v>
      </c>
      <c r="CK100" s="56">
        <v>2.8811058170623181</v>
      </c>
      <c r="CL100" s="65">
        <v>35625</v>
      </c>
    </row>
    <row r="101" spans="30:90">
      <c r="AD101" s="7"/>
      <c r="AE101" s="7"/>
      <c r="AF101" s="7"/>
      <c r="AG101" s="7"/>
      <c r="AH101" s="7"/>
      <c r="AI101" s="7"/>
      <c r="AJ101" s="13"/>
      <c r="AK101">
        <v>100</v>
      </c>
      <c r="AL101" t="s">
        <v>61</v>
      </c>
      <c r="AM101" t="s">
        <v>110</v>
      </c>
      <c r="AN101" t="str">
        <f t="shared" si="13"/>
        <v>Zoe</v>
      </c>
      <c r="AO101" cm="1">
        <f t="array" ref="AO101">INDEX($AY$2:$CL$101,$AK101,($AV$2-1)*4+1)</f>
        <v>1</v>
      </c>
      <c r="AP101" cm="1">
        <f t="array" ref="AP101">INDEX($AY$2:$CL$101,$AK101,($AV$2-1)*4+2)</f>
        <v>1</v>
      </c>
      <c r="AQ101" cm="1">
        <f t="array" ref="AQ101">INDEX($AY$2:$CL$101,$AK101,($AV$2-1)*4+3)</f>
        <v>3.2228006079623532</v>
      </c>
      <c r="AR101" s="1">
        <f>AQ101</f>
        <v>3.2228006079623532</v>
      </c>
      <c r="AS101" cm="1">
        <f t="array" ref="AS101">INDEX($AY$2:$CL$101,$AK101,($AV$2-1)*4+4)</f>
        <v>36556</v>
      </c>
      <c r="AT101" s="53" t="str">
        <f t="shared" si="14"/>
        <v>556</v>
      </c>
      <c r="AY101" s="56">
        <v>1</v>
      </c>
      <c r="AZ101" s="56">
        <v>1</v>
      </c>
      <c r="BA101" s="56">
        <v>3.2228006079623532</v>
      </c>
      <c r="BB101" s="65">
        <v>36556</v>
      </c>
      <c r="BC101" s="56">
        <v>1</v>
      </c>
      <c r="BD101" s="56">
        <v>1</v>
      </c>
      <c r="BE101" s="56">
        <v>2.684594986949552</v>
      </c>
      <c r="BF101" s="65">
        <v>36091</v>
      </c>
      <c r="BG101" s="56">
        <v>0</v>
      </c>
      <c r="BH101" s="56">
        <v>1</v>
      </c>
      <c r="BI101" s="56">
        <v>2.2440472297587024</v>
      </c>
      <c r="BJ101" s="65">
        <v>35821</v>
      </c>
      <c r="BK101" s="56">
        <v>0</v>
      </c>
      <c r="BL101" s="56">
        <v>1</v>
      </c>
      <c r="BM101" s="56">
        <v>2.9573668925256849</v>
      </c>
      <c r="BN101" s="65">
        <v>36339</v>
      </c>
      <c r="BO101" s="56">
        <v>0</v>
      </c>
      <c r="BP101" s="56">
        <v>0</v>
      </c>
      <c r="BQ101" s="56">
        <v>2.6975670152408044</v>
      </c>
      <c r="BR101" s="65">
        <v>38095</v>
      </c>
      <c r="BS101" s="56">
        <v>1</v>
      </c>
      <c r="BT101" s="56">
        <v>1</v>
      </c>
      <c r="BU101" s="56">
        <v>3.0478822994789225</v>
      </c>
      <c r="BV101" s="65">
        <v>35657</v>
      </c>
      <c r="BW101" s="56">
        <v>1</v>
      </c>
      <c r="BX101" s="56">
        <v>0</v>
      </c>
      <c r="BY101" s="56">
        <v>3.376910442839816</v>
      </c>
      <c r="BZ101" s="65">
        <v>36762</v>
      </c>
      <c r="CA101" s="56">
        <v>0</v>
      </c>
      <c r="CB101" s="56">
        <v>1</v>
      </c>
      <c r="CC101" s="56">
        <v>2.8088990227996886</v>
      </c>
      <c r="CD101" s="65">
        <v>36071</v>
      </c>
      <c r="CE101" s="56">
        <v>1</v>
      </c>
      <c r="CF101" s="56">
        <v>1</v>
      </c>
      <c r="CG101" s="56">
        <v>2.4835319426785087</v>
      </c>
      <c r="CH101" s="65">
        <v>35537</v>
      </c>
      <c r="CI101" s="56">
        <v>1</v>
      </c>
      <c r="CJ101" s="56">
        <v>0</v>
      </c>
      <c r="CK101" s="56">
        <v>3.0452358872145</v>
      </c>
      <c r="CL101" s="65">
        <v>36552</v>
      </c>
    </row>
    <row r="102" spans="30:90">
      <c r="AE102" s="18"/>
      <c r="AF102" s="13"/>
      <c r="AG102" s="13"/>
      <c r="AH102" s="13"/>
      <c r="AI102" s="13"/>
      <c r="AJ102" s="13"/>
      <c r="BA102" s="56"/>
    </row>
    <row r="103" spans="30:90">
      <c r="AE103" s="18"/>
      <c r="AF103" s="13"/>
      <c r="AG103" s="13"/>
      <c r="AH103" s="13"/>
      <c r="AI103" s="13"/>
    </row>
    <row r="104" spans="30:90">
      <c r="AE104" s="18"/>
      <c r="AF104" s="13"/>
      <c r="AG104" s="13"/>
      <c r="AH104" s="13"/>
      <c r="AI104" s="13"/>
    </row>
    <row r="105" spans="30:90">
      <c r="AE105" s="18"/>
      <c r="AF105" s="13"/>
      <c r="AG105" s="13"/>
      <c r="AH105" s="13"/>
      <c r="AI105" s="13"/>
    </row>
    <row r="106" spans="30:90">
      <c r="AE106" s="18"/>
      <c r="AF106" s="13"/>
      <c r="AG106" s="13"/>
      <c r="AH106" s="13"/>
      <c r="AI106" s="13"/>
    </row>
    <row r="107" spans="30:90">
      <c r="AE107" s="18"/>
      <c r="AF107" s="13"/>
      <c r="AG107" s="13"/>
      <c r="AH107" s="13"/>
      <c r="AI107" s="13"/>
    </row>
    <row r="108" spans="30:90">
      <c r="AE108" s="18"/>
      <c r="AF108" s="13"/>
      <c r="AG108" s="13"/>
      <c r="AH108" s="13"/>
      <c r="AI108" s="13"/>
    </row>
    <row r="109" spans="30:90">
      <c r="AE109" s="18"/>
      <c r="AF109" s="13"/>
      <c r="AG109" s="13"/>
      <c r="AH109" s="13"/>
      <c r="AI109" s="13"/>
    </row>
    <row r="110" spans="30:90">
      <c r="AE110" s="18"/>
      <c r="AF110" s="13"/>
      <c r="AG110" s="13"/>
      <c r="AH110" s="13"/>
      <c r="AI110" s="13"/>
    </row>
    <row r="111" spans="30:90">
      <c r="AE111" s="18"/>
      <c r="AF111" s="13"/>
      <c r="AG111" s="13"/>
      <c r="AH111" s="13"/>
      <c r="AI111" s="13"/>
    </row>
    <row r="112" spans="30:90">
      <c r="AE112" s="18"/>
      <c r="AF112" s="13"/>
      <c r="AG112" s="13"/>
      <c r="AH112" s="13"/>
      <c r="AI112" s="13"/>
    </row>
    <row r="113" spans="31:35">
      <c r="AE113" s="18"/>
      <c r="AF113" s="13"/>
      <c r="AG113" s="13"/>
      <c r="AH113" s="13"/>
      <c r="AI113" s="13"/>
    </row>
    <row r="114" spans="31:35">
      <c r="AE114" s="18"/>
      <c r="AF114" s="13"/>
      <c r="AG114" s="13"/>
      <c r="AH114" s="13"/>
      <c r="AI114" s="13"/>
    </row>
    <row r="115" spans="31:35">
      <c r="AE115" s="18"/>
      <c r="AF115" s="13"/>
      <c r="AG115" s="13"/>
      <c r="AH115" s="13"/>
      <c r="AI115" s="13"/>
    </row>
    <row r="116" spans="31:35">
      <c r="AE116" s="18"/>
      <c r="AF116" s="13"/>
      <c r="AG116" s="13"/>
      <c r="AH116" s="13"/>
      <c r="AI116" s="13"/>
    </row>
    <row r="117" spans="31:35">
      <c r="AE117" s="18"/>
      <c r="AF117" s="13"/>
      <c r="AG117" s="13"/>
      <c r="AH117" s="13"/>
      <c r="AI117" s="13"/>
    </row>
    <row r="118" spans="31:35">
      <c r="AE118" s="18"/>
      <c r="AF118" s="13"/>
      <c r="AG118" s="13"/>
      <c r="AH118" s="13"/>
      <c r="AI118" s="13"/>
    </row>
    <row r="119" spans="31:35">
      <c r="AE119" s="18"/>
      <c r="AF119" s="13"/>
      <c r="AG119" s="13"/>
      <c r="AH119" s="13"/>
      <c r="AI119" s="13"/>
    </row>
    <row r="120" spans="31:35">
      <c r="AE120" s="18"/>
      <c r="AF120" s="13"/>
      <c r="AG120" s="13"/>
      <c r="AH120" s="13"/>
      <c r="AI120" s="13"/>
    </row>
    <row r="121" spans="31:35">
      <c r="AE121" s="18"/>
      <c r="AF121" s="13"/>
      <c r="AG121" s="13"/>
      <c r="AH121" s="13"/>
      <c r="AI121" s="13"/>
    </row>
    <row r="122" spans="31:35">
      <c r="AE122" s="18"/>
      <c r="AF122" s="13"/>
      <c r="AG122" s="13"/>
      <c r="AH122" s="13"/>
      <c r="AI122" s="13"/>
    </row>
    <row r="123" spans="31:35">
      <c r="AE123" s="18"/>
      <c r="AF123" s="13"/>
      <c r="AG123" s="13"/>
      <c r="AH123" s="13"/>
      <c r="AI123" s="13"/>
    </row>
    <row r="124" spans="31:35">
      <c r="AE124" s="18"/>
      <c r="AF124" s="13"/>
      <c r="AG124" s="13"/>
      <c r="AH124" s="13"/>
      <c r="AI124" s="13"/>
    </row>
    <row r="125" spans="31:35">
      <c r="AE125" s="18"/>
      <c r="AF125" s="13"/>
      <c r="AG125" s="13"/>
      <c r="AH125" s="13"/>
      <c r="AI125" s="13"/>
    </row>
    <row r="126" spans="31:35">
      <c r="AE126" s="18"/>
      <c r="AF126" s="13"/>
      <c r="AG126" s="13"/>
      <c r="AH126" s="13"/>
      <c r="AI126" s="13"/>
    </row>
    <row r="127" spans="31:35">
      <c r="AE127" s="18"/>
      <c r="AF127" s="13"/>
      <c r="AG127" s="13"/>
      <c r="AH127" s="13"/>
      <c r="AI127" s="13"/>
    </row>
    <row r="128" spans="31:35">
      <c r="AE128" s="18"/>
      <c r="AF128" s="13"/>
      <c r="AG128" s="13"/>
      <c r="AH128" s="13"/>
      <c r="AI128" s="13"/>
    </row>
    <row r="129" spans="31:35">
      <c r="AE129" s="18"/>
      <c r="AF129" s="13"/>
      <c r="AG129" s="13"/>
      <c r="AH129" s="13"/>
      <c r="AI129" s="13"/>
    </row>
    <row r="130" spans="31:35">
      <c r="AE130" s="18"/>
      <c r="AF130" s="13"/>
      <c r="AG130" s="13"/>
      <c r="AH130" s="13"/>
      <c r="AI130" s="13"/>
    </row>
    <row r="131" spans="31:35">
      <c r="AE131" s="18"/>
      <c r="AF131" s="13"/>
      <c r="AG131" s="13"/>
      <c r="AH131" s="13"/>
      <c r="AI131" s="13"/>
    </row>
    <row r="132" spans="31:35">
      <c r="AE132" s="18"/>
      <c r="AF132" s="13"/>
      <c r="AG132" s="13"/>
      <c r="AH132" s="13"/>
      <c r="AI132" s="13"/>
    </row>
    <row r="133" spans="31:35">
      <c r="AE133" s="18"/>
      <c r="AF133" s="13"/>
      <c r="AG133" s="13"/>
      <c r="AH133" s="13"/>
      <c r="AI133" s="13"/>
    </row>
    <row r="134" spans="31:35">
      <c r="AE134" s="18"/>
      <c r="AF134" s="13"/>
      <c r="AG134" s="13"/>
      <c r="AH134" s="13"/>
      <c r="AI134" s="13"/>
    </row>
    <row r="135" spans="31:35">
      <c r="AE135" s="18"/>
      <c r="AF135" s="13"/>
      <c r="AG135" s="13"/>
      <c r="AH135" s="13"/>
      <c r="AI135" s="13"/>
    </row>
    <row r="136" spans="31:35">
      <c r="AE136" s="18"/>
      <c r="AF136" s="13"/>
      <c r="AG136" s="13"/>
      <c r="AH136" s="13"/>
      <c r="AI136" s="13"/>
    </row>
    <row r="137" spans="31:35">
      <c r="AE137" s="18"/>
      <c r="AF137" s="13"/>
      <c r="AG137" s="13"/>
      <c r="AH137" s="13"/>
      <c r="AI137" s="13"/>
    </row>
    <row r="138" spans="31:35">
      <c r="AE138" s="18"/>
      <c r="AF138" s="13"/>
      <c r="AG138" s="13"/>
      <c r="AH138" s="13"/>
      <c r="AI138" s="13"/>
    </row>
    <row r="139" spans="31:35">
      <c r="AE139" s="18"/>
      <c r="AF139" s="13"/>
      <c r="AG139" s="13"/>
      <c r="AH139" s="13"/>
      <c r="AI139" s="13"/>
    </row>
    <row r="140" spans="31:35">
      <c r="AE140" s="18"/>
      <c r="AF140" s="13"/>
      <c r="AG140" s="13"/>
      <c r="AH140" s="13"/>
      <c r="AI140" s="13"/>
    </row>
    <row r="141" spans="31:35">
      <c r="AE141" s="18"/>
      <c r="AF141" s="13"/>
      <c r="AG141" s="13"/>
      <c r="AH141" s="13"/>
      <c r="AI141" s="13"/>
    </row>
    <row r="142" spans="31:35">
      <c r="AE142" s="18"/>
      <c r="AF142" s="13"/>
      <c r="AG142" s="13"/>
      <c r="AH142" s="13"/>
      <c r="AI142" s="13"/>
    </row>
    <row r="143" spans="31:35">
      <c r="AE143" s="18"/>
      <c r="AF143" s="13"/>
      <c r="AG143" s="13"/>
      <c r="AH143" s="13"/>
      <c r="AI143" s="13"/>
    </row>
    <row r="144" spans="31:35">
      <c r="AE144" s="18"/>
      <c r="AF144" s="13"/>
      <c r="AG144" s="13"/>
      <c r="AH144" s="13"/>
      <c r="AI144" s="13"/>
    </row>
    <row r="145" spans="31:35">
      <c r="AE145" s="18"/>
      <c r="AF145" s="13"/>
      <c r="AG145" s="13"/>
      <c r="AH145" s="13"/>
      <c r="AI145" s="13"/>
    </row>
    <row r="146" spans="31:35">
      <c r="AE146" s="18"/>
      <c r="AF146" s="13"/>
      <c r="AG146" s="13"/>
      <c r="AH146" s="13"/>
      <c r="AI146" s="13"/>
    </row>
    <row r="147" spans="31:35">
      <c r="AE147" s="18"/>
      <c r="AF147" s="13"/>
      <c r="AG147" s="13"/>
      <c r="AH147" s="13"/>
      <c r="AI147" s="13"/>
    </row>
    <row r="148" spans="31:35">
      <c r="AE148" s="18"/>
      <c r="AF148" s="13"/>
      <c r="AG148" s="13"/>
      <c r="AH148" s="13"/>
      <c r="AI148" s="13"/>
    </row>
    <row r="149" spans="31:35">
      <c r="AE149" s="18"/>
      <c r="AF149" s="13"/>
      <c r="AG149" s="13"/>
      <c r="AH149" s="13"/>
      <c r="AI149" s="13"/>
    </row>
    <row r="150" spans="31:35">
      <c r="AE150" s="18"/>
      <c r="AF150" s="13"/>
      <c r="AG150" s="13"/>
      <c r="AH150" s="13"/>
      <c r="AI150" s="13"/>
    </row>
    <row r="151" spans="31:35">
      <c r="AE151" s="18"/>
      <c r="AF151" s="13"/>
      <c r="AG151" s="13"/>
      <c r="AH151" s="13"/>
      <c r="AI151" s="13"/>
    </row>
    <row r="152" spans="31:35">
      <c r="AE152" s="18"/>
      <c r="AF152" s="13"/>
      <c r="AG152" s="13"/>
      <c r="AH152" s="13"/>
      <c r="AI152" s="13"/>
    </row>
    <row r="153" spans="31:35">
      <c r="AE153" s="18"/>
      <c r="AF153" s="13"/>
      <c r="AG153" s="13"/>
      <c r="AH153" s="13"/>
      <c r="AI153" s="13"/>
    </row>
    <row r="154" spans="31:35">
      <c r="AE154" s="18"/>
      <c r="AF154" s="13"/>
      <c r="AG154" s="13"/>
      <c r="AH154" s="13"/>
      <c r="AI154" s="13"/>
    </row>
    <row r="155" spans="31:35">
      <c r="AE155" s="18"/>
      <c r="AF155" s="13"/>
      <c r="AG155" s="13"/>
      <c r="AH155" s="13"/>
      <c r="AI155" s="13"/>
    </row>
    <row r="156" spans="31:35">
      <c r="AE156" s="18"/>
      <c r="AF156" s="13"/>
      <c r="AG156" s="13"/>
      <c r="AH156" s="13"/>
      <c r="AI156" s="13"/>
    </row>
    <row r="157" spans="31:35">
      <c r="AE157" s="18"/>
      <c r="AF157" s="13"/>
      <c r="AG157" s="13"/>
      <c r="AH157" s="13"/>
      <c r="AI157" s="13"/>
    </row>
    <row r="158" spans="31:35">
      <c r="AE158" s="18"/>
      <c r="AF158" s="13"/>
      <c r="AG158" s="13"/>
      <c r="AH158" s="13"/>
      <c r="AI158" s="13"/>
    </row>
    <row r="159" spans="31:35">
      <c r="AE159" s="18"/>
      <c r="AF159" s="13"/>
      <c r="AG159" s="13"/>
      <c r="AH159" s="13"/>
      <c r="AI159" s="13"/>
    </row>
    <row r="160" spans="31:35">
      <c r="AE160" s="18"/>
      <c r="AF160" s="13"/>
      <c r="AG160" s="13"/>
      <c r="AH160" s="13"/>
      <c r="AI160" s="13"/>
    </row>
    <row r="161" spans="31:35">
      <c r="AE161" s="18"/>
      <c r="AF161" s="13"/>
      <c r="AG161" s="13"/>
      <c r="AH161" s="13"/>
      <c r="AI161" s="13"/>
    </row>
    <row r="162" spans="31:35">
      <c r="AE162" s="18"/>
      <c r="AF162" s="13"/>
      <c r="AG162" s="13"/>
      <c r="AH162" s="13"/>
      <c r="AI162" s="13"/>
    </row>
    <row r="163" spans="31:35">
      <c r="AE163" s="18"/>
      <c r="AF163" s="13"/>
      <c r="AG163" s="13"/>
      <c r="AH163" s="13"/>
      <c r="AI163" s="13"/>
    </row>
    <row r="164" spans="31:35">
      <c r="AE164" s="18"/>
      <c r="AF164" s="13"/>
      <c r="AG164" s="13"/>
      <c r="AH164" s="13"/>
      <c r="AI164" s="13"/>
    </row>
    <row r="165" spans="31:35">
      <c r="AE165" s="18"/>
      <c r="AF165" s="13"/>
      <c r="AG165" s="13"/>
      <c r="AH165" s="13"/>
      <c r="AI165" s="13"/>
    </row>
    <row r="166" spans="31:35">
      <c r="AE166" s="18"/>
      <c r="AF166" s="13"/>
      <c r="AG166" s="13"/>
      <c r="AH166" s="13"/>
      <c r="AI166" s="13"/>
    </row>
    <row r="167" spans="31:35">
      <c r="AE167" s="18"/>
      <c r="AF167" s="13"/>
      <c r="AG167" s="13"/>
      <c r="AH167" s="13"/>
      <c r="AI167" s="13"/>
    </row>
    <row r="168" spans="31:35">
      <c r="AE168" s="18"/>
      <c r="AF168" s="13"/>
      <c r="AG168" s="13"/>
      <c r="AH168" s="13"/>
      <c r="AI168" s="13"/>
    </row>
    <row r="169" spans="31:35">
      <c r="AE169" s="18"/>
      <c r="AF169" s="13"/>
      <c r="AG169" s="13"/>
      <c r="AH169" s="13"/>
      <c r="AI169" s="13"/>
    </row>
    <row r="170" spans="31:35">
      <c r="AE170" s="18"/>
      <c r="AF170" s="13"/>
      <c r="AG170" s="13"/>
      <c r="AH170" s="13"/>
      <c r="AI170" s="13"/>
    </row>
    <row r="171" spans="31:35">
      <c r="AE171" s="18"/>
      <c r="AF171" s="13"/>
      <c r="AG171" s="13"/>
      <c r="AH171" s="13"/>
      <c r="AI171" s="13"/>
    </row>
    <row r="172" spans="31:35">
      <c r="AE172" s="18"/>
      <c r="AF172" s="13"/>
      <c r="AG172" s="13"/>
      <c r="AH172" s="13"/>
      <c r="AI172" s="13"/>
    </row>
    <row r="173" spans="31:35">
      <c r="AE173" s="18"/>
      <c r="AF173" s="13"/>
      <c r="AG173" s="13"/>
      <c r="AH173" s="13"/>
      <c r="AI173" s="13"/>
    </row>
    <row r="174" spans="31:35">
      <c r="AE174" s="18"/>
      <c r="AF174" s="13"/>
      <c r="AG174" s="13"/>
      <c r="AH174" s="13"/>
      <c r="AI174" s="13"/>
    </row>
    <row r="175" spans="31:35">
      <c r="AE175" s="18"/>
      <c r="AF175" s="13"/>
      <c r="AG175" s="13"/>
      <c r="AH175" s="13"/>
      <c r="AI175" s="13"/>
    </row>
    <row r="176" spans="31:35">
      <c r="AE176" s="18"/>
      <c r="AF176" s="13"/>
      <c r="AG176" s="13"/>
      <c r="AH176" s="13"/>
      <c r="AI176" s="13"/>
    </row>
    <row r="177" spans="31:35">
      <c r="AE177" s="18"/>
      <c r="AF177" s="13"/>
      <c r="AG177" s="13"/>
      <c r="AH177" s="13"/>
      <c r="AI177" s="13"/>
    </row>
    <row r="178" spans="31:35">
      <c r="AE178" s="18"/>
      <c r="AF178" s="13"/>
      <c r="AG178" s="13"/>
      <c r="AH178" s="13"/>
      <c r="AI178" s="13"/>
    </row>
    <row r="179" spans="31:35">
      <c r="AE179" s="18"/>
      <c r="AF179" s="13"/>
      <c r="AG179" s="13"/>
      <c r="AH179" s="13"/>
      <c r="AI179" s="13"/>
    </row>
    <row r="180" spans="31:35">
      <c r="AE180" s="18"/>
      <c r="AF180" s="13"/>
      <c r="AG180" s="13"/>
      <c r="AH180" s="13"/>
      <c r="AI180" s="13"/>
    </row>
    <row r="181" spans="31:35">
      <c r="AE181" s="18"/>
      <c r="AF181" s="13"/>
      <c r="AG181" s="13"/>
      <c r="AH181" s="13"/>
      <c r="AI181" s="13"/>
    </row>
    <row r="182" spans="31:35">
      <c r="AE182" s="18"/>
      <c r="AF182" s="13"/>
      <c r="AG182" s="13"/>
      <c r="AH182" s="13"/>
      <c r="AI182" s="13"/>
    </row>
    <row r="183" spans="31:35">
      <c r="AE183" s="18"/>
      <c r="AF183" s="13"/>
      <c r="AG183" s="13"/>
      <c r="AH183" s="13"/>
      <c r="AI183" s="13"/>
    </row>
    <row r="184" spans="31:35">
      <c r="AE184" s="18"/>
      <c r="AF184" s="13"/>
      <c r="AG184" s="13"/>
      <c r="AH184" s="13"/>
      <c r="AI184" s="13"/>
    </row>
    <row r="185" spans="31:35">
      <c r="AE185" s="18"/>
      <c r="AF185" s="13"/>
      <c r="AG185" s="13"/>
      <c r="AH185" s="13"/>
      <c r="AI185" s="13"/>
    </row>
    <row r="186" spans="31:35">
      <c r="AE186" s="18"/>
      <c r="AF186" s="13"/>
      <c r="AG186" s="13"/>
      <c r="AH186" s="13"/>
      <c r="AI186" s="13"/>
    </row>
    <row r="187" spans="31:35">
      <c r="AE187" s="18"/>
      <c r="AF187" s="13"/>
      <c r="AG187" s="13"/>
      <c r="AH187" s="13"/>
      <c r="AI187" s="13"/>
    </row>
    <row r="188" spans="31:35">
      <c r="AE188" s="18"/>
      <c r="AF188" s="13"/>
      <c r="AG188" s="13"/>
      <c r="AH188" s="13"/>
      <c r="AI188" s="13"/>
    </row>
    <row r="189" spans="31:35">
      <c r="AE189" s="18"/>
      <c r="AF189" s="13"/>
      <c r="AG189" s="13"/>
      <c r="AH189" s="13"/>
      <c r="AI189" s="13"/>
    </row>
    <row r="190" spans="31:35">
      <c r="AE190" s="18"/>
      <c r="AF190" s="13"/>
      <c r="AG190" s="13"/>
      <c r="AH190" s="13"/>
      <c r="AI190" s="13"/>
    </row>
    <row r="191" spans="31:35">
      <c r="AE191" s="18"/>
      <c r="AF191" s="13"/>
      <c r="AG191" s="13"/>
      <c r="AH191" s="13"/>
      <c r="AI191" s="13"/>
    </row>
    <row r="192" spans="31:35">
      <c r="AE192" s="18"/>
      <c r="AF192" s="13"/>
      <c r="AG192" s="13"/>
      <c r="AH192" s="13"/>
      <c r="AI192" s="13"/>
    </row>
    <row r="193" spans="31:35">
      <c r="AE193" s="18"/>
      <c r="AF193" s="13"/>
      <c r="AG193" s="13"/>
      <c r="AH193" s="13"/>
      <c r="AI193" s="13"/>
    </row>
    <row r="194" spans="31:35">
      <c r="AE194" s="18"/>
      <c r="AF194" s="13"/>
      <c r="AG194" s="13"/>
      <c r="AH194" s="13"/>
      <c r="AI194" s="13"/>
    </row>
    <row r="195" spans="31:35">
      <c r="AE195" s="18"/>
      <c r="AF195" s="13"/>
      <c r="AG195" s="13"/>
      <c r="AH195" s="13"/>
      <c r="AI195" s="13"/>
    </row>
    <row r="196" spans="31:35">
      <c r="AE196" s="18"/>
      <c r="AF196" s="13"/>
      <c r="AG196" s="13"/>
      <c r="AH196" s="13"/>
      <c r="AI196" s="13"/>
    </row>
    <row r="197" spans="31:35">
      <c r="AE197" s="18"/>
      <c r="AF197" s="13"/>
      <c r="AG197" s="13"/>
      <c r="AH197" s="13"/>
      <c r="AI197" s="13"/>
    </row>
    <row r="198" spans="31:35">
      <c r="AE198" s="18"/>
      <c r="AF198" s="13"/>
      <c r="AG198" s="13"/>
      <c r="AH198" s="13"/>
      <c r="AI198" s="13"/>
    </row>
    <row r="199" spans="31:35">
      <c r="AE199" s="18"/>
      <c r="AF199" s="13"/>
      <c r="AG199" s="13"/>
      <c r="AH199" s="13"/>
      <c r="AI199" s="13"/>
    </row>
    <row r="200" spans="31:35">
      <c r="AE200" s="18"/>
      <c r="AF200" s="13"/>
      <c r="AG200" s="13"/>
      <c r="AH200" s="13"/>
      <c r="AI200" s="13"/>
    </row>
    <row r="201" spans="31:35">
      <c r="AE201" s="18"/>
      <c r="AF201" s="13"/>
      <c r="AG201" s="13"/>
      <c r="AH201" s="13"/>
      <c r="AI201" s="13"/>
    </row>
    <row r="202" spans="31:35">
      <c r="AE202" s="18"/>
      <c r="AF202" s="13"/>
      <c r="AG202" s="13"/>
      <c r="AH202" s="13"/>
      <c r="AI202" s="13"/>
    </row>
    <row r="203" spans="31:35">
      <c r="AE203" s="18"/>
      <c r="AF203" s="13"/>
      <c r="AG203" s="13"/>
      <c r="AH203" s="13"/>
      <c r="AI203" s="13"/>
    </row>
    <row r="204" spans="31:35">
      <c r="AE204" s="18"/>
      <c r="AF204" s="13"/>
      <c r="AG204" s="13"/>
      <c r="AH204" s="13"/>
      <c r="AI204" s="13"/>
    </row>
    <row r="205" spans="31:35">
      <c r="AE205" s="18"/>
      <c r="AF205" s="13"/>
      <c r="AG205" s="13"/>
      <c r="AH205" s="13"/>
      <c r="AI205" s="13"/>
    </row>
    <row r="206" spans="31:35">
      <c r="AE206" s="18"/>
      <c r="AF206" s="13"/>
      <c r="AG206" s="13"/>
      <c r="AH206" s="13"/>
      <c r="AI206" s="13"/>
    </row>
    <row r="207" spans="31:35">
      <c r="AE207" s="18"/>
      <c r="AF207" s="13"/>
      <c r="AG207" s="13"/>
      <c r="AH207" s="13"/>
      <c r="AI207" s="13"/>
    </row>
    <row r="208" spans="31:35">
      <c r="AE208" s="18"/>
      <c r="AF208" s="13"/>
      <c r="AG208" s="13"/>
      <c r="AH208" s="13"/>
      <c r="AI208" s="13"/>
    </row>
    <row r="209" spans="31:35">
      <c r="AE209" s="18"/>
      <c r="AF209" s="13"/>
      <c r="AG209" s="13"/>
      <c r="AH209" s="13"/>
      <c r="AI209" s="13"/>
    </row>
    <row r="210" spans="31:35">
      <c r="AE210" s="18"/>
      <c r="AF210" s="13"/>
      <c r="AG210" s="13"/>
      <c r="AH210" s="13"/>
      <c r="AI210" s="13"/>
    </row>
    <row r="211" spans="31:35">
      <c r="AE211" s="18"/>
      <c r="AF211" s="13"/>
      <c r="AG211" s="13"/>
      <c r="AH211" s="13"/>
      <c r="AI211" s="13"/>
    </row>
    <row r="212" spans="31:35">
      <c r="AE212" s="18"/>
      <c r="AF212" s="13"/>
      <c r="AG212" s="13"/>
      <c r="AH212" s="13"/>
      <c r="AI212" s="13"/>
    </row>
    <row r="213" spans="31:35">
      <c r="AE213" s="18"/>
      <c r="AF213" s="13"/>
      <c r="AG213" s="13"/>
      <c r="AH213" s="13"/>
      <c r="AI213" s="13"/>
    </row>
    <row r="214" spans="31:35">
      <c r="AE214" s="18"/>
      <c r="AF214" s="13"/>
      <c r="AG214" s="13"/>
      <c r="AH214" s="13"/>
      <c r="AI214" s="13"/>
    </row>
    <row r="215" spans="31:35">
      <c r="AE215" s="18"/>
      <c r="AF215" s="13"/>
      <c r="AG215" s="13"/>
      <c r="AH215" s="13"/>
      <c r="AI215" s="13"/>
    </row>
    <row r="216" spans="31:35">
      <c r="AE216" s="18"/>
      <c r="AF216" s="13"/>
      <c r="AG216" s="13"/>
      <c r="AH216" s="13"/>
      <c r="AI216" s="13"/>
    </row>
    <row r="217" spans="31:35">
      <c r="AE217" s="18"/>
      <c r="AF217" s="13"/>
      <c r="AG217" s="13"/>
      <c r="AH217" s="13"/>
      <c r="AI217" s="13"/>
    </row>
    <row r="218" spans="31:35">
      <c r="AE218" s="18"/>
      <c r="AF218" s="13"/>
      <c r="AG218" s="13"/>
      <c r="AH218" s="13"/>
      <c r="AI218" s="13"/>
    </row>
    <row r="219" spans="31:35">
      <c r="AE219" s="18"/>
      <c r="AF219" s="13"/>
      <c r="AG219" s="13"/>
      <c r="AH219" s="13"/>
      <c r="AI219" s="13"/>
    </row>
    <row r="220" spans="31:35">
      <c r="AE220" s="18"/>
      <c r="AF220" s="13"/>
      <c r="AG220" s="13"/>
      <c r="AH220" s="13"/>
      <c r="AI220" s="13"/>
    </row>
    <row r="221" spans="31:35">
      <c r="AE221" s="18"/>
      <c r="AF221" s="13"/>
      <c r="AG221" s="13"/>
      <c r="AH221" s="13"/>
      <c r="AI221" s="13"/>
    </row>
    <row r="222" spans="31:35">
      <c r="AE222" s="18"/>
      <c r="AF222" s="13"/>
      <c r="AG222" s="13"/>
      <c r="AH222" s="13"/>
      <c r="AI222" s="13"/>
    </row>
    <row r="223" spans="31:35">
      <c r="AE223" s="18"/>
      <c r="AF223" s="13"/>
      <c r="AG223" s="13"/>
      <c r="AH223" s="13"/>
      <c r="AI223" s="13"/>
    </row>
    <row r="224" spans="31:35">
      <c r="AE224" s="18"/>
      <c r="AF224" s="13"/>
      <c r="AG224" s="13"/>
      <c r="AH224" s="13"/>
      <c r="AI224" s="13"/>
    </row>
    <row r="225" spans="31:35">
      <c r="AE225" s="18"/>
      <c r="AF225" s="13"/>
      <c r="AG225" s="13"/>
      <c r="AH225" s="13"/>
      <c r="AI225" s="13"/>
    </row>
    <row r="226" spans="31:35">
      <c r="AE226" s="18"/>
      <c r="AF226" s="13"/>
      <c r="AG226" s="13"/>
      <c r="AH226" s="13"/>
      <c r="AI226" s="13"/>
    </row>
    <row r="227" spans="31:35">
      <c r="AE227" s="18"/>
      <c r="AF227" s="13"/>
      <c r="AG227" s="13"/>
      <c r="AH227" s="13"/>
      <c r="AI227" s="13"/>
    </row>
    <row r="228" spans="31:35">
      <c r="AE228" s="18"/>
      <c r="AF228" s="13"/>
      <c r="AG228" s="13"/>
      <c r="AH228" s="13"/>
      <c r="AI228" s="13"/>
    </row>
    <row r="229" spans="31:35">
      <c r="AE229" s="18"/>
      <c r="AF229" s="13"/>
      <c r="AG229" s="13"/>
      <c r="AH229" s="13"/>
      <c r="AI229" s="13"/>
    </row>
    <row r="230" spans="31:35">
      <c r="AE230" s="18"/>
      <c r="AF230" s="13"/>
      <c r="AG230" s="13"/>
      <c r="AH230" s="13"/>
      <c r="AI230" s="13"/>
    </row>
    <row r="231" spans="31:35">
      <c r="AE231" s="18"/>
      <c r="AF231" s="13"/>
      <c r="AG231" s="13"/>
      <c r="AH231" s="13"/>
      <c r="AI231" s="13"/>
    </row>
    <row r="232" spans="31:35">
      <c r="AE232" s="18"/>
      <c r="AF232" s="13"/>
      <c r="AG232" s="13"/>
      <c r="AH232" s="13"/>
      <c r="AI232" s="13"/>
    </row>
    <row r="233" spans="31:35">
      <c r="AE233" s="18"/>
      <c r="AF233" s="13"/>
      <c r="AG233" s="13"/>
      <c r="AH233" s="13"/>
      <c r="AI233" s="13"/>
    </row>
    <row r="234" spans="31:35">
      <c r="AE234" s="18"/>
      <c r="AF234" s="13"/>
      <c r="AG234" s="13"/>
      <c r="AH234" s="13"/>
      <c r="AI234" s="13"/>
    </row>
    <row r="235" spans="31:35">
      <c r="AE235" s="18"/>
      <c r="AF235" s="13"/>
      <c r="AG235" s="13"/>
      <c r="AH235" s="13"/>
      <c r="AI235" s="13"/>
    </row>
    <row r="236" spans="31:35">
      <c r="AE236" s="18"/>
      <c r="AF236" s="13"/>
      <c r="AG236" s="13"/>
      <c r="AH236" s="13"/>
      <c r="AI236" s="13"/>
    </row>
    <row r="237" spans="31:35">
      <c r="AE237" s="18"/>
      <c r="AF237" s="13"/>
      <c r="AG237" s="13"/>
      <c r="AH237" s="13"/>
      <c r="AI237" s="13"/>
    </row>
    <row r="238" spans="31:35">
      <c r="AE238" s="18"/>
      <c r="AF238" s="13"/>
      <c r="AG238" s="13"/>
      <c r="AH238" s="13"/>
      <c r="AI238" s="13"/>
    </row>
    <row r="239" spans="31:35">
      <c r="AE239" s="18"/>
      <c r="AF239" s="13"/>
      <c r="AG239" s="13"/>
      <c r="AH239" s="13"/>
      <c r="AI239" s="13"/>
    </row>
    <row r="240" spans="31:35">
      <c r="AE240" s="18"/>
      <c r="AF240" s="13"/>
      <c r="AG240" s="13"/>
      <c r="AH240" s="13"/>
      <c r="AI240" s="13"/>
    </row>
    <row r="241" spans="31:35">
      <c r="AE241" s="18"/>
      <c r="AF241" s="13"/>
      <c r="AG241" s="13"/>
      <c r="AH241" s="13"/>
      <c r="AI241" s="13"/>
    </row>
    <row r="242" spans="31:35">
      <c r="AE242" s="18"/>
      <c r="AF242" s="13"/>
      <c r="AG242" s="13"/>
      <c r="AH242" s="13"/>
      <c r="AI242" s="13"/>
    </row>
    <row r="243" spans="31:35">
      <c r="AE243" s="18"/>
      <c r="AF243" s="13"/>
      <c r="AG243" s="13"/>
      <c r="AH243" s="13"/>
      <c r="AI243" s="13"/>
    </row>
    <row r="244" spans="31:35">
      <c r="AE244" s="18"/>
      <c r="AF244" s="13"/>
      <c r="AG244" s="13"/>
      <c r="AH244" s="13"/>
      <c r="AI244" s="13"/>
    </row>
    <row r="245" spans="31:35">
      <c r="AE245" s="18"/>
      <c r="AF245" s="13"/>
      <c r="AG245" s="13"/>
      <c r="AH245" s="13"/>
      <c r="AI245" s="13"/>
    </row>
    <row r="246" spans="31:35">
      <c r="AE246" s="18"/>
      <c r="AF246" s="13"/>
      <c r="AG246" s="13"/>
      <c r="AH246" s="13"/>
      <c r="AI246" s="13"/>
    </row>
    <row r="247" spans="31:35">
      <c r="AE247" s="18"/>
      <c r="AF247" s="13"/>
      <c r="AG247" s="13"/>
      <c r="AH247" s="13"/>
      <c r="AI247" s="13"/>
    </row>
    <row r="248" spans="31:35">
      <c r="AE248" s="18"/>
      <c r="AF248" s="13"/>
      <c r="AG248" s="13"/>
      <c r="AH248" s="13"/>
      <c r="AI248" s="13"/>
    </row>
    <row r="249" spans="31:35">
      <c r="AE249" s="18"/>
      <c r="AF249" s="13"/>
      <c r="AG249" s="13"/>
      <c r="AH249" s="13"/>
      <c r="AI249" s="13"/>
    </row>
    <row r="250" spans="31:35">
      <c r="AE250" s="18"/>
      <c r="AF250" s="13"/>
      <c r="AG250" s="13"/>
      <c r="AH250" s="13"/>
      <c r="AI250" s="13"/>
    </row>
    <row r="251" spans="31:35">
      <c r="AE251" s="18"/>
      <c r="AF251" s="13"/>
      <c r="AG251" s="13"/>
      <c r="AH251" s="13"/>
      <c r="AI251" s="13"/>
    </row>
    <row r="252" spans="31:35">
      <c r="AE252" s="18"/>
      <c r="AF252" s="13"/>
      <c r="AG252" s="13"/>
      <c r="AH252" s="13"/>
      <c r="AI252" s="13"/>
    </row>
    <row r="253" spans="31:35">
      <c r="AE253" s="18"/>
      <c r="AF253" s="13"/>
      <c r="AG253" s="13"/>
      <c r="AH253" s="13"/>
      <c r="AI253" s="13"/>
    </row>
    <row r="254" spans="31:35">
      <c r="AE254" s="18"/>
      <c r="AF254" s="13"/>
      <c r="AG254" s="13"/>
      <c r="AH254" s="13"/>
      <c r="AI254" s="13"/>
    </row>
    <row r="255" spans="31:35">
      <c r="AE255" s="18"/>
      <c r="AF255" s="13"/>
      <c r="AG255" s="13"/>
      <c r="AH255" s="13"/>
      <c r="AI255" s="13"/>
    </row>
    <row r="256" spans="31:35">
      <c r="AE256" s="18"/>
      <c r="AF256" s="13"/>
      <c r="AG256" s="13"/>
      <c r="AH256" s="13"/>
      <c r="AI256" s="13"/>
    </row>
    <row r="257" spans="31:35">
      <c r="AE257" s="18"/>
      <c r="AF257" s="13"/>
      <c r="AG257" s="13"/>
      <c r="AH257" s="13"/>
      <c r="AI257" s="13"/>
    </row>
    <row r="258" spans="31:35">
      <c r="AE258" s="18"/>
      <c r="AF258" s="13"/>
      <c r="AG258" s="13"/>
      <c r="AH258" s="13"/>
      <c r="AI258" s="13"/>
    </row>
    <row r="259" spans="31:35">
      <c r="AE259" s="18"/>
      <c r="AF259" s="13"/>
      <c r="AG259" s="13"/>
      <c r="AH259" s="13"/>
      <c r="AI259" s="13"/>
    </row>
    <row r="260" spans="31:35">
      <c r="AE260" s="18"/>
      <c r="AF260" s="13"/>
      <c r="AG260" s="13"/>
      <c r="AH260" s="13"/>
      <c r="AI260" s="13"/>
    </row>
    <row r="261" spans="31:35">
      <c r="AE261" s="18"/>
      <c r="AF261" s="13"/>
      <c r="AG261" s="13"/>
      <c r="AH261" s="13"/>
      <c r="AI261" s="13"/>
    </row>
    <row r="262" spans="31:35">
      <c r="AE262" s="18"/>
      <c r="AF262" s="13"/>
      <c r="AG262" s="13"/>
      <c r="AH262" s="13"/>
      <c r="AI262" s="13"/>
    </row>
    <row r="263" spans="31:35">
      <c r="AE263" s="18"/>
      <c r="AF263" s="13"/>
      <c r="AG263" s="13"/>
      <c r="AH263" s="13"/>
      <c r="AI263" s="13"/>
    </row>
    <row r="264" spans="31:35">
      <c r="AE264" s="18"/>
      <c r="AF264" s="13"/>
      <c r="AG264" s="13"/>
      <c r="AH264" s="13"/>
      <c r="AI264" s="13"/>
    </row>
    <row r="265" spans="31:35">
      <c r="AE265" s="18"/>
      <c r="AF265" s="13"/>
      <c r="AG265" s="13"/>
      <c r="AH265" s="13"/>
      <c r="AI265" s="13"/>
    </row>
    <row r="266" spans="31:35">
      <c r="AE266" s="18"/>
      <c r="AF266" s="13"/>
      <c r="AG266" s="13"/>
      <c r="AH266" s="13"/>
      <c r="AI266" s="13"/>
    </row>
    <row r="267" spans="31:35">
      <c r="AE267" s="18"/>
      <c r="AF267" s="13"/>
      <c r="AG267" s="13"/>
      <c r="AH267" s="13"/>
      <c r="AI267" s="13"/>
    </row>
    <row r="268" spans="31:35">
      <c r="AE268" s="18"/>
      <c r="AF268" s="13"/>
      <c r="AG268" s="13"/>
      <c r="AH268" s="13"/>
      <c r="AI268" s="13"/>
    </row>
    <row r="269" spans="31:35">
      <c r="AE269" s="18"/>
      <c r="AF269" s="13"/>
      <c r="AG269" s="13"/>
      <c r="AH269" s="13"/>
      <c r="AI269" s="13"/>
    </row>
    <row r="270" spans="31:35">
      <c r="AE270" s="18"/>
      <c r="AF270" s="13"/>
      <c r="AG270" s="13"/>
      <c r="AH270" s="13"/>
      <c r="AI270" s="13"/>
    </row>
    <row r="271" spans="31:35">
      <c r="AE271" s="18"/>
      <c r="AF271" s="13"/>
      <c r="AG271" s="13"/>
      <c r="AH271" s="13"/>
      <c r="AI271" s="13"/>
    </row>
    <row r="272" spans="31:35">
      <c r="AE272" s="18"/>
      <c r="AF272" s="13"/>
      <c r="AG272" s="13"/>
      <c r="AH272" s="13"/>
      <c r="AI272" s="13"/>
    </row>
    <row r="273" spans="31:35">
      <c r="AE273" s="18"/>
      <c r="AF273" s="13"/>
      <c r="AG273" s="13"/>
      <c r="AH273" s="13"/>
      <c r="AI273" s="13"/>
    </row>
    <row r="274" spans="31:35">
      <c r="AE274" s="18"/>
      <c r="AF274" s="13"/>
      <c r="AG274" s="13"/>
      <c r="AH274" s="13"/>
      <c r="AI274" s="13"/>
    </row>
    <row r="275" spans="31:35">
      <c r="AE275" s="18"/>
      <c r="AF275" s="13"/>
      <c r="AG275" s="13"/>
      <c r="AH275" s="13"/>
      <c r="AI275" s="13"/>
    </row>
    <row r="276" spans="31:35">
      <c r="AE276" s="18"/>
      <c r="AF276" s="13"/>
      <c r="AG276" s="13"/>
      <c r="AH276" s="13"/>
      <c r="AI276" s="13"/>
    </row>
    <row r="277" spans="31:35">
      <c r="AE277" s="18"/>
      <c r="AF277" s="13"/>
      <c r="AG277" s="13"/>
      <c r="AH277" s="13"/>
      <c r="AI277" s="13"/>
    </row>
    <row r="278" spans="31:35">
      <c r="AE278" s="18"/>
      <c r="AF278" s="13"/>
      <c r="AG278" s="13"/>
      <c r="AH278" s="13"/>
      <c r="AI278" s="13"/>
    </row>
    <row r="279" spans="31:35">
      <c r="AE279" s="18"/>
      <c r="AF279" s="13"/>
      <c r="AG279" s="13"/>
      <c r="AH279" s="13"/>
      <c r="AI279" s="13"/>
    </row>
    <row r="280" spans="31:35">
      <c r="AE280" s="18"/>
      <c r="AF280" s="13"/>
      <c r="AG280" s="13"/>
      <c r="AH280" s="13"/>
      <c r="AI280" s="13"/>
    </row>
    <row r="281" spans="31:35">
      <c r="AE281" s="18"/>
      <c r="AF281" s="13"/>
      <c r="AG281" s="13"/>
      <c r="AH281" s="13"/>
      <c r="AI281" s="13"/>
    </row>
    <row r="282" spans="31:35">
      <c r="AE282" s="18"/>
      <c r="AF282" s="13"/>
      <c r="AG282" s="13"/>
      <c r="AH282" s="13"/>
      <c r="AI282" s="13"/>
    </row>
    <row r="283" spans="31:35">
      <c r="AE283" s="18"/>
      <c r="AF283" s="13"/>
      <c r="AG283" s="13"/>
      <c r="AH283" s="13"/>
      <c r="AI283" s="13"/>
    </row>
    <row r="284" spans="31:35">
      <c r="AE284" s="18"/>
      <c r="AF284" s="13"/>
      <c r="AG284" s="13"/>
      <c r="AH284" s="13"/>
      <c r="AI284" s="13"/>
    </row>
    <row r="285" spans="31:35">
      <c r="AE285" s="18"/>
      <c r="AF285" s="13"/>
      <c r="AG285" s="13"/>
      <c r="AH285" s="13"/>
      <c r="AI285" s="13"/>
    </row>
    <row r="286" spans="31:35">
      <c r="AE286" s="18"/>
      <c r="AF286" s="13"/>
      <c r="AG286" s="13"/>
      <c r="AH286" s="13"/>
      <c r="AI286" s="13"/>
    </row>
    <row r="287" spans="31:35">
      <c r="AE287" s="18"/>
      <c r="AF287" s="13"/>
      <c r="AG287" s="13"/>
      <c r="AH287" s="13"/>
      <c r="AI287" s="13"/>
    </row>
    <row r="288" spans="31:35">
      <c r="AE288" s="18"/>
      <c r="AF288" s="13"/>
      <c r="AG288" s="13"/>
      <c r="AH288" s="13"/>
      <c r="AI288" s="13"/>
    </row>
    <row r="289" spans="31:35">
      <c r="AE289" s="18"/>
      <c r="AF289" s="13"/>
      <c r="AG289" s="13"/>
      <c r="AH289" s="13"/>
      <c r="AI289" s="13"/>
    </row>
    <row r="290" spans="31:35">
      <c r="AE290" s="18"/>
      <c r="AF290" s="13"/>
      <c r="AG290" s="13"/>
      <c r="AH290" s="13"/>
      <c r="AI290" s="13"/>
    </row>
    <row r="291" spans="31:35">
      <c r="AE291" s="18"/>
      <c r="AF291" s="13"/>
      <c r="AG291" s="13"/>
      <c r="AH291" s="13"/>
      <c r="AI291" s="13"/>
    </row>
    <row r="292" spans="31:35">
      <c r="AE292" s="18"/>
      <c r="AF292" s="13"/>
      <c r="AG292" s="13"/>
      <c r="AH292" s="13"/>
      <c r="AI292" s="13"/>
    </row>
    <row r="293" spans="31:35">
      <c r="AE293" s="18"/>
      <c r="AF293" s="13"/>
      <c r="AG293" s="13"/>
      <c r="AH293" s="13"/>
      <c r="AI293" s="13"/>
    </row>
    <row r="294" spans="31:35">
      <c r="AE294" s="18"/>
      <c r="AF294" s="13"/>
      <c r="AG294" s="13"/>
      <c r="AH294" s="13"/>
      <c r="AI294" s="13"/>
    </row>
    <row r="295" spans="31:35">
      <c r="AE295" s="18"/>
      <c r="AF295" s="13"/>
      <c r="AG295" s="13"/>
      <c r="AH295" s="13"/>
      <c r="AI295" s="13"/>
    </row>
    <row r="296" spans="31:35">
      <c r="AE296" s="18"/>
      <c r="AF296" s="13"/>
      <c r="AG296" s="13"/>
      <c r="AH296" s="13"/>
      <c r="AI296" s="13"/>
    </row>
    <row r="297" spans="31:35">
      <c r="AE297" s="18"/>
      <c r="AF297" s="13"/>
      <c r="AG297" s="13"/>
      <c r="AH297" s="13"/>
      <c r="AI297" s="13"/>
    </row>
    <row r="298" spans="31:35">
      <c r="AE298" s="18"/>
      <c r="AF298" s="13"/>
      <c r="AG298" s="13"/>
      <c r="AH298" s="13"/>
      <c r="AI298" s="13"/>
    </row>
    <row r="299" spans="31:35">
      <c r="AE299" s="18"/>
      <c r="AF299" s="13"/>
      <c r="AG299" s="13"/>
      <c r="AH299" s="13"/>
      <c r="AI299" s="13"/>
    </row>
    <row r="300" spans="31:35">
      <c r="AE300" s="18"/>
      <c r="AF300" s="13"/>
      <c r="AG300" s="13"/>
      <c r="AH300" s="13"/>
      <c r="AI300" s="13"/>
    </row>
    <row r="301" spans="31:35">
      <c r="AE301" s="18"/>
      <c r="AF301" s="13"/>
      <c r="AG301" s="13"/>
      <c r="AH301" s="13"/>
      <c r="AI301" s="13"/>
    </row>
    <row r="302" spans="31:35">
      <c r="AE302" s="18"/>
      <c r="AF302" s="13"/>
      <c r="AG302" s="13"/>
      <c r="AH302" s="13"/>
      <c r="AI302" s="13"/>
    </row>
    <row r="303" spans="31:35">
      <c r="AE303" s="18"/>
      <c r="AF303" s="13"/>
      <c r="AG303" s="13"/>
      <c r="AH303" s="13"/>
      <c r="AI303" s="13"/>
    </row>
    <row r="304" spans="31:35">
      <c r="AE304" s="18"/>
      <c r="AF304" s="13"/>
      <c r="AG304" s="13"/>
      <c r="AH304" s="13"/>
      <c r="AI304" s="13"/>
    </row>
    <row r="305" spans="31:35">
      <c r="AE305" s="18"/>
      <c r="AF305" s="13"/>
      <c r="AG305" s="13"/>
      <c r="AH305" s="13"/>
      <c r="AI305" s="13"/>
    </row>
    <row r="306" spans="31:35">
      <c r="AE306" s="18"/>
      <c r="AF306" s="13"/>
      <c r="AG306" s="13"/>
      <c r="AH306" s="13"/>
      <c r="AI306" s="13"/>
    </row>
    <row r="307" spans="31:35">
      <c r="AE307" s="18"/>
      <c r="AF307" s="13"/>
      <c r="AG307" s="13"/>
      <c r="AH307" s="13"/>
      <c r="AI307" s="13"/>
    </row>
    <row r="308" spans="31:35">
      <c r="AE308" s="18"/>
      <c r="AF308" s="13"/>
      <c r="AG308" s="13"/>
      <c r="AH308" s="13"/>
      <c r="AI308" s="13"/>
    </row>
    <row r="309" spans="31:35">
      <c r="AE309" s="18"/>
      <c r="AF309" s="13"/>
      <c r="AG309" s="13"/>
      <c r="AH309" s="13"/>
      <c r="AI309" s="13"/>
    </row>
    <row r="310" spans="31:35">
      <c r="AE310" s="18"/>
      <c r="AF310" s="13"/>
      <c r="AG310" s="13"/>
      <c r="AH310" s="13"/>
      <c r="AI310" s="13"/>
    </row>
    <row r="311" spans="31:35">
      <c r="AE311" s="18"/>
      <c r="AF311" s="13"/>
      <c r="AG311" s="13"/>
      <c r="AH311" s="13"/>
      <c r="AI311" s="13"/>
    </row>
    <row r="312" spans="31:35">
      <c r="AE312" s="18"/>
      <c r="AF312" s="13"/>
      <c r="AG312" s="13"/>
      <c r="AH312" s="13"/>
      <c r="AI312" s="13"/>
    </row>
    <row r="313" spans="31:35">
      <c r="AE313" s="18"/>
      <c r="AF313" s="13"/>
      <c r="AG313" s="13"/>
      <c r="AH313" s="13"/>
      <c r="AI313" s="13"/>
    </row>
    <row r="314" spans="31:35">
      <c r="AE314" s="18"/>
      <c r="AF314" s="13"/>
      <c r="AG314" s="13"/>
      <c r="AH314" s="13"/>
      <c r="AI314" s="13"/>
    </row>
    <row r="315" spans="31:35">
      <c r="AE315" s="18"/>
      <c r="AF315" s="13"/>
      <c r="AG315" s="13"/>
      <c r="AH315" s="13"/>
      <c r="AI315" s="13"/>
    </row>
    <row r="316" spans="31:35">
      <c r="AE316" s="18"/>
      <c r="AF316" s="13"/>
      <c r="AG316" s="13"/>
      <c r="AH316" s="13"/>
      <c r="AI316" s="13"/>
    </row>
    <row r="317" spans="31:35">
      <c r="AE317" s="18"/>
      <c r="AF317" s="13"/>
      <c r="AG317" s="13"/>
      <c r="AH317" s="13"/>
      <c r="AI317" s="13"/>
    </row>
    <row r="318" spans="31:35">
      <c r="AE318" s="18"/>
      <c r="AF318" s="13"/>
      <c r="AG318" s="13"/>
      <c r="AH318" s="13"/>
      <c r="AI318" s="13"/>
    </row>
    <row r="319" spans="31:35">
      <c r="AE319" s="18"/>
      <c r="AF319" s="13"/>
      <c r="AG319" s="13"/>
      <c r="AH319" s="13"/>
      <c r="AI319" s="13"/>
    </row>
    <row r="320" spans="31:35">
      <c r="AE320" s="18"/>
      <c r="AF320" s="13"/>
      <c r="AG320" s="13"/>
      <c r="AH320" s="13"/>
      <c r="AI320" s="13"/>
    </row>
    <row r="321" spans="31:35">
      <c r="AE321" s="18"/>
      <c r="AF321" s="13"/>
      <c r="AG321" s="13"/>
      <c r="AH321" s="13"/>
      <c r="AI321" s="13"/>
    </row>
    <row r="322" spans="31:35">
      <c r="AE322" s="18"/>
      <c r="AF322" s="13"/>
      <c r="AG322" s="13"/>
      <c r="AH322" s="13"/>
      <c r="AI322" s="13"/>
    </row>
    <row r="323" spans="31:35">
      <c r="AE323" s="18"/>
      <c r="AF323" s="13"/>
      <c r="AG323" s="13"/>
      <c r="AH323" s="13"/>
      <c r="AI323" s="13"/>
    </row>
    <row r="324" spans="31:35">
      <c r="AE324" s="18"/>
      <c r="AF324" s="13"/>
      <c r="AG324" s="13"/>
      <c r="AH324" s="13"/>
      <c r="AI324" s="13"/>
    </row>
    <row r="325" spans="31:35">
      <c r="AE325" s="18"/>
      <c r="AF325" s="13"/>
      <c r="AG325" s="13"/>
      <c r="AH325" s="13"/>
      <c r="AI325" s="13"/>
    </row>
    <row r="326" spans="31:35">
      <c r="AE326" s="18"/>
      <c r="AF326" s="13"/>
      <c r="AG326" s="13"/>
      <c r="AH326" s="13"/>
      <c r="AI326" s="13"/>
    </row>
    <row r="327" spans="31:35">
      <c r="AE327" s="18"/>
      <c r="AF327" s="13"/>
      <c r="AG327" s="13"/>
      <c r="AH327" s="13"/>
      <c r="AI327" s="13"/>
    </row>
    <row r="328" spans="31:35">
      <c r="AE328" s="18"/>
      <c r="AF328" s="13"/>
      <c r="AG328" s="13"/>
      <c r="AH328" s="13"/>
      <c r="AI328" s="13"/>
    </row>
    <row r="329" spans="31:35">
      <c r="AE329" s="18"/>
      <c r="AF329" s="13"/>
      <c r="AG329" s="13"/>
      <c r="AH329" s="13"/>
      <c r="AI329" s="13"/>
    </row>
    <row r="330" spans="31:35">
      <c r="AE330" s="18"/>
      <c r="AF330" s="13"/>
      <c r="AG330" s="13"/>
      <c r="AH330" s="13"/>
      <c r="AI330" s="13"/>
    </row>
    <row r="331" spans="31:35">
      <c r="AE331" s="18"/>
      <c r="AF331" s="13"/>
      <c r="AG331" s="13"/>
      <c r="AH331" s="13"/>
      <c r="AI331" s="13"/>
    </row>
    <row r="332" spans="31:35">
      <c r="AE332" s="18"/>
      <c r="AF332" s="13"/>
      <c r="AG332" s="13"/>
      <c r="AH332" s="13"/>
      <c r="AI332" s="13"/>
    </row>
    <row r="333" spans="31:35">
      <c r="AE333" s="18"/>
      <c r="AF333" s="13"/>
      <c r="AG333" s="13"/>
      <c r="AH333" s="13"/>
      <c r="AI333" s="13"/>
    </row>
    <row r="334" spans="31:35">
      <c r="AE334" s="18"/>
      <c r="AF334" s="13"/>
      <c r="AG334" s="13"/>
      <c r="AH334" s="13"/>
      <c r="AI334" s="13"/>
    </row>
    <row r="335" spans="31:35">
      <c r="AE335" s="18"/>
      <c r="AF335" s="13"/>
      <c r="AG335" s="13"/>
      <c r="AH335" s="13"/>
      <c r="AI335" s="13"/>
    </row>
    <row r="336" spans="31:35">
      <c r="AE336" s="18"/>
      <c r="AF336" s="13"/>
      <c r="AG336" s="13"/>
      <c r="AH336" s="13"/>
      <c r="AI336" s="13"/>
    </row>
    <row r="337" spans="31:35">
      <c r="AE337" s="18"/>
      <c r="AF337" s="13"/>
      <c r="AG337" s="13"/>
      <c r="AH337" s="13"/>
      <c r="AI337" s="13"/>
    </row>
    <row r="338" spans="31:35">
      <c r="AE338" s="18"/>
      <c r="AF338" s="13"/>
      <c r="AG338" s="13"/>
      <c r="AH338" s="13"/>
      <c r="AI338" s="13"/>
    </row>
    <row r="339" spans="31:35">
      <c r="AE339" s="18"/>
      <c r="AF339" s="13"/>
      <c r="AG339" s="13"/>
      <c r="AH339" s="13"/>
      <c r="AI339" s="13"/>
    </row>
    <row r="340" spans="31:35">
      <c r="AE340" s="18"/>
      <c r="AF340" s="13"/>
      <c r="AG340" s="13"/>
      <c r="AH340" s="13"/>
      <c r="AI340" s="13"/>
    </row>
    <row r="341" spans="31:35">
      <c r="AE341" s="18"/>
      <c r="AF341" s="13"/>
      <c r="AG341" s="13"/>
      <c r="AH341" s="13"/>
      <c r="AI341" s="13"/>
    </row>
    <row r="342" spans="31:35">
      <c r="AE342" s="18"/>
      <c r="AF342" s="13"/>
      <c r="AG342" s="13"/>
      <c r="AH342" s="13"/>
      <c r="AI342" s="13"/>
    </row>
    <row r="343" spans="31:35">
      <c r="AE343" s="18"/>
      <c r="AF343" s="13"/>
      <c r="AG343" s="13"/>
      <c r="AH343" s="13"/>
      <c r="AI343" s="13"/>
    </row>
    <row r="344" spans="31:35">
      <c r="AE344" s="18"/>
      <c r="AF344" s="13"/>
      <c r="AG344" s="13"/>
      <c r="AH344" s="13"/>
      <c r="AI344" s="13"/>
    </row>
    <row r="345" spans="31:35">
      <c r="AE345" s="18"/>
      <c r="AF345" s="13"/>
      <c r="AG345" s="13"/>
      <c r="AH345" s="13"/>
      <c r="AI345" s="13"/>
    </row>
    <row r="346" spans="31:35">
      <c r="AE346" s="18"/>
      <c r="AF346" s="13"/>
      <c r="AG346" s="13"/>
      <c r="AH346" s="13"/>
      <c r="AI346" s="13"/>
    </row>
    <row r="347" spans="31:35">
      <c r="AE347" s="18"/>
      <c r="AF347" s="13"/>
      <c r="AG347" s="13"/>
      <c r="AH347" s="13"/>
      <c r="AI347" s="13"/>
    </row>
    <row r="348" spans="31:35">
      <c r="AE348" s="18"/>
      <c r="AF348" s="13"/>
      <c r="AG348" s="13"/>
      <c r="AH348" s="13"/>
      <c r="AI348" s="13"/>
    </row>
    <row r="349" spans="31:35">
      <c r="AE349" s="18"/>
      <c r="AF349" s="13"/>
      <c r="AG349" s="13"/>
      <c r="AH349" s="13"/>
      <c r="AI349" s="13"/>
    </row>
    <row r="350" spans="31:35">
      <c r="AE350" s="18"/>
      <c r="AF350" s="13"/>
      <c r="AG350" s="13"/>
      <c r="AH350" s="13"/>
      <c r="AI350" s="13"/>
    </row>
    <row r="351" spans="31:35">
      <c r="AE351" s="18"/>
      <c r="AF351" s="13"/>
      <c r="AG351" s="13"/>
      <c r="AH351" s="13"/>
      <c r="AI351" s="13"/>
    </row>
    <row r="352" spans="31:35">
      <c r="AE352" s="18"/>
      <c r="AF352" s="13"/>
      <c r="AG352" s="13"/>
      <c r="AH352" s="13"/>
      <c r="AI352" s="13"/>
    </row>
    <row r="353" spans="31:35">
      <c r="AE353" s="18"/>
      <c r="AF353" s="13"/>
      <c r="AG353" s="13"/>
      <c r="AH353" s="13"/>
      <c r="AI353" s="13"/>
    </row>
    <row r="354" spans="31:35">
      <c r="AE354" s="18"/>
      <c r="AF354" s="13"/>
      <c r="AG354" s="13"/>
      <c r="AH354" s="13"/>
      <c r="AI354" s="13"/>
    </row>
    <row r="355" spans="31:35">
      <c r="AE355" s="18"/>
      <c r="AF355" s="13"/>
      <c r="AG355" s="13"/>
      <c r="AH355" s="13"/>
      <c r="AI355" s="13"/>
    </row>
    <row r="356" spans="31:35">
      <c r="AE356" s="18"/>
      <c r="AF356" s="13"/>
      <c r="AG356" s="13"/>
      <c r="AH356" s="13"/>
      <c r="AI356" s="13"/>
    </row>
    <row r="357" spans="31:35">
      <c r="AE357" s="18"/>
      <c r="AF357" s="13"/>
      <c r="AG357" s="13"/>
      <c r="AH357" s="13"/>
      <c r="AI357" s="13"/>
    </row>
    <row r="358" spans="31:35">
      <c r="AE358" s="18"/>
      <c r="AF358" s="13"/>
      <c r="AG358" s="13"/>
      <c r="AH358" s="13"/>
      <c r="AI358" s="13"/>
    </row>
    <row r="359" spans="31:35">
      <c r="AE359" s="18"/>
      <c r="AF359" s="13"/>
      <c r="AG359" s="13"/>
      <c r="AH359" s="13"/>
      <c r="AI359" s="13"/>
    </row>
    <row r="360" spans="31:35">
      <c r="AE360" s="18"/>
      <c r="AF360" s="13"/>
      <c r="AG360" s="13"/>
      <c r="AH360" s="13"/>
      <c r="AI360" s="13"/>
    </row>
    <row r="361" spans="31:35">
      <c r="AE361" s="18"/>
      <c r="AF361" s="13"/>
      <c r="AG361" s="13"/>
      <c r="AH361" s="13"/>
      <c r="AI361" s="13"/>
    </row>
    <row r="362" spans="31:35">
      <c r="AE362" s="18"/>
      <c r="AF362" s="13"/>
      <c r="AG362" s="13"/>
      <c r="AH362" s="13"/>
      <c r="AI362" s="13"/>
    </row>
    <row r="363" spans="31:35">
      <c r="AE363" s="18"/>
      <c r="AF363" s="13"/>
      <c r="AG363" s="13"/>
      <c r="AH363" s="13"/>
      <c r="AI363" s="13"/>
    </row>
    <row r="364" spans="31:35">
      <c r="AE364" s="18"/>
      <c r="AF364" s="13"/>
      <c r="AG364" s="13"/>
      <c r="AH364" s="13"/>
      <c r="AI364" s="13"/>
    </row>
    <row r="365" spans="31:35">
      <c r="AE365" s="18"/>
      <c r="AF365" s="13"/>
      <c r="AG365" s="13"/>
      <c r="AH365" s="13"/>
      <c r="AI365" s="13"/>
    </row>
    <row r="366" spans="31:35">
      <c r="AE366" s="18"/>
      <c r="AF366" s="13"/>
      <c r="AG366" s="13"/>
      <c r="AH366" s="13"/>
      <c r="AI366" s="13"/>
    </row>
    <row r="367" spans="31:35">
      <c r="AE367" s="18"/>
      <c r="AF367" s="13"/>
      <c r="AG367" s="13"/>
      <c r="AH367" s="13"/>
      <c r="AI367" s="13"/>
    </row>
    <row r="368" spans="31:35">
      <c r="AE368" s="18"/>
      <c r="AF368" s="13"/>
      <c r="AG368" s="13"/>
      <c r="AH368" s="13"/>
      <c r="AI368" s="13"/>
    </row>
    <row r="369" spans="31:35">
      <c r="AE369" s="18"/>
      <c r="AF369" s="13"/>
      <c r="AG369" s="13"/>
      <c r="AH369" s="13"/>
      <c r="AI369" s="13"/>
    </row>
    <row r="370" spans="31:35">
      <c r="AE370" s="18"/>
      <c r="AF370" s="13"/>
      <c r="AG370" s="13"/>
      <c r="AH370" s="13"/>
      <c r="AI370" s="13"/>
    </row>
    <row r="371" spans="31:35">
      <c r="AE371" s="18"/>
      <c r="AF371" s="13"/>
      <c r="AG371" s="13"/>
      <c r="AH371" s="13"/>
      <c r="AI371" s="13"/>
    </row>
    <row r="372" spans="31:35">
      <c r="AE372" s="18"/>
      <c r="AF372" s="13"/>
      <c r="AG372" s="13"/>
      <c r="AH372" s="13"/>
      <c r="AI372" s="13"/>
    </row>
    <row r="373" spans="31:35">
      <c r="AE373" s="18"/>
      <c r="AF373" s="13"/>
      <c r="AG373" s="13"/>
      <c r="AH373" s="13"/>
      <c r="AI373" s="13"/>
    </row>
    <row r="374" spans="31:35">
      <c r="AE374" s="18"/>
      <c r="AF374" s="13"/>
      <c r="AG374" s="13"/>
      <c r="AH374" s="13"/>
      <c r="AI374" s="13"/>
    </row>
    <row r="375" spans="31:35">
      <c r="AE375" s="18"/>
      <c r="AF375" s="13"/>
      <c r="AG375" s="13"/>
      <c r="AH375" s="13"/>
      <c r="AI375" s="13"/>
    </row>
    <row r="376" spans="31:35">
      <c r="AE376" s="18"/>
      <c r="AF376" s="13"/>
      <c r="AG376" s="13"/>
      <c r="AH376" s="13"/>
      <c r="AI376" s="13"/>
    </row>
    <row r="377" spans="31:35">
      <c r="AE377" s="18"/>
      <c r="AF377" s="13"/>
      <c r="AG377" s="13"/>
      <c r="AH377" s="13"/>
      <c r="AI377" s="13"/>
    </row>
    <row r="378" spans="31:35">
      <c r="AE378" s="18"/>
      <c r="AF378" s="13"/>
      <c r="AG378" s="13"/>
      <c r="AH378" s="13"/>
      <c r="AI378" s="13"/>
    </row>
    <row r="379" spans="31:35">
      <c r="AE379" s="18"/>
      <c r="AF379" s="13"/>
      <c r="AG379" s="13"/>
      <c r="AH379" s="13"/>
      <c r="AI379" s="13"/>
    </row>
    <row r="380" spans="31:35">
      <c r="AE380" s="18"/>
      <c r="AF380" s="13"/>
      <c r="AG380" s="13"/>
      <c r="AH380" s="13"/>
      <c r="AI380" s="13"/>
    </row>
    <row r="381" spans="31:35">
      <c r="AE381" s="18"/>
      <c r="AF381" s="13"/>
      <c r="AG381" s="13"/>
      <c r="AH381" s="13"/>
      <c r="AI381" s="13"/>
    </row>
    <row r="382" spans="31:35">
      <c r="AE382" s="18"/>
      <c r="AF382" s="13"/>
      <c r="AG382" s="13"/>
      <c r="AH382" s="13"/>
      <c r="AI382" s="13"/>
    </row>
    <row r="383" spans="31:35">
      <c r="AE383" s="18"/>
      <c r="AF383" s="13"/>
      <c r="AG383" s="13"/>
      <c r="AH383" s="13"/>
      <c r="AI383" s="13"/>
    </row>
    <row r="384" spans="31:35">
      <c r="AE384" s="18"/>
      <c r="AF384" s="13"/>
      <c r="AG384" s="13"/>
      <c r="AH384" s="13"/>
      <c r="AI384" s="13"/>
    </row>
    <row r="385" spans="31:35">
      <c r="AE385" s="18"/>
      <c r="AF385" s="13"/>
      <c r="AG385" s="13"/>
      <c r="AH385" s="13"/>
      <c r="AI385" s="13"/>
    </row>
    <row r="386" spans="31:35">
      <c r="AE386" s="18"/>
      <c r="AF386" s="13"/>
      <c r="AG386" s="13"/>
      <c r="AH386" s="13"/>
      <c r="AI386" s="13"/>
    </row>
    <row r="387" spans="31:35">
      <c r="AE387" s="18"/>
      <c r="AF387" s="13"/>
      <c r="AG387" s="13"/>
      <c r="AH387" s="13"/>
      <c r="AI387" s="13"/>
    </row>
    <row r="388" spans="31:35">
      <c r="AE388" s="18"/>
      <c r="AF388" s="13"/>
      <c r="AG388" s="13"/>
      <c r="AH388" s="13"/>
      <c r="AI388" s="13"/>
    </row>
    <row r="389" spans="31:35">
      <c r="AE389" s="18"/>
      <c r="AF389" s="13"/>
      <c r="AG389" s="13"/>
      <c r="AH389" s="13"/>
      <c r="AI389" s="13"/>
    </row>
    <row r="390" spans="31:35">
      <c r="AE390" s="18"/>
      <c r="AF390" s="13"/>
      <c r="AG390" s="13"/>
      <c r="AH390" s="13"/>
      <c r="AI390" s="13"/>
    </row>
    <row r="391" spans="31:35">
      <c r="AE391" s="18"/>
      <c r="AF391" s="13"/>
      <c r="AG391" s="13"/>
      <c r="AH391" s="13"/>
      <c r="AI391" s="13"/>
    </row>
    <row r="392" spans="31:35">
      <c r="AE392" s="18"/>
      <c r="AF392" s="13"/>
      <c r="AG392" s="13"/>
      <c r="AH392" s="13"/>
      <c r="AI392" s="13"/>
    </row>
    <row r="393" spans="31:35">
      <c r="AE393" s="18"/>
      <c r="AF393" s="13"/>
      <c r="AG393" s="13"/>
      <c r="AH393" s="13"/>
      <c r="AI393" s="13"/>
    </row>
    <row r="394" spans="31:35">
      <c r="AE394" s="18"/>
      <c r="AF394" s="13"/>
      <c r="AG394" s="13"/>
      <c r="AH394" s="13"/>
      <c r="AI394" s="13"/>
    </row>
    <row r="395" spans="31:35">
      <c r="AE395" s="18"/>
      <c r="AF395" s="13"/>
      <c r="AG395" s="13"/>
      <c r="AH395" s="13"/>
      <c r="AI395" s="13"/>
    </row>
    <row r="396" spans="31:35">
      <c r="AE396" s="18"/>
      <c r="AF396" s="13"/>
      <c r="AG396" s="13"/>
      <c r="AH396" s="13"/>
      <c r="AI396" s="13"/>
    </row>
    <row r="397" spans="31:35">
      <c r="AE397" s="18"/>
      <c r="AF397" s="13"/>
      <c r="AG397" s="13"/>
      <c r="AH397" s="13"/>
      <c r="AI397" s="13"/>
    </row>
    <row r="398" spans="31:35">
      <c r="AE398" s="18"/>
      <c r="AF398" s="13"/>
      <c r="AG398" s="13"/>
      <c r="AH398" s="13"/>
      <c r="AI398" s="13"/>
    </row>
    <row r="399" spans="31:35">
      <c r="AE399" s="18"/>
      <c r="AF399" s="13"/>
      <c r="AG399" s="13"/>
      <c r="AH399" s="13"/>
      <c r="AI399" s="13"/>
    </row>
    <row r="400" spans="31:35">
      <c r="AE400" s="18"/>
      <c r="AF400" s="13"/>
      <c r="AG400" s="13"/>
      <c r="AH400" s="13"/>
      <c r="AI400" s="13"/>
    </row>
    <row r="401" spans="31:35">
      <c r="AE401" s="18"/>
      <c r="AF401" s="13"/>
      <c r="AG401" s="13"/>
      <c r="AH401" s="13"/>
      <c r="AI401" s="13"/>
    </row>
    <row r="402" spans="31:35">
      <c r="AE402" s="18"/>
      <c r="AF402" s="13"/>
      <c r="AG402" s="13"/>
      <c r="AH402" s="13"/>
      <c r="AI402" s="13"/>
    </row>
    <row r="403" spans="31:35">
      <c r="AE403" s="18"/>
      <c r="AF403" s="13"/>
      <c r="AG403" s="13"/>
      <c r="AH403" s="13"/>
      <c r="AI403" s="13"/>
    </row>
    <row r="404" spans="31:35">
      <c r="AE404" s="18"/>
      <c r="AF404" s="13"/>
      <c r="AG404" s="13"/>
      <c r="AH404" s="13"/>
      <c r="AI404" s="13"/>
    </row>
    <row r="405" spans="31:35">
      <c r="AE405" s="18"/>
      <c r="AF405" s="13"/>
      <c r="AG405" s="13"/>
      <c r="AH405" s="13"/>
      <c r="AI405" s="13"/>
    </row>
    <row r="406" spans="31:35">
      <c r="AE406" s="18"/>
      <c r="AF406" s="13"/>
      <c r="AG406" s="13"/>
      <c r="AH406" s="13"/>
      <c r="AI406" s="13"/>
    </row>
    <row r="407" spans="31:35">
      <c r="AE407" s="18"/>
      <c r="AF407" s="13"/>
      <c r="AG407" s="13"/>
      <c r="AH407" s="13"/>
      <c r="AI407" s="13"/>
    </row>
    <row r="408" spans="31:35">
      <c r="AE408" s="18"/>
      <c r="AF408" s="13"/>
      <c r="AG408" s="13"/>
      <c r="AH408" s="13"/>
      <c r="AI408" s="13"/>
    </row>
    <row r="409" spans="31:35">
      <c r="AE409" s="18"/>
      <c r="AF409" s="13"/>
      <c r="AG409" s="13"/>
      <c r="AH409" s="13"/>
      <c r="AI409" s="13"/>
    </row>
    <row r="410" spans="31:35">
      <c r="AE410" s="18"/>
      <c r="AF410" s="13"/>
      <c r="AG410" s="13"/>
      <c r="AH410" s="13"/>
      <c r="AI410" s="13"/>
    </row>
    <row r="411" spans="31:35">
      <c r="AE411" s="18"/>
      <c r="AF411" s="13"/>
      <c r="AG411" s="13"/>
      <c r="AH411" s="13"/>
      <c r="AI411" s="13"/>
    </row>
    <row r="412" spans="31:35">
      <c r="AE412" s="18"/>
      <c r="AF412" s="13"/>
      <c r="AG412" s="13"/>
      <c r="AH412" s="13"/>
      <c r="AI412" s="13"/>
    </row>
    <row r="413" spans="31:35">
      <c r="AE413" s="18"/>
      <c r="AF413" s="13"/>
      <c r="AG413" s="13"/>
      <c r="AH413" s="13"/>
      <c r="AI413" s="13"/>
    </row>
    <row r="414" spans="31:35">
      <c r="AE414" s="18"/>
      <c r="AF414" s="13"/>
      <c r="AG414" s="13"/>
      <c r="AH414" s="13"/>
      <c r="AI414" s="13"/>
    </row>
    <row r="415" spans="31:35">
      <c r="AE415" s="18"/>
      <c r="AF415" s="13"/>
      <c r="AG415" s="13"/>
      <c r="AH415" s="13"/>
      <c r="AI415" s="13"/>
    </row>
    <row r="416" spans="31:35">
      <c r="AE416" s="18"/>
      <c r="AF416" s="13"/>
      <c r="AG416" s="13"/>
      <c r="AH416" s="13"/>
      <c r="AI416" s="13"/>
    </row>
    <row r="417" spans="31:35">
      <c r="AE417" s="18"/>
      <c r="AF417" s="13"/>
      <c r="AG417" s="13"/>
      <c r="AH417" s="13"/>
      <c r="AI417" s="13"/>
    </row>
    <row r="418" spans="31:35">
      <c r="AE418" s="18"/>
      <c r="AF418" s="13"/>
      <c r="AG418" s="13"/>
      <c r="AH418" s="13"/>
      <c r="AI418" s="13"/>
    </row>
    <row r="419" spans="31:35">
      <c r="AE419" s="18"/>
      <c r="AF419" s="13"/>
      <c r="AG419" s="13"/>
      <c r="AH419" s="13"/>
      <c r="AI419" s="13"/>
    </row>
    <row r="420" spans="31:35">
      <c r="AE420" s="18"/>
      <c r="AF420" s="13"/>
      <c r="AG420" s="13"/>
      <c r="AH420" s="13"/>
      <c r="AI420" s="13"/>
    </row>
    <row r="421" spans="31:35">
      <c r="AE421" s="18"/>
      <c r="AF421" s="13"/>
      <c r="AG421" s="13"/>
      <c r="AH421" s="13"/>
      <c r="AI421" s="13"/>
    </row>
    <row r="422" spans="31:35">
      <c r="AE422" s="18"/>
      <c r="AF422" s="13"/>
      <c r="AG422" s="13"/>
      <c r="AH422" s="13"/>
      <c r="AI422" s="13"/>
    </row>
    <row r="423" spans="31:35">
      <c r="AE423" s="18"/>
      <c r="AF423" s="13"/>
      <c r="AG423" s="13"/>
      <c r="AH423" s="13"/>
      <c r="AI423" s="13"/>
    </row>
    <row r="424" spans="31:35">
      <c r="AE424" s="18"/>
      <c r="AF424" s="13"/>
      <c r="AG424" s="13"/>
      <c r="AH424" s="13"/>
      <c r="AI424" s="13"/>
    </row>
    <row r="425" spans="31:35">
      <c r="AE425" s="18"/>
      <c r="AF425" s="13"/>
      <c r="AG425" s="13"/>
      <c r="AH425" s="13"/>
      <c r="AI425" s="13"/>
    </row>
    <row r="426" spans="31:35">
      <c r="AE426" s="18"/>
      <c r="AF426" s="13"/>
      <c r="AG426" s="13"/>
      <c r="AH426" s="13"/>
      <c r="AI426" s="13"/>
    </row>
    <row r="427" spans="31:35">
      <c r="AE427" s="18"/>
      <c r="AF427" s="13"/>
      <c r="AG427" s="13"/>
      <c r="AH427" s="13"/>
      <c r="AI427" s="13"/>
    </row>
    <row r="428" spans="31:35">
      <c r="AE428" s="18"/>
      <c r="AF428" s="13"/>
      <c r="AG428" s="13"/>
      <c r="AH428" s="13"/>
      <c r="AI428" s="13"/>
    </row>
    <row r="429" spans="31:35">
      <c r="AE429" s="18"/>
      <c r="AF429" s="13"/>
      <c r="AG429" s="13"/>
      <c r="AH429" s="13"/>
      <c r="AI429" s="13"/>
    </row>
    <row r="430" spans="31:35">
      <c r="AE430" s="18"/>
      <c r="AF430" s="13"/>
      <c r="AG430" s="13"/>
      <c r="AH430" s="13"/>
      <c r="AI430" s="13"/>
    </row>
    <row r="431" spans="31:35">
      <c r="AE431" s="18"/>
      <c r="AF431" s="13"/>
      <c r="AG431" s="13"/>
      <c r="AH431" s="13"/>
      <c r="AI431" s="13"/>
    </row>
    <row r="432" spans="31:35">
      <c r="AE432" s="18"/>
      <c r="AF432" s="13"/>
      <c r="AG432" s="13"/>
      <c r="AH432" s="13"/>
      <c r="AI432" s="13"/>
    </row>
    <row r="433" spans="31:35">
      <c r="AE433" s="18"/>
      <c r="AF433" s="13"/>
      <c r="AG433" s="13"/>
      <c r="AH433" s="13"/>
      <c r="AI433" s="13"/>
    </row>
    <row r="434" spans="31:35">
      <c r="AE434" s="18"/>
      <c r="AF434" s="13"/>
      <c r="AG434" s="13"/>
      <c r="AH434" s="13"/>
      <c r="AI434" s="13"/>
    </row>
    <row r="435" spans="31:35">
      <c r="AE435" s="18"/>
      <c r="AF435" s="13"/>
      <c r="AG435" s="13"/>
      <c r="AH435" s="13"/>
      <c r="AI435" s="13"/>
    </row>
    <row r="436" spans="31:35">
      <c r="AE436" s="18"/>
      <c r="AF436" s="13"/>
      <c r="AG436" s="13"/>
      <c r="AH436" s="13"/>
      <c r="AI436" s="13"/>
    </row>
    <row r="437" spans="31:35">
      <c r="AE437" s="18"/>
      <c r="AF437" s="13"/>
      <c r="AG437" s="13"/>
      <c r="AH437" s="13"/>
      <c r="AI437" s="13"/>
    </row>
    <row r="438" spans="31:35">
      <c r="AE438" s="18"/>
      <c r="AF438" s="13"/>
      <c r="AG438" s="13"/>
      <c r="AH438" s="13"/>
      <c r="AI438" s="13"/>
    </row>
    <row r="439" spans="31:35">
      <c r="AE439" s="18"/>
      <c r="AF439" s="13"/>
      <c r="AG439" s="13"/>
      <c r="AH439" s="13"/>
      <c r="AI439" s="13"/>
    </row>
    <row r="440" spans="31:35">
      <c r="AE440" s="18"/>
      <c r="AF440" s="13"/>
      <c r="AG440" s="13"/>
      <c r="AH440" s="13"/>
      <c r="AI440" s="13"/>
    </row>
    <row r="441" spans="31:35">
      <c r="AE441" s="18"/>
      <c r="AF441" s="13"/>
      <c r="AG441" s="13"/>
      <c r="AH441" s="13"/>
      <c r="AI441" s="13"/>
    </row>
    <row r="442" spans="31:35">
      <c r="AE442" s="18"/>
      <c r="AF442" s="13"/>
      <c r="AG442" s="13"/>
      <c r="AH442" s="13"/>
      <c r="AI442" s="13"/>
    </row>
    <row r="443" spans="31:35">
      <c r="AE443" s="18"/>
      <c r="AF443" s="13"/>
      <c r="AG443" s="13"/>
      <c r="AH443" s="13"/>
      <c r="AI443" s="13"/>
    </row>
    <row r="444" spans="31:35">
      <c r="AE444" s="18"/>
      <c r="AF444" s="13"/>
      <c r="AG444" s="13"/>
      <c r="AH444" s="13"/>
      <c r="AI444" s="13"/>
    </row>
    <row r="445" spans="31:35">
      <c r="AE445" s="18"/>
      <c r="AF445" s="13"/>
      <c r="AG445" s="13"/>
      <c r="AH445" s="13"/>
      <c r="AI445" s="13"/>
    </row>
    <row r="446" spans="31:35">
      <c r="AE446" s="18"/>
      <c r="AF446" s="13"/>
      <c r="AG446" s="13"/>
      <c r="AH446" s="13"/>
      <c r="AI446" s="13"/>
    </row>
    <row r="447" spans="31:35">
      <c r="AE447" s="18"/>
      <c r="AF447" s="13"/>
      <c r="AG447" s="13"/>
      <c r="AH447" s="13"/>
      <c r="AI447" s="13"/>
    </row>
    <row r="448" spans="31:35">
      <c r="AE448" s="18"/>
      <c r="AF448" s="13"/>
      <c r="AG448" s="13"/>
      <c r="AH448" s="13"/>
      <c r="AI448" s="13"/>
    </row>
    <row r="449" spans="31:35">
      <c r="AE449" s="18"/>
      <c r="AF449" s="13"/>
      <c r="AG449" s="13"/>
      <c r="AH449" s="13"/>
      <c r="AI449" s="13"/>
    </row>
    <row r="450" spans="31:35">
      <c r="AE450" s="18"/>
      <c r="AF450" s="13"/>
      <c r="AG450" s="13"/>
      <c r="AH450" s="13"/>
      <c r="AI450" s="13"/>
    </row>
    <row r="451" spans="31:35">
      <c r="AE451" s="18"/>
      <c r="AF451" s="13"/>
      <c r="AG451" s="13"/>
      <c r="AH451" s="13"/>
      <c r="AI451" s="13"/>
    </row>
    <row r="452" spans="31:35">
      <c r="AE452" s="18"/>
      <c r="AF452" s="13"/>
      <c r="AG452" s="13"/>
      <c r="AH452" s="13"/>
      <c r="AI452" s="13"/>
    </row>
    <row r="453" spans="31:35">
      <c r="AE453" s="18"/>
      <c r="AF453" s="13"/>
      <c r="AG453" s="13"/>
      <c r="AH453" s="13"/>
      <c r="AI453" s="13"/>
    </row>
    <row r="454" spans="31:35">
      <c r="AE454" s="18"/>
      <c r="AF454" s="13"/>
      <c r="AG454" s="13"/>
      <c r="AH454" s="13"/>
      <c r="AI454" s="13"/>
    </row>
    <row r="455" spans="31:35">
      <c r="AE455" s="18"/>
      <c r="AF455" s="13"/>
      <c r="AG455" s="13"/>
      <c r="AH455" s="13"/>
      <c r="AI455" s="13"/>
    </row>
    <row r="456" spans="31:35">
      <c r="AE456" s="18"/>
      <c r="AF456" s="13"/>
      <c r="AG456" s="13"/>
      <c r="AH456" s="13"/>
      <c r="AI456" s="13"/>
    </row>
    <row r="457" spans="31:35">
      <c r="AE457" s="18"/>
      <c r="AF457" s="13"/>
      <c r="AG457" s="13"/>
      <c r="AH457" s="13"/>
      <c r="AI457" s="13"/>
    </row>
    <row r="458" spans="31:35">
      <c r="AE458" s="18"/>
      <c r="AF458" s="13"/>
      <c r="AG458" s="13"/>
      <c r="AH458" s="13"/>
      <c r="AI458" s="13"/>
    </row>
    <row r="459" spans="31:35">
      <c r="AE459" s="18"/>
      <c r="AF459" s="13"/>
      <c r="AG459" s="13"/>
      <c r="AH459" s="13"/>
      <c r="AI459" s="13"/>
    </row>
    <row r="460" spans="31:35">
      <c r="AE460" s="18"/>
      <c r="AF460" s="13"/>
      <c r="AG460" s="13"/>
      <c r="AH460" s="13"/>
      <c r="AI460" s="13"/>
    </row>
    <row r="461" spans="31:35">
      <c r="AE461" s="18"/>
      <c r="AF461" s="13"/>
      <c r="AG461" s="13"/>
      <c r="AH461" s="13"/>
      <c r="AI461" s="13"/>
    </row>
    <row r="462" spans="31:35">
      <c r="AE462" s="18"/>
      <c r="AF462" s="13"/>
      <c r="AG462" s="13"/>
      <c r="AH462" s="13"/>
      <c r="AI462" s="13"/>
    </row>
    <row r="463" spans="31:35">
      <c r="AE463" s="18"/>
      <c r="AF463" s="13"/>
      <c r="AG463" s="13"/>
      <c r="AH463" s="13"/>
      <c r="AI463" s="13"/>
    </row>
    <row r="464" spans="31:35">
      <c r="AE464" s="18"/>
      <c r="AF464" s="13"/>
      <c r="AG464" s="13"/>
      <c r="AH464" s="13"/>
      <c r="AI464" s="13"/>
    </row>
    <row r="465" spans="31:35">
      <c r="AE465" s="18"/>
      <c r="AF465" s="13"/>
      <c r="AG465" s="13"/>
      <c r="AH465" s="13"/>
      <c r="AI465" s="13"/>
    </row>
    <row r="466" spans="31:35">
      <c r="AE466" s="18"/>
      <c r="AF466" s="13"/>
      <c r="AG466" s="13"/>
      <c r="AH466" s="13"/>
      <c r="AI466" s="13"/>
    </row>
    <row r="467" spans="31:35">
      <c r="AE467" s="18"/>
      <c r="AF467" s="13"/>
      <c r="AG467" s="13"/>
      <c r="AH467" s="13"/>
      <c r="AI467" s="13"/>
    </row>
    <row r="468" spans="31:35">
      <c r="AE468" s="18"/>
      <c r="AF468" s="13"/>
      <c r="AG468" s="13"/>
      <c r="AH468" s="13"/>
      <c r="AI468" s="13"/>
    </row>
    <row r="469" spans="31:35">
      <c r="AE469" s="18"/>
      <c r="AF469" s="13"/>
      <c r="AG469" s="13"/>
      <c r="AH469" s="13"/>
      <c r="AI469" s="13"/>
    </row>
    <row r="470" spans="31:35">
      <c r="AE470" s="18"/>
      <c r="AF470" s="13"/>
      <c r="AG470" s="13"/>
      <c r="AH470" s="13"/>
      <c r="AI470" s="13"/>
    </row>
    <row r="471" spans="31:35">
      <c r="AE471" s="18"/>
      <c r="AF471" s="13"/>
      <c r="AG471" s="13"/>
      <c r="AH471" s="13"/>
      <c r="AI471" s="13"/>
    </row>
    <row r="472" spans="31:35">
      <c r="AE472" s="18"/>
      <c r="AF472" s="13"/>
      <c r="AG472" s="13"/>
      <c r="AH472" s="13"/>
      <c r="AI472" s="13"/>
    </row>
    <row r="473" spans="31:35">
      <c r="AE473" s="18"/>
      <c r="AF473" s="13"/>
      <c r="AG473" s="13"/>
      <c r="AH473" s="13"/>
      <c r="AI473" s="13"/>
    </row>
    <row r="474" spans="31:35">
      <c r="AE474" s="18"/>
      <c r="AF474" s="13"/>
      <c r="AG474" s="13"/>
      <c r="AH474" s="13"/>
      <c r="AI474" s="13"/>
    </row>
    <row r="475" spans="31:35">
      <c r="AE475" s="18"/>
      <c r="AF475" s="13"/>
      <c r="AG475" s="13"/>
      <c r="AH475" s="13"/>
      <c r="AI475" s="13"/>
    </row>
    <row r="476" spans="31:35">
      <c r="AE476" s="18"/>
      <c r="AF476" s="13"/>
      <c r="AG476" s="13"/>
      <c r="AH476" s="13"/>
      <c r="AI476" s="13"/>
    </row>
    <row r="477" spans="31:35">
      <c r="AE477" s="18"/>
      <c r="AF477" s="13"/>
      <c r="AG477" s="13"/>
      <c r="AH477" s="13"/>
      <c r="AI477" s="13"/>
    </row>
    <row r="478" spans="31:35">
      <c r="AE478" s="18"/>
      <c r="AF478" s="13"/>
      <c r="AG478" s="13"/>
      <c r="AH478" s="13"/>
      <c r="AI478" s="13"/>
    </row>
    <row r="479" spans="31:35">
      <c r="AE479" s="18"/>
      <c r="AF479" s="13"/>
      <c r="AG479" s="13"/>
      <c r="AH479" s="13"/>
      <c r="AI479" s="13"/>
    </row>
    <row r="480" spans="31:35">
      <c r="AE480" s="18"/>
      <c r="AF480" s="13"/>
      <c r="AG480" s="13"/>
      <c r="AH480" s="13"/>
      <c r="AI480" s="13"/>
    </row>
    <row r="481" spans="31:35">
      <c r="AE481" s="18"/>
      <c r="AF481" s="13"/>
      <c r="AG481" s="13"/>
      <c r="AH481" s="13"/>
      <c r="AI481" s="13"/>
    </row>
    <row r="482" spans="31:35">
      <c r="AE482" s="18"/>
      <c r="AF482" s="13"/>
      <c r="AG482" s="13"/>
      <c r="AH482" s="13"/>
      <c r="AI482" s="13"/>
    </row>
    <row r="483" spans="31:35">
      <c r="AE483" s="18"/>
      <c r="AF483" s="13"/>
      <c r="AG483" s="13"/>
      <c r="AH483" s="13"/>
      <c r="AI483" s="13"/>
    </row>
    <row r="484" spans="31:35">
      <c r="AE484" s="18"/>
      <c r="AF484" s="13"/>
      <c r="AG484" s="13"/>
      <c r="AH484" s="13"/>
      <c r="AI484" s="13"/>
    </row>
    <row r="485" spans="31:35">
      <c r="AE485" s="18"/>
      <c r="AF485" s="13"/>
      <c r="AG485" s="13"/>
      <c r="AH485" s="13"/>
      <c r="AI485" s="13"/>
    </row>
    <row r="486" spans="31:35">
      <c r="AE486" s="18"/>
      <c r="AF486" s="13"/>
      <c r="AG486" s="13"/>
      <c r="AH486" s="13"/>
      <c r="AI486" s="13"/>
    </row>
    <row r="487" spans="31:35">
      <c r="AE487" s="18"/>
      <c r="AF487" s="13"/>
      <c r="AG487" s="13"/>
      <c r="AH487" s="13"/>
      <c r="AI487" s="13"/>
    </row>
    <row r="488" spans="31:35">
      <c r="AE488" s="18"/>
      <c r="AF488" s="13"/>
      <c r="AG488" s="13"/>
      <c r="AH488" s="13"/>
      <c r="AI488" s="13"/>
    </row>
    <row r="489" spans="31:35">
      <c r="AE489" s="18"/>
      <c r="AF489" s="13"/>
      <c r="AG489" s="13"/>
      <c r="AH489" s="13"/>
      <c r="AI489" s="13"/>
    </row>
    <row r="490" spans="31:35">
      <c r="AE490" s="18"/>
      <c r="AF490" s="13"/>
      <c r="AG490" s="13"/>
      <c r="AH490" s="13"/>
      <c r="AI490" s="13"/>
    </row>
    <row r="491" spans="31:35">
      <c r="AE491" s="18"/>
      <c r="AF491" s="13"/>
      <c r="AG491" s="13"/>
      <c r="AH491" s="13"/>
      <c r="AI491" s="13"/>
    </row>
    <row r="492" spans="31:35">
      <c r="AE492" s="18"/>
      <c r="AF492" s="13"/>
      <c r="AG492" s="13"/>
      <c r="AH492" s="13"/>
      <c r="AI492" s="13"/>
    </row>
    <row r="493" spans="31:35">
      <c r="AE493" s="18"/>
      <c r="AF493" s="13"/>
      <c r="AG493" s="13"/>
      <c r="AH493" s="13"/>
      <c r="AI493" s="13"/>
    </row>
    <row r="494" spans="31:35">
      <c r="AE494" s="18"/>
      <c r="AF494" s="13"/>
      <c r="AG494" s="13"/>
      <c r="AH494" s="13"/>
      <c r="AI494" s="13"/>
    </row>
    <row r="495" spans="31:35">
      <c r="AE495" s="18"/>
      <c r="AF495" s="13"/>
      <c r="AG495" s="13"/>
      <c r="AH495" s="13"/>
      <c r="AI495" s="13"/>
    </row>
    <row r="496" spans="31:35">
      <c r="AE496" s="18"/>
      <c r="AF496" s="13"/>
      <c r="AG496" s="13"/>
      <c r="AH496" s="13"/>
      <c r="AI496" s="13"/>
    </row>
    <row r="497" spans="31:35">
      <c r="AE497" s="18"/>
      <c r="AF497" s="13"/>
      <c r="AG497" s="13"/>
      <c r="AH497" s="13"/>
      <c r="AI497" s="13"/>
    </row>
    <row r="498" spans="31:35">
      <c r="AE498" s="18"/>
      <c r="AF498" s="13"/>
      <c r="AG498" s="13"/>
      <c r="AH498" s="13"/>
      <c r="AI498" s="13"/>
    </row>
    <row r="499" spans="31:35">
      <c r="AE499" s="18"/>
      <c r="AF499" s="13"/>
      <c r="AG499" s="13"/>
      <c r="AH499" s="13"/>
      <c r="AI499" s="13"/>
    </row>
    <row r="500" spans="31:35">
      <c r="AE500" s="18"/>
      <c r="AF500" s="13"/>
      <c r="AG500" s="13"/>
      <c r="AH500" s="13"/>
      <c r="AI500" s="13"/>
    </row>
    <row r="501" spans="31:35">
      <c r="AE501" s="18"/>
      <c r="AF501" s="13"/>
      <c r="AG501" s="13"/>
      <c r="AH501" s="13"/>
      <c r="AI501" s="13"/>
    </row>
    <row r="502" spans="31:35">
      <c r="AE502" s="18"/>
      <c r="AF502" s="13"/>
      <c r="AG502" s="13"/>
      <c r="AH502" s="13"/>
      <c r="AI502" s="13"/>
    </row>
    <row r="503" spans="31:35">
      <c r="AE503" s="18"/>
      <c r="AF503" s="13"/>
      <c r="AG503" s="13"/>
      <c r="AH503" s="13"/>
      <c r="AI503" s="13"/>
    </row>
    <row r="504" spans="31:35">
      <c r="AE504" s="18"/>
      <c r="AF504" s="13"/>
      <c r="AG504" s="13"/>
      <c r="AH504" s="13"/>
      <c r="AI504" s="13"/>
    </row>
    <row r="505" spans="31:35">
      <c r="AE505" s="18"/>
      <c r="AF505" s="13"/>
      <c r="AG505" s="13"/>
      <c r="AH505" s="13"/>
      <c r="AI505" s="13"/>
    </row>
    <row r="506" spans="31:35">
      <c r="AE506" s="18"/>
      <c r="AF506" s="13"/>
      <c r="AG506" s="13"/>
      <c r="AH506" s="13"/>
      <c r="AI506" s="13"/>
    </row>
    <row r="507" spans="31:35">
      <c r="AE507" s="18"/>
      <c r="AF507" s="13"/>
      <c r="AG507" s="13"/>
      <c r="AH507" s="13"/>
      <c r="AI507" s="13"/>
    </row>
    <row r="508" spans="31:35">
      <c r="AE508" s="18"/>
      <c r="AF508" s="13"/>
      <c r="AG508" s="13"/>
      <c r="AH508" s="13"/>
      <c r="AI508" s="13"/>
    </row>
    <row r="509" spans="31:35">
      <c r="AE509" s="18"/>
      <c r="AF509" s="13"/>
      <c r="AG509" s="13"/>
      <c r="AH509" s="13"/>
      <c r="AI509" s="13"/>
    </row>
    <row r="510" spans="31:35">
      <c r="AE510" s="18"/>
      <c r="AF510" s="13"/>
      <c r="AG510" s="13"/>
      <c r="AH510" s="13"/>
      <c r="AI510" s="13"/>
    </row>
    <row r="511" spans="31:35">
      <c r="AE511" s="18"/>
      <c r="AF511" s="13"/>
      <c r="AG511" s="13"/>
      <c r="AH511" s="13"/>
      <c r="AI511" s="13"/>
    </row>
    <row r="512" spans="31:35">
      <c r="AE512" s="18"/>
      <c r="AF512" s="13"/>
      <c r="AG512" s="13"/>
      <c r="AH512" s="13"/>
      <c r="AI512" s="13"/>
    </row>
    <row r="513" spans="31:35">
      <c r="AE513" s="18"/>
      <c r="AF513" s="13"/>
      <c r="AG513" s="13"/>
      <c r="AH513" s="13"/>
      <c r="AI513" s="13"/>
    </row>
    <row r="514" spans="31:35">
      <c r="AE514" s="18"/>
      <c r="AF514" s="13"/>
      <c r="AG514" s="13"/>
      <c r="AH514" s="13"/>
      <c r="AI514" s="13"/>
    </row>
    <row r="515" spans="31:35">
      <c r="AE515" s="18"/>
      <c r="AF515" s="13"/>
      <c r="AG515" s="13"/>
      <c r="AH515" s="13"/>
      <c r="AI515" s="13"/>
    </row>
    <row r="516" spans="31:35">
      <c r="AE516" s="18"/>
      <c r="AF516" s="13"/>
      <c r="AG516" s="13"/>
      <c r="AH516" s="13"/>
      <c r="AI516" s="13"/>
    </row>
    <row r="517" spans="31:35">
      <c r="AE517" s="18"/>
      <c r="AF517" s="13"/>
      <c r="AG517" s="13"/>
      <c r="AH517" s="13"/>
      <c r="AI517" s="13"/>
    </row>
    <row r="518" spans="31:35">
      <c r="AE518" s="18"/>
      <c r="AF518" s="13"/>
      <c r="AG518" s="13"/>
      <c r="AH518" s="13"/>
      <c r="AI518" s="13"/>
    </row>
    <row r="519" spans="31:35">
      <c r="AE519" s="18"/>
      <c r="AF519" s="13"/>
      <c r="AG519" s="13"/>
      <c r="AH519" s="13"/>
      <c r="AI519" s="13"/>
    </row>
    <row r="520" spans="31:35">
      <c r="AE520" s="18"/>
      <c r="AF520" s="13"/>
      <c r="AG520" s="13"/>
      <c r="AH520" s="13"/>
      <c r="AI520" s="13"/>
    </row>
    <row r="521" spans="31:35">
      <c r="AE521" s="18"/>
      <c r="AF521" s="13"/>
      <c r="AG521" s="13"/>
      <c r="AH521" s="13"/>
      <c r="AI521" s="13"/>
    </row>
    <row r="522" spans="31:35">
      <c r="AE522" s="18"/>
      <c r="AF522" s="13"/>
      <c r="AG522" s="13"/>
      <c r="AH522" s="13"/>
      <c r="AI522" s="13"/>
    </row>
    <row r="523" spans="31:35">
      <c r="AE523" s="18"/>
      <c r="AF523" s="13"/>
      <c r="AG523" s="13"/>
      <c r="AH523" s="13"/>
      <c r="AI523" s="13"/>
    </row>
    <row r="524" spans="31:35">
      <c r="AE524" s="18"/>
      <c r="AF524" s="13"/>
      <c r="AG524" s="13"/>
      <c r="AH524" s="13"/>
      <c r="AI524" s="13"/>
    </row>
    <row r="525" spans="31:35">
      <c r="AE525" s="18"/>
      <c r="AF525" s="13"/>
      <c r="AG525" s="13"/>
      <c r="AH525" s="13"/>
      <c r="AI525" s="13"/>
    </row>
    <row r="526" spans="31:35">
      <c r="AE526" s="18"/>
      <c r="AF526" s="13"/>
      <c r="AG526" s="13"/>
      <c r="AH526" s="13"/>
      <c r="AI526" s="13"/>
    </row>
    <row r="527" spans="31:35">
      <c r="AE527" s="18"/>
      <c r="AF527" s="13"/>
      <c r="AG527" s="13"/>
      <c r="AH527" s="13"/>
      <c r="AI527" s="13"/>
    </row>
    <row r="528" spans="31:35">
      <c r="AE528" s="18"/>
      <c r="AF528" s="13"/>
      <c r="AG528" s="13"/>
      <c r="AH528" s="13"/>
      <c r="AI528" s="13"/>
    </row>
    <row r="529" spans="31:35">
      <c r="AE529" s="18"/>
      <c r="AF529" s="13"/>
      <c r="AG529" s="13"/>
      <c r="AH529" s="13"/>
      <c r="AI529" s="13"/>
    </row>
    <row r="530" spans="31:35">
      <c r="AE530" s="18"/>
      <c r="AF530" s="13"/>
      <c r="AG530" s="13"/>
      <c r="AH530" s="13"/>
      <c r="AI530" s="13"/>
    </row>
    <row r="531" spans="31:35">
      <c r="AE531" s="18"/>
      <c r="AF531" s="13"/>
      <c r="AG531" s="13"/>
      <c r="AH531" s="13"/>
      <c r="AI531" s="13"/>
    </row>
    <row r="532" spans="31:35">
      <c r="AE532" s="18"/>
      <c r="AF532" s="13"/>
      <c r="AG532" s="13"/>
      <c r="AH532" s="13"/>
      <c r="AI532" s="13"/>
    </row>
    <row r="533" spans="31:35">
      <c r="AE533" s="18"/>
      <c r="AF533" s="13"/>
      <c r="AG533" s="13"/>
      <c r="AH533" s="13"/>
      <c r="AI533" s="13"/>
    </row>
    <row r="534" spans="31:35">
      <c r="AE534" s="18"/>
      <c r="AF534" s="13"/>
      <c r="AG534" s="13"/>
      <c r="AH534" s="13"/>
      <c r="AI534" s="13"/>
    </row>
    <row r="535" spans="31:35">
      <c r="AE535" s="18"/>
      <c r="AF535" s="13"/>
      <c r="AG535" s="13"/>
      <c r="AH535" s="13"/>
      <c r="AI535" s="13"/>
    </row>
    <row r="536" spans="31:35">
      <c r="AE536" s="18"/>
      <c r="AF536" s="13"/>
      <c r="AG536" s="13"/>
      <c r="AH536" s="13"/>
      <c r="AI536" s="13"/>
    </row>
    <row r="537" spans="31:35">
      <c r="AE537" s="18"/>
      <c r="AF537" s="13"/>
      <c r="AG537" s="13"/>
      <c r="AH537" s="13"/>
      <c r="AI537" s="13"/>
    </row>
    <row r="538" spans="31:35">
      <c r="AE538" s="18"/>
      <c r="AF538" s="13"/>
      <c r="AG538" s="13"/>
      <c r="AH538" s="13"/>
      <c r="AI538" s="13"/>
    </row>
    <row r="539" spans="31:35">
      <c r="AE539" s="18"/>
      <c r="AF539" s="13"/>
      <c r="AG539" s="13"/>
      <c r="AH539" s="13"/>
      <c r="AI539" s="13"/>
    </row>
    <row r="540" spans="31:35">
      <c r="AE540" s="18"/>
      <c r="AF540" s="13"/>
      <c r="AG540" s="13"/>
      <c r="AH540" s="13"/>
      <c r="AI540" s="13"/>
    </row>
    <row r="541" spans="31:35">
      <c r="AE541" s="18"/>
      <c r="AF541" s="13"/>
      <c r="AG541" s="13"/>
      <c r="AH541" s="13"/>
      <c r="AI541" s="13"/>
    </row>
    <row r="542" spans="31:35">
      <c r="AE542" s="18"/>
      <c r="AF542" s="13"/>
      <c r="AG542" s="13"/>
      <c r="AH542" s="13"/>
      <c r="AI542" s="13"/>
    </row>
    <row r="543" spans="31:35">
      <c r="AE543" s="18"/>
      <c r="AF543" s="13"/>
      <c r="AG543" s="13"/>
      <c r="AH543" s="13"/>
      <c r="AI543" s="13"/>
    </row>
    <row r="544" spans="31:35">
      <c r="AE544" s="18"/>
      <c r="AF544" s="13"/>
      <c r="AG544" s="13"/>
      <c r="AH544" s="13"/>
      <c r="AI544" s="13"/>
    </row>
    <row r="545" spans="31:35">
      <c r="AE545" s="18"/>
      <c r="AF545" s="13"/>
      <c r="AG545" s="13"/>
      <c r="AH545" s="13"/>
      <c r="AI545" s="13"/>
    </row>
    <row r="546" spans="31:35">
      <c r="AE546" s="18"/>
      <c r="AF546" s="13"/>
      <c r="AG546" s="13"/>
      <c r="AH546" s="13"/>
      <c r="AI546" s="13"/>
    </row>
    <row r="547" spans="31:35">
      <c r="AE547" s="18"/>
      <c r="AF547" s="13"/>
      <c r="AG547" s="13"/>
      <c r="AH547" s="13"/>
      <c r="AI547" s="13"/>
    </row>
    <row r="548" spans="31:35">
      <c r="AE548" s="18"/>
      <c r="AF548" s="13"/>
      <c r="AG548" s="13"/>
      <c r="AH548" s="13"/>
      <c r="AI548" s="13"/>
    </row>
    <row r="549" spans="31:35">
      <c r="AE549" s="18"/>
      <c r="AF549" s="13"/>
      <c r="AG549" s="13"/>
      <c r="AH549" s="13"/>
      <c r="AI549" s="13"/>
    </row>
    <row r="550" spans="31:35">
      <c r="AE550" s="18"/>
      <c r="AF550" s="13"/>
      <c r="AG550" s="13"/>
      <c r="AH550" s="13"/>
      <c r="AI550" s="13"/>
    </row>
    <row r="551" spans="31:35">
      <c r="AE551" s="18"/>
      <c r="AF551" s="13"/>
      <c r="AG551" s="13"/>
      <c r="AH551" s="13"/>
      <c r="AI551" s="13"/>
    </row>
    <row r="552" spans="31:35">
      <c r="AE552" s="18"/>
      <c r="AF552" s="13"/>
      <c r="AG552" s="13"/>
      <c r="AH552" s="13"/>
      <c r="AI552" s="13"/>
    </row>
    <row r="553" spans="31:35">
      <c r="AE553" s="18"/>
      <c r="AF553" s="13"/>
      <c r="AG553" s="13"/>
      <c r="AH553" s="13"/>
      <c r="AI553" s="13"/>
    </row>
    <row r="554" spans="31:35">
      <c r="AE554" s="18"/>
      <c r="AF554" s="13"/>
      <c r="AG554" s="13"/>
      <c r="AH554" s="13"/>
      <c r="AI554" s="13"/>
    </row>
    <row r="555" spans="31:35">
      <c r="AE555" s="18"/>
      <c r="AF555" s="13"/>
      <c r="AG555" s="13"/>
      <c r="AH555" s="13"/>
      <c r="AI555" s="13"/>
    </row>
    <row r="556" spans="31:35">
      <c r="AE556" s="18"/>
      <c r="AF556" s="13"/>
      <c r="AG556" s="13"/>
      <c r="AH556" s="13"/>
      <c r="AI556" s="13"/>
    </row>
    <row r="557" spans="31:35">
      <c r="AE557" s="18"/>
      <c r="AF557" s="13"/>
      <c r="AG557" s="13"/>
      <c r="AH557" s="13"/>
      <c r="AI557" s="13"/>
    </row>
    <row r="558" spans="31:35">
      <c r="AE558" s="18"/>
      <c r="AF558" s="13"/>
      <c r="AG558" s="13"/>
      <c r="AH558" s="13"/>
      <c r="AI558" s="13"/>
    </row>
    <row r="559" spans="31:35">
      <c r="AE559" s="18"/>
      <c r="AF559" s="13"/>
      <c r="AG559" s="13"/>
      <c r="AH559" s="13"/>
      <c r="AI559" s="13"/>
    </row>
    <row r="560" spans="31:35">
      <c r="AE560" s="18"/>
      <c r="AF560" s="13"/>
      <c r="AG560" s="13"/>
      <c r="AH560" s="13"/>
      <c r="AI560" s="13"/>
    </row>
    <row r="561" spans="31:35">
      <c r="AE561" s="18"/>
      <c r="AF561" s="13"/>
      <c r="AG561" s="13"/>
      <c r="AH561" s="13"/>
      <c r="AI561" s="13"/>
    </row>
    <row r="562" spans="31:35">
      <c r="AE562" s="18"/>
      <c r="AF562" s="13"/>
      <c r="AG562" s="13"/>
      <c r="AH562" s="13"/>
      <c r="AI562" s="13"/>
    </row>
    <row r="563" spans="31:35">
      <c r="AE563" s="18"/>
      <c r="AF563" s="13"/>
      <c r="AG563" s="13"/>
      <c r="AH563" s="13"/>
      <c r="AI563" s="13"/>
    </row>
    <row r="564" spans="31:35">
      <c r="AE564" s="18"/>
      <c r="AF564" s="13"/>
      <c r="AG564" s="13"/>
      <c r="AH564" s="13"/>
      <c r="AI564" s="13"/>
    </row>
    <row r="565" spans="31:35">
      <c r="AE565" s="18"/>
      <c r="AF565" s="13"/>
      <c r="AG565" s="13"/>
      <c r="AH565" s="13"/>
      <c r="AI565" s="13"/>
    </row>
    <row r="566" spans="31:35">
      <c r="AE566" s="18"/>
      <c r="AF566" s="13"/>
      <c r="AG566" s="13"/>
      <c r="AH566" s="13"/>
      <c r="AI566" s="13"/>
    </row>
    <row r="567" spans="31:35">
      <c r="AE567" s="18"/>
      <c r="AF567" s="13"/>
      <c r="AG567" s="13"/>
      <c r="AH567" s="13"/>
      <c r="AI567" s="13"/>
    </row>
    <row r="568" spans="31:35">
      <c r="AE568" s="18"/>
      <c r="AF568" s="13"/>
      <c r="AG568" s="13"/>
      <c r="AH568" s="13"/>
      <c r="AI568" s="13"/>
    </row>
    <row r="569" spans="31:35">
      <c r="AE569" s="18"/>
      <c r="AF569" s="13"/>
      <c r="AG569" s="13"/>
      <c r="AH569" s="13"/>
      <c r="AI569" s="13"/>
    </row>
    <row r="570" spans="31:35">
      <c r="AE570" s="18"/>
      <c r="AF570" s="13"/>
      <c r="AG570" s="13"/>
      <c r="AH570" s="13"/>
      <c r="AI570" s="13"/>
    </row>
    <row r="571" spans="31:35">
      <c r="AE571" s="18"/>
      <c r="AF571" s="13"/>
      <c r="AG571" s="13"/>
      <c r="AH571" s="13"/>
      <c r="AI571" s="13"/>
    </row>
    <row r="572" spans="31:35">
      <c r="AE572" s="18"/>
      <c r="AF572" s="13"/>
      <c r="AG572" s="13"/>
      <c r="AH572" s="13"/>
      <c r="AI572" s="13"/>
    </row>
    <row r="573" spans="31:35">
      <c r="AE573" s="18"/>
      <c r="AF573" s="13"/>
      <c r="AG573" s="13"/>
      <c r="AH573" s="13"/>
      <c r="AI573" s="13"/>
    </row>
    <row r="574" spans="31:35">
      <c r="AE574" s="18"/>
      <c r="AF574" s="13"/>
      <c r="AG574" s="13"/>
      <c r="AH574" s="13"/>
      <c r="AI574" s="13"/>
    </row>
    <row r="575" spans="31:35">
      <c r="AE575" s="18"/>
      <c r="AF575" s="13"/>
      <c r="AG575" s="13"/>
      <c r="AH575" s="13"/>
      <c r="AI575" s="13"/>
    </row>
    <row r="576" spans="31:35">
      <c r="AE576" s="18"/>
      <c r="AF576" s="13"/>
      <c r="AG576" s="13"/>
      <c r="AH576" s="13"/>
      <c r="AI576" s="13"/>
    </row>
    <row r="577" spans="31:35">
      <c r="AE577" s="18"/>
      <c r="AF577" s="13"/>
      <c r="AG577" s="13"/>
      <c r="AH577" s="13"/>
      <c r="AI577" s="13"/>
    </row>
    <row r="578" spans="31:35">
      <c r="AE578" s="18"/>
      <c r="AF578" s="13"/>
      <c r="AG578" s="13"/>
      <c r="AH578" s="13"/>
      <c r="AI578" s="13"/>
    </row>
    <row r="579" spans="31:35">
      <c r="AE579" s="18"/>
      <c r="AF579" s="13"/>
      <c r="AG579" s="13"/>
      <c r="AH579" s="13"/>
      <c r="AI579" s="13"/>
    </row>
    <row r="580" spans="31:35">
      <c r="AE580" s="18"/>
      <c r="AF580" s="13"/>
      <c r="AG580" s="13"/>
      <c r="AH580" s="13"/>
      <c r="AI580" s="13"/>
    </row>
    <row r="581" spans="31:35">
      <c r="AE581" s="18"/>
      <c r="AF581" s="13"/>
      <c r="AG581" s="13"/>
      <c r="AH581" s="13"/>
      <c r="AI581" s="13"/>
    </row>
    <row r="582" spans="31:35">
      <c r="AE582" s="18"/>
      <c r="AF582" s="13"/>
      <c r="AG582" s="13"/>
      <c r="AH582" s="13"/>
      <c r="AI582" s="13"/>
    </row>
    <row r="583" spans="31:35">
      <c r="AE583" s="18"/>
      <c r="AF583" s="13"/>
      <c r="AG583" s="13"/>
      <c r="AH583" s="13"/>
      <c r="AI583" s="13"/>
    </row>
    <row r="584" spans="31:35">
      <c r="AE584" s="18"/>
      <c r="AF584" s="13"/>
      <c r="AG584" s="13"/>
      <c r="AH584" s="13"/>
      <c r="AI584" s="13"/>
    </row>
    <row r="585" spans="31:35">
      <c r="AE585" s="18"/>
      <c r="AF585" s="13"/>
      <c r="AG585" s="13"/>
      <c r="AH585" s="13"/>
      <c r="AI585" s="13"/>
    </row>
    <row r="586" spans="31:35">
      <c r="AE586" s="18"/>
      <c r="AF586" s="13"/>
      <c r="AG586" s="13"/>
      <c r="AH586" s="13"/>
      <c r="AI586" s="13"/>
    </row>
    <row r="587" spans="31:35">
      <c r="AE587" s="18"/>
      <c r="AF587" s="13"/>
      <c r="AG587" s="13"/>
      <c r="AH587" s="13"/>
      <c r="AI587" s="13"/>
    </row>
    <row r="588" spans="31:35">
      <c r="AE588" s="18"/>
      <c r="AF588" s="13"/>
      <c r="AG588" s="13"/>
      <c r="AH588" s="13"/>
      <c r="AI588" s="13"/>
    </row>
    <row r="589" spans="31:35">
      <c r="AE589" s="18"/>
      <c r="AF589" s="13"/>
      <c r="AG589" s="13"/>
      <c r="AH589" s="13"/>
      <c r="AI589" s="13"/>
    </row>
    <row r="590" spans="31:35">
      <c r="AE590" s="18"/>
      <c r="AF590" s="13"/>
      <c r="AG590" s="13"/>
      <c r="AH590" s="13"/>
      <c r="AI590" s="13"/>
    </row>
    <row r="591" spans="31:35">
      <c r="AE591" s="18"/>
      <c r="AF591" s="13"/>
      <c r="AG591" s="13"/>
      <c r="AH591" s="13"/>
      <c r="AI591" s="13"/>
    </row>
    <row r="592" spans="31:35">
      <c r="AE592" s="18"/>
      <c r="AF592" s="13"/>
      <c r="AG592" s="13"/>
      <c r="AH592" s="13"/>
      <c r="AI592" s="13"/>
    </row>
    <row r="593" spans="31:35">
      <c r="AE593" s="18"/>
      <c r="AF593" s="13"/>
      <c r="AG593" s="13"/>
      <c r="AH593" s="13"/>
      <c r="AI593" s="13"/>
    </row>
    <row r="594" spans="31:35">
      <c r="AE594" s="18"/>
      <c r="AF594" s="13"/>
      <c r="AG594" s="13"/>
      <c r="AH594" s="13"/>
      <c r="AI594" s="13"/>
    </row>
    <row r="595" spans="31:35">
      <c r="AE595" s="18"/>
      <c r="AF595" s="13"/>
      <c r="AG595" s="13"/>
      <c r="AH595" s="13"/>
      <c r="AI595" s="13"/>
    </row>
    <row r="596" spans="31:35">
      <c r="AE596" s="18"/>
      <c r="AF596" s="13"/>
      <c r="AG596" s="13"/>
      <c r="AH596" s="13"/>
      <c r="AI596" s="13"/>
    </row>
    <row r="597" spans="31:35">
      <c r="AE597" s="18"/>
      <c r="AF597" s="13"/>
      <c r="AG597" s="13"/>
      <c r="AH597" s="13"/>
      <c r="AI597" s="13"/>
    </row>
    <row r="598" spans="31:35">
      <c r="AE598" s="18"/>
      <c r="AF598" s="13"/>
      <c r="AG598" s="13"/>
      <c r="AH598" s="13"/>
      <c r="AI598" s="13"/>
    </row>
    <row r="599" spans="31:35">
      <c r="AE599" s="18"/>
      <c r="AF599" s="13"/>
      <c r="AG599" s="13"/>
      <c r="AH599" s="13"/>
      <c r="AI599" s="13"/>
    </row>
    <row r="600" spans="31:35">
      <c r="AE600" s="18"/>
      <c r="AF600" s="13"/>
      <c r="AG600" s="13"/>
      <c r="AH600" s="13"/>
      <c r="AI600" s="13"/>
    </row>
    <row r="601" spans="31:35">
      <c r="AE601" s="18"/>
      <c r="AF601" s="13"/>
      <c r="AG601" s="13"/>
      <c r="AH601" s="13"/>
      <c r="AI601" s="13"/>
    </row>
    <row r="602" spans="31:35">
      <c r="AE602" s="18"/>
      <c r="AF602" s="13"/>
      <c r="AG602" s="13"/>
      <c r="AH602" s="13"/>
      <c r="AI602" s="13"/>
    </row>
    <row r="603" spans="31:35">
      <c r="AE603" s="18"/>
      <c r="AF603" s="13"/>
      <c r="AG603" s="13"/>
      <c r="AH603" s="13"/>
      <c r="AI603" s="13"/>
    </row>
    <row r="604" spans="31:35">
      <c r="AE604" s="18"/>
      <c r="AF604" s="13"/>
      <c r="AG604" s="13"/>
      <c r="AH604" s="13"/>
      <c r="AI604" s="13"/>
    </row>
    <row r="605" spans="31:35">
      <c r="AE605" s="18"/>
      <c r="AF605" s="13"/>
      <c r="AG605" s="13"/>
      <c r="AH605" s="13"/>
      <c r="AI605" s="13"/>
    </row>
    <row r="606" spans="31:35">
      <c r="AE606" s="18"/>
      <c r="AF606" s="13"/>
      <c r="AG606" s="13"/>
      <c r="AH606" s="13"/>
      <c r="AI606" s="13"/>
    </row>
    <row r="607" spans="31:35">
      <c r="AE607" s="18"/>
      <c r="AF607" s="13"/>
      <c r="AG607" s="13"/>
      <c r="AH607" s="13"/>
      <c r="AI607" s="13"/>
    </row>
    <row r="608" spans="31:35">
      <c r="AE608" s="18"/>
      <c r="AF608" s="13"/>
      <c r="AG608" s="13"/>
      <c r="AH608" s="13"/>
      <c r="AI608" s="13"/>
    </row>
    <row r="609" spans="31:35">
      <c r="AE609" s="18"/>
      <c r="AF609" s="13"/>
      <c r="AG609" s="13"/>
      <c r="AH609" s="13"/>
      <c r="AI609" s="13"/>
    </row>
    <row r="610" spans="31:35">
      <c r="AE610" s="18"/>
      <c r="AF610" s="13"/>
      <c r="AG610" s="13"/>
      <c r="AH610" s="13"/>
      <c r="AI610" s="13"/>
    </row>
    <row r="611" spans="31:35">
      <c r="AE611" s="18"/>
      <c r="AF611" s="13"/>
      <c r="AG611" s="13"/>
      <c r="AH611" s="13"/>
      <c r="AI611" s="13"/>
    </row>
    <row r="612" spans="31:35">
      <c r="AE612" s="18"/>
      <c r="AF612" s="13"/>
      <c r="AG612" s="13"/>
      <c r="AH612" s="13"/>
      <c r="AI612" s="13"/>
    </row>
    <row r="613" spans="31:35">
      <c r="AE613" s="18"/>
      <c r="AF613" s="13"/>
      <c r="AG613" s="13"/>
      <c r="AH613" s="13"/>
      <c r="AI613" s="13"/>
    </row>
    <row r="614" spans="31:35">
      <c r="AE614" s="18"/>
      <c r="AF614" s="13"/>
      <c r="AG614" s="13"/>
      <c r="AH614" s="13"/>
      <c r="AI614" s="13"/>
    </row>
    <row r="615" spans="31:35">
      <c r="AE615" s="18"/>
      <c r="AF615" s="13"/>
      <c r="AG615" s="13"/>
      <c r="AH615" s="13"/>
      <c r="AI615" s="13"/>
    </row>
    <row r="616" spans="31:35">
      <c r="AE616" s="18"/>
      <c r="AF616" s="13"/>
      <c r="AG616" s="13"/>
      <c r="AH616" s="13"/>
      <c r="AI616" s="13"/>
    </row>
    <row r="617" spans="31:35">
      <c r="AE617" s="18"/>
      <c r="AF617" s="13"/>
      <c r="AG617" s="13"/>
      <c r="AH617" s="13"/>
      <c r="AI617" s="13"/>
    </row>
    <row r="618" spans="31:35">
      <c r="AE618" s="18"/>
      <c r="AF618" s="13"/>
      <c r="AG618" s="13"/>
      <c r="AH618" s="13"/>
      <c r="AI618" s="13"/>
    </row>
    <row r="619" spans="31:35">
      <c r="AE619" s="18"/>
      <c r="AF619" s="13"/>
      <c r="AG619" s="13"/>
      <c r="AH619" s="13"/>
      <c r="AI619" s="13"/>
    </row>
    <row r="620" spans="31:35">
      <c r="AE620" s="18"/>
      <c r="AF620" s="13"/>
      <c r="AG620" s="13"/>
      <c r="AH620" s="13"/>
      <c r="AI620" s="13"/>
    </row>
    <row r="621" spans="31:35">
      <c r="AE621" s="18"/>
      <c r="AF621" s="13"/>
      <c r="AG621" s="13"/>
      <c r="AH621" s="13"/>
      <c r="AI621" s="13"/>
    </row>
    <row r="622" spans="31:35">
      <c r="AE622" s="18"/>
      <c r="AF622" s="13"/>
      <c r="AG622" s="13"/>
      <c r="AH622" s="13"/>
      <c r="AI622" s="13"/>
    </row>
    <row r="623" spans="31:35">
      <c r="AE623" s="18"/>
      <c r="AF623" s="13"/>
      <c r="AG623" s="13"/>
      <c r="AH623" s="13"/>
      <c r="AI623" s="13"/>
    </row>
    <row r="624" spans="31:35">
      <c r="AE624" s="18"/>
      <c r="AF624" s="13"/>
      <c r="AG624" s="13"/>
      <c r="AH624" s="13"/>
      <c r="AI624" s="13"/>
    </row>
    <row r="625" spans="31:35">
      <c r="AE625" s="18"/>
      <c r="AF625" s="13"/>
      <c r="AG625" s="13"/>
      <c r="AH625" s="13"/>
      <c r="AI625" s="13"/>
    </row>
    <row r="626" spans="31:35">
      <c r="AE626" s="18"/>
      <c r="AF626" s="13"/>
      <c r="AG626" s="13"/>
      <c r="AH626" s="13"/>
      <c r="AI626" s="13"/>
    </row>
    <row r="627" spans="31:35">
      <c r="AE627" s="18"/>
      <c r="AF627" s="13"/>
      <c r="AG627" s="13"/>
      <c r="AH627" s="13"/>
      <c r="AI627" s="13"/>
    </row>
    <row r="628" spans="31:35">
      <c r="AE628" s="18"/>
      <c r="AF628" s="13"/>
      <c r="AG628" s="13"/>
      <c r="AH628" s="13"/>
      <c r="AI628" s="13"/>
    </row>
    <row r="629" spans="31:35">
      <c r="AE629" s="18"/>
      <c r="AF629" s="13"/>
      <c r="AG629" s="13"/>
      <c r="AH629" s="13"/>
      <c r="AI629" s="13"/>
    </row>
    <row r="630" spans="31:35">
      <c r="AE630" s="18"/>
      <c r="AF630" s="13"/>
      <c r="AG630" s="13"/>
      <c r="AH630" s="13"/>
      <c r="AI630" s="13"/>
    </row>
    <row r="631" spans="31:35">
      <c r="AE631" s="18"/>
      <c r="AF631" s="13"/>
      <c r="AG631" s="13"/>
      <c r="AH631" s="13"/>
      <c r="AI631" s="13"/>
    </row>
    <row r="632" spans="31:35">
      <c r="AE632" s="18"/>
      <c r="AF632" s="13"/>
      <c r="AG632" s="13"/>
      <c r="AH632" s="13"/>
      <c r="AI632" s="13"/>
    </row>
    <row r="633" spans="31:35">
      <c r="AE633" s="18"/>
      <c r="AF633" s="13"/>
      <c r="AG633" s="13"/>
      <c r="AH633" s="13"/>
      <c r="AI633" s="13"/>
    </row>
    <row r="634" spans="31:35">
      <c r="AE634" s="18"/>
      <c r="AF634" s="13"/>
      <c r="AG634" s="13"/>
      <c r="AH634" s="13"/>
      <c r="AI634" s="13"/>
    </row>
    <row r="635" spans="31:35">
      <c r="AE635" s="18"/>
      <c r="AF635" s="13"/>
      <c r="AG635" s="13"/>
      <c r="AH635" s="13"/>
      <c r="AI635" s="13"/>
    </row>
    <row r="636" spans="31:35">
      <c r="AE636" s="18"/>
      <c r="AF636" s="13"/>
      <c r="AG636" s="13"/>
      <c r="AH636" s="13"/>
      <c r="AI636" s="13"/>
    </row>
    <row r="637" spans="31:35">
      <c r="AE637" s="18"/>
      <c r="AF637" s="13"/>
      <c r="AG637" s="13"/>
      <c r="AH637" s="13"/>
      <c r="AI637" s="13"/>
    </row>
    <row r="638" spans="31:35">
      <c r="AE638" s="18"/>
      <c r="AF638" s="13"/>
      <c r="AG638" s="13"/>
      <c r="AH638" s="13"/>
      <c r="AI638" s="13"/>
    </row>
    <row r="639" spans="31:35">
      <c r="AE639" s="18"/>
      <c r="AF639" s="13"/>
      <c r="AG639" s="13"/>
      <c r="AH639" s="13"/>
      <c r="AI639" s="13"/>
    </row>
    <row r="640" spans="31:35">
      <c r="AE640" s="18"/>
      <c r="AF640" s="13"/>
      <c r="AG640" s="13"/>
      <c r="AH640" s="13"/>
      <c r="AI640" s="13"/>
    </row>
    <row r="641" spans="31:35">
      <c r="AE641" s="18"/>
      <c r="AF641" s="13"/>
      <c r="AG641" s="13"/>
      <c r="AH641" s="13"/>
      <c r="AI641" s="13"/>
    </row>
    <row r="642" spans="31:35">
      <c r="AE642" s="18"/>
      <c r="AF642" s="13"/>
      <c r="AG642" s="13"/>
      <c r="AH642" s="13"/>
      <c r="AI642" s="13"/>
    </row>
    <row r="643" spans="31:35">
      <c r="AE643" s="18"/>
      <c r="AF643" s="13"/>
      <c r="AG643" s="13"/>
      <c r="AH643" s="13"/>
      <c r="AI643" s="13"/>
    </row>
    <row r="644" spans="31:35">
      <c r="AE644" s="18"/>
      <c r="AF644" s="13"/>
      <c r="AG644" s="13"/>
      <c r="AH644" s="13"/>
      <c r="AI644" s="13"/>
    </row>
    <row r="645" spans="31:35">
      <c r="AE645" s="18"/>
      <c r="AF645" s="13"/>
      <c r="AG645" s="13"/>
      <c r="AH645" s="13"/>
      <c r="AI645" s="13"/>
    </row>
    <row r="646" spans="31:35">
      <c r="AE646" s="18"/>
      <c r="AF646" s="13"/>
      <c r="AG646" s="13"/>
      <c r="AH646" s="13"/>
      <c r="AI646" s="13"/>
    </row>
    <row r="647" spans="31:35">
      <c r="AE647" s="18"/>
      <c r="AF647" s="13"/>
      <c r="AG647" s="13"/>
      <c r="AH647" s="13"/>
      <c r="AI647" s="13"/>
    </row>
    <row r="648" spans="31:35">
      <c r="AE648" s="18"/>
      <c r="AF648" s="13"/>
      <c r="AG648" s="13"/>
      <c r="AH648" s="13"/>
      <c r="AI648" s="13"/>
    </row>
    <row r="649" spans="31:35">
      <c r="AE649" s="18"/>
      <c r="AF649" s="13"/>
      <c r="AG649" s="13"/>
      <c r="AH649" s="13"/>
      <c r="AI649" s="13"/>
    </row>
    <row r="650" spans="31:35">
      <c r="AE650" s="18"/>
      <c r="AF650" s="13"/>
      <c r="AG650" s="13"/>
      <c r="AH650" s="13"/>
      <c r="AI650" s="13"/>
    </row>
    <row r="651" spans="31:35">
      <c r="AE651" s="18"/>
      <c r="AF651" s="13"/>
      <c r="AG651" s="13"/>
      <c r="AH651" s="13"/>
      <c r="AI651" s="13"/>
    </row>
    <row r="652" spans="31:35">
      <c r="AE652" s="18"/>
      <c r="AF652" s="13"/>
      <c r="AG652" s="13"/>
      <c r="AH652" s="13"/>
      <c r="AI652" s="13"/>
    </row>
    <row r="653" spans="31:35">
      <c r="AE653" s="18"/>
      <c r="AF653" s="13"/>
      <c r="AG653" s="13"/>
      <c r="AH653" s="13"/>
      <c r="AI653" s="13"/>
    </row>
    <row r="654" spans="31:35">
      <c r="AE654" s="18"/>
      <c r="AF654" s="13"/>
      <c r="AG654" s="13"/>
      <c r="AH654" s="13"/>
      <c r="AI654" s="13"/>
    </row>
    <row r="655" spans="31:35">
      <c r="AE655" s="18"/>
      <c r="AF655" s="13"/>
      <c r="AG655" s="13"/>
      <c r="AH655" s="13"/>
      <c r="AI655" s="13"/>
    </row>
    <row r="656" spans="31:35">
      <c r="AE656" s="18"/>
      <c r="AF656" s="13"/>
      <c r="AG656" s="13"/>
      <c r="AH656" s="13"/>
      <c r="AI656" s="13"/>
    </row>
    <row r="657" spans="31:35">
      <c r="AE657" s="18"/>
      <c r="AF657" s="13"/>
      <c r="AG657" s="13"/>
      <c r="AH657" s="13"/>
      <c r="AI657" s="13"/>
    </row>
    <row r="658" spans="31:35">
      <c r="AE658" s="18"/>
      <c r="AF658" s="13"/>
      <c r="AG658" s="13"/>
      <c r="AH658" s="13"/>
      <c r="AI658" s="13"/>
    </row>
    <row r="659" spans="31:35">
      <c r="AE659" s="18"/>
      <c r="AF659" s="13"/>
      <c r="AG659" s="13"/>
      <c r="AH659" s="13"/>
      <c r="AI659" s="13"/>
    </row>
    <row r="660" spans="31:35">
      <c r="AE660" s="18"/>
      <c r="AF660" s="13"/>
      <c r="AG660" s="13"/>
      <c r="AH660" s="13"/>
      <c r="AI660" s="13"/>
    </row>
    <row r="661" spans="31:35">
      <c r="AE661" s="18"/>
      <c r="AF661" s="13"/>
      <c r="AG661" s="13"/>
      <c r="AH661" s="13"/>
      <c r="AI661" s="13"/>
    </row>
    <row r="662" spans="31:35">
      <c r="AE662" s="18"/>
      <c r="AF662" s="13"/>
      <c r="AG662" s="13"/>
      <c r="AH662" s="13"/>
      <c r="AI662" s="13"/>
    </row>
    <row r="663" spans="31:35">
      <c r="AE663" s="18"/>
      <c r="AF663" s="13"/>
      <c r="AG663" s="13"/>
      <c r="AH663" s="13"/>
      <c r="AI663" s="13"/>
    </row>
    <row r="664" spans="31:35">
      <c r="AE664" s="18"/>
      <c r="AF664" s="13"/>
      <c r="AG664" s="13"/>
      <c r="AH664" s="13"/>
      <c r="AI664" s="13"/>
    </row>
    <row r="665" spans="31:35">
      <c r="AE665" s="18"/>
      <c r="AF665" s="13"/>
      <c r="AG665" s="13"/>
      <c r="AH665" s="13"/>
      <c r="AI665" s="13"/>
    </row>
    <row r="666" spans="31:35">
      <c r="AE666" s="18"/>
      <c r="AF666" s="13"/>
      <c r="AG666" s="13"/>
      <c r="AH666" s="13"/>
      <c r="AI666" s="13"/>
    </row>
    <row r="667" spans="31:35">
      <c r="AE667" s="18"/>
      <c r="AF667" s="13"/>
      <c r="AG667" s="13"/>
      <c r="AH667" s="13"/>
      <c r="AI667" s="13"/>
    </row>
    <row r="668" spans="31:35">
      <c r="AE668" s="18"/>
      <c r="AF668" s="13"/>
      <c r="AG668" s="13"/>
      <c r="AH668" s="13"/>
      <c r="AI668" s="13"/>
    </row>
    <row r="669" spans="31:35">
      <c r="AE669" s="18"/>
      <c r="AF669" s="13"/>
      <c r="AG669" s="13"/>
      <c r="AH669" s="13"/>
      <c r="AI669" s="13"/>
    </row>
    <row r="670" spans="31:35">
      <c r="AE670" s="18"/>
      <c r="AF670" s="13"/>
      <c r="AG670" s="13"/>
      <c r="AH670" s="13"/>
      <c r="AI670" s="13"/>
    </row>
    <row r="671" spans="31:35">
      <c r="AE671" s="18"/>
      <c r="AF671" s="13"/>
      <c r="AG671" s="13"/>
      <c r="AH671" s="13"/>
      <c r="AI671" s="13"/>
    </row>
    <row r="672" spans="31:35">
      <c r="AE672" s="18"/>
      <c r="AF672" s="13"/>
      <c r="AG672" s="13"/>
      <c r="AH672" s="13"/>
      <c r="AI672" s="13"/>
    </row>
    <row r="673" spans="31:35">
      <c r="AE673" s="18"/>
      <c r="AF673" s="13"/>
      <c r="AG673" s="13"/>
      <c r="AH673" s="13"/>
      <c r="AI673" s="13"/>
    </row>
    <row r="674" spans="31:35">
      <c r="AE674" s="18"/>
      <c r="AF674" s="13"/>
      <c r="AG674" s="13"/>
      <c r="AH674" s="13"/>
      <c r="AI674" s="13"/>
    </row>
    <row r="675" spans="31:35">
      <c r="AE675" s="18"/>
      <c r="AF675" s="13"/>
      <c r="AG675" s="13"/>
      <c r="AH675" s="13"/>
      <c r="AI675" s="13"/>
    </row>
    <row r="676" spans="31:35">
      <c r="AE676" s="18"/>
      <c r="AF676" s="13"/>
      <c r="AG676" s="13"/>
      <c r="AH676" s="13"/>
      <c r="AI676" s="13"/>
    </row>
    <row r="677" spans="31:35">
      <c r="AE677" s="18"/>
      <c r="AF677" s="13"/>
      <c r="AG677" s="13"/>
      <c r="AH677" s="13"/>
      <c r="AI677" s="13"/>
    </row>
    <row r="678" spans="31:35">
      <c r="AE678" s="18"/>
      <c r="AF678" s="13"/>
      <c r="AG678" s="13"/>
      <c r="AH678" s="13"/>
      <c r="AI678" s="13"/>
    </row>
    <row r="679" spans="31:35">
      <c r="AE679" s="18"/>
      <c r="AF679" s="13"/>
      <c r="AG679" s="13"/>
      <c r="AH679" s="13"/>
      <c r="AI679" s="13"/>
    </row>
    <row r="680" spans="31:35">
      <c r="AE680" s="18"/>
      <c r="AF680" s="13"/>
      <c r="AG680" s="13"/>
      <c r="AH680" s="13"/>
      <c r="AI680" s="13"/>
    </row>
    <row r="681" spans="31:35">
      <c r="AE681" s="18"/>
      <c r="AF681" s="13"/>
      <c r="AG681" s="13"/>
      <c r="AH681" s="13"/>
      <c r="AI681" s="13"/>
    </row>
    <row r="682" spans="31:35">
      <c r="AE682" s="18"/>
      <c r="AF682" s="13"/>
      <c r="AG682" s="13"/>
      <c r="AH682" s="13"/>
      <c r="AI682" s="13"/>
    </row>
    <row r="683" spans="31:35">
      <c r="AE683" s="18"/>
      <c r="AF683" s="13"/>
      <c r="AG683" s="13"/>
      <c r="AH683" s="13"/>
      <c r="AI683" s="13"/>
    </row>
    <row r="684" spans="31:35">
      <c r="AE684" s="18"/>
      <c r="AF684" s="13"/>
      <c r="AG684" s="13"/>
      <c r="AH684" s="13"/>
      <c r="AI684" s="13"/>
    </row>
    <row r="685" spans="31:35">
      <c r="AE685" s="18"/>
      <c r="AF685" s="13"/>
      <c r="AG685" s="13"/>
      <c r="AH685" s="13"/>
      <c r="AI685" s="13"/>
    </row>
    <row r="686" spans="31:35">
      <c r="AE686" s="18"/>
      <c r="AF686" s="13"/>
      <c r="AG686" s="13"/>
      <c r="AH686" s="13"/>
      <c r="AI686" s="13"/>
    </row>
    <row r="687" spans="31:35">
      <c r="AE687" s="18"/>
      <c r="AF687" s="13"/>
      <c r="AG687" s="13"/>
      <c r="AH687" s="13"/>
      <c r="AI687" s="13"/>
    </row>
    <row r="688" spans="31:35">
      <c r="AE688" s="18"/>
      <c r="AF688" s="13"/>
      <c r="AG688" s="13"/>
      <c r="AH688" s="13"/>
      <c r="AI688" s="13"/>
    </row>
    <row r="689" spans="31:35">
      <c r="AE689" s="18"/>
      <c r="AF689" s="13"/>
      <c r="AG689" s="13"/>
      <c r="AH689" s="13"/>
      <c r="AI689" s="13"/>
    </row>
    <row r="690" spans="31:35">
      <c r="AE690" s="18"/>
      <c r="AF690" s="13"/>
      <c r="AG690" s="13"/>
      <c r="AH690" s="13"/>
      <c r="AI690" s="13"/>
    </row>
    <row r="691" spans="31:35">
      <c r="AE691" s="18"/>
      <c r="AF691" s="13"/>
      <c r="AG691" s="13"/>
      <c r="AH691" s="13"/>
      <c r="AI691" s="13"/>
    </row>
    <row r="692" spans="31:35">
      <c r="AE692" s="18"/>
      <c r="AF692" s="13"/>
      <c r="AG692" s="13"/>
      <c r="AH692" s="13"/>
      <c r="AI692" s="13"/>
    </row>
    <row r="693" spans="31:35">
      <c r="AE693" s="18"/>
      <c r="AF693" s="13"/>
      <c r="AG693" s="13"/>
      <c r="AH693" s="13"/>
      <c r="AI693" s="13"/>
    </row>
    <row r="694" spans="31:35">
      <c r="AE694" s="18"/>
      <c r="AF694" s="13"/>
      <c r="AG694" s="13"/>
      <c r="AH694" s="13"/>
      <c r="AI694" s="13"/>
    </row>
    <row r="695" spans="31:35">
      <c r="AE695" s="18"/>
      <c r="AF695" s="13"/>
      <c r="AG695" s="13"/>
      <c r="AH695" s="13"/>
      <c r="AI695" s="13"/>
    </row>
    <row r="696" spans="31:35">
      <c r="AE696" s="18"/>
      <c r="AF696" s="13"/>
      <c r="AG696" s="13"/>
      <c r="AH696" s="13"/>
      <c r="AI696" s="13"/>
    </row>
    <row r="697" spans="31:35">
      <c r="AE697" s="18"/>
      <c r="AF697" s="13"/>
      <c r="AG697" s="13"/>
      <c r="AH697" s="13"/>
      <c r="AI697" s="13"/>
    </row>
    <row r="698" spans="31:35">
      <c r="AE698" s="18"/>
      <c r="AF698" s="13"/>
      <c r="AG698" s="13"/>
      <c r="AH698" s="13"/>
      <c r="AI698" s="13"/>
    </row>
    <row r="699" spans="31:35">
      <c r="AE699" s="18"/>
      <c r="AF699" s="13"/>
      <c r="AG699" s="13"/>
      <c r="AH699" s="13"/>
      <c r="AI699" s="13"/>
    </row>
    <row r="700" spans="31:35">
      <c r="AE700" s="18"/>
      <c r="AF700" s="13"/>
      <c r="AG700" s="13"/>
      <c r="AH700" s="13"/>
      <c r="AI700" s="13"/>
    </row>
    <row r="701" spans="31:35">
      <c r="AE701" s="18"/>
      <c r="AF701" s="13"/>
      <c r="AG701" s="13"/>
      <c r="AH701" s="13"/>
      <c r="AI701" s="13"/>
    </row>
    <row r="702" spans="31:35">
      <c r="AE702" s="18"/>
      <c r="AF702" s="13"/>
      <c r="AG702" s="13"/>
      <c r="AH702" s="13"/>
      <c r="AI702" s="13"/>
    </row>
    <row r="703" spans="31:35">
      <c r="AE703" s="18"/>
      <c r="AF703" s="13"/>
      <c r="AG703" s="13"/>
      <c r="AH703" s="13"/>
      <c r="AI703" s="13"/>
    </row>
    <row r="704" spans="31:35">
      <c r="AE704" s="18"/>
      <c r="AF704" s="13"/>
      <c r="AG704" s="13"/>
      <c r="AH704" s="13"/>
      <c r="AI704" s="13"/>
    </row>
    <row r="705" spans="31:35">
      <c r="AE705" s="18"/>
      <c r="AF705" s="13"/>
      <c r="AG705" s="13"/>
      <c r="AH705" s="13"/>
      <c r="AI705" s="13"/>
    </row>
    <row r="706" spans="31:35">
      <c r="AE706" s="18"/>
      <c r="AF706" s="13"/>
      <c r="AG706" s="13"/>
      <c r="AH706" s="13"/>
      <c r="AI706" s="13"/>
    </row>
    <row r="707" spans="31:35">
      <c r="AE707" s="18"/>
      <c r="AF707" s="13"/>
      <c r="AG707" s="13"/>
      <c r="AH707" s="13"/>
      <c r="AI707" s="13"/>
    </row>
    <row r="708" spans="31:35">
      <c r="AE708" s="18"/>
      <c r="AF708" s="13"/>
      <c r="AG708" s="13"/>
      <c r="AH708" s="13"/>
      <c r="AI708" s="13"/>
    </row>
    <row r="709" spans="31:35">
      <c r="AE709" s="18"/>
      <c r="AF709" s="13"/>
      <c r="AG709" s="13"/>
      <c r="AH709" s="13"/>
      <c r="AI709" s="13"/>
    </row>
    <row r="710" spans="31:35">
      <c r="AE710" s="18"/>
      <c r="AF710" s="13"/>
      <c r="AG710" s="13"/>
      <c r="AH710" s="13"/>
      <c r="AI710" s="13"/>
    </row>
    <row r="711" spans="31:35">
      <c r="AE711" s="18"/>
      <c r="AF711" s="13"/>
      <c r="AG711" s="13"/>
      <c r="AH711" s="13"/>
      <c r="AI711" s="13"/>
    </row>
    <row r="712" spans="31:35">
      <c r="AE712" s="18"/>
      <c r="AF712" s="13"/>
      <c r="AG712" s="13"/>
      <c r="AH712" s="13"/>
      <c r="AI712" s="13"/>
    </row>
    <row r="713" spans="31:35">
      <c r="AE713" s="18"/>
      <c r="AF713" s="13"/>
      <c r="AG713" s="13"/>
      <c r="AH713" s="13"/>
      <c r="AI713" s="13"/>
    </row>
    <row r="714" spans="31:35">
      <c r="AE714" s="18"/>
      <c r="AF714" s="13"/>
      <c r="AG714" s="13"/>
      <c r="AH714" s="13"/>
      <c r="AI714" s="13"/>
    </row>
    <row r="715" spans="31:35">
      <c r="AE715" s="18"/>
      <c r="AF715" s="13"/>
      <c r="AG715" s="13"/>
      <c r="AH715" s="13"/>
      <c r="AI715" s="13"/>
    </row>
    <row r="716" spans="31:35">
      <c r="AE716" s="18"/>
      <c r="AF716" s="13"/>
      <c r="AG716" s="13"/>
      <c r="AH716" s="13"/>
      <c r="AI716" s="13"/>
    </row>
    <row r="717" spans="31:35">
      <c r="AE717" s="18"/>
      <c r="AF717" s="13"/>
      <c r="AG717" s="13"/>
      <c r="AH717" s="13"/>
      <c r="AI717" s="13"/>
    </row>
    <row r="718" spans="31:35">
      <c r="AE718" s="18"/>
      <c r="AF718" s="13"/>
      <c r="AG718" s="13"/>
      <c r="AH718" s="13"/>
      <c r="AI718" s="13"/>
    </row>
    <row r="719" spans="31:35">
      <c r="AE719" s="18"/>
      <c r="AF719" s="13"/>
      <c r="AG719" s="13"/>
      <c r="AH719" s="13"/>
      <c r="AI719" s="13"/>
    </row>
    <row r="720" spans="31:35">
      <c r="AE720" s="18"/>
      <c r="AF720" s="13"/>
      <c r="AG720" s="13"/>
      <c r="AH720" s="13"/>
      <c r="AI720" s="13"/>
    </row>
    <row r="721" spans="31:35">
      <c r="AE721" s="18"/>
      <c r="AF721" s="13"/>
      <c r="AG721" s="13"/>
      <c r="AH721" s="13"/>
      <c r="AI721" s="13"/>
    </row>
    <row r="722" spans="31:35">
      <c r="AE722" s="18"/>
      <c r="AF722" s="13"/>
      <c r="AG722" s="13"/>
      <c r="AH722" s="13"/>
      <c r="AI722" s="13"/>
    </row>
    <row r="723" spans="31:35">
      <c r="AE723" s="18"/>
      <c r="AF723" s="13"/>
      <c r="AG723" s="13"/>
      <c r="AH723" s="13"/>
      <c r="AI723" s="13"/>
    </row>
    <row r="724" spans="31:35">
      <c r="AE724" s="18"/>
      <c r="AF724" s="13"/>
      <c r="AG724" s="13"/>
      <c r="AH724" s="13"/>
      <c r="AI724" s="13"/>
    </row>
    <row r="725" spans="31:35">
      <c r="AE725" s="18"/>
      <c r="AF725" s="13"/>
      <c r="AG725" s="13"/>
      <c r="AH725" s="13"/>
      <c r="AI725" s="13"/>
    </row>
    <row r="726" spans="31:35">
      <c r="AE726" s="18"/>
      <c r="AF726" s="13"/>
      <c r="AG726" s="13"/>
      <c r="AH726" s="13"/>
      <c r="AI726" s="13"/>
    </row>
    <row r="727" spans="31:35">
      <c r="AE727" s="18"/>
      <c r="AF727" s="13"/>
      <c r="AG727" s="13"/>
      <c r="AH727" s="13"/>
      <c r="AI727" s="13"/>
    </row>
    <row r="728" spans="31:35">
      <c r="AE728" s="18"/>
      <c r="AF728" s="13"/>
      <c r="AG728" s="13"/>
      <c r="AH728" s="13"/>
      <c r="AI728" s="13"/>
    </row>
    <row r="729" spans="31:35">
      <c r="AE729" s="18"/>
      <c r="AF729" s="13"/>
      <c r="AG729" s="13"/>
      <c r="AH729" s="13"/>
      <c r="AI729" s="13"/>
    </row>
    <row r="730" spans="31:35">
      <c r="AE730" s="18"/>
      <c r="AF730" s="13"/>
      <c r="AG730" s="13"/>
      <c r="AH730" s="13"/>
      <c r="AI730" s="13"/>
    </row>
    <row r="731" spans="31:35">
      <c r="AE731" s="18"/>
      <c r="AF731" s="13"/>
      <c r="AG731" s="13"/>
      <c r="AH731" s="13"/>
      <c r="AI731" s="13"/>
    </row>
    <row r="732" spans="31:35">
      <c r="AE732" s="18"/>
      <c r="AF732" s="13"/>
      <c r="AG732" s="13"/>
      <c r="AH732" s="13"/>
      <c r="AI732" s="13"/>
    </row>
    <row r="733" spans="31:35">
      <c r="AE733" s="18"/>
      <c r="AF733" s="13"/>
      <c r="AG733" s="13"/>
      <c r="AH733" s="13"/>
      <c r="AI733" s="13"/>
    </row>
    <row r="734" spans="31:35">
      <c r="AE734" s="18"/>
      <c r="AF734" s="13"/>
      <c r="AG734" s="13"/>
      <c r="AH734" s="13"/>
      <c r="AI734" s="13"/>
    </row>
    <row r="735" spans="31:35">
      <c r="AE735" s="18"/>
      <c r="AF735" s="13"/>
      <c r="AG735" s="13"/>
      <c r="AH735" s="13"/>
      <c r="AI735" s="13"/>
    </row>
    <row r="736" spans="31:35">
      <c r="AE736" s="18"/>
      <c r="AF736" s="13"/>
      <c r="AG736" s="13"/>
      <c r="AH736" s="13"/>
      <c r="AI736" s="13"/>
    </row>
    <row r="737" spans="31:35">
      <c r="AE737" s="18"/>
      <c r="AF737" s="13"/>
      <c r="AG737" s="13"/>
      <c r="AH737" s="13"/>
      <c r="AI737" s="13"/>
    </row>
    <row r="738" spans="31:35">
      <c r="AE738" s="18"/>
      <c r="AF738" s="13"/>
      <c r="AG738" s="13"/>
      <c r="AH738" s="13"/>
      <c r="AI738" s="13"/>
    </row>
    <row r="739" spans="31:35">
      <c r="AE739" s="18"/>
      <c r="AF739" s="13"/>
      <c r="AG739" s="13"/>
      <c r="AH739" s="13"/>
      <c r="AI739" s="13"/>
    </row>
    <row r="740" spans="31:35">
      <c r="AE740" s="18"/>
      <c r="AF740" s="13"/>
      <c r="AG740" s="13"/>
      <c r="AH740" s="13"/>
      <c r="AI740" s="13"/>
    </row>
    <row r="741" spans="31:35">
      <c r="AE741" s="18"/>
      <c r="AF741" s="13"/>
      <c r="AG741" s="13"/>
      <c r="AH741" s="13"/>
      <c r="AI741" s="13"/>
    </row>
    <row r="742" spans="31:35">
      <c r="AE742" s="18"/>
      <c r="AF742" s="13"/>
      <c r="AG742" s="13"/>
      <c r="AH742" s="13"/>
      <c r="AI742" s="13"/>
    </row>
    <row r="743" spans="31:35">
      <c r="AE743" s="18"/>
      <c r="AF743" s="13"/>
      <c r="AG743" s="13"/>
      <c r="AH743" s="13"/>
      <c r="AI743" s="13"/>
    </row>
    <row r="744" spans="31:35">
      <c r="AE744" s="18"/>
      <c r="AF744" s="13"/>
      <c r="AG744" s="13"/>
      <c r="AH744" s="13"/>
      <c r="AI744" s="13"/>
    </row>
    <row r="745" spans="31:35">
      <c r="AE745" s="18"/>
      <c r="AF745" s="13"/>
      <c r="AG745" s="13"/>
      <c r="AH745" s="13"/>
      <c r="AI745" s="13"/>
    </row>
    <row r="746" spans="31:35">
      <c r="AE746" s="18"/>
      <c r="AF746" s="13"/>
      <c r="AG746" s="13"/>
      <c r="AH746" s="13"/>
      <c r="AI746" s="13"/>
    </row>
    <row r="747" spans="31:35">
      <c r="AE747" s="18"/>
      <c r="AF747" s="13"/>
      <c r="AG747" s="13"/>
      <c r="AH747" s="13"/>
      <c r="AI747" s="13"/>
    </row>
    <row r="748" spans="31:35">
      <c r="AE748" s="18"/>
      <c r="AF748" s="13"/>
      <c r="AG748" s="13"/>
      <c r="AH748" s="13"/>
      <c r="AI748" s="13"/>
    </row>
    <row r="749" spans="31:35">
      <c r="AE749" s="18"/>
      <c r="AF749" s="13"/>
      <c r="AG749" s="13"/>
      <c r="AH749" s="13"/>
      <c r="AI749" s="13"/>
    </row>
    <row r="750" spans="31:35">
      <c r="AE750" s="18"/>
      <c r="AF750" s="13"/>
      <c r="AG750" s="13"/>
      <c r="AH750" s="13"/>
      <c r="AI750" s="13"/>
    </row>
    <row r="751" spans="31:35">
      <c r="AE751" s="18"/>
      <c r="AF751" s="13"/>
      <c r="AG751" s="13"/>
      <c r="AH751" s="13"/>
      <c r="AI751" s="13"/>
    </row>
    <row r="752" spans="31:35">
      <c r="AE752" s="18"/>
      <c r="AF752" s="13"/>
      <c r="AG752" s="13"/>
      <c r="AH752" s="13"/>
      <c r="AI752" s="13"/>
    </row>
    <row r="753" spans="31:35">
      <c r="AE753" s="18"/>
      <c r="AF753" s="13"/>
      <c r="AG753" s="13"/>
      <c r="AH753" s="13"/>
      <c r="AI753" s="13"/>
    </row>
    <row r="754" spans="31:35">
      <c r="AE754" s="18"/>
      <c r="AF754" s="13"/>
      <c r="AG754" s="13"/>
      <c r="AH754" s="13"/>
      <c r="AI754" s="13"/>
    </row>
    <row r="755" spans="31:35">
      <c r="AE755" s="18"/>
      <c r="AF755" s="13"/>
      <c r="AG755" s="13"/>
      <c r="AH755" s="13"/>
      <c r="AI755" s="13"/>
    </row>
    <row r="756" spans="31:35">
      <c r="AE756" s="18"/>
      <c r="AF756" s="13"/>
      <c r="AG756" s="13"/>
      <c r="AH756" s="13"/>
      <c r="AI756" s="13"/>
    </row>
    <row r="757" spans="31:35">
      <c r="AE757" s="18"/>
      <c r="AF757" s="13"/>
      <c r="AG757" s="13"/>
      <c r="AH757" s="13"/>
      <c r="AI757" s="13"/>
    </row>
    <row r="758" spans="31:35">
      <c r="AE758" s="18"/>
      <c r="AF758" s="13"/>
      <c r="AG758" s="13"/>
      <c r="AH758" s="13"/>
      <c r="AI758" s="13"/>
    </row>
    <row r="759" spans="31:35">
      <c r="AE759" s="18"/>
      <c r="AF759" s="13"/>
      <c r="AG759" s="13"/>
      <c r="AH759" s="13"/>
      <c r="AI759" s="13"/>
    </row>
    <row r="760" spans="31:35">
      <c r="AE760" s="18"/>
      <c r="AF760" s="13"/>
      <c r="AG760" s="13"/>
      <c r="AH760" s="13"/>
      <c r="AI760" s="13"/>
    </row>
    <row r="761" spans="31:35">
      <c r="AE761" s="18"/>
      <c r="AF761" s="13"/>
      <c r="AG761" s="13"/>
      <c r="AH761" s="13"/>
      <c r="AI761" s="13"/>
    </row>
    <row r="762" spans="31:35">
      <c r="AE762" s="18"/>
      <c r="AF762" s="13"/>
      <c r="AG762" s="13"/>
      <c r="AH762" s="13"/>
      <c r="AI762" s="13"/>
    </row>
    <row r="763" spans="31:35">
      <c r="AE763" s="18"/>
      <c r="AF763" s="13"/>
      <c r="AG763" s="13"/>
      <c r="AH763" s="13"/>
      <c r="AI763" s="13"/>
    </row>
    <row r="764" spans="31:35">
      <c r="AE764" s="18"/>
      <c r="AF764" s="13"/>
      <c r="AG764" s="13"/>
      <c r="AH764" s="13"/>
      <c r="AI764" s="13"/>
    </row>
    <row r="765" spans="31:35">
      <c r="AE765" s="18"/>
      <c r="AF765" s="13"/>
      <c r="AG765" s="13"/>
      <c r="AH765" s="13"/>
      <c r="AI765" s="13"/>
    </row>
    <row r="766" spans="31:35">
      <c r="AE766" s="18"/>
      <c r="AF766" s="13"/>
      <c r="AG766" s="13"/>
      <c r="AH766" s="13"/>
      <c r="AI766" s="13"/>
    </row>
    <row r="767" spans="31:35">
      <c r="AE767" s="18"/>
      <c r="AF767" s="13"/>
      <c r="AG767" s="13"/>
      <c r="AH767" s="13"/>
      <c r="AI767" s="13"/>
    </row>
    <row r="768" spans="31:35">
      <c r="AE768" s="18"/>
      <c r="AF768" s="13"/>
      <c r="AG768" s="13"/>
      <c r="AH768" s="13"/>
      <c r="AI768" s="13"/>
    </row>
    <row r="769" spans="31:35">
      <c r="AE769" s="18"/>
      <c r="AF769" s="13"/>
      <c r="AG769" s="13"/>
      <c r="AH769" s="13"/>
      <c r="AI769" s="13"/>
    </row>
    <row r="770" spans="31:35">
      <c r="AE770" s="18"/>
      <c r="AF770" s="13"/>
      <c r="AG770" s="13"/>
      <c r="AH770" s="13"/>
      <c r="AI770" s="13"/>
    </row>
    <row r="771" spans="31:35">
      <c r="AE771" s="18"/>
      <c r="AF771" s="13"/>
      <c r="AG771" s="13"/>
      <c r="AH771" s="13"/>
      <c r="AI771" s="13"/>
    </row>
    <row r="772" spans="31:35">
      <c r="AE772" s="18"/>
      <c r="AF772" s="13"/>
      <c r="AG772" s="13"/>
      <c r="AH772" s="13"/>
      <c r="AI772" s="13"/>
    </row>
    <row r="773" spans="31:35">
      <c r="AE773" s="18"/>
      <c r="AF773" s="13"/>
      <c r="AG773" s="13"/>
      <c r="AH773" s="13"/>
      <c r="AI773" s="13"/>
    </row>
    <row r="774" spans="31:35">
      <c r="AE774" s="18"/>
      <c r="AF774" s="13"/>
      <c r="AG774" s="13"/>
      <c r="AH774" s="13"/>
      <c r="AI774" s="13"/>
    </row>
    <row r="775" spans="31:35">
      <c r="AE775" s="18"/>
      <c r="AF775" s="13"/>
      <c r="AG775" s="13"/>
      <c r="AH775" s="13"/>
      <c r="AI775" s="13"/>
    </row>
    <row r="776" spans="31:35">
      <c r="AE776" s="18"/>
      <c r="AF776" s="13"/>
      <c r="AG776" s="13"/>
      <c r="AH776" s="13"/>
      <c r="AI776" s="13"/>
    </row>
    <row r="777" spans="31:35">
      <c r="AE777" s="18"/>
      <c r="AF777" s="13"/>
      <c r="AG777" s="13"/>
      <c r="AH777" s="13"/>
      <c r="AI777" s="13"/>
    </row>
    <row r="778" spans="31:35">
      <c r="AE778" s="18"/>
      <c r="AF778" s="13"/>
      <c r="AG778" s="13"/>
      <c r="AH778" s="13"/>
      <c r="AI778" s="13"/>
    </row>
    <row r="779" spans="31:35">
      <c r="AE779" s="18"/>
      <c r="AF779" s="13"/>
      <c r="AG779" s="13"/>
      <c r="AH779" s="13"/>
      <c r="AI779" s="13"/>
    </row>
    <row r="780" spans="31:35">
      <c r="AE780" s="18"/>
      <c r="AF780" s="13"/>
      <c r="AG780" s="13"/>
      <c r="AH780" s="13"/>
      <c r="AI780" s="13"/>
    </row>
    <row r="781" spans="31:35">
      <c r="AE781" s="18"/>
      <c r="AF781" s="13"/>
      <c r="AG781" s="13"/>
      <c r="AH781" s="13"/>
      <c r="AI781" s="13"/>
    </row>
    <row r="782" spans="31:35">
      <c r="AE782" s="18"/>
      <c r="AF782" s="13"/>
      <c r="AG782" s="13"/>
      <c r="AH782" s="13"/>
      <c r="AI782" s="13"/>
    </row>
    <row r="783" spans="31:35">
      <c r="AE783" s="18"/>
      <c r="AF783" s="13"/>
      <c r="AG783" s="13"/>
      <c r="AH783" s="13"/>
      <c r="AI783" s="13"/>
    </row>
    <row r="784" spans="31:35">
      <c r="AE784" s="18"/>
      <c r="AF784" s="13"/>
      <c r="AG784" s="13"/>
      <c r="AH784" s="13"/>
      <c r="AI784" s="13"/>
    </row>
    <row r="785" spans="31:35">
      <c r="AE785" s="18"/>
      <c r="AF785" s="13"/>
      <c r="AG785" s="13"/>
      <c r="AH785" s="13"/>
      <c r="AI785" s="13"/>
    </row>
    <row r="786" spans="31:35">
      <c r="AE786" s="18"/>
      <c r="AF786" s="13"/>
      <c r="AG786" s="13"/>
      <c r="AH786" s="13"/>
      <c r="AI786" s="13"/>
    </row>
    <row r="787" spans="31:35">
      <c r="AE787" s="18"/>
      <c r="AF787" s="13"/>
      <c r="AG787" s="13"/>
      <c r="AH787" s="13"/>
      <c r="AI787" s="13"/>
    </row>
    <row r="788" spans="31:35">
      <c r="AE788" s="18"/>
      <c r="AF788" s="13"/>
      <c r="AG788" s="13"/>
      <c r="AH788" s="13"/>
      <c r="AI788" s="13"/>
    </row>
    <row r="789" spans="31:35">
      <c r="AE789" s="18"/>
      <c r="AF789" s="13"/>
      <c r="AG789" s="13"/>
      <c r="AH789" s="13"/>
      <c r="AI789" s="13"/>
    </row>
    <row r="790" spans="31:35">
      <c r="AE790" s="18"/>
      <c r="AF790" s="13"/>
      <c r="AG790" s="13"/>
      <c r="AH790" s="13"/>
      <c r="AI790" s="13"/>
    </row>
    <row r="791" spans="31:35">
      <c r="AE791" s="18"/>
      <c r="AF791" s="13"/>
      <c r="AG791" s="13"/>
      <c r="AH791" s="13"/>
      <c r="AI791" s="13"/>
    </row>
    <row r="792" spans="31:35">
      <c r="AE792" s="18"/>
      <c r="AF792" s="13"/>
      <c r="AG792" s="13"/>
      <c r="AH792" s="13"/>
      <c r="AI792" s="13"/>
    </row>
    <row r="793" spans="31:35">
      <c r="AE793" s="18"/>
      <c r="AF793" s="13"/>
      <c r="AG793" s="13"/>
      <c r="AH793" s="13"/>
      <c r="AI793" s="13"/>
    </row>
    <row r="794" spans="31:35">
      <c r="AE794" s="18"/>
      <c r="AF794" s="13"/>
      <c r="AG794" s="13"/>
      <c r="AH794" s="13"/>
      <c r="AI794" s="13"/>
    </row>
    <row r="795" spans="31:35">
      <c r="AE795" s="18"/>
      <c r="AF795" s="13"/>
      <c r="AG795" s="13"/>
      <c r="AH795" s="13"/>
      <c r="AI795" s="13"/>
    </row>
    <row r="796" spans="31:35">
      <c r="AE796" s="18"/>
      <c r="AF796" s="13"/>
      <c r="AG796" s="13"/>
      <c r="AH796" s="13"/>
      <c r="AI796" s="13"/>
    </row>
    <row r="797" spans="31:35">
      <c r="AE797" s="18"/>
      <c r="AF797" s="13"/>
      <c r="AG797" s="13"/>
      <c r="AH797" s="13"/>
      <c r="AI797" s="13"/>
    </row>
    <row r="798" spans="31:35">
      <c r="AE798" s="18"/>
      <c r="AF798" s="13"/>
      <c r="AG798" s="13"/>
      <c r="AH798" s="13"/>
      <c r="AI798" s="13"/>
    </row>
    <row r="799" spans="31:35">
      <c r="AE799" s="18"/>
      <c r="AF799" s="13"/>
      <c r="AG799" s="13"/>
      <c r="AH799" s="13"/>
      <c r="AI799" s="13"/>
    </row>
    <row r="800" spans="31:35">
      <c r="AE800" s="18"/>
      <c r="AF800" s="13"/>
      <c r="AG800" s="13"/>
      <c r="AH800" s="13"/>
      <c r="AI800" s="13"/>
    </row>
    <row r="801" spans="31:35">
      <c r="AE801" s="18"/>
      <c r="AF801" s="13"/>
      <c r="AG801" s="13"/>
      <c r="AH801" s="13"/>
      <c r="AI801" s="13"/>
    </row>
    <row r="802" spans="31:35">
      <c r="AE802" s="18"/>
      <c r="AF802" s="13"/>
      <c r="AG802" s="13"/>
      <c r="AH802" s="13"/>
      <c r="AI802" s="13"/>
    </row>
    <row r="803" spans="31:35">
      <c r="AE803" s="18"/>
      <c r="AF803" s="13"/>
      <c r="AG803" s="13"/>
      <c r="AH803" s="13"/>
      <c r="AI803" s="13"/>
    </row>
    <row r="804" spans="31:35">
      <c r="AE804" s="18"/>
      <c r="AF804" s="13"/>
      <c r="AG804" s="13"/>
      <c r="AH804" s="13"/>
      <c r="AI804" s="13"/>
    </row>
    <row r="805" spans="31:35">
      <c r="AE805" s="18"/>
      <c r="AF805" s="13"/>
      <c r="AG805" s="13"/>
      <c r="AH805" s="13"/>
      <c r="AI805" s="13"/>
    </row>
    <row r="806" spans="31:35">
      <c r="AE806" s="18"/>
      <c r="AF806" s="13"/>
      <c r="AG806" s="13"/>
      <c r="AH806" s="13"/>
      <c r="AI806" s="13"/>
    </row>
    <row r="807" spans="31:35">
      <c r="AE807" s="18"/>
      <c r="AF807" s="13"/>
      <c r="AG807" s="13"/>
      <c r="AH807" s="13"/>
      <c r="AI807" s="13"/>
    </row>
    <row r="808" spans="31:35">
      <c r="AE808" s="18"/>
      <c r="AF808" s="13"/>
      <c r="AG808" s="13"/>
      <c r="AH808" s="13"/>
      <c r="AI808" s="13"/>
    </row>
    <row r="809" spans="31:35">
      <c r="AE809" s="18"/>
      <c r="AF809" s="13"/>
      <c r="AG809" s="13"/>
      <c r="AH809" s="13"/>
      <c r="AI809" s="13"/>
    </row>
    <row r="810" spans="31:35">
      <c r="AE810" s="18"/>
      <c r="AF810" s="13"/>
      <c r="AG810" s="13"/>
      <c r="AH810" s="13"/>
      <c r="AI810" s="13"/>
    </row>
    <row r="811" spans="31:35">
      <c r="AE811" s="18"/>
      <c r="AF811" s="13"/>
      <c r="AG811" s="13"/>
      <c r="AH811" s="13"/>
      <c r="AI811" s="13"/>
    </row>
    <row r="812" spans="31:35">
      <c r="AE812" s="18"/>
      <c r="AF812" s="13"/>
      <c r="AG812" s="13"/>
      <c r="AH812" s="13"/>
      <c r="AI812" s="13"/>
    </row>
    <row r="813" spans="31:35">
      <c r="AE813" s="18"/>
      <c r="AF813" s="13"/>
      <c r="AG813" s="13"/>
      <c r="AH813" s="13"/>
      <c r="AI813" s="13"/>
    </row>
    <row r="814" spans="31:35">
      <c r="AE814" s="18"/>
      <c r="AF814" s="13"/>
      <c r="AG814" s="13"/>
      <c r="AH814" s="13"/>
      <c r="AI814" s="13"/>
    </row>
    <row r="815" spans="31:35">
      <c r="AE815" s="18"/>
      <c r="AF815" s="13"/>
      <c r="AG815" s="13"/>
      <c r="AH815" s="13"/>
      <c r="AI815" s="13"/>
    </row>
    <row r="816" spans="31:35">
      <c r="AE816" s="18"/>
      <c r="AF816" s="13"/>
      <c r="AG816" s="13"/>
      <c r="AH816" s="13"/>
      <c r="AI816" s="13"/>
    </row>
    <row r="817" spans="31:35">
      <c r="AE817" s="18"/>
      <c r="AF817" s="13"/>
      <c r="AG817" s="13"/>
      <c r="AH817" s="13"/>
      <c r="AI817" s="13"/>
    </row>
    <row r="818" spans="31:35">
      <c r="AE818" s="18"/>
      <c r="AF818" s="13"/>
      <c r="AG818" s="13"/>
      <c r="AH818" s="13"/>
      <c r="AI818" s="13"/>
    </row>
    <row r="819" spans="31:35">
      <c r="AE819" s="18"/>
      <c r="AF819" s="13"/>
      <c r="AG819" s="13"/>
      <c r="AH819" s="13"/>
      <c r="AI819" s="13"/>
    </row>
    <row r="820" spans="31:35">
      <c r="AE820" s="18"/>
      <c r="AF820" s="13"/>
      <c r="AG820" s="13"/>
      <c r="AH820" s="13"/>
      <c r="AI820" s="13"/>
    </row>
    <row r="821" spans="31:35">
      <c r="AE821" s="18"/>
      <c r="AF821" s="13"/>
      <c r="AG821" s="13"/>
      <c r="AH821" s="13"/>
      <c r="AI821" s="13"/>
    </row>
    <row r="822" spans="31:35">
      <c r="AE822" s="18"/>
      <c r="AF822" s="13"/>
      <c r="AG822" s="13"/>
      <c r="AH822" s="13"/>
      <c r="AI822" s="13"/>
    </row>
    <row r="823" spans="31:35">
      <c r="AE823" s="18"/>
      <c r="AF823" s="13"/>
      <c r="AG823" s="13"/>
      <c r="AH823" s="13"/>
      <c r="AI823" s="13"/>
    </row>
    <row r="824" spans="31:35">
      <c r="AE824" s="18"/>
      <c r="AF824" s="13"/>
      <c r="AG824" s="13"/>
      <c r="AH824" s="13"/>
      <c r="AI824" s="13"/>
    </row>
    <row r="825" spans="31:35">
      <c r="AE825" s="18"/>
      <c r="AF825" s="13"/>
      <c r="AG825" s="13"/>
      <c r="AH825" s="13"/>
      <c r="AI825" s="13"/>
    </row>
    <row r="826" spans="31:35">
      <c r="AE826" s="18"/>
      <c r="AF826" s="13"/>
      <c r="AG826" s="13"/>
      <c r="AH826" s="13"/>
      <c r="AI826" s="13"/>
    </row>
    <row r="827" spans="31:35">
      <c r="AE827" s="18"/>
      <c r="AF827" s="13"/>
      <c r="AG827" s="13"/>
      <c r="AH827" s="13"/>
      <c r="AI827" s="13"/>
    </row>
    <row r="828" spans="31:35">
      <c r="AE828" s="18"/>
      <c r="AF828" s="13"/>
      <c r="AG828" s="13"/>
      <c r="AH828" s="13"/>
      <c r="AI828" s="13"/>
    </row>
    <row r="829" spans="31:35">
      <c r="AE829" s="18"/>
      <c r="AF829" s="13"/>
      <c r="AG829" s="13"/>
      <c r="AH829" s="13"/>
      <c r="AI829" s="13"/>
    </row>
    <row r="830" spans="31:35">
      <c r="AE830" s="18"/>
      <c r="AF830" s="13"/>
      <c r="AG830" s="13"/>
      <c r="AH830" s="13"/>
      <c r="AI830" s="13"/>
    </row>
    <row r="831" spans="31:35">
      <c r="AE831" s="18"/>
      <c r="AF831" s="13"/>
      <c r="AG831" s="13"/>
      <c r="AH831" s="13"/>
      <c r="AI831" s="13"/>
    </row>
    <row r="832" spans="31:35">
      <c r="AE832" s="18"/>
      <c r="AF832" s="13"/>
      <c r="AG832" s="13"/>
      <c r="AH832" s="13"/>
      <c r="AI832" s="13"/>
    </row>
    <row r="833" spans="31:35">
      <c r="AE833" s="18"/>
      <c r="AF833" s="13"/>
      <c r="AG833" s="13"/>
      <c r="AH833" s="13"/>
      <c r="AI833" s="13"/>
    </row>
    <row r="834" spans="31:35">
      <c r="AE834" s="18"/>
      <c r="AF834" s="13"/>
      <c r="AG834" s="13"/>
      <c r="AH834" s="13"/>
      <c r="AI834" s="13"/>
    </row>
    <row r="835" spans="31:35">
      <c r="AE835" s="18"/>
      <c r="AF835" s="13"/>
      <c r="AG835" s="13"/>
      <c r="AH835" s="13"/>
      <c r="AI835" s="13"/>
    </row>
    <row r="836" spans="31:35">
      <c r="AE836" s="18"/>
      <c r="AF836" s="13"/>
      <c r="AG836" s="13"/>
      <c r="AH836" s="13"/>
      <c r="AI836" s="13"/>
    </row>
    <row r="837" spans="31:35">
      <c r="AE837" s="18"/>
      <c r="AF837" s="13"/>
      <c r="AG837" s="13"/>
      <c r="AH837" s="13"/>
      <c r="AI837" s="13"/>
    </row>
    <row r="838" spans="31:35">
      <c r="AE838" s="18"/>
      <c r="AF838" s="13"/>
      <c r="AG838" s="13"/>
      <c r="AH838" s="13"/>
      <c r="AI838" s="13"/>
    </row>
    <row r="839" spans="31:35">
      <c r="AE839" s="18"/>
      <c r="AF839" s="13"/>
      <c r="AG839" s="13"/>
      <c r="AH839" s="13"/>
      <c r="AI839" s="13"/>
    </row>
    <row r="840" spans="31:35">
      <c r="AE840" s="18"/>
      <c r="AF840" s="13"/>
      <c r="AG840" s="13"/>
      <c r="AH840" s="13"/>
      <c r="AI840" s="13"/>
    </row>
    <row r="841" spans="31:35">
      <c r="AE841" s="18"/>
      <c r="AF841" s="13"/>
      <c r="AG841" s="13"/>
      <c r="AH841" s="13"/>
      <c r="AI841" s="13"/>
    </row>
    <row r="842" spans="31:35">
      <c r="AE842" s="18"/>
      <c r="AF842" s="13"/>
      <c r="AG842" s="13"/>
      <c r="AH842" s="13"/>
      <c r="AI842" s="13"/>
    </row>
    <row r="843" spans="31:35">
      <c r="AE843" s="18"/>
      <c r="AF843" s="13"/>
      <c r="AG843" s="13"/>
      <c r="AH843" s="13"/>
      <c r="AI843" s="13"/>
    </row>
    <row r="844" spans="31:35">
      <c r="AE844" s="18"/>
      <c r="AF844" s="13"/>
      <c r="AG844" s="13"/>
      <c r="AH844" s="13"/>
      <c r="AI844" s="13"/>
    </row>
    <row r="845" spans="31:35">
      <c r="AE845" s="18"/>
      <c r="AF845" s="13"/>
      <c r="AG845" s="13"/>
      <c r="AH845" s="13"/>
      <c r="AI845" s="13"/>
    </row>
    <row r="846" spans="31:35">
      <c r="AE846" s="18"/>
      <c r="AF846" s="13"/>
      <c r="AG846" s="13"/>
      <c r="AH846" s="13"/>
      <c r="AI846" s="13"/>
    </row>
    <row r="847" spans="31:35">
      <c r="AE847" s="18"/>
      <c r="AF847" s="13"/>
      <c r="AG847" s="13"/>
      <c r="AH847" s="13"/>
      <c r="AI847" s="13"/>
    </row>
    <row r="848" spans="31:35">
      <c r="AE848" s="18"/>
      <c r="AF848" s="13"/>
      <c r="AG848" s="13"/>
      <c r="AH848" s="13"/>
      <c r="AI848" s="13"/>
    </row>
    <row r="849" spans="31:35">
      <c r="AE849" s="18"/>
      <c r="AF849" s="13"/>
      <c r="AG849" s="13"/>
      <c r="AH849" s="13"/>
      <c r="AI849" s="13"/>
    </row>
    <row r="850" spans="31:35">
      <c r="AE850" s="18"/>
      <c r="AF850" s="13"/>
      <c r="AG850" s="13"/>
      <c r="AH850" s="13"/>
      <c r="AI850" s="13"/>
    </row>
    <row r="851" spans="31:35">
      <c r="AE851" s="18"/>
      <c r="AF851" s="13"/>
      <c r="AG851" s="13"/>
      <c r="AH851" s="13"/>
      <c r="AI851" s="13"/>
    </row>
    <row r="852" spans="31:35">
      <c r="AE852" s="18"/>
      <c r="AF852" s="13"/>
      <c r="AG852" s="13"/>
      <c r="AH852" s="13"/>
      <c r="AI852" s="13"/>
    </row>
    <row r="853" spans="31:35">
      <c r="AE853" s="18"/>
      <c r="AF853" s="13"/>
      <c r="AG853" s="13"/>
      <c r="AH853" s="13"/>
      <c r="AI853" s="13"/>
    </row>
    <row r="854" spans="31:35">
      <c r="AE854" s="18"/>
      <c r="AF854" s="13"/>
      <c r="AG854" s="13"/>
      <c r="AH854" s="13"/>
      <c r="AI854" s="13"/>
    </row>
    <row r="855" spans="31:35">
      <c r="AE855" s="18"/>
      <c r="AF855" s="13"/>
      <c r="AG855" s="13"/>
      <c r="AH855" s="13"/>
      <c r="AI855" s="13"/>
    </row>
    <row r="856" spans="31:35">
      <c r="AE856" s="18"/>
      <c r="AF856" s="13"/>
      <c r="AG856" s="13"/>
      <c r="AH856" s="13"/>
      <c r="AI856" s="13"/>
    </row>
    <row r="857" spans="31:35">
      <c r="AE857" s="18"/>
      <c r="AF857" s="13"/>
      <c r="AG857" s="13"/>
      <c r="AH857" s="13"/>
      <c r="AI857" s="13"/>
    </row>
    <row r="858" spans="31:35">
      <c r="AE858" s="18"/>
      <c r="AF858" s="13"/>
      <c r="AG858" s="13"/>
      <c r="AH858" s="13"/>
      <c r="AI858" s="13"/>
    </row>
    <row r="859" spans="31:35">
      <c r="AE859" s="18"/>
      <c r="AF859" s="13"/>
      <c r="AG859" s="13"/>
      <c r="AH859" s="13"/>
      <c r="AI859" s="13"/>
    </row>
    <row r="860" spans="31:35">
      <c r="AE860" s="18"/>
      <c r="AF860" s="13"/>
      <c r="AG860" s="13"/>
      <c r="AH860" s="13"/>
      <c r="AI860" s="13"/>
    </row>
    <row r="861" spans="31:35">
      <c r="AE861" s="18"/>
      <c r="AF861" s="13"/>
      <c r="AG861" s="13"/>
      <c r="AH861" s="13"/>
      <c r="AI861" s="13"/>
    </row>
    <row r="862" spans="31:35">
      <c r="AE862" s="18"/>
      <c r="AF862" s="13"/>
      <c r="AG862" s="13"/>
      <c r="AH862" s="13"/>
      <c r="AI862" s="13"/>
    </row>
    <row r="863" spans="31:35">
      <c r="AE863" s="18"/>
      <c r="AF863" s="13"/>
      <c r="AG863" s="13"/>
      <c r="AH863" s="13"/>
      <c r="AI863" s="13"/>
    </row>
    <row r="864" spans="31:35">
      <c r="AE864" s="18"/>
      <c r="AF864" s="13"/>
      <c r="AG864" s="13"/>
      <c r="AH864" s="13"/>
      <c r="AI864" s="13"/>
    </row>
    <row r="865" spans="31:35">
      <c r="AE865" s="18"/>
      <c r="AF865" s="13"/>
      <c r="AG865" s="13"/>
      <c r="AH865" s="13"/>
      <c r="AI865" s="13"/>
    </row>
    <row r="866" spans="31:35">
      <c r="AE866" s="18"/>
      <c r="AF866" s="13"/>
      <c r="AG866" s="13"/>
      <c r="AH866" s="13"/>
      <c r="AI866" s="13"/>
    </row>
    <row r="867" spans="31:35">
      <c r="AE867" s="18"/>
      <c r="AF867" s="13"/>
      <c r="AG867" s="13"/>
      <c r="AH867" s="13"/>
      <c r="AI867" s="13"/>
    </row>
    <row r="868" spans="31:35">
      <c r="AE868" s="18"/>
      <c r="AF868" s="13"/>
      <c r="AG868" s="13"/>
      <c r="AH868" s="13"/>
      <c r="AI868" s="13"/>
    </row>
    <row r="869" spans="31:35">
      <c r="AE869" s="18"/>
      <c r="AF869" s="13"/>
      <c r="AG869" s="13"/>
      <c r="AH869" s="13"/>
      <c r="AI869" s="13"/>
    </row>
    <row r="870" spans="31:35">
      <c r="AE870" s="18"/>
      <c r="AF870" s="13"/>
      <c r="AG870" s="13"/>
      <c r="AH870" s="13"/>
      <c r="AI870" s="13"/>
    </row>
    <row r="871" spans="31:35">
      <c r="AE871" s="18"/>
      <c r="AF871" s="13"/>
      <c r="AG871" s="13"/>
      <c r="AH871" s="13"/>
      <c r="AI871" s="13"/>
    </row>
    <row r="872" spans="31:35">
      <c r="AE872" s="18"/>
      <c r="AF872" s="13"/>
      <c r="AG872" s="13"/>
      <c r="AH872" s="13"/>
      <c r="AI872" s="13"/>
    </row>
    <row r="873" spans="31:35">
      <c r="AE873" s="18"/>
      <c r="AF873" s="13"/>
      <c r="AG873" s="13"/>
      <c r="AH873" s="13"/>
      <c r="AI873" s="13"/>
    </row>
    <row r="874" spans="31:35">
      <c r="AE874" s="18"/>
      <c r="AF874" s="13"/>
      <c r="AG874" s="13"/>
      <c r="AH874" s="13"/>
      <c r="AI874" s="13"/>
    </row>
    <row r="875" spans="31:35">
      <c r="AE875" s="18"/>
      <c r="AF875" s="13"/>
      <c r="AG875" s="13"/>
      <c r="AH875" s="13"/>
      <c r="AI875" s="13"/>
    </row>
    <row r="876" spans="31:35">
      <c r="AE876" s="18"/>
      <c r="AF876" s="13"/>
      <c r="AG876" s="13"/>
      <c r="AH876" s="13"/>
      <c r="AI876" s="13"/>
    </row>
    <row r="877" spans="31:35">
      <c r="AE877" s="18"/>
      <c r="AF877" s="13"/>
      <c r="AG877" s="13"/>
      <c r="AH877" s="13"/>
      <c r="AI877" s="13"/>
    </row>
    <row r="878" spans="31:35">
      <c r="AE878" s="18"/>
      <c r="AF878" s="13"/>
      <c r="AG878" s="13"/>
      <c r="AH878" s="13"/>
      <c r="AI878" s="13"/>
    </row>
    <row r="879" spans="31:35">
      <c r="AE879" s="18"/>
      <c r="AF879" s="13"/>
      <c r="AG879" s="13"/>
      <c r="AH879" s="13"/>
      <c r="AI879" s="13"/>
    </row>
    <row r="880" spans="31:35">
      <c r="AE880" s="18"/>
      <c r="AF880" s="13"/>
      <c r="AG880" s="13"/>
      <c r="AH880" s="13"/>
      <c r="AI880" s="13"/>
    </row>
    <row r="881" spans="31:35">
      <c r="AE881" s="18"/>
      <c r="AF881" s="13"/>
      <c r="AG881" s="13"/>
      <c r="AH881" s="13"/>
      <c r="AI881" s="13"/>
    </row>
    <row r="882" spans="31:35">
      <c r="AE882" s="18"/>
      <c r="AF882" s="13"/>
      <c r="AG882" s="13"/>
      <c r="AH882" s="13"/>
      <c r="AI882" s="13"/>
    </row>
    <row r="883" spans="31:35">
      <c r="AE883" s="18"/>
      <c r="AF883" s="13"/>
      <c r="AG883" s="13"/>
      <c r="AH883" s="13"/>
      <c r="AI883" s="13"/>
    </row>
    <row r="884" spans="31:35">
      <c r="AE884" s="18"/>
      <c r="AF884" s="13"/>
      <c r="AG884" s="13"/>
      <c r="AH884" s="13"/>
      <c r="AI884" s="13"/>
    </row>
    <row r="885" spans="31:35">
      <c r="AE885" s="18"/>
      <c r="AF885" s="13"/>
      <c r="AG885" s="13"/>
      <c r="AH885" s="13"/>
      <c r="AI885" s="13"/>
    </row>
    <row r="886" spans="31:35">
      <c r="AE886" s="18"/>
      <c r="AF886" s="13"/>
      <c r="AG886" s="13"/>
      <c r="AH886" s="13"/>
      <c r="AI886" s="13"/>
    </row>
    <row r="887" spans="31:35">
      <c r="AE887" s="18"/>
      <c r="AF887" s="13"/>
      <c r="AG887" s="13"/>
      <c r="AH887" s="13"/>
      <c r="AI887" s="13"/>
    </row>
    <row r="888" spans="31:35">
      <c r="AE888" s="18"/>
      <c r="AF888" s="13"/>
      <c r="AG888" s="13"/>
      <c r="AH888" s="13"/>
      <c r="AI888" s="13"/>
    </row>
    <row r="889" spans="31:35">
      <c r="AE889" s="18"/>
      <c r="AF889" s="13"/>
      <c r="AG889" s="13"/>
      <c r="AH889" s="13"/>
      <c r="AI889" s="13"/>
    </row>
    <row r="890" spans="31:35">
      <c r="AE890" s="18"/>
      <c r="AF890" s="13"/>
      <c r="AG890" s="13"/>
      <c r="AH890" s="13"/>
      <c r="AI890" s="13"/>
    </row>
    <row r="891" spans="31:35">
      <c r="AE891" s="18"/>
      <c r="AF891" s="13"/>
      <c r="AG891" s="13"/>
      <c r="AH891" s="13"/>
      <c r="AI891" s="13"/>
    </row>
    <row r="892" spans="31:35">
      <c r="AE892" s="18"/>
      <c r="AF892" s="13"/>
      <c r="AG892" s="13"/>
      <c r="AH892" s="13"/>
      <c r="AI892" s="13"/>
    </row>
    <row r="893" spans="31:35">
      <c r="AE893" s="18"/>
      <c r="AF893" s="13"/>
      <c r="AG893" s="13"/>
      <c r="AH893" s="13"/>
      <c r="AI893" s="13"/>
    </row>
    <row r="894" spans="31:35">
      <c r="AE894" s="18"/>
      <c r="AF894" s="13"/>
      <c r="AG894" s="13"/>
      <c r="AH894" s="13"/>
      <c r="AI894" s="13"/>
    </row>
    <row r="895" spans="31:35">
      <c r="AE895" s="18"/>
      <c r="AF895" s="13"/>
      <c r="AG895" s="13"/>
      <c r="AH895" s="13"/>
      <c r="AI895" s="13"/>
    </row>
    <row r="896" spans="31:35">
      <c r="AE896" s="18"/>
      <c r="AF896" s="13"/>
      <c r="AG896" s="13"/>
      <c r="AH896" s="13"/>
      <c r="AI896" s="13"/>
    </row>
    <row r="897" spans="31:35">
      <c r="AE897" s="18"/>
      <c r="AF897" s="13"/>
      <c r="AG897" s="13"/>
      <c r="AH897" s="13"/>
      <c r="AI897" s="13"/>
    </row>
    <row r="898" spans="31:35">
      <c r="AE898" s="18"/>
      <c r="AF898" s="13"/>
      <c r="AG898" s="13"/>
      <c r="AH898" s="13"/>
      <c r="AI898" s="13"/>
    </row>
    <row r="899" spans="31:35">
      <c r="AE899" s="18"/>
      <c r="AF899" s="13"/>
      <c r="AG899" s="13"/>
      <c r="AH899" s="13"/>
      <c r="AI899" s="13"/>
    </row>
    <row r="900" spans="31:35">
      <c r="AE900" s="18"/>
      <c r="AF900" s="13"/>
      <c r="AG900" s="13"/>
      <c r="AH900" s="13"/>
      <c r="AI900" s="13"/>
    </row>
    <row r="901" spans="31:35">
      <c r="AE901" s="18"/>
      <c r="AF901" s="13"/>
      <c r="AG901" s="13"/>
      <c r="AH901" s="13"/>
      <c r="AI901" s="13"/>
    </row>
    <row r="902" spans="31:35">
      <c r="AE902" s="18"/>
      <c r="AF902" s="13"/>
      <c r="AG902" s="13"/>
      <c r="AH902" s="13"/>
      <c r="AI902" s="13"/>
    </row>
    <row r="903" spans="31:35">
      <c r="AE903" s="18"/>
      <c r="AF903" s="13"/>
      <c r="AG903" s="13"/>
      <c r="AH903" s="13"/>
      <c r="AI903" s="13"/>
    </row>
    <row r="904" spans="31:35">
      <c r="AE904" s="18"/>
      <c r="AF904" s="13"/>
      <c r="AG904" s="13"/>
      <c r="AH904" s="13"/>
      <c r="AI904" s="13"/>
    </row>
    <row r="905" spans="31:35">
      <c r="AE905" s="18"/>
      <c r="AF905" s="13"/>
      <c r="AG905" s="13"/>
      <c r="AH905" s="13"/>
      <c r="AI905" s="13"/>
    </row>
    <row r="906" spans="31:35">
      <c r="AE906" s="18"/>
      <c r="AF906" s="13"/>
      <c r="AG906" s="13"/>
      <c r="AH906" s="13"/>
      <c r="AI906" s="13"/>
    </row>
    <row r="907" spans="31:35">
      <c r="AE907" s="18"/>
      <c r="AF907" s="13"/>
      <c r="AG907" s="13"/>
      <c r="AH907" s="13"/>
      <c r="AI907" s="13"/>
    </row>
    <row r="908" spans="31:35">
      <c r="AE908" s="18"/>
      <c r="AF908" s="13"/>
      <c r="AG908" s="13"/>
      <c r="AH908" s="13"/>
      <c r="AI908" s="13"/>
    </row>
    <row r="909" spans="31:35">
      <c r="AE909" s="18"/>
      <c r="AF909" s="13"/>
      <c r="AG909" s="13"/>
      <c r="AH909" s="13"/>
      <c r="AI909" s="13"/>
    </row>
    <row r="910" spans="31:35">
      <c r="AE910" s="18"/>
      <c r="AF910" s="13"/>
      <c r="AG910" s="13"/>
      <c r="AH910" s="13"/>
      <c r="AI910" s="13"/>
    </row>
    <row r="911" spans="31:35">
      <c r="AE911" s="18"/>
      <c r="AF911" s="13"/>
      <c r="AG911" s="13"/>
      <c r="AH911" s="13"/>
      <c r="AI911" s="13"/>
    </row>
    <row r="912" spans="31:35">
      <c r="AE912" s="18"/>
      <c r="AF912" s="13"/>
      <c r="AG912" s="13"/>
      <c r="AH912" s="13"/>
      <c r="AI912" s="13"/>
    </row>
    <row r="913" spans="31:35">
      <c r="AE913" s="18"/>
      <c r="AF913" s="13"/>
      <c r="AG913" s="13"/>
      <c r="AH913" s="13"/>
      <c r="AI913" s="13"/>
    </row>
    <row r="914" spans="31:35">
      <c r="AE914" s="18"/>
      <c r="AF914" s="13"/>
      <c r="AG914" s="13"/>
      <c r="AH914" s="13"/>
      <c r="AI914" s="13"/>
    </row>
    <row r="915" spans="31:35">
      <c r="AE915" s="18"/>
      <c r="AF915" s="13"/>
      <c r="AG915" s="13"/>
      <c r="AH915" s="13"/>
      <c r="AI915" s="13"/>
    </row>
    <row r="916" spans="31:35">
      <c r="AE916" s="18"/>
      <c r="AF916" s="13"/>
      <c r="AG916" s="13"/>
      <c r="AH916" s="13"/>
      <c r="AI916" s="13"/>
    </row>
    <row r="917" spans="31:35">
      <c r="AE917" s="18"/>
      <c r="AF917" s="13"/>
      <c r="AG917" s="13"/>
      <c r="AH917" s="13"/>
      <c r="AI917" s="13"/>
    </row>
    <row r="918" spans="31:35">
      <c r="AE918" s="18"/>
      <c r="AF918" s="13"/>
      <c r="AG918" s="13"/>
      <c r="AH918" s="13"/>
      <c r="AI918" s="13"/>
    </row>
    <row r="919" spans="31:35">
      <c r="AE919" s="18"/>
      <c r="AF919" s="13"/>
      <c r="AG919" s="13"/>
      <c r="AH919" s="13"/>
      <c r="AI919" s="13"/>
    </row>
    <row r="920" spans="31:35">
      <c r="AE920" s="18"/>
      <c r="AF920" s="13"/>
      <c r="AG920" s="13"/>
      <c r="AH920" s="13"/>
      <c r="AI920" s="13"/>
    </row>
    <row r="921" spans="31:35">
      <c r="AE921" s="18"/>
      <c r="AF921" s="13"/>
      <c r="AG921" s="13"/>
      <c r="AH921" s="13"/>
      <c r="AI921" s="13"/>
    </row>
    <row r="922" spans="31:35">
      <c r="AE922" s="18"/>
      <c r="AF922" s="13"/>
      <c r="AG922" s="13"/>
      <c r="AH922" s="13"/>
      <c r="AI922" s="13"/>
    </row>
    <row r="923" spans="31:35">
      <c r="AE923" s="18"/>
      <c r="AF923" s="13"/>
      <c r="AG923" s="13"/>
      <c r="AH923" s="13"/>
      <c r="AI923" s="13"/>
    </row>
    <row r="924" spans="31:35">
      <c r="AE924" s="18"/>
      <c r="AF924" s="13"/>
      <c r="AG924" s="13"/>
      <c r="AH924" s="13"/>
      <c r="AI924" s="13"/>
    </row>
    <row r="925" spans="31:35">
      <c r="AE925" s="18"/>
      <c r="AF925" s="13"/>
      <c r="AG925" s="13"/>
      <c r="AH925" s="13"/>
      <c r="AI925" s="13"/>
    </row>
    <row r="926" spans="31:35">
      <c r="AE926" s="18"/>
      <c r="AF926" s="13"/>
      <c r="AG926" s="13"/>
      <c r="AH926" s="13"/>
      <c r="AI926" s="13"/>
    </row>
    <row r="927" spans="31:35">
      <c r="AE927" s="18"/>
      <c r="AF927" s="13"/>
      <c r="AG927" s="13"/>
      <c r="AH927" s="13"/>
      <c r="AI927" s="13"/>
    </row>
    <row r="928" spans="31:35">
      <c r="AE928" s="18"/>
      <c r="AF928" s="13"/>
      <c r="AG928" s="13"/>
      <c r="AH928" s="13"/>
      <c r="AI928" s="13"/>
    </row>
    <row r="929" spans="31:35">
      <c r="AE929" s="18"/>
      <c r="AF929" s="13"/>
      <c r="AG929" s="13"/>
      <c r="AH929" s="13"/>
      <c r="AI929" s="13"/>
    </row>
    <row r="930" spans="31:35">
      <c r="AE930" s="18"/>
      <c r="AF930" s="13"/>
      <c r="AG930" s="13"/>
      <c r="AH930" s="13"/>
      <c r="AI930" s="13"/>
    </row>
    <row r="931" spans="31:35">
      <c r="AE931" s="18"/>
      <c r="AF931" s="13"/>
      <c r="AG931" s="13"/>
      <c r="AH931" s="13"/>
      <c r="AI931" s="13"/>
    </row>
    <row r="932" spans="31:35">
      <c r="AE932" s="18"/>
      <c r="AF932" s="13"/>
      <c r="AG932" s="13"/>
      <c r="AH932" s="13"/>
      <c r="AI932" s="13"/>
    </row>
    <row r="933" spans="31:35">
      <c r="AE933" s="18"/>
      <c r="AF933" s="13"/>
      <c r="AG933" s="13"/>
      <c r="AH933" s="13"/>
      <c r="AI933" s="13"/>
    </row>
    <row r="934" spans="31:35">
      <c r="AE934" s="18"/>
      <c r="AF934" s="13"/>
      <c r="AG934" s="13"/>
      <c r="AH934" s="13"/>
      <c r="AI934" s="13"/>
    </row>
    <row r="935" spans="31:35">
      <c r="AE935" s="18"/>
      <c r="AF935" s="13"/>
      <c r="AG935" s="13"/>
      <c r="AH935" s="13"/>
      <c r="AI935" s="13"/>
    </row>
    <row r="936" spans="31:35">
      <c r="AE936" s="18"/>
      <c r="AF936" s="13"/>
      <c r="AG936" s="13"/>
      <c r="AH936" s="13"/>
      <c r="AI936" s="13"/>
    </row>
    <row r="937" spans="31:35">
      <c r="AE937" s="18"/>
      <c r="AF937" s="13"/>
      <c r="AG937" s="13"/>
      <c r="AH937" s="13"/>
      <c r="AI937" s="13"/>
    </row>
    <row r="938" spans="31:35">
      <c r="AE938" s="18"/>
      <c r="AF938" s="13"/>
      <c r="AG938" s="13"/>
      <c r="AH938" s="13"/>
      <c r="AI938" s="13"/>
    </row>
    <row r="939" spans="31:35">
      <c r="AE939" s="18"/>
      <c r="AF939" s="13"/>
      <c r="AG939" s="13"/>
      <c r="AH939" s="13"/>
      <c r="AI939" s="13"/>
    </row>
    <row r="940" spans="31:35">
      <c r="AE940" s="18"/>
      <c r="AF940" s="13"/>
      <c r="AG940" s="13"/>
      <c r="AH940" s="13"/>
      <c r="AI940" s="13"/>
    </row>
    <row r="941" spans="31:35">
      <c r="AE941" s="18"/>
      <c r="AF941" s="13"/>
      <c r="AG941" s="13"/>
      <c r="AH941" s="13"/>
      <c r="AI941" s="13"/>
    </row>
    <row r="942" spans="31:35">
      <c r="AE942" s="18"/>
      <c r="AF942" s="13"/>
      <c r="AG942" s="13"/>
      <c r="AH942" s="13"/>
      <c r="AI942" s="13"/>
    </row>
    <row r="943" spans="31:35">
      <c r="AE943" s="18"/>
      <c r="AF943" s="13"/>
      <c r="AG943" s="13"/>
      <c r="AH943" s="13"/>
      <c r="AI943" s="13"/>
    </row>
    <row r="944" spans="31:35">
      <c r="AE944" s="18"/>
      <c r="AF944" s="13"/>
      <c r="AG944" s="13"/>
      <c r="AH944" s="13"/>
      <c r="AI944" s="13"/>
    </row>
    <row r="945" spans="31:35">
      <c r="AE945" s="18"/>
      <c r="AF945" s="13"/>
      <c r="AG945" s="13"/>
      <c r="AH945" s="13"/>
      <c r="AI945" s="13"/>
    </row>
    <row r="946" spans="31:35">
      <c r="AE946" s="18"/>
      <c r="AF946" s="13"/>
      <c r="AG946" s="13"/>
      <c r="AH946" s="13"/>
      <c r="AI946" s="13"/>
    </row>
    <row r="947" spans="31:35">
      <c r="AE947" s="18"/>
      <c r="AF947" s="13"/>
      <c r="AG947" s="13"/>
      <c r="AH947" s="13"/>
      <c r="AI947" s="13"/>
    </row>
    <row r="948" spans="31:35">
      <c r="AE948" s="18"/>
      <c r="AF948" s="13"/>
      <c r="AG948" s="13"/>
      <c r="AH948" s="13"/>
      <c r="AI948" s="13"/>
    </row>
    <row r="949" spans="31:35">
      <c r="AE949" s="18"/>
      <c r="AF949" s="13"/>
      <c r="AG949" s="13"/>
      <c r="AH949" s="13"/>
      <c r="AI949" s="13"/>
    </row>
    <row r="950" spans="31:35">
      <c r="AE950" s="18"/>
      <c r="AF950" s="13"/>
      <c r="AG950" s="13"/>
      <c r="AH950" s="13"/>
      <c r="AI950" s="13"/>
    </row>
    <row r="951" spans="31:35">
      <c r="AE951" s="18"/>
      <c r="AF951" s="13"/>
      <c r="AG951" s="13"/>
      <c r="AH951" s="13"/>
      <c r="AI951" s="13"/>
    </row>
    <row r="952" spans="31:35">
      <c r="AE952" s="18"/>
      <c r="AF952" s="13"/>
      <c r="AG952" s="13"/>
      <c r="AH952" s="13"/>
      <c r="AI952" s="13"/>
    </row>
    <row r="953" spans="31:35">
      <c r="AE953" s="18"/>
      <c r="AF953" s="13"/>
      <c r="AG953" s="13"/>
      <c r="AH953" s="13"/>
      <c r="AI953" s="13"/>
    </row>
    <row r="954" spans="31:35">
      <c r="AE954" s="18"/>
      <c r="AF954" s="13"/>
      <c r="AG954" s="13"/>
      <c r="AH954" s="13"/>
      <c r="AI954" s="13"/>
    </row>
    <row r="955" spans="31:35">
      <c r="AE955" s="18"/>
      <c r="AF955" s="13"/>
      <c r="AG955" s="13"/>
      <c r="AH955" s="13"/>
      <c r="AI955" s="13"/>
    </row>
    <row r="956" spans="31:35">
      <c r="AE956" s="18"/>
      <c r="AF956" s="13"/>
      <c r="AG956" s="13"/>
      <c r="AH956" s="13"/>
      <c r="AI956" s="13"/>
    </row>
    <row r="957" spans="31:35">
      <c r="AE957" s="18"/>
      <c r="AF957" s="13"/>
      <c r="AG957" s="13"/>
      <c r="AH957" s="13"/>
      <c r="AI957" s="13"/>
    </row>
    <row r="958" spans="31:35">
      <c r="AE958" s="18"/>
      <c r="AF958" s="13"/>
      <c r="AG958" s="13"/>
      <c r="AH958" s="13"/>
      <c r="AI958" s="13"/>
    </row>
    <row r="959" spans="31:35">
      <c r="AE959" s="18"/>
      <c r="AF959" s="13"/>
      <c r="AG959" s="13"/>
      <c r="AH959" s="13"/>
      <c r="AI959" s="13"/>
    </row>
    <row r="960" spans="31:35">
      <c r="AE960" s="18"/>
      <c r="AF960" s="13"/>
      <c r="AG960" s="13"/>
      <c r="AH960" s="13"/>
      <c r="AI960" s="13"/>
    </row>
    <row r="961" spans="31:35">
      <c r="AE961" s="18"/>
      <c r="AF961" s="13"/>
      <c r="AG961" s="13"/>
      <c r="AH961" s="13"/>
      <c r="AI961" s="13"/>
    </row>
    <row r="962" spans="31:35">
      <c r="AE962" s="18"/>
      <c r="AF962" s="13"/>
      <c r="AG962" s="13"/>
      <c r="AH962" s="13"/>
      <c r="AI962" s="13"/>
    </row>
    <row r="963" spans="31:35">
      <c r="AE963" s="18"/>
      <c r="AF963" s="13"/>
      <c r="AG963" s="13"/>
      <c r="AH963" s="13"/>
      <c r="AI963" s="13"/>
    </row>
    <row r="964" spans="31:35">
      <c r="AE964" s="18"/>
      <c r="AF964" s="13"/>
      <c r="AG964" s="13"/>
      <c r="AH964" s="13"/>
      <c r="AI964" s="13"/>
    </row>
    <row r="965" spans="31:35">
      <c r="AE965" s="18"/>
      <c r="AF965" s="13"/>
      <c r="AG965" s="13"/>
      <c r="AH965" s="13"/>
      <c r="AI965" s="13"/>
    </row>
    <row r="966" spans="31:35">
      <c r="AE966" s="18"/>
      <c r="AF966" s="13"/>
      <c r="AG966" s="13"/>
      <c r="AH966" s="13"/>
      <c r="AI966" s="13"/>
    </row>
    <row r="967" spans="31:35">
      <c r="AE967" s="18"/>
      <c r="AF967" s="13"/>
      <c r="AG967" s="13"/>
      <c r="AH967" s="13"/>
      <c r="AI967" s="13"/>
    </row>
    <row r="968" spans="31:35">
      <c r="AE968" s="18"/>
      <c r="AF968" s="13"/>
      <c r="AG968" s="13"/>
      <c r="AH968" s="13"/>
      <c r="AI968" s="13"/>
    </row>
    <row r="969" spans="31:35">
      <c r="AE969" s="18"/>
      <c r="AF969" s="13"/>
      <c r="AG969" s="13"/>
      <c r="AH969" s="13"/>
      <c r="AI969" s="13"/>
    </row>
    <row r="970" spans="31:35">
      <c r="AE970" s="18"/>
      <c r="AF970" s="13"/>
      <c r="AG970" s="13"/>
      <c r="AH970" s="13"/>
      <c r="AI970" s="13"/>
    </row>
    <row r="971" spans="31:35">
      <c r="AE971" s="18"/>
      <c r="AF971" s="13"/>
      <c r="AG971" s="13"/>
      <c r="AH971" s="13"/>
      <c r="AI971" s="13"/>
    </row>
    <row r="972" spans="31:35">
      <c r="AE972" s="18"/>
      <c r="AF972" s="13"/>
      <c r="AG972" s="13"/>
      <c r="AH972" s="13"/>
      <c r="AI972" s="13"/>
    </row>
    <row r="973" spans="31:35">
      <c r="AE973" s="18"/>
      <c r="AF973" s="13"/>
      <c r="AG973" s="13"/>
      <c r="AH973" s="13"/>
      <c r="AI973" s="13"/>
    </row>
    <row r="974" spans="31:35">
      <c r="AE974" s="18"/>
      <c r="AF974" s="13"/>
      <c r="AG974" s="13"/>
      <c r="AH974" s="13"/>
      <c r="AI974" s="13"/>
    </row>
    <row r="975" spans="31:35">
      <c r="AE975" s="18"/>
      <c r="AF975" s="13"/>
      <c r="AG975" s="13"/>
      <c r="AH975" s="13"/>
      <c r="AI975" s="13"/>
    </row>
    <row r="976" spans="31:35">
      <c r="AE976" s="18"/>
      <c r="AF976" s="13"/>
      <c r="AG976" s="13"/>
      <c r="AH976" s="13"/>
      <c r="AI976" s="13"/>
    </row>
    <row r="977" spans="31:35">
      <c r="AE977" s="18"/>
      <c r="AF977" s="13"/>
      <c r="AG977" s="13"/>
      <c r="AH977" s="13"/>
      <c r="AI977" s="13"/>
    </row>
    <row r="978" spans="31:35">
      <c r="AE978" s="18"/>
      <c r="AF978" s="13"/>
      <c r="AG978" s="13"/>
      <c r="AH978" s="13"/>
      <c r="AI978" s="13"/>
    </row>
    <row r="979" spans="31:35">
      <c r="AE979" s="18"/>
      <c r="AF979" s="13"/>
      <c r="AG979" s="13"/>
      <c r="AH979" s="13"/>
      <c r="AI979" s="13"/>
    </row>
    <row r="980" spans="31:35">
      <c r="AE980" s="18"/>
      <c r="AF980" s="13"/>
      <c r="AG980" s="13"/>
      <c r="AH980" s="13"/>
      <c r="AI980" s="13"/>
    </row>
    <row r="981" spans="31:35">
      <c r="AE981" s="18"/>
      <c r="AF981" s="13"/>
      <c r="AG981" s="13"/>
      <c r="AH981" s="13"/>
      <c r="AI981" s="13"/>
    </row>
    <row r="982" spans="31:35">
      <c r="AE982" s="18"/>
      <c r="AF982" s="13"/>
      <c r="AG982" s="13"/>
      <c r="AH982" s="13"/>
      <c r="AI982" s="13"/>
    </row>
    <row r="983" spans="31:35">
      <c r="AE983" s="18"/>
      <c r="AF983" s="13"/>
      <c r="AG983" s="13"/>
      <c r="AH983" s="13"/>
      <c r="AI983" s="13"/>
    </row>
    <row r="984" spans="31:35">
      <c r="AE984" s="18"/>
      <c r="AF984" s="13"/>
      <c r="AG984" s="13"/>
      <c r="AH984" s="13"/>
      <c r="AI984" s="13"/>
    </row>
    <row r="985" spans="31:35">
      <c r="AE985" s="18"/>
      <c r="AF985" s="13"/>
      <c r="AG985" s="13"/>
      <c r="AH985" s="13"/>
      <c r="AI985" s="13"/>
    </row>
    <row r="986" spans="31:35">
      <c r="AE986" s="18"/>
      <c r="AF986" s="13"/>
      <c r="AG986" s="13"/>
      <c r="AH986" s="13"/>
      <c r="AI986" s="13"/>
    </row>
    <row r="987" spans="31:35">
      <c r="AE987" s="18"/>
      <c r="AF987" s="13"/>
      <c r="AG987" s="13"/>
      <c r="AH987" s="13"/>
      <c r="AI987" s="13"/>
    </row>
    <row r="988" spans="31:35">
      <c r="AE988" s="18"/>
      <c r="AF988" s="13"/>
      <c r="AG988" s="13"/>
      <c r="AH988" s="13"/>
      <c r="AI988" s="13"/>
    </row>
    <row r="989" spans="31:35">
      <c r="AE989" s="18"/>
      <c r="AF989" s="13"/>
      <c r="AG989" s="13"/>
      <c r="AH989" s="13"/>
      <c r="AI989" s="13"/>
    </row>
    <row r="990" spans="31:35">
      <c r="AE990" s="18"/>
      <c r="AF990" s="13"/>
      <c r="AG990" s="13"/>
      <c r="AH990" s="13"/>
      <c r="AI990" s="13"/>
    </row>
    <row r="991" spans="31:35">
      <c r="AE991" s="18"/>
      <c r="AF991" s="13"/>
      <c r="AG991" s="13"/>
      <c r="AH991" s="13"/>
      <c r="AI991" s="13"/>
    </row>
    <row r="992" spans="31:35">
      <c r="AE992" s="18"/>
      <c r="AF992" s="13"/>
      <c r="AG992" s="13"/>
      <c r="AH992" s="13"/>
      <c r="AI992" s="13"/>
    </row>
    <row r="993" spans="31:35">
      <c r="AE993" s="18"/>
      <c r="AF993" s="13"/>
      <c r="AG993" s="13"/>
      <c r="AH993" s="13"/>
      <c r="AI993" s="13"/>
    </row>
    <row r="994" spans="31:35">
      <c r="AE994" s="18"/>
      <c r="AF994" s="13"/>
      <c r="AG994" s="13"/>
      <c r="AH994" s="13"/>
      <c r="AI994" s="13"/>
    </row>
    <row r="995" spans="31:35">
      <c r="AE995" s="18"/>
      <c r="AF995" s="13"/>
      <c r="AG995" s="13"/>
      <c r="AH995" s="13"/>
      <c r="AI995" s="13"/>
    </row>
    <row r="996" spans="31:35">
      <c r="AE996" s="18"/>
      <c r="AF996" s="13"/>
      <c r="AG996" s="13"/>
      <c r="AH996" s="13"/>
      <c r="AI996" s="13"/>
    </row>
    <row r="997" spans="31:35">
      <c r="AE997" s="18"/>
      <c r="AF997" s="13"/>
      <c r="AG997" s="13"/>
      <c r="AH997" s="13"/>
      <c r="AI997" s="13"/>
    </row>
    <row r="998" spans="31:35">
      <c r="AE998" s="18"/>
      <c r="AF998" s="13"/>
      <c r="AG998" s="13"/>
      <c r="AH998" s="13"/>
      <c r="AI998" s="13"/>
    </row>
    <row r="999" spans="31:35">
      <c r="AE999" s="18"/>
      <c r="AF999" s="13"/>
      <c r="AG999" s="13"/>
      <c r="AH999" s="13"/>
      <c r="AI999" s="13"/>
    </row>
    <row r="1000" spans="31:35">
      <c r="AE1000" s="18"/>
      <c r="AF1000" s="13"/>
      <c r="AG1000" s="13"/>
      <c r="AH1000" s="13"/>
      <c r="AI1000" s="13"/>
    </row>
    <row r="1001" spans="31:35">
      <c r="AE1001" s="18"/>
      <c r="AF1001" s="13"/>
      <c r="AG1001" s="13"/>
      <c r="AH1001" s="13"/>
      <c r="AI1001" s="13"/>
    </row>
    <row r="1002" spans="31:35">
      <c r="AE1002" s="18"/>
      <c r="AF1002" s="13"/>
      <c r="AG1002" s="13"/>
      <c r="AH1002" s="13"/>
      <c r="AI1002" s="13"/>
    </row>
    <row r="1003" spans="31:35">
      <c r="AE1003" s="18"/>
      <c r="AF1003" s="13"/>
      <c r="AG1003" s="13"/>
      <c r="AH1003" s="13"/>
      <c r="AI1003" s="13"/>
    </row>
    <row r="1004" spans="31:35">
      <c r="AE1004" s="18"/>
      <c r="AF1004" s="13"/>
      <c r="AG1004" s="13"/>
      <c r="AH1004" s="13"/>
      <c r="AI1004" s="13"/>
    </row>
    <row r="1005" spans="31:35">
      <c r="AE1005" s="18"/>
      <c r="AF1005" s="13"/>
      <c r="AG1005" s="13"/>
      <c r="AH1005" s="13"/>
      <c r="AI1005" s="13"/>
    </row>
    <row r="1006" spans="31:35">
      <c r="AE1006" s="18"/>
      <c r="AF1006" s="13"/>
      <c r="AG1006" s="13"/>
      <c r="AH1006" s="13"/>
      <c r="AI1006" s="13"/>
    </row>
    <row r="1007" spans="31:35">
      <c r="AE1007" s="18"/>
      <c r="AF1007" s="13"/>
      <c r="AG1007" s="13"/>
      <c r="AH1007" s="13"/>
      <c r="AI1007" s="13"/>
    </row>
    <row r="1008" spans="31:35">
      <c r="AE1008" s="18"/>
      <c r="AF1008" s="13"/>
      <c r="AG1008" s="13"/>
      <c r="AH1008" s="13"/>
      <c r="AI1008" s="13"/>
    </row>
    <row r="1009" spans="31:35">
      <c r="AE1009" s="18"/>
      <c r="AF1009" s="13"/>
      <c r="AG1009" s="13"/>
      <c r="AH1009" s="13"/>
      <c r="AI1009" s="13"/>
    </row>
    <row r="1010" spans="31:35">
      <c r="AE1010" s="18"/>
      <c r="AF1010" s="13"/>
      <c r="AG1010" s="13"/>
      <c r="AH1010" s="13"/>
      <c r="AI1010" s="13"/>
    </row>
    <row r="1011" spans="31:35">
      <c r="AE1011" s="18"/>
      <c r="AF1011" s="13"/>
      <c r="AG1011" s="13"/>
      <c r="AH1011" s="13"/>
      <c r="AI1011" s="13"/>
    </row>
    <row r="1012" spans="31:35">
      <c r="AE1012" s="18"/>
      <c r="AF1012" s="13"/>
      <c r="AG1012" s="13"/>
      <c r="AH1012" s="13"/>
      <c r="AI1012" s="13"/>
    </row>
    <row r="1013" spans="31:35">
      <c r="AE1013" s="18"/>
      <c r="AF1013" s="13"/>
      <c r="AG1013" s="13"/>
      <c r="AH1013" s="13"/>
      <c r="AI1013" s="13"/>
    </row>
    <row r="1014" spans="31:35">
      <c r="AE1014" s="18"/>
      <c r="AF1014" s="13"/>
      <c r="AG1014" s="13"/>
      <c r="AH1014" s="13"/>
      <c r="AI1014" s="13"/>
    </row>
    <row r="1015" spans="31:35">
      <c r="AE1015" s="18"/>
      <c r="AF1015" s="13"/>
      <c r="AG1015" s="13"/>
      <c r="AH1015" s="13"/>
      <c r="AI1015" s="13"/>
    </row>
    <row r="1016" spans="31:35">
      <c r="AE1016" s="18"/>
      <c r="AF1016" s="13"/>
      <c r="AG1016" s="13"/>
      <c r="AH1016" s="13"/>
      <c r="AI1016" s="13"/>
    </row>
    <row r="1017" spans="31:35">
      <c r="AE1017" s="18"/>
      <c r="AF1017" s="13"/>
      <c r="AG1017" s="13"/>
      <c r="AH1017" s="13"/>
      <c r="AI1017" s="13"/>
    </row>
    <row r="1018" spans="31:35">
      <c r="AE1018" s="18"/>
      <c r="AF1018" s="13"/>
      <c r="AG1018" s="13"/>
      <c r="AH1018" s="13"/>
      <c r="AI1018" s="13"/>
    </row>
    <row r="1019" spans="31:35">
      <c r="AE1019" s="18"/>
      <c r="AF1019" s="13"/>
      <c r="AG1019" s="13"/>
      <c r="AH1019" s="13"/>
      <c r="AI1019" s="13"/>
    </row>
    <row r="1020" spans="31:35">
      <c r="AE1020" s="18"/>
      <c r="AF1020" s="13"/>
      <c r="AG1020" s="13"/>
      <c r="AH1020" s="13"/>
      <c r="AI1020" s="13"/>
    </row>
    <row r="1021" spans="31:35">
      <c r="AE1021" s="18"/>
      <c r="AF1021" s="13"/>
      <c r="AG1021" s="13"/>
      <c r="AH1021" s="13"/>
      <c r="AI1021" s="13"/>
    </row>
    <row r="1022" spans="31:35">
      <c r="AE1022" s="18"/>
      <c r="AF1022" s="13"/>
      <c r="AG1022" s="13"/>
      <c r="AH1022" s="13"/>
      <c r="AI1022" s="13"/>
    </row>
    <row r="1023" spans="31:35">
      <c r="AE1023" s="18"/>
      <c r="AF1023" s="13"/>
      <c r="AG1023" s="13"/>
      <c r="AH1023" s="13"/>
      <c r="AI1023" s="13"/>
    </row>
    <row r="1024" spans="31:35">
      <c r="AE1024" s="18"/>
      <c r="AF1024" s="13"/>
      <c r="AG1024" s="13"/>
      <c r="AH1024" s="13"/>
      <c r="AI1024" s="13"/>
    </row>
    <row r="1025" spans="31:35">
      <c r="AE1025" s="18"/>
      <c r="AF1025" s="13"/>
      <c r="AG1025" s="13"/>
      <c r="AH1025" s="13"/>
      <c r="AI1025" s="13"/>
    </row>
    <row r="1026" spans="31:35">
      <c r="AE1026" s="18"/>
      <c r="AF1026" s="13"/>
      <c r="AG1026" s="13"/>
      <c r="AH1026" s="13"/>
      <c r="AI1026" s="13"/>
    </row>
    <row r="1027" spans="31:35">
      <c r="AE1027" s="18"/>
      <c r="AF1027" s="13"/>
      <c r="AG1027" s="13"/>
      <c r="AH1027" s="13"/>
      <c r="AI1027" s="13"/>
    </row>
    <row r="1028" spans="31:35">
      <c r="AE1028" s="18"/>
      <c r="AF1028" s="13"/>
      <c r="AG1028" s="13"/>
      <c r="AH1028" s="13"/>
      <c r="AI1028" s="13"/>
    </row>
    <row r="1029" spans="31:35">
      <c r="AE1029" s="18"/>
      <c r="AF1029" s="13"/>
      <c r="AG1029" s="13"/>
      <c r="AH1029" s="13"/>
      <c r="AI1029" s="13"/>
    </row>
    <row r="1030" spans="31:35">
      <c r="AE1030" s="18"/>
      <c r="AF1030" s="13"/>
      <c r="AG1030" s="13"/>
      <c r="AH1030" s="13"/>
      <c r="AI1030" s="13"/>
    </row>
    <row r="1031" spans="31:35">
      <c r="AE1031" s="18"/>
      <c r="AF1031" s="13"/>
      <c r="AG1031" s="13"/>
      <c r="AH1031" s="13"/>
      <c r="AI1031" s="13"/>
    </row>
    <row r="1032" spans="31:35">
      <c r="AE1032" s="18"/>
      <c r="AF1032" s="13"/>
      <c r="AG1032" s="13"/>
      <c r="AH1032" s="13"/>
      <c r="AI1032" s="13"/>
    </row>
    <row r="1033" spans="31:35">
      <c r="AE1033" s="18"/>
      <c r="AF1033" s="13"/>
      <c r="AG1033" s="13"/>
      <c r="AH1033" s="13"/>
      <c r="AI1033" s="13"/>
    </row>
    <row r="1034" spans="31:35">
      <c r="AE1034" s="18"/>
      <c r="AF1034" s="13"/>
      <c r="AG1034" s="13"/>
      <c r="AH1034" s="13"/>
      <c r="AI1034" s="13"/>
    </row>
    <row r="1035" spans="31:35">
      <c r="AE1035" s="18"/>
      <c r="AF1035" s="13"/>
      <c r="AG1035" s="13"/>
      <c r="AH1035" s="13"/>
      <c r="AI1035" s="13"/>
    </row>
    <row r="1036" spans="31:35">
      <c r="AE1036" s="18"/>
      <c r="AF1036" s="13"/>
      <c r="AG1036" s="13"/>
      <c r="AH1036" s="13"/>
      <c r="AI1036" s="13"/>
    </row>
    <row r="1037" spans="31:35">
      <c r="AE1037" s="18"/>
      <c r="AF1037" s="13"/>
      <c r="AG1037" s="13"/>
      <c r="AH1037" s="13"/>
      <c r="AI1037" s="13"/>
    </row>
    <row r="1038" spans="31:35">
      <c r="AE1038" s="18"/>
      <c r="AF1038" s="13"/>
      <c r="AG1038" s="13"/>
      <c r="AH1038" s="13"/>
      <c r="AI1038" s="13"/>
    </row>
    <row r="1039" spans="31:35">
      <c r="AE1039" s="18"/>
      <c r="AF1039" s="13"/>
      <c r="AG1039" s="13"/>
      <c r="AH1039" s="13"/>
      <c r="AI1039" s="13"/>
    </row>
    <row r="1040" spans="31:35">
      <c r="AE1040" s="18"/>
      <c r="AF1040" s="13"/>
      <c r="AG1040" s="13"/>
      <c r="AH1040" s="13"/>
      <c r="AI1040" s="13"/>
    </row>
    <row r="1041" spans="31:35">
      <c r="AE1041" s="18"/>
      <c r="AF1041" s="13"/>
      <c r="AG1041" s="13"/>
      <c r="AH1041" s="13"/>
      <c r="AI1041" s="13"/>
    </row>
    <row r="1042" spans="31:35">
      <c r="AE1042" s="18"/>
      <c r="AF1042" s="13"/>
      <c r="AG1042" s="13"/>
      <c r="AH1042" s="13"/>
      <c r="AI1042" s="13"/>
    </row>
    <row r="1043" spans="31:35">
      <c r="AE1043" s="18"/>
      <c r="AF1043" s="13"/>
      <c r="AG1043" s="13"/>
      <c r="AH1043" s="13"/>
      <c r="AI1043" s="13"/>
    </row>
    <row r="1044" spans="31:35">
      <c r="AE1044" s="18"/>
      <c r="AF1044" s="13"/>
      <c r="AG1044" s="13"/>
      <c r="AH1044" s="13"/>
      <c r="AI1044" s="13"/>
    </row>
    <row r="1045" spans="31:35">
      <c r="AE1045" s="18"/>
      <c r="AF1045" s="13"/>
      <c r="AG1045" s="13"/>
      <c r="AH1045" s="13"/>
      <c r="AI1045" s="13"/>
    </row>
    <row r="1046" spans="31:35">
      <c r="AE1046" s="18"/>
      <c r="AF1046" s="13"/>
      <c r="AG1046" s="13"/>
      <c r="AH1046" s="13"/>
      <c r="AI1046" s="13"/>
    </row>
    <row r="1047" spans="31:35">
      <c r="AE1047" s="18"/>
      <c r="AF1047" s="13"/>
      <c r="AG1047" s="13"/>
      <c r="AH1047" s="13"/>
      <c r="AI1047" s="13"/>
    </row>
    <row r="1048" spans="31:35">
      <c r="AE1048" s="18"/>
      <c r="AF1048" s="13"/>
      <c r="AG1048" s="13"/>
      <c r="AH1048" s="13"/>
      <c r="AI1048" s="13"/>
    </row>
    <row r="1049" spans="31:35">
      <c r="AE1049" s="18"/>
      <c r="AF1049" s="13"/>
      <c r="AG1049" s="13"/>
      <c r="AH1049" s="13"/>
      <c r="AI1049" s="13"/>
    </row>
    <row r="1050" spans="31:35">
      <c r="AE1050" s="18"/>
      <c r="AF1050" s="13"/>
      <c r="AG1050" s="13"/>
      <c r="AH1050" s="13"/>
      <c r="AI1050" s="13"/>
    </row>
    <row r="1051" spans="31:35">
      <c r="AE1051" s="18"/>
      <c r="AF1051" s="13"/>
      <c r="AG1051" s="13"/>
      <c r="AH1051" s="13"/>
      <c r="AI1051" s="13"/>
    </row>
    <row r="1052" spans="31:35">
      <c r="AE1052" s="18"/>
      <c r="AF1052" s="13"/>
      <c r="AG1052" s="13"/>
      <c r="AH1052" s="13"/>
      <c r="AI1052" s="13"/>
    </row>
    <row r="1053" spans="31:35">
      <c r="AE1053" s="18"/>
      <c r="AF1053" s="13"/>
      <c r="AG1053" s="13"/>
      <c r="AH1053" s="13"/>
      <c r="AI1053" s="13"/>
    </row>
    <row r="1054" spans="31:35">
      <c r="AE1054" s="18"/>
      <c r="AF1054" s="13"/>
      <c r="AG1054" s="13"/>
      <c r="AH1054" s="13"/>
      <c r="AI1054" s="13"/>
    </row>
    <row r="1055" spans="31:35">
      <c r="AE1055" s="18"/>
      <c r="AF1055" s="13"/>
      <c r="AG1055" s="13"/>
      <c r="AH1055" s="13"/>
      <c r="AI1055" s="13"/>
    </row>
    <row r="1056" spans="31:35">
      <c r="AE1056" s="18"/>
      <c r="AF1056" s="13"/>
      <c r="AG1056" s="13"/>
      <c r="AH1056" s="13"/>
      <c r="AI1056" s="13"/>
    </row>
    <row r="1057" spans="31:35">
      <c r="AE1057" s="18"/>
      <c r="AF1057" s="13"/>
      <c r="AG1057" s="13"/>
      <c r="AH1057" s="13"/>
      <c r="AI1057" s="13"/>
    </row>
    <row r="1058" spans="31:35">
      <c r="AE1058" s="18"/>
      <c r="AF1058" s="13"/>
      <c r="AG1058" s="13"/>
      <c r="AH1058" s="13"/>
      <c r="AI1058" s="13"/>
    </row>
    <row r="1059" spans="31:35">
      <c r="AE1059" s="18"/>
      <c r="AF1059" s="13"/>
      <c r="AG1059" s="13"/>
      <c r="AH1059" s="13"/>
      <c r="AI1059" s="13"/>
    </row>
    <row r="1060" spans="31:35">
      <c r="AE1060" s="18"/>
      <c r="AF1060" s="13"/>
      <c r="AG1060" s="13"/>
      <c r="AH1060" s="13"/>
      <c r="AI1060" s="13"/>
    </row>
    <row r="1061" spans="31:35">
      <c r="AE1061" s="18"/>
      <c r="AF1061" s="13"/>
      <c r="AG1061" s="13"/>
      <c r="AH1061" s="13"/>
      <c r="AI1061" s="13"/>
    </row>
    <row r="1062" spans="31:35">
      <c r="AE1062" s="18"/>
      <c r="AF1062" s="13"/>
      <c r="AG1062" s="13"/>
      <c r="AH1062" s="13"/>
      <c r="AI1062" s="13"/>
    </row>
    <row r="1063" spans="31:35">
      <c r="AE1063" s="18"/>
      <c r="AF1063" s="13"/>
      <c r="AG1063" s="13"/>
      <c r="AH1063" s="13"/>
      <c r="AI1063" s="13"/>
    </row>
    <row r="1064" spans="31:35">
      <c r="AE1064" s="18"/>
      <c r="AF1064" s="13"/>
      <c r="AG1064" s="13"/>
      <c r="AH1064" s="13"/>
      <c r="AI1064" s="13"/>
    </row>
    <row r="1065" spans="31:35">
      <c r="AE1065" s="18"/>
      <c r="AF1065" s="13"/>
      <c r="AG1065" s="13"/>
      <c r="AH1065" s="13"/>
      <c r="AI1065" s="13"/>
    </row>
    <row r="1066" spans="31:35">
      <c r="AE1066" s="18"/>
      <c r="AF1066" s="13"/>
      <c r="AG1066" s="13"/>
      <c r="AH1066" s="13"/>
      <c r="AI1066" s="13"/>
    </row>
    <row r="1067" spans="31:35">
      <c r="AE1067" s="18"/>
      <c r="AF1067" s="13"/>
      <c r="AG1067" s="13"/>
      <c r="AH1067" s="13"/>
      <c r="AI1067" s="13"/>
    </row>
    <row r="1068" spans="31:35">
      <c r="AE1068" s="18"/>
      <c r="AF1068" s="13"/>
      <c r="AG1068" s="13"/>
      <c r="AH1068" s="13"/>
      <c r="AI1068" s="13"/>
    </row>
    <row r="1069" spans="31:35">
      <c r="AE1069" s="18"/>
      <c r="AF1069" s="13"/>
      <c r="AG1069" s="13"/>
      <c r="AH1069" s="13"/>
      <c r="AI1069" s="13"/>
    </row>
    <row r="1070" spans="31:35">
      <c r="AE1070" s="18"/>
      <c r="AF1070" s="13"/>
      <c r="AG1070" s="13"/>
      <c r="AH1070" s="13"/>
      <c r="AI1070" s="13"/>
    </row>
    <row r="1071" spans="31:35">
      <c r="AE1071" s="18"/>
      <c r="AF1071" s="13"/>
      <c r="AG1071" s="13"/>
      <c r="AH1071" s="13"/>
      <c r="AI1071" s="13"/>
    </row>
    <row r="1072" spans="31:35">
      <c r="AE1072" s="18"/>
      <c r="AF1072" s="13"/>
      <c r="AG1072" s="13"/>
      <c r="AH1072" s="13"/>
      <c r="AI1072" s="13"/>
    </row>
    <row r="1073" spans="31:35">
      <c r="AE1073" s="18"/>
      <c r="AF1073" s="13"/>
      <c r="AG1073" s="13"/>
      <c r="AH1073" s="13"/>
      <c r="AI1073" s="13"/>
    </row>
    <row r="1074" spans="31:35">
      <c r="AE1074" s="18"/>
      <c r="AF1074" s="13"/>
      <c r="AG1074" s="13"/>
      <c r="AH1074" s="13"/>
      <c r="AI1074" s="13"/>
    </row>
    <row r="1075" spans="31:35">
      <c r="AE1075" s="18"/>
      <c r="AF1075" s="13"/>
      <c r="AG1075" s="13"/>
      <c r="AH1075" s="13"/>
      <c r="AI1075" s="13"/>
    </row>
    <row r="1076" spans="31:35">
      <c r="AE1076" s="18"/>
      <c r="AF1076" s="13"/>
      <c r="AG1076" s="13"/>
      <c r="AH1076" s="13"/>
      <c r="AI1076" s="13"/>
    </row>
    <row r="1077" spans="31:35">
      <c r="AE1077" s="18"/>
      <c r="AF1077" s="13"/>
      <c r="AG1077" s="13"/>
      <c r="AH1077" s="13"/>
      <c r="AI1077" s="13"/>
    </row>
    <row r="1078" spans="31:35">
      <c r="AE1078" s="18"/>
      <c r="AF1078" s="13"/>
      <c r="AG1078" s="13"/>
      <c r="AH1078" s="13"/>
      <c r="AI1078" s="13"/>
    </row>
    <row r="1079" spans="31:35">
      <c r="AE1079" s="18"/>
      <c r="AF1079" s="13"/>
      <c r="AG1079" s="13"/>
      <c r="AH1079" s="13"/>
      <c r="AI1079" s="13"/>
    </row>
    <row r="1080" spans="31:35">
      <c r="AE1080" s="18"/>
      <c r="AF1080" s="13"/>
      <c r="AG1080" s="13"/>
      <c r="AH1080" s="13"/>
      <c r="AI1080" s="13"/>
    </row>
    <row r="1081" spans="31:35">
      <c r="AE1081" s="18"/>
      <c r="AF1081" s="13"/>
      <c r="AG1081" s="13"/>
      <c r="AH1081" s="13"/>
      <c r="AI1081" s="13"/>
    </row>
    <row r="1082" spans="31:35">
      <c r="AE1082" s="18"/>
      <c r="AF1082" s="13"/>
      <c r="AG1082" s="13"/>
      <c r="AH1082" s="13"/>
      <c r="AI1082" s="13"/>
    </row>
    <row r="1083" spans="31:35">
      <c r="AE1083" s="18"/>
      <c r="AF1083" s="13"/>
      <c r="AG1083" s="13"/>
      <c r="AH1083" s="13"/>
      <c r="AI1083" s="13"/>
    </row>
    <row r="1084" spans="31:35">
      <c r="AE1084" s="18"/>
      <c r="AF1084" s="13"/>
      <c r="AG1084" s="13"/>
      <c r="AH1084" s="13"/>
      <c r="AI1084" s="13"/>
    </row>
    <row r="1085" spans="31:35">
      <c r="AE1085" s="18"/>
      <c r="AF1085" s="13"/>
      <c r="AG1085" s="13"/>
      <c r="AH1085" s="13"/>
      <c r="AI1085" s="13"/>
    </row>
    <row r="1086" spans="31:35">
      <c r="AE1086" s="18"/>
      <c r="AF1086" s="13"/>
      <c r="AG1086" s="13"/>
      <c r="AH1086" s="13"/>
      <c r="AI1086" s="13"/>
    </row>
    <row r="1087" spans="31:35">
      <c r="AE1087" s="18"/>
      <c r="AF1087" s="13"/>
      <c r="AG1087" s="13"/>
      <c r="AH1087" s="13"/>
      <c r="AI1087" s="13"/>
    </row>
    <row r="1088" spans="31:35">
      <c r="AE1088" s="18"/>
      <c r="AF1088" s="13"/>
      <c r="AG1088" s="13"/>
      <c r="AH1088" s="13"/>
      <c r="AI1088" s="13"/>
    </row>
    <row r="1089" spans="31:35">
      <c r="AE1089" s="18"/>
      <c r="AF1089" s="13"/>
      <c r="AG1089" s="13"/>
      <c r="AH1089" s="13"/>
      <c r="AI1089" s="13"/>
    </row>
    <row r="1090" spans="31:35">
      <c r="AE1090" s="18"/>
      <c r="AF1090" s="13"/>
      <c r="AG1090" s="13"/>
      <c r="AH1090" s="13"/>
      <c r="AI1090" s="13"/>
    </row>
    <row r="1091" spans="31:35">
      <c r="AE1091" s="18"/>
      <c r="AF1091" s="13"/>
      <c r="AG1091" s="13"/>
      <c r="AH1091" s="13"/>
      <c r="AI1091" s="13"/>
    </row>
    <row r="1092" spans="31:35">
      <c r="AE1092" s="18"/>
      <c r="AF1092" s="13"/>
      <c r="AG1092" s="13"/>
      <c r="AH1092" s="13"/>
      <c r="AI1092" s="13"/>
    </row>
    <row r="1093" spans="31:35">
      <c r="AE1093" s="18"/>
      <c r="AF1093" s="13"/>
      <c r="AG1093" s="13"/>
      <c r="AH1093" s="13"/>
      <c r="AI1093" s="13"/>
    </row>
    <row r="1094" spans="31:35">
      <c r="AE1094" s="18"/>
      <c r="AF1094" s="13"/>
      <c r="AG1094" s="13"/>
      <c r="AH1094" s="13"/>
      <c r="AI1094" s="13"/>
    </row>
    <row r="1095" spans="31:35">
      <c r="AE1095" s="18"/>
      <c r="AF1095" s="13"/>
      <c r="AG1095" s="13"/>
      <c r="AH1095" s="13"/>
      <c r="AI1095" s="13"/>
    </row>
    <row r="1096" spans="31:35">
      <c r="AE1096" s="18"/>
      <c r="AF1096" s="13"/>
      <c r="AG1096" s="13"/>
      <c r="AH1096" s="13"/>
      <c r="AI1096" s="13"/>
    </row>
    <row r="1097" spans="31:35">
      <c r="AE1097" s="18"/>
      <c r="AF1097" s="13"/>
      <c r="AG1097" s="13"/>
      <c r="AH1097" s="13"/>
      <c r="AI1097" s="13"/>
    </row>
    <row r="1098" spans="31:35">
      <c r="AE1098" s="18"/>
      <c r="AF1098" s="13"/>
      <c r="AG1098" s="13"/>
      <c r="AH1098" s="13"/>
      <c r="AI1098" s="13"/>
    </row>
    <row r="1099" spans="31:35">
      <c r="AE1099" s="18"/>
      <c r="AF1099" s="13"/>
      <c r="AG1099" s="13"/>
      <c r="AH1099" s="13"/>
      <c r="AI1099" s="13"/>
    </row>
    <row r="1100" spans="31:35">
      <c r="AE1100" s="18"/>
      <c r="AF1100" s="13"/>
      <c r="AG1100" s="13"/>
      <c r="AH1100" s="13"/>
      <c r="AI1100" s="13"/>
    </row>
    <row r="1101" spans="31:35">
      <c r="AE1101" s="18"/>
      <c r="AF1101" s="13"/>
      <c r="AG1101" s="13"/>
      <c r="AH1101" s="13"/>
      <c r="AI1101" s="13"/>
    </row>
    <row r="1102" spans="31:35">
      <c r="AE1102" s="18"/>
      <c r="AF1102" s="13"/>
      <c r="AG1102" s="13"/>
      <c r="AH1102" s="13"/>
      <c r="AI1102" s="13"/>
    </row>
  </sheetData>
  <hyperlinks>
    <hyperlink ref="D59" r:id="rId1" xr:uid="{51656B79-AD81-4663-BE92-5F81067B31E0}"/>
    <hyperlink ref="D67" r:id="rId2" xr:uid="{C2E34A70-9F68-4258-948D-469F61ECA54C}"/>
  </hyperlinks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FEDF4-44E1-48A5-97A8-3EC0638E998E}">
  <sheetPr codeName="Sheet6"/>
  <dimension ref="A1:B2"/>
  <sheetViews>
    <sheetView workbookViewId="0"/>
  </sheetViews>
  <sheetFormatPr defaultRowHeight="15"/>
  <cols>
    <col min="1" max="1" width="14" bestFit="1" customWidth="1"/>
  </cols>
  <sheetData>
    <row r="1" spans="1:2">
      <c r="A1" t="s">
        <v>552</v>
      </c>
      <c r="B1" s="73">
        <f>Results!E16</f>
        <v>492</v>
      </c>
    </row>
    <row r="2" spans="1:2">
      <c r="A2" t="s">
        <v>553</v>
      </c>
      <c r="B2">
        <f>IF(ISNUMBER(B1),IF(B1&lt;3600,B1,3600),0)</f>
        <v>492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A1A0-9F14-41EF-8EA5-B63FA65F8505}">
  <sheetPr codeName="Sheet2"/>
  <dimension ref="A1:G3602"/>
  <sheetViews>
    <sheetView workbookViewId="0"/>
  </sheetViews>
  <sheetFormatPr defaultRowHeight="15"/>
  <cols>
    <col min="1" max="1" width="12.140625" bestFit="1" customWidth="1"/>
    <col min="2" max="2" width="15.140625" bestFit="1" customWidth="1"/>
    <col min="3" max="3" width="6" bestFit="1" customWidth="1"/>
    <col min="4" max="4" width="30.140625" bestFit="1" customWidth="1"/>
    <col min="5" max="5" width="7.85546875" bestFit="1" customWidth="1"/>
    <col min="6" max="6" width="15.140625" bestFit="1" customWidth="1"/>
    <col min="7" max="7" width="16.85546875" bestFit="1" customWidth="1"/>
  </cols>
  <sheetData>
    <row r="1" spans="1:7">
      <c r="A1" t="s">
        <v>175</v>
      </c>
      <c r="B1" t="s">
        <v>176</v>
      </c>
      <c r="C1" t="s">
        <v>177</v>
      </c>
      <c r="D1" t="s">
        <v>178</v>
      </c>
      <c r="E1" t="s">
        <v>179</v>
      </c>
      <c r="F1" t="s">
        <v>180</v>
      </c>
      <c r="G1" t="s">
        <v>181</v>
      </c>
    </row>
    <row r="2" spans="1:7">
      <c r="A2" t="s">
        <v>182</v>
      </c>
      <c r="B2" t="s">
        <v>135</v>
      </c>
      <c r="C2" t="s">
        <v>183</v>
      </c>
      <c r="D2" t="s">
        <v>554</v>
      </c>
      <c r="E2">
        <v>1000000</v>
      </c>
      <c r="F2" t="s">
        <v>555</v>
      </c>
      <c r="G2" t="s">
        <v>556</v>
      </c>
    </row>
    <row r="3" spans="1:7">
      <c r="A3" t="s">
        <v>182</v>
      </c>
      <c r="B3" t="s">
        <v>557</v>
      </c>
      <c r="C3" t="s">
        <v>558</v>
      </c>
      <c r="D3" t="s">
        <v>554</v>
      </c>
      <c r="E3">
        <v>-1</v>
      </c>
      <c r="F3" t="s">
        <v>559</v>
      </c>
      <c r="G3" t="s">
        <v>560</v>
      </c>
    </row>
    <row r="4" spans="1:7">
      <c r="A4" t="s">
        <v>182</v>
      </c>
      <c r="B4" t="s">
        <v>557</v>
      </c>
      <c r="C4" t="s">
        <v>558</v>
      </c>
      <c r="D4" t="s">
        <v>561</v>
      </c>
      <c r="E4">
        <v>-2</v>
      </c>
      <c r="F4" t="s">
        <v>559</v>
      </c>
      <c r="G4" t="s">
        <v>560</v>
      </c>
    </row>
    <row r="5" spans="1:7">
      <c r="A5" t="s">
        <v>182</v>
      </c>
      <c r="B5" t="s">
        <v>557</v>
      </c>
      <c r="C5" t="s">
        <v>558</v>
      </c>
      <c r="D5" t="s">
        <v>562</v>
      </c>
      <c r="E5">
        <v>-3</v>
      </c>
      <c r="F5" t="s">
        <v>559</v>
      </c>
      <c r="G5" t="s">
        <v>560</v>
      </c>
    </row>
    <row r="6" spans="1:7">
      <c r="A6" t="s">
        <v>182</v>
      </c>
      <c r="B6" t="s">
        <v>557</v>
      </c>
      <c r="C6" t="s">
        <v>558</v>
      </c>
      <c r="D6" t="s">
        <v>563</v>
      </c>
      <c r="E6">
        <v>-4</v>
      </c>
      <c r="F6" t="s">
        <v>559</v>
      </c>
      <c r="G6" t="s">
        <v>560</v>
      </c>
    </row>
    <row r="7" spans="1:7">
      <c r="A7" t="s">
        <v>182</v>
      </c>
      <c r="B7" t="s">
        <v>557</v>
      </c>
      <c r="C7" t="s">
        <v>558</v>
      </c>
      <c r="D7" t="s">
        <v>564</v>
      </c>
      <c r="E7">
        <v>-5</v>
      </c>
      <c r="F7" t="s">
        <v>559</v>
      </c>
      <c r="G7" t="s">
        <v>560</v>
      </c>
    </row>
    <row r="8" spans="1:7">
      <c r="A8" t="s">
        <v>182</v>
      </c>
      <c r="B8" t="s">
        <v>557</v>
      </c>
      <c r="C8" t="s">
        <v>558</v>
      </c>
      <c r="D8" t="s">
        <v>565</v>
      </c>
      <c r="E8">
        <v>-6</v>
      </c>
      <c r="F8" t="s">
        <v>559</v>
      </c>
      <c r="G8" t="s">
        <v>560</v>
      </c>
    </row>
    <row r="9" spans="1:7">
      <c r="A9" t="s">
        <v>182</v>
      </c>
      <c r="B9" t="s">
        <v>557</v>
      </c>
      <c r="C9" t="s">
        <v>558</v>
      </c>
      <c r="D9" t="s">
        <v>566</v>
      </c>
      <c r="E9">
        <v>-7</v>
      </c>
      <c r="F9" t="s">
        <v>559</v>
      </c>
      <c r="G9" t="s">
        <v>560</v>
      </c>
    </row>
    <row r="10" spans="1:7">
      <c r="A10" t="s">
        <v>182</v>
      </c>
      <c r="B10" t="s">
        <v>557</v>
      </c>
      <c r="C10" t="s">
        <v>558</v>
      </c>
      <c r="D10" t="s">
        <v>567</v>
      </c>
      <c r="E10">
        <v>-8</v>
      </c>
      <c r="F10" t="s">
        <v>559</v>
      </c>
      <c r="G10" t="s">
        <v>560</v>
      </c>
    </row>
    <row r="11" spans="1:7">
      <c r="A11" t="s">
        <v>182</v>
      </c>
      <c r="B11" t="s">
        <v>557</v>
      </c>
      <c r="C11" t="s">
        <v>558</v>
      </c>
      <c r="D11" t="s">
        <v>568</v>
      </c>
      <c r="E11">
        <v>-9</v>
      </c>
      <c r="F11" t="s">
        <v>559</v>
      </c>
      <c r="G11" t="s">
        <v>560</v>
      </c>
    </row>
    <row r="12" spans="1:7">
      <c r="A12" t="s">
        <v>182</v>
      </c>
      <c r="B12" t="s">
        <v>557</v>
      </c>
      <c r="C12" t="s">
        <v>558</v>
      </c>
      <c r="D12" t="s">
        <v>569</v>
      </c>
      <c r="E12">
        <v>-10</v>
      </c>
      <c r="F12" t="s">
        <v>559</v>
      </c>
      <c r="G12" t="s">
        <v>560</v>
      </c>
    </row>
    <row r="13" spans="1:7">
      <c r="A13" t="s">
        <v>182</v>
      </c>
      <c r="B13" t="s">
        <v>557</v>
      </c>
      <c r="C13" t="s">
        <v>558</v>
      </c>
      <c r="D13" t="s">
        <v>570</v>
      </c>
      <c r="E13">
        <v>-11</v>
      </c>
      <c r="F13" t="s">
        <v>559</v>
      </c>
      <c r="G13" t="s">
        <v>560</v>
      </c>
    </row>
    <row r="14" spans="1:7">
      <c r="A14" t="s">
        <v>182</v>
      </c>
      <c r="B14" t="s">
        <v>557</v>
      </c>
      <c r="C14" t="s">
        <v>558</v>
      </c>
      <c r="D14" t="s">
        <v>571</v>
      </c>
      <c r="E14">
        <v>-12</v>
      </c>
      <c r="F14" t="s">
        <v>559</v>
      </c>
      <c r="G14" t="s">
        <v>560</v>
      </c>
    </row>
    <row r="15" spans="1:7">
      <c r="A15" t="s">
        <v>182</v>
      </c>
      <c r="B15" t="s">
        <v>557</v>
      </c>
      <c r="C15" t="s">
        <v>558</v>
      </c>
      <c r="D15" t="s">
        <v>572</v>
      </c>
      <c r="E15">
        <v>-13</v>
      </c>
      <c r="F15" t="s">
        <v>559</v>
      </c>
      <c r="G15" t="s">
        <v>560</v>
      </c>
    </row>
    <row r="16" spans="1:7">
      <c r="A16" t="s">
        <v>182</v>
      </c>
      <c r="B16" t="s">
        <v>557</v>
      </c>
      <c r="C16" t="s">
        <v>558</v>
      </c>
      <c r="D16" t="s">
        <v>573</v>
      </c>
      <c r="E16">
        <v>-14</v>
      </c>
      <c r="F16" t="s">
        <v>559</v>
      </c>
      <c r="G16" t="s">
        <v>560</v>
      </c>
    </row>
    <row r="17" spans="1:7">
      <c r="A17" t="s">
        <v>182</v>
      </c>
      <c r="B17" t="s">
        <v>557</v>
      </c>
      <c r="C17" t="s">
        <v>558</v>
      </c>
      <c r="D17" t="s">
        <v>574</v>
      </c>
      <c r="E17">
        <v>-15</v>
      </c>
      <c r="F17" t="s">
        <v>559</v>
      </c>
      <c r="G17" t="s">
        <v>560</v>
      </c>
    </row>
    <row r="18" spans="1:7">
      <c r="A18" t="s">
        <v>182</v>
      </c>
      <c r="B18" t="s">
        <v>557</v>
      </c>
      <c r="C18" t="s">
        <v>558</v>
      </c>
      <c r="D18" t="s">
        <v>575</v>
      </c>
      <c r="E18">
        <v>-16</v>
      </c>
      <c r="F18" t="s">
        <v>559</v>
      </c>
      <c r="G18" t="s">
        <v>560</v>
      </c>
    </row>
    <row r="19" spans="1:7">
      <c r="A19" t="s">
        <v>182</v>
      </c>
      <c r="B19" t="s">
        <v>557</v>
      </c>
      <c r="C19" t="s">
        <v>558</v>
      </c>
      <c r="D19" t="s">
        <v>576</v>
      </c>
      <c r="E19">
        <v>-17</v>
      </c>
      <c r="F19" t="s">
        <v>559</v>
      </c>
      <c r="G19" t="s">
        <v>560</v>
      </c>
    </row>
    <row r="20" spans="1:7">
      <c r="A20" t="s">
        <v>182</v>
      </c>
      <c r="B20" t="s">
        <v>557</v>
      </c>
      <c r="C20" t="s">
        <v>558</v>
      </c>
      <c r="D20" t="s">
        <v>577</v>
      </c>
      <c r="E20">
        <v>-18</v>
      </c>
      <c r="F20" t="s">
        <v>559</v>
      </c>
      <c r="G20" t="s">
        <v>560</v>
      </c>
    </row>
    <row r="21" spans="1:7">
      <c r="A21" t="s">
        <v>182</v>
      </c>
      <c r="B21" t="s">
        <v>557</v>
      </c>
      <c r="C21" t="s">
        <v>558</v>
      </c>
      <c r="D21" t="s">
        <v>578</v>
      </c>
      <c r="E21">
        <v>-19</v>
      </c>
      <c r="F21" t="s">
        <v>559</v>
      </c>
      <c r="G21" t="s">
        <v>560</v>
      </c>
    </row>
    <row r="22" spans="1:7">
      <c r="A22" t="s">
        <v>182</v>
      </c>
      <c r="B22" t="s">
        <v>557</v>
      </c>
      <c r="C22" t="s">
        <v>558</v>
      </c>
      <c r="D22" t="s">
        <v>579</v>
      </c>
      <c r="E22">
        <v>-20</v>
      </c>
      <c r="F22" t="s">
        <v>559</v>
      </c>
      <c r="G22" t="s">
        <v>560</v>
      </c>
    </row>
    <row r="23" spans="1:7">
      <c r="A23" t="s">
        <v>182</v>
      </c>
      <c r="B23" t="s">
        <v>557</v>
      </c>
      <c r="C23" t="s">
        <v>558</v>
      </c>
      <c r="D23" t="s">
        <v>580</v>
      </c>
      <c r="E23">
        <v>-21</v>
      </c>
      <c r="F23" t="s">
        <v>559</v>
      </c>
      <c r="G23" t="s">
        <v>560</v>
      </c>
    </row>
    <row r="24" spans="1:7">
      <c r="A24" t="s">
        <v>182</v>
      </c>
      <c r="B24" t="s">
        <v>557</v>
      </c>
      <c r="C24" t="s">
        <v>558</v>
      </c>
      <c r="D24" t="s">
        <v>581</v>
      </c>
      <c r="E24">
        <v>-22</v>
      </c>
      <c r="F24" t="s">
        <v>559</v>
      </c>
      <c r="G24" t="s">
        <v>560</v>
      </c>
    </row>
    <row r="25" spans="1:7">
      <c r="A25" t="s">
        <v>182</v>
      </c>
      <c r="B25" t="s">
        <v>557</v>
      </c>
      <c r="C25" t="s">
        <v>558</v>
      </c>
      <c r="D25" t="s">
        <v>582</v>
      </c>
      <c r="E25">
        <v>-23</v>
      </c>
      <c r="F25" t="s">
        <v>559</v>
      </c>
      <c r="G25" t="s">
        <v>560</v>
      </c>
    </row>
    <row r="26" spans="1:7">
      <c r="A26" t="s">
        <v>182</v>
      </c>
      <c r="B26" t="s">
        <v>557</v>
      </c>
      <c r="C26" t="s">
        <v>558</v>
      </c>
      <c r="D26" t="s">
        <v>583</v>
      </c>
      <c r="E26">
        <v>-24</v>
      </c>
      <c r="F26" t="s">
        <v>559</v>
      </c>
      <c r="G26" t="s">
        <v>560</v>
      </c>
    </row>
    <row r="27" spans="1:7">
      <c r="A27" t="s">
        <v>182</v>
      </c>
      <c r="B27" t="s">
        <v>557</v>
      </c>
      <c r="C27" t="s">
        <v>558</v>
      </c>
      <c r="D27" t="s">
        <v>584</v>
      </c>
      <c r="E27">
        <v>-25</v>
      </c>
      <c r="F27" t="s">
        <v>559</v>
      </c>
      <c r="G27" t="s">
        <v>560</v>
      </c>
    </row>
    <row r="28" spans="1:7">
      <c r="A28" t="s">
        <v>182</v>
      </c>
      <c r="B28" t="s">
        <v>557</v>
      </c>
      <c r="C28" t="s">
        <v>558</v>
      </c>
      <c r="D28" t="s">
        <v>585</v>
      </c>
      <c r="E28">
        <v>-26</v>
      </c>
      <c r="F28" t="s">
        <v>559</v>
      </c>
      <c r="G28" t="s">
        <v>560</v>
      </c>
    </row>
    <row r="29" spans="1:7">
      <c r="A29" t="s">
        <v>182</v>
      </c>
      <c r="B29" t="s">
        <v>557</v>
      </c>
      <c r="C29" t="s">
        <v>558</v>
      </c>
      <c r="D29" t="s">
        <v>586</v>
      </c>
      <c r="E29">
        <v>-27</v>
      </c>
      <c r="F29" t="s">
        <v>559</v>
      </c>
      <c r="G29" t="s">
        <v>560</v>
      </c>
    </row>
    <row r="30" spans="1:7">
      <c r="A30" t="s">
        <v>182</v>
      </c>
      <c r="B30" t="s">
        <v>557</v>
      </c>
      <c r="C30" t="s">
        <v>558</v>
      </c>
      <c r="D30" t="s">
        <v>587</v>
      </c>
      <c r="E30">
        <v>-28</v>
      </c>
      <c r="F30" t="s">
        <v>559</v>
      </c>
      <c r="G30" t="s">
        <v>560</v>
      </c>
    </row>
    <row r="31" spans="1:7">
      <c r="A31" t="s">
        <v>182</v>
      </c>
      <c r="B31" t="s">
        <v>557</v>
      </c>
      <c r="C31" t="s">
        <v>558</v>
      </c>
      <c r="D31" t="s">
        <v>588</v>
      </c>
      <c r="E31">
        <v>-29</v>
      </c>
      <c r="F31" t="s">
        <v>559</v>
      </c>
      <c r="G31" t="s">
        <v>560</v>
      </c>
    </row>
    <row r="32" spans="1:7">
      <c r="A32" t="s">
        <v>182</v>
      </c>
      <c r="B32" t="s">
        <v>557</v>
      </c>
      <c r="C32" t="s">
        <v>558</v>
      </c>
      <c r="D32" t="s">
        <v>589</v>
      </c>
      <c r="E32">
        <v>-30</v>
      </c>
      <c r="F32" t="s">
        <v>559</v>
      </c>
      <c r="G32" t="s">
        <v>560</v>
      </c>
    </row>
    <row r="33" spans="1:7">
      <c r="A33" t="s">
        <v>182</v>
      </c>
      <c r="B33" t="s">
        <v>557</v>
      </c>
      <c r="C33" t="s">
        <v>558</v>
      </c>
      <c r="D33" t="s">
        <v>590</v>
      </c>
      <c r="E33">
        <v>-31</v>
      </c>
      <c r="F33" t="s">
        <v>559</v>
      </c>
      <c r="G33" t="s">
        <v>560</v>
      </c>
    </row>
    <row r="34" spans="1:7">
      <c r="A34" t="s">
        <v>182</v>
      </c>
      <c r="B34" t="s">
        <v>557</v>
      </c>
      <c r="C34" t="s">
        <v>558</v>
      </c>
      <c r="D34" t="s">
        <v>591</v>
      </c>
      <c r="E34">
        <v>-32</v>
      </c>
      <c r="F34" t="s">
        <v>559</v>
      </c>
      <c r="G34" t="s">
        <v>560</v>
      </c>
    </row>
    <row r="35" spans="1:7">
      <c r="A35" t="s">
        <v>182</v>
      </c>
      <c r="B35" t="s">
        <v>557</v>
      </c>
      <c r="C35" t="s">
        <v>558</v>
      </c>
      <c r="D35" t="s">
        <v>592</v>
      </c>
      <c r="E35">
        <v>-33</v>
      </c>
      <c r="F35" t="s">
        <v>559</v>
      </c>
      <c r="G35" t="s">
        <v>560</v>
      </c>
    </row>
    <row r="36" spans="1:7">
      <c r="A36" t="s">
        <v>182</v>
      </c>
      <c r="B36" t="s">
        <v>557</v>
      </c>
      <c r="C36" t="s">
        <v>558</v>
      </c>
      <c r="D36" t="s">
        <v>593</v>
      </c>
      <c r="E36">
        <v>-34</v>
      </c>
      <c r="F36" t="s">
        <v>559</v>
      </c>
      <c r="G36" t="s">
        <v>560</v>
      </c>
    </row>
    <row r="37" spans="1:7">
      <c r="A37" t="s">
        <v>182</v>
      </c>
      <c r="B37" t="s">
        <v>557</v>
      </c>
      <c r="C37" t="s">
        <v>558</v>
      </c>
      <c r="D37" t="s">
        <v>594</v>
      </c>
      <c r="E37">
        <v>-35</v>
      </c>
      <c r="F37" t="s">
        <v>559</v>
      </c>
      <c r="G37" t="s">
        <v>560</v>
      </c>
    </row>
    <row r="38" spans="1:7">
      <c r="A38" t="s">
        <v>182</v>
      </c>
      <c r="B38" t="s">
        <v>557</v>
      </c>
      <c r="C38" t="s">
        <v>558</v>
      </c>
      <c r="D38" t="s">
        <v>595</v>
      </c>
      <c r="E38">
        <v>-36</v>
      </c>
      <c r="F38" t="s">
        <v>559</v>
      </c>
      <c r="G38" t="s">
        <v>560</v>
      </c>
    </row>
    <row r="39" spans="1:7">
      <c r="A39" t="s">
        <v>182</v>
      </c>
      <c r="B39" t="s">
        <v>557</v>
      </c>
      <c r="C39" t="s">
        <v>558</v>
      </c>
      <c r="D39" t="s">
        <v>596</v>
      </c>
      <c r="E39">
        <v>-37</v>
      </c>
      <c r="F39" t="s">
        <v>559</v>
      </c>
      <c r="G39" t="s">
        <v>560</v>
      </c>
    </row>
    <row r="40" spans="1:7">
      <c r="A40" t="s">
        <v>182</v>
      </c>
      <c r="B40" t="s">
        <v>557</v>
      </c>
      <c r="C40" t="s">
        <v>558</v>
      </c>
      <c r="D40" t="s">
        <v>597</v>
      </c>
      <c r="E40">
        <v>-38</v>
      </c>
      <c r="F40" t="s">
        <v>559</v>
      </c>
      <c r="G40" t="s">
        <v>560</v>
      </c>
    </row>
    <row r="41" spans="1:7">
      <c r="A41" t="s">
        <v>182</v>
      </c>
      <c r="B41" t="s">
        <v>557</v>
      </c>
      <c r="C41" t="s">
        <v>558</v>
      </c>
      <c r="D41" t="s">
        <v>598</v>
      </c>
      <c r="E41">
        <v>-39</v>
      </c>
      <c r="F41" t="s">
        <v>559</v>
      </c>
      <c r="G41" t="s">
        <v>560</v>
      </c>
    </row>
    <row r="42" spans="1:7">
      <c r="A42" t="s">
        <v>182</v>
      </c>
      <c r="B42" t="s">
        <v>557</v>
      </c>
      <c r="C42" t="s">
        <v>558</v>
      </c>
      <c r="D42" t="s">
        <v>599</v>
      </c>
      <c r="E42">
        <v>-40</v>
      </c>
      <c r="F42" t="s">
        <v>559</v>
      </c>
      <c r="G42" t="s">
        <v>560</v>
      </c>
    </row>
    <row r="43" spans="1:7">
      <c r="A43" t="s">
        <v>182</v>
      </c>
      <c r="B43" t="s">
        <v>557</v>
      </c>
      <c r="C43" t="s">
        <v>558</v>
      </c>
      <c r="D43" t="s">
        <v>600</v>
      </c>
      <c r="E43">
        <v>-41</v>
      </c>
      <c r="F43" t="s">
        <v>559</v>
      </c>
      <c r="G43" t="s">
        <v>560</v>
      </c>
    </row>
    <row r="44" spans="1:7">
      <c r="A44" t="s">
        <v>182</v>
      </c>
      <c r="B44" t="s">
        <v>557</v>
      </c>
      <c r="C44" t="s">
        <v>558</v>
      </c>
      <c r="D44" t="s">
        <v>601</v>
      </c>
      <c r="E44">
        <v>-42</v>
      </c>
      <c r="F44" t="s">
        <v>559</v>
      </c>
      <c r="G44" t="s">
        <v>560</v>
      </c>
    </row>
    <row r="45" spans="1:7">
      <c r="A45" t="s">
        <v>182</v>
      </c>
      <c r="B45" t="s">
        <v>557</v>
      </c>
      <c r="C45" t="s">
        <v>558</v>
      </c>
      <c r="D45" t="s">
        <v>602</v>
      </c>
      <c r="E45">
        <v>-43</v>
      </c>
      <c r="F45" t="s">
        <v>559</v>
      </c>
      <c r="G45" t="s">
        <v>560</v>
      </c>
    </row>
    <row r="46" spans="1:7">
      <c r="A46" t="s">
        <v>182</v>
      </c>
      <c r="B46" t="s">
        <v>557</v>
      </c>
      <c r="C46" t="s">
        <v>558</v>
      </c>
      <c r="D46" t="s">
        <v>603</v>
      </c>
      <c r="E46">
        <v>-44</v>
      </c>
      <c r="F46" t="s">
        <v>559</v>
      </c>
      <c r="G46" t="s">
        <v>560</v>
      </c>
    </row>
    <row r="47" spans="1:7">
      <c r="A47" t="s">
        <v>182</v>
      </c>
      <c r="B47" t="s">
        <v>557</v>
      </c>
      <c r="C47" t="s">
        <v>558</v>
      </c>
      <c r="D47" t="s">
        <v>604</v>
      </c>
      <c r="E47">
        <v>-45</v>
      </c>
      <c r="F47" t="s">
        <v>559</v>
      </c>
      <c r="G47" t="s">
        <v>560</v>
      </c>
    </row>
    <row r="48" spans="1:7">
      <c r="A48" t="s">
        <v>182</v>
      </c>
      <c r="B48" t="s">
        <v>557</v>
      </c>
      <c r="C48" t="s">
        <v>558</v>
      </c>
      <c r="D48" t="s">
        <v>605</v>
      </c>
      <c r="E48">
        <v>-46</v>
      </c>
      <c r="F48" t="s">
        <v>559</v>
      </c>
      <c r="G48" t="s">
        <v>560</v>
      </c>
    </row>
    <row r="49" spans="1:7">
      <c r="A49" t="s">
        <v>182</v>
      </c>
      <c r="B49" t="s">
        <v>557</v>
      </c>
      <c r="C49" t="s">
        <v>558</v>
      </c>
      <c r="D49" t="s">
        <v>606</v>
      </c>
      <c r="E49">
        <v>-47</v>
      </c>
      <c r="F49" t="s">
        <v>559</v>
      </c>
      <c r="G49" t="s">
        <v>560</v>
      </c>
    </row>
    <row r="50" spans="1:7">
      <c r="A50" t="s">
        <v>182</v>
      </c>
      <c r="B50" t="s">
        <v>557</v>
      </c>
      <c r="C50" t="s">
        <v>558</v>
      </c>
      <c r="D50" t="s">
        <v>607</v>
      </c>
      <c r="E50">
        <v>-48</v>
      </c>
      <c r="F50" t="s">
        <v>559</v>
      </c>
      <c r="G50" t="s">
        <v>560</v>
      </c>
    </row>
    <row r="51" spans="1:7">
      <c r="A51" t="s">
        <v>182</v>
      </c>
      <c r="B51" t="s">
        <v>557</v>
      </c>
      <c r="C51" t="s">
        <v>558</v>
      </c>
      <c r="D51" t="s">
        <v>608</v>
      </c>
      <c r="E51">
        <v>-49</v>
      </c>
      <c r="F51" t="s">
        <v>559</v>
      </c>
      <c r="G51" t="s">
        <v>560</v>
      </c>
    </row>
    <row r="52" spans="1:7">
      <c r="A52" t="s">
        <v>182</v>
      </c>
      <c r="B52" t="s">
        <v>557</v>
      </c>
      <c r="C52" t="s">
        <v>558</v>
      </c>
      <c r="D52" t="s">
        <v>609</v>
      </c>
      <c r="E52">
        <v>-50</v>
      </c>
      <c r="F52" t="s">
        <v>559</v>
      </c>
      <c r="G52" t="s">
        <v>560</v>
      </c>
    </row>
    <row r="53" spans="1:7">
      <c r="A53" t="s">
        <v>182</v>
      </c>
      <c r="B53" t="s">
        <v>557</v>
      </c>
      <c r="C53" t="s">
        <v>558</v>
      </c>
      <c r="D53" t="s">
        <v>610</v>
      </c>
      <c r="E53">
        <v>-51</v>
      </c>
      <c r="F53" t="s">
        <v>559</v>
      </c>
      <c r="G53" t="s">
        <v>560</v>
      </c>
    </row>
    <row r="54" spans="1:7">
      <c r="A54" t="s">
        <v>182</v>
      </c>
      <c r="B54" t="s">
        <v>557</v>
      </c>
      <c r="C54" t="s">
        <v>558</v>
      </c>
      <c r="D54" t="s">
        <v>611</v>
      </c>
      <c r="E54">
        <v>-52</v>
      </c>
      <c r="F54" t="s">
        <v>559</v>
      </c>
      <c r="G54" t="s">
        <v>560</v>
      </c>
    </row>
    <row r="55" spans="1:7">
      <c r="A55" t="s">
        <v>182</v>
      </c>
      <c r="B55" t="s">
        <v>557</v>
      </c>
      <c r="C55" t="s">
        <v>558</v>
      </c>
      <c r="D55" t="s">
        <v>612</v>
      </c>
      <c r="E55">
        <v>-53</v>
      </c>
      <c r="F55" t="s">
        <v>559</v>
      </c>
      <c r="G55" t="s">
        <v>560</v>
      </c>
    </row>
    <row r="56" spans="1:7">
      <c r="A56" t="s">
        <v>182</v>
      </c>
      <c r="B56" t="s">
        <v>557</v>
      </c>
      <c r="C56" t="s">
        <v>558</v>
      </c>
      <c r="D56" t="s">
        <v>613</v>
      </c>
      <c r="E56">
        <v>-54</v>
      </c>
      <c r="F56" t="s">
        <v>559</v>
      </c>
      <c r="G56" t="s">
        <v>560</v>
      </c>
    </row>
    <row r="57" spans="1:7">
      <c r="A57" t="s">
        <v>182</v>
      </c>
      <c r="B57" t="s">
        <v>557</v>
      </c>
      <c r="C57" t="s">
        <v>558</v>
      </c>
      <c r="D57" t="s">
        <v>614</v>
      </c>
      <c r="E57">
        <v>-55</v>
      </c>
      <c r="F57" t="s">
        <v>559</v>
      </c>
      <c r="G57" t="s">
        <v>560</v>
      </c>
    </row>
    <row r="58" spans="1:7">
      <c r="A58" t="s">
        <v>182</v>
      </c>
      <c r="B58" t="s">
        <v>557</v>
      </c>
      <c r="C58" t="s">
        <v>558</v>
      </c>
      <c r="D58" t="s">
        <v>615</v>
      </c>
      <c r="E58">
        <v>-56</v>
      </c>
      <c r="F58" t="s">
        <v>559</v>
      </c>
      <c r="G58" t="s">
        <v>560</v>
      </c>
    </row>
    <row r="59" spans="1:7">
      <c r="A59" t="s">
        <v>182</v>
      </c>
      <c r="B59" t="s">
        <v>557</v>
      </c>
      <c r="C59" t="s">
        <v>558</v>
      </c>
      <c r="D59" t="s">
        <v>616</v>
      </c>
      <c r="E59">
        <v>-57</v>
      </c>
      <c r="F59" t="s">
        <v>559</v>
      </c>
      <c r="G59" t="s">
        <v>560</v>
      </c>
    </row>
    <row r="60" spans="1:7">
      <c r="A60" t="s">
        <v>182</v>
      </c>
      <c r="B60" t="s">
        <v>557</v>
      </c>
      <c r="C60" t="s">
        <v>558</v>
      </c>
      <c r="D60" t="s">
        <v>617</v>
      </c>
      <c r="E60">
        <v>-58</v>
      </c>
      <c r="F60" t="s">
        <v>559</v>
      </c>
      <c r="G60" t="s">
        <v>560</v>
      </c>
    </row>
    <row r="61" spans="1:7">
      <c r="A61" t="s">
        <v>182</v>
      </c>
      <c r="B61" t="s">
        <v>557</v>
      </c>
      <c r="C61" t="s">
        <v>558</v>
      </c>
      <c r="D61" t="s">
        <v>618</v>
      </c>
      <c r="E61">
        <v>-59</v>
      </c>
      <c r="F61" t="s">
        <v>559</v>
      </c>
      <c r="G61" t="s">
        <v>560</v>
      </c>
    </row>
    <row r="62" spans="1:7">
      <c r="A62" t="s">
        <v>182</v>
      </c>
      <c r="B62" t="s">
        <v>557</v>
      </c>
      <c r="C62" t="s">
        <v>558</v>
      </c>
      <c r="D62" t="s">
        <v>619</v>
      </c>
      <c r="E62">
        <v>-60</v>
      </c>
      <c r="F62" t="s">
        <v>559</v>
      </c>
      <c r="G62" t="s">
        <v>560</v>
      </c>
    </row>
    <row r="63" spans="1:7">
      <c r="A63" t="s">
        <v>182</v>
      </c>
      <c r="B63" t="s">
        <v>557</v>
      </c>
      <c r="C63" t="s">
        <v>558</v>
      </c>
      <c r="D63" t="s">
        <v>620</v>
      </c>
      <c r="E63">
        <v>-61</v>
      </c>
      <c r="F63" t="s">
        <v>559</v>
      </c>
      <c r="G63" t="s">
        <v>560</v>
      </c>
    </row>
    <row r="64" spans="1:7">
      <c r="A64" t="s">
        <v>182</v>
      </c>
      <c r="B64" t="s">
        <v>557</v>
      </c>
      <c r="C64" t="s">
        <v>558</v>
      </c>
      <c r="D64" t="s">
        <v>621</v>
      </c>
      <c r="E64">
        <v>-62</v>
      </c>
      <c r="F64" t="s">
        <v>559</v>
      </c>
      <c r="G64" t="s">
        <v>560</v>
      </c>
    </row>
    <row r="65" spans="1:7">
      <c r="A65" t="s">
        <v>182</v>
      </c>
      <c r="B65" t="s">
        <v>557</v>
      </c>
      <c r="C65" t="s">
        <v>558</v>
      </c>
      <c r="D65" t="s">
        <v>622</v>
      </c>
      <c r="E65">
        <v>-63</v>
      </c>
      <c r="F65" t="s">
        <v>559</v>
      </c>
      <c r="G65" t="s">
        <v>560</v>
      </c>
    </row>
    <row r="66" spans="1:7">
      <c r="A66" t="s">
        <v>182</v>
      </c>
      <c r="B66" t="s">
        <v>557</v>
      </c>
      <c r="C66" t="s">
        <v>558</v>
      </c>
      <c r="D66" t="s">
        <v>623</v>
      </c>
      <c r="E66">
        <v>-64</v>
      </c>
      <c r="F66" t="s">
        <v>559</v>
      </c>
      <c r="G66" t="s">
        <v>560</v>
      </c>
    </row>
    <row r="67" spans="1:7">
      <c r="A67" t="s">
        <v>182</v>
      </c>
      <c r="B67" t="s">
        <v>557</v>
      </c>
      <c r="C67" t="s">
        <v>558</v>
      </c>
      <c r="D67" t="s">
        <v>624</v>
      </c>
      <c r="E67">
        <v>-65</v>
      </c>
      <c r="F67" t="s">
        <v>559</v>
      </c>
      <c r="G67" t="s">
        <v>560</v>
      </c>
    </row>
    <row r="68" spans="1:7">
      <c r="A68" t="s">
        <v>182</v>
      </c>
      <c r="B68" t="s">
        <v>557</v>
      </c>
      <c r="C68" t="s">
        <v>558</v>
      </c>
      <c r="D68" t="s">
        <v>625</v>
      </c>
      <c r="E68">
        <v>-66</v>
      </c>
      <c r="F68" t="s">
        <v>559</v>
      </c>
      <c r="G68" t="s">
        <v>560</v>
      </c>
    </row>
    <row r="69" spans="1:7">
      <c r="A69" t="s">
        <v>182</v>
      </c>
      <c r="B69" t="s">
        <v>557</v>
      </c>
      <c r="C69" t="s">
        <v>558</v>
      </c>
      <c r="D69" t="s">
        <v>626</v>
      </c>
      <c r="E69">
        <v>-67</v>
      </c>
      <c r="F69" t="s">
        <v>559</v>
      </c>
      <c r="G69" t="s">
        <v>560</v>
      </c>
    </row>
    <row r="70" spans="1:7">
      <c r="A70" t="s">
        <v>182</v>
      </c>
      <c r="B70" t="s">
        <v>557</v>
      </c>
      <c r="C70" t="s">
        <v>558</v>
      </c>
      <c r="D70" t="s">
        <v>627</v>
      </c>
      <c r="E70">
        <v>-68</v>
      </c>
      <c r="F70" t="s">
        <v>559</v>
      </c>
      <c r="G70" t="s">
        <v>560</v>
      </c>
    </row>
    <row r="71" spans="1:7">
      <c r="A71" t="s">
        <v>182</v>
      </c>
      <c r="B71" t="s">
        <v>557</v>
      </c>
      <c r="C71" t="s">
        <v>558</v>
      </c>
      <c r="D71" t="s">
        <v>628</v>
      </c>
      <c r="E71">
        <v>-69</v>
      </c>
      <c r="F71" t="s">
        <v>559</v>
      </c>
      <c r="G71" t="s">
        <v>560</v>
      </c>
    </row>
    <row r="72" spans="1:7">
      <c r="A72" t="s">
        <v>182</v>
      </c>
      <c r="B72" t="s">
        <v>557</v>
      </c>
      <c r="C72" t="s">
        <v>558</v>
      </c>
      <c r="D72" t="s">
        <v>629</v>
      </c>
      <c r="E72">
        <v>-70</v>
      </c>
      <c r="F72" t="s">
        <v>559</v>
      </c>
      <c r="G72" t="s">
        <v>560</v>
      </c>
    </row>
    <row r="73" spans="1:7">
      <c r="A73" t="s">
        <v>182</v>
      </c>
      <c r="B73" t="s">
        <v>557</v>
      </c>
      <c r="C73" t="s">
        <v>558</v>
      </c>
      <c r="D73" t="s">
        <v>630</v>
      </c>
      <c r="E73">
        <v>-71</v>
      </c>
      <c r="F73" t="s">
        <v>559</v>
      </c>
      <c r="G73" t="s">
        <v>560</v>
      </c>
    </row>
    <row r="74" spans="1:7">
      <c r="A74" t="s">
        <v>182</v>
      </c>
      <c r="B74" t="s">
        <v>557</v>
      </c>
      <c r="C74" t="s">
        <v>558</v>
      </c>
      <c r="D74" t="s">
        <v>631</v>
      </c>
      <c r="E74">
        <v>-72</v>
      </c>
      <c r="F74" t="s">
        <v>559</v>
      </c>
      <c r="G74" t="s">
        <v>560</v>
      </c>
    </row>
    <row r="75" spans="1:7">
      <c r="A75" t="s">
        <v>182</v>
      </c>
      <c r="B75" t="s">
        <v>557</v>
      </c>
      <c r="C75" t="s">
        <v>558</v>
      </c>
      <c r="D75" t="s">
        <v>632</v>
      </c>
      <c r="E75">
        <v>-73</v>
      </c>
      <c r="F75" t="s">
        <v>559</v>
      </c>
      <c r="G75" t="s">
        <v>560</v>
      </c>
    </row>
    <row r="76" spans="1:7">
      <c r="A76" t="s">
        <v>182</v>
      </c>
      <c r="B76" t="s">
        <v>557</v>
      </c>
      <c r="C76" t="s">
        <v>558</v>
      </c>
      <c r="D76" t="s">
        <v>633</v>
      </c>
      <c r="E76">
        <v>-74</v>
      </c>
      <c r="F76" t="s">
        <v>559</v>
      </c>
      <c r="G76" t="s">
        <v>560</v>
      </c>
    </row>
    <row r="77" spans="1:7">
      <c r="A77" t="s">
        <v>182</v>
      </c>
      <c r="B77" t="s">
        <v>557</v>
      </c>
      <c r="C77" t="s">
        <v>558</v>
      </c>
      <c r="D77" t="s">
        <v>634</v>
      </c>
      <c r="E77">
        <v>-75</v>
      </c>
      <c r="F77" t="s">
        <v>559</v>
      </c>
      <c r="G77" t="s">
        <v>560</v>
      </c>
    </row>
    <row r="78" spans="1:7">
      <c r="A78" t="s">
        <v>182</v>
      </c>
      <c r="B78" t="s">
        <v>557</v>
      </c>
      <c r="C78" t="s">
        <v>558</v>
      </c>
      <c r="D78" t="s">
        <v>635</v>
      </c>
      <c r="E78">
        <v>-76</v>
      </c>
      <c r="F78" t="s">
        <v>559</v>
      </c>
      <c r="G78" t="s">
        <v>560</v>
      </c>
    </row>
    <row r="79" spans="1:7">
      <c r="A79" t="s">
        <v>182</v>
      </c>
      <c r="B79" t="s">
        <v>557</v>
      </c>
      <c r="C79" t="s">
        <v>558</v>
      </c>
      <c r="D79" t="s">
        <v>636</v>
      </c>
      <c r="E79">
        <v>-77</v>
      </c>
      <c r="F79" t="s">
        <v>559</v>
      </c>
      <c r="G79" t="s">
        <v>560</v>
      </c>
    </row>
    <row r="80" spans="1:7">
      <c r="A80" t="s">
        <v>182</v>
      </c>
      <c r="B80" t="s">
        <v>557</v>
      </c>
      <c r="C80" t="s">
        <v>558</v>
      </c>
      <c r="D80" t="s">
        <v>637</v>
      </c>
      <c r="E80">
        <v>-78</v>
      </c>
      <c r="F80" t="s">
        <v>559</v>
      </c>
      <c r="G80" t="s">
        <v>560</v>
      </c>
    </row>
    <row r="81" spans="1:7">
      <c r="A81" t="s">
        <v>182</v>
      </c>
      <c r="B81" t="s">
        <v>557</v>
      </c>
      <c r="C81" t="s">
        <v>558</v>
      </c>
      <c r="D81" t="s">
        <v>638</v>
      </c>
      <c r="E81">
        <v>-79</v>
      </c>
      <c r="F81" t="s">
        <v>559</v>
      </c>
      <c r="G81" t="s">
        <v>560</v>
      </c>
    </row>
    <row r="82" spans="1:7">
      <c r="A82" t="s">
        <v>182</v>
      </c>
      <c r="B82" t="s">
        <v>557</v>
      </c>
      <c r="C82" t="s">
        <v>558</v>
      </c>
      <c r="D82" t="s">
        <v>639</v>
      </c>
      <c r="E82">
        <v>-80</v>
      </c>
      <c r="F82" t="s">
        <v>559</v>
      </c>
      <c r="G82" t="s">
        <v>560</v>
      </c>
    </row>
    <row r="83" spans="1:7">
      <c r="A83" t="s">
        <v>182</v>
      </c>
      <c r="B83" t="s">
        <v>557</v>
      </c>
      <c r="C83" t="s">
        <v>558</v>
      </c>
      <c r="D83" t="s">
        <v>640</v>
      </c>
      <c r="E83">
        <v>-81</v>
      </c>
      <c r="F83" t="s">
        <v>559</v>
      </c>
      <c r="G83" t="s">
        <v>560</v>
      </c>
    </row>
    <row r="84" spans="1:7">
      <c r="A84" t="s">
        <v>182</v>
      </c>
      <c r="B84" t="s">
        <v>557</v>
      </c>
      <c r="C84" t="s">
        <v>558</v>
      </c>
      <c r="D84" t="s">
        <v>641</v>
      </c>
      <c r="E84">
        <v>-82</v>
      </c>
      <c r="F84" t="s">
        <v>559</v>
      </c>
      <c r="G84" t="s">
        <v>560</v>
      </c>
    </row>
    <row r="85" spans="1:7">
      <c r="A85" t="s">
        <v>182</v>
      </c>
      <c r="B85" t="s">
        <v>557</v>
      </c>
      <c r="C85" t="s">
        <v>558</v>
      </c>
      <c r="D85" t="s">
        <v>642</v>
      </c>
      <c r="E85">
        <v>-83</v>
      </c>
      <c r="F85" t="s">
        <v>559</v>
      </c>
      <c r="G85" t="s">
        <v>560</v>
      </c>
    </row>
    <row r="86" spans="1:7">
      <c r="A86" t="s">
        <v>182</v>
      </c>
      <c r="B86" t="s">
        <v>557</v>
      </c>
      <c r="C86" t="s">
        <v>558</v>
      </c>
      <c r="D86" t="s">
        <v>643</v>
      </c>
      <c r="E86">
        <v>-84</v>
      </c>
      <c r="F86" t="s">
        <v>559</v>
      </c>
      <c r="G86" t="s">
        <v>560</v>
      </c>
    </row>
    <row r="87" spans="1:7">
      <c r="A87" t="s">
        <v>182</v>
      </c>
      <c r="B87" t="s">
        <v>557</v>
      </c>
      <c r="C87" t="s">
        <v>558</v>
      </c>
      <c r="D87" t="s">
        <v>644</v>
      </c>
      <c r="E87">
        <v>-85</v>
      </c>
      <c r="F87" t="s">
        <v>559</v>
      </c>
      <c r="G87" t="s">
        <v>560</v>
      </c>
    </row>
    <row r="88" spans="1:7">
      <c r="A88" t="s">
        <v>182</v>
      </c>
      <c r="B88" t="s">
        <v>557</v>
      </c>
      <c r="C88" t="s">
        <v>558</v>
      </c>
      <c r="D88" t="s">
        <v>645</v>
      </c>
      <c r="E88">
        <v>-86</v>
      </c>
      <c r="F88" t="s">
        <v>559</v>
      </c>
      <c r="G88" t="s">
        <v>560</v>
      </c>
    </row>
    <row r="89" spans="1:7">
      <c r="A89" t="s">
        <v>182</v>
      </c>
      <c r="B89" t="s">
        <v>557</v>
      </c>
      <c r="C89" t="s">
        <v>558</v>
      </c>
      <c r="D89" t="s">
        <v>646</v>
      </c>
      <c r="E89">
        <v>-87</v>
      </c>
      <c r="F89" t="s">
        <v>559</v>
      </c>
      <c r="G89" t="s">
        <v>560</v>
      </c>
    </row>
    <row r="90" spans="1:7">
      <c r="A90" t="s">
        <v>182</v>
      </c>
      <c r="B90" t="s">
        <v>557</v>
      </c>
      <c r="C90" t="s">
        <v>558</v>
      </c>
      <c r="D90" t="s">
        <v>647</v>
      </c>
      <c r="E90">
        <v>-88</v>
      </c>
      <c r="F90" t="s">
        <v>559</v>
      </c>
      <c r="G90" t="s">
        <v>560</v>
      </c>
    </row>
    <row r="91" spans="1:7">
      <c r="A91" t="s">
        <v>182</v>
      </c>
      <c r="B91" t="s">
        <v>557</v>
      </c>
      <c r="C91" t="s">
        <v>558</v>
      </c>
      <c r="D91" t="s">
        <v>648</v>
      </c>
      <c r="E91">
        <v>-89</v>
      </c>
      <c r="F91" t="s">
        <v>559</v>
      </c>
      <c r="G91" t="s">
        <v>560</v>
      </c>
    </row>
    <row r="92" spans="1:7">
      <c r="A92" t="s">
        <v>182</v>
      </c>
      <c r="B92" t="s">
        <v>557</v>
      </c>
      <c r="C92" t="s">
        <v>558</v>
      </c>
      <c r="D92" t="s">
        <v>649</v>
      </c>
      <c r="E92">
        <v>-90</v>
      </c>
      <c r="F92" t="s">
        <v>559</v>
      </c>
      <c r="G92" t="s">
        <v>560</v>
      </c>
    </row>
    <row r="93" spans="1:7">
      <c r="A93" t="s">
        <v>182</v>
      </c>
      <c r="B93" t="s">
        <v>557</v>
      </c>
      <c r="C93" t="s">
        <v>558</v>
      </c>
      <c r="D93" t="s">
        <v>650</v>
      </c>
      <c r="E93">
        <v>-91</v>
      </c>
      <c r="F93" t="s">
        <v>559</v>
      </c>
      <c r="G93" t="s">
        <v>560</v>
      </c>
    </row>
    <row r="94" spans="1:7">
      <c r="A94" t="s">
        <v>182</v>
      </c>
      <c r="B94" t="s">
        <v>557</v>
      </c>
      <c r="C94" t="s">
        <v>558</v>
      </c>
      <c r="D94" t="s">
        <v>651</v>
      </c>
      <c r="E94">
        <v>-92</v>
      </c>
      <c r="F94" t="s">
        <v>559</v>
      </c>
      <c r="G94" t="s">
        <v>560</v>
      </c>
    </row>
    <row r="95" spans="1:7">
      <c r="A95" t="s">
        <v>182</v>
      </c>
      <c r="B95" t="s">
        <v>557</v>
      </c>
      <c r="C95" t="s">
        <v>558</v>
      </c>
      <c r="D95" t="s">
        <v>652</v>
      </c>
      <c r="E95">
        <v>-93</v>
      </c>
      <c r="F95" t="s">
        <v>559</v>
      </c>
      <c r="G95" t="s">
        <v>560</v>
      </c>
    </row>
    <row r="96" spans="1:7">
      <c r="A96" t="s">
        <v>182</v>
      </c>
      <c r="B96" t="s">
        <v>557</v>
      </c>
      <c r="C96" t="s">
        <v>558</v>
      </c>
      <c r="D96" t="s">
        <v>653</v>
      </c>
      <c r="E96">
        <v>-94</v>
      </c>
      <c r="F96" t="s">
        <v>559</v>
      </c>
      <c r="G96" t="s">
        <v>560</v>
      </c>
    </row>
    <row r="97" spans="1:7">
      <c r="A97" t="s">
        <v>182</v>
      </c>
      <c r="B97" t="s">
        <v>557</v>
      </c>
      <c r="C97" t="s">
        <v>558</v>
      </c>
      <c r="D97" t="s">
        <v>654</v>
      </c>
      <c r="E97">
        <v>-95</v>
      </c>
      <c r="F97" t="s">
        <v>559</v>
      </c>
      <c r="G97" t="s">
        <v>560</v>
      </c>
    </row>
    <row r="98" spans="1:7">
      <c r="A98" t="s">
        <v>182</v>
      </c>
      <c r="B98" t="s">
        <v>557</v>
      </c>
      <c r="C98" t="s">
        <v>558</v>
      </c>
      <c r="D98" t="s">
        <v>655</v>
      </c>
      <c r="E98">
        <v>-96</v>
      </c>
      <c r="F98" t="s">
        <v>559</v>
      </c>
      <c r="G98" t="s">
        <v>560</v>
      </c>
    </row>
    <row r="99" spans="1:7">
      <c r="A99" t="s">
        <v>182</v>
      </c>
      <c r="B99" t="s">
        <v>557</v>
      </c>
      <c r="C99" t="s">
        <v>558</v>
      </c>
      <c r="D99" t="s">
        <v>656</v>
      </c>
      <c r="E99">
        <v>-97</v>
      </c>
      <c r="F99" t="s">
        <v>559</v>
      </c>
      <c r="G99" t="s">
        <v>560</v>
      </c>
    </row>
    <row r="100" spans="1:7">
      <c r="A100" t="s">
        <v>182</v>
      </c>
      <c r="B100" t="s">
        <v>557</v>
      </c>
      <c r="C100" t="s">
        <v>558</v>
      </c>
      <c r="D100" t="s">
        <v>657</v>
      </c>
      <c r="E100">
        <v>-98</v>
      </c>
      <c r="F100" t="s">
        <v>559</v>
      </c>
      <c r="G100" t="s">
        <v>560</v>
      </c>
    </row>
    <row r="101" spans="1:7">
      <c r="A101" t="s">
        <v>182</v>
      </c>
      <c r="B101" t="s">
        <v>557</v>
      </c>
      <c r="C101" t="s">
        <v>558</v>
      </c>
      <c r="D101" t="s">
        <v>658</v>
      </c>
      <c r="E101">
        <v>-99</v>
      </c>
      <c r="F101" t="s">
        <v>559</v>
      </c>
      <c r="G101" t="s">
        <v>560</v>
      </c>
    </row>
    <row r="102" spans="1:7">
      <c r="A102" t="s">
        <v>182</v>
      </c>
      <c r="B102" t="s">
        <v>557</v>
      </c>
      <c r="C102" t="s">
        <v>558</v>
      </c>
      <c r="D102" t="s">
        <v>659</v>
      </c>
      <c r="E102">
        <v>-100</v>
      </c>
      <c r="F102" t="s">
        <v>559</v>
      </c>
      <c r="G102" t="s">
        <v>560</v>
      </c>
    </row>
    <row r="103" spans="1:7">
      <c r="A103" t="s">
        <v>182</v>
      </c>
      <c r="B103" t="s">
        <v>557</v>
      </c>
      <c r="C103" t="s">
        <v>558</v>
      </c>
      <c r="D103" t="s">
        <v>660</v>
      </c>
      <c r="E103">
        <v>-101</v>
      </c>
      <c r="F103" t="s">
        <v>559</v>
      </c>
      <c r="G103" t="s">
        <v>560</v>
      </c>
    </row>
    <row r="104" spans="1:7">
      <c r="A104" t="s">
        <v>182</v>
      </c>
      <c r="B104" t="s">
        <v>557</v>
      </c>
      <c r="C104" t="s">
        <v>558</v>
      </c>
      <c r="D104" t="s">
        <v>661</v>
      </c>
      <c r="E104">
        <v>-102</v>
      </c>
      <c r="F104" t="s">
        <v>559</v>
      </c>
      <c r="G104" t="s">
        <v>560</v>
      </c>
    </row>
    <row r="105" spans="1:7">
      <c r="A105" t="s">
        <v>182</v>
      </c>
      <c r="B105" t="s">
        <v>557</v>
      </c>
      <c r="C105" t="s">
        <v>558</v>
      </c>
      <c r="D105" t="s">
        <v>662</v>
      </c>
      <c r="E105">
        <v>-103</v>
      </c>
      <c r="F105" t="s">
        <v>559</v>
      </c>
      <c r="G105" t="s">
        <v>560</v>
      </c>
    </row>
    <row r="106" spans="1:7">
      <c r="A106" t="s">
        <v>182</v>
      </c>
      <c r="B106" t="s">
        <v>557</v>
      </c>
      <c r="C106" t="s">
        <v>558</v>
      </c>
      <c r="D106" t="s">
        <v>663</v>
      </c>
      <c r="E106">
        <v>-104</v>
      </c>
      <c r="F106" t="s">
        <v>559</v>
      </c>
      <c r="G106" t="s">
        <v>560</v>
      </c>
    </row>
    <row r="107" spans="1:7">
      <c r="A107" t="s">
        <v>182</v>
      </c>
      <c r="B107" t="s">
        <v>557</v>
      </c>
      <c r="C107" t="s">
        <v>558</v>
      </c>
      <c r="D107" t="s">
        <v>664</v>
      </c>
      <c r="E107">
        <v>-105</v>
      </c>
      <c r="F107" t="s">
        <v>559</v>
      </c>
      <c r="G107" t="s">
        <v>560</v>
      </c>
    </row>
    <row r="108" spans="1:7">
      <c r="A108" t="s">
        <v>182</v>
      </c>
      <c r="B108" t="s">
        <v>557</v>
      </c>
      <c r="C108" t="s">
        <v>558</v>
      </c>
      <c r="D108" t="s">
        <v>665</v>
      </c>
      <c r="E108">
        <v>-106</v>
      </c>
      <c r="F108" t="s">
        <v>559</v>
      </c>
      <c r="G108" t="s">
        <v>560</v>
      </c>
    </row>
    <row r="109" spans="1:7">
      <c r="A109" t="s">
        <v>182</v>
      </c>
      <c r="B109" t="s">
        <v>557</v>
      </c>
      <c r="C109" t="s">
        <v>558</v>
      </c>
      <c r="D109" t="s">
        <v>666</v>
      </c>
      <c r="E109">
        <v>-107</v>
      </c>
      <c r="F109" t="s">
        <v>559</v>
      </c>
      <c r="G109" t="s">
        <v>560</v>
      </c>
    </row>
    <row r="110" spans="1:7">
      <c r="A110" t="s">
        <v>182</v>
      </c>
      <c r="B110" t="s">
        <v>557</v>
      </c>
      <c r="C110" t="s">
        <v>558</v>
      </c>
      <c r="D110" t="s">
        <v>667</v>
      </c>
      <c r="E110">
        <v>-108</v>
      </c>
      <c r="F110" t="s">
        <v>559</v>
      </c>
      <c r="G110" t="s">
        <v>560</v>
      </c>
    </row>
    <row r="111" spans="1:7">
      <c r="A111" t="s">
        <v>182</v>
      </c>
      <c r="B111" t="s">
        <v>557</v>
      </c>
      <c r="C111" t="s">
        <v>558</v>
      </c>
      <c r="D111" t="s">
        <v>668</v>
      </c>
      <c r="E111">
        <v>-109</v>
      </c>
      <c r="F111" t="s">
        <v>559</v>
      </c>
      <c r="G111" t="s">
        <v>560</v>
      </c>
    </row>
    <row r="112" spans="1:7">
      <c r="A112" t="s">
        <v>182</v>
      </c>
      <c r="B112" t="s">
        <v>557</v>
      </c>
      <c r="C112" t="s">
        <v>558</v>
      </c>
      <c r="D112" t="s">
        <v>669</v>
      </c>
      <c r="E112">
        <v>-110</v>
      </c>
      <c r="F112" t="s">
        <v>559</v>
      </c>
      <c r="G112" t="s">
        <v>560</v>
      </c>
    </row>
    <row r="113" spans="1:7">
      <c r="A113" t="s">
        <v>182</v>
      </c>
      <c r="B113" t="s">
        <v>557</v>
      </c>
      <c r="C113" t="s">
        <v>558</v>
      </c>
      <c r="D113" t="s">
        <v>670</v>
      </c>
      <c r="E113">
        <v>-111</v>
      </c>
      <c r="F113" t="s">
        <v>559</v>
      </c>
      <c r="G113" t="s">
        <v>560</v>
      </c>
    </row>
    <row r="114" spans="1:7">
      <c r="A114" t="s">
        <v>182</v>
      </c>
      <c r="B114" t="s">
        <v>557</v>
      </c>
      <c r="C114" t="s">
        <v>558</v>
      </c>
      <c r="D114" t="s">
        <v>671</v>
      </c>
      <c r="E114">
        <v>-112</v>
      </c>
      <c r="F114" t="s">
        <v>559</v>
      </c>
      <c r="G114" t="s">
        <v>560</v>
      </c>
    </row>
    <row r="115" spans="1:7">
      <c r="A115" t="s">
        <v>182</v>
      </c>
      <c r="B115" t="s">
        <v>557</v>
      </c>
      <c r="C115" t="s">
        <v>558</v>
      </c>
      <c r="D115" t="s">
        <v>672</v>
      </c>
      <c r="E115">
        <v>-113</v>
      </c>
      <c r="F115" t="s">
        <v>559</v>
      </c>
      <c r="G115" t="s">
        <v>560</v>
      </c>
    </row>
    <row r="116" spans="1:7">
      <c r="A116" t="s">
        <v>182</v>
      </c>
      <c r="B116" t="s">
        <v>557</v>
      </c>
      <c r="C116" t="s">
        <v>558</v>
      </c>
      <c r="D116" t="s">
        <v>673</v>
      </c>
      <c r="E116">
        <v>-114</v>
      </c>
      <c r="F116" t="s">
        <v>559</v>
      </c>
      <c r="G116" t="s">
        <v>560</v>
      </c>
    </row>
    <row r="117" spans="1:7">
      <c r="A117" t="s">
        <v>182</v>
      </c>
      <c r="B117" t="s">
        <v>557</v>
      </c>
      <c r="C117" t="s">
        <v>558</v>
      </c>
      <c r="D117" t="s">
        <v>674</v>
      </c>
      <c r="E117">
        <v>-115</v>
      </c>
      <c r="F117" t="s">
        <v>559</v>
      </c>
      <c r="G117" t="s">
        <v>560</v>
      </c>
    </row>
    <row r="118" spans="1:7">
      <c r="A118" t="s">
        <v>182</v>
      </c>
      <c r="B118" t="s">
        <v>557</v>
      </c>
      <c r="C118" t="s">
        <v>558</v>
      </c>
      <c r="D118" t="s">
        <v>675</v>
      </c>
      <c r="E118">
        <v>-116</v>
      </c>
      <c r="F118" t="s">
        <v>559</v>
      </c>
      <c r="G118" t="s">
        <v>560</v>
      </c>
    </row>
    <row r="119" spans="1:7">
      <c r="A119" t="s">
        <v>182</v>
      </c>
      <c r="B119" t="s">
        <v>557</v>
      </c>
      <c r="C119" t="s">
        <v>558</v>
      </c>
      <c r="D119" t="s">
        <v>676</v>
      </c>
      <c r="E119">
        <v>-117</v>
      </c>
      <c r="F119" t="s">
        <v>559</v>
      </c>
      <c r="G119" t="s">
        <v>560</v>
      </c>
    </row>
    <row r="120" spans="1:7">
      <c r="A120" t="s">
        <v>182</v>
      </c>
      <c r="B120" t="s">
        <v>557</v>
      </c>
      <c r="C120" t="s">
        <v>558</v>
      </c>
      <c r="D120" t="s">
        <v>677</v>
      </c>
      <c r="E120">
        <v>-118</v>
      </c>
      <c r="F120" t="s">
        <v>559</v>
      </c>
      <c r="G120" t="s">
        <v>560</v>
      </c>
    </row>
    <row r="121" spans="1:7">
      <c r="A121" t="s">
        <v>182</v>
      </c>
      <c r="B121" t="s">
        <v>557</v>
      </c>
      <c r="C121" t="s">
        <v>558</v>
      </c>
      <c r="D121" t="s">
        <v>678</v>
      </c>
      <c r="E121">
        <v>-119</v>
      </c>
      <c r="F121" t="s">
        <v>559</v>
      </c>
      <c r="G121" t="s">
        <v>560</v>
      </c>
    </row>
    <row r="122" spans="1:7">
      <c r="A122" t="s">
        <v>182</v>
      </c>
      <c r="B122" t="s">
        <v>557</v>
      </c>
      <c r="C122" t="s">
        <v>558</v>
      </c>
      <c r="D122" t="s">
        <v>679</v>
      </c>
      <c r="E122">
        <v>-120</v>
      </c>
      <c r="F122" t="s">
        <v>559</v>
      </c>
      <c r="G122" t="s">
        <v>560</v>
      </c>
    </row>
    <row r="123" spans="1:7">
      <c r="A123" t="s">
        <v>182</v>
      </c>
      <c r="B123" t="s">
        <v>557</v>
      </c>
      <c r="C123" t="s">
        <v>558</v>
      </c>
      <c r="D123" t="s">
        <v>680</v>
      </c>
      <c r="E123">
        <v>-121</v>
      </c>
      <c r="F123" t="s">
        <v>559</v>
      </c>
      <c r="G123" t="s">
        <v>560</v>
      </c>
    </row>
    <row r="124" spans="1:7">
      <c r="A124" t="s">
        <v>182</v>
      </c>
      <c r="B124" t="s">
        <v>557</v>
      </c>
      <c r="C124" t="s">
        <v>558</v>
      </c>
      <c r="D124" t="s">
        <v>681</v>
      </c>
      <c r="E124">
        <v>-122</v>
      </c>
      <c r="F124" t="s">
        <v>559</v>
      </c>
      <c r="G124" t="s">
        <v>560</v>
      </c>
    </row>
    <row r="125" spans="1:7">
      <c r="A125" t="s">
        <v>182</v>
      </c>
      <c r="B125" t="s">
        <v>557</v>
      </c>
      <c r="C125" t="s">
        <v>558</v>
      </c>
      <c r="D125" t="s">
        <v>682</v>
      </c>
      <c r="E125">
        <v>-123</v>
      </c>
      <c r="F125" t="s">
        <v>559</v>
      </c>
      <c r="G125" t="s">
        <v>560</v>
      </c>
    </row>
    <row r="126" spans="1:7">
      <c r="A126" t="s">
        <v>182</v>
      </c>
      <c r="B126" t="s">
        <v>557</v>
      </c>
      <c r="C126" t="s">
        <v>558</v>
      </c>
      <c r="D126" t="s">
        <v>683</v>
      </c>
      <c r="E126">
        <v>-124</v>
      </c>
      <c r="F126" t="s">
        <v>559</v>
      </c>
      <c r="G126" t="s">
        <v>560</v>
      </c>
    </row>
    <row r="127" spans="1:7">
      <c r="A127" t="s">
        <v>182</v>
      </c>
      <c r="B127" t="s">
        <v>557</v>
      </c>
      <c r="C127" t="s">
        <v>558</v>
      </c>
      <c r="D127" t="s">
        <v>684</v>
      </c>
      <c r="E127">
        <v>-125</v>
      </c>
      <c r="F127" t="s">
        <v>559</v>
      </c>
      <c r="G127" t="s">
        <v>560</v>
      </c>
    </row>
    <row r="128" spans="1:7">
      <c r="A128" t="s">
        <v>182</v>
      </c>
      <c r="B128" t="s">
        <v>557</v>
      </c>
      <c r="C128" t="s">
        <v>558</v>
      </c>
      <c r="D128" t="s">
        <v>685</v>
      </c>
      <c r="E128">
        <v>-126</v>
      </c>
      <c r="F128" t="s">
        <v>559</v>
      </c>
      <c r="G128" t="s">
        <v>560</v>
      </c>
    </row>
    <row r="129" spans="1:7">
      <c r="A129" t="s">
        <v>182</v>
      </c>
      <c r="B129" t="s">
        <v>557</v>
      </c>
      <c r="C129" t="s">
        <v>558</v>
      </c>
      <c r="D129" t="s">
        <v>686</v>
      </c>
      <c r="E129">
        <v>-127</v>
      </c>
      <c r="F129" t="s">
        <v>559</v>
      </c>
      <c r="G129" t="s">
        <v>560</v>
      </c>
    </row>
    <row r="130" spans="1:7">
      <c r="A130" t="s">
        <v>182</v>
      </c>
      <c r="B130" t="s">
        <v>557</v>
      </c>
      <c r="C130" t="s">
        <v>558</v>
      </c>
      <c r="D130" t="s">
        <v>687</v>
      </c>
      <c r="E130">
        <v>-128</v>
      </c>
      <c r="F130" t="s">
        <v>559</v>
      </c>
      <c r="G130" t="s">
        <v>560</v>
      </c>
    </row>
    <row r="131" spans="1:7">
      <c r="A131" t="s">
        <v>182</v>
      </c>
      <c r="B131" t="s">
        <v>557</v>
      </c>
      <c r="C131" t="s">
        <v>558</v>
      </c>
      <c r="D131" t="s">
        <v>688</v>
      </c>
      <c r="E131">
        <v>-129</v>
      </c>
      <c r="F131" t="s">
        <v>559</v>
      </c>
      <c r="G131" t="s">
        <v>560</v>
      </c>
    </row>
    <row r="132" spans="1:7">
      <c r="A132" t="s">
        <v>182</v>
      </c>
      <c r="B132" t="s">
        <v>557</v>
      </c>
      <c r="C132" t="s">
        <v>558</v>
      </c>
      <c r="D132" t="s">
        <v>689</v>
      </c>
      <c r="E132">
        <v>-130</v>
      </c>
      <c r="F132" t="s">
        <v>559</v>
      </c>
      <c r="G132" t="s">
        <v>560</v>
      </c>
    </row>
    <row r="133" spans="1:7">
      <c r="A133" t="s">
        <v>182</v>
      </c>
      <c r="B133" t="s">
        <v>557</v>
      </c>
      <c r="C133" t="s">
        <v>558</v>
      </c>
      <c r="D133" t="s">
        <v>690</v>
      </c>
      <c r="E133">
        <v>-131</v>
      </c>
      <c r="F133" t="s">
        <v>559</v>
      </c>
      <c r="G133" t="s">
        <v>560</v>
      </c>
    </row>
    <row r="134" spans="1:7">
      <c r="A134" t="s">
        <v>182</v>
      </c>
      <c r="B134" t="s">
        <v>557</v>
      </c>
      <c r="C134" t="s">
        <v>558</v>
      </c>
      <c r="D134" t="s">
        <v>691</v>
      </c>
      <c r="E134">
        <v>-132</v>
      </c>
      <c r="F134" t="s">
        <v>559</v>
      </c>
      <c r="G134" t="s">
        <v>560</v>
      </c>
    </row>
    <row r="135" spans="1:7">
      <c r="A135" t="s">
        <v>182</v>
      </c>
      <c r="B135" t="s">
        <v>557</v>
      </c>
      <c r="C135" t="s">
        <v>558</v>
      </c>
      <c r="D135" t="s">
        <v>692</v>
      </c>
      <c r="E135">
        <v>-133</v>
      </c>
      <c r="F135" t="s">
        <v>559</v>
      </c>
      <c r="G135" t="s">
        <v>560</v>
      </c>
    </row>
    <row r="136" spans="1:7">
      <c r="A136" t="s">
        <v>182</v>
      </c>
      <c r="B136" t="s">
        <v>557</v>
      </c>
      <c r="C136" t="s">
        <v>558</v>
      </c>
      <c r="D136" t="s">
        <v>693</v>
      </c>
      <c r="E136">
        <v>-134</v>
      </c>
      <c r="F136" t="s">
        <v>559</v>
      </c>
      <c r="G136" t="s">
        <v>560</v>
      </c>
    </row>
    <row r="137" spans="1:7">
      <c r="A137" t="s">
        <v>182</v>
      </c>
      <c r="B137" t="s">
        <v>557</v>
      </c>
      <c r="C137" t="s">
        <v>558</v>
      </c>
      <c r="D137" t="s">
        <v>694</v>
      </c>
      <c r="E137">
        <v>-135</v>
      </c>
      <c r="F137" t="s">
        <v>559</v>
      </c>
      <c r="G137" t="s">
        <v>560</v>
      </c>
    </row>
    <row r="138" spans="1:7">
      <c r="A138" t="s">
        <v>182</v>
      </c>
      <c r="B138" t="s">
        <v>557</v>
      </c>
      <c r="C138" t="s">
        <v>558</v>
      </c>
      <c r="D138" t="s">
        <v>695</v>
      </c>
      <c r="E138">
        <v>-136</v>
      </c>
      <c r="F138" t="s">
        <v>559</v>
      </c>
      <c r="G138" t="s">
        <v>560</v>
      </c>
    </row>
    <row r="139" spans="1:7">
      <c r="A139" t="s">
        <v>182</v>
      </c>
      <c r="B139" t="s">
        <v>557</v>
      </c>
      <c r="C139" t="s">
        <v>558</v>
      </c>
      <c r="D139" t="s">
        <v>696</v>
      </c>
      <c r="E139">
        <v>-137</v>
      </c>
      <c r="F139" t="s">
        <v>559</v>
      </c>
      <c r="G139" t="s">
        <v>560</v>
      </c>
    </row>
    <row r="140" spans="1:7">
      <c r="A140" t="s">
        <v>182</v>
      </c>
      <c r="B140" t="s">
        <v>557</v>
      </c>
      <c r="C140" t="s">
        <v>558</v>
      </c>
      <c r="D140" t="s">
        <v>697</v>
      </c>
      <c r="E140">
        <v>-138</v>
      </c>
      <c r="F140" t="s">
        <v>559</v>
      </c>
      <c r="G140" t="s">
        <v>560</v>
      </c>
    </row>
    <row r="141" spans="1:7">
      <c r="A141" t="s">
        <v>182</v>
      </c>
      <c r="B141" t="s">
        <v>557</v>
      </c>
      <c r="C141" t="s">
        <v>558</v>
      </c>
      <c r="D141" t="s">
        <v>698</v>
      </c>
      <c r="E141">
        <v>-139</v>
      </c>
      <c r="F141" t="s">
        <v>559</v>
      </c>
      <c r="G141" t="s">
        <v>560</v>
      </c>
    </row>
    <row r="142" spans="1:7">
      <c r="A142" t="s">
        <v>182</v>
      </c>
      <c r="B142" t="s">
        <v>557</v>
      </c>
      <c r="C142" t="s">
        <v>558</v>
      </c>
      <c r="D142" t="s">
        <v>699</v>
      </c>
      <c r="E142">
        <v>-140</v>
      </c>
      <c r="F142" t="s">
        <v>559</v>
      </c>
      <c r="G142" t="s">
        <v>560</v>
      </c>
    </row>
    <row r="143" spans="1:7">
      <c r="A143" t="s">
        <v>182</v>
      </c>
      <c r="B143" t="s">
        <v>557</v>
      </c>
      <c r="C143" t="s">
        <v>558</v>
      </c>
      <c r="D143" t="s">
        <v>700</v>
      </c>
      <c r="E143">
        <v>-141</v>
      </c>
      <c r="F143" t="s">
        <v>559</v>
      </c>
      <c r="G143" t="s">
        <v>560</v>
      </c>
    </row>
    <row r="144" spans="1:7">
      <c r="A144" t="s">
        <v>182</v>
      </c>
      <c r="B144" t="s">
        <v>557</v>
      </c>
      <c r="C144" t="s">
        <v>558</v>
      </c>
      <c r="D144" t="s">
        <v>701</v>
      </c>
      <c r="E144">
        <v>-142</v>
      </c>
      <c r="F144" t="s">
        <v>559</v>
      </c>
      <c r="G144" t="s">
        <v>560</v>
      </c>
    </row>
    <row r="145" spans="1:7">
      <c r="A145" t="s">
        <v>182</v>
      </c>
      <c r="B145" t="s">
        <v>557</v>
      </c>
      <c r="C145" t="s">
        <v>558</v>
      </c>
      <c r="D145" t="s">
        <v>702</v>
      </c>
      <c r="E145">
        <v>-143</v>
      </c>
      <c r="F145" t="s">
        <v>559</v>
      </c>
      <c r="G145" t="s">
        <v>560</v>
      </c>
    </row>
    <row r="146" spans="1:7">
      <c r="A146" t="s">
        <v>182</v>
      </c>
      <c r="B146" t="s">
        <v>557</v>
      </c>
      <c r="C146" t="s">
        <v>558</v>
      </c>
      <c r="D146" t="s">
        <v>703</v>
      </c>
      <c r="E146">
        <v>-144</v>
      </c>
      <c r="F146" t="s">
        <v>559</v>
      </c>
      <c r="G146" t="s">
        <v>560</v>
      </c>
    </row>
    <row r="147" spans="1:7">
      <c r="A147" t="s">
        <v>182</v>
      </c>
      <c r="B147" t="s">
        <v>557</v>
      </c>
      <c r="C147" t="s">
        <v>558</v>
      </c>
      <c r="D147" t="s">
        <v>704</v>
      </c>
      <c r="E147">
        <v>-145</v>
      </c>
      <c r="F147" t="s">
        <v>559</v>
      </c>
      <c r="G147" t="s">
        <v>560</v>
      </c>
    </row>
    <row r="148" spans="1:7">
      <c r="A148" t="s">
        <v>182</v>
      </c>
      <c r="B148" t="s">
        <v>557</v>
      </c>
      <c r="C148" t="s">
        <v>558</v>
      </c>
      <c r="D148" t="s">
        <v>705</v>
      </c>
      <c r="E148">
        <v>-146</v>
      </c>
      <c r="F148" t="s">
        <v>559</v>
      </c>
      <c r="G148" t="s">
        <v>560</v>
      </c>
    </row>
    <row r="149" spans="1:7">
      <c r="A149" t="s">
        <v>182</v>
      </c>
      <c r="B149" t="s">
        <v>557</v>
      </c>
      <c r="C149" t="s">
        <v>558</v>
      </c>
      <c r="D149" t="s">
        <v>706</v>
      </c>
      <c r="E149">
        <v>-147</v>
      </c>
      <c r="F149" t="s">
        <v>559</v>
      </c>
      <c r="G149" t="s">
        <v>560</v>
      </c>
    </row>
    <row r="150" spans="1:7">
      <c r="A150" t="s">
        <v>182</v>
      </c>
      <c r="B150" t="s">
        <v>557</v>
      </c>
      <c r="C150" t="s">
        <v>558</v>
      </c>
      <c r="D150" t="s">
        <v>707</v>
      </c>
      <c r="E150">
        <v>-148</v>
      </c>
      <c r="F150" t="s">
        <v>559</v>
      </c>
      <c r="G150" t="s">
        <v>560</v>
      </c>
    </row>
    <row r="151" spans="1:7">
      <c r="A151" t="s">
        <v>182</v>
      </c>
      <c r="B151" t="s">
        <v>557</v>
      </c>
      <c r="C151" t="s">
        <v>558</v>
      </c>
      <c r="D151" t="s">
        <v>708</v>
      </c>
      <c r="E151">
        <v>-149</v>
      </c>
      <c r="F151" t="s">
        <v>559</v>
      </c>
      <c r="G151" t="s">
        <v>560</v>
      </c>
    </row>
    <row r="152" spans="1:7">
      <c r="A152" t="s">
        <v>182</v>
      </c>
      <c r="B152" t="s">
        <v>557</v>
      </c>
      <c r="C152" t="s">
        <v>558</v>
      </c>
      <c r="D152" t="s">
        <v>709</v>
      </c>
      <c r="E152">
        <v>-150</v>
      </c>
      <c r="F152" t="s">
        <v>559</v>
      </c>
      <c r="G152" t="s">
        <v>560</v>
      </c>
    </row>
    <row r="153" spans="1:7">
      <c r="A153" t="s">
        <v>182</v>
      </c>
      <c r="B153" t="s">
        <v>557</v>
      </c>
      <c r="C153" t="s">
        <v>558</v>
      </c>
      <c r="D153" t="s">
        <v>710</v>
      </c>
      <c r="E153">
        <v>-151</v>
      </c>
      <c r="F153" t="s">
        <v>559</v>
      </c>
      <c r="G153" t="s">
        <v>560</v>
      </c>
    </row>
    <row r="154" spans="1:7">
      <c r="A154" t="s">
        <v>182</v>
      </c>
      <c r="B154" t="s">
        <v>557</v>
      </c>
      <c r="C154" t="s">
        <v>558</v>
      </c>
      <c r="D154" t="s">
        <v>711</v>
      </c>
      <c r="E154">
        <v>-152</v>
      </c>
      <c r="F154" t="s">
        <v>559</v>
      </c>
      <c r="G154" t="s">
        <v>560</v>
      </c>
    </row>
    <row r="155" spans="1:7">
      <c r="A155" t="s">
        <v>182</v>
      </c>
      <c r="B155" t="s">
        <v>557</v>
      </c>
      <c r="C155" t="s">
        <v>558</v>
      </c>
      <c r="D155" t="s">
        <v>712</v>
      </c>
      <c r="E155">
        <v>-153</v>
      </c>
      <c r="F155" t="s">
        <v>559</v>
      </c>
      <c r="G155" t="s">
        <v>560</v>
      </c>
    </row>
    <row r="156" spans="1:7">
      <c r="A156" t="s">
        <v>182</v>
      </c>
      <c r="B156" t="s">
        <v>557</v>
      </c>
      <c r="C156" t="s">
        <v>558</v>
      </c>
      <c r="D156" t="s">
        <v>713</v>
      </c>
      <c r="E156">
        <v>-154</v>
      </c>
      <c r="F156" t="s">
        <v>559</v>
      </c>
      <c r="G156" t="s">
        <v>560</v>
      </c>
    </row>
    <row r="157" spans="1:7">
      <c r="A157" t="s">
        <v>182</v>
      </c>
      <c r="B157" t="s">
        <v>557</v>
      </c>
      <c r="C157" t="s">
        <v>558</v>
      </c>
      <c r="D157" t="s">
        <v>714</v>
      </c>
      <c r="E157">
        <v>-155</v>
      </c>
      <c r="F157" t="s">
        <v>559</v>
      </c>
      <c r="G157" t="s">
        <v>560</v>
      </c>
    </row>
    <row r="158" spans="1:7">
      <c r="A158" t="s">
        <v>182</v>
      </c>
      <c r="B158" t="s">
        <v>557</v>
      </c>
      <c r="C158" t="s">
        <v>558</v>
      </c>
      <c r="D158" t="s">
        <v>715</v>
      </c>
      <c r="E158">
        <v>-156</v>
      </c>
      <c r="F158" t="s">
        <v>559</v>
      </c>
      <c r="G158" t="s">
        <v>560</v>
      </c>
    </row>
    <row r="159" spans="1:7">
      <c r="A159" t="s">
        <v>182</v>
      </c>
      <c r="B159" t="s">
        <v>557</v>
      </c>
      <c r="C159" t="s">
        <v>558</v>
      </c>
      <c r="D159" t="s">
        <v>716</v>
      </c>
      <c r="E159">
        <v>-157</v>
      </c>
      <c r="F159" t="s">
        <v>559</v>
      </c>
      <c r="G159" t="s">
        <v>560</v>
      </c>
    </row>
    <row r="160" spans="1:7">
      <c r="A160" t="s">
        <v>182</v>
      </c>
      <c r="B160" t="s">
        <v>557</v>
      </c>
      <c r="C160" t="s">
        <v>558</v>
      </c>
      <c r="D160" t="s">
        <v>717</v>
      </c>
      <c r="E160">
        <v>-158</v>
      </c>
      <c r="F160" t="s">
        <v>559</v>
      </c>
      <c r="G160" t="s">
        <v>560</v>
      </c>
    </row>
    <row r="161" spans="1:7">
      <c r="A161" t="s">
        <v>182</v>
      </c>
      <c r="B161" t="s">
        <v>557</v>
      </c>
      <c r="C161" t="s">
        <v>558</v>
      </c>
      <c r="D161" t="s">
        <v>718</v>
      </c>
      <c r="E161">
        <v>-159</v>
      </c>
      <c r="F161" t="s">
        <v>559</v>
      </c>
      <c r="G161" t="s">
        <v>560</v>
      </c>
    </row>
    <row r="162" spans="1:7">
      <c r="A162" t="s">
        <v>182</v>
      </c>
      <c r="B162" t="s">
        <v>557</v>
      </c>
      <c r="C162" t="s">
        <v>558</v>
      </c>
      <c r="D162" t="s">
        <v>719</v>
      </c>
      <c r="E162">
        <v>-160</v>
      </c>
      <c r="F162" t="s">
        <v>559</v>
      </c>
      <c r="G162" t="s">
        <v>560</v>
      </c>
    </row>
    <row r="163" spans="1:7">
      <c r="A163" t="s">
        <v>182</v>
      </c>
      <c r="B163" t="s">
        <v>557</v>
      </c>
      <c r="C163" t="s">
        <v>558</v>
      </c>
      <c r="D163" t="s">
        <v>720</v>
      </c>
      <c r="E163">
        <v>-161</v>
      </c>
      <c r="F163" t="s">
        <v>559</v>
      </c>
      <c r="G163" t="s">
        <v>560</v>
      </c>
    </row>
    <row r="164" spans="1:7">
      <c r="A164" t="s">
        <v>182</v>
      </c>
      <c r="B164" t="s">
        <v>557</v>
      </c>
      <c r="C164" t="s">
        <v>558</v>
      </c>
      <c r="D164" t="s">
        <v>721</v>
      </c>
      <c r="E164">
        <v>-162</v>
      </c>
      <c r="F164" t="s">
        <v>559</v>
      </c>
      <c r="G164" t="s">
        <v>560</v>
      </c>
    </row>
    <row r="165" spans="1:7">
      <c r="A165" t="s">
        <v>182</v>
      </c>
      <c r="B165" t="s">
        <v>557</v>
      </c>
      <c r="C165" t="s">
        <v>558</v>
      </c>
      <c r="D165" t="s">
        <v>722</v>
      </c>
      <c r="E165">
        <v>-163</v>
      </c>
      <c r="F165" t="s">
        <v>559</v>
      </c>
      <c r="G165" t="s">
        <v>560</v>
      </c>
    </row>
    <row r="166" spans="1:7">
      <c r="A166" t="s">
        <v>182</v>
      </c>
      <c r="B166" t="s">
        <v>557</v>
      </c>
      <c r="C166" t="s">
        <v>558</v>
      </c>
      <c r="D166" t="s">
        <v>723</v>
      </c>
      <c r="E166">
        <v>-164</v>
      </c>
      <c r="F166" t="s">
        <v>559</v>
      </c>
      <c r="G166" t="s">
        <v>560</v>
      </c>
    </row>
    <row r="167" spans="1:7">
      <c r="A167" t="s">
        <v>182</v>
      </c>
      <c r="B167" t="s">
        <v>557</v>
      </c>
      <c r="C167" t="s">
        <v>558</v>
      </c>
      <c r="D167" t="s">
        <v>724</v>
      </c>
      <c r="E167">
        <v>-165</v>
      </c>
      <c r="F167" t="s">
        <v>559</v>
      </c>
      <c r="G167" t="s">
        <v>560</v>
      </c>
    </row>
    <row r="168" spans="1:7">
      <c r="A168" t="s">
        <v>182</v>
      </c>
      <c r="B168" t="s">
        <v>557</v>
      </c>
      <c r="C168" t="s">
        <v>558</v>
      </c>
      <c r="D168" t="s">
        <v>725</v>
      </c>
      <c r="E168">
        <v>-166</v>
      </c>
      <c r="F168" t="s">
        <v>559</v>
      </c>
      <c r="G168" t="s">
        <v>560</v>
      </c>
    </row>
    <row r="169" spans="1:7">
      <c r="A169" t="s">
        <v>182</v>
      </c>
      <c r="B169" t="s">
        <v>557</v>
      </c>
      <c r="C169" t="s">
        <v>558</v>
      </c>
      <c r="D169" t="s">
        <v>726</v>
      </c>
      <c r="E169">
        <v>-167</v>
      </c>
      <c r="F169" t="s">
        <v>559</v>
      </c>
      <c r="G169" t="s">
        <v>560</v>
      </c>
    </row>
    <row r="170" spans="1:7">
      <c r="A170" t="s">
        <v>182</v>
      </c>
      <c r="B170" t="s">
        <v>557</v>
      </c>
      <c r="C170" t="s">
        <v>558</v>
      </c>
      <c r="D170" t="s">
        <v>727</v>
      </c>
      <c r="E170">
        <v>-168</v>
      </c>
      <c r="F170" t="s">
        <v>559</v>
      </c>
      <c r="G170" t="s">
        <v>560</v>
      </c>
    </row>
    <row r="171" spans="1:7">
      <c r="A171" t="s">
        <v>182</v>
      </c>
      <c r="B171" t="s">
        <v>557</v>
      </c>
      <c r="C171" t="s">
        <v>558</v>
      </c>
      <c r="D171" t="s">
        <v>728</v>
      </c>
      <c r="E171">
        <v>-169</v>
      </c>
      <c r="F171" t="s">
        <v>559</v>
      </c>
      <c r="G171" t="s">
        <v>560</v>
      </c>
    </row>
    <row r="172" spans="1:7">
      <c r="A172" t="s">
        <v>182</v>
      </c>
      <c r="B172" t="s">
        <v>557</v>
      </c>
      <c r="C172" t="s">
        <v>558</v>
      </c>
      <c r="D172" t="s">
        <v>729</v>
      </c>
      <c r="E172">
        <v>-170</v>
      </c>
      <c r="F172" t="s">
        <v>559</v>
      </c>
      <c r="G172" t="s">
        <v>560</v>
      </c>
    </row>
    <row r="173" spans="1:7">
      <c r="A173" t="s">
        <v>182</v>
      </c>
      <c r="B173" t="s">
        <v>557</v>
      </c>
      <c r="C173" t="s">
        <v>558</v>
      </c>
      <c r="D173" t="s">
        <v>730</v>
      </c>
      <c r="E173">
        <v>-171</v>
      </c>
      <c r="F173" t="s">
        <v>559</v>
      </c>
      <c r="G173" t="s">
        <v>560</v>
      </c>
    </row>
    <row r="174" spans="1:7">
      <c r="A174" t="s">
        <v>182</v>
      </c>
      <c r="B174" t="s">
        <v>557</v>
      </c>
      <c r="C174" t="s">
        <v>558</v>
      </c>
      <c r="D174" t="s">
        <v>731</v>
      </c>
      <c r="E174">
        <v>-172</v>
      </c>
      <c r="F174" t="s">
        <v>559</v>
      </c>
      <c r="G174" t="s">
        <v>560</v>
      </c>
    </row>
    <row r="175" spans="1:7">
      <c r="A175" t="s">
        <v>182</v>
      </c>
      <c r="B175" t="s">
        <v>557</v>
      </c>
      <c r="C175" t="s">
        <v>558</v>
      </c>
      <c r="D175" t="s">
        <v>732</v>
      </c>
      <c r="E175">
        <v>-173</v>
      </c>
      <c r="F175" t="s">
        <v>559</v>
      </c>
      <c r="G175" t="s">
        <v>560</v>
      </c>
    </row>
    <row r="176" spans="1:7">
      <c r="A176" t="s">
        <v>182</v>
      </c>
      <c r="B176" t="s">
        <v>557</v>
      </c>
      <c r="C176" t="s">
        <v>558</v>
      </c>
      <c r="D176" t="s">
        <v>733</v>
      </c>
      <c r="E176">
        <v>-174</v>
      </c>
      <c r="F176" t="s">
        <v>559</v>
      </c>
      <c r="G176" t="s">
        <v>560</v>
      </c>
    </row>
    <row r="177" spans="1:7">
      <c r="A177" t="s">
        <v>182</v>
      </c>
      <c r="B177" t="s">
        <v>557</v>
      </c>
      <c r="C177" t="s">
        <v>558</v>
      </c>
      <c r="D177" t="s">
        <v>734</v>
      </c>
      <c r="E177">
        <v>-175</v>
      </c>
      <c r="F177" t="s">
        <v>559</v>
      </c>
      <c r="G177" t="s">
        <v>560</v>
      </c>
    </row>
    <row r="178" spans="1:7">
      <c r="A178" t="s">
        <v>182</v>
      </c>
      <c r="B178" t="s">
        <v>557</v>
      </c>
      <c r="C178" t="s">
        <v>558</v>
      </c>
      <c r="D178" t="s">
        <v>735</v>
      </c>
      <c r="E178">
        <v>-176</v>
      </c>
      <c r="F178" t="s">
        <v>559</v>
      </c>
      <c r="G178" t="s">
        <v>560</v>
      </c>
    </row>
    <row r="179" spans="1:7">
      <c r="A179" t="s">
        <v>182</v>
      </c>
      <c r="B179" t="s">
        <v>557</v>
      </c>
      <c r="C179" t="s">
        <v>558</v>
      </c>
      <c r="D179" t="s">
        <v>736</v>
      </c>
      <c r="E179">
        <v>-177</v>
      </c>
      <c r="F179" t="s">
        <v>559</v>
      </c>
      <c r="G179" t="s">
        <v>560</v>
      </c>
    </row>
    <row r="180" spans="1:7">
      <c r="A180" t="s">
        <v>182</v>
      </c>
      <c r="B180" t="s">
        <v>557</v>
      </c>
      <c r="C180" t="s">
        <v>558</v>
      </c>
      <c r="D180" t="s">
        <v>737</v>
      </c>
      <c r="E180">
        <v>-178</v>
      </c>
      <c r="F180" t="s">
        <v>559</v>
      </c>
      <c r="G180" t="s">
        <v>560</v>
      </c>
    </row>
    <row r="181" spans="1:7">
      <c r="A181" t="s">
        <v>182</v>
      </c>
      <c r="B181" t="s">
        <v>557</v>
      </c>
      <c r="C181" t="s">
        <v>558</v>
      </c>
      <c r="D181" t="s">
        <v>738</v>
      </c>
      <c r="E181">
        <v>-179</v>
      </c>
      <c r="F181" t="s">
        <v>559</v>
      </c>
      <c r="G181" t="s">
        <v>560</v>
      </c>
    </row>
    <row r="182" spans="1:7">
      <c r="A182" t="s">
        <v>182</v>
      </c>
      <c r="B182" t="s">
        <v>557</v>
      </c>
      <c r="C182" t="s">
        <v>558</v>
      </c>
      <c r="D182" t="s">
        <v>739</v>
      </c>
      <c r="E182">
        <v>-180</v>
      </c>
      <c r="F182" t="s">
        <v>559</v>
      </c>
      <c r="G182" t="s">
        <v>560</v>
      </c>
    </row>
    <row r="183" spans="1:7">
      <c r="A183" t="s">
        <v>182</v>
      </c>
      <c r="B183" t="s">
        <v>557</v>
      </c>
      <c r="C183" t="s">
        <v>558</v>
      </c>
      <c r="D183" t="s">
        <v>740</v>
      </c>
      <c r="E183">
        <v>-181</v>
      </c>
      <c r="F183" t="s">
        <v>559</v>
      </c>
      <c r="G183" t="s">
        <v>560</v>
      </c>
    </row>
    <row r="184" spans="1:7">
      <c r="A184" t="s">
        <v>182</v>
      </c>
      <c r="B184" t="s">
        <v>557</v>
      </c>
      <c r="C184" t="s">
        <v>558</v>
      </c>
      <c r="D184" t="s">
        <v>741</v>
      </c>
      <c r="E184">
        <v>-182</v>
      </c>
      <c r="F184" t="s">
        <v>559</v>
      </c>
      <c r="G184" t="s">
        <v>560</v>
      </c>
    </row>
    <row r="185" spans="1:7">
      <c r="A185" t="s">
        <v>182</v>
      </c>
      <c r="B185" t="s">
        <v>557</v>
      </c>
      <c r="C185" t="s">
        <v>558</v>
      </c>
      <c r="D185" t="s">
        <v>742</v>
      </c>
      <c r="E185">
        <v>-183</v>
      </c>
      <c r="F185" t="s">
        <v>559</v>
      </c>
      <c r="G185" t="s">
        <v>560</v>
      </c>
    </row>
    <row r="186" spans="1:7">
      <c r="A186" t="s">
        <v>182</v>
      </c>
      <c r="B186" t="s">
        <v>557</v>
      </c>
      <c r="C186" t="s">
        <v>558</v>
      </c>
      <c r="D186" t="s">
        <v>743</v>
      </c>
      <c r="E186">
        <v>-184</v>
      </c>
      <c r="F186" t="s">
        <v>559</v>
      </c>
      <c r="G186" t="s">
        <v>560</v>
      </c>
    </row>
    <row r="187" spans="1:7">
      <c r="A187" t="s">
        <v>182</v>
      </c>
      <c r="B187" t="s">
        <v>557</v>
      </c>
      <c r="C187" t="s">
        <v>558</v>
      </c>
      <c r="D187" t="s">
        <v>744</v>
      </c>
      <c r="E187">
        <v>-185</v>
      </c>
      <c r="F187" t="s">
        <v>559</v>
      </c>
      <c r="G187" t="s">
        <v>560</v>
      </c>
    </row>
    <row r="188" spans="1:7">
      <c r="A188" t="s">
        <v>182</v>
      </c>
      <c r="B188" t="s">
        <v>557</v>
      </c>
      <c r="C188" t="s">
        <v>558</v>
      </c>
      <c r="D188" t="s">
        <v>745</v>
      </c>
      <c r="E188">
        <v>-186</v>
      </c>
      <c r="F188" t="s">
        <v>559</v>
      </c>
      <c r="G188" t="s">
        <v>560</v>
      </c>
    </row>
    <row r="189" spans="1:7">
      <c r="A189" t="s">
        <v>182</v>
      </c>
      <c r="B189" t="s">
        <v>557</v>
      </c>
      <c r="C189" t="s">
        <v>558</v>
      </c>
      <c r="D189" t="s">
        <v>746</v>
      </c>
      <c r="E189">
        <v>-187</v>
      </c>
      <c r="F189" t="s">
        <v>559</v>
      </c>
      <c r="G189" t="s">
        <v>560</v>
      </c>
    </row>
    <row r="190" spans="1:7">
      <c r="A190" t="s">
        <v>182</v>
      </c>
      <c r="B190" t="s">
        <v>557</v>
      </c>
      <c r="C190" t="s">
        <v>558</v>
      </c>
      <c r="D190" t="s">
        <v>747</v>
      </c>
      <c r="E190">
        <v>-188</v>
      </c>
      <c r="F190" t="s">
        <v>559</v>
      </c>
      <c r="G190" t="s">
        <v>560</v>
      </c>
    </row>
    <row r="191" spans="1:7">
      <c r="A191" t="s">
        <v>182</v>
      </c>
      <c r="B191" t="s">
        <v>557</v>
      </c>
      <c r="C191" t="s">
        <v>558</v>
      </c>
      <c r="D191" t="s">
        <v>748</v>
      </c>
      <c r="E191">
        <v>-189</v>
      </c>
      <c r="F191" t="s">
        <v>559</v>
      </c>
      <c r="G191" t="s">
        <v>560</v>
      </c>
    </row>
    <row r="192" spans="1:7">
      <c r="A192" t="s">
        <v>182</v>
      </c>
      <c r="B192" t="s">
        <v>557</v>
      </c>
      <c r="C192" t="s">
        <v>558</v>
      </c>
      <c r="D192" t="s">
        <v>749</v>
      </c>
      <c r="E192">
        <v>-190</v>
      </c>
      <c r="F192" t="s">
        <v>559</v>
      </c>
      <c r="G192" t="s">
        <v>560</v>
      </c>
    </row>
    <row r="193" spans="1:7">
      <c r="A193" t="s">
        <v>182</v>
      </c>
      <c r="B193" t="s">
        <v>557</v>
      </c>
      <c r="C193" t="s">
        <v>558</v>
      </c>
      <c r="D193" t="s">
        <v>750</v>
      </c>
      <c r="E193">
        <v>-191</v>
      </c>
      <c r="F193" t="s">
        <v>559</v>
      </c>
      <c r="G193" t="s">
        <v>560</v>
      </c>
    </row>
    <row r="194" spans="1:7">
      <c r="A194" t="s">
        <v>182</v>
      </c>
      <c r="B194" t="s">
        <v>557</v>
      </c>
      <c r="C194" t="s">
        <v>558</v>
      </c>
      <c r="D194" t="s">
        <v>751</v>
      </c>
      <c r="E194">
        <v>-192</v>
      </c>
      <c r="F194" t="s">
        <v>559</v>
      </c>
      <c r="G194" t="s">
        <v>560</v>
      </c>
    </row>
    <row r="195" spans="1:7">
      <c r="A195" t="s">
        <v>182</v>
      </c>
      <c r="B195" t="s">
        <v>557</v>
      </c>
      <c r="C195" t="s">
        <v>558</v>
      </c>
      <c r="D195" t="s">
        <v>752</v>
      </c>
      <c r="E195">
        <v>-193</v>
      </c>
      <c r="F195" t="s">
        <v>559</v>
      </c>
      <c r="G195" t="s">
        <v>560</v>
      </c>
    </row>
    <row r="196" spans="1:7">
      <c r="A196" t="s">
        <v>182</v>
      </c>
      <c r="B196" t="s">
        <v>557</v>
      </c>
      <c r="C196" t="s">
        <v>558</v>
      </c>
      <c r="D196" t="s">
        <v>753</v>
      </c>
      <c r="E196">
        <v>-194</v>
      </c>
      <c r="F196" t="s">
        <v>559</v>
      </c>
      <c r="G196" t="s">
        <v>560</v>
      </c>
    </row>
    <row r="197" spans="1:7">
      <c r="A197" t="s">
        <v>182</v>
      </c>
      <c r="B197" t="s">
        <v>557</v>
      </c>
      <c r="C197" t="s">
        <v>558</v>
      </c>
      <c r="D197" t="s">
        <v>754</v>
      </c>
      <c r="E197">
        <v>-195</v>
      </c>
      <c r="F197" t="s">
        <v>559</v>
      </c>
      <c r="G197" t="s">
        <v>560</v>
      </c>
    </row>
    <row r="198" spans="1:7">
      <c r="A198" t="s">
        <v>182</v>
      </c>
      <c r="B198" t="s">
        <v>557</v>
      </c>
      <c r="C198" t="s">
        <v>558</v>
      </c>
      <c r="D198" t="s">
        <v>755</v>
      </c>
      <c r="E198">
        <v>-196</v>
      </c>
      <c r="F198" t="s">
        <v>559</v>
      </c>
      <c r="G198" t="s">
        <v>560</v>
      </c>
    </row>
    <row r="199" spans="1:7">
      <c r="A199" t="s">
        <v>182</v>
      </c>
      <c r="B199" t="s">
        <v>557</v>
      </c>
      <c r="C199" t="s">
        <v>558</v>
      </c>
      <c r="D199" t="s">
        <v>756</v>
      </c>
      <c r="E199">
        <v>-197</v>
      </c>
      <c r="F199" t="s">
        <v>559</v>
      </c>
      <c r="G199" t="s">
        <v>560</v>
      </c>
    </row>
    <row r="200" spans="1:7">
      <c r="A200" t="s">
        <v>182</v>
      </c>
      <c r="B200" t="s">
        <v>557</v>
      </c>
      <c r="C200" t="s">
        <v>558</v>
      </c>
      <c r="D200" t="s">
        <v>757</v>
      </c>
      <c r="E200">
        <v>-198</v>
      </c>
      <c r="F200" t="s">
        <v>559</v>
      </c>
      <c r="G200" t="s">
        <v>560</v>
      </c>
    </row>
    <row r="201" spans="1:7">
      <c r="A201" t="s">
        <v>182</v>
      </c>
      <c r="B201" t="s">
        <v>557</v>
      </c>
      <c r="C201" t="s">
        <v>558</v>
      </c>
      <c r="D201" t="s">
        <v>758</v>
      </c>
      <c r="E201">
        <v>-199</v>
      </c>
      <c r="F201" t="s">
        <v>559</v>
      </c>
      <c r="G201" t="s">
        <v>560</v>
      </c>
    </row>
    <row r="202" spans="1:7">
      <c r="A202" t="s">
        <v>182</v>
      </c>
      <c r="B202" t="s">
        <v>557</v>
      </c>
      <c r="C202" t="s">
        <v>558</v>
      </c>
      <c r="D202" t="s">
        <v>759</v>
      </c>
      <c r="E202">
        <v>-200</v>
      </c>
      <c r="F202" t="s">
        <v>559</v>
      </c>
      <c r="G202" t="s">
        <v>560</v>
      </c>
    </row>
    <row r="203" spans="1:7">
      <c r="A203" t="s">
        <v>182</v>
      </c>
      <c r="B203" t="s">
        <v>557</v>
      </c>
      <c r="C203" t="s">
        <v>558</v>
      </c>
      <c r="D203" t="s">
        <v>760</v>
      </c>
      <c r="E203">
        <v>-201</v>
      </c>
      <c r="F203" t="s">
        <v>559</v>
      </c>
      <c r="G203" t="s">
        <v>560</v>
      </c>
    </row>
    <row r="204" spans="1:7">
      <c r="A204" t="s">
        <v>182</v>
      </c>
      <c r="B204" t="s">
        <v>557</v>
      </c>
      <c r="C204" t="s">
        <v>558</v>
      </c>
      <c r="D204" t="s">
        <v>761</v>
      </c>
      <c r="E204">
        <v>-202</v>
      </c>
      <c r="F204" t="s">
        <v>559</v>
      </c>
      <c r="G204" t="s">
        <v>560</v>
      </c>
    </row>
    <row r="205" spans="1:7">
      <c r="A205" t="s">
        <v>182</v>
      </c>
      <c r="B205" t="s">
        <v>557</v>
      </c>
      <c r="C205" t="s">
        <v>558</v>
      </c>
      <c r="D205" t="s">
        <v>762</v>
      </c>
      <c r="E205">
        <v>-203</v>
      </c>
      <c r="F205" t="s">
        <v>559</v>
      </c>
      <c r="G205" t="s">
        <v>560</v>
      </c>
    </row>
    <row r="206" spans="1:7">
      <c r="A206" t="s">
        <v>182</v>
      </c>
      <c r="B206" t="s">
        <v>557</v>
      </c>
      <c r="C206" t="s">
        <v>558</v>
      </c>
      <c r="D206" t="s">
        <v>763</v>
      </c>
      <c r="E206">
        <v>-204</v>
      </c>
      <c r="F206" t="s">
        <v>559</v>
      </c>
      <c r="G206" t="s">
        <v>560</v>
      </c>
    </row>
    <row r="207" spans="1:7">
      <c r="A207" t="s">
        <v>182</v>
      </c>
      <c r="B207" t="s">
        <v>557</v>
      </c>
      <c r="C207" t="s">
        <v>558</v>
      </c>
      <c r="D207" t="s">
        <v>764</v>
      </c>
      <c r="E207">
        <v>-205</v>
      </c>
      <c r="F207" t="s">
        <v>559</v>
      </c>
      <c r="G207" t="s">
        <v>560</v>
      </c>
    </row>
    <row r="208" spans="1:7">
      <c r="A208" t="s">
        <v>182</v>
      </c>
      <c r="B208" t="s">
        <v>557</v>
      </c>
      <c r="C208" t="s">
        <v>558</v>
      </c>
      <c r="D208" t="s">
        <v>765</v>
      </c>
      <c r="E208">
        <v>-206</v>
      </c>
      <c r="F208" t="s">
        <v>559</v>
      </c>
      <c r="G208" t="s">
        <v>560</v>
      </c>
    </row>
    <row r="209" spans="1:7">
      <c r="A209" t="s">
        <v>182</v>
      </c>
      <c r="B209" t="s">
        <v>557</v>
      </c>
      <c r="C209" t="s">
        <v>558</v>
      </c>
      <c r="D209" t="s">
        <v>766</v>
      </c>
      <c r="E209">
        <v>-207</v>
      </c>
      <c r="F209" t="s">
        <v>559</v>
      </c>
      <c r="G209" t="s">
        <v>560</v>
      </c>
    </row>
    <row r="210" spans="1:7">
      <c r="A210" t="s">
        <v>182</v>
      </c>
      <c r="B210" t="s">
        <v>557</v>
      </c>
      <c r="C210" t="s">
        <v>558</v>
      </c>
      <c r="D210" t="s">
        <v>767</v>
      </c>
      <c r="E210">
        <v>-208</v>
      </c>
      <c r="F210" t="s">
        <v>559</v>
      </c>
      <c r="G210" t="s">
        <v>560</v>
      </c>
    </row>
    <row r="211" spans="1:7">
      <c r="A211" t="s">
        <v>182</v>
      </c>
      <c r="B211" t="s">
        <v>557</v>
      </c>
      <c r="C211" t="s">
        <v>558</v>
      </c>
      <c r="D211" t="s">
        <v>768</v>
      </c>
      <c r="E211">
        <v>-209</v>
      </c>
      <c r="F211" t="s">
        <v>559</v>
      </c>
      <c r="G211" t="s">
        <v>560</v>
      </c>
    </row>
    <row r="212" spans="1:7">
      <c r="A212" t="s">
        <v>182</v>
      </c>
      <c r="B212" t="s">
        <v>557</v>
      </c>
      <c r="C212" t="s">
        <v>558</v>
      </c>
      <c r="D212" t="s">
        <v>769</v>
      </c>
      <c r="E212">
        <v>-210</v>
      </c>
      <c r="F212" t="s">
        <v>559</v>
      </c>
      <c r="G212" t="s">
        <v>560</v>
      </c>
    </row>
    <row r="213" spans="1:7">
      <c r="A213" t="s">
        <v>182</v>
      </c>
      <c r="B213" t="s">
        <v>557</v>
      </c>
      <c r="C213" t="s">
        <v>558</v>
      </c>
      <c r="D213" t="s">
        <v>770</v>
      </c>
      <c r="E213">
        <v>-211</v>
      </c>
      <c r="F213" t="s">
        <v>559</v>
      </c>
      <c r="G213" t="s">
        <v>560</v>
      </c>
    </row>
    <row r="214" spans="1:7">
      <c r="A214" t="s">
        <v>182</v>
      </c>
      <c r="B214" t="s">
        <v>557</v>
      </c>
      <c r="C214" t="s">
        <v>558</v>
      </c>
      <c r="D214" t="s">
        <v>771</v>
      </c>
      <c r="E214">
        <v>-212</v>
      </c>
      <c r="F214" t="s">
        <v>559</v>
      </c>
      <c r="G214" t="s">
        <v>560</v>
      </c>
    </row>
    <row r="215" spans="1:7">
      <c r="A215" t="s">
        <v>182</v>
      </c>
      <c r="B215" t="s">
        <v>557</v>
      </c>
      <c r="C215" t="s">
        <v>558</v>
      </c>
      <c r="D215" t="s">
        <v>772</v>
      </c>
      <c r="E215">
        <v>-213</v>
      </c>
      <c r="F215" t="s">
        <v>559</v>
      </c>
      <c r="G215" t="s">
        <v>560</v>
      </c>
    </row>
    <row r="216" spans="1:7">
      <c r="A216" t="s">
        <v>182</v>
      </c>
      <c r="B216" t="s">
        <v>557</v>
      </c>
      <c r="C216" t="s">
        <v>558</v>
      </c>
      <c r="D216" t="s">
        <v>773</v>
      </c>
      <c r="E216">
        <v>-214</v>
      </c>
      <c r="F216" t="s">
        <v>559</v>
      </c>
      <c r="G216" t="s">
        <v>560</v>
      </c>
    </row>
    <row r="217" spans="1:7">
      <c r="A217" t="s">
        <v>182</v>
      </c>
      <c r="B217" t="s">
        <v>557</v>
      </c>
      <c r="C217" t="s">
        <v>558</v>
      </c>
      <c r="D217" t="s">
        <v>774</v>
      </c>
      <c r="E217">
        <v>-215</v>
      </c>
      <c r="F217" t="s">
        <v>559</v>
      </c>
      <c r="G217" t="s">
        <v>560</v>
      </c>
    </row>
    <row r="218" spans="1:7">
      <c r="A218" t="s">
        <v>182</v>
      </c>
      <c r="B218" t="s">
        <v>557</v>
      </c>
      <c r="C218" t="s">
        <v>558</v>
      </c>
      <c r="D218" t="s">
        <v>775</v>
      </c>
      <c r="E218">
        <v>-216</v>
      </c>
      <c r="F218" t="s">
        <v>559</v>
      </c>
      <c r="G218" t="s">
        <v>560</v>
      </c>
    </row>
    <row r="219" spans="1:7">
      <c r="A219" t="s">
        <v>182</v>
      </c>
      <c r="B219" t="s">
        <v>557</v>
      </c>
      <c r="C219" t="s">
        <v>558</v>
      </c>
      <c r="D219" t="s">
        <v>776</v>
      </c>
      <c r="E219">
        <v>-217</v>
      </c>
      <c r="F219" t="s">
        <v>559</v>
      </c>
      <c r="G219" t="s">
        <v>560</v>
      </c>
    </row>
    <row r="220" spans="1:7">
      <c r="A220" t="s">
        <v>182</v>
      </c>
      <c r="B220" t="s">
        <v>557</v>
      </c>
      <c r="C220" t="s">
        <v>558</v>
      </c>
      <c r="D220" t="s">
        <v>777</v>
      </c>
      <c r="E220">
        <v>-218</v>
      </c>
      <c r="F220" t="s">
        <v>559</v>
      </c>
      <c r="G220" t="s">
        <v>560</v>
      </c>
    </row>
    <row r="221" spans="1:7">
      <c r="A221" t="s">
        <v>182</v>
      </c>
      <c r="B221" t="s">
        <v>557</v>
      </c>
      <c r="C221" t="s">
        <v>558</v>
      </c>
      <c r="D221" t="s">
        <v>778</v>
      </c>
      <c r="E221">
        <v>-219</v>
      </c>
      <c r="F221" t="s">
        <v>559</v>
      </c>
      <c r="G221" t="s">
        <v>560</v>
      </c>
    </row>
    <row r="222" spans="1:7">
      <c r="A222" t="s">
        <v>182</v>
      </c>
      <c r="B222" t="s">
        <v>557</v>
      </c>
      <c r="C222" t="s">
        <v>558</v>
      </c>
      <c r="D222" t="s">
        <v>779</v>
      </c>
      <c r="E222">
        <v>-220</v>
      </c>
      <c r="F222" t="s">
        <v>559</v>
      </c>
      <c r="G222" t="s">
        <v>560</v>
      </c>
    </row>
    <row r="223" spans="1:7">
      <c r="A223" t="s">
        <v>182</v>
      </c>
      <c r="B223" t="s">
        <v>557</v>
      </c>
      <c r="C223" t="s">
        <v>558</v>
      </c>
      <c r="D223" t="s">
        <v>780</v>
      </c>
      <c r="E223">
        <v>-221</v>
      </c>
      <c r="F223" t="s">
        <v>559</v>
      </c>
      <c r="G223" t="s">
        <v>560</v>
      </c>
    </row>
    <row r="224" spans="1:7">
      <c r="A224" t="s">
        <v>182</v>
      </c>
      <c r="B224" t="s">
        <v>557</v>
      </c>
      <c r="C224" t="s">
        <v>558</v>
      </c>
      <c r="D224" t="s">
        <v>781</v>
      </c>
      <c r="E224">
        <v>-222</v>
      </c>
      <c r="F224" t="s">
        <v>559</v>
      </c>
      <c r="G224" t="s">
        <v>560</v>
      </c>
    </row>
    <row r="225" spans="1:7">
      <c r="A225" t="s">
        <v>182</v>
      </c>
      <c r="B225" t="s">
        <v>557</v>
      </c>
      <c r="C225" t="s">
        <v>558</v>
      </c>
      <c r="D225" t="s">
        <v>782</v>
      </c>
      <c r="E225">
        <v>-223</v>
      </c>
      <c r="F225" t="s">
        <v>559</v>
      </c>
      <c r="G225" t="s">
        <v>560</v>
      </c>
    </row>
    <row r="226" spans="1:7">
      <c r="A226" t="s">
        <v>182</v>
      </c>
      <c r="B226" t="s">
        <v>557</v>
      </c>
      <c r="C226" t="s">
        <v>558</v>
      </c>
      <c r="D226" t="s">
        <v>783</v>
      </c>
      <c r="E226">
        <v>-224</v>
      </c>
      <c r="F226" t="s">
        <v>559</v>
      </c>
      <c r="G226" t="s">
        <v>560</v>
      </c>
    </row>
    <row r="227" spans="1:7">
      <c r="A227" t="s">
        <v>182</v>
      </c>
      <c r="B227" t="s">
        <v>557</v>
      </c>
      <c r="C227" t="s">
        <v>558</v>
      </c>
      <c r="D227" t="s">
        <v>784</v>
      </c>
      <c r="E227">
        <v>-225</v>
      </c>
      <c r="F227" t="s">
        <v>559</v>
      </c>
      <c r="G227" t="s">
        <v>560</v>
      </c>
    </row>
    <row r="228" spans="1:7">
      <c r="A228" t="s">
        <v>182</v>
      </c>
      <c r="B228" t="s">
        <v>557</v>
      </c>
      <c r="C228" t="s">
        <v>558</v>
      </c>
      <c r="D228" t="s">
        <v>785</v>
      </c>
      <c r="E228">
        <v>-226</v>
      </c>
      <c r="F228" t="s">
        <v>559</v>
      </c>
      <c r="G228" t="s">
        <v>560</v>
      </c>
    </row>
    <row r="229" spans="1:7">
      <c r="A229" t="s">
        <v>182</v>
      </c>
      <c r="B229" t="s">
        <v>557</v>
      </c>
      <c r="C229" t="s">
        <v>558</v>
      </c>
      <c r="D229" t="s">
        <v>786</v>
      </c>
      <c r="E229">
        <v>-227</v>
      </c>
      <c r="F229" t="s">
        <v>559</v>
      </c>
      <c r="G229" t="s">
        <v>560</v>
      </c>
    </row>
    <row r="230" spans="1:7">
      <c r="A230" t="s">
        <v>182</v>
      </c>
      <c r="B230" t="s">
        <v>557</v>
      </c>
      <c r="C230" t="s">
        <v>558</v>
      </c>
      <c r="D230" t="s">
        <v>787</v>
      </c>
      <c r="E230">
        <v>-228</v>
      </c>
      <c r="F230" t="s">
        <v>559</v>
      </c>
      <c r="G230" t="s">
        <v>560</v>
      </c>
    </row>
    <row r="231" spans="1:7">
      <c r="A231" t="s">
        <v>182</v>
      </c>
      <c r="B231" t="s">
        <v>557</v>
      </c>
      <c r="C231" t="s">
        <v>558</v>
      </c>
      <c r="D231" t="s">
        <v>788</v>
      </c>
      <c r="E231">
        <v>-229</v>
      </c>
      <c r="F231" t="s">
        <v>559</v>
      </c>
      <c r="G231" t="s">
        <v>560</v>
      </c>
    </row>
    <row r="232" spans="1:7">
      <c r="A232" t="s">
        <v>182</v>
      </c>
      <c r="B232" t="s">
        <v>557</v>
      </c>
      <c r="C232" t="s">
        <v>558</v>
      </c>
      <c r="D232" t="s">
        <v>789</v>
      </c>
      <c r="E232">
        <v>-230</v>
      </c>
      <c r="F232" t="s">
        <v>559</v>
      </c>
      <c r="G232" t="s">
        <v>560</v>
      </c>
    </row>
    <row r="233" spans="1:7">
      <c r="A233" t="s">
        <v>182</v>
      </c>
      <c r="B233" t="s">
        <v>557</v>
      </c>
      <c r="C233" t="s">
        <v>558</v>
      </c>
      <c r="D233" t="s">
        <v>790</v>
      </c>
      <c r="E233">
        <v>-231</v>
      </c>
      <c r="F233" t="s">
        <v>559</v>
      </c>
      <c r="G233" t="s">
        <v>560</v>
      </c>
    </row>
    <row r="234" spans="1:7">
      <c r="A234" t="s">
        <v>182</v>
      </c>
      <c r="B234" t="s">
        <v>557</v>
      </c>
      <c r="C234" t="s">
        <v>558</v>
      </c>
      <c r="D234" t="s">
        <v>791</v>
      </c>
      <c r="E234">
        <v>-232</v>
      </c>
      <c r="F234" t="s">
        <v>559</v>
      </c>
      <c r="G234" t="s">
        <v>560</v>
      </c>
    </row>
    <row r="235" spans="1:7">
      <c r="A235" t="s">
        <v>182</v>
      </c>
      <c r="B235" t="s">
        <v>557</v>
      </c>
      <c r="C235" t="s">
        <v>558</v>
      </c>
      <c r="D235" t="s">
        <v>792</v>
      </c>
      <c r="E235">
        <v>-233</v>
      </c>
      <c r="F235" t="s">
        <v>559</v>
      </c>
      <c r="G235" t="s">
        <v>560</v>
      </c>
    </row>
    <row r="236" spans="1:7">
      <c r="A236" t="s">
        <v>182</v>
      </c>
      <c r="B236" t="s">
        <v>557</v>
      </c>
      <c r="C236" t="s">
        <v>558</v>
      </c>
      <c r="D236" t="s">
        <v>793</v>
      </c>
      <c r="E236">
        <v>-234</v>
      </c>
      <c r="F236" t="s">
        <v>559</v>
      </c>
      <c r="G236" t="s">
        <v>560</v>
      </c>
    </row>
    <row r="237" spans="1:7">
      <c r="A237" t="s">
        <v>182</v>
      </c>
      <c r="B237" t="s">
        <v>557</v>
      </c>
      <c r="C237" t="s">
        <v>558</v>
      </c>
      <c r="D237" t="s">
        <v>794</v>
      </c>
      <c r="E237">
        <v>-235</v>
      </c>
      <c r="F237" t="s">
        <v>559</v>
      </c>
      <c r="G237" t="s">
        <v>560</v>
      </c>
    </row>
    <row r="238" spans="1:7">
      <c r="A238" t="s">
        <v>182</v>
      </c>
      <c r="B238" t="s">
        <v>557</v>
      </c>
      <c r="C238" t="s">
        <v>558</v>
      </c>
      <c r="D238" t="s">
        <v>795</v>
      </c>
      <c r="E238">
        <v>-236</v>
      </c>
      <c r="F238" t="s">
        <v>559</v>
      </c>
      <c r="G238" t="s">
        <v>560</v>
      </c>
    </row>
    <row r="239" spans="1:7">
      <c r="A239" t="s">
        <v>182</v>
      </c>
      <c r="B239" t="s">
        <v>557</v>
      </c>
      <c r="C239" t="s">
        <v>558</v>
      </c>
      <c r="D239" t="s">
        <v>796</v>
      </c>
      <c r="E239">
        <v>-237</v>
      </c>
      <c r="F239" t="s">
        <v>559</v>
      </c>
      <c r="G239" t="s">
        <v>560</v>
      </c>
    </row>
    <row r="240" spans="1:7">
      <c r="A240" t="s">
        <v>182</v>
      </c>
      <c r="B240" t="s">
        <v>557</v>
      </c>
      <c r="C240" t="s">
        <v>558</v>
      </c>
      <c r="D240" t="s">
        <v>797</v>
      </c>
      <c r="E240">
        <v>-238</v>
      </c>
      <c r="F240" t="s">
        <v>559</v>
      </c>
      <c r="G240" t="s">
        <v>560</v>
      </c>
    </row>
    <row r="241" spans="1:7">
      <c r="A241" t="s">
        <v>182</v>
      </c>
      <c r="B241" t="s">
        <v>557</v>
      </c>
      <c r="C241" t="s">
        <v>558</v>
      </c>
      <c r="D241" t="s">
        <v>798</v>
      </c>
      <c r="E241">
        <v>-239</v>
      </c>
      <c r="F241" t="s">
        <v>559</v>
      </c>
      <c r="G241" t="s">
        <v>560</v>
      </c>
    </row>
    <row r="242" spans="1:7">
      <c r="A242" t="s">
        <v>182</v>
      </c>
      <c r="B242" t="s">
        <v>557</v>
      </c>
      <c r="C242" t="s">
        <v>558</v>
      </c>
      <c r="D242" t="s">
        <v>799</v>
      </c>
      <c r="E242">
        <v>-240</v>
      </c>
      <c r="F242" t="s">
        <v>559</v>
      </c>
      <c r="G242" t="s">
        <v>560</v>
      </c>
    </row>
    <row r="243" spans="1:7">
      <c r="A243" t="s">
        <v>182</v>
      </c>
      <c r="B243" t="s">
        <v>557</v>
      </c>
      <c r="C243" t="s">
        <v>558</v>
      </c>
      <c r="D243" t="s">
        <v>800</v>
      </c>
      <c r="E243">
        <v>-241</v>
      </c>
      <c r="F243" t="s">
        <v>559</v>
      </c>
      <c r="G243" t="s">
        <v>560</v>
      </c>
    </row>
    <row r="244" spans="1:7">
      <c r="A244" t="s">
        <v>182</v>
      </c>
      <c r="B244" t="s">
        <v>557</v>
      </c>
      <c r="C244" t="s">
        <v>558</v>
      </c>
      <c r="D244" t="s">
        <v>801</v>
      </c>
      <c r="E244">
        <v>-242</v>
      </c>
      <c r="F244" t="s">
        <v>559</v>
      </c>
      <c r="G244" t="s">
        <v>560</v>
      </c>
    </row>
    <row r="245" spans="1:7">
      <c r="A245" t="s">
        <v>182</v>
      </c>
      <c r="B245" t="s">
        <v>557</v>
      </c>
      <c r="C245" t="s">
        <v>558</v>
      </c>
      <c r="D245" t="s">
        <v>802</v>
      </c>
      <c r="E245">
        <v>-243</v>
      </c>
      <c r="F245" t="s">
        <v>559</v>
      </c>
      <c r="G245" t="s">
        <v>560</v>
      </c>
    </row>
    <row r="246" spans="1:7">
      <c r="A246" t="s">
        <v>182</v>
      </c>
      <c r="B246" t="s">
        <v>557</v>
      </c>
      <c r="C246" t="s">
        <v>558</v>
      </c>
      <c r="D246" t="s">
        <v>803</v>
      </c>
      <c r="E246">
        <v>-244</v>
      </c>
      <c r="F246" t="s">
        <v>559</v>
      </c>
      <c r="G246" t="s">
        <v>560</v>
      </c>
    </row>
    <row r="247" spans="1:7">
      <c r="A247" t="s">
        <v>182</v>
      </c>
      <c r="B247" t="s">
        <v>557</v>
      </c>
      <c r="C247" t="s">
        <v>558</v>
      </c>
      <c r="D247" t="s">
        <v>804</v>
      </c>
      <c r="E247">
        <v>-245</v>
      </c>
      <c r="F247" t="s">
        <v>559</v>
      </c>
      <c r="G247" t="s">
        <v>560</v>
      </c>
    </row>
    <row r="248" spans="1:7">
      <c r="A248" t="s">
        <v>182</v>
      </c>
      <c r="B248" t="s">
        <v>557</v>
      </c>
      <c r="C248" t="s">
        <v>558</v>
      </c>
      <c r="D248" t="s">
        <v>805</v>
      </c>
      <c r="E248">
        <v>-246</v>
      </c>
      <c r="F248" t="s">
        <v>559</v>
      </c>
      <c r="G248" t="s">
        <v>560</v>
      </c>
    </row>
    <row r="249" spans="1:7">
      <c r="A249" t="s">
        <v>182</v>
      </c>
      <c r="B249" t="s">
        <v>557</v>
      </c>
      <c r="C249" t="s">
        <v>558</v>
      </c>
      <c r="D249" t="s">
        <v>806</v>
      </c>
      <c r="E249">
        <v>-247</v>
      </c>
      <c r="F249" t="s">
        <v>559</v>
      </c>
      <c r="G249" t="s">
        <v>560</v>
      </c>
    </row>
    <row r="250" spans="1:7">
      <c r="A250" t="s">
        <v>182</v>
      </c>
      <c r="B250" t="s">
        <v>557</v>
      </c>
      <c r="C250" t="s">
        <v>558</v>
      </c>
      <c r="D250" t="s">
        <v>807</v>
      </c>
      <c r="E250">
        <v>-248</v>
      </c>
      <c r="F250" t="s">
        <v>559</v>
      </c>
      <c r="G250" t="s">
        <v>560</v>
      </c>
    </row>
    <row r="251" spans="1:7">
      <c r="A251" t="s">
        <v>182</v>
      </c>
      <c r="B251" t="s">
        <v>557</v>
      </c>
      <c r="C251" t="s">
        <v>558</v>
      </c>
      <c r="D251" t="s">
        <v>808</v>
      </c>
      <c r="E251">
        <v>-249</v>
      </c>
      <c r="F251" t="s">
        <v>559</v>
      </c>
      <c r="G251" t="s">
        <v>560</v>
      </c>
    </row>
    <row r="252" spans="1:7">
      <c r="A252" t="s">
        <v>182</v>
      </c>
      <c r="B252" t="s">
        <v>557</v>
      </c>
      <c r="C252" t="s">
        <v>558</v>
      </c>
      <c r="D252" t="s">
        <v>809</v>
      </c>
      <c r="E252">
        <v>-250</v>
      </c>
      <c r="F252" t="s">
        <v>559</v>
      </c>
      <c r="G252" t="s">
        <v>560</v>
      </c>
    </row>
    <row r="253" spans="1:7">
      <c r="A253" t="s">
        <v>182</v>
      </c>
      <c r="B253" t="s">
        <v>557</v>
      </c>
      <c r="C253" t="s">
        <v>558</v>
      </c>
      <c r="D253" t="s">
        <v>810</v>
      </c>
      <c r="E253">
        <v>-251</v>
      </c>
      <c r="F253" t="s">
        <v>559</v>
      </c>
      <c r="G253" t="s">
        <v>560</v>
      </c>
    </row>
    <row r="254" spans="1:7">
      <c r="A254" t="s">
        <v>182</v>
      </c>
      <c r="B254" t="s">
        <v>557</v>
      </c>
      <c r="C254" t="s">
        <v>558</v>
      </c>
      <c r="D254" t="s">
        <v>811</v>
      </c>
      <c r="E254">
        <v>-252</v>
      </c>
      <c r="F254" t="s">
        <v>559</v>
      </c>
      <c r="G254" t="s">
        <v>560</v>
      </c>
    </row>
    <row r="255" spans="1:7">
      <c r="A255" t="s">
        <v>182</v>
      </c>
      <c r="B255" t="s">
        <v>557</v>
      </c>
      <c r="C255" t="s">
        <v>558</v>
      </c>
      <c r="D255" t="s">
        <v>812</v>
      </c>
      <c r="E255">
        <v>-253</v>
      </c>
      <c r="F255" t="s">
        <v>559</v>
      </c>
      <c r="G255" t="s">
        <v>560</v>
      </c>
    </row>
    <row r="256" spans="1:7">
      <c r="A256" t="s">
        <v>182</v>
      </c>
      <c r="B256" t="s">
        <v>557</v>
      </c>
      <c r="C256" t="s">
        <v>558</v>
      </c>
      <c r="D256" t="s">
        <v>813</v>
      </c>
      <c r="E256">
        <v>-254</v>
      </c>
      <c r="F256" t="s">
        <v>559</v>
      </c>
      <c r="G256" t="s">
        <v>560</v>
      </c>
    </row>
    <row r="257" spans="1:7">
      <c r="A257" t="s">
        <v>182</v>
      </c>
      <c r="B257" t="s">
        <v>557</v>
      </c>
      <c r="C257" t="s">
        <v>558</v>
      </c>
      <c r="D257" t="s">
        <v>814</v>
      </c>
      <c r="E257">
        <v>-255</v>
      </c>
      <c r="F257" t="s">
        <v>559</v>
      </c>
      <c r="G257" t="s">
        <v>560</v>
      </c>
    </row>
    <row r="258" spans="1:7">
      <c r="A258" t="s">
        <v>182</v>
      </c>
      <c r="B258" t="s">
        <v>557</v>
      </c>
      <c r="C258" t="s">
        <v>558</v>
      </c>
      <c r="D258" t="s">
        <v>815</v>
      </c>
      <c r="E258">
        <v>-256</v>
      </c>
      <c r="F258" t="s">
        <v>559</v>
      </c>
      <c r="G258" t="s">
        <v>560</v>
      </c>
    </row>
    <row r="259" spans="1:7">
      <c r="A259" t="s">
        <v>182</v>
      </c>
      <c r="B259" t="s">
        <v>557</v>
      </c>
      <c r="C259" t="s">
        <v>558</v>
      </c>
      <c r="D259" t="s">
        <v>816</v>
      </c>
      <c r="E259">
        <v>-257</v>
      </c>
      <c r="F259" t="s">
        <v>559</v>
      </c>
      <c r="G259" t="s">
        <v>560</v>
      </c>
    </row>
    <row r="260" spans="1:7">
      <c r="A260" t="s">
        <v>182</v>
      </c>
      <c r="B260" t="s">
        <v>557</v>
      </c>
      <c r="C260" t="s">
        <v>558</v>
      </c>
      <c r="D260" t="s">
        <v>817</v>
      </c>
      <c r="E260">
        <v>-258</v>
      </c>
      <c r="F260" t="s">
        <v>559</v>
      </c>
      <c r="G260" t="s">
        <v>560</v>
      </c>
    </row>
    <row r="261" spans="1:7">
      <c r="A261" t="s">
        <v>182</v>
      </c>
      <c r="B261" t="s">
        <v>557</v>
      </c>
      <c r="C261" t="s">
        <v>558</v>
      </c>
      <c r="D261" t="s">
        <v>818</v>
      </c>
      <c r="E261">
        <v>-259</v>
      </c>
      <c r="F261" t="s">
        <v>559</v>
      </c>
      <c r="G261" t="s">
        <v>560</v>
      </c>
    </row>
    <row r="262" spans="1:7">
      <c r="A262" t="s">
        <v>182</v>
      </c>
      <c r="B262" t="s">
        <v>557</v>
      </c>
      <c r="C262" t="s">
        <v>558</v>
      </c>
      <c r="D262" t="s">
        <v>819</v>
      </c>
      <c r="E262">
        <v>-260</v>
      </c>
      <c r="F262" t="s">
        <v>559</v>
      </c>
      <c r="G262" t="s">
        <v>560</v>
      </c>
    </row>
    <row r="263" spans="1:7">
      <c r="A263" t="s">
        <v>182</v>
      </c>
      <c r="B263" t="s">
        <v>557</v>
      </c>
      <c r="C263" t="s">
        <v>558</v>
      </c>
      <c r="D263" t="s">
        <v>820</v>
      </c>
      <c r="E263">
        <v>-261</v>
      </c>
      <c r="F263" t="s">
        <v>559</v>
      </c>
      <c r="G263" t="s">
        <v>560</v>
      </c>
    </row>
    <row r="264" spans="1:7">
      <c r="A264" t="s">
        <v>182</v>
      </c>
      <c r="B264" t="s">
        <v>557</v>
      </c>
      <c r="C264" t="s">
        <v>558</v>
      </c>
      <c r="D264" t="s">
        <v>821</v>
      </c>
      <c r="E264">
        <v>-262</v>
      </c>
      <c r="F264" t="s">
        <v>559</v>
      </c>
      <c r="G264" t="s">
        <v>560</v>
      </c>
    </row>
    <row r="265" spans="1:7">
      <c r="A265" t="s">
        <v>182</v>
      </c>
      <c r="B265" t="s">
        <v>557</v>
      </c>
      <c r="C265" t="s">
        <v>558</v>
      </c>
      <c r="D265" t="s">
        <v>822</v>
      </c>
      <c r="E265">
        <v>-263</v>
      </c>
      <c r="F265" t="s">
        <v>559</v>
      </c>
      <c r="G265" t="s">
        <v>560</v>
      </c>
    </row>
    <row r="266" spans="1:7">
      <c r="A266" t="s">
        <v>182</v>
      </c>
      <c r="B266" t="s">
        <v>557</v>
      </c>
      <c r="C266" t="s">
        <v>558</v>
      </c>
      <c r="D266" t="s">
        <v>823</v>
      </c>
      <c r="E266">
        <v>-264</v>
      </c>
      <c r="F266" t="s">
        <v>559</v>
      </c>
      <c r="G266" t="s">
        <v>560</v>
      </c>
    </row>
    <row r="267" spans="1:7">
      <c r="A267" t="s">
        <v>182</v>
      </c>
      <c r="B267" t="s">
        <v>557</v>
      </c>
      <c r="C267" t="s">
        <v>558</v>
      </c>
      <c r="D267" t="s">
        <v>824</v>
      </c>
      <c r="E267">
        <v>-265</v>
      </c>
      <c r="F267" t="s">
        <v>559</v>
      </c>
      <c r="G267" t="s">
        <v>560</v>
      </c>
    </row>
    <row r="268" spans="1:7">
      <c r="A268" t="s">
        <v>182</v>
      </c>
      <c r="B268" t="s">
        <v>557</v>
      </c>
      <c r="C268" t="s">
        <v>558</v>
      </c>
      <c r="D268" t="s">
        <v>825</v>
      </c>
      <c r="E268">
        <v>-266</v>
      </c>
      <c r="F268" t="s">
        <v>559</v>
      </c>
      <c r="G268" t="s">
        <v>560</v>
      </c>
    </row>
    <row r="269" spans="1:7">
      <c r="A269" t="s">
        <v>182</v>
      </c>
      <c r="B269" t="s">
        <v>557</v>
      </c>
      <c r="C269" t="s">
        <v>558</v>
      </c>
      <c r="D269" t="s">
        <v>826</v>
      </c>
      <c r="E269">
        <v>-267</v>
      </c>
      <c r="F269" t="s">
        <v>559</v>
      </c>
      <c r="G269" t="s">
        <v>560</v>
      </c>
    </row>
    <row r="270" spans="1:7">
      <c r="A270" t="s">
        <v>182</v>
      </c>
      <c r="B270" t="s">
        <v>557</v>
      </c>
      <c r="C270" t="s">
        <v>558</v>
      </c>
      <c r="D270" t="s">
        <v>827</v>
      </c>
      <c r="E270">
        <v>-268</v>
      </c>
      <c r="F270" t="s">
        <v>559</v>
      </c>
      <c r="G270" t="s">
        <v>560</v>
      </c>
    </row>
    <row r="271" spans="1:7">
      <c r="A271" t="s">
        <v>182</v>
      </c>
      <c r="B271" t="s">
        <v>557</v>
      </c>
      <c r="C271" t="s">
        <v>558</v>
      </c>
      <c r="D271" t="s">
        <v>828</v>
      </c>
      <c r="E271">
        <v>-269</v>
      </c>
      <c r="F271" t="s">
        <v>559</v>
      </c>
      <c r="G271" t="s">
        <v>560</v>
      </c>
    </row>
    <row r="272" spans="1:7">
      <c r="A272" t="s">
        <v>182</v>
      </c>
      <c r="B272" t="s">
        <v>557</v>
      </c>
      <c r="C272" t="s">
        <v>558</v>
      </c>
      <c r="D272" t="s">
        <v>829</v>
      </c>
      <c r="E272">
        <v>-270</v>
      </c>
      <c r="F272" t="s">
        <v>559</v>
      </c>
      <c r="G272" t="s">
        <v>560</v>
      </c>
    </row>
    <row r="273" spans="1:7">
      <c r="A273" t="s">
        <v>182</v>
      </c>
      <c r="B273" t="s">
        <v>557</v>
      </c>
      <c r="C273" t="s">
        <v>558</v>
      </c>
      <c r="D273" t="s">
        <v>830</v>
      </c>
      <c r="E273">
        <v>-271</v>
      </c>
      <c r="F273" t="s">
        <v>559</v>
      </c>
      <c r="G273" t="s">
        <v>560</v>
      </c>
    </row>
    <row r="274" spans="1:7">
      <c r="A274" t="s">
        <v>182</v>
      </c>
      <c r="B274" t="s">
        <v>557</v>
      </c>
      <c r="C274" t="s">
        <v>558</v>
      </c>
      <c r="D274" t="s">
        <v>831</v>
      </c>
      <c r="E274">
        <v>-272</v>
      </c>
      <c r="F274" t="s">
        <v>559</v>
      </c>
      <c r="G274" t="s">
        <v>560</v>
      </c>
    </row>
    <row r="275" spans="1:7">
      <c r="A275" t="s">
        <v>182</v>
      </c>
      <c r="B275" t="s">
        <v>557</v>
      </c>
      <c r="C275" t="s">
        <v>558</v>
      </c>
      <c r="D275" t="s">
        <v>832</v>
      </c>
      <c r="E275">
        <v>-273</v>
      </c>
      <c r="F275" t="s">
        <v>559</v>
      </c>
      <c r="G275" t="s">
        <v>560</v>
      </c>
    </row>
    <row r="276" spans="1:7">
      <c r="A276" t="s">
        <v>182</v>
      </c>
      <c r="B276" t="s">
        <v>557</v>
      </c>
      <c r="C276" t="s">
        <v>558</v>
      </c>
      <c r="D276" t="s">
        <v>833</v>
      </c>
      <c r="E276">
        <v>-274</v>
      </c>
      <c r="F276" t="s">
        <v>559</v>
      </c>
      <c r="G276" t="s">
        <v>560</v>
      </c>
    </row>
    <row r="277" spans="1:7">
      <c r="A277" t="s">
        <v>182</v>
      </c>
      <c r="B277" t="s">
        <v>557</v>
      </c>
      <c r="C277" t="s">
        <v>558</v>
      </c>
      <c r="D277" t="s">
        <v>834</v>
      </c>
      <c r="E277">
        <v>-275</v>
      </c>
      <c r="F277" t="s">
        <v>559</v>
      </c>
      <c r="G277" t="s">
        <v>560</v>
      </c>
    </row>
    <row r="278" spans="1:7">
      <c r="A278" t="s">
        <v>182</v>
      </c>
      <c r="B278" t="s">
        <v>557</v>
      </c>
      <c r="C278" t="s">
        <v>558</v>
      </c>
      <c r="D278" t="s">
        <v>835</v>
      </c>
      <c r="E278">
        <v>-276</v>
      </c>
      <c r="F278" t="s">
        <v>559</v>
      </c>
      <c r="G278" t="s">
        <v>560</v>
      </c>
    </row>
    <row r="279" spans="1:7">
      <c r="A279" t="s">
        <v>182</v>
      </c>
      <c r="B279" t="s">
        <v>557</v>
      </c>
      <c r="C279" t="s">
        <v>558</v>
      </c>
      <c r="D279" t="s">
        <v>836</v>
      </c>
      <c r="E279">
        <v>-277</v>
      </c>
      <c r="F279" t="s">
        <v>559</v>
      </c>
      <c r="G279" t="s">
        <v>560</v>
      </c>
    </row>
    <row r="280" spans="1:7">
      <c r="A280" t="s">
        <v>182</v>
      </c>
      <c r="B280" t="s">
        <v>557</v>
      </c>
      <c r="C280" t="s">
        <v>558</v>
      </c>
      <c r="D280" t="s">
        <v>837</v>
      </c>
      <c r="E280">
        <v>-278</v>
      </c>
      <c r="F280" t="s">
        <v>559</v>
      </c>
      <c r="G280" t="s">
        <v>560</v>
      </c>
    </row>
    <row r="281" spans="1:7">
      <c r="A281" t="s">
        <v>182</v>
      </c>
      <c r="B281" t="s">
        <v>557</v>
      </c>
      <c r="C281" t="s">
        <v>558</v>
      </c>
      <c r="D281" t="s">
        <v>838</v>
      </c>
      <c r="E281">
        <v>-279</v>
      </c>
      <c r="F281" t="s">
        <v>559</v>
      </c>
      <c r="G281" t="s">
        <v>560</v>
      </c>
    </row>
    <row r="282" spans="1:7">
      <c r="A282" t="s">
        <v>182</v>
      </c>
      <c r="B282" t="s">
        <v>557</v>
      </c>
      <c r="C282" t="s">
        <v>558</v>
      </c>
      <c r="D282" t="s">
        <v>839</v>
      </c>
      <c r="E282">
        <v>-280</v>
      </c>
      <c r="F282" t="s">
        <v>559</v>
      </c>
      <c r="G282" t="s">
        <v>560</v>
      </c>
    </row>
    <row r="283" spans="1:7">
      <c r="A283" t="s">
        <v>182</v>
      </c>
      <c r="B283" t="s">
        <v>557</v>
      </c>
      <c r="C283" t="s">
        <v>558</v>
      </c>
      <c r="D283" t="s">
        <v>840</v>
      </c>
      <c r="E283">
        <v>-281</v>
      </c>
      <c r="F283" t="s">
        <v>559</v>
      </c>
      <c r="G283" t="s">
        <v>560</v>
      </c>
    </row>
    <row r="284" spans="1:7">
      <c r="A284" t="s">
        <v>182</v>
      </c>
      <c r="B284" t="s">
        <v>557</v>
      </c>
      <c r="C284" t="s">
        <v>558</v>
      </c>
      <c r="D284" t="s">
        <v>841</v>
      </c>
      <c r="E284">
        <v>-282</v>
      </c>
      <c r="F284" t="s">
        <v>559</v>
      </c>
      <c r="G284" t="s">
        <v>560</v>
      </c>
    </row>
    <row r="285" spans="1:7">
      <c r="A285" t="s">
        <v>182</v>
      </c>
      <c r="B285" t="s">
        <v>557</v>
      </c>
      <c r="C285" t="s">
        <v>558</v>
      </c>
      <c r="D285" t="s">
        <v>842</v>
      </c>
      <c r="E285">
        <v>-283</v>
      </c>
      <c r="F285" t="s">
        <v>559</v>
      </c>
      <c r="G285" t="s">
        <v>560</v>
      </c>
    </row>
    <row r="286" spans="1:7">
      <c r="A286" t="s">
        <v>182</v>
      </c>
      <c r="B286" t="s">
        <v>557</v>
      </c>
      <c r="C286" t="s">
        <v>558</v>
      </c>
      <c r="D286" t="s">
        <v>843</v>
      </c>
      <c r="E286">
        <v>-284</v>
      </c>
      <c r="F286" t="s">
        <v>559</v>
      </c>
      <c r="G286" t="s">
        <v>560</v>
      </c>
    </row>
    <row r="287" spans="1:7">
      <c r="A287" t="s">
        <v>182</v>
      </c>
      <c r="B287" t="s">
        <v>557</v>
      </c>
      <c r="C287" t="s">
        <v>558</v>
      </c>
      <c r="D287" t="s">
        <v>844</v>
      </c>
      <c r="E287">
        <v>-285</v>
      </c>
      <c r="F287" t="s">
        <v>559</v>
      </c>
      <c r="G287" t="s">
        <v>560</v>
      </c>
    </row>
    <row r="288" spans="1:7">
      <c r="A288" t="s">
        <v>182</v>
      </c>
      <c r="B288" t="s">
        <v>557</v>
      </c>
      <c r="C288" t="s">
        <v>558</v>
      </c>
      <c r="D288" t="s">
        <v>845</v>
      </c>
      <c r="E288">
        <v>-286</v>
      </c>
      <c r="F288" t="s">
        <v>559</v>
      </c>
      <c r="G288" t="s">
        <v>560</v>
      </c>
    </row>
    <row r="289" spans="1:7">
      <c r="A289" t="s">
        <v>182</v>
      </c>
      <c r="B289" t="s">
        <v>557</v>
      </c>
      <c r="C289" t="s">
        <v>558</v>
      </c>
      <c r="D289" t="s">
        <v>846</v>
      </c>
      <c r="E289">
        <v>-287</v>
      </c>
      <c r="F289" t="s">
        <v>559</v>
      </c>
      <c r="G289" t="s">
        <v>560</v>
      </c>
    </row>
    <row r="290" spans="1:7">
      <c r="A290" t="s">
        <v>182</v>
      </c>
      <c r="B290" t="s">
        <v>557</v>
      </c>
      <c r="C290" t="s">
        <v>558</v>
      </c>
      <c r="D290" t="s">
        <v>847</v>
      </c>
      <c r="E290">
        <v>-288</v>
      </c>
      <c r="F290" t="s">
        <v>559</v>
      </c>
      <c r="G290" t="s">
        <v>560</v>
      </c>
    </row>
    <row r="291" spans="1:7">
      <c r="A291" t="s">
        <v>182</v>
      </c>
      <c r="B291" t="s">
        <v>557</v>
      </c>
      <c r="C291" t="s">
        <v>558</v>
      </c>
      <c r="D291" t="s">
        <v>848</v>
      </c>
      <c r="E291">
        <v>-289</v>
      </c>
      <c r="F291" t="s">
        <v>559</v>
      </c>
      <c r="G291" t="s">
        <v>560</v>
      </c>
    </row>
    <row r="292" spans="1:7">
      <c r="A292" t="s">
        <v>182</v>
      </c>
      <c r="B292" t="s">
        <v>557</v>
      </c>
      <c r="C292" t="s">
        <v>558</v>
      </c>
      <c r="D292" t="s">
        <v>849</v>
      </c>
      <c r="E292">
        <v>-290</v>
      </c>
      <c r="F292" t="s">
        <v>559</v>
      </c>
      <c r="G292" t="s">
        <v>560</v>
      </c>
    </row>
    <row r="293" spans="1:7">
      <c r="A293" t="s">
        <v>182</v>
      </c>
      <c r="B293" t="s">
        <v>557</v>
      </c>
      <c r="C293" t="s">
        <v>558</v>
      </c>
      <c r="D293" t="s">
        <v>850</v>
      </c>
      <c r="E293">
        <v>-291</v>
      </c>
      <c r="F293" t="s">
        <v>559</v>
      </c>
      <c r="G293" t="s">
        <v>560</v>
      </c>
    </row>
    <row r="294" spans="1:7">
      <c r="A294" t="s">
        <v>182</v>
      </c>
      <c r="B294" t="s">
        <v>557</v>
      </c>
      <c r="C294" t="s">
        <v>558</v>
      </c>
      <c r="D294" t="s">
        <v>851</v>
      </c>
      <c r="E294">
        <v>-292</v>
      </c>
      <c r="F294" t="s">
        <v>559</v>
      </c>
      <c r="G294" t="s">
        <v>560</v>
      </c>
    </row>
    <row r="295" spans="1:7">
      <c r="A295" t="s">
        <v>182</v>
      </c>
      <c r="B295" t="s">
        <v>557</v>
      </c>
      <c r="C295" t="s">
        <v>558</v>
      </c>
      <c r="D295" t="s">
        <v>852</v>
      </c>
      <c r="E295">
        <v>-293</v>
      </c>
      <c r="F295" t="s">
        <v>559</v>
      </c>
      <c r="G295" t="s">
        <v>560</v>
      </c>
    </row>
    <row r="296" spans="1:7">
      <c r="A296" t="s">
        <v>182</v>
      </c>
      <c r="B296" t="s">
        <v>557</v>
      </c>
      <c r="C296" t="s">
        <v>558</v>
      </c>
      <c r="D296" t="s">
        <v>853</v>
      </c>
      <c r="E296">
        <v>-294</v>
      </c>
      <c r="F296" t="s">
        <v>559</v>
      </c>
      <c r="G296" t="s">
        <v>560</v>
      </c>
    </row>
    <row r="297" spans="1:7">
      <c r="A297" t="s">
        <v>182</v>
      </c>
      <c r="B297" t="s">
        <v>557</v>
      </c>
      <c r="C297" t="s">
        <v>558</v>
      </c>
      <c r="D297" t="s">
        <v>854</v>
      </c>
      <c r="E297">
        <v>-295</v>
      </c>
      <c r="F297" t="s">
        <v>559</v>
      </c>
      <c r="G297" t="s">
        <v>560</v>
      </c>
    </row>
    <row r="298" spans="1:7">
      <c r="A298" t="s">
        <v>182</v>
      </c>
      <c r="B298" t="s">
        <v>557</v>
      </c>
      <c r="C298" t="s">
        <v>558</v>
      </c>
      <c r="D298" t="s">
        <v>855</v>
      </c>
      <c r="E298">
        <v>-296</v>
      </c>
      <c r="F298" t="s">
        <v>559</v>
      </c>
      <c r="G298" t="s">
        <v>560</v>
      </c>
    </row>
    <row r="299" spans="1:7">
      <c r="A299" t="s">
        <v>182</v>
      </c>
      <c r="B299" t="s">
        <v>557</v>
      </c>
      <c r="C299" t="s">
        <v>558</v>
      </c>
      <c r="D299" t="s">
        <v>856</v>
      </c>
      <c r="E299">
        <v>-297</v>
      </c>
      <c r="F299" t="s">
        <v>559</v>
      </c>
      <c r="G299" t="s">
        <v>560</v>
      </c>
    </row>
    <row r="300" spans="1:7">
      <c r="A300" t="s">
        <v>182</v>
      </c>
      <c r="B300" t="s">
        <v>557</v>
      </c>
      <c r="C300" t="s">
        <v>558</v>
      </c>
      <c r="D300" t="s">
        <v>857</v>
      </c>
      <c r="E300">
        <v>-298</v>
      </c>
      <c r="F300" t="s">
        <v>559</v>
      </c>
      <c r="G300" t="s">
        <v>560</v>
      </c>
    </row>
    <row r="301" spans="1:7">
      <c r="A301" t="s">
        <v>182</v>
      </c>
      <c r="B301" t="s">
        <v>557</v>
      </c>
      <c r="C301" t="s">
        <v>558</v>
      </c>
      <c r="D301" t="s">
        <v>858</v>
      </c>
      <c r="E301">
        <v>-299</v>
      </c>
      <c r="F301" t="s">
        <v>559</v>
      </c>
      <c r="G301" t="s">
        <v>560</v>
      </c>
    </row>
    <row r="302" spans="1:7">
      <c r="A302" t="s">
        <v>182</v>
      </c>
      <c r="B302" t="s">
        <v>557</v>
      </c>
      <c r="C302" t="s">
        <v>558</v>
      </c>
      <c r="D302" t="s">
        <v>859</v>
      </c>
      <c r="E302">
        <v>-300</v>
      </c>
      <c r="F302" t="s">
        <v>559</v>
      </c>
      <c r="G302" t="s">
        <v>560</v>
      </c>
    </row>
    <row r="303" spans="1:7">
      <c r="A303" t="s">
        <v>182</v>
      </c>
      <c r="B303" t="s">
        <v>557</v>
      </c>
      <c r="C303" t="s">
        <v>558</v>
      </c>
      <c r="D303" t="s">
        <v>860</v>
      </c>
      <c r="E303">
        <v>-301</v>
      </c>
      <c r="F303" t="s">
        <v>559</v>
      </c>
      <c r="G303" t="s">
        <v>560</v>
      </c>
    </row>
    <row r="304" spans="1:7">
      <c r="A304" t="s">
        <v>182</v>
      </c>
      <c r="B304" t="s">
        <v>557</v>
      </c>
      <c r="C304" t="s">
        <v>558</v>
      </c>
      <c r="D304" t="s">
        <v>861</v>
      </c>
      <c r="E304">
        <v>-302</v>
      </c>
      <c r="F304" t="s">
        <v>559</v>
      </c>
      <c r="G304" t="s">
        <v>560</v>
      </c>
    </row>
    <row r="305" spans="1:7">
      <c r="A305" t="s">
        <v>182</v>
      </c>
      <c r="B305" t="s">
        <v>557</v>
      </c>
      <c r="C305" t="s">
        <v>558</v>
      </c>
      <c r="D305" t="s">
        <v>862</v>
      </c>
      <c r="E305">
        <v>-303</v>
      </c>
      <c r="F305" t="s">
        <v>559</v>
      </c>
      <c r="G305" t="s">
        <v>560</v>
      </c>
    </row>
    <row r="306" spans="1:7">
      <c r="A306" t="s">
        <v>182</v>
      </c>
      <c r="B306" t="s">
        <v>557</v>
      </c>
      <c r="C306" t="s">
        <v>558</v>
      </c>
      <c r="D306" t="s">
        <v>863</v>
      </c>
      <c r="E306">
        <v>-304</v>
      </c>
      <c r="F306" t="s">
        <v>559</v>
      </c>
      <c r="G306" t="s">
        <v>560</v>
      </c>
    </row>
    <row r="307" spans="1:7">
      <c r="A307" t="s">
        <v>182</v>
      </c>
      <c r="B307" t="s">
        <v>557</v>
      </c>
      <c r="C307" t="s">
        <v>558</v>
      </c>
      <c r="D307" t="s">
        <v>864</v>
      </c>
      <c r="E307">
        <v>-305</v>
      </c>
      <c r="F307" t="s">
        <v>559</v>
      </c>
      <c r="G307" t="s">
        <v>560</v>
      </c>
    </row>
    <row r="308" spans="1:7">
      <c r="A308" t="s">
        <v>182</v>
      </c>
      <c r="B308" t="s">
        <v>557</v>
      </c>
      <c r="C308" t="s">
        <v>558</v>
      </c>
      <c r="D308" t="s">
        <v>865</v>
      </c>
      <c r="E308">
        <v>-306</v>
      </c>
      <c r="F308" t="s">
        <v>559</v>
      </c>
      <c r="G308" t="s">
        <v>560</v>
      </c>
    </row>
    <row r="309" spans="1:7">
      <c r="A309" t="s">
        <v>182</v>
      </c>
      <c r="B309" t="s">
        <v>557</v>
      </c>
      <c r="C309" t="s">
        <v>558</v>
      </c>
      <c r="D309" t="s">
        <v>866</v>
      </c>
      <c r="E309">
        <v>-307</v>
      </c>
      <c r="F309" t="s">
        <v>559</v>
      </c>
      <c r="G309" t="s">
        <v>560</v>
      </c>
    </row>
    <row r="310" spans="1:7">
      <c r="A310" t="s">
        <v>182</v>
      </c>
      <c r="B310" t="s">
        <v>557</v>
      </c>
      <c r="C310" t="s">
        <v>558</v>
      </c>
      <c r="D310" t="s">
        <v>867</v>
      </c>
      <c r="E310">
        <v>-308</v>
      </c>
      <c r="F310" t="s">
        <v>559</v>
      </c>
      <c r="G310" t="s">
        <v>560</v>
      </c>
    </row>
    <row r="311" spans="1:7">
      <c r="A311" t="s">
        <v>182</v>
      </c>
      <c r="B311" t="s">
        <v>557</v>
      </c>
      <c r="C311" t="s">
        <v>558</v>
      </c>
      <c r="D311" t="s">
        <v>868</v>
      </c>
      <c r="E311">
        <v>-309</v>
      </c>
      <c r="F311" t="s">
        <v>559</v>
      </c>
      <c r="G311" t="s">
        <v>560</v>
      </c>
    </row>
    <row r="312" spans="1:7">
      <c r="A312" t="s">
        <v>182</v>
      </c>
      <c r="B312" t="s">
        <v>557</v>
      </c>
      <c r="C312" t="s">
        <v>558</v>
      </c>
      <c r="D312" t="s">
        <v>869</v>
      </c>
      <c r="E312">
        <v>-310</v>
      </c>
      <c r="F312" t="s">
        <v>559</v>
      </c>
      <c r="G312" t="s">
        <v>560</v>
      </c>
    </row>
    <row r="313" spans="1:7">
      <c r="A313" t="s">
        <v>182</v>
      </c>
      <c r="B313" t="s">
        <v>557</v>
      </c>
      <c r="C313" t="s">
        <v>558</v>
      </c>
      <c r="D313" t="s">
        <v>870</v>
      </c>
      <c r="E313">
        <v>-311</v>
      </c>
      <c r="F313" t="s">
        <v>559</v>
      </c>
      <c r="G313" t="s">
        <v>560</v>
      </c>
    </row>
    <row r="314" spans="1:7">
      <c r="A314" t="s">
        <v>182</v>
      </c>
      <c r="B314" t="s">
        <v>557</v>
      </c>
      <c r="C314" t="s">
        <v>558</v>
      </c>
      <c r="D314" t="s">
        <v>871</v>
      </c>
      <c r="E314">
        <v>-312</v>
      </c>
      <c r="F314" t="s">
        <v>559</v>
      </c>
      <c r="G314" t="s">
        <v>560</v>
      </c>
    </row>
    <row r="315" spans="1:7">
      <c r="A315" t="s">
        <v>182</v>
      </c>
      <c r="B315" t="s">
        <v>557</v>
      </c>
      <c r="C315" t="s">
        <v>558</v>
      </c>
      <c r="D315" t="s">
        <v>872</v>
      </c>
      <c r="E315">
        <v>-313</v>
      </c>
      <c r="F315" t="s">
        <v>559</v>
      </c>
      <c r="G315" t="s">
        <v>560</v>
      </c>
    </row>
    <row r="316" spans="1:7">
      <c r="A316" t="s">
        <v>182</v>
      </c>
      <c r="B316" t="s">
        <v>557</v>
      </c>
      <c r="C316" t="s">
        <v>558</v>
      </c>
      <c r="D316" t="s">
        <v>873</v>
      </c>
      <c r="E316">
        <v>-314</v>
      </c>
      <c r="F316" t="s">
        <v>559</v>
      </c>
      <c r="G316" t="s">
        <v>560</v>
      </c>
    </row>
    <row r="317" spans="1:7">
      <c r="A317" t="s">
        <v>182</v>
      </c>
      <c r="B317" t="s">
        <v>557</v>
      </c>
      <c r="C317" t="s">
        <v>558</v>
      </c>
      <c r="D317" t="s">
        <v>874</v>
      </c>
      <c r="E317">
        <v>-315</v>
      </c>
      <c r="F317" t="s">
        <v>559</v>
      </c>
      <c r="G317" t="s">
        <v>560</v>
      </c>
    </row>
    <row r="318" spans="1:7">
      <c r="A318" t="s">
        <v>182</v>
      </c>
      <c r="B318" t="s">
        <v>557</v>
      </c>
      <c r="C318" t="s">
        <v>558</v>
      </c>
      <c r="D318" t="s">
        <v>875</v>
      </c>
      <c r="E318">
        <v>-316</v>
      </c>
      <c r="F318" t="s">
        <v>559</v>
      </c>
      <c r="G318" t="s">
        <v>560</v>
      </c>
    </row>
    <row r="319" spans="1:7">
      <c r="A319" t="s">
        <v>182</v>
      </c>
      <c r="B319" t="s">
        <v>557</v>
      </c>
      <c r="C319" t="s">
        <v>558</v>
      </c>
      <c r="D319" t="s">
        <v>876</v>
      </c>
      <c r="E319">
        <v>-317</v>
      </c>
      <c r="F319" t="s">
        <v>559</v>
      </c>
      <c r="G319" t="s">
        <v>560</v>
      </c>
    </row>
    <row r="320" spans="1:7">
      <c r="A320" t="s">
        <v>182</v>
      </c>
      <c r="B320" t="s">
        <v>557</v>
      </c>
      <c r="C320" t="s">
        <v>558</v>
      </c>
      <c r="D320" t="s">
        <v>877</v>
      </c>
      <c r="E320">
        <v>-318</v>
      </c>
      <c r="F320" t="s">
        <v>559</v>
      </c>
      <c r="G320" t="s">
        <v>560</v>
      </c>
    </row>
    <row r="321" spans="1:7">
      <c r="A321" t="s">
        <v>182</v>
      </c>
      <c r="B321" t="s">
        <v>557</v>
      </c>
      <c r="C321" t="s">
        <v>558</v>
      </c>
      <c r="D321" t="s">
        <v>878</v>
      </c>
      <c r="E321">
        <v>-319</v>
      </c>
      <c r="F321" t="s">
        <v>559</v>
      </c>
      <c r="G321" t="s">
        <v>560</v>
      </c>
    </row>
    <row r="322" spans="1:7">
      <c r="A322" t="s">
        <v>182</v>
      </c>
      <c r="B322" t="s">
        <v>557</v>
      </c>
      <c r="C322" t="s">
        <v>558</v>
      </c>
      <c r="D322" t="s">
        <v>879</v>
      </c>
      <c r="E322">
        <v>-320</v>
      </c>
      <c r="F322" t="s">
        <v>559</v>
      </c>
      <c r="G322" t="s">
        <v>560</v>
      </c>
    </row>
    <row r="323" spans="1:7">
      <c r="A323" t="s">
        <v>182</v>
      </c>
      <c r="B323" t="s">
        <v>557</v>
      </c>
      <c r="C323" t="s">
        <v>558</v>
      </c>
      <c r="D323" t="s">
        <v>880</v>
      </c>
      <c r="E323">
        <v>-321</v>
      </c>
      <c r="F323" t="s">
        <v>559</v>
      </c>
      <c r="G323" t="s">
        <v>560</v>
      </c>
    </row>
    <row r="324" spans="1:7">
      <c r="A324" t="s">
        <v>182</v>
      </c>
      <c r="B324" t="s">
        <v>557</v>
      </c>
      <c r="C324" t="s">
        <v>558</v>
      </c>
      <c r="D324" t="s">
        <v>881</v>
      </c>
      <c r="E324">
        <v>-322</v>
      </c>
      <c r="F324" t="s">
        <v>559</v>
      </c>
      <c r="G324" t="s">
        <v>560</v>
      </c>
    </row>
    <row r="325" spans="1:7">
      <c r="A325" t="s">
        <v>182</v>
      </c>
      <c r="B325" t="s">
        <v>557</v>
      </c>
      <c r="C325" t="s">
        <v>558</v>
      </c>
      <c r="D325" t="s">
        <v>882</v>
      </c>
      <c r="E325">
        <v>-323</v>
      </c>
      <c r="F325" t="s">
        <v>559</v>
      </c>
      <c r="G325" t="s">
        <v>560</v>
      </c>
    </row>
    <row r="326" spans="1:7">
      <c r="A326" t="s">
        <v>182</v>
      </c>
      <c r="B326" t="s">
        <v>557</v>
      </c>
      <c r="C326" t="s">
        <v>558</v>
      </c>
      <c r="D326" t="s">
        <v>883</v>
      </c>
      <c r="E326">
        <v>-324</v>
      </c>
      <c r="F326" t="s">
        <v>559</v>
      </c>
      <c r="G326" t="s">
        <v>560</v>
      </c>
    </row>
    <row r="327" spans="1:7">
      <c r="A327" t="s">
        <v>182</v>
      </c>
      <c r="B327" t="s">
        <v>557</v>
      </c>
      <c r="C327" t="s">
        <v>558</v>
      </c>
      <c r="D327" t="s">
        <v>884</v>
      </c>
      <c r="E327">
        <v>-325</v>
      </c>
      <c r="F327" t="s">
        <v>559</v>
      </c>
      <c r="G327" t="s">
        <v>560</v>
      </c>
    </row>
    <row r="328" spans="1:7">
      <c r="A328" t="s">
        <v>182</v>
      </c>
      <c r="B328" t="s">
        <v>557</v>
      </c>
      <c r="C328" t="s">
        <v>558</v>
      </c>
      <c r="D328" t="s">
        <v>885</v>
      </c>
      <c r="E328">
        <v>-326</v>
      </c>
      <c r="F328" t="s">
        <v>559</v>
      </c>
      <c r="G328" t="s">
        <v>560</v>
      </c>
    </row>
    <row r="329" spans="1:7">
      <c r="A329" t="s">
        <v>182</v>
      </c>
      <c r="B329" t="s">
        <v>557</v>
      </c>
      <c r="C329" t="s">
        <v>558</v>
      </c>
      <c r="D329" t="s">
        <v>886</v>
      </c>
      <c r="E329">
        <v>-327</v>
      </c>
      <c r="F329" t="s">
        <v>559</v>
      </c>
      <c r="G329" t="s">
        <v>560</v>
      </c>
    </row>
    <row r="330" spans="1:7">
      <c r="A330" t="s">
        <v>182</v>
      </c>
      <c r="B330" t="s">
        <v>557</v>
      </c>
      <c r="C330" t="s">
        <v>558</v>
      </c>
      <c r="D330" t="s">
        <v>887</v>
      </c>
      <c r="E330">
        <v>-328</v>
      </c>
      <c r="F330" t="s">
        <v>559</v>
      </c>
      <c r="G330" t="s">
        <v>560</v>
      </c>
    </row>
    <row r="331" spans="1:7">
      <c r="A331" t="s">
        <v>182</v>
      </c>
      <c r="B331" t="s">
        <v>557</v>
      </c>
      <c r="C331" t="s">
        <v>558</v>
      </c>
      <c r="D331" t="s">
        <v>888</v>
      </c>
      <c r="E331">
        <v>-329</v>
      </c>
      <c r="F331" t="s">
        <v>559</v>
      </c>
      <c r="G331" t="s">
        <v>560</v>
      </c>
    </row>
    <row r="332" spans="1:7">
      <c r="A332" t="s">
        <v>182</v>
      </c>
      <c r="B332" t="s">
        <v>557</v>
      </c>
      <c r="C332" t="s">
        <v>558</v>
      </c>
      <c r="D332" t="s">
        <v>889</v>
      </c>
      <c r="E332">
        <v>-330</v>
      </c>
      <c r="F332" t="s">
        <v>559</v>
      </c>
      <c r="G332" t="s">
        <v>560</v>
      </c>
    </row>
    <row r="333" spans="1:7">
      <c r="A333" t="s">
        <v>182</v>
      </c>
      <c r="B333" t="s">
        <v>557</v>
      </c>
      <c r="C333" t="s">
        <v>558</v>
      </c>
      <c r="D333" t="s">
        <v>890</v>
      </c>
      <c r="E333">
        <v>-331</v>
      </c>
      <c r="F333" t="s">
        <v>559</v>
      </c>
      <c r="G333" t="s">
        <v>560</v>
      </c>
    </row>
    <row r="334" spans="1:7">
      <c r="A334" t="s">
        <v>182</v>
      </c>
      <c r="B334" t="s">
        <v>557</v>
      </c>
      <c r="C334" t="s">
        <v>558</v>
      </c>
      <c r="D334" t="s">
        <v>891</v>
      </c>
      <c r="E334">
        <v>-332</v>
      </c>
      <c r="F334" t="s">
        <v>559</v>
      </c>
      <c r="G334" t="s">
        <v>560</v>
      </c>
    </row>
    <row r="335" spans="1:7">
      <c r="A335" t="s">
        <v>182</v>
      </c>
      <c r="B335" t="s">
        <v>557</v>
      </c>
      <c r="C335" t="s">
        <v>558</v>
      </c>
      <c r="D335" t="s">
        <v>892</v>
      </c>
      <c r="E335">
        <v>-333</v>
      </c>
      <c r="F335" t="s">
        <v>559</v>
      </c>
      <c r="G335" t="s">
        <v>560</v>
      </c>
    </row>
    <row r="336" spans="1:7">
      <c r="A336" t="s">
        <v>182</v>
      </c>
      <c r="B336" t="s">
        <v>557</v>
      </c>
      <c r="C336" t="s">
        <v>558</v>
      </c>
      <c r="D336" t="s">
        <v>893</v>
      </c>
      <c r="E336">
        <v>-334</v>
      </c>
      <c r="F336" t="s">
        <v>559</v>
      </c>
      <c r="G336" t="s">
        <v>560</v>
      </c>
    </row>
    <row r="337" spans="1:7">
      <c r="A337" t="s">
        <v>182</v>
      </c>
      <c r="B337" t="s">
        <v>557</v>
      </c>
      <c r="C337" t="s">
        <v>558</v>
      </c>
      <c r="D337" t="s">
        <v>894</v>
      </c>
      <c r="E337">
        <v>-335</v>
      </c>
      <c r="F337" t="s">
        <v>559</v>
      </c>
      <c r="G337" t="s">
        <v>560</v>
      </c>
    </row>
    <row r="338" spans="1:7">
      <c r="A338" t="s">
        <v>182</v>
      </c>
      <c r="B338" t="s">
        <v>557</v>
      </c>
      <c r="C338" t="s">
        <v>558</v>
      </c>
      <c r="D338" t="s">
        <v>895</v>
      </c>
      <c r="E338">
        <v>-336</v>
      </c>
      <c r="F338" t="s">
        <v>559</v>
      </c>
      <c r="G338" t="s">
        <v>560</v>
      </c>
    </row>
    <row r="339" spans="1:7">
      <c r="A339" t="s">
        <v>182</v>
      </c>
      <c r="B339" t="s">
        <v>557</v>
      </c>
      <c r="C339" t="s">
        <v>558</v>
      </c>
      <c r="D339" t="s">
        <v>896</v>
      </c>
      <c r="E339">
        <v>-337</v>
      </c>
      <c r="F339" t="s">
        <v>559</v>
      </c>
      <c r="G339" t="s">
        <v>560</v>
      </c>
    </row>
    <row r="340" spans="1:7">
      <c r="A340" t="s">
        <v>182</v>
      </c>
      <c r="B340" t="s">
        <v>557</v>
      </c>
      <c r="C340" t="s">
        <v>558</v>
      </c>
      <c r="D340" t="s">
        <v>897</v>
      </c>
      <c r="E340">
        <v>-338</v>
      </c>
      <c r="F340" t="s">
        <v>559</v>
      </c>
      <c r="G340" t="s">
        <v>560</v>
      </c>
    </row>
    <row r="341" spans="1:7">
      <c r="A341" t="s">
        <v>182</v>
      </c>
      <c r="B341" t="s">
        <v>557</v>
      </c>
      <c r="C341" t="s">
        <v>558</v>
      </c>
      <c r="D341" t="s">
        <v>898</v>
      </c>
      <c r="E341">
        <v>-339</v>
      </c>
      <c r="F341" t="s">
        <v>559</v>
      </c>
      <c r="G341" t="s">
        <v>560</v>
      </c>
    </row>
    <row r="342" spans="1:7">
      <c r="A342" t="s">
        <v>182</v>
      </c>
      <c r="B342" t="s">
        <v>557</v>
      </c>
      <c r="C342" t="s">
        <v>558</v>
      </c>
      <c r="D342" t="s">
        <v>899</v>
      </c>
      <c r="E342">
        <v>-340</v>
      </c>
      <c r="F342" t="s">
        <v>559</v>
      </c>
      <c r="G342" t="s">
        <v>560</v>
      </c>
    </row>
    <row r="343" spans="1:7">
      <c r="A343" t="s">
        <v>182</v>
      </c>
      <c r="B343" t="s">
        <v>557</v>
      </c>
      <c r="C343" t="s">
        <v>558</v>
      </c>
      <c r="D343" t="s">
        <v>900</v>
      </c>
      <c r="E343">
        <v>-341</v>
      </c>
      <c r="F343" t="s">
        <v>559</v>
      </c>
      <c r="G343" t="s">
        <v>560</v>
      </c>
    </row>
    <row r="344" spans="1:7">
      <c r="A344" t="s">
        <v>182</v>
      </c>
      <c r="B344" t="s">
        <v>557</v>
      </c>
      <c r="C344" t="s">
        <v>558</v>
      </c>
      <c r="D344" t="s">
        <v>901</v>
      </c>
      <c r="E344">
        <v>-342</v>
      </c>
      <c r="F344" t="s">
        <v>559</v>
      </c>
      <c r="G344" t="s">
        <v>560</v>
      </c>
    </row>
    <row r="345" spans="1:7">
      <c r="A345" t="s">
        <v>182</v>
      </c>
      <c r="B345" t="s">
        <v>557</v>
      </c>
      <c r="C345" t="s">
        <v>558</v>
      </c>
      <c r="D345" t="s">
        <v>902</v>
      </c>
      <c r="E345">
        <v>-343</v>
      </c>
      <c r="F345" t="s">
        <v>559</v>
      </c>
      <c r="G345" t="s">
        <v>560</v>
      </c>
    </row>
    <row r="346" spans="1:7">
      <c r="A346" t="s">
        <v>182</v>
      </c>
      <c r="B346" t="s">
        <v>557</v>
      </c>
      <c r="C346" t="s">
        <v>558</v>
      </c>
      <c r="D346" t="s">
        <v>903</v>
      </c>
      <c r="E346">
        <v>-344</v>
      </c>
      <c r="F346" t="s">
        <v>559</v>
      </c>
      <c r="G346" t="s">
        <v>560</v>
      </c>
    </row>
    <row r="347" spans="1:7">
      <c r="A347" t="s">
        <v>182</v>
      </c>
      <c r="B347" t="s">
        <v>557</v>
      </c>
      <c r="C347" t="s">
        <v>558</v>
      </c>
      <c r="D347" t="s">
        <v>904</v>
      </c>
      <c r="E347">
        <v>-345</v>
      </c>
      <c r="F347" t="s">
        <v>559</v>
      </c>
      <c r="G347" t="s">
        <v>560</v>
      </c>
    </row>
    <row r="348" spans="1:7">
      <c r="A348" t="s">
        <v>182</v>
      </c>
      <c r="B348" t="s">
        <v>557</v>
      </c>
      <c r="C348" t="s">
        <v>558</v>
      </c>
      <c r="D348" t="s">
        <v>905</v>
      </c>
      <c r="E348">
        <v>-346</v>
      </c>
      <c r="F348" t="s">
        <v>559</v>
      </c>
      <c r="G348" t="s">
        <v>560</v>
      </c>
    </row>
    <row r="349" spans="1:7">
      <c r="A349" t="s">
        <v>182</v>
      </c>
      <c r="B349" t="s">
        <v>557</v>
      </c>
      <c r="C349" t="s">
        <v>558</v>
      </c>
      <c r="D349" t="s">
        <v>906</v>
      </c>
      <c r="E349">
        <v>-347</v>
      </c>
      <c r="F349" t="s">
        <v>559</v>
      </c>
      <c r="G349" t="s">
        <v>560</v>
      </c>
    </row>
    <row r="350" spans="1:7">
      <c r="A350" t="s">
        <v>182</v>
      </c>
      <c r="B350" t="s">
        <v>557</v>
      </c>
      <c r="C350" t="s">
        <v>558</v>
      </c>
      <c r="D350" t="s">
        <v>907</v>
      </c>
      <c r="E350">
        <v>-348</v>
      </c>
      <c r="F350" t="s">
        <v>559</v>
      </c>
      <c r="G350" t="s">
        <v>560</v>
      </c>
    </row>
    <row r="351" spans="1:7">
      <c r="A351" t="s">
        <v>182</v>
      </c>
      <c r="B351" t="s">
        <v>557</v>
      </c>
      <c r="C351" t="s">
        <v>558</v>
      </c>
      <c r="D351" t="s">
        <v>908</v>
      </c>
      <c r="E351">
        <v>-349</v>
      </c>
      <c r="F351" t="s">
        <v>559</v>
      </c>
      <c r="G351" t="s">
        <v>560</v>
      </c>
    </row>
    <row r="352" spans="1:7">
      <c r="A352" t="s">
        <v>182</v>
      </c>
      <c r="B352" t="s">
        <v>557</v>
      </c>
      <c r="C352" t="s">
        <v>558</v>
      </c>
      <c r="D352" t="s">
        <v>909</v>
      </c>
      <c r="E352">
        <v>-350</v>
      </c>
      <c r="F352" t="s">
        <v>559</v>
      </c>
      <c r="G352" t="s">
        <v>560</v>
      </c>
    </row>
    <row r="353" spans="1:7">
      <c r="A353" t="s">
        <v>182</v>
      </c>
      <c r="B353" t="s">
        <v>557</v>
      </c>
      <c r="C353" t="s">
        <v>558</v>
      </c>
      <c r="D353" t="s">
        <v>910</v>
      </c>
      <c r="E353">
        <v>-351</v>
      </c>
      <c r="F353" t="s">
        <v>559</v>
      </c>
      <c r="G353" t="s">
        <v>560</v>
      </c>
    </row>
    <row r="354" spans="1:7">
      <c r="A354" t="s">
        <v>182</v>
      </c>
      <c r="B354" t="s">
        <v>557</v>
      </c>
      <c r="C354" t="s">
        <v>558</v>
      </c>
      <c r="D354" t="s">
        <v>911</v>
      </c>
      <c r="E354">
        <v>-352</v>
      </c>
      <c r="F354" t="s">
        <v>559</v>
      </c>
      <c r="G354" t="s">
        <v>560</v>
      </c>
    </row>
    <row r="355" spans="1:7">
      <c r="A355" t="s">
        <v>182</v>
      </c>
      <c r="B355" t="s">
        <v>557</v>
      </c>
      <c r="C355" t="s">
        <v>558</v>
      </c>
      <c r="D355" t="s">
        <v>912</v>
      </c>
      <c r="E355">
        <v>-353</v>
      </c>
      <c r="F355" t="s">
        <v>559</v>
      </c>
      <c r="G355" t="s">
        <v>560</v>
      </c>
    </row>
    <row r="356" spans="1:7">
      <c r="A356" t="s">
        <v>182</v>
      </c>
      <c r="B356" t="s">
        <v>557</v>
      </c>
      <c r="C356" t="s">
        <v>558</v>
      </c>
      <c r="D356" t="s">
        <v>913</v>
      </c>
      <c r="E356">
        <v>-354</v>
      </c>
      <c r="F356" t="s">
        <v>559</v>
      </c>
      <c r="G356" t="s">
        <v>560</v>
      </c>
    </row>
    <row r="357" spans="1:7">
      <c r="A357" t="s">
        <v>182</v>
      </c>
      <c r="B357" t="s">
        <v>557</v>
      </c>
      <c r="C357" t="s">
        <v>558</v>
      </c>
      <c r="D357" t="s">
        <v>914</v>
      </c>
      <c r="E357">
        <v>-355</v>
      </c>
      <c r="F357" t="s">
        <v>559</v>
      </c>
      <c r="G357" t="s">
        <v>560</v>
      </c>
    </row>
    <row r="358" spans="1:7">
      <c r="A358" t="s">
        <v>182</v>
      </c>
      <c r="B358" t="s">
        <v>557</v>
      </c>
      <c r="C358" t="s">
        <v>558</v>
      </c>
      <c r="D358" t="s">
        <v>915</v>
      </c>
      <c r="E358">
        <v>-356</v>
      </c>
      <c r="F358" t="s">
        <v>559</v>
      </c>
      <c r="G358" t="s">
        <v>560</v>
      </c>
    </row>
    <row r="359" spans="1:7">
      <c r="A359" t="s">
        <v>182</v>
      </c>
      <c r="B359" t="s">
        <v>557</v>
      </c>
      <c r="C359" t="s">
        <v>558</v>
      </c>
      <c r="D359" t="s">
        <v>916</v>
      </c>
      <c r="E359">
        <v>-357</v>
      </c>
      <c r="F359" t="s">
        <v>559</v>
      </c>
      <c r="G359" t="s">
        <v>560</v>
      </c>
    </row>
    <row r="360" spans="1:7">
      <c r="A360" t="s">
        <v>182</v>
      </c>
      <c r="B360" t="s">
        <v>557</v>
      </c>
      <c r="C360" t="s">
        <v>558</v>
      </c>
      <c r="D360" t="s">
        <v>917</v>
      </c>
      <c r="E360">
        <v>-358</v>
      </c>
      <c r="F360" t="s">
        <v>559</v>
      </c>
      <c r="G360" t="s">
        <v>560</v>
      </c>
    </row>
    <row r="361" spans="1:7">
      <c r="A361" t="s">
        <v>182</v>
      </c>
      <c r="B361" t="s">
        <v>557</v>
      </c>
      <c r="C361" t="s">
        <v>558</v>
      </c>
      <c r="D361" t="s">
        <v>918</v>
      </c>
      <c r="E361">
        <v>-359</v>
      </c>
      <c r="F361" t="s">
        <v>559</v>
      </c>
      <c r="G361" t="s">
        <v>560</v>
      </c>
    </row>
    <row r="362" spans="1:7">
      <c r="A362" t="s">
        <v>182</v>
      </c>
      <c r="B362" t="s">
        <v>557</v>
      </c>
      <c r="C362" t="s">
        <v>558</v>
      </c>
      <c r="D362" t="s">
        <v>919</v>
      </c>
      <c r="E362">
        <v>-360</v>
      </c>
      <c r="F362" t="s">
        <v>559</v>
      </c>
      <c r="G362" t="s">
        <v>560</v>
      </c>
    </row>
    <row r="363" spans="1:7">
      <c r="A363" t="s">
        <v>182</v>
      </c>
      <c r="B363" t="s">
        <v>557</v>
      </c>
      <c r="C363" t="s">
        <v>558</v>
      </c>
      <c r="D363" t="s">
        <v>920</v>
      </c>
      <c r="E363">
        <v>-361</v>
      </c>
      <c r="F363" t="s">
        <v>559</v>
      </c>
      <c r="G363" t="s">
        <v>560</v>
      </c>
    </row>
    <row r="364" spans="1:7">
      <c r="A364" t="s">
        <v>182</v>
      </c>
      <c r="B364" t="s">
        <v>557</v>
      </c>
      <c r="C364" t="s">
        <v>558</v>
      </c>
      <c r="D364" t="s">
        <v>921</v>
      </c>
      <c r="E364">
        <v>-362</v>
      </c>
      <c r="F364" t="s">
        <v>559</v>
      </c>
      <c r="G364" t="s">
        <v>560</v>
      </c>
    </row>
    <row r="365" spans="1:7">
      <c r="A365" t="s">
        <v>182</v>
      </c>
      <c r="B365" t="s">
        <v>557</v>
      </c>
      <c r="C365" t="s">
        <v>558</v>
      </c>
      <c r="D365" t="s">
        <v>922</v>
      </c>
      <c r="E365">
        <v>-363</v>
      </c>
      <c r="F365" t="s">
        <v>559</v>
      </c>
      <c r="G365" t="s">
        <v>560</v>
      </c>
    </row>
    <row r="366" spans="1:7">
      <c r="A366" t="s">
        <v>182</v>
      </c>
      <c r="B366" t="s">
        <v>557</v>
      </c>
      <c r="C366" t="s">
        <v>558</v>
      </c>
      <c r="D366" t="s">
        <v>923</v>
      </c>
      <c r="E366">
        <v>-364</v>
      </c>
      <c r="F366" t="s">
        <v>559</v>
      </c>
      <c r="G366" t="s">
        <v>560</v>
      </c>
    </row>
    <row r="367" spans="1:7">
      <c r="A367" t="s">
        <v>182</v>
      </c>
      <c r="B367" t="s">
        <v>557</v>
      </c>
      <c r="C367" t="s">
        <v>558</v>
      </c>
      <c r="D367" t="s">
        <v>924</v>
      </c>
      <c r="E367">
        <v>-365</v>
      </c>
      <c r="F367" t="s">
        <v>559</v>
      </c>
      <c r="G367" t="s">
        <v>560</v>
      </c>
    </row>
    <row r="368" spans="1:7">
      <c r="A368" t="s">
        <v>182</v>
      </c>
      <c r="B368" t="s">
        <v>557</v>
      </c>
      <c r="C368" t="s">
        <v>558</v>
      </c>
      <c r="D368" t="s">
        <v>925</v>
      </c>
      <c r="E368">
        <v>-366</v>
      </c>
      <c r="F368" t="s">
        <v>559</v>
      </c>
      <c r="G368" t="s">
        <v>560</v>
      </c>
    </row>
    <row r="369" spans="1:7">
      <c r="A369" t="s">
        <v>182</v>
      </c>
      <c r="B369" t="s">
        <v>557</v>
      </c>
      <c r="C369" t="s">
        <v>558</v>
      </c>
      <c r="D369" t="s">
        <v>926</v>
      </c>
      <c r="E369">
        <v>-367</v>
      </c>
      <c r="F369" t="s">
        <v>559</v>
      </c>
      <c r="G369" t="s">
        <v>560</v>
      </c>
    </row>
    <row r="370" spans="1:7">
      <c r="A370" t="s">
        <v>182</v>
      </c>
      <c r="B370" t="s">
        <v>557</v>
      </c>
      <c r="C370" t="s">
        <v>558</v>
      </c>
      <c r="D370" t="s">
        <v>927</v>
      </c>
      <c r="E370">
        <v>-368</v>
      </c>
      <c r="F370" t="s">
        <v>559</v>
      </c>
      <c r="G370" t="s">
        <v>560</v>
      </c>
    </row>
    <row r="371" spans="1:7">
      <c r="A371" t="s">
        <v>182</v>
      </c>
      <c r="B371" t="s">
        <v>557</v>
      </c>
      <c r="C371" t="s">
        <v>558</v>
      </c>
      <c r="D371" t="s">
        <v>928</v>
      </c>
      <c r="E371">
        <v>-369</v>
      </c>
      <c r="F371" t="s">
        <v>559</v>
      </c>
      <c r="G371" t="s">
        <v>560</v>
      </c>
    </row>
    <row r="372" spans="1:7">
      <c r="A372" t="s">
        <v>182</v>
      </c>
      <c r="B372" t="s">
        <v>557</v>
      </c>
      <c r="C372" t="s">
        <v>558</v>
      </c>
      <c r="D372" t="s">
        <v>929</v>
      </c>
      <c r="E372">
        <v>-370</v>
      </c>
      <c r="F372" t="s">
        <v>559</v>
      </c>
      <c r="G372" t="s">
        <v>560</v>
      </c>
    </row>
    <row r="373" spans="1:7">
      <c r="A373" t="s">
        <v>182</v>
      </c>
      <c r="B373" t="s">
        <v>557</v>
      </c>
      <c r="C373" t="s">
        <v>558</v>
      </c>
      <c r="D373" t="s">
        <v>930</v>
      </c>
      <c r="E373">
        <v>-371</v>
      </c>
      <c r="F373" t="s">
        <v>559</v>
      </c>
      <c r="G373" t="s">
        <v>560</v>
      </c>
    </row>
    <row r="374" spans="1:7">
      <c r="A374" t="s">
        <v>182</v>
      </c>
      <c r="B374" t="s">
        <v>557</v>
      </c>
      <c r="C374" t="s">
        <v>558</v>
      </c>
      <c r="D374" t="s">
        <v>931</v>
      </c>
      <c r="E374">
        <v>-372</v>
      </c>
      <c r="F374" t="s">
        <v>559</v>
      </c>
      <c r="G374" t="s">
        <v>560</v>
      </c>
    </row>
    <row r="375" spans="1:7">
      <c r="A375" t="s">
        <v>182</v>
      </c>
      <c r="B375" t="s">
        <v>557</v>
      </c>
      <c r="C375" t="s">
        <v>558</v>
      </c>
      <c r="D375" t="s">
        <v>932</v>
      </c>
      <c r="E375">
        <v>-373</v>
      </c>
      <c r="F375" t="s">
        <v>559</v>
      </c>
      <c r="G375" t="s">
        <v>560</v>
      </c>
    </row>
    <row r="376" spans="1:7">
      <c r="A376" t="s">
        <v>182</v>
      </c>
      <c r="B376" t="s">
        <v>557</v>
      </c>
      <c r="C376" t="s">
        <v>558</v>
      </c>
      <c r="D376" t="s">
        <v>933</v>
      </c>
      <c r="E376">
        <v>-374</v>
      </c>
      <c r="F376" t="s">
        <v>559</v>
      </c>
      <c r="G376" t="s">
        <v>560</v>
      </c>
    </row>
    <row r="377" spans="1:7">
      <c r="A377" t="s">
        <v>182</v>
      </c>
      <c r="B377" t="s">
        <v>557</v>
      </c>
      <c r="C377" t="s">
        <v>558</v>
      </c>
      <c r="D377" t="s">
        <v>934</v>
      </c>
      <c r="E377">
        <v>-375</v>
      </c>
      <c r="F377" t="s">
        <v>559</v>
      </c>
      <c r="G377" t="s">
        <v>560</v>
      </c>
    </row>
    <row r="378" spans="1:7">
      <c r="A378" t="s">
        <v>182</v>
      </c>
      <c r="B378" t="s">
        <v>557</v>
      </c>
      <c r="C378" t="s">
        <v>558</v>
      </c>
      <c r="D378" t="s">
        <v>935</v>
      </c>
      <c r="E378">
        <v>-376</v>
      </c>
      <c r="F378" t="s">
        <v>559</v>
      </c>
      <c r="G378" t="s">
        <v>560</v>
      </c>
    </row>
    <row r="379" spans="1:7">
      <c r="A379" t="s">
        <v>182</v>
      </c>
      <c r="B379" t="s">
        <v>557</v>
      </c>
      <c r="C379" t="s">
        <v>558</v>
      </c>
      <c r="D379" t="s">
        <v>936</v>
      </c>
      <c r="E379">
        <v>-377</v>
      </c>
      <c r="F379" t="s">
        <v>559</v>
      </c>
      <c r="G379" t="s">
        <v>560</v>
      </c>
    </row>
    <row r="380" spans="1:7">
      <c r="A380" t="s">
        <v>182</v>
      </c>
      <c r="B380" t="s">
        <v>557</v>
      </c>
      <c r="C380" t="s">
        <v>558</v>
      </c>
      <c r="D380" t="s">
        <v>937</v>
      </c>
      <c r="E380">
        <v>-378</v>
      </c>
      <c r="F380" t="s">
        <v>559</v>
      </c>
      <c r="G380" t="s">
        <v>560</v>
      </c>
    </row>
    <row r="381" spans="1:7">
      <c r="A381" t="s">
        <v>182</v>
      </c>
      <c r="B381" t="s">
        <v>557</v>
      </c>
      <c r="C381" t="s">
        <v>558</v>
      </c>
      <c r="D381" t="s">
        <v>938</v>
      </c>
      <c r="E381">
        <v>-379</v>
      </c>
      <c r="F381" t="s">
        <v>559</v>
      </c>
      <c r="G381" t="s">
        <v>560</v>
      </c>
    </row>
    <row r="382" spans="1:7">
      <c r="A382" t="s">
        <v>182</v>
      </c>
      <c r="B382" t="s">
        <v>557</v>
      </c>
      <c r="C382" t="s">
        <v>558</v>
      </c>
      <c r="D382" t="s">
        <v>939</v>
      </c>
      <c r="E382">
        <v>-380</v>
      </c>
      <c r="F382" t="s">
        <v>559</v>
      </c>
      <c r="G382" t="s">
        <v>560</v>
      </c>
    </row>
    <row r="383" spans="1:7">
      <c r="A383" t="s">
        <v>182</v>
      </c>
      <c r="B383" t="s">
        <v>557</v>
      </c>
      <c r="C383" t="s">
        <v>558</v>
      </c>
      <c r="D383" t="s">
        <v>940</v>
      </c>
      <c r="E383">
        <v>-381</v>
      </c>
      <c r="F383" t="s">
        <v>559</v>
      </c>
      <c r="G383" t="s">
        <v>560</v>
      </c>
    </row>
    <row r="384" spans="1:7">
      <c r="A384" t="s">
        <v>182</v>
      </c>
      <c r="B384" t="s">
        <v>557</v>
      </c>
      <c r="C384" t="s">
        <v>558</v>
      </c>
      <c r="D384" t="s">
        <v>941</v>
      </c>
      <c r="E384">
        <v>-382</v>
      </c>
      <c r="F384" t="s">
        <v>559</v>
      </c>
      <c r="G384" t="s">
        <v>560</v>
      </c>
    </row>
    <row r="385" spans="1:7">
      <c r="A385" t="s">
        <v>182</v>
      </c>
      <c r="B385" t="s">
        <v>557</v>
      </c>
      <c r="C385" t="s">
        <v>558</v>
      </c>
      <c r="D385" t="s">
        <v>942</v>
      </c>
      <c r="E385">
        <v>-383</v>
      </c>
      <c r="F385" t="s">
        <v>559</v>
      </c>
      <c r="G385" t="s">
        <v>560</v>
      </c>
    </row>
    <row r="386" spans="1:7">
      <c r="A386" t="s">
        <v>182</v>
      </c>
      <c r="B386" t="s">
        <v>557</v>
      </c>
      <c r="C386" t="s">
        <v>558</v>
      </c>
      <c r="D386" t="s">
        <v>943</v>
      </c>
      <c r="E386">
        <v>-384</v>
      </c>
      <c r="F386" t="s">
        <v>559</v>
      </c>
      <c r="G386" t="s">
        <v>560</v>
      </c>
    </row>
    <row r="387" spans="1:7">
      <c r="A387" t="s">
        <v>182</v>
      </c>
      <c r="B387" t="s">
        <v>557</v>
      </c>
      <c r="C387" t="s">
        <v>558</v>
      </c>
      <c r="D387" t="s">
        <v>944</v>
      </c>
      <c r="E387">
        <v>-385</v>
      </c>
      <c r="F387" t="s">
        <v>559</v>
      </c>
      <c r="G387" t="s">
        <v>560</v>
      </c>
    </row>
    <row r="388" spans="1:7">
      <c r="A388" t="s">
        <v>182</v>
      </c>
      <c r="B388" t="s">
        <v>557</v>
      </c>
      <c r="C388" t="s">
        <v>558</v>
      </c>
      <c r="D388" t="s">
        <v>945</v>
      </c>
      <c r="E388">
        <v>-386</v>
      </c>
      <c r="F388" t="s">
        <v>559</v>
      </c>
      <c r="G388" t="s">
        <v>560</v>
      </c>
    </row>
    <row r="389" spans="1:7">
      <c r="A389" t="s">
        <v>182</v>
      </c>
      <c r="B389" t="s">
        <v>557</v>
      </c>
      <c r="C389" t="s">
        <v>558</v>
      </c>
      <c r="D389" t="s">
        <v>946</v>
      </c>
      <c r="E389">
        <v>-387</v>
      </c>
      <c r="F389" t="s">
        <v>559</v>
      </c>
      <c r="G389" t="s">
        <v>560</v>
      </c>
    </row>
    <row r="390" spans="1:7">
      <c r="A390" t="s">
        <v>182</v>
      </c>
      <c r="B390" t="s">
        <v>557</v>
      </c>
      <c r="C390" t="s">
        <v>558</v>
      </c>
      <c r="D390" t="s">
        <v>947</v>
      </c>
      <c r="E390">
        <v>-388</v>
      </c>
      <c r="F390" t="s">
        <v>559</v>
      </c>
      <c r="G390" t="s">
        <v>560</v>
      </c>
    </row>
    <row r="391" spans="1:7">
      <c r="A391" t="s">
        <v>182</v>
      </c>
      <c r="B391" t="s">
        <v>557</v>
      </c>
      <c r="C391" t="s">
        <v>558</v>
      </c>
      <c r="D391" t="s">
        <v>948</v>
      </c>
      <c r="E391">
        <v>-389</v>
      </c>
      <c r="F391" t="s">
        <v>559</v>
      </c>
      <c r="G391" t="s">
        <v>560</v>
      </c>
    </row>
    <row r="392" spans="1:7">
      <c r="A392" t="s">
        <v>182</v>
      </c>
      <c r="B392" t="s">
        <v>557</v>
      </c>
      <c r="C392" t="s">
        <v>558</v>
      </c>
      <c r="D392" t="s">
        <v>949</v>
      </c>
      <c r="E392">
        <v>-390</v>
      </c>
      <c r="F392" t="s">
        <v>559</v>
      </c>
      <c r="G392" t="s">
        <v>560</v>
      </c>
    </row>
    <row r="393" spans="1:7">
      <c r="A393" t="s">
        <v>182</v>
      </c>
      <c r="B393" t="s">
        <v>557</v>
      </c>
      <c r="C393" t="s">
        <v>558</v>
      </c>
      <c r="D393" t="s">
        <v>950</v>
      </c>
      <c r="E393">
        <v>-391</v>
      </c>
      <c r="F393" t="s">
        <v>559</v>
      </c>
      <c r="G393" t="s">
        <v>560</v>
      </c>
    </row>
    <row r="394" spans="1:7">
      <c r="A394" t="s">
        <v>182</v>
      </c>
      <c r="B394" t="s">
        <v>557</v>
      </c>
      <c r="C394" t="s">
        <v>558</v>
      </c>
      <c r="D394" t="s">
        <v>951</v>
      </c>
      <c r="E394">
        <v>-392</v>
      </c>
      <c r="F394" t="s">
        <v>559</v>
      </c>
      <c r="G394" t="s">
        <v>560</v>
      </c>
    </row>
    <row r="395" spans="1:7">
      <c r="A395" t="s">
        <v>182</v>
      </c>
      <c r="B395" t="s">
        <v>557</v>
      </c>
      <c r="C395" t="s">
        <v>558</v>
      </c>
      <c r="D395" t="s">
        <v>952</v>
      </c>
      <c r="E395">
        <v>-393</v>
      </c>
      <c r="F395" t="s">
        <v>559</v>
      </c>
      <c r="G395" t="s">
        <v>560</v>
      </c>
    </row>
    <row r="396" spans="1:7">
      <c r="A396" t="s">
        <v>182</v>
      </c>
      <c r="B396" t="s">
        <v>557</v>
      </c>
      <c r="C396" t="s">
        <v>558</v>
      </c>
      <c r="D396" t="s">
        <v>953</v>
      </c>
      <c r="E396">
        <v>-394</v>
      </c>
      <c r="F396" t="s">
        <v>559</v>
      </c>
      <c r="G396" t="s">
        <v>560</v>
      </c>
    </row>
    <row r="397" spans="1:7">
      <c r="A397" t="s">
        <v>182</v>
      </c>
      <c r="B397" t="s">
        <v>557</v>
      </c>
      <c r="C397" t="s">
        <v>558</v>
      </c>
      <c r="D397" t="s">
        <v>954</v>
      </c>
      <c r="E397">
        <v>-395</v>
      </c>
      <c r="F397" t="s">
        <v>559</v>
      </c>
      <c r="G397" t="s">
        <v>560</v>
      </c>
    </row>
    <row r="398" spans="1:7">
      <c r="A398" t="s">
        <v>182</v>
      </c>
      <c r="B398" t="s">
        <v>557</v>
      </c>
      <c r="C398" t="s">
        <v>558</v>
      </c>
      <c r="D398" t="s">
        <v>955</v>
      </c>
      <c r="E398">
        <v>-396</v>
      </c>
      <c r="F398" t="s">
        <v>559</v>
      </c>
      <c r="G398" t="s">
        <v>560</v>
      </c>
    </row>
    <row r="399" spans="1:7">
      <c r="A399" t="s">
        <v>182</v>
      </c>
      <c r="B399" t="s">
        <v>557</v>
      </c>
      <c r="C399" t="s">
        <v>558</v>
      </c>
      <c r="D399" t="s">
        <v>956</v>
      </c>
      <c r="E399">
        <v>-397</v>
      </c>
      <c r="F399" t="s">
        <v>559</v>
      </c>
      <c r="G399" t="s">
        <v>560</v>
      </c>
    </row>
    <row r="400" spans="1:7">
      <c r="A400" t="s">
        <v>182</v>
      </c>
      <c r="B400" t="s">
        <v>557</v>
      </c>
      <c r="C400" t="s">
        <v>558</v>
      </c>
      <c r="D400" t="s">
        <v>957</v>
      </c>
      <c r="E400">
        <v>-398</v>
      </c>
      <c r="F400" t="s">
        <v>559</v>
      </c>
      <c r="G400" t="s">
        <v>560</v>
      </c>
    </row>
    <row r="401" spans="1:7">
      <c r="A401" t="s">
        <v>182</v>
      </c>
      <c r="B401" t="s">
        <v>557</v>
      </c>
      <c r="C401" t="s">
        <v>558</v>
      </c>
      <c r="D401" t="s">
        <v>958</v>
      </c>
      <c r="E401">
        <v>-399</v>
      </c>
      <c r="F401" t="s">
        <v>559</v>
      </c>
      <c r="G401" t="s">
        <v>560</v>
      </c>
    </row>
    <row r="402" spans="1:7">
      <c r="A402" t="s">
        <v>182</v>
      </c>
      <c r="B402" t="s">
        <v>557</v>
      </c>
      <c r="C402" t="s">
        <v>558</v>
      </c>
      <c r="D402" t="s">
        <v>959</v>
      </c>
      <c r="E402">
        <v>-400</v>
      </c>
      <c r="F402" t="s">
        <v>559</v>
      </c>
      <c r="G402" t="s">
        <v>560</v>
      </c>
    </row>
    <row r="403" spans="1:7">
      <c r="A403" t="s">
        <v>182</v>
      </c>
      <c r="B403" t="s">
        <v>557</v>
      </c>
      <c r="C403" t="s">
        <v>558</v>
      </c>
      <c r="D403" t="s">
        <v>960</v>
      </c>
      <c r="E403">
        <v>-401</v>
      </c>
      <c r="F403" t="s">
        <v>559</v>
      </c>
      <c r="G403" t="s">
        <v>560</v>
      </c>
    </row>
    <row r="404" spans="1:7">
      <c r="A404" t="s">
        <v>182</v>
      </c>
      <c r="B404" t="s">
        <v>557</v>
      </c>
      <c r="C404" t="s">
        <v>558</v>
      </c>
      <c r="D404" t="s">
        <v>961</v>
      </c>
      <c r="E404">
        <v>-402</v>
      </c>
      <c r="F404" t="s">
        <v>559</v>
      </c>
      <c r="G404" t="s">
        <v>560</v>
      </c>
    </row>
    <row r="405" spans="1:7">
      <c r="A405" t="s">
        <v>182</v>
      </c>
      <c r="B405" t="s">
        <v>557</v>
      </c>
      <c r="C405" t="s">
        <v>558</v>
      </c>
      <c r="D405" t="s">
        <v>962</v>
      </c>
      <c r="E405">
        <v>-403</v>
      </c>
      <c r="F405" t="s">
        <v>559</v>
      </c>
      <c r="G405" t="s">
        <v>560</v>
      </c>
    </row>
    <row r="406" spans="1:7">
      <c r="A406" t="s">
        <v>182</v>
      </c>
      <c r="B406" t="s">
        <v>557</v>
      </c>
      <c r="C406" t="s">
        <v>558</v>
      </c>
      <c r="D406" t="s">
        <v>963</v>
      </c>
      <c r="E406">
        <v>-404</v>
      </c>
      <c r="F406" t="s">
        <v>559</v>
      </c>
      <c r="G406" t="s">
        <v>560</v>
      </c>
    </row>
    <row r="407" spans="1:7">
      <c r="A407" t="s">
        <v>182</v>
      </c>
      <c r="B407" t="s">
        <v>557</v>
      </c>
      <c r="C407" t="s">
        <v>558</v>
      </c>
      <c r="D407" t="s">
        <v>964</v>
      </c>
      <c r="E407">
        <v>-405</v>
      </c>
      <c r="F407" t="s">
        <v>559</v>
      </c>
      <c r="G407" t="s">
        <v>560</v>
      </c>
    </row>
    <row r="408" spans="1:7">
      <c r="A408" t="s">
        <v>182</v>
      </c>
      <c r="B408" t="s">
        <v>557</v>
      </c>
      <c r="C408" t="s">
        <v>558</v>
      </c>
      <c r="D408" t="s">
        <v>965</v>
      </c>
      <c r="E408">
        <v>-406</v>
      </c>
      <c r="F408" t="s">
        <v>559</v>
      </c>
      <c r="G408" t="s">
        <v>560</v>
      </c>
    </row>
    <row r="409" spans="1:7">
      <c r="A409" t="s">
        <v>182</v>
      </c>
      <c r="B409" t="s">
        <v>557</v>
      </c>
      <c r="C409" t="s">
        <v>558</v>
      </c>
      <c r="D409" t="s">
        <v>966</v>
      </c>
      <c r="E409">
        <v>-407</v>
      </c>
      <c r="F409" t="s">
        <v>559</v>
      </c>
      <c r="G409" t="s">
        <v>560</v>
      </c>
    </row>
    <row r="410" spans="1:7">
      <c r="A410" t="s">
        <v>182</v>
      </c>
      <c r="B410" t="s">
        <v>557</v>
      </c>
      <c r="C410" t="s">
        <v>558</v>
      </c>
      <c r="D410" t="s">
        <v>967</v>
      </c>
      <c r="E410">
        <v>-408</v>
      </c>
      <c r="F410" t="s">
        <v>559</v>
      </c>
      <c r="G410" t="s">
        <v>560</v>
      </c>
    </row>
    <row r="411" spans="1:7">
      <c r="A411" t="s">
        <v>182</v>
      </c>
      <c r="B411" t="s">
        <v>557</v>
      </c>
      <c r="C411" t="s">
        <v>558</v>
      </c>
      <c r="D411" t="s">
        <v>968</v>
      </c>
      <c r="E411">
        <v>-409</v>
      </c>
      <c r="F411" t="s">
        <v>559</v>
      </c>
      <c r="G411" t="s">
        <v>560</v>
      </c>
    </row>
    <row r="412" spans="1:7">
      <c r="A412" t="s">
        <v>182</v>
      </c>
      <c r="B412" t="s">
        <v>557</v>
      </c>
      <c r="C412" t="s">
        <v>558</v>
      </c>
      <c r="D412" t="s">
        <v>969</v>
      </c>
      <c r="E412">
        <v>-410</v>
      </c>
      <c r="F412" t="s">
        <v>559</v>
      </c>
      <c r="G412" t="s">
        <v>560</v>
      </c>
    </row>
    <row r="413" spans="1:7">
      <c r="A413" t="s">
        <v>182</v>
      </c>
      <c r="B413" t="s">
        <v>557</v>
      </c>
      <c r="C413" t="s">
        <v>558</v>
      </c>
      <c r="D413" t="s">
        <v>970</v>
      </c>
      <c r="E413">
        <v>-411</v>
      </c>
      <c r="F413" t="s">
        <v>559</v>
      </c>
      <c r="G413" t="s">
        <v>560</v>
      </c>
    </row>
    <row r="414" spans="1:7">
      <c r="A414" t="s">
        <v>182</v>
      </c>
      <c r="B414" t="s">
        <v>557</v>
      </c>
      <c r="C414" t="s">
        <v>558</v>
      </c>
      <c r="D414" t="s">
        <v>971</v>
      </c>
      <c r="E414">
        <v>-412</v>
      </c>
      <c r="F414" t="s">
        <v>559</v>
      </c>
      <c r="G414" t="s">
        <v>560</v>
      </c>
    </row>
    <row r="415" spans="1:7">
      <c r="A415" t="s">
        <v>182</v>
      </c>
      <c r="B415" t="s">
        <v>557</v>
      </c>
      <c r="C415" t="s">
        <v>558</v>
      </c>
      <c r="D415" t="s">
        <v>972</v>
      </c>
      <c r="E415">
        <v>-413</v>
      </c>
      <c r="F415" t="s">
        <v>559</v>
      </c>
      <c r="G415" t="s">
        <v>560</v>
      </c>
    </row>
    <row r="416" spans="1:7">
      <c r="A416" t="s">
        <v>182</v>
      </c>
      <c r="B416" t="s">
        <v>557</v>
      </c>
      <c r="C416" t="s">
        <v>558</v>
      </c>
      <c r="D416" t="s">
        <v>973</v>
      </c>
      <c r="E416">
        <v>-414</v>
      </c>
      <c r="F416" t="s">
        <v>559</v>
      </c>
      <c r="G416" t="s">
        <v>560</v>
      </c>
    </row>
    <row r="417" spans="1:7">
      <c r="A417" t="s">
        <v>182</v>
      </c>
      <c r="B417" t="s">
        <v>557</v>
      </c>
      <c r="C417" t="s">
        <v>558</v>
      </c>
      <c r="D417" t="s">
        <v>974</v>
      </c>
      <c r="E417">
        <v>-415</v>
      </c>
      <c r="F417" t="s">
        <v>559</v>
      </c>
      <c r="G417" t="s">
        <v>560</v>
      </c>
    </row>
    <row r="418" spans="1:7">
      <c r="A418" t="s">
        <v>182</v>
      </c>
      <c r="B418" t="s">
        <v>557</v>
      </c>
      <c r="C418" t="s">
        <v>558</v>
      </c>
      <c r="D418" t="s">
        <v>975</v>
      </c>
      <c r="E418">
        <v>-416</v>
      </c>
      <c r="F418" t="s">
        <v>559</v>
      </c>
      <c r="G418" t="s">
        <v>560</v>
      </c>
    </row>
    <row r="419" spans="1:7">
      <c r="A419" t="s">
        <v>182</v>
      </c>
      <c r="B419" t="s">
        <v>557</v>
      </c>
      <c r="C419" t="s">
        <v>558</v>
      </c>
      <c r="D419" t="s">
        <v>976</v>
      </c>
      <c r="E419">
        <v>-417</v>
      </c>
      <c r="F419" t="s">
        <v>559</v>
      </c>
      <c r="G419" t="s">
        <v>560</v>
      </c>
    </row>
    <row r="420" spans="1:7">
      <c r="A420" t="s">
        <v>182</v>
      </c>
      <c r="B420" t="s">
        <v>557</v>
      </c>
      <c r="C420" t="s">
        <v>558</v>
      </c>
      <c r="D420" t="s">
        <v>977</v>
      </c>
      <c r="E420">
        <v>-418</v>
      </c>
      <c r="F420" t="s">
        <v>559</v>
      </c>
      <c r="G420" t="s">
        <v>560</v>
      </c>
    </row>
    <row r="421" spans="1:7">
      <c r="A421" t="s">
        <v>182</v>
      </c>
      <c r="B421" t="s">
        <v>557</v>
      </c>
      <c r="C421" t="s">
        <v>558</v>
      </c>
      <c r="D421" t="s">
        <v>978</v>
      </c>
      <c r="E421">
        <v>-419</v>
      </c>
      <c r="F421" t="s">
        <v>559</v>
      </c>
      <c r="G421" t="s">
        <v>560</v>
      </c>
    </row>
    <row r="422" spans="1:7">
      <c r="A422" t="s">
        <v>182</v>
      </c>
      <c r="B422" t="s">
        <v>557</v>
      </c>
      <c r="C422" t="s">
        <v>558</v>
      </c>
      <c r="D422" t="s">
        <v>979</v>
      </c>
      <c r="E422">
        <v>-420</v>
      </c>
      <c r="F422" t="s">
        <v>559</v>
      </c>
      <c r="G422" t="s">
        <v>560</v>
      </c>
    </row>
    <row r="423" spans="1:7">
      <c r="A423" t="s">
        <v>182</v>
      </c>
      <c r="B423" t="s">
        <v>557</v>
      </c>
      <c r="C423" t="s">
        <v>558</v>
      </c>
      <c r="D423" t="s">
        <v>980</v>
      </c>
      <c r="E423">
        <v>-421</v>
      </c>
      <c r="F423" t="s">
        <v>559</v>
      </c>
      <c r="G423" t="s">
        <v>560</v>
      </c>
    </row>
    <row r="424" spans="1:7">
      <c r="A424" t="s">
        <v>182</v>
      </c>
      <c r="B424" t="s">
        <v>557</v>
      </c>
      <c r="C424" t="s">
        <v>558</v>
      </c>
      <c r="D424" t="s">
        <v>981</v>
      </c>
      <c r="E424">
        <v>-422</v>
      </c>
      <c r="F424" t="s">
        <v>559</v>
      </c>
      <c r="G424" t="s">
        <v>560</v>
      </c>
    </row>
    <row r="425" spans="1:7">
      <c r="A425" t="s">
        <v>182</v>
      </c>
      <c r="B425" t="s">
        <v>557</v>
      </c>
      <c r="C425" t="s">
        <v>558</v>
      </c>
      <c r="D425" t="s">
        <v>982</v>
      </c>
      <c r="E425">
        <v>-423</v>
      </c>
      <c r="F425" t="s">
        <v>559</v>
      </c>
      <c r="G425" t="s">
        <v>560</v>
      </c>
    </row>
    <row r="426" spans="1:7">
      <c r="A426" t="s">
        <v>182</v>
      </c>
      <c r="B426" t="s">
        <v>557</v>
      </c>
      <c r="C426" t="s">
        <v>558</v>
      </c>
      <c r="D426" t="s">
        <v>983</v>
      </c>
      <c r="E426">
        <v>-424</v>
      </c>
      <c r="F426" t="s">
        <v>559</v>
      </c>
      <c r="G426" t="s">
        <v>560</v>
      </c>
    </row>
    <row r="427" spans="1:7">
      <c r="A427" t="s">
        <v>182</v>
      </c>
      <c r="B427" t="s">
        <v>557</v>
      </c>
      <c r="C427" t="s">
        <v>558</v>
      </c>
      <c r="D427" t="s">
        <v>984</v>
      </c>
      <c r="E427">
        <v>-425</v>
      </c>
      <c r="F427" t="s">
        <v>559</v>
      </c>
      <c r="G427" t="s">
        <v>560</v>
      </c>
    </row>
    <row r="428" spans="1:7">
      <c r="A428" t="s">
        <v>182</v>
      </c>
      <c r="B428" t="s">
        <v>557</v>
      </c>
      <c r="C428" t="s">
        <v>558</v>
      </c>
      <c r="D428" t="s">
        <v>985</v>
      </c>
      <c r="E428">
        <v>-426</v>
      </c>
      <c r="F428" t="s">
        <v>559</v>
      </c>
      <c r="G428" t="s">
        <v>560</v>
      </c>
    </row>
    <row r="429" spans="1:7">
      <c r="A429" t="s">
        <v>182</v>
      </c>
      <c r="B429" t="s">
        <v>557</v>
      </c>
      <c r="C429" t="s">
        <v>558</v>
      </c>
      <c r="D429" t="s">
        <v>986</v>
      </c>
      <c r="E429">
        <v>-427</v>
      </c>
      <c r="F429" t="s">
        <v>559</v>
      </c>
      <c r="G429" t="s">
        <v>560</v>
      </c>
    </row>
    <row r="430" spans="1:7">
      <c r="A430" t="s">
        <v>182</v>
      </c>
      <c r="B430" t="s">
        <v>557</v>
      </c>
      <c r="C430" t="s">
        <v>558</v>
      </c>
      <c r="D430" t="s">
        <v>987</v>
      </c>
      <c r="E430">
        <v>-428</v>
      </c>
      <c r="F430" t="s">
        <v>559</v>
      </c>
      <c r="G430" t="s">
        <v>560</v>
      </c>
    </row>
    <row r="431" spans="1:7">
      <c r="A431" t="s">
        <v>182</v>
      </c>
      <c r="B431" t="s">
        <v>557</v>
      </c>
      <c r="C431" t="s">
        <v>558</v>
      </c>
      <c r="D431" t="s">
        <v>988</v>
      </c>
      <c r="E431">
        <v>-429</v>
      </c>
      <c r="F431" t="s">
        <v>559</v>
      </c>
      <c r="G431" t="s">
        <v>560</v>
      </c>
    </row>
    <row r="432" spans="1:7">
      <c r="A432" t="s">
        <v>182</v>
      </c>
      <c r="B432" t="s">
        <v>557</v>
      </c>
      <c r="C432" t="s">
        <v>558</v>
      </c>
      <c r="D432" t="s">
        <v>989</v>
      </c>
      <c r="E432">
        <v>-430</v>
      </c>
      <c r="F432" t="s">
        <v>559</v>
      </c>
      <c r="G432" t="s">
        <v>560</v>
      </c>
    </row>
    <row r="433" spans="1:7">
      <c r="A433" t="s">
        <v>182</v>
      </c>
      <c r="B433" t="s">
        <v>557</v>
      </c>
      <c r="C433" t="s">
        <v>558</v>
      </c>
      <c r="D433" t="s">
        <v>990</v>
      </c>
      <c r="E433">
        <v>-431</v>
      </c>
      <c r="F433" t="s">
        <v>559</v>
      </c>
      <c r="G433" t="s">
        <v>560</v>
      </c>
    </row>
    <row r="434" spans="1:7">
      <c r="A434" t="s">
        <v>182</v>
      </c>
      <c r="B434" t="s">
        <v>557</v>
      </c>
      <c r="C434" t="s">
        <v>558</v>
      </c>
      <c r="D434" t="s">
        <v>991</v>
      </c>
      <c r="E434">
        <v>-432</v>
      </c>
      <c r="F434" t="s">
        <v>559</v>
      </c>
      <c r="G434" t="s">
        <v>560</v>
      </c>
    </row>
    <row r="435" spans="1:7">
      <c r="A435" t="s">
        <v>182</v>
      </c>
      <c r="B435" t="s">
        <v>557</v>
      </c>
      <c r="C435" t="s">
        <v>558</v>
      </c>
      <c r="D435" t="s">
        <v>992</v>
      </c>
      <c r="E435">
        <v>-433</v>
      </c>
      <c r="F435" t="s">
        <v>559</v>
      </c>
      <c r="G435" t="s">
        <v>560</v>
      </c>
    </row>
    <row r="436" spans="1:7">
      <c r="A436" t="s">
        <v>182</v>
      </c>
      <c r="B436" t="s">
        <v>557</v>
      </c>
      <c r="C436" t="s">
        <v>558</v>
      </c>
      <c r="D436" t="s">
        <v>993</v>
      </c>
      <c r="E436">
        <v>-434</v>
      </c>
      <c r="F436" t="s">
        <v>559</v>
      </c>
      <c r="G436" t="s">
        <v>560</v>
      </c>
    </row>
    <row r="437" spans="1:7">
      <c r="A437" t="s">
        <v>182</v>
      </c>
      <c r="B437" t="s">
        <v>557</v>
      </c>
      <c r="C437" t="s">
        <v>558</v>
      </c>
      <c r="D437" t="s">
        <v>994</v>
      </c>
      <c r="E437">
        <v>-435</v>
      </c>
      <c r="F437" t="s">
        <v>559</v>
      </c>
      <c r="G437" t="s">
        <v>560</v>
      </c>
    </row>
    <row r="438" spans="1:7">
      <c r="A438" t="s">
        <v>182</v>
      </c>
      <c r="B438" t="s">
        <v>557</v>
      </c>
      <c r="C438" t="s">
        <v>558</v>
      </c>
      <c r="D438" t="s">
        <v>995</v>
      </c>
      <c r="E438">
        <v>-436</v>
      </c>
      <c r="F438" t="s">
        <v>559</v>
      </c>
      <c r="G438" t="s">
        <v>560</v>
      </c>
    </row>
    <row r="439" spans="1:7">
      <c r="A439" t="s">
        <v>182</v>
      </c>
      <c r="B439" t="s">
        <v>557</v>
      </c>
      <c r="C439" t="s">
        <v>558</v>
      </c>
      <c r="D439" t="s">
        <v>996</v>
      </c>
      <c r="E439">
        <v>-437</v>
      </c>
      <c r="F439" t="s">
        <v>559</v>
      </c>
      <c r="G439" t="s">
        <v>560</v>
      </c>
    </row>
    <row r="440" spans="1:7">
      <c r="A440" t="s">
        <v>182</v>
      </c>
      <c r="B440" t="s">
        <v>557</v>
      </c>
      <c r="C440" t="s">
        <v>558</v>
      </c>
      <c r="D440" t="s">
        <v>997</v>
      </c>
      <c r="E440">
        <v>-438</v>
      </c>
      <c r="F440" t="s">
        <v>559</v>
      </c>
      <c r="G440" t="s">
        <v>560</v>
      </c>
    </row>
    <row r="441" spans="1:7">
      <c r="A441" t="s">
        <v>182</v>
      </c>
      <c r="B441" t="s">
        <v>557</v>
      </c>
      <c r="C441" t="s">
        <v>558</v>
      </c>
      <c r="D441" t="s">
        <v>998</v>
      </c>
      <c r="E441">
        <v>-439</v>
      </c>
      <c r="F441" t="s">
        <v>559</v>
      </c>
      <c r="G441" t="s">
        <v>560</v>
      </c>
    </row>
    <row r="442" spans="1:7">
      <c r="A442" t="s">
        <v>182</v>
      </c>
      <c r="B442" t="s">
        <v>557</v>
      </c>
      <c r="C442" t="s">
        <v>558</v>
      </c>
      <c r="D442" t="s">
        <v>999</v>
      </c>
      <c r="E442">
        <v>-440</v>
      </c>
      <c r="F442" t="s">
        <v>559</v>
      </c>
      <c r="G442" t="s">
        <v>560</v>
      </c>
    </row>
    <row r="443" spans="1:7">
      <c r="A443" t="s">
        <v>182</v>
      </c>
      <c r="B443" t="s">
        <v>557</v>
      </c>
      <c r="C443" t="s">
        <v>558</v>
      </c>
      <c r="D443" t="s">
        <v>1000</v>
      </c>
      <c r="E443">
        <v>-441</v>
      </c>
      <c r="F443" t="s">
        <v>559</v>
      </c>
      <c r="G443" t="s">
        <v>560</v>
      </c>
    </row>
    <row r="444" spans="1:7">
      <c r="A444" t="s">
        <v>182</v>
      </c>
      <c r="B444" t="s">
        <v>557</v>
      </c>
      <c r="C444" t="s">
        <v>558</v>
      </c>
      <c r="D444" t="s">
        <v>1001</v>
      </c>
      <c r="E444">
        <v>-442</v>
      </c>
      <c r="F444" t="s">
        <v>559</v>
      </c>
      <c r="G444" t="s">
        <v>560</v>
      </c>
    </row>
    <row r="445" spans="1:7">
      <c r="A445" t="s">
        <v>182</v>
      </c>
      <c r="B445" t="s">
        <v>557</v>
      </c>
      <c r="C445" t="s">
        <v>558</v>
      </c>
      <c r="D445" t="s">
        <v>1002</v>
      </c>
      <c r="E445">
        <v>-443</v>
      </c>
      <c r="F445" t="s">
        <v>559</v>
      </c>
      <c r="G445" t="s">
        <v>560</v>
      </c>
    </row>
    <row r="446" spans="1:7">
      <c r="A446" t="s">
        <v>182</v>
      </c>
      <c r="B446" t="s">
        <v>557</v>
      </c>
      <c r="C446" t="s">
        <v>558</v>
      </c>
      <c r="D446" t="s">
        <v>1003</v>
      </c>
      <c r="E446">
        <v>-444</v>
      </c>
      <c r="F446" t="s">
        <v>559</v>
      </c>
      <c r="G446" t="s">
        <v>560</v>
      </c>
    </row>
    <row r="447" spans="1:7">
      <c r="A447" t="s">
        <v>182</v>
      </c>
      <c r="B447" t="s">
        <v>557</v>
      </c>
      <c r="C447" t="s">
        <v>558</v>
      </c>
      <c r="D447" t="s">
        <v>1004</v>
      </c>
      <c r="E447">
        <v>-445</v>
      </c>
      <c r="F447" t="s">
        <v>559</v>
      </c>
      <c r="G447" t="s">
        <v>560</v>
      </c>
    </row>
    <row r="448" spans="1:7">
      <c r="A448" t="s">
        <v>182</v>
      </c>
      <c r="B448" t="s">
        <v>557</v>
      </c>
      <c r="C448" t="s">
        <v>558</v>
      </c>
      <c r="D448" t="s">
        <v>1005</v>
      </c>
      <c r="E448">
        <v>-446</v>
      </c>
      <c r="F448" t="s">
        <v>559</v>
      </c>
      <c r="G448" t="s">
        <v>560</v>
      </c>
    </row>
    <row r="449" spans="1:7">
      <c r="A449" t="s">
        <v>182</v>
      </c>
      <c r="B449" t="s">
        <v>557</v>
      </c>
      <c r="C449" t="s">
        <v>558</v>
      </c>
      <c r="D449" t="s">
        <v>1006</v>
      </c>
      <c r="E449">
        <v>-447</v>
      </c>
      <c r="F449" t="s">
        <v>559</v>
      </c>
      <c r="G449" t="s">
        <v>560</v>
      </c>
    </row>
    <row r="450" spans="1:7">
      <c r="A450" t="s">
        <v>182</v>
      </c>
      <c r="B450" t="s">
        <v>557</v>
      </c>
      <c r="C450" t="s">
        <v>558</v>
      </c>
      <c r="D450" t="s">
        <v>1007</v>
      </c>
      <c r="E450">
        <v>-448</v>
      </c>
      <c r="F450" t="s">
        <v>559</v>
      </c>
      <c r="G450" t="s">
        <v>560</v>
      </c>
    </row>
    <row r="451" spans="1:7">
      <c r="A451" t="s">
        <v>182</v>
      </c>
      <c r="B451" t="s">
        <v>557</v>
      </c>
      <c r="C451" t="s">
        <v>558</v>
      </c>
      <c r="D451" t="s">
        <v>1008</v>
      </c>
      <c r="E451">
        <v>-449</v>
      </c>
      <c r="F451" t="s">
        <v>559</v>
      </c>
      <c r="G451" t="s">
        <v>560</v>
      </c>
    </row>
    <row r="452" spans="1:7">
      <c r="A452" t="s">
        <v>182</v>
      </c>
      <c r="B452" t="s">
        <v>557</v>
      </c>
      <c r="C452" t="s">
        <v>558</v>
      </c>
      <c r="D452" t="s">
        <v>1009</v>
      </c>
      <c r="E452">
        <v>-450</v>
      </c>
      <c r="F452" t="s">
        <v>559</v>
      </c>
      <c r="G452" t="s">
        <v>560</v>
      </c>
    </row>
    <row r="453" spans="1:7">
      <c r="A453" t="s">
        <v>182</v>
      </c>
      <c r="B453" t="s">
        <v>557</v>
      </c>
      <c r="C453" t="s">
        <v>558</v>
      </c>
      <c r="D453" t="s">
        <v>1010</v>
      </c>
      <c r="E453">
        <v>-451</v>
      </c>
      <c r="F453" t="s">
        <v>559</v>
      </c>
      <c r="G453" t="s">
        <v>560</v>
      </c>
    </row>
    <row r="454" spans="1:7">
      <c r="A454" t="s">
        <v>182</v>
      </c>
      <c r="B454" t="s">
        <v>557</v>
      </c>
      <c r="C454" t="s">
        <v>558</v>
      </c>
      <c r="D454" t="s">
        <v>1011</v>
      </c>
      <c r="E454">
        <v>-452</v>
      </c>
      <c r="F454" t="s">
        <v>559</v>
      </c>
      <c r="G454" t="s">
        <v>560</v>
      </c>
    </row>
    <row r="455" spans="1:7">
      <c r="A455" t="s">
        <v>182</v>
      </c>
      <c r="B455" t="s">
        <v>557</v>
      </c>
      <c r="C455" t="s">
        <v>558</v>
      </c>
      <c r="D455" t="s">
        <v>1012</v>
      </c>
      <c r="E455">
        <v>-453</v>
      </c>
      <c r="F455" t="s">
        <v>559</v>
      </c>
      <c r="G455" t="s">
        <v>560</v>
      </c>
    </row>
    <row r="456" spans="1:7">
      <c r="A456" t="s">
        <v>182</v>
      </c>
      <c r="B456" t="s">
        <v>557</v>
      </c>
      <c r="C456" t="s">
        <v>558</v>
      </c>
      <c r="D456" t="s">
        <v>1013</v>
      </c>
      <c r="E456">
        <v>-454</v>
      </c>
      <c r="F456" t="s">
        <v>559</v>
      </c>
      <c r="G456" t="s">
        <v>560</v>
      </c>
    </row>
    <row r="457" spans="1:7">
      <c r="A457" t="s">
        <v>182</v>
      </c>
      <c r="B457" t="s">
        <v>557</v>
      </c>
      <c r="C457" t="s">
        <v>558</v>
      </c>
      <c r="D457" t="s">
        <v>1014</v>
      </c>
      <c r="E457">
        <v>-455</v>
      </c>
      <c r="F457" t="s">
        <v>559</v>
      </c>
      <c r="G457" t="s">
        <v>560</v>
      </c>
    </row>
    <row r="458" spans="1:7">
      <c r="A458" t="s">
        <v>182</v>
      </c>
      <c r="B458" t="s">
        <v>557</v>
      </c>
      <c r="C458" t="s">
        <v>558</v>
      </c>
      <c r="D458" t="s">
        <v>1015</v>
      </c>
      <c r="E458">
        <v>-456</v>
      </c>
      <c r="F458" t="s">
        <v>559</v>
      </c>
      <c r="G458" t="s">
        <v>560</v>
      </c>
    </row>
    <row r="459" spans="1:7">
      <c r="A459" t="s">
        <v>182</v>
      </c>
      <c r="B459" t="s">
        <v>557</v>
      </c>
      <c r="C459" t="s">
        <v>558</v>
      </c>
      <c r="D459" t="s">
        <v>1016</v>
      </c>
      <c r="E459">
        <v>-457</v>
      </c>
      <c r="F459" t="s">
        <v>559</v>
      </c>
      <c r="G459" t="s">
        <v>560</v>
      </c>
    </row>
    <row r="460" spans="1:7">
      <c r="A460" t="s">
        <v>182</v>
      </c>
      <c r="B460" t="s">
        <v>557</v>
      </c>
      <c r="C460" t="s">
        <v>558</v>
      </c>
      <c r="D460" t="s">
        <v>1017</v>
      </c>
      <c r="E460">
        <v>-458</v>
      </c>
      <c r="F460" t="s">
        <v>559</v>
      </c>
      <c r="G460" t="s">
        <v>560</v>
      </c>
    </row>
    <row r="461" spans="1:7">
      <c r="A461" t="s">
        <v>182</v>
      </c>
      <c r="B461" t="s">
        <v>557</v>
      </c>
      <c r="C461" t="s">
        <v>558</v>
      </c>
      <c r="D461" t="s">
        <v>1018</v>
      </c>
      <c r="E461">
        <v>-459</v>
      </c>
      <c r="F461" t="s">
        <v>559</v>
      </c>
      <c r="G461" t="s">
        <v>560</v>
      </c>
    </row>
    <row r="462" spans="1:7">
      <c r="A462" t="s">
        <v>182</v>
      </c>
      <c r="B462" t="s">
        <v>557</v>
      </c>
      <c r="C462" t="s">
        <v>558</v>
      </c>
      <c r="D462" t="s">
        <v>1019</v>
      </c>
      <c r="E462">
        <v>-460</v>
      </c>
      <c r="F462" t="s">
        <v>559</v>
      </c>
      <c r="G462" t="s">
        <v>560</v>
      </c>
    </row>
    <row r="463" spans="1:7">
      <c r="A463" t="s">
        <v>182</v>
      </c>
      <c r="B463" t="s">
        <v>557</v>
      </c>
      <c r="C463" t="s">
        <v>558</v>
      </c>
      <c r="D463" t="s">
        <v>1020</v>
      </c>
      <c r="E463">
        <v>-461</v>
      </c>
      <c r="F463" t="s">
        <v>559</v>
      </c>
      <c r="G463" t="s">
        <v>560</v>
      </c>
    </row>
    <row r="464" spans="1:7">
      <c r="A464" t="s">
        <v>182</v>
      </c>
      <c r="B464" t="s">
        <v>557</v>
      </c>
      <c r="C464" t="s">
        <v>558</v>
      </c>
      <c r="D464" t="s">
        <v>1021</v>
      </c>
      <c r="E464">
        <v>-462</v>
      </c>
      <c r="F464" t="s">
        <v>559</v>
      </c>
      <c r="G464" t="s">
        <v>560</v>
      </c>
    </row>
    <row r="465" spans="1:7">
      <c r="A465" t="s">
        <v>182</v>
      </c>
      <c r="B465" t="s">
        <v>557</v>
      </c>
      <c r="C465" t="s">
        <v>558</v>
      </c>
      <c r="D465" t="s">
        <v>1022</v>
      </c>
      <c r="E465">
        <v>-463</v>
      </c>
      <c r="F465" t="s">
        <v>559</v>
      </c>
      <c r="G465" t="s">
        <v>560</v>
      </c>
    </row>
    <row r="466" spans="1:7">
      <c r="A466" t="s">
        <v>182</v>
      </c>
      <c r="B466" t="s">
        <v>557</v>
      </c>
      <c r="C466" t="s">
        <v>558</v>
      </c>
      <c r="D466" t="s">
        <v>1023</v>
      </c>
      <c r="E466">
        <v>-464</v>
      </c>
      <c r="F466" t="s">
        <v>559</v>
      </c>
      <c r="G466" t="s">
        <v>560</v>
      </c>
    </row>
    <row r="467" spans="1:7">
      <c r="A467" t="s">
        <v>182</v>
      </c>
      <c r="B467" t="s">
        <v>557</v>
      </c>
      <c r="C467" t="s">
        <v>558</v>
      </c>
      <c r="D467" t="s">
        <v>1024</v>
      </c>
      <c r="E467">
        <v>-465</v>
      </c>
      <c r="F467" t="s">
        <v>559</v>
      </c>
      <c r="G467" t="s">
        <v>560</v>
      </c>
    </row>
    <row r="468" spans="1:7">
      <c r="A468" t="s">
        <v>182</v>
      </c>
      <c r="B468" t="s">
        <v>557</v>
      </c>
      <c r="C468" t="s">
        <v>558</v>
      </c>
      <c r="D468" t="s">
        <v>1025</v>
      </c>
      <c r="E468">
        <v>-466</v>
      </c>
      <c r="F468" t="s">
        <v>559</v>
      </c>
      <c r="G468" t="s">
        <v>560</v>
      </c>
    </row>
    <row r="469" spans="1:7">
      <c r="A469" t="s">
        <v>182</v>
      </c>
      <c r="B469" t="s">
        <v>557</v>
      </c>
      <c r="C469" t="s">
        <v>558</v>
      </c>
      <c r="D469" t="s">
        <v>1026</v>
      </c>
      <c r="E469">
        <v>-467</v>
      </c>
      <c r="F469" t="s">
        <v>559</v>
      </c>
      <c r="G469" t="s">
        <v>560</v>
      </c>
    </row>
    <row r="470" spans="1:7">
      <c r="A470" t="s">
        <v>182</v>
      </c>
      <c r="B470" t="s">
        <v>557</v>
      </c>
      <c r="C470" t="s">
        <v>558</v>
      </c>
      <c r="D470" t="s">
        <v>1027</v>
      </c>
      <c r="E470">
        <v>-468</v>
      </c>
      <c r="F470" t="s">
        <v>559</v>
      </c>
      <c r="G470" t="s">
        <v>560</v>
      </c>
    </row>
    <row r="471" spans="1:7">
      <c r="A471" t="s">
        <v>182</v>
      </c>
      <c r="B471" t="s">
        <v>557</v>
      </c>
      <c r="C471" t="s">
        <v>558</v>
      </c>
      <c r="D471" t="s">
        <v>1028</v>
      </c>
      <c r="E471">
        <v>-469</v>
      </c>
      <c r="F471" t="s">
        <v>559</v>
      </c>
      <c r="G471" t="s">
        <v>560</v>
      </c>
    </row>
    <row r="472" spans="1:7">
      <c r="A472" t="s">
        <v>182</v>
      </c>
      <c r="B472" t="s">
        <v>557</v>
      </c>
      <c r="C472" t="s">
        <v>558</v>
      </c>
      <c r="D472" t="s">
        <v>1029</v>
      </c>
      <c r="E472">
        <v>-470</v>
      </c>
      <c r="F472" t="s">
        <v>559</v>
      </c>
      <c r="G472" t="s">
        <v>560</v>
      </c>
    </row>
    <row r="473" spans="1:7">
      <c r="A473" t="s">
        <v>182</v>
      </c>
      <c r="B473" t="s">
        <v>557</v>
      </c>
      <c r="C473" t="s">
        <v>558</v>
      </c>
      <c r="D473" t="s">
        <v>1030</v>
      </c>
      <c r="E473">
        <v>-471</v>
      </c>
      <c r="F473" t="s">
        <v>559</v>
      </c>
      <c r="G473" t="s">
        <v>560</v>
      </c>
    </row>
    <row r="474" spans="1:7">
      <c r="A474" t="s">
        <v>182</v>
      </c>
      <c r="B474" t="s">
        <v>557</v>
      </c>
      <c r="C474" t="s">
        <v>558</v>
      </c>
      <c r="D474" t="s">
        <v>1031</v>
      </c>
      <c r="E474">
        <v>-472</v>
      </c>
      <c r="F474" t="s">
        <v>559</v>
      </c>
      <c r="G474" t="s">
        <v>560</v>
      </c>
    </row>
    <row r="475" spans="1:7">
      <c r="A475" t="s">
        <v>182</v>
      </c>
      <c r="B475" t="s">
        <v>557</v>
      </c>
      <c r="C475" t="s">
        <v>558</v>
      </c>
      <c r="D475" t="s">
        <v>1032</v>
      </c>
      <c r="E475">
        <v>-473</v>
      </c>
      <c r="F475" t="s">
        <v>559</v>
      </c>
      <c r="G475" t="s">
        <v>560</v>
      </c>
    </row>
    <row r="476" spans="1:7">
      <c r="A476" t="s">
        <v>182</v>
      </c>
      <c r="B476" t="s">
        <v>557</v>
      </c>
      <c r="C476" t="s">
        <v>558</v>
      </c>
      <c r="D476" t="s">
        <v>1033</v>
      </c>
      <c r="E476">
        <v>-474</v>
      </c>
      <c r="F476" t="s">
        <v>559</v>
      </c>
      <c r="G476" t="s">
        <v>560</v>
      </c>
    </row>
    <row r="477" spans="1:7">
      <c r="A477" t="s">
        <v>182</v>
      </c>
      <c r="B477" t="s">
        <v>557</v>
      </c>
      <c r="C477" t="s">
        <v>558</v>
      </c>
      <c r="D477" t="s">
        <v>1034</v>
      </c>
      <c r="E477">
        <v>-475</v>
      </c>
      <c r="F477" t="s">
        <v>559</v>
      </c>
      <c r="G477" t="s">
        <v>560</v>
      </c>
    </row>
    <row r="478" spans="1:7">
      <c r="A478" t="s">
        <v>182</v>
      </c>
      <c r="B478" t="s">
        <v>557</v>
      </c>
      <c r="C478" t="s">
        <v>558</v>
      </c>
      <c r="D478" t="s">
        <v>1035</v>
      </c>
      <c r="E478">
        <v>-476</v>
      </c>
      <c r="F478" t="s">
        <v>559</v>
      </c>
      <c r="G478" t="s">
        <v>560</v>
      </c>
    </row>
    <row r="479" spans="1:7">
      <c r="A479" t="s">
        <v>182</v>
      </c>
      <c r="B479" t="s">
        <v>557</v>
      </c>
      <c r="C479" t="s">
        <v>558</v>
      </c>
      <c r="D479" t="s">
        <v>1036</v>
      </c>
      <c r="E479">
        <v>-477</v>
      </c>
      <c r="F479" t="s">
        <v>559</v>
      </c>
      <c r="G479" t="s">
        <v>560</v>
      </c>
    </row>
    <row r="480" spans="1:7">
      <c r="A480" t="s">
        <v>182</v>
      </c>
      <c r="B480" t="s">
        <v>557</v>
      </c>
      <c r="C480" t="s">
        <v>558</v>
      </c>
      <c r="D480" t="s">
        <v>1037</v>
      </c>
      <c r="E480">
        <v>-478</v>
      </c>
      <c r="F480" t="s">
        <v>559</v>
      </c>
      <c r="G480" t="s">
        <v>560</v>
      </c>
    </row>
    <row r="481" spans="1:7">
      <c r="A481" t="s">
        <v>182</v>
      </c>
      <c r="B481" t="s">
        <v>557</v>
      </c>
      <c r="C481" t="s">
        <v>558</v>
      </c>
      <c r="D481" t="s">
        <v>1038</v>
      </c>
      <c r="E481">
        <v>-479</v>
      </c>
      <c r="F481" t="s">
        <v>559</v>
      </c>
      <c r="G481" t="s">
        <v>560</v>
      </c>
    </row>
    <row r="482" spans="1:7">
      <c r="A482" t="s">
        <v>182</v>
      </c>
      <c r="B482" t="s">
        <v>557</v>
      </c>
      <c r="C482" t="s">
        <v>558</v>
      </c>
      <c r="D482" t="s">
        <v>1039</v>
      </c>
      <c r="E482">
        <v>-480</v>
      </c>
      <c r="F482" t="s">
        <v>559</v>
      </c>
      <c r="G482" t="s">
        <v>560</v>
      </c>
    </row>
    <row r="483" spans="1:7">
      <c r="A483" t="s">
        <v>182</v>
      </c>
      <c r="B483" t="s">
        <v>557</v>
      </c>
      <c r="C483" t="s">
        <v>558</v>
      </c>
      <c r="D483" t="s">
        <v>1040</v>
      </c>
      <c r="E483">
        <v>-481</v>
      </c>
      <c r="F483" t="s">
        <v>559</v>
      </c>
      <c r="G483" t="s">
        <v>560</v>
      </c>
    </row>
    <row r="484" spans="1:7">
      <c r="A484" t="s">
        <v>182</v>
      </c>
      <c r="B484" t="s">
        <v>557</v>
      </c>
      <c r="C484" t="s">
        <v>558</v>
      </c>
      <c r="D484" t="s">
        <v>1041</v>
      </c>
      <c r="E484">
        <v>-482</v>
      </c>
      <c r="F484" t="s">
        <v>559</v>
      </c>
      <c r="G484" t="s">
        <v>560</v>
      </c>
    </row>
    <row r="485" spans="1:7">
      <c r="A485" t="s">
        <v>182</v>
      </c>
      <c r="B485" t="s">
        <v>557</v>
      </c>
      <c r="C485" t="s">
        <v>558</v>
      </c>
      <c r="D485" t="s">
        <v>1042</v>
      </c>
      <c r="E485">
        <v>-483</v>
      </c>
      <c r="F485" t="s">
        <v>559</v>
      </c>
      <c r="G485" t="s">
        <v>560</v>
      </c>
    </row>
    <row r="486" spans="1:7">
      <c r="A486" t="s">
        <v>182</v>
      </c>
      <c r="B486" t="s">
        <v>557</v>
      </c>
      <c r="C486" t="s">
        <v>558</v>
      </c>
      <c r="D486" t="s">
        <v>1043</v>
      </c>
      <c r="E486">
        <v>-484</v>
      </c>
      <c r="F486" t="s">
        <v>559</v>
      </c>
      <c r="G486" t="s">
        <v>560</v>
      </c>
    </row>
    <row r="487" spans="1:7">
      <c r="A487" t="s">
        <v>182</v>
      </c>
      <c r="B487" t="s">
        <v>557</v>
      </c>
      <c r="C487" t="s">
        <v>558</v>
      </c>
      <c r="D487" t="s">
        <v>1044</v>
      </c>
      <c r="E487">
        <v>-485</v>
      </c>
      <c r="F487" t="s">
        <v>559</v>
      </c>
      <c r="G487" t="s">
        <v>560</v>
      </c>
    </row>
    <row r="488" spans="1:7">
      <c r="A488" t="s">
        <v>182</v>
      </c>
      <c r="B488" t="s">
        <v>557</v>
      </c>
      <c r="C488" t="s">
        <v>558</v>
      </c>
      <c r="D488" t="s">
        <v>1045</v>
      </c>
      <c r="E488">
        <v>-486</v>
      </c>
      <c r="F488" t="s">
        <v>559</v>
      </c>
      <c r="G488" t="s">
        <v>560</v>
      </c>
    </row>
    <row r="489" spans="1:7">
      <c r="A489" t="s">
        <v>182</v>
      </c>
      <c r="B489" t="s">
        <v>557</v>
      </c>
      <c r="C489" t="s">
        <v>558</v>
      </c>
      <c r="D489" t="s">
        <v>1046</v>
      </c>
      <c r="E489">
        <v>-487</v>
      </c>
      <c r="F489" t="s">
        <v>559</v>
      </c>
      <c r="G489" t="s">
        <v>560</v>
      </c>
    </row>
    <row r="490" spans="1:7">
      <c r="A490" t="s">
        <v>182</v>
      </c>
      <c r="B490" t="s">
        <v>557</v>
      </c>
      <c r="C490" t="s">
        <v>558</v>
      </c>
      <c r="D490" t="s">
        <v>1047</v>
      </c>
      <c r="E490">
        <v>-488</v>
      </c>
      <c r="F490" t="s">
        <v>559</v>
      </c>
      <c r="G490" t="s">
        <v>560</v>
      </c>
    </row>
    <row r="491" spans="1:7">
      <c r="A491" t="s">
        <v>182</v>
      </c>
      <c r="B491" t="s">
        <v>557</v>
      </c>
      <c r="C491" t="s">
        <v>558</v>
      </c>
      <c r="D491" t="s">
        <v>1048</v>
      </c>
      <c r="E491">
        <v>-489</v>
      </c>
      <c r="F491" t="s">
        <v>559</v>
      </c>
      <c r="G491" t="s">
        <v>560</v>
      </c>
    </row>
    <row r="492" spans="1:7">
      <c r="A492" t="s">
        <v>182</v>
      </c>
      <c r="B492" t="s">
        <v>557</v>
      </c>
      <c r="C492" t="s">
        <v>558</v>
      </c>
      <c r="D492" t="s">
        <v>1049</v>
      </c>
      <c r="E492">
        <v>-490</v>
      </c>
      <c r="F492" t="s">
        <v>559</v>
      </c>
      <c r="G492" t="s">
        <v>560</v>
      </c>
    </row>
    <row r="493" spans="1:7">
      <c r="A493" t="s">
        <v>182</v>
      </c>
      <c r="B493" t="s">
        <v>557</v>
      </c>
      <c r="C493" t="s">
        <v>558</v>
      </c>
      <c r="D493" t="s">
        <v>1050</v>
      </c>
      <c r="E493">
        <v>-491</v>
      </c>
      <c r="F493" t="s">
        <v>559</v>
      </c>
      <c r="G493" t="s">
        <v>560</v>
      </c>
    </row>
    <row r="494" spans="1:7">
      <c r="A494" t="s">
        <v>182</v>
      </c>
      <c r="B494" t="s">
        <v>557</v>
      </c>
      <c r="C494" t="s">
        <v>558</v>
      </c>
      <c r="D494" t="s">
        <v>1051</v>
      </c>
      <c r="E494">
        <v>-492</v>
      </c>
      <c r="F494" t="s">
        <v>559</v>
      </c>
      <c r="G494" t="s">
        <v>560</v>
      </c>
    </row>
    <row r="495" spans="1:7">
      <c r="A495" t="s">
        <v>182</v>
      </c>
      <c r="B495" t="s">
        <v>557</v>
      </c>
      <c r="C495" t="s">
        <v>558</v>
      </c>
      <c r="D495" t="s">
        <v>1052</v>
      </c>
      <c r="E495">
        <v>-493</v>
      </c>
      <c r="F495" t="s">
        <v>559</v>
      </c>
      <c r="G495" t="s">
        <v>560</v>
      </c>
    </row>
    <row r="496" spans="1:7">
      <c r="A496" t="s">
        <v>182</v>
      </c>
      <c r="B496" t="s">
        <v>557</v>
      </c>
      <c r="C496" t="s">
        <v>558</v>
      </c>
      <c r="D496" t="s">
        <v>1053</v>
      </c>
      <c r="E496">
        <v>-494</v>
      </c>
      <c r="F496" t="s">
        <v>559</v>
      </c>
      <c r="G496" t="s">
        <v>560</v>
      </c>
    </row>
    <row r="497" spans="1:7">
      <c r="A497" t="s">
        <v>182</v>
      </c>
      <c r="B497" t="s">
        <v>557</v>
      </c>
      <c r="C497" t="s">
        <v>558</v>
      </c>
      <c r="D497" t="s">
        <v>1054</v>
      </c>
      <c r="E497">
        <v>-495</v>
      </c>
      <c r="F497" t="s">
        <v>559</v>
      </c>
      <c r="G497" t="s">
        <v>560</v>
      </c>
    </row>
    <row r="498" spans="1:7">
      <c r="A498" t="s">
        <v>182</v>
      </c>
      <c r="B498" t="s">
        <v>557</v>
      </c>
      <c r="C498" t="s">
        <v>558</v>
      </c>
      <c r="D498" t="s">
        <v>1055</v>
      </c>
      <c r="E498">
        <v>-496</v>
      </c>
      <c r="F498" t="s">
        <v>559</v>
      </c>
      <c r="G498" t="s">
        <v>560</v>
      </c>
    </row>
    <row r="499" spans="1:7">
      <c r="A499" t="s">
        <v>182</v>
      </c>
      <c r="B499" t="s">
        <v>557</v>
      </c>
      <c r="C499" t="s">
        <v>558</v>
      </c>
      <c r="D499" t="s">
        <v>1056</v>
      </c>
      <c r="E499">
        <v>-497</v>
      </c>
      <c r="F499" t="s">
        <v>559</v>
      </c>
      <c r="G499" t="s">
        <v>560</v>
      </c>
    </row>
    <row r="500" spans="1:7">
      <c r="A500" t="s">
        <v>182</v>
      </c>
      <c r="B500" t="s">
        <v>557</v>
      </c>
      <c r="C500" t="s">
        <v>558</v>
      </c>
      <c r="D500" t="s">
        <v>1057</v>
      </c>
      <c r="E500">
        <v>-498</v>
      </c>
      <c r="F500" t="s">
        <v>559</v>
      </c>
      <c r="G500" t="s">
        <v>560</v>
      </c>
    </row>
    <row r="501" spans="1:7">
      <c r="A501" t="s">
        <v>182</v>
      </c>
      <c r="B501" t="s">
        <v>557</v>
      </c>
      <c r="C501" t="s">
        <v>558</v>
      </c>
      <c r="D501" t="s">
        <v>1058</v>
      </c>
      <c r="E501">
        <v>-499</v>
      </c>
      <c r="F501" t="s">
        <v>559</v>
      </c>
      <c r="G501" t="s">
        <v>560</v>
      </c>
    </row>
    <row r="502" spans="1:7">
      <c r="A502" t="s">
        <v>182</v>
      </c>
      <c r="B502" t="s">
        <v>557</v>
      </c>
      <c r="C502" t="s">
        <v>558</v>
      </c>
      <c r="D502" t="s">
        <v>1059</v>
      </c>
      <c r="E502">
        <v>-500</v>
      </c>
      <c r="F502" t="s">
        <v>559</v>
      </c>
      <c r="G502" t="s">
        <v>560</v>
      </c>
    </row>
    <row r="503" spans="1:7">
      <c r="A503" t="s">
        <v>182</v>
      </c>
      <c r="B503" t="s">
        <v>557</v>
      </c>
      <c r="C503" t="s">
        <v>558</v>
      </c>
      <c r="D503" t="s">
        <v>1060</v>
      </c>
      <c r="E503">
        <v>-501</v>
      </c>
      <c r="F503" t="s">
        <v>559</v>
      </c>
      <c r="G503" t="s">
        <v>560</v>
      </c>
    </row>
    <row r="504" spans="1:7">
      <c r="A504" t="s">
        <v>182</v>
      </c>
      <c r="B504" t="s">
        <v>557</v>
      </c>
      <c r="C504" t="s">
        <v>558</v>
      </c>
      <c r="D504" t="s">
        <v>1061</v>
      </c>
      <c r="E504">
        <v>-502</v>
      </c>
      <c r="F504" t="s">
        <v>559</v>
      </c>
      <c r="G504" t="s">
        <v>560</v>
      </c>
    </row>
    <row r="505" spans="1:7">
      <c r="A505" t="s">
        <v>182</v>
      </c>
      <c r="B505" t="s">
        <v>557</v>
      </c>
      <c r="C505" t="s">
        <v>558</v>
      </c>
      <c r="D505" t="s">
        <v>1062</v>
      </c>
      <c r="E505">
        <v>-503</v>
      </c>
      <c r="F505" t="s">
        <v>559</v>
      </c>
      <c r="G505" t="s">
        <v>560</v>
      </c>
    </row>
    <row r="506" spans="1:7">
      <c r="A506" t="s">
        <v>182</v>
      </c>
      <c r="B506" t="s">
        <v>557</v>
      </c>
      <c r="C506" t="s">
        <v>558</v>
      </c>
      <c r="D506" t="s">
        <v>1063</v>
      </c>
      <c r="E506">
        <v>-504</v>
      </c>
      <c r="F506" t="s">
        <v>559</v>
      </c>
      <c r="G506" t="s">
        <v>560</v>
      </c>
    </row>
    <row r="507" spans="1:7">
      <c r="A507" t="s">
        <v>182</v>
      </c>
      <c r="B507" t="s">
        <v>557</v>
      </c>
      <c r="C507" t="s">
        <v>558</v>
      </c>
      <c r="D507" t="s">
        <v>1064</v>
      </c>
      <c r="E507">
        <v>-505</v>
      </c>
      <c r="F507" t="s">
        <v>559</v>
      </c>
      <c r="G507" t="s">
        <v>560</v>
      </c>
    </row>
    <row r="508" spans="1:7">
      <c r="A508" t="s">
        <v>182</v>
      </c>
      <c r="B508" t="s">
        <v>557</v>
      </c>
      <c r="C508" t="s">
        <v>558</v>
      </c>
      <c r="D508" t="s">
        <v>1065</v>
      </c>
      <c r="E508">
        <v>-506</v>
      </c>
      <c r="F508" t="s">
        <v>559</v>
      </c>
      <c r="G508" t="s">
        <v>560</v>
      </c>
    </row>
    <row r="509" spans="1:7">
      <c r="A509" t="s">
        <v>182</v>
      </c>
      <c r="B509" t="s">
        <v>557</v>
      </c>
      <c r="C509" t="s">
        <v>558</v>
      </c>
      <c r="D509" t="s">
        <v>1066</v>
      </c>
      <c r="E509">
        <v>-507</v>
      </c>
      <c r="F509" t="s">
        <v>559</v>
      </c>
      <c r="G509" t="s">
        <v>560</v>
      </c>
    </row>
    <row r="510" spans="1:7">
      <c r="A510" t="s">
        <v>182</v>
      </c>
      <c r="B510" t="s">
        <v>557</v>
      </c>
      <c r="C510" t="s">
        <v>558</v>
      </c>
      <c r="D510" t="s">
        <v>1067</v>
      </c>
      <c r="E510">
        <v>-508</v>
      </c>
      <c r="F510" t="s">
        <v>559</v>
      </c>
      <c r="G510" t="s">
        <v>560</v>
      </c>
    </row>
    <row r="511" spans="1:7">
      <c r="A511" t="s">
        <v>182</v>
      </c>
      <c r="B511" t="s">
        <v>557</v>
      </c>
      <c r="C511" t="s">
        <v>558</v>
      </c>
      <c r="D511" t="s">
        <v>1068</v>
      </c>
      <c r="E511">
        <v>-509</v>
      </c>
      <c r="F511" t="s">
        <v>559</v>
      </c>
      <c r="G511" t="s">
        <v>560</v>
      </c>
    </row>
    <row r="512" spans="1:7">
      <c r="A512" t="s">
        <v>182</v>
      </c>
      <c r="B512" t="s">
        <v>557</v>
      </c>
      <c r="C512" t="s">
        <v>558</v>
      </c>
      <c r="D512" t="s">
        <v>1069</v>
      </c>
      <c r="E512">
        <v>-510</v>
      </c>
      <c r="F512" t="s">
        <v>559</v>
      </c>
      <c r="G512" t="s">
        <v>560</v>
      </c>
    </row>
    <row r="513" spans="1:7">
      <c r="A513" t="s">
        <v>182</v>
      </c>
      <c r="B513" t="s">
        <v>557</v>
      </c>
      <c r="C513" t="s">
        <v>558</v>
      </c>
      <c r="D513" t="s">
        <v>1070</v>
      </c>
      <c r="E513">
        <v>-511</v>
      </c>
      <c r="F513" t="s">
        <v>559</v>
      </c>
      <c r="G513" t="s">
        <v>560</v>
      </c>
    </row>
    <row r="514" spans="1:7">
      <c r="A514" t="s">
        <v>182</v>
      </c>
      <c r="B514" t="s">
        <v>557</v>
      </c>
      <c r="C514" t="s">
        <v>558</v>
      </c>
      <c r="D514" t="s">
        <v>1071</v>
      </c>
      <c r="E514">
        <v>-512</v>
      </c>
      <c r="F514" t="s">
        <v>559</v>
      </c>
      <c r="G514" t="s">
        <v>560</v>
      </c>
    </row>
    <row r="515" spans="1:7">
      <c r="A515" t="s">
        <v>182</v>
      </c>
      <c r="B515" t="s">
        <v>557</v>
      </c>
      <c r="C515" t="s">
        <v>558</v>
      </c>
      <c r="D515" t="s">
        <v>1072</v>
      </c>
      <c r="E515">
        <v>-513</v>
      </c>
      <c r="F515" t="s">
        <v>559</v>
      </c>
      <c r="G515" t="s">
        <v>560</v>
      </c>
    </row>
    <row r="516" spans="1:7">
      <c r="A516" t="s">
        <v>182</v>
      </c>
      <c r="B516" t="s">
        <v>557</v>
      </c>
      <c r="C516" t="s">
        <v>558</v>
      </c>
      <c r="D516" t="s">
        <v>1073</v>
      </c>
      <c r="E516">
        <v>-514</v>
      </c>
      <c r="F516" t="s">
        <v>559</v>
      </c>
      <c r="G516" t="s">
        <v>560</v>
      </c>
    </row>
    <row r="517" spans="1:7">
      <c r="A517" t="s">
        <v>182</v>
      </c>
      <c r="B517" t="s">
        <v>557</v>
      </c>
      <c r="C517" t="s">
        <v>558</v>
      </c>
      <c r="D517" t="s">
        <v>1074</v>
      </c>
      <c r="E517">
        <v>-515</v>
      </c>
      <c r="F517" t="s">
        <v>559</v>
      </c>
      <c r="G517" t="s">
        <v>560</v>
      </c>
    </row>
    <row r="518" spans="1:7">
      <c r="A518" t="s">
        <v>182</v>
      </c>
      <c r="B518" t="s">
        <v>557</v>
      </c>
      <c r="C518" t="s">
        <v>558</v>
      </c>
      <c r="D518" t="s">
        <v>1075</v>
      </c>
      <c r="E518">
        <v>-516</v>
      </c>
      <c r="F518" t="s">
        <v>559</v>
      </c>
      <c r="G518" t="s">
        <v>560</v>
      </c>
    </row>
    <row r="519" spans="1:7">
      <c r="A519" t="s">
        <v>182</v>
      </c>
      <c r="B519" t="s">
        <v>557</v>
      </c>
      <c r="C519" t="s">
        <v>558</v>
      </c>
      <c r="D519" t="s">
        <v>1076</v>
      </c>
      <c r="E519">
        <v>-517</v>
      </c>
      <c r="F519" t="s">
        <v>559</v>
      </c>
      <c r="G519" t="s">
        <v>560</v>
      </c>
    </row>
    <row r="520" spans="1:7">
      <c r="A520" t="s">
        <v>182</v>
      </c>
      <c r="B520" t="s">
        <v>557</v>
      </c>
      <c r="C520" t="s">
        <v>558</v>
      </c>
      <c r="D520" t="s">
        <v>1077</v>
      </c>
      <c r="E520">
        <v>-518</v>
      </c>
      <c r="F520" t="s">
        <v>559</v>
      </c>
      <c r="G520" t="s">
        <v>560</v>
      </c>
    </row>
    <row r="521" spans="1:7">
      <c r="A521" t="s">
        <v>182</v>
      </c>
      <c r="B521" t="s">
        <v>557</v>
      </c>
      <c r="C521" t="s">
        <v>558</v>
      </c>
      <c r="D521" t="s">
        <v>1078</v>
      </c>
      <c r="E521">
        <v>-519</v>
      </c>
      <c r="F521" t="s">
        <v>559</v>
      </c>
      <c r="G521" t="s">
        <v>560</v>
      </c>
    </row>
    <row r="522" spans="1:7">
      <c r="A522" t="s">
        <v>182</v>
      </c>
      <c r="B522" t="s">
        <v>557</v>
      </c>
      <c r="C522" t="s">
        <v>558</v>
      </c>
      <c r="D522" t="s">
        <v>1079</v>
      </c>
      <c r="E522">
        <v>-520</v>
      </c>
      <c r="F522" t="s">
        <v>559</v>
      </c>
      <c r="G522" t="s">
        <v>560</v>
      </c>
    </row>
    <row r="523" spans="1:7">
      <c r="A523" t="s">
        <v>182</v>
      </c>
      <c r="B523" t="s">
        <v>557</v>
      </c>
      <c r="C523" t="s">
        <v>558</v>
      </c>
      <c r="D523" t="s">
        <v>1080</v>
      </c>
      <c r="E523">
        <v>-521</v>
      </c>
      <c r="F523" t="s">
        <v>559</v>
      </c>
      <c r="G523" t="s">
        <v>560</v>
      </c>
    </row>
    <row r="524" spans="1:7">
      <c r="A524" t="s">
        <v>182</v>
      </c>
      <c r="B524" t="s">
        <v>557</v>
      </c>
      <c r="C524" t="s">
        <v>558</v>
      </c>
      <c r="D524" t="s">
        <v>1081</v>
      </c>
      <c r="E524">
        <v>-522</v>
      </c>
      <c r="F524" t="s">
        <v>559</v>
      </c>
      <c r="G524" t="s">
        <v>560</v>
      </c>
    </row>
    <row r="525" spans="1:7">
      <c r="A525" t="s">
        <v>182</v>
      </c>
      <c r="B525" t="s">
        <v>557</v>
      </c>
      <c r="C525" t="s">
        <v>558</v>
      </c>
      <c r="D525" t="s">
        <v>1082</v>
      </c>
      <c r="E525">
        <v>-523</v>
      </c>
      <c r="F525" t="s">
        <v>559</v>
      </c>
      <c r="G525" t="s">
        <v>560</v>
      </c>
    </row>
    <row r="526" spans="1:7">
      <c r="A526" t="s">
        <v>182</v>
      </c>
      <c r="B526" t="s">
        <v>557</v>
      </c>
      <c r="C526" t="s">
        <v>558</v>
      </c>
      <c r="D526" t="s">
        <v>1083</v>
      </c>
      <c r="E526">
        <v>-524</v>
      </c>
      <c r="F526" t="s">
        <v>559</v>
      </c>
      <c r="G526" t="s">
        <v>560</v>
      </c>
    </row>
    <row r="527" spans="1:7">
      <c r="A527" t="s">
        <v>182</v>
      </c>
      <c r="B527" t="s">
        <v>557</v>
      </c>
      <c r="C527" t="s">
        <v>558</v>
      </c>
      <c r="D527" t="s">
        <v>1084</v>
      </c>
      <c r="E527">
        <v>-525</v>
      </c>
      <c r="F527" t="s">
        <v>559</v>
      </c>
      <c r="G527" t="s">
        <v>560</v>
      </c>
    </row>
    <row r="528" spans="1:7">
      <c r="A528" t="s">
        <v>182</v>
      </c>
      <c r="B528" t="s">
        <v>557</v>
      </c>
      <c r="C528" t="s">
        <v>558</v>
      </c>
      <c r="D528" t="s">
        <v>1085</v>
      </c>
      <c r="E528">
        <v>-526</v>
      </c>
      <c r="F528" t="s">
        <v>559</v>
      </c>
      <c r="G528" t="s">
        <v>560</v>
      </c>
    </row>
    <row r="529" spans="1:7">
      <c r="A529" t="s">
        <v>182</v>
      </c>
      <c r="B529" t="s">
        <v>557</v>
      </c>
      <c r="C529" t="s">
        <v>558</v>
      </c>
      <c r="D529" t="s">
        <v>1086</v>
      </c>
      <c r="E529">
        <v>-527</v>
      </c>
      <c r="F529" t="s">
        <v>559</v>
      </c>
      <c r="G529" t="s">
        <v>560</v>
      </c>
    </row>
    <row r="530" spans="1:7">
      <c r="A530" t="s">
        <v>182</v>
      </c>
      <c r="B530" t="s">
        <v>557</v>
      </c>
      <c r="C530" t="s">
        <v>558</v>
      </c>
      <c r="D530" t="s">
        <v>1087</v>
      </c>
      <c r="E530">
        <v>-528</v>
      </c>
      <c r="F530" t="s">
        <v>559</v>
      </c>
      <c r="G530" t="s">
        <v>560</v>
      </c>
    </row>
    <row r="531" spans="1:7">
      <c r="A531" t="s">
        <v>182</v>
      </c>
      <c r="B531" t="s">
        <v>557</v>
      </c>
      <c r="C531" t="s">
        <v>558</v>
      </c>
      <c r="D531" t="s">
        <v>1088</v>
      </c>
      <c r="E531">
        <v>-529</v>
      </c>
      <c r="F531" t="s">
        <v>559</v>
      </c>
      <c r="G531" t="s">
        <v>560</v>
      </c>
    </row>
    <row r="532" spans="1:7">
      <c r="A532" t="s">
        <v>182</v>
      </c>
      <c r="B532" t="s">
        <v>557</v>
      </c>
      <c r="C532" t="s">
        <v>558</v>
      </c>
      <c r="D532" t="s">
        <v>1089</v>
      </c>
      <c r="E532">
        <v>-530</v>
      </c>
      <c r="F532" t="s">
        <v>559</v>
      </c>
      <c r="G532" t="s">
        <v>560</v>
      </c>
    </row>
    <row r="533" spans="1:7">
      <c r="A533" t="s">
        <v>182</v>
      </c>
      <c r="B533" t="s">
        <v>557</v>
      </c>
      <c r="C533" t="s">
        <v>558</v>
      </c>
      <c r="D533" t="s">
        <v>1090</v>
      </c>
      <c r="E533">
        <v>-531</v>
      </c>
      <c r="F533" t="s">
        <v>559</v>
      </c>
      <c r="G533" t="s">
        <v>560</v>
      </c>
    </row>
    <row r="534" spans="1:7">
      <c r="A534" t="s">
        <v>182</v>
      </c>
      <c r="B534" t="s">
        <v>557</v>
      </c>
      <c r="C534" t="s">
        <v>558</v>
      </c>
      <c r="D534" t="s">
        <v>1091</v>
      </c>
      <c r="E534">
        <v>-532</v>
      </c>
      <c r="F534" t="s">
        <v>559</v>
      </c>
      <c r="G534" t="s">
        <v>560</v>
      </c>
    </row>
    <row r="535" spans="1:7">
      <c r="A535" t="s">
        <v>182</v>
      </c>
      <c r="B535" t="s">
        <v>557</v>
      </c>
      <c r="C535" t="s">
        <v>558</v>
      </c>
      <c r="D535" t="s">
        <v>1092</v>
      </c>
      <c r="E535">
        <v>-533</v>
      </c>
      <c r="F535" t="s">
        <v>559</v>
      </c>
      <c r="G535" t="s">
        <v>560</v>
      </c>
    </row>
    <row r="536" spans="1:7">
      <c r="A536" t="s">
        <v>182</v>
      </c>
      <c r="B536" t="s">
        <v>557</v>
      </c>
      <c r="C536" t="s">
        <v>558</v>
      </c>
      <c r="D536" t="s">
        <v>1093</v>
      </c>
      <c r="E536">
        <v>-534</v>
      </c>
      <c r="F536" t="s">
        <v>559</v>
      </c>
      <c r="G536" t="s">
        <v>560</v>
      </c>
    </row>
    <row r="537" spans="1:7">
      <c r="A537" t="s">
        <v>182</v>
      </c>
      <c r="B537" t="s">
        <v>557</v>
      </c>
      <c r="C537" t="s">
        <v>558</v>
      </c>
      <c r="D537" t="s">
        <v>1094</v>
      </c>
      <c r="E537">
        <v>-535</v>
      </c>
      <c r="F537" t="s">
        <v>559</v>
      </c>
      <c r="G537" t="s">
        <v>560</v>
      </c>
    </row>
    <row r="538" spans="1:7">
      <c r="A538" t="s">
        <v>182</v>
      </c>
      <c r="B538" t="s">
        <v>557</v>
      </c>
      <c r="C538" t="s">
        <v>558</v>
      </c>
      <c r="D538" t="s">
        <v>1095</v>
      </c>
      <c r="E538">
        <v>-536</v>
      </c>
      <c r="F538" t="s">
        <v>559</v>
      </c>
      <c r="G538" t="s">
        <v>560</v>
      </c>
    </row>
    <row r="539" spans="1:7">
      <c r="A539" t="s">
        <v>182</v>
      </c>
      <c r="B539" t="s">
        <v>557</v>
      </c>
      <c r="C539" t="s">
        <v>558</v>
      </c>
      <c r="D539" t="s">
        <v>1096</v>
      </c>
      <c r="E539">
        <v>-537</v>
      </c>
      <c r="F539" t="s">
        <v>559</v>
      </c>
      <c r="G539" t="s">
        <v>560</v>
      </c>
    </row>
    <row r="540" spans="1:7">
      <c r="A540" t="s">
        <v>182</v>
      </c>
      <c r="B540" t="s">
        <v>557</v>
      </c>
      <c r="C540" t="s">
        <v>558</v>
      </c>
      <c r="D540" t="s">
        <v>1097</v>
      </c>
      <c r="E540">
        <v>-538</v>
      </c>
      <c r="F540" t="s">
        <v>559</v>
      </c>
      <c r="G540" t="s">
        <v>560</v>
      </c>
    </row>
    <row r="541" spans="1:7">
      <c r="A541" t="s">
        <v>182</v>
      </c>
      <c r="B541" t="s">
        <v>557</v>
      </c>
      <c r="C541" t="s">
        <v>558</v>
      </c>
      <c r="D541" t="s">
        <v>1098</v>
      </c>
      <c r="E541">
        <v>-539</v>
      </c>
      <c r="F541" t="s">
        <v>559</v>
      </c>
      <c r="G541" t="s">
        <v>560</v>
      </c>
    </row>
    <row r="542" spans="1:7">
      <c r="A542" t="s">
        <v>182</v>
      </c>
      <c r="B542" t="s">
        <v>557</v>
      </c>
      <c r="C542" t="s">
        <v>558</v>
      </c>
      <c r="D542" t="s">
        <v>1099</v>
      </c>
      <c r="E542">
        <v>-540</v>
      </c>
      <c r="F542" t="s">
        <v>559</v>
      </c>
      <c r="G542" t="s">
        <v>560</v>
      </c>
    </row>
    <row r="543" spans="1:7">
      <c r="A543" t="s">
        <v>182</v>
      </c>
      <c r="B543" t="s">
        <v>557</v>
      </c>
      <c r="C543" t="s">
        <v>558</v>
      </c>
      <c r="D543" t="s">
        <v>1100</v>
      </c>
      <c r="E543">
        <v>-541</v>
      </c>
      <c r="F543" t="s">
        <v>559</v>
      </c>
      <c r="G543" t="s">
        <v>560</v>
      </c>
    </row>
    <row r="544" spans="1:7">
      <c r="A544" t="s">
        <v>182</v>
      </c>
      <c r="B544" t="s">
        <v>557</v>
      </c>
      <c r="C544" t="s">
        <v>558</v>
      </c>
      <c r="D544" t="s">
        <v>1101</v>
      </c>
      <c r="E544">
        <v>-542</v>
      </c>
      <c r="F544" t="s">
        <v>559</v>
      </c>
      <c r="G544" t="s">
        <v>560</v>
      </c>
    </row>
    <row r="545" spans="1:7">
      <c r="A545" t="s">
        <v>182</v>
      </c>
      <c r="B545" t="s">
        <v>557</v>
      </c>
      <c r="C545" t="s">
        <v>558</v>
      </c>
      <c r="D545" t="s">
        <v>1102</v>
      </c>
      <c r="E545">
        <v>-543</v>
      </c>
      <c r="F545" t="s">
        <v>559</v>
      </c>
      <c r="G545" t="s">
        <v>560</v>
      </c>
    </row>
    <row r="546" spans="1:7">
      <c r="A546" t="s">
        <v>182</v>
      </c>
      <c r="B546" t="s">
        <v>557</v>
      </c>
      <c r="C546" t="s">
        <v>558</v>
      </c>
      <c r="D546" t="s">
        <v>1103</v>
      </c>
      <c r="E546">
        <v>-544</v>
      </c>
      <c r="F546" t="s">
        <v>559</v>
      </c>
      <c r="G546" t="s">
        <v>560</v>
      </c>
    </row>
    <row r="547" spans="1:7">
      <c r="A547" t="s">
        <v>182</v>
      </c>
      <c r="B547" t="s">
        <v>557</v>
      </c>
      <c r="C547" t="s">
        <v>558</v>
      </c>
      <c r="D547" t="s">
        <v>1104</v>
      </c>
      <c r="E547">
        <v>-545</v>
      </c>
      <c r="F547" t="s">
        <v>559</v>
      </c>
      <c r="G547" t="s">
        <v>560</v>
      </c>
    </row>
    <row r="548" spans="1:7">
      <c r="A548" t="s">
        <v>182</v>
      </c>
      <c r="B548" t="s">
        <v>557</v>
      </c>
      <c r="C548" t="s">
        <v>558</v>
      </c>
      <c r="D548" t="s">
        <v>1105</v>
      </c>
      <c r="E548">
        <v>-546</v>
      </c>
      <c r="F548" t="s">
        <v>559</v>
      </c>
      <c r="G548" t="s">
        <v>560</v>
      </c>
    </row>
    <row r="549" spans="1:7">
      <c r="A549" t="s">
        <v>182</v>
      </c>
      <c r="B549" t="s">
        <v>557</v>
      </c>
      <c r="C549" t="s">
        <v>558</v>
      </c>
      <c r="D549" t="s">
        <v>1106</v>
      </c>
      <c r="E549">
        <v>-547</v>
      </c>
      <c r="F549" t="s">
        <v>559</v>
      </c>
      <c r="G549" t="s">
        <v>560</v>
      </c>
    </row>
    <row r="550" spans="1:7">
      <c r="A550" t="s">
        <v>182</v>
      </c>
      <c r="B550" t="s">
        <v>557</v>
      </c>
      <c r="C550" t="s">
        <v>558</v>
      </c>
      <c r="D550" t="s">
        <v>1107</v>
      </c>
      <c r="E550">
        <v>-548</v>
      </c>
      <c r="F550" t="s">
        <v>559</v>
      </c>
      <c r="G550" t="s">
        <v>560</v>
      </c>
    </row>
    <row r="551" spans="1:7">
      <c r="A551" t="s">
        <v>182</v>
      </c>
      <c r="B551" t="s">
        <v>557</v>
      </c>
      <c r="C551" t="s">
        <v>558</v>
      </c>
      <c r="D551" t="s">
        <v>1108</v>
      </c>
      <c r="E551">
        <v>-549</v>
      </c>
      <c r="F551" t="s">
        <v>559</v>
      </c>
      <c r="G551" t="s">
        <v>560</v>
      </c>
    </row>
    <row r="552" spans="1:7">
      <c r="A552" t="s">
        <v>182</v>
      </c>
      <c r="B552" t="s">
        <v>557</v>
      </c>
      <c r="C552" t="s">
        <v>558</v>
      </c>
      <c r="D552" t="s">
        <v>1109</v>
      </c>
      <c r="E552">
        <v>-550</v>
      </c>
      <c r="F552" t="s">
        <v>559</v>
      </c>
      <c r="G552" t="s">
        <v>560</v>
      </c>
    </row>
    <row r="553" spans="1:7">
      <c r="A553" t="s">
        <v>182</v>
      </c>
      <c r="B553" t="s">
        <v>557</v>
      </c>
      <c r="C553" t="s">
        <v>558</v>
      </c>
      <c r="D553" t="s">
        <v>1110</v>
      </c>
      <c r="E553">
        <v>-551</v>
      </c>
      <c r="F553" t="s">
        <v>559</v>
      </c>
      <c r="G553" t="s">
        <v>560</v>
      </c>
    </row>
    <row r="554" spans="1:7">
      <c r="A554" t="s">
        <v>182</v>
      </c>
      <c r="B554" t="s">
        <v>557</v>
      </c>
      <c r="C554" t="s">
        <v>558</v>
      </c>
      <c r="D554" t="s">
        <v>1111</v>
      </c>
      <c r="E554">
        <v>-552</v>
      </c>
      <c r="F554" t="s">
        <v>559</v>
      </c>
      <c r="G554" t="s">
        <v>560</v>
      </c>
    </row>
    <row r="555" spans="1:7">
      <c r="A555" t="s">
        <v>182</v>
      </c>
      <c r="B555" t="s">
        <v>557</v>
      </c>
      <c r="C555" t="s">
        <v>558</v>
      </c>
      <c r="D555" t="s">
        <v>1112</v>
      </c>
      <c r="E555">
        <v>-553</v>
      </c>
      <c r="F555" t="s">
        <v>559</v>
      </c>
      <c r="G555" t="s">
        <v>560</v>
      </c>
    </row>
    <row r="556" spans="1:7">
      <c r="A556" t="s">
        <v>182</v>
      </c>
      <c r="B556" t="s">
        <v>557</v>
      </c>
      <c r="C556" t="s">
        <v>558</v>
      </c>
      <c r="D556" t="s">
        <v>1113</v>
      </c>
      <c r="E556">
        <v>-554</v>
      </c>
      <c r="F556" t="s">
        <v>559</v>
      </c>
      <c r="G556" t="s">
        <v>560</v>
      </c>
    </row>
    <row r="557" spans="1:7">
      <c r="A557" t="s">
        <v>182</v>
      </c>
      <c r="B557" t="s">
        <v>557</v>
      </c>
      <c r="C557" t="s">
        <v>558</v>
      </c>
      <c r="D557" t="s">
        <v>1114</v>
      </c>
      <c r="E557">
        <v>-555</v>
      </c>
      <c r="F557" t="s">
        <v>559</v>
      </c>
      <c r="G557" t="s">
        <v>560</v>
      </c>
    </row>
    <row r="558" spans="1:7">
      <c r="A558" t="s">
        <v>182</v>
      </c>
      <c r="B558" t="s">
        <v>557</v>
      </c>
      <c r="C558" t="s">
        <v>558</v>
      </c>
      <c r="D558" t="s">
        <v>1115</v>
      </c>
      <c r="E558">
        <v>-556</v>
      </c>
      <c r="F558" t="s">
        <v>559</v>
      </c>
      <c r="G558" t="s">
        <v>560</v>
      </c>
    </row>
    <row r="559" spans="1:7">
      <c r="A559" t="s">
        <v>182</v>
      </c>
      <c r="B559" t="s">
        <v>557</v>
      </c>
      <c r="C559" t="s">
        <v>558</v>
      </c>
      <c r="D559" t="s">
        <v>1116</v>
      </c>
      <c r="E559">
        <v>-557</v>
      </c>
      <c r="F559" t="s">
        <v>559</v>
      </c>
      <c r="G559" t="s">
        <v>560</v>
      </c>
    </row>
    <row r="560" spans="1:7">
      <c r="A560" t="s">
        <v>182</v>
      </c>
      <c r="B560" t="s">
        <v>557</v>
      </c>
      <c r="C560" t="s">
        <v>558</v>
      </c>
      <c r="D560" t="s">
        <v>1117</v>
      </c>
      <c r="E560">
        <v>-558</v>
      </c>
      <c r="F560" t="s">
        <v>559</v>
      </c>
      <c r="G560" t="s">
        <v>560</v>
      </c>
    </row>
    <row r="561" spans="1:7">
      <c r="A561" t="s">
        <v>182</v>
      </c>
      <c r="B561" t="s">
        <v>557</v>
      </c>
      <c r="C561" t="s">
        <v>558</v>
      </c>
      <c r="D561" t="s">
        <v>1118</v>
      </c>
      <c r="E561">
        <v>-559</v>
      </c>
      <c r="F561" t="s">
        <v>559</v>
      </c>
      <c r="G561" t="s">
        <v>560</v>
      </c>
    </row>
    <row r="562" spans="1:7">
      <c r="A562" t="s">
        <v>182</v>
      </c>
      <c r="B562" t="s">
        <v>557</v>
      </c>
      <c r="C562" t="s">
        <v>558</v>
      </c>
      <c r="D562" t="s">
        <v>1119</v>
      </c>
      <c r="E562">
        <v>-560</v>
      </c>
      <c r="F562" t="s">
        <v>559</v>
      </c>
      <c r="G562" t="s">
        <v>560</v>
      </c>
    </row>
    <row r="563" spans="1:7">
      <c r="A563" t="s">
        <v>182</v>
      </c>
      <c r="B563" t="s">
        <v>557</v>
      </c>
      <c r="C563" t="s">
        <v>558</v>
      </c>
      <c r="D563" t="s">
        <v>1120</v>
      </c>
      <c r="E563">
        <v>-561</v>
      </c>
      <c r="F563" t="s">
        <v>559</v>
      </c>
      <c r="G563" t="s">
        <v>560</v>
      </c>
    </row>
    <row r="564" spans="1:7">
      <c r="A564" t="s">
        <v>182</v>
      </c>
      <c r="B564" t="s">
        <v>557</v>
      </c>
      <c r="C564" t="s">
        <v>558</v>
      </c>
      <c r="D564" t="s">
        <v>1121</v>
      </c>
      <c r="E564">
        <v>-562</v>
      </c>
      <c r="F564" t="s">
        <v>559</v>
      </c>
      <c r="G564" t="s">
        <v>560</v>
      </c>
    </row>
    <row r="565" spans="1:7">
      <c r="A565" t="s">
        <v>182</v>
      </c>
      <c r="B565" t="s">
        <v>557</v>
      </c>
      <c r="C565" t="s">
        <v>558</v>
      </c>
      <c r="D565" t="s">
        <v>1122</v>
      </c>
      <c r="E565">
        <v>-563</v>
      </c>
      <c r="F565" t="s">
        <v>559</v>
      </c>
      <c r="G565" t="s">
        <v>560</v>
      </c>
    </row>
    <row r="566" spans="1:7">
      <c r="A566" t="s">
        <v>182</v>
      </c>
      <c r="B566" t="s">
        <v>557</v>
      </c>
      <c r="C566" t="s">
        <v>558</v>
      </c>
      <c r="D566" t="s">
        <v>1123</v>
      </c>
      <c r="E566">
        <v>-564</v>
      </c>
      <c r="F566" t="s">
        <v>559</v>
      </c>
      <c r="G566" t="s">
        <v>560</v>
      </c>
    </row>
    <row r="567" spans="1:7">
      <c r="A567" t="s">
        <v>182</v>
      </c>
      <c r="B567" t="s">
        <v>557</v>
      </c>
      <c r="C567" t="s">
        <v>558</v>
      </c>
      <c r="D567" t="s">
        <v>1124</v>
      </c>
      <c r="E567">
        <v>-565</v>
      </c>
      <c r="F567" t="s">
        <v>559</v>
      </c>
      <c r="G567" t="s">
        <v>560</v>
      </c>
    </row>
    <row r="568" spans="1:7">
      <c r="A568" t="s">
        <v>182</v>
      </c>
      <c r="B568" t="s">
        <v>557</v>
      </c>
      <c r="C568" t="s">
        <v>558</v>
      </c>
      <c r="D568" t="s">
        <v>1125</v>
      </c>
      <c r="E568">
        <v>-566</v>
      </c>
      <c r="F568" t="s">
        <v>559</v>
      </c>
      <c r="G568" t="s">
        <v>560</v>
      </c>
    </row>
    <row r="569" spans="1:7">
      <c r="A569" t="s">
        <v>182</v>
      </c>
      <c r="B569" t="s">
        <v>557</v>
      </c>
      <c r="C569" t="s">
        <v>558</v>
      </c>
      <c r="D569" t="s">
        <v>1126</v>
      </c>
      <c r="E569">
        <v>-567</v>
      </c>
      <c r="F569" t="s">
        <v>559</v>
      </c>
      <c r="G569" t="s">
        <v>560</v>
      </c>
    </row>
    <row r="570" spans="1:7">
      <c r="A570" t="s">
        <v>182</v>
      </c>
      <c r="B570" t="s">
        <v>557</v>
      </c>
      <c r="C570" t="s">
        <v>558</v>
      </c>
      <c r="D570" t="s">
        <v>1127</v>
      </c>
      <c r="E570">
        <v>-568</v>
      </c>
      <c r="F570" t="s">
        <v>559</v>
      </c>
      <c r="G570" t="s">
        <v>560</v>
      </c>
    </row>
    <row r="571" spans="1:7">
      <c r="A571" t="s">
        <v>182</v>
      </c>
      <c r="B571" t="s">
        <v>557</v>
      </c>
      <c r="C571" t="s">
        <v>558</v>
      </c>
      <c r="D571" t="s">
        <v>1128</v>
      </c>
      <c r="E571">
        <v>-569</v>
      </c>
      <c r="F571" t="s">
        <v>559</v>
      </c>
      <c r="G571" t="s">
        <v>560</v>
      </c>
    </row>
    <row r="572" spans="1:7">
      <c r="A572" t="s">
        <v>182</v>
      </c>
      <c r="B572" t="s">
        <v>557</v>
      </c>
      <c r="C572" t="s">
        <v>558</v>
      </c>
      <c r="D572" t="s">
        <v>1129</v>
      </c>
      <c r="E572">
        <v>-570</v>
      </c>
      <c r="F572" t="s">
        <v>559</v>
      </c>
      <c r="G572" t="s">
        <v>560</v>
      </c>
    </row>
    <row r="573" spans="1:7">
      <c r="A573" t="s">
        <v>182</v>
      </c>
      <c r="B573" t="s">
        <v>557</v>
      </c>
      <c r="C573" t="s">
        <v>558</v>
      </c>
      <c r="D573" t="s">
        <v>1130</v>
      </c>
      <c r="E573">
        <v>-571</v>
      </c>
      <c r="F573" t="s">
        <v>559</v>
      </c>
      <c r="G573" t="s">
        <v>560</v>
      </c>
    </row>
    <row r="574" spans="1:7">
      <c r="A574" t="s">
        <v>182</v>
      </c>
      <c r="B574" t="s">
        <v>557</v>
      </c>
      <c r="C574" t="s">
        <v>558</v>
      </c>
      <c r="D574" t="s">
        <v>1131</v>
      </c>
      <c r="E574">
        <v>-572</v>
      </c>
      <c r="F574" t="s">
        <v>559</v>
      </c>
      <c r="G574" t="s">
        <v>560</v>
      </c>
    </row>
    <row r="575" spans="1:7">
      <c r="A575" t="s">
        <v>182</v>
      </c>
      <c r="B575" t="s">
        <v>557</v>
      </c>
      <c r="C575" t="s">
        <v>558</v>
      </c>
      <c r="D575" t="s">
        <v>1132</v>
      </c>
      <c r="E575">
        <v>-573</v>
      </c>
      <c r="F575" t="s">
        <v>559</v>
      </c>
      <c r="G575" t="s">
        <v>560</v>
      </c>
    </row>
    <row r="576" spans="1:7">
      <c r="A576" t="s">
        <v>182</v>
      </c>
      <c r="B576" t="s">
        <v>557</v>
      </c>
      <c r="C576" t="s">
        <v>558</v>
      </c>
      <c r="D576" t="s">
        <v>1133</v>
      </c>
      <c r="E576">
        <v>-574</v>
      </c>
      <c r="F576" t="s">
        <v>559</v>
      </c>
      <c r="G576" t="s">
        <v>560</v>
      </c>
    </row>
    <row r="577" spans="1:7">
      <c r="A577" t="s">
        <v>182</v>
      </c>
      <c r="B577" t="s">
        <v>557</v>
      </c>
      <c r="C577" t="s">
        <v>558</v>
      </c>
      <c r="D577" t="s">
        <v>1134</v>
      </c>
      <c r="E577">
        <v>-575</v>
      </c>
      <c r="F577" t="s">
        <v>559</v>
      </c>
      <c r="G577" t="s">
        <v>560</v>
      </c>
    </row>
    <row r="578" spans="1:7">
      <c r="A578" t="s">
        <v>182</v>
      </c>
      <c r="B578" t="s">
        <v>557</v>
      </c>
      <c r="C578" t="s">
        <v>558</v>
      </c>
      <c r="D578" t="s">
        <v>1135</v>
      </c>
      <c r="E578">
        <v>-576</v>
      </c>
      <c r="F578" t="s">
        <v>559</v>
      </c>
      <c r="G578" t="s">
        <v>560</v>
      </c>
    </row>
    <row r="579" spans="1:7">
      <c r="A579" t="s">
        <v>182</v>
      </c>
      <c r="B579" t="s">
        <v>557</v>
      </c>
      <c r="C579" t="s">
        <v>558</v>
      </c>
      <c r="D579" t="s">
        <v>1136</v>
      </c>
      <c r="E579">
        <v>-577</v>
      </c>
      <c r="F579" t="s">
        <v>559</v>
      </c>
      <c r="G579" t="s">
        <v>560</v>
      </c>
    </row>
    <row r="580" spans="1:7">
      <c r="A580" t="s">
        <v>182</v>
      </c>
      <c r="B580" t="s">
        <v>557</v>
      </c>
      <c r="C580" t="s">
        <v>558</v>
      </c>
      <c r="D580" t="s">
        <v>1137</v>
      </c>
      <c r="E580">
        <v>-578</v>
      </c>
      <c r="F580" t="s">
        <v>559</v>
      </c>
      <c r="G580" t="s">
        <v>560</v>
      </c>
    </row>
    <row r="581" spans="1:7">
      <c r="A581" t="s">
        <v>182</v>
      </c>
      <c r="B581" t="s">
        <v>557</v>
      </c>
      <c r="C581" t="s">
        <v>558</v>
      </c>
      <c r="D581" t="s">
        <v>1138</v>
      </c>
      <c r="E581">
        <v>-579</v>
      </c>
      <c r="F581" t="s">
        <v>559</v>
      </c>
      <c r="G581" t="s">
        <v>560</v>
      </c>
    </row>
    <row r="582" spans="1:7">
      <c r="A582" t="s">
        <v>182</v>
      </c>
      <c r="B582" t="s">
        <v>557</v>
      </c>
      <c r="C582" t="s">
        <v>558</v>
      </c>
      <c r="D582" t="s">
        <v>1139</v>
      </c>
      <c r="E582">
        <v>-580</v>
      </c>
      <c r="F582" t="s">
        <v>559</v>
      </c>
      <c r="G582" t="s">
        <v>560</v>
      </c>
    </row>
    <row r="583" spans="1:7">
      <c r="A583" t="s">
        <v>182</v>
      </c>
      <c r="B583" t="s">
        <v>557</v>
      </c>
      <c r="C583" t="s">
        <v>558</v>
      </c>
      <c r="D583" t="s">
        <v>1140</v>
      </c>
      <c r="E583">
        <v>-581</v>
      </c>
      <c r="F583" t="s">
        <v>559</v>
      </c>
      <c r="G583" t="s">
        <v>560</v>
      </c>
    </row>
    <row r="584" spans="1:7">
      <c r="A584" t="s">
        <v>182</v>
      </c>
      <c r="B584" t="s">
        <v>557</v>
      </c>
      <c r="C584" t="s">
        <v>558</v>
      </c>
      <c r="D584" t="s">
        <v>1141</v>
      </c>
      <c r="E584">
        <v>-582</v>
      </c>
      <c r="F584" t="s">
        <v>559</v>
      </c>
      <c r="G584" t="s">
        <v>560</v>
      </c>
    </row>
    <row r="585" spans="1:7">
      <c r="A585" t="s">
        <v>182</v>
      </c>
      <c r="B585" t="s">
        <v>557</v>
      </c>
      <c r="C585" t="s">
        <v>558</v>
      </c>
      <c r="D585" t="s">
        <v>1142</v>
      </c>
      <c r="E585">
        <v>-583</v>
      </c>
      <c r="F585" t="s">
        <v>559</v>
      </c>
      <c r="G585" t="s">
        <v>560</v>
      </c>
    </row>
    <row r="586" spans="1:7">
      <c r="A586" t="s">
        <v>182</v>
      </c>
      <c r="B586" t="s">
        <v>557</v>
      </c>
      <c r="C586" t="s">
        <v>558</v>
      </c>
      <c r="D586" t="s">
        <v>1143</v>
      </c>
      <c r="E586">
        <v>-584</v>
      </c>
      <c r="F586" t="s">
        <v>559</v>
      </c>
      <c r="G586" t="s">
        <v>560</v>
      </c>
    </row>
    <row r="587" spans="1:7">
      <c r="A587" t="s">
        <v>182</v>
      </c>
      <c r="B587" t="s">
        <v>557</v>
      </c>
      <c r="C587" t="s">
        <v>558</v>
      </c>
      <c r="D587" t="s">
        <v>1144</v>
      </c>
      <c r="E587">
        <v>-585</v>
      </c>
      <c r="F587" t="s">
        <v>559</v>
      </c>
      <c r="G587" t="s">
        <v>560</v>
      </c>
    </row>
    <row r="588" spans="1:7">
      <c r="A588" t="s">
        <v>182</v>
      </c>
      <c r="B588" t="s">
        <v>557</v>
      </c>
      <c r="C588" t="s">
        <v>558</v>
      </c>
      <c r="D588" t="s">
        <v>1145</v>
      </c>
      <c r="E588">
        <v>-586</v>
      </c>
      <c r="F588" t="s">
        <v>559</v>
      </c>
      <c r="G588" t="s">
        <v>560</v>
      </c>
    </row>
    <row r="589" spans="1:7">
      <c r="A589" t="s">
        <v>182</v>
      </c>
      <c r="B589" t="s">
        <v>557</v>
      </c>
      <c r="C589" t="s">
        <v>558</v>
      </c>
      <c r="D589" t="s">
        <v>1146</v>
      </c>
      <c r="E589">
        <v>-587</v>
      </c>
      <c r="F589" t="s">
        <v>559</v>
      </c>
      <c r="G589" t="s">
        <v>560</v>
      </c>
    </row>
    <row r="590" spans="1:7">
      <c r="A590" t="s">
        <v>182</v>
      </c>
      <c r="B590" t="s">
        <v>557</v>
      </c>
      <c r="C590" t="s">
        <v>558</v>
      </c>
      <c r="D590" t="s">
        <v>1147</v>
      </c>
      <c r="E590">
        <v>-588</v>
      </c>
      <c r="F590" t="s">
        <v>559</v>
      </c>
      <c r="G590" t="s">
        <v>560</v>
      </c>
    </row>
    <row r="591" spans="1:7">
      <c r="A591" t="s">
        <v>182</v>
      </c>
      <c r="B591" t="s">
        <v>557</v>
      </c>
      <c r="C591" t="s">
        <v>558</v>
      </c>
      <c r="D591" t="s">
        <v>1148</v>
      </c>
      <c r="E591">
        <v>-589</v>
      </c>
      <c r="F591" t="s">
        <v>559</v>
      </c>
      <c r="G591" t="s">
        <v>560</v>
      </c>
    </row>
    <row r="592" spans="1:7">
      <c r="A592" t="s">
        <v>182</v>
      </c>
      <c r="B592" t="s">
        <v>557</v>
      </c>
      <c r="C592" t="s">
        <v>558</v>
      </c>
      <c r="D592" t="s">
        <v>1149</v>
      </c>
      <c r="E592">
        <v>-590</v>
      </c>
      <c r="F592" t="s">
        <v>559</v>
      </c>
      <c r="G592" t="s">
        <v>560</v>
      </c>
    </row>
    <row r="593" spans="1:7">
      <c r="A593" t="s">
        <v>182</v>
      </c>
      <c r="B593" t="s">
        <v>557</v>
      </c>
      <c r="C593" t="s">
        <v>558</v>
      </c>
      <c r="D593" t="s">
        <v>1150</v>
      </c>
      <c r="E593">
        <v>-591</v>
      </c>
      <c r="F593" t="s">
        <v>559</v>
      </c>
      <c r="G593" t="s">
        <v>560</v>
      </c>
    </row>
    <row r="594" spans="1:7">
      <c r="A594" t="s">
        <v>182</v>
      </c>
      <c r="B594" t="s">
        <v>557</v>
      </c>
      <c r="C594" t="s">
        <v>558</v>
      </c>
      <c r="D594" t="s">
        <v>1151</v>
      </c>
      <c r="E594">
        <v>-592</v>
      </c>
      <c r="F594" t="s">
        <v>559</v>
      </c>
      <c r="G594" t="s">
        <v>560</v>
      </c>
    </row>
    <row r="595" spans="1:7">
      <c r="A595" t="s">
        <v>182</v>
      </c>
      <c r="B595" t="s">
        <v>557</v>
      </c>
      <c r="C595" t="s">
        <v>558</v>
      </c>
      <c r="D595" t="s">
        <v>1152</v>
      </c>
      <c r="E595">
        <v>-593</v>
      </c>
      <c r="F595" t="s">
        <v>559</v>
      </c>
      <c r="G595" t="s">
        <v>560</v>
      </c>
    </row>
    <row r="596" spans="1:7">
      <c r="A596" t="s">
        <v>182</v>
      </c>
      <c r="B596" t="s">
        <v>557</v>
      </c>
      <c r="C596" t="s">
        <v>558</v>
      </c>
      <c r="D596" t="s">
        <v>1153</v>
      </c>
      <c r="E596">
        <v>-594</v>
      </c>
      <c r="F596" t="s">
        <v>559</v>
      </c>
      <c r="G596" t="s">
        <v>560</v>
      </c>
    </row>
    <row r="597" spans="1:7">
      <c r="A597" t="s">
        <v>182</v>
      </c>
      <c r="B597" t="s">
        <v>557</v>
      </c>
      <c r="C597" t="s">
        <v>558</v>
      </c>
      <c r="D597" t="s">
        <v>1154</v>
      </c>
      <c r="E597">
        <v>-595</v>
      </c>
      <c r="F597" t="s">
        <v>559</v>
      </c>
      <c r="G597" t="s">
        <v>560</v>
      </c>
    </row>
    <row r="598" spans="1:7">
      <c r="A598" t="s">
        <v>182</v>
      </c>
      <c r="B598" t="s">
        <v>557</v>
      </c>
      <c r="C598" t="s">
        <v>558</v>
      </c>
      <c r="D598" t="s">
        <v>1155</v>
      </c>
      <c r="E598">
        <v>-596</v>
      </c>
      <c r="F598" t="s">
        <v>559</v>
      </c>
      <c r="G598" t="s">
        <v>560</v>
      </c>
    </row>
    <row r="599" spans="1:7">
      <c r="A599" t="s">
        <v>182</v>
      </c>
      <c r="B599" t="s">
        <v>557</v>
      </c>
      <c r="C599" t="s">
        <v>558</v>
      </c>
      <c r="D599" t="s">
        <v>1156</v>
      </c>
      <c r="E599">
        <v>-597</v>
      </c>
      <c r="F599" t="s">
        <v>559</v>
      </c>
      <c r="G599" t="s">
        <v>560</v>
      </c>
    </row>
    <row r="600" spans="1:7">
      <c r="A600" t="s">
        <v>182</v>
      </c>
      <c r="B600" t="s">
        <v>557</v>
      </c>
      <c r="C600" t="s">
        <v>558</v>
      </c>
      <c r="D600" t="s">
        <v>1157</v>
      </c>
      <c r="E600">
        <v>-598</v>
      </c>
      <c r="F600" t="s">
        <v>559</v>
      </c>
      <c r="G600" t="s">
        <v>560</v>
      </c>
    </row>
    <row r="601" spans="1:7">
      <c r="A601" t="s">
        <v>182</v>
      </c>
      <c r="B601" t="s">
        <v>557</v>
      </c>
      <c r="C601" t="s">
        <v>558</v>
      </c>
      <c r="D601" t="s">
        <v>1158</v>
      </c>
      <c r="E601">
        <v>-599</v>
      </c>
      <c r="F601" t="s">
        <v>559</v>
      </c>
      <c r="G601" t="s">
        <v>560</v>
      </c>
    </row>
    <row r="602" spans="1:7">
      <c r="A602" t="s">
        <v>182</v>
      </c>
      <c r="B602" t="s">
        <v>557</v>
      </c>
      <c r="C602" t="s">
        <v>558</v>
      </c>
      <c r="D602" t="s">
        <v>1159</v>
      </c>
      <c r="E602">
        <v>-600</v>
      </c>
      <c r="F602" t="s">
        <v>559</v>
      </c>
      <c r="G602" t="s">
        <v>560</v>
      </c>
    </row>
    <row r="603" spans="1:7">
      <c r="A603" t="s">
        <v>182</v>
      </c>
      <c r="B603" t="s">
        <v>557</v>
      </c>
      <c r="C603" t="s">
        <v>558</v>
      </c>
      <c r="D603" t="s">
        <v>1160</v>
      </c>
      <c r="E603">
        <v>-601</v>
      </c>
      <c r="F603" t="s">
        <v>559</v>
      </c>
      <c r="G603" t="s">
        <v>560</v>
      </c>
    </row>
    <row r="604" spans="1:7">
      <c r="A604" t="s">
        <v>182</v>
      </c>
      <c r="B604" t="s">
        <v>557</v>
      </c>
      <c r="C604" t="s">
        <v>558</v>
      </c>
      <c r="D604" t="s">
        <v>1161</v>
      </c>
      <c r="E604">
        <v>-602</v>
      </c>
      <c r="F604" t="s">
        <v>559</v>
      </c>
      <c r="G604" t="s">
        <v>560</v>
      </c>
    </row>
    <row r="605" spans="1:7">
      <c r="A605" t="s">
        <v>182</v>
      </c>
      <c r="B605" t="s">
        <v>557</v>
      </c>
      <c r="C605" t="s">
        <v>558</v>
      </c>
      <c r="D605" t="s">
        <v>1162</v>
      </c>
      <c r="E605">
        <v>-603</v>
      </c>
      <c r="F605" t="s">
        <v>559</v>
      </c>
      <c r="G605" t="s">
        <v>560</v>
      </c>
    </row>
    <row r="606" spans="1:7">
      <c r="A606" t="s">
        <v>182</v>
      </c>
      <c r="B606" t="s">
        <v>557</v>
      </c>
      <c r="C606" t="s">
        <v>558</v>
      </c>
      <c r="D606" t="s">
        <v>1163</v>
      </c>
      <c r="E606">
        <v>-604</v>
      </c>
      <c r="F606" t="s">
        <v>559</v>
      </c>
      <c r="G606" t="s">
        <v>560</v>
      </c>
    </row>
    <row r="607" spans="1:7">
      <c r="A607" t="s">
        <v>182</v>
      </c>
      <c r="B607" t="s">
        <v>557</v>
      </c>
      <c r="C607" t="s">
        <v>558</v>
      </c>
      <c r="D607" t="s">
        <v>1164</v>
      </c>
      <c r="E607">
        <v>-605</v>
      </c>
      <c r="F607" t="s">
        <v>559</v>
      </c>
      <c r="G607" t="s">
        <v>560</v>
      </c>
    </row>
    <row r="608" spans="1:7">
      <c r="A608" t="s">
        <v>182</v>
      </c>
      <c r="B608" t="s">
        <v>557</v>
      </c>
      <c r="C608" t="s">
        <v>558</v>
      </c>
      <c r="D608" t="s">
        <v>1165</v>
      </c>
      <c r="E608">
        <v>-606</v>
      </c>
      <c r="F608" t="s">
        <v>559</v>
      </c>
      <c r="G608" t="s">
        <v>560</v>
      </c>
    </row>
    <row r="609" spans="1:7">
      <c r="A609" t="s">
        <v>182</v>
      </c>
      <c r="B609" t="s">
        <v>557</v>
      </c>
      <c r="C609" t="s">
        <v>558</v>
      </c>
      <c r="D609" t="s">
        <v>1166</v>
      </c>
      <c r="E609">
        <v>-607</v>
      </c>
      <c r="F609" t="s">
        <v>559</v>
      </c>
      <c r="G609" t="s">
        <v>560</v>
      </c>
    </row>
    <row r="610" spans="1:7">
      <c r="A610" t="s">
        <v>182</v>
      </c>
      <c r="B610" t="s">
        <v>557</v>
      </c>
      <c r="C610" t="s">
        <v>558</v>
      </c>
      <c r="D610" t="s">
        <v>1167</v>
      </c>
      <c r="E610">
        <v>-608</v>
      </c>
      <c r="F610" t="s">
        <v>559</v>
      </c>
      <c r="G610" t="s">
        <v>560</v>
      </c>
    </row>
    <row r="611" spans="1:7">
      <c r="A611" t="s">
        <v>182</v>
      </c>
      <c r="B611" t="s">
        <v>557</v>
      </c>
      <c r="C611" t="s">
        <v>558</v>
      </c>
      <c r="D611" t="s">
        <v>1168</v>
      </c>
      <c r="E611">
        <v>-609</v>
      </c>
      <c r="F611" t="s">
        <v>559</v>
      </c>
      <c r="G611" t="s">
        <v>560</v>
      </c>
    </row>
    <row r="612" spans="1:7">
      <c r="A612" t="s">
        <v>182</v>
      </c>
      <c r="B612" t="s">
        <v>557</v>
      </c>
      <c r="C612" t="s">
        <v>558</v>
      </c>
      <c r="D612" t="s">
        <v>1169</v>
      </c>
      <c r="E612">
        <v>-610</v>
      </c>
      <c r="F612" t="s">
        <v>559</v>
      </c>
      <c r="G612" t="s">
        <v>560</v>
      </c>
    </row>
    <row r="613" spans="1:7">
      <c r="A613" t="s">
        <v>182</v>
      </c>
      <c r="B613" t="s">
        <v>557</v>
      </c>
      <c r="C613" t="s">
        <v>558</v>
      </c>
      <c r="D613" t="s">
        <v>1170</v>
      </c>
      <c r="E613">
        <v>-611</v>
      </c>
      <c r="F613" t="s">
        <v>559</v>
      </c>
      <c r="G613" t="s">
        <v>560</v>
      </c>
    </row>
    <row r="614" spans="1:7">
      <c r="A614" t="s">
        <v>182</v>
      </c>
      <c r="B614" t="s">
        <v>557</v>
      </c>
      <c r="C614" t="s">
        <v>558</v>
      </c>
      <c r="D614" t="s">
        <v>1171</v>
      </c>
      <c r="E614">
        <v>-612</v>
      </c>
      <c r="F614" t="s">
        <v>559</v>
      </c>
      <c r="G614" t="s">
        <v>560</v>
      </c>
    </row>
    <row r="615" spans="1:7">
      <c r="A615" t="s">
        <v>182</v>
      </c>
      <c r="B615" t="s">
        <v>557</v>
      </c>
      <c r="C615" t="s">
        <v>558</v>
      </c>
      <c r="D615" t="s">
        <v>1172</v>
      </c>
      <c r="E615">
        <v>-613</v>
      </c>
      <c r="F615" t="s">
        <v>559</v>
      </c>
      <c r="G615" t="s">
        <v>560</v>
      </c>
    </row>
    <row r="616" spans="1:7">
      <c r="A616" t="s">
        <v>182</v>
      </c>
      <c r="B616" t="s">
        <v>557</v>
      </c>
      <c r="C616" t="s">
        <v>558</v>
      </c>
      <c r="D616" t="s">
        <v>1173</v>
      </c>
      <c r="E616">
        <v>-614</v>
      </c>
      <c r="F616" t="s">
        <v>559</v>
      </c>
      <c r="G616" t="s">
        <v>560</v>
      </c>
    </row>
    <row r="617" spans="1:7">
      <c r="A617" t="s">
        <v>182</v>
      </c>
      <c r="B617" t="s">
        <v>557</v>
      </c>
      <c r="C617" t="s">
        <v>558</v>
      </c>
      <c r="D617" t="s">
        <v>1174</v>
      </c>
      <c r="E617">
        <v>-615</v>
      </c>
      <c r="F617" t="s">
        <v>559</v>
      </c>
      <c r="G617" t="s">
        <v>560</v>
      </c>
    </row>
    <row r="618" spans="1:7">
      <c r="A618" t="s">
        <v>182</v>
      </c>
      <c r="B618" t="s">
        <v>557</v>
      </c>
      <c r="C618" t="s">
        <v>558</v>
      </c>
      <c r="D618" t="s">
        <v>1175</v>
      </c>
      <c r="E618">
        <v>-616</v>
      </c>
      <c r="F618" t="s">
        <v>559</v>
      </c>
      <c r="G618" t="s">
        <v>560</v>
      </c>
    </row>
    <row r="619" spans="1:7">
      <c r="A619" t="s">
        <v>182</v>
      </c>
      <c r="B619" t="s">
        <v>557</v>
      </c>
      <c r="C619" t="s">
        <v>558</v>
      </c>
      <c r="D619" t="s">
        <v>1176</v>
      </c>
      <c r="E619">
        <v>-617</v>
      </c>
      <c r="F619" t="s">
        <v>559</v>
      </c>
      <c r="G619" t="s">
        <v>560</v>
      </c>
    </row>
    <row r="620" spans="1:7">
      <c r="A620" t="s">
        <v>182</v>
      </c>
      <c r="B620" t="s">
        <v>557</v>
      </c>
      <c r="C620" t="s">
        <v>558</v>
      </c>
      <c r="D620" t="s">
        <v>1177</v>
      </c>
      <c r="E620">
        <v>-618</v>
      </c>
      <c r="F620" t="s">
        <v>559</v>
      </c>
      <c r="G620" t="s">
        <v>560</v>
      </c>
    </row>
    <row r="621" spans="1:7">
      <c r="A621" t="s">
        <v>182</v>
      </c>
      <c r="B621" t="s">
        <v>557</v>
      </c>
      <c r="C621" t="s">
        <v>558</v>
      </c>
      <c r="D621" t="s">
        <v>1178</v>
      </c>
      <c r="E621">
        <v>-619</v>
      </c>
      <c r="F621" t="s">
        <v>559</v>
      </c>
      <c r="G621" t="s">
        <v>560</v>
      </c>
    </row>
    <row r="622" spans="1:7">
      <c r="A622" t="s">
        <v>182</v>
      </c>
      <c r="B622" t="s">
        <v>557</v>
      </c>
      <c r="C622" t="s">
        <v>558</v>
      </c>
      <c r="D622" t="s">
        <v>1179</v>
      </c>
      <c r="E622">
        <v>-620</v>
      </c>
      <c r="F622" t="s">
        <v>559</v>
      </c>
      <c r="G622" t="s">
        <v>560</v>
      </c>
    </row>
    <row r="623" spans="1:7">
      <c r="A623" t="s">
        <v>182</v>
      </c>
      <c r="B623" t="s">
        <v>557</v>
      </c>
      <c r="C623" t="s">
        <v>558</v>
      </c>
      <c r="D623" t="s">
        <v>1180</v>
      </c>
      <c r="E623">
        <v>-621</v>
      </c>
      <c r="F623" t="s">
        <v>559</v>
      </c>
      <c r="G623" t="s">
        <v>560</v>
      </c>
    </row>
    <row r="624" spans="1:7">
      <c r="A624" t="s">
        <v>182</v>
      </c>
      <c r="B624" t="s">
        <v>557</v>
      </c>
      <c r="C624" t="s">
        <v>558</v>
      </c>
      <c r="D624" t="s">
        <v>1181</v>
      </c>
      <c r="E624">
        <v>-622</v>
      </c>
      <c r="F624" t="s">
        <v>559</v>
      </c>
      <c r="G624" t="s">
        <v>560</v>
      </c>
    </row>
    <row r="625" spans="1:7">
      <c r="A625" t="s">
        <v>182</v>
      </c>
      <c r="B625" t="s">
        <v>557</v>
      </c>
      <c r="C625" t="s">
        <v>558</v>
      </c>
      <c r="D625" t="s">
        <v>1182</v>
      </c>
      <c r="E625">
        <v>-623</v>
      </c>
      <c r="F625" t="s">
        <v>559</v>
      </c>
      <c r="G625" t="s">
        <v>560</v>
      </c>
    </row>
    <row r="626" spans="1:7">
      <c r="A626" t="s">
        <v>182</v>
      </c>
      <c r="B626" t="s">
        <v>557</v>
      </c>
      <c r="C626" t="s">
        <v>558</v>
      </c>
      <c r="D626" t="s">
        <v>1183</v>
      </c>
      <c r="E626">
        <v>-624</v>
      </c>
      <c r="F626" t="s">
        <v>559</v>
      </c>
      <c r="G626" t="s">
        <v>560</v>
      </c>
    </row>
    <row r="627" spans="1:7">
      <c r="A627" t="s">
        <v>182</v>
      </c>
      <c r="B627" t="s">
        <v>557</v>
      </c>
      <c r="C627" t="s">
        <v>558</v>
      </c>
      <c r="D627" t="s">
        <v>1184</v>
      </c>
      <c r="E627">
        <v>-625</v>
      </c>
      <c r="F627" t="s">
        <v>559</v>
      </c>
      <c r="G627" t="s">
        <v>560</v>
      </c>
    </row>
    <row r="628" spans="1:7">
      <c r="A628" t="s">
        <v>182</v>
      </c>
      <c r="B628" t="s">
        <v>557</v>
      </c>
      <c r="C628" t="s">
        <v>558</v>
      </c>
      <c r="D628" t="s">
        <v>1185</v>
      </c>
      <c r="E628">
        <v>-626</v>
      </c>
      <c r="F628" t="s">
        <v>559</v>
      </c>
      <c r="G628" t="s">
        <v>560</v>
      </c>
    </row>
    <row r="629" spans="1:7">
      <c r="A629" t="s">
        <v>182</v>
      </c>
      <c r="B629" t="s">
        <v>557</v>
      </c>
      <c r="C629" t="s">
        <v>558</v>
      </c>
      <c r="D629" t="s">
        <v>1186</v>
      </c>
      <c r="E629">
        <v>-627</v>
      </c>
      <c r="F629" t="s">
        <v>559</v>
      </c>
      <c r="G629" t="s">
        <v>560</v>
      </c>
    </row>
    <row r="630" spans="1:7">
      <c r="A630" t="s">
        <v>182</v>
      </c>
      <c r="B630" t="s">
        <v>557</v>
      </c>
      <c r="C630" t="s">
        <v>558</v>
      </c>
      <c r="D630" t="s">
        <v>1187</v>
      </c>
      <c r="E630">
        <v>-628</v>
      </c>
      <c r="F630" t="s">
        <v>559</v>
      </c>
      <c r="G630" t="s">
        <v>560</v>
      </c>
    </row>
    <row r="631" spans="1:7">
      <c r="A631" t="s">
        <v>182</v>
      </c>
      <c r="B631" t="s">
        <v>557</v>
      </c>
      <c r="C631" t="s">
        <v>558</v>
      </c>
      <c r="D631" t="s">
        <v>1188</v>
      </c>
      <c r="E631">
        <v>-629</v>
      </c>
      <c r="F631" t="s">
        <v>559</v>
      </c>
      <c r="G631" t="s">
        <v>560</v>
      </c>
    </row>
    <row r="632" spans="1:7">
      <c r="A632" t="s">
        <v>182</v>
      </c>
      <c r="B632" t="s">
        <v>557</v>
      </c>
      <c r="C632" t="s">
        <v>558</v>
      </c>
      <c r="D632" t="s">
        <v>1189</v>
      </c>
      <c r="E632">
        <v>-630</v>
      </c>
      <c r="F632" t="s">
        <v>559</v>
      </c>
      <c r="G632" t="s">
        <v>560</v>
      </c>
    </row>
    <row r="633" spans="1:7">
      <c r="A633" t="s">
        <v>182</v>
      </c>
      <c r="B633" t="s">
        <v>557</v>
      </c>
      <c r="C633" t="s">
        <v>558</v>
      </c>
      <c r="D633" t="s">
        <v>1190</v>
      </c>
      <c r="E633">
        <v>-631</v>
      </c>
      <c r="F633" t="s">
        <v>559</v>
      </c>
      <c r="G633" t="s">
        <v>560</v>
      </c>
    </row>
    <row r="634" spans="1:7">
      <c r="A634" t="s">
        <v>182</v>
      </c>
      <c r="B634" t="s">
        <v>557</v>
      </c>
      <c r="C634" t="s">
        <v>558</v>
      </c>
      <c r="D634" t="s">
        <v>1191</v>
      </c>
      <c r="E634">
        <v>-632</v>
      </c>
      <c r="F634" t="s">
        <v>559</v>
      </c>
      <c r="G634" t="s">
        <v>560</v>
      </c>
    </row>
    <row r="635" spans="1:7">
      <c r="A635" t="s">
        <v>182</v>
      </c>
      <c r="B635" t="s">
        <v>557</v>
      </c>
      <c r="C635" t="s">
        <v>558</v>
      </c>
      <c r="D635" t="s">
        <v>1192</v>
      </c>
      <c r="E635">
        <v>-633</v>
      </c>
      <c r="F635" t="s">
        <v>559</v>
      </c>
      <c r="G635" t="s">
        <v>560</v>
      </c>
    </row>
    <row r="636" spans="1:7">
      <c r="A636" t="s">
        <v>182</v>
      </c>
      <c r="B636" t="s">
        <v>557</v>
      </c>
      <c r="C636" t="s">
        <v>558</v>
      </c>
      <c r="D636" t="s">
        <v>1193</v>
      </c>
      <c r="E636">
        <v>-634</v>
      </c>
      <c r="F636" t="s">
        <v>559</v>
      </c>
      <c r="G636" t="s">
        <v>560</v>
      </c>
    </row>
    <row r="637" spans="1:7">
      <c r="A637" t="s">
        <v>182</v>
      </c>
      <c r="B637" t="s">
        <v>557</v>
      </c>
      <c r="C637" t="s">
        <v>558</v>
      </c>
      <c r="D637" t="s">
        <v>1194</v>
      </c>
      <c r="E637">
        <v>-635</v>
      </c>
      <c r="F637" t="s">
        <v>559</v>
      </c>
      <c r="G637" t="s">
        <v>560</v>
      </c>
    </row>
    <row r="638" spans="1:7">
      <c r="A638" t="s">
        <v>182</v>
      </c>
      <c r="B638" t="s">
        <v>557</v>
      </c>
      <c r="C638" t="s">
        <v>558</v>
      </c>
      <c r="D638" t="s">
        <v>1195</v>
      </c>
      <c r="E638">
        <v>-636</v>
      </c>
      <c r="F638" t="s">
        <v>559</v>
      </c>
      <c r="G638" t="s">
        <v>560</v>
      </c>
    </row>
    <row r="639" spans="1:7">
      <c r="A639" t="s">
        <v>182</v>
      </c>
      <c r="B639" t="s">
        <v>557</v>
      </c>
      <c r="C639" t="s">
        <v>558</v>
      </c>
      <c r="D639" t="s">
        <v>1196</v>
      </c>
      <c r="E639">
        <v>-637</v>
      </c>
      <c r="F639" t="s">
        <v>559</v>
      </c>
      <c r="G639" t="s">
        <v>560</v>
      </c>
    </row>
    <row r="640" spans="1:7">
      <c r="A640" t="s">
        <v>182</v>
      </c>
      <c r="B640" t="s">
        <v>557</v>
      </c>
      <c r="C640" t="s">
        <v>558</v>
      </c>
      <c r="D640" t="s">
        <v>1197</v>
      </c>
      <c r="E640">
        <v>-638</v>
      </c>
      <c r="F640" t="s">
        <v>559</v>
      </c>
      <c r="G640" t="s">
        <v>560</v>
      </c>
    </row>
    <row r="641" spans="1:7">
      <c r="A641" t="s">
        <v>182</v>
      </c>
      <c r="B641" t="s">
        <v>557</v>
      </c>
      <c r="C641" t="s">
        <v>558</v>
      </c>
      <c r="D641" t="s">
        <v>1198</v>
      </c>
      <c r="E641">
        <v>-639</v>
      </c>
      <c r="F641" t="s">
        <v>559</v>
      </c>
      <c r="G641" t="s">
        <v>560</v>
      </c>
    </row>
    <row r="642" spans="1:7">
      <c r="A642" t="s">
        <v>182</v>
      </c>
      <c r="B642" t="s">
        <v>557</v>
      </c>
      <c r="C642" t="s">
        <v>558</v>
      </c>
      <c r="D642" t="s">
        <v>1199</v>
      </c>
      <c r="E642">
        <v>-640</v>
      </c>
      <c r="F642" t="s">
        <v>559</v>
      </c>
      <c r="G642" t="s">
        <v>560</v>
      </c>
    </row>
    <row r="643" spans="1:7">
      <c r="A643" t="s">
        <v>182</v>
      </c>
      <c r="B643" t="s">
        <v>557</v>
      </c>
      <c r="C643" t="s">
        <v>558</v>
      </c>
      <c r="D643" t="s">
        <v>1200</v>
      </c>
      <c r="E643">
        <v>-641</v>
      </c>
      <c r="F643" t="s">
        <v>559</v>
      </c>
      <c r="G643" t="s">
        <v>560</v>
      </c>
    </row>
    <row r="644" spans="1:7">
      <c r="A644" t="s">
        <v>182</v>
      </c>
      <c r="B644" t="s">
        <v>557</v>
      </c>
      <c r="C644" t="s">
        <v>558</v>
      </c>
      <c r="D644" t="s">
        <v>1201</v>
      </c>
      <c r="E644">
        <v>-642</v>
      </c>
      <c r="F644" t="s">
        <v>559</v>
      </c>
      <c r="G644" t="s">
        <v>560</v>
      </c>
    </row>
    <row r="645" spans="1:7">
      <c r="A645" t="s">
        <v>182</v>
      </c>
      <c r="B645" t="s">
        <v>557</v>
      </c>
      <c r="C645" t="s">
        <v>558</v>
      </c>
      <c r="D645" t="s">
        <v>1202</v>
      </c>
      <c r="E645">
        <v>-643</v>
      </c>
      <c r="F645" t="s">
        <v>559</v>
      </c>
      <c r="G645" t="s">
        <v>560</v>
      </c>
    </row>
    <row r="646" spans="1:7">
      <c r="A646" t="s">
        <v>182</v>
      </c>
      <c r="B646" t="s">
        <v>557</v>
      </c>
      <c r="C646" t="s">
        <v>558</v>
      </c>
      <c r="D646" t="s">
        <v>1203</v>
      </c>
      <c r="E646">
        <v>-644</v>
      </c>
      <c r="F646" t="s">
        <v>559</v>
      </c>
      <c r="G646" t="s">
        <v>560</v>
      </c>
    </row>
    <row r="647" spans="1:7">
      <c r="A647" t="s">
        <v>182</v>
      </c>
      <c r="B647" t="s">
        <v>557</v>
      </c>
      <c r="C647" t="s">
        <v>558</v>
      </c>
      <c r="D647" t="s">
        <v>1204</v>
      </c>
      <c r="E647">
        <v>-645</v>
      </c>
      <c r="F647" t="s">
        <v>559</v>
      </c>
      <c r="G647" t="s">
        <v>560</v>
      </c>
    </row>
    <row r="648" spans="1:7">
      <c r="A648" t="s">
        <v>182</v>
      </c>
      <c r="B648" t="s">
        <v>557</v>
      </c>
      <c r="C648" t="s">
        <v>558</v>
      </c>
      <c r="D648" t="s">
        <v>1205</v>
      </c>
      <c r="E648">
        <v>-646</v>
      </c>
      <c r="F648" t="s">
        <v>559</v>
      </c>
      <c r="G648" t="s">
        <v>560</v>
      </c>
    </row>
    <row r="649" spans="1:7">
      <c r="A649" t="s">
        <v>182</v>
      </c>
      <c r="B649" t="s">
        <v>557</v>
      </c>
      <c r="C649" t="s">
        <v>558</v>
      </c>
      <c r="D649" t="s">
        <v>1206</v>
      </c>
      <c r="E649">
        <v>-647</v>
      </c>
      <c r="F649" t="s">
        <v>559</v>
      </c>
      <c r="G649" t="s">
        <v>560</v>
      </c>
    </row>
    <row r="650" spans="1:7">
      <c r="A650" t="s">
        <v>182</v>
      </c>
      <c r="B650" t="s">
        <v>557</v>
      </c>
      <c r="C650" t="s">
        <v>558</v>
      </c>
      <c r="D650" t="s">
        <v>1207</v>
      </c>
      <c r="E650">
        <v>-648</v>
      </c>
      <c r="F650" t="s">
        <v>559</v>
      </c>
      <c r="G650" t="s">
        <v>560</v>
      </c>
    </row>
    <row r="651" spans="1:7">
      <c r="A651" t="s">
        <v>182</v>
      </c>
      <c r="B651" t="s">
        <v>557</v>
      </c>
      <c r="C651" t="s">
        <v>558</v>
      </c>
      <c r="D651" t="s">
        <v>1208</v>
      </c>
      <c r="E651">
        <v>-649</v>
      </c>
      <c r="F651" t="s">
        <v>559</v>
      </c>
      <c r="G651" t="s">
        <v>560</v>
      </c>
    </row>
    <row r="652" spans="1:7">
      <c r="A652" t="s">
        <v>182</v>
      </c>
      <c r="B652" t="s">
        <v>557</v>
      </c>
      <c r="C652" t="s">
        <v>558</v>
      </c>
      <c r="D652" t="s">
        <v>1209</v>
      </c>
      <c r="E652">
        <v>-650</v>
      </c>
      <c r="F652" t="s">
        <v>559</v>
      </c>
      <c r="G652" t="s">
        <v>560</v>
      </c>
    </row>
    <row r="653" spans="1:7">
      <c r="A653" t="s">
        <v>182</v>
      </c>
      <c r="B653" t="s">
        <v>557</v>
      </c>
      <c r="C653" t="s">
        <v>558</v>
      </c>
      <c r="D653" t="s">
        <v>1210</v>
      </c>
      <c r="E653">
        <v>-651</v>
      </c>
      <c r="F653" t="s">
        <v>559</v>
      </c>
      <c r="G653" t="s">
        <v>560</v>
      </c>
    </row>
    <row r="654" spans="1:7">
      <c r="A654" t="s">
        <v>182</v>
      </c>
      <c r="B654" t="s">
        <v>557</v>
      </c>
      <c r="C654" t="s">
        <v>558</v>
      </c>
      <c r="D654" t="s">
        <v>1211</v>
      </c>
      <c r="E654">
        <v>-652</v>
      </c>
      <c r="F654" t="s">
        <v>559</v>
      </c>
      <c r="G654" t="s">
        <v>560</v>
      </c>
    </row>
    <row r="655" spans="1:7">
      <c r="A655" t="s">
        <v>182</v>
      </c>
      <c r="B655" t="s">
        <v>557</v>
      </c>
      <c r="C655" t="s">
        <v>558</v>
      </c>
      <c r="D655" t="s">
        <v>1212</v>
      </c>
      <c r="E655">
        <v>-653</v>
      </c>
      <c r="F655" t="s">
        <v>559</v>
      </c>
      <c r="G655" t="s">
        <v>560</v>
      </c>
    </row>
    <row r="656" spans="1:7">
      <c r="A656" t="s">
        <v>182</v>
      </c>
      <c r="B656" t="s">
        <v>557</v>
      </c>
      <c r="C656" t="s">
        <v>558</v>
      </c>
      <c r="D656" t="s">
        <v>1213</v>
      </c>
      <c r="E656">
        <v>-654</v>
      </c>
      <c r="F656" t="s">
        <v>559</v>
      </c>
      <c r="G656" t="s">
        <v>560</v>
      </c>
    </row>
    <row r="657" spans="1:7">
      <c r="A657" t="s">
        <v>182</v>
      </c>
      <c r="B657" t="s">
        <v>557</v>
      </c>
      <c r="C657" t="s">
        <v>558</v>
      </c>
      <c r="D657" t="s">
        <v>1214</v>
      </c>
      <c r="E657">
        <v>-655</v>
      </c>
      <c r="F657" t="s">
        <v>559</v>
      </c>
      <c r="G657" t="s">
        <v>560</v>
      </c>
    </row>
    <row r="658" spans="1:7">
      <c r="A658" t="s">
        <v>182</v>
      </c>
      <c r="B658" t="s">
        <v>557</v>
      </c>
      <c r="C658" t="s">
        <v>558</v>
      </c>
      <c r="D658" t="s">
        <v>1215</v>
      </c>
      <c r="E658">
        <v>-656</v>
      </c>
      <c r="F658" t="s">
        <v>559</v>
      </c>
      <c r="G658" t="s">
        <v>560</v>
      </c>
    </row>
    <row r="659" spans="1:7">
      <c r="A659" t="s">
        <v>182</v>
      </c>
      <c r="B659" t="s">
        <v>557</v>
      </c>
      <c r="C659" t="s">
        <v>558</v>
      </c>
      <c r="D659" t="s">
        <v>1216</v>
      </c>
      <c r="E659">
        <v>-657</v>
      </c>
      <c r="F659" t="s">
        <v>559</v>
      </c>
      <c r="G659" t="s">
        <v>560</v>
      </c>
    </row>
    <row r="660" spans="1:7">
      <c r="A660" t="s">
        <v>182</v>
      </c>
      <c r="B660" t="s">
        <v>557</v>
      </c>
      <c r="C660" t="s">
        <v>558</v>
      </c>
      <c r="D660" t="s">
        <v>1217</v>
      </c>
      <c r="E660">
        <v>-658</v>
      </c>
      <c r="F660" t="s">
        <v>559</v>
      </c>
      <c r="G660" t="s">
        <v>560</v>
      </c>
    </row>
    <row r="661" spans="1:7">
      <c r="A661" t="s">
        <v>182</v>
      </c>
      <c r="B661" t="s">
        <v>557</v>
      </c>
      <c r="C661" t="s">
        <v>558</v>
      </c>
      <c r="D661" t="s">
        <v>1218</v>
      </c>
      <c r="E661">
        <v>-659</v>
      </c>
      <c r="F661" t="s">
        <v>559</v>
      </c>
      <c r="G661" t="s">
        <v>560</v>
      </c>
    </row>
    <row r="662" spans="1:7">
      <c r="A662" t="s">
        <v>182</v>
      </c>
      <c r="B662" t="s">
        <v>557</v>
      </c>
      <c r="C662" t="s">
        <v>558</v>
      </c>
      <c r="D662" t="s">
        <v>1219</v>
      </c>
      <c r="E662">
        <v>-660</v>
      </c>
      <c r="F662" t="s">
        <v>559</v>
      </c>
      <c r="G662" t="s">
        <v>560</v>
      </c>
    </row>
    <row r="663" spans="1:7">
      <c r="A663" t="s">
        <v>182</v>
      </c>
      <c r="B663" t="s">
        <v>557</v>
      </c>
      <c r="C663" t="s">
        <v>558</v>
      </c>
      <c r="D663" t="s">
        <v>1220</v>
      </c>
      <c r="E663">
        <v>-661</v>
      </c>
      <c r="F663" t="s">
        <v>559</v>
      </c>
      <c r="G663" t="s">
        <v>560</v>
      </c>
    </row>
    <row r="664" spans="1:7">
      <c r="A664" t="s">
        <v>182</v>
      </c>
      <c r="B664" t="s">
        <v>557</v>
      </c>
      <c r="C664" t="s">
        <v>558</v>
      </c>
      <c r="D664" t="s">
        <v>1221</v>
      </c>
      <c r="E664">
        <v>-662</v>
      </c>
      <c r="F664" t="s">
        <v>559</v>
      </c>
      <c r="G664" t="s">
        <v>560</v>
      </c>
    </row>
    <row r="665" spans="1:7">
      <c r="A665" t="s">
        <v>182</v>
      </c>
      <c r="B665" t="s">
        <v>557</v>
      </c>
      <c r="C665" t="s">
        <v>558</v>
      </c>
      <c r="D665" t="s">
        <v>1222</v>
      </c>
      <c r="E665">
        <v>-663</v>
      </c>
      <c r="F665" t="s">
        <v>559</v>
      </c>
      <c r="G665" t="s">
        <v>560</v>
      </c>
    </row>
    <row r="666" spans="1:7">
      <c r="A666" t="s">
        <v>182</v>
      </c>
      <c r="B666" t="s">
        <v>557</v>
      </c>
      <c r="C666" t="s">
        <v>558</v>
      </c>
      <c r="D666" t="s">
        <v>1223</v>
      </c>
      <c r="E666">
        <v>-664</v>
      </c>
      <c r="F666" t="s">
        <v>559</v>
      </c>
      <c r="G666" t="s">
        <v>560</v>
      </c>
    </row>
    <row r="667" spans="1:7">
      <c r="A667" t="s">
        <v>182</v>
      </c>
      <c r="B667" t="s">
        <v>557</v>
      </c>
      <c r="C667" t="s">
        <v>558</v>
      </c>
      <c r="D667" t="s">
        <v>1224</v>
      </c>
      <c r="E667">
        <v>-665</v>
      </c>
      <c r="F667" t="s">
        <v>559</v>
      </c>
      <c r="G667" t="s">
        <v>560</v>
      </c>
    </row>
    <row r="668" spans="1:7">
      <c r="A668" t="s">
        <v>182</v>
      </c>
      <c r="B668" t="s">
        <v>557</v>
      </c>
      <c r="C668" t="s">
        <v>558</v>
      </c>
      <c r="D668" t="s">
        <v>1225</v>
      </c>
      <c r="E668">
        <v>-666</v>
      </c>
      <c r="F668" t="s">
        <v>559</v>
      </c>
      <c r="G668" t="s">
        <v>560</v>
      </c>
    </row>
    <row r="669" spans="1:7">
      <c r="A669" t="s">
        <v>182</v>
      </c>
      <c r="B669" t="s">
        <v>557</v>
      </c>
      <c r="C669" t="s">
        <v>558</v>
      </c>
      <c r="D669" t="s">
        <v>1226</v>
      </c>
      <c r="E669">
        <v>-667</v>
      </c>
      <c r="F669" t="s">
        <v>559</v>
      </c>
      <c r="G669" t="s">
        <v>560</v>
      </c>
    </row>
    <row r="670" spans="1:7">
      <c r="A670" t="s">
        <v>182</v>
      </c>
      <c r="B670" t="s">
        <v>557</v>
      </c>
      <c r="C670" t="s">
        <v>558</v>
      </c>
      <c r="D670" t="s">
        <v>1227</v>
      </c>
      <c r="E670">
        <v>-668</v>
      </c>
      <c r="F670" t="s">
        <v>559</v>
      </c>
      <c r="G670" t="s">
        <v>560</v>
      </c>
    </row>
    <row r="671" spans="1:7">
      <c r="A671" t="s">
        <v>182</v>
      </c>
      <c r="B671" t="s">
        <v>557</v>
      </c>
      <c r="C671" t="s">
        <v>558</v>
      </c>
      <c r="D671" t="s">
        <v>1228</v>
      </c>
      <c r="E671">
        <v>-669</v>
      </c>
      <c r="F671" t="s">
        <v>559</v>
      </c>
      <c r="G671" t="s">
        <v>560</v>
      </c>
    </row>
    <row r="672" spans="1:7">
      <c r="A672" t="s">
        <v>182</v>
      </c>
      <c r="B672" t="s">
        <v>557</v>
      </c>
      <c r="C672" t="s">
        <v>558</v>
      </c>
      <c r="D672" t="s">
        <v>1229</v>
      </c>
      <c r="E672">
        <v>-670</v>
      </c>
      <c r="F672" t="s">
        <v>559</v>
      </c>
      <c r="G672" t="s">
        <v>560</v>
      </c>
    </row>
    <row r="673" spans="1:7">
      <c r="A673" t="s">
        <v>182</v>
      </c>
      <c r="B673" t="s">
        <v>557</v>
      </c>
      <c r="C673" t="s">
        <v>558</v>
      </c>
      <c r="D673" t="s">
        <v>1230</v>
      </c>
      <c r="E673">
        <v>-671</v>
      </c>
      <c r="F673" t="s">
        <v>559</v>
      </c>
      <c r="G673" t="s">
        <v>560</v>
      </c>
    </row>
    <row r="674" spans="1:7">
      <c r="A674" t="s">
        <v>182</v>
      </c>
      <c r="B674" t="s">
        <v>557</v>
      </c>
      <c r="C674" t="s">
        <v>558</v>
      </c>
      <c r="D674" t="s">
        <v>1231</v>
      </c>
      <c r="E674">
        <v>-672</v>
      </c>
      <c r="F674" t="s">
        <v>559</v>
      </c>
      <c r="G674" t="s">
        <v>560</v>
      </c>
    </row>
    <row r="675" spans="1:7">
      <c r="A675" t="s">
        <v>182</v>
      </c>
      <c r="B675" t="s">
        <v>557</v>
      </c>
      <c r="C675" t="s">
        <v>558</v>
      </c>
      <c r="D675" t="s">
        <v>1232</v>
      </c>
      <c r="E675">
        <v>-673</v>
      </c>
      <c r="F675" t="s">
        <v>559</v>
      </c>
      <c r="G675" t="s">
        <v>560</v>
      </c>
    </row>
    <row r="676" spans="1:7">
      <c r="A676" t="s">
        <v>182</v>
      </c>
      <c r="B676" t="s">
        <v>557</v>
      </c>
      <c r="C676" t="s">
        <v>558</v>
      </c>
      <c r="D676" t="s">
        <v>1233</v>
      </c>
      <c r="E676">
        <v>-674</v>
      </c>
      <c r="F676" t="s">
        <v>559</v>
      </c>
      <c r="G676" t="s">
        <v>560</v>
      </c>
    </row>
    <row r="677" spans="1:7">
      <c r="A677" t="s">
        <v>182</v>
      </c>
      <c r="B677" t="s">
        <v>557</v>
      </c>
      <c r="C677" t="s">
        <v>558</v>
      </c>
      <c r="D677" t="s">
        <v>1234</v>
      </c>
      <c r="E677">
        <v>-675</v>
      </c>
      <c r="F677" t="s">
        <v>559</v>
      </c>
      <c r="G677" t="s">
        <v>560</v>
      </c>
    </row>
    <row r="678" spans="1:7">
      <c r="A678" t="s">
        <v>182</v>
      </c>
      <c r="B678" t="s">
        <v>557</v>
      </c>
      <c r="C678" t="s">
        <v>558</v>
      </c>
      <c r="D678" t="s">
        <v>1235</v>
      </c>
      <c r="E678">
        <v>-676</v>
      </c>
      <c r="F678" t="s">
        <v>559</v>
      </c>
      <c r="G678" t="s">
        <v>560</v>
      </c>
    </row>
    <row r="679" spans="1:7">
      <c r="A679" t="s">
        <v>182</v>
      </c>
      <c r="B679" t="s">
        <v>557</v>
      </c>
      <c r="C679" t="s">
        <v>558</v>
      </c>
      <c r="D679" t="s">
        <v>1236</v>
      </c>
      <c r="E679">
        <v>-677</v>
      </c>
      <c r="F679" t="s">
        <v>559</v>
      </c>
      <c r="G679" t="s">
        <v>560</v>
      </c>
    </row>
    <row r="680" spans="1:7">
      <c r="A680" t="s">
        <v>182</v>
      </c>
      <c r="B680" t="s">
        <v>557</v>
      </c>
      <c r="C680" t="s">
        <v>558</v>
      </c>
      <c r="D680" t="s">
        <v>1237</v>
      </c>
      <c r="E680">
        <v>-678</v>
      </c>
      <c r="F680" t="s">
        <v>559</v>
      </c>
      <c r="G680" t="s">
        <v>560</v>
      </c>
    </row>
    <row r="681" spans="1:7">
      <c r="A681" t="s">
        <v>182</v>
      </c>
      <c r="B681" t="s">
        <v>557</v>
      </c>
      <c r="C681" t="s">
        <v>558</v>
      </c>
      <c r="D681" t="s">
        <v>1238</v>
      </c>
      <c r="E681">
        <v>-679</v>
      </c>
      <c r="F681" t="s">
        <v>559</v>
      </c>
      <c r="G681" t="s">
        <v>560</v>
      </c>
    </row>
    <row r="682" spans="1:7">
      <c r="A682" t="s">
        <v>182</v>
      </c>
      <c r="B682" t="s">
        <v>557</v>
      </c>
      <c r="C682" t="s">
        <v>558</v>
      </c>
      <c r="D682" t="s">
        <v>1239</v>
      </c>
      <c r="E682">
        <v>-680</v>
      </c>
      <c r="F682" t="s">
        <v>559</v>
      </c>
      <c r="G682" t="s">
        <v>560</v>
      </c>
    </row>
    <row r="683" spans="1:7">
      <c r="A683" t="s">
        <v>182</v>
      </c>
      <c r="B683" t="s">
        <v>557</v>
      </c>
      <c r="C683" t="s">
        <v>558</v>
      </c>
      <c r="D683" t="s">
        <v>1240</v>
      </c>
      <c r="E683">
        <v>-681</v>
      </c>
      <c r="F683" t="s">
        <v>559</v>
      </c>
      <c r="G683" t="s">
        <v>560</v>
      </c>
    </row>
    <row r="684" spans="1:7">
      <c r="A684" t="s">
        <v>182</v>
      </c>
      <c r="B684" t="s">
        <v>557</v>
      </c>
      <c r="C684" t="s">
        <v>558</v>
      </c>
      <c r="D684" t="s">
        <v>1241</v>
      </c>
      <c r="E684">
        <v>-682</v>
      </c>
      <c r="F684" t="s">
        <v>559</v>
      </c>
      <c r="G684" t="s">
        <v>560</v>
      </c>
    </row>
    <row r="685" spans="1:7">
      <c r="A685" t="s">
        <v>182</v>
      </c>
      <c r="B685" t="s">
        <v>557</v>
      </c>
      <c r="C685" t="s">
        <v>558</v>
      </c>
      <c r="D685" t="s">
        <v>1242</v>
      </c>
      <c r="E685">
        <v>-683</v>
      </c>
      <c r="F685" t="s">
        <v>559</v>
      </c>
      <c r="G685" t="s">
        <v>560</v>
      </c>
    </row>
    <row r="686" spans="1:7">
      <c r="A686" t="s">
        <v>182</v>
      </c>
      <c r="B686" t="s">
        <v>557</v>
      </c>
      <c r="C686" t="s">
        <v>558</v>
      </c>
      <c r="D686" t="s">
        <v>1243</v>
      </c>
      <c r="E686">
        <v>-684</v>
      </c>
      <c r="F686" t="s">
        <v>559</v>
      </c>
      <c r="G686" t="s">
        <v>560</v>
      </c>
    </row>
    <row r="687" spans="1:7">
      <c r="A687" t="s">
        <v>182</v>
      </c>
      <c r="B687" t="s">
        <v>557</v>
      </c>
      <c r="C687" t="s">
        <v>558</v>
      </c>
      <c r="D687" t="s">
        <v>1244</v>
      </c>
      <c r="E687">
        <v>-685</v>
      </c>
      <c r="F687" t="s">
        <v>559</v>
      </c>
      <c r="G687" t="s">
        <v>560</v>
      </c>
    </row>
    <row r="688" spans="1:7">
      <c r="A688" t="s">
        <v>182</v>
      </c>
      <c r="B688" t="s">
        <v>557</v>
      </c>
      <c r="C688" t="s">
        <v>558</v>
      </c>
      <c r="D688" t="s">
        <v>1245</v>
      </c>
      <c r="E688">
        <v>-686</v>
      </c>
      <c r="F688" t="s">
        <v>559</v>
      </c>
      <c r="G688" t="s">
        <v>560</v>
      </c>
    </row>
    <row r="689" spans="1:7">
      <c r="A689" t="s">
        <v>182</v>
      </c>
      <c r="B689" t="s">
        <v>557</v>
      </c>
      <c r="C689" t="s">
        <v>558</v>
      </c>
      <c r="D689" t="s">
        <v>1246</v>
      </c>
      <c r="E689">
        <v>-687</v>
      </c>
      <c r="F689" t="s">
        <v>559</v>
      </c>
      <c r="G689" t="s">
        <v>560</v>
      </c>
    </row>
    <row r="690" spans="1:7">
      <c r="A690" t="s">
        <v>182</v>
      </c>
      <c r="B690" t="s">
        <v>557</v>
      </c>
      <c r="C690" t="s">
        <v>558</v>
      </c>
      <c r="D690" t="s">
        <v>1247</v>
      </c>
      <c r="E690">
        <v>-688</v>
      </c>
      <c r="F690" t="s">
        <v>559</v>
      </c>
      <c r="G690" t="s">
        <v>560</v>
      </c>
    </row>
    <row r="691" spans="1:7">
      <c r="A691" t="s">
        <v>182</v>
      </c>
      <c r="B691" t="s">
        <v>557</v>
      </c>
      <c r="C691" t="s">
        <v>558</v>
      </c>
      <c r="D691" t="s">
        <v>1248</v>
      </c>
      <c r="E691">
        <v>-689</v>
      </c>
      <c r="F691" t="s">
        <v>559</v>
      </c>
      <c r="G691" t="s">
        <v>560</v>
      </c>
    </row>
    <row r="692" spans="1:7">
      <c r="A692" t="s">
        <v>182</v>
      </c>
      <c r="B692" t="s">
        <v>557</v>
      </c>
      <c r="C692" t="s">
        <v>558</v>
      </c>
      <c r="D692" t="s">
        <v>1249</v>
      </c>
      <c r="E692">
        <v>-690</v>
      </c>
      <c r="F692" t="s">
        <v>559</v>
      </c>
      <c r="G692" t="s">
        <v>560</v>
      </c>
    </row>
    <row r="693" spans="1:7">
      <c r="A693" t="s">
        <v>182</v>
      </c>
      <c r="B693" t="s">
        <v>557</v>
      </c>
      <c r="C693" t="s">
        <v>558</v>
      </c>
      <c r="D693" t="s">
        <v>1250</v>
      </c>
      <c r="E693">
        <v>-691</v>
      </c>
      <c r="F693" t="s">
        <v>559</v>
      </c>
      <c r="G693" t="s">
        <v>560</v>
      </c>
    </row>
    <row r="694" spans="1:7">
      <c r="A694" t="s">
        <v>182</v>
      </c>
      <c r="B694" t="s">
        <v>557</v>
      </c>
      <c r="C694" t="s">
        <v>558</v>
      </c>
      <c r="D694" t="s">
        <v>1251</v>
      </c>
      <c r="E694">
        <v>-692</v>
      </c>
      <c r="F694" t="s">
        <v>559</v>
      </c>
      <c r="G694" t="s">
        <v>560</v>
      </c>
    </row>
    <row r="695" spans="1:7">
      <c r="A695" t="s">
        <v>182</v>
      </c>
      <c r="B695" t="s">
        <v>557</v>
      </c>
      <c r="C695" t="s">
        <v>558</v>
      </c>
      <c r="D695" t="s">
        <v>1252</v>
      </c>
      <c r="E695">
        <v>-693</v>
      </c>
      <c r="F695" t="s">
        <v>559</v>
      </c>
      <c r="G695" t="s">
        <v>560</v>
      </c>
    </row>
    <row r="696" spans="1:7">
      <c r="A696" t="s">
        <v>182</v>
      </c>
      <c r="B696" t="s">
        <v>557</v>
      </c>
      <c r="C696" t="s">
        <v>558</v>
      </c>
      <c r="D696" t="s">
        <v>1253</v>
      </c>
      <c r="E696">
        <v>-694</v>
      </c>
      <c r="F696" t="s">
        <v>559</v>
      </c>
      <c r="G696" t="s">
        <v>560</v>
      </c>
    </row>
    <row r="697" spans="1:7">
      <c r="A697" t="s">
        <v>182</v>
      </c>
      <c r="B697" t="s">
        <v>557</v>
      </c>
      <c r="C697" t="s">
        <v>558</v>
      </c>
      <c r="D697" t="s">
        <v>1254</v>
      </c>
      <c r="E697">
        <v>-695</v>
      </c>
      <c r="F697" t="s">
        <v>559</v>
      </c>
      <c r="G697" t="s">
        <v>560</v>
      </c>
    </row>
    <row r="698" spans="1:7">
      <c r="A698" t="s">
        <v>182</v>
      </c>
      <c r="B698" t="s">
        <v>557</v>
      </c>
      <c r="C698" t="s">
        <v>558</v>
      </c>
      <c r="D698" t="s">
        <v>1255</v>
      </c>
      <c r="E698">
        <v>-696</v>
      </c>
      <c r="F698" t="s">
        <v>559</v>
      </c>
      <c r="G698" t="s">
        <v>560</v>
      </c>
    </row>
    <row r="699" spans="1:7">
      <c r="A699" t="s">
        <v>182</v>
      </c>
      <c r="B699" t="s">
        <v>557</v>
      </c>
      <c r="C699" t="s">
        <v>558</v>
      </c>
      <c r="D699" t="s">
        <v>1256</v>
      </c>
      <c r="E699">
        <v>-697</v>
      </c>
      <c r="F699" t="s">
        <v>559</v>
      </c>
      <c r="G699" t="s">
        <v>560</v>
      </c>
    </row>
    <row r="700" spans="1:7">
      <c r="A700" t="s">
        <v>182</v>
      </c>
      <c r="B700" t="s">
        <v>557</v>
      </c>
      <c r="C700" t="s">
        <v>558</v>
      </c>
      <c r="D700" t="s">
        <v>1257</v>
      </c>
      <c r="E700">
        <v>-698</v>
      </c>
      <c r="F700" t="s">
        <v>559</v>
      </c>
      <c r="G700" t="s">
        <v>560</v>
      </c>
    </row>
    <row r="701" spans="1:7">
      <c r="A701" t="s">
        <v>182</v>
      </c>
      <c r="B701" t="s">
        <v>557</v>
      </c>
      <c r="C701" t="s">
        <v>558</v>
      </c>
      <c r="D701" t="s">
        <v>1258</v>
      </c>
      <c r="E701">
        <v>-699</v>
      </c>
      <c r="F701" t="s">
        <v>559</v>
      </c>
      <c r="G701" t="s">
        <v>560</v>
      </c>
    </row>
    <row r="702" spans="1:7">
      <c r="A702" t="s">
        <v>182</v>
      </c>
      <c r="B702" t="s">
        <v>557</v>
      </c>
      <c r="C702" t="s">
        <v>558</v>
      </c>
      <c r="D702" t="s">
        <v>1259</v>
      </c>
      <c r="E702">
        <v>-700</v>
      </c>
      <c r="F702" t="s">
        <v>559</v>
      </c>
      <c r="G702" t="s">
        <v>560</v>
      </c>
    </row>
    <row r="703" spans="1:7">
      <c r="A703" t="s">
        <v>182</v>
      </c>
      <c r="B703" t="s">
        <v>557</v>
      </c>
      <c r="C703" t="s">
        <v>558</v>
      </c>
      <c r="D703" t="s">
        <v>1260</v>
      </c>
      <c r="E703">
        <v>-701</v>
      </c>
      <c r="F703" t="s">
        <v>559</v>
      </c>
      <c r="G703" t="s">
        <v>560</v>
      </c>
    </row>
    <row r="704" spans="1:7">
      <c r="A704" t="s">
        <v>182</v>
      </c>
      <c r="B704" t="s">
        <v>557</v>
      </c>
      <c r="C704" t="s">
        <v>558</v>
      </c>
      <c r="D704" t="s">
        <v>1261</v>
      </c>
      <c r="E704">
        <v>-702</v>
      </c>
      <c r="F704" t="s">
        <v>559</v>
      </c>
      <c r="G704" t="s">
        <v>560</v>
      </c>
    </row>
    <row r="705" spans="1:7">
      <c r="A705" t="s">
        <v>182</v>
      </c>
      <c r="B705" t="s">
        <v>557</v>
      </c>
      <c r="C705" t="s">
        <v>558</v>
      </c>
      <c r="D705" t="s">
        <v>1262</v>
      </c>
      <c r="E705">
        <v>-703</v>
      </c>
      <c r="F705" t="s">
        <v>559</v>
      </c>
      <c r="G705" t="s">
        <v>560</v>
      </c>
    </row>
    <row r="706" spans="1:7">
      <c r="A706" t="s">
        <v>182</v>
      </c>
      <c r="B706" t="s">
        <v>557</v>
      </c>
      <c r="C706" t="s">
        <v>558</v>
      </c>
      <c r="D706" t="s">
        <v>1263</v>
      </c>
      <c r="E706">
        <v>-704</v>
      </c>
      <c r="F706" t="s">
        <v>559</v>
      </c>
      <c r="G706" t="s">
        <v>560</v>
      </c>
    </row>
    <row r="707" spans="1:7">
      <c r="A707" t="s">
        <v>182</v>
      </c>
      <c r="B707" t="s">
        <v>557</v>
      </c>
      <c r="C707" t="s">
        <v>558</v>
      </c>
      <c r="D707" t="s">
        <v>1264</v>
      </c>
      <c r="E707">
        <v>-705</v>
      </c>
      <c r="F707" t="s">
        <v>559</v>
      </c>
      <c r="G707" t="s">
        <v>560</v>
      </c>
    </row>
    <row r="708" spans="1:7">
      <c r="A708" t="s">
        <v>182</v>
      </c>
      <c r="B708" t="s">
        <v>557</v>
      </c>
      <c r="C708" t="s">
        <v>558</v>
      </c>
      <c r="D708" t="s">
        <v>1265</v>
      </c>
      <c r="E708">
        <v>-706</v>
      </c>
      <c r="F708" t="s">
        <v>559</v>
      </c>
      <c r="G708" t="s">
        <v>560</v>
      </c>
    </row>
    <row r="709" spans="1:7">
      <c r="A709" t="s">
        <v>182</v>
      </c>
      <c r="B709" t="s">
        <v>557</v>
      </c>
      <c r="C709" t="s">
        <v>558</v>
      </c>
      <c r="D709" t="s">
        <v>1266</v>
      </c>
      <c r="E709">
        <v>-707</v>
      </c>
      <c r="F709" t="s">
        <v>559</v>
      </c>
      <c r="G709" t="s">
        <v>560</v>
      </c>
    </row>
    <row r="710" spans="1:7">
      <c r="A710" t="s">
        <v>182</v>
      </c>
      <c r="B710" t="s">
        <v>557</v>
      </c>
      <c r="C710" t="s">
        <v>558</v>
      </c>
      <c r="D710" t="s">
        <v>1267</v>
      </c>
      <c r="E710">
        <v>-708</v>
      </c>
      <c r="F710" t="s">
        <v>559</v>
      </c>
      <c r="G710" t="s">
        <v>560</v>
      </c>
    </row>
    <row r="711" spans="1:7">
      <c r="A711" t="s">
        <v>182</v>
      </c>
      <c r="B711" t="s">
        <v>557</v>
      </c>
      <c r="C711" t="s">
        <v>558</v>
      </c>
      <c r="D711" t="s">
        <v>1268</v>
      </c>
      <c r="E711">
        <v>-709</v>
      </c>
      <c r="F711" t="s">
        <v>559</v>
      </c>
      <c r="G711" t="s">
        <v>560</v>
      </c>
    </row>
    <row r="712" spans="1:7">
      <c r="A712" t="s">
        <v>182</v>
      </c>
      <c r="B712" t="s">
        <v>557</v>
      </c>
      <c r="C712" t="s">
        <v>558</v>
      </c>
      <c r="D712" t="s">
        <v>1269</v>
      </c>
      <c r="E712">
        <v>-710</v>
      </c>
      <c r="F712" t="s">
        <v>559</v>
      </c>
      <c r="G712" t="s">
        <v>560</v>
      </c>
    </row>
    <row r="713" spans="1:7">
      <c r="A713" t="s">
        <v>182</v>
      </c>
      <c r="B713" t="s">
        <v>557</v>
      </c>
      <c r="C713" t="s">
        <v>558</v>
      </c>
      <c r="D713" t="s">
        <v>1270</v>
      </c>
      <c r="E713">
        <v>-711</v>
      </c>
      <c r="F713" t="s">
        <v>559</v>
      </c>
      <c r="G713" t="s">
        <v>560</v>
      </c>
    </row>
    <row r="714" spans="1:7">
      <c r="A714" t="s">
        <v>182</v>
      </c>
      <c r="B714" t="s">
        <v>557</v>
      </c>
      <c r="C714" t="s">
        <v>558</v>
      </c>
      <c r="D714" t="s">
        <v>1271</v>
      </c>
      <c r="E714">
        <v>-712</v>
      </c>
      <c r="F714" t="s">
        <v>559</v>
      </c>
      <c r="G714" t="s">
        <v>560</v>
      </c>
    </row>
    <row r="715" spans="1:7">
      <c r="A715" t="s">
        <v>182</v>
      </c>
      <c r="B715" t="s">
        <v>557</v>
      </c>
      <c r="C715" t="s">
        <v>558</v>
      </c>
      <c r="D715" t="s">
        <v>1272</v>
      </c>
      <c r="E715">
        <v>-713</v>
      </c>
      <c r="F715" t="s">
        <v>559</v>
      </c>
      <c r="G715" t="s">
        <v>560</v>
      </c>
    </row>
    <row r="716" spans="1:7">
      <c r="A716" t="s">
        <v>182</v>
      </c>
      <c r="B716" t="s">
        <v>557</v>
      </c>
      <c r="C716" t="s">
        <v>558</v>
      </c>
      <c r="D716" t="s">
        <v>1273</v>
      </c>
      <c r="E716">
        <v>-714</v>
      </c>
      <c r="F716" t="s">
        <v>559</v>
      </c>
      <c r="G716" t="s">
        <v>560</v>
      </c>
    </row>
    <row r="717" spans="1:7">
      <c r="A717" t="s">
        <v>182</v>
      </c>
      <c r="B717" t="s">
        <v>557</v>
      </c>
      <c r="C717" t="s">
        <v>558</v>
      </c>
      <c r="D717" t="s">
        <v>1274</v>
      </c>
      <c r="E717">
        <v>-715</v>
      </c>
      <c r="F717" t="s">
        <v>559</v>
      </c>
      <c r="G717" t="s">
        <v>560</v>
      </c>
    </row>
    <row r="718" spans="1:7">
      <c r="A718" t="s">
        <v>182</v>
      </c>
      <c r="B718" t="s">
        <v>557</v>
      </c>
      <c r="C718" t="s">
        <v>558</v>
      </c>
      <c r="D718" t="s">
        <v>1275</v>
      </c>
      <c r="E718">
        <v>-716</v>
      </c>
      <c r="F718" t="s">
        <v>559</v>
      </c>
      <c r="G718" t="s">
        <v>560</v>
      </c>
    </row>
    <row r="719" spans="1:7">
      <c r="A719" t="s">
        <v>182</v>
      </c>
      <c r="B719" t="s">
        <v>557</v>
      </c>
      <c r="C719" t="s">
        <v>558</v>
      </c>
      <c r="D719" t="s">
        <v>1276</v>
      </c>
      <c r="E719">
        <v>-717</v>
      </c>
      <c r="F719" t="s">
        <v>559</v>
      </c>
      <c r="G719" t="s">
        <v>560</v>
      </c>
    </row>
    <row r="720" spans="1:7">
      <c r="A720" t="s">
        <v>182</v>
      </c>
      <c r="B720" t="s">
        <v>557</v>
      </c>
      <c r="C720" t="s">
        <v>558</v>
      </c>
      <c r="D720" t="s">
        <v>1277</v>
      </c>
      <c r="E720">
        <v>-718</v>
      </c>
      <c r="F720" t="s">
        <v>559</v>
      </c>
      <c r="G720" t="s">
        <v>560</v>
      </c>
    </row>
    <row r="721" spans="1:7">
      <c r="A721" t="s">
        <v>182</v>
      </c>
      <c r="B721" t="s">
        <v>557</v>
      </c>
      <c r="C721" t="s">
        <v>558</v>
      </c>
      <c r="D721" t="s">
        <v>1278</v>
      </c>
      <c r="E721">
        <v>-719</v>
      </c>
      <c r="F721" t="s">
        <v>559</v>
      </c>
      <c r="G721" t="s">
        <v>560</v>
      </c>
    </row>
    <row r="722" spans="1:7">
      <c r="A722" t="s">
        <v>182</v>
      </c>
      <c r="B722" t="s">
        <v>557</v>
      </c>
      <c r="C722" t="s">
        <v>558</v>
      </c>
      <c r="D722" t="s">
        <v>1279</v>
      </c>
      <c r="E722">
        <v>-720</v>
      </c>
      <c r="F722" t="s">
        <v>559</v>
      </c>
      <c r="G722" t="s">
        <v>560</v>
      </c>
    </row>
    <row r="723" spans="1:7">
      <c r="A723" t="s">
        <v>182</v>
      </c>
      <c r="B723" t="s">
        <v>557</v>
      </c>
      <c r="C723" t="s">
        <v>558</v>
      </c>
      <c r="D723" t="s">
        <v>1280</v>
      </c>
      <c r="E723">
        <v>-721</v>
      </c>
      <c r="F723" t="s">
        <v>559</v>
      </c>
      <c r="G723" t="s">
        <v>560</v>
      </c>
    </row>
    <row r="724" spans="1:7">
      <c r="A724" t="s">
        <v>182</v>
      </c>
      <c r="B724" t="s">
        <v>557</v>
      </c>
      <c r="C724" t="s">
        <v>558</v>
      </c>
      <c r="D724" t="s">
        <v>1281</v>
      </c>
      <c r="E724">
        <v>-722</v>
      </c>
      <c r="F724" t="s">
        <v>559</v>
      </c>
      <c r="G724" t="s">
        <v>560</v>
      </c>
    </row>
    <row r="725" spans="1:7">
      <c r="A725" t="s">
        <v>182</v>
      </c>
      <c r="B725" t="s">
        <v>557</v>
      </c>
      <c r="C725" t="s">
        <v>558</v>
      </c>
      <c r="D725" t="s">
        <v>1282</v>
      </c>
      <c r="E725">
        <v>-723</v>
      </c>
      <c r="F725" t="s">
        <v>559</v>
      </c>
      <c r="G725" t="s">
        <v>560</v>
      </c>
    </row>
    <row r="726" spans="1:7">
      <c r="A726" t="s">
        <v>182</v>
      </c>
      <c r="B726" t="s">
        <v>557</v>
      </c>
      <c r="C726" t="s">
        <v>558</v>
      </c>
      <c r="D726" t="s">
        <v>1283</v>
      </c>
      <c r="E726">
        <v>-724</v>
      </c>
      <c r="F726" t="s">
        <v>559</v>
      </c>
      <c r="G726" t="s">
        <v>560</v>
      </c>
    </row>
    <row r="727" spans="1:7">
      <c r="A727" t="s">
        <v>182</v>
      </c>
      <c r="B727" t="s">
        <v>557</v>
      </c>
      <c r="C727" t="s">
        <v>558</v>
      </c>
      <c r="D727" t="s">
        <v>1284</v>
      </c>
      <c r="E727">
        <v>-725</v>
      </c>
      <c r="F727" t="s">
        <v>559</v>
      </c>
      <c r="G727" t="s">
        <v>560</v>
      </c>
    </row>
    <row r="728" spans="1:7">
      <c r="A728" t="s">
        <v>182</v>
      </c>
      <c r="B728" t="s">
        <v>557</v>
      </c>
      <c r="C728" t="s">
        <v>558</v>
      </c>
      <c r="D728" t="s">
        <v>1285</v>
      </c>
      <c r="E728">
        <v>-726</v>
      </c>
      <c r="F728" t="s">
        <v>559</v>
      </c>
      <c r="G728" t="s">
        <v>560</v>
      </c>
    </row>
    <row r="729" spans="1:7">
      <c r="A729" t="s">
        <v>182</v>
      </c>
      <c r="B729" t="s">
        <v>557</v>
      </c>
      <c r="C729" t="s">
        <v>558</v>
      </c>
      <c r="D729" t="s">
        <v>1286</v>
      </c>
      <c r="E729">
        <v>-727</v>
      </c>
      <c r="F729" t="s">
        <v>559</v>
      </c>
      <c r="G729" t="s">
        <v>560</v>
      </c>
    </row>
    <row r="730" spans="1:7">
      <c r="A730" t="s">
        <v>182</v>
      </c>
      <c r="B730" t="s">
        <v>557</v>
      </c>
      <c r="C730" t="s">
        <v>558</v>
      </c>
      <c r="D730" t="s">
        <v>1287</v>
      </c>
      <c r="E730">
        <v>-728</v>
      </c>
      <c r="F730" t="s">
        <v>559</v>
      </c>
      <c r="G730" t="s">
        <v>560</v>
      </c>
    </row>
    <row r="731" spans="1:7">
      <c r="A731" t="s">
        <v>182</v>
      </c>
      <c r="B731" t="s">
        <v>557</v>
      </c>
      <c r="C731" t="s">
        <v>558</v>
      </c>
      <c r="D731" t="s">
        <v>1288</v>
      </c>
      <c r="E731">
        <v>-729</v>
      </c>
      <c r="F731" t="s">
        <v>559</v>
      </c>
      <c r="G731" t="s">
        <v>560</v>
      </c>
    </row>
    <row r="732" spans="1:7">
      <c r="A732" t="s">
        <v>182</v>
      </c>
      <c r="B732" t="s">
        <v>557</v>
      </c>
      <c r="C732" t="s">
        <v>558</v>
      </c>
      <c r="D732" t="s">
        <v>1289</v>
      </c>
      <c r="E732">
        <v>-730</v>
      </c>
      <c r="F732" t="s">
        <v>559</v>
      </c>
      <c r="G732" t="s">
        <v>560</v>
      </c>
    </row>
    <row r="733" spans="1:7">
      <c r="A733" t="s">
        <v>182</v>
      </c>
      <c r="B733" t="s">
        <v>557</v>
      </c>
      <c r="C733" t="s">
        <v>558</v>
      </c>
      <c r="D733" t="s">
        <v>1290</v>
      </c>
      <c r="E733">
        <v>-731</v>
      </c>
      <c r="F733" t="s">
        <v>559</v>
      </c>
      <c r="G733" t="s">
        <v>560</v>
      </c>
    </row>
    <row r="734" spans="1:7">
      <c r="A734" t="s">
        <v>182</v>
      </c>
      <c r="B734" t="s">
        <v>557</v>
      </c>
      <c r="C734" t="s">
        <v>558</v>
      </c>
      <c r="D734" t="s">
        <v>1291</v>
      </c>
      <c r="E734">
        <v>-732</v>
      </c>
      <c r="F734" t="s">
        <v>559</v>
      </c>
      <c r="G734" t="s">
        <v>560</v>
      </c>
    </row>
    <row r="735" spans="1:7">
      <c r="A735" t="s">
        <v>182</v>
      </c>
      <c r="B735" t="s">
        <v>557</v>
      </c>
      <c r="C735" t="s">
        <v>558</v>
      </c>
      <c r="D735" t="s">
        <v>1292</v>
      </c>
      <c r="E735">
        <v>-733</v>
      </c>
      <c r="F735" t="s">
        <v>559</v>
      </c>
      <c r="G735" t="s">
        <v>560</v>
      </c>
    </row>
    <row r="736" spans="1:7">
      <c r="A736" t="s">
        <v>182</v>
      </c>
      <c r="B736" t="s">
        <v>557</v>
      </c>
      <c r="C736" t="s">
        <v>558</v>
      </c>
      <c r="D736" t="s">
        <v>1293</v>
      </c>
      <c r="E736">
        <v>-734</v>
      </c>
      <c r="F736" t="s">
        <v>559</v>
      </c>
      <c r="G736" t="s">
        <v>560</v>
      </c>
    </row>
    <row r="737" spans="1:7">
      <c r="A737" t="s">
        <v>182</v>
      </c>
      <c r="B737" t="s">
        <v>557</v>
      </c>
      <c r="C737" t="s">
        <v>558</v>
      </c>
      <c r="D737" t="s">
        <v>1294</v>
      </c>
      <c r="E737">
        <v>-735</v>
      </c>
      <c r="F737" t="s">
        <v>559</v>
      </c>
      <c r="G737" t="s">
        <v>560</v>
      </c>
    </row>
    <row r="738" spans="1:7">
      <c r="A738" t="s">
        <v>182</v>
      </c>
      <c r="B738" t="s">
        <v>557</v>
      </c>
      <c r="C738" t="s">
        <v>558</v>
      </c>
      <c r="D738" t="s">
        <v>1295</v>
      </c>
      <c r="E738">
        <v>-736</v>
      </c>
      <c r="F738" t="s">
        <v>559</v>
      </c>
      <c r="G738" t="s">
        <v>560</v>
      </c>
    </row>
    <row r="739" spans="1:7">
      <c r="A739" t="s">
        <v>182</v>
      </c>
      <c r="B739" t="s">
        <v>557</v>
      </c>
      <c r="C739" t="s">
        <v>558</v>
      </c>
      <c r="D739" t="s">
        <v>1296</v>
      </c>
      <c r="E739">
        <v>-737</v>
      </c>
      <c r="F739" t="s">
        <v>559</v>
      </c>
      <c r="G739" t="s">
        <v>560</v>
      </c>
    </row>
    <row r="740" spans="1:7">
      <c r="A740" t="s">
        <v>182</v>
      </c>
      <c r="B740" t="s">
        <v>557</v>
      </c>
      <c r="C740" t="s">
        <v>558</v>
      </c>
      <c r="D740" t="s">
        <v>1297</v>
      </c>
      <c r="E740">
        <v>-738</v>
      </c>
      <c r="F740" t="s">
        <v>559</v>
      </c>
      <c r="G740" t="s">
        <v>560</v>
      </c>
    </row>
    <row r="741" spans="1:7">
      <c r="A741" t="s">
        <v>182</v>
      </c>
      <c r="B741" t="s">
        <v>557</v>
      </c>
      <c r="C741" t="s">
        <v>558</v>
      </c>
      <c r="D741" t="s">
        <v>1298</v>
      </c>
      <c r="E741">
        <v>-739</v>
      </c>
      <c r="F741" t="s">
        <v>559</v>
      </c>
      <c r="G741" t="s">
        <v>560</v>
      </c>
    </row>
    <row r="742" spans="1:7">
      <c r="A742" t="s">
        <v>182</v>
      </c>
      <c r="B742" t="s">
        <v>557</v>
      </c>
      <c r="C742" t="s">
        <v>558</v>
      </c>
      <c r="D742" t="s">
        <v>1299</v>
      </c>
      <c r="E742">
        <v>-740</v>
      </c>
      <c r="F742" t="s">
        <v>559</v>
      </c>
      <c r="G742" t="s">
        <v>560</v>
      </c>
    </row>
    <row r="743" spans="1:7">
      <c r="A743" t="s">
        <v>182</v>
      </c>
      <c r="B743" t="s">
        <v>557</v>
      </c>
      <c r="C743" t="s">
        <v>558</v>
      </c>
      <c r="D743" t="s">
        <v>1300</v>
      </c>
      <c r="E743">
        <v>-741</v>
      </c>
      <c r="F743" t="s">
        <v>559</v>
      </c>
      <c r="G743" t="s">
        <v>560</v>
      </c>
    </row>
    <row r="744" spans="1:7">
      <c r="A744" t="s">
        <v>182</v>
      </c>
      <c r="B744" t="s">
        <v>557</v>
      </c>
      <c r="C744" t="s">
        <v>558</v>
      </c>
      <c r="D744" t="s">
        <v>1301</v>
      </c>
      <c r="E744">
        <v>-742</v>
      </c>
      <c r="F744" t="s">
        <v>559</v>
      </c>
      <c r="G744" t="s">
        <v>560</v>
      </c>
    </row>
    <row r="745" spans="1:7">
      <c r="A745" t="s">
        <v>182</v>
      </c>
      <c r="B745" t="s">
        <v>557</v>
      </c>
      <c r="C745" t="s">
        <v>558</v>
      </c>
      <c r="D745" t="s">
        <v>1302</v>
      </c>
      <c r="E745">
        <v>-743</v>
      </c>
      <c r="F745" t="s">
        <v>559</v>
      </c>
      <c r="G745" t="s">
        <v>560</v>
      </c>
    </row>
    <row r="746" spans="1:7">
      <c r="A746" t="s">
        <v>182</v>
      </c>
      <c r="B746" t="s">
        <v>557</v>
      </c>
      <c r="C746" t="s">
        <v>558</v>
      </c>
      <c r="D746" t="s">
        <v>1303</v>
      </c>
      <c r="E746">
        <v>-744</v>
      </c>
      <c r="F746" t="s">
        <v>559</v>
      </c>
      <c r="G746" t="s">
        <v>560</v>
      </c>
    </row>
    <row r="747" spans="1:7">
      <c r="A747" t="s">
        <v>182</v>
      </c>
      <c r="B747" t="s">
        <v>557</v>
      </c>
      <c r="C747" t="s">
        <v>558</v>
      </c>
      <c r="D747" t="s">
        <v>1304</v>
      </c>
      <c r="E747">
        <v>-745</v>
      </c>
      <c r="F747" t="s">
        <v>559</v>
      </c>
      <c r="G747" t="s">
        <v>560</v>
      </c>
    </row>
    <row r="748" spans="1:7">
      <c r="A748" t="s">
        <v>182</v>
      </c>
      <c r="B748" t="s">
        <v>557</v>
      </c>
      <c r="C748" t="s">
        <v>558</v>
      </c>
      <c r="D748" t="s">
        <v>1305</v>
      </c>
      <c r="E748">
        <v>-746</v>
      </c>
      <c r="F748" t="s">
        <v>559</v>
      </c>
      <c r="G748" t="s">
        <v>560</v>
      </c>
    </row>
    <row r="749" spans="1:7">
      <c r="A749" t="s">
        <v>182</v>
      </c>
      <c r="B749" t="s">
        <v>557</v>
      </c>
      <c r="C749" t="s">
        <v>558</v>
      </c>
      <c r="D749" t="s">
        <v>1306</v>
      </c>
      <c r="E749">
        <v>-747</v>
      </c>
      <c r="F749" t="s">
        <v>559</v>
      </c>
      <c r="G749" t="s">
        <v>560</v>
      </c>
    </row>
    <row r="750" spans="1:7">
      <c r="A750" t="s">
        <v>182</v>
      </c>
      <c r="B750" t="s">
        <v>557</v>
      </c>
      <c r="C750" t="s">
        <v>558</v>
      </c>
      <c r="D750" t="s">
        <v>1307</v>
      </c>
      <c r="E750">
        <v>-748</v>
      </c>
      <c r="F750" t="s">
        <v>559</v>
      </c>
      <c r="G750" t="s">
        <v>560</v>
      </c>
    </row>
    <row r="751" spans="1:7">
      <c r="A751" t="s">
        <v>182</v>
      </c>
      <c r="B751" t="s">
        <v>557</v>
      </c>
      <c r="C751" t="s">
        <v>558</v>
      </c>
      <c r="D751" t="s">
        <v>1308</v>
      </c>
      <c r="E751">
        <v>-749</v>
      </c>
      <c r="F751" t="s">
        <v>559</v>
      </c>
      <c r="G751" t="s">
        <v>560</v>
      </c>
    </row>
    <row r="752" spans="1:7">
      <c r="A752" t="s">
        <v>182</v>
      </c>
      <c r="B752" t="s">
        <v>557</v>
      </c>
      <c r="C752" t="s">
        <v>558</v>
      </c>
      <c r="D752" t="s">
        <v>1309</v>
      </c>
      <c r="E752">
        <v>-750</v>
      </c>
      <c r="F752" t="s">
        <v>559</v>
      </c>
      <c r="G752" t="s">
        <v>560</v>
      </c>
    </row>
    <row r="753" spans="1:7">
      <c r="A753" t="s">
        <v>182</v>
      </c>
      <c r="B753" t="s">
        <v>557</v>
      </c>
      <c r="C753" t="s">
        <v>558</v>
      </c>
      <c r="D753" t="s">
        <v>1310</v>
      </c>
      <c r="E753">
        <v>-751</v>
      </c>
      <c r="F753" t="s">
        <v>559</v>
      </c>
      <c r="G753" t="s">
        <v>560</v>
      </c>
    </row>
    <row r="754" spans="1:7">
      <c r="A754" t="s">
        <v>182</v>
      </c>
      <c r="B754" t="s">
        <v>557</v>
      </c>
      <c r="C754" t="s">
        <v>558</v>
      </c>
      <c r="D754" t="s">
        <v>1311</v>
      </c>
      <c r="E754">
        <v>-752</v>
      </c>
      <c r="F754" t="s">
        <v>559</v>
      </c>
      <c r="G754" t="s">
        <v>560</v>
      </c>
    </row>
    <row r="755" spans="1:7">
      <c r="A755" t="s">
        <v>182</v>
      </c>
      <c r="B755" t="s">
        <v>557</v>
      </c>
      <c r="C755" t="s">
        <v>558</v>
      </c>
      <c r="D755" t="s">
        <v>1312</v>
      </c>
      <c r="E755">
        <v>-753</v>
      </c>
      <c r="F755" t="s">
        <v>559</v>
      </c>
      <c r="G755" t="s">
        <v>560</v>
      </c>
    </row>
    <row r="756" spans="1:7">
      <c r="A756" t="s">
        <v>182</v>
      </c>
      <c r="B756" t="s">
        <v>557</v>
      </c>
      <c r="C756" t="s">
        <v>558</v>
      </c>
      <c r="D756" t="s">
        <v>1313</v>
      </c>
      <c r="E756">
        <v>-754</v>
      </c>
      <c r="F756" t="s">
        <v>559</v>
      </c>
      <c r="G756" t="s">
        <v>560</v>
      </c>
    </row>
    <row r="757" spans="1:7">
      <c r="A757" t="s">
        <v>182</v>
      </c>
      <c r="B757" t="s">
        <v>557</v>
      </c>
      <c r="C757" t="s">
        <v>558</v>
      </c>
      <c r="D757" t="s">
        <v>1314</v>
      </c>
      <c r="E757">
        <v>-755</v>
      </c>
      <c r="F757" t="s">
        <v>559</v>
      </c>
      <c r="G757" t="s">
        <v>560</v>
      </c>
    </row>
    <row r="758" spans="1:7">
      <c r="A758" t="s">
        <v>182</v>
      </c>
      <c r="B758" t="s">
        <v>557</v>
      </c>
      <c r="C758" t="s">
        <v>558</v>
      </c>
      <c r="D758" t="s">
        <v>1315</v>
      </c>
      <c r="E758">
        <v>-756</v>
      </c>
      <c r="F758" t="s">
        <v>559</v>
      </c>
      <c r="G758" t="s">
        <v>560</v>
      </c>
    </row>
    <row r="759" spans="1:7">
      <c r="A759" t="s">
        <v>182</v>
      </c>
      <c r="B759" t="s">
        <v>557</v>
      </c>
      <c r="C759" t="s">
        <v>558</v>
      </c>
      <c r="D759" t="s">
        <v>1316</v>
      </c>
      <c r="E759">
        <v>-757</v>
      </c>
      <c r="F759" t="s">
        <v>559</v>
      </c>
      <c r="G759" t="s">
        <v>560</v>
      </c>
    </row>
    <row r="760" spans="1:7">
      <c r="A760" t="s">
        <v>182</v>
      </c>
      <c r="B760" t="s">
        <v>557</v>
      </c>
      <c r="C760" t="s">
        <v>558</v>
      </c>
      <c r="D760" t="s">
        <v>1317</v>
      </c>
      <c r="E760">
        <v>-758</v>
      </c>
      <c r="F760" t="s">
        <v>559</v>
      </c>
      <c r="G760" t="s">
        <v>560</v>
      </c>
    </row>
    <row r="761" spans="1:7">
      <c r="A761" t="s">
        <v>182</v>
      </c>
      <c r="B761" t="s">
        <v>557</v>
      </c>
      <c r="C761" t="s">
        <v>558</v>
      </c>
      <c r="D761" t="s">
        <v>1318</v>
      </c>
      <c r="E761">
        <v>-759</v>
      </c>
      <c r="F761" t="s">
        <v>559</v>
      </c>
      <c r="G761" t="s">
        <v>560</v>
      </c>
    </row>
    <row r="762" spans="1:7">
      <c r="A762" t="s">
        <v>182</v>
      </c>
      <c r="B762" t="s">
        <v>557</v>
      </c>
      <c r="C762" t="s">
        <v>558</v>
      </c>
      <c r="D762" t="s">
        <v>1319</v>
      </c>
      <c r="E762">
        <v>-760</v>
      </c>
      <c r="F762" t="s">
        <v>559</v>
      </c>
      <c r="G762" t="s">
        <v>560</v>
      </c>
    </row>
    <row r="763" spans="1:7">
      <c r="A763" t="s">
        <v>182</v>
      </c>
      <c r="B763" t="s">
        <v>557</v>
      </c>
      <c r="C763" t="s">
        <v>558</v>
      </c>
      <c r="D763" t="s">
        <v>1320</v>
      </c>
      <c r="E763">
        <v>-761</v>
      </c>
      <c r="F763" t="s">
        <v>559</v>
      </c>
      <c r="G763" t="s">
        <v>560</v>
      </c>
    </row>
    <row r="764" spans="1:7">
      <c r="A764" t="s">
        <v>182</v>
      </c>
      <c r="B764" t="s">
        <v>557</v>
      </c>
      <c r="C764" t="s">
        <v>558</v>
      </c>
      <c r="D764" t="s">
        <v>1321</v>
      </c>
      <c r="E764">
        <v>-762</v>
      </c>
      <c r="F764" t="s">
        <v>559</v>
      </c>
      <c r="G764" t="s">
        <v>560</v>
      </c>
    </row>
    <row r="765" spans="1:7">
      <c r="A765" t="s">
        <v>182</v>
      </c>
      <c r="B765" t="s">
        <v>557</v>
      </c>
      <c r="C765" t="s">
        <v>558</v>
      </c>
      <c r="D765" t="s">
        <v>1322</v>
      </c>
      <c r="E765">
        <v>-763</v>
      </c>
      <c r="F765" t="s">
        <v>559</v>
      </c>
      <c r="G765" t="s">
        <v>560</v>
      </c>
    </row>
    <row r="766" spans="1:7">
      <c r="A766" t="s">
        <v>182</v>
      </c>
      <c r="B766" t="s">
        <v>557</v>
      </c>
      <c r="C766" t="s">
        <v>558</v>
      </c>
      <c r="D766" t="s">
        <v>1323</v>
      </c>
      <c r="E766">
        <v>-764</v>
      </c>
      <c r="F766" t="s">
        <v>559</v>
      </c>
      <c r="G766" t="s">
        <v>560</v>
      </c>
    </row>
    <row r="767" spans="1:7">
      <c r="A767" t="s">
        <v>182</v>
      </c>
      <c r="B767" t="s">
        <v>557</v>
      </c>
      <c r="C767" t="s">
        <v>558</v>
      </c>
      <c r="D767" t="s">
        <v>1324</v>
      </c>
      <c r="E767">
        <v>-765</v>
      </c>
      <c r="F767" t="s">
        <v>559</v>
      </c>
      <c r="G767" t="s">
        <v>560</v>
      </c>
    </row>
    <row r="768" spans="1:7">
      <c r="A768" t="s">
        <v>182</v>
      </c>
      <c r="B768" t="s">
        <v>557</v>
      </c>
      <c r="C768" t="s">
        <v>558</v>
      </c>
      <c r="D768" t="s">
        <v>1325</v>
      </c>
      <c r="E768">
        <v>-766</v>
      </c>
      <c r="F768" t="s">
        <v>559</v>
      </c>
      <c r="G768" t="s">
        <v>560</v>
      </c>
    </row>
    <row r="769" spans="1:7">
      <c r="A769" t="s">
        <v>182</v>
      </c>
      <c r="B769" t="s">
        <v>557</v>
      </c>
      <c r="C769" t="s">
        <v>558</v>
      </c>
      <c r="D769" t="s">
        <v>1326</v>
      </c>
      <c r="E769">
        <v>-767</v>
      </c>
      <c r="F769" t="s">
        <v>559</v>
      </c>
      <c r="G769" t="s">
        <v>560</v>
      </c>
    </row>
    <row r="770" spans="1:7">
      <c r="A770" t="s">
        <v>182</v>
      </c>
      <c r="B770" t="s">
        <v>557</v>
      </c>
      <c r="C770" t="s">
        <v>558</v>
      </c>
      <c r="D770" t="s">
        <v>1327</v>
      </c>
      <c r="E770">
        <v>-768</v>
      </c>
      <c r="F770" t="s">
        <v>559</v>
      </c>
      <c r="G770" t="s">
        <v>560</v>
      </c>
    </row>
    <row r="771" spans="1:7">
      <c r="A771" t="s">
        <v>182</v>
      </c>
      <c r="B771" t="s">
        <v>557</v>
      </c>
      <c r="C771" t="s">
        <v>558</v>
      </c>
      <c r="D771" t="s">
        <v>1328</v>
      </c>
      <c r="E771">
        <v>-769</v>
      </c>
      <c r="F771" t="s">
        <v>559</v>
      </c>
      <c r="G771" t="s">
        <v>560</v>
      </c>
    </row>
    <row r="772" spans="1:7">
      <c r="A772" t="s">
        <v>182</v>
      </c>
      <c r="B772" t="s">
        <v>557</v>
      </c>
      <c r="C772" t="s">
        <v>558</v>
      </c>
      <c r="D772" t="s">
        <v>1329</v>
      </c>
      <c r="E772">
        <v>-770</v>
      </c>
      <c r="F772" t="s">
        <v>559</v>
      </c>
      <c r="G772" t="s">
        <v>560</v>
      </c>
    </row>
    <row r="773" spans="1:7">
      <c r="A773" t="s">
        <v>182</v>
      </c>
      <c r="B773" t="s">
        <v>557</v>
      </c>
      <c r="C773" t="s">
        <v>558</v>
      </c>
      <c r="D773" t="s">
        <v>1330</v>
      </c>
      <c r="E773">
        <v>-771</v>
      </c>
      <c r="F773" t="s">
        <v>559</v>
      </c>
      <c r="G773" t="s">
        <v>560</v>
      </c>
    </row>
    <row r="774" spans="1:7">
      <c r="A774" t="s">
        <v>182</v>
      </c>
      <c r="B774" t="s">
        <v>557</v>
      </c>
      <c r="C774" t="s">
        <v>558</v>
      </c>
      <c r="D774" t="s">
        <v>1331</v>
      </c>
      <c r="E774">
        <v>-772</v>
      </c>
      <c r="F774" t="s">
        <v>559</v>
      </c>
      <c r="G774" t="s">
        <v>560</v>
      </c>
    </row>
    <row r="775" spans="1:7">
      <c r="A775" t="s">
        <v>182</v>
      </c>
      <c r="B775" t="s">
        <v>557</v>
      </c>
      <c r="C775" t="s">
        <v>558</v>
      </c>
      <c r="D775" t="s">
        <v>1332</v>
      </c>
      <c r="E775">
        <v>-773</v>
      </c>
      <c r="F775" t="s">
        <v>559</v>
      </c>
      <c r="G775" t="s">
        <v>560</v>
      </c>
    </row>
    <row r="776" spans="1:7">
      <c r="A776" t="s">
        <v>182</v>
      </c>
      <c r="B776" t="s">
        <v>557</v>
      </c>
      <c r="C776" t="s">
        <v>558</v>
      </c>
      <c r="D776" t="s">
        <v>1333</v>
      </c>
      <c r="E776">
        <v>-774</v>
      </c>
      <c r="F776" t="s">
        <v>559</v>
      </c>
      <c r="G776" t="s">
        <v>560</v>
      </c>
    </row>
    <row r="777" spans="1:7">
      <c r="A777" t="s">
        <v>182</v>
      </c>
      <c r="B777" t="s">
        <v>557</v>
      </c>
      <c r="C777" t="s">
        <v>558</v>
      </c>
      <c r="D777" t="s">
        <v>1334</v>
      </c>
      <c r="E777">
        <v>-775</v>
      </c>
      <c r="F777" t="s">
        <v>559</v>
      </c>
      <c r="G777" t="s">
        <v>560</v>
      </c>
    </row>
    <row r="778" spans="1:7">
      <c r="A778" t="s">
        <v>182</v>
      </c>
      <c r="B778" t="s">
        <v>557</v>
      </c>
      <c r="C778" t="s">
        <v>558</v>
      </c>
      <c r="D778" t="s">
        <v>1335</v>
      </c>
      <c r="E778">
        <v>-776</v>
      </c>
      <c r="F778" t="s">
        <v>559</v>
      </c>
      <c r="G778" t="s">
        <v>560</v>
      </c>
    </row>
    <row r="779" spans="1:7">
      <c r="A779" t="s">
        <v>182</v>
      </c>
      <c r="B779" t="s">
        <v>557</v>
      </c>
      <c r="C779" t="s">
        <v>558</v>
      </c>
      <c r="D779" t="s">
        <v>1336</v>
      </c>
      <c r="E779">
        <v>-777</v>
      </c>
      <c r="F779" t="s">
        <v>559</v>
      </c>
      <c r="G779" t="s">
        <v>560</v>
      </c>
    </row>
    <row r="780" spans="1:7">
      <c r="A780" t="s">
        <v>182</v>
      </c>
      <c r="B780" t="s">
        <v>557</v>
      </c>
      <c r="C780" t="s">
        <v>558</v>
      </c>
      <c r="D780" t="s">
        <v>1337</v>
      </c>
      <c r="E780">
        <v>-778</v>
      </c>
      <c r="F780" t="s">
        <v>559</v>
      </c>
      <c r="G780" t="s">
        <v>560</v>
      </c>
    </row>
    <row r="781" spans="1:7">
      <c r="A781" t="s">
        <v>182</v>
      </c>
      <c r="B781" t="s">
        <v>557</v>
      </c>
      <c r="C781" t="s">
        <v>558</v>
      </c>
      <c r="D781" t="s">
        <v>1338</v>
      </c>
      <c r="E781">
        <v>-779</v>
      </c>
      <c r="F781" t="s">
        <v>559</v>
      </c>
      <c r="G781" t="s">
        <v>560</v>
      </c>
    </row>
    <row r="782" spans="1:7">
      <c r="A782" t="s">
        <v>182</v>
      </c>
      <c r="B782" t="s">
        <v>557</v>
      </c>
      <c r="C782" t="s">
        <v>558</v>
      </c>
      <c r="D782" t="s">
        <v>1339</v>
      </c>
      <c r="E782">
        <v>-780</v>
      </c>
      <c r="F782" t="s">
        <v>559</v>
      </c>
      <c r="G782" t="s">
        <v>560</v>
      </c>
    </row>
    <row r="783" spans="1:7">
      <c r="A783" t="s">
        <v>182</v>
      </c>
      <c r="B783" t="s">
        <v>557</v>
      </c>
      <c r="C783" t="s">
        <v>558</v>
      </c>
      <c r="D783" t="s">
        <v>1340</v>
      </c>
      <c r="E783">
        <v>-781</v>
      </c>
      <c r="F783" t="s">
        <v>559</v>
      </c>
      <c r="G783" t="s">
        <v>560</v>
      </c>
    </row>
    <row r="784" spans="1:7">
      <c r="A784" t="s">
        <v>182</v>
      </c>
      <c r="B784" t="s">
        <v>557</v>
      </c>
      <c r="C784" t="s">
        <v>558</v>
      </c>
      <c r="D784" t="s">
        <v>1341</v>
      </c>
      <c r="E784">
        <v>-782</v>
      </c>
      <c r="F784" t="s">
        <v>559</v>
      </c>
      <c r="G784" t="s">
        <v>560</v>
      </c>
    </row>
    <row r="785" spans="1:7">
      <c r="A785" t="s">
        <v>182</v>
      </c>
      <c r="B785" t="s">
        <v>557</v>
      </c>
      <c r="C785" t="s">
        <v>558</v>
      </c>
      <c r="D785" t="s">
        <v>1342</v>
      </c>
      <c r="E785">
        <v>-783</v>
      </c>
      <c r="F785" t="s">
        <v>559</v>
      </c>
      <c r="G785" t="s">
        <v>560</v>
      </c>
    </row>
    <row r="786" spans="1:7">
      <c r="A786" t="s">
        <v>182</v>
      </c>
      <c r="B786" t="s">
        <v>557</v>
      </c>
      <c r="C786" t="s">
        <v>558</v>
      </c>
      <c r="D786" t="s">
        <v>1343</v>
      </c>
      <c r="E786">
        <v>-784</v>
      </c>
      <c r="F786" t="s">
        <v>559</v>
      </c>
      <c r="G786" t="s">
        <v>560</v>
      </c>
    </row>
    <row r="787" spans="1:7">
      <c r="A787" t="s">
        <v>182</v>
      </c>
      <c r="B787" t="s">
        <v>557</v>
      </c>
      <c r="C787" t="s">
        <v>558</v>
      </c>
      <c r="D787" t="s">
        <v>1344</v>
      </c>
      <c r="E787">
        <v>-785</v>
      </c>
      <c r="F787" t="s">
        <v>559</v>
      </c>
      <c r="G787" t="s">
        <v>560</v>
      </c>
    </row>
    <row r="788" spans="1:7">
      <c r="A788" t="s">
        <v>182</v>
      </c>
      <c r="B788" t="s">
        <v>557</v>
      </c>
      <c r="C788" t="s">
        <v>558</v>
      </c>
      <c r="D788" t="s">
        <v>1345</v>
      </c>
      <c r="E788">
        <v>-786</v>
      </c>
      <c r="F788" t="s">
        <v>559</v>
      </c>
      <c r="G788" t="s">
        <v>560</v>
      </c>
    </row>
    <row r="789" spans="1:7">
      <c r="A789" t="s">
        <v>182</v>
      </c>
      <c r="B789" t="s">
        <v>557</v>
      </c>
      <c r="C789" t="s">
        <v>558</v>
      </c>
      <c r="D789" t="s">
        <v>1346</v>
      </c>
      <c r="E789">
        <v>-787</v>
      </c>
      <c r="F789" t="s">
        <v>559</v>
      </c>
      <c r="G789" t="s">
        <v>560</v>
      </c>
    </row>
    <row r="790" spans="1:7">
      <c r="A790" t="s">
        <v>182</v>
      </c>
      <c r="B790" t="s">
        <v>557</v>
      </c>
      <c r="C790" t="s">
        <v>558</v>
      </c>
      <c r="D790" t="s">
        <v>1347</v>
      </c>
      <c r="E790">
        <v>-788</v>
      </c>
      <c r="F790" t="s">
        <v>559</v>
      </c>
      <c r="G790" t="s">
        <v>560</v>
      </c>
    </row>
    <row r="791" spans="1:7">
      <c r="A791" t="s">
        <v>182</v>
      </c>
      <c r="B791" t="s">
        <v>557</v>
      </c>
      <c r="C791" t="s">
        <v>558</v>
      </c>
      <c r="D791" t="s">
        <v>1348</v>
      </c>
      <c r="E791">
        <v>-789</v>
      </c>
      <c r="F791" t="s">
        <v>559</v>
      </c>
      <c r="G791" t="s">
        <v>560</v>
      </c>
    </row>
    <row r="792" spans="1:7">
      <c r="A792" t="s">
        <v>182</v>
      </c>
      <c r="B792" t="s">
        <v>557</v>
      </c>
      <c r="C792" t="s">
        <v>558</v>
      </c>
      <c r="D792" t="s">
        <v>1349</v>
      </c>
      <c r="E792">
        <v>-790</v>
      </c>
      <c r="F792" t="s">
        <v>559</v>
      </c>
      <c r="G792" t="s">
        <v>560</v>
      </c>
    </row>
    <row r="793" spans="1:7">
      <c r="A793" t="s">
        <v>182</v>
      </c>
      <c r="B793" t="s">
        <v>557</v>
      </c>
      <c r="C793" t="s">
        <v>558</v>
      </c>
      <c r="D793" t="s">
        <v>1350</v>
      </c>
      <c r="E793">
        <v>-791</v>
      </c>
      <c r="F793" t="s">
        <v>559</v>
      </c>
      <c r="G793" t="s">
        <v>560</v>
      </c>
    </row>
    <row r="794" spans="1:7">
      <c r="A794" t="s">
        <v>182</v>
      </c>
      <c r="B794" t="s">
        <v>557</v>
      </c>
      <c r="C794" t="s">
        <v>558</v>
      </c>
      <c r="D794" t="s">
        <v>1351</v>
      </c>
      <c r="E794">
        <v>-792</v>
      </c>
      <c r="F794" t="s">
        <v>559</v>
      </c>
      <c r="G794" t="s">
        <v>560</v>
      </c>
    </row>
    <row r="795" spans="1:7">
      <c r="A795" t="s">
        <v>182</v>
      </c>
      <c r="B795" t="s">
        <v>557</v>
      </c>
      <c r="C795" t="s">
        <v>558</v>
      </c>
      <c r="D795" t="s">
        <v>1352</v>
      </c>
      <c r="E795">
        <v>-793</v>
      </c>
      <c r="F795" t="s">
        <v>559</v>
      </c>
      <c r="G795" t="s">
        <v>560</v>
      </c>
    </row>
    <row r="796" spans="1:7">
      <c r="A796" t="s">
        <v>182</v>
      </c>
      <c r="B796" t="s">
        <v>557</v>
      </c>
      <c r="C796" t="s">
        <v>558</v>
      </c>
      <c r="D796" t="s">
        <v>1353</v>
      </c>
      <c r="E796">
        <v>-794</v>
      </c>
      <c r="F796" t="s">
        <v>559</v>
      </c>
      <c r="G796" t="s">
        <v>560</v>
      </c>
    </row>
    <row r="797" spans="1:7">
      <c r="A797" t="s">
        <v>182</v>
      </c>
      <c r="B797" t="s">
        <v>557</v>
      </c>
      <c r="C797" t="s">
        <v>558</v>
      </c>
      <c r="D797" t="s">
        <v>1354</v>
      </c>
      <c r="E797">
        <v>-795</v>
      </c>
      <c r="F797" t="s">
        <v>559</v>
      </c>
      <c r="G797" t="s">
        <v>560</v>
      </c>
    </row>
    <row r="798" spans="1:7">
      <c r="A798" t="s">
        <v>182</v>
      </c>
      <c r="B798" t="s">
        <v>557</v>
      </c>
      <c r="C798" t="s">
        <v>558</v>
      </c>
      <c r="D798" t="s">
        <v>1355</v>
      </c>
      <c r="E798">
        <v>-796</v>
      </c>
      <c r="F798" t="s">
        <v>559</v>
      </c>
      <c r="G798" t="s">
        <v>560</v>
      </c>
    </row>
    <row r="799" spans="1:7">
      <c r="A799" t="s">
        <v>182</v>
      </c>
      <c r="B799" t="s">
        <v>557</v>
      </c>
      <c r="C799" t="s">
        <v>558</v>
      </c>
      <c r="D799" t="s">
        <v>1356</v>
      </c>
      <c r="E799">
        <v>-797</v>
      </c>
      <c r="F799" t="s">
        <v>559</v>
      </c>
      <c r="G799" t="s">
        <v>560</v>
      </c>
    </row>
    <row r="800" spans="1:7">
      <c r="A800" t="s">
        <v>182</v>
      </c>
      <c r="B800" t="s">
        <v>557</v>
      </c>
      <c r="C800" t="s">
        <v>558</v>
      </c>
      <c r="D800" t="s">
        <v>1357</v>
      </c>
      <c r="E800">
        <v>-798</v>
      </c>
      <c r="F800" t="s">
        <v>559</v>
      </c>
      <c r="G800" t="s">
        <v>560</v>
      </c>
    </row>
    <row r="801" spans="1:7">
      <c r="A801" t="s">
        <v>182</v>
      </c>
      <c r="B801" t="s">
        <v>557</v>
      </c>
      <c r="C801" t="s">
        <v>558</v>
      </c>
      <c r="D801" t="s">
        <v>1358</v>
      </c>
      <c r="E801">
        <v>-799</v>
      </c>
      <c r="F801" t="s">
        <v>559</v>
      </c>
      <c r="G801" t="s">
        <v>560</v>
      </c>
    </row>
    <row r="802" spans="1:7">
      <c r="A802" t="s">
        <v>182</v>
      </c>
      <c r="B802" t="s">
        <v>557</v>
      </c>
      <c r="C802" t="s">
        <v>558</v>
      </c>
      <c r="D802" t="s">
        <v>1359</v>
      </c>
      <c r="E802">
        <v>-800</v>
      </c>
      <c r="F802" t="s">
        <v>559</v>
      </c>
      <c r="G802" t="s">
        <v>560</v>
      </c>
    </row>
    <row r="803" spans="1:7">
      <c r="A803" t="s">
        <v>182</v>
      </c>
      <c r="B803" t="s">
        <v>557</v>
      </c>
      <c r="C803" t="s">
        <v>558</v>
      </c>
      <c r="D803" t="s">
        <v>1360</v>
      </c>
      <c r="E803">
        <v>-801</v>
      </c>
      <c r="F803" t="s">
        <v>559</v>
      </c>
      <c r="G803" t="s">
        <v>560</v>
      </c>
    </row>
    <row r="804" spans="1:7">
      <c r="A804" t="s">
        <v>182</v>
      </c>
      <c r="B804" t="s">
        <v>557</v>
      </c>
      <c r="C804" t="s">
        <v>558</v>
      </c>
      <c r="D804" t="s">
        <v>1361</v>
      </c>
      <c r="E804">
        <v>-802</v>
      </c>
      <c r="F804" t="s">
        <v>559</v>
      </c>
      <c r="G804" t="s">
        <v>560</v>
      </c>
    </row>
    <row r="805" spans="1:7">
      <c r="A805" t="s">
        <v>182</v>
      </c>
      <c r="B805" t="s">
        <v>557</v>
      </c>
      <c r="C805" t="s">
        <v>558</v>
      </c>
      <c r="D805" t="s">
        <v>1362</v>
      </c>
      <c r="E805">
        <v>-803</v>
      </c>
      <c r="F805" t="s">
        <v>559</v>
      </c>
      <c r="G805" t="s">
        <v>560</v>
      </c>
    </row>
    <row r="806" spans="1:7">
      <c r="A806" t="s">
        <v>182</v>
      </c>
      <c r="B806" t="s">
        <v>557</v>
      </c>
      <c r="C806" t="s">
        <v>558</v>
      </c>
      <c r="D806" t="s">
        <v>1363</v>
      </c>
      <c r="E806">
        <v>-804</v>
      </c>
      <c r="F806" t="s">
        <v>559</v>
      </c>
      <c r="G806" t="s">
        <v>560</v>
      </c>
    </row>
    <row r="807" spans="1:7">
      <c r="A807" t="s">
        <v>182</v>
      </c>
      <c r="B807" t="s">
        <v>557</v>
      </c>
      <c r="C807" t="s">
        <v>558</v>
      </c>
      <c r="D807" t="s">
        <v>1364</v>
      </c>
      <c r="E807">
        <v>-805</v>
      </c>
      <c r="F807" t="s">
        <v>559</v>
      </c>
      <c r="G807" t="s">
        <v>560</v>
      </c>
    </row>
    <row r="808" spans="1:7">
      <c r="A808" t="s">
        <v>182</v>
      </c>
      <c r="B808" t="s">
        <v>557</v>
      </c>
      <c r="C808" t="s">
        <v>558</v>
      </c>
      <c r="D808" t="s">
        <v>1365</v>
      </c>
      <c r="E808">
        <v>-806</v>
      </c>
      <c r="F808" t="s">
        <v>559</v>
      </c>
      <c r="G808" t="s">
        <v>560</v>
      </c>
    </row>
    <row r="809" spans="1:7">
      <c r="A809" t="s">
        <v>182</v>
      </c>
      <c r="B809" t="s">
        <v>557</v>
      </c>
      <c r="C809" t="s">
        <v>558</v>
      </c>
      <c r="D809" t="s">
        <v>1366</v>
      </c>
      <c r="E809">
        <v>-807</v>
      </c>
      <c r="F809" t="s">
        <v>559</v>
      </c>
      <c r="G809" t="s">
        <v>560</v>
      </c>
    </row>
    <row r="810" spans="1:7">
      <c r="A810" t="s">
        <v>182</v>
      </c>
      <c r="B810" t="s">
        <v>557</v>
      </c>
      <c r="C810" t="s">
        <v>558</v>
      </c>
      <c r="D810" t="s">
        <v>1367</v>
      </c>
      <c r="E810">
        <v>-808</v>
      </c>
      <c r="F810" t="s">
        <v>559</v>
      </c>
      <c r="G810" t="s">
        <v>560</v>
      </c>
    </row>
    <row r="811" spans="1:7">
      <c r="A811" t="s">
        <v>182</v>
      </c>
      <c r="B811" t="s">
        <v>557</v>
      </c>
      <c r="C811" t="s">
        <v>558</v>
      </c>
      <c r="D811" t="s">
        <v>1368</v>
      </c>
      <c r="E811">
        <v>-809</v>
      </c>
      <c r="F811" t="s">
        <v>559</v>
      </c>
      <c r="G811" t="s">
        <v>560</v>
      </c>
    </row>
    <row r="812" spans="1:7">
      <c r="A812" t="s">
        <v>182</v>
      </c>
      <c r="B812" t="s">
        <v>557</v>
      </c>
      <c r="C812" t="s">
        <v>558</v>
      </c>
      <c r="D812" t="s">
        <v>1369</v>
      </c>
      <c r="E812">
        <v>-810</v>
      </c>
      <c r="F812" t="s">
        <v>559</v>
      </c>
      <c r="G812" t="s">
        <v>560</v>
      </c>
    </row>
    <row r="813" spans="1:7">
      <c r="A813" t="s">
        <v>182</v>
      </c>
      <c r="B813" t="s">
        <v>557</v>
      </c>
      <c r="C813" t="s">
        <v>558</v>
      </c>
      <c r="D813" t="s">
        <v>1370</v>
      </c>
      <c r="E813">
        <v>-811</v>
      </c>
      <c r="F813" t="s">
        <v>559</v>
      </c>
      <c r="G813" t="s">
        <v>560</v>
      </c>
    </row>
    <row r="814" spans="1:7">
      <c r="A814" t="s">
        <v>182</v>
      </c>
      <c r="B814" t="s">
        <v>557</v>
      </c>
      <c r="C814" t="s">
        <v>558</v>
      </c>
      <c r="D814" t="s">
        <v>1371</v>
      </c>
      <c r="E814">
        <v>-812</v>
      </c>
      <c r="F814" t="s">
        <v>559</v>
      </c>
      <c r="G814" t="s">
        <v>560</v>
      </c>
    </row>
    <row r="815" spans="1:7">
      <c r="A815" t="s">
        <v>182</v>
      </c>
      <c r="B815" t="s">
        <v>557</v>
      </c>
      <c r="C815" t="s">
        <v>558</v>
      </c>
      <c r="D815" t="s">
        <v>1372</v>
      </c>
      <c r="E815">
        <v>-813</v>
      </c>
      <c r="F815" t="s">
        <v>559</v>
      </c>
      <c r="G815" t="s">
        <v>560</v>
      </c>
    </row>
    <row r="816" spans="1:7">
      <c r="A816" t="s">
        <v>182</v>
      </c>
      <c r="B816" t="s">
        <v>557</v>
      </c>
      <c r="C816" t="s">
        <v>558</v>
      </c>
      <c r="D816" t="s">
        <v>1373</v>
      </c>
      <c r="E816">
        <v>-814</v>
      </c>
      <c r="F816" t="s">
        <v>559</v>
      </c>
      <c r="G816" t="s">
        <v>560</v>
      </c>
    </row>
    <row r="817" spans="1:7">
      <c r="A817" t="s">
        <v>182</v>
      </c>
      <c r="B817" t="s">
        <v>557</v>
      </c>
      <c r="C817" t="s">
        <v>558</v>
      </c>
      <c r="D817" t="s">
        <v>1374</v>
      </c>
      <c r="E817">
        <v>-815</v>
      </c>
      <c r="F817" t="s">
        <v>559</v>
      </c>
      <c r="G817" t="s">
        <v>560</v>
      </c>
    </row>
    <row r="818" spans="1:7">
      <c r="A818" t="s">
        <v>182</v>
      </c>
      <c r="B818" t="s">
        <v>557</v>
      </c>
      <c r="C818" t="s">
        <v>558</v>
      </c>
      <c r="D818" t="s">
        <v>1375</v>
      </c>
      <c r="E818">
        <v>-816</v>
      </c>
      <c r="F818" t="s">
        <v>559</v>
      </c>
      <c r="G818" t="s">
        <v>560</v>
      </c>
    </row>
    <row r="819" spans="1:7">
      <c r="A819" t="s">
        <v>182</v>
      </c>
      <c r="B819" t="s">
        <v>557</v>
      </c>
      <c r="C819" t="s">
        <v>558</v>
      </c>
      <c r="D819" t="s">
        <v>1376</v>
      </c>
      <c r="E819">
        <v>-817</v>
      </c>
      <c r="F819" t="s">
        <v>559</v>
      </c>
      <c r="G819" t="s">
        <v>560</v>
      </c>
    </row>
    <row r="820" spans="1:7">
      <c r="A820" t="s">
        <v>182</v>
      </c>
      <c r="B820" t="s">
        <v>557</v>
      </c>
      <c r="C820" t="s">
        <v>558</v>
      </c>
      <c r="D820" t="s">
        <v>1377</v>
      </c>
      <c r="E820">
        <v>-818</v>
      </c>
      <c r="F820" t="s">
        <v>559</v>
      </c>
      <c r="G820" t="s">
        <v>560</v>
      </c>
    </row>
    <row r="821" spans="1:7">
      <c r="A821" t="s">
        <v>182</v>
      </c>
      <c r="B821" t="s">
        <v>557</v>
      </c>
      <c r="C821" t="s">
        <v>558</v>
      </c>
      <c r="D821" t="s">
        <v>1378</v>
      </c>
      <c r="E821">
        <v>-819</v>
      </c>
      <c r="F821" t="s">
        <v>559</v>
      </c>
      <c r="G821" t="s">
        <v>560</v>
      </c>
    </row>
    <row r="822" spans="1:7">
      <c r="A822" t="s">
        <v>182</v>
      </c>
      <c r="B822" t="s">
        <v>557</v>
      </c>
      <c r="C822" t="s">
        <v>558</v>
      </c>
      <c r="D822" t="s">
        <v>1379</v>
      </c>
      <c r="E822">
        <v>-820</v>
      </c>
      <c r="F822" t="s">
        <v>559</v>
      </c>
      <c r="G822" t="s">
        <v>560</v>
      </c>
    </row>
    <row r="823" spans="1:7">
      <c r="A823" t="s">
        <v>182</v>
      </c>
      <c r="B823" t="s">
        <v>557</v>
      </c>
      <c r="C823" t="s">
        <v>558</v>
      </c>
      <c r="D823" t="s">
        <v>1380</v>
      </c>
      <c r="E823">
        <v>-821</v>
      </c>
      <c r="F823" t="s">
        <v>559</v>
      </c>
      <c r="G823" t="s">
        <v>560</v>
      </c>
    </row>
    <row r="824" spans="1:7">
      <c r="A824" t="s">
        <v>182</v>
      </c>
      <c r="B824" t="s">
        <v>557</v>
      </c>
      <c r="C824" t="s">
        <v>558</v>
      </c>
      <c r="D824" t="s">
        <v>1381</v>
      </c>
      <c r="E824">
        <v>-822</v>
      </c>
      <c r="F824" t="s">
        <v>559</v>
      </c>
      <c r="G824" t="s">
        <v>560</v>
      </c>
    </row>
    <row r="825" spans="1:7">
      <c r="A825" t="s">
        <v>182</v>
      </c>
      <c r="B825" t="s">
        <v>557</v>
      </c>
      <c r="C825" t="s">
        <v>558</v>
      </c>
      <c r="D825" t="s">
        <v>1382</v>
      </c>
      <c r="E825">
        <v>-823</v>
      </c>
      <c r="F825" t="s">
        <v>559</v>
      </c>
      <c r="G825" t="s">
        <v>560</v>
      </c>
    </row>
    <row r="826" spans="1:7">
      <c r="A826" t="s">
        <v>182</v>
      </c>
      <c r="B826" t="s">
        <v>557</v>
      </c>
      <c r="C826" t="s">
        <v>558</v>
      </c>
      <c r="D826" t="s">
        <v>1383</v>
      </c>
      <c r="E826">
        <v>-824</v>
      </c>
      <c r="F826" t="s">
        <v>559</v>
      </c>
      <c r="G826" t="s">
        <v>560</v>
      </c>
    </row>
    <row r="827" spans="1:7">
      <c r="A827" t="s">
        <v>182</v>
      </c>
      <c r="B827" t="s">
        <v>557</v>
      </c>
      <c r="C827" t="s">
        <v>558</v>
      </c>
      <c r="D827" t="s">
        <v>1384</v>
      </c>
      <c r="E827">
        <v>-825</v>
      </c>
      <c r="F827" t="s">
        <v>559</v>
      </c>
      <c r="G827" t="s">
        <v>560</v>
      </c>
    </row>
    <row r="828" spans="1:7">
      <c r="A828" t="s">
        <v>182</v>
      </c>
      <c r="B828" t="s">
        <v>557</v>
      </c>
      <c r="C828" t="s">
        <v>558</v>
      </c>
      <c r="D828" t="s">
        <v>1385</v>
      </c>
      <c r="E828">
        <v>-826</v>
      </c>
      <c r="F828" t="s">
        <v>559</v>
      </c>
      <c r="G828" t="s">
        <v>560</v>
      </c>
    </row>
    <row r="829" spans="1:7">
      <c r="A829" t="s">
        <v>182</v>
      </c>
      <c r="B829" t="s">
        <v>557</v>
      </c>
      <c r="C829" t="s">
        <v>558</v>
      </c>
      <c r="D829" t="s">
        <v>1386</v>
      </c>
      <c r="E829">
        <v>-827</v>
      </c>
      <c r="F829" t="s">
        <v>559</v>
      </c>
      <c r="G829" t="s">
        <v>560</v>
      </c>
    </row>
    <row r="830" spans="1:7">
      <c r="A830" t="s">
        <v>182</v>
      </c>
      <c r="B830" t="s">
        <v>557</v>
      </c>
      <c r="C830" t="s">
        <v>558</v>
      </c>
      <c r="D830" t="s">
        <v>1387</v>
      </c>
      <c r="E830">
        <v>-828</v>
      </c>
      <c r="F830" t="s">
        <v>559</v>
      </c>
      <c r="G830" t="s">
        <v>560</v>
      </c>
    </row>
    <row r="831" spans="1:7">
      <c r="A831" t="s">
        <v>182</v>
      </c>
      <c r="B831" t="s">
        <v>557</v>
      </c>
      <c r="C831" t="s">
        <v>558</v>
      </c>
      <c r="D831" t="s">
        <v>1388</v>
      </c>
      <c r="E831">
        <v>-829</v>
      </c>
      <c r="F831" t="s">
        <v>559</v>
      </c>
      <c r="G831" t="s">
        <v>560</v>
      </c>
    </row>
    <row r="832" spans="1:7">
      <c r="A832" t="s">
        <v>182</v>
      </c>
      <c r="B832" t="s">
        <v>557</v>
      </c>
      <c r="C832" t="s">
        <v>558</v>
      </c>
      <c r="D832" t="s">
        <v>1389</v>
      </c>
      <c r="E832">
        <v>-830</v>
      </c>
      <c r="F832" t="s">
        <v>559</v>
      </c>
      <c r="G832" t="s">
        <v>560</v>
      </c>
    </row>
    <row r="833" spans="1:7">
      <c r="A833" t="s">
        <v>182</v>
      </c>
      <c r="B833" t="s">
        <v>557</v>
      </c>
      <c r="C833" t="s">
        <v>558</v>
      </c>
      <c r="D833" t="s">
        <v>1390</v>
      </c>
      <c r="E833">
        <v>-831</v>
      </c>
      <c r="F833" t="s">
        <v>559</v>
      </c>
      <c r="G833" t="s">
        <v>560</v>
      </c>
    </row>
    <row r="834" spans="1:7">
      <c r="A834" t="s">
        <v>182</v>
      </c>
      <c r="B834" t="s">
        <v>557</v>
      </c>
      <c r="C834" t="s">
        <v>558</v>
      </c>
      <c r="D834" t="s">
        <v>1391</v>
      </c>
      <c r="E834">
        <v>-832</v>
      </c>
      <c r="F834" t="s">
        <v>559</v>
      </c>
      <c r="G834" t="s">
        <v>560</v>
      </c>
    </row>
    <row r="835" spans="1:7">
      <c r="A835" t="s">
        <v>182</v>
      </c>
      <c r="B835" t="s">
        <v>557</v>
      </c>
      <c r="C835" t="s">
        <v>558</v>
      </c>
      <c r="D835" t="s">
        <v>1392</v>
      </c>
      <c r="E835">
        <v>-833</v>
      </c>
      <c r="F835" t="s">
        <v>559</v>
      </c>
      <c r="G835" t="s">
        <v>560</v>
      </c>
    </row>
    <row r="836" spans="1:7">
      <c r="A836" t="s">
        <v>182</v>
      </c>
      <c r="B836" t="s">
        <v>557</v>
      </c>
      <c r="C836" t="s">
        <v>558</v>
      </c>
      <c r="D836" t="s">
        <v>1393</v>
      </c>
      <c r="E836">
        <v>-834</v>
      </c>
      <c r="F836" t="s">
        <v>559</v>
      </c>
      <c r="G836" t="s">
        <v>560</v>
      </c>
    </row>
    <row r="837" spans="1:7">
      <c r="A837" t="s">
        <v>182</v>
      </c>
      <c r="B837" t="s">
        <v>557</v>
      </c>
      <c r="C837" t="s">
        <v>558</v>
      </c>
      <c r="D837" t="s">
        <v>1394</v>
      </c>
      <c r="E837">
        <v>-835</v>
      </c>
      <c r="F837" t="s">
        <v>559</v>
      </c>
      <c r="G837" t="s">
        <v>560</v>
      </c>
    </row>
    <row r="838" spans="1:7">
      <c r="A838" t="s">
        <v>182</v>
      </c>
      <c r="B838" t="s">
        <v>557</v>
      </c>
      <c r="C838" t="s">
        <v>558</v>
      </c>
      <c r="D838" t="s">
        <v>1395</v>
      </c>
      <c r="E838">
        <v>-836</v>
      </c>
      <c r="F838" t="s">
        <v>559</v>
      </c>
      <c r="G838" t="s">
        <v>560</v>
      </c>
    </row>
    <row r="839" spans="1:7">
      <c r="A839" t="s">
        <v>182</v>
      </c>
      <c r="B839" t="s">
        <v>557</v>
      </c>
      <c r="C839" t="s">
        <v>558</v>
      </c>
      <c r="D839" t="s">
        <v>1396</v>
      </c>
      <c r="E839">
        <v>-837</v>
      </c>
      <c r="F839" t="s">
        <v>559</v>
      </c>
      <c r="G839" t="s">
        <v>560</v>
      </c>
    </row>
    <row r="840" spans="1:7">
      <c r="A840" t="s">
        <v>182</v>
      </c>
      <c r="B840" t="s">
        <v>557</v>
      </c>
      <c r="C840" t="s">
        <v>558</v>
      </c>
      <c r="D840" t="s">
        <v>1397</v>
      </c>
      <c r="E840">
        <v>-838</v>
      </c>
      <c r="F840" t="s">
        <v>559</v>
      </c>
      <c r="G840" t="s">
        <v>560</v>
      </c>
    </row>
    <row r="841" spans="1:7">
      <c r="A841" t="s">
        <v>182</v>
      </c>
      <c r="B841" t="s">
        <v>557</v>
      </c>
      <c r="C841" t="s">
        <v>558</v>
      </c>
      <c r="D841" t="s">
        <v>1398</v>
      </c>
      <c r="E841">
        <v>-839</v>
      </c>
      <c r="F841" t="s">
        <v>559</v>
      </c>
      <c r="G841" t="s">
        <v>560</v>
      </c>
    </row>
    <row r="842" spans="1:7">
      <c r="A842" t="s">
        <v>182</v>
      </c>
      <c r="B842" t="s">
        <v>557</v>
      </c>
      <c r="C842" t="s">
        <v>558</v>
      </c>
      <c r="D842" t="s">
        <v>1399</v>
      </c>
      <c r="E842">
        <v>-840</v>
      </c>
      <c r="F842" t="s">
        <v>559</v>
      </c>
      <c r="G842" t="s">
        <v>560</v>
      </c>
    </row>
    <row r="843" spans="1:7">
      <c r="A843" t="s">
        <v>182</v>
      </c>
      <c r="B843" t="s">
        <v>557</v>
      </c>
      <c r="C843" t="s">
        <v>558</v>
      </c>
      <c r="D843" t="s">
        <v>1400</v>
      </c>
      <c r="E843">
        <v>-841</v>
      </c>
      <c r="F843" t="s">
        <v>559</v>
      </c>
      <c r="G843" t="s">
        <v>560</v>
      </c>
    </row>
    <row r="844" spans="1:7">
      <c r="A844" t="s">
        <v>182</v>
      </c>
      <c r="B844" t="s">
        <v>557</v>
      </c>
      <c r="C844" t="s">
        <v>558</v>
      </c>
      <c r="D844" t="s">
        <v>1401</v>
      </c>
      <c r="E844">
        <v>-842</v>
      </c>
      <c r="F844" t="s">
        <v>559</v>
      </c>
      <c r="G844" t="s">
        <v>560</v>
      </c>
    </row>
    <row r="845" spans="1:7">
      <c r="A845" t="s">
        <v>182</v>
      </c>
      <c r="B845" t="s">
        <v>557</v>
      </c>
      <c r="C845" t="s">
        <v>558</v>
      </c>
      <c r="D845" t="s">
        <v>1402</v>
      </c>
      <c r="E845">
        <v>-843</v>
      </c>
      <c r="F845" t="s">
        <v>559</v>
      </c>
      <c r="G845" t="s">
        <v>560</v>
      </c>
    </row>
    <row r="846" spans="1:7">
      <c r="A846" t="s">
        <v>182</v>
      </c>
      <c r="B846" t="s">
        <v>557</v>
      </c>
      <c r="C846" t="s">
        <v>558</v>
      </c>
      <c r="D846" t="s">
        <v>1403</v>
      </c>
      <c r="E846">
        <v>-844</v>
      </c>
      <c r="F846" t="s">
        <v>559</v>
      </c>
      <c r="G846" t="s">
        <v>560</v>
      </c>
    </row>
    <row r="847" spans="1:7">
      <c r="A847" t="s">
        <v>182</v>
      </c>
      <c r="B847" t="s">
        <v>557</v>
      </c>
      <c r="C847" t="s">
        <v>558</v>
      </c>
      <c r="D847" t="s">
        <v>1404</v>
      </c>
      <c r="E847">
        <v>-845</v>
      </c>
      <c r="F847" t="s">
        <v>559</v>
      </c>
      <c r="G847" t="s">
        <v>560</v>
      </c>
    </row>
    <row r="848" spans="1:7">
      <c r="A848" t="s">
        <v>182</v>
      </c>
      <c r="B848" t="s">
        <v>557</v>
      </c>
      <c r="C848" t="s">
        <v>558</v>
      </c>
      <c r="D848" t="s">
        <v>1405</v>
      </c>
      <c r="E848">
        <v>-846</v>
      </c>
      <c r="F848" t="s">
        <v>559</v>
      </c>
      <c r="G848" t="s">
        <v>560</v>
      </c>
    </row>
    <row r="849" spans="1:7">
      <c r="A849" t="s">
        <v>182</v>
      </c>
      <c r="B849" t="s">
        <v>557</v>
      </c>
      <c r="C849" t="s">
        <v>558</v>
      </c>
      <c r="D849" t="s">
        <v>1406</v>
      </c>
      <c r="E849">
        <v>-847</v>
      </c>
      <c r="F849" t="s">
        <v>559</v>
      </c>
      <c r="G849" t="s">
        <v>560</v>
      </c>
    </row>
    <row r="850" spans="1:7">
      <c r="A850" t="s">
        <v>182</v>
      </c>
      <c r="B850" t="s">
        <v>557</v>
      </c>
      <c r="C850" t="s">
        <v>558</v>
      </c>
      <c r="D850" t="s">
        <v>1407</v>
      </c>
      <c r="E850">
        <v>-848</v>
      </c>
      <c r="F850" t="s">
        <v>559</v>
      </c>
      <c r="G850" t="s">
        <v>560</v>
      </c>
    </row>
    <row r="851" spans="1:7">
      <c r="A851" t="s">
        <v>182</v>
      </c>
      <c r="B851" t="s">
        <v>557</v>
      </c>
      <c r="C851" t="s">
        <v>558</v>
      </c>
      <c r="D851" t="s">
        <v>1408</v>
      </c>
      <c r="E851">
        <v>-849</v>
      </c>
      <c r="F851" t="s">
        <v>559</v>
      </c>
      <c r="G851" t="s">
        <v>560</v>
      </c>
    </row>
    <row r="852" spans="1:7">
      <c r="A852" t="s">
        <v>182</v>
      </c>
      <c r="B852" t="s">
        <v>557</v>
      </c>
      <c r="C852" t="s">
        <v>558</v>
      </c>
      <c r="D852" t="s">
        <v>1409</v>
      </c>
      <c r="E852">
        <v>-850</v>
      </c>
      <c r="F852" t="s">
        <v>559</v>
      </c>
      <c r="G852" t="s">
        <v>560</v>
      </c>
    </row>
    <row r="853" spans="1:7">
      <c r="A853" t="s">
        <v>182</v>
      </c>
      <c r="B853" t="s">
        <v>557</v>
      </c>
      <c r="C853" t="s">
        <v>558</v>
      </c>
      <c r="D853" t="s">
        <v>1410</v>
      </c>
      <c r="E853">
        <v>-851</v>
      </c>
      <c r="F853" t="s">
        <v>559</v>
      </c>
      <c r="G853" t="s">
        <v>560</v>
      </c>
    </row>
    <row r="854" spans="1:7">
      <c r="A854" t="s">
        <v>182</v>
      </c>
      <c r="B854" t="s">
        <v>557</v>
      </c>
      <c r="C854" t="s">
        <v>558</v>
      </c>
      <c r="D854" t="s">
        <v>1411</v>
      </c>
      <c r="E854">
        <v>-852</v>
      </c>
      <c r="F854" t="s">
        <v>559</v>
      </c>
      <c r="G854" t="s">
        <v>560</v>
      </c>
    </row>
    <row r="855" spans="1:7">
      <c r="A855" t="s">
        <v>182</v>
      </c>
      <c r="B855" t="s">
        <v>557</v>
      </c>
      <c r="C855" t="s">
        <v>558</v>
      </c>
      <c r="D855" t="s">
        <v>1412</v>
      </c>
      <c r="E855">
        <v>-853</v>
      </c>
      <c r="F855" t="s">
        <v>559</v>
      </c>
      <c r="G855" t="s">
        <v>560</v>
      </c>
    </row>
    <row r="856" spans="1:7">
      <c r="A856" t="s">
        <v>182</v>
      </c>
      <c r="B856" t="s">
        <v>557</v>
      </c>
      <c r="C856" t="s">
        <v>558</v>
      </c>
      <c r="D856" t="s">
        <v>1413</v>
      </c>
      <c r="E856">
        <v>-854</v>
      </c>
      <c r="F856" t="s">
        <v>559</v>
      </c>
      <c r="G856" t="s">
        <v>560</v>
      </c>
    </row>
    <row r="857" spans="1:7">
      <c r="A857" t="s">
        <v>182</v>
      </c>
      <c r="B857" t="s">
        <v>557</v>
      </c>
      <c r="C857" t="s">
        <v>558</v>
      </c>
      <c r="D857" t="s">
        <v>1414</v>
      </c>
      <c r="E857">
        <v>-855</v>
      </c>
      <c r="F857" t="s">
        <v>559</v>
      </c>
      <c r="G857" t="s">
        <v>560</v>
      </c>
    </row>
    <row r="858" spans="1:7">
      <c r="A858" t="s">
        <v>182</v>
      </c>
      <c r="B858" t="s">
        <v>557</v>
      </c>
      <c r="C858" t="s">
        <v>558</v>
      </c>
      <c r="D858" t="s">
        <v>1415</v>
      </c>
      <c r="E858">
        <v>-856</v>
      </c>
      <c r="F858" t="s">
        <v>559</v>
      </c>
      <c r="G858" t="s">
        <v>560</v>
      </c>
    </row>
    <row r="859" spans="1:7">
      <c r="A859" t="s">
        <v>182</v>
      </c>
      <c r="B859" t="s">
        <v>557</v>
      </c>
      <c r="C859" t="s">
        <v>558</v>
      </c>
      <c r="D859" t="s">
        <v>1416</v>
      </c>
      <c r="E859">
        <v>-857</v>
      </c>
      <c r="F859" t="s">
        <v>559</v>
      </c>
      <c r="G859" t="s">
        <v>560</v>
      </c>
    </row>
    <row r="860" spans="1:7">
      <c r="A860" t="s">
        <v>182</v>
      </c>
      <c r="B860" t="s">
        <v>557</v>
      </c>
      <c r="C860" t="s">
        <v>558</v>
      </c>
      <c r="D860" t="s">
        <v>1417</v>
      </c>
      <c r="E860">
        <v>-858</v>
      </c>
      <c r="F860" t="s">
        <v>559</v>
      </c>
      <c r="G860" t="s">
        <v>560</v>
      </c>
    </row>
    <row r="861" spans="1:7">
      <c r="A861" t="s">
        <v>182</v>
      </c>
      <c r="B861" t="s">
        <v>557</v>
      </c>
      <c r="C861" t="s">
        <v>558</v>
      </c>
      <c r="D861" t="s">
        <v>1418</v>
      </c>
      <c r="E861">
        <v>-859</v>
      </c>
      <c r="F861" t="s">
        <v>559</v>
      </c>
      <c r="G861" t="s">
        <v>560</v>
      </c>
    </row>
    <row r="862" spans="1:7">
      <c r="A862" t="s">
        <v>182</v>
      </c>
      <c r="B862" t="s">
        <v>557</v>
      </c>
      <c r="C862" t="s">
        <v>558</v>
      </c>
      <c r="D862" t="s">
        <v>1419</v>
      </c>
      <c r="E862">
        <v>-860</v>
      </c>
      <c r="F862" t="s">
        <v>559</v>
      </c>
      <c r="G862" t="s">
        <v>560</v>
      </c>
    </row>
    <row r="863" spans="1:7">
      <c r="A863" t="s">
        <v>182</v>
      </c>
      <c r="B863" t="s">
        <v>557</v>
      </c>
      <c r="C863" t="s">
        <v>558</v>
      </c>
      <c r="D863" t="s">
        <v>1420</v>
      </c>
      <c r="E863">
        <v>-861</v>
      </c>
      <c r="F863" t="s">
        <v>559</v>
      </c>
      <c r="G863" t="s">
        <v>560</v>
      </c>
    </row>
    <row r="864" spans="1:7">
      <c r="A864" t="s">
        <v>182</v>
      </c>
      <c r="B864" t="s">
        <v>557</v>
      </c>
      <c r="C864" t="s">
        <v>558</v>
      </c>
      <c r="D864" t="s">
        <v>1421</v>
      </c>
      <c r="E864">
        <v>-862</v>
      </c>
      <c r="F864" t="s">
        <v>559</v>
      </c>
      <c r="G864" t="s">
        <v>560</v>
      </c>
    </row>
    <row r="865" spans="1:7">
      <c r="A865" t="s">
        <v>182</v>
      </c>
      <c r="B865" t="s">
        <v>557</v>
      </c>
      <c r="C865" t="s">
        <v>558</v>
      </c>
      <c r="D865" t="s">
        <v>1422</v>
      </c>
      <c r="E865">
        <v>-863</v>
      </c>
      <c r="F865" t="s">
        <v>559</v>
      </c>
      <c r="G865" t="s">
        <v>560</v>
      </c>
    </row>
    <row r="866" spans="1:7">
      <c r="A866" t="s">
        <v>182</v>
      </c>
      <c r="B866" t="s">
        <v>557</v>
      </c>
      <c r="C866" t="s">
        <v>558</v>
      </c>
      <c r="D866" t="s">
        <v>1423</v>
      </c>
      <c r="E866">
        <v>-864</v>
      </c>
      <c r="F866" t="s">
        <v>559</v>
      </c>
      <c r="G866" t="s">
        <v>560</v>
      </c>
    </row>
    <row r="867" spans="1:7">
      <c r="A867" t="s">
        <v>182</v>
      </c>
      <c r="B867" t="s">
        <v>557</v>
      </c>
      <c r="C867" t="s">
        <v>558</v>
      </c>
      <c r="D867" t="s">
        <v>1424</v>
      </c>
      <c r="E867">
        <v>-865</v>
      </c>
      <c r="F867" t="s">
        <v>559</v>
      </c>
      <c r="G867" t="s">
        <v>560</v>
      </c>
    </row>
    <row r="868" spans="1:7">
      <c r="A868" t="s">
        <v>182</v>
      </c>
      <c r="B868" t="s">
        <v>557</v>
      </c>
      <c r="C868" t="s">
        <v>558</v>
      </c>
      <c r="D868" t="s">
        <v>1425</v>
      </c>
      <c r="E868">
        <v>-866</v>
      </c>
      <c r="F868" t="s">
        <v>559</v>
      </c>
      <c r="G868" t="s">
        <v>560</v>
      </c>
    </row>
    <row r="869" spans="1:7">
      <c r="A869" t="s">
        <v>182</v>
      </c>
      <c r="B869" t="s">
        <v>557</v>
      </c>
      <c r="C869" t="s">
        <v>558</v>
      </c>
      <c r="D869" t="s">
        <v>1426</v>
      </c>
      <c r="E869">
        <v>-867</v>
      </c>
      <c r="F869" t="s">
        <v>559</v>
      </c>
      <c r="G869" t="s">
        <v>560</v>
      </c>
    </row>
    <row r="870" spans="1:7">
      <c r="A870" t="s">
        <v>182</v>
      </c>
      <c r="B870" t="s">
        <v>557</v>
      </c>
      <c r="C870" t="s">
        <v>558</v>
      </c>
      <c r="D870" t="s">
        <v>1427</v>
      </c>
      <c r="E870">
        <v>-868</v>
      </c>
      <c r="F870" t="s">
        <v>559</v>
      </c>
      <c r="G870" t="s">
        <v>560</v>
      </c>
    </row>
    <row r="871" spans="1:7">
      <c r="A871" t="s">
        <v>182</v>
      </c>
      <c r="B871" t="s">
        <v>557</v>
      </c>
      <c r="C871" t="s">
        <v>558</v>
      </c>
      <c r="D871" t="s">
        <v>1428</v>
      </c>
      <c r="E871">
        <v>-869</v>
      </c>
      <c r="F871" t="s">
        <v>559</v>
      </c>
      <c r="G871" t="s">
        <v>560</v>
      </c>
    </row>
    <row r="872" spans="1:7">
      <c r="A872" t="s">
        <v>182</v>
      </c>
      <c r="B872" t="s">
        <v>557</v>
      </c>
      <c r="C872" t="s">
        <v>558</v>
      </c>
      <c r="D872" t="s">
        <v>1429</v>
      </c>
      <c r="E872">
        <v>-870</v>
      </c>
      <c r="F872" t="s">
        <v>559</v>
      </c>
      <c r="G872" t="s">
        <v>560</v>
      </c>
    </row>
    <row r="873" spans="1:7">
      <c r="A873" t="s">
        <v>182</v>
      </c>
      <c r="B873" t="s">
        <v>557</v>
      </c>
      <c r="C873" t="s">
        <v>558</v>
      </c>
      <c r="D873" t="s">
        <v>1430</v>
      </c>
      <c r="E873">
        <v>-871</v>
      </c>
      <c r="F873" t="s">
        <v>559</v>
      </c>
      <c r="G873" t="s">
        <v>560</v>
      </c>
    </row>
    <row r="874" spans="1:7">
      <c r="A874" t="s">
        <v>182</v>
      </c>
      <c r="B874" t="s">
        <v>557</v>
      </c>
      <c r="C874" t="s">
        <v>558</v>
      </c>
      <c r="D874" t="s">
        <v>1431</v>
      </c>
      <c r="E874">
        <v>-872</v>
      </c>
      <c r="F874" t="s">
        <v>559</v>
      </c>
      <c r="G874" t="s">
        <v>560</v>
      </c>
    </row>
    <row r="875" spans="1:7">
      <c r="A875" t="s">
        <v>182</v>
      </c>
      <c r="B875" t="s">
        <v>557</v>
      </c>
      <c r="C875" t="s">
        <v>558</v>
      </c>
      <c r="D875" t="s">
        <v>1432</v>
      </c>
      <c r="E875">
        <v>-873</v>
      </c>
      <c r="F875" t="s">
        <v>559</v>
      </c>
      <c r="G875" t="s">
        <v>560</v>
      </c>
    </row>
    <row r="876" spans="1:7">
      <c r="A876" t="s">
        <v>182</v>
      </c>
      <c r="B876" t="s">
        <v>557</v>
      </c>
      <c r="C876" t="s">
        <v>558</v>
      </c>
      <c r="D876" t="s">
        <v>1433</v>
      </c>
      <c r="E876">
        <v>-874</v>
      </c>
      <c r="F876" t="s">
        <v>559</v>
      </c>
      <c r="G876" t="s">
        <v>560</v>
      </c>
    </row>
    <row r="877" spans="1:7">
      <c r="A877" t="s">
        <v>182</v>
      </c>
      <c r="B877" t="s">
        <v>557</v>
      </c>
      <c r="C877" t="s">
        <v>558</v>
      </c>
      <c r="D877" t="s">
        <v>1434</v>
      </c>
      <c r="E877">
        <v>-875</v>
      </c>
      <c r="F877" t="s">
        <v>559</v>
      </c>
      <c r="G877" t="s">
        <v>560</v>
      </c>
    </row>
    <row r="878" spans="1:7">
      <c r="A878" t="s">
        <v>182</v>
      </c>
      <c r="B878" t="s">
        <v>557</v>
      </c>
      <c r="C878" t="s">
        <v>558</v>
      </c>
      <c r="D878" t="s">
        <v>1435</v>
      </c>
      <c r="E878">
        <v>-876</v>
      </c>
      <c r="F878" t="s">
        <v>559</v>
      </c>
      <c r="G878" t="s">
        <v>560</v>
      </c>
    </row>
    <row r="879" spans="1:7">
      <c r="A879" t="s">
        <v>182</v>
      </c>
      <c r="B879" t="s">
        <v>557</v>
      </c>
      <c r="C879" t="s">
        <v>558</v>
      </c>
      <c r="D879" t="s">
        <v>1436</v>
      </c>
      <c r="E879">
        <v>-877</v>
      </c>
      <c r="F879" t="s">
        <v>559</v>
      </c>
      <c r="G879" t="s">
        <v>560</v>
      </c>
    </row>
    <row r="880" spans="1:7">
      <c r="A880" t="s">
        <v>182</v>
      </c>
      <c r="B880" t="s">
        <v>557</v>
      </c>
      <c r="C880" t="s">
        <v>558</v>
      </c>
      <c r="D880" t="s">
        <v>1437</v>
      </c>
      <c r="E880">
        <v>-878</v>
      </c>
      <c r="F880" t="s">
        <v>559</v>
      </c>
      <c r="G880" t="s">
        <v>560</v>
      </c>
    </row>
    <row r="881" spans="1:7">
      <c r="A881" t="s">
        <v>182</v>
      </c>
      <c r="B881" t="s">
        <v>557</v>
      </c>
      <c r="C881" t="s">
        <v>558</v>
      </c>
      <c r="D881" t="s">
        <v>1438</v>
      </c>
      <c r="E881">
        <v>-879</v>
      </c>
      <c r="F881" t="s">
        <v>559</v>
      </c>
      <c r="G881" t="s">
        <v>560</v>
      </c>
    </row>
    <row r="882" spans="1:7">
      <c r="A882" t="s">
        <v>182</v>
      </c>
      <c r="B882" t="s">
        <v>557</v>
      </c>
      <c r="C882" t="s">
        <v>558</v>
      </c>
      <c r="D882" t="s">
        <v>1439</v>
      </c>
      <c r="E882">
        <v>-880</v>
      </c>
      <c r="F882" t="s">
        <v>559</v>
      </c>
      <c r="G882" t="s">
        <v>560</v>
      </c>
    </row>
    <row r="883" spans="1:7">
      <c r="A883" t="s">
        <v>182</v>
      </c>
      <c r="B883" t="s">
        <v>557</v>
      </c>
      <c r="C883" t="s">
        <v>558</v>
      </c>
      <c r="D883" t="s">
        <v>1440</v>
      </c>
      <c r="E883">
        <v>-881</v>
      </c>
      <c r="F883" t="s">
        <v>559</v>
      </c>
      <c r="G883" t="s">
        <v>560</v>
      </c>
    </row>
    <row r="884" spans="1:7">
      <c r="A884" t="s">
        <v>182</v>
      </c>
      <c r="B884" t="s">
        <v>557</v>
      </c>
      <c r="C884" t="s">
        <v>558</v>
      </c>
      <c r="D884" t="s">
        <v>1441</v>
      </c>
      <c r="E884">
        <v>-882</v>
      </c>
      <c r="F884" t="s">
        <v>559</v>
      </c>
      <c r="G884" t="s">
        <v>560</v>
      </c>
    </row>
    <row r="885" spans="1:7">
      <c r="A885" t="s">
        <v>182</v>
      </c>
      <c r="B885" t="s">
        <v>557</v>
      </c>
      <c r="C885" t="s">
        <v>558</v>
      </c>
      <c r="D885" t="s">
        <v>1442</v>
      </c>
      <c r="E885">
        <v>-883</v>
      </c>
      <c r="F885" t="s">
        <v>559</v>
      </c>
      <c r="G885" t="s">
        <v>560</v>
      </c>
    </row>
    <row r="886" spans="1:7">
      <c r="A886" t="s">
        <v>182</v>
      </c>
      <c r="B886" t="s">
        <v>557</v>
      </c>
      <c r="C886" t="s">
        <v>558</v>
      </c>
      <c r="D886" t="s">
        <v>1443</v>
      </c>
      <c r="E886">
        <v>-884</v>
      </c>
      <c r="F886" t="s">
        <v>559</v>
      </c>
      <c r="G886" t="s">
        <v>560</v>
      </c>
    </row>
    <row r="887" spans="1:7">
      <c r="A887" t="s">
        <v>182</v>
      </c>
      <c r="B887" t="s">
        <v>557</v>
      </c>
      <c r="C887" t="s">
        <v>558</v>
      </c>
      <c r="D887" t="s">
        <v>1444</v>
      </c>
      <c r="E887">
        <v>-885</v>
      </c>
      <c r="F887" t="s">
        <v>559</v>
      </c>
      <c r="G887" t="s">
        <v>560</v>
      </c>
    </row>
    <row r="888" spans="1:7">
      <c r="A888" t="s">
        <v>182</v>
      </c>
      <c r="B888" t="s">
        <v>557</v>
      </c>
      <c r="C888" t="s">
        <v>558</v>
      </c>
      <c r="D888" t="s">
        <v>1445</v>
      </c>
      <c r="E888">
        <v>-886</v>
      </c>
      <c r="F888" t="s">
        <v>559</v>
      </c>
      <c r="G888" t="s">
        <v>560</v>
      </c>
    </row>
    <row r="889" spans="1:7">
      <c r="A889" t="s">
        <v>182</v>
      </c>
      <c r="B889" t="s">
        <v>557</v>
      </c>
      <c r="C889" t="s">
        <v>558</v>
      </c>
      <c r="D889" t="s">
        <v>1446</v>
      </c>
      <c r="E889">
        <v>-887</v>
      </c>
      <c r="F889" t="s">
        <v>559</v>
      </c>
      <c r="G889" t="s">
        <v>560</v>
      </c>
    </row>
    <row r="890" spans="1:7">
      <c r="A890" t="s">
        <v>182</v>
      </c>
      <c r="B890" t="s">
        <v>557</v>
      </c>
      <c r="C890" t="s">
        <v>558</v>
      </c>
      <c r="D890" t="s">
        <v>1447</v>
      </c>
      <c r="E890">
        <v>-888</v>
      </c>
      <c r="F890" t="s">
        <v>559</v>
      </c>
      <c r="G890" t="s">
        <v>560</v>
      </c>
    </row>
    <row r="891" spans="1:7">
      <c r="A891" t="s">
        <v>182</v>
      </c>
      <c r="B891" t="s">
        <v>557</v>
      </c>
      <c r="C891" t="s">
        <v>558</v>
      </c>
      <c r="D891" t="s">
        <v>1448</v>
      </c>
      <c r="E891">
        <v>-889</v>
      </c>
      <c r="F891" t="s">
        <v>559</v>
      </c>
      <c r="G891" t="s">
        <v>560</v>
      </c>
    </row>
    <row r="892" spans="1:7">
      <c r="A892" t="s">
        <v>182</v>
      </c>
      <c r="B892" t="s">
        <v>557</v>
      </c>
      <c r="C892" t="s">
        <v>558</v>
      </c>
      <c r="D892" t="s">
        <v>1449</v>
      </c>
      <c r="E892">
        <v>-890</v>
      </c>
      <c r="F892" t="s">
        <v>559</v>
      </c>
      <c r="G892" t="s">
        <v>560</v>
      </c>
    </row>
    <row r="893" spans="1:7">
      <c r="A893" t="s">
        <v>182</v>
      </c>
      <c r="B893" t="s">
        <v>557</v>
      </c>
      <c r="C893" t="s">
        <v>558</v>
      </c>
      <c r="D893" t="s">
        <v>1450</v>
      </c>
      <c r="E893">
        <v>-891</v>
      </c>
      <c r="F893" t="s">
        <v>559</v>
      </c>
      <c r="G893" t="s">
        <v>560</v>
      </c>
    </row>
    <row r="894" spans="1:7">
      <c r="A894" t="s">
        <v>182</v>
      </c>
      <c r="B894" t="s">
        <v>557</v>
      </c>
      <c r="C894" t="s">
        <v>558</v>
      </c>
      <c r="D894" t="s">
        <v>1451</v>
      </c>
      <c r="E894">
        <v>-892</v>
      </c>
      <c r="F894" t="s">
        <v>559</v>
      </c>
      <c r="G894" t="s">
        <v>560</v>
      </c>
    </row>
    <row r="895" spans="1:7">
      <c r="A895" t="s">
        <v>182</v>
      </c>
      <c r="B895" t="s">
        <v>557</v>
      </c>
      <c r="C895" t="s">
        <v>558</v>
      </c>
      <c r="D895" t="s">
        <v>1452</v>
      </c>
      <c r="E895">
        <v>-893</v>
      </c>
      <c r="F895" t="s">
        <v>559</v>
      </c>
      <c r="G895" t="s">
        <v>560</v>
      </c>
    </row>
    <row r="896" spans="1:7">
      <c r="A896" t="s">
        <v>182</v>
      </c>
      <c r="B896" t="s">
        <v>557</v>
      </c>
      <c r="C896" t="s">
        <v>558</v>
      </c>
      <c r="D896" t="s">
        <v>1453</v>
      </c>
      <c r="E896">
        <v>-894</v>
      </c>
      <c r="F896" t="s">
        <v>559</v>
      </c>
      <c r="G896" t="s">
        <v>560</v>
      </c>
    </row>
    <row r="897" spans="1:7">
      <c r="A897" t="s">
        <v>182</v>
      </c>
      <c r="B897" t="s">
        <v>557</v>
      </c>
      <c r="C897" t="s">
        <v>558</v>
      </c>
      <c r="D897" t="s">
        <v>1454</v>
      </c>
      <c r="E897">
        <v>-895</v>
      </c>
      <c r="F897" t="s">
        <v>559</v>
      </c>
      <c r="G897" t="s">
        <v>560</v>
      </c>
    </row>
    <row r="898" spans="1:7">
      <c r="A898" t="s">
        <v>182</v>
      </c>
      <c r="B898" t="s">
        <v>557</v>
      </c>
      <c r="C898" t="s">
        <v>558</v>
      </c>
      <c r="D898" t="s">
        <v>1455</v>
      </c>
      <c r="E898">
        <v>-896</v>
      </c>
      <c r="F898" t="s">
        <v>559</v>
      </c>
      <c r="G898" t="s">
        <v>560</v>
      </c>
    </row>
    <row r="899" spans="1:7">
      <c r="A899" t="s">
        <v>182</v>
      </c>
      <c r="B899" t="s">
        <v>557</v>
      </c>
      <c r="C899" t="s">
        <v>558</v>
      </c>
      <c r="D899" t="s">
        <v>1456</v>
      </c>
      <c r="E899">
        <v>-897</v>
      </c>
      <c r="F899" t="s">
        <v>559</v>
      </c>
      <c r="G899" t="s">
        <v>560</v>
      </c>
    </row>
    <row r="900" spans="1:7">
      <c r="A900" t="s">
        <v>182</v>
      </c>
      <c r="B900" t="s">
        <v>557</v>
      </c>
      <c r="C900" t="s">
        <v>558</v>
      </c>
      <c r="D900" t="s">
        <v>1457</v>
      </c>
      <c r="E900">
        <v>-898</v>
      </c>
      <c r="F900" t="s">
        <v>559</v>
      </c>
      <c r="G900" t="s">
        <v>560</v>
      </c>
    </row>
    <row r="901" spans="1:7">
      <c r="A901" t="s">
        <v>182</v>
      </c>
      <c r="B901" t="s">
        <v>557</v>
      </c>
      <c r="C901" t="s">
        <v>558</v>
      </c>
      <c r="D901" t="s">
        <v>1458</v>
      </c>
      <c r="E901">
        <v>-899</v>
      </c>
      <c r="F901" t="s">
        <v>559</v>
      </c>
      <c r="G901" t="s">
        <v>560</v>
      </c>
    </row>
    <row r="902" spans="1:7">
      <c r="A902" t="s">
        <v>182</v>
      </c>
      <c r="B902" t="s">
        <v>557</v>
      </c>
      <c r="C902" t="s">
        <v>558</v>
      </c>
      <c r="D902" t="s">
        <v>1459</v>
      </c>
      <c r="E902">
        <v>-900</v>
      </c>
      <c r="F902" t="s">
        <v>559</v>
      </c>
      <c r="G902" t="s">
        <v>560</v>
      </c>
    </row>
    <row r="903" spans="1:7">
      <c r="A903" t="s">
        <v>182</v>
      </c>
      <c r="B903" t="s">
        <v>557</v>
      </c>
      <c r="C903" t="s">
        <v>558</v>
      </c>
      <c r="D903" t="s">
        <v>1460</v>
      </c>
      <c r="E903">
        <v>-901</v>
      </c>
      <c r="F903" t="s">
        <v>559</v>
      </c>
      <c r="G903" t="s">
        <v>560</v>
      </c>
    </row>
    <row r="904" spans="1:7">
      <c r="A904" t="s">
        <v>182</v>
      </c>
      <c r="B904" t="s">
        <v>557</v>
      </c>
      <c r="C904" t="s">
        <v>558</v>
      </c>
      <c r="D904" t="s">
        <v>1461</v>
      </c>
      <c r="E904">
        <v>-902</v>
      </c>
      <c r="F904" t="s">
        <v>559</v>
      </c>
      <c r="G904" t="s">
        <v>560</v>
      </c>
    </row>
    <row r="905" spans="1:7">
      <c r="A905" t="s">
        <v>182</v>
      </c>
      <c r="B905" t="s">
        <v>557</v>
      </c>
      <c r="C905" t="s">
        <v>558</v>
      </c>
      <c r="D905" t="s">
        <v>1462</v>
      </c>
      <c r="E905">
        <v>-903</v>
      </c>
      <c r="F905" t="s">
        <v>559</v>
      </c>
      <c r="G905" t="s">
        <v>560</v>
      </c>
    </row>
    <row r="906" spans="1:7">
      <c r="A906" t="s">
        <v>182</v>
      </c>
      <c r="B906" t="s">
        <v>557</v>
      </c>
      <c r="C906" t="s">
        <v>558</v>
      </c>
      <c r="D906" t="s">
        <v>1463</v>
      </c>
      <c r="E906">
        <v>-904</v>
      </c>
      <c r="F906" t="s">
        <v>559</v>
      </c>
      <c r="G906" t="s">
        <v>560</v>
      </c>
    </row>
    <row r="907" spans="1:7">
      <c r="A907" t="s">
        <v>182</v>
      </c>
      <c r="B907" t="s">
        <v>557</v>
      </c>
      <c r="C907" t="s">
        <v>558</v>
      </c>
      <c r="D907" t="s">
        <v>1464</v>
      </c>
      <c r="E907">
        <v>-905</v>
      </c>
      <c r="F907" t="s">
        <v>559</v>
      </c>
      <c r="G907" t="s">
        <v>560</v>
      </c>
    </row>
    <row r="908" spans="1:7">
      <c r="A908" t="s">
        <v>182</v>
      </c>
      <c r="B908" t="s">
        <v>557</v>
      </c>
      <c r="C908" t="s">
        <v>558</v>
      </c>
      <c r="D908" t="s">
        <v>1465</v>
      </c>
      <c r="E908">
        <v>-906</v>
      </c>
      <c r="F908" t="s">
        <v>559</v>
      </c>
      <c r="G908" t="s">
        <v>560</v>
      </c>
    </row>
    <row r="909" spans="1:7">
      <c r="A909" t="s">
        <v>182</v>
      </c>
      <c r="B909" t="s">
        <v>557</v>
      </c>
      <c r="C909" t="s">
        <v>558</v>
      </c>
      <c r="D909" t="s">
        <v>1466</v>
      </c>
      <c r="E909">
        <v>-907</v>
      </c>
      <c r="F909" t="s">
        <v>559</v>
      </c>
      <c r="G909" t="s">
        <v>560</v>
      </c>
    </row>
    <row r="910" spans="1:7">
      <c r="A910" t="s">
        <v>182</v>
      </c>
      <c r="B910" t="s">
        <v>557</v>
      </c>
      <c r="C910" t="s">
        <v>558</v>
      </c>
      <c r="D910" t="s">
        <v>1467</v>
      </c>
      <c r="E910">
        <v>-908</v>
      </c>
      <c r="F910" t="s">
        <v>559</v>
      </c>
      <c r="G910" t="s">
        <v>560</v>
      </c>
    </row>
    <row r="911" spans="1:7">
      <c r="A911" t="s">
        <v>182</v>
      </c>
      <c r="B911" t="s">
        <v>557</v>
      </c>
      <c r="C911" t="s">
        <v>558</v>
      </c>
      <c r="D911" t="s">
        <v>1468</v>
      </c>
      <c r="E911">
        <v>-909</v>
      </c>
      <c r="F911" t="s">
        <v>559</v>
      </c>
      <c r="G911" t="s">
        <v>560</v>
      </c>
    </row>
    <row r="912" spans="1:7">
      <c r="A912" t="s">
        <v>182</v>
      </c>
      <c r="B912" t="s">
        <v>557</v>
      </c>
      <c r="C912" t="s">
        <v>558</v>
      </c>
      <c r="D912" t="s">
        <v>1469</v>
      </c>
      <c r="E912">
        <v>-910</v>
      </c>
      <c r="F912" t="s">
        <v>559</v>
      </c>
      <c r="G912" t="s">
        <v>560</v>
      </c>
    </row>
    <row r="913" spans="1:7">
      <c r="A913" t="s">
        <v>182</v>
      </c>
      <c r="B913" t="s">
        <v>557</v>
      </c>
      <c r="C913" t="s">
        <v>558</v>
      </c>
      <c r="D913" t="s">
        <v>1470</v>
      </c>
      <c r="E913">
        <v>-911</v>
      </c>
      <c r="F913" t="s">
        <v>559</v>
      </c>
      <c r="G913" t="s">
        <v>560</v>
      </c>
    </row>
    <row r="914" spans="1:7">
      <c r="A914" t="s">
        <v>182</v>
      </c>
      <c r="B914" t="s">
        <v>557</v>
      </c>
      <c r="C914" t="s">
        <v>558</v>
      </c>
      <c r="D914" t="s">
        <v>1471</v>
      </c>
      <c r="E914">
        <v>-912</v>
      </c>
      <c r="F914" t="s">
        <v>559</v>
      </c>
      <c r="G914" t="s">
        <v>560</v>
      </c>
    </row>
    <row r="915" spans="1:7">
      <c r="A915" t="s">
        <v>182</v>
      </c>
      <c r="B915" t="s">
        <v>557</v>
      </c>
      <c r="C915" t="s">
        <v>558</v>
      </c>
      <c r="D915" t="s">
        <v>1472</v>
      </c>
      <c r="E915">
        <v>-913</v>
      </c>
      <c r="F915" t="s">
        <v>559</v>
      </c>
      <c r="G915" t="s">
        <v>560</v>
      </c>
    </row>
    <row r="916" spans="1:7">
      <c r="A916" t="s">
        <v>182</v>
      </c>
      <c r="B916" t="s">
        <v>557</v>
      </c>
      <c r="C916" t="s">
        <v>558</v>
      </c>
      <c r="D916" t="s">
        <v>1473</v>
      </c>
      <c r="E916">
        <v>-914</v>
      </c>
      <c r="F916" t="s">
        <v>559</v>
      </c>
      <c r="G916" t="s">
        <v>560</v>
      </c>
    </row>
    <row r="917" spans="1:7">
      <c r="A917" t="s">
        <v>182</v>
      </c>
      <c r="B917" t="s">
        <v>557</v>
      </c>
      <c r="C917" t="s">
        <v>558</v>
      </c>
      <c r="D917" t="s">
        <v>1474</v>
      </c>
      <c r="E917">
        <v>-915</v>
      </c>
      <c r="F917" t="s">
        <v>559</v>
      </c>
      <c r="G917" t="s">
        <v>560</v>
      </c>
    </row>
    <row r="918" spans="1:7">
      <c r="A918" t="s">
        <v>182</v>
      </c>
      <c r="B918" t="s">
        <v>557</v>
      </c>
      <c r="C918" t="s">
        <v>558</v>
      </c>
      <c r="D918" t="s">
        <v>1475</v>
      </c>
      <c r="E918">
        <v>-916</v>
      </c>
      <c r="F918" t="s">
        <v>559</v>
      </c>
      <c r="G918" t="s">
        <v>560</v>
      </c>
    </row>
    <row r="919" spans="1:7">
      <c r="A919" t="s">
        <v>182</v>
      </c>
      <c r="B919" t="s">
        <v>557</v>
      </c>
      <c r="C919" t="s">
        <v>558</v>
      </c>
      <c r="D919" t="s">
        <v>1476</v>
      </c>
      <c r="E919">
        <v>-917</v>
      </c>
      <c r="F919" t="s">
        <v>559</v>
      </c>
      <c r="G919" t="s">
        <v>560</v>
      </c>
    </row>
    <row r="920" spans="1:7">
      <c r="A920" t="s">
        <v>182</v>
      </c>
      <c r="B920" t="s">
        <v>557</v>
      </c>
      <c r="C920" t="s">
        <v>558</v>
      </c>
      <c r="D920" t="s">
        <v>1477</v>
      </c>
      <c r="E920">
        <v>-918</v>
      </c>
      <c r="F920" t="s">
        <v>559</v>
      </c>
      <c r="G920" t="s">
        <v>560</v>
      </c>
    </row>
    <row r="921" spans="1:7">
      <c r="A921" t="s">
        <v>182</v>
      </c>
      <c r="B921" t="s">
        <v>557</v>
      </c>
      <c r="C921" t="s">
        <v>558</v>
      </c>
      <c r="D921" t="s">
        <v>1478</v>
      </c>
      <c r="E921">
        <v>-919</v>
      </c>
      <c r="F921" t="s">
        <v>559</v>
      </c>
      <c r="G921" t="s">
        <v>560</v>
      </c>
    </row>
    <row r="922" spans="1:7">
      <c r="A922" t="s">
        <v>182</v>
      </c>
      <c r="B922" t="s">
        <v>557</v>
      </c>
      <c r="C922" t="s">
        <v>558</v>
      </c>
      <c r="D922" t="s">
        <v>1479</v>
      </c>
      <c r="E922">
        <v>-920</v>
      </c>
      <c r="F922" t="s">
        <v>559</v>
      </c>
      <c r="G922" t="s">
        <v>560</v>
      </c>
    </row>
    <row r="923" spans="1:7">
      <c r="A923" t="s">
        <v>182</v>
      </c>
      <c r="B923" t="s">
        <v>557</v>
      </c>
      <c r="C923" t="s">
        <v>558</v>
      </c>
      <c r="D923" t="s">
        <v>1480</v>
      </c>
      <c r="E923">
        <v>-921</v>
      </c>
      <c r="F923" t="s">
        <v>559</v>
      </c>
      <c r="G923" t="s">
        <v>560</v>
      </c>
    </row>
    <row r="924" spans="1:7">
      <c r="A924" t="s">
        <v>182</v>
      </c>
      <c r="B924" t="s">
        <v>557</v>
      </c>
      <c r="C924" t="s">
        <v>558</v>
      </c>
      <c r="D924" t="s">
        <v>1481</v>
      </c>
      <c r="E924">
        <v>-922</v>
      </c>
      <c r="F924" t="s">
        <v>559</v>
      </c>
      <c r="G924" t="s">
        <v>560</v>
      </c>
    </row>
    <row r="925" spans="1:7">
      <c r="A925" t="s">
        <v>182</v>
      </c>
      <c r="B925" t="s">
        <v>557</v>
      </c>
      <c r="C925" t="s">
        <v>558</v>
      </c>
      <c r="D925" t="s">
        <v>1482</v>
      </c>
      <c r="E925">
        <v>-923</v>
      </c>
      <c r="F925" t="s">
        <v>559</v>
      </c>
      <c r="G925" t="s">
        <v>560</v>
      </c>
    </row>
    <row r="926" spans="1:7">
      <c r="A926" t="s">
        <v>182</v>
      </c>
      <c r="B926" t="s">
        <v>557</v>
      </c>
      <c r="C926" t="s">
        <v>558</v>
      </c>
      <c r="D926" t="s">
        <v>1483</v>
      </c>
      <c r="E926">
        <v>-924</v>
      </c>
      <c r="F926" t="s">
        <v>559</v>
      </c>
      <c r="G926" t="s">
        <v>560</v>
      </c>
    </row>
    <row r="927" spans="1:7">
      <c r="A927" t="s">
        <v>182</v>
      </c>
      <c r="B927" t="s">
        <v>557</v>
      </c>
      <c r="C927" t="s">
        <v>558</v>
      </c>
      <c r="D927" t="s">
        <v>1484</v>
      </c>
      <c r="E927">
        <v>-925</v>
      </c>
      <c r="F927" t="s">
        <v>559</v>
      </c>
      <c r="G927" t="s">
        <v>560</v>
      </c>
    </row>
    <row r="928" spans="1:7">
      <c r="A928" t="s">
        <v>182</v>
      </c>
      <c r="B928" t="s">
        <v>557</v>
      </c>
      <c r="C928" t="s">
        <v>558</v>
      </c>
      <c r="D928" t="s">
        <v>1485</v>
      </c>
      <c r="E928">
        <v>-926</v>
      </c>
      <c r="F928" t="s">
        <v>559</v>
      </c>
      <c r="G928" t="s">
        <v>560</v>
      </c>
    </row>
    <row r="929" spans="1:7">
      <c r="A929" t="s">
        <v>182</v>
      </c>
      <c r="B929" t="s">
        <v>557</v>
      </c>
      <c r="C929" t="s">
        <v>558</v>
      </c>
      <c r="D929" t="s">
        <v>1486</v>
      </c>
      <c r="E929">
        <v>-927</v>
      </c>
      <c r="F929" t="s">
        <v>559</v>
      </c>
      <c r="G929" t="s">
        <v>560</v>
      </c>
    </row>
    <row r="930" spans="1:7">
      <c r="A930" t="s">
        <v>182</v>
      </c>
      <c r="B930" t="s">
        <v>557</v>
      </c>
      <c r="C930" t="s">
        <v>558</v>
      </c>
      <c r="D930" t="s">
        <v>1487</v>
      </c>
      <c r="E930">
        <v>-928</v>
      </c>
      <c r="F930" t="s">
        <v>559</v>
      </c>
      <c r="G930" t="s">
        <v>560</v>
      </c>
    </row>
    <row r="931" spans="1:7">
      <c r="A931" t="s">
        <v>182</v>
      </c>
      <c r="B931" t="s">
        <v>557</v>
      </c>
      <c r="C931" t="s">
        <v>558</v>
      </c>
      <c r="D931" t="s">
        <v>1488</v>
      </c>
      <c r="E931">
        <v>-929</v>
      </c>
      <c r="F931" t="s">
        <v>559</v>
      </c>
      <c r="G931" t="s">
        <v>560</v>
      </c>
    </row>
    <row r="932" spans="1:7">
      <c r="A932" t="s">
        <v>182</v>
      </c>
      <c r="B932" t="s">
        <v>557</v>
      </c>
      <c r="C932" t="s">
        <v>558</v>
      </c>
      <c r="D932" t="s">
        <v>1489</v>
      </c>
      <c r="E932">
        <v>-930</v>
      </c>
      <c r="F932" t="s">
        <v>559</v>
      </c>
      <c r="G932" t="s">
        <v>560</v>
      </c>
    </row>
    <row r="933" spans="1:7">
      <c r="A933" t="s">
        <v>182</v>
      </c>
      <c r="B933" t="s">
        <v>557</v>
      </c>
      <c r="C933" t="s">
        <v>558</v>
      </c>
      <c r="D933" t="s">
        <v>1490</v>
      </c>
      <c r="E933">
        <v>-931</v>
      </c>
      <c r="F933" t="s">
        <v>559</v>
      </c>
      <c r="G933" t="s">
        <v>560</v>
      </c>
    </row>
    <row r="934" spans="1:7">
      <c r="A934" t="s">
        <v>182</v>
      </c>
      <c r="B934" t="s">
        <v>557</v>
      </c>
      <c r="C934" t="s">
        <v>558</v>
      </c>
      <c r="D934" t="s">
        <v>1491</v>
      </c>
      <c r="E934">
        <v>-932</v>
      </c>
      <c r="F934" t="s">
        <v>559</v>
      </c>
      <c r="G934" t="s">
        <v>560</v>
      </c>
    </row>
    <row r="935" spans="1:7">
      <c r="A935" t="s">
        <v>182</v>
      </c>
      <c r="B935" t="s">
        <v>557</v>
      </c>
      <c r="C935" t="s">
        <v>558</v>
      </c>
      <c r="D935" t="s">
        <v>1492</v>
      </c>
      <c r="E935">
        <v>-933</v>
      </c>
      <c r="F935" t="s">
        <v>559</v>
      </c>
      <c r="G935" t="s">
        <v>560</v>
      </c>
    </row>
    <row r="936" spans="1:7">
      <c r="A936" t="s">
        <v>182</v>
      </c>
      <c r="B936" t="s">
        <v>557</v>
      </c>
      <c r="C936" t="s">
        <v>558</v>
      </c>
      <c r="D936" t="s">
        <v>1493</v>
      </c>
      <c r="E936">
        <v>-934</v>
      </c>
      <c r="F936" t="s">
        <v>559</v>
      </c>
      <c r="G936" t="s">
        <v>560</v>
      </c>
    </row>
    <row r="937" spans="1:7">
      <c r="A937" t="s">
        <v>182</v>
      </c>
      <c r="B937" t="s">
        <v>557</v>
      </c>
      <c r="C937" t="s">
        <v>558</v>
      </c>
      <c r="D937" t="s">
        <v>1494</v>
      </c>
      <c r="E937">
        <v>-935</v>
      </c>
      <c r="F937" t="s">
        <v>559</v>
      </c>
      <c r="G937" t="s">
        <v>560</v>
      </c>
    </row>
    <row r="938" spans="1:7">
      <c r="A938" t="s">
        <v>182</v>
      </c>
      <c r="B938" t="s">
        <v>557</v>
      </c>
      <c r="C938" t="s">
        <v>558</v>
      </c>
      <c r="D938" t="s">
        <v>1495</v>
      </c>
      <c r="E938">
        <v>-936</v>
      </c>
      <c r="F938" t="s">
        <v>559</v>
      </c>
      <c r="G938" t="s">
        <v>560</v>
      </c>
    </row>
    <row r="939" spans="1:7">
      <c r="A939" t="s">
        <v>182</v>
      </c>
      <c r="B939" t="s">
        <v>557</v>
      </c>
      <c r="C939" t="s">
        <v>558</v>
      </c>
      <c r="D939" t="s">
        <v>1496</v>
      </c>
      <c r="E939">
        <v>-937</v>
      </c>
      <c r="F939" t="s">
        <v>559</v>
      </c>
      <c r="G939" t="s">
        <v>560</v>
      </c>
    </row>
    <row r="940" spans="1:7">
      <c r="A940" t="s">
        <v>182</v>
      </c>
      <c r="B940" t="s">
        <v>557</v>
      </c>
      <c r="C940" t="s">
        <v>558</v>
      </c>
      <c r="D940" t="s">
        <v>1497</v>
      </c>
      <c r="E940">
        <v>-938</v>
      </c>
      <c r="F940" t="s">
        <v>559</v>
      </c>
      <c r="G940" t="s">
        <v>560</v>
      </c>
    </row>
    <row r="941" spans="1:7">
      <c r="A941" t="s">
        <v>182</v>
      </c>
      <c r="B941" t="s">
        <v>557</v>
      </c>
      <c r="C941" t="s">
        <v>558</v>
      </c>
      <c r="D941" t="s">
        <v>1498</v>
      </c>
      <c r="E941">
        <v>-939</v>
      </c>
      <c r="F941" t="s">
        <v>559</v>
      </c>
      <c r="G941" t="s">
        <v>560</v>
      </c>
    </row>
    <row r="942" spans="1:7">
      <c r="A942" t="s">
        <v>182</v>
      </c>
      <c r="B942" t="s">
        <v>557</v>
      </c>
      <c r="C942" t="s">
        <v>558</v>
      </c>
      <c r="D942" t="s">
        <v>1499</v>
      </c>
      <c r="E942">
        <v>-940</v>
      </c>
      <c r="F942" t="s">
        <v>559</v>
      </c>
      <c r="G942" t="s">
        <v>560</v>
      </c>
    </row>
    <row r="943" spans="1:7">
      <c r="A943" t="s">
        <v>182</v>
      </c>
      <c r="B943" t="s">
        <v>557</v>
      </c>
      <c r="C943" t="s">
        <v>558</v>
      </c>
      <c r="D943" t="s">
        <v>1500</v>
      </c>
      <c r="E943">
        <v>-941</v>
      </c>
      <c r="F943" t="s">
        <v>559</v>
      </c>
      <c r="G943" t="s">
        <v>560</v>
      </c>
    </row>
    <row r="944" spans="1:7">
      <c r="A944" t="s">
        <v>182</v>
      </c>
      <c r="B944" t="s">
        <v>557</v>
      </c>
      <c r="C944" t="s">
        <v>558</v>
      </c>
      <c r="D944" t="s">
        <v>1501</v>
      </c>
      <c r="E944">
        <v>-942</v>
      </c>
      <c r="F944" t="s">
        <v>559</v>
      </c>
      <c r="G944" t="s">
        <v>560</v>
      </c>
    </row>
    <row r="945" spans="1:7">
      <c r="A945" t="s">
        <v>182</v>
      </c>
      <c r="B945" t="s">
        <v>557</v>
      </c>
      <c r="C945" t="s">
        <v>558</v>
      </c>
      <c r="D945" t="s">
        <v>1502</v>
      </c>
      <c r="E945">
        <v>-943</v>
      </c>
      <c r="F945" t="s">
        <v>559</v>
      </c>
      <c r="G945" t="s">
        <v>560</v>
      </c>
    </row>
    <row r="946" spans="1:7">
      <c r="A946" t="s">
        <v>182</v>
      </c>
      <c r="B946" t="s">
        <v>557</v>
      </c>
      <c r="C946" t="s">
        <v>558</v>
      </c>
      <c r="D946" t="s">
        <v>1503</v>
      </c>
      <c r="E946">
        <v>-944</v>
      </c>
      <c r="F946" t="s">
        <v>559</v>
      </c>
      <c r="G946" t="s">
        <v>560</v>
      </c>
    </row>
    <row r="947" spans="1:7">
      <c r="A947" t="s">
        <v>182</v>
      </c>
      <c r="B947" t="s">
        <v>557</v>
      </c>
      <c r="C947" t="s">
        <v>558</v>
      </c>
      <c r="D947" t="s">
        <v>1504</v>
      </c>
      <c r="E947">
        <v>-945</v>
      </c>
      <c r="F947" t="s">
        <v>559</v>
      </c>
      <c r="G947" t="s">
        <v>560</v>
      </c>
    </row>
    <row r="948" spans="1:7">
      <c r="A948" t="s">
        <v>182</v>
      </c>
      <c r="B948" t="s">
        <v>557</v>
      </c>
      <c r="C948" t="s">
        <v>558</v>
      </c>
      <c r="D948" t="s">
        <v>1505</v>
      </c>
      <c r="E948">
        <v>-946</v>
      </c>
      <c r="F948" t="s">
        <v>559</v>
      </c>
      <c r="G948" t="s">
        <v>560</v>
      </c>
    </row>
    <row r="949" spans="1:7">
      <c r="A949" t="s">
        <v>182</v>
      </c>
      <c r="B949" t="s">
        <v>557</v>
      </c>
      <c r="C949" t="s">
        <v>558</v>
      </c>
      <c r="D949" t="s">
        <v>1506</v>
      </c>
      <c r="E949">
        <v>-947</v>
      </c>
      <c r="F949" t="s">
        <v>559</v>
      </c>
      <c r="G949" t="s">
        <v>560</v>
      </c>
    </row>
    <row r="950" spans="1:7">
      <c r="A950" t="s">
        <v>182</v>
      </c>
      <c r="B950" t="s">
        <v>557</v>
      </c>
      <c r="C950" t="s">
        <v>558</v>
      </c>
      <c r="D950" t="s">
        <v>1507</v>
      </c>
      <c r="E950">
        <v>-948</v>
      </c>
      <c r="F950" t="s">
        <v>559</v>
      </c>
      <c r="G950" t="s">
        <v>560</v>
      </c>
    </row>
    <row r="951" spans="1:7">
      <c r="A951" t="s">
        <v>182</v>
      </c>
      <c r="B951" t="s">
        <v>557</v>
      </c>
      <c r="C951" t="s">
        <v>558</v>
      </c>
      <c r="D951" t="s">
        <v>1508</v>
      </c>
      <c r="E951">
        <v>-949</v>
      </c>
      <c r="F951" t="s">
        <v>559</v>
      </c>
      <c r="G951" t="s">
        <v>560</v>
      </c>
    </row>
    <row r="952" spans="1:7">
      <c r="A952" t="s">
        <v>182</v>
      </c>
      <c r="B952" t="s">
        <v>557</v>
      </c>
      <c r="C952" t="s">
        <v>558</v>
      </c>
      <c r="D952" t="s">
        <v>1509</v>
      </c>
      <c r="E952">
        <v>-950</v>
      </c>
      <c r="F952" t="s">
        <v>559</v>
      </c>
      <c r="G952" t="s">
        <v>560</v>
      </c>
    </row>
    <row r="953" spans="1:7">
      <c r="A953" t="s">
        <v>182</v>
      </c>
      <c r="B953" t="s">
        <v>557</v>
      </c>
      <c r="C953" t="s">
        <v>558</v>
      </c>
      <c r="D953" t="s">
        <v>1510</v>
      </c>
      <c r="E953">
        <v>-951</v>
      </c>
      <c r="F953" t="s">
        <v>559</v>
      </c>
      <c r="G953" t="s">
        <v>560</v>
      </c>
    </row>
    <row r="954" spans="1:7">
      <c r="A954" t="s">
        <v>182</v>
      </c>
      <c r="B954" t="s">
        <v>557</v>
      </c>
      <c r="C954" t="s">
        <v>558</v>
      </c>
      <c r="D954" t="s">
        <v>1511</v>
      </c>
      <c r="E954">
        <v>-952</v>
      </c>
      <c r="F954" t="s">
        <v>559</v>
      </c>
      <c r="G954" t="s">
        <v>560</v>
      </c>
    </row>
    <row r="955" spans="1:7">
      <c r="A955" t="s">
        <v>182</v>
      </c>
      <c r="B955" t="s">
        <v>557</v>
      </c>
      <c r="C955" t="s">
        <v>558</v>
      </c>
      <c r="D955" t="s">
        <v>1512</v>
      </c>
      <c r="E955">
        <v>-953</v>
      </c>
      <c r="F955" t="s">
        <v>559</v>
      </c>
      <c r="G955" t="s">
        <v>560</v>
      </c>
    </row>
    <row r="956" spans="1:7">
      <c r="A956" t="s">
        <v>182</v>
      </c>
      <c r="B956" t="s">
        <v>557</v>
      </c>
      <c r="C956" t="s">
        <v>558</v>
      </c>
      <c r="D956" t="s">
        <v>1513</v>
      </c>
      <c r="E956">
        <v>-954</v>
      </c>
      <c r="F956" t="s">
        <v>559</v>
      </c>
      <c r="G956" t="s">
        <v>560</v>
      </c>
    </row>
    <row r="957" spans="1:7">
      <c r="A957" t="s">
        <v>182</v>
      </c>
      <c r="B957" t="s">
        <v>557</v>
      </c>
      <c r="C957" t="s">
        <v>558</v>
      </c>
      <c r="D957" t="s">
        <v>1514</v>
      </c>
      <c r="E957">
        <v>-955</v>
      </c>
      <c r="F957" t="s">
        <v>559</v>
      </c>
      <c r="G957" t="s">
        <v>560</v>
      </c>
    </row>
    <row r="958" spans="1:7">
      <c r="A958" t="s">
        <v>182</v>
      </c>
      <c r="B958" t="s">
        <v>557</v>
      </c>
      <c r="C958" t="s">
        <v>558</v>
      </c>
      <c r="D958" t="s">
        <v>1515</v>
      </c>
      <c r="E958">
        <v>-956</v>
      </c>
      <c r="F958" t="s">
        <v>559</v>
      </c>
      <c r="G958" t="s">
        <v>560</v>
      </c>
    </row>
    <row r="959" spans="1:7">
      <c r="A959" t="s">
        <v>182</v>
      </c>
      <c r="B959" t="s">
        <v>557</v>
      </c>
      <c r="C959" t="s">
        <v>558</v>
      </c>
      <c r="D959" t="s">
        <v>1516</v>
      </c>
      <c r="E959">
        <v>-957</v>
      </c>
      <c r="F959" t="s">
        <v>559</v>
      </c>
      <c r="G959" t="s">
        <v>560</v>
      </c>
    </row>
    <row r="960" spans="1:7">
      <c r="A960" t="s">
        <v>182</v>
      </c>
      <c r="B960" t="s">
        <v>557</v>
      </c>
      <c r="C960" t="s">
        <v>558</v>
      </c>
      <c r="D960" t="s">
        <v>1517</v>
      </c>
      <c r="E960">
        <v>-958</v>
      </c>
      <c r="F960" t="s">
        <v>559</v>
      </c>
      <c r="G960" t="s">
        <v>560</v>
      </c>
    </row>
    <row r="961" spans="1:7">
      <c r="A961" t="s">
        <v>182</v>
      </c>
      <c r="B961" t="s">
        <v>557</v>
      </c>
      <c r="C961" t="s">
        <v>558</v>
      </c>
      <c r="D961" t="s">
        <v>1518</v>
      </c>
      <c r="E961">
        <v>-959</v>
      </c>
      <c r="F961" t="s">
        <v>559</v>
      </c>
      <c r="G961" t="s">
        <v>560</v>
      </c>
    </row>
    <row r="962" spans="1:7">
      <c r="A962" t="s">
        <v>182</v>
      </c>
      <c r="B962" t="s">
        <v>557</v>
      </c>
      <c r="C962" t="s">
        <v>558</v>
      </c>
      <c r="D962" t="s">
        <v>1519</v>
      </c>
      <c r="E962">
        <v>-960</v>
      </c>
      <c r="F962" t="s">
        <v>559</v>
      </c>
      <c r="G962" t="s">
        <v>560</v>
      </c>
    </row>
    <row r="963" spans="1:7">
      <c r="A963" t="s">
        <v>182</v>
      </c>
      <c r="B963" t="s">
        <v>557</v>
      </c>
      <c r="C963" t="s">
        <v>558</v>
      </c>
      <c r="D963" t="s">
        <v>1520</v>
      </c>
      <c r="E963">
        <v>-961</v>
      </c>
      <c r="F963" t="s">
        <v>559</v>
      </c>
      <c r="G963" t="s">
        <v>560</v>
      </c>
    </row>
    <row r="964" spans="1:7">
      <c r="A964" t="s">
        <v>182</v>
      </c>
      <c r="B964" t="s">
        <v>557</v>
      </c>
      <c r="C964" t="s">
        <v>558</v>
      </c>
      <c r="D964" t="s">
        <v>1521</v>
      </c>
      <c r="E964">
        <v>-962</v>
      </c>
      <c r="F964" t="s">
        <v>559</v>
      </c>
      <c r="G964" t="s">
        <v>560</v>
      </c>
    </row>
    <row r="965" spans="1:7">
      <c r="A965" t="s">
        <v>182</v>
      </c>
      <c r="B965" t="s">
        <v>557</v>
      </c>
      <c r="C965" t="s">
        <v>558</v>
      </c>
      <c r="D965" t="s">
        <v>1522</v>
      </c>
      <c r="E965">
        <v>-963</v>
      </c>
      <c r="F965" t="s">
        <v>559</v>
      </c>
      <c r="G965" t="s">
        <v>560</v>
      </c>
    </row>
    <row r="966" spans="1:7">
      <c r="A966" t="s">
        <v>182</v>
      </c>
      <c r="B966" t="s">
        <v>557</v>
      </c>
      <c r="C966" t="s">
        <v>558</v>
      </c>
      <c r="D966" t="s">
        <v>1523</v>
      </c>
      <c r="E966">
        <v>-964</v>
      </c>
      <c r="F966" t="s">
        <v>559</v>
      </c>
      <c r="G966" t="s">
        <v>560</v>
      </c>
    </row>
    <row r="967" spans="1:7">
      <c r="A967" t="s">
        <v>182</v>
      </c>
      <c r="B967" t="s">
        <v>557</v>
      </c>
      <c r="C967" t="s">
        <v>558</v>
      </c>
      <c r="D967" t="s">
        <v>1524</v>
      </c>
      <c r="E967">
        <v>-965</v>
      </c>
      <c r="F967" t="s">
        <v>559</v>
      </c>
      <c r="G967" t="s">
        <v>560</v>
      </c>
    </row>
    <row r="968" spans="1:7">
      <c r="A968" t="s">
        <v>182</v>
      </c>
      <c r="B968" t="s">
        <v>557</v>
      </c>
      <c r="C968" t="s">
        <v>558</v>
      </c>
      <c r="D968" t="s">
        <v>1525</v>
      </c>
      <c r="E968">
        <v>-966</v>
      </c>
      <c r="F968" t="s">
        <v>559</v>
      </c>
      <c r="G968" t="s">
        <v>560</v>
      </c>
    </row>
    <row r="969" spans="1:7">
      <c r="A969" t="s">
        <v>182</v>
      </c>
      <c r="B969" t="s">
        <v>557</v>
      </c>
      <c r="C969" t="s">
        <v>558</v>
      </c>
      <c r="D969" t="s">
        <v>1526</v>
      </c>
      <c r="E969">
        <v>-967</v>
      </c>
      <c r="F969" t="s">
        <v>559</v>
      </c>
      <c r="G969" t="s">
        <v>560</v>
      </c>
    </row>
    <row r="970" spans="1:7">
      <c r="A970" t="s">
        <v>182</v>
      </c>
      <c r="B970" t="s">
        <v>557</v>
      </c>
      <c r="C970" t="s">
        <v>558</v>
      </c>
      <c r="D970" t="s">
        <v>1527</v>
      </c>
      <c r="E970">
        <v>-968</v>
      </c>
      <c r="F970" t="s">
        <v>559</v>
      </c>
      <c r="G970" t="s">
        <v>560</v>
      </c>
    </row>
    <row r="971" spans="1:7">
      <c r="A971" t="s">
        <v>182</v>
      </c>
      <c r="B971" t="s">
        <v>557</v>
      </c>
      <c r="C971" t="s">
        <v>558</v>
      </c>
      <c r="D971" t="s">
        <v>1528</v>
      </c>
      <c r="E971">
        <v>-969</v>
      </c>
      <c r="F971" t="s">
        <v>559</v>
      </c>
      <c r="G971" t="s">
        <v>560</v>
      </c>
    </row>
    <row r="972" spans="1:7">
      <c r="A972" t="s">
        <v>182</v>
      </c>
      <c r="B972" t="s">
        <v>557</v>
      </c>
      <c r="C972" t="s">
        <v>558</v>
      </c>
      <c r="D972" t="s">
        <v>1529</v>
      </c>
      <c r="E972">
        <v>-970</v>
      </c>
      <c r="F972" t="s">
        <v>559</v>
      </c>
      <c r="G972" t="s">
        <v>560</v>
      </c>
    </row>
    <row r="973" spans="1:7">
      <c r="A973" t="s">
        <v>182</v>
      </c>
      <c r="B973" t="s">
        <v>557</v>
      </c>
      <c r="C973" t="s">
        <v>558</v>
      </c>
      <c r="D973" t="s">
        <v>1530</v>
      </c>
      <c r="E973">
        <v>-971</v>
      </c>
      <c r="F973" t="s">
        <v>559</v>
      </c>
      <c r="G973" t="s">
        <v>560</v>
      </c>
    </row>
    <row r="974" spans="1:7">
      <c r="A974" t="s">
        <v>182</v>
      </c>
      <c r="B974" t="s">
        <v>557</v>
      </c>
      <c r="C974" t="s">
        <v>558</v>
      </c>
      <c r="D974" t="s">
        <v>1531</v>
      </c>
      <c r="E974">
        <v>-972</v>
      </c>
      <c r="F974" t="s">
        <v>559</v>
      </c>
      <c r="G974" t="s">
        <v>560</v>
      </c>
    </row>
    <row r="975" spans="1:7">
      <c r="A975" t="s">
        <v>182</v>
      </c>
      <c r="B975" t="s">
        <v>557</v>
      </c>
      <c r="C975" t="s">
        <v>558</v>
      </c>
      <c r="D975" t="s">
        <v>1532</v>
      </c>
      <c r="E975">
        <v>-973</v>
      </c>
      <c r="F975" t="s">
        <v>559</v>
      </c>
      <c r="G975" t="s">
        <v>560</v>
      </c>
    </row>
    <row r="976" spans="1:7">
      <c r="A976" t="s">
        <v>182</v>
      </c>
      <c r="B976" t="s">
        <v>557</v>
      </c>
      <c r="C976" t="s">
        <v>558</v>
      </c>
      <c r="D976" t="s">
        <v>1533</v>
      </c>
      <c r="E976">
        <v>-974</v>
      </c>
      <c r="F976" t="s">
        <v>559</v>
      </c>
      <c r="G976" t="s">
        <v>560</v>
      </c>
    </row>
    <row r="977" spans="1:7">
      <c r="A977" t="s">
        <v>182</v>
      </c>
      <c r="B977" t="s">
        <v>557</v>
      </c>
      <c r="C977" t="s">
        <v>558</v>
      </c>
      <c r="D977" t="s">
        <v>1534</v>
      </c>
      <c r="E977">
        <v>-975</v>
      </c>
      <c r="F977" t="s">
        <v>559</v>
      </c>
      <c r="G977" t="s">
        <v>560</v>
      </c>
    </row>
    <row r="978" spans="1:7">
      <c r="A978" t="s">
        <v>182</v>
      </c>
      <c r="B978" t="s">
        <v>557</v>
      </c>
      <c r="C978" t="s">
        <v>558</v>
      </c>
      <c r="D978" t="s">
        <v>1535</v>
      </c>
      <c r="E978">
        <v>-976</v>
      </c>
      <c r="F978" t="s">
        <v>559</v>
      </c>
      <c r="G978" t="s">
        <v>560</v>
      </c>
    </row>
    <row r="979" spans="1:7">
      <c r="A979" t="s">
        <v>182</v>
      </c>
      <c r="B979" t="s">
        <v>557</v>
      </c>
      <c r="C979" t="s">
        <v>558</v>
      </c>
      <c r="D979" t="s">
        <v>1536</v>
      </c>
      <c r="E979">
        <v>-977</v>
      </c>
      <c r="F979" t="s">
        <v>559</v>
      </c>
      <c r="G979" t="s">
        <v>560</v>
      </c>
    </row>
    <row r="980" spans="1:7">
      <c r="A980" t="s">
        <v>182</v>
      </c>
      <c r="B980" t="s">
        <v>557</v>
      </c>
      <c r="C980" t="s">
        <v>558</v>
      </c>
      <c r="D980" t="s">
        <v>1537</v>
      </c>
      <c r="E980">
        <v>-978</v>
      </c>
      <c r="F980" t="s">
        <v>559</v>
      </c>
      <c r="G980" t="s">
        <v>560</v>
      </c>
    </row>
    <row r="981" spans="1:7">
      <c r="A981" t="s">
        <v>182</v>
      </c>
      <c r="B981" t="s">
        <v>557</v>
      </c>
      <c r="C981" t="s">
        <v>558</v>
      </c>
      <c r="D981" t="s">
        <v>1538</v>
      </c>
      <c r="E981">
        <v>-979</v>
      </c>
      <c r="F981" t="s">
        <v>559</v>
      </c>
      <c r="G981" t="s">
        <v>560</v>
      </c>
    </row>
    <row r="982" spans="1:7">
      <c r="A982" t="s">
        <v>182</v>
      </c>
      <c r="B982" t="s">
        <v>557</v>
      </c>
      <c r="C982" t="s">
        <v>558</v>
      </c>
      <c r="D982" t="s">
        <v>1539</v>
      </c>
      <c r="E982">
        <v>-980</v>
      </c>
      <c r="F982" t="s">
        <v>559</v>
      </c>
      <c r="G982" t="s">
        <v>560</v>
      </c>
    </row>
    <row r="983" spans="1:7">
      <c r="A983" t="s">
        <v>182</v>
      </c>
      <c r="B983" t="s">
        <v>557</v>
      </c>
      <c r="C983" t="s">
        <v>558</v>
      </c>
      <c r="D983" t="s">
        <v>1540</v>
      </c>
      <c r="E983">
        <v>-981</v>
      </c>
      <c r="F983" t="s">
        <v>559</v>
      </c>
      <c r="G983" t="s">
        <v>560</v>
      </c>
    </row>
    <row r="984" spans="1:7">
      <c r="A984" t="s">
        <v>182</v>
      </c>
      <c r="B984" t="s">
        <v>557</v>
      </c>
      <c r="C984" t="s">
        <v>558</v>
      </c>
      <c r="D984" t="s">
        <v>1541</v>
      </c>
      <c r="E984">
        <v>-982</v>
      </c>
      <c r="F984" t="s">
        <v>559</v>
      </c>
      <c r="G984" t="s">
        <v>560</v>
      </c>
    </row>
    <row r="985" spans="1:7">
      <c r="A985" t="s">
        <v>182</v>
      </c>
      <c r="B985" t="s">
        <v>557</v>
      </c>
      <c r="C985" t="s">
        <v>558</v>
      </c>
      <c r="D985" t="s">
        <v>1542</v>
      </c>
      <c r="E985">
        <v>-983</v>
      </c>
      <c r="F985" t="s">
        <v>559</v>
      </c>
      <c r="G985" t="s">
        <v>560</v>
      </c>
    </row>
    <row r="986" spans="1:7">
      <c r="A986" t="s">
        <v>182</v>
      </c>
      <c r="B986" t="s">
        <v>557</v>
      </c>
      <c r="C986" t="s">
        <v>558</v>
      </c>
      <c r="D986" t="s">
        <v>1543</v>
      </c>
      <c r="E986">
        <v>-984</v>
      </c>
      <c r="F986" t="s">
        <v>559</v>
      </c>
      <c r="G986" t="s">
        <v>560</v>
      </c>
    </row>
    <row r="987" spans="1:7">
      <c r="A987" t="s">
        <v>182</v>
      </c>
      <c r="B987" t="s">
        <v>557</v>
      </c>
      <c r="C987" t="s">
        <v>558</v>
      </c>
      <c r="D987" t="s">
        <v>1544</v>
      </c>
      <c r="E987">
        <v>-985</v>
      </c>
      <c r="F987" t="s">
        <v>559</v>
      </c>
      <c r="G987" t="s">
        <v>560</v>
      </c>
    </row>
    <row r="988" spans="1:7">
      <c r="A988" t="s">
        <v>182</v>
      </c>
      <c r="B988" t="s">
        <v>557</v>
      </c>
      <c r="C988" t="s">
        <v>558</v>
      </c>
      <c r="D988" t="s">
        <v>1545</v>
      </c>
      <c r="E988">
        <v>-986</v>
      </c>
      <c r="F988" t="s">
        <v>559</v>
      </c>
      <c r="G988" t="s">
        <v>560</v>
      </c>
    </row>
    <row r="989" spans="1:7">
      <c r="A989" t="s">
        <v>182</v>
      </c>
      <c r="B989" t="s">
        <v>557</v>
      </c>
      <c r="C989" t="s">
        <v>558</v>
      </c>
      <c r="D989" t="s">
        <v>1546</v>
      </c>
      <c r="E989">
        <v>-987</v>
      </c>
      <c r="F989" t="s">
        <v>559</v>
      </c>
      <c r="G989" t="s">
        <v>560</v>
      </c>
    </row>
    <row r="990" spans="1:7">
      <c r="A990" t="s">
        <v>182</v>
      </c>
      <c r="B990" t="s">
        <v>557</v>
      </c>
      <c r="C990" t="s">
        <v>558</v>
      </c>
      <c r="D990" t="s">
        <v>1547</v>
      </c>
      <c r="E990">
        <v>-988</v>
      </c>
      <c r="F990" t="s">
        <v>559</v>
      </c>
      <c r="G990" t="s">
        <v>560</v>
      </c>
    </row>
    <row r="991" spans="1:7">
      <c r="A991" t="s">
        <v>182</v>
      </c>
      <c r="B991" t="s">
        <v>557</v>
      </c>
      <c r="C991" t="s">
        <v>558</v>
      </c>
      <c r="D991" t="s">
        <v>1548</v>
      </c>
      <c r="E991">
        <v>-989</v>
      </c>
      <c r="F991" t="s">
        <v>559</v>
      </c>
      <c r="G991" t="s">
        <v>560</v>
      </c>
    </row>
    <row r="992" spans="1:7">
      <c r="A992" t="s">
        <v>182</v>
      </c>
      <c r="B992" t="s">
        <v>557</v>
      </c>
      <c r="C992" t="s">
        <v>558</v>
      </c>
      <c r="D992" t="s">
        <v>1549</v>
      </c>
      <c r="E992">
        <v>-990</v>
      </c>
      <c r="F992" t="s">
        <v>559</v>
      </c>
      <c r="G992" t="s">
        <v>560</v>
      </c>
    </row>
    <row r="993" spans="1:7">
      <c r="A993" t="s">
        <v>182</v>
      </c>
      <c r="B993" t="s">
        <v>557</v>
      </c>
      <c r="C993" t="s">
        <v>558</v>
      </c>
      <c r="D993" t="s">
        <v>1550</v>
      </c>
      <c r="E993">
        <v>-991</v>
      </c>
      <c r="F993" t="s">
        <v>559</v>
      </c>
      <c r="G993" t="s">
        <v>560</v>
      </c>
    </row>
    <row r="994" spans="1:7">
      <c r="A994" t="s">
        <v>182</v>
      </c>
      <c r="B994" t="s">
        <v>557</v>
      </c>
      <c r="C994" t="s">
        <v>558</v>
      </c>
      <c r="D994" t="s">
        <v>1551</v>
      </c>
      <c r="E994">
        <v>-992</v>
      </c>
      <c r="F994" t="s">
        <v>559</v>
      </c>
      <c r="G994" t="s">
        <v>560</v>
      </c>
    </row>
    <row r="995" spans="1:7">
      <c r="A995" t="s">
        <v>182</v>
      </c>
      <c r="B995" t="s">
        <v>557</v>
      </c>
      <c r="C995" t="s">
        <v>558</v>
      </c>
      <c r="D995" t="s">
        <v>1552</v>
      </c>
      <c r="E995">
        <v>-993</v>
      </c>
      <c r="F995" t="s">
        <v>559</v>
      </c>
      <c r="G995" t="s">
        <v>560</v>
      </c>
    </row>
    <row r="996" spans="1:7">
      <c r="A996" t="s">
        <v>182</v>
      </c>
      <c r="B996" t="s">
        <v>557</v>
      </c>
      <c r="C996" t="s">
        <v>558</v>
      </c>
      <c r="D996" t="s">
        <v>1553</v>
      </c>
      <c r="E996">
        <v>-994</v>
      </c>
      <c r="F996" t="s">
        <v>559</v>
      </c>
      <c r="G996" t="s">
        <v>560</v>
      </c>
    </row>
    <row r="997" spans="1:7">
      <c r="A997" t="s">
        <v>182</v>
      </c>
      <c r="B997" t="s">
        <v>557</v>
      </c>
      <c r="C997" t="s">
        <v>558</v>
      </c>
      <c r="D997" t="s">
        <v>1554</v>
      </c>
      <c r="E997">
        <v>-995</v>
      </c>
      <c r="F997" t="s">
        <v>559</v>
      </c>
      <c r="G997" t="s">
        <v>560</v>
      </c>
    </row>
    <row r="998" spans="1:7">
      <c r="A998" t="s">
        <v>182</v>
      </c>
      <c r="B998" t="s">
        <v>557</v>
      </c>
      <c r="C998" t="s">
        <v>558</v>
      </c>
      <c r="D998" t="s">
        <v>1555</v>
      </c>
      <c r="E998">
        <v>-996</v>
      </c>
      <c r="F998" t="s">
        <v>559</v>
      </c>
      <c r="G998" t="s">
        <v>560</v>
      </c>
    </row>
    <row r="999" spans="1:7">
      <c r="A999" t="s">
        <v>182</v>
      </c>
      <c r="B999" t="s">
        <v>557</v>
      </c>
      <c r="C999" t="s">
        <v>558</v>
      </c>
      <c r="D999" t="s">
        <v>1556</v>
      </c>
      <c r="E999">
        <v>-997</v>
      </c>
      <c r="F999" t="s">
        <v>559</v>
      </c>
      <c r="G999" t="s">
        <v>560</v>
      </c>
    </row>
    <row r="1000" spans="1:7">
      <c r="A1000" t="s">
        <v>182</v>
      </c>
      <c r="B1000" t="s">
        <v>557</v>
      </c>
      <c r="C1000" t="s">
        <v>558</v>
      </c>
      <c r="D1000" t="s">
        <v>1557</v>
      </c>
      <c r="E1000">
        <v>-998</v>
      </c>
      <c r="F1000" t="s">
        <v>559</v>
      </c>
      <c r="G1000" t="s">
        <v>560</v>
      </c>
    </row>
    <row r="1001" spans="1:7">
      <c r="A1001" t="s">
        <v>182</v>
      </c>
      <c r="B1001" t="s">
        <v>557</v>
      </c>
      <c r="C1001" t="s">
        <v>558</v>
      </c>
      <c r="D1001" t="s">
        <v>1558</v>
      </c>
      <c r="E1001">
        <v>-999</v>
      </c>
      <c r="F1001" t="s">
        <v>559</v>
      </c>
      <c r="G1001" t="s">
        <v>560</v>
      </c>
    </row>
    <row r="1002" spans="1:7">
      <c r="A1002" t="s">
        <v>182</v>
      </c>
      <c r="B1002" t="s">
        <v>557</v>
      </c>
      <c r="C1002" t="s">
        <v>558</v>
      </c>
      <c r="D1002" t="s">
        <v>1559</v>
      </c>
      <c r="E1002">
        <v>-1000</v>
      </c>
      <c r="F1002" t="s">
        <v>559</v>
      </c>
      <c r="G1002" t="s">
        <v>560</v>
      </c>
    </row>
    <row r="1003" spans="1:7">
      <c r="A1003" t="s">
        <v>182</v>
      </c>
      <c r="B1003" t="s">
        <v>557</v>
      </c>
      <c r="C1003" t="s">
        <v>558</v>
      </c>
      <c r="D1003" t="s">
        <v>1560</v>
      </c>
      <c r="E1003">
        <v>-1001</v>
      </c>
      <c r="F1003" t="s">
        <v>559</v>
      </c>
      <c r="G1003" t="s">
        <v>560</v>
      </c>
    </row>
    <row r="1004" spans="1:7">
      <c r="A1004" t="s">
        <v>182</v>
      </c>
      <c r="B1004" t="s">
        <v>557</v>
      </c>
      <c r="C1004" t="s">
        <v>558</v>
      </c>
      <c r="D1004" t="s">
        <v>1561</v>
      </c>
      <c r="E1004">
        <v>-1002</v>
      </c>
      <c r="F1004" t="s">
        <v>559</v>
      </c>
      <c r="G1004" t="s">
        <v>560</v>
      </c>
    </row>
    <row r="1005" spans="1:7">
      <c r="A1005" t="s">
        <v>182</v>
      </c>
      <c r="B1005" t="s">
        <v>557</v>
      </c>
      <c r="C1005" t="s">
        <v>558</v>
      </c>
      <c r="D1005" t="s">
        <v>1562</v>
      </c>
      <c r="E1005">
        <v>-1003</v>
      </c>
      <c r="F1005" t="s">
        <v>559</v>
      </c>
      <c r="G1005" t="s">
        <v>560</v>
      </c>
    </row>
    <row r="1006" spans="1:7">
      <c r="A1006" t="s">
        <v>182</v>
      </c>
      <c r="B1006" t="s">
        <v>557</v>
      </c>
      <c r="C1006" t="s">
        <v>558</v>
      </c>
      <c r="D1006" t="s">
        <v>1563</v>
      </c>
      <c r="E1006">
        <v>-1004</v>
      </c>
      <c r="F1006" t="s">
        <v>559</v>
      </c>
      <c r="G1006" t="s">
        <v>560</v>
      </c>
    </row>
    <row r="1007" spans="1:7">
      <c r="A1007" t="s">
        <v>182</v>
      </c>
      <c r="B1007" t="s">
        <v>557</v>
      </c>
      <c r="C1007" t="s">
        <v>558</v>
      </c>
      <c r="D1007" t="s">
        <v>1564</v>
      </c>
      <c r="E1007">
        <v>-1005</v>
      </c>
      <c r="F1007" t="s">
        <v>559</v>
      </c>
      <c r="G1007" t="s">
        <v>560</v>
      </c>
    </row>
    <row r="1008" spans="1:7">
      <c r="A1008" t="s">
        <v>182</v>
      </c>
      <c r="B1008" t="s">
        <v>557</v>
      </c>
      <c r="C1008" t="s">
        <v>558</v>
      </c>
      <c r="D1008" t="s">
        <v>1565</v>
      </c>
      <c r="E1008">
        <v>-1006</v>
      </c>
      <c r="F1008" t="s">
        <v>559</v>
      </c>
      <c r="G1008" t="s">
        <v>560</v>
      </c>
    </row>
    <row r="1009" spans="1:7">
      <c r="A1009" t="s">
        <v>182</v>
      </c>
      <c r="B1009" t="s">
        <v>557</v>
      </c>
      <c r="C1009" t="s">
        <v>558</v>
      </c>
      <c r="D1009" t="s">
        <v>1566</v>
      </c>
      <c r="E1009">
        <v>-1007</v>
      </c>
      <c r="F1009" t="s">
        <v>559</v>
      </c>
      <c r="G1009" t="s">
        <v>560</v>
      </c>
    </row>
    <row r="1010" spans="1:7">
      <c r="A1010" t="s">
        <v>182</v>
      </c>
      <c r="B1010" t="s">
        <v>557</v>
      </c>
      <c r="C1010" t="s">
        <v>558</v>
      </c>
      <c r="D1010" t="s">
        <v>1567</v>
      </c>
      <c r="E1010">
        <v>-1008</v>
      </c>
      <c r="F1010" t="s">
        <v>559</v>
      </c>
      <c r="G1010" t="s">
        <v>560</v>
      </c>
    </row>
    <row r="1011" spans="1:7">
      <c r="A1011" t="s">
        <v>182</v>
      </c>
      <c r="B1011" t="s">
        <v>557</v>
      </c>
      <c r="C1011" t="s">
        <v>558</v>
      </c>
      <c r="D1011" t="s">
        <v>1568</v>
      </c>
      <c r="E1011">
        <v>-1009</v>
      </c>
      <c r="F1011" t="s">
        <v>559</v>
      </c>
      <c r="G1011" t="s">
        <v>560</v>
      </c>
    </row>
    <row r="1012" spans="1:7">
      <c r="A1012" t="s">
        <v>182</v>
      </c>
      <c r="B1012" t="s">
        <v>557</v>
      </c>
      <c r="C1012" t="s">
        <v>558</v>
      </c>
      <c r="D1012" t="s">
        <v>1569</v>
      </c>
      <c r="E1012">
        <v>-1010</v>
      </c>
      <c r="F1012" t="s">
        <v>559</v>
      </c>
      <c r="G1012" t="s">
        <v>560</v>
      </c>
    </row>
    <row r="1013" spans="1:7">
      <c r="A1013" t="s">
        <v>182</v>
      </c>
      <c r="B1013" t="s">
        <v>557</v>
      </c>
      <c r="C1013" t="s">
        <v>558</v>
      </c>
      <c r="D1013" t="s">
        <v>1570</v>
      </c>
      <c r="E1013">
        <v>-1011</v>
      </c>
      <c r="F1013" t="s">
        <v>559</v>
      </c>
      <c r="G1013" t="s">
        <v>560</v>
      </c>
    </row>
    <row r="1014" spans="1:7">
      <c r="A1014" t="s">
        <v>182</v>
      </c>
      <c r="B1014" t="s">
        <v>557</v>
      </c>
      <c r="C1014" t="s">
        <v>558</v>
      </c>
      <c r="D1014" t="s">
        <v>1571</v>
      </c>
      <c r="E1014">
        <v>-1012</v>
      </c>
      <c r="F1014" t="s">
        <v>559</v>
      </c>
      <c r="G1014" t="s">
        <v>560</v>
      </c>
    </row>
    <row r="1015" spans="1:7">
      <c r="A1015" t="s">
        <v>182</v>
      </c>
      <c r="B1015" t="s">
        <v>557</v>
      </c>
      <c r="C1015" t="s">
        <v>558</v>
      </c>
      <c r="D1015" t="s">
        <v>1572</v>
      </c>
      <c r="E1015">
        <v>-1013</v>
      </c>
      <c r="F1015" t="s">
        <v>559</v>
      </c>
      <c r="G1015" t="s">
        <v>560</v>
      </c>
    </row>
    <row r="1016" spans="1:7">
      <c r="A1016" t="s">
        <v>182</v>
      </c>
      <c r="B1016" t="s">
        <v>557</v>
      </c>
      <c r="C1016" t="s">
        <v>558</v>
      </c>
      <c r="D1016" t="s">
        <v>1573</v>
      </c>
      <c r="E1016">
        <v>-1014</v>
      </c>
      <c r="F1016" t="s">
        <v>559</v>
      </c>
      <c r="G1016" t="s">
        <v>560</v>
      </c>
    </row>
    <row r="1017" spans="1:7">
      <c r="A1017" t="s">
        <v>182</v>
      </c>
      <c r="B1017" t="s">
        <v>557</v>
      </c>
      <c r="C1017" t="s">
        <v>558</v>
      </c>
      <c r="D1017" t="s">
        <v>1574</v>
      </c>
      <c r="E1017">
        <v>-1015</v>
      </c>
      <c r="F1017" t="s">
        <v>559</v>
      </c>
      <c r="G1017" t="s">
        <v>560</v>
      </c>
    </row>
    <row r="1018" spans="1:7">
      <c r="A1018" t="s">
        <v>182</v>
      </c>
      <c r="B1018" t="s">
        <v>557</v>
      </c>
      <c r="C1018" t="s">
        <v>558</v>
      </c>
      <c r="D1018" t="s">
        <v>1575</v>
      </c>
      <c r="E1018">
        <v>-1016</v>
      </c>
      <c r="F1018" t="s">
        <v>559</v>
      </c>
      <c r="G1018" t="s">
        <v>560</v>
      </c>
    </row>
    <row r="1019" spans="1:7">
      <c r="A1019" t="s">
        <v>182</v>
      </c>
      <c r="B1019" t="s">
        <v>557</v>
      </c>
      <c r="C1019" t="s">
        <v>558</v>
      </c>
      <c r="D1019" t="s">
        <v>1576</v>
      </c>
      <c r="E1019">
        <v>-1017</v>
      </c>
      <c r="F1019" t="s">
        <v>559</v>
      </c>
      <c r="G1019" t="s">
        <v>560</v>
      </c>
    </row>
    <row r="1020" spans="1:7">
      <c r="A1020" t="s">
        <v>182</v>
      </c>
      <c r="B1020" t="s">
        <v>557</v>
      </c>
      <c r="C1020" t="s">
        <v>558</v>
      </c>
      <c r="D1020" t="s">
        <v>1577</v>
      </c>
      <c r="E1020">
        <v>-1018</v>
      </c>
      <c r="F1020" t="s">
        <v>559</v>
      </c>
      <c r="G1020" t="s">
        <v>560</v>
      </c>
    </row>
    <row r="1021" spans="1:7">
      <c r="A1021" t="s">
        <v>182</v>
      </c>
      <c r="B1021" t="s">
        <v>557</v>
      </c>
      <c r="C1021" t="s">
        <v>558</v>
      </c>
      <c r="D1021" t="s">
        <v>1578</v>
      </c>
      <c r="E1021">
        <v>-1019</v>
      </c>
      <c r="F1021" t="s">
        <v>559</v>
      </c>
      <c r="G1021" t="s">
        <v>560</v>
      </c>
    </row>
    <row r="1022" spans="1:7">
      <c r="A1022" t="s">
        <v>182</v>
      </c>
      <c r="B1022" t="s">
        <v>557</v>
      </c>
      <c r="C1022" t="s">
        <v>558</v>
      </c>
      <c r="D1022" t="s">
        <v>1579</v>
      </c>
      <c r="E1022">
        <v>-1020</v>
      </c>
      <c r="F1022" t="s">
        <v>559</v>
      </c>
      <c r="G1022" t="s">
        <v>560</v>
      </c>
    </row>
    <row r="1023" spans="1:7">
      <c r="A1023" t="s">
        <v>182</v>
      </c>
      <c r="B1023" t="s">
        <v>557</v>
      </c>
      <c r="C1023" t="s">
        <v>558</v>
      </c>
      <c r="D1023" t="s">
        <v>1580</v>
      </c>
      <c r="E1023">
        <v>-1021</v>
      </c>
      <c r="F1023" t="s">
        <v>559</v>
      </c>
      <c r="G1023" t="s">
        <v>560</v>
      </c>
    </row>
    <row r="1024" spans="1:7">
      <c r="A1024" t="s">
        <v>182</v>
      </c>
      <c r="B1024" t="s">
        <v>557</v>
      </c>
      <c r="C1024" t="s">
        <v>558</v>
      </c>
      <c r="D1024" t="s">
        <v>1581</v>
      </c>
      <c r="E1024">
        <v>-1022</v>
      </c>
      <c r="F1024" t="s">
        <v>559</v>
      </c>
      <c r="G1024" t="s">
        <v>560</v>
      </c>
    </row>
    <row r="1025" spans="1:7">
      <c r="A1025" t="s">
        <v>182</v>
      </c>
      <c r="B1025" t="s">
        <v>557</v>
      </c>
      <c r="C1025" t="s">
        <v>558</v>
      </c>
      <c r="D1025" t="s">
        <v>1582</v>
      </c>
      <c r="E1025">
        <v>-1023</v>
      </c>
      <c r="F1025" t="s">
        <v>559</v>
      </c>
      <c r="G1025" t="s">
        <v>560</v>
      </c>
    </row>
    <row r="1026" spans="1:7">
      <c r="A1026" t="s">
        <v>182</v>
      </c>
      <c r="B1026" t="s">
        <v>557</v>
      </c>
      <c r="C1026" t="s">
        <v>558</v>
      </c>
      <c r="D1026" t="s">
        <v>1583</v>
      </c>
      <c r="E1026">
        <v>-1024</v>
      </c>
      <c r="F1026" t="s">
        <v>559</v>
      </c>
      <c r="G1026" t="s">
        <v>560</v>
      </c>
    </row>
    <row r="1027" spans="1:7">
      <c r="A1027" t="s">
        <v>182</v>
      </c>
      <c r="B1027" t="s">
        <v>557</v>
      </c>
      <c r="C1027" t="s">
        <v>558</v>
      </c>
      <c r="D1027" t="s">
        <v>1584</v>
      </c>
      <c r="E1027">
        <v>-1025</v>
      </c>
      <c r="F1027" t="s">
        <v>559</v>
      </c>
      <c r="G1027" t="s">
        <v>560</v>
      </c>
    </row>
    <row r="1028" spans="1:7">
      <c r="A1028" t="s">
        <v>182</v>
      </c>
      <c r="B1028" t="s">
        <v>557</v>
      </c>
      <c r="C1028" t="s">
        <v>558</v>
      </c>
      <c r="D1028" t="s">
        <v>1585</v>
      </c>
      <c r="E1028">
        <v>-1026</v>
      </c>
      <c r="F1028" t="s">
        <v>559</v>
      </c>
      <c r="G1028" t="s">
        <v>560</v>
      </c>
    </row>
    <row r="1029" spans="1:7">
      <c r="A1029" t="s">
        <v>182</v>
      </c>
      <c r="B1029" t="s">
        <v>557</v>
      </c>
      <c r="C1029" t="s">
        <v>558</v>
      </c>
      <c r="D1029" t="s">
        <v>1586</v>
      </c>
      <c r="E1029">
        <v>-1027</v>
      </c>
      <c r="F1029" t="s">
        <v>559</v>
      </c>
      <c r="G1029" t="s">
        <v>560</v>
      </c>
    </row>
    <row r="1030" spans="1:7">
      <c r="A1030" t="s">
        <v>182</v>
      </c>
      <c r="B1030" t="s">
        <v>557</v>
      </c>
      <c r="C1030" t="s">
        <v>558</v>
      </c>
      <c r="D1030" t="s">
        <v>1587</v>
      </c>
      <c r="E1030">
        <v>-1028</v>
      </c>
      <c r="F1030" t="s">
        <v>559</v>
      </c>
      <c r="G1030" t="s">
        <v>560</v>
      </c>
    </row>
    <row r="1031" spans="1:7">
      <c r="A1031" t="s">
        <v>182</v>
      </c>
      <c r="B1031" t="s">
        <v>557</v>
      </c>
      <c r="C1031" t="s">
        <v>558</v>
      </c>
      <c r="D1031" t="s">
        <v>1588</v>
      </c>
      <c r="E1031">
        <v>-1029</v>
      </c>
      <c r="F1031" t="s">
        <v>559</v>
      </c>
      <c r="G1031" t="s">
        <v>560</v>
      </c>
    </row>
    <row r="1032" spans="1:7">
      <c r="A1032" t="s">
        <v>182</v>
      </c>
      <c r="B1032" t="s">
        <v>557</v>
      </c>
      <c r="C1032" t="s">
        <v>558</v>
      </c>
      <c r="D1032" t="s">
        <v>1589</v>
      </c>
      <c r="E1032">
        <v>-1030</v>
      </c>
      <c r="F1032" t="s">
        <v>559</v>
      </c>
      <c r="G1032" t="s">
        <v>560</v>
      </c>
    </row>
    <row r="1033" spans="1:7">
      <c r="A1033" t="s">
        <v>182</v>
      </c>
      <c r="B1033" t="s">
        <v>557</v>
      </c>
      <c r="C1033" t="s">
        <v>558</v>
      </c>
      <c r="D1033" t="s">
        <v>1590</v>
      </c>
      <c r="E1033">
        <v>-1031</v>
      </c>
      <c r="F1033" t="s">
        <v>559</v>
      </c>
      <c r="G1033" t="s">
        <v>560</v>
      </c>
    </row>
    <row r="1034" spans="1:7">
      <c r="A1034" t="s">
        <v>182</v>
      </c>
      <c r="B1034" t="s">
        <v>557</v>
      </c>
      <c r="C1034" t="s">
        <v>558</v>
      </c>
      <c r="D1034" t="s">
        <v>1591</v>
      </c>
      <c r="E1034">
        <v>-1032</v>
      </c>
      <c r="F1034" t="s">
        <v>559</v>
      </c>
      <c r="G1034" t="s">
        <v>560</v>
      </c>
    </row>
    <row r="1035" spans="1:7">
      <c r="A1035" t="s">
        <v>182</v>
      </c>
      <c r="B1035" t="s">
        <v>557</v>
      </c>
      <c r="C1035" t="s">
        <v>558</v>
      </c>
      <c r="D1035" t="s">
        <v>1592</v>
      </c>
      <c r="E1035">
        <v>-1033</v>
      </c>
      <c r="F1035" t="s">
        <v>559</v>
      </c>
      <c r="G1035" t="s">
        <v>560</v>
      </c>
    </row>
    <row r="1036" spans="1:7">
      <c r="A1036" t="s">
        <v>182</v>
      </c>
      <c r="B1036" t="s">
        <v>557</v>
      </c>
      <c r="C1036" t="s">
        <v>558</v>
      </c>
      <c r="D1036" t="s">
        <v>1593</v>
      </c>
      <c r="E1036">
        <v>-1034</v>
      </c>
      <c r="F1036" t="s">
        <v>559</v>
      </c>
      <c r="G1036" t="s">
        <v>560</v>
      </c>
    </row>
    <row r="1037" spans="1:7">
      <c r="A1037" t="s">
        <v>182</v>
      </c>
      <c r="B1037" t="s">
        <v>557</v>
      </c>
      <c r="C1037" t="s">
        <v>558</v>
      </c>
      <c r="D1037" t="s">
        <v>1594</v>
      </c>
      <c r="E1037">
        <v>-1035</v>
      </c>
      <c r="F1037" t="s">
        <v>559</v>
      </c>
      <c r="G1037" t="s">
        <v>560</v>
      </c>
    </row>
    <row r="1038" spans="1:7">
      <c r="A1038" t="s">
        <v>182</v>
      </c>
      <c r="B1038" t="s">
        <v>557</v>
      </c>
      <c r="C1038" t="s">
        <v>558</v>
      </c>
      <c r="D1038" t="s">
        <v>1595</v>
      </c>
      <c r="E1038">
        <v>-1036</v>
      </c>
      <c r="F1038" t="s">
        <v>559</v>
      </c>
      <c r="G1038" t="s">
        <v>560</v>
      </c>
    </row>
    <row r="1039" spans="1:7">
      <c r="A1039" t="s">
        <v>182</v>
      </c>
      <c r="B1039" t="s">
        <v>557</v>
      </c>
      <c r="C1039" t="s">
        <v>558</v>
      </c>
      <c r="D1039" t="s">
        <v>1596</v>
      </c>
      <c r="E1039">
        <v>-1037</v>
      </c>
      <c r="F1039" t="s">
        <v>559</v>
      </c>
      <c r="G1039" t="s">
        <v>560</v>
      </c>
    </row>
    <row r="1040" spans="1:7">
      <c r="A1040" t="s">
        <v>182</v>
      </c>
      <c r="B1040" t="s">
        <v>557</v>
      </c>
      <c r="C1040" t="s">
        <v>558</v>
      </c>
      <c r="D1040" t="s">
        <v>1597</v>
      </c>
      <c r="E1040">
        <v>-1038</v>
      </c>
      <c r="F1040" t="s">
        <v>559</v>
      </c>
      <c r="G1040" t="s">
        <v>560</v>
      </c>
    </row>
    <row r="1041" spans="1:7">
      <c r="A1041" t="s">
        <v>182</v>
      </c>
      <c r="B1041" t="s">
        <v>557</v>
      </c>
      <c r="C1041" t="s">
        <v>558</v>
      </c>
      <c r="D1041" t="s">
        <v>1598</v>
      </c>
      <c r="E1041">
        <v>-1039</v>
      </c>
      <c r="F1041" t="s">
        <v>559</v>
      </c>
      <c r="G1041" t="s">
        <v>560</v>
      </c>
    </row>
    <row r="1042" spans="1:7">
      <c r="A1042" t="s">
        <v>182</v>
      </c>
      <c r="B1042" t="s">
        <v>557</v>
      </c>
      <c r="C1042" t="s">
        <v>558</v>
      </c>
      <c r="D1042" t="s">
        <v>1599</v>
      </c>
      <c r="E1042">
        <v>-1040</v>
      </c>
      <c r="F1042" t="s">
        <v>559</v>
      </c>
      <c r="G1042" t="s">
        <v>560</v>
      </c>
    </row>
    <row r="1043" spans="1:7">
      <c r="A1043" t="s">
        <v>182</v>
      </c>
      <c r="B1043" t="s">
        <v>557</v>
      </c>
      <c r="C1043" t="s">
        <v>558</v>
      </c>
      <c r="D1043" t="s">
        <v>1600</v>
      </c>
      <c r="E1043">
        <v>-1041</v>
      </c>
      <c r="F1043" t="s">
        <v>559</v>
      </c>
      <c r="G1043" t="s">
        <v>560</v>
      </c>
    </row>
    <row r="1044" spans="1:7">
      <c r="A1044" t="s">
        <v>182</v>
      </c>
      <c r="B1044" t="s">
        <v>557</v>
      </c>
      <c r="C1044" t="s">
        <v>558</v>
      </c>
      <c r="D1044" t="s">
        <v>1601</v>
      </c>
      <c r="E1044">
        <v>-1042</v>
      </c>
      <c r="F1044" t="s">
        <v>559</v>
      </c>
      <c r="G1044" t="s">
        <v>560</v>
      </c>
    </row>
    <row r="1045" spans="1:7">
      <c r="A1045" t="s">
        <v>182</v>
      </c>
      <c r="B1045" t="s">
        <v>557</v>
      </c>
      <c r="C1045" t="s">
        <v>558</v>
      </c>
      <c r="D1045" t="s">
        <v>1602</v>
      </c>
      <c r="E1045">
        <v>-1043</v>
      </c>
      <c r="F1045" t="s">
        <v>559</v>
      </c>
      <c r="G1045" t="s">
        <v>560</v>
      </c>
    </row>
    <row r="1046" spans="1:7">
      <c r="A1046" t="s">
        <v>182</v>
      </c>
      <c r="B1046" t="s">
        <v>557</v>
      </c>
      <c r="C1046" t="s">
        <v>558</v>
      </c>
      <c r="D1046" t="s">
        <v>1603</v>
      </c>
      <c r="E1046">
        <v>-1044</v>
      </c>
      <c r="F1046" t="s">
        <v>559</v>
      </c>
      <c r="G1046" t="s">
        <v>560</v>
      </c>
    </row>
    <row r="1047" spans="1:7">
      <c r="A1047" t="s">
        <v>182</v>
      </c>
      <c r="B1047" t="s">
        <v>557</v>
      </c>
      <c r="C1047" t="s">
        <v>558</v>
      </c>
      <c r="D1047" t="s">
        <v>1604</v>
      </c>
      <c r="E1047">
        <v>-1045</v>
      </c>
      <c r="F1047" t="s">
        <v>559</v>
      </c>
      <c r="G1047" t="s">
        <v>560</v>
      </c>
    </row>
    <row r="1048" spans="1:7">
      <c r="A1048" t="s">
        <v>182</v>
      </c>
      <c r="B1048" t="s">
        <v>557</v>
      </c>
      <c r="C1048" t="s">
        <v>558</v>
      </c>
      <c r="D1048" t="s">
        <v>1605</v>
      </c>
      <c r="E1048">
        <v>-1046</v>
      </c>
      <c r="F1048" t="s">
        <v>559</v>
      </c>
      <c r="G1048" t="s">
        <v>560</v>
      </c>
    </row>
    <row r="1049" spans="1:7">
      <c r="A1049" t="s">
        <v>182</v>
      </c>
      <c r="B1049" t="s">
        <v>557</v>
      </c>
      <c r="C1049" t="s">
        <v>558</v>
      </c>
      <c r="D1049" t="s">
        <v>1606</v>
      </c>
      <c r="E1049">
        <v>-1047</v>
      </c>
      <c r="F1049" t="s">
        <v>559</v>
      </c>
      <c r="G1049" t="s">
        <v>560</v>
      </c>
    </row>
    <row r="1050" spans="1:7">
      <c r="A1050" t="s">
        <v>182</v>
      </c>
      <c r="B1050" t="s">
        <v>557</v>
      </c>
      <c r="C1050" t="s">
        <v>558</v>
      </c>
      <c r="D1050" t="s">
        <v>1607</v>
      </c>
      <c r="E1050">
        <v>-1048</v>
      </c>
      <c r="F1050" t="s">
        <v>559</v>
      </c>
      <c r="G1050" t="s">
        <v>560</v>
      </c>
    </row>
    <row r="1051" spans="1:7">
      <c r="A1051" t="s">
        <v>182</v>
      </c>
      <c r="B1051" t="s">
        <v>557</v>
      </c>
      <c r="C1051" t="s">
        <v>558</v>
      </c>
      <c r="D1051" t="s">
        <v>1608</v>
      </c>
      <c r="E1051">
        <v>-1049</v>
      </c>
      <c r="F1051" t="s">
        <v>559</v>
      </c>
      <c r="G1051" t="s">
        <v>560</v>
      </c>
    </row>
    <row r="1052" spans="1:7">
      <c r="A1052" t="s">
        <v>182</v>
      </c>
      <c r="B1052" t="s">
        <v>557</v>
      </c>
      <c r="C1052" t="s">
        <v>558</v>
      </c>
      <c r="D1052" t="s">
        <v>1609</v>
      </c>
      <c r="E1052">
        <v>-1050</v>
      </c>
      <c r="F1052" t="s">
        <v>559</v>
      </c>
      <c r="G1052" t="s">
        <v>560</v>
      </c>
    </row>
    <row r="1053" spans="1:7">
      <c r="A1053" t="s">
        <v>182</v>
      </c>
      <c r="B1053" t="s">
        <v>557</v>
      </c>
      <c r="C1053" t="s">
        <v>558</v>
      </c>
      <c r="D1053" t="s">
        <v>1610</v>
      </c>
      <c r="E1053">
        <v>-1051</v>
      </c>
      <c r="F1053" t="s">
        <v>559</v>
      </c>
      <c r="G1053" t="s">
        <v>560</v>
      </c>
    </row>
    <row r="1054" spans="1:7">
      <c r="A1054" t="s">
        <v>182</v>
      </c>
      <c r="B1054" t="s">
        <v>557</v>
      </c>
      <c r="C1054" t="s">
        <v>558</v>
      </c>
      <c r="D1054" t="s">
        <v>1611</v>
      </c>
      <c r="E1054">
        <v>-1052</v>
      </c>
      <c r="F1054" t="s">
        <v>559</v>
      </c>
      <c r="G1054" t="s">
        <v>560</v>
      </c>
    </row>
    <row r="1055" spans="1:7">
      <c r="A1055" t="s">
        <v>182</v>
      </c>
      <c r="B1055" t="s">
        <v>557</v>
      </c>
      <c r="C1055" t="s">
        <v>558</v>
      </c>
      <c r="D1055" t="s">
        <v>1612</v>
      </c>
      <c r="E1055">
        <v>-1053</v>
      </c>
      <c r="F1055" t="s">
        <v>559</v>
      </c>
      <c r="G1055" t="s">
        <v>560</v>
      </c>
    </row>
    <row r="1056" spans="1:7">
      <c r="A1056" t="s">
        <v>182</v>
      </c>
      <c r="B1056" t="s">
        <v>557</v>
      </c>
      <c r="C1056" t="s">
        <v>558</v>
      </c>
      <c r="D1056" t="s">
        <v>1613</v>
      </c>
      <c r="E1056">
        <v>-1054</v>
      </c>
      <c r="F1056" t="s">
        <v>559</v>
      </c>
      <c r="G1056" t="s">
        <v>560</v>
      </c>
    </row>
    <row r="1057" spans="1:7">
      <c r="A1057" t="s">
        <v>182</v>
      </c>
      <c r="B1057" t="s">
        <v>557</v>
      </c>
      <c r="C1057" t="s">
        <v>558</v>
      </c>
      <c r="D1057" t="s">
        <v>1614</v>
      </c>
      <c r="E1057">
        <v>-1055</v>
      </c>
      <c r="F1057" t="s">
        <v>559</v>
      </c>
      <c r="G1057" t="s">
        <v>560</v>
      </c>
    </row>
    <row r="1058" spans="1:7">
      <c r="A1058" t="s">
        <v>182</v>
      </c>
      <c r="B1058" t="s">
        <v>557</v>
      </c>
      <c r="C1058" t="s">
        <v>558</v>
      </c>
      <c r="D1058" t="s">
        <v>1615</v>
      </c>
      <c r="E1058">
        <v>-1056</v>
      </c>
      <c r="F1058" t="s">
        <v>559</v>
      </c>
      <c r="G1058" t="s">
        <v>560</v>
      </c>
    </row>
    <row r="1059" spans="1:7">
      <c r="A1059" t="s">
        <v>182</v>
      </c>
      <c r="B1059" t="s">
        <v>557</v>
      </c>
      <c r="C1059" t="s">
        <v>558</v>
      </c>
      <c r="D1059" t="s">
        <v>1616</v>
      </c>
      <c r="E1059">
        <v>-1057</v>
      </c>
      <c r="F1059" t="s">
        <v>559</v>
      </c>
      <c r="G1059" t="s">
        <v>560</v>
      </c>
    </row>
    <row r="1060" spans="1:7">
      <c r="A1060" t="s">
        <v>182</v>
      </c>
      <c r="B1060" t="s">
        <v>557</v>
      </c>
      <c r="C1060" t="s">
        <v>558</v>
      </c>
      <c r="D1060" t="s">
        <v>1617</v>
      </c>
      <c r="E1060">
        <v>-1058</v>
      </c>
      <c r="F1060" t="s">
        <v>559</v>
      </c>
      <c r="G1060" t="s">
        <v>560</v>
      </c>
    </row>
    <row r="1061" spans="1:7">
      <c r="A1061" t="s">
        <v>182</v>
      </c>
      <c r="B1061" t="s">
        <v>557</v>
      </c>
      <c r="C1061" t="s">
        <v>558</v>
      </c>
      <c r="D1061" t="s">
        <v>1618</v>
      </c>
      <c r="E1061">
        <v>-1059</v>
      </c>
      <c r="F1061" t="s">
        <v>559</v>
      </c>
      <c r="G1061" t="s">
        <v>560</v>
      </c>
    </row>
    <row r="1062" spans="1:7">
      <c r="A1062" t="s">
        <v>182</v>
      </c>
      <c r="B1062" t="s">
        <v>557</v>
      </c>
      <c r="C1062" t="s">
        <v>558</v>
      </c>
      <c r="D1062" t="s">
        <v>1619</v>
      </c>
      <c r="E1062">
        <v>-1060</v>
      </c>
      <c r="F1062" t="s">
        <v>559</v>
      </c>
      <c r="G1062" t="s">
        <v>560</v>
      </c>
    </row>
    <row r="1063" spans="1:7">
      <c r="A1063" t="s">
        <v>182</v>
      </c>
      <c r="B1063" t="s">
        <v>557</v>
      </c>
      <c r="C1063" t="s">
        <v>558</v>
      </c>
      <c r="D1063" t="s">
        <v>1620</v>
      </c>
      <c r="E1063">
        <v>-1061</v>
      </c>
      <c r="F1063" t="s">
        <v>559</v>
      </c>
      <c r="G1063" t="s">
        <v>560</v>
      </c>
    </row>
    <row r="1064" spans="1:7">
      <c r="A1064" t="s">
        <v>182</v>
      </c>
      <c r="B1064" t="s">
        <v>557</v>
      </c>
      <c r="C1064" t="s">
        <v>558</v>
      </c>
      <c r="D1064" t="s">
        <v>1621</v>
      </c>
      <c r="E1064">
        <v>-1062</v>
      </c>
      <c r="F1064" t="s">
        <v>559</v>
      </c>
      <c r="G1064" t="s">
        <v>560</v>
      </c>
    </row>
    <row r="1065" spans="1:7">
      <c r="A1065" t="s">
        <v>182</v>
      </c>
      <c r="B1065" t="s">
        <v>557</v>
      </c>
      <c r="C1065" t="s">
        <v>558</v>
      </c>
      <c r="D1065" t="s">
        <v>1622</v>
      </c>
      <c r="E1065">
        <v>-1063</v>
      </c>
      <c r="F1065" t="s">
        <v>559</v>
      </c>
      <c r="G1065" t="s">
        <v>560</v>
      </c>
    </row>
    <row r="1066" spans="1:7">
      <c r="A1066" t="s">
        <v>182</v>
      </c>
      <c r="B1066" t="s">
        <v>557</v>
      </c>
      <c r="C1066" t="s">
        <v>558</v>
      </c>
      <c r="D1066" t="s">
        <v>1623</v>
      </c>
      <c r="E1066">
        <v>-1064</v>
      </c>
      <c r="F1066" t="s">
        <v>559</v>
      </c>
      <c r="G1066" t="s">
        <v>560</v>
      </c>
    </row>
    <row r="1067" spans="1:7">
      <c r="A1067" t="s">
        <v>182</v>
      </c>
      <c r="B1067" t="s">
        <v>557</v>
      </c>
      <c r="C1067" t="s">
        <v>558</v>
      </c>
      <c r="D1067" t="s">
        <v>1624</v>
      </c>
      <c r="E1067">
        <v>-1065</v>
      </c>
      <c r="F1067" t="s">
        <v>559</v>
      </c>
      <c r="G1067" t="s">
        <v>560</v>
      </c>
    </row>
    <row r="1068" spans="1:7">
      <c r="A1068" t="s">
        <v>182</v>
      </c>
      <c r="B1068" t="s">
        <v>557</v>
      </c>
      <c r="C1068" t="s">
        <v>558</v>
      </c>
      <c r="D1068" t="s">
        <v>1625</v>
      </c>
      <c r="E1068">
        <v>-1066</v>
      </c>
      <c r="F1068" t="s">
        <v>559</v>
      </c>
      <c r="G1068" t="s">
        <v>560</v>
      </c>
    </row>
    <row r="1069" spans="1:7">
      <c r="A1069" t="s">
        <v>182</v>
      </c>
      <c r="B1069" t="s">
        <v>557</v>
      </c>
      <c r="C1069" t="s">
        <v>558</v>
      </c>
      <c r="D1069" t="s">
        <v>1626</v>
      </c>
      <c r="E1069">
        <v>-1067</v>
      </c>
      <c r="F1069" t="s">
        <v>559</v>
      </c>
      <c r="G1069" t="s">
        <v>560</v>
      </c>
    </row>
    <row r="1070" spans="1:7">
      <c r="A1070" t="s">
        <v>182</v>
      </c>
      <c r="B1070" t="s">
        <v>557</v>
      </c>
      <c r="C1070" t="s">
        <v>558</v>
      </c>
      <c r="D1070" t="s">
        <v>1627</v>
      </c>
      <c r="E1070">
        <v>-1068</v>
      </c>
      <c r="F1070" t="s">
        <v>559</v>
      </c>
      <c r="G1070" t="s">
        <v>560</v>
      </c>
    </row>
    <row r="1071" spans="1:7">
      <c r="A1071" t="s">
        <v>182</v>
      </c>
      <c r="B1071" t="s">
        <v>557</v>
      </c>
      <c r="C1071" t="s">
        <v>558</v>
      </c>
      <c r="D1071" t="s">
        <v>1628</v>
      </c>
      <c r="E1071">
        <v>-1069</v>
      </c>
      <c r="F1071" t="s">
        <v>559</v>
      </c>
      <c r="G1071" t="s">
        <v>560</v>
      </c>
    </row>
    <row r="1072" spans="1:7">
      <c r="A1072" t="s">
        <v>182</v>
      </c>
      <c r="B1072" t="s">
        <v>557</v>
      </c>
      <c r="C1072" t="s">
        <v>558</v>
      </c>
      <c r="D1072" t="s">
        <v>1629</v>
      </c>
      <c r="E1072">
        <v>-1070</v>
      </c>
      <c r="F1072" t="s">
        <v>559</v>
      </c>
      <c r="G1072" t="s">
        <v>560</v>
      </c>
    </row>
    <row r="1073" spans="1:7">
      <c r="A1073" t="s">
        <v>182</v>
      </c>
      <c r="B1073" t="s">
        <v>557</v>
      </c>
      <c r="C1073" t="s">
        <v>558</v>
      </c>
      <c r="D1073" t="s">
        <v>1630</v>
      </c>
      <c r="E1073">
        <v>-1071</v>
      </c>
      <c r="F1073" t="s">
        <v>559</v>
      </c>
      <c r="G1073" t="s">
        <v>560</v>
      </c>
    </row>
    <row r="1074" spans="1:7">
      <c r="A1074" t="s">
        <v>182</v>
      </c>
      <c r="B1074" t="s">
        <v>557</v>
      </c>
      <c r="C1074" t="s">
        <v>558</v>
      </c>
      <c r="D1074" t="s">
        <v>1631</v>
      </c>
      <c r="E1074">
        <v>-1072</v>
      </c>
      <c r="F1074" t="s">
        <v>559</v>
      </c>
      <c r="G1074" t="s">
        <v>560</v>
      </c>
    </row>
    <row r="1075" spans="1:7">
      <c r="A1075" t="s">
        <v>182</v>
      </c>
      <c r="B1075" t="s">
        <v>557</v>
      </c>
      <c r="C1075" t="s">
        <v>558</v>
      </c>
      <c r="D1075" t="s">
        <v>1632</v>
      </c>
      <c r="E1075">
        <v>-1073</v>
      </c>
      <c r="F1075" t="s">
        <v>559</v>
      </c>
      <c r="G1075" t="s">
        <v>560</v>
      </c>
    </row>
    <row r="1076" spans="1:7">
      <c r="A1076" t="s">
        <v>182</v>
      </c>
      <c r="B1076" t="s">
        <v>557</v>
      </c>
      <c r="C1076" t="s">
        <v>558</v>
      </c>
      <c r="D1076" t="s">
        <v>1633</v>
      </c>
      <c r="E1076">
        <v>-1074</v>
      </c>
      <c r="F1076" t="s">
        <v>559</v>
      </c>
      <c r="G1076" t="s">
        <v>560</v>
      </c>
    </row>
    <row r="1077" spans="1:7">
      <c r="A1077" t="s">
        <v>182</v>
      </c>
      <c r="B1077" t="s">
        <v>557</v>
      </c>
      <c r="C1077" t="s">
        <v>558</v>
      </c>
      <c r="D1077" t="s">
        <v>1634</v>
      </c>
      <c r="E1077">
        <v>-1075</v>
      </c>
      <c r="F1077" t="s">
        <v>559</v>
      </c>
      <c r="G1077" t="s">
        <v>560</v>
      </c>
    </row>
    <row r="1078" spans="1:7">
      <c r="A1078" t="s">
        <v>182</v>
      </c>
      <c r="B1078" t="s">
        <v>557</v>
      </c>
      <c r="C1078" t="s">
        <v>558</v>
      </c>
      <c r="D1078" t="s">
        <v>1635</v>
      </c>
      <c r="E1078">
        <v>-1076</v>
      </c>
      <c r="F1078" t="s">
        <v>559</v>
      </c>
      <c r="G1078" t="s">
        <v>560</v>
      </c>
    </row>
    <row r="1079" spans="1:7">
      <c r="A1079" t="s">
        <v>182</v>
      </c>
      <c r="B1079" t="s">
        <v>557</v>
      </c>
      <c r="C1079" t="s">
        <v>558</v>
      </c>
      <c r="D1079" t="s">
        <v>1636</v>
      </c>
      <c r="E1079">
        <v>-1077</v>
      </c>
      <c r="F1079" t="s">
        <v>559</v>
      </c>
      <c r="G1079" t="s">
        <v>560</v>
      </c>
    </row>
    <row r="1080" spans="1:7">
      <c r="A1080" t="s">
        <v>182</v>
      </c>
      <c r="B1080" t="s">
        <v>557</v>
      </c>
      <c r="C1080" t="s">
        <v>558</v>
      </c>
      <c r="D1080" t="s">
        <v>1637</v>
      </c>
      <c r="E1080">
        <v>-1078</v>
      </c>
      <c r="F1080" t="s">
        <v>559</v>
      </c>
      <c r="G1080" t="s">
        <v>560</v>
      </c>
    </row>
    <row r="1081" spans="1:7">
      <c r="A1081" t="s">
        <v>182</v>
      </c>
      <c r="B1081" t="s">
        <v>557</v>
      </c>
      <c r="C1081" t="s">
        <v>558</v>
      </c>
      <c r="D1081" t="s">
        <v>1638</v>
      </c>
      <c r="E1081">
        <v>-1079</v>
      </c>
      <c r="F1081" t="s">
        <v>559</v>
      </c>
      <c r="G1081" t="s">
        <v>560</v>
      </c>
    </row>
    <row r="1082" spans="1:7">
      <c r="A1082" t="s">
        <v>182</v>
      </c>
      <c r="B1082" t="s">
        <v>557</v>
      </c>
      <c r="C1082" t="s">
        <v>558</v>
      </c>
      <c r="D1082" t="s">
        <v>1639</v>
      </c>
      <c r="E1082">
        <v>-1080</v>
      </c>
      <c r="F1082" t="s">
        <v>559</v>
      </c>
      <c r="G1082" t="s">
        <v>560</v>
      </c>
    </row>
    <row r="1083" spans="1:7">
      <c r="A1083" t="s">
        <v>182</v>
      </c>
      <c r="B1083" t="s">
        <v>557</v>
      </c>
      <c r="C1083" t="s">
        <v>558</v>
      </c>
      <c r="D1083" t="s">
        <v>1640</v>
      </c>
      <c r="E1083">
        <v>-1081</v>
      </c>
      <c r="F1083" t="s">
        <v>559</v>
      </c>
      <c r="G1083" t="s">
        <v>560</v>
      </c>
    </row>
    <row r="1084" spans="1:7">
      <c r="A1084" t="s">
        <v>182</v>
      </c>
      <c r="B1084" t="s">
        <v>557</v>
      </c>
      <c r="C1084" t="s">
        <v>558</v>
      </c>
      <c r="D1084" t="s">
        <v>1641</v>
      </c>
      <c r="E1084">
        <v>-1082</v>
      </c>
      <c r="F1084" t="s">
        <v>559</v>
      </c>
      <c r="G1084" t="s">
        <v>560</v>
      </c>
    </row>
    <row r="1085" spans="1:7">
      <c r="A1085" t="s">
        <v>182</v>
      </c>
      <c r="B1085" t="s">
        <v>557</v>
      </c>
      <c r="C1085" t="s">
        <v>558</v>
      </c>
      <c r="D1085" t="s">
        <v>1642</v>
      </c>
      <c r="E1085">
        <v>-1083</v>
      </c>
      <c r="F1085" t="s">
        <v>559</v>
      </c>
      <c r="G1085" t="s">
        <v>560</v>
      </c>
    </row>
    <row r="1086" spans="1:7">
      <c r="A1086" t="s">
        <v>182</v>
      </c>
      <c r="B1086" t="s">
        <v>557</v>
      </c>
      <c r="C1086" t="s">
        <v>558</v>
      </c>
      <c r="D1086" t="s">
        <v>1643</v>
      </c>
      <c r="E1086">
        <v>-1084</v>
      </c>
      <c r="F1086" t="s">
        <v>559</v>
      </c>
      <c r="G1086" t="s">
        <v>560</v>
      </c>
    </row>
    <row r="1087" spans="1:7">
      <c r="A1087" t="s">
        <v>182</v>
      </c>
      <c r="B1087" t="s">
        <v>557</v>
      </c>
      <c r="C1087" t="s">
        <v>558</v>
      </c>
      <c r="D1087" t="s">
        <v>1644</v>
      </c>
      <c r="E1087">
        <v>-1085</v>
      </c>
      <c r="F1087" t="s">
        <v>559</v>
      </c>
      <c r="G1087" t="s">
        <v>560</v>
      </c>
    </row>
    <row r="1088" spans="1:7">
      <c r="A1088" t="s">
        <v>182</v>
      </c>
      <c r="B1088" t="s">
        <v>557</v>
      </c>
      <c r="C1088" t="s">
        <v>558</v>
      </c>
      <c r="D1088" t="s">
        <v>1645</v>
      </c>
      <c r="E1088">
        <v>-1086</v>
      </c>
      <c r="F1088" t="s">
        <v>559</v>
      </c>
      <c r="G1088" t="s">
        <v>560</v>
      </c>
    </row>
    <row r="1089" spans="1:7">
      <c r="A1089" t="s">
        <v>182</v>
      </c>
      <c r="B1089" t="s">
        <v>557</v>
      </c>
      <c r="C1089" t="s">
        <v>558</v>
      </c>
      <c r="D1089" t="s">
        <v>1646</v>
      </c>
      <c r="E1089">
        <v>-1087</v>
      </c>
      <c r="F1089" t="s">
        <v>559</v>
      </c>
      <c r="G1089" t="s">
        <v>560</v>
      </c>
    </row>
    <row r="1090" spans="1:7">
      <c r="A1090" t="s">
        <v>182</v>
      </c>
      <c r="B1090" t="s">
        <v>557</v>
      </c>
      <c r="C1090" t="s">
        <v>558</v>
      </c>
      <c r="D1090" t="s">
        <v>1647</v>
      </c>
      <c r="E1090">
        <v>-1088</v>
      </c>
      <c r="F1090" t="s">
        <v>559</v>
      </c>
      <c r="G1090" t="s">
        <v>560</v>
      </c>
    </row>
    <row r="1091" spans="1:7">
      <c r="A1091" t="s">
        <v>182</v>
      </c>
      <c r="B1091" t="s">
        <v>557</v>
      </c>
      <c r="C1091" t="s">
        <v>558</v>
      </c>
      <c r="D1091" t="s">
        <v>1648</v>
      </c>
      <c r="E1091">
        <v>-1089</v>
      </c>
      <c r="F1091" t="s">
        <v>559</v>
      </c>
      <c r="G1091" t="s">
        <v>560</v>
      </c>
    </row>
    <row r="1092" spans="1:7">
      <c r="A1092" t="s">
        <v>182</v>
      </c>
      <c r="B1092" t="s">
        <v>557</v>
      </c>
      <c r="C1092" t="s">
        <v>558</v>
      </c>
      <c r="D1092" t="s">
        <v>1649</v>
      </c>
      <c r="E1092">
        <v>-1090</v>
      </c>
      <c r="F1092" t="s">
        <v>559</v>
      </c>
      <c r="G1092" t="s">
        <v>560</v>
      </c>
    </row>
    <row r="1093" spans="1:7">
      <c r="A1093" t="s">
        <v>182</v>
      </c>
      <c r="B1093" t="s">
        <v>557</v>
      </c>
      <c r="C1093" t="s">
        <v>558</v>
      </c>
      <c r="D1093" t="s">
        <v>1650</v>
      </c>
      <c r="E1093">
        <v>-1091</v>
      </c>
      <c r="F1093" t="s">
        <v>559</v>
      </c>
      <c r="G1093" t="s">
        <v>560</v>
      </c>
    </row>
    <row r="1094" spans="1:7">
      <c r="A1094" t="s">
        <v>182</v>
      </c>
      <c r="B1094" t="s">
        <v>557</v>
      </c>
      <c r="C1094" t="s">
        <v>558</v>
      </c>
      <c r="D1094" t="s">
        <v>1651</v>
      </c>
      <c r="E1094">
        <v>-1092</v>
      </c>
      <c r="F1094" t="s">
        <v>559</v>
      </c>
      <c r="G1094" t="s">
        <v>560</v>
      </c>
    </row>
    <row r="1095" spans="1:7">
      <c r="A1095" t="s">
        <v>182</v>
      </c>
      <c r="B1095" t="s">
        <v>557</v>
      </c>
      <c r="C1095" t="s">
        <v>558</v>
      </c>
      <c r="D1095" t="s">
        <v>1652</v>
      </c>
      <c r="E1095">
        <v>-1093</v>
      </c>
      <c r="F1095" t="s">
        <v>559</v>
      </c>
      <c r="G1095" t="s">
        <v>560</v>
      </c>
    </row>
    <row r="1096" spans="1:7">
      <c r="A1096" t="s">
        <v>182</v>
      </c>
      <c r="B1096" t="s">
        <v>557</v>
      </c>
      <c r="C1096" t="s">
        <v>558</v>
      </c>
      <c r="D1096" t="s">
        <v>1653</v>
      </c>
      <c r="E1096">
        <v>-1094</v>
      </c>
      <c r="F1096" t="s">
        <v>559</v>
      </c>
      <c r="G1096" t="s">
        <v>560</v>
      </c>
    </row>
    <row r="1097" spans="1:7">
      <c r="A1097" t="s">
        <v>182</v>
      </c>
      <c r="B1097" t="s">
        <v>557</v>
      </c>
      <c r="C1097" t="s">
        <v>558</v>
      </c>
      <c r="D1097" t="s">
        <v>1654</v>
      </c>
      <c r="E1097">
        <v>-1095</v>
      </c>
      <c r="F1097" t="s">
        <v>559</v>
      </c>
      <c r="G1097" t="s">
        <v>560</v>
      </c>
    </row>
    <row r="1098" spans="1:7">
      <c r="A1098" t="s">
        <v>182</v>
      </c>
      <c r="B1098" t="s">
        <v>557</v>
      </c>
      <c r="C1098" t="s">
        <v>558</v>
      </c>
      <c r="D1098" t="s">
        <v>1655</v>
      </c>
      <c r="E1098">
        <v>-1096</v>
      </c>
      <c r="F1098" t="s">
        <v>559</v>
      </c>
      <c r="G1098" t="s">
        <v>560</v>
      </c>
    </row>
    <row r="1099" spans="1:7">
      <c r="A1099" t="s">
        <v>182</v>
      </c>
      <c r="B1099" t="s">
        <v>557</v>
      </c>
      <c r="C1099" t="s">
        <v>558</v>
      </c>
      <c r="D1099" t="s">
        <v>1656</v>
      </c>
      <c r="E1099">
        <v>-1097</v>
      </c>
      <c r="F1099" t="s">
        <v>559</v>
      </c>
      <c r="G1099" t="s">
        <v>560</v>
      </c>
    </row>
    <row r="1100" spans="1:7">
      <c r="A1100" t="s">
        <v>182</v>
      </c>
      <c r="B1100" t="s">
        <v>557</v>
      </c>
      <c r="C1100" t="s">
        <v>558</v>
      </c>
      <c r="D1100" t="s">
        <v>1657</v>
      </c>
      <c r="E1100">
        <v>-1098</v>
      </c>
      <c r="F1100" t="s">
        <v>559</v>
      </c>
      <c r="G1100" t="s">
        <v>560</v>
      </c>
    </row>
    <row r="1101" spans="1:7">
      <c r="A1101" t="s">
        <v>182</v>
      </c>
      <c r="B1101" t="s">
        <v>557</v>
      </c>
      <c r="C1101" t="s">
        <v>558</v>
      </c>
      <c r="D1101" t="s">
        <v>1658</v>
      </c>
      <c r="E1101">
        <v>-1099</v>
      </c>
      <c r="F1101" t="s">
        <v>559</v>
      </c>
      <c r="G1101" t="s">
        <v>560</v>
      </c>
    </row>
    <row r="1102" spans="1:7">
      <c r="A1102" t="s">
        <v>182</v>
      </c>
      <c r="B1102" t="s">
        <v>557</v>
      </c>
      <c r="C1102" t="s">
        <v>558</v>
      </c>
      <c r="D1102" t="s">
        <v>1659</v>
      </c>
      <c r="E1102">
        <v>-1100</v>
      </c>
      <c r="F1102" t="s">
        <v>559</v>
      </c>
      <c r="G1102" t="s">
        <v>560</v>
      </c>
    </row>
    <row r="1103" spans="1:7">
      <c r="A1103" t="s">
        <v>182</v>
      </c>
      <c r="B1103" t="s">
        <v>557</v>
      </c>
      <c r="C1103" t="s">
        <v>558</v>
      </c>
      <c r="D1103" t="s">
        <v>1660</v>
      </c>
      <c r="E1103">
        <v>-1101</v>
      </c>
      <c r="F1103" t="s">
        <v>559</v>
      </c>
      <c r="G1103" t="s">
        <v>560</v>
      </c>
    </row>
    <row r="1104" spans="1:7">
      <c r="A1104" t="s">
        <v>182</v>
      </c>
      <c r="B1104" t="s">
        <v>557</v>
      </c>
      <c r="C1104" t="s">
        <v>558</v>
      </c>
      <c r="D1104" t="s">
        <v>1661</v>
      </c>
      <c r="E1104">
        <v>-1102</v>
      </c>
      <c r="F1104" t="s">
        <v>559</v>
      </c>
      <c r="G1104" t="s">
        <v>560</v>
      </c>
    </row>
    <row r="1105" spans="1:7">
      <c r="A1105" t="s">
        <v>182</v>
      </c>
      <c r="B1105" t="s">
        <v>557</v>
      </c>
      <c r="C1105" t="s">
        <v>558</v>
      </c>
      <c r="D1105" t="s">
        <v>1662</v>
      </c>
      <c r="E1105">
        <v>-1103</v>
      </c>
      <c r="F1105" t="s">
        <v>559</v>
      </c>
      <c r="G1105" t="s">
        <v>560</v>
      </c>
    </row>
    <row r="1106" spans="1:7">
      <c r="A1106" t="s">
        <v>182</v>
      </c>
      <c r="B1106" t="s">
        <v>557</v>
      </c>
      <c r="C1106" t="s">
        <v>558</v>
      </c>
      <c r="D1106" t="s">
        <v>1663</v>
      </c>
      <c r="E1106">
        <v>-1104</v>
      </c>
      <c r="F1106" t="s">
        <v>559</v>
      </c>
      <c r="G1106" t="s">
        <v>560</v>
      </c>
    </row>
    <row r="1107" spans="1:7">
      <c r="A1107" t="s">
        <v>182</v>
      </c>
      <c r="B1107" t="s">
        <v>557</v>
      </c>
      <c r="C1107" t="s">
        <v>558</v>
      </c>
      <c r="D1107" t="s">
        <v>1664</v>
      </c>
      <c r="E1107">
        <v>-1105</v>
      </c>
      <c r="F1107" t="s">
        <v>559</v>
      </c>
      <c r="G1107" t="s">
        <v>560</v>
      </c>
    </row>
    <row r="1108" spans="1:7">
      <c r="A1108" t="s">
        <v>182</v>
      </c>
      <c r="B1108" t="s">
        <v>557</v>
      </c>
      <c r="C1108" t="s">
        <v>558</v>
      </c>
      <c r="D1108" t="s">
        <v>1665</v>
      </c>
      <c r="E1108">
        <v>-1106</v>
      </c>
      <c r="F1108" t="s">
        <v>559</v>
      </c>
      <c r="G1108" t="s">
        <v>560</v>
      </c>
    </row>
    <row r="1109" spans="1:7">
      <c r="A1109" t="s">
        <v>182</v>
      </c>
      <c r="B1109" t="s">
        <v>557</v>
      </c>
      <c r="C1109" t="s">
        <v>558</v>
      </c>
      <c r="D1109" t="s">
        <v>1666</v>
      </c>
      <c r="E1109">
        <v>-1107</v>
      </c>
      <c r="F1109" t="s">
        <v>559</v>
      </c>
      <c r="G1109" t="s">
        <v>560</v>
      </c>
    </row>
    <row r="1110" spans="1:7">
      <c r="A1110" t="s">
        <v>182</v>
      </c>
      <c r="B1110" t="s">
        <v>557</v>
      </c>
      <c r="C1110" t="s">
        <v>558</v>
      </c>
      <c r="D1110" t="s">
        <v>1667</v>
      </c>
      <c r="E1110">
        <v>-1108</v>
      </c>
      <c r="F1110" t="s">
        <v>559</v>
      </c>
      <c r="G1110" t="s">
        <v>560</v>
      </c>
    </row>
    <row r="1111" spans="1:7">
      <c r="A1111" t="s">
        <v>182</v>
      </c>
      <c r="B1111" t="s">
        <v>557</v>
      </c>
      <c r="C1111" t="s">
        <v>558</v>
      </c>
      <c r="D1111" t="s">
        <v>1668</v>
      </c>
      <c r="E1111">
        <v>-1109</v>
      </c>
      <c r="F1111" t="s">
        <v>559</v>
      </c>
      <c r="G1111" t="s">
        <v>560</v>
      </c>
    </row>
    <row r="1112" spans="1:7">
      <c r="A1112" t="s">
        <v>182</v>
      </c>
      <c r="B1112" t="s">
        <v>557</v>
      </c>
      <c r="C1112" t="s">
        <v>558</v>
      </c>
      <c r="D1112" t="s">
        <v>1669</v>
      </c>
      <c r="E1112">
        <v>-1110</v>
      </c>
      <c r="F1112" t="s">
        <v>559</v>
      </c>
      <c r="G1112" t="s">
        <v>560</v>
      </c>
    </row>
    <row r="1113" spans="1:7">
      <c r="A1113" t="s">
        <v>182</v>
      </c>
      <c r="B1113" t="s">
        <v>557</v>
      </c>
      <c r="C1113" t="s">
        <v>558</v>
      </c>
      <c r="D1113" t="s">
        <v>1670</v>
      </c>
      <c r="E1113">
        <v>-1111</v>
      </c>
      <c r="F1113" t="s">
        <v>559</v>
      </c>
      <c r="G1113" t="s">
        <v>560</v>
      </c>
    </row>
    <row r="1114" spans="1:7">
      <c r="A1114" t="s">
        <v>182</v>
      </c>
      <c r="B1114" t="s">
        <v>557</v>
      </c>
      <c r="C1114" t="s">
        <v>558</v>
      </c>
      <c r="D1114" t="s">
        <v>1671</v>
      </c>
      <c r="E1114">
        <v>-1112</v>
      </c>
      <c r="F1114" t="s">
        <v>559</v>
      </c>
      <c r="G1114" t="s">
        <v>560</v>
      </c>
    </row>
    <row r="1115" spans="1:7">
      <c r="A1115" t="s">
        <v>182</v>
      </c>
      <c r="B1115" t="s">
        <v>557</v>
      </c>
      <c r="C1115" t="s">
        <v>558</v>
      </c>
      <c r="D1115" t="s">
        <v>1672</v>
      </c>
      <c r="E1115">
        <v>-1113</v>
      </c>
      <c r="F1115" t="s">
        <v>559</v>
      </c>
      <c r="G1115" t="s">
        <v>560</v>
      </c>
    </row>
    <row r="1116" spans="1:7">
      <c r="A1116" t="s">
        <v>182</v>
      </c>
      <c r="B1116" t="s">
        <v>557</v>
      </c>
      <c r="C1116" t="s">
        <v>558</v>
      </c>
      <c r="D1116" t="s">
        <v>1673</v>
      </c>
      <c r="E1116">
        <v>-1114</v>
      </c>
      <c r="F1116" t="s">
        <v>559</v>
      </c>
      <c r="G1116" t="s">
        <v>560</v>
      </c>
    </row>
    <row r="1117" spans="1:7">
      <c r="A1117" t="s">
        <v>182</v>
      </c>
      <c r="B1117" t="s">
        <v>557</v>
      </c>
      <c r="C1117" t="s">
        <v>558</v>
      </c>
      <c r="D1117" t="s">
        <v>1674</v>
      </c>
      <c r="E1117">
        <v>-1115</v>
      </c>
      <c r="F1117" t="s">
        <v>559</v>
      </c>
      <c r="G1117" t="s">
        <v>560</v>
      </c>
    </row>
    <row r="1118" spans="1:7">
      <c r="A1118" t="s">
        <v>182</v>
      </c>
      <c r="B1118" t="s">
        <v>557</v>
      </c>
      <c r="C1118" t="s">
        <v>558</v>
      </c>
      <c r="D1118" t="s">
        <v>1675</v>
      </c>
      <c r="E1118">
        <v>-1116</v>
      </c>
      <c r="F1118" t="s">
        <v>559</v>
      </c>
      <c r="G1118" t="s">
        <v>560</v>
      </c>
    </row>
    <row r="1119" spans="1:7">
      <c r="A1119" t="s">
        <v>182</v>
      </c>
      <c r="B1119" t="s">
        <v>557</v>
      </c>
      <c r="C1119" t="s">
        <v>558</v>
      </c>
      <c r="D1119" t="s">
        <v>1676</v>
      </c>
      <c r="E1119">
        <v>-1117</v>
      </c>
      <c r="F1119" t="s">
        <v>559</v>
      </c>
      <c r="G1119" t="s">
        <v>560</v>
      </c>
    </row>
    <row r="1120" spans="1:7">
      <c r="A1120" t="s">
        <v>182</v>
      </c>
      <c r="B1120" t="s">
        <v>557</v>
      </c>
      <c r="C1120" t="s">
        <v>558</v>
      </c>
      <c r="D1120" t="s">
        <v>1677</v>
      </c>
      <c r="E1120">
        <v>-1118</v>
      </c>
      <c r="F1120" t="s">
        <v>559</v>
      </c>
      <c r="G1120" t="s">
        <v>560</v>
      </c>
    </row>
    <row r="1121" spans="1:7">
      <c r="A1121" t="s">
        <v>182</v>
      </c>
      <c r="B1121" t="s">
        <v>557</v>
      </c>
      <c r="C1121" t="s">
        <v>558</v>
      </c>
      <c r="D1121" t="s">
        <v>1678</v>
      </c>
      <c r="E1121">
        <v>-1119</v>
      </c>
      <c r="F1121" t="s">
        <v>559</v>
      </c>
      <c r="G1121" t="s">
        <v>560</v>
      </c>
    </row>
    <row r="1122" spans="1:7">
      <c r="A1122" t="s">
        <v>182</v>
      </c>
      <c r="B1122" t="s">
        <v>557</v>
      </c>
      <c r="C1122" t="s">
        <v>558</v>
      </c>
      <c r="D1122" t="s">
        <v>1679</v>
      </c>
      <c r="E1122">
        <v>-1120</v>
      </c>
      <c r="F1122" t="s">
        <v>559</v>
      </c>
      <c r="G1122" t="s">
        <v>560</v>
      </c>
    </row>
    <row r="1123" spans="1:7">
      <c r="A1123" t="s">
        <v>182</v>
      </c>
      <c r="B1123" t="s">
        <v>557</v>
      </c>
      <c r="C1123" t="s">
        <v>558</v>
      </c>
      <c r="D1123" t="s">
        <v>1680</v>
      </c>
      <c r="E1123">
        <v>-1121</v>
      </c>
      <c r="F1123" t="s">
        <v>559</v>
      </c>
      <c r="G1123" t="s">
        <v>560</v>
      </c>
    </row>
    <row r="1124" spans="1:7">
      <c r="A1124" t="s">
        <v>182</v>
      </c>
      <c r="B1124" t="s">
        <v>557</v>
      </c>
      <c r="C1124" t="s">
        <v>558</v>
      </c>
      <c r="D1124" t="s">
        <v>1681</v>
      </c>
      <c r="E1124">
        <v>-1122</v>
      </c>
      <c r="F1124" t="s">
        <v>559</v>
      </c>
      <c r="G1124" t="s">
        <v>560</v>
      </c>
    </row>
    <row r="1125" spans="1:7">
      <c r="A1125" t="s">
        <v>182</v>
      </c>
      <c r="B1125" t="s">
        <v>557</v>
      </c>
      <c r="C1125" t="s">
        <v>558</v>
      </c>
      <c r="D1125" t="s">
        <v>1682</v>
      </c>
      <c r="E1125">
        <v>-1123</v>
      </c>
      <c r="F1125" t="s">
        <v>559</v>
      </c>
      <c r="G1125" t="s">
        <v>560</v>
      </c>
    </row>
    <row r="1126" spans="1:7">
      <c r="A1126" t="s">
        <v>182</v>
      </c>
      <c r="B1126" t="s">
        <v>557</v>
      </c>
      <c r="C1126" t="s">
        <v>558</v>
      </c>
      <c r="D1126" t="s">
        <v>1683</v>
      </c>
      <c r="E1126">
        <v>-1124</v>
      </c>
      <c r="F1126" t="s">
        <v>559</v>
      </c>
      <c r="G1126" t="s">
        <v>560</v>
      </c>
    </row>
    <row r="1127" spans="1:7">
      <c r="A1127" t="s">
        <v>182</v>
      </c>
      <c r="B1127" t="s">
        <v>557</v>
      </c>
      <c r="C1127" t="s">
        <v>558</v>
      </c>
      <c r="D1127" t="s">
        <v>1684</v>
      </c>
      <c r="E1127">
        <v>-1125</v>
      </c>
      <c r="F1127" t="s">
        <v>559</v>
      </c>
      <c r="G1127" t="s">
        <v>560</v>
      </c>
    </row>
    <row r="1128" spans="1:7">
      <c r="A1128" t="s">
        <v>182</v>
      </c>
      <c r="B1128" t="s">
        <v>557</v>
      </c>
      <c r="C1128" t="s">
        <v>558</v>
      </c>
      <c r="D1128" t="s">
        <v>1685</v>
      </c>
      <c r="E1128">
        <v>-1126</v>
      </c>
      <c r="F1128" t="s">
        <v>559</v>
      </c>
      <c r="G1128" t="s">
        <v>560</v>
      </c>
    </row>
    <row r="1129" spans="1:7">
      <c r="A1129" t="s">
        <v>182</v>
      </c>
      <c r="B1129" t="s">
        <v>557</v>
      </c>
      <c r="C1129" t="s">
        <v>558</v>
      </c>
      <c r="D1129" t="s">
        <v>1686</v>
      </c>
      <c r="E1129">
        <v>-1127</v>
      </c>
      <c r="F1129" t="s">
        <v>559</v>
      </c>
      <c r="G1129" t="s">
        <v>560</v>
      </c>
    </row>
    <row r="1130" spans="1:7">
      <c r="A1130" t="s">
        <v>182</v>
      </c>
      <c r="B1130" t="s">
        <v>557</v>
      </c>
      <c r="C1130" t="s">
        <v>558</v>
      </c>
      <c r="D1130" t="s">
        <v>1687</v>
      </c>
      <c r="E1130">
        <v>-1128</v>
      </c>
      <c r="F1130" t="s">
        <v>559</v>
      </c>
      <c r="G1130" t="s">
        <v>560</v>
      </c>
    </row>
    <row r="1131" spans="1:7">
      <c r="A1131" t="s">
        <v>182</v>
      </c>
      <c r="B1131" t="s">
        <v>557</v>
      </c>
      <c r="C1131" t="s">
        <v>558</v>
      </c>
      <c r="D1131" t="s">
        <v>1688</v>
      </c>
      <c r="E1131">
        <v>-1129</v>
      </c>
      <c r="F1131" t="s">
        <v>559</v>
      </c>
      <c r="G1131" t="s">
        <v>560</v>
      </c>
    </row>
    <row r="1132" spans="1:7">
      <c r="A1132" t="s">
        <v>182</v>
      </c>
      <c r="B1132" t="s">
        <v>557</v>
      </c>
      <c r="C1132" t="s">
        <v>558</v>
      </c>
      <c r="D1132" t="s">
        <v>1689</v>
      </c>
      <c r="E1132">
        <v>-1130</v>
      </c>
      <c r="F1132" t="s">
        <v>559</v>
      </c>
      <c r="G1132" t="s">
        <v>560</v>
      </c>
    </row>
    <row r="1133" spans="1:7">
      <c r="A1133" t="s">
        <v>182</v>
      </c>
      <c r="B1133" t="s">
        <v>557</v>
      </c>
      <c r="C1133" t="s">
        <v>558</v>
      </c>
      <c r="D1133" t="s">
        <v>1690</v>
      </c>
      <c r="E1133">
        <v>-1131</v>
      </c>
      <c r="F1133" t="s">
        <v>559</v>
      </c>
      <c r="G1133" t="s">
        <v>560</v>
      </c>
    </row>
    <row r="1134" spans="1:7">
      <c r="A1134" t="s">
        <v>182</v>
      </c>
      <c r="B1134" t="s">
        <v>557</v>
      </c>
      <c r="C1134" t="s">
        <v>558</v>
      </c>
      <c r="D1134" t="s">
        <v>1691</v>
      </c>
      <c r="E1134">
        <v>-1132</v>
      </c>
      <c r="F1134" t="s">
        <v>559</v>
      </c>
      <c r="G1134" t="s">
        <v>560</v>
      </c>
    </row>
    <row r="1135" spans="1:7">
      <c r="A1135" t="s">
        <v>182</v>
      </c>
      <c r="B1135" t="s">
        <v>557</v>
      </c>
      <c r="C1135" t="s">
        <v>558</v>
      </c>
      <c r="D1135" t="s">
        <v>1692</v>
      </c>
      <c r="E1135">
        <v>-1133</v>
      </c>
      <c r="F1135" t="s">
        <v>559</v>
      </c>
      <c r="G1135" t="s">
        <v>560</v>
      </c>
    </row>
    <row r="1136" spans="1:7">
      <c r="A1136" t="s">
        <v>182</v>
      </c>
      <c r="B1136" t="s">
        <v>557</v>
      </c>
      <c r="C1136" t="s">
        <v>558</v>
      </c>
      <c r="D1136" t="s">
        <v>1693</v>
      </c>
      <c r="E1136">
        <v>-1134</v>
      </c>
      <c r="F1136" t="s">
        <v>559</v>
      </c>
      <c r="G1136" t="s">
        <v>560</v>
      </c>
    </row>
    <row r="1137" spans="1:7">
      <c r="A1137" t="s">
        <v>182</v>
      </c>
      <c r="B1137" t="s">
        <v>557</v>
      </c>
      <c r="C1137" t="s">
        <v>558</v>
      </c>
      <c r="D1137" t="s">
        <v>1694</v>
      </c>
      <c r="E1137">
        <v>-1135</v>
      </c>
      <c r="F1137" t="s">
        <v>559</v>
      </c>
      <c r="G1137" t="s">
        <v>560</v>
      </c>
    </row>
    <row r="1138" spans="1:7">
      <c r="A1138" t="s">
        <v>182</v>
      </c>
      <c r="B1138" t="s">
        <v>557</v>
      </c>
      <c r="C1138" t="s">
        <v>558</v>
      </c>
      <c r="D1138" t="s">
        <v>1695</v>
      </c>
      <c r="E1138">
        <v>-1136</v>
      </c>
      <c r="F1138" t="s">
        <v>559</v>
      </c>
      <c r="G1138" t="s">
        <v>560</v>
      </c>
    </row>
    <row r="1139" spans="1:7">
      <c r="A1139" t="s">
        <v>182</v>
      </c>
      <c r="B1139" t="s">
        <v>557</v>
      </c>
      <c r="C1139" t="s">
        <v>558</v>
      </c>
      <c r="D1139" t="s">
        <v>1696</v>
      </c>
      <c r="E1139">
        <v>-1137</v>
      </c>
      <c r="F1139" t="s">
        <v>559</v>
      </c>
      <c r="G1139" t="s">
        <v>560</v>
      </c>
    </row>
    <row r="1140" spans="1:7">
      <c r="A1140" t="s">
        <v>182</v>
      </c>
      <c r="B1140" t="s">
        <v>557</v>
      </c>
      <c r="C1140" t="s">
        <v>558</v>
      </c>
      <c r="D1140" t="s">
        <v>1697</v>
      </c>
      <c r="E1140">
        <v>-1138</v>
      </c>
      <c r="F1140" t="s">
        <v>559</v>
      </c>
      <c r="G1140" t="s">
        <v>560</v>
      </c>
    </row>
    <row r="1141" spans="1:7">
      <c r="A1141" t="s">
        <v>182</v>
      </c>
      <c r="B1141" t="s">
        <v>557</v>
      </c>
      <c r="C1141" t="s">
        <v>558</v>
      </c>
      <c r="D1141" t="s">
        <v>1698</v>
      </c>
      <c r="E1141">
        <v>-1139</v>
      </c>
      <c r="F1141" t="s">
        <v>559</v>
      </c>
      <c r="G1141" t="s">
        <v>560</v>
      </c>
    </row>
    <row r="1142" spans="1:7">
      <c r="A1142" t="s">
        <v>182</v>
      </c>
      <c r="B1142" t="s">
        <v>557</v>
      </c>
      <c r="C1142" t="s">
        <v>558</v>
      </c>
      <c r="D1142" t="s">
        <v>1699</v>
      </c>
      <c r="E1142">
        <v>-1140</v>
      </c>
      <c r="F1142" t="s">
        <v>559</v>
      </c>
      <c r="G1142" t="s">
        <v>560</v>
      </c>
    </row>
    <row r="1143" spans="1:7">
      <c r="A1143" t="s">
        <v>182</v>
      </c>
      <c r="B1143" t="s">
        <v>557</v>
      </c>
      <c r="C1143" t="s">
        <v>558</v>
      </c>
      <c r="D1143" t="s">
        <v>1700</v>
      </c>
      <c r="E1143">
        <v>-1141</v>
      </c>
      <c r="F1143" t="s">
        <v>559</v>
      </c>
      <c r="G1143" t="s">
        <v>560</v>
      </c>
    </row>
    <row r="1144" spans="1:7">
      <c r="A1144" t="s">
        <v>182</v>
      </c>
      <c r="B1144" t="s">
        <v>557</v>
      </c>
      <c r="C1144" t="s">
        <v>558</v>
      </c>
      <c r="D1144" t="s">
        <v>1701</v>
      </c>
      <c r="E1144">
        <v>-1142</v>
      </c>
      <c r="F1144" t="s">
        <v>559</v>
      </c>
      <c r="G1144" t="s">
        <v>560</v>
      </c>
    </row>
    <row r="1145" spans="1:7">
      <c r="A1145" t="s">
        <v>182</v>
      </c>
      <c r="B1145" t="s">
        <v>557</v>
      </c>
      <c r="C1145" t="s">
        <v>558</v>
      </c>
      <c r="D1145" t="s">
        <v>1702</v>
      </c>
      <c r="E1145">
        <v>-1143</v>
      </c>
      <c r="F1145" t="s">
        <v>559</v>
      </c>
      <c r="G1145" t="s">
        <v>560</v>
      </c>
    </row>
    <row r="1146" spans="1:7">
      <c r="A1146" t="s">
        <v>182</v>
      </c>
      <c r="B1146" t="s">
        <v>557</v>
      </c>
      <c r="C1146" t="s">
        <v>558</v>
      </c>
      <c r="D1146" t="s">
        <v>1703</v>
      </c>
      <c r="E1146">
        <v>-1144</v>
      </c>
      <c r="F1146" t="s">
        <v>559</v>
      </c>
      <c r="G1146" t="s">
        <v>560</v>
      </c>
    </row>
    <row r="1147" spans="1:7">
      <c r="A1147" t="s">
        <v>182</v>
      </c>
      <c r="B1147" t="s">
        <v>557</v>
      </c>
      <c r="C1147" t="s">
        <v>558</v>
      </c>
      <c r="D1147" t="s">
        <v>1704</v>
      </c>
      <c r="E1147">
        <v>-1145</v>
      </c>
      <c r="F1147" t="s">
        <v>559</v>
      </c>
      <c r="G1147" t="s">
        <v>560</v>
      </c>
    </row>
    <row r="1148" spans="1:7">
      <c r="A1148" t="s">
        <v>182</v>
      </c>
      <c r="B1148" t="s">
        <v>557</v>
      </c>
      <c r="C1148" t="s">
        <v>558</v>
      </c>
      <c r="D1148" t="s">
        <v>1705</v>
      </c>
      <c r="E1148">
        <v>-1146</v>
      </c>
      <c r="F1148" t="s">
        <v>559</v>
      </c>
      <c r="G1148" t="s">
        <v>560</v>
      </c>
    </row>
    <row r="1149" spans="1:7">
      <c r="A1149" t="s">
        <v>182</v>
      </c>
      <c r="B1149" t="s">
        <v>557</v>
      </c>
      <c r="C1149" t="s">
        <v>558</v>
      </c>
      <c r="D1149" t="s">
        <v>1706</v>
      </c>
      <c r="E1149">
        <v>-1147</v>
      </c>
      <c r="F1149" t="s">
        <v>559</v>
      </c>
      <c r="G1149" t="s">
        <v>560</v>
      </c>
    </row>
    <row r="1150" spans="1:7">
      <c r="A1150" t="s">
        <v>182</v>
      </c>
      <c r="B1150" t="s">
        <v>557</v>
      </c>
      <c r="C1150" t="s">
        <v>558</v>
      </c>
      <c r="D1150" t="s">
        <v>1707</v>
      </c>
      <c r="E1150">
        <v>-1148</v>
      </c>
      <c r="F1150" t="s">
        <v>559</v>
      </c>
      <c r="G1150" t="s">
        <v>560</v>
      </c>
    </row>
    <row r="1151" spans="1:7">
      <c r="A1151" t="s">
        <v>182</v>
      </c>
      <c r="B1151" t="s">
        <v>557</v>
      </c>
      <c r="C1151" t="s">
        <v>558</v>
      </c>
      <c r="D1151" t="s">
        <v>1708</v>
      </c>
      <c r="E1151">
        <v>-1149</v>
      </c>
      <c r="F1151" t="s">
        <v>559</v>
      </c>
      <c r="G1151" t="s">
        <v>560</v>
      </c>
    </row>
    <row r="1152" spans="1:7">
      <c r="A1152" t="s">
        <v>182</v>
      </c>
      <c r="B1152" t="s">
        <v>557</v>
      </c>
      <c r="C1152" t="s">
        <v>558</v>
      </c>
      <c r="D1152" t="s">
        <v>1709</v>
      </c>
      <c r="E1152">
        <v>-1150</v>
      </c>
      <c r="F1152" t="s">
        <v>559</v>
      </c>
      <c r="G1152" t="s">
        <v>560</v>
      </c>
    </row>
    <row r="1153" spans="1:7">
      <c r="A1153" t="s">
        <v>182</v>
      </c>
      <c r="B1153" t="s">
        <v>557</v>
      </c>
      <c r="C1153" t="s">
        <v>558</v>
      </c>
      <c r="D1153" t="s">
        <v>1710</v>
      </c>
      <c r="E1153">
        <v>-1151</v>
      </c>
      <c r="F1153" t="s">
        <v>559</v>
      </c>
      <c r="G1153" t="s">
        <v>560</v>
      </c>
    </row>
    <row r="1154" spans="1:7">
      <c r="A1154" t="s">
        <v>182</v>
      </c>
      <c r="B1154" t="s">
        <v>557</v>
      </c>
      <c r="C1154" t="s">
        <v>558</v>
      </c>
      <c r="D1154" t="s">
        <v>1711</v>
      </c>
      <c r="E1154">
        <v>-1152</v>
      </c>
      <c r="F1154" t="s">
        <v>559</v>
      </c>
      <c r="G1154" t="s">
        <v>560</v>
      </c>
    </row>
    <row r="1155" spans="1:7">
      <c r="A1155" t="s">
        <v>182</v>
      </c>
      <c r="B1155" t="s">
        <v>557</v>
      </c>
      <c r="C1155" t="s">
        <v>558</v>
      </c>
      <c r="D1155" t="s">
        <v>1712</v>
      </c>
      <c r="E1155">
        <v>-1153</v>
      </c>
      <c r="F1155" t="s">
        <v>559</v>
      </c>
      <c r="G1155" t="s">
        <v>560</v>
      </c>
    </row>
    <row r="1156" spans="1:7">
      <c r="A1156" t="s">
        <v>182</v>
      </c>
      <c r="B1156" t="s">
        <v>557</v>
      </c>
      <c r="C1156" t="s">
        <v>558</v>
      </c>
      <c r="D1156" t="s">
        <v>1713</v>
      </c>
      <c r="E1156">
        <v>-1154</v>
      </c>
      <c r="F1156" t="s">
        <v>559</v>
      </c>
      <c r="G1156" t="s">
        <v>560</v>
      </c>
    </row>
    <row r="1157" spans="1:7">
      <c r="A1157" t="s">
        <v>182</v>
      </c>
      <c r="B1157" t="s">
        <v>557</v>
      </c>
      <c r="C1157" t="s">
        <v>558</v>
      </c>
      <c r="D1157" t="s">
        <v>1714</v>
      </c>
      <c r="E1157">
        <v>-1155</v>
      </c>
      <c r="F1157" t="s">
        <v>559</v>
      </c>
      <c r="G1157" t="s">
        <v>560</v>
      </c>
    </row>
    <row r="1158" spans="1:7">
      <c r="A1158" t="s">
        <v>182</v>
      </c>
      <c r="B1158" t="s">
        <v>557</v>
      </c>
      <c r="C1158" t="s">
        <v>558</v>
      </c>
      <c r="D1158" t="s">
        <v>1715</v>
      </c>
      <c r="E1158">
        <v>-1156</v>
      </c>
      <c r="F1158" t="s">
        <v>559</v>
      </c>
      <c r="G1158" t="s">
        <v>560</v>
      </c>
    </row>
    <row r="1159" spans="1:7">
      <c r="A1159" t="s">
        <v>182</v>
      </c>
      <c r="B1159" t="s">
        <v>557</v>
      </c>
      <c r="C1159" t="s">
        <v>558</v>
      </c>
      <c r="D1159" t="s">
        <v>1716</v>
      </c>
      <c r="E1159">
        <v>-1157</v>
      </c>
      <c r="F1159" t="s">
        <v>559</v>
      </c>
      <c r="G1159" t="s">
        <v>560</v>
      </c>
    </row>
    <row r="1160" spans="1:7">
      <c r="A1160" t="s">
        <v>182</v>
      </c>
      <c r="B1160" t="s">
        <v>557</v>
      </c>
      <c r="C1160" t="s">
        <v>558</v>
      </c>
      <c r="D1160" t="s">
        <v>1717</v>
      </c>
      <c r="E1160">
        <v>-1158</v>
      </c>
      <c r="F1160" t="s">
        <v>559</v>
      </c>
      <c r="G1160" t="s">
        <v>560</v>
      </c>
    </row>
    <row r="1161" spans="1:7">
      <c r="A1161" t="s">
        <v>182</v>
      </c>
      <c r="B1161" t="s">
        <v>557</v>
      </c>
      <c r="C1161" t="s">
        <v>558</v>
      </c>
      <c r="D1161" t="s">
        <v>1718</v>
      </c>
      <c r="E1161">
        <v>-1159</v>
      </c>
      <c r="F1161" t="s">
        <v>559</v>
      </c>
      <c r="G1161" t="s">
        <v>560</v>
      </c>
    </row>
    <row r="1162" spans="1:7">
      <c r="A1162" t="s">
        <v>182</v>
      </c>
      <c r="B1162" t="s">
        <v>557</v>
      </c>
      <c r="C1162" t="s">
        <v>558</v>
      </c>
      <c r="D1162" t="s">
        <v>1719</v>
      </c>
      <c r="E1162">
        <v>-1160</v>
      </c>
      <c r="F1162" t="s">
        <v>559</v>
      </c>
      <c r="G1162" t="s">
        <v>560</v>
      </c>
    </row>
    <row r="1163" spans="1:7">
      <c r="A1163" t="s">
        <v>182</v>
      </c>
      <c r="B1163" t="s">
        <v>557</v>
      </c>
      <c r="C1163" t="s">
        <v>558</v>
      </c>
      <c r="D1163" t="s">
        <v>1720</v>
      </c>
      <c r="E1163">
        <v>-1161</v>
      </c>
      <c r="F1163" t="s">
        <v>559</v>
      </c>
      <c r="G1163" t="s">
        <v>560</v>
      </c>
    </row>
    <row r="1164" spans="1:7">
      <c r="A1164" t="s">
        <v>182</v>
      </c>
      <c r="B1164" t="s">
        <v>557</v>
      </c>
      <c r="C1164" t="s">
        <v>558</v>
      </c>
      <c r="D1164" t="s">
        <v>1721</v>
      </c>
      <c r="E1164">
        <v>-1162</v>
      </c>
      <c r="F1164" t="s">
        <v>559</v>
      </c>
      <c r="G1164" t="s">
        <v>560</v>
      </c>
    </row>
    <row r="1165" spans="1:7">
      <c r="A1165" t="s">
        <v>182</v>
      </c>
      <c r="B1165" t="s">
        <v>557</v>
      </c>
      <c r="C1165" t="s">
        <v>558</v>
      </c>
      <c r="D1165" t="s">
        <v>1722</v>
      </c>
      <c r="E1165">
        <v>-1163</v>
      </c>
      <c r="F1165" t="s">
        <v>559</v>
      </c>
      <c r="G1165" t="s">
        <v>560</v>
      </c>
    </row>
    <row r="1166" spans="1:7">
      <c r="A1166" t="s">
        <v>182</v>
      </c>
      <c r="B1166" t="s">
        <v>557</v>
      </c>
      <c r="C1166" t="s">
        <v>558</v>
      </c>
      <c r="D1166" t="s">
        <v>1723</v>
      </c>
      <c r="E1166">
        <v>-1164</v>
      </c>
      <c r="F1166" t="s">
        <v>559</v>
      </c>
      <c r="G1166" t="s">
        <v>560</v>
      </c>
    </row>
    <row r="1167" spans="1:7">
      <c r="A1167" t="s">
        <v>182</v>
      </c>
      <c r="B1167" t="s">
        <v>557</v>
      </c>
      <c r="C1167" t="s">
        <v>558</v>
      </c>
      <c r="D1167" t="s">
        <v>1724</v>
      </c>
      <c r="E1167">
        <v>-1165</v>
      </c>
      <c r="F1167" t="s">
        <v>559</v>
      </c>
      <c r="G1167" t="s">
        <v>560</v>
      </c>
    </row>
    <row r="1168" spans="1:7">
      <c r="A1168" t="s">
        <v>182</v>
      </c>
      <c r="B1168" t="s">
        <v>557</v>
      </c>
      <c r="C1168" t="s">
        <v>558</v>
      </c>
      <c r="D1168" t="s">
        <v>1725</v>
      </c>
      <c r="E1168">
        <v>-1166</v>
      </c>
      <c r="F1168" t="s">
        <v>559</v>
      </c>
      <c r="G1168" t="s">
        <v>560</v>
      </c>
    </row>
    <row r="1169" spans="1:7">
      <c r="A1169" t="s">
        <v>182</v>
      </c>
      <c r="B1169" t="s">
        <v>557</v>
      </c>
      <c r="C1169" t="s">
        <v>558</v>
      </c>
      <c r="D1169" t="s">
        <v>1726</v>
      </c>
      <c r="E1169">
        <v>-1167</v>
      </c>
      <c r="F1169" t="s">
        <v>559</v>
      </c>
      <c r="G1169" t="s">
        <v>560</v>
      </c>
    </row>
    <row r="1170" spans="1:7">
      <c r="A1170" t="s">
        <v>182</v>
      </c>
      <c r="B1170" t="s">
        <v>557</v>
      </c>
      <c r="C1170" t="s">
        <v>558</v>
      </c>
      <c r="D1170" t="s">
        <v>1727</v>
      </c>
      <c r="E1170">
        <v>-1168</v>
      </c>
      <c r="F1170" t="s">
        <v>559</v>
      </c>
      <c r="G1170" t="s">
        <v>560</v>
      </c>
    </row>
    <row r="1171" spans="1:7">
      <c r="A1171" t="s">
        <v>182</v>
      </c>
      <c r="B1171" t="s">
        <v>557</v>
      </c>
      <c r="C1171" t="s">
        <v>558</v>
      </c>
      <c r="D1171" t="s">
        <v>1728</v>
      </c>
      <c r="E1171">
        <v>-1169</v>
      </c>
      <c r="F1171" t="s">
        <v>559</v>
      </c>
      <c r="G1171" t="s">
        <v>560</v>
      </c>
    </row>
    <row r="1172" spans="1:7">
      <c r="A1172" t="s">
        <v>182</v>
      </c>
      <c r="B1172" t="s">
        <v>557</v>
      </c>
      <c r="C1172" t="s">
        <v>558</v>
      </c>
      <c r="D1172" t="s">
        <v>1729</v>
      </c>
      <c r="E1172">
        <v>-1170</v>
      </c>
      <c r="F1172" t="s">
        <v>559</v>
      </c>
      <c r="G1172" t="s">
        <v>560</v>
      </c>
    </row>
    <row r="1173" spans="1:7">
      <c r="A1173" t="s">
        <v>182</v>
      </c>
      <c r="B1173" t="s">
        <v>557</v>
      </c>
      <c r="C1173" t="s">
        <v>558</v>
      </c>
      <c r="D1173" t="s">
        <v>1730</v>
      </c>
      <c r="E1173">
        <v>-1171</v>
      </c>
      <c r="F1173" t="s">
        <v>559</v>
      </c>
      <c r="G1173" t="s">
        <v>560</v>
      </c>
    </row>
    <row r="1174" spans="1:7">
      <c r="A1174" t="s">
        <v>182</v>
      </c>
      <c r="B1174" t="s">
        <v>557</v>
      </c>
      <c r="C1174" t="s">
        <v>558</v>
      </c>
      <c r="D1174" t="s">
        <v>1731</v>
      </c>
      <c r="E1174">
        <v>-1172</v>
      </c>
      <c r="F1174" t="s">
        <v>559</v>
      </c>
      <c r="G1174" t="s">
        <v>560</v>
      </c>
    </row>
    <row r="1175" spans="1:7">
      <c r="A1175" t="s">
        <v>182</v>
      </c>
      <c r="B1175" t="s">
        <v>557</v>
      </c>
      <c r="C1175" t="s">
        <v>558</v>
      </c>
      <c r="D1175" t="s">
        <v>1732</v>
      </c>
      <c r="E1175">
        <v>-1173</v>
      </c>
      <c r="F1175" t="s">
        <v>559</v>
      </c>
      <c r="G1175" t="s">
        <v>560</v>
      </c>
    </row>
    <row r="1176" spans="1:7">
      <c r="A1176" t="s">
        <v>182</v>
      </c>
      <c r="B1176" t="s">
        <v>557</v>
      </c>
      <c r="C1176" t="s">
        <v>558</v>
      </c>
      <c r="D1176" t="s">
        <v>1733</v>
      </c>
      <c r="E1176">
        <v>-1174</v>
      </c>
      <c r="F1176" t="s">
        <v>559</v>
      </c>
      <c r="G1176" t="s">
        <v>560</v>
      </c>
    </row>
    <row r="1177" spans="1:7">
      <c r="A1177" t="s">
        <v>182</v>
      </c>
      <c r="B1177" t="s">
        <v>557</v>
      </c>
      <c r="C1177" t="s">
        <v>558</v>
      </c>
      <c r="D1177" t="s">
        <v>1734</v>
      </c>
      <c r="E1177">
        <v>-1175</v>
      </c>
      <c r="F1177" t="s">
        <v>559</v>
      </c>
      <c r="G1177" t="s">
        <v>560</v>
      </c>
    </row>
    <row r="1178" spans="1:7">
      <c r="A1178" t="s">
        <v>182</v>
      </c>
      <c r="B1178" t="s">
        <v>557</v>
      </c>
      <c r="C1178" t="s">
        <v>558</v>
      </c>
      <c r="D1178" t="s">
        <v>1735</v>
      </c>
      <c r="E1178">
        <v>-1176</v>
      </c>
      <c r="F1178" t="s">
        <v>559</v>
      </c>
      <c r="G1178" t="s">
        <v>560</v>
      </c>
    </row>
    <row r="1179" spans="1:7">
      <c r="A1179" t="s">
        <v>182</v>
      </c>
      <c r="B1179" t="s">
        <v>557</v>
      </c>
      <c r="C1179" t="s">
        <v>558</v>
      </c>
      <c r="D1179" t="s">
        <v>1736</v>
      </c>
      <c r="E1179">
        <v>-1177</v>
      </c>
      <c r="F1179" t="s">
        <v>559</v>
      </c>
      <c r="G1179" t="s">
        <v>560</v>
      </c>
    </row>
    <row r="1180" spans="1:7">
      <c r="A1180" t="s">
        <v>182</v>
      </c>
      <c r="B1180" t="s">
        <v>557</v>
      </c>
      <c r="C1180" t="s">
        <v>558</v>
      </c>
      <c r="D1180" t="s">
        <v>1737</v>
      </c>
      <c r="E1180">
        <v>-1178</v>
      </c>
      <c r="F1180" t="s">
        <v>559</v>
      </c>
      <c r="G1180" t="s">
        <v>560</v>
      </c>
    </row>
    <row r="1181" spans="1:7">
      <c r="A1181" t="s">
        <v>182</v>
      </c>
      <c r="B1181" t="s">
        <v>557</v>
      </c>
      <c r="C1181" t="s">
        <v>558</v>
      </c>
      <c r="D1181" t="s">
        <v>1738</v>
      </c>
      <c r="E1181">
        <v>-1179</v>
      </c>
      <c r="F1181" t="s">
        <v>559</v>
      </c>
      <c r="G1181" t="s">
        <v>560</v>
      </c>
    </row>
    <row r="1182" spans="1:7">
      <c r="A1182" t="s">
        <v>182</v>
      </c>
      <c r="B1182" t="s">
        <v>557</v>
      </c>
      <c r="C1182" t="s">
        <v>558</v>
      </c>
      <c r="D1182" t="s">
        <v>1739</v>
      </c>
      <c r="E1182">
        <v>-1180</v>
      </c>
      <c r="F1182" t="s">
        <v>559</v>
      </c>
      <c r="G1182" t="s">
        <v>560</v>
      </c>
    </row>
    <row r="1183" spans="1:7">
      <c r="A1183" t="s">
        <v>182</v>
      </c>
      <c r="B1183" t="s">
        <v>557</v>
      </c>
      <c r="C1183" t="s">
        <v>558</v>
      </c>
      <c r="D1183" t="s">
        <v>1740</v>
      </c>
      <c r="E1183">
        <v>-1181</v>
      </c>
      <c r="F1183" t="s">
        <v>559</v>
      </c>
      <c r="G1183" t="s">
        <v>560</v>
      </c>
    </row>
    <row r="1184" spans="1:7">
      <c r="A1184" t="s">
        <v>182</v>
      </c>
      <c r="B1184" t="s">
        <v>557</v>
      </c>
      <c r="C1184" t="s">
        <v>558</v>
      </c>
      <c r="D1184" t="s">
        <v>1741</v>
      </c>
      <c r="E1184">
        <v>-1182</v>
      </c>
      <c r="F1184" t="s">
        <v>559</v>
      </c>
      <c r="G1184" t="s">
        <v>560</v>
      </c>
    </row>
    <row r="1185" spans="1:7">
      <c r="A1185" t="s">
        <v>182</v>
      </c>
      <c r="B1185" t="s">
        <v>557</v>
      </c>
      <c r="C1185" t="s">
        <v>558</v>
      </c>
      <c r="D1185" t="s">
        <v>1742</v>
      </c>
      <c r="E1185">
        <v>-1183</v>
      </c>
      <c r="F1185" t="s">
        <v>559</v>
      </c>
      <c r="G1185" t="s">
        <v>560</v>
      </c>
    </row>
    <row r="1186" spans="1:7">
      <c r="A1186" t="s">
        <v>182</v>
      </c>
      <c r="B1186" t="s">
        <v>557</v>
      </c>
      <c r="C1186" t="s">
        <v>558</v>
      </c>
      <c r="D1186" t="s">
        <v>1743</v>
      </c>
      <c r="E1186">
        <v>-1184</v>
      </c>
      <c r="F1186" t="s">
        <v>559</v>
      </c>
      <c r="G1186" t="s">
        <v>560</v>
      </c>
    </row>
    <row r="1187" spans="1:7">
      <c r="A1187" t="s">
        <v>182</v>
      </c>
      <c r="B1187" t="s">
        <v>557</v>
      </c>
      <c r="C1187" t="s">
        <v>558</v>
      </c>
      <c r="D1187" t="s">
        <v>1744</v>
      </c>
      <c r="E1187">
        <v>-1185</v>
      </c>
      <c r="F1187" t="s">
        <v>559</v>
      </c>
      <c r="G1187" t="s">
        <v>560</v>
      </c>
    </row>
    <row r="1188" spans="1:7">
      <c r="A1188" t="s">
        <v>182</v>
      </c>
      <c r="B1188" t="s">
        <v>557</v>
      </c>
      <c r="C1188" t="s">
        <v>558</v>
      </c>
      <c r="D1188" t="s">
        <v>1745</v>
      </c>
      <c r="E1188">
        <v>-1186</v>
      </c>
      <c r="F1188" t="s">
        <v>559</v>
      </c>
      <c r="G1188" t="s">
        <v>560</v>
      </c>
    </row>
    <row r="1189" spans="1:7">
      <c r="A1189" t="s">
        <v>182</v>
      </c>
      <c r="B1189" t="s">
        <v>557</v>
      </c>
      <c r="C1189" t="s">
        <v>558</v>
      </c>
      <c r="D1189" t="s">
        <v>1746</v>
      </c>
      <c r="E1189">
        <v>-1187</v>
      </c>
      <c r="F1189" t="s">
        <v>559</v>
      </c>
      <c r="G1189" t="s">
        <v>560</v>
      </c>
    </row>
    <row r="1190" spans="1:7">
      <c r="A1190" t="s">
        <v>182</v>
      </c>
      <c r="B1190" t="s">
        <v>557</v>
      </c>
      <c r="C1190" t="s">
        <v>558</v>
      </c>
      <c r="D1190" t="s">
        <v>1747</v>
      </c>
      <c r="E1190">
        <v>-1188</v>
      </c>
      <c r="F1190" t="s">
        <v>559</v>
      </c>
      <c r="G1190" t="s">
        <v>560</v>
      </c>
    </row>
    <row r="1191" spans="1:7">
      <c r="A1191" t="s">
        <v>182</v>
      </c>
      <c r="B1191" t="s">
        <v>557</v>
      </c>
      <c r="C1191" t="s">
        <v>558</v>
      </c>
      <c r="D1191" t="s">
        <v>1748</v>
      </c>
      <c r="E1191">
        <v>-1189</v>
      </c>
      <c r="F1191" t="s">
        <v>559</v>
      </c>
      <c r="G1191" t="s">
        <v>560</v>
      </c>
    </row>
    <row r="1192" spans="1:7">
      <c r="A1192" t="s">
        <v>182</v>
      </c>
      <c r="B1192" t="s">
        <v>557</v>
      </c>
      <c r="C1192" t="s">
        <v>558</v>
      </c>
      <c r="D1192" t="s">
        <v>1749</v>
      </c>
      <c r="E1192">
        <v>-1190</v>
      </c>
      <c r="F1192" t="s">
        <v>559</v>
      </c>
      <c r="G1192" t="s">
        <v>560</v>
      </c>
    </row>
    <row r="1193" spans="1:7">
      <c r="A1193" t="s">
        <v>182</v>
      </c>
      <c r="B1193" t="s">
        <v>557</v>
      </c>
      <c r="C1193" t="s">
        <v>558</v>
      </c>
      <c r="D1193" t="s">
        <v>1750</v>
      </c>
      <c r="E1193">
        <v>-1191</v>
      </c>
      <c r="F1193" t="s">
        <v>559</v>
      </c>
      <c r="G1193" t="s">
        <v>560</v>
      </c>
    </row>
    <row r="1194" spans="1:7">
      <c r="A1194" t="s">
        <v>182</v>
      </c>
      <c r="B1194" t="s">
        <v>557</v>
      </c>
      <c r="C1194" t="s">
        <v>558</v>
      </c>
      <c r="D1194" t="s">
        <v>1751</v>
      </c>
      <c r="E1194">
        <v>-1192</v>
      </c>
      <c r="F1194" t="s">
        <v>559</v>
      </c>
      <c r="G1194" t="s">
        <v>560</v>
      </c>
    </row>
    <row r="1195" spans="1:7">
      <c r="A1195" t="s">
        <v>182</v>
      </c>
      <c r="B1195" t="s">
        <v>557</v>
      </c>
      <c r="C1195" t="s">
        <v>558</v>
      </c>
      <c r="D1195" t="s">
        <v>1752</v>
      </c>
      <c r="E1195">
        <v>-1193</v>
      </c>
      <c r="F1195" t="s">
        <v>559</v>
      </c>
      <c r="G1195" t="s">
        <v>560</v>
      </c>
    </row>
    <row r="1196" spans="1:7">
      <c r="A1196" t="s">
        <v>182</v>
      </c>
      <c r="B1196" t="s">
        <v>557</v>
      </c>
      <c r="C1196" t="s">
        <v>558</v>
      </c>
      <c r="D1196" t="s">
        <v>1753</v>
      </c>
      <c r="E1196">
        <v>-1194</v>
      </c>
      <c r="F1196" t="s">
        <v>559</v>
      </c>
      <c r="G1196" t="s">
        <v>560</v>
      </c>
    </row>
    <row r="1197" spans="1:7">
      <c r="A1197" t="s">
        <v>182</v>
      </c>
      <c r="B1197" t="s">
        <v>557</v>
      </c>
      <c r="C1197" t="s">
        <v>558</v>
      </c>
      <c r="D1197" t="s">
        <v>1754</v>
      </c>
      <c r="E1197">
        <v>-1195</v>
      </c>
      <c r="F1197" t="s">
        <v>559</v>
      </c>
      <c r="G1197" t="s">
        <v>560</v>
      </c>
    </row>
    <row r="1198" spans="1:7">
      <c r="A1198" t="s">
        <v>182</v>
      </c>
      <c r="B1198" t="s">
        <v>557</v>
      </c>
      <c r="C1198" t="s">
        <v>558</v>
      </c>
      <c r="D1198" t="s">
        <v>1755</v>
      </c>
      <c r="E1198">
        <v>-1196</v>
      </c>
      <c r="F1198" t="s">
        <v>559</v>
      </c>
      <c r="G1198" t="s">
        <v>560</v>
      </c>
    </row>
    <row r="1199" spans="1:7">
      <c r="A1199" t="s">
        <v>182</v>
      </c>
      <c r="B1199" t="s">
        <v>557</v>
      </c>
      <c r="C1199" t="s">
        <v>558</v>
      </c>
      <c r="D1199" t="s">
        <v>1756</v>
      </c>
      <c r="E1199">
        <v>-1197</v>
      </c>
      <c r="F1199" t="s">
        <v>559</v>
      </c>
      <c r="G1199" t="s">
        <v>560</v>
      </c>
    </row>
    <row r="1200" spans="1:7">
      <c r="A1200" t="s">
        <v>182</v>
      </c>
      <c r="B1200" t="s">
        <v>557</v>
      </c>
      <c r="C1200" t="s">
        <v>558</v>
      </c>
      <c r="D1200" t="s">
        <v>1757</v>
      </c>
      <c r="E1200">
        <v>-1198</v>
      </c>
      <c r="F1200" t="s">
        <v>559</v>
      </c>
      <c r="G1200" t="s">
        <v>560</v>
      </c>
    </row>
    <row r="1201" spans="1:7">
      <c r="A1201" t="s">
        <v>182</v>
      </c>
      <c r="B1201" t="s">
        <v>557</v>
      </c>
      <c r="C1201" t="s">
        <v>558</v>
      </c>
      <c r="D1201" t="s">
        <v>1758</v>
      </c>
      <c r="E1201">
        <v>-1199</v>
      </c>
      <c r="F1201" t="s">
        <v>559</v>
      </c>
      <c r="G1201" t="s">
        <v>560</v>
      </c>
    </row>
    <row r="1202" spans="1:7">
      <c r="A1202" t="s">
        <v>182</v>
      </c>
      <c r="B1202" t="s">
        <v>557</v>
      </c>
      <c r="C1202" t="s">
        <v>558</v>
      </c>
      <c r="D1202" t="s">
        <v>1759</v>
      </c>
      <c r="E1202">
        <v>-1200</v>
      </c>
      <c r="F1202" t="s">
        <v>559</v>
      </c>
      <c r="G1202" t="s">
        <v>560</v>
      </c>
    </row>
    <row r="1203" spans="1:7">
      <c r="A1203" t="s">
        <v>182</v>
      </c>
      <c r="B1203" t="s">
        <v>557</v>
      </c>
      <c r="C1203" t="s">
        <v>558</v>
      </c>
      <c r="D1203" t="s">
        <v>1760</v>
      </c>
      <c r="E1203">
        <v>-1201</v>
      </c>
      <c r="F1203" t="s">
        <v>559</v>
      </c>
      <c r="G1203" t="s">
        <v>560</v>
      </c>
    </row>
    <row r="1204" spans="1:7">
      <c r="A1204" t="s">
        <v>182</v>
      </c>
      <c r="B1204" t="s">
        <v>557</v>
      </c>
      <c r="C1204" t="s">
        <v>558</v>
      </c>
      <c r="D1204" t="s">
        <v>1761</v>
      </c>
      <c r="E1204">
        <v>-1202</v>
      </c>
      <c r="F1204" t="s">
        <v>559</v>
      </c>
      <c r="G1204" t="s">
        <v>560</v>
      </c>
    </row>
    <row r="1205" spans="1:7">
      <c r="A1205" t="s">
        <v>182</v>
      </c>
      <c r="B1205" t="s">
        <v>557</v>
      </c>
      <c r="C1205" t="s">
        <v>558</v>
      </c>
      <c r="D1205" t="s">
        <v>1762</v>
      </c>
      <c r="E1205">
        <v>-1203</v>
      </c>
      <c r="F1205" t="s">
        <v>559</v>
      </c>
      <c r="G1205" t="s">
        <v>560</v>
      </c>
    </row>
    <row r="1206" spans="1:7">
      <c r="A1206" t="s">
        <v>182</v>
      </c>
      <c r="B1206" t="s">
        <v>557</v>
      </c>
      <c r="C1206" t="s">
        <v>558</v>
      </c>
      <c r="D1206" t="s">
        <v>1763</v>
      </c>
      <c r="E1206">
        <v>-1204</v>
      </c>
      <c r="F1206" t="s">
        <v>559</v>
      </c>
      <c r="G1206" t="s">
        <v>560</v>
      </c>
    </row>
    <row r="1207" spans="1:7">
      <c r="A1207" t="s">
        <v>182</v>
      </c>
      <c r="B1207" t="s">
        <v>557</v>
      </c>
      <c r="C1207" t="s">
        <v>558</v>
      </c>
      <c r="D1207" t="s">
        <v>1764</v>
      </c>
      <c r="E1207">
        <v>-1205</v>
      </c>
      <c r="F1207" t="s">
        <v>559</v>
      </c>
      <c r="G1207" t="s">
        <v>560</v>
      </c>
    </row>
    <row r="1208" spans="1:7">
      <c r="A1208" t="s">
        <v>182</v>
      </c>
      <c r="B1208" t="s">
        <v>557</v>
      </c>
      <c r="C1208" t="s">
        <v>558</v>
      </c>
      <c r="D1208" t="s">
        <v>1765</v>
      </c>
      <c r="E1208">
        <v>-1206</v>
      </c>
      <c r="F1208" t="s">
        <v>559</v>
      </c>
      <c r="G1208" t="s">
        <v>560</v>
      </c>
    </row>
    <row r="1209" spans="1:7">
      <c r="A1209" t="s">
        <v>182</v>
      </c>
      <c r="B1209" t="s">
        <v>557</v>
      </c>
      <c r="C1209" t="s">
        <v>558</v>
      </c>
      <c r="D1209" t="s">
        <v>1766</v>
      </c>
      <c r="E1209">
        <v>-1207</v>
      </c>
      <c r="F1209" t="s">
        <v>559</v>
      </c>
      <c r="G1209" t="s">
        <v>560</v>
      </c>
    </row>
    <row r="1210" spans="1:7">
      <c r="A1210" t="s">
        <v>182</v>
      </c>
      <c r="B1210" t="s">
        <v>557</v>
      </c>
      <c r="C1210" t="s">
        <v>558</v>
      </c>
      <c r="D1210" t="s">
        <v>1767</v>
      </c>
      <c r="E1210">
        <v>-1208</v>
      </c>
      <c r="F1210" t="s">
        <v>559</v>
      </c>
      <c r="G1210" t="s">
        <v>560</v>
      </c>
    </row>
    <row r="1211" spans="1:7">
      <c r="A1211" t="s">
        <v>182</v>
      </c>
      <c r="B1211" t="s">
        <v>557</v>
      </c>
      <c r="C1211" t="s">
        <v>558</v>
      </c>
      <c r="D1211" t="s">
        <v>1768</v>
      </c>
      <c r="E1211">
        <v>-1209</v>
      </c>
      <c r="F1211" t="s">
        <v>559</v>
      </c>
      <c r="G1211" t="s">
        <v>560</v>
      </c>
    </row>
    <row r="1212" spans="1:7">
      <c r="A1212" t="s">
        <v>182</v>
      </c>
      <c r="B1212" t="s">
        <v>557</v>
      </c>
      <c r="C1212" t="s">
        <v>558</v>
      </c>
      <c r="D1212" t="s">
        <v>1769</v>
      </c>
      <c r="E1212">
        <v>-1210</v>
      </c>
      <c r="F1212" t="s">
        <v>559</v>
      </c>
      <c r="G1212" t="s">
        <v>560</v>
      </c>
    </row>
    <row r="1213" spans="1:7">
      <c r="A1213" t="s">
        <v>182</v>
      </c>
      <c r="B1213" t="s">
        <v>557</v>
      </c>
      <c r="C1213" t="s">
        <v>558</v>
      </c>
      <c r="D1213" t="s">
        <v>1770</v>
      </c>
      <c r="E1213">
        <v>-1211</v>
      </c>
      <c r="F1213" t="s">
        <v>559</v>
      </c>
      <c r="G1213" t="s">
        <v>560</v>
      </c>
    </row>
    <row r="1214" spans="1:7">
      <c r="A1214" t="s">
        <v>182</v>
      </c>
      <c r="B1214" t="s">
        <v>557</v>
      </c>
      <c r="C1214" t="s">
        <v>558</v>
      </c>
      <c r="D1214" t="s">
        <v>1771</v>
      </c>
      <c r="E1214">
        <v>-1212</v>
      </c>
      <c r="F1214" t="s">
        <v>559</v>
      </c>
      <c r="G1214" t="s">
        <v>560</v>
      </c>
    </row>
    <row r="1215" spans="1:7">
      <c r="A1215" t="s">
        <v>182</v>
      </c>
      <c r="B1215" t="s">
        <v>557</v>
      </c>
      <c r="C1215" t="s">
        <v>558</v>
      </c>
      <c r="D1215" t="s">
        <v>1772</v>
      </c>
      <c r="E1215">
        <v>-1213</v>
      </c>
      <c r="F1215" t="s">
        <v>559</v>
      </c>
      <c r="G1215" t="s">
        <v>560</v>
      </c>
    </row>
    <row r="1216" spans="1:7">
      <c r="A1216" t="s">
        <v>182</v>
      </c>
      <c r="B1216" t="s">
        <v>557</v>
      </c>
      <c r="C1216" t="s">
        <v>558</v>
      </c>
      <c r="D1216" t="s">
        <v>1773</v>
      </c>
      <c r="E1216">
        <v>-1214</v>
      </c>
      <c r="F1216" t="s">
        <v>559</v>
      </c>
      <c r="G1216" t="s">
        <v>560</v>
      </c>
    </row>
    <row r="1217" spans="1:7">
      <c r="A1217" t="s">
        <v>182</v>
      </c>
      <c r="B1217" t="s">
        <v>557</v>
      </c>
      <c r="C1217" t="s">
        <v>558</v>
      </c>
      <c r="D1217" t="s">
        <v>1774</v>
      </c>
      <c r="E1217">
        <v>-1215</v>
      </c>
      <c r="F1217" t="s">
        <v>559</v>
      </c>
      <c r="G1217" t="s">
        <v>560</v>
      </c>
    </row>
    <row r="1218" spans="1:7">
      <c r="A1218" t="s">
        <v>182</v>
      </c>
      <c r="B1218" t="s">
        <v>557</v>
      </c>
      <c r="C1218" t="s">
        <v>558</v>
      </c>
      <c r="D1218" t="s">
        <v>1775</v>
      </c>
      <c r="E1218">
        <v>-1216</v>
      </c>
      <c r="F1218" t="s">
        <v>559</v>
      </c>
      <c r="G1218" t="s">
        <v>560</v>
      </c>
    </row>
    <row r="1219" spans="1:7">
      <c r="A1219" t="s">
        <v>182</v>
      </c>
      <c r="B1219" t="s">
        <v>557</v>
      </c>
      <c r="C1219" t="s">
        <v>558</v>
      </c>
      <c r="D1219" t="s">
        <v>1776</v>
      </c>
      <c r="E1219">
        <v>-1217</v>
      </c>
      <c r="F1219" t="s">
        <v>559</v>
      </c>
      <c r="G1219" t="s">
        <v>560</v>
      </c>
    </row>
    <row r="1220" spans="1:7">
      <c r="A1220" t="s">
        <v>182</v>
      </c>
      <c r="B1220" t="s">
        <v>557</v>
      </c>
      <c r="C1220" t="s">
        <v>558</v>
      </c>
      <c r="D1220" t="s">
        <v>1777</v>
      </c>
      <c r="E1220">
        <v>-1218</v>
      </c>
      <c r="F1220" t="s">
        <v>559</v>
      </c>
      <c r="G1220" t="s">
        <v>560</v>
      </c>
    </row>
    <row r="1221" spans="1:7">
      <c r="A1221" t="s">
        <v>182</v>
      </c>
      <c r="B1221" t="s">
        <v>557</v>
      </c>
      <c r="C1221" t="s">
        <v>558</v>
      </c>
      <c r="D1221" t="s">
        <v>1778</v>
      </c>
      <c r="E1221">
        <v>-1219</v>
      </c>
      <c r="F1221" t="s">
        <v>559</v>
      </c>
      <c r="G1221" t="s">
        <v>560</v>
      </c>
    </row>
    <row r="1222" spans="1:7">
      <c r="A1222" t="s">
        <v>182</v>
      </c>
      <c r="B1222" t="s">
        <v>557</v>
      </c>
      <c r="C1222" t="s">
        <v>558</v>
      </c>
      <c r="D1222" t="s">
        <v>1779</v>
      </c>
      <c r="E1222">
        <v>-1220</v>
      </c>
      <c r="F1222" t="s">
        <v>559</v>
      </c>
      <c r="G1222" t="s">
        <v>560</v>
      </c>
    </row>
    <row r="1223" spans="1:7">
      <c r="A1223" t="s">
        <v>182</v>
      </c>
      <c r="B1223" t="s">
        <v>557</v>
      </c>
      <c r="C1223" t="s">
        <v>558</v>
      </c>
      <c r="D1223" t="s">
        <v>1780</v>
      </c>
      <c r="E1223">
        <v>-1221</v>
      </c>
      <c r="F1223" t="s">
        <v>559</v>
      </c>
      <c r="G1223" t="s">
        <v>560</v>
      </c>
    </row>
    <row r="1224" spans="1:7">
      <c r="A1224" t="s">
        <v>182</v>
      </c>
      <c r="B1224" t="s">
        <v>557</v>
      </c>
      <c r="C1224" t="s">
        <v>558</v>
      </c>
      <c r="D1224" t="s">
        <v>1781</v>
      </c>
      <c r="E1224">
        <v>-1222</v>
      </c>
      <c r="F1224" t="s">
        <v>559</v>
      </c>
      <c r="G1224" t="s">
        <v>560</v>
      </c>
    </row>
    <row r="1225" spans="1:7">
      <c r="A1225" t="s">
        <v>182</v>
      </c>
      <c r="B1225" t="s">
        <v>557</v>
      </c>
      <c r="C1225" t="s">
        <v>558</v>
      </c>
      <c r="D1225" t="s">
        <v>1782</v>
      </c>
      <c r="E1225">
        <v>-1223</v>
      </c>
      <c r="F1225" t="s">
        <v>559</v>
      </c>
      <c r="G1225" t="s">
        <v>560</v>
      </c>
    </row>
    <row r="1226" spans="1:7">
      <c r="A1226" t="s">
        <v>182</v>
      </c>
      <c r="B1226" t="s">
        <v>557</v>
      </c>
      <c r="C1226" t="s">
        <v>558</v>
      </c>
      <c r="D1226" t="s">
        <v>1783</v>
      </c>
      <c r="E1226">
        <v>-1224</v>
      </c>
      <c r="F1226" t="s">
        <v>559</v>
      </c>
      <c r="G1226" t="s">
        <v>560</v>
      </c>
    </row>
    <row r="1227" spans="1:7">
      <c r="A1227" t="s">
        <v>182</v>
      </c>
      <c r="B1227" t="s">
        <v>557</v>
      </c>
      <c r="C1227" t="s">
        <v>558</v>
      </c>
      <c r="D1227" t="s">
        <v>1784</v>
      </c>
      <c r="E1227">
        <v>-1225</v>
      </c>
      <c r="F1227" t="s">
        <v>559</v>
      </c>
      <c r="G1227" t="s">
        <v>560</v>
      </c>
    </row>
    <row r="1228" spans="1:7">
      <c r="A1228" t="s">
        <v>182</v>
      </c>
      <c r="B1228" t="s">
        <v>557</v>
      </c>
      <c r="C1228" t="s">
        <v>558</v>
      </c>
      <c r="D1228" t="s">
        <v>1785</v>
      </c>
      <c r="E1228">
        <v>-1226</v>
      </c>
      <c r="F1228" t="s">
        <v>559</v>
      </c>
      <c r="G1228" t="s">
        <v>560</v>
      </c>
    </row>
    <row r="1229" spans="1:7">
      <c r="A1229" t="s">
        <v>182</v>
      </c>
      <c r="B1229" t="s">
        <v>557</v>
      </c>
      <c r="C1229" t="s">
        <v>558</v>
      </c>
      <c r="D1229" t="s">
        <v>1786</v>
      </c>
      <c r="E1229">
        <v>-1227</v>
      </c>
      <c r="F1229" t="s">
        <v>559</v>
      </c>
      <c r="G1229" t="s">
        <v>560</v>
      </c>
    </row>
    <row r="1230" spans="1:7">
      <c r="A1230" t="s">
        <v>182</v>
      </c>
      <c r="B1230" t="s">
        <v>557</v>
      </c>
      <c r="C1230" t="s">
        <v>558</v>
      </c>
      <c r="D1230" t="s">
        <v>1787</v>
      </c>
      <c r="E1230">
        <v>-1228</v>
      </c>
      <c r="F1230" t="s">
        <v>559</v>
      </c>
      <c r="G1230" t="s">
        <v>560</v>
      </c>
    </row>
    <row r="1231" spans="1:7">
      <c r="A1231" t="s">
        <v>182</v>
      </c>
      <c r="B1231" t="s">
        <v>557</v>
      </c>
      <c r="C1231" t="s">
        <v>558</v>
      </c>
      <c r="D1231" t="s">
        <v>1788</v>
      </c>
      <c r="E1231">
        <v>-1229</v>
      </c>
      <c r="F1231" t="s">
        <v>559</v>
      </c>
      <c r="G1231" t="s">
        <v>560</v>
      </c>
    </row>
    <row r="1232" spans="1:7">
      <c r="A1232" t="s">
        <v>182</v>
      </c>
      <c r="B1232" t="s">
        <v>557</v>
      </c>
      <c r="C1232" t="s">
        <v>558</v>
      </c>
      <c r="D1232" t="s">
        <v>1789</v>
      </c>
      <c r="E1232">
        <v>-1230</v>
      </c>
      <c r="F1232" t="s">
        <v>559</v>
      </c>
      <c r="G1232" t="s">
        <v>560</v>
      </c>
    </row>
    <row r="1233" spans="1:7">
      <c r="A1233" t="s">
        <v>182</v>
      </c>
      <c r="B1233" t="s">
        <v>557</v>
      </c>
      <c r="C1233" t="s">
        <v>558</v>
      </c>
      <c r="D1233" t="s">
        <v>1790</v>
      </c>
      <c r="E1233">
        <v>-1231</v>
      </c>
      <c r="F1233" t="s">
        <v>559</v>
      </c>
      <c r="G1233" t="s">
        <v>560</v>
      </c>
    </row>
    <row r="1234" spans="1:7">
      <c r="A1234" t="s">
        <v>182</v>
      </c>
      <c r="B1234" t="s">
        <v>557</v>
      </c>
      <c r="C1234" t="s">
        <v>558</v>
      </c>
      <c r="D1234" t="s">
        <v>1791</v>
      </c>
      <c r="E1234">
        <v>-1232</v>
      </c>
      <c r="F1234" t="s">
        <v>559</v>
      </c>
      <c r="G1234" t="s">
        <v>560</v>
      </c>
    </row>
    <row r="1235" spans="1:7">
      <c r="A1235" t="s">
        <v>182</v>
      </c>
      <c r="B1235" t="s">
        <v>557</v>
      </c>
      <c r="C1235" t="s">
        <v>558</v>
      </c>
      <c r="D1235" t="s">
        <v>1792</v>
      </c>
      <c r="E1235">
        <v>-1233</v>
      </c>
      <c r="F1235" t="s">
        <v>559</v>
      </c>
      <c r="G1235" t="s">
        <v>560</v>
      </c>
    </row>
    <row r="1236" spans="1:7">
      <c r="A1236" t="s">
        <v>182</v>
      </c>
      <c r="B1236" t="s">
        <v>557</v>
      </c>
      <c r="C1236" t="s">
        <v>558</v>
      </c>
      <c r="D1236" t="s">
        <v>1793</v>
      </c>
      <c r="E1236">
        <v>-1234</v>
      </c>
      <c r="F1236" t="s">
        <v>559</v>
      </c>
      <c r="G1236" t="s">
        <v>560</v>
      </c>
    </row>
    <row r="1237" spans="1:7">
      <c r="A1237" t="s">
        <v>182</v>
      </c>
      <c r="B1237" t="s">
        <v>557</v>
      </c>
      <c r="C1237" t="s">
        <v>558</v>
      </c>
      <c r="D1237" t="s">
        <v>1794</v>
      </c>
      <c r="E1237">
        <v>-1235</v>
      </c>
      <c r="F1237" t="s">
        <v>559</v>
      </c>
      <c r="G1237" t="s">
        <v>560</v>
      </c>
    </row>
    <row r="1238" spans="1:7">
      <c r="A1238" t="s">
        <v>182</v>
      </c>
      <c r="B1238" t="s">
        <v>557</v>
      </c>
      <c r="C1238" t="s">
        <v>558</v>
      </c>
      <c r="D1238" t="s">
        <v>1795</v>
      </c>
      <c r="E1238">
        <v>-1236</v>
      </c>
      <c r="F1238" t="s">
        <v>559</v>
      </c>
      <c r="G1238" t="s">
        <v>560</v>
      </c>
    </row>
    <row r="1239" spans="1:7">
      <c r="A1239" t="s">
        <v>182</v>
      </c>
      <c r="B1239" t="s">
        <v>557</v>
      </c>
      <c r="C1239" t="s">
        <v>558</v>
      </c>
      <c r="D1239" t="s">
        <v>1796</v>
      </c>
      <c r="E1239">
        <v>-1237</v>
      </c>
      <c r="F1239" t="s">
        <v>559</v>
      </c>
      <c r="G1239" t="s">
        <v>560</v>
      </c>
    </row>
    <row r="1240" spans="1:7">
      <c r="A1240" t="s">
        <v>182</v>
      </c>
      <c r="B1240" t="s">
        <v>557</v>
      </c>
      <c r="C1240" t="s">
        <v>558</v>
      </c>
      <c r="D1240" t="s">
        <v>1797</v>
      </c>
      <c r="E1240">
        <v>-1238</v>
      </c>
      <c r="F1240" t="s">
        <v>559</v>
      </c>
      <c r="G1240" t="s">
        <v>560</v>
      </c>
    </row>
    <row r="1241" spans="1:7">
      <c r="A1241" t="s">
        <v>182</v>
      </c>
      <c r="B1241" t="s">
        <v>557</v>
      </c>
      <c r="C1241" t="s">
        <v>558</v>
      </c>
      <c r="D1241" t="s">
        <v>1798</v>
      </c>
      <c r="E1241">
        <v>-1239</v>
      </c>
      <c r="F1241" t="s">
        <v>559</v>
      </c>
      <c r="G1241" t="s">
        <v>560</v>
      </c>
    </row>
    <row r="1242" spans="1:7">
      <c r="A1242" t="s">
        <v>182</v>
      </c>
      <c r="B1242" t="s">
        <v>557</v>
      </c>
      <c r="C1242" t="s">
        <v>558</v>
      </c>
      <c r="D1242" t="s">
        <v>1799</v>
      </c>
      <c r="E1242">
        <v>-1240</v>
      </c>
      <c r="F1242" t="s">
        <v>559</v>
      </c>
      <c r="G1242" t="s">
        <v>560</v>
      </c>
    </row>
    <row r="1243" spans="1:7">
      <c r="A1243" t="s">
        <v>182</v>
      </c>
      <c r="B1243" t="s">
        <v>557</v>
      </c>
      <c r="C1243" t="s">
        <v>558</v>
      </c>
      <c r="D1243" t="s">
        <v>1800</v>
      </c>
      <c r="E1243">
        <v>-1241</v>
      </c>
      <c r="F1243" t="s">
        <v>559</v>
      </c>
      <c r="G1243" t="s">
        <v>560</v>
      </c>
    </row>
    <row r="1244" spans="1:7">
      <c r="A1244" t="s">
        <v>182</v>
      </c>
      <c r="B1244" t="s">
        <v>557</v>
      </c>
      <c r="C1244" t="s">
        <v>558</v>
      </c>
      <c r="D1244" t="s">
        <v>1801</v>
      </c>
      <c r="E1244">
        <v>-1242</v>
      </c>
      <c r="F1244" t="s">
        <v>559</v>
      </c>
      <c r="G1244" t="s">
        <v>560</v>
      </c>
    </row>
    <row r="1245" spans="1:7">
      <c r="A1245" t="s">
        <v>182</v>
      </c>
      <c r="B1245" t="s">
        <v>557</v>
      </c>
      <c r="C1245" t="s">
        <v>558</v>
      </c>
      <c r="D1245" t="s">
        <v>1802</v>
      </c>
      <c r="E1245">
        <v>-1243</v>
      </c>
      <c r="F1245" t="s">
        <v>559</v>
      </c>
      <c r="G1245" t="s">
        <v>560</v>
      </c>
    </row>
    <row r="1246" spans="1:7">
      <c r="A1246" t="s">
        <v>182</v>
      </c>
      <c r="B1246" t="s">
        <v>557</v>
      </c>
      <c r="C1246" t="s">
        <v>558</v>
      </c>
      <c r="D1246" t="s">
        <v>1803</v>
      </c>
      <c r="E1246">
        <v>-1244</v>
      </c>
      <c r="F1246" t="s">
        <v>559</v>
      </c>
      <c r="G1246" t="s">
        <v>560</v>
      </c>
    </row>
    <row r="1247" spans="1:7">
      <c r="A1247" t="s">
        <v>182</v>
      </c>
      <c r="B1247" t="s">
        <v>557</v>
      </c>
      <c r="C1247" t="s">
        <v>558</v>
      </c>
      <c r="D1247" t="s">
        <v>1804</v>
      </c>
      <c r="E1247">
        <v>-1245</v>
      </c>
      <c r="F1247" t="s">
        <v>559</v>
      </c>
      <c r="G1247" t="s">
        <v>560</v>
      </c>
    </row>
    <row r="1248" spans="1:7">
      <c r="A1248" t="s">
        <v>182</v>
      </c>
      <c r="B1248" t="s">
        <v>557</v>
      </c>
      <c r="C1248" t="s">
        <v>558</v>
      </c>
      <c r="D1248" t="s">
        <v>1805</v>
      </c>
      <c r="E1248">
        <v>-1246</v>
      </c>
      <c r="F1248" t="s">
        <v>559</v>
      </c>
      <c r="G1248" t="s">
        <v>560</v>
      </c>
    </row>
    <row r="1249" spans="1:7">
      <c r="A1249" t="s">
        <v>182</v>
      </c>
      <c r="B1249" t="s">
        <v>557</v>
      </c>
      <c r="C1249" t="s">
        <v>558</v>
      </c>
      <c r="D1249" t="s">
        <v>1806</v>
      </c>
      <c r="E1249">
        <v>-1247</v>
      </c>
      <c r="F1249" t="s">
        <v>559</v>
      </c>
      <c r="G1249" t="s">
        <v>560</v>
      </c>
    </row>
    <row r="1250" spans="1:7">
      <c r="A1250" t="s">
        <v>182</v>
      </c>
      <c r="B1250" t="s">
        <v>557</v>
      </c>
      <c r="C1250" t="s">
        <v>558</v>
      </c>
      <c r="D1250" t="s">
        <v>1807</v>
      </c>
      <c r="E1250">
        <v>-1248</v>
      </c>
      <c r="F1250" t="s">
        <v>559</v>
      </c>
      <c r="G1250" t="s">
        <v>560</v>
      </c>
    </row>
    <row r="1251" spans="1:7">
      <c r="A1251" t="s">
        <v>182</v>
      </c>
      <c r="B1251" t="s">
        <v>557</v>
      </c>
      <c r="C1251" t="s">
        <v>558</v>
      </c>
      <c r="D1251" t="s">
        <v>1808</v>
      </c>
      <c r="E1251">
        <v>-1249</v>
      </c>
      <c r="F1251" t="s">
        <v>559</v>
      </c>
      <c r="G1251" t="s">
        <v>560</v>
      </c>
    </row>
    <row r="1252" spans="1:7">
      <c r="A1252" t="s">
        <v>182</v>
      </c>
      <c r="B1252" t="s">
        <v>557</v>
      </c>
      <c r="C1252" t="s">
        <v>558</v>
      </c>
      <c r="D1252" t="s">
        <v>1809</v>
      </c>
      <c r="E1252">
        <v>-1250</v>
      </c>
      <c r="F1252" t="s">
        <v>559</v>
      </c>
      <c r="G1252" t="s">
        <v>560</v>
      </c>
    </row>
    <row r="1253" spans="1:7">
      <c r="A1253" t="s">
        <v>182</v>
      </c>
      <c r="B1253" t="s">
        <v>557</v>
      </c>
      <c r="C1253" t="s">
        <v>558</v>
      </c>
      <c r="D1253" t="s">
        <v>1810</v>
      </c>
      <c r="E1253">
        <v>-1251</v>
      </c>
      <c r="F1253" t="s">
        <v>559</v>
      </c>
      <c r="G1253" t="s">
        <v>560</v>
      </c>
    </row>
    <row r="1254" spans="1:7">
      <c r="A1254" t="s">
        <v>182</v>
      </c>
      <c r="B1254" t="s">
        <v>557</v>
      </c>
      <c r="C1254" t="s">
        <v>558</v>
      </c>
      <c r="D1254" t="s">
        <v>1811</v>
      </c>
      <c r="E1254">
        <v>-1252</v>
      </c>
      <c r="F1254" t="s">
        <v>559</v>
      </c>
      <c r="G1254" t="s">
        <v>560</v>
      </c>
    </row>
    <row r="1255" spans="1:7">
      <c r="A1255" t="s">
        <v>182</v>
      </c>
      <c r="B1255" t="s">
        <v>557</v>
      </c>
      <c r="C1255" t="s">
        <v>558</v>
      </c>
      <c r="D1255" t="s">
        <v>1812</v>
      </c>
      <c r="E1255">
        <v>-1253</v>
      </c>
      <c r="F1255" t="s">
        <v>559</v>
      </c>
      <c r="G1255" t="s">
        <v>560</v>
      </c>
    </row>
    <row r="1256" spans="1:7">
      <c r="A1256" t="s">
        <v>182</v>
      </c>
      <c r="B1256" t="s">
        <v>557</v>
      </c>
      <c r="C1256" t="s">
        <v>558</v>
      </c>
      <c r="D1256" t="s">
        <v>1813</v>
      </c>
      <c r="E1256">
        <v>-1254</v>
      </c>
      <c r="F1256" t="s">
        <v>559</v>
      </c>
      <c r="G1256" t="s">
        <v>560</v>
      </c>
    </row>
    <row r="1257" spans="1:7">
      <c r="A1257" t="s">
        <v>182</v>
      </c>
      <c r="B1257" t="s">
        <v>557</v>
      </c>
      <c r="C1257" t="s">
        <v>558</v>
      </c>
      <c r="D1257" t="s">
        <v>1814</v>
      </c>
      <c r="E1257">
        <v>-1255</v>
      </c>
      <c r="F1257" t="s">
        <v>559</v>
      </c>
      <c r="G1257" t="s">
        <v>560</v>
      </c>
    </row>
    <row r="1258" spans="1:7">
      <c r="A1258" t="s">
        <v>182</v>
      </c>
      <c r="B1258" t="s">
        <v>557</v>
      </c>
      <c r="C1258" t="s">
        <v>558</v>
      </c>
      <c r="D1258" t="s">
        <v>1815</v>
      </c>
      <c r="E1258">
        <v>-1256</v>
      </c>
      <c r="F1258" t="s">
        <v>559</v>
      </c>
      <c r="G1258" t="s">
        <v>560</v>
      </c>
    </row>
    <row r="1259" spans="1:7">
      <c r="A1259" t="s">
        <v>182</v>
      </c>
      <c r="B1259" t="s">
        <v>557</v>
      </c>
      <c r="C1259" t="s">
        <v>558</v>
      </c>
      <c r="D1259" t="s">
        <v>1816</v>
      </c>
      <c r="E1259">
        <v>-1257</v>
      </c>
      <c r="F1259" t="s">
        <v>559</v>
      </c>
      <c r="G1259" t="s">
        <v>560</v>
      </c>
    </row>
    <row r="1260" spans="1:7">
      <c r="A1260" t="s">
        <v>182</v>
      </c>
      <c r="B1260" t="s">
        <v>557</v>
      </c>
      <c r="C1260" t="s">
        <v>558</v>
      </c>
      <c r="D1260" t="s">
        <v>1817</v>
      </c>
      <c r="E1260">
        <v>-1258</v>
      </c>
      <c r="F1260" t="s">
        <v>559</v>
      </c>
      <c r="G1260" t="s">
        <v>560</v>
      </c>
    </row>
    <row r="1261" spans="1:7">
      <c r="A1261" t="s">
        <v>182</v>
      </c>
      <c r="B1261" t="s">
        <v>557</v>
      </c>
      <c r="C1261" t="s">
        <v>558</v>
      </c>
      <c r="D1261" t="s">
        <v>1818</v>
      </c>
      <c r="E1261">
        <v>-1259</v>
      </c>
      <c r="F1261" t="s">
        <v>559</v>
      </c>
      <c r="G1261" t="s">
        <v>560</v>
      </c>
    </row>
    <row r="1262" spans="1:7">
      <c r="A1262" t="s">
        <v>182</v>
      </c>
      <c r="B1262" t="s">
        <v>557</v>
      </c>
      <c r="C1262" t="s">
        <v>558</v>
      </c>
      <c r="D1262" t="s">
        <v>1819</v>
      </c>
      <c r="E1262">
        <v>-1260</v>
      </c>
      <c r="F1262" t="s">
        <v>559</v>
      </c>
      <c r="G1262" t="s">
        <v>560</v>
      </c>
    </row>
    <row r="1263" spans="1:7">
      <c r="A1263" t="s">
        <v>182</v>
      </c>
      <c r="B1263" t="s">
        <v>557</v>
      </c>
      <c r="C1263" t="s">
        <v>558</v>
      </c>
      <c r="D1263" t="s">
        <v>1820</v>
      </c>
      <c r="E1263">
        <v>-1261</v>
      </c>
      <c r="F1263" t="s">
        <v>559</v>
      </c>
      <c r="G1263" t="s">
        <v>560</v>
      </c>
    </row>
    <row r="1264" spans="1:7">
      <c r="A1264" t="s">
        <v>182</v>
      </c>
      <c r="B1264" t="s">
        <v>557</v>
      </c>
      <c r="C1264" t="s">
        <v>558</v>
      </c>
      <c r="D1264" t="s">
        <v>1821</v>
      </c>
      <c r="E1264">
        <v>-1262</v>
      </c>
      <c r="F1264" t="s">
        <v>559</v>
      </c>
      <c r="G1264" t="s">
        <v>560</v>
      </c>
    </row>
    <row r="1265" spans="1:7">
      <c r="A1265" t="s">
        <v>182</v>
      </c>
      <c r="B1265" t="s">
        <v>557</v>
      </c>
      <c r="C1265" t="s">
        <v>558</v>
      </c>
      <c r="D1265" t="s">
        <v>1822</v>
      </c>
      <c r="E1265">
        <v>-1263</v>
      </c>
      <c r="F1265" t="s">
        <v>559</v>
      </c>
      <c r="G1265" t="s">
        <v>560</v>
      </c>
    </row>
    <row r="1266" spans="1:7">
      <c r="A1266" t="s">
        <v>182</v>
      </c>
      <c r="B1266" t="s">
        <v>557</v>
      </c>
      <c r="C1266" t="s">
        <v>558</v>
      </c>
      <c r="D1266" t="s">
        <v>1823</v>
      </c>
      <c r="E1266">
        <v>-1264</v>
      </c>
      <c r="F1266" t="s">
        <v>559</v>
      </c>
      <c r="G1266" t="s">
        <v>560</v>
      </c>
    </row>
    <row r="1267" spans="1:7">
      <c r="A1267" t="s">
        <v>182</v>
      </c>
      <c r="B1267" t="s">
        <v>557</v>
      </c>
      <c r="C1267" t="s">
        <v>558</v>
      </c>
      <c r="D1267" t="s">
        <v>1824</v>
      </c>
      <c r="E1267">
        <v>-1265</v>
      </c>
      <c r="F1267" t="s">
        <v>559</v>
      </c>
      <c r="G1267" t="s">
        <v>560</v>
      </c>
    </row>
    <row r="1268" spans="1:7">
      <c r="A1268" t="s">
        <v>182</v>
      </c>
      <c r="B1268" t="s">
        <v>557</v>
      </c>
      <c r="C1268" t="s">
        <v>558</v>
      </c>
      <c r="D1268" t="s">
        <v>1825</v>
      </c>
      <c r="E1268">
        <v>-1266</v>
      </c>
      <c r="F1268" t="s">
        <v>559</v>
      </c>
      <c r="G1268" t="s">
        <v>560</v>
      </c>
    </row>
    <row r="1269" spans="1:7">
      <c r="A1269" t="s">
        <v>182</v>
      </c>
      <c r="B1269" t="s">
        <v>557</v>
      </c>
      <c r="C1269" t="s">
        <v>558</v>
      </c>
      <c r="D1269" t="s">
        <v>1826</v>
      </c>
      <c r="E1269">
        <v>-1267</v>
      </c>
      <c r="F1269" t="s">
        <v>559</v>
      </c>
      <c r="G1269" t="s">
        <v>560</v>
      </c>
    </row>
    <row r="1270" spans="1:7">
      <c r="A1270" t="s">
        <v>182</v>
      </c>
      <c r="B1270" t="s">
        <v>557</v>
      </c>
      <c r="C1270" t="s">
        <v>558</v>
      </c>
      <c r="D1270" t="s">
        <v>1827</v>
      </c>
      <c r="E1270">
        <v>-1268</v>
      </c>
      <c r="F1270" t="s">
        <v>559</v>
      </c>
      <c r="G1270" t="s">
        <v>560</v>
      </c>
    </row>
    <row r="1271" spans="1:7">
      <c r="A1271" t="s">
        <v>182</v>
      </c>
      <c r="B1271" t="s">
        <v>557</v>
      </c>
      <c r="C1271" t="s">
        <v>558</v>
      </c>
      <c r="D1271" t="s">
        <v>1828</v>
      </c>
      <c r="E1271">
        <v>-1269</v>
      </c>
      <c r="F1271" t="s">
        <v>559</v>
      </c>
      <c r="G1271" t="s">
        <v>560</v>
      </c>
    </row>
    <row r="1272" spans="1:7">
      <c r="A1272" t="s">
        <v>182</v>
      </c>
      <c r="B1272" t="s">
        <v>557</v>
      </c>
      <c r="C1272" t="s">
        <v>558</v>
      </c>
      <c r="D1272" t="s">
        <v>1829</v>
      </c>
      <c r="E1272">
        <v>-1270</v>
      </c>
      <c r="F1272" t="s">
        <v>559</v>
      </c>
      <c r="G1272" t="s">
        <v>560</v>
      </c>
    </row>
    <row r="1273" spans="1:7">
      <c r="A1273" t="s">
        <v>182</v>
      </c>
      <c r="B1273" t="s">
        <v>557</v>
      </c>
      <c r="C1273" t="s">
        <v>558</v>
      </c>
      <c r="D1273" t="s">
        <v>1830</v>
      </c>
      <c r="E1273">
        <v>-1271</v>
      </c>
      <c r="F1273" t="s">
        <v>559</v>
      </c>
      <c r="G1273" t="s">
        <v>560</v>
      </c>
    </row>
    <row r="1274" spans="1:7">
      <c r="A1274" t="s">
        <v>182</v>
      </c>
      <c r="B1274" t="s">
        <v>557</v>
      </c>
      <c r="C1274" t="s">
        <v>558</v>
      </c>
      <c r="D1274" t="s">
        <v>1831</v>
      </c>
      <c r="E1274">
        <v>-1272</v>
      </c>
      <c r="F1274" t="s">
        <v>559</v>
      </c>
      <c r="G1274" t="s">
        <v>560</v>
      </c>
    </row>
    <row r="1275" spans="1:7">
      <c r="A1275" t="s">
        <v>182</v>
      </c>
      <c r="B1275" t="s">
        <v>557</v>
      </c>
      <c r="C1275" t="s">
        <v>558</v>
      </c>
      <c r="D1275" t="s">
        <v>1832</v>
      </c>
      <c r="E1275">
        <v>-1273</v>
      </c>
      <c r="F1275" t="s">
        <v>559</v>
      </c>
      <c r="G1275" t="s">
        <v>560</v>
      </c>
    </row>
    <row r="1276" spans="1:7">
      <c r="A1276" t="s">
        <v>182</v>
      </c>
      <c r="B1276" t="s">
        <v>557</v>
      </c>
      <c r="C1276" t="s">
        <v>558</v>
      </c>
      <c r="D1276" t="s">
        <v>1833</v>
      </c>
      <c r="E1276">
        <v>-1274</v>
      </c>
      <c r="F1276" t="s">
        <v>559</v>
      </c>
      <c r="G1276" t="s">
        <v>560</v>
      </c>
    </row>
    <row r="1277" spans="1:7">
      <c r="A1277" t="s">
        <v>182</v>
      </c>
      <c r="B1277" t="s">
        <v>557</v>
      </c>
      <c r="C1277" t="s">
        <v>558</v>
      </c>
      <c r="D1277" t="s">
        <v>1834</v>
      </c>
      <c r="E1277">
        <v>-1275</v>
      </c>
      <c r="F1277" t="s">
        <v>559</v>
      </c>
      <c r="G1277" t="s">
        <v>560</v>
      </c>
    </row>
    <row r="1278" spans="1:7">
      <c r="A1278" t="s">
        <v>182</v>
      </c>
      <c r="B1278" t="s">
        <v>557</v>
      </c>
      <c r="C1278" t="s">
        <v>558</v>
      </c>
      <c r="D1278" t="s">
        <v>1835</v>
      </c>
      <c r="E1278">
        <v>-1276</v>
      </c>
      <c r="F1278" t="s">
        <v>559</v>
      </c>
      <c r="G1278" t="s">
        <v>560</v>
      </c>
    </row>
    <row r="1279" spans="1:7">
      <c r="A1279" t="s">
        <v>182</v>
      </c>
      <c r="B1279" t="s">
        <v>557</v>
      </c>
      <c r="C1279" t="s">
        <v>558</v>
      </c>
      <c r="D1279" t="s">
        <v>1836</v>
      </c>
      <c r="E1279">
        <v>-1277</v>
      </c>
      <c r="F1279" t="s">
        <v>559</v>
      </c>
      <c r="G1279" t="s">
        <v>560</v>
      </c>
    </row>
    <row r="1280" spans="1:7">
      <c r="A1280" t="s">
        <v>182</v>
      </c>
      <c r="B1280" t="s">
        <v>557</v>
      </c>
      <c r="C1280" t="s">
        <v>558</v>
      </c>
      <c r="D1280" t="s">
        <v>1837</v>
      </c>
      <c r="E1280">
        <v>-1278</v>
      </c>
      <c r="F1280" t="s">
        <v>559</v>
      </c>
      <c r="G1280" t="s">
        <v>560</v>
      </c>
    </row>
    <row r="1281" spans="1:7">
      <c r="A1281" t="s">
        <v>182</v>
      </c>
      <c r="B1281" t="s">
        <v>557</v>
      </c>
      <c r="C1281" t="s">
        <v>558</v>
      </c>
      <c r="D1281" t="s">
        <v>1838</v>
      </c>
      <c r="E1281">
        <v>-1279</v>
      </c>
      <c r="F1281" t="s">
        <v>559</v>
      </c>
      <c r="G1281" t="s">
        <v>560</v>
      </c>
    </row>
    <row r="1282" spans="1:7">
      <c r="A1282" t="s">
        <v>182</v>
      </c>
      <c r="B1282" t="s">
        <v>557</v>
      </c>
      <c r="C1282" t="s">
        <v>558</v>
      </c>
      <c r="D1282" t="s">
        <v>1839</v>
      </c>
      <c r="E1282">
        <v>-1280</v>
      </c>
      <c r="F1282" t="s">
        <v>559</v>
      </c>
      <c r="G1282" t="s">
        <v>560</v>
      </c>
    </row>
    <row r="1283" spans="1:7">
      <c r="A1283" t="s">
        <v>182</v>
      </c>
      <c r="B1283" t="s">
        <v>557</v>
      </c>
      <c r="C1283" t="s">
        <v>558</v>
      </c>
      <c r="D1283" t="s">
        <v>1840</v>
      </c>
      <c r="E1283">
        <v>-1281</v>
      </c>
      <c r="F1283" t="s">
        <v>559</v>
      </c>
      <c r="G1283" t="s">
        <v>560</v>
      </c>
    </row>
    <row r="1284" spans="1:7">
      <c r="A1284" t="s">
        <v>182</v>
      </c>
      <c r="B1284" t="s">
        <v>557</v>
      </c>
      <c r="C1284" t="s">
        <v>558</v>
      </c>
      <c r="D1284" t="s">
        <v>1841</v>
      </c>
      <c r="E1284">
        <v>-1282</v>
      </c>
      <c r="F1284" t="s">
        <v>559</v>
      </c>
      <c r="G1284" t="s">
        <v>560</v>
      </c>
    </row>
    <row r="1285" spans="1:7">
      <c r="A1285" t="s">
        <v>182</v>
      </c>
      <c r="B1285" t="s">
        <v>557</v>
      </c>
      <c r="C1285" t="s">
        <v>558</v>
      </c>
      <c r="D1285" t="s">
        <v>1842</v>
      </c>
      <c r="E1285">
        <v>-1283</v>
      </c>
      <c r="F1285" t="s">
        <v>559</v>
      </c>
      <c r="G1285" t="s">
        <v>560</v>
      </c>
    </row>
    <row r="1286" spans="1:7">
      <c r="A1286" t="s">
        <v>182</v>
      </c>
      <c r="B1286" t="s">
        <v>557</v>
      </c>
      <c r="C1286" t="s">
        <v>558</v>
      </c>
      <c r="D1286" t="s">
        <v>1843</v>
      </c>
      <c r="E1286">
        <v>-1284</v>
      </c>
      <c r="F1286" t="s">
        <v>559</v>
      </c>
      <c r="G1286" t="s">
        <v>560</v>
      </c>
    </row>
    <row r="1287" spans="1:7">
      <c r="A1287" t="s">
        <v>182</v>
      </c>
      <c r="B1287" t="s">
        <v>557</v>
      </c>
      <c r="C1287" t="s">
        <v>558</v>
      </c>
      <c r="D1287" t="s">
        <v>1844</v>
      </c>
      <c r="E1287">
        <v>-1285</v>
      </c>
      <c r="F1287" t="s">
        <v>559</v>
      </c>
      <c r="G1287" t="s">
        <v>560</v>
      </c>
    </row>
    <row r="1288" spans="1:7">
      <c r="A1288" t="s">
        <v>182</v>
      </c>
      <c r="B1288" t="s">
        <v>557</v>
      </c>
      <c r="C1288" t="s">
        <v>558</v>
      </c>
      <c r="D1288" t="s">
        <v>1845</v>
      </c>
      <c r="E1288">
        <v>-1286</v>
      </c>
      <c r="F1288" t="s">
        <v>559</v>
      </c>
      <c r="G1288" t="s">
        <v>560</v>
      </c>
    </row>
    <row r="1289" spans="1:7">
      <c r="A1289" t="s">
        <v>182</v>
      </c>
      <c r="B1289" t="s">
        <v>557</v>
      </c>
      <c r="C1289" t="s">
        <v>558</v>
      </c>
      <c r="D1289" t="s">
        <v>1846</v>
      </c>
      <c r="E1289">
        <v>-1287</v>
      </c>
      <c r="F1289" t="s">
        <v>559</v>
      </c>
      <c r="G1289" t="s">
        <v>560</v>
      </c>
    </row>
    <row r="1290" spans="1:7">
      <c r="A1290" t="s">
        <v>182</v>
      </c>
      <c r="B1290" t="s">
        <v>557</v>
      </c>
      <c r="C1290" t="s">
        <v>558</v>
      </c>
      <c r="D1290" t="s">
        <v>1847</v>
      </c>
      <c r="E1290">
        <v>-1288</v>
      </c>
      <c r="F1290" t="s">
        <v>559</v>
      </c>
      <c r="G1290" t="s">
        <v>560</v>
      </c>
    </row>
    <row r="1291" spans="1:7">
      <c r="A1291" t="s">
        <v>182</v>
      </c>
      <c r="B1291" t="s">
        <v>557</v>
      </c>
      <c r="C1291" t="s">
        <v>558</v>
      </c>
      <c r="D1291" t="s">
        <v>1848</v>
      </c>
      <c r="E1291">
        <v>-1289</v>
      </c>
      <c r="F1291" t="s">
        <v>559</v>
      </c>
      <c r="G1291" t="s">
        <v>560</v>
      </c>
    </row>
    <row r="1292" spans="1:7">
      <c r="A1292" t="s">
        <v>182</v>
      </c>
      <c r="B1292" t="s">
        <v>557</v>
      </c>
      <c r="C1292" t="s">
        <v>558</v>
      </c>
      <c r="D1292" t="s">
        <v>1849</v>
      </c>
      <c r="E1292">
        <v>-1290</v>
      </c>
      <c r="F1292" t="s">
        <v>559</v>
      </c>
      <c r="G1292" t="s">
        <v>560</v>
      </c>
    </row>
    <row r="1293" spans="1:7">
      <c r="A1293" t="s">
        <v>182</v>
      </c>
      <c r="B1293" t="s">
        <v>557</v>
      </c>
      <c r="C1293" t="s">
        <v>558</v>
      </c>
      <c r="D1293" t="s">
        <v>1850</v>
      </c>
      <c r="E1293">
        <v>-1291</v>
      </c>
      <c r="F1293" t="s">
        <v>559</v>
      </c>
      <c r="G1293" t="s">
        <v>560</v>
      </c>
    </row>
    <row r="1294" spans="1:7">
      <c r="A1294" t="s">
        <v>182</v>
      </c>
      <c r="B1294" t="s">
        <v>557</v>
      </c>
      <c r="C1294" t="s">
        <v>558</v>
      </c>
      <c r="D1294" t="s">
        <v>1851</v>
      </c>
      <c r="E1294">
        <v>-1292</v>
      </c>
      <c r="F1294" t="s">
        <v>559</v>
      </c>
      <c r="G1294" t="s">
        <v>560</v>
      </c>
    </row>
    <row r="1295" spans="1:7">
      <c r="A1295" t="s">
        <v>182</v>
      </c>
      <c r="B1295" t="s">
        <v>557</v>
      </c>
      <c r="C1295" t="s">
        <v>558</v>
      </c>
      <c r="D1295" t="s">
        <v>1852</v>
      </c>
      <c r="E1295">
        <v>-1293</v>
      </c>
      <c r="F1295" t="s">
        <v>559</v>
      </c>
      <c r="G1295" t="s">
        <v>560</v>
      </c>
    </row>
    <row r="1296" spans="1:7">
      <c r="A1296" t="s">
        <v>182</v>
      </c>
      <c r="B1296" t="s">
        <v>557</v>
      </c>
      <c r="C1296" t="s">
        <v>558</v>
      </c>
      <c r="D1296" t="s">
        <v>1853</v>
      </c>
      <c r="E1296">
        <v>-1294</v>
      </c>
      <c r="F1296" t="s">
        <v>559</v>
      </c>
      <c r="G1296" t="s">
        <v>560</v>
      </c>
    </row>
    <row r="1297" spans="1:7">
      <c r="A1297" t="s">
        <v>182</v>
      </c>
      <c r="B1297" t="s">
        <v>557</v>
      </c>
      <c r="C1297" t="s">
        <v>558</v>
      </c>
      <c r="D1297" t="s">
        <v>1854</v>
      </c>
      <c r="E1297">
        <v>-1295</v>
      </c>
      <c r="F1297" t="s">
        <v>559</v>
      </c>
      <c r="G1297" t="s">
        <v>560</v>
      </c>
    </row>
    <row r="1298" spans="1:7">
      <c r="A1298" t="s">
        <v>182</v>
      </c>
      <c r="B1298" t="s">
        <v>557</v>
      </c>
      <c r="C1298" t="s">
        <v>558</v>
      </c>
      <c r="D1298" t="s">
        <v>1855</v>
      </c>
      <c r="E1298">
        <v>-1296</v>
      </c>
      <c r="F1298" t="s">
        <v>559</v>
      </c>
      <c r="G1298" t="s">
        <v>560</v>
      </c>
    </row>
    <row r="1299" spans="1:7">
      <c r="A1299" t="s">
        <v>182</v>
      </c>
      <c r="B1299" t="s">
        <v>557</v>
      </c>
      <c r="C1299" t="s">
        <v>558</v>
      </c>
      <c r="D1299" t="s">
        <v>1856</v>
      </c>
      <c r="E1299">
        <v>-1297</v>
      </c>
      <c r="F1299" t="s">
        <v>559</v>
      </c>
      <c r="G1299" t="s">
        <v>560</v>
      </c>
    </row>
    <row r="1300" spans="1:7">
      <c r="A1300" t="s">
        <v>182</v>
      </c>
      <c r="B1300" t="s">
        <v>557</v>
      </c>
      <c r="C1300" t="s">
        <v>558</v>
      </c>
      <c r="D1300" t="s">
        <v>1857</v>
      </c>
      <c r="E1300">
        <v>-1298</v>
      </c>
      <c r="F1300" t="s">
        <v>559</v>
      </c>
      <c r="G1300" t="s">
        <v>560</v>
      </c>
    </row>
    <row r="1301" spans="1:7">
      <c r="A1301" t="s">
        <v>182</v>
      </c>
      <c r="B1301" t="s">
        <v>557</v>
      </c>
      <c r="C1301" t="s">
        <v>558</v>
      </c>
      <c r="D1301" t="s">
        <v>1858</v>
      </c>
      <c r="E1301">
        <v>-1299</v>
      </c>
      <c r="F1301" t="s">
        <v>559</v>
      </c>
      <c r="G1301" t="s">
        <v>560</v>
      </c>
    </row>
    <row r="1302" spans="1:7">
      <c r="A1302" t="s">
        <v>182</v>
      </c>
      <c r="B1302" t="s">
        <v>557</v>
      </c>
      <c r="C1302" t="s">
        <v>558</v>
      </c>
      <c r="D1302" t="s">
        <v>1859</v>
      </c>
      <c r="E1302">
        <v>-1300</v>
      </c>
      <c r="F1302" t="s">
        <v>559</v>
      </c>
      <c r="G1302" t="s">
        <v>560</v>
      </c>
    </row>
    <row r="1303" spans="1:7">
      <c r="A1303" t="s">
        <v>182</v>
      </c>
      <c r="B1303" t="s">
        <v>557</v>
      </c>
      <c r="C1303" t="s">
        <v>558</v>
      </c>
      <c r="D1303" t="s">
        <v>1860</v>
      </c>
      <c r="E1303">
        <v>-1301</v>
      </c>
      <c r="F1303" t="s">
        <v>559</v>
      </c>
      <c r="G1303" t="s">
        <v>560</v>
      </c>
    </row>
    <row r="1304" spans="1:7">
      <c r="A1304" t="s">
        <v>182</v>
      </c>
      <c r="B1304" t="s">
        <v>557</v>
      </c>
      <c r="C1304" t="s">
        <v>558</v>
      </c>
      <c r="D1304" t="s">
        <v>1861</v>
      </c>
      <c r="E1304">
        <v>-1302</v>
      </c>
      <c r="F1304" t="s">
        <v>559</v>
      </c>
      <c r="G1304" t="s">
        <v>560</v>
      </c>
    </row>
    <row r="1305" spans="1:7">
      <c r="A1305" t="s">
        <v>182</v>
      </c>
      <c r="B1305" t="s">
        <v>557</v>
      </c>
      <c r="C1305" t="s">
        <v>558</v>
      </c>
      <c r="D1305" t="s">
        <v>1862</v>
      </c>
      <c r="E1305">
        <v>-1303</v>
      </c>
      <c r="F1305" t="s">
        <v>559</v>
      </c>
      <c r="G1305" t="s">
        <v>560</v>
      </c>
    </row>
    <row r="1306" spans="1:7">
      <c r="A1306" t="s">
        <v>182</v>
      </c>
      <c r="B1306" t="s">
        <v>557</v>
      </c>
      <c r="C1306" t="s">
        <v>558</v>
      </c>
      <c r="D1306" t="s">
        <v>1863</v>
      </c>
      <c r="E1306">
        <v>-1304</v>
      </c>
      <c r="F1306" t="s">
        <v>559</v>
      </c>
      <c r="G1306" t="s">
        <v>560</v>
      </c>
    </row>
    <row r="1307" spans="1:7">
      <c r="A1307" t="s">
        <v>182</v>
      </c>
      <c r="B1307" t="s">
        <v>557</v>
      </c>
      <c r="C1307" t="s">
        <v>558</v>
      </c>
      <c r="D1307" t="s">
        <v>1864</v>
      </c>
      <c r="E1307">
        <v>-1305</v>
      </c>
      <c r="F1307" t="s">
        <v>559</v>
      </c>
      <c r="G1307" t="s">
        <v>560</v>
      </c>
    </row>
    <row r="1308" spans="1:7">
      <c r="A1308" t="s">
        <v>182</v>
      </c>
      <c r="B1308" t="s">
        <v>557</v>
      </c>
      <c r="C1308" t="s">
        <v>558</v>
      </c>
      <c r="D1308" t="s">
        <v>1865</v>
      </c>
      <c r="E1308">
        <v>-1306</v>
      </c>
      <c r="F1308" t="s">
        <v>559</v>
      </c>
      <c r="G1308" t="s">
        <v>560</v>
      </c>
    </row>
    <row r="1309" spans="1:7">
      <c r="A1309" t="s">
        <v>182</v>
      </c>
      <c r="B1309" t="s">
        <v>557</v>
      </c>
      <c r="C1309" t="s">
        <v>558</v>
      </c>
      <c r="D1309" t="s">
        <v>1866</v>
      </c>
      <c r="E1309">
        <v>-1307</v>
      </c>
      <c r="F1309" t="s">
        <v>559</v>
      </c>
      <c r="G1309" t="s">
        <v>560</v>
      </c>
    </row>
    <row r="1310" spans="1:7">
      <c r="A1310" t="s">
        <v>182</v>
      </c>
      <c r="B1310" t="s">
        <v>557</v>
      </c>
      <c r="C1310" t="s">
        <v>558</v>
      </c>
      <c r="D1310" t="s">
        <v>1867</v>
      </c>
      <c r="E1310">
        <v>-1308</v>
      </c>
      <c r="F1310" t="s">
        <v>559</v>
      </c>
      <c r="G1310" t="s">
        <v>560</v>
      </c>
    </row>
    <row r="1311" spans="1:7">
      <c r="A1311" t="s">
        <v>182</v>
      </c>
      <c r="B1311" t="s">
        <v>557</v>
      </c>
      <c r="C1311" t="s">
        <v>558</v>
      </c>
      <c r="D1311" t="s">
        <v>1868</v>
      </c>
      <c r="E1311">
        <v>-1309</v>
      </c>
      <c r="F1311" t="s">
        <v>559</v>
      </c>
      <c r="G1311" t="s">
        <v>560</v>
      </c>
    </row>
    <row r="1312" spans="1:7">
      <c r="A1312" t="s">
        <v>182</v>
      </c>
      <c r="B1312" t="s">
        <v>557</v>
      </c>
      <c r="C1312" t="s">
        <v>558</v>
      </c>
      <c r="D1312" t="s">
        <v>1869</v>
      </c>
      <c r="E1312">
        <v>-1310</v>
      </c>
      <c r="F1312" t="s">
        <v>559</v>
      </c>
      <c r="G1312" t="s">
        <v>560</v>
      </c>
    </row>
    <row r="1313" spans="1:7">
      <c r="A1313" t="s">
        <v>182</v>
      </c>
      <c r="B1313" t="s">
        <v>557</v>
      </c>
      <c r="C1313" t="s">
        <v>558</v>
      </c>
      <c r="D1313" t="s">
        <v>1870</v>
      </c>
      <c r="E1313">
        <v>-1311</v>
      </c>
      <c r="F1313" t="s">
        <v>559</v>
      </c>
      <c r="G1313" t="s">
        <v>560</v>
      </c>
    </row>
    <row r="1314" spans="1:7">
      <c r="A1314" t="s">
        <v>182</v>
      </c>
      <c r="B1314" t="s">
        <v>557</v>
      </c>
      <c r="C1314" t="s">
        <v>558</v>
      </c>
      <c r="D1314" t="s">
        <v>1871</v>
      </c>
      <c r="E1314">
        <v>-1312</v>
      </c>
      <c r="F1314" t="s">
        <v>559</v>
      </c>
      <c r="G1314" t="s">
        <v>560</v>
      </c>
    </row>
    <row r="1315" spans="1:7">
      <c r="A1315" t="s">
        <v>182</v>
      </c>
      <c r="B1315" t="s">
        <v>557</v>
      </c>
      <c r="C1315" t="s">
        <v>558</v>
      </c>
      <c r="D1315" t="s">
        <v>1872</v>
      </c>
      <c r="E1315">
        <v>-1313</v>
      </c>
      <c r="F1315" t="s">
        <v>559</v>
      </c>
      <c r="G1315" t="s">
        <v>560</v>
      </c>
    </row>
    <row r="1316" spans="1:7">
      <c r="A1316" t="s">
        <v>182</v>
      </c>
      <c r="B1316" t="s">
        <v>557</v>
      </c>
      <c r="C1316" t="s">
        <v>558</v>
      </c>
      <c r="D1316" t="s">
        <v>1873</v>
      </c>
      <c r="E1316">
        <v>-1314</v>
      </c>
      <c r="F1316" t="s">
        <v>559</v>
      </c>
      <c r="G1316" t="s">
        <v>560</v>
      </c>
    </row>
    <row r="1317" spans="1:7">
      <c r="A1317" t="s">
        <v>182</v>
      </c>
      <c r="B1317" t="s">
        <v>557</v>
      </c>
      <c r="C1317" t="s">
        <v>558</v>
      </c>
      <c r="D1317" t="s">
        <v>1874</v>
      </c>
      <c r="E1317">
        <v>-1315</v>
      </c>
      <c r="F1317" t="s">
        <v>559</v>
      </c>
      <c r="G1317" t="s">
        <v>560</v>
      </c>
    </row>
    <row r="1318" spans="1:7">
      <c r="A1318" t="s">
        <v>182</v>
      </c>
      <c r="B1318" t="s">
        <v>557</v>
      </c>
      <c r="C1318" t="s">
        <v>558</v>
      </c>
      <c r="D1318" t="s">
        <v>1875</v>
      </c>
      <c r="E1318">
        <v>-1316</v>
      </c>
      <c r="F1318" t="s">
        <v>559</v>
      </c>
      <c r="G1318" t="s">
        <v>560</v>
      </c>
    </row>
    <row r="1319" spans="1:7">
      <c r="A1319" t="s">
        <v>182</v>
      </c>
      <c r="B1319" t="s">
        <v>557</v>
      </c>
      <c r="C1319" t="s">
        <v>558</v>
      </c>
      <c r="D1319" t="s">
        <v>1876</v>
      </c>
      <c r="E1319">
        <v>-1317</v>
      </c>
      <c r="F1319" t="s">
        <v>559</v>
      </c>
      <c r="G1319" t="s">
        <v>560</v>
      </c>
    </row>
    <row r="1320" spans="1:7">
      <c r="A1320" t="s">
        <v>182</v>
      </c>
      <c r="B1320" t="s">
        <v>557</v>
      </c>
      <c r="C1320" t="s">
        <v>558</v>
      </c>
      <c r="D1320" t="s">
        <v>1877</v>
      </c>
      <c r="E1320">
        <v>-1318</v>
      </c>
      <c r="F1320" t="s">
        <v>559</v>
      </c>
      <c r="G1320" t="s">
        <v>560</v>
      </c>
    </row>
    <row r="1321" spans="1:7">
      <c r="A1321" t="s">
        <v>182</v>
      </c>
      <c r="B1321" t="s">
        <v>557</v>
      </c>
      <c r="C1321" t="s">
        <v>558</v>
      </c>
      <c r="D1321" t="s">
        <v>1878</v>
      </c>
      <c r="E1321">
        <v>-1319</v>
      </c>
      <c r="F1321" t="s">
        <v>559</v>
      </c>
      <c r="G1321" t="s">
        <v>560</v>
      </c>
    </row>
    <row r="1322" spans="1:7">
      <c r="A1322" t="s">
        <v>182</v>
      </c>
      <c r="B1322" t="s">
        <v>557</v>
      </c>
      <c r="C1322" t="s">
        <v>558</v>
      </c>
      <c r="D1322" t="s">
        <v>1879</v>
      </c>
      <c r="E1322">
        <v>-1320</v>
      </c>
      <c r="F1322" t="s">
        <v>559</v>
      </c>
      <c r="G1322" t="s">
        <v>560</v>
      </c>
    </row>
    <row r="1323" spans="1:7">
      <c r="A1323" t="s">
        <v>182</v>
      </c>
      <c r="B1323" t="s">
        <v>557</v>
      </c>
      <c r="C1323" t="s">
        <v>558</v>
      </c>
      <c r="D1323" t="s">
        <v>1880</v>
      </c>
      <c r="E1323">
        <v>-1321</v>
      </c>
      <c r="F1323" t="s">
        <v>559</v>
      </c>
      <c r="G1323" t="s">
        <v>560</v>
      </c>
    </row>
    <row r="1324" spans="1:7">
      <c r="A1324" t="s">
        <v>182</v>
      </c>
      <c r="B1324" t="s">
        <v>557</v>
      </c>
      <c r="C1324" t="s">
        <v>558</v>
      </c>
      <c r="D1324" t="s">
        <v>1881</v>
      </c>
      <c r="E1324">
        <v>-1322</v>
      </c>
      <c r="F1324" t="s">
        <v>559</v>
      </c>
      <c r="G1324" t="s">
        <v>560</v>
      </c>
    </row>
    <row r="1325" spans="1:7">
      <c r="A1325" t="s">
        <v>182</v>
      </c>
      <c r="B1325" t="s">
        <v>557</v>
      </c>
      <c r="C1325" t="s">
        <v>558</v>
      </c>
      <c r="D1325" t="s">
        <v>1882</v>
      </c>
      <c r="E1325">
        <v>-1323</v>
      </c>
      <c r="F1325" t="s">
        <v>559</v>
      </c>
      <c r="G1325" t="s">
        <v>560</v>
      </c>
    </row>
    <row r="1326" spans="1:7">
      <c r="A1326" t="s">
        <v>182</v>
      </c>
      <c r="B1326" t="s">
        <v>557</v>
      </c>
      <c r="C1326" t="s">
        <v>558</v>
      </c>
      <c r="D1326" t="s">
        <v>1883</v>
      </c>
      <c r="E1326">
        <v>-1324</v>
      </c>
      <c r="F1326" t="s">
        <v>559</v>
      </c>
      <c r="G1326" t="s">
        <v>560</v>
      </c>
    </row>
    <row r="1327" spans="1:7">
      <c r="A1327" t="s">
        <v>182</v>
      </c>
      <c r="B1327" t="s">
        <v>557</v>
      </c>
      <c r="C1327" t="s">
        <v>558</v>
      </c>
      <c r="D1327" t="s">
        <v>1884</v>
      </c>
      <c r="E1327">
        <v>-1325</v>
      </c>
      <c r="F1327" t="s">
        <v>559</v>
      </c>
      <c r="G1327" t="s">
        <v>560</v>
      </c>
    </row>
    <row r="1328" spans="1:7">
      <c r="A1328" t="s">
        <v>182</v>
      </c>
      <c r="B1328" t="s">
        <v>557</v>
      </c>
      <c r="C1328" t="s">
        <v>558</v>
      </c>
      <c r="D1328" t="s">
        <v>1885</v>
      </c>
      <c r="E1328">
        <v>-1326</v>
      </c>
      <c r="F1328" t="s">
        <v>559</v>
      </c>
      <c r="G1328" t="s">
        <v>560</v>
      </c>
    </row>
    <row r="1329" spans="1:7">
      <c r="A1329" t="s">
        <v>182</v>
      </c>
      <c r="B1329" t="s">
        <v>557</v>
      </c>
      <c r="C1329" t="s">
        <v>558</v>
      </c>
      <c r="D1329" t="s">
        <v>1886</v>
      </c>
      <c r="E1329">
        <v>-1327</v>
      </c>
      <c r="F1329" t="s">
        <v>559</v>
      </c>
      <c r="G1329" t="s">
        <v>560</v>
      </c>
    </row>
    <row r="1330" spans="1:7">
      <c r="A1330" t="s">
        <v>182</v>
      </c>
      <c r="B1330" t="s">
        <v>557</v>
      </c>
      <c r="C1330" t="s">
        <v>558</v>
      </c>
      <c r="D1330" t="s">
        <v>1887</v>
      </c>
      <c r="E1330">
        <v>-1328</v>
      </c>
      <c r="F1330" t="s">
        <v>559</v>
      </c>
      <c r="G1330" t="s">
        <v>560</v>
      </c>
    </row>
    <row r="1331" spans="1:7">
      <c r="A1331" t="s">
        <v>182</v>
      </c>
      <c r="B1331" t="s">
        <v>557</v>
      </c>
      <c r="C1331" t="s">
        <v>558</v>
      </c>
      <c r="D1331" t="s">
        <v>1888</v>
      </c>
      <c r="E1331">
        <v>-1329</v>
      </c>
      <c r="F1331" t="s">
        <v>559</v>
      </c>
      <c r="G1331" t="s">
        <v>560</v>
      </c>
    </row>
    <row r="1332" spans="1:7">
      <c r="A1332" t="s">
        <v>182</v>
      </c>
      <c r="B1332" t="s">
        <v>557</v>
      </c>
      <c r="C1332" t="s">
        <v>558</v>
      </c>
      <c r="D1332" t="s">
        <v>1889</v>
      </c>
      <c r="E1332">
        <v>-1330</v>
      </c>
      <c r="F1332" t="s">
        <v>559</v>
      </c>
      <c r="G1332" t="s">
        <v>560</v>
      </c>
    </row>
    <row r="1333" spans="1:7">
      <c r="A1333" t="s">
        <v>182</v>
      </c>
      <c r="B1333" t="s">
        <v>557</v>
      </c>
      <c r="C1333" t="s">
        <v>558</v>
      </c>
      <c r="D1333" t="s">
        <v>1890</v>
      </c>
      <c r="E1333">
        <v>-1331</v>
      </c>
      <c r="F1333" t="s">
        <v>559</v>
      </c>
      <c r="G1333" t="s">
        <v>560</v>
      </c>
    </row>
    <row r="1334" spans="1:7">
      <c r="A1334" t="s">
        <v>182</v>
      </c>
      <c r="B1334" t="s">
        <v>557</v>
      </c>
      <c r="C1334" t="s">
        <v>558</v>
      </c>
      <c r="D1334" t="s">
        <v>1891</v>
      </c>
      <c r="E1334">
        <v>-1332</v>
      </c>
      <c r="F1334" t="s">
        <v>559</v>
      </c>
      <c r="G1334" t="s">
        <v>560</v>
      </c>
    </row>
    <row r="1335" spans="1:7">
      <c r="A1335" t="s">
        <v>182</v>
      </c>
      <c r="B1335" t="s">
        <v>557</v>
      </c>
      <c r="C1335" t="s">
        <v>558</v>
      </c>
      <c r="D1335" t="s">
        <v>1892</v>
      </c>
      <c r="E1335">
        <v>-1333</v>
      </c>
      <c r="F1335" t="s">
        <v>559</v>
      </c>
      <c r="G1335" t="s">
        <v>560</v>
      </c>
    </row>
    <row r="1336" spans="1:7">
      <c r="A1336" t="s">
        <v>182</v>
      </c>
      <c r="B1336" t="s">
        <v>557</v>
      </c>
      <c r="C1336" t="s">
        <v>558</v>
      </c>
      <c r="D1336" t="s">
        <v>1893</v>
      </c>
      <c r="E1336">
        <v>-1334</v>
      </c>
      <c r="F1336" t="s">
        <v>559</v>
      </c>
      <c r="G1336" t="s">
        <v>560</v>
      </c>
    </row>
    <row r="1337" spans="1:7">
      <c r="A1337" t="s">
        <v>182</v>
      </c>
      <c r="B1337" t="s">
        <v>557</v>
      </c>
      <c r="C1337" t="s">
        <v>558</v>
      </c>
      <c r="D1337" t="s">
        <v>1894</v>
      </c>
      <c r="E1337">
        <v>-1335</v>
      </c>
      <c r="F1337" t="s">
        <v>559</v>
      </c>
      <c r="G1337" t="s">
        <v>560</v>
      </c>
    </row>
    <row r="1338" spans="1:7">
      <c r="A1338" t="s">
        <v>182</v>
      </c>
      <c r="B1338" t="s">
        <v>557</v>
      </c>
      <c r="C1338" t="s">
        <v>558</v>
      </c>
      <c r="D1338" t="s">
        <v>1895</v>
      </c>
      <c r="E1338">
        <v>-1336</v>
      </c>
      <c r="F1338" t="s">
        <v>559</v>
      </c>
      <c r="G1338" t="s">
        <v>560</v>
      </c>
    </row>
    <row r="1339" spans="1:7">
      <c r="A1339" t="s">
        <v>182</v>
      </c>
      <c r="B1339" t="s">
        <v>557</v>
      </c>
      <c r="C1339" t="s">
        <v>558</v>
      </c>
      <c r="D1339" t="s">
        <v>1896</v>
      </c>
      <c r="E1339">
        <v>-1337</v>
      </c>
      <c r="F1339" t="s">
        <v>559</v>
      </c>
      <c r="G1339" t="s">
        <v>560</v>
      </c>
    </row>
    <row r="1340" spans="1:7">
      <c r="A1340" t="s">
        <v>182</v>
      </c>
      <c r="B1340" t="s">
        <v>557</v>
      </c>
      <c r="C1340" t="s">
        <v>558</v>
      </c>
      <c r="D1340" t="s">
        <v>1897</v>
      </c>
      <c r="E1340">
        <v>-1338</v>
      </c>
      <c r="F1340" t="s">
        <v>559</v>
      </c>
      <c r="G1340" t="s">
        <v>560</v>
      </c>
    </row>
    <row r="1341" spans="1:7">
      <c r="A1341" t="s">
        <v>182</v>
      </c>
      <c r="B1341" t="s">
        <v>557</v>
      </c>
      <c r="C1341" t="s">
        <v>558</v>
      </c>
      <c r="D1341" t="s">
        <v>1898</v>
      </c>
      <c r="E1341">
        <v>-1339</v>
      </c>
      <c r="F1341" t="s">
        <v>559</v>
      </c>
      <c r="G1341" t="s">
        <v>560</v>
      </c>
    </row>
    <row r="1342" spans="1:7">
      <c r="A1342" t="s">
        <v>182</v>
      </c>
      <c r="B1342" t="s">
        <v>557</v>
      </c>
      <c r="C1342" t="s">
        <v>558</v>
      </c>
      <c r="D1342" t="s">
        <v>1899</v>
      </c>
      <c r="E1342">
        <v>-1340</v>
      </c>
      <c r="F1342" t="s">
        <v>559</v>
      </c>
      <c r="G1342" t="s">
        <v>560</v>
      </c>
    </row>
    <row r="1343" spans="1:7">
      <c r="A1343" t="s">
        <v>182</v>
      </c>
      <c r="B1343" t="s">
        <v>557</v>
      </c>
      <c r="C1343" t="s">
        <v>558</v>
      </c>
      <c r="D1343" t="s">
        <v>1900</v>
      </c>
      <c r="E1343">
        <v>-1341</v>
      </c>
      <c r="F1343" t="s">
        <v>559</v>
      </c>
      <c r="G1343" t="s">
        <v>560</v>
      </c>
    </row>
    <row r="1344" spans="1:7">
      <c r="A1344" t="s">
        <v>182</v>
      </c>
      <c r="B1344" t="s">
        <v>557</v>
      </c>
      <c r="C1344" t="s">
        <v>558</v>
      </c>
      <c r="D1344" t="s">
        <v>1901</v>
      </c>
      <c r="E1344">
        <v>-1342</v>
      </c>
      <c r="F1344" t="s">
        <v>559</v>
      </c>
      <c r="G1344" t="s">
        <v>560</v>
      </c>
    </row>
    <row r="1345" spans="1:7">
      <c r="A1345" t="s">
        <v>182</v>
      </c>
      <c r="B1345" t="s">
        <v>557</v>
      </c>
      <c r="C1345" t="s">
        <v>558</v>
      </c>
      <c r="D1345" t="s">
        <v>1902</v>
      </c>
      <c r="E1345">
        <v>-1343</v>
      </c>
      <c r="F1345" t="s">
        <v>559</v>
      </c>
      <c r="G1345" t="s">
        <v>560</v>
      </c>
    </row>
    <row r="1346" spans="1:7">
      <c r="A1346" t="s">
        <v>182</v>
      </c>
      <c r="B1346" t="s">
        <v>557</v>
      </c>
      <c r="C1346" t="s">
        <v>558</v>
      </c>
      <c r="D1346" t="s">
        <v>1903</v>
      </c>
      <c r="E1346">
        <v>-1344</v>
      </c>
      <c r="F1346" t="s">
        <v>559</v>
      </c>
      <c r="G1346" t="s">
        <v>560</v>
      </c>
    </row>
    <row r="1347" spans="1:7">
      <c r="A1347" t="s">
        <v>182</v>
      </c>
      <c r="B1347" t="s">
        <v>557</v>
      </c>
      <c r="C1347" t="s">
        <v>558</v>
      </c>
      <c r="D1347" t="s">
        <v>1904</v>
      </c>
      <c r="E1347">
        <v>-1345</v>
      </c>
      <c r="F1347" t="s">
        <v>559</v>
      </c>
      <c r="G1347" t="s">
        <v>560</v>
      </c>
    </row>
    <row r="1348" spans="1:7">
      <c r="A1348" t="s">
        <v>182</v>
      </c>
      <c r="B1348" t="s">
        <v>557</v>
      </c>
      <c r="C1348" t="s">
        <v>558</v>
      </c>
      <c r="D1348" t="s">
        <v>1905</v>
      </c>
      <c r="E1348">
        <v>-1346</v>
      </c>
      <c r="F1348" t="s">
        <v>559</v>
      </c>
      <c r="G1348" t="s">
        <v>560</v>
      </c>
    </row>
    <row r="1349" spans="1:7">
      <c r="A1349" t="s">
        <v>182</v>
      </c>
      <c r="B1349" t="s">
        <v>557</v>
      </c>
      <c r="C1349" t="s">
        <v>558</v>
      </c>
      <c r="D1349" t="s">
        <v>1906</v>
      </c>
      <c r="E1349">
        <v>-1347</v>
      </c>
      <c r="F1349" t="s">
        <v>559</v>
      </c>
      <c r="G1349" t="s">
        <v>560</v>
      </c>
    </row>
    <row r="1350" spans="1:7">
      <c r="A1350" t="s">
        <v>182</v>
      </c>
      <c r="B1350" t="s">
        <v>557</v>
      </c>
      <c r="C1350" t="s">
        <v>558</v>
      </c>
      <c r="D1350" t="s">
        <v>1907</v>
      </c>
      <c r="E1350">
        <v>-1348</v>
      </c>
      <c r="F1350" t="s">
        <v>559</v>
      </c>
      <c r="G1350" t="s">
        <v>560</v>
      </c>
    </row>
    <row r="1351" spans="1:7">
      <c r="A1351" t="s">
        <v>182</v>
      </c>
      <c r="B1351" t="s">
        <v>557</v>
      </c>
      <c r="C1351" t="s">
        <v>558</v>
      </c>
      <c r="D1351" t="s">
        <v>1908</v>
      </c>
      <c r="E1351">
        <v>-1349</v>
      </c>
      <c r="F1351" t="s">
        <v>559</v>
      </c>
      <c r="G1351" t="s">
        <v>560</v>
      </c>
    </row>
    <row r="1352" spans="1:7">
      <c r="A1352" t="s">
        <v>182</v>
      </c>
      <c r="B1352" t="s">
        <v>557</v>
      </c>
      <c r="C1352" t="s">
        <v>558</v>
      </c>
      <c r="D1352" t="s">
        <v>1909</v>
      </c>
      <c r="E1352">
        <v>-1350</v>
      </c>
      <c r="F1352" t="s">
        <v>559</v>
      </c>
      <c r="G1352" t="s">
        <v>560</v>
      </c>
    </row>
    <row r="1353" spans="1:7">
      <c r="A1353" t="s">
        <v>182</v>
      </c>
      <c r="B1353" t="s">
        <v>557</v>
      </c>
      <c r="C1353" t="s">
        <v>558</v>
      </c>
      <c r="D1353" t="s">
        <v>1910</v>
      </c>
      <c r="E1353">
        <v>-1351</v>
      </c>
      <c r="F1353" t="s">
        <v>559</v>
      </c>
      <c r="G1353" t="s">
        <v>560</v>
      </c>
    </row>
    <row r="1354" spans="1:7">
      <c r="A1354" t="s">
        <v>182</v>
      </c>
      <c r="B1354" t="s">
        <v>557</v>
      </c>
      <c r="C1354" t="s">
        <v>558</v>
      </c>
      <c r="D1354" t="s">
        <v>1911</v>
      </c>
      <c r="E1354">
        <v>-1352</v>
      </c>
      <c r="F1354" t="s">
        <v>559</v>
      </c>
      <c r="G1354" t="s">
        <v>560</v>
      </c>
    </row>
    <row r="1355" spans="1:7">
      <c r="A1355" t="s">
        <v>182</v>
      </c>
      <c r="B1355" t="s">
        <v>557</v>
      </c>
      <c r="C1355" t="s">
        <v>558</v>
      </c>
      <c r="D1355" t="s">
        <v>1912</v>
      </c>
      <c r="E1355">
        <v>-1353</v>
      </c>
      <c r="F1355" t="s">
        <v>559</v>
      </c>
      <c r="G1355" t="s">
        <v>560</v>
      </c>
    </row>
    <row r="1356" spans="1:7">
      <c r="A1356" t="s">
        <v>182</v>
      </c>
      <c r="B1356" t="s">
        <v>557</v>
      </c>
      <c r="C1356" t="s">
        <v>558</v>
      </c>
      <c r="D1356" t="s">
        <v>1913</v>
      </c>
      <c r="E1356">
        <v>-1354</v>
      </c>
      <c r="F1356" t="s">
        <v>559</v>
      </c>
      <c r="G1356" t="s">
        <v>560</v>
      </c>
    </row>
    <row r="1357" spans="1:7">
      <c r="A1357" t="s">
        <v>182</v>
      </c>
      <c r="B1357" t="s">
        <v>557</v>
      </c>
      <c r="C1357" t="s">
        <v>558</v>
      </c>
      <c r="D1357" t="s">
        <v>1914</v>
      </c>
      <c r="E1357">
        <v>-1355</v>
      </c>
      <c r="F1357" t="s">
        <v>559</v>
      </c>
      <c r="G1357" t="s">
        <v>560</v>
      </c>
    </row>
    <row r="1358" spans="1:7">
      <c r="A1358" t="s">
        <v>182</v>
      </c>
      <c r="B1358" t="s">
        <v>557</v>
      </c>
      <c r="C1358" t="s">
        <v>558</v>
      </c>
      <c r="D1358" t="s">
        <v>1915</v>
      </c>
      <c r="E1358">
        <v>-1356</v>
      </c>
      <c r="F1358" t="s">
        <v>559</v>
      </c>
      <c r="G1358" t="s">
        <v>560</v>
      </c>
    </row>
    <row r="1359" spans="1:7">
      <c r="A1359" t="s">
        <v>182</v>
      </c>
      <c r="B1359" t="s">
        <v>557</v>
      </c>
      <c r="C1359" t="s">
        <v>558</v>
      </c>
      <c r="D1359" t="s">
        <v>1916</v>
      </c>
      <c r="E1359">
        <v>-1357</v>
      </c>
      <c r="F1359" t="s">
        <v>559</v>
      </c>
      <c r="G1359" t="s">
        <v>560</v>
      </c>
    </row>
    <row r="1360" spans="1:7">
      <c r="A1360" t="s">
        <v>182</v>
      </c>
      <c r="B1360" t="s">
        <v>557</v>
      </c>
      <c r="C1360" t="s">
        <v>558</v>
      </c>
      <c r="D1360" t="s">
        <v>1917</v>
      </c>
      <c r="E1360">
        <v>-1358</v>
      </c>
      <c r="F1360" t="s">
        <v>559</v>
      </c>
      <c r="G1360" t="s">
        <v>560</v>
      </c>
    </row>
    <row r="1361" spans="1:7">
      <c r="A1361" t="s">
        <v>182</v>
      </c>
      <c r="B1361" t="s">
        <v>557</v>
      </c>
      <c r="C1361" t="s">
        <v>558</v>
      </c>
      <c r="D1361" t="s">
        <v>1918</v>
      </c>
      <c r="E1361">
        <v>-1359</v>
      </c>
      <c r="F1361" t="s">
        <v>559</v>
      </c>
      <c r="G1361" t="s">
        <v>560</v>
      </c>
    </row>
    <row r="1362" spans="1:7">
      <c r="A1362" t="s">
        <v>182</v>
      </c>
      <c r="B1362" t="s">
        <v>557</v>
      </c>
      <c r="C1362" t="s">
        <v>558</v>
      </c>
      <c r="D1362" t="s">
        <v>1919</v>
      </c>
      <c r="E1362">
        <v>-1360</v>
      </c>
      <c r="F1362" t="s">
        <v>559</v>
      </c>
      <c r="G1362" t="s">
        <v>560</v>
      </c>
    </row>
    <row r="1363" spans="1:7">
      <c r="A1363" t="s">
        <v>182</v>
      </c>
      <c r="B1363" t="s">
        <v>557</v>
      </c>
      <c r="C1363" t="s">
        <v>558</v>
      </c>
      <c r="D1363" t="s">
        <v>1920</v>
      </c>
      <c r="E1363">
        <v>-1361</v>
      </c>
      <c r="F1363" t="s">
        <v>559</v>
      </c>
      <c r="G1363" t="s">
        <v>560</v>
      </c>
    </row>
    <row r="1364" spans="1:7">
      <c r="A1364" t="s">
        <v>182</v>
      </c>
      <c r="B1364" t="s">
        <v>557</v>
      </c>
      <c r="C1364" t="s">
        <v>558</v>
      </c>
      <c r="D1364" t="s">
        <v>1921</v>
      </c>
      <c r="E1364">
        <v>-1362</v>
      </c>
      <c r="F1364" t="s">
        <v>559</v>
      </c>
      <c r="G1364" t="s">
        <v>560</v>
      </c>
    </row>
    <row r="1365" spans="1:7">
      <c r="A1365" t="s">
        <v>182</v>
      </c>
      <c r="B1365" t="s">
        <v>557</v>
      </c>
      <c r="C1365" t="s">
        <v>558</v>
      </c>
      <c r="D1365" t="s">
        <v>1922</v>
      </c>
      <c r="E1365">
        <v>-1363</v>
      </c>
      <c r="F1365" t="s">
        <v>559</v>
      </c>
      <c r="G1365" t="s">
        <v>560</v>
      </c>
    </row>
    <row r="1366" spans="1:7">
      <c r="A1366" t="s">
        <v>182</v>
      </c>
      <c r="B1366" t="s">
        <v>557</v>
      </c>
      <c r="C1366" t="s">
        <v>558</v>
      </c>
      <c r="D1366" t="s">
        <v>1923</v>
      </c>
      <c r="E1366">
        <v>-1364</v>
      </c>
      <c r="F1366" t="s">
        <v>559</v>
      </c>
      <c r="G1366" t="s">
        <v>560</v>
      </c>
    </row>
    <row r="1367" spans="1:7">
      <c r="A1367" t="s">
        <v>182</v>
      </c>
      <c r="B1367" t="s">
        <v>557</v>
      </c>
      <c r="C1367" t="s">
        <v>558</v>
      </c>
      <c r="D1367" t="s">
        <v>1924</v>
      </c>
      <c r="E1367">
        <v>-1365</v>
      </c>
      <c r="F1367" t="s">
        <v>559</v>
      </c>
      <c r="G1367" t="s">
        <v>560</v>
      </c>
    </row>
    <row r="1368" spans="1:7">
      <c r="A1368" t="s">
        <v>182</v>
      </c>
      <c r="B1368" t="s">
        <v>557</v>
      </c>
      <c r="C1368" t="s">
        <v>558</v>
      </c>
      <c r="D1368" t="s">
        <v>1925</v>
      </c>
      <c r="E1368">
        <v>-1366</v>
      </c>
      <c r="F1368" t="s">
        <v>559</v>
      </c>
      <c r="G1368" t="s">
        <v>560</v>
      </c>
    </row>
    <row r="1369" spans="1:7">
      <c r="A1369" t="s">
        <v>182</v>
      </c>
      <c r="B1369" t="s">
        <v>557</v>
      </c>
      <c r="C1369" t="s">
        <v>558</v>
      </c>
      <c r="D1369" t="s">
        <v>1926</v>
      </c>
      <c r="E1369">
        <v>-1367</v>
      </c>
      <c r="F1369" t="s">
        <v>559</v>
      </c>
      <c r="G1369" t="s">
        <v>560</v>
      </c>
    </row>
    <row r="1370" spans="1:7">
      <c r="A1370" t="s">
        <v>182</v>
      </c>
      <c r="B1370" t="s">
        <v>557</v>
      </c>
      <c r="C1370" t="s">
        <v>558</v>
      </c>
      <c r="D1370" t="s">
        <v>1927</v>
      </c>
      <c r="E1370">
        <v>-1368</v>
      </c>
      <c r="F1370" t="s">
        <v>559</v>
      </c>
      <c r="G1370" t="s">
        <v>560</v>
      </c>
    </row>
    <row r="1371" spans="1:7">
      <c r="A1371" t="s">
        <v>182</v>
      </c>
      <c r="B1371" t="s">
        <v>557</v>
      </c>
      <c r="C1371" t="s">
        <v>558</v>
      </c>
      <c r="D1371" t="s">
        <v>1928</v>
      </c>
      <c r="E1371">
        <v>-1369</v>
      </c>
      <c r="F1371" t="s">
        <v>559</v>
      </c>
      <c r="G1371" t="s">
        <v>560</v>
      </c>
    </row>
    <row r="1372" spans="1:7">
      <c r="A1372" t="s">
        <v>182</v>
      </c>
      <c r="B1372" t="s">
        <v>557</v>
      </c>
      <c r="C1372" t="s">
        <v>558</v>
      </c>
      <c r="D1372" t="s">
        <v>1929</v>
      </c>
      <c r="E1372">
        <v>-1370</v>
      </c>
      <c r="F1372" t="s">
        <v>559</v>
      </c>
      <c r="G1372" t="s">
        <v>560</v>
      </c>
    </row>
    <row r="1373" spans="1:7">
      <c r="A1373" t="s">
        <v>182</v>
      </c>
      <c r="B1373" t="s">
        <v>557</v>
      </c>
      <c r="C1373" t="s">
        <v>558</v>
      </c>
      <c r="D1373" t="s">
        <v>1930</v>
      </c>
      <c r="E1373">
        <v>-1371</v>
      </c>
      <c r="F1373" t="s">
        <v>559</v>
      </c>
      <c r="G1373" t="s">
        <v>560</v>
      </c>
    </row>
    <row r="1374" spans="1:7">
      <c r="A1374" t="s">
        <v>182</v>
      </c>
      <c r="B1374" t="s">
        <v>557</v>
      </c>
      <c r="C1374" t="s">
        <v>558</v>
      </c>
      <c r="D1374" t="s">
        <v>1931</v>
      </c>
      <c r="E1374">
        <v>-1372</v>
      </c>
      <c r="F1374" t="s">
        <v>559</v>
      </c>
      <c r="G1374" t="s">
        <v>560</v>
      </c>
    </row>
    <row r="1375" spans="1:7">
      <c r="A1375" t="s">
        <v>182</v>
      </c>
      <c r="B1375" t="s">
        <v>557</v>
      </c>
      <c r="C1375" t="s">
        <v>558</v>
      </c>
      <c r="D1375" t="s">
        <v>1932</v>
      </c>
      <c r="E1375">
        <v>-1373</v>
      </c>
      <c r="F1375" t="s">
        <v>559</v>
      </c>
      <c r="G1375" t="s">
        <v>560</v>
      </c>
    </row>
    <row r="1376" spans="1:7">
      <c r="A1376" t="s">
        <v>182</v>
      </c>
      <c r="B1376" t="s">
        <v>557</v>
      </c>
      <c r="C1376" t="s">
        <v>558</v>
      </c>
      <c r="D1376" t="s">
        <v>1933</v>
      </c>
      <c r="E1376">
        <v>-1374</v>
      </c>
      <c r="F1376" t="s">
        <v>559</v>
      </c>
      <c r="G1376" t="s">
        <v>560</v>
      </c>
    </row>
    <row r="1377" spans="1:7">
      <c r="A1377" t="s">
        <v>182</v>
      </c>
      <c r="B1377" t="s">
        <v>557</v>
      </c>
      <c r="C1377" t="s">
        <v>558</v>
      </c>
      <c r="D1377" t="s">
        <v>1934</v>
      </c>
      <c r="E1377">
        <v>-1375</v>
      </c>
      <c r="F1377" t="s">
        <v>559</v>
      </c>
      <c r="G1377" t="s">
        <v>560</v>
      </c>
    </row>
    <row r="1378" spans="1:7">
      <c r="A1378" t="s">
        <v>182</v>
      </c>
      <c r="B1378" t="s">
        <v>557</v>
      </c>
      <c r="C1378" t="s">
        <v>558</v>
      </c>
      <c r="D1378" t="s">
        <v>1935</v>
      </c>
      <c r="E1378">
        <v>-1376</v>
      </c>
      <c r="F1378" t="s">
        <v>559</v>
      </c>
      <c r="G1378" t="s">
        <v>560</v>
      </c>
    </row>
    <row r="1379" spans="1:7">
      <c r="A1379" t="s">
        <v>182</v>
      </c>
      <c r="B1379" t="s">
        <v>557</v>
      </c>
      <c r="C1379" t="s">
        <v>558</v>
      </c>
      <c r="D1379" t="s">
        <v>1936</v>
      </c>
      <c r="E1379">
        <v>-1377</v>
      </c>
      <c r="F1379" t="s">
        <v>559</v>
      </c>
      <c r="G1379" t="s">
        <v>560</v>
      </c>
    </row>
    <row r="1380" spans="1:7">
      <c r="A1380" t="s">
        <v>182</v>
      </c>
      <c r="B1380" t="s">
        <v>557</v>
      </c>
      <c r="C1380" t="s">
        <v>558</v>
      </c>
      <c r="D1380" t="s">
        <v>1937</v>
      </c>
      <c r="E1380">
        <v>-1378</v>
      </c>
      <c r="F1380" t="s">
        <v>559</v>
      </c>
      <c r="G1380" t="s">
        <v>560</v>
      </c>
    </row>
    <row r="1381" spans="1:7">
      <c r="A1381" t="s">
        <v>182</v>
      </c>
      <c r="B1381" t="s">
        <v>557</v>
      </c>
      <c r="C1381" t="s">
        <v>558</v>
      </c>
      <c r="D1381" t="s">
        <v>1938</v>
      </c>
      <c r="E1381">
        <v>-1379</v>
      </c>
      <c r="F1381" t="s">
        <v>559</v>
      </c>
      <c r="G1381" t="s">
        <v>560</v>
      </c>
    </row>
    <row r="1382" spans="1:7">
      <c r="A1382" t="s">
        <v>182</v>
      </c>
      <c r="B1382" t="s">
        <v>557</v>
      </c>
      <c r="C1382" t="s">
        <v>558</v>
      </c>
      <c r="D1382" t="s">
        <v>1939</v>
      </c>
      <c r="E1382">
        <v>-1380</v>
      </c>
      <c r="F1382" t="s">
        <v>559</v>
      </c>
      <c r="G1382" t="s">
        <v>560</v>
      </c>
    </row>
    <row r="1383" spans="1:7">
      <c r="A1383" t="s">
        <v>182</v>
      </c>
      <c r="B1383" t="s">
        <v>557</v>
      </c>
      <c r="C1383" t="s">
        <v>558</v>
      </c>
      <c r="D1383" t="s">
        <v>1940</v>
      </c>
      <c r="E1383">
        <v>-1381</v>
      </c>
      <c r="F1383" t="s">
        <v>559</v>
      </c>
      <c r="G1383" t="s">
        <v>560</v>
      </c>
    </row>
    <row r="1384" spans="1:7">
      <c r="A1384" t="s">
        <v>182</v>
      </c>
      <c r="B1384" t="s">
        <v>557</v>
      </c>
      <c r="C1384" t="s">
        <v>558</v>
      </c>
      <c r="D1384" t="s">
        <v>1941</v>
      </c>
      <c r="E1384">
        <v>-1382</v>
      </c>
      <c r="F1384" t="s">
        <v>559</v>
      </c>
      <c r="G1384" t="s">
        <v>560</v>
      </c>
    </row>
    <row r="1385" spans="1:7">
      <c r="A1385" t="s">
        <v>182</v>
      </c>
      <c r="B1385" t="s">
        <v>557</v>
      </c>
      <c r="C1385" t="s">
        <v>558</v>
      </c>
      <c r="D1385" t="s">
        <v>1942</v>
      </c>
      <c r="E1385">
        <v>-1383</v>
      </c>
      <c r="F1385" t="s">
        <v>559</v>
      </c>
      <c r="G1385" t="s">
        <v>560</v>
      </c>
    </row>
    <row r="1386" spans="1:7">
      <c r="A1386" t="s">
        <v>182</v>
      </c>
      <c r="B1386" t="s">
        <v>557</v>
      </c>
      <c r="C1386" t="s">
        <v>558</v>
      </c>
      <c r="D1386" t="s">
        <v>1943</v>
      </c>
      <c r="E1386">
        <v>-1384</v>
      </c>
      <c r="F1386" t="s">
        <v>559</v>
      </c>
      <c r="G1386" t="s">
        <v>560</v>
      </c>
    </row>
    <row r="1387" spans="1:7">
      <c r="A1387" t="s">
        <v>182</v>
      </c>
      <c r="B1387" t="s">
        <v>557</v>
      </c>
      <c r="C1387" t="s">
        <v>558</v>
      </c>
      <c r="D1387" t="s">
        <v>1944</v>
      </c>
      <c r="E1387">
        <v>-1385</v>
      </c>
      <c r="F1387" t="s">
        <v>559</v>
      </c>
      <c r="G1387" t="s">
        <v>560</v>
      </c>
    </row>
    <row r="1388" spans="1:7">
      <c r="A1388" t="s">
        <v>182</v>
      </c>
      <c r="B1388" t="s">
        <v>557</v>
      </c>
      <c r="C1388" t="s">
        <v>558</v>
      </c>
      <c r="D1388" t="s">
        <v>1945</v>
      </c>
      <c r="E1388">
        <v>-1386</v>
      </c>
      <c r="F1388" t="s">
        <v>559</v>
      </c>
      <c r="G1388" t="s">
        <v>560</v>
      </c>
    </row>
    <row r="1389" spans="1:7">
      <c r="A1389" t="s">
        <v>182</v>
      </c>
      <c r="B1389" t="s">
        <v>557</v>
      </c>
      <c r="C1389" t="s">
        <v>558</v>
      </c>
      <c r="D1389" t="s">
        <v>1946</v>
      </c>
      <c r="E1389">
        <v>-1387</v>
      </c>
      <c r="F1389" t="s">
        <v>559</v>
      </c>
      <c r="G1389" t="s">
        <v>560</v>
      </c>
    </row>
    <row r="1390" spans="1:7">
      <c r="A1390" t="s">
        <v>182</v>
      </c>
      <c r="B1390" t="s">
        <v>557</v>
      </c>
      <c r="C1390" t="s">
        <v>558</v>
      </c>
      <c r="D1390" t="s">
        <v>1947</v>
      </c>
      <c r="E1390">
        <v>-1388</v>
      </c>
      <c r="F1390" t="s">
        <v>559</v>
      </c>
      <c r="G1390" t="s">
        <v>560</v>
      </c>
    </row>
    <row r="1391" spans="1:7">
      <c r="A1391" t="s">
        <v>182</v>
      </c>
      <c r="B1391" t="s">
        <v>557</v>
      </c>
      <c r="C1391" t="s">
        <v>558</v>
      </c>
      <c r="D1391" t="s">
        <v>1948</v>
      </c>
      <c r="E1391">
        <v>-1389</v>
      </c>
      <c r="F1391" t="s">
        <v>559</v>
      </c>
      <c r="G1391" t="s">
        <v>560</v>
      </c>
    </row>
    <row r="1392" spans="1:7">
      <c r="A1392" t="s">
        <v>182</v>
      </c>
      <c r="B1392" t="s">
        <v>557</v>
      </c>
      <c r="C1392" t="s">
        <v>558</v>
      </c>
      <c r="D1392" t="s">
        <v>1949</v>
      </c>
      <c r="E1392">
        <v>-1390</v>
      </c>
      <c r="F1392" t="s">
        <v>559</v>
      </c>
      <c r="G1392" t="s">
        <v>560</v>
      </c>
    </row>
    <row r="1393" spans="1:7">
      <c r="A1393" t="s">
        <v>182</v>
      </c>
      <c r="B1393" t="s">
        <v>557</v>
      </c>
      <c r="C1393" t="s">
        <v>558</v>
      </c>
      <c r="D1393" t="s">
        <v>1950</v>
      </c>
      <c r="E1393">
        <v>-1391</v>
      </c>
      <c r="F1393" t="s">
        <v>559</v>
      </c>
      <c r="G1393" t="s">
        <v>560</v>
      </c>
    </row>
    <row r="1394" spans="1:7">
      <c r="A1394" t="s">
        <v>182</v>
      </c>
      <c r="B1394" t="s">
        <v>557</v>
      </c>
      <c r="C1394" t="s">
        <v>558</v>
      </c>
      <c r="D1394" t="s">
        <v>1951</v>
      </c>
      <c r="E1394">
        <v>-1392</v>
      </c>
      <c r="F1394" t="s">
        <v>559</v>
      </c>
      <c r="G1394" t="s">
        <v>560</v>
      </c>
    </row>
    <row r="1395" spans="1:7">
      <c r="A1395" t="s">
        <v>182</v>
      </c>
      <c r="B1395" t="s">
        <v>557</v>
      </c>
      <c r="C1395" t="s">
        <v>558</v>
      </c>
      <c r="D1395" t="s">
        <v>1952</v>
      </c>
      <c r="E1395">
        <v>-1393</v>
      </c>
      <c r="F1395" t="s">
        <v>559</v>
      </c>
      <c r="G1395" t="s">
        <v>560</v>
      </c>
    </row>
    <row r="1396" spans="1:7">
      <c r="A1396" t="s">
        <v>182</v>
      </c>
      <c r="B1396" t="s">
        <v>557</v>
      </c>
      <c r="C1396" t="s">
        <v>558</v>
      </c>
      <c r="D1396" t="s">
        <v>1953</v>
      </c>
      <c r="E1396">
        <v>-1394</v>
      </c>
      <c r="F1396" t="s">
        <v>559</v>
      </c>
      <c r="G1396" t="s">
        <v>560</v>
      </c>
    </row>
    <row r="1397" spans="1:7">
      <c r="A1397" t="s">
        <v>182</v>
      </c>
      <c r="B1397" t="s">
        <v>557</v>
      </c>
      <c r="C1397" t="s">
        <v>558</v>
      </c>
      <c r="D1397" t="s">
        <v>1954</v>
      </c>
      <c r="E1397">
        <v>-1395</v>
      </c>
      <c r="F1397" t="s">
        <v>559</v>
      </c>
      <c r="G1397" t="s">
        <v>560</v>
      </c>
    </row>
    <row r="1398" spans="1:7">
      <c r="A1398" t="s">
        <v>182</v>
      </c>
      <c r="B1398" t="s">
        <v>557</v>
      </c>
      <c r="C1398" t="s">
        <v>558</v>
      </c>
      <c r="D1398" t="s">
        <v>1955</v>
      </c>
      <c r="E1398">
        <v>-1396</v>
      </c>
      <c r="F1398" t="s">
        <v>559</v>
      </c>
      <c r="G1398" t="s">
        <v>560</v>
      </c>
    </row>
    <row r="1399" spans="1:7">
      <c r="A1399" t="s">
        <v>182</v>
      </c>
      <c r="B1399" t="s">
        <v>557</v>
      </c>
      <c r="C1399" t="s">
        <v>558</v>
      </c>
      <c r="D1399" t="s">
        <v>1956</v>
      </c>
      <c r="E1399">
        <v>-1397</v>
      </c>
      <c r="F1399" t="s">
        <v>559</v>
      </c>
      <c r="G1399" t="s">
        <v>560</v>
      </c>
    </row>
    <row r="1400" spans="1:7">
      <c r="A1400" t="s">
        <v>182</v>
      </c>
      <c r="B1400" t="s">
        <v>557</v>
      </c>
      <c r="C1400" t="s">
        <v>558</v>
      </c>
      <c r="D1400" t="s">
        <v>1957</v>
      </c>
      <c r="E1400">
        <v>-1398</v>
      </c>
      <c r="F1400" t="s">
        <v>559</v>
      </c>
      <c r="G1400" t="s">
        <v>560</v>
      </c>
    </row>
    <row r="1401" spans="1:7">
      <c r="A1401" t="s">
        <v>182</v>
      </c>
      <c r="B1401" t="s">
        <v>557</v>
      </c>
      <c r="C1401" t="s">
        <v>558</v>
      </c>
      <c r="D1401" t="s">
        <v>1958</v>
      </c>
      <c r="E1401">
        <v>-1399</v>
      </c>
      <c r="F1401" t="s">
        <v>559</v>
      </c>
      <c r="G1401" t="s">
        <v>560</v>
      </c>
    </row>
    <row r="1402" spans="1:7">
      <c r="A1402" t="s">
        <v>182</v>
      </c>
      <c r="B1402" t="s">
        <v>557</v>
      </c>
      <c r="C1402" t="s">
        <v>558</v>
      </c>
      <c r="D1402" t="s">
        <v>1959</v>
      </c>
      <c r="E1402">
        <v>-1400</v>
      </c>
      <c r="F1402" t="s">
        <v>559</v>
      </c>
      <c r="G1402" t="s">
        <v>560</v>
      </c>
    </row>
    <row r="1403" spans="1:7">
      <c r="A1403" t="s">
        <v>182</v>
      </c>
      <c r="B1403" t="s">
        <v>557</v>
      </c>
      <c r="C1403" t="s">
        <v>558</v>
      </c>
      <c r="D1403" t="s">
        <v>1960</v>
      </c>
      <c r="E1403">
        <v>-1401</v>
      </c>
      <c r="F1403" t="s">
        <v>559</v>
      </c>
      <c r="G1403" t="s">
        <v>560</v>
      </c>
    </row>
    <row r="1404" spans="1:7">
      <c r="A1404" t="s">
        <v>182</v>
      </c>
      <c r="B1404" t="s">
        <v>557</v>
      </c>
      <c r="C1404" t="s">
        <v>558</v>
      </c>
      <c r="D1404" t="s">
        <v>1961</v>
      </c>
      <c r="E1404">
        <v>-1402</v>
      </c>
      <c r="F1404" t="s">
        <v>559</v>
      </c>
      <c r="G1404" t="s">
        <v>560</v>
      </c>
    </row>
    <row r="1405" spans="1:7">
      <c r="A1405" t="s">
        <v>182</v>
      </c>
      <c r="B1405" t="s">
        <v>557</v>
      </c>
      <c r="C1405" t="s">
        <v>558</v>
      </c>
      <c r="D1405" t="s">
        <v>1962</v>
      </c>
      <c r="E1405">
        <v>-1403</v>
      </c>
      <c r="F1405" t="s">
        <v>559</v>
      </c>
      <c r="G1405" t="s">
        <v>560</v>
      </c>
    </row>
    <row r="1406" spans="1:7">
      <c r="A1406" t="s">
        <v>182</v>
      </c>
      <c r="B1406" t="s">
        <v>557</v>
      </c>
      <c r="C1406" t="s">
        <v>558</v>
      </c>
      <c r="D1406" t="s">
        <v>1963</v>
      </c>
      <c r="E1406">
        <v>-1404</v>
      </c>
      <c r="F1406" t="s">
        <v>559</v>
      </c>
      <c r="G1406" t="s">
        <v>560</v>
      </c>
    </row>
    <row r="1407" spans="1:7">
      <c r="A1407" t="s">
        <v>182</v>
      </c>
      <c r="B1407" t="s">
        <v>557</v>
      </c>
      <c r="C1407" t="s">
        <v>558</v>
      </c>
      <c r="D1407" t="s">
        <v>1964</v>
      </c>
      <c r="E1407">
        <v>-1405</v>
      </c>
      <c r="F1407" t="s">
        <v>559</v>
      </c>
      <c r="G1407" t="s">
        <v>560</v>
      </c>
    </row>
    <row r="1408" spans="1:7">
      <c r="A1408" t="s">
        <v>182</v>
      </c>
      <c r="B1408" t="s">
        <v>557</v>
      </c>
      <c r="C1408" t="s">
        <v>558</v>
      </c>
      <c r="D1408" t="s">
        <v>1965</v>
      </c>
      <c r="E1408">
        <v>-1406</v>
      </c>
      <c r="F1408" t="s">
        <v>559</v>
      </c>
      <c r="G1408" t="s">
        <v>560</v>
      </c>
    </row>
    <row r="1409" spans="1:7">
      <c r="A1409" t="s">
        <v>182</v>
      </c>
      <c r="B1409" t="s">
        <v>557</v>
      </c>
      <c r="C1409" t="s">
        <v>558</v>
      </c>
      <c r="D1409" t="s">
        <v>1966</v>
      </c>
      <c r="E1409">
        <v>-1407</v>
      </c>
      <c r="F1409" t="s">
        <v>559</v>
      </c>
      <c r="G1409" t="s">
        <v>560</v>
      </c>
    </row>
    <row r="1410" spans="1:7">
      <c r="A1410" t="s">
        <v>182</v>
      </c>
      <c r="B1410" t="s">
        <v>557</v>
      </c>
      <c r="C1410" t="s">
        <v>558</v>
      </c>
      <c r="D1410" t="s">
        <v>1967</v>
      </c>
      <c r="E1410">
        <v>-1408</v>
      </c>
      <c r="F1410" t="s">
        <v>559</v>
      </c>
      <c r="G1410" t="s">
        <v>560</v>
      </c>
    </row>
    <row r="1411" spans="1:7">
      <c r="A1411" t="s">
        <v>182</v>
      </c>
      <c r="B1411" t="s">
        <v>557</v>
      </c>
      <c r="C1411" t="s">
        <v>558</v>
      </c>
      <c r="D1411" t="s">
        <v>1968</v>
      </c>
      <c r="E1411">
        <v>-1409</v>
      </c>
      <c r="F1411" t="s">
        <v>559</v>
      </c>
      <c r="G1411" t="s">
        <v>560</v>
      </c>
    </row>
    <row r="1412" spans="1:7">
      <c r="A1412" t="s">
        <v>182</v>
      </c>
      <c r="B1412" t="s">
        <v>557</v>
      </c>
      <c r="C1412" t="s">
        <v>558</v>
      </c>
      <c r="D1412" t="s">
        <v>1969</v>
      </c>
      <c r="E1412">
        <v>-1410</v>
      </c>
      <c r="F1412" t="s">
        <v>559</v>
      </c>
      <c r="G1412" t="s">
        <v>560</v>
      </c>
    </row>
    <row r="1413" spans="1:7">
      <c r="A1413" t="s">
        <v>182</v>
      </c>
      <c r="B1413" t="s">
        <v>557</v>
      </c>
      <c r="C1413" t="s">
        <v>558</v>
      </c>
      <c r="D1413" t="s">
        <v>1970</v>
      </c>
      <c r="E1413">
        <v>-1411</v>
      </c>
      <c r="F1413" t="s">
        <v>559</v>
      </c>
      <c r="G1413" t="s">
        <v>560</v>
      </c>
    </row>
    <row r="1414" spans="1:7">
      <c r="A1414" t="s">
        <v>182</v>
      </c>
      <c r="B1414" t="s">
        <v>557</v>
      </c>
      <c r="C1414" t="s">
        <v>558</v>
      </c>
      <c r="D1414" t="s">
        <v>1971</v>
      </c>
      <c r="E1414">
        <v>-1412</v>
      </c>
      <c r="F1414" t="s">
        <v>559</v>
      </c>
      <c r="G1414" t="s">
        <v>560</v>
      </c>
    </row>
    <row r="1415" spans="1:7">
      <c r="A1415" t="s">
        <v>182</v>
      </c>
      <c r="B1415" t="s">
        <v>557</v>
      </c>
      <c r="C1415" t="s">
        <v>558</v>
      </c>
      <c r="D1415" t="s">
        <v>1972</v>
      </c>
      <c r="E1415">
        <v>-1413</v>
      </c>
      <c r="F1415" t="s">
        <v>559</v>
      </c>
      <c r="G1415" t="s">
        <v>560</v>
      </c>
    </row>
    <row r="1416" spans="1:7">
      <c r="A1416" t="s">
        <v>182</v>
      </c>
      <c r="B1416" t="s">
        <v>557</v>
      </c>
      <c r="C1416" t="s">
        <v>558</v>
      </c>
      <c r="D1416" t="s">
        <v>1973</v>
      </c>
      <c r="E1416">
        <v>-1414</v>
      </c>
      <c r="F1416" t="s">
        <v>559</v>
      </c>
      <c r="G1416" t="s">
        <v>560</v>
      </c>
    </row>
    <row r="1417" spans="1:7">
      <c r="A1417" t="s">
        <v>182</v>
      </c>
      <c r="B1417" t="s">
        <v>557</v>
      </c>
      <c r="C1417" t="s">
        <v>558</v>
      </c>
      <c r="D1417" t="s">
        <v>1974</v>
      </c>
      <c r="E1417">
        <v>-1415</v>
      </c>
      <c r="F1417" t="s">
        <v>559</v>
      </c>
      <c r="G1417" t="s">
        <v>560</v>
      </c>
    </row>
    <row r="1418" spans="1:7">
      <c r="A1418" t="s">
        <v>182</v>
      </c>
      <c r="B1418" t="s">
        <v>557</v>
      </c>
      <c r="C1418" t="s">
        <v>558</v>
      </c>
      <c r="D1418" t="s">
        <v>1975</v>
      </c>
      <c r="E1418">
        <v>-1416</v>
      </c>
      <c r="F1418" t="s">
        <v>559</v>
      </c>
      <c r="G1418" t="s">
        <v>560</v>
      </c>
    </row>
    <row r="1419" spans="1:7">
      <c r="A1419" t="s">
        <v>182</v>
      </c>
      <c r="B1419" t="s">
        <v>557</v>
      </c>
      <c r="C1419" t="s">
        <v>558</v>
      </c>
      <c r="D1419" t="s">
        <v>1976</v>
      </c>
      <c r="E1419">
        <v>-1417</v>
      </c>
      <c r="F1419" t="s">
        <v>559</v>
      </c>
      <c r="G1419" t="s">
        <v>560</v>
      </c>
    </row>
    <row r="1420" spans="1:7">
      <c r="A1420" t="s">
        <v>182</v>
      </c>
      <c r="B1420" t="s">
        <v>557</v>
      </c>
      <c r="C1420" t="s">
        <v>558</v>
      </c>
      <c r="D1420" t="s">
        <v>1977</v>
      </c>
      <c r="E1420">
        <v>-1418</v>
      </c>
      <c r="F1420" t="s">
        <v>559</v>
      </c>
      <c r="G1420" t="s">
        <v>560</v>
      </c>
    </row>
    <row r="1421" spans="1:7">
      <c r="A1421" t="s">
        <v>182</v>
      </c>
      <c r="B1421" t="s">
        <v>557</v>
      </c>
      <c r="C1421" t="s">
        <v>558</v>
      </c>
      <c r="D1421" t="s">
        <v>1978</v>
      </c>
      <c r="E1421">
        <v>-1419</v>
      </c>
      <c r="F1421" t="s">
        <v>559</v>
      </c>
      <c r="G1421" t="s">
        <v>560</v>
      </c>
    </row>
    <row r="1422" spans="1:7">
      <c r="A1422" t="s">
        <v>182</v>
      </c>
      <c r="B1422" t="s">
        <v>557</v>
      </c>
      <c r="C1422" t="s">
        <v>558</v>
      </c>
      <c r="D1422" t="s">
        <v>1979</v>
      </c>
      <c r="E1422">
        <v>-1420</v>
      </c>
      <c r="F1422" t="s">
        <v>559</v>
      </c>
      <c r="G1422" t="s">
        <v>560</v>
      </c>
    </row>
    <row r="1423" spans="1:7">
      <c r="A1423" t="s">
        <v>182</v>
      </c>
      <c r="B1423" t="s">
        <v>557</v>
      </c>
      <c r="C1423" t="s">
        <v>558</v>
      </c>
      <c r="D1423" t="s">
        <v>1980</v>
      </c>
      <c r="E1423">
        <v>-1421</v>
      </c>
      <c r="F1423" t="s">
        <v>559</v>
      </c>
      <c r="G1423" t="s">
        <v>560</v>
      </c>
    </row>
    <row r="1424" spans="1:7">
      <c r="A1424" t="s">
        <v>182</v>
      </c>
      <c r="B1424" t="s">
        <v>557</v>
      </c>
      <c r="C1424" t="s">
        <v>558</v>
      </c>
      <c r="D1424" t="s">
        <v>1981</v>
      </c>
      <c r="E1424">
        <v>-1422</v>
      </c>
      <c r="F1424" t="s">
        <v>559</v>
      </c>
      <c r="G1424" t="s">
        <v>560</v>
      </c>
    </row>
    <row r="1425" spans="1:7">
      <c r="A1425" t="s">
        <v>182</v>
      </c>
      <c r="B1425" t="s">
        <v>557</v>
      </c>
      <c r="C1425" t="s">
        <v>558</v>
      </c>
      <c r="D1425" t="s">
        <v>1982</v>
      </c>
      <c r="E1425">
        <v>-1423</v>
      </c>
      <c r="F1425" t="s">
        <v>559</v>
      </c>
      <c r="G1425" t="s">
        <v>560</v>
      </c>
    </row>
    <row r="1426" spans="1:7">
      <c r="A1426" t="s">
        <v>182</v>
      </c>
      <c r="B1426" t="s">
        <v>557</v>
      </c>
      <c r="C1426" t="s">
        <v>558</v>
      </c>
      <c r="D1426" t="s">
        <v>1983</v>
      </c>
      <c r="E1426">
        <v>-1424</v>
      </c>
      <c r="F1426" t="s">
        <v>559</v>
      </c>
      <c r="G1426" t="s">
        <v>560</v>
      </c>
    </row>
    <row r="1427" spans="1:7">
      <c r="A1427" t="s">
        <v>182</v>
      </c>
      <c r="B1427" t="s">
        <v>557</v>
      </c>
      <c r="C1427" t="s">
        <v>558</v>
      </c>
      <c r="D1427" t="s">
        <v>1984</v>
      </c>
      <c r="E1427">
        <v>-1425</v>
      </c>
      <c r="F1427" t="s">
        <v>559</v>
      </c>
      <c r="G1427" t="s">
        <v>560</v>
      </c>
    </row>
    <row r="1428" spans="1:7">
      <c r="A1428" t="s">
        <v>182</v>
      </c>
      <c r="B1428" t="s">
        <v>557</v>
      </c>
      <c r="C1428" t="s">
        <v>558</v>
      </c>
      <c r="D1428" t="s">
        <v>1985</v>
      </c>
      <c r="E1428">
        <v>-1426</v>
      </c>
      <c r="F1428" t="s">
        <v>559</v>
      </c>
      <c r="G1428" t="s">
        <v>560</v>
      </c>
    </row>
    <row r="1429" spans="1:7">
      <c r="A1429" t="s">
        <v>182</v>
      </c>
      <c r="B1429" t="s">
        <v>557</v>
      </c>
      <c r="C1429" t="s">
        <v>558</v>
      </c>
      <c r="D1429" t="s">
        <v>1986</v>
      </c>
      <c r="E1429">
        <v>-1427</v>
      </c>
      <c r="F1429" t="s">
        <v>559</v>
      </c>
      <c r="G1429" t="s">
        <v>560</v>
      </c>
    </row>
    <row r="1430" spans="1:7">
      <c r="A1430" t="s">
        <v>182</v>
      </c>
      <c r="B1430" t="s">
        <v>557</v>
      </c>
      <c r="C1430" t="s">
        <v>558</v>
      </c>
      <c r="D1430" t="s">
        <v>1987</v>
      </c>
      <c r="E1430">
        <v>-1428</v>
      </c>
      <c r="F1430" t="s">
        <v>559</v>
      </c>
      <c r="G1430" t="s">
        <v>560</v>
      </c>
    </row>
    <row r="1431" spans="1:7">
      <c r="A1431" t="s">
        <v>182</v>
      </c>
      <c r="B1431" t="s">
        <v>557</v>
      </c>
      <c r="C1431" t="s">
        <v>558</v>
      </c>
      <c r="D1431" t="s">
        <v>1988</v>
      </c>
      <c r="E1431">
        <v>-1429</v>
      </c>
      <c r="F1431" t="s">
        <v>559</v>
      </c>
      <c r="G1431" t="s">
        <v>560</v>
      </c>
    </row>
    <row r="1432" spans="1:7">
      <c r="A1432" t="s">
        <v>182</v>
      </c>
      <c r="B1432" t="s">
        <v>557</v>
      </c>
      <c r="C1432" t="s">
        <v>558</v>
      </c>
      <c r="D1432" t="s">
        <v>1989</v>
      </c>
      <c r="E1432">
        <v>-1430</v>
      </c>
      <c r="F1432" t="s">
        <v>559</v>
      </c>
      <c r="G1432" t="s">
        <v>560</v>
      </c>
    </row>
    <row r="1433" spans="1:7">
      <c r="A1433" t="s">
        <v>182</v>
      </c>
      <c r="B1433" t="s">
        <v>557</v>
      </c>
      <c r="C1433" t="s">
        <v>558</v>
      </c>
      <c r="D1433" t="s">
        <v>1990</v>
      </c>
      <c r="E1433">
        <v>-1431</v>
      </c>
      <c r="F1433" t="s">
        <v>559</v>
      </c>
      <c r="G1433" t="s">
        <v>560</v>
      </c>
    </row>
    <row r="1434" spans="1:7">
      <c r="A1434" t="s">
        <v>182</v>
      </c>
      <c r="B1434" t="s">
        <v>557</v>
      </c>
      <c r="C1434" t="s">
        <v>558</v>
      </c>
      <c r="D1434" t="s">
        <v>1991</v>
      </c>
      <c r="E1434">
        <v>-1432</v>
      </c>
      <c r="F1434" t="s">
        <v>559</v>
      </c>
      <c r="G1434" t="s">
        <v>560</v>
      </c>
    </row>
    <row r="1435" spans="1:7">
      <c r="A1435" t="s">
        <v>182</v>
      </c>
      <c r="B1435" t="s">
        <v>557</v>
      </c>
      <c r="C1435" t="s">
        <v>558</v>
      </c>
      <c r="D1435" t="s">
        <v>1992</v>
      </c>
      <c r="E1435">
        <v>-1433</v>
      </c>
      <c r="F1435" t="s">
        <v>559</v>
      </c>
      <c r="G1435" t="s">
        <v>560</v>
      </c>
    </row>
    <row r="1436" spans="1:7">
      <c r="A1436" t="s">
        <v>182</v>
      </c>
      <c r="B1436" t="s">
        <v>557</v>
      </c>
      <c r="C1436" t="s">
        <v>558</v>
      </c>
      <c r="D1436" t="s">
        <v>1993</v>
      </c>
      <c r="E1436">
        <v>-1434</v>
      </c>
      <c r="F1436" t="s">
        <v>559</v>
      </c>
      <c r="G1436" t="s">
        <v>560</v>
      </c>
    </row>
    <row r="1437" spans="1:7">
      <c r="A1437" t="s">
        <v>182</v>
      </c>
      <c r="B1437" t="s">
        <v>557</v>
      </c>
      <c r="C1437" t="s">
        <v>558</v>
      </c>
      <c r="D1437" t="s">
        <v>1994</v>
      </c>
      <c r="E1437">
        <v>-1435</v>
      </c>
      <c r="F1437" t="s">
        <v>559</v>
      </c>
      <c r="G1437" t="s">
        <v>560</v>
      </c>
    </row>
    <row r="1438" spans="1:7">
      <c r="A1438" t="s">
        <v>182</v>
      </c>
      <c r="B1438" t="s">
        <v>557</v>
      </c>
      <c r="C1438" t="s">
        <v>558</v>
      </c>
      <c r="D1438" t="s">
        <v>1995</v>
      </c>
      <c r="E1438">
        <v>-1436</v>
      </c>
      <c r="F1438" t="s">
        <v>559</v>
      </c>
      <c r="G1438" t="s">
        <v>560</v>
      </c>
    </row>
    <row r="1439" spans="1:7">
      <c r="A1439" t="s">
        <v>182</v>
      </c>
      <c r="B1439" t="s">
        <v>557</v>
      </c>
      <c r="C1439" t="s">
        <v>558</v>
      </c>
      <c r="D1439" t="s">
        <v>1996</v>
      </c>
      <c r="E1439">
        <v>-1437</v>
      </c>
      <c r="F1439" t="s">
        <v>559</v>
      </c>
      <c r="G1439" t="s">
        <v>560</v>
      </c>
    </row>
    <row r="1440" spans="1:7">
      <c r="A1440" t="s">
        <v>182</v>
      </c>
      <c r="B1440" t="s">
        <v>557</v>
      </c>
      <c r="C1440" t="s">
        <v>558</v>
      </c>
      <c r="D1440" t="s">
        <v>1997</v>
      </c>
      <c r="E1440">
        <v>-1438</v>
      </c>
      <c r="F1440" t="s">
        <v>559</v>
      </c>
      <c r="G1440" t="s">
        <v>560</v>
      </c>
    </row>
    <row r="1441" spans="1:7">
      <c r="A1441" t="s">
        <v>182</v>
      </c>
      <c r="B1441" t="s">
        <v>557</v>
      </c>
      <c r="C1441" t="s">
        <v>558</v>
      </c>
      <c r="D1441" t="s">
        <v>1998</v>
      </c>
      <c r="E1441">
        <v>-1439</v>
      </c>
      <c r="F1441" t="s">
        <v>559</v>
      </c>
      <c r="G1441" t="s">
        <v>560</v>
      </c>
    </row>
    <row r="1442" spans="1:7">
      <c r="A1442" t="s">
        <v>182</v>
      </c>
      <c r="B1442" t="s">
        <v>557</v>
      </c>
      <c r="C1442" t="s">
        <v>558</v>
      </c>
      <c r="D1442" t="s">
        <v>1999</v>
      </c>
      <c r="E1442">
        <v>-1440</v>
      </c>
      <c r="F1442" t="s">
        <v>559</v>
      </c>
      <c r="G1442" t="s">
        <v>560</v>
      </c>
    </row>
    <row r="1443" spans="1:7">
      <c r="A1443" t="s">
        <v>182</v>
      </c>
      <c r="B1443" t="s">
        <v>557</v>
      </c>
      <c r="C1443" t="s">
        <v>558</v>
      </c>
      <c r="D1443" t="s">
        <v>2000</v>
      </c>
      <c r="E1443">
        <v>-1441</v>
      </c>
      <c r="F1443" t="s">
        <v>559</v>
      </c>
      <c r="G1443" t="s">
        <v>560</v>
      </c>
    </row>
    <row r="1444" spans="1:7">
      <c r="A1444" t="s">
        <v>182</v>
      </c>
      <c r="B1444" t="s">
        <v>557</v>
      </c>
      <c r="C1444" t="s">
        <v>558</v>
      </c>
      <c r="D1444" t="s">
        <v>2001</v>
      </c>
      <c r="E1444">
        <v>-1442</v>
      </c>
      <c r="F1444" t="s">
        <v>559</v>
      </c>
      <c r="G1444" t="s">
        <v>560</v>
      </c>
    </row>
    <row r="1445" spans="1:7">
      <c r="A1445" t="s">
        <v>182</v>
      </c>
      <c r="B1445" t="s">
        <v>557</v>
      </c>
      <c r="C1445" t="s">
        <v>558</v>
      </c>
      <c r="D1445" t="s">
        <v>2002</v>
      </c>
      <c r="E1445">
        <v>-1443</v>
      </c>
      <c r="F1445" t="s">
        <v>559</v>
      </c>
      <c r="G1445" t="s">
        <v>560</v>
      </c>
    </row>
    <row r="1446" spans="1:7">
      <c r="A1446" t="s">
        <v>182</v>
      </c>
      <c r="B1446" t="s">
        <v>557</v>
      </c>
      <c r="C1446" t="s">
        <v>558</v>
      </c>
      <c r="D1446" t="s">
        <v>2003</v>
      </c>
      <c r="E1446">
        <v>-1444</v>
      </c>
      <c r="F1446" t="s">
        <v>559</v>
      </c>
      <c r="G1446" t="s">
        <v>560</v>
      </c>
    </row>
    <row r="1447" spans="1:7">
      <c r="A1447" t="s">
        <v>182</v>
      </c>
      <c r="B1447" t="s">
        <v>557</v>
      </c>
      <c r="C1447" t="s">
        <v>558</v>
      </c>
      <c r="D1447" t="s">
        <v>2004</v>
      </c>
      <c r="E1447">
        <v>-1445</v>
      </c>
      <c r="F1447" t="s">
        <v>559</v>
      </c>
      <c r="G1447" t="s">
        <v>560</v>
      </c>
    </row>
    <row r="1448" spans="1:7">
      <c r="A1448" t="s">
        <v>182</v>
      </c>
      <c r="B1448" t="s">
        <v>557</v>
      </c>
      <c r="C1448" t="s">
        <v>558</v>
      </c>
      <c r="D1448" t="s">
        <v>2005</v>
      </c>
      <c r="E1448">
        <v>-1446</v>
      </c>
      <c r="F1448" t="s">
        <v>559</v>
      </c>
      <c r="G1448" t="s">
        <v>560</v>
      </c>
    </row>
    <row r="1449" spans="1:7">
      <c r="A1449" t="s">
        <v>182</v>
      </c>
      <c r="B1449" t="s">
        <v>557</v>
      </c>
      <c r="C1449" t="s">
        <v>558</v>
      </c>
      <c r="D1449" t="s">
        <v>2006</v>
      </c>
      <c r="E1449">
        <v>-1447</v>
      </c>
      <c r="F1449" t="s">
        <v>559</v>
      </c>
      <c r="G1449" t="s">
        <v>560</v>
      </c>
    </row>
    <row r="1450" spans="1:7">
      <c r="A1450" t="s">
        <v>182</v>
      </c>
      <c r="B1450" t="s">
        <v>557</v>
      </c>
      <c r="C1450" t="s">
        <v>558</v>
      </c>
      <c r="D1450" t="s">
        <v>2007</v>
      </c>
      <c r="E1450">
        <v>-1448</v>
      </c>
      <c r="F1450" t="s">
        <v>559</v>
      </c>
      <c r="G1450" t="s">
        <v>560</v>
      </c>
    </row>
    <row r="1451" spans="1:7">
      <c r="A1451" t="s">
        <v>182</v>
      </c>
      <c r="B1451" t="s">
        <v>557</v>
      </c>
      <c r="C1451" t="s">
        <v>558</v>
      </c>
      <c r="D1451" t="s">
        <v>2008</v>
      </c>
      <c r="E1451">
        <v>-1449</v>
      </c>
      <c r="F1451" t="s">
        <v>559</v>
      </c>
      <c r="G1451" t="s">
        <v>560</v>
      </c>
    </row>
    <row r="1452" spans="1:7">
      <c r="A1452" t="s">
        <v>182</v>
      </c>
      <c r="B1452" t="s">
        <v>557</v>
      </c>
      <c r="C1452" t="s">
        <v>558</v>
      </c>
      <c r="D1452" t="s">
        <v>2009</v>
      </c>
      <c r="E1452">
        <v>-1450</v>
      </c>
      <c r="F1452" t="s">
        <v>559</v>
      </c>
      <c r="G1452" t="s">
        <v>560</v>
      </c>
    </row>
    <row r="1453" spans="1:7">
      <c r="A1453" t="s">
        <v>182</v>
      </c>
      <c r="B1453" t="s">
        <v>557</v>
      </c>
      <c r="C1453" t="s">
        <v>558</v>
      </c>
      <c r="D1453" t="s">
        <v>2010</v>
      </c>
      <c r="E1453">
        <v>-1451</v>
      </c>
      <c r="F1453" t="s">
        <v>559</v>
      </c>
      <c r="G1453" t="s">
        <v>560</v>
      </c>
    </row>
    <row r="1454" spans="1:7">
      <c r="A1454" t="s">
        <v>182</v>
      </c>
      <c r="B1454" t="s">
        <v>557</v>
      </c>
      <c r="C1454" t="s">
        <v>558</v>
      </c>
      <c r="D1454" t="s">
        <v>2011</v>
      </c>
      <c r="E1454">
        <v>-1452</v>
      </c>
      <c r="F1454" t="s">
        <v>559</v>
      </c>
      <c r="G1454" t="s">
        <v>560</v>
      </c>
    </row>
    <row r="1455" spans="1:7">
      <c r="A1455" t="s">
        <v>182</v>
      </c>
      <c r="B1455" t="s">
        <v>557</v>
      </c>
      <c r="C1455" t="s">
        <v>558</v>
      </c>
      <c r="D1455" t="s">
        <v>2012</v>
      </c>
      <c r="E1455">
        <v>-1453</v>
      </c>
      <c r="F1455" t="s">
        <v>559</v>
      </c>
      <c r="G1455" t="s">
        <v>560</v>
      </c>
    </row>
    <row r="1456" spans="1:7">
      <c r="A1456" t="s">
        <v>182</v>
      </c>
      <c r="B1456" t="s">
        <v>557</v>
      </c>
      <c r="C1456" t="s">
        <v>558</v>
      </c>
      <c r="D1456" t="s">
        <v>2013</v>
      </c>
      <c r="E1456">
        <v>-1454</v>
      </c>
      <c r="F1456" t="s">
        <v>559</v>
      </c>
      <c r="G1456" t="s">
        <v>560</v>
      </c>
    </row>
    <row r="1457" spans="1:7">
      <c r="A1457" t="s">
        <v>182</v>
      </c>
      <c r="B1457" t="s">
        <v>557</v>
      </c>
      <c r="C1457" t="s">
        <v>558</v>
      </c>
      <c r="D1457" t="s">
        <v>2014</v>
      </c>
      <c r="E1457">
        <v>-1455</v>
      </c>
      <c r="F1457" t="s">
        <v>559</v>
      </c>
      <c r="G1457" t="s">
        <v>560</v>
      </c>
    </row>
    <row r="1458" spans="1:7">
      <c r="A1458" t="s">
        <v>182</v>
      </c>
      <c r="B1458" t="s">
        <v>557</v>
      </c>
      <c r="C1458" t="s">
        <v>558</v>
      </c>
      <c r="D1458" t="s">
        <v>2015</v>
      </c>
      <c r="E1458">
        <v>-1456</v>
      </c>
      <c r="F1458" t="s">
        <v>559</v>
      </c>
      <c r="G1458" t="s">
        <v>560</v>
      </c>
    </row>
    <row r="1459" spans="1:7">
      <c r="A1459" t="s">
        <v>182</v>
      </c>
      <c r="B1459" t="s">
        <v>557</v>
      </c>
      <c r="C1459" t="s">
        <v>558</v>
      </c>
      <c r="D1459" t="s">
        <v>2016</v>
      </c>
      <c r="E1459">
        <v>-1457</v>
      </c>
      <c r="F1459" t="s">
        <v>559</v>
      </c>
      <c r="G1459" t="s">
        <v>560</v>
      </c>
    </row>
    <row r="1460" spans="1:7">
      <c r="A1460" t="s">
        <v>182</v>
      </c>
      <c r="B1460" t="s">
        <v>557</v>
      </c>
      <c r="C1460" t="s">
        <v>558</v>
      </c>
      <c r="D1460" t="s">
        <v>2017</v>
      </c>
      <c r="E1460">
        <v>-1458</v>
      </c>
      <c r="F1460" t="s">
        <v>559</v>
      </c>
      <c r="G1460" t="s">
        <v>560</v>
      </c>
    </row>
    <row r="1461" spans="1:7">
      <c r="A1461" t="s">
        <v>182</v>
      </c>
      <c r="B1461" t="s">
        <v>557</v>
      </c>
      <c r="C1461" t="s">
        <v>558</v>
      </c>
      <c r="D1461" t="s">
        <v>2018</v>
      </c>
      <c r="E1461">
        <v>-1459</v>
      </c>
      <c r="F1461" t="s">
        <v>559</v>
      </c>
      <c r="G1461" t="s">
        <v>560</v>
      </c>
    </row>
    <row r="1462" spans="1:7">
      <c r="A1462" t="s">
        <v>182</v>
      </c>
      <c r="B1462" t="s">
        <v>557</v>
      </c>
      <c r="C1462" t="s">
        <v>558</v>
      </c>
      <c r="D1462" t="s">
        <v>2019</v>
      </c>
      <c r="E1462">
        <v>-1460</v>
      </c>
      <c r="F1462" t="s">
        <v>559</v>
      </c>
      <c r="G1462" t="s">
        <v>560</v>
      </c>
    </row>
    <row r="1463" spans="1:7">
      <c r="A1463" t="s">
        <v>182</v>
      </c>
      <c r="B1463" t="s">
        <v>557</v>
      </c>
      <c r="C1463" t="s">
        <v>558</v>
      </c>
      <c r="D1463" t="s">
        <v>2020</v>
      </c>
      <c r="E1463">
        <v>-1461</v>
      </c>
      <c r="F1463" t="s">
        <v>559</v>
      </c>
      <c r="G1463" t="s">
        <v>560</v>
      </c>
    </row>
    <row r="1464" spans="1:7">
      <c r="A1464" t="s">
        <v>182</v>
      </c>
      <c r="B1464" t="s">
        <v>557</v>
      </c>
      <c r="C1464" t="s">
        <v>558</v>
      </c>
      <c r="D1464" t="s">
        <v>2021</v>
      </c>
      <c r="E1464">
        <v>-1462</v>
      </c>
      <c r="F1464" t="s">
        <v>559</v>
      </c>
      <c r="G1464" t="s">
        <v>560</v>
      </c>
    </row>
    <row r="1465" spans="1:7">
      <c r="A1465" t="s">
        <v>182</v>
      </c>
      <c r="B1465" t="s">
        <v>557</v>
      </c>
      <c r="C1465" t="s">
        <v>558</v>
      </c>
      <c r="D1465" t="s">
        <v>2022</v>
      </c>
      <c r="E1465">
        <v>-1463</v>
      </c>
      <c r="F1465" t="s">
        <v>559</v>
      </c>
      <c r="G1465" t="s">
        <v>560</v>
      </c>
    </row>
    <row r="1466" spans="1:7">
      <c r="A1466" t="s">
        <v>182</v>
      </c>
      <c r="B1466" t="s">
        <v>557</v>
      </c>
      <c r="C1466" t="s">
        <v>558</v>
      </c>
      <c r="D1466" t="s">
        <v>2023</v>
      </c>
      <c r="E1466">
        <v>-1464</v>
      </c>
      <c r="F1466" t="s">
        <v>559</v>
      </c>
      <c r="G1466" t="s">
        <v>560</v>
      </c>
    </row>
    <row r="1467" spans="1:7">
      <c r="A1467" t="s">
        <v>182</v>
      </c>
      <c r="B1467" t="s">
        <v>557</v>
      </c>
      <c r="C1467" t="s">
        <v>558</v>
      </c>
      <c r="D1467" t="s">
        <v>2024</v>
      </c>
      <c r="E1467">
        <v>-1465</v>
      </c>
      <c r="F1467" t="s">
        <v>559</v>
      </c>
      <c r="G1467" t="s">
        <v>560</v>
      </c>
    </row>
    <row r="1468" spans="1:7">
      <c r="A1468" t="s">
        <v>182</v>
      </c>
      <c r="B1468" t="s">
        <v>557</v>
      </c>
      <c r="C1468" t="s">
        <v>558</v>
      </c>
      <c r="D1468" t="s">
        <v>2025</v>
      </c>
      <c r="E1468">
        <v>-1466</v>
      </c>
      <c r="F1468" t="s">
        <v>559</v>
      </c>
      <c r="G1468" t="s">
        <v>560</v>
      </c>
    </row>
    <row r="1469" spans="1:7">
      <c r="A1469" t="s">
        <v>182</v>
      </c>
      <c r="B1469" t="s">
        <v>557</v>
      </c>
      <c r="C1469" t="s">
        <v>558</v>
      </c>
      <c r="D1469" t="s">
        <v>2026</v>
      </c>
      <c r="E1469">
        <v>-1467</v>
      </c>
      <c r="F1469" t="s">
        <v>559</v>
      </c>
      <c r="G1469" t="s">
        <v>560</v>
      </c>
    </row>
    <row r="1470" spans="1:7">
      <c r="A1470" t="s">
        <v>182</v>
      </c>
      <c r="B1470" t="s">
        <v>557</v>
      </c>
      <c r="C1470" t="s">
        <v>558</v>
      </c>
      <c r="D1470" t="s">
        <v>2027</v>
      </c>
      <c r="E1470">
        <v>-1468</v>
      </c>
      <c r="F1470" t="s">
        <v>559</v>
      </c>
      <c r="G1470" t="s">
        <v>560</v>
      </c>
    </row>
    <row r="1471" spans="1:7">
      <c r="A1471" t="s">
        <v>182</v>
      </c>
      <c r="B1471" t="s">
        <v>557</v>
      </c>
      <c r="C1471" t="s">
        <v>558</v>
      </c>
      <c r="D1471" t="s">
        <v>2028</v>
      </c>
      <c r="E1471">
        <v>-1469</v>
      </c>
      <c r="F1471" t="s">
        <v>559</v>
      </c>
      <c r="G1471" t="s">
        <v>560</v>
      </c>
    </row>
    <row r="1472" spans="1:7">
      <c r="A1472" t="s">
        <v>182</v>
      </c>
      <c r="B1472" t="s">
        <v>557</v>
      </c>
      <c r="C1472" t="s">
        <v>558</v>
      </c>
      <c r="D1472" t="s">
        <v>2029</v>
      </c>
      <c r="E1472">
        <v>-1470</v>
      </c>
      <c r="F1472" t="s">
        <v>559</v>
      </c>
      <c r="G1472" t="s">
        <v>560</v>
      </c>
    </row>
    <row r="1473" spans="1:7">
      <c r="A1473" t="s">
        <v>182</v>
      </c>
      <c r="B1473" t="s">
        <v>557</v>
      </c>
      <c r="C1473" t="s">
        <v>558</v>
      </c>
      <c r="D1473" t="s">
        <v>2030</v>
      </c>
      <c r="E1473">
        <v>-1471</v>
      </c>
      <c r="F1473" t="s">
        <v>559</v>
      </c>
      <c r="G1473" t="s">
        <v>560</v>
      </c>
    </row>
    <row r="1474" spans="1:7">
      <c r="A1474" t="s">
        <v>182</v>
      </c>
      <c r="B1474" t="s">
        <v>557</v>
      </c>
      <c r="C1474" t="s">
        <v>558</v>
      </c>
      <c r="D1474" t="s">
        <v>2031</v>
      </c>
      <c r="E1474">
        <v>-1472</v>
      </c>
      <c r="F1474" t="s">
        <v>559</v>
      </c>
      <c r="G1474" t="s">
        <v>560</v>
      </c>
    </row>
    <row r="1475" spans="1:7">
      <c r="A1475" t="s">
        <v>182</v>
      </c>
      <c r="B1475" t="s">
        <v>557</v>
      </c>
      <c r="C1475" t="s">
        <v>558</v>
      </c>
      <c r="D1475" t="s">
        <v>2032</v>
      </c>
      <c r="E1475">
        <v>-1473</v>
      </c>
      <c r="F1475" t="s">
        <v>559</v>
      </c>
      <c r="G1475" t="s">
        <v>560</v>
      </c>
    </row>
    <row r="1476" spans="1:7">
      <c r="A1476" t="s">
        <v>182</v>
      </c>
      <c r="B1476" t="s">
        <v>557</v>
      </c>
      <c r="C1476" t="s">
        <v>558</v>
      </c>
      <c r="D1476" t="s">
        <v>2033</v>
      </c>
      <c r="E1476">
        <v>-1474</v>
      </c>
      <c r="F1476" t="s">
        <v>559</v>
      </c>
      <c r="G1476" t="s">
        <v>560</v>
      </c>
    </row>
    <row r="1477" spans="1:7">
      <c r="A1477" t="s">
        <v>182</v>
      </c>
      <c r="B1477" t="s">
        <v>557</v>
      </c>
      <c r="C1477" t="s">
        <v>558</v>
      </c>
      <c r="D1477" t="s">
        <v>2034</v>
      </c>
      <c r="E1477">
        <v>-1475</v>
      </c>
      <c r="F1477" t="s">
        <v>559</v>
      </c>
      <c r="G1477" t="s">
        <v>560</v>
      </c>
    </row>
    <row r="1478" spans="1:7">
      <c r="A1478" t="s">
        <v>182</v>
      </c>
      <c r="B1478" t="s">
        <v>557</v>
      </c>
      <c r="C1478" t="s">
        <v>558</v>
      </c>
      <c r="D1478" t="s">
        <v>2035</v>
      </c>
      <c r="E1478">
        <v>-1476</v>
      </c>
      <c r="F1478" t="s">
        <v>559</v>
      </c>
      <c r="G1478" t="s">
        <v>560</v>
      </c>
    </row>
    <row r="1479" spans="1:7">
      <c r="A1479" t="s">
        <v>182</v>
      </c>
      <c r="B1479" t="s">
        <v>557</v>
      </c>
      <c r="C1479" t="s">
        <v>558</v>
      </c>
      <c r="D1479" t="s">
        <v>2036</v>
      </c>
      <c r="E1479">
        <v>-1477</v>
      </c>
      <c r="F1479" t="s">
        <v>559</v>
      </c>
      <c r="G1479" t="s">
        <v>560</v>
      </c>
    </row>
    <row r="1480" spans="1:7">
      <c r="A1480" t="s">
        <v>182</v>
      </c>
      <c r="B1480" t="s">
        <v>557</v>
      </c>
      <c r="C1480" t="s">
        <v>558</v>
      </c>
      <c r="D1480" t="s">
        <v>2037</v>
      </c>
      <c r="E1480">
        <v>-1478</v>
      </c>
      <c r="F1480" t="s">
        <v>559</v>
      </c>
      <c r="G1480" t="s">
        <v>560</v>
      </c>
    </row>
    <row r="1481" spans="1:7">
      <c r="A1481" t="s">
        <v>182</v>
      </c>
      <c r="B1481" t="s">
        <v>557</v>
      </c>
      <c r="C1481" t="s">
        <v>558</v>
      </c>
      <c r="D1481" t="s">
        <v>2038</v>
      </c>
      <c r="E1481">
        <v>-1479</v>
      </c>
      <c r="F1481" t="s">
        <v>559</v>
      </c>
      <c r="G1481" t="s">
        <v>560</v>
      </c>
    </row>
    <row r="1482" spans="1:7">
      <c r="A1482" t="s">
        <v>182</v>
      </c>
      <c r="B1482" t="s">
        <v>557</v>
      </c>
      <c r="C1482" t="s">
        <v>558</v>
      </c>
      <c r="D1482" t="s">
        <v>2039</v>
      </c>
      <c r="E1482">
        <v>-1480</v>
      </c>
      <c r="F1482" t="s">
        <v>559</v>
      </c>
      <c r="G1482" t="s">
        <v>560</v>
      </c>
    </row>
    <row r="1483" spans="1:7">
      <c r="A1483" t="s">
        <v>182</v>
      </c>
      <c r="B1483" t="s">
        <v>557</v>
      </c>
      <c r="C1483" t="s">
        <v>558</v>
      </c>
      <c r="D1483" t="s">
        <v>2040</v>
      </c>
      <c r="E1483">
        <v>-1481</v>
      </c>
      <c r="F1483" t="s">
        <v>559</v>
      </c>
      <c r="G1483" t="s">
        <v>560</v>
      </c>
    </row>
    <row r="1484" spans="1:7">
      <c r="A1484" t="s">
        <v>182</v>
      </c>
      <c r="B1484" t="s">
        <v>557</v>
      </c>
      <c r="C1484" t="s">
        <v>558</v>
      </c>
      <c r="D1484" t="s">
        <v>2041</v>
      </c>
      <c r="E1484">
        <v>-1482</v>
      </c>
      <c r="F1484" t="s">
        <v>559</v>
      </c>
      <c r="G1484" t="s">
        <v>560</v>
      </c>
    </row>
    <row r="1485" spans="1:7">
      <c r="A1485" t="s">
        <v>182</v>
      </c>
      <c r="B1485" t="s">
        <v>557</v>
      </c>
      <c r="C1485" t="s">
        <v>558</v>
      </c>
      <c r="D1485" t="s">
        <v>2042</v>
      </c>
      <c r="E1485">
        <v>-1483</v>
      </c>
      <c r="F1485" t="s">
        <v>559</v>
      </c>
      <c r="G1485" t="s">
        <v>560</v>
      </c>
    </row>
    <row r="1486" spans="1:7">
      <c r="A1486" t="s">
        <v>182</v>
      </c>
      <c r="B1486" t="s">
        <v>557</v>
      </c>
      <c r="C1486" t="s">
        <v>558</v>
      </c>
      <c r="D1486" t="s">
        <v>2043</v>
      </c>
      <c r="E1486">
        <v>-1484</v>
      </c>
      <c r="F1486" t="s">
        <v>559</v>
      </c>
      <c r="G1486" t="s">
        <v>560</v>
      </c>
    </row>
    <row r="1487" spans="1:7">
      <c r="A1487" t="s">
        <v>182</v>
      </c>
      <c r="B1487" t="s">
        <v>557</v>
      </c>
      <c r="C1487" t="s">
        <v>558</v>
      </c>
      <c r="D1487" t="s">
        <v>2044</v>
      </c>
      <c r="E1487">
        <v>-1485</v>
      </c>
      <c r="F1487" t="s">
        <v>559</v>
      </c>
      <c r="G1487" t="s">
        <v>560</v>
      </c>
    </row>
    <row r="1488" spans="1:7">
      <c r="A1488" t="s">
        <v>182</v>
      </c>
      <c r="B1488" t="s">
        <v>557</v>
      </c>
      <c r="C1488" t="s">
        <v>558</v>
      </c>
      <c r="D1488" t="s">
        <v>2045</v>
      </c>
      <c r="E1488">
        <v>-1486</v>
      </c>
      <c r="F1488" t="s">
        <v>559</v>
      </c>
      <c r="G1488" t="s">
        <v>560</v>
      </c>
    </row>
    <row r="1489" spans="1:7">
      <c r="A1489" t="s">
        <v>182</v>
      </c>
      <c r="B1489" t="s">
        <v>557</v>
      </c>
      <c r="C1489" t="s">
        <v>558</v>
      </c>
      <c r="D1489" t="s">
        <v>2046</v>
      </c>
      <c r="E1489">
        <v>-1487</v>
      </c>
      <c r="F1489" t="s">
        <v>559</v>
      </c>
      <c r="G1489" t="s">
        <v>560</v>
      </c>
    </row>
    <row r="1490" spans="1:7">
      <c r="A1490" t="s">
        <v>182</v>
      </c>
      <c r="B1490" t="s">
        <v>557</v>
      </c>
      <c r="C1490" t="s">
        <v>558</v>
      </c>
      <c r="D1490" t="s">
        <v>2047</v>
      </c>
      <c r="E1490">
        <v>-1488</v>
      </c>
      <c r="F1490" t="s">
        <v>559</v>
      </c>
      <c r="G1490" t="s">
        <v>560</v>
      </c>
    </row>
    <row r="1491" spans="1:7">
      <c r="A1491" t="s">
        <v>182</v>
      </c>
      <c r="B1491" t="s">
        <v>557</v>
      </c>
      <c r="C1491" t="s">
        <v>558</v>
      </c>
      <c r="D1491" t="s">
        <v>2048</v>
      </c>
      <c r="E1491">
        <v>-1489</v>
      </c>
      <c r="F1491" t="s">
        <v>559</v>
      </c>
      <c r="G1491" t="s">
        <v>560</v>
      </c>
    </row>
    <row r="1492" spans="1:7">
      <c r="A1492" t="s">
        <v>182</v>
      </c>
      <c r="B1492" t="s">
        <v>557</v>
      </c>
      <c r="C1492" t="s">
        <v>558</v>
      </c>
      <c r="D1492" t="s">
        <v>2049</v>
      </c>
      <c r="E1492">
        <v>-1490</v>
      </c>
      <c r="F1492" t="s">
        <v>559</v>
      </c>
      <c r="G1492" t="s">
        <v>560</v>
      </c>
    </row>
    <row r="1493" spans="1:7">
      <c r="A1493" t="s">
        <v>182</v>
      </c>
      <c r="B1493" t="s">
        <v>557</v>
      </c>
      <c r="C1493" t="s">
        <v>558</v>
      </c>
      <c r="D1493" t="s">
        <v>2050</v>
      </c>
      <c r="E1493">
        <v>-1491</v>
      </c>
      <c r="F1493" t="s">
        <v>559</v>
      </c>
      <c r="G1493" t="s">
        <v>560</v>
      </c>
    </row>
    <row r="1494" spans="1:7">
      <c r="A1494" t="s">
        <v>182</v>
      </c>
      <c r="B1494" t="s">
        <v>557</v>
      </c>
      <c r="C1494" t="s">
        <v>558</v>
      </c>
      <c r="D1494" t="s">
        <v>2051</v>
      </c>
      <c r="E1494">
        <v>-1492</v>
      </c>
      <c r="F1494" t="s">
        <v>559</v>
      </c>
      <c r="G1494" t="s">
        <v>560</v>
      </c>
    </row>
    <row r="1495" spans="1:7">
      <c r="A1495" t="s">
        <v>182</v>
      </c>
      <c r="B1495" t="s">
        <v>557</v>
      </c>
      <c r="C1495" t="s">
        <v>558</v>
      </c>
      <c r="D1495" t="s">
        <v>2052</v>
      </c>
      <c r="E1495">
        <v>-1493</v>
      </c>
      <c r="F1495" t="s">
        <v>559</v>
      </c>
      <c r="G1495" t="s">
        <v>560</v>
      </c>
    </row>
    <row r="1496" spans="1:7">
      <c r="A1496" t="s">
        <v>182</v>
      </c>
      <c r="B1496" t="s">
        <v>557</v>
      </c>
      <c r="C1496" t="s">
        <v>558</v>
      </c>
      <c r="D1496" t="s">
        <v>2053</v>
      </c>
      <c r="E1496">
        <v>-1494</v>
      </c>
      <c r="F1496" t="s">
        <v>559</v>
      </c>
      <c r="G1496" t="s">
        <v>560</v>
      </c>
    </row>
    <row r="1497" spans="1:7">
      <c r="A1497" t="s">
        <v>182</v>
      </c>
      <c r="B1497" t="s">
        <v>557</v>
      </c>
      <c r="C1497" t="s">
        <v>558</v>
      </c>
      <c r="D1497" t="s">
        <v>2054</v>
      </c>
      <c r="E1497">
        <v>-1495</v>
      </c>
      <c r="F1497" t="s">
        <v>559</v>
      </c>
      <c r="G1497" t="s">
        <v>560</v>
      </c>
    </row>
    <row r="1498" spans="1:7">
      <c r="A1498" t="s">
        <v>182</v>
      </c>
      <c r="B1498" t="s">
        <v>557</v>
      </c>
      <c r="C1498" t="s">
        <v>558</v>
      </c>
      <c r="D1498" t="s">
        <v>2055</v>
      </c>
      <c r="E1498">
        <v>-1496</v>
      </c>
      <c r="F1498" t="s">
        <v>559</v>
      </c>
      <c r="G1498" t="s">
        <v>560</v>
      </c>
    </row>
    <row r="1499" spans="1:7">
      <c r="A1499" t="s">
        <v>182</v>
      </c>
      <c r="B1499" t="s">
        <v>557</v>
      </c>
      <c r="C1499" t="s">
        <v>558</v>
      </c>
      <c r="D1499" t="s">
        <v>2056</v>
      </c>
      <c r="E1499">
        <v>-1497</v>
      </c>
      <c r="F1499" t="s">
        <v>559</v>
      </c>
      <c r="G1499" t="s">
        <v>560</v>
      </c>
    </row>
    <row r="1500" spans="1:7">
      <c r="A1500" t="s">
        <v>182</v>
      </c>
      <c r="B1500" t="s">
        <v>557</v>
      </c>
      <c r="C1500" t="s">
        <v>558</v>
      </c>
      <c r="D1500" t="s">
        <v>2057</v>
      </c>
      <c r="E1500">
        <v>-1498</v>
      </c>
      <c r="F1500" t="s">
        <v>559</v>
      </c>
      <c r="G1500" t="s">
        <v>560</v>
      </c>
    </row>
    <row r="1501" spans="1:7">
      <c r="A1501" t="s">
        <v>182</v>
      </c>
      <c r="B1501" t="s">
        <v>557</v>
      </c>
      <c r="C1501" t="s">
        <v>558</v>
      </c>
      <c r="D1501" t="s">
        <v>2058</v>
      </c>
      <c r="E1501">
        <v>-1499</v>
      </c>
      <c r="F1501" t="s">
        <v>559</v>
      </c>
      <c r="G1501" t="s">
        <v>560</v>
      </c>
    </row>
    <row r="1502" spans="1:7">
      <c r="A1502" t="s">
        <v>182</v>
      </c>
      <c r="B1502" t="s">
        <v>557</v>
      </c>
      <c r="C1502" t="s">
        <v>558</v>
      </c>
      <c r="D1502" t="s">
        <v>2059</v>
      </c>
      <c r="E1502">
        <v>-1500</v>
      </c>
      <c r="F1502" t="s">
        <v>559</v>
      </c>
      <c r="G1502" t="s">
        <v>560</v>
      </c>
    </row>
    <row r="1503" spans="1:7">
      <c r="A1503" t="s">
        <v>182</v>
      </c>
      <c r="B1503" t="s">
        <v>557</v>
      </c>
      <c r="C1503" t="s">
        <v>558</v>
      </c>
      <c r="D1503" t="s">
        <v>2060</v>
      </c>
      <c r="E1503">
        <v>-1501</v>
      </c>
      <c r="F1503" t="s">
        <v>559</v>
      </c>
      <c r="G1503" t="s">
        <v>560</v>
      </c>
    </row>
    <row r="1504" spans="1:7">
      <c r="A1504" t="s">
        <v>182</v>
      </c>
      <c r="B1504" t="s">
        <v>557</v>
      </c>
      <c r="C1504" t="s">
        <v>558</v>
      </c>
      <c r="D1504" t="s">
        <v>2061</v>
      </c>
      <c r="E1504">
        <v>-1502</v>
      </c>
      <c r="F1504" t="s">
        <v>559</v>
      </c>
      <c r="G1504" t="s">
        <v>560</v>
      </c>
    </row>
    <row r="1505" spans="1:7">
      <c r="A1505" t="s">
        <v>182</v>
      </c>
      <c r="B1505" t="s">
        <v>557</v>
      </c>
      <c r="C1505" t="s">
        <v>558</v>
      </c>
      <c r="D1505" t="s">
        <v>2062</v>
      </c>
      <c r="E1505">
        <v>-1503</v>
      </c>
      <c r="F1505" t="s">
        <v>559</v>
      </c>
      <c r="G1505" t="s">
        <v>560</v>
      </c>
    </row>
    <row r="1506" spans="1:7">
      <c r="A1506" t="s">
        <v>182</v>
      </c>
      <c r="B1506" t="s">
        <v>557</v>
      </c>
      <c r="C1506" t="s">
        <v>558</v>
      </c>
      <c r="D1506" t="s">
        <v>2063</v>
      </c>
      <c r="E1506">
        <v>-1504</v>
      </c>
      <c r="F1506" t="s">
        <v>559</v>
      </c>
      <c r="G1506" t="s">
        <v>560</v>
      </c>
    </row>
    <row r="1507" spans="1:7">
      <c r="A1507" t="s">
        <v>182</v>
      </c>
      <c r="B1507" t="s">
        <v>557</v>
      </c>
      <c r="C1507" t="s">
        <v>558</v>
      </c>
      <c r="D1507" t="s">
        <v>2064</v>
      </c>
      <c r="E1507">
        <v>-1505</v>
      </c>
      <c r="F1507" t="s">
        <v>559</v>
      </c>
      <c r="G1507" t="s">
        <v>560</v>
      </c>
    </row>
    <row r="1508" spans="1:7">
      <c r="A1508" t="s">
        <v>182</v>
      </c>
      <c r="B1508" t="s">
        <v>557</v>
      </c>
      <c r="C1508" t="s">
        <v>558</v>
      </c>
      <c r="D1508" t="s">
        <v>2065</v>
      </c>
      <c r="E1508">
        <v>-1506</v>
      </c>
      <c r="F1508" t="s">
        <v>559</v>
      </c>
      <c r="G1508" t="s">
        <v>560</v>
      </c>
    </row>
    <row r="1509" spans="1:7">
      <c r="A1509" t="s">
        <v>182</v>
      </c>
      <c r="B1509" t="s">
        <v>557</v>
      </c>
      <c r="C1509" t="s">
        <v>558</v>
      </c>
      <c r="D1509" t="s">
        <v>2066</v>
      </c>
      <c r="E1509">
        <v>-1507</v>
      </c>
      <c r="F1509" t="s">
        <v>559</v>
      </c>
      <c r="G1509" t="s">
        <v>560</v>
      </c>
    </row>
    <row r="1510" spans="1:7">
      <c r="A1510" t="s">
        <v>182</v>
      </c>
      <c r="B1510" t="s">
        <v>557</v>
      </c>
      <c r="C1510" t="s">
        <v>558</v>
      </c>
      <c r="D1510" t="s">
        <v>2067</v>
      </c>
      <c r="E1510">
        <v>-1508</v>
      </c>
      <c r="F1510" t="s">
        <v>559</v>
      </c>
      <c r="G1510" t="s">
        <v>560</v>
      </c>
    </row>
    <row r="1511" spans="1:7">
      <c r="A1511" t="s">
        <v>182</v>
      </c>
      <c r="B1511" t="s">
        <v>557</v>
      </c>
      <c r="C1511" t="s">
        <v>558</v>
      </c>
      <c r="D1511" t="s">
        <v>2068</v>
      </c>
      <c r="E1511">
        <v>-1509</v>
      </c>
      <c r="F1511" t="s">
        <v>559</v>
      </c>
      <c r="G1511" t="s">
        <v>560</v>
      </c>
    </row>
    <row r="1512" spans="1:7">
      <c r="A1512" t="s">
        <v>182</v>
      </c>
      <c r="B1512" t="s">
        <v>557</v>
      </c>
      <c r="C1512" t="s">
        <v>558</v>
      </c>
      <c r="D1512" t="s">
        <v>2069</v>
      </c>
      <c r="E1512">
        <v>-1510</v>
      </c>
      <c r="F1512" t="s">
        <v>559</v>
      </c>
      <c r="G1512" t="s">
        <v>560</v>
      </c>
    </row>
    <row r="1513" spans="1:7">
      <c r="A1513" t="s">
        <v>182</v>
      </c>
      <c r="B1513" t="s">
        <v>557</v>
      </c>
      <c r="C1513" t="s">
        <v>558</v>
      </c>
      <c r="D1513" t="s">
        <v>2070</v>
      </c>
      <c r="E1513">
        <v>-1511</v>
      </c>
      <c r="F1513" t="s">
        <v>559</v>
      </c>
      <c r="G1513" t="s">
        <v>560</v>
      </c>
    </row>
    <row r="1514" spans="1:7">
      <c r="A1514" t="s">
        <v>182</v>
      </c>
      <c r="B1514" t="s">
        <v>557</v>
      </c>
      <c r="C1514" t="s">
        <v>558</v>
      </c>
      <c r="D1514" t="s">
        <v>2071</v>
      </c>
      <c r="E1514">
        <v>-1512</v>
      </c>
      <c r="F1514" t="s">
        <v>559</v>
      </c>
      <c r="G1514" t="s">
        <v>560</v>
      </c>
    </row>
    <row r="1515" spans="1:7">
      <c r="A1515" t="s">
        <v>182</v>
      </c>
      <c r="B1515" t="s">
        <v>557</v>
      </c>
      <c r="C1515" t="s">
        <v>558</v>
      </c>
      <c r="D1515" t="s">
        <v>2072</v>
      </c>
      <c r="E1515">
        <v>-1513</v>
      </c>
      <c r="F1515" t="s">
        <v>559</v>
      </c>
      <c r="G1515" t="s">
        <v>560</v>
      </c>
    </row>
    <row r="1516" spans="1:7">
      <c r="A1516" t="s">
        <v>182</v>
      </c>
      <c r="B1516" t="s">
        <v>557</v>
      </c>
      <c r="C1516" t="s">
        <v>558</v>
      </c>
      <c r="D1516" t="s">
        <v>2073</v>
      </c>
      <c r="E1516">
        <v>-1514</v>
      </c>
      <c r="F1516" t="s">
        <v>559</v>
      </c>
      <c r="G1516" t="s">
        <v>560</v>
      </c>
    </row>
    <row r="1517" spans="1:7">
      <c r="A1517" t="s">
        <v>182</v>
      </c>
      <c r="B1517" t="s">
        <v>557</v>
      </c>
      <c r="C1517" t="s">
        <v>558</v>
      </c>
      <c r="D1517" t="s">
        <v>2074</v>
      </c>
      <c r="E1517">
        <v>-1515</v>
      </c>
      <c r="F1517" t="s">
        <v>559</v>
      </c>
      <c r="G1517" t="s">
        <v>560</v>
      </c>
    </row>
    <row r="1518" spans="1:7">
      <c r="A1518" t="s">
        <v>182</v>
      </c>
      <c r="B1518" t="s">
        <v>557</v>
      </c>
      <c r="C1518" t="s">
        <v>558</v>
      </c>
      <c r="D1518" t="s">
        <v>2075</v>
      </c>
      <c r="E1518">
        <v>-1516</v>
      </c>
      <c r="F1518" t="s">
        <v>559</v>
      </c>
      <c r="G1518" t="s">
        <v>560</v>
      </c>
    </row>
    <row r="1519" spans="1:7">
      <c r="A1519" t="s">
        <v>182</v>
      </c>
      <c r="B1519" t="s">
        <v>557</v>
      </c>
      <c r="C1519" t="s">
        <v>558</v>
      </c>
      <c r="D1519" t="s">
        <v>2076</v>
      </c>
      <c r="E1519">
        <v>-1517</v>
      </c>
      <c r="F1519" t="s">
        <v>559</v>
      </c>
      <c r="G1519" t="s">
        <v>560</v>
      </c>
    </row>
    <row r="1520" spans="1:7">
      <c r="A1520" t="s">
        <v>182</v>
      </c>
      <c r="B1520" t="s">
        <v>557</v>
      </c>
      <c r="C1520" t="s">
        <v>558</v>
      </c>
      <c r="D1520" t="s">
        <v>2077</v>
      </c>
      <c r="E1520">
        <v>-1518</v>
      </c>
      <c r="F1520" t="s">
        <v>559</v>
      </c>
      <c r="G1520" t="s">
        <v>560</v>
      </c>
    </row>
    <row r="1521" spans="1:7">
      <c r="A1521" t="s">
        <v>182</v>
      </c>
      <c r="B1521" t="s">
        <v>557</v>
      </c>
      <c r="C1521" t="s">
        <v>558</v>
      </c>
      <c r="D1521" t="s">
        <v>2078</v>
      </c>
      <c r="E1521">
        <v>-1519</v>
      </c>
      <c r="F1521" t="s">
        <v>559</v>
      </c>
      <c r="G1521" t="s">
        <v>560</v>
      </c>
    </row>
    <row r="1522" spans="1:7">
      <c r="A1522" t="s">
        <v>182</v>
      </c>
      <c r="B1522" t="s">
        <v>557</v>
      </c>
      <c r="C1522" t="s">
        <v>558</v>
      </c>
      <c r="D1522" t="s">
        <v>2079</v>
      </c>
      <c r="E1522">
        <v>-1520</v>
      </c>
      <c r="F1522" t="s">
        <v>559</v>
      </c>
      <c r="G1522" t="s">
        <v>560</v>
      </c>
    </row>
    <row r="1523" spans="1:7">
      <c r="A1523" t="s">
        <v>182</v>
      </c>
      <c r="B1523" t="s">
        <v>557</v>
      </c>
      <c r="C1523" t="s">
        <v>558</v>
      </c>
      <c r="D1523" t="s">
        <v>2080</v>
      </c>
      <c r="E1523">
        <v>-1521</v>
      </c>
      <c r="F1523" t="s">
        <v>559</v>
      </c>
      <c r="G1523" t="s">
        <v>560</v>
      </c>
    </row>
    <row r="1524" spans="1:7">
      <c r="A1524" t="s">
        <v>182</v>
      </c>
      <c r="B1524" t="s">
        <v>557</v>
      </c>
      <c r="C1524" t="s">
        <v>558</v>
      </c>
      <c r="D1524" t="s">
        <v>2081</v>
      </c>
      <c r="E1524">
        <v>-1522</v>
      </c>
      <c r="F1524" t="s">
        <v>559</v>
      </c>
      <c r="G1524" t="s">
        <v>560</v>
      </c>
    </row>
    <row r="1525" spans="1:7">
      <c r="A1525" t="s">
        <v>182</v>
      </c>
      <c r="B1525" t="s">
        <v>557</v>
      </c>
      <c r="C1525" t="s">
        <v>558</v>
      </c>
      <c r="D1525" t="s">
        <v>2082</v>
      </c>
      <c r="E1525">
        <v>-1523</v>
      </c>
      <c r="F1525" t="s">
        <v>559</v>
      </c>
      <c r="G1525" t="s">
        <v>560</v>
      </c>
    </row>
    <row r="1526" spans="1:7">
      <c r="A1526" t="s">
        <v>182</v>
      </c>
      <c r="B1526" t="s">
        <v>557</v>
      </c>
      <c r="C1526" t="s">
        <v>558</v>
      </c>
      <c r="D1526" t="s">
        <v>2083</v>
      </c>
      <c r="E1526">
        <v>-1524</v>
      </c>
      <c r="F1526" t="s">
        <v>559</v>
      </c>
      <c r="G1526" t="s">
        <v>560</v>
      </c>
    </row>
    <row r="1527" spans="1:7">
      <c r="A1527" t="s">
        <v>182</v>
      </c>
      <c r="B1527" t="s">
        <v>557</v>
      </c>
      <c r="C1527" t="s">
        <v>558</v>
      </c>
      <c r="D1527" t="s">
        <v>2084</v>
      </c>
      <c r="E1527">
        <v>-1525</v>
      </c>
      <c r="F1527" t="s">
        <v>559</v>
      </c>
      <c r="G1527" t="s">
        <v>560</v>
      </c>
    </row>
    <row r="1528" spans="1:7">
      <c r="A1528" t="s">
        <v>182</v>
      </c>
      <c r="B1528" t="s">
        <v>557</v>
      </c>
      <c r="C1528" t="s">
        <v>558</v>
      </c>
      <c r="D1528" t="s">
        <v>2085</v>
      </c>
      <c r="E1528">
        <v>-1526</v>
      </c>
      <c r="F1528" t="s">
        <v>559</v>
      </c>
      <c r="G1528" t="s">
        <v>560</v>
      </c>
    </row>
    <row r="1529" spans="1:7">
      <c r="A1529" t="s">
        <v>182</v>
      </c>
      <c r="B1529" t="s">
        <v>557</v>
      </c>
      <c r="C1529" t="s">
        <v>558</v>
      </c>
      <c r="D1529" t="s">
        <v>2086</v>
      </c>
      <c r="E1529">
        <v>-1527</v>
      </c>
      <c r="F1529" t="s">
        <v>559</v>
      </c>
      <c r="G1529" t="s">
        <v>560</v>
      </c>
    </row>
    <row r="1530" spans="1:7">
      <c r="A1530" t="s">
        <v>182</v>
      </c>
      <c r="B1530" t="s">
        <v>557</v>
      </c>
      <c r="C1530" t="s">
        <v>558</v>
      </c>
      <c r="D1530" t="s">
        <v>2087</v>
      </c>
      <c r="E1530">
        <v>-1528</v>
      </c>
      <c r="F1530" t="s">
        <v>559</v>
      </c>
      <c r="G1530" t="s">
        <v>560</v>
      </c>
    </row>
    <row r="1531" spans="1:7">
      <c r="A1531" t="s">
        <v>182</v>
      </c>
      <c r="B1531" t="s">
        <v>557</v>
      </c>
      <c r="C1531" t="s">
        <v>558</v>
      </c>
      <c r="D1531" t="s">
        <v>2088</v>
      </c>
      <c r="E1531">
        <v>-1529</v>
      </c>
      <c r="F1531" t="s">
        <v>559</v>
      </c>
      <c r="G1531" t="s">
        <v>560</v>
      </c>
    </row>
    <row r="1532" spans="1:7">
      <c r="A1532" t="s">
        <v>182</v>
      </c>
      <c r="B1532" t="s">
        <v>557</v>
      </c>
      <c r="C1532" t="s">
        <v>558</v>
      </c>
      <c r="D1532" t="s">
        <v>2089</v>
      </c>
      <c r="E1532">
        <v>-1530</v>
      </c>
      <c r="F1532" t="s">
        <v>559</v>
      </c>
      <c r="G1532" t="s">
        <v>560</v>
      </c>
    </row>
    <row r="1533" spans="1:7">
      <c r="A1533" t="s">
        <v>182</v>
      </c>
      <c r="B1533" t="s">
        <v>557</v>
      </c>
      <c r="C1533" t="s">
        <v>558</v>
      </c>
      <c r="D1533" t="s">
        <v>2090</v>
      </c>
      <c r="E1533">
        <v>-1531</v>
      </c>
      <c r="F1533" t="s">
        <v>559</v>
      </c>
      <c r="G1533" t="s">
        <v>560</v>
      </c>
    </row>
    <row r="1534" spans="1:7">
      <c r="A1534" t="s">
        <v>182</v>
      </c>
      <c r="B1534" t="s">
        <v>557</v>
      </c>
      <c r="C1534" t="s">
        <v>558</v>
      </c>
      <c r="D1534" t="s">
        <v>2091</v>
      </c>
      <c r="E1534">
        <v>-1532</v>
      </c>
      <c r="F1534" t="s">
        <v>559</v>
      </c>
      <c r="G1534" t="s">
        <v>560</v>
      </c>
    </row>
    <row r="1535" spans="1:7">
      <c r="A1535" t="s">
        <v>182</v>
      </c>
      <c r="B1535" t="s">
        <v>557</v>
      </c>
      <c r="C1535" t="s">
        <v>558</v>
      </c>
      <c r="D1535" t="s">
        <v>2092</v>
      </c>
      <c r="E1535">
        <v>-1533</v>
      </c>
      <c r="F1535" t="s">
        <v>559</v>
      </c>
      <c r="G1535" t="s">
        <v>560</v>
      </c>
    </row>
    <row r="1536" spans="1:7">
      <c r="A1536" t="s">
        <v>182</v>
      </c>
      <c r="B1536" t="s">
        <v>557</v>
      </c>
      <c r="C1536" t="s">
        <v>558</v>
      </c>
      <c r="D1536" t="s">
        <v>2093</v>
      </c>
      <c r="E1536">
        <v>-1534</v>
      </c>
      <c r="F1536" t="s">
        <v>559</v>
      </c>
      <c r="G1536" t="s">
        <v>560</v>
      </c>
    </row>
    <row r="1537" spans="1:7">
      <c r="A1537" t="s">
        <v>182</v>
      </c>
      <c r="B1537" t="s">
        <v>557</v>
      </c>
      <c r="C1537" t="s">
        <v>558</v>
      </c>
      <c r="D1537" t="s">
        <v>2094</v>
      </c>
      <c r="E1537">
        <v>-1535</v>
      </c>
      <c r="F1537" t="s">
        <v>559</v>
      </c>
      <c r="G1537" t="s">
        <v>560</v>
      </c>
    </row>
    <row r="1538" spans="1:7">
      <c r="A1538" t="s">
        <v>182</v>
      </c>
      <c r="B1538" t="s">
        <v>557</v>
      </c>
      <c r="C1538" t="s">
        <v>558</v>
      </c>
      <c r="D1538" t="s">
        <v>2095</v>
      </c>
      <c r="E1538">
        <v>-1536</v>
      </c>
      <c r="F1538" t="s">
        <v>559</v>
      </c>
      <c r="G1538" t="s">
        <v>560</v>
      </c>
    </row>
    <row r="1539" spans="1:7">
      <c r="A1539" t="s">
        <v>182</v>
      </c>
      <c r="B1539" t="s">
        <v>557</v>
      </c>
      <c r="C1539" t="s">
        <v>558</v>
      </c>
      <c r="D1539" t="s">
        <v>2096</v>
      </c>
      <c r="E1539">
        <v>-1537</v>
      </c>
      <c r="F1539" t="s">
        <v>559</v>
      </c>
      <c r="G1539" t="s">
        <v>560</v>
      </c>
    </row>
    <row r="1540" spans="1:7">
      <c r="A1540" t="s">
        <v>182</v>
      </c>
      <c r="B1540" t="s">
        <v>557</v>
      </c>
      <c r="C1540" t="s">
        <v>558</v>
      </c>
      <c r="D1540" t="s">
        <v>2097</v>
      </c>
      <c r="E1540">
        <v>-1538</v>
      </c>
      <c r="F1540" t="s">
        <v>559</v>
      </c>
      <c r="G1540" t="s">
        <v>560</v>
      </c>
    </row>
    <row r="1541" spans="1:7">
      <c r="A1541" t="s">
        <v>182</v>
      </c>
      <c r="B1541" t="s">
        <v>557</v>
      </c>
      <c r="C1541" t="s">
        <v>558</v>
      </c>
      <c r="D1541" t="s">
        <v>2098</v>
      </c>
      <c r="E1541">
        <v>-1539</v>
      </c>
      <c r="F1541" t="s">
        <v>559</v>
      </c>
      <c r="G1541" t="s">
        <v>560</v>
      </c>
    </row>
    <row r="1542" spans="1:7">
      <c r="A1542" t="s">
        <v>182</v>
      </c>
      <c r="B1542" t="s">
        <v>557</v>
      </c>
      <c r="C1542" t="s">
        <v>558</v>
      </c>
      <c r="D1542" t="s">
        <v>2099</v>
      </c>
      <c r="E1542">
        <v>-1540</v>
      </c>
      <c r="F1542" t="s">
        <v>559</v>
      </c>
      <c r="G1542" t="s">
        <v>560</v>
      </c>
    </row>
    <row r="1543" spans="1:7">
      <c r="A1543" t="s">
        <v>182</v>
      </c>
      <c r="B1543" t="s">
        <v>557</v>
      </c>
      <c r="C1543" t="s">
        <v>558</v>
      </c>
      <c r="D1543" t="s">
        <v>2100</v>
      </c>
      <c r="E1543">
        <v>-1541</v>
      </c>
      <c r="F1543" t="s">
        <v>559</v>
      </c>
      <c r="G1543" t="s">
        <v>560</v>
      </c>
    </row>
    <row r="1544" spans="1:7">
      <c r="A1544" t="s">
        <v>182</v>
      </c>
      <c r="B1544" t="s">
        <v>557</v>
      </c>
      <c r="C1544" t="s">
        <v>558</v>
      </c>
      <c r="D1544" t="s">
        <v>2101</v>
      </c>
      <c r="E1544">
        <v>-1542</v>
      </c>
      <c r="F1544" t="s">
        <v>559</v>
      </c>
      <c r="G1544" t="s">
        <v>560</v>
      </c>
    </row>
    <row r="1545" spans="1:7">
      <c r="A1545" t="s">
        <v>182</v>
      </c>
      <c r="B1545" t="s">
        <v>557</v>
      </c>
      <c r="C1545" t="s">
        <v>558</v>
      </c>
      <c r="D1545" t="s">
        <v>2102</v>
      </c>
      <c r="E1545">
        <v>-1543</v>
      </c>
      <c r="F1545" t="s">
        <v>559</v>
      </c>
      <c r="G1545" t="s">
        <v>560</v>
      </c>
    </row>
    <row r="1546" spans="1:7">
      <c r="A1546" t="s">
        <v>182</v>
      </c>
      <c r="B1546" t="s">
        <v>557</v>
      </c>
      <c r="C1546" t="s">
        <v>558</v>
      </c>
      <c r="D1546" t="s">
        <v>2103</v>
      </c>
      <c r="E1546">
        <v>-1544</v>
      </c>
      <c r="F1546" t="s">
        <v>559</v>
      </c>
      <c r="G1546" t="s">
        <v>560</v>
      </c>
    </row>
    <row r="1547" spans="1:7">
      <c r="A1547" t="s">
        <v>182</v>
      </c>
      <c r="B1547" t="s">
        <v>557</v>
      </c>
      <c r="C1547" t="s">
        <v>558</v>
      </c>
      <c r="D1547" t="s">
        <v>2104</v>
      </c>
      <c r="E1547">
        <v>-1545</v>
      </c>
      <c r="F1547" t="s">
        <v>559</v>
      </c>
      <c r="G1547" t="s">
        <v>560</v>
      </c>
    </row>
    <row r="1548" spans="1:7">
      <c r="A1548" t="s">
        <v>182</v>
      </c>
      <c r="B1548" t="s">
        <v>557</v>
      </c>
      <c r="C1548" t="s">
        <v>558</v>
      </c>
      <c r="D1548" t="s">
        <v>2105</v>
      </c>
      <c r="E1548">
        <v>-1546</v>
      </c>
      <c r="F1548" t="s">
        <v>559</v>
      </c>
      <c r="G1548" t="s">
        <v>560</v>
      </c>
    </row>
    <row r="1549" spans="1:7">
      <c r="A1549" t="s">
        <v>182</v>
      </c>
      <c r="B1549" t="s">
        <v>557</v>
      </c>
      <c r="C1549" t="s">
        <v>558</v>
      </c>
      <c r="D1549" t="s">
        <v>2106</v>
      </c>
      <c r="E1549">
        <v>-1547</v>
      </c>
      <c r="F1549" t="s">
        <v>559</v>
      </c>
      <c r="G1549" t="s">
        <v>560</v>
      </c>
    </row>
    <row r="1550" spans="1:7">
      <c r="A1550" t="s">
        <v>182</v>
      </c>
      <c r="B1550" t="s">
        <v>557</v>
      </c>
      <c r="C1550" t="s">
        <v>558</v>
      </c>
      <c r="D1550" t="s">
        <v>2107</v>
      </c>
      <c r="E1550">
        <v>-1548</v>
      </c>
      <c r="F1550" t="s">
        <v>559</v>
      </c>
      <c r="G1550" t="s">
        <v>560</v>
      </c>
    </row>
    <row r="1551" spans="1:7">
      <c r="A1551" t="s">
        <v>182</v>
      </c>
      <c r="B1551" t="s">
        <v>557</v>
      </c>
      <c r="C1551" t="s">
        <v>558</v>
      </c>
      <c r="D1551" t="s">
        <v>2108</v>
      </c>
      <c r="E1551">
        <v>-1549</v>
      </c>
      <c r="F1551" t="s">
        <v>559</v>
      </c>
      <c r="G1551" t="s">
        <v>560</v>
      </c>
    </row>
    <row r="1552" spans="1:7">
      <c r="A1552" t="s">
        <v>182</v>
      </c>
      <c r="B1552" t="s">
        <v>557</v>
      </c>
      <c r="C1552" t="s">
        <v>558</v>
      </c>
      <c r="D1552" t="s">
        <v>2109</v>
      </c>
      <c r="E1552">
        <v>-1550</v>
      </c>
      <c r="F1552" t="s">
        <v>559</v>
      </c>
      <c r="G1552" t="s">
        <v>560</v>
      </c>
    </row>
    <row r="1553" spans="1:7">
      <c r="A1553" t="s">
        <v>182</v>
      </c>
      <c r="B1553" t="s">
        <v>557</v>
      </c>
      <c r="C1553" t="s">
        <v>558</v>
      </c>
      <c r="D1553" t="s">
        <v>2110</v>
      </c>
      <c r="E1553">
        <v>-1551</v>
      </c>
      <c r="F1553" t="s">
        <v>559</v>
      </c>
      <c r="G1553" t="s">
        <v>560</v>
      </c>
    </row>
    <row r="1554" spans="1:7">
      <c r="A1554" t="s">
        <v>182</v>
      </c>
      <c r="B1554" t="s">
        <v>557</v>
      </c>
      <c r="C1554" t="s">
        <v>558</v>
      </c>
      <c r="D1554" t="s">
        <v>2111</v>
      </c>
      <c r="E1554">
        <v>-1552</v>
      </c>
      <c r="F1554" t="s">
        <v>559</v>
      </c>
      <c r="G1554" t="s">
        <v>560</v>
      </c>
    </row>
    <row r="1555" spans="1:7">
      <c r="A1555" t="s">
        <v>182</v>
      </c>
      <c r="B1555" t="s">
        <v>557</v>
      </c>
      <c r="C1555" t="s">
        <v>558</v>
      </c>
      <c r="D1555" t="s">
        <v>2112</v>
      </c>
      <c r="E1555">
        <v>-1553</v>
      </c>
      <c r="F1555" t="s">
        <v>559</v>
      </c>
      <c r="G1555" t="s">
        <v>560</v>
      </c>
    </row>
    <row r="1556" spans="1:7">
      <c r="A1556" t="s">
        <v>182</v>
      </c>
      <c r="B1556" t="s">
        <v>557</v>
      </c>
      <c r="C1556" t="s">
        <v>558</v>
      </c>
      <c r="D1556" t="s">
        <v>2113</v>
      </c>
      <c r="E1556">
        <v>-1554</v>
      </c>
      <c r="F1556" t="s">
        <v>559</v>
      </c>
      <c r="G1556" t="s">
        <v>560</v>
      </c>
    </row>
    <row r="1557" spans="1:7">
      <c r="A1557" t="s">
        <v>182</v>
      </c>
      <c r="B1557" t="s">
        <v>557</v>
      </c>
      <c r="C1557" t="s">
        <v>558</v>
      </c>
      <c r="D1557" t="s">
        <v>2114</v>
      </c>
      <c r="E1557">
        <v>-1555</v>
      </c>
      <c r="F1557" t="s">
        <v>559</v>
      </c>
      <c r="G1557" t="s">
        <v>560</v>
      </c>
    </row>
    <row r="1558" spans="1:7">
      <c r="A1558" t="s">
        <v>182</v>
      </c>
      <c r="B1558" t="s">
        <v>557</v>
      </c>
      <c r="C1558" t="s">
        <v>558</v>
      </c>
      <c r="D1558" t="s">
        <v>2115</v>
      </c>
      <c r="E1558">
        <v>-1556</v>
      </c>
      <c r="F1558" t="s">
        <v>559</v>
      </c>
      <c r="G1558" t="s">
        <v>560</v>
      </c>
    </row>
    <row r="1559" spans="1:7">
      <c r="A1559" t="s">
        <v>182</v>
      </c>
      <c r="B1559" t="s">
        <v>557</v>
      </c>
      <c r="C1559" t="s">
        <v>558</v>
      </c>
      <c r="D1559" t="s">
        <v>2116</v>
      </c>
      <c r="E1559">
        <v>-1557</v>
      </c>
      <c r="F1559" t="s">
        <v>559</v>
      </c>
      <c r="G1559" t="s">
        <v>560</v>
      </c>
    </row>
    <row r="1560" spans="1:7">
      <c r="A1560" t="s">
        <v>182</v>
      </c>
      <c r="B1560" t="s">
        <v>557</v>
      </c>
      <c r="C1560" t="s">
        <v>558</v>
      </c>
      <c r="D1560" t="s">
        <v>2117</v>
      </c>
      <c r="E1560">
        <v>-1558</v>
      </c>
      <c r="F1560" t="s">
        <v>559</v>
      </c>
      <c r="G1560" t="s">
        <v>560</v>
      </c>
    </row>
    <row r="1561" spans="1:7">
      <c r="A1561" t="s">
        <v>182</v>
      </c>
      <c r="B1561" t="s">
        <v>557</v>
      </c>
      <c r="C1561" t="s">
        <v>558</v>
      </c>
      <c r="D1561" t="s">
        <v>2118</v>
      </c>
      <c r="E1561">
        <v>-1559</v>
      </c>
      <c r="F1561" t="s">
        <v>559</v>
      </c>
      <c r="G1561" t="s">
        <v>560</v>
      </c>
    </row>
    <row r="1562" spans="1:7">
      <c r="A1562" t="s">
        <v>182</v>
      </c>
      <c r="B1562" t="s">
        <v>557</v>
      </c>
      <c r="C1562" t="s">
        <v>558</v>
      </c>
      <c r="D1562" t="s">
        <v>2119</v>
      </c>
      <c r="E1562">
        <v>-1560</v>
      </c>
      <c r="F1562" t="s">
        <v>559</v>
      </c>
      <c r="G1562" t="s">
        <v>560</v>
      </c>
    </row>
    <row r="1563" spans="1:7">
      <c r="A1563" t="s">
        <v>182</v>
      </c>
      <c r="B1563" t="s">
        <v>557</v>
      </c>
      <c r="C1563" t="s">
        <v>558</v>
      </c>
      <c r="D1563" t="s">
        <v>2120</v>
      </c>
      <c r="E1563">
        <v>-1561</v>
      </c>
      <c r="F1563" t="s">
        <v>559</v>
      </c>
      <c r="G1563" t="s">
        <v>560</v>
      </c>
    </row>
    <row r="1564" spans="1:7">
      <c r="A1564" t="s">
        <v>182</v>
      </c>
      <c r="B1564" t="s">
        <v>557</v>
      </c>
      <c r="C1564" t="s">
        <v>558</v>
      </c>
      <c r="D1564" t="s">
        <v>2121</v>
      </c>
      <c r="E1564">
        <v>-1562</v>
      </c>
      <c r="F1564" t="s">
        <v>559</v>
      </c>
      <c r="G1564" t="s">
        <v>560</v>
      </c>
    </row>
    <row r="1565" spans="1:7">
      <c r="A1565" t="s">
        <v>182</v>
      </c>
      <c r="B1565" t="s">
        <v>557</v>
      </c>
      <c r="C1565" t="s">
        <v>558</v>
      </c>
      <c r="D1565" t="s">
        <v>2122</v>
      </c>
      <c r="E1565">
        <v>-1563</v>
      </c>
      <c r="F1565" t="s">
        <v>559</v>
      </c>
      <c r="G1565" t="s">
        <v>560</v>
      </c>
    </row>
    <row r="1566" spans="1:7">
      <c r="A1566" t="s">
        <v>182</v>
      </c>
      <c r="B1566" t="s">
        <v>557</v>
      </c>
      <c r="C1566" t="s">
        <v>558</v>
      </c>
      <c r="D1566" t="s">
        <v>2123</v>
      </c>
      <c r="E1566">
        <v>-1564</v>
      </c>
      <c r="F1566" t="s">
        <v>559</v>
      </c>
      <c r="G1566" t="s">
        <v>560</v>
      </c>
    </row>
    <row r="1567" spans="1:7">
      <c r="A1567" t="s">
        <v>182</v>
      </c>
      <c r="B1567" t="s">
        <v>557</v>
      </c>
      <c r="C1567" t="s">
        <v>558</v>
      </c>
      <c r="D1567" t="s">
        <v>2124</v>
      </c>
      <c r="E1567">
        <v>-1565</v>
      </c>
      <c r="F1567" t="s">
        <v>559</v>
      </c>
      <c r="G1567" t="s">
        <v>560</v>
      </c>
    </row>
    <row r="1568" spans="1:7">
      <c r="A1568" t="s">
        <v>182</v>
      </c>
      <c r="B1568" t="s">
        <v>557</v>
      </c>
      <c r="C1568" t="s">
        <v>558</v>
      </c>
      <c r="D1568" t="s">
        <v>2125</v>
      </c>
      <c r="E1568">
        <v>-1566</v>
      </c>
      <c r="F1568" t="s">
        <v>559</v>
      </c>
      <c r="G1568" t="s">
        <v>560</v>
      </c>
    </row>
    <row r="1569" spans="1:7">
      <c r="A1569" t="s">
        <v>182</v>
      </c>
      <c r="B1569" t="s">
        <v>557</v>
      </c>
      <c r="C1569" t="s">
        <v>558</v>
      </c>
      <c r="D1569" t="s">
        <v>2126</v>
      </c>
      <c r="E1569">
        <v>-1567</v>
      </c>
      <c r="F1569" t="s">
        <v>559</v>
      </c>
      <c r="G1569" t="s">
        <v>560</v>
      </c>
    </row>
    <row r="1570" spans="1:7">
      <c r="A1570" t="s">
        <v>182</v>
      </c>
      <c r="B1570" t="s">
        <v>557</v>
      </c>
      <c r="C1570" t="s">
        <v>558</v>
      </c>
      <c r="D1570" t="s">
        <v>2127</v>
      </c>
      <c r="E1570">
        <v>-1568</v>
      </c>
      <c r="F1570" t="s">
        <v>559</v>
      </c>
      <c r="G1570" t="s">
        <v>560</v>
      </c>
    </row>
    <row r="1571" spans="1:7">
      <c r="A1571" t="s">
        <v>182</v>
      </c>
      <c r="B1571" t="s">
        <v>557</v>
      </c>
      <c r="C1571" t="s">
        <v>558</v>
      </c>
      <c r="D1571" t="s">
        <v>2128</v>
      </c>
      <c r="E1571">
        <v>-1569</v>
      </c>
      <c r="F1571" t="s">
        <v>559</v>
      </c>
      <c r="G1571" t="s">
        <v>560</v>
      </c>
    </row>
    <row r="1572" spans="1:7">
      <c r="A1572" t="s">
        <v>182</v>
      </c>
      <c r="B1572" t="s">
        <v>557</v>
      </c>
      <c r="C1572" t="s">
        <v>558</v>
      </c>
      <c r="D1572" t="s">
        <v>2129</v>
      </c>
      <c r="E1572">
        <v>-1570</v>
      </c>
      <c r="F1572" t="s">
        <v>559</v>
      </c>
      <c r="G1572" t="s">
        <v>560</v>
      </c>
    </row>
    <row r="1573" spans="1:7">
      <c r="A1573" t="s">
        <v>182</v>
      </c>
      <c r="B1573" t="s">
        <v>557</v>
      </c>
      <c r="C1573" t="s">
        <v>558</v>
      </c>
      <c r="D1573" t="s">
        <v>2130</v>
      </c>
      <c r="E1573">
        <v>-1571</v>
      </c>
      <c r="F1573" t="s">
        <v>559</v>
      </c>
      <c r="G1573" t="s">
        <v>560</v>
      </c>
    </row>
    <row r="1574" spans="1:7">
      <c r="A1574" t="s">
        <v>182</v>
      </c>
      <c r="B1574" t="s">
        <v>557</v>
      </c>
      <c r="C1574" t="s">
        <v>558</v>
      </c>
      <c r="D1574" t="s">
        <v>2131</v>
      </c>
      <c r="E1574">
        <v>-1572</v>
      </c>
      <c r="F1574" t="s">
        <v>559</v>
      </c>
      <c r="G1574" t="s">
        <v>560</v>
      </c>
    </row>
    <row r="1575" spans="1:7">
      <c r="A1575" t="s">
        <v>182</v>
      </c>
      <c r="B1575" t="s">
        <v>557</v>
      </c>
      <c r="C1575" t="s">
        <v>558</v>
      </c>
      <c r="D1575" t="s">
        <v>2132</v>
      </c>
      <c r="E1575">
        <v>-1573</v>
      </c>
      <c r="F1575" t="s">
        <v>559</v>
      </c>
      <c r="G1575" t="s">
        <v>560</v>
      </c>
    </row>
    <row r="1576" spans="1:7">
      <c r="A1576" t="s">
        <v>182</v>
      </c>
      <c r="B1576" t="s">
        <v>557</v>
      </c>
      <c r="C1576" t="s">
        <v>558</v>
      </c>
      <c r="D1576" t="s">
        <v>2133</v>
      </c>
      <c r="E1576">
        <v>-1574</v>
      </c>
      <c r="F1576" t="s">
        <v>559</v>
      </c>
      <c r="G1576" t="s">
        <v>560</v>
      </c>
    </row>
    <row r="1577" spans="1:7">
      <c r="A1577" t="s">
        <v>182</v>
      </c>
      <c r="B1577" t="s">
        <v>557</v>
      </c>
      <c r="C1577" t="s">
        <v>558</v>
      </c>
      <c r="D1577" t="s">
        <v>2134</v>
      </c>
      <c r="E1577">
        <v>-1575</v>
      </c>
      <c r="F1577" t="s">
        <v>559</v>
      </c>
      <c r="G1577" t="s">
        <v>560</v>
      </c>
    </row>
    <row r="1578" spans="1:7">
      <c r="A1578" t="s">
        <v>182</v>
      </c>
      <c r="B1578" t="s">
        <v>557</v>
      </c>
      <c r="C1578" t="s">
        <v>558</v>
      </c>
      <c r="D1578" t="s">
        <v>2135</v>
      </c>
      <c r="E1578">
        <v>-1576</v>
      </c>
      <c r="F1578" t="s">
        <v>559</v>
      </c>
      <c r="G1578" t="s">
        <v>560</v>
      </c>
    </row>
    <row r="1579" spans="1:7">
      <c r="A1579" t="s">
        <v>182</v>
      </c>
      <c r="B1579" t="s">
        <v>557</v>
      </c>
      <c r="C1579" t="s">
        <v>558</v>
      </c>
      <c r="D1579" t="s">
        <v>2136</v>
      </c>
      <c r="E1579">
        <v>-1577</v>
      </c>
      <c r="F1579" t="s">
        <v>559</v>
      </c>
      <c r="G1579" t="s">
        <v>560</v>
      </c>
    </row>
    <row r="1580" spans="1:7">
      <c r="A1580" t="s">
        <v>182</v>
      </c>
      <c r="B1580" t="s">
        <v>557</v>
      </c>
      <c r="C1580" t="s">
        <v>558</v>
      </c>
      <c r="D1580" t="s">
        <v>2137</v>
      </c>
      <c r="E1580">
        <v>-1578</v>
      </c>
      <c r="F1580" t="s">
        <v>559</v>
      </c>
      <c r="G1580" t="s">
        <v>560</v>
      </c>
    </row>
    <row r="1581" spans="1:7">
      <c r="A1581" t="s">
        <v>182</v>
      </c>
      <c r="B1581" t="s">
        <v>557</v>
      </c>
      <c r="C1581" t="s">
        <v>558</v>
      </c>
      <c r="D1581" t="s">
        <v>2138</v>
      </c>
      <c r="E1581">
        <v>-1579</v>
      </c>
      <c r="F1581" t="s">
        <v>559</v>
      </c>
      <c r="G1581" t="s">
        <v>560</v>
      </c>
    </row>
    <row r="1582" spans="1:7">
      <c r="A1582" t="s">
        <v>182</v>
      </c>
      <c r="B1582" t="s">
        <v>557</v>
      </c>
      <c r="C1582" t="s">
        <v>558</v>
      </c>
      <c r="D1582" t="s">
        <v>2139</v>
      </c>
      <c r="E1582">
        <v>-1580</v>
      </c>
      <c r="F1582" t="s">
        <v>559</v>
      </c>
      <c r="G1582" t="s">
        <v>560</v>
      </c>
    </row>
    <row r="1583" spans="1:7">
      <c r="A1583" t="s">
        <v>182</v>
      </c>
      <c r="B1583" t="s">
        <v>557</v>
      </c>
      <c r="C1583" t="s">
        <v>558</v>
      </c>
      <c r="D1583" t="s">
        <v>2140</v>
      </c>
      <c r="E1583">
        <v>-1581</v>
      </c>
      <c r="F1583" t="s">
        <v>559</v>
      </c>
      <c r="G1583" t="s">
        <v>560</v>
      </c>
    </row>
    <row r="1584" spans="1:7">
      <c r="A1584" t="s">
        <v>182</v>
      </c>
      <c r="B1584" t="s">
        <v>557</v>
      </c>
      <c r="C1584" t="s">
        <v>558</v>
      </c>
      <c r="D1584" t="s">
        <v>2141</v>
      </c>
      <c r="E1584">
        <v>-1582</v>
      </c>
      <c r="F1584" t="s">
        <v>559</v>
      </c>
      <c r="G1584" t="s">
        <v>560</v>
      </c>
    </row>
    <row r="1585" spans="1:7">
      <c r="A1585" t="s">
        <v>182</v>
      </c>
      <c r="B1585" t="s">
        <v>557</v>
      </c>
      <c r="C1585" t="s">
        <v>558</v>
      </c>
      <c r="D1585" t="s">
        <v>2142</v>
      </c>
      <c r="E1585">
        <v>-1583</v>
      </c>
      <c r="F1585" t="s">
        <v>559</v>
      </c>
      <c r="G1585" t="s">
        <v>560</v>
      </c>
    </row>
    <row r="1586" spans="1:7">
      <c r="A1586" t="s">
        <v>182</v>
      </c>
      <c r="B1586" t="s">
        <v>557</v>
      </c>
      <c r="C1586" t="s">
        <v>558</v>
      </c>
      <c r="D1586" t="s">
        <v>2143</v>
      </c>
      <c r="E1586">
        <v>-1584</v>
      </c>
      <c r="F1586" t="s">
        <v>559</v>
      </c>
      <c r="G1586" t="s">
        <v>560</v>
      </c>
    </row>
    <row r="1587" spans="1:7">
      <c r="A1587" t="s">
        <v>182</v>
      </c>
      <c r="B1587" t="s">
        <v>557</v>
      </c>
      <c r="C1587" t="s">
        <v>558</v>
      </c>
      <c r="D1587" t="s">
        <v>2144</v>
      </c>
      <c r="E1587">
        <v>-1585</v>
      </c>
      <c r="F1587" t="s">
        <v>559</v>
      </c>
      <c r="G1587" t="s">
        <v>560</v>
      </c>
    </row>
    <row r="1588" spans="1:7">
      <c r="A1588" t="s">
        <v>182</v>
      </c>
      <c r="B1588" t="s">
        <v>557</v>
      </c>
      <c r="C1588" t="s">
        <v>558</v>
      </c>
      <c r="D1588" t="s">
        <v>2145</v>
      </c>
      <c r="E1588">
        <v>-1586</v>
      </c>
      <c r="F1588" t="s">
        <v>559</v>
      </c>
      <c r="G1588" t="s">
        <v>560</v>
      </c>
    </row>
    <row r="1589" spans="1:7">
      <c r="A1589" t="s">
        <v>182</v>
      </c>
      <c r="B1589" t="s">
        <v>557</v>
      </c>
      <c r="C1589" t="s">
        <v>558</v>
      </c>
      <c r="D1589" t="s">
        <v>2146</v>
      </c>
      <c r="E1589">
        <v>-1587</v>
      </c>
      <c r="F1589" t="s">
        <v>559</v>
      </c>
      <c r="G1589" t="s">
        <v>560</v>
      </c>
    </row>
    <row r="1590" spans="1:7">
      <c r="A1590" t="s">
        <v>182</v>
      </c>
      <c r="B1590" t="s">
        <v>557</v>
      </c>
      <c r="C1590" t="s">
        <v>558</v>
      </c>
      <c r="D1590" t="s">
        <v>2147</v>
      </c>
      <c r="E1590">
        <v>-1588</v>
      </c>
      <c r="F1590" t="s">
        <v>559</v>
      </c>
      <c r="G1590" t="s">
        <v>560</v>
      </c>
    </row>
    <row r="1591" spans="1:7">
      <c r="A1591" t="s">
        <v>182</v>
      </c>
      <c r="B1591" t="s">
        <v>557</v>
      </c>
      <c r="C1591" t="s">
        <v>558</v>
      </c>
      <c r="D1591" t="s">
        <v>2148</v>
      </c>
      <c r="E1591">
        <v>-1589</v>
      </c>
      <c r="F1591" t="s">
        <v>559</v>
      </c>
      <c r="G1591" t="s">
        <v>560</v>
      </c>
    </row>
    <row r="1592" spans="1:7">
      <c r="A1592" t="s">
        <v>182</v>
      </c>
      <c r="B1592" t="s">
        <v>557</v>
      </c>
      <c r="C1592" t="s">
        <v>558</v>
      </c>
      <c r="D1592" t="s">
        <v>2149</v>
      </c>
      <c r="E1592">
        <v>-1590</v>
      </c>
      <c r="F1592" t="s">
        <v>559</v>
      </c>
      <c r="G1592" t="s">
        <v>560</v>
      </c>
    </row>
    <row r="1593" spans="1:7">
      <c r="A1593" t="s">
        <v>182</v>
      </c>
      <c r="B1593" t="s">
        <v>557</v>
      </c>
      <c r="C1593" t="s">
        <v>558</v>
      </c>
      <c r="D1593" t="s">
        <v>2150</v>
      </c>
      <c r="E1593">
        <v>-1591</v>
      </c>
      <c r="F1593" t="s">
        <v>559</v>
      </c>
      <c r="G1593" t="s">
        <v>560</v>
      </c>
    </row>
    <row r="1594" spans="1:7">
      <c r="A1594" t="s">
        <v>182</v>
      </c>
      <c r="B1594" t="s">
        <v>557</v>
      </c>
      <c r="C1594" t="s">
        <v>558</v>
      </c>
      <c r="D1594" t="s">
        <v>2151</v>
      </c>
      <c r="E1594">
        <v>-1592</v>
      </c>
      <c r="F1594" t="s">
        <v>559</v>
      </c>
      <c r="G1594" t="s">
        <v>560</v>
      </c>
    </row>
    <row r="1595" spans="1:7">
      <c r="A1595" t="s">
        <v>182</v>
      </c>
      <c r="B1595" t="s">
        <v>557</v>
      </c>
      <c r="C1595" t="s">
        <v>558</v>
      </c>
      <c r="D1595" t="s">
        <v>2152</v>
      </c>
      <c r="E1595">
        <v>-1593</v>
      </c>
      <c r="F1595" t="s">
        <v>559</v>
      </c>
      <c r="G1595" t="s">
        <v>560</v>
      </c>
    </row>
    <row r="1596" spans="1:7">
      <c r="A1596" t="s">
        <v>182</v>
      </c>
      <c r="B1596" t="s">
        <v>557</v>
      </c>
      <c r="C1596" t="s">
        <v>558</v>
      </c>
      <c r="D1596" t="s">
        <v>2153</v>
      </c>
      <c r="E1596">
        <v>-1594</v>
      </c>
      <c r="F1596" t="s">
        <v>559</v>
      </c>
      <c r="G1596" t="s">
        <v>560</v>
      </c>
    </row>
    <row r="1597" spans="1:7">
      <c r="A1597" t="s">
        <v>182</v>
      </c>
      <c r="B1597" t="s">
        <v>557</v>
      </c>
      <c r="C1597" t="s">
        <v>558</v>
      </c>
      <c r="D1597" t="s">
        <v>2154</v>
      </c>
      <c r="E1597">
        <v>-1595</v>
      </c>
      <c r="F1597" t="s">
        <v>559</v>
      </c>
      <c r="G1597" t="s">
        <v>560</v>
      </c>
    </row>
    <row r="1598" spans="1:7">
      <c r="A1598" t="s">
        <v>182</v>
      </c>
      <c r="B1598" t="s">
        <v>557</v>
      </c>
      <c r="C1598" t="s">
        <v>558</v>
      </c>
      <c r="D1598" t="s">
        <v>2155</v>
      </c>
      <c r="E1598">
        <v>-1596</v>
      </c>
      <c r="F1598" t="s">
        <v>559</v>
      </c>
      <c r="G1598" t="s">
        <v>560</v>
      </c>
    </row>
    <row r="1599" spans="1:7">
      <c r="A1599" t="s">
        <v>182</v>
      </c>
      <c r="B1599" t="s">
        <v>557</v>
      </c>
      <c r="C1599" t="s">
        <v>558</v>
      </c>
      <c r="D1599" t="s">
        <v>2156</v>
      </c>
      <c r="E1599">
        <v>-1597</v>
      </c>
      <c r="F1599" t="s">
        <v>559</v>
      </c>
      <c r="G1599" t="s">
        <v>560</v>
      </c>
    </row>
    <row r="1600" spans="1:7">
      <c r="A1600" t="s">
        <v>182</v>
      </c>
      <c r="B1600" t="s">
        <v>557</v>
      </c>
      <c r="C1600" t="s">
        <v>558</v>
      </c>
      <c r="D1600" t="s">
        <v>2157</v>
      </c>
      <c r="E1600">
        <v>-1598</v>
      </c>
      <c r="F1600" t="s">
        <v>559</v>
      </c>
      <c r="G1600" t="s">
        <v>560</v>
      </c>
    </row>
    <row r="1601" spans="1:7">
      <c r="A1601" t="s">
        <v>182</v>
      </c>
      <c r="B1601" t="s">
        <v>557</v>
      </c>
      <c r="C1601" t="s">
        <v>558</v>
      </c>
      <c r="D1601" t="s">
        <v>2158</v>
      </c>
      <c r="E1601">
        <v>-1599</v>
      </c>
      <c r="F1601" t="s">
        <v>559</v>
      </c>
      <c r="G1601" t="s">
        <v>560</v>
      </c>
    </row>
    <row r="1602" spans="1:7">
      <c r="A1602" t="s">
        <v>182</v>
      </c>
      <c r="B1602" t="s">
        <v>557</v>
      </c>
      <c r="C1602" t="s">
        <v>558</v>
      </c>
      <c r="D1602" t="s">
        <v>2159</v>
      </c>
      <c r="E1602">
        <v>-1600</v>
      </c>
      <c r="F1602" t="s">
        <v>559</v>
      </c>
      <c r="G1602" t="s">
        <v>560</v>
      </c>
    </row>
    <row r="1603" spans="1:7">
      <c r="A1603" t="s">
        <v>182</v>
      </c>
      <c r="B1603" t="s">
        <v>557</v>
      </c>
      <c r="C1603" t="s">
        <v>558</v>
      </c>
      <c r="D1603" t="s">
        <v>2160</v>
      </c>
      <c r="E1603">
        <v>-1601</v>
      </c>
      <c r="F1603" t="s">
        <v>559</v>
      </c>
      <c r="G1603" t="s">
        <v>560</v>
      </c>
    </row>
    <row r="1604" spans="1:7">
      <c r="A1604" t="s">
        <v>182</v>
      </c>
      <c r="B1604" t="s">
        <v>557</v>
      </c>
      <c r="C1604" t="s">
        <v>558</v>
      </c>
      <c r="D1604" t="s">
        <v>2161</v>
      </c>
      <c r="E1604">
        <v>-1602</v>
      </c>
      <c r="F1604" t="s">
        <v>559</v>
      </c>
      <c r="G1604" t="s">
        <v>560</v>
      </c>
    </row>
    <row r="1605" spans="1:7">
      <c r="A1605" t="s">
        <v>182</v>
      </c>
      <c r="B1605" t="s">
        <v>557</v>
      </c>
      <c r="C1605" t="s">
        <v>558</v>
      </c>
      <c r="D1605" t="s">
        <v>2162</v>
      </c>
      <c r="E1605">
        <v>-1603</v>
      </c>
      <c r="F1605" t="s">
        <v>559</v>
      </c>
      <c r="G1605" t="s">
        <v>560</v>
      </c>
    </row>
    <row r="1606" spans="1:7">
      <c r="A1606" t="s">
        <v>182</v>
      </c>
      <c r="B1606" t="s">
        <v>557</v>
      </c>
      <c r="C1606" t="s">
        <v>558</v>
      </c>
      <c r="D1606" t="s">
        <v>2163</v>
      </c>
      <c r="E1606">
        <v>-1604</v>
      </c>
      <c r="F1606" t="s">
        <v>559</v>
      </c>
      <c r="G1606" t="s">
        <v>560</v>
      </c>
    </row>
    <row r="1607" spans="1:7">
      <c r="A1607" t="s">
        <v>182</v>
      </c>
      <c r="B1607" t="s">
        <v>557</v>
      </c>
      <c r="C1607" t="s">
        <v>558</v>
      </c>
      <c r="D1607" t="s">
        <v>2164</v>
      </c>
      <c r="E1607">
        <v>-1605</v>
      </c>
      <c r="F1607" t="s">
        <v>559</v>
      </c>
      <c r="G1607" t="s">
        <v>560</v>
      </c>
    </row>
    <row r="1608" spans="1:7">
      <c r="A1608" t="s">
        <v>182</v>
      </c>
      <c r="B1608" t="s">
        <v>557</v>
      </c>
      <c r="C1608" t="s">
        <v>558</v>
      </c>
      <c r="D1608" t="s">
        <v>2165</v>
      </c>
      <c r="E1608">
        <v>-1606</v>
      </c>
      <c r="F1608" t="s">
        <v>559</v>
      </c>
      <c r="G1608" t="s">
        <v>560</v>
      </c>
    </row>
    <row r="1609" spans="1:7">
      <c r="A1609" t="s">
        <v>182</v>
      </c>
      <c r="B1609" t="s">
        <v>557</v>
      </c>
      <c r="C1609" t="s">
        <v>558</v>
      </c>
      <c r="D1609" t="s">
        <v>2166</v>
      </c>
      <c r="E1609">
        <v>-1607</v>
      </c>
      <c r="F1609" t="s">
        <v>559</v>
      </c>
      <c r="G1609" t="s">
        <v>560</v>
      </c>
    </row>
    <row r="1610" spans="1:7">
      <c r="A1610" t="s">
        <v>182</v>
      </c>
      <c r="B1610" t="s">
        <v>557</v>
      </c>
      <c r="C1610" t="s">
        <v>558</v>
      </c>
      <c r="D1610" t="s">
        <v>2167</v>
      </c>
      <c r="E1610">
        <v>-1608</v>
      </c>
      <c r="F1610" t="s">
        <v>559</v>
      </c>
      <c r="G1610" t="s">
        <v>560</v>
      </c>
    </row>
    <row r="1611" spans="1:7">
      <c r="A1611" t="s">
        <v>182</v>
      </c>
      <c r="B1611" t="s">
        <v>557</v>
      </c>
      <c r="C1611" t="s">
        <v>558</v>
      </c>
      <c r="D1611" t="s">
        <v>2168</v>
      </c>
      <c r="E1611">
        <v>-1609</v>
      </c>
      <c r="F1611" t="s">
        <v>559</v>
      </c>
      <c r="G1611" t="s">
        <v>560</v>
      </c>
    </row>
    <row r="1612" spans="1:7">
      <c r="A1612" t="s">
        <v>182</v>
      </c>
      <c r="B1612" t="s">
        <v>557</v>
      </c>
      <c r="C1612" t="s">
        <v>558</v>
      </c>
      <c r="D1612" t="s">
        <v>2169</v>
      </c>
      <c r="E1612">
        <v>-1610</v>
      </c>
      <c r="F1612" t="s">
        <v>559</v>
      </c>
      <c r="G1612" t="s">
        <v>560</v>
      </c>
    </row>
    <row r="1613" spans="1:7">
      <c r="A1613" t="s">
        <v>182</v>
      </c>
      <c r="B1613" t="s">
        <v>557</v>
      </c>
      <c r="C1613" t="s">
        <v>558</v>
      </c>
      <c r="D1613" t="s">
        <v>2170</v>
      </c>
      <c r="E1613">
        <v>-1611</v>
      </c>
      <c r="F1613" t="s">
        <v>559</v>
      </c>
      <c r="G1613" t="s">
        <v>560</v>
      </c>
    </row>
    <row r="1614" spans="1:7">
      <c r="A1614" t="s">
        <v>182</v>
      </c>
      <c r="B1614" t="s">
        <v>557</v>
      </c>
      <c r="C1614" t="s">
        <v>558</v>
      </c>
      <c r="D1614" t="s">
        <v>2171</v>
      </c>
      <c r="E1614">
        <v>-1612</v>
      </c>
      <c r="F1614" t="s">
        <v>559</v>
      </c>
      <c r="G1614" t="s">
        <v>560</v>
      </c>
    </row>
    <row r="1615" spans="1:7">
      <c r="A1615" t="s">
        <v>182</v>
      </c>
      <c r="B1615" t="s">
        <v>557</v>
      </c>
      <c r="C1615" t="s">
        <v>558</v>
      </c>
      <c r="D1615" t="s">
        <v>2172</v>
      </c>
      <c r="E1615">
        <v>-1613</v>
      </c>
      <c r="F1615" t="s">
        <v>559</v>
      </c>
      <c r="G1615" t="s">
        <v>560</v>
      </c>
    </row>
    <row r="1616" spans="1:7">
      <c r="A1616" t="s">
        <v>182</v>
      </c>
      <c r="B1616" t="s">
        <v>557</v>
      </c>
      <c r="C1616" t="s">
        <v>558</v>
      </c>
      <c r="D1616" t="s">
        <v>2173</v>
      </c>
      <c r="E1616">
        <v>-1614</v>
      </c>
      <c r="F1616" t="s">
        <v>559</v>
      </c>
      <c r="G1616" t="s">
        <v>560</v>
      </c>
    </row>
    <row r="1617" spans="1:7">
      <c r="A1617" t="s">
        <v>182</v>
      </c>
      <c r="B1617" t="s">
        <v>557</v>
      </c>
      <c r="C1617" t="s">
        <v>558</v>
      </c>
      <c r="D1617" t="s">
        <v>2174</v>
      </c>
      <c r="E1617">
        <v>-1615</v>
      </c>
      <c r="F1617" t="s">
        <v>559</v>
      </c>
      <c r="G1617" t="s">
        <v>560</v>
      </c>
    </row>
    <row r="1618" spans="1:7">
      <c r="A1618" t="s">
        <v>182</v>
      </c>
      <c r="B1618" t="s">
        <v>557</v>
      </c>
      <c r="C1618" t="s">
        <v>558</v>
      </c>
      <c r="D1618" t="s">
        <v>2175</v>
      </c>
      <c r="E1618">
        <v>-1616</v>
      </c>
      <c r="F1618" t="s">
        <v>559</v>
      </c>
      <c r="G1618" t="s">
        <v>560</v>
      </c>
    </row>
    <row r="1619" spans="1:7">
      <c r="A1619" t="s">
        <v>182</v>
      </c>
      <c r="B1619" t="s">
        <v>557</v>
      </c>
      <c r="C1619" t="s">
        <v>558</v>
      </c>
      <c r="D1619" t="s">
        <v>2176</v>
      </c>
      <c r="E1619">
        <v>-1617</v>
      </c>
      <c r="F1619" t="s">
        <v>559</v>
      </c>
      <c r="G1619" t="s">
        <v>560</v>
      </c>
    </row>
    <row r="1620" spans="1:7">
      <c r="A1620" t="s">
        <v>182</v>
      </c>
      <c r="B1620" t="s">
        <v>557</v>
      </c>
      <c r="C1620" t="s">
        <v>558</v>
      </c>
      <c r="D1620" t="s">
        <v>2177</v>
      </c>
      <c r="E1620">
        <v>-1618</v>
      </c>
      <c r="F1620" t="s">
        <v>559</v>
      </c>
      <c r="G1620" t="s">
        <v>560</v>
      </c>
    </row>
    <row r="1621" spans="1:7">
      <c r="A1621" t="s">
        <v>182</v>
      </c>
      <c r="B1621" t="s">
        <v>557</v>
      </c>
      <c r="C1621" t="s">
        <v>558</v>
      </c>
      <c r="D1621" t="s">
        <v>2178</v>
      </c>
      <c r="E1621">
        <v>-1619</v>
      </c>
      <c r="F1621" t="s">
        <v>559</v>
      </c>
      <c r="G1621" t="s">
        <v>560</v>
      </c>
    </row>
    <row r="1622" spans="1:7">
      <c r="A1622" t="s">
        <v>182</v>
      </c>
      <c r="B1622" t="s">
        <v>557</v>
      </c>
      <c r="C1622" t="s">
        <v>558</v>
      </c>
      <c r="D1622" t="s">
        <v>2179</v>
      </c>
      <c r="E1622">
        <v>-1620</v>
      </c>
      <c r="F1622" t="s">
        <v>559</v>
      </c>
      <c r="G1622" t="s">
        <v>560</v>
      </c>
    </row>
    <row r="1623" spans="1:7">
      <c r="A1623" t="s">
        <v>182</v>
      </c>
      <c r="B1623" t="s">
        <v>557</v>
      </c>
      <c r="C1623" t="s">
        <v>558</v>
      </c>
      <c r="D1623" t="s">
        <v>2180</v>
      </c>
      <c r="E1623">
        <v>-1621</v>
      </c>
      <c r="F1623" t="s">
        <v>559</v>
      </c>
      <c r="G1623" t="s">
        <v>560</v>
      </c>
    </row>
    <row r="1624" spans="1:7">
      <c r="A1624" t="s">
        <v>182</v>
      </c>
      <c r="B1624" t="s">
        <v>557</v>
      </c>
      <c r="C1624" t="s">
        <v>558</v>
      </c>
      <c r="D1624" t="s">
        <v>2181</v>
      </c>
      <c r="E1624">
        <v>-1622</v>
      </c>
      <c r="F1624" t="s">
        <v>559</v>
      </c>
      <c r="G1624" t="s">
        <v>560</v>
      </c>
    </row>
    <row r="1625" spans="1:7">
      <c r="A1625" t="s">
        <v>182</v>
      </c>
      <c r="B1625" t="s">
        <v>557</v>
      </c>
      <c r="C1625" t="s">
        <v>558</v>
      </c>
      <c r="D1625" t="s">
        <v>2182</v>
      </c>
      <c r="E1625">
        <v>-1623</v>
      </c>
      <c r="F1625" t="s">
        <v>559</v>
      </c>
      <c r="G1625" t="s">
        <v>560</v>
      </c>
    </row>
    <row r="1626" spans="1:7">
      <c r="A1626" t="s">
        <v>182</v>
      </c>
      <c r="B1626" t="s">
        <v>557</v>
      </c>
      <c r="C1626" t="s">
        <v>558</v>
      </c>
      <c r="D1626" t="s">
        <v>2183</v>
      </c>
      <c r="E1626">
        <v>-1624</v>
      </c>
      <c r="F1626" t="s">
        <v>559</v>
      </c>
      <c r="G1626" t="s">
        <v>560</v>
      </c>
    </row>
    <row r="1627" spans="1:7">
      <c r="A1627" t="s">
        <v>182</v>
      </c>
      <c r="B1627" t="s">
        <v>557</v>
      </c>
      <c r="C1627" t="s">
        <v>558</v>
      </c>
      <c r="D1627" t="s">
        <v>2184</v>
      </c>
      <c r="E1627">
        <v>-1625</v>
      </c>
      <c r="F1627" t="s">
        <v>559</v>
      </c>
      <c r="G1627" t="s">
        <v>560</v>
      </c>
    </row>
    <row r="1628" spans="1:7">
      <c r="A1628" t="s">
        <v>182</v>
      </c>
      <c r="B1628" t="s">
        <v>557</v>
      </c>
      <c r="C1628" t="s">
        <v>558</v>
      </c>
      <c r="D1628" t="s">
        <v>2185</v>
      </c>
      <c r="E1628">
        <v>-1626</v>
      </c>
      <c r="F1628" t="s">
        <v>559</v>
      </c>
      <c r="G1628" t="s">
        <v>560</v>
      </c>
    </row>
    <row r="1629" spans="1:7">
      <c r="A1629" t="s">
        <v>182</v>
      </c>
      <c r="B1629" t="s">
        <v>557</v>
      </c>
      <c r="C1629" t="s">
        <v>558</v>
      </c>
      <c r="D1629" t="s">
        <v>2186</v>
      </c>
      <c r="E1629">
        <v>-1627</v>
      </c>
      <c r="F1629" t="s">
        <v>559</v>
      </c>
      <c r="G1629" t="s">
        <v>560</v>
      </c>
    </row>
    <row r="1630" spans="1:7">
      <c r="A1630" t="s">
        <v>182</v>
      </c>
      <c r="B1630" t="s">
        <v>557</v>
      </c>
      <c r="C1630" t="s">
        <v>558</v>
      </c>
      <c r="D1630" t="s">
        <v>2187</v>
      </c>
      <c r="E1630">
        <v>-1628</v>
      </c>
      <c r="F1630" t="s">
        <v>559</v>
      </c>
      <c r="G1630" t="s">
        <v>560</v>
      </c>
    </row>
    <row r="1631" spans="1:7">
      <c r="A1631" t="s">
        <v>182</v>
      </c>
      <c r="B1631" t="s">
        <v>557</v>
      </c>
      <c r="C1631" t="s">
        <v>558</v>
      </c>
      <c r="D1631" t="s">
        <v>2188</v>
      </c>
      <c r="E1631">
        <v>-1629</v>
      </c>
      <c r="F1631" t="s">
        <v>559</v>
      </c>
      <c r="G1631" t="s">
        <v>560</v>
      </c>
    </row>
    <row r="1632" spans="1:7">
      <c r="A1632" t="s">
        <v>182</v>
      </c>
      <c r="B1632" t="s">
        <v>557</v>
      </c>
      <c r="C1632" t="s">
        <v>558</v>
      </c>
      <c r="D1632" t="s">
        <v>2189</v>
      </c>
      <c r="E1632">
        <v>-1630</v>
      </c>
      <c r="F1632" t="s">
        <v>559</v>
      </c>
      <c r="G1632" t="s">
        <v>560</v>
      </c>
    </row>
    <row r="1633" spans="1:7">
      <c r="A1633" t="s">
        <v>182</v>
      </c>
      <c r="B1633" t="s">
        <v>557</v>
      </c>
      <c r="C1633" t="s">
        <v>558</v>
      </c>
      <c r="D1633" t="s">
        <v>2190</v>
      </c>
      <c r="E1633">
        <v>-1631</v>
      </c>
      <c r="F1633" t="s">
        <v>559</v>
      </c>
      <c r="G1633" t="s">
        <v>560</v>
      </c>
    </row>
    <row r="1634" spans="1:7">
      <c r="A1634" t="s">
        <v>182</v>
      </c>
      <c r="B1634" t="s">
        <v>557</v>
      </c>
      <c r="C1634" t="s">
        <v>558</v>
      </c>
      <c r="D1634" t="s">
        <v>2191</v>
      </c>
      <c r="E1634">
        <v>-1632</v>
      </c>
      <c r="F1634" t="s">
        <v>559</v>
      </c>
      <c r="G1634" t="s">
        <v>560</v>
      </c>
    </row>
    <row r="1635" spans="1:7">
      <c r="A1635" t="s">
        <v>182</v>
      </c>
      <c r="B1635" t="s">
        <v>557</v>
      </c>
      <c r="C1635" t="s">
        <v>558</v>
      </c>
      <c r="D1635" t="s">
        <v>2192</v>
      </c>
      <c r="E1635">
        <v>-1633</v>
      </c>
      <c r="F1635" t="s">
        <v>559</v>
      </c>
      <c r="G1635" t="s">
        <v>560</v>
      </c>
    </row>
    <row r="1636" spans="1:7">
      <c r="A1636" t="s">
        <v>182</v>
      </c>
      <c r="B1636" t="s">
        <v>557</v>
      </c>
      <c r="C1636" t="s">
        <v>558</v>
      </c>
      <c r="D1636" t="s">
        <v>2193</v>
      </c>
      <c r="E1636">
        <v>-1634</v>
      </c>
      <c r="F1636" t="s">
        <v>559</v>
      </c>
      <c r="G1636" t="s">
        <v>560</v>
      </c>
    </row>
    <row r="1637" spans="1:7">
      <c r="A1637" t="s">
        <v>182</v>
      </c>
      <c r="B1637" t="s">
        <v>557</v>
      </c>
      <c r="C1637" t="s">
        <v>558</v>
      </c>
      <c r="D1637" t="s">
        <v>2194</v>
      </c>
      <c r="E1637">
        <v>-1635</v>
      </c>
      <c r="F1637" t="s">
        <v>559</v>
      </c>
      <c r="G1637" t="s">
        <v>560</v>
      </c>
    </row>
    <row r="1638" spans="1:7">
      <c r="A1638" t="s">
        <v>182</v>
      </c>
      <c r="B1638" t="s">
        <v>557</v>
      </c>
      <c r="C1638" t="s">
        <v>558</v>
      </c>
      <c r="D1638" t="s">
        <v>2195</v>
      </c>
      <c r="E1638">
        <v>-1636</v>
      </c>
      <c r="F1638" t="s">
        <v>559</v>
      </c>
      <c r="G1638" t="s">
        <v>560</v>
      </c>
    </row>
    <row r="1639" spans="1:7">
      <c r="A1639" t="s">
        <v>182</v>
      </c>
      <c r="B1639" t="s">
        <v>557</v>
      </c>
      <c r="C1639" t="s">
        <v>558</v>
      </c>
      <c r="D1639" t="s">
        <v>2196</v>
      </c>
      <c r="E1639">
        <v>-1637</v>
      </c>
      <c r="F1639" t="s">
        <v>559</v>
      </c>
      <c r="G1639" t="s">
        <v>560</v>
      </c>
    </row>
    <row r="1640" spans="1:7">
      <c r="A1640" t="s">
        <v>182</v>
      </c>
      <c r="B1640" t="s">
        <v>557</v>
      </c>
      <c r="C1640" t="s">
        <v>558</v>
      </c>
      <c r="D1640" t="s">
        <v>2197</v>
      </c>
      <c r="E1640">
        <v>-1638</v>
      </c>
      <c r="F1640" t="s">
        <v>559</v>
      </c>
      <c r="G1640" t="s">
        <v>560</v>
      </c>
    </row>
    <row r="1641" spans="1:7">
      <c r="A1641" t="s">
        <v>182</v>
      </c>
      <c r="B1641" t="s">
        <v>557</v>
      </c>
      <c r="C1641" t="s">
        <v>558</v>
      </c>
      <c r="D1641" t="s">
        <v>2198</v>
      </c>
      <c r="E1641">
        <v>-1639</v>
      </c>
      <c r="F1641" t="s">
        <v>559</v>
      </c>
      <c r="G1641" t="s">
        <v>560</v>
      </c>
    </row>
    <row r="1642" spans="1:7">
      <c r="A1642" t="s">
        <v>182</v>
      </c>
      <c r="B1642" t="s">
        <v>557</v>
      </c>
      <c r="C1642" t="s">
        <v>558</v>
      </c>
      <c r="D1642" t="s">
        <v>2199</v>
      </c>
      <c r="E1642">
        <v>-1640</v>
      </c>
      <c r="F1642" t="s">
        <v>559</v>
      </c>
      <c r="G1642" t="s">
        <v>560</v>
      </c>
    </row>
    <row r="1643" spans="1:7">
      <c r="A1643" t="s">
        <v>182</v>
      </c>
      <c r="B1643" t="s">
        <v>557</v>
      </c>
      <c r="C1643" t="s">
        <v>558</v>
      </c>
      <c r="D1643" t="s">
        <v>2200</v>
      </c>
      <c r="E1643">
        <v>-1641</v>
      </c>
      <c r="F1643" t="s">
        <v>559</v>
      </c>
      <c r="G1643" t="s">
        <v>560</v>
      </c>
    </row>
    <row r="1644" spans="1:7">
      <c r="A1644" t="s">
        <v>182</v>
      </c>
      <c r="B1644" t="s">
        <v>557</v>
      </c>
      <c r="C1644" t="s">
        <v>558</v>
      </c>
      <c r="D1644" t="s">
        <v>2201</v>
      </c>
      <c r="E1644">
        <v>-1642</v>
      </c>
      <c r="F1644" t="s">
        <v>559</v>
      </c>
      <c r="G1644" t="s">
        <v>560</v>
      </c>
    </row>
    <row r="1645" spans="1:7">
      <c r="A1645" t="s">
        <v>182</v>
      </c>
      <c r="B1645" t="s">
        <v>557</v>
      </c>
      <c r="C1645" t="s">
        <v>558</v>
      </c>
      <c r="D1645" t="s">
        <v>2202</v>
      </c>
      <c r="E1645">
        <v>-1643</v>
      </c>
      <c r="F1645" t="s">
        <v>559</v>
      </c>
      <c r="G1645" t="s">
        <v>560</v>
      </c>
    </row>
    <row r="1646" spans="1:7">
      <c r="A1646" t="s">
        <v>182</v>
      </c>
      <c r="B1646" t="s">
        <v>557</v>
      </c>
      <c r="C1646" t="s">
        <v>558</v>
      </c>
      <c r="D1646" t="s">
        <v>2203</v>
      </c>
      <c r="E1646">
        <v>-1644</v>
      </c>
      <c r="F1646" t="s">
        <v>559</v>
      </c>
      <c r="G1646" t="s">
        <v>560</v>
      </c>
    </row>
    <row r="1647" spans="1:7">
      <c r="A1647" t="s">
        <v>182</v>
      </c>
      <c r="B1647" t="s">
        <v>557</v>
      </c>
      <c r="C1647" t="s">
        <v>558</v>
      </c>
      <c r="D1647" t="s">
        <v>2204</v>
      </c>
      <c r="E1647">
        <v>-1645</v>
      </c>
      <c r="F1647" t="s">
        <v>559</v>
      </c>
      <c r="G1647" t="s">
        <v>560</v>
      </c>
    </row>
    <row r="1648" spans="1:7">
      <c r="A1648" t="s">
        <v>182</v>
      </c>
      <c r="B1648" t="s">
        <v>557</v>
      </c>
      <c r="C1648" t="s">
        <v>558</v>
      </c>
      <c r="D1648" t="s">
        <v>2205</v>
      </c>
      <c r="E1648">
        <v>-1646</v>
      </c>
      <c r="F1648" t="s">
        <v>559</v>
      </c>
      <c r="G1648" t="s">
        <v>560</v>
      </c>
    </row>
    <row r="1649" spans="1:7">
      <c r="A1649" t="s">
        <v>182</v>
      </c>
      <c r="B1649" t="s">
        <v>557</v>
      </c>
      <c r="C1649" t="s">
        <v>558</v>
      </c>
      <c r="D1649" t="s">
        <v>2206</v>
      </c>
      <c r="E1649">
        <v>-1647</v>
      </c>
      <c r="F1649" t="s">
        <v>559</v>
      </c>
      <c r="G1649" t="s">
        <v>560</v>
      </c>
    </row>
    <row r="1650" spans="1:7">
      <c r="A1650" t="s">
        <v>182</v>
      </c>
      <c r="B1650" t="s">
        <v>557</v>
      </c>
      <c r="C1650" t="s">
        <v>558</v>
      </c>
      <c r="D1650" t="s">
        <v>2207</v>
      </c>
      <c r="E1650">
        <v>-1648</v>
      </c>
      <c r="F1650" t="s">
        <v>559</v>
      </c>
      <c r="G1650" t="s">
        <v>560</v>
      </c>
    </row>
    <row r="1651" spans="1:7">
      <c r="A1651" t="s">
        <v>182</v>
      </c>
      <c r="B1651" t="s">
        <v>557</v>
      </c>
      <c r="C1651" t="s">
        <v>558</v>
      </c>
      <c r="D1651" t="s">
        <v>2208</v>
      </c>
      <c r="E1651">
        <v>-1649</v>
      </c>
      <c r="F1651" t="s">
        <v>559</v>
      </c>
      <c r="G1651" t="s">
        <v>560</v>
      </c>
    </row>
    <row r="1652" spans="1:7">
      <c r="A1652" t="s">
        <v>182</v>
      </c>
      <c r="B1652" t="s">
        <v>557</v>
      </c>
      <c r="C1652" t="s">
        <v>558</v>
      </c>
      <c r="D1652" t="s">
        <v>2209</v>
      </c>
      <c r="E1652">
        <v>-1650</v>
      </c>
      <c r="F1652" t="s">
        <v>559</v>
      </c>
      <c r="G1652" t="s">
        <v>560</v>
      </c>
    </row>
    <row r="1653" spans="1:7">
      <c r="A1653" t="s">
        <v>182</v>
      </c>
      <c r="B1653" t="s">
        <v>557</v>
      </c>
      <c r="C1653" t="s">
        <v>558</v>
      </c>
      <c r="D1653" t="s">
        <v>2210</v>
      </c>
      <c r="E1653">
        <v>-1651</v>
      </c>
      <c r="F1653" t="s">
        <v>559</v>
      </c>
      <c r="G1653" t="s">
        <v>560</v>
      </c>
    </row>
    <row r="1654" spans="1:7">
      <c r="A1654" t="s">
        <v>182</v>
      </c>
      <c r="B1654" t="s">
        <v>557</v>
      </c>
      <c r="C1654" t="s">
        <v>558</v>
      </c>
      <c r="D1654" t="s">
        <v>2211</v>
      </c>
      <c r="E1654">
        <v>-1652</v>
      </c>
      <c r="F1654" t="s">
        <v>559</v>
      </c>
      <c r="G1654" t="s">
        <v>560</v>
      </c>
    </row>
    <row r="1655" spans="1:7">
      <c r="A1655" t="s">
        <v>182</v>
      </c>
      <c r="B1655" t="s">
        <v>557</v>
      </c>
      <c r="C1655" t="s">
        <v>558</v>
      </c>
      <c r="D1655" t="s">
        <v>2212</v>
      </c>
      <c r="E1655">
        <v>-1653</v>
      </c>
      <c r="F1655" t="s">
        <v>559</v>
      </c>
      <c r="G1655" t="s">
        <v>560</v>
      </c>
    </row>
    <row r="1656" spans="1:7">
      <c r="A1656" t="s">
        <v>182</v>
      </c>
      <c r="B1656" t="s">
        <v>557</v>
      </c>
      <c r="C1656" t="s">
        <v>558</v>
      </c>
      <c r="D1656" t="s">
        <v>2213</v>
      </c>
      <c r="E1656">
        <v>-1654</v>
      </c>
      <c r="F1656" t="s">
        <v>559</v>
      </c>
      <c r="G1656" t="s">
        <v>560</v>
      </c>
    </row>
    <row r="1657" spans="1:7">
      <c r="A1657" t="s">
        <v>182</v>
      </c>
      <c r="B1657" t="s">
        <v>557</v>
      </c>
      <c r="C1657" t="s">
        <v>558</v>
      </c>
      <c r="D1657" t="s">
        <v>2214</v>
      </c>
      <c r="E1657">
        <v>-1655</v>
      </c>
      <c r="F1657" t="s">
        <v>559</v>
      </c>
      <c r="G1657" t="s">
        <v>560</v>
      </c>
    </row>
    <row r="1658" spans="1:7">
      <c r="A1658" t="s">
        <v>182</v>
      </c>
      <c r="B1658" t="s">
        <v>557</v>
      </c>
      <c r="C1658" t="s">
        <v>558</v>
      </c>
      <c r="D1658" t="s">
        <v>2215</v>
      </c>
      <c r="E1658">
        <v>-1656</v>
      </c>
      <c r="F1658" t="s">
        <v>559</v>
      </c>
      <c r="G1658" t="s">
        <v>560</v>
      </c>
    </row>
    <row r="1659" spans="1:7">
      <c r="A1659" t="s">
        <v>182</v>
      </c>
      <c r="B1659" t="s">
        <v>557</v>
      </c>
      <c r="C1659" t="s">
        <v>558</v>
      </c>
      <c r="D1659" t="s">
        <v>2216</v>
      </c>
      <c r="E1659">
        <v>-1657</v>
      </c>
      <c r="F1659" t="s">
        <v>559</v>
      </c>
      <c r="G1659" t="s">
        <v>560</v>
      </c>
    </row>
    <row r="1660" spans="1:7">
      <c r="A1660" t="s">
        <v>182</v>
      </c>
      <c r="B1660" t="s">
        <v>557</v>
      </c>
      <c r="C1660" t="s">
        <v>558</v>
      </c>
      <c r="D1660" t="s">
        <v>2217</v>
      </c>
      <c r="E1660">
        <v>-1658</v>
      </c>
      <c r="F1660" t="s">
        <v>559</v>
      </c>
      <c r="G1660" t="s">
        <v>560</v>
      </c>
    </row>
    <row r="1661" spans="1:7">
      <c r="A1661" t="s">
        <v>182</v>
      </c>
      <c r="B1661" t="s">
        <v>557</v>
      </c>
      <c r="C1661" t="s">
        <v>558</v>
      </c>
      <c r="D1661" t="s">
        <v>2218</v>
      </c>
      <c r="E1661">
        <v>-1659</v>
      </c>
      <c r="F1661" t="s">
        <v>559</v>
      </c>
      <c r="G1661" t="s">
        <v>560</v>
      </c>
    </row>
    <row r="1662" spans="1:7">
      <c r="A1662" t="s">
        <v>182</v>
      </c>
      <c r="B1662" t="s">
        <v>557</v>
      </c>
      <c r="C1662" t="s">
        <v>558</v>
      </c>
      <c r="D1662" t="s">
        <v>2219</v>
      </c>
      <c r="E1662">
        <v>-1660</v>
      </c>
      <c r="F1662" t="s">
        <v>559</v>
      </c>
      <c r="G1662" t="s">
        <v>560</v>
      </c>
    </row>
    <row r="1663" spans="1:7">
      <c r="A1663" t="s">
        <v>182</v>
      </c>
      <c r="B1663" t="s">
        <v>557</v>
      </c>
      <c r="C1663" t="s">
        <v>558</v>
      </c>
      <c r="D1663" t="s">
        <v>2220</v>
      </c>
      <c r="E1663">
        <v>-1661</v>
      </c>
      <c r="F1663" t="s">
        <v>559</v>
      </c>
      <c r="G1663" t="s">
        <v>560</v>
      </c>
    </row>
    <row r="1664" spans="1:7">
      <c r="A1664" t="s">
        <v>182</v>
      </c>
      <c r="B1664" t="s">
        <v>557</v>
      </c>
      <c r="C1664" t="s">
        <v>558</v>
      </c>
      <c r="D1664" t="s">
        <v>2221</v>
      </c>
      <c r="E1664">
        <v>-1662</v>
      </c>
      <c r="F1664" t="s">
        <v>559</v>
      </c>
      <c r="G1664" t="s">
        <v>560</v>
      </c>
    </row>
    <row r="1665" spans="1:7">
      <c r="A1665" t="s">
        <v>182</v>
      </c>
      <c r="B1665" t="s">
        <v>557</v>
      </c>
      <c r="C1665" t="s">
        <v>558</v>
      </c>
      <c r="D1665" t="s">
        <v>2222</v>
      </c>
      <c r="E1665">
        <v>-1663</v>
      </c>
      <c r="F1665" t="s">
        <v>559</v>
      </c>
      <c r="G1665" t="s">
        <v>560</v>
      </c>
    </row>
    <row r="1666" spans="1:7">
      <c r="A1666" t="s">
        <v>182</v>
      </c>
      <c r="B1666" t="s">
        <v>557</v>
      </c>
      <c r="C1666" t="s">
        <v>558</v>
      </c>
      <c r="D1666" t="s">
        <v>2223</v>
      </c>
      <c r="E1666">
        <v>-1664</v>
      </c>
      <c r="F1666" t="s">
        <v>559</v>
      </c>
      <c r="G1666" t="s">
        <v>560</v>
      </c>
    </row>
    <row r="1667" spans="1:7">
      <c r="A1667" t="s">
        <v>182</v>
      </c>
      <c r="B1667" t="s">
        <v>557</v>
      </c>
      <c r="C1667" t="s">
        <v>558</v>
      </c>
      <c r="D1667" t="s">
        <v>2224</v>
      </c>
      <c r="E1667">
        <v>-1665</v>
      </c>
      <c r="F1667" t="s">
        <v>559</v>
      </c>
      <c r="G1667" t="s">
        <v>560</v>
      </c>
    </row>
    <row r="1668" spans="1:7">
      <c r="A1668" t="s">
        <v>182</v>
      </c>
      <c r="B1668" t="s">
        <v>557</v>
      </c>
      <c r="C1668" t="s">
        <v>558</v>
      </c>
      <c r="D1668" t="s">
        <v>2225</v>
      </c>
      <c r="E1668">
        <v>-1666</v>
      </c>
      <c r="F1668" t="s">
        <v>559</v>
      </c>
      <c r="G1668" t="s">
        <v>560</v>
      </c>
    </row>
    <row r="1669" spans="1:7">
      <c r="A1669" t="s">
        <v>182</v>
      </c>
      <c r="B1669" t="s">
        <v>557</v>
      </c>
      <c r="C1669" t="s">
        <v>558</v>
      </c>
      <c r="D1669" t="s">
        <v>2226</v>
      </c>
      <c r="E1669">
        <v>-1667</v>
      </c>
      <c r="F1669" t="s">
        <v>559</v>
      </c>
      <c r="G1669" t="s">
        <v>560</v>
      </c>
    </row>
    <row r="1670" spans="1:7">
      <c r="A1670" t="s">
        <v>182</v>
      </c>
      <c r="B1670" t="s">
        <v>557</v>
      </c>
      <c r="C1670" t="s">
        <v>558</v>
      </c>
      <c r="D1670" t="s">
        <v>2227</v>
      </c>
      <c r="E1670">
        <v>-1668</v>
      </c>
      <c r="F1670" t="s">
        <v>559</v>
      </c>
      <c r="G1670" t="s">
        <v>560</v>
      </c>
    </row>
    <row r="1671" spans="1:7">
      <c r="A1671" t="s">
        <v>182</v>
      </c>
      <c r="B1671" t="s">
        <v>557</v>
      </c>
      <c r="C1671" t="s">
        <v>558</v>
      </c>
      <c r="D1671" t="s">
        <v>2228</v>
      </c>
      <c r="E1671">
        <v>-1669</v>
      </c>
      <c r="F1671" t="s">
        <v>559</v>
      </c>
      <c r="G1671" t="s">
        <v>560</v>
      </c>
    </row>
    <row r="1672" spans="1:7">
      <c r="A1672" t="s">
        <v>182</v>
      </c>
      <c r="B1672" t="s">
        <v>557</v>
      </c>
      <c r="C1672" t="s">
        <v>558</v>
      </c>
      <c r="D1672" t="s">
        <v>2229</v>
      </c>
      <c r="E1672">
        <v>-1670</v>
      </c>
      <c r="F1672" t="s">
        <v>559</v>
      </c>
      <c r="G1672" t="s">
        <v>560</v>
      </c>
    </row>
    <row r="1673" spans="1:7">
      <c r="A1673" t="s">
        <v>182</v>
      </c>
      <c r="B1673" t="s">
        <v>557</v>
      </c>
      <c r="C1673" t="s">
        <v>558</v>
      </c>
      <c r="D1673" t="s">
        <v>2230</v>
      </c>
      <c r="E1673">
        <v>-1671</v>
      </c>
      <c r="F1673" t="s">
        <v>559</v>
      </c>
      <c r="G1673" t="s">
        <v>560</v>
      </c>
    </row>
    <row r="1674" spans="1:7">
      <c r="A1674" t="s">
        <v>182</v>
      </c>
      <c r="B1674" t="s">
        <v>557</v>
      </c>
      <c r="C1674" t="s">
        <v>558</v>
      </c>
      <c r="D1674" t="s">
        <v>2231</v>
      </c>
      <c r="E1674">
        <v>-1672</v>
      </c>
      <c r="F1674" t="s">
        <v>559</v>
      </c>
      <c r="G1674" t="s">
        <v>560</v>
      </c>
    </row>
    <row r="1675" spans="1:7">
      <c r="A1675" t="s">
        <v>182</v>
      </c>
      <c r="B1675" t="s">
        <v>557</v>
      </c>
      <c r="C1675" t="s">
        <v>558</v>
      </c>
      <c r="D1675" t="s">
        <v>2232</v>
      </c>
      <c r="E1675">
        <v>-1673</v>
      </c>
      <c r="F1675" t="s">
        <v>559</v>
      </c>
      <c r="G1675" t="s">
        <v>560</v>
      </c>
    </row>
    <row r="1676" spans="1:7">
      <c r="A1676" t="s">
        <v>182</v>
      </c>
      <c r="B1676" t="s">
        <v>557</v>
      </c>
      <c r="C1676" t="s">
        <v>558</v>
      </c>
      <c r="D1676" t="s">
        <v>2233</v>
      </c>
      <c r="E1676">
        <v>-1674</v>
      </c>
      <c r="F1676" t="s">
        <v>559</v>
      </c>
      <c r="G1676" t="s">
        <v>560</v>
      </c>
    </row>
    <row r="1677" spans="1:7">
      <c r="A1677" t="s">
        <v>182</v>
      </c>
      <c r="B1677" t="s">
        <v>557</v>
      </c>
      <c r="C1677" t="s">
        <v>558</v>
      </c>
      <c r="D1677" t="s">
        <v>2234</v>
      </c>
      <c r="E1677">
        <v>-1675</v>
      </c>
      <c r="F1677" t="s">
        <v>559</v>
      </c>
      <c r="G1677" t="s">
        <v>560</v>
      </c>
    </row>
    <row r="1678" spans="1:7">
      <c r="A1678" t="s">
        <v>182</v>
      </c>
      <c r="B1678" t="s">
        <v>557</v>
      </c>
      <c r="C1678" t="s">
        <v>558</v>
      </c>
      <c r="D1678" t="s">
        <v>2235</v>
      </c>
      <c r="E1678">
        <v>-1676</v>
      </c>
      <c r="F1678" t="s">
        <v>559</v>
      </c>
      <c r="G1678" t="s">
        <v>560</v>
      </c>
    </row>
    <row r="1679" spans="1:7">
      <c r="A1679" t="s">
        <v>182</v>
      </c>
      <c r="B1679" t="s">
        <v>557</v>
      </c>
      <c r="C1679" t="s">
        <v>558</v>
      </c>
      <c r="D1679" t="s">
        <v>2236</v>
      </c>
      <c r="E1679">
        <v>-1677</v>
      </c>
      <c r="F1679" t="s">
        <v>559</v>
      </c>
      <c r="G1679" t="s">
        <v>560</v>
      </c>
    </row>
    <row r="1680" spans="1:7">
      <c r="A1680" t="s">
        <v>182</v>
      </c>
      <c r="B1680" t="s">
        <v>557</v>
      </c>
      <c r="C1680" t="s">
        <v>558</v>
      </c>
      <c r="D1680" t="s">
        <v>2237</v>
      </c>
      <c r="E1680">
        <v>-1678</v>
      </c>
      <c r="F1680" t="s">
        <v>559</v>
      </c>
      <c r="G1680" t="s">
        <v>560</v>
      </c>
    </row>
    <row r="1681" spans="1:7">
      <c r="A1681" t="s">
        <v>182</v>
      </c>
      <c r="B1681" t="s">
        <v>557</v>
      </c>
      <c r="C1681" t="s">
        <v>558</v>
      </c>
      <c r="D1681" t="s">
        <v>2238</v>
      </c>
      <c r="E1681">
        <v>-1679</v>
      </c>
      <c r="F1681" t="s">
        <v>559</v>
      </c>
      <c r="G1681" t="s">
        <v>560</v>
      </c>
    </row>
    <row r="1682" spans="1:7">
      <c r="A1682" t="s">
        <v>182</v>
      </c>
      <c r="B1682" t="s">
        <v>557</v>
      </c>
      <c r="C1682" t="s">
        <v>558</v>
      </c>
      <c r="D1682" t="s">
        <v>2239</v>
      </c>
      <c r="E1682">
        <v>-1680</v>
      </c>
      <c r="F1682" t="s">
        <v>559</v>
      </c>
      <c r="G1682" t="s">
        <v>560</v>
      </c>
    </row>
    <row r="1683" spans="1:7">
      <c r="A1683" t="s">
        <v>182</v>
      </c>
      <c r="B1683" t="s">
        <v>557</v>
      </c>
      <c r="C1683" t="s">
        <v>558</v>
      </c>
      <c r="D1683" t="s">
        <v>2240</v>
      </c>
      <c r="E1683">
        <v>-1681</v>
      </c>
      <c r="F1683" t="s">
        <v>559</v>
      </c>
      <c r="G1683" t="s">
        <v>560</v>
      </c>
    </row>
    <row r="1684" spans="1:7">
      <c r="A1684" t="s">
        <v>182</v>
      </c>
      <c r="B1684" t="s">
        <v>557</v>
      </c>
      <c r="C1684" t="s">
        <v>558</v>
      </c>
      <c r="D1684" t="s">
        <v>2241</v>
      </c>
      <c r="E1684">
        <v>-1682</v>
      </c>
      <c r="F1684" t="s">
        <v>559</v>
      </c>
      <c r="G1684" t="s">
        <v>560</v>
      </c>
    </row>
    <row r="1685" spans="1:7">
      <c r="A1685" t="s">
        <v>182</v>
      </c>
      <c r="B1685" t="s">
        <v>557</v>
      </c>
      <c r="C1685" t="s">
        <v>558</v>
      </c>
      <c r="D1685" t="s">
        <v>2242</v>
      </c>
      <c r="E1685">
        <v>-1683</v>
      </c>
      <c r="F1685" t="s">
        <v>559</v>
      </c>
      <c r="G1685" t="s">
        <v>560</v>
      </c>
    </row>
    <row r="1686" spans="1:7">
      <c r="A1686" t="s">
        <v>182</v>
      </c>
      <c r="B1686" t="s">
        <v>557</v>
      </c>
      <c r="C1686" t="s">
        <v>558</v>
      </c>
      <c r="D1686" t="s">
        <v>2243</v>
      </c>
      <c r="E1686">
        <v>-1684</v>
      </c>
      <c r="F1686" t="s">
        <v>559</v>
      </c>
      <c r="G1686" t="s">
        <v>560</v>
      </c>
    </row>
    <row r="1687" spans="1:7">
      <c r="A1687" t="s">
        <v>182</v>
      </c>
      <c r="B1687" t="s">
        <v>557</v>
      </c>
      <c r="C1687" t="s">
        <v>558</v>
      </c>
      <c r="D1687" t="s">
        <v>2244</v>
      </c>
      <c r="E1687">
        <v>-1685</v>
      </c>
      <c r="F1687" t="s">
        <v>559</v>
      </c>
      <c r="G1687" t="s">
        <v>560</v>
      </c>
    </row>
    <row r="1688" spans="1:7">
      <c r="A1688" t="s">
        <v>182</v>
      </c>
      <c r="B1688" t="s">
        <v>557</v>
      </c>
      <c r="C1688" t="s">
        <v>558</v>
      </c>
      <c r="D1688" t="s">
        <v>2245</v>
      </c>
      <c r="E1688">
        <v>-1686</v>
      </c>
      <c r="F1688" t="s">
        <v>559</v>
      </c>
      <c r="G1688" t="s">
        <v>560</v>
      </c>
    </row>
    <row r="1689" spans="1:7">
      <c r="A1689" t="s">
        <v>182</v>
      </c>
      <c r="B1689" t="s">
        <v>557</v>
      </c>
      <c r="C1689" t="s">
        <v>558</v>
      </c>
      <c r="D1689" t="s">
        <v>2246</v>
      </c>
      <c r="E1689">
        <v>-1687</v>
      </c>
      <c r="F1689" t="s">
        <v>559</v>
      </c>
      <c r="G1689" t="s">
        <v>560</v>
      </c>
    </row>
    <row r="1690" spans="1:7">
      <c r="A1690" t="s">
        <v>182</v>
      </c>
      <c r="B1690" t="s">
        <v>557</v>
      </c>
      <c r="C1690" t="s">
        <v>558</v>
      </c>
      <c r="D1690" t="s">
        <v>2247</v>
      </c>
      <c r="E1690">
        <v>-1688</v>
      </c>
      <c r="F1690" t="s">
        <v>559</v>
      </c>
      <c r="G1690" t="s">
        <v>560</v>
      </c>
    </row>
    <row r="1691" spans="1:7">
      <c r="A1691" t="s">
        <v>182</v>
      </c>
      <c r="B1691" t="s">
        <v>557</v>
      </c>
      <c r="C1691" t="s">
        <v>558</v>
      </c>
      <c r="D1691" t="s">
        <v>2248</v>
      </c>
      <c r="E1691">
        <v>-1689</v>
      </c>
      <c r="F1691" t="s">
        <v>559</v>
      </c>
      <c r="G1691" t="s">
        <v>560</v>
      </c>
    </row>
    <row r="1692" spans="1:7">
      <c r="A1692" t="s">
        <v>182</v>
      </c>
      <c r="B1692" t="s">
        <v>557</v>
      </c>
      <c r="C1692" t="s">
        <v>558</v>
      </c>
      <c r="D1692" t="s">
        <v>2249</v>
      </c>
      <c r="E1692">
        <v>-1690</v>
      </c>
      <c r="F1692" t="s">
        <v>559</v>
      </c>
      <c r="G1692" t="s">
        <v>560</v>
      </c>
    </row>
    <row r="1693" spans="1:7">
      <c r="A1693" t="s">
        <v>182</v>
      </c>
      <c r="B1693" t="s">
        <v>557</v>
      </c>
      <c r="C1693" t="s">
        <v>558</v>
      </c>
      <c r="D1693" t="s">
        <v>2250</v>
      </c>
      <c r="E1693">
        <v>-1691</v>
      </c>
      <c r="F1693" t="s">
        <v>559</v>
      </c>
      <c r="G1693" t="s">
        <v>560</v>
      </c>
    </row>
    <row r="1694" spans="1:7">
      <c r="A1694" t="s">
        <v>182</v>
      </c>
      <c r="B1694" t="s">
        <v>557</v>
      </c>
      <c r="C1694" t="s">
        <v>558</v>
      </c>
      <c r="D1694" t="s">
        <v>2251</v>
      </c>
      <c r="E1694">
        <v>-1692</v>
      </c>
      <c r="F1694" t="s">
        <v>559</v>
      </c>
      <c r="G1694" t="s">
        <v>560</v>
      </c>
    </row>
    <row r="1695" spans="1:7">
      <c r="A1695" t="s">
        <v>182</v>
      </c>
      <c r="B1695" t="s">
        <v>557</v>
      </c>
      <c r="C1695" t="s">
        <v>558</v>
      </c>
      <c r="D1695" t="s">
        <v>2252</v>
      </c>
      <c r="E1695">
        <v>-1693</v>
      </c>
      <c r="F1695" t="s">
        <v>559</v>
      </c>
      <c r="G1695" t="s">
        <v>560</v>
      </c>
    </row>
    <row r="1696" spans="1:7">
      <c r="A1696" t="s">
        <v>182</v>
      </c>
      <c r="B1696" t="s">
        <v>557</v>
      </c>
      <c r="C1696" t="s">
        <v>558</v>
      </c>
      <c r="D1696" t="s">
        <v>2253</v>
      </c>
      <c r="E1696">
        <v>-1694</v>
      </c>
      <c r="F1696" t="s">
        <v>559</v>
      </c>
      <c r="G1696" t="s">
        <v>560</v>
      </c>
    </row>
    <row r="1697" spans="1:7">
      <c r="A1697" t="s">
        <v>182</v>
      </c>
      <c r="B1697" t="s">
        <v>557</v>
      </c>
      <c r="C1697" t="s">
        <v>558</v>
      </c>
      <c r="D1697" t="s">
        <v>2254</v>
      </c>
      <c r="E1697">
        <v>-1695</v>
      </c>
      <c r="F1697" t="s">
        <v>559</v>
      </c>
      <c r="G1697" t="s">
        <v>560</v>
      </c>
    </row>
    <row r="1698" spans="1:7">
      <c r="A1698" t="s">
        <v>182</v>
      </c>
      <c r="B1698" t="s">
        <v>557</v>
      </c>
      <c r="C1698" t="s">
        <v>558</v>
      </c>
      <c r="D1698" t="s">
        <v>2255</v>
      </c>
      <c r="E1698">
        <v>-1696</v>
      </c>
      <c r="F1698" t="s">
        <v>559</v>
      </c>
      <c r="G1698" t="s">
        <v>560</v>
      </c>
    </row>
    <row r="1699" spans="1:7">
      <c r="A1699" t="s">
        <v>182</v>
      </c>
      <c r="B1699" t="s">
        <v>557</v>
      </c>
      <c r="C1699" t="s">
        <v>558</v>
      </c>
      <c r="D1699" t="s">
        <v>2256</v>
      </c>
      <c r="E1699">
        <v>-1697</v>
      </c>
      <c r="F1699" t="s">
        <v>559</v>
      </c>
      <c r="G1699" t="s">
        <v>560</v>
      </c>
    </row>
    <row r="1700" spans="1:7">
      <c r="A1700" t="s">
        <v>182</v>
      </c>
      <c r="B1700" t="s">
        <v>557</v>
      </c>
      <c r="C1700" t="s">
        <v>558</v>
      </c>
      <c r="D1700" t="s">
        <v>2257</v>
      </c>
      <c r="E1700">
        <v>-1698</v>
      </c>
      <c r="F1700" t="s">
        <v>559</v>
      </c>
      <c r="G1700" t="s">
        <v>560</v>
      </c>
    </row>
    <row r="1701" spans="1:7">
      <c r="A1701" t="s">
        <v>182</v>
      </c>
      <c r="B1701" t="s">
        <v>557</v>
      </c>
      <c r="C1701" t="s">
        <v>558</v>
      </c>
      <c r="D1701" t="s">
        <v>2258</v>
      </c>
      <c r="E1701">
        <v>-1699</v>
      </c>
      <c r="F1701" t="s">
        <v>559</v>
      </c>
      <c r="G1701" t="s">
        <v>560</v>
      </c>
    </row>
    <row r="1702" spans="1:7">
      <c r="A1702" t="s">
        <v>182</v>
      </c>
      <c r="B1702" t="s">
        <v>557</v>
      </c>
      <c r="C1702" t="s">
        <v>558</v>
      </c>
      <c r="D1702" t="s">
        <v>2259</v>
      </c>
      <c r="E1702">
        <v>-1700</v>
      </c>
      <c r="F1702" t="s">
        <v>559</v>
      </c>
      <c r="G1702" t="s">
        <v>560</v>
      </c>
    </row>
    <row r="1703" spans="1:7">
      <c r="A1703" t="s">
        <v>182</v>
      </c>
      <c r="B1703" t="s">
        <v>557</v>
      </c>
      <c r="C1703" t="s">
        <v>558</v>
      </c>
      <c r="D1703" t="s">
        <v>2260</v>
      </c>
      <c r="E1703">
        <v>-1701</v>
      </c>
      <c r="F1703" t="s">
        <v>559</v>
      </c>
      <c r="G1703" t="s">
        <v>560</v>
      </c>
    </row>
    <row r="1704" spans="1:7">
      <c r="A1704" t="s">
        <v>182</v>
      </c>
      <c r="B1704" t="s">
        <v>557</v>
      </c>
      <c r="C1704" t="s">
        <v>558</v>
      </c>
      <c r="D1704" t="s">
        <v>2261</v>
      </c>
      <c r="E1704">
        <v>-1702</v>
      </c>
      <c r="F1704" t="s">
        <v>559</v>
      </c>
      <c r="G1704" t="s">
        <v>560</v>
      </c>
    </row>
    <row r="1705" spans="1:7">
      <c r="A1705" t="s">
        <v>182</v>
      </c>
      <c r="B1705" t="s">
        <v>557</v>
      </c>
      <c r="C1705" t="s">
        <v>558</v>
      </c>
      <c r="D1705" t="s">
        <v>2262</v>
      </c>
      <c r="E1705">
        <v>-1703</v>
      </c>
      <c r="F1705" t="s">
        <v>559</v>
      </c>
      <c r="G1705" t="s">
        <v>560</v>
      </c>
    </row>
    <row r="1706" spans="1:7">
      <c r="A1706" t="s">
        <v>182</v>
      </c>
      <c r="B1706" t="s">
        <v>557</v>
      </c>
      <c r="C1706" t="s">
        <v>558</v>
      </c>
      <c r="D1706" t="s">
        <v>2263</v>
      </c>
      <c r="E1706">
        <v>-1704</v>
      </c>
      <c r="F1706" t="s">
        <v>559</v>
      </c>
      <c r="G1706" t="s">
        <v>560</v>
      </c>
    </row>
    <row r="1707" spans="1:7">
      <c r="A1707" t="s">
        <v>182</v>
      </c>
      <c r="B1707" t="s">
        <v>557</v>
      </c>
      <c r="C1707" t="s">
        <v>558</v>
      </c>
      <c r="D1707" t="s">
        <v>2264</v>
      </c>
      <c r="E1707">
        <v>-1705</v>
      </c>
      <c r="F1707" t="s">
        <v>559</v>
      </c>
      <c r="G1707" t="s">
        <v>560</v>
      </c>
    </row>
    <row r="1708" spans="1:7">
      <c r="A1708" t="s">
        <v>182</v>
      </c>
      <c r="B1708" t="s">
        <v>557</v>
      </c>
      <c r="C1708" t="s">
        <v>558</v>
      </c>
      <c r="D1708" t="s">
        <v>2265</v>
      </c>
      <c r="E1708">
        <v>-1706</v>
      </c>
      <c r="F1708" t="s">
        <v>559</v>
      </c>
      <c r="G1708" t="s">
        <v>560</v>
      </c>
    </row>
    <row r="1709" spans="1:7">
      <c r="A1709" t="s">
        <v>182</v>
      </c>
      <c r="B1709" t="s">
        <v>557</v>
      </c>
      <c r="C1709" t="s">
        <v>558</v>
      </c>
      <c r="D1709" t="s">
        <v>2266</v>
      </c>
      <c r="E1709">
        <v>-1707</v>
      </c>
      <c r="F1709" t="s">
        <v>559</v>
      </c>
      <c r="G1709" t="s">
        <v>560</v>
      </c>
    </row>
    <row r="1710" spans="1:7">
      <c r="A1710" t="s">
        <v>182</v>
      </c>
      <c r="B1710" t="s">
        <v>557</v>
      </c>
      <c r="C1710" t="s">
        <v>558</v>
      </c>
      <c r="D1710" t="s">
        <v>2267</v>
      </c>
      <c r="E1710">
        <v>-1708</v>
      </c>
      <c r="F1710" t="s">
        <v>559</v>
      </c>
      <c r="G1710" t="s">
        <v>560</v>
      </c>
    </row>
    <row r="1711" spans="1:7">
      <c r="A1711" t="s">
        <v>182</v>
      </c>
      <c r="B1711" t="s">
        <v>557</v>
      </c>
      <c r="C1711" t="s">
        <v>558</v>
      </c>
      <c r="D1711" t="s">
        <v>2268</v>
      </c>
      <c r="E1711">
        <v>-1709</v>
      </c>
      <c r="F1711" t="s">
        <v>559</v>
      </c>
      <c r="G1711" t="s">
        <v>560</v>
      </c>
    </row>
    <row r="1712" spans="1:7">
      <c r="A1712" t="s">
        <v>182</v>
      </c>
      <c r="B1712" t="s">
        <v>557</v>
      </c>
      <c r="C1712" t="s">
        <v>558</v>
      </c>
      <c r="D1712" t="s">
        <v>2269</v>
      </c>
      <c r="E1712">
        <v>-1710</v>
      </c>
      <c r="F1712" t="s">
        <v>559</v>
      </c>
      <c r="G1712" t="s">
        <v>560</v>
      </c>
    </row>
    <row r="1713" spans="1:7">
      <c r="A1713" t="s">
        <v>182</v>
      </c>
      <c r="B1713" t="s">
        <v>557</v>
      </c>
      <c r="C1713" t="s">
        <v>558</v>
      </c>
      <c r="D1713" t="s">
        <v>2270</v>
      </c>
      <c r="E1713">
        <v>-1711</v>
      </c>
      <c r="F1713" t="s">
        <v>559</v>
      </c>
      <c r="G1713" t="s">
        <v>560</v>
      </c>
    </row>
    <row r="1714" spans="1:7">
      <c r="A1714" t="s">
        <v>182</v>
      </c>
      <c r="B1714" t="s">
        <v>557</v>
      </c>
      <c r="C1714" t="s">
        <v>558</v>
      </c>
      <c r="D1714" t="s">
        <v>2271</v>
      </c>
      <c r="E1714">
        <v>-1712</v>
      </c>
      <c r="F1714" t="s">
        <v>559</v>
      </c>
      <c r="G1714" t="s">
        <v>560</v>
      </c>
    </row>
    <row r="1715" spans="1:7">
      <c r="A1715" t="s">
        <v>182</v>
      </c>
      <c r="B1715" t="s">
        <v>557</v>
      </c>
      <c r="C1715" t="s">
        <v>558</v>
      </c>
      <c r="D1715" t="s">
        <v>2272</v>
      </c>
      <c r="E1715">
        <v>-1713</v>
      </c>
      <c r="F1715" t="s">
        <v>559</v>
      </c>
      <c r="G1715" t="s">
        <v>560</v>
      </c>
    </row>
    <row r="1716" spans="1:7">
      <c r="A1716" t="s">
        <v>182</v>
      </c>
      <c r="B1716" t="s">
        <v>557</v>
      </c>
      <c r="C1716" t="s">
        <v>558</v>
      </c>
      <c r="D1716" t="s">
        <v>2273</v>
      </c>
      <c r="E1716">
        <v>-1714</v>
      </c>
      <c r="F1716" t="s">
        <v>559</v>
      </c>
      <c r="G1716" t="s">
        <v>560</v>
      </c>
    </row>
    <row r="1717" spans="1:7">
      <c r="A1717" t="s">
        <v>182</v>
      </c>
      <c r="B1717" t="s">
        <v>557</v>
      </c>
      <c r="C1717" t="s">
        <v>558</v>
      </c>
      <c r="D1717" t="s">
        <v>2274</v>
      </c>
      <c r="E1717">
        <v>-1715</v>
      </c>
      <c r="F1717" t="s">
        <v>559</v>
      </c>
      <c r="G1717" t="s">
        <v>560</v>
      </c>
    </row>
    <row r="1718" spans="1:7">
      <c r="A1718" t="s">
        <v>182</v>
      </c>
      <c r="B1718" t="s">
        <v>557</v>
      </c>
      <c r="C1718" t="s">
        <v>558</v>
      </c>
      <c r="D1718" t="s">
        <v>2275</v>
      </c>
      <c r="E1718">
        <v>-1716</v>
      </c>
      <c r="F1718" t="s">
        <v>559</v>
      </c>
      <c r="G1718" t="s">
        <v>560</v>
      </c>
    </row>
    <row r="1719" spans="1:7">
      <c r="A1719" t="s">
        <v>182</v>
      </c>
      <c r="B1719" t="s">
        <v>557</v>
      </c>
      <c r="C1719" t="s">
        <v>558</v>
      </c>
      <c r="D1719" t="s">
        <v>2276</v>
      </c>
      <c r="E1719">
        <v>-1717</v>
      </c>
      <c r="F1719" t="s">
        <v>559</v>
      </c>
      <c r="G1719" t="s">
        <v>560</v>
      </c>
    </row>
    <row r="1720" spans="1:7">
      <c r="A1720" t="s">
        <v>182</v>
      </c>
      <c r="B1720" t="s">
        <v>557</v>
      </c>
      <c r="C1720" t="s">
        <v>558</v>
      </c>
      <c r="D1720" t="s">
        <v>2277</v>
      </c>
      <c r="E1720">
        <v>-1718</v>
      </c>
      <c r="F1720" t="s">
        <v>559</v>
      </c>
      <c r="G1720" t="s">
        <v>560</v>
      </c>
    </row>
    <row r="1721" spans="1:7">
      <c r="A1721" t="s">
        <v>182</v>
      </c>
      <c r="B1721" t="s">
        <v>557</v>
      </c>
      <c r="C1721" t="s">
        <v>558</v>
      </c>
      <c r="D1721" t="s">
        <v>2278</v>
      </c>
      <c r="E1721">
        <v>-1719</v>
      </c>
      <c r="F1721" t="s">
        <v>559</v>
      </c>
      <c r="G1721" t="s">
        <v>560</v>
      </c>
    </row>
    <row r="1722" spans="1:7">
      <c r="A1722" t="s">
        <v>182</v>
      </c>
      <c r="B1722" t="s">
        <v>557</v>
      </c>
      <c r="C1722" t="s">
        <v>558</v>
      </c>
      <c r="D1722" t="s">
        <v>2279</v>
      </c>
      <c r="E1722">
        <v>-1720</v>
      </c>
      <c r="F1722" t="s">
        <v>559</v>
      </c>
      <c r="G1722" t="s">
        <v>560</v>
      </c>
    </row>
    <row r="1723" spans="1:7">
      <c r="A1723" t="s">
        <v>182</v>
      </c>
      <c r="B1723" t="s">
        <v>557</v>
      </c>
      <c r="C1723" t="s">
        <v>558</v>
      </c>
      <c r="D1723" t="s">
        <v>2280</v>
      </c>
      <c r="E1723">
        <v>-1721</v>
      </c>
      <c r="F1723" t="s">
        <v>559</v>
      </c>
      <c r="G1723" t="s">
        <v>560</v>
      </c>
    </row>
    <row r="1724" spans="1:7">
      <c r="A1724" t="s">
        <v>182</v>
      </c>
      <c r="B1724" t="s">
        <v>557</v>
      </c>
      <c r="C1724" t="s">
        <v>558</v>
      </c>
      <c r="D1724" t="s">
        <v>2281</v>
      </c>
      <c r="E1724">
        <v>-1722</v>
      </c>
      <c r="F1724" t="s">
        <v>559</v>
      </c>
      <c r="G1724" t="s">
        <v>560</v>
      </c>
    </row>
    <row r="1725" spans="1:7">
      <c r="A1725" t="s">
        <v>182</v>
      </c>
      <c r="B1725" t="s">
        <v>557</v>
      </c>
      <c r="C1725" t="s">
        <v>558</v>
      </c>
      <c r="D1725" t="s">
        <v>2282</v>
      </c>
      <c r="E1725">
        <v>-1723</v>
      </c>
      <c r="F1725" t="s">
        <v>559</v>
      </c>
      <c r="G1725" t="s">
        <v>560</v>
      </c>
    </row>
    <row r="1726" spans="1:7">
      <c r="A1726" t="s">
        <v>182</v>
      </c>
      <c r="B1726" t="s">
        <v>557</v>
      </c>
      <c r="C1726" t="s">
        <v>558</v>
      </c>
      <c r="D1726" t="s">
        <v>2283</v>
      </c>
      <c r="E1726">
        <v>-1724</v>
      </c>
      <c r="F1726" t="s">
        <v>559</v>
      </c>
      <c r="G1726" t="s">
        <v>560</v>
      </c>
    </row>
    <row r="1727" spans="1:7">
      <c r="A1727" t="s">
        <v>182</v>
      </c>
      <c r="B1727" t="s">
        <v>557</v>
      </c>
      <c r="C1727" t="s">
        <v>558</v>
      </c>
      <c r="D1727" t="s">
        <v>2284</v>
      </c>
      <c r="E1727">
        <v>-1725</v>
      </c>
      <c r="F1727" t="s">
        <v>559</v>
      </c>
      <c r="G1727" t="s">
        <v>560</v>
      </c>
    </row>
    <row r="1728" spans="1:7">
      <c r="A1728" t="s">
        <v>182</v>
      </c>
      <c r="B1728" t="s">
        <v>557</v>
      </c>
      <c r="C1728" t="s">
        <v>558</v>
      </c>
      <c r="D1728" t="s">
        <v>2285</v>
      </c>
      <c r="E1728">
        <v>-1726</v>
      </c>
      <c r="F1728" t="s">
        <v>559</v>
      </c>
      <c r="G1728" t="s">
        <v>560</v>
      </c>
    </row>
    <row r="1729" spans="1:7">
      <c r="A1729" t="s">
        <v>182</v>
      </c>
      <c r="B1729" t="s">
        <v>557</v>
      </c>
      <c r="C1729" t="s">
        <v>558</v>
      </c>
      <c r="D1729" t="s">
        <v>2286</v>
      </c>
      <c r="E1729">
        <v>-1727</v>
      </c>
      <c r="F1729" t="s">
        <v>559</v>
      </c>
      <c r="G1729" t="s">
        <v>560</v>
      </c>
    </row>
    <row r="1730" spans="1:7">
      <c r="A1730" t="s">
        <v>182</v>
      </c>
      <c r="B1730" t="s">
        <v>557</v>
      </c>
      <c r="C1730" t="s">
        <v>558</v>
      </c>
      <c r="D1730" t="s">
        <v>2287</v>
      </c>
      <c r="E1730">
        <v>-1728</v>
      </c>
      <c r="F1730" t="s">
        <v>559</v>
      </c>
      <c r="G1730" t="s">
        <v>560</v>
      </c>
    </row>
    <row r="1731" spans="1:7">
      <c r="A1731" t="s">
        <v>182</v>
      </c>
      <c r="B1731" t="s">
        <v>557</v>
      </c>
      <c r="C1731" t="s">
        <v>558</v>
      </c>
      <c r="D1731" t="s">
        <v>2288</v>
      </c>
      <c r="E1731">
        <v>-1729</v>
      </c>
      <c r="F1731" t="s">
        <v>559</v>
      </c>
      <c r="G1731" t="s">
        <v>560</v>
      </c>
    </row>
    <row r="1732" spans="1:7">
      <c r="A1732" t="s">
        <v>182</v>
      </c>
      <c r="B1732" t="s">
        <v>557</v>
      </c>
      <c r="C1732" t="s">
        <v>558</v>
      </c>
      <c r="D1732" t="s">
        <v>2289</v>
      </c>
      <c r="E1732">
        <v>-1730</v>
      </c>
      <c r="F1732" t="s">
        <v>559</v>
      </c>
      <c r="G1732" t="s">
        <v>560</v>
      </c>
    </row>
    <row r="1733" spans="1:7">
      <c r="A1733" t="s">
        <v>182</v>
      </c>
      <c r="B1733" t="s">
        <v>557</v>
      </c>
      <c r="C1733" t="s">
        <v>558</v>
      </c>
      <c r="D1733" t="s">
        <v>2290</v>
      </c>
      <c r="E1733">
        <v>-1731</v>
      </c>
      <c r="F1733" t="s">
        <v>559</v>
      </c>
      <c r="G1733" t="s">
        <v>560</v>
      </c>
    </row>
    <row r="1734" spans="1:7">
      <c r="A1734" t="s">
        <v>182</v>
      </c>
      <c r="B1734" t="s">
        <v>557</v>
      </c>
      <c r="C1734" t="s">
        <v>558</v>
      </c>
      <c r="D1734" t="s">
        <v>2291</v>
      </c>
      <c r="E1734">
        <v>-1732</v>
      </c>
      <c r="F1734" t="s">
        <v>559</v>
      </c>
      <c r="G1734" t="s">
        <v>560</v>
      </c>
    </row>
    <row r="1735" spans="1:7">
      <c r="A1735" t="s">
        <v>182</v>
      </c>
      <c r="B1735" t="s">
        <v>557</v>
      </c>
      <c r="C1735" t="s">
        <v>558</v>
      </c>
      <c r="D1735" t="s">
        <v>2292</v>
      </c>
      <c r="E1735">
        <v>-1733</v>
      </c>
      <c r="F1735" t="s">
        <v>559</v>
      </c>
      <c r="G1735" t="s">
        <v>560</v>
      </c>
    </row>
    <row r="1736" spans="1:7">
      <c r="A1736" t="s">
        <v>182</v>
      </c>
      <c r="B1736" t="s">
        <v>557</v>
      </c>
      <c r="C1736" t="s">
        <v>558</v>
      </c>
      <c r="D1736" t="s">
        <v>2293</v>
      </c>
      <c r="E1736">
        <v>-1734</v>
      </c>
      <c r="F1736" t="s">
        <v>559</v>
      </c>
      <c r="G1736" t="s">
        <v>560</v>
      </c>
    </row>
    <row r="1737" spans="1:7">
      <c r="A1737" t="s">
        <v>182</v>
      </c>
      <c r="B1737" t="s">
        <v>557</v>
      </c>
      <c r="C1737" t="s">
        <v>558</v>
      </c>
      <c r="D1737" t="s">
        <v>2294</v>
      </c>
      <c r="E1737">
        <v>-1735</v>
      </c>
      <c r="F1737" t="s">
        <v>559</v>
      </c>
      <c r="G1737" t="s">
        <v>560</v>
      </c>
    </row>
    <row r="1738" spans="1:7">
      <c r="A1738" t="s">
        <v>182</v>
      </c>
      <c r="B1738" t="s">
        <v>557</v>
      </c>
      <c r="C1738" t="s">
        <v>558</v>
      </c>
      <c r="D1738" t="s">
        <v>2295</v>
      </c>
      <c r="E1738">
        <v>-1736</v>
      </c>
      <c r="F1738" t="s">
        <v>559</v>
      </c>
      <c r="G1738" t="s">
        <v>560</v>
      </c>
    </row>
    <row r="1739" spans="1:7">
      <c r="A1739" t="s">
        <v>182</v>
      </c>
      <c r="B1739" t="s">
        <v>557</v>
      </c>
      <c r="C1739" t="s">
        <v>558</v>
      </c>
      <c r="D1739" t="s">
        <v>2296</v>
      </c>
      <c r="E1739">
        <v>-1737</v>
      </c>
      <c r="F1739" t="s">
        <v>559</v>
      </c>
      <c r="G1739" t="s">
        <v>560</v>
      </c>
    </row>
    <row r="1740" spans="1:7">
      <c r="A1740" t="s">
        <v>182</v>
      </c>
      <c r="B1740" t="s">
        <v>557</v>
      </c>
      <c r="C1740" t="s">
        <v>558</v>
      </c>
      <c r="D1740" t="s">
        <v>2297</v>
      </c>
      <c r="E1740">
        <v>-1738</v>
      </c>
      <c r="F1740" t="s">
        <v>559</v>
      </c>
      <c r="G1740" t="s">
        <v>560</v>
      </c>
    </row>
    <row r="1741" spans="1:7">
      <c r="A1741" t="s">
        <v>182</v>
      </c>
      <c r="B1741" t="s">
        <v>557</v>
      </c>
      <c r="C1741" t="s">
        <v>558</v>
      </c>
      <c r="D1741" t="s">
        <v>2298</v>
      </c>
      <c r="E1741">
        <v>-1739</v>
      </c>
      <c r="F1741" t="s">
        <v>559</v>
      </c>
      <c r="G1741" t="s">
        <v>560</v>
      </c>
    </row>
    <row r="1742" spans="1:7">
      <c r="A1742" t="s">
        <v>182</v>
      </c>
      <c r="B1742" t="s">
        <v>557</v>
      </c>
      <c r="C1742" t="s">
        <v>558</v>
      </c>
      <c r="D1742" t="s">
        <v>2299</v>
      </c>
      <c r="E1742">
        <v>-1740</v>
      </c>
      <c r="F1742" t="s">
        <v>559</v>
      </c>
      <c r="G1742" t="s">
        <v>560</v>
      </c>
    </row>
    <row r="1743" spans="1:7">
      <c r="A1743" t="s">
        <v>182</v>
      </c>
      <c r="B1743" t="s">
        <v>557</v>
      </c>
      <c r="C1743" t="s">
        <v>558</v>
      </c>
      <c r="D1743" t="s">
        <v>2300</v>
      </c>
      <c r="E1743">
        <v>-1741</v>
      </c>
      <c r="F1743" t="s">
        <v>559</v>
      </c>
      <c r="G1743" t="s">
        <v>560</v>
      </c>
    </row>
    <row r="1744" spans="1:7">
      <c r="A1744" t="s">
        <v>182</v>
      </c>
      <c r="B1744" t="s">
        <v>557</v>
      </c>
      <c r="C1744" t="s">
        <v>558</v>
      </c>
      <c r="D1744" t="s">
        <v>2301</v>
      </c>
      <c r="E1744">
        <v>-1742</v>
      </c>
      <c r="F1744" t="s">
        <v>559</v>
      </c>
      <c r="G1744" t="s">
        <v>560</v>
      </c>
    </row>
    <row r="1745" spans="1:7">
      <c r="A1745" t="s">
        <v>182</v>
      </c>
      <c r="B1745" t="s">
        <v>557</v>
      </c>
      <c r="C1745" t="s">
        <v>558</v>
      </c>
      <c r="D1745" t="s">
        <v>2302</v>
      </c>
      <c r="E1745">
        <v>-1743</v>
      </c>
      <c r="F1745" t="s">
        <v>559</v>
      </c>
      <c r="G1745" t="s">
        <v>560</v>
      </c>
    </row>
    <row r="1746" spans="1:7">
      <c r="A1746" t="s">
        <v>182</v>
      </c>
      <c r="B1746" t="s">
        <v>557</v>
      </c>
      <c r="C1746" t="s">
        <v>558</v>
      </c>
      <c r="D1746" t="s">
        <v>2303</v>
      </c>
      <c r="E1746">
        <v>-1744</v>
      </c>
      <c r="F1746" t="s">
        <v>559</v>
      </c>
      <c r="G1746" t="s">
        <v>560</v>
      </c>
    </row>
    <row r="1747" spans="1:7">
      <c r="A1747" t="s">
        <v>182</v>
      </c>
      <c r="B1747" t="s">
        <v>557</v>
      </c>
      <c r="C1747" t="s">
        <v>558</v>
      </c>
      <c r="D1747" t="s">
        <v>2304</v>
      </c>
      <c r="E1747">
        <v>-1745</v>
      </c>
      <c r="F1747" t="s">
        <v>559</v>
      </c>
      <c r="G1747" t="s">
        <v>560</v>
      </c>
    </row>
    <row r="1748" spans="1:7">
      <c r="A1748" t="s">
        <v>182</v>
      </c>
      <c r="B1748" t="s">
        <v>557</v>
      </c>
      <c r="C1748" t="s">
        <v>558</v>
      </c>
      <c r="D1748" t="s">
        <v>2305</v>
      </c>
      <c r="E1748">
        <v>-1746</v>
      </c>
      <c r="F1748" t="s">
        <v>559</v>
      </c>
      <c r="G1748" t="s">
        <v>560</v>
      </c>
    </row>
    <row r="1749" spans="1:7">
      <c r="A1749" t="s">
        <v>182</v>
      </c>
      <c r="B1749" t="s">
        <v>557</v>
      </c>
      <c r="C1749" t="s">
        <v>558</v>
      </c>
      <c r="D1749" t="s">
        <v>2306</v>
      </c>
      <c r="E1749">
        <v>-1747</v>
      </c>
      <c r="F1749" t="s">
        <v>559</v>
      </c>
      <c r="G1749" t="s">
        <v>560</v>
      </c>
    </row>
    <row r="1750" spans="1:7">
      <c r="A1750" t="s">
        <v>182</v>
      </c>
      <c r="B1750" t="s">
        <v>557</v>
      </c>
      <c r="C1750" t="s">
        <v>558</v>
      </c>
      <c r="D1750" t="s">
        <v>2307</v>
      </c>
      <c r="E1750">
        <v>-1748</v>
      </c>
      <c r="F1750" t="s">
        <v>559</v>
      </c>
      <c r="G1750" t="s">
        <v>560</v>
      </c>
    </row>
    <row r="1751" spans="1:7">
      <c r="A1751" t="s">
        <v>182</v>
      </c>
      <c r="B1751" t="s">
        <v>557</v>
      </c>
      <c r="C1751" t="s">
        <v>558</v>
      </c>
      <c r="D1751" t="s">
        <v>2308</v>
      </c>
      <c r="E1751">
        <v>-1749</v>
      </c>
      <c r="F1751" t="s">
        <v>559</v>
      </c>
      <c r="G1751" t="s">
        <v>560</v>
      </c>
    </row>
    <row r="1752" spans="1:7">
      <c r="A1752" t="s">
        <v>182</v>
      </c>
      <c r="B1752" t="s">
        <v>557</v>
      </c>
      <c r="C1752" t="s">
        <v>558</v>
      </c>
      <c r="D1752" t="s">
        <v>2309</v>
      </c>
      <c r="E1752">
        <v>-1750</v>
      </c>
      <c r="F1752" t="s">
        <v>559</v>
      </c>
      <c r="G1752" t="s">
        <v>560</v>
      </c>
    </row>
    <row r="1753" spans="1:7">
      <c r="A1753" t="s">
        <v>182</v>
      </c>
      <c r="B1753" t="s">
        <v>557</v>
      </c>
      <c r="C1753" t="s">
        <v>558</v>
      </c>
      <c r="D1753" t="s">
        <v>2310</v>
      </c>
      <c r="E1753">
        <v>-1751</v>
      </c>
      <c r="F1753" t="s">
        <v>559</v>
      </c>
      <c r="G1753" t="s">
        <v>560</v>
      </c>
    </row>
    <row r="1754" spans="1:7">
      <c r="A1754" t="s">
        <v>182</v>
      </c>
      <c r="B1754" t="s">
        <v>557</v>
      </c>
      <c r="C1754" t="s">
        <v>558</v>
      </c>
      <c r="D1754" t="s">
        <v>2311</v>
      </c>
      <c r="E1754">
        <v>-1752</v>
      </c>
      <c r="F1754" t="s">
        <v>559</v>
      </c>
      <c r="G1754" t="s">
        <v>560</v>
      </c>
    </row>
    <row r="1755" spans="1:7">
      <c r="A1755" t="s">
        <v>182</v>
      </c>
      <c r="B1755" t="s">
        <v>557</v>
      </c>
      <c r="C1755" t="s">
        <v>558</v>
      </c>
      <c r="D1755" t="s">
        <v>2312</v>
      </c>
      <c r="E1755">
        <v>-1753</v>
      </c>
      <c r="F1755" t="s">
        <v>559</v>
      </c>
      <c r="G1755" t="s">
        <v>560</v>
      </c>
    </row>
    <row r="1756" spans="1:7">
      <c r="A1756" t="s">
        <v>182</v>
      </c>
      <c r="B1756" t="s">
        <v>557</v>
      </c>
      <c r="C1756" t="s">
        <v>558</v>
      </c>
      <c r="D1756" t="s">
        <v>2313</v>
      </c>
      <c r="E1756">
        <v>-1754</v>
      </c>
      <c r="F1756" t="s">
        <v>559</v>
      </c>
      <c r="G1756" t="s">
        <v>560</v>
      </c>
    </row>
    <row r="1757" spans="1:7">
      <c r="A1757" t="s">
        <v>182</v>
      </c>
      <c r="B1757" t="s">
        <v>557</v>
      </c>
      <c r="C1757" t="s">
        <v>558</v>
      </c>
      <c r="D1757" t="s">
        <v>2314</v>
      </c>
      <c r="E1757">
        <v>-1755</v>
      </c>
      <c r="F1757" t="s">
        <v>559</v>
      </c>
      <c r="G1757" t="s">
        <v>560</v>
      </c>
    </row>
    <row r="1758" spans="1:7">
      <c r="A1758" t="s">
        <v>182</v>
      </c>
      <c r="B1758" t="s">
        <v>557</v>
      </c>
      <c r="C1758" t="s">
        <v>558</v>
      </c>
      <c r="D1758" t="s">
        <v>2315</v>
      </c>
      <c r="E1758">
        <v>-1756</v>
      </c>
      <c r="F1758" t="s">
        <v>559</v>
      </c>
      <c r="G1758" t="s">
        <v>560</v>
      </c>
    </row>
    <row r="1759" spans="1:7">
      <c r="A1759" t="s">
        <v>182</v>
      </c>
      <c r="B1759" t="s">
        <v>557</v>
      </c>
      <c r="C1759" t="s">
        <v>558</v>
      </c>
      <c r="D1759" t="s">
        <v>2316</v>
      </c>
      <c r="E1759">
        <v>-1757</v>
      </c>
      <c r="F1759" t="s">
        <v>559</v>
      </c>
      <c r="G1759" t="s">
        <v>560</v>
      </c>
    </row>
    <row r="1760" spans="1:7">
      <c r="A1760" t="s">
        <v>182</v>
      </c>
      <c r="B1760" t="s">
        <v>557</v>
      </c>
      <c r="C1760" t="s">
        <v>558</v>
      </c>
      <c r="D1760" t="s">
        <v>2317</v>
      </c>
      <c r="E1760">
        <v>-1758</v>
      </c>
      <c r="F1760" t="s">
        <v>559</v>
      </c>
      <c r="G1760" t="s">
        <v>560</v>
      </c>
    </row>
    <row r="1761" spans="1:7">
      <c r="A1761" t="s">
        <v>182</v>
      </c>
      <c r="B1761" t="s">
        <v>557</v>
      </c>
      <c r="C1761" t="s">
        <v>558</v>
      </c>
      <c r="D1761" t="s">
        <v>2318</v>
      </c>
      <c r="E1761">
        <v>-1759</v>
      </c>
      <c r="F1761" t="s">
        <v>559</v>
      </c>
      <c r="G1761" t="s">
        <v>560</v>
      </c>
    </row>
    <row r="1762" spans="1:7">
      <c r="A1762" t="s">
        <v>182</v>
      </c>
      <c r="B1762" t="s">
        <v>557</v>
      </c>
      <c r="C1762" t="s">
        <v>558</v>
      </c>
      <c r="D1762" t="s">
        <v>2319</v>
      </c>
      <c r="E1762">
        <v>-1760</v>
      </c>
      <c r="F1762" t="s">
        <v>559</v>
      </c>
      <c r="G1762" t="s">
        <v>560</v>
      </c>
    </row>
    <row r="1763" spans="1:7">
      <c r="A1763" t="s">
        <v>182</v>
      </c>
      <c r="B1763" t="s">
        <v>557</v>
      </c>
      <c r="C1763" t="s">
        <v>558</v>
      </c>
      <c r="D1763" t="s">
        <v>2320</v>
      </c>
      <c r="E1763">
        <v>-1761</v>
      </c>
      <c r="F1763" t="s">
        <v>559</v>
      </c>
      <c r="G1763" t="s">
        <v>560</v>
      </c>
    </row>
    <row r="1764" spans="1:7">
      <c r="A1764" t="s">
        <v>182</v>
      </c>
      <c r="B1764" t="s">
        <v>557</v>
      </c>
      <c r="C1764" t="s">
        <v>558</v>
      </c>
      <c r="D1764" t="s">
        <v>2321</v>
      </c>
      <c r="E1764">
        <v>-1762</v>
      </c>
      <c r="F1764" t="s">
        <v>559</v>
      </c>
      <c r="G1764" t="s">
        <v>560</v>
      </c>
    </row>
    <row r="1765" spans="1:7">
      <c r="A1765" t="s">
        <v>182</v>
      </c>
      <c r="B1765" t="s">
        <v>557</v>
      </c>
      <c r="C1765" t="s">
        <v>558</v>
      </c>
      <c r="D1765" t="s">
        <v>2322</v>
      </c>
      <c r="E1765">
        <v>-1763</v>
      </c>
      <c r="F1765" t="s">
        <v>559</v>
      </c>
      <c r="G1765" t="s">
        <v>560</v>
      </c>
    </row>
    <row r="1766" spans="1:7">
      <c r="A1766" t="s">
        <v>182</v>
      </c>
      <c r="B1766" t="s">
        <v>557</v>
      </c>
      <c r="C1766" t="s">
        <v>558</v>
      </c>
      <c r="D1766" t="s">
        <v>2323</v>
      </c>
      <c r="E1766">
        <v>-1764</v>
      </c>
      <c r="F1766" t="s">
        <v>559</v>
      </c>
      <c r="G1766" t="s">
        <v>560</v>
      </c>
    </row>
    <row r="1767" spans="1:7">
      <c r="A1767" t="s">
        <v>182</v>
      </c>
      <c r="B1767" t="s">
        <v>557</v>
      </c>
      <c r="C1767" t="s">
        <v>558</v>
      </c>
      <c r="D1767" t="s">
        <v>2324</v>
      </c>
      <c r="E1767">
        <v>-1765</v>
      </c>
      <c r="F1767" t="s">
        <v>559</v>
      </c>
      <c r="G1767" t="s">
        <v>560</v>
      </c>
    </row>
    <row r="1768" spans="1:7">
      <c r="A1768" t="s">
        <v>182</v>
      </c>
      <c r="B1768" t="s">
        <v>557</v>
      </c>
      <c r="C1768" t="s">
        <v>558</v>
      </c>
      <c r="D1768" t="s">
        <v>2325</v>
      </c>
      <c r="E1768">
        <v>-1766</v>
      </c>
      <c r="F1768" t="s">
        <v>559</v>
      </c>
      <c r="G1768" t="s">
        <v>560</v>
      </c>
    </row>
    <row r="1769" spans="1:7">
      <c r="A1769" t="s">
        <v>182</v>
      </c>
      <c r="B1769" t="s">
        <v>557</v>
      </c>
      <c r="C1769" t="s">
        <v>558</v>
      </c>
      <c r="D1769" t="s">
        <v>2326</v>
      </c>
      <c r="E1769">
        <v>-1767</v>
      </c>
      <c r="F1769" t="s">
        <v>559</v>
      </c>
      <c r="G1769" t="s">
        <v>560</v>
      </c>
    </row>
    <row r="1770" spans="1:7">
      <c r="A1770" t="s">
        <v>182</v>
      </c>
      <c r="B1770" t="s">
        <v>557</v>
      </c>
      <c r="C1770" t="s">
        <v>558</v>
      </c>
      <c r="D1770" t="s">
        <v>2327</v>
      </c>
      <c r="E1770">
        <v>-1768</v>
      </c>
      <c r="F1770" t="s">
        <v>559</v>
      </c>
      <c r="G1770" t="s">
        <v>560</v>
      </c>
    </row>
    <row r="1771" spans="1:7">
      <c r="A1771" t="s">
        <v>182</v>
      </c>
      <c r="B1771" t="s">
        <v>557</v>
      </c>
      <c r="C1771" t="s">
        <v>558</v>
      </c>
      <c r="D1771" t="s">
        <v>2328</v>
      </c>
      <c r="E1771">
        <v>-1769</v>
      </c>
      <c r="F1771" t="s">
        <v>559</v>
      </c>
      <c r="G1771" t="s">
        <v>560</v>
      </c>
    </row>
    <row r="1772" spans="1:7">
      <c r="A1772" t="s">
        <v>182</v>
      </c>
      <c r="B1772" t="s">
        <v>557</v>
      </c>
      <c r="C1772" t="s">
        <v>558</v>
      </c>
      <c r="D1772" t="s">
        <v>2329</v>
      </c>
      <c r="E1772">
        <v>-1770</v>
      </c>
      <c r="F1772" t="s">
        <v>559</v>
      </c>
      <c r="G1772" t="s">
        <v>560</v>
      </c>
    </row>
    <row r="1773" spans="1:7">
      <c r="A1773" t="s">
        <v>182</v>
      </c>
      <c r="B1773" t="s">
        <v>557</v>
      </c>
      <c r="C1773" t="s">
        <v>558</v>
      </c>
      <c r="D1773" t="s">
        <v>2330</v>
      </c>
      <c r="E1773">
        <v>-1771</v>
      </c>
      <c r="F1773" t="s">
        <v>559</v>
      </c>
      <c r="G1773" t="s">
        <v>560</v>
      </c>
    </row>
    <row r="1774" spans="1:7">
      <c r="A1774" t="s">
        <v>182</v>
      </c>
      <c r="B1774" t="s">
        <v>557</v>
      </c>
      <c r="C1774" t="s">
        <v>558</v>
      </c>
      <c r="D1774" t="s">
        <v>2331</v>
      </c>
      <c r="E1774">
        <v>-1772</v>
      </c>
      <c r="F1774" t="s">
        <v>559</v>
      </c>
      <c r="G1774" t="s">
        <v>560</v>
      </c>
    </row>
    <row r="1775" spans="1:7">
      <c r="A1775" t="s">
        <v>182</v>
      </c>
      <c r="B1775" t="s">
        <v>557</v>
      </c>
      <c r="C1775" t="s">
        <v>558</v>
      </c>
      <c r="D1775" t="s">
        <v>2332</v>
      </c>
      <c r="E1775">
        <v>-1773</v>
      </c>
      <c r="F1775" t="s">
        <v>559</v>
      </c>
      <c r="G1775" t="s">
        <v>560</v>
      </c>
    </row>
    <row r="1776" spans="1:7">
      <c r="A1776" t="s">
        <v>182</v>
      </c>
      <c r="B1776" t="s">
        <v>557</v>
      </c>
      <c r="C1776" t="s">
        <v>558</v>
      </c>
      <c r="D1776" t="s">
        <v>2333</v>
      </c>
      <c r="E1776">
        <v>-1774</v>
      </c>
      <c r="F1776" t="s">
        <v>559</v>
      </c>
      <c r="G1776" t="s">
        <v>560</v>
      </c>
    </row>
    <row r="1777" spans="1:7">
      <c r="A1777" t="s">
        <v>182</v>
      </c>
      <c r="B1777" t="s">
        <v>557</v>
      </c>
      <c r="C1777" t="s">
        <v>558</v>
      </c>
      <c r="D1777" t="s">
        <v>2334</v>
      </c>
      <c r="E1777">
        <v>-1775</v>
      </c>
      <c r="F1777" t="s">
        <v>559</v>
      </c>
      <c r="G1777" t="s">
        <v>560</v>
      </c>
    </row>
    <row r="1778" spans="1:7">
      <c r="A1778" t="s">
        <v>182</v>
      </c>
      <c r="B1778" t="s">
        <v>557</v>
      </c>
      <c r="C1778" t="s">
        <v>558</v>
      </c>
      <c r="D1778" t="s">
        <v>2335</v>
      </c>
      <c r="E1778">
        <v>-1776</v>
      </c>
      <c r="F1778" t="s">
        <v>559</v>
      </c>
      <c r="G1778" t="s">
        <v>560</v>
      </c>
    </row>
    <row r="1779" spans="1:7">
      <c r="A1779" t="s">
        <v>182</v>
      </c>
      <c r="B1779" t="s">
        <v>557</v>
      </c>
      <c r="C1779" t="s">
        <v>558</v>
      </c>
      <c r="D1779" t="s">
        <v>2336</v>
      </c>
      <c r="E1779">
        <v>-1777</v>
      </c>
      <c r="F1779" t="s">
        <v>559</v>
      </c>
      <c r="G1779" t="s">
        <v>560</v>
      </c>
    </row>
    <row r="1780" spans="1:7">
      <c r="A1780" t="s">
        <v>182</v>
      </c>
      <c r="B1780" t="s">
        <v>557</v>
      </c>
      <c r="C1780" t="s">
        <v>558</v>
      </c>
      <c r="D1780" t="s">
        <v>2337</v>
      </c>
      <c r="E1780">
        <v>-1778</v>
      </c>
      <c r="F1780" t="s">
        <v>559</v>
      </c>
      <c r="G1780" t="s">
        <v>560</v>
      </c>
    </row>
    <row r="1781" spans="1:7">
      <c r="A1781" t="s">
        <v>182</v>
      </c>
      <c r="B1781" t="s">
        <v>557</v>
      </c>
      <c r="C1781" t="s">
        <v>558</v>
      </c>
      <c r="D1781" t="s">
        <v>2338</v>
      </c>
      <c r="E1781">
        <v>-1779</v>
      </c>
      <c r="F1781" t="s">
        <v>559</v>
      </c>
      <c r="G1781" t="s">
        <v>560</v>
      </c>
    </row>
    <row r="1782" spans="1:7">
      <c r="A1782" t="s">
        <v>182</v>
      </c>
      <c r="B1782" t="s">
        <v>557</v>
      </c>
      <c r="C1782" t="s">
        <v>558</v>
      </c>
      <c r="D1782" t="s">
        <v>2339</v>
      </c>
      <c r="E1782">
        <v>-1780</v>
      </c>
      <c r="F1782" t="s">
        <v>559</v>
      </c>
      <c r="G1782" t="s">
        <v>560</v>
      </c>
    </row>
    <row r="1783" spans="1:7">
      <c r="A1783" t="s">
        <v>182</v>
      </c>
      <c r="B1783" t="s">
        <v>557</v>
      </c>
      <c r="C1783" t="s">
        <v>558</v>
      </c>
      <c r="D1783" t="s">
        <v>2340</v>
      </c>
      <c r="E1783">
        <v>-1781</v>
      </c>
      <c r="F1783" t="s">
        <v>559</v>
      </c>
      <c r="G1783" t="s">
        <v>560</v>
      </c>
    </row>
    <row r="1784" spans="1:7">
      <c r="A1784" t="s">
        <v>182</v>
      </c>
      <c r="B1784" t="s">
        <v>557</v>
      </c>
      <c r="C1784" t="s">
        <v>558</v>
      </c>
      <c r="D1784" t="s">
        <v>2341</v>
      </c>
      <c r="E1784">
        <v>-1782</v>
      </c>
      <c r="F1784" t="s">
        <v>559</v>
      </c>
      <c r="G1784" t="s">
        <v>560</v>
      </c>
    </row>
    <row r="1785" spans="1:7">
      <c r="A1785" t="s">
        <v>182</v>
      </c>
      <c r="B1785" t="s">
        <v>557</v>
      </c>
      <c r="C1785" t="s">
        <v>558</v>
      </c>
      <c r="D1785" t="s">
        <v>2342</v>
      </c>
      <c r="E1785">
        <v>-1783</v>
      </c>
      <c r="F1785" t="s">
        <v>559</v>
      </c>
      <c r="G1785" t="s">
        <v>560</v>
      </c>
    </row>
    <row r="1786" spans="1:7">
      <c r="A1786" t="s">
        <v>182</v>
      </c>
      <c r="B1786" t="s">
        <v>557</v>
      </c>
      <c r="C1786" t="s">
        <v>558</v>
      </c>
      <c r="D1786" t="s">
        <v>2343</v>
      </c>
      <c r="E1786">
        <v>-1784</v>
      </c>
      <c r="F1786" t="s">
        <v>559</v>
      </c>
      <c r="G1786" t="s">
        <v>560</v>
      </c>
    </row>
    <row r="1787" spans="1:7">
      <c r="A1787" t="s">
        <v>182</v>
      </c>
      <c r="B1787" t="s">
        <v>557</v>
      </c>
      <c r="C1787" t="s">
        <v>558</v>
      </c>
      <c r="D1787" t="s">
        <v>2344</v>
      </c>
      <c r="E1787">
        <v>-1785</v>
      </c>
      <c r="F1787" t="s">
        <v>559</v>
      </c>
      <c r="G1787" t="s">
        <v>560</v>
      </c>
    </row>
    <row r="1788" spans="1:7">
      <c r="A1788" t="s">
        <v>182</v>
      </c>
      <c r="B1788" t="s">
        <v>557</v>
      </c>
      <c r="C1788" t="s">
        <v>558</v>
      </c>
      <c r="D1788" t="s">
        <v>2345</v>
      </c>
      <c r="E1788">
        <v>-1786</v>
      </c>
      <c r="F1788" t="s">
        <v>559</v>
      </c>
      <c r="G1788" t="s">
        <v>560</v>
      </c>
    </row>
    <row r="1789" spans="1:7">
      <c r="A1789" t="s">
        <v>182</v>
      </c>
      <c r="B1789" t="s">
        <v>557</v>
      </c>
      <c r="C1789" t="s">
        <v>558</v>
      </c>
      <c r="D1789" t="s">
        <v>2346</v>
      </c>
      <c r="E1789">
        <v>-1787</v>
      </c>
      <c r="F1789" t="s">
        <v>559</v>
      </c>
      <c r="G1789" t="s">
        <v>560</v>
      </c>
    </row>
    <row r="1790" spans="1:7">
      <c r="A1790" t="s">
        <v>182</v>
      </c>
      <c r="B1790" t="s">
        <v>557</v>
      </c>
      <c r="C1790" t="s">
        <v>558</v>
      </c>
      <c r="D1790" t="s">
        <v>2347</v>
      </c>
      <c r="E1790">
        <v>-1788</v>
      </c>
      <c r="F1790" t="s">
        <v>559</v>
      </c>
      <c r="G1790" t="s">
        <v>560</v>
      </c>
    </row>
    <row r="1791" spans="1:7">
      <c r="A1791" t="s">
        <v>182</v>
      </c>
      <c r="B1791" t="s">
        <v>557</v>
      </c>
      <c r="C1791" t="s">
        <v>558</v>
      </c>
      <c r="D1791" t="s">
        <v>2348</v>
      </c>
      <c r="E1791">
        <v>-1789</v>
      </c>
      <c r="F1791" t="s">
        <v>559</v>
      </c>
      <c r="G1791" t="s">
        <v>560</v>
      </c>
    </row>
    <row r="1792" spans="1:7">
      <c r="A1792" t="s">
        <v>182</v>
      </c>
      <c r="B1792" t="s">
        <v>557</v>
      </c>
      <c r="C1792" t="s">
        <v>558</v>
      </c>
      <c r="D1792" t="s">
        <v>2349</v>
      </c>
      <c r="E1792">
        <v>-1790</v>
      </c>
      <c r="F1792" t="s">
        <v>559</v>
      </c>
      <c r="G1792" t="s">
        <v>560</v>
      </c>
    </row>
    <row r="1793" spans="1:7">
      <c r="A1793" t="s">
        <v>182</v>
      </c>
      <c r="B1793" t="s">
        <v>557</v>
      </c>
      <c r="C1793" t="s">
        <v>558</v>
      </c>
      <c r="D1793" t="s">
        <v>2350</v>
      </c>
      <c r="E1793">
        <v>-1791</v>
      </c>
      <c r="F1793" t="s">
        <v>559</v>
      </c>
      <c r="G1793" t="s">
        <v>560</v>
      </c>
    </row>
    <row r="1794" spans="1:7">
      <c r="A1794" t="s">
        <v>182</v>
      </c>
      <c r="B1794" t="s">
        <v>557</v>
      </c>
      <c r="C1794" t="s">
        <v>558</v>
      </c>
      <c r="D1794" t="s">
        <v>2351</v>
      </c>
      <c r="E1794">
        <v>-1792</v>
      </c>
      <c r="F1794" t="s">
        <v>559</v>
      </c>
      <c r="G1794" t="s">
        <v>560</v>
      </c>
    </row>
    <row r="1795" spans="1:7">
      <c r="A1795" t="s">
        <v>182</v>
      </c>
      <c r="B1795" t="s">
        <v>557</v>
      </c>
      <c r="C1795" t="s">
        <v>558</v>
      </c>
      <c r="D1795" t="s">
        <v>2352</v>
      </c>
      <c r="E1795">
        <v>-1793</v>
      </c>
      <c r="F1795" t="s">
        <v>559</v>
      </c>
      <c r="G1795" t="s">
        <v>560</v>
      </c>
    </row>
    <row r="1796" spans="1:7">
      <c r="A1796" t="s">
        <v>182</v>
      </c>
      <c r="B1796" t="s">
        <v>557</v>
      </c>
      <c r="C1796" t="s">
        <v>558</v>
      </c>
      <c r="D1796" t="s">
        <v>2353</v>
      </c>
      <c r="E1796">
        <v>-1794</v>
      </c>
      <c r="F1796" t="s">
        <v>559</v>
      </c>
      <c r="G1796" t="s">
        <v>560</v>
      </c>
    </row>
    <row r="1797" spans="1:7">
      <c r="A1797" t="s">
        <v>182</v>
      </c>
      <c r="B1797" t="s">
        <v>557</v>
      </c>
      <c r="C1797" t="s">
        <v>558</v>
      </c>
      <c r="D1797" t="s">
        <v>2354</v>
      </c>
      <c r="E1797">
        <v>-1795</v>
      </c>
      <c r="F1797" t="s">
        <v>559</v>
      </c>
      <c r="G1797" t="s">
        <v>560</v>
      </c>
    </row>
    <row r="1798" spans="1:7">
      <c r="A1798" t="s">
        <v>182</v>
      </c>
      <c r="B1798" t="s">
        <v>557</v>
      </c>
      <c r="C1798" t="s">
        <v>558</v>
      </c>
      <c r="D1798" t="s">
        <v>2355</v>
      </c>
      <c r="E1798">
        <v>-1796</v>
      </c>
      <c r="F1798" t="s">
        <v>559</v>
      </c>
      <c r="G1798" t="s">
        <v>560</v>
      </c>
    </row>
    <row r="1799" spans="1:7">
      <c r="A1799" t="s">
        <v>182</v>
      </c>
      <c r="B1799" t="s">
        <v>557</v>
      </c>
      <c r="C1799" t="s">
        <v>558</v>
      </c>
      <c r="D1799" t="s">
        <v>2356</v>
      </c>
      <c r="E1799">
        <v>-1797</v>
      </c>
      <c r="F1799" t="s">
        <v>559</v>
      </c>
      <c r="G1799" t="s">
        <v>560</v>
      </c>
    </row>
    <row r="1800" spans="1:7">
      <c r="A1800" t="s">
        <v>182</v>
      </c>
      <c r="B1800" t="s">
        <v>557</v>
      </c>
      <c r="C1800" t="s">
        <v>558</v>
      </c>
      <c r="D1800" t="s">
        <v>2357</v>
      </c>
      <c r="E1800">
        <v>-1798</v>
      </c>
      <c r="F1800" t="s">
        <v>559</v>
      </c>
      <c r="G1800" t="s">
        <v>560</v>
      </c>
    </row>
    <row r="1801" spans="1:7">
      <c r="A1801" t="s">
        <v>182</v>
      </c>
      <c r="B1801" t="s">
        <v>557</v>
      </c>
      <c r="C1801" t="s">
        <v>558</v>
      </c>
      <c r="D1801" t="s">
        <v>2358</v>
      </c>
      <c r="E1801">
        <v>-1799</v>
      </c>
      <c r="F1801" t="s">
        <v>559</v>
      </c>
      <c r="G1801" t="s">
        <v>560</v>
      </c>
    </row>
    <row r="1802" spans="1:7">
      <c r="A1802" t="s">
        <v>182</v>
      </c>
      <c r="B1802" t="s">
        <v>557</v>
      </c>
      <c r="C1802" t="s">
        <v>558</v>
      </c>
      <c r="D1802" t="s">
        <v>2359</v>
      </c>
      <c r="E1802">
        <v>-1800</v>
      </c>
      <c r="F1802" t="s">
        <v>559</v>
      </c>
      <c r="G1802" t="s">
        <v>560</v>
      </c>
    </row>
    <row r="1803" spans="1:7">
      <c r="A1803" t="s">
        <v>182</v>
      </c>
      <c r="B1803" t="s">
        <v>557</v>
      </c>
      <c r="C1803" t="s">
        <v>558</v>
      </c>
      <c r="D1803" t="s">
        <v>2360</v>
      </c>
      <c r="E1803">
        <v>-1801</v>
      </c>
      <c r="F1803" t="s">
        <v>559</v>
      </c>
      <c r="G1803" t="s">
        <v>560</v>
      </c>
    </row>
    <row r="1804" spans="1:7">
      <c r="A1804" t="s">
        <v>182</v>
      </c>
      <c r="B1804" t="s">
        <v>557</v>
      </c>
      <c r="C1804" t="s">
        <v>558</v>
      </c>
      <c r="D1804" t="s">
        <v>2361</v>
      </c>
      <c r="E1804">
        <v>-1802</v>
      </c>
      <c r="F1804" t="s">
        <v>559</v>
      </c>
      <c r="G1804" t="s">
        <v>560</v>
      </c>
    </row>
    <row r="1805" spans="1:7">
      <c r="A1805" t="s">
        <v>182</v>
      </c>
      <c r="B1805" t="s">
        <v>557</v>
      </c>
      <c r="C1805" t="s">
        <v>558</v>
      </c>
      <c r="D1805" t="s">
        <v>2362</v>
      </c>
      <c r="E1805">
        <v>-1803</v>
      </c>
      <c r="F1805" t="s">
        <v>559</v>
      </c>
      <c r="G1805" t="s">
        <v>560</v>
      </c>
    </row>
    <row r="1806" spans="1:7">
      <c r="A1806" t="s">
        <v>182</v>
      </c>
      <c r="B1806" t="s">
        <v>557</v>
      </c>
      <c r="C1806" t="s">
        <v>558</v>
      </c>
      <c r="D1806" t="s">
        <v>2363</v>
      </c>
      <c r="E1806">
        <v>-1804</v>
      </c>
      <c r="F1806" t="s">
        <v>559</v>
      </c>
      <c r="G1806" t="s">
        <v>560</v>
      </c>
    </row>
    <row r="1807" spans="1:7">
      <c r="A1807" t="s">
        <v>182</v>
      </c>
      <c r="B1807" t="s">
        <v>557</v>
      </c>
      <c r="C1807" t="s">
        <v>558</v>
      </c>
      <c r="D1807" t="s">
        <v>2364</v>
      </c>
      <c r="E1807">
        <v>-1805</v>
      </c>
      <c r="F1807" t="s">
        <v>559</v>
      </c>
      <c r="G1807" t="s">
        <v>560</v>
      </c>
    </row>
    <row r="1808" spans="1:7">
      <c r="A1808" t="s">
        <v>182</v>
      </c>
      <c r="B1808" t="s">
        <v>557</v>
      </c>
      <c r="C1808" t="s">
        <v>558</v>
      </c>
      <c r="D1808" t="s">
        <v>2365</v>
      </c>
      <c r="E1808">
        <v>-1806</v>
      </c>
      <c r="F1808" t="s">
        <v>559</v>
      </c>
      <c r="G1808" t="s">
        <v>560</v>
      </c>
    </row>
    <row r="1809" spans="1:7">
      <c r="A1809" t="s">
        <v>182</v>
      </c>
      <c r="B1809" t="s">
        <v>557</v>
      </c>
      <c r="C1809" t="s">
        <v>558</v>
      </c>
      <c r="D1809" t="s">
        <v>2366</v>
      </c>
      <c r="E1809">
        <v>-1807</v>
      </c>
      <c r="F1809" t="s">
        <v>559</v>
      </c>
      <c r="G1809" t="s">
        <v>560</v>
      </c>
    </row>
    <row r="1810" spans="1:7">
      <c r="A1810" t="s">
        <v>182</v>
      </c>
      <c r="B1810" t="s">
        <v>557</v>
      </c>
      <c r="C1810" t="s">
        <v>558</v>
      </c>
      <c r="D1810" t="s">
        <v>2367</v>
      </c>
      <c r="E1810">
        <v>-1808</v>
      </c>
      <c r="F1810" t="s">
        <v>559</v>
      </c>
      <c r="G1810" t="s">
        <v>560</v>
      </c>
    </row>
    <row r="1811" spans="1:7">
      <c r="A1811" t="s">
        <v>182</v>
      </c>
      <c r="B1811" t="s">
        <v>557</v>
      </c>
      <c r="C1811" t="s">
        <v>558</v>
      </c>
      <c r="D1811" t="s">
        <v>2368</v>
      </c>
      <c r="E1811">
        <v>-1809</v>
      </c>
      <c r="F1811" t="s">
        <v>559</v>
      </c>
      <c r="G1811" t="s">
        <v>560</v>
      </c>
    </row>
    <row r="1812" spans="1:7">
      <c r="A1812" t="s">
        <v>182</v>
      </c>
      <c r="B1812" t="s">
        <v>557</v>
      </c>
      <c r="C1812" t="s">
        <v>558</v>
      </c>
      <c r="D1812" t="s">
        <v>2369</v>
      </c>
      <c r="E1812">
        <v>-1810</v>
      </c>
      <c r="F1812" t="s">
        <v>559</v>
      </c>
      <c r="G1812" t="s">
        <v>560</v>
      </c>
    </row>
    <row r="1813" spans="1:7">
      <c r="A1813" t="s">
        <v>182</v>
      </c>
      <c r="B1813" t="s">
        <v>557</v>
      </c>
      <c r="C1813" t="s">
        <v>558</v>
      </c>
      <c r="D1813" t="s">
        <v>2370</v>
      </c>
      <c r="E1813">
        <v>-1811</v>
      </c>
      <c r="F1813" t="s">
        <v>559</v>
      </c>
      <c r="G1813" t="s">
        <v>560</v>
      </c>
    </row>
    <row r="1814" spans="1:7">
      <c r="A1814" t="s">
        <v>182</v>
      </c>
      <c r="B1814" t="s">
        <v>557</v>
      </c>
      <c r="C1814" t="s">
        <v>558</v>
      </c>
      <c r="D1814" t="s">
        <v>2371</v>
      </c>
      <c r="E1814">
        <v>-1812</v>
      </c>
      <c r="F1814" t="s">
        <v>559</v>
      </c>
      <c r="G1814" t="s">
        <v>560</v>
      </c>
    </row>
    <row r="1815" spans="1:7">
      <c r="A1815" t="s">
        <v>182</v>
      </c>
      <c r="B1815" t="s">
        <v>557</v>
      </c>
      <c r="C1815" t="s">
        <v>558</v>
      </c>
      <c r="D1815" t="s">
        <v>2372</v>
      </c>
      <c r="E1815">
        <v>-1813</v>
      </c>
      <c r="F1815" t="s">
        <v>559</v>
      </c>
      <c r="G1815" t="s">
        <v>560</v>
      </c>
    </row>
    <row r="1816" spans="1:7">
      <c r="A1816" t="s">
        <v>182</v>
      </c>
      <c r="B1816" t="s">
        <v>557</v>
      </c>
      <c r="C1816" t="s">
        <v>558</v>
      </c>
      <c r="D1816" t="s">
        <v>2373</v>
      </c>
      <c r="E1816">
        <v>-1814</v>
      </c>
      <c r="F1816" t="s">
        <v>559</v>
      </c>
      <c r="G1816" t="s">
        <v>560</v>
      </c>
    </row>
    <row r="1817" spans="1:7">
      <c r="A1817" t="s">
        <v>182</v>
      </c>
      <c r="B1817" t="s">
        <v>557</v>
      </c>
      <c r="C1817" t="s">
        <v>558</v>
      </c>
      <c r="D1817" t="s">
        <v>2374</v>
      </c>
      <c r="E1817">
        <v>-1815</v>
      </c>
      <c r="F1817" t="s">
        <v>559</v>
      </c>
      <c r="G1817" t="s">
        <v>560</v>
      </c>
    </row>
    <row r="1818" spans="1:7">
      <c r="A1818" t="s">
        <v>182</v>
      </c>
      <c r="B1818" t="s">
        <v>557</v>
      </c>
      <c r="C1818" t="s">
        <v>558</v>
      </c>
      <c r="D1818" t="s">
        <v>2375</v>
      </c>
      <c r="E1818">
        <v>-1816</v>
      </c>
      <c r="F1818" t="s">
        <v>559</v>
      </c>
      <c r="G1818" t="s">
        <v>560</v>
      </c>
    </row>
    <row r="1819" spans="1:7">
      <c r="A1819" t="s">
        <v>182</v>
      </c>
      <c r="B1819" t="s">
        <v>557</v>
      </c>
      <c r="C1819" t="s">
        <v>558</v>
      </c>
      <c r="D1819" t="s">
        <v>2376</v>
      </c>
      <c r="E1819">
        <v>-1817</v>
      </c>
      <c r="F1819" t="s">
        <v>559</v>
      </c>
      <c r="G1819" t="s">
        <v>560</v>
      </c>
    </row>
    <row r="1820" spans="1:7">
      <c r="A1820" t="s">
        <v>182</v>
      </c>
      <c r="B1820" t="s">
        <v>557</v>
      </c>
      <c r="C1820" t="s">
        <v>558</v>
      </c>
      <c r="D1820" t="s">
        <v>2377</v>
      </c>
      <c r="E1820">
        <v>-1818</v>
      </c>
      <c r="F1820" t="s">
        <v>559</v>
      </c>
      <c r="G1820" t="s">
        <v>560</v>
      </c>
    </row>
    <row r="1821" spans="1:7">
      <c r="A1821" t="s">
        <v>182</v>
      </c>
      <c r="B1821" t="s">
        <v>557</v>
      </c>
      <c r="C1821" t="s">
        <v>558</v>
      </c>
      <c r="D1821" t="s">
        <v>2378</v>
      </c>
      <c r="E1821">
        <v>-1819</v>
      </c>
      <c r="F1821" t="s">
        <v>559</v>
      </c>
      <c r="G1821" t="s">
        <v>560</v>
      </c>
    </row>
    <row r="1822" spans="1:7">
      <c r="A1822" t="s">
        <v>182</v>
      </c>
      <c r="B1822" t="s">
        <v>557</v>
      </c>
      <c r="C1822" t="s">
        <v>558</v>
      </c>
      <c r="D1822" t="s">
        <v>2379</v>
      </c>
      <c r="E1822">
        <v>-1820</v>
      </c>
      <c r="F1822" t="s">
        <v>559</v>
      </c>
      <c r="G1822" t="s">
        <v>560</v>
      </c>
    </row>
    <row r="1823" spans="1:7">
      <c r="A1823" t="s">
        <v>182</v>
      </c>
      <c r="B1823" t="s">
        <v>557</v>
      </c>
      <c r="C1823" t="s">
        <v>558</v>
      </c>
      <c r="D1823" t="s">
        <v>2380</v>
      </c>
      <c r="E1823">
        <v>-1821</v>
      </c>
      <c r="F1823" t="s">
        <v>559</v>
      </c>
      <c r="G1823" t="s">
        <v>560</v>
      </c>
    </row>
    <row r="1824" spans="1:7">
      <c r="A1824" t="s">
        <v>182</v>
      </c>
      <c r="B1824" t="s">
        <v>557</v>
      </c>
      <c r="C1824" t="s">
        <v>558</v>
      </c>
      <c r="D1824" t="s">
        <v>2381</v>
      </c>
      <c r="E1824">
        <v>-1822</v>
      </c>
      <c r="F1824" t="s">
        <v>559</v>
      </c>
      <c r="G1824" t="s">
        <v>560</v>
      </c>
    </row>
    <row r="1825" spans="1:7">
      <c r="A1825" t="s">
        <v>182</v>
      </c>
      <c r="B1825" t="s">
        <v>557</v>
      </c>
      <c r="C1825" t="s">
        <v>558</v>
      </c>
      <c r="D1825" t="s">
        <v>2382</v>
      </c>
      <c r="E1825">
        <v>-1823</v>
      </c>
      <c r="F1825" t="s">
        <v>559</v>
      </c>
      <c r="G1825" t="s">
        <v>560</v>
      </c>
    </row>
    <row r="1826" spans="1:7">
      <c r="A1826" t="s">
        <v>182</v>
      </c>
      <c r="B1826" t="s">
        <v>557</v>
      </c>
      <c r="C1826" t="s">
        <v>558</v>
      </c>
      <c r="D1826" t="s">
        <v>2383</v>
      </c>
      <c r="E1826">
        <v>-1824</v>
      </c>
      <c r="F1826" t="s">
        <v>559</v>
      </c>
      <c r="G1826" t="s">
        <v>560</v>
      </c>
    </row>
    <row r="1827" spans="1:7">
      <c r="A1827" t="s">
        <v>182</v>
      </c>
      <c r="B1827" t="s">
        <v>557</v>
      </c>
      <c r="C1827" t="s">
        <v>558</v>
      </c>
      <c r="D1827" t="s">
        <v>2384</v>
      </c>
      <c r="E1827">
        <v>-1825</v>
      </c>
      <c r="F1827" t="s">
        <v>559</v>
      </c>
      <c r="G1827" t="s">
        <v>560</v>
      </c>
    </row>
    <row r="1828" spans="1:7">
      <c r="A1828" t="s">
        <v>182</v>
      </c>
      <c r="B1828" t="s">
        <v>557</v>
      </c>
      <c r="C1828" t="s">
        <v>558</v>
      </c>
      <c r="D1828" t="s">
        <v>2385</v>
      </c>
      <c r="E1828">
        <v>-1826</v>
      </c>
      <c r="F1828" t="s">
        <v>559</v>
      </c>
      <c r="G1828" t="s">
        <v>560</v>
      </c>
    </row>
    <row r="1829" spans="1:7">
      <c r="A1829" t="s">
        <v>182</v>
      </c>
      <c r="B1829" t="s">
        <v>557</v>
      </c>
      <c r="C1829" t="s">
        <v>558</v>
      </c>
      <c r="D1829" t="s">
        <v>2386</v>
      </c>
      <c r="E1829">
        <v>-1827</v>
      </c>
      <c r="F1829" t="s">
        <v>559</v>
      </c>
      <c r="G1829" t="s">
        <v>560</v>
      </c>
    </row>
    <row r="1830" spans="1:7">
      <c r="A1830" t="s">
        <v>182</v>
      </c>
      <c r="B1830" t="s">
        <v>557</v>
      </c>
      <c r="C1830" t="s">
        <v>558</v>
      </c>
      <c r="D1830" t="s">
        <v>2387</v>
      </c>
      <c r="E1830">
        <v>-1828</v>
      </c>
      <c r="F1830" t="s">
        <v>559</v>
      </c>
      <c r="G1830" t="s">
        <v>560</v>
      </c>
    </row>
    <row r="1831" spans="1:7">
      <c r="A1831" t="s">
        <v>182</v>
      </c>
      <c r="B1831" t="s">
        <v>557</v>
      </c>
      <c r="C1831" t="s">
        <v>558</v>
      </c>
      <c r="D1831" t="s">
        <v>2388</v>
      </c>
      <c r="E1831">
        <v>-1829</v>
      </c>
      <c r="F1831" t="s">
        <v>559</v>
      </c>
      <c r="G1831" t="s">
        <v>560</v>
      </c>
    </row>
    <row r="1832" spans="1:7">
      <c r="A1832" t="s">
        <v>182</v>
      </c>
      <c r="B1832" t="s">
        <v>557</v>
      </c>
      <c r="C1832" t="s">
        <v>558</v>
      </c>
      <c r="D1832" t="s">
        <v>2389</v>
      </c>
      <c r="E1832">
        <v>-1830</v>
      </c>
      <c r="F1832" t="s">
        <v>559</v>
      </c>
      <c r="G1832" t="s">
        <v>560</v>
      </c>
    </row>
    <row r="1833" spans="1:7">
      <c r="A1833" t="s">
        <v>182</v>
      </c>
      <c r="B1833" t="s">
        <v>557</v>
      </c>
      <c r="C1833" t="s">
        <v>558</v>
      </c>
      <c r="D1833" t="s">
        <v>2390</v>
      </c>
      <c r="E1833">
        <v>-1831</v>
      </c>
      <c r="F1833" t="s">
        <v>559</v>
      </c>
      <c r="G1833" t="s">
        <v>560</v>
      </c>
    </row>
    <row r="1834" spans="1:7">
      <c r="A1834" t="s">
        <v>182</v>
      </c>
      <c r="B1834" t="s">
        <v>557</v>
      </c>
      <c r="C1834" t="s">
        <v>558</v>
      </c>
      <c r="D1834" t="s">
        <v>2391</v>
      </c>
      <c r="E1834">
        <v>-1832</v>
      </c>
      <c r="F1834" t="s">
        <v>559</v>
      </c>
      <c r="G1834" t="s">
        <v>560</v>
      </c>
    </row>
    <row r="1835" spans="1:7">
      <c r="A1835" t="s">
        <v>182</v>
      </c>
      <c r="B1835" t="s">
        <v>557</v>
      </c>
      <c r="C1835" t="s">
        <v>558</v>
      </c>
      <c r="D1835" t="s">
        <v>2392</v>
      </c>
      <c r="E1835">
        <v>-1833</v>
      </c>
      <c r="F1835" t="s">
        <v>559</v>
      </c>
      <c r="G1835" t="s">
        <v>560</v>
      </c>
    </row>
    <row r="1836" spans="1:7">
      <c r="A1836" t="s">
        <v>182</v>
      </c>
      <c r="B1836" t="s">
        <v>557</v>
      </c>
      <c r="C1836" t="s">
        <v>558</v>
      </c>
      <c r="D1836" t="s">
        <v>2393</v>
      </c>
      <c r="E1836">
        <v>-1834</v>
      </c>
      <c r="F1836" t="s">
        <v>559</v>
      </c>
      <c r="G1836" t="s">
        <v>560</v>
      </c>
    </row>
    <row r="1837" spans="1:7">
      <c r="A1837" t="s">
        <v>182</v>
      </c>
      <c r="B1837" t="s">
        <v>557</v>
      </c>
      <c r="C1837" t="s">
        <v>558</v>
      </c>
      <c r="D1837" t="s">
        <v>2394</v>
      </c>
      <c r="E1837">
        <v>-1835</v>
      </c>
      <c r="F1837" t="s">
        <v>559</v>
      </c>
      <c r="G1837" t="s">
        <v>560</v>
      </c>
    </row>
    <row r="1838" spans="1:7">
      <c r="A1838" t="s">
        <v>182</v>
      </c>
      <c r="B1838" t="s">
        <v>557</v>
      </c>
      <c r="C1838" t="s">
        <v>558</v>
      </c>
      <c r="D1838" t="s">
        <v>2395</v>
      </c>
      <c r="E1838">
        <v>-1836</v>
      </c>
      <c r="F1838" t="s">
        <v>559</v>
      </c>
      <c r="G1838" t="s">
        <v>560</v>
      </c>
    </row>
    <row r="1839" spans="1:7">
      <c r="A1839" t="s">
        <v>182</v>
      </c>
      <c r="B1839" t="s">
        <v>557</v>
      </c>
      <c r="C1839" t="s">
        <v>558</v>
      </c>
      <c r="D1839" t="s">
        <v>2396</v>
      </c>
      <c r="E1839">
        <v>-1837</v>
      </c>
      <c r="F1839" t="s">
        <v>559</v>
      </c>
      <c r="G1839" t="s">
        <v>560</v>
      </c>
    </row>
    <row r="1840" spans="1:7">
      <c r="A1840" t="s">
        <v>182</v>
      </c>
      <c r="B1840" t="s">
        <v>557</v>
      </c>
      <c r="C1840" t="s">
        <v>558</v>
      </c>
      <c r="D1840" t="s">
        <v>2397</v>
      </c>
      <c r="E1840">
        <v>-1838</v>
      </c>
      <c r="F1840" t="s">
        <v>559</v>
      </c>
      <c r="G1840" t="s">
        <v>560</v>
      </c>
    </row>
    <row r="1841" spans="1:7">
      <c r="A1841" t="s">
        <v>182</v>
      </c>
      <c r="B1841" t="s">
        <v>557</v>
      </c>
      <c r="C1841" t="s">
        <v>558</v>
      </c>
      <c r="D1841" t="s">
        <v>2398</v>
      </c>
      <c r="E1841">
        <v>-1839</v>
      </c>
      <c r="F1841" t="s">
        <v>559</v>
      </c>
      <c r="G1841" t="s">
        <v>560</v>
      </c>
    </row>
    <row r="1842" spans="1:7">
      <c r="A1842" t="s">
        <v>182</v>
      </c>
      <c r="B1842" t="s">
        <v>557</v>
      </c>
      <c r="C1842" t="s">
        <v>558</v>
      </c>
      <c r="D1842" t="s">
        <v>2399</v>
      </c>
      <c r="E1842">
        <v>-1840</v>
      </c>
      <c r="F1842" t="s">
        <v>559</v>
      </c>
      <c r="G1842" t="s">
        <v>560</v>
      </c>
    </row>
    <row r="1843" spans="1:7">
      <c r="A1843" t="s">
        <v>182</v>
      </c>
      <c r="B1843" t="s">
        <v>557</v>
      </c>
      <c r="C1843" t="s">
        <v>558</v>
      </c>
      <c r="D1843" t="s">
        <v>2400</v>
      </c>
      <c r="E1843">
        <v>-1841</v>
      </c>
      <c r="F1843" t="s">
        <v>559</v>
      </c>
      <c r="G1843" t="s">
        <v>560</v>
      </c>
    </row>
    <row r="1844" spans="1:7">
      <c r="A1844" t="s">
        <v>182</v>
      </c>
      <c r="B1844" t="s">
        <v>557</v>
      </c>
      <c r="C1844" t="s">
        <v>558</v>
      </c>
      <c r="D1844" t="s">
        <v>2401</v>
      </c>
      <c r="E1844">
        <v>-1842</v>
      </c>
      <c r="F1844" t="s">
        <v>559</v>
      </c>
      <c r="G1844" t="s">
        <v>560</v>
      </c>
    </row>
    <row r="1845" spans="1:7">
      <c r="A1845" t="s">
        <v>182</v>
      </c>
      <c r="B1845" t="s">
        <v>557</v>
      </c>
      <c r="C1845" t="s">
        <v>558</v>
      </c>
      <c r="D1845" t="s">
        <v>2402</v>
      </c>
      <c r="E1845">
        <v>-1843</v>
      </c>
      <c r="F1845" t="s">
        <v>559</v>
      </c>
      <c r="G1845" t="s">
        <v>560</v>
      </c>
    </row>
    <row r="1846" spans="1:7">
      <c r="A1846" t="s">
        <v>182</v>
      </c>
      <c r="B1846" t="s">
        <v>557</v>
      </c>
      <c r="C1846" t="s">
        <v>558</v>
      </c>
      <c r="D1846" t="s">
        <v>2403</v>
      </c>
      <c r="E1846">
        <v>-1844</v>
      </c>
      <c r="F1846" t="s">
        <v>559</v>
      </c>
      <c r="G1846" t="s">
        <v>560</v>
      </c>
    </row>
    <row r="1847" spans="1:7">
      <c r="A1847" t="s">
        <v>182</v>
      </c>
      <c r="B1847" t="s">
        <v>557</v>
      </c>
      <c r="C1847" t="s">
        <v>558</v>
      </c>
      <c r="D1847" t="s">
        <v>2404</v>
      </c>
      <c r="E1847">
        <v>-1845</v>
      </c>
      <c r="F1847" t="s">
        <v>559</v>
      </c>
      <c r="G1847" t="s">
        <v>560</v>
      </c>
    </row>
    <row r="1848" spans="1:7">
      <c r="A1848" t="s">
        <v>182</v>
      </c>
      <c r="B1848" t="s">
        <v>557</v>
      </c>
      <c r="C1848" t="s">
        <v>558</v>
      </c>
      <c r="D1848" t="s">
        <v>2405</v>
      </c>
      <c r="E1848">
        <v>-1846</v>
      </c>
      <c r="F1848" t="s">
        <v>559</v>
      </c>
      <c r="G1848" t="s">
        <v>560</v>
      </c>
    </row>
    <row r="1849" spans="1:7">
      <c r="A1849" t="s">
        <v>182</v>
      </c>
      <c r="B1849" t="s">
        <v>557</v>
      </c>
      <c r="C1849" t="s">
        <v>558</v>
      </c>
      <c r="D1849" t="s">
        <v>2406</v>
      </c>
      <c r="E1849">
        <v>-1847</v>
      </c>
      <c r="F1849" t="s">
        <v>559</v>
      </c>
      <c r="G1849" t="s">
        <v>560</v>
      </c>
    </row>
    <row r="1850" spans="1:7">
      <c r="A1850" t="s">
        <v>182</v>
      </c>
      <c r="B1850" t="s">
        <v>557</v>
      </c>
      <c r="C1850" t="s">
        <v>558</v>
      </c>
      <c r="D1850" t="s">
        <v>2407</v>
      </c>
      <c r="E1850">
        <v>-1848</v>
      </c>
      <c r="F1850" t="s">
        <v>559</v>
      </c>
      <c r="G1850" t="s">
        <v>560</v>
      </c>
    </row>
    <row r="1851" spans="1:7">
      <c r="A1851" t="s">
        <v>182</v>
      </c>
      <c r="B1851" t="s">
        <v>557</v>
      </c>
      <c r="C1851" t="s">
        <v>558</v>
      </c>
      <c r="D1851" t="s">
        <v>2408</v>
      </c>
      <c r="E1851">
        <v>-1849</v>
      </c>
      <c r="F1851" t="s">
        <v>559</v>
      </c>
      <c r="G1851" t="s">
        <v>560</v>
      </c>
    </row>
    <row r="1852" spans="1:7">
      <c r="A1852" t="s">
        <v>182</v>
      </c>
      <c r="B1852" t="s">
        <v>557</v>
      </c>
      <c r="C1852" t="s">
        <v>558</v>
      </c>
      <c r="D1852" t="s">
        <v>2409</v>
      </c>
      <c r="E1852">
        <v>-1850</v>
      </c>
      <c r="F1852" t="s">
        <v>559</v>
      </c>
      <c r="G1852" t="s">
        <v>560</v>
      </c>
    </row>
    <row r="1853" spans="1:7">
      <c r="A1853" t="s">
        <v>182</v>
      </c>
      <c r="B1853" t="s">
        <v>557</v>
      </c>
      <c r="C1853" t="s">
        <v>558</v>
      </c>
      <c r="D1853" t="s">
        <v>2410</v>
      </c>
      <c r="E1853">
        <v>-1851</v>
      </c>
      <c r="F1853" t="s">
        <v>559</v>
      </c>
      <c r="G1853" t="s">
        <v>560</v>
      </c>
    </row>
    <row r="1854" spans="1:7">
      <c r="A1854" t="s">
        <v>182</v>
      </c>
      <c r="B1854" t="s">
        <v>557</v>
      </c>
      <c r="C1854" t="s">
        <v>558</v>
      </c>
      <c r="D1854" t="s">
        <v>2411</v>
      </c>
      <c r="E1854">
        <v>-1852</v>
      </c>
      <c r="F1854" t="s">
        <v>559</v>
      </c>
      <c r="G1854" t="s">
        <v>560</v>
      </c>
    </row>
    <row r="1855" spans="1:7">
      <c r="A1855" t="s">
        <v>182</v>
      </c>
      <c r="B1855" t="s">
        <v>557</v>
      </c>
      <c r="C1855" t="s">
        <v>558</v>
      </c>
      <c r="D1855" t="s">
        <v>2412</v>
      </c>
      <c r="E1855">
        <v>-1853</v>
      </c>
      <c r="F1855" t="s">
        <v>559</v>
      </c>
      <c r="G1855" t="s">
        <v>560</v>
      </c>
    </row>
    <row r="1856" spans="1:7">
      <c r="A1856" t="s">
        <v>182</v>
      </c>
      <c r="B1856" t="s">
        <v>557</v>
      </c>
      <c r="C1856" t="s">
        <v>558</v>
      </c>
      <c r="D1856" t="s">
        <v>2413</v>
      </c>
      <c r="E1856">
        <v>-1854</v>
      </c>
      <c r="F1856" t="s">
        <v>559</v>
      </c>
      <c r="G1856" t="s">
        <v>560</v>
      </c>
    </row>
    <row r="1857" spans="1:7">
      <c r="A1857" t="s">
        <v>182</v>
      </c>
      <c r="B1857" t="s">
        <v>557</v>
      </c>
      <c r="C1857" t="s">
        <v>558</v>
      </c>
      <c r="D1857" t="s">
        <v>2414</v>
      </c>
      <c r="E1857">
        <v>-1855</v>
      </c>
      <c r="F1857" t="s">
        <v>559</v>
      </c>
      <c r="G1857" t="s">
        <v>560</v>
      </c>
    </row>
    <row r="1858" spans="1:7">
      <c r="A1858" t="s">
        <v>182</v>
      </c>
      <c r="B1858" t="s">
        <v>557</v>
      </c>
      <c r="C1858" t="s">
        <v>558</v>
      </c>
      <c r="D1858" t="s">
        <v>2415</v>
      </c>
      <c r="E1858">
        <v>-1856</v>
      </c>
      <c r="F1858" t="s">
        <v>559</v>
      </c>
      <c r="G1858" t="s">
        <v>560</v>
      </c>
    </row>
    <row r="1859" spans="1:7">
      <c r="A1859" t="s">
        <v>182</v>
      </c>
      <c r="B1859" t="s">
        <v>557</v>
      </c>
      <c r="C1859" t="s">
        <v>558</v>
      </c>
      <c r="D1859" t="s">
        <v>2416</v>
      </c>
      <c r="E1859">
        <v>-1857</v>
      </c>
      <c r="F1859" t="s">
        <v>559</v>
      </c>
      <c r="G1859" t="s">
        <v>560</v>
      </c>
    </row>
    <row r="1860" spans="1:7">
      <c r="A1860" t="s">
        <v>182</v>
      </c>
      <c r="B1860" t="s">
        <v>557</v>
      </c>
      <c r="C1860" t="s">
        <v>558</v>
      </c>
      <c r="D1860" t="s">
        <v>2417</v>
      </c>
      <c r="E1860">
        <v>-1858</v>
      </c>
      <c r="F1860" t="s">
        <v>559</v>
      </c>
      <c r="G1860" t="s">
        <v>560</v>
      </c>
    </row>
    <row r="1861" spans="1:7">
      <c r="A1861" t="s">
        <v>182</v>
      </c>
      <c r="B1861" t="s">
        <v>557</v>
      </c>
      <c r="C1861" t="s">
        <v>558</v>
      </c>
      <c r="D1861" t="s">
        <v>2418</v>
      </c>
      <c r="E1861">
        <v>-1859</v>
      </c>
      <c r="F1861" t="s">
        <v>559</v>
      </c>
      <c r="G1861" t="s">
        <v>560</v>
      </c>
    </row>
    <row r="1862" spans="1:7">
      <c r="A1862" t="s">
        <v>182</v>
      </c>
      <c r="B1862" t="s">
        <v>557</v>
      </c>
      <c r="C1862" t="s">
        <v>558</v>
      </c>
      <c r="D1862" t="s">
        <v>2419</v>
      </c>
      <c r="E1862">
        <v>-1860</v>
      </c>
      <c r="F1862" t="s">
        <v>559</v>
      </c>
      <c r="G1862" t="s">
        <v>560</v>
      </c>
    </row>
    <row r="1863" spans="1:7">
      <c r="A1863" t="s">
        <v>182</v>
      </c>
      <c r="B1863" t="s">
        <v>557</v>
      </c>
      <c r="C1863" t="s">
        <v>558</v>
      </c>
      <c r="D1863" t="s">
        <v>2420</v>
      </c>
      <c r="E1863">
        <v>-1861</v>
      </c>
      <c r="F1863" t="s">
        <v>559</v>
      </c>
      <c r="G1863" t="s">
        <v>560</v>
      </c>
    </row>
    <row r="1864" spans="1:7">
      <c r="A1864" t="s">
        <v>182</v>
      </c>
      <c r="B1864" t="s">
        <v>557</v>
      </c>
      <c r="C1864" t="s">
        <v>558</v>
      </c>
      <c r="D1864" t="s">
        <v>2421</v>
      </c>
      <c r="E1864">
        <v>-1862</v>
      </c>
      <c r="F1864" t="s">
        <v>559</v>
      </c>
      <c r="G1864" t="s">
        <v>560</v>
      </c>
    </row>
    <row r="1865" spans="1:7">
      <c r="A1865" t="s">
        <v>182</v>
      </c>
      <c r="B1865" t="s">
        <v>557</v>
      </c>
      <c r="C1865" t="s">
        <v>558</v>
      </c>
      <c r="D1865" t="s">
        <v>2422</v>
      </c>
      <c r="E1865">
        <v>-1863</v>
      </c>
      <c r="F1865" t="s">
        <v>559</v>
      </c>
      <c r="G1865" t="s">
        <v>560</v>
      </c>
    </row>
    <row r="1866" spans="1:7">
      <c r="A1866" t="s">
        <v>182</v>
      </c>
      <c r="B1866" t="s">
        <v>557</v>
      </c>
      <c r="C1866" t="s">
        <v>558</v>
      </c>
      <c r="D1866" t="s">
        <v>2423</v>
      </c>
      <c r="E1866">
        <v>-1864</v>
      </c>
      <c r="F1866" t="s">
        <v>559</v>
      </c>
      <c r="G1866" t="s">
        <v>560</v>
      </c>
    </row>
    <row r="1867" spans="1:7">
      <c r="A1867" t="s">
        <v>182</v>
      </c>
      <c r="B1867" t="s">
        <v>557</v>
      </c>
      <c r="C1867" t="s">
        <v>558</v>
      </c>
      <c r="D1867" t="s">
        <v>2424</v>
      </c>
      <c r="E1867">
        <v>-1865</v>
      </c>
      <c r="F1867" t="s">
        <v>559</v>
      </c>
      <c r="G1867" t="s">
        <v>560</v>
      </c>
    </row>
    <row r="1868" spans="1:7">
      <c r="A1868" t="s">
        <v>182</v>
      </c>
      <c r="B1868" t="s">
        <v>557</v>
      </c>
      <c r="C1868" t="s">
        <v>558</v>
      </c>
      <c r="D1868" t="s">
        <v>2425</v>
      </c>
      <c r="E1868">
        <v>-1866</v>
      </c>
      <c r="F1868" t="s">
        <v>559</v>
      </c>
      <c r="G1868" t="s">
        <v>560</v>
      </c>
    </row>
    <row r="1869" spans="1:7">
      <c r="A1869" t="s">
        <v>182</v>
      </c>
      <c r="B1869" t="s">
        <v>557</v>
      </c>
      <c r="C1869" t="s">
        <v>558</v>
      </c>
      <c r="D1869" t="s">
        <v>2426</v>
      </c>
      <c r="E1869">
        <v>-1867</v>
      </c>
      <c r="F1869" t="s">
        <v>559</v>
      </c>
      <c r="G1869" t="s">
        <v>560</v>
      </c>
    </row>
    <row r="1870" spans="1:7">
      <c r="A1870" t="s">
        <v>182</v>
      </c>
      <c r="B1870" t="s">
        <v>557</v>
      </c>
      <c r="C1870" t="s">
        <v>558</v>
      </c>
      <c r="D1870" t="s">
        <v>2427</v>
      </c>
      <c r="E1870">
        <v>-1868</v>
      </c>
      <c r="F1870" t="s">
        <v>559</v>
      </c>
      <c r="G1870" t="s">
        <v>560</v>
      </c>
    </row>
    <row r="1871" spans="1:7">
      <c r="A1871" t="s">
        <v>182</v>
      </c>
      <c r="B1871" t="s">
        <v>557</v>
      </c>
      <c r="C1871" t="s">
        <v>558</v>
      </c>
      <c r="D1871" t="s">
        <v>2428</v>
      </c>
      <c r="E1871">
        <v>-1869</v>
      </c>
      <c r="F1871" t="s">
        <v>559</v>
      </c>
      <c r="G1871" t="s">
        <v>560</v>
      </c>
    </row>
    <row r="1872" spans="1:7">
      <c r="A1872" t="s">
        <v>182</v>
      </c>
      <c r="B1872" t="s">
        <v>557</v>
      </c>
      <c r="C1872" t="s">
        <v>558</v>
      </c>
      <c r="D1872" t="s">
        <v>2429</v>
      </c>
      <c r="E1872">
        <v>-1870</v>
      </c>
      <c r="F1872" t="s">
        <v>559</v>
      </c>
      <c r="G1872" t="s">
        <v>560</v>
      </c>
    </row>
    <row r="1873" spans="1:7">
      <c r="A1873" t="s">
        <v>182</v>
      </c>
      <c r="B1873" t="s">
        <v>557</v>
      </c>
      <c r="C1873" t="s">
        <v>558</v>
      </c>
      <c r="D1873" t="s">
        <v>2430</v>
      </c>
      <c r="E1873">
        <v>-1871</v>
      </c>
      <c r="F1873" t="s">
        <v>559</v>
      </c>
      <c r="G1873" t="s">
        <v>560</v>
      </c>
    </row>
    <row r="1874" spans="1:7">
      <c r="A1874" t="s">
        <v>182</v>
      </c>
      <c r="B1874" t="s">
        <v>557</v>
      </c>
      <c r="C1874" t="s">
        <v>558</v>
      </c>
      <c r="D1874" t="s">
        <v>2431</v>
      </c>
      <c r="E1874">
        <v>-1872</v>
      </c>
      <c r="F1874" t="s">
        <v>559</v>
      </c>
      <c r="G1874" t="s">
        <v>560</v>
      </c>
    </row>
    <row r="1875" spans="1:7">
      <c r="A1875" t="s">
        <v>182</v>
      </c>
      <c r="B1875" t="s">
        <v>557</v>
      </c>
      <c r="C1875" t="s">
        <v>558</v>
      </c>
      <c r="D1875" t="s">
        <v>2432</v>
      </c>
      <c r="E1875">
        <v>-1873</v>
      </c>
      <c r="F1875" t="s">
        <v>559</v>
      </c>
      <c r="G1875" t="s">
        <v>560</v>
      </c>
    </row>
    <row r="1876" spans="1:7">
      <c r="A1876" t="s">
        <v>182</v>
      </c>
      <c r="B1876" t="s">
        <v>557</v>
      </c>
      <c r="C1876" t="s">
        <v>558</v>
      </c>
      <c r="D1876" t="s">
        <v>2433</v>
      </c>
      <c r="E1876">
        <v>-1874</v>
      </c>
      <c r="F1876" t="s">
        <v>559</v>
      </c>
      <c r="G1876" t="s">
        <v>560</v>
      </c>
    </row>
    <row r="1877" spans="1:7">
      <c r="A1877" t="s">
        <v>182</v>
      </c>
      <c r="B1877" t="s">
        <v>557</v>
      </c>
      <c r="C1877" t="s">
        <v>558</v>
      </c>
      <c r="D1877" t="s">
        <v>2434</v>
      </c>
      <c r="E1877">
        <v>-1875</v>
      </c>
      <c r="F1877" t="s">
        <v>559</v>
      </c>
      <c r="G1877" t="s">
        <v>560</v>
      </c>
    </row>
    <row r="1878" spans="1:7">
      <c r="A1878" t="s">
        <v>182</v>
      </c>
      <c r="B1878" t="s">
        <v>557</v>
      </c>
      <c r="C1878" t="s">
        <v>558</v>
      </c>
      <c r="D1878" t="s">
        <v>2435</v>
      </c>
      <c r="E1878">
        <v>-1876</v>
      </c>
      <c r="F1878" t="s">
        <v>559</v>
      </c>
      <c r="G1878" t="s">
        <v>560</v>
      </c>
    </row>
    <row r="1879" spans="1:7">
      <c r="A1879" t="s">
        <v>182</v>
      </c>
      <c r="B1879" t="s">
        <v>557</v>
      </c>
      <c r="C1879" t="s">
        <v>558</v>
      </c>
      <c r="D1879" t="s">
        <v>2436</v>
      </c>
      <c r="E1879">
        <v>-1877</v>
      </c>
      <c r="F1879" t="s">
        <v>559</v>
      </c>
      <c r="G1879" t="s">
        <v>560</v>
      </c>
    </row>
    <row r="1880" spans="1:7">
      <c r="A1880" t="s">
        <v>182</v>
      </c>
      <c r="B1880" t="s">
        <v>557</v>
      </c>
      <c r="C1880" t="s">
        <v>558</v>
      </c>
      <c r="D1880" t="s">
        <v>2437</v>
      </c>
      <c r="E1880">
        <v>-1878</v>
      </c>
      <c r="F1880" t="s">
        <v>559</v>
      </c>
      <c r="G1880" t="s">
        <v>560</v>
      </c>
    </row>
    <row r="1881" spans="1:7">
      <c r="A1881" t="s">
        <v>182</v>
      </c>
      <c r="B1881" t="s">
        <v>557</v>
      </c>
      <c r="C1881" t="s">
        <v>558</v>
      </c>
      <c r="D1881" t="s">
        <v>2438</v>
      </c>
      <c r="E1881">
        <v>-1879</v>
      </c>
      <c r="F1881" t="s">
        <v>559</v>
      </c>
      <c r="G1881" t="s">
        <v>560</v>
      </c>
    </row>
    <row r="1882" spans="1:7">
      <c r="A1882" t="s">
        <v>182</v>
      </c>
      <c r="B1882" t="s">
        <v>557</v>
      </c>
      <c r="C1882" t="s">
        <v>558</v>
      </c>
      <c r="D1882" t="s">
        <v>2439</v>
      </c>
      <c r="E1882">
        <v>-1880</v>
      </c>
      <c r="F1882" t="s">
        <v>559</v>
      </c>
      <c r="G1882" t="s">
        <v>560</v>
      </c>
    </row>
    <row r="1883" spans="1:7">
      <c r="A1883" t="s">
        <v>182</v>
      </c>
      <c r="B1883" t="s">
        <v>557</v>
      </c>
      <c r="C1883" t="s">
        <v>558</v>
      </c>
      <c r="D1883" t="s">
        <v>2440</v>
      </c>
      <c r="E1883">
        <v>-1881</v>
      </c>
      <c r="F1883" t="s">
        <v>559</v>
      </c>
      <c r="G1883" t="s">
        <v>560</v>
      </c>
    </row>
    <row r="1884" spans="1:7">
      <c r="A1884" t="s">
        <v>182</v>
      </c>
      <c r="B1884" t="s">
        <v>557</v>
      </c>
      <c r="C1884" t="s">
        <v>558</v>
      </c>
      <c r="D1884" t="s">
        <v>2441</v>
      </c>
      <c r="E1884">
        <v>-1882</v>
      </c>
      <c r="F1884" t="s">
        <v>559</v>
      </c>
      <c r="G1884" t="s">
        <v>560</v>
      </c>
    </row>
    <row r="1885" spans="1:7">
      <c r="A1885" t="s">
        <v>182</v>
      </c>
      <c r="B1885" t="s">
        <v>557</v>
      </c>
      <c r="C1885" t="s">
        <v>558</v>
      </c>
      <c r="D1885" t="s">
        <v>2442</v>
      </c>
      <c r="E1885">
        <v>-1883</v>
      </c>
      <c r="F1885" t="s">
        <v>559</v>
      </c>
      <c r="G1885" t="s">
        <v>560</v>
      </c>
    </row>
    <row r="1886" spans="1:7">
      <c r="A1886" t="s">
        <v>182</v>
      </c>
      <c r="B1886" t="s">
        <v>557</v>
      </c>
      <c r="C1886" t="s">
        <v>558</v>
      </c>
      <c r="D1886" t="s">
        <v>2443</v>
      </c>
      <c r="E1886">
        <v>-1884</v>
      </c>
      <c r="F1886" t="s">
        <v>559</v>
      </c>
      <c r="G1886" t="s">
        <v>560</v>
      </c>
    </row>
    <row r="1887" spans="1:7">
      <c r="A1887" t="s">
        <v>182</v>
      </c>
      <c r="B1887" t="s">
        <v>557</v>
      </c>
      <c r="C1887" t="s">
        <v>558</v>
      </c>
      <c r="D1887" t="s">
        <v>2444</v>
      </c>
      <c r="E1887">
        <v>-1885</v>
      </c>
      <c r="F1887" t="s">
        <v>559</v>
      </c>
      <c r="G1887" t="s">
        <v>560</v>
      </c>
    </row>
    <row r="1888" spans="1:7">
      <c r="A1888" t="s">
        <v>182</v>
      </c>
      <c r="B1888" t="s">
        <v>557</v>
      </c>
      <c r="C1888" t="s">
        <v>558</v>
      </c>
      <c r="D1888" t="s">
        <v>2445</v>
      </c>
      <c r="E1888">
        <v>-1886</v>
      </c>
      <c r="F1888" t="s">
        <v>559</v>
      </c>
      <c r="G1888" t="s">
        <v>560</v>
      </c>
    </row>
    <row r="1889" spans="1:7">
      <c r="A1889" t="s">
        <v>182</v>
      </c>
      <c r="B1889" t="s">
        <v>557</v>
      </c>
      <c r="C1889" t="s">
        <v>558</v>
      </c>
      <c r="D1889" t="s">
        <v>2446</v>
      </c>
      <c r="E1889">
        <v>-1887</v>
      </c>
      <c r="F1889" t="s">
        <v>559</v>
      </c>
      <c r="G1889" t="s">
        <v>560</v>
      </c>
    </row>
    <row r="1890" spans="1:7">
      <c r="A1890" t="s">
        <v>182</v>
      </c>
      <c r="B1890" t="s">
        <v>557</v>
      </c>
      <c r="C1890" t="s">
        <v>558</v>
      </c>
      <c r="D1890" t="s">
        <v>2447</v>
      </c>
      <c r="E1890">
        <v>-1888</v>
      </c>
      <c r="F1890" t="s">
        <v>559</v>
      </c>
      <c r="G1890" t="s">
        <v>560</v>
      </c>
    </row>
    <row r="1891" spans="1:7">
      <c r="A1891" t="s">
        <v>182</v>
      </c>
      <c r="B1891" t="s">
        <v>557</v>
      </c>
      <c r="C1891" t="s">
        <v>558</v>
      </c>
      <c r="D1891" t="s">
        <v>2448</v>
      </c>
      <c r="E1891">
        <v>-1889</v>
      </c>
      <c r="F1891" t="s">
        <v>559</v>
      </c>
      <c r="G1891" t="s">
        <v>560</v>
      </c>
    </row>
    <row r="1892" spans="1:7">
      <c r="A1892" t="s">
        <v>182</v>
      </c>
      <c r="B1892" t="s">
        <v>557</v>
      </c>
      <c r="C1892" t="s">
        <v>558</v>
      </c>
      <c r="D1892" t="s">
        <v>2449</v>
      </c>
      <c r="E1892">
        <v>-1890</v>
      </c>
      <c r="F1892" t="s">
        <v>559</v>
      </c>
      <c r="G1892" t="s">
        <v>560</v>
      </c>
    </row>
    <row r="1893" spans="1:7">
      <c r="A1893" t="s">
        <v>182</v>
      </c>
      <c r="B1893" t="s">
        <v>557</v>
      </c>
      <c r="C1893" t="s">
        <v>558</v>
      </c>
      <c r="D1893" t="s">
        <v>2450</v>
      </c>
      <c r="E1893">
        <v>-1891</v>
      </c>
      <c r="F1893" t="s">
        <v>559</v>
      </c>
      <c r="G1893" t="s">
        <v>560</v>
      </c>
    </row>
    <row r="1894" spans="1:7">
      <c r="A1894" t="s">
        <v>182</v>
      </c>
      <c r="B1894" t="s">
        <v>557</v>
      </c>
      <c r="C1894" t="s">
        <v>558</v>
      </c>
      <c r="D1894" t="s">
        <v>2451</v>
      </c>
      <c r="E1894">
        <v>-1892</v>
      </c>
      <c r="F1894" t="s">
        <v>559</v>
      </c>
      <c r="G1894" t="s">
        <v>560</v>
      </c>
    </row>
    <row r="1895" spans="1:7">
      <c r="A1895" t="s">
        <v>182</v>
      </c>
      <c r="B1895" t="s">
        <v>557</v>
      </c>
      <c r="C1895" t="s">
        <v>558</v>
      </c>
      <c r="D1895" t="s">
        <v>2452</v>
      </c>
      <c r="E1895">
        <v>-1893</v>
      </c>
      <c r="F1895" t="s">
        <v>559</v>
      </c>
      <c r="G1895" t="s">
        <v>560</v>
      </c>
    </row>
    <row r="1896" spans="1:7">
      <c r="A1896" t="s">
        <v>182</v>
      </c>
      <c r="B1896" t="s">
        <v>557</v>
      </c>
      <c r="C1896" t="s">
        <v>558</v>
      </c>
      <c r="D1896" t="s">
        <v>2453</v>
      </c>
      <c r="E1896">
        <v>-1894</v>
      </c>
      <c r="F1896" t="s">
        <v>559</v>
      </c>
      <c r="G1896" t="s">
        <v>560</v>
      </c>
    </row>
    <row r="1897" spans="1:7">
      <c r="A1897" t="s">
        <v>182</v>
      </c>
      <c r="B1897" t="s">
        <v>557</v>
      </c>
      <c r="C1897" t="s">
        <v>558</v>
      </c>
      <c r="D1897" t="s">
        <v>2454</v>
      </c>
      <c r="E1897">
        <v>-1895</v>
      </c>
      <c r="F1897" t="s">
        <v>559</v>
      </c>
      <c r="G1897" t="s">
        <v>560</v>
      </c>
    </row>
    <row r="1898" spans="1:7">
      <c r="A1898" t="s">
        <v>182</v>
      </c>
      <c r="B1898" t="s">
        <v>557</v>
      </c>
      <c r="C1898" t="s">
        <v>558</v>
      </c>
      <c r="D1898" t="s">
        <v>2455</v>
      </c>
      <c r="E1898">
        <v>-1896</v>
      </c>
      <c r="F1898" t="s">
        <v>559</v>
      </c>
      <c r="G1898" t="s">
        <v>560</v>
      </c>
    </row>
    <row r="1899" spans="1:7">
      <c r="A1899" t="s">
        <v>182</v>
      </c>
      <c r="B1899" t="s">
        <v>557</v>
      </c>
      <c r="C1899" t="s">
        <v>558</v>
      </c>
      <c r="D1899" t="s">
        <v>2456</v>
      </c>
      <c r="E1899">
        <v>-1897</v>
      </c>
      <c r="F1899" t="s">
        <v>559</v>
      </c>
      <c r="G1899" t="s">
        <v>560</v>
      </c>
    </row>
    <row r="1900" spans="1:7">
      <c r="A1900" t="s">
        <v>182</v>
      </c>
      <c r="B1900" t="s">
        <v>557</v>
      </c>
      <c r="C1900" t="s">
        <v>558</v>
      </c>
      <c r="D1900" t="s">
        <v>2457</v>
      </c>
      <c r="E1900">
        <v>-1898</v>
      </c>
      <c r="F1900" t="s">
        <v>559</v>
      </c>
      <c r="G1900" t="s">
        <v>560</v>
      </c>
    </row>
    <row r="1901" spans="1:7">
      <c r="A1901" t="s">
        <v>182</v>
      </c>
      <c r="B1901" t="s">
        <v>557</v>
      </c>
      <c r="C1901" t="s">
        <v>558</v>
      </c>
      <c r="D1901" t="s">
        <v>2458</v>
      </c>
      <c r="E1901">
        <v>-1899</v>
      </c>
      <c r="F1901" t="s">
        <v>559</v>
      </c>
      <c r="G1901" t="s">
        <v>560</v>
      </c>
    </row>
    <row r="1902" spans="1:7">
      <c r="A1902" t="s">
        <v>182</v>
      </c>
      <c r="B1902" t="s">
        <v>557</v>
      </c>
      <c r="C1902" t="s">
        <v>558</v>
      </c>
      <c r="D1902" t="s">
        <v>2459</v>
      </c>
      <c r="E1902">
        <v>-1900</v>
      </c>
      <c r="F1902" t="s">
        <v>559</v>
      </c>
      <c r="G1902" t="s">
        <v>560</v>
      </c>
    </row>
    <row r="1903" spans="1:7">
      <c r="A1903" t="s">
        <v>182</v>
      </c>
      <c r="B1903" t="s">
        <v>557</v>
      </c>
      <c r="C1903" t="s">
        <v>558</v>
      </c>
      <c r="D1903" t="s">
        <v>2460</v>
      </c>
      <c r="E1903">
        <v>-1901</v>
      </c>
      <c r="F1903" t="s">
        <v>559</v>
      </c>
      <c r="G1903" t="s">
        <v>560</v>
      </c>
    </row>
    <row r="1904" spans="1:7">
      <c r="A1904" t="s">
        <v>182</v>
      </c>
      <c r="B1904" t="s">
        <v>557</v>
      </c>
      <c r="C1904" t="s">
        <v>558</v>
      </c>
      <c r="D1904" t="s">
        <v>2461</v>
      </c>
      <c r="E1904">
        <v>-1902</v>
      </c>
      <c r="F1904" t="s">
        <v>559</v>
      </c>
      <c r="G1904" t="s">
        <v>560</v>
      </c>
    </row>
    <row r="1905" spans="1:7">
      <c r="A1905" t="s">
        <v>182</v>
      </c>
      <c r="B1905" t="s">
        <v>557</v>
      </c>
      <c r="C1905" t="s">
        <v>558</v>
      </c>
      <c r="D1905" t="s">
        <v>2462</v>
      </c>
      <c r="E1905">
        <v>-1903</v>
      </c>
      <c r="F1905" t="s">
        <v>559</v>
      </c>
      <c r="G1905" t="s">
        <v>560</v>
      </c>
    </row>
    <row r="1906" spans="1:7">
      <c r="A1906" t="s">
        <v>182</v>
      </c>
      <c r="B1906" t="s">
        <v>557</v>
      </c>
      <c r="C1906" t="s">
        <v>558</v>
      </c>
      <c r="D1906" t="s">
        <v>2463</v>
      </c>
      <c r="E1906">
        <v>-1904</v>
      </c>
      <c r="F1906" t="s">
        <v>559</v>
      </c>
      <c r="G1906" t="s">
        <v>560</v>
      </c>
    </row>
    <row r="1907" spans="1:7">
      <c r="A1907" t="s">
        <v>182</v>
      </c>
      <c r="B1907" t="s">
        <v>557</v>
      </c>
      <c r="C1907" t="s">
        <v>558</v>
      </c>
      <c r="D1907" t="s">
        <v>2464</v>
      </c>
      <c r="E1907">
        <v>-1905</v>
      </c>
      <c r="F1907" t="s">
        <v>559</v>
      </c>
      <c r="G1907" t="s">
        <v>560</v>
      </c>
    </row>
    <row r="1908" spans="1:7">
      <c r="A1908" t="s">
        <v>182</v>
      </c>
      <c r="B1908" t="s">
        <v>557</v>
      </c>
      <c r="C1908" t="s">
        <v>558</v>
      </c>
      <c r="D1908" t="s">
        <v>2465</v>
      </c>
      <c r="E1908">
        <v>-1906</v>
      </c>
      <c r="F1908" t="s">
        <v>559</v>
      </c>
      <c r="G1908" t="s">
        <v>560</v>
      </c>
    </row>
    <row r="1909" spans="1:7">
      <c r="A1909" t="s">
        <v>182</v>
      </c>
      <c r="B1909" t="s">
        <v>557</v>
      </c>
      <c r="C1909" t="s">
        <v>558</v>
      </c>
      <c r="D1909" t="s">
        <v>2466</v>
      </c>
      <c r="E1909">
        <v>-1907</v>
      </c>
      <c r="F1909" t="s">
        <v>559</v>
      </c>
      <c r="G1909" t="s">
        <v>560</v>
      </c>
    </row>
    <row r="1910" spans="1:7">
      <c r="A1910" t="s">
        <v>182</v>
      </c>
      <c r="B1910" t="s">
        <v>557</v>
      </c>
      <c r="C1910" t="s">
        <v>558</v>
      </c>
      <c r="D1910" t="s">
        <v>2467</v>
      </c>
      <c r="E1910">
        <v>-1908</v>
      </c>
      <c r="F1910" t="s">
        <v>559</v>
      </c>
      <c r="G1910" t="s">
        <v>560</v>
      </c>
    </row>
    <row r="1911" spans="1:7">
      <c r="A1911" t="s">
        <v>182</v>
      </c>
      <c r="B1911" t="s">
        <v>557</v>
      </c>
      <c r="C1911" t="s">
        <v>558</v>
      </c>
      <c r="D1911" t="s">
        <v>2468</v>
      </c>
      <c r="E1911">
        <v>-1909</v>
      </c>
      <c r="F1911" t="s">
        <v>559</v>
      </c>
      <c r="G1911" t="s">
        <v>560</v>
      </c>
    </row>
    <row r="1912" spans="1:7">
      <c r="A1912" t="s">
        <v>182</v>
      </c>
      <c r="B1912" t="s">
        <v>557</v>
      </c>
      <c r="C1912" t="s">
        <v>558</v>
      </c>
      <c r="D1912" t="s">
        <v>2469</v>
      </c>
      <c r="E1912">
        <v>-1910</v>
      </c>
      <c r="F1912" t="s">
        <v>559</v>
      </c>
      <c r="G1912" t="s">
        <v>560</v>
      </c>
    </row>
    <row r="1913" spans="1:7">
      <c r="A1913" t="s">
        <v>182</v>
      </c>
      <c r="B1913" t="s">
        <v>557</v>
      </c>
      <c r="C1913" t="s">
        <v>558</v>
      </c>
      <c r="D1913" t="s">
        <v>2470</v>
      </c>
      <c r="E1913">
        <v>-1911</v>
      </c>
      <c r="F1913" t="s">
        <v>559</v>
      </c>
      <c r="G1913" t="s">
        <v>560</v>
      </c>
    </row>
    <row r="1914" spans="1:7">
      <c r="A1914" t="s">
        <v>182</v>
      </c>
      <c r="B1914" t="s">
        <v>557</v>
      </c>
      <c r="C1914" t="s">
        <v>558</v>
      </c>
      <c r="D1914" t="s">
        <v>2471</v>
      </c>
      <c r="E1914">
        <v>-1912</v>
      </c>
      <c r="F1914" t="s">
        <v>559</v>
      </c>
      <c r="G1914" t="s">
        <v>560</v>
      </c>
    </row>
    <row r="1915" spans="1:7">
      <c r="A1915" t="s">
        <v>182</v>
      </c>
      <c r="B1915" t="s">
        <v>557</v>
      </c>
      <c r="C1915" t="s">
        <v>558</v>
      </c>
      <c r="D1915" t="s">
        <v>2472</v>
      </c>
      <c r="E1915">
        <v>-1913</v>
      </c>
      <c r="F1915" t="s">
        <v>559</v>
      </c>
      <c r="G1915" t="s">
        <v>560</v>
      </c>
    </row>
    <row r="1916" spans="1:7">
      <c r="A1916" t="s">
        <v>182</v>
      </c>
      <c r="B1916" t="s">
        <v>557</v>
      </c>
      <c r="C1916" t="s">
        <v>558</v>
      </c>
      <c r="D1916" t="s">
        <v>2473</v>
      </c>
      <c r="E1916">
        <v>-1914</v>
      </c>
      <c r="F1916" t="s">
        <v>559</v>
      </c>
      <c r="G1916" t="s">
        <v>560</v>
      </c>
    </row>
    <row r="1917" spans="1:7">
      <c r="A1917" t="s">
        <v>182</v>
      </c>
      <c r="B1917" t="s">
        <v>557</v>
      </c>
      <c r="C1917" t="s">
        <v>558</v>
      </c>
      <c r="D1917" t="s">
        <v>2474</v>
      </c>
      <c r="E1917">
        <v>-1915</v>
      </c>
      <c r="F1917" t="s">
        <v>559</v>
      </c>
      <c r="G1917" t="s">
        <v>560</v>
      </c>
    </row>
    <row r="1918" spans="1:7">
      <c r="A1918" t="s">
        <v>182</v>
      </c>
      <c r="B1918" t="s">
        <v>557</v>
      </c>
      <c r="C1918" t="s">
        <v>558</v>
      </c>
      <c r="D1918" t="s">
        <v>2475</v>
      </c>
      <c r="E1918">
        <v>-1916</v>
      </c>
      <c r="F1918" t="s">
        <v>559</v>
      </c>
      <c r="G1918" t="s">
        <v>560</v>
      </c>
    </row>
    <row r="1919" spans="1:7">
      <c r="A1919" t="s">
        <v>182</v>
      </c>
      <c r="B1919" t="s">
        <v>557</v>
      </c>
      <c r="C1919" t="s">
        <v>558</v>
      </c>
      <c r="D1919" t="s">
        <v>2476</v>
      </c>
      <c r="E1919">
        <v>-1917</v>
      </c>
      <c r="F1919" t="s">
        <v>559</v>
      </c>
      <c r="G1919" t="s">
        <v>560</v>
      </c>
    </row>
    <row r="1920" spans="1:7">
      <c r="A1920" t="s">
        <v>182</v>
      </c>
      <c r="B1920" t="s">
        <v>557</v>
      </c>
      <c r="C1920" t="s">
        <v>558</v>
      </c>
      <c r="D1920" t="s">
        <v>2477</v>
      </c>
      <c r="E1920">
        <v>-1918</v>
      </c>
      <c r="F1920" t="s">
        <v>559</v>
      </c>
      <c r="G1920" t="s">
        <v>560</v>
      </c>
    </row>
    <row r="1921" spans="1:7">
      <c r="A1921" t="s">
        <v>182</v>
      </c>
      <c r="B1921" t="s">
        <v>557</v>
      </c>
      <c r="C1921" t="s">
        <v>558</v>
      </c>
      <c r="D1921" t="s">
        <v>2478</v>
      </c>
      <c r="E1921">
        <v>-1919</v>
      </c>
      <c r="F1921" t="s">
        <v>559</v>
      </c>
      <c r="G1921" t="s">
        <v>560</v>
      </c>
    </row>
    <row r="1922" spans="1:7">
      <c r="A1922" t="s">
        <v>182</v>
      </c>
      <c r="B1922" t="s">
        <v>557</v>
      </c>
      <c r="C1922" t="s">
        <v>558</v>
      </c>
      <c r="D1922" t="s">
        <v>2479</v>
      </c>
      <c r="E1922">
        <v>-1920</v>
      </c>
      <c r="F1922" t="s">
        <v>559</v>
      </c>
      <c r="G1922" t="s">
        <v>560</v>
      </c>
    </row>
    <row r="1923" spans="1:7">
      <c r="A1923" t="s">
        <v>182</v>
      </c>
      <c r="B1923" t="s">
        <v>557</v>
      </c>
      <c r="C1923" t="s">
        <v>558</v>
      </c>
      <c r="D1923" t="s">
        <v>2480</v>
      </c>
      <c r="E1923">
        <v>-1921</v>
      </c>
      <c r="F1923" t="s">
        <v>559</v>
      </c>
      <c r="G1923" t="s">
        <v>560</v>
      </c>
    </row>
    <row r="1924" spans="1:7">
      <c r="A1924" t="s">
        <v>182</v>
      </c>
      <c r="B1924" t="s">
        <v>557</v>
      </c>
      <c r="C1924" t="s">
        <v>558</v>
      </c>
      <c r="D1924" t="s">
        <v>2481</v>
      </c>
      <c r="E1924">
        <v>-1922</v>
      </c>
      <c r="F1924" t="s">
        <v>559</v>
      </c>
      <c r="G1924" t="s">
        <v>560</v>
      </c>
    </row>
    <row r="1925" spans="1:7">
      <c r="A1925" t="s">
        <v>182</v>
      </c>
      <c r="B1925" t="s">
        <v>557</v>
      </c>
      <c r="C1925" t="s">
        <v>558</v>
      </c>
      <c r="D1925" t="s">
        <v>2482</v>
      </c>
      <c r="E1925">
        <v>-1923</v>
      </c>
      <c r="F1925" t="s">
        <v>559</v>
      </c>
      <c r="G1925" t="s">
        <v>560</v>
      </c>
    </row>
    <row r="1926" spans="1:7">
      <c r="A1926" t="s">
        <v>182</v>
      </c>
      <c r="B1926" t="s">
        <v>557</v>
      </c>
      <c r="C1926" t="s">
        <v>558</v>
      </c>
      <c r="D1926" t="s">
        <v>2483</v>
      </c>
      <c r="E1926">
        <v>-1924</v>
      </c>
      <c r="F1926" t="s">
        <v>559</v>
      </c>
      <c r="G1926" t="s">
        <v>560</v>
      </c>
    </row>
    <row r="1927" spans="1:7">
      <c r="A1927" t="s">
        <v>182</v>
      </c>
      <c r="B1927" t="s">
        <v>557</v>
      </c>
      <c r="C1927" t="s">
        <v>558</v>
      </c>
      <c r="D1927" t="s">
        <v>2484</v>
      </c>
      <c r="E1927">
        <v>-1925</v>
      </c>
      <c r="F1927" t="s">
        <v>559</v>
      </c>
      <c r="G1927" t="s">
        <v>560</v>
      </c>
    </row>
    <row r="1928" spans="1:7">
      <c r="A1928" t="s">
        <v>182</v>
      </c>
      <c r="B1928" t="s">
        <v>557</v>
      </c>
      <c r="C1928" t="s">
        <v>558</v>
      </c>
      <c r="D1928" t="s">
        <v>2485</v>
      </c>
      <c r="E1928">
        <v>-1926</v>
      </c>
      <c r="F1928" t="s">
        <v>559</v>
      </c>
      <c r="G1928" t="s">
        <v>560</v>
      </c>
    </row>
    <row r="1929" spans="1:7">
      <c r="A1929" t="s">
        <v>182</v>
      </c>
      <c r="B1929" t="s">
        <v>557</v>
      </c>
      <c r="C1929" t="s">
        <v>558</v>
      </c>
      <c r="D1929" t="s">
        <v>2486</v>
      </c>
      <c r="E1929">
        <v>-1927</v>
      </c>
      <c r="F1929" t="s">
        <v>559</v>
      </c>
      <c r="G1929" t="s">
        <v>560</v>
      </c>
    </row>
    <row r="1930" spans="1:7">
      <c r="A1930" t="s">
        <v>182</v>
      </c>
      <c r="B1930" t="s">
        <v>557</v>
      </c>
      <c r="C1930" t="s">
        <v>558</v>
      </c>
      <c r="D1930" t="s">
        <v>2487</v>
      </c>
      <c r="E1930">
        <v>-1928</v>
      </c>
      <c r="F1930" t="s">
        <v>559</v>
      </c>
      <c r="G1930" t="s">
        <v>560</v>
      </c>
    </row>
    <row r="1931" spans="1:7">
      <c r="A1931" t="s">
        <v>182</v>
      </c>
      <c r="B1931" t="s">
        <v>557</v>
      </c>
      <c r="C1931" t="s">
        <v>558</v>
      </c>
      <c r="D1931" t="s">
        <v>2488</v>
      </c>
      <c r="E1931">
        <v>-1929</v>
      </c>
      <c r="F1931" t="s">
        <v>559</v>
      </c>
      <c r="G1931" t="s">
        <v>560</v>
      </c>
    </row>
    <row r="1932" spans="1:7">
      <c r="A1932" t="s">
        <v>182</v>
      </c>
      <c r="B1932" t="s">
        <v>557</v>
      </c>
      <c r="C1932" t="s">
        <v>558</v>
      </c>
      <c r="D1932" t="s">
        <v>2489</v>
      </c>
      <c r="E1932">
        <v>-1930</v>
      </c>
      <c r="F1932" t="s">
        <v>559</v>
      </c>
      <c r="G1932" t="s">
        <v>560</v>
      </c>
    </row>
    <row r="1933" spans="1:7">
      <c r="A1933" t="s">
        <v>182</v>
      </c>
      <c r="B1933" t="s">
        <v>557</v>
      </c>
      <c r="C1933" t="s">
        <v>558</v>
      </c>
      <c r="D1933" t="s">
        <v>2490</v>
      </c>
      <c r="E1933">
        <v>-1931</v>
      </c>
      <c r="F1933" t="s">
        <v>559</v>
      </c>
      <c r="G1933" t="s">
        <v>560</v>
      </c>
    </row>
    <row r="1934" spans="1:7">
      <c r="A1934" t="s">
        <v>182</v>
      </c>
      <c r="B1934" t="s">
        <v>557</v>
      </c>
      <c r="C1934" t="s">
        <v>558</v>
      </c>
      <c r="D1934" t="s">
        <v>2491</v>
      </c>
      <c r="E1934">
        <v>-1932</v>
      </c>
      <c r="F1934" t="s">
        <v>559</v>
      </c>
      <c r="G1934" t="s">
        <v>560</v>
      </c>
    </row>
    <row r="1935" spans="1:7">
      <c r="A1935" t="s">
        <v>182</v>
      </c>
      <c r="B1935" t="s">
        <v>557</v>
      </c>
      <c r="C1935" t="s">
        <v>558</v>
      </c>
      <c r="D1935" t="s">
        <v>2492</v>
      </c>
      <c r="E1935">
        <v>-1933</v>
      </c>
      <c r="F1935" t="s">
        <v>559</v>
      </c>
      <c r="G1935" t="s">
        <v>560</v>
      </c>
    </row>
    <row r="1936" spans="1:7">
      <c r="A1936" t="s">
        <v>182</v>
      </c>
      <c r="B1936" t="s">
        <v>557</v>
      </c>
      <c r="C1936" t="s">
        <v>558</v>
      </c>
      <c r="D1936" t="s">
        <v>2493</v>
      </c>
      <c r="E1936">
        <v>-1934</v>
      </c>
      <c r="F1936" t="s">
        <v>559</v>
      </c>
      <c r="G1936" t="s">
        <v>560</v>
      </c>
    </row>
    <row r="1937" spans="1:7">
      <c r="A1937" t="s">
        <v>182</v>
      </c>
      <c r="B1937" t="s">
        <v>557</v>
      </c>
      <c r="C1937" t="s">
        <v>558</v>
      </c>
      <c r="D1937" t="s">
        <v>2494</v>
      </c>
      <c r="E1937">
        <v>-1935</v>
      </c>
      <c r="F1937" t="s">
        <v>559</v>
      </c>
      <c r="G1937" t="s">
        <v>560</v>
      </c>
    </row>
    <row r="1938" spans="1:7">
      <c r="A1938" t="s">
        <v>182</v>
      </c>
      <c r="B1938" t="s">
        <v>557</v>
      </c>
      <c r="C1938" t="s">
        <v>558</v>
      </c>
      <c r="D1938" t="s">
        <v>2495</v>
      </c>
      <c r="E1938">
        <v>-1936</v>
      </c>
      <c r="F1938" t="s">
        <v>559</v>
      </c>
      <c r="G1938" t="s">
        <v>560</v>
      </c>
    </row>
    <row r="1939" spans="1:7">
      <c r="A1939" t="s">
        <v>182</v>
      </c>
      <c r="B1939" t="s">
        <v>557</v>
      </c>
      <c r="C1939" t="s">
        <v>558</v>
      </c>
      <c r="D1939" t="s">
        <v>2496</v>
      </c>
      <c r="E1939">
        <v>-1937</v>
      </c>
      <c r="F1939" t="s">
        <v>559</v>
      </c>
      <c r="G1939" t="s">
        <v>560</v>
      </c>
    </row>
    <row r="1940" spans="1:7">
      <c r="A1940" t="s">
        <v>182</v>
      </c>
      <c r="B1940" t="s">
        <v>557</v>
      </c>
      <c r="C1940" t="s">
        <v>558</v>
      </c>
      <c r="D1940" t="s">
        <v>2497</v>
      </c>
      <c r="E1940">
        <v>-1938</v>
      </c>
      <c r="F1940" t="s">
        <v>559</v>
      </c>
      <c r="G1940" t="s">
        <v>560</v>
      </c>
    </row>
    <row r="1941" spans="1:7">
      <c r="A1941" t="s">
        <v>182</v>
      </c>
      <c r="B1941" t="s">
        <v>557</v>
      </c>
      <c r="C1941" t="s">
        <v>558</v>
      </c>
      <c r="D1941" t="s">
        <v>2498</v>
      </c>
      <c r="E1941">
        <v>-1939</v>
      </c>
      <c r="F1941" t="s">
        <v>559</v>
      </c>
      <c r="G1941" t="s">
        <v>560</v>
      </c>
    </row>
    <row r="1942" spans="1:7">
      <c r="A1942" t="s">
        <v>182</v>
      </c>
      <c r="B1942" t="s">
        <v>557</v>
      </c>
      <c r="C1942" t="s">
        <v>558</v>
      </c>
      <c r="D1942" t="s">
        <v>2499</v>
      </c>
      <c r="E1942">
        <v>-1940</v>
      </c>
      <c r="F1942" t="s">
        <v>559</v>
      </c>
      <c r="G1942" t="s">
        <v>560</v>
      </c>
    </row>
    <row r="1943" spans="1:7">
      <c r="A1943" t="s">
        <v>182</v>
      </c>
      <c r="B1943" t="s">
        <v>557</v>
      </c>
      <c r="C1943" t="s">
        <v>558</v>
      </c>
      <c r="D1943" t="s">
        <v>2500</v>
      </c>
      <c r="E1943">
        <v>-1941</v>
      </c>
      <c r="F1943" t="s">
        <v>559</v>
      </c>
      <c r="G1943" t="s">
        <v>560</v>
      </c>
    </row>
    <row r="1944" spans="1:7">
      <c r="A1944" t="s">
        <v>182</v>
      </c>
      <c r="B1944" t="s">
        <v>557</v>
      </c>
      <c r="C1944" t="s">
        <v>558</v>
      </c>
      <c r="D1944" t="s">
        <v>2501</v>
      </c>
      <c r="E1944">
        <v>-1942</v>
      </c>
      <c r="F1944" t="s">
        <v>559</v>
      </c>
      <c r="G1944" t="s">
        <v>560</v>
      </c>
    </row>
    <row r="1945" spans="1:7">
      <c r="A1945" t="s">
        <v>182</v>
      </c>
      <c r="B1945" t="s">
        <v>557</v>
      </c>
      <c r="C1945" t="s">
        <v>558</v>
      </c>
      <c r="D1945" t="s">
        <v>2502</v>
      </c>
      <c r="E1945">
        <v>-1943</v>
      </c>
      <c r="F1945" t="s">
        <v>559</v>
      </c>
      <c r="G1945" t="s">
        <v>560</v>
      </c>
    </row>
    <row r="1946" spans="1:7">
      <c r="A1946" t="s">
        <v>182</v>
      </c>
      <c r="B1946" t="s">
        <v>557</v>
      </c>
      <c r="C1946" t="s">
        <v>558</v>
      </c>
      <c r="D1946" t="s">
        <v>2503</v>
      </c>
      <c r="E1946">
        <v>-1944</v>
      </c>
      <c r="F1946" t="s">
        <v>559</v>
      </c>
      <c r="G1946" t="s">
        <v>560</v>
      </c>
    </row>
    <row r="1947" spans="1:7">
      <c r="A1947" t="s">
        <v>182</v>
      </c>
      <c r="B1947" t="s">
        <v>557</v>
      </c>
      <c r="C1947" t="s">
        <v>558</v>
      </c>
      <c r="D1947" t="s">
        <v>2504</v>
      </c>
      <c r="E1947">
        <v>-1945</v>
      </c>
      <c r="F1947" t="s">
        <v>559</v>
      </c>
      <c r="G1947" t="s">
        <v>560</v>
      </c>
    </row>
    <row r="1948" spans="1:7">
      <c r="A1948" t="s">
        <v>182</v>
      </c>
      <c r="B1948" t="s">
        <v>557</v>
      </c>
      <c r="C1948" t="s">
        <v>558</v>
      </c>
      <c r="D1948" t="s">
        <v>2505</v>
      </c>
      <c r="E1948">
        <v>-1946</v>
      </c>
      <c r="F1948" t="s">
        <v>559</v>
      </c>
      <c r="G1948" t="s">
        <v>560</v>
      </c>
    </row>
    <row r="1949" spans="1:7">
      <c r="A1949" t="s">
        <v>182</v>
      </c>
      <c r="B1949" t="s">
        <v>557</v>
      </c>
      <c r="C1949" t="s">
        <v>558</v>
      </c>
      <c r="D1949" t="s">
        <v>2506</v>
      </c>
      <c r="E1949">
        <v>-1947</v>
      </c>
      <c r="F1949" t="s">
        <v>559</v>
      </c>
      <c r="G1949" t="s">
        <v>560</v>
      </c>
    </row>
    <row r="1950" spans="1:7">
      <c r="A1950" t="s">
        <v>182</v>
      </c>
      <c r="B1950" t="s">
        <v>557</v>
      </c>
      <c r="C1950" t="s">
        <v>558</v>
      </c>
      <c r="D1950" t="s">
        <v>2507</v>
      </c>
      <c r="E1950">
        <v>-1948</v>
      </c>
      <c r="F1950" t="s">
        <v>559</v>
      </c>
      <c r="G1950" t="s">
        <v>560</v>
      </c>
    </row>
    <row r="1951" spans="1:7">
      <c r="A1951" t="s">
        <v>182</v>
      </c>
      <c r="B1951" t="s">
        <v>557</v>
      </c>
      <c r="C1951" t="s">
        <v>558</v>
      </c>
      <c r="D1951" t="s">
        <v>2508</v>
      </c>
      <c r="E1951">
        <v>-1949</v>
      </c>
      <c r="F1951" t="s">
        <v>559</v>
      </c>
      <c r="G1951" t="s">
        <v>560</v>
      </c>
    </row>
    <row r="1952" spans="1:7">
      <c r="A1952" t="s">
        <v>182</v>
      </c>
      <c r="B1952" t="s">
        <v>557</v>
      </c>
      <c r="C1952" t="s">
        <v>558</v>
      </c>
      <c r="D1952" t="s">
        <v>2509</v>
      </c>
      <c r="E1952">
        <v>-1950</v>
      </c>
      <c r="F1952" t="s">
        <v>559</v>
      </c>
      <c r="G1952" t="s">
        <v>560</v>
      </c>
    </row>
    <row r="1953" spans="1:7">
      <c r="A1953" t="s">
        <v>182</v>
      </c>
      <c r="B1953" t="s">
        <v>557</v>
      </c>
      <c r="C1953" t="s">
        <v>558</v>
      </c>
      <c r="D1953" t="s">
        <v>2510</v>
      </c>
      <c r="E1953">
        <v>-1951</v>
      </c>
      <c r="F1953" t="s">
        <v>559</v>
      </c>
      <c r="G1953" t="s">
        <v>560</v>
      </c>
    </row>
    <row r="1954" spans="1:7">
      <c r="A1954" t="s">
        <v>182</v>
      </c>
      <c r="B1954" t="s">
        <v>557</v>
      </c>
      <c r="C1954" t="s">
        <v>558</v>
      </c>
      <c r="D1954" t="s">
        <v>2511</v>
      </c>
      <c r="E1954">
        <v>-1952</v>
      </c>
      <c r="F1954" t="s">
        <v>559</v>
      </c>
      <c r="G1954" t="s">
        <v>560</v>
      </c>
    </row>
    <row r="1955" spans="1:7">
      <c r="A1955" t="s">
        <v>182</v>
      </c>
      <c r="B1955" t="s">
        <v>557</v>
      </c>
      <c r="C1955" t="s">
        <v>558</v>
      </c>
      <c r="D1955" t="s">
        <v>2512</v>
      </c>
      <c r="E1955">
        <v>-1953</v>
      </c>
      <c r="F1955" t="s">
        <v>559</v>
      </c>
      <c r="G1955" t="s">
        <v>560</v>
      </c>
    </row>
    <row r="1956" spans="1:7">
      <c r="A1956" t="s">
        <v>182</v>
      </c>
      <c r="B1956" t="s">
        <v>557</v>
      </c>
      <c r="C1956" t="s">
        <v>558</v>
      </c>
      <c r="D1956" t="s">
        <v>2513</v>
      </c>
      <c r="E1956">
        <v>-1954</v>
      </c>
      <c r="F1956" t="s">
        <v>559</v>
      </c>
      <c r="G1956" t="s">
        <v>560</v>
      </c>
    </row>
    <row r="1957" spans="1:7">
      <c r="A1957" t="s">
        <v>182</v>
      </c>
      <c r="B1957" t="s">
        <v>557</v>
      </c>
      <c r="C1957" t="s">
        <v>558</v>
      </c>
      <c r="D1957" t="s">
        <v>2514</v>
      </c>
      <c r="E1957">
        <v>-1955</v>
      </c>
      <c r="F1957" t="s">
        <v>559</v>
      </c>
      <c r="G1957" t="s">
        <v>560</v>
      </c>
    </row>
    <row r="1958" spans="1:7">
      <c r="A1958" t="s">
        <v>182</v>
      </c>
      <c r="B1958" t="s">
        <v>557</v>
      </c>
      <c r="C1958" t="s">
        <v>558</v>
      </c>
      <c r="D1958" t="s">
        <v>2515</v>
      </c>
      <c r="E1958">
        <v>-1956</v>
      </c>
      <c r="F1958" t="s">
        <v>559</v>
      </c>
      <c r="G1958" t="s">
        <v>560</v>
      </c>
    </row>
    <row r="1959" spans="1:7">
      <c r="A1959" t="s">
        <v>182</v>
      </c>
      <c r="B1959" t="s">
        <v>557</v>
      </c>
      <c r="C1959" t="s">
        <v>558</v>
      </c>
      <c r="D1959" t="s">
        <v>2516</v>
      </c>
      <c r="E1959">
        <v>-1957</v>
      </c>
      <c r="F1959" t="s">
        <v>559</v>
      </c>
      <c r="G1959" t="s">
        <v>560</v>
      </c>
    </row>
    <row r="1960" spans="1:7">
      <c r="A1960" t="s">
        <v>182</v>
      </c>
      <c r="B1960" t="s">
        <v>557</v>
      </c>
      <c r="C1960" t="s">
        <v>558</v>
      </c>
      <c r="D1960" t="s">
        <v>2517</v>
      </c>
      <c r="E1960">
        <v>-1958</v>
      </c>
      <c r="F1960" t="s">
        <v>559</v>
      </c>
      <c r="G1960" t="s">
        <v>560</v>
      </c>
    </row>
    <row r="1961" spans="1:7">
      <c r="A1961" t="s">
        <v>182</v>
      </c>
      <c r="B1961" t="s">
        <v>557</v>
      </c>
      <c r="C1961" t="s">
        <v>558</v>
      </c>
      <c r="D1961" t="s">
        <v>2518</v>
      </c>
      <c r="E1961">
        <v>-1959</v>
      </c>
      <c r="F1961" t="s">
        <v>559</v>
      </c>
      <c r="G1961" t="s">
        <v>560</v>
      </c>
    </row>
    <row r="1962" spans="1:7">
      <c r="A1962" t="s">
        <v>182</v>
      </c>
      <c r="B1962" t="s">
        <v>557</v>
      </c>
      <c r="C1962" t="s">
        <v>558</v>
      </c>
      <c r="D1962" t="s">
        <v>2519</v>
      </c>
      <c r="E1962">
        <v>-1960</v>
      </c>
      <c r="F1962" t="s">
        <v>559</v>
      </c>
      <c r="G1962" t="s">
        <v>560</v>
      </c>
    </row>
    <row r="1963" spans="1:7">
      <c r="A1963" t="s">
        <v>182</v>
      </c>
      <c r="B1963" t="s">
        <v>557</v>
      </c>
      <c r="C1963" t="s">
        <v>558</v>
      </c>
      <c r="D1963" t="s">
        <v>2520</v>
      </c>
      <c r="E1963">
        <v>-1961</v>
      </c>
      <c r="F1963" t="s">
        <v>559</v>
      </c>
      <c r="G1963" t="s">
        <v>560</v>
      </c>
    </row>
    <row r="1964" spans="1:7">
      <c r="A1964" t="s">
        <v>182</v>
      </c>
      <c r="B1964" t="s">
        <v>557</v>
      </c>
      <c r="C1964" t="s">
        <v>558</v>
      </c>
      <c r="D1964" t="s">
        <v>2521</v>
      </c>
      <c r="E1964">
        <v>-1962</v>
      </c>
      <c r="F1964" t="s">
        <v>559</v>
      </c>
      <c r="G1964" t="s">
        <v>560</v>
      </c>
    </row>
    <row r="1965" spans="1:7">
      <c r="A1965" t="s">
        <v>182</v>
      </c>
      <c r="B1965" t="s">
        <v>557</v>
      </c>
      <c r="C1965" t="s">
        <v>558</v>
      </c>
      <c r="D1965" t="s">
        <v>2522</v>
      </c>
      <c r="E1965">
        <v>-1963</v>
      </c>
      <c r="F1965" t="s">
        <v>559</v>
      </c>
      <c r="G1965" t="s">
        <v>560</v>
      </c>
    </row>
    <row r="1966" spans="1:7">
      <c r="A1966" t="s">
        <v>182</v>
      </c>
      <c r="B1966" t="s">
        <v>557</v>
      </c>
      <c r="C1966" t="s">
        <v>558</v>
      </c>
      <c r="D1966" t="s">
        <v>2523</v>
      </c>
      <c r="E1966">
        <v>-1964</v>
      </c>
      <c r="F1966" t="s">
        <v>559</v>
      </c>
      <c r="G1966" t="s">
        <v>560</v>
      </c>
    </row>
    <row r="1967" spans="1:7">
      <c r="A1967" t="s">
        <v>182</v>
      </c>
      <c r="B1967" t="s">
        <v>557</v>
      </c>
      <c r="C1967" t="s">
        <v>558</v>
      </c>
      <c r="D1967" t="s">
        <v>2524</v>
      </c>
      <c r="E1967">
        <v>-1965</v>
      </c>
      <c r="F1967" t="s">
        <v>559</v>
      </c>
      <c r="G1967" t="s">
        <v>560</v>
      </c>
    </row>
    <row r="1968" spans="1:7">
      <c r="A1968" t="s">
        <v>182</v>
      </c>
      <c r="B1968" t="s">
        <v>557</v>
      </c>
      <c r="C1968" t="s">
        <v>558</v>
      </c>
      <c r="D1968" t="s">
        <v>2525</v>
      </c>
      <c r="E1968">
        <v>-1966</v>
      </c>
      <c r="F1968" t="s">
        <v>559</v>
      </c>
      <c r="G1968" t="s">
        <v>560</v>
      </c>
    </row>
    <row r="1969" spans="1:7">
      <c r="A1969" t="s">
        <v>182</v>
      </c>
      <c r="B1969" t="s">
        <v>557</v>
      </c>
      <c r="C1969" t="s">
        <v>558</v>
      </c>
      <c r="D1969" t="s">
        <v>2526</v>
      </c>
      <c r="E1969">
        <v>-1967</v>
      </c>
      <c r="F1969" t="s">
        <v>559</v>
      </c>
      <c r="G1969" t="s">
        <v>560</v>
      </c>
    </row>
    <row r="1970" spans="1:7">
      <c r="A1970" t="s">
        <v>182</v>
      </c>
      <c r="B1970" t="s">
        <v>557</v>
      </c>
      <c r="C1970" t="s">
        <v>558</v>
      </c>
      <c r="D1970" t="s">
        <v>2527</v>
      </c>
      <c r="E1970">
        <v>-1968</v>
      </c>
      <c r="F1970" t="s">
        <v>559</v>
      </c>
      <c r="G1970" t="s">
        <v>560</v>
      </c>
    </row>
    <row r="1971" spans="1:7">
      <c r="A1971" t="s">
        <v>182</v>
      </c>
      <c r="B1971" t="s">
        <v>557</v>
      </c>
      <c r="C1971" t="s">
        <v>558</v>
      </c>
      <c r="D1971" t="s">
        <v>2528</v>
      </c>
      <c r="E1971">
        <v>-1969</v>
      </c>
      <c r="F1971" t="s">
        <v>559</v>
      </c>
      <c r="G1971" t="s">
        <v>560</v>
      </c>
    </row>
    <row r="1972" spans="1:7">
      <c r="A1972" t="s">
        <v>182</v>
      </c>
      <c r="B1972" t="s">
        <v>557</v>
      </c>
      <c r="C1972" t="s">
        <v>558</v>
      </c>
      <c r="D1972" t="s">
        <v>2529</v>
      </c>
      <c r="E1972">
        <v>-1970</v>
      </c>
      <c r="F1972" t="s">
        <v>559</v>
      </c>
      <c r="G1972" t="s">
        <v>560</v>
      </c>
    </row>
    <row r="1973" spans="1:7">
      <c r="A1973" t="s">
        <v>182</v>
      </c>
      <c r="B1973" t="s">
        <v>557</v>
      </c>
      <c r="C1973" t="s">
        <v>558</v>
      </c>
      <c r="D1973" t="s">
        <v>2530</v>
      </c>
      <c r="E1973">
        <v>-1971</v>
      </c>
      <c r="F1973" t="s">
        <v>559</v>
      </c>
      <c r="G1973" t="s">
        <v>560</v>
      </c>
    </row>
    <row r="1974" spans="1:7">
      <c r="A1974" t="s">
        <v>182</v>
      </c>
      <c r="B1974" t="s">
        <v>557</v>
      </c>
      <c r="C1974" t="s">
        <v>558</v>
      </c>
      <c r="D1974" t="s">
        <v>2531</v>
      </c>
      <c r="E1974">
        <v>-1972</v>
      </c>
      <c r="F1974" t="s">
        <v>559</v>
      </c>
      <c r="G1974" t="s">
        <v>560</v>
      </c>
    </row>
    <row r="1975" spans="1:7">
      <c r="A1975" t="s">
        <v>182</v>
      </c>
      <c r="B1975" t="s">
        <v>557</v>
      </c>
      <c r="C1975" t="s">
        <v>558</v>
      </c>
      <c r="D1975" t="s">
        <v>2532</v>
      </c>
      <c r="E1975">
        <v>-1973</v>
      </c>
      <c r="F1975" t="s">
        <v>559</v>
      </c>
      <c r="G1975" t="s">
        <v>560</v>
      </c>
    </row>
    <row r="1976" spans="1:7">
      <c r="A1976" t="s">
        <v>182</v>
      </c>
      <c r="B1976" t="s">
        <v>557</v>
      </c>
      <c r="C1976" t="s">
        <v>558</v>
      </c>
      <c r="D1976" t="s">
        <v>2533</v>
      </c>
      <c r="E1976">
        <v>-1974</v>
      </c>
      <c r="F1976" t="s">
        <v>559</v>
      </c>
      <c r="G1976" t="s">
        <v>560</v>
      </c>
    </row>
    <row r="1977" spans="1:7">
      <c r="A1977" t="s">
        <v>182</v>
      </c>
      <c r="B1977" t="s">
        <v>557</v>
      </c>
      <c r="C1977" t="s">
        <v>558</v>
      </c>
      <c r="D1977" t="s">
        <v>2534</v>
      </c>
      <c r="E1977">
        <v>-1975</v>
      </c>
      <c r="F1977" t="s">
        <v>559</v>
      </c>
      <c r="G1977" t="s">
        <v>560</v>
      </c>
    </row>
    <row r="1978" spans="1:7">
      <c r="A1978" t="s">
        <v>182</v>
      </c>
      <c r="B1978" t="s">
        <v>557</v>
      </c>
      <c r="C1978" t="s">
        <v>558</v>
      </c>
      <c r="D1978" t="s">
        <v>2535</v>
      </c>
      <c r="E1978">
        <v>-1976</v>
      </c>
      <c r="F1978" t="s">
        <v>559</v>
      </c>
      <c r="G1978" t="s">
        <v>560</v>
      </c>
    </row>
    <row r="1979" spans="1:7">
      <c r="A1979" t="s">
        <v>182</v>
      </c>
      <c r="B1979" t="s">
        <v>557</v>
      </c>
      <c r="C1979" t="s">
        <v>558</v>
      </c>
      <c r="D1979" t="s">
        <v>2536</v>
      </c>
      <c r="E1979">
        <v>-1977</v>
      </c>
      <c r="F1979" t="s">
        <v>559</v>
      </c>
      <c r="G1979" t="s">
        <v>560</v>
      </c>
    </row>
    <row r="1980" spans="1:7">
      <c r="A1980" t="s">
        <v>182</v>
      </c>
      <c r="B1980" t="s">
        <v>557</v>
      </c>
      <c r="C1980" t="s">
        <v>558</v>
      </c>
      <c r="D1980" t="s">
        <v>2537</v>
      </c>
      <c r="E1980">
        <v>-1978</v>
      </c>
      <c r="F1980" t="s">
        <v>559</v>
      </c>
      <c r="G1980" t="s">
        <v>560</v>
      </c>
    </row>
    <row r="1981" spans="1:7">
      <c r="A1981" t="s">
        <v>182</v>
      </c>
      <c r="B1981" t="s">
        <v>557</v>
      </c>
      <c r="C1981" t="s">
        <v>558</v>
      </c>
      <c r="D1981" t="s">
        <v>2538</v>
      </c>
      <c r="E1981">
        <v>-1979</v>
      </c>
      <c r="F1981" t="s">
        <v>559</v>
      </c>
      <c r="G1981" t="s">
        <v>560</v>
      </c>
    </row>
    <row r="1982" spans="1:7">
      <c r="A1982" t="s">
        <v>182</v>
      </c>
      <c r="B1982" t="s">
        <v>557</v>
      </c>
      <c r="C1982" t="s">
        <v>558</v>
      </c>
      <c r="D1982" t="s">
        <v>2539</v>
      </c>
      <c r="E1982">
        <v>-1980</v>
      </c>
      <c r="F1982" t="s">
        <v>559</v>
      </c>
      <c r="G1982" t="s">
        <v>560</v>
      </c>
    </row>
    <row r="1983" spans="1:7">
      <c r="A1983" t="s">
        <v>182</v>
      </c>
      <c r="B1983" t="s">
        <v>557</v>
      </c>
      <c r="C1983" t="s">
        <v>558</v>
      </c>
      <c r="D1983" t="s">
        <v>2540</v>
      </c>
      <c r="E1983">
        <v>-1981</v>
      </c>
      <c r="F1983" t="s">
        <v>559</v>
      </c>
      <c r="G1983" t="s">
        <v>560</v>
      </c>
    </row>
    <row r="1984" spans="1:7">
      <c r="A1984" t="s">
        <v>182</v>
      </c>
      <c r="B1984" t="s">
        <v>557</v>
      </c>
      <c r="C1984" t="s">
        <v>558</v>
      </c>
      <c r="D1984" t="s">
        <v>2541</v>
      </c>
      <c r="E1984">
        <v>-1982</v>
      </c>
      <c r="F1984" t="s">
        <v>559</v>
      </c>
      <c r="G1984" t="s">
        <v>560</v>
      </c>
    </row>
    <row r="1985" spans="1:7">
      <c r="A1985" t="s">
        <v>182</v>
      </c>
      <c r="B1985" t="s">
        <v>557</v>
      </c>
      <c r="C1985" t="s">
        <v>558</v>
      </c>
      <c r="D1985" t="s">
        <v>2542</v>
      </c>
      <c r="E1985">
        <v>-1983</v>
      </c>
      <c r="F1985" t="s">
        <v>559</v>
      </c>
      <c r="G1985" t="s">
        <v>560</v>
      </c>
    </row>
    <row r="1986" spans="1:7">
      <c r="A1986" t="s">
        <v>182</v>
      </c>
      <c r="B1986" t="s">
        <v>557</v>
      </c>
      <c r="C1986" t="s">
        <v>558</v>
      </c>
      <c r="D1986" t="s">
        <v>2543</v>
      </c>
      <c r="E1986">
        <v>-1984</v>
      </c>
      <c r="F1986" t="s">
        <v>559</v>
      </c>
      <c r="G1986" t="s">
        <v>560</v>
      </c>
    </row>
    <row r="1987" spans="1:7">
      <c r="A1987" t="s">
        <v>182</v>
      </c>
      <c r="B1987" t="s">
        <v>557</v>
      </c>
      <c r="C1987" t="s">
        <v>558</v>
      </c>
      <c r="D1987" t="s">
        <v>2544</v>
      </c>
      <c r="E1987">
        <v>-1985</v>
      </c>
      <c r="F1987" t="s">
        <v>559</v>
      </c>
      <c r="G1987" t="s">
        <v>560</v>
      </c>
    </row>
    <row r="1988" spans="1:7">
      <c r="A1988" t="s">
        <v>182</v>
      </c>
      <c r="B1988" t="s">
        <v>557</v>
      </c>
      <c r="C1988" t="s">
        <v>558</v>
      </c>
      <c r="D1988" t="s">
        <v>2545</v>
      </c>
      <c r="E1988">
        <v>-1986</v>
      </c>
      <c r="F1988" t="s">
        <v>559</v>
      </c>
      <c r="G1988" t="s">
        <v>560</v>
      </c>
    </row>
    <row r="1989" spans="1:7">
      <c r="A1989" t="s">
        <v>182</v>
      </c>
      <c r="B1989" t="s">
        <v>557</v>
      </c>
      <c r="C1989" t="s">
        <v>558</v>
      </c>
      <c r="D1989" t="s">
        <v>2546</v>
      </c>
      <c r="E1989">
        <v>-1987</v>
      </c>
      <c r="F1989" t="s">
        <v>559</v>
      </c>
      <c r="G1989" t="s">
        <v>560</v>
      </c>
    </row>
    <row r="1990" spans="1:7">
      <c r="A1990" t="s">
        <v>182</v>
      </c>
      <c r="B1990" t="s">
        <v>557</v>
      </c>
      <c r="C1990" t="s">
        <v>558</v>
      </c>
      <c r="D1990" t="s">
        <v>2547</v>
      </c>
      <c r="E1990">
        <v>-1988</v>
      </c>
      <c r="F1990" t="s">
        <v>559</v>
      </c>
      <c r="G1990" t="s">
        <v>560</v>
      </c>
    </row>
    <row r="1991" spans="1:7">
      <c r="A1991" t="s">
        <v>182</v>
      </c>
      <c r="B1991" t="s">
        <v>557</v>
      </c>
      <c r="C1991" t="s">
        <v>558</v>
      </c>
      <c r="D1991" t="s">
        <v>2548</v>
      </c>
      <c r="E1991">
        <v>-1989</v>
      </c>
      <c r="F1991" t="s">
        <v>559</v>
      </c>
      <c r="G1991" t="s">
        <v>560</v>
      </c>
    </row>
    <row r="1992" spans="1:7">
      <c r="A1992" t="s">
        <v>182</v>
      </c>
      <c r="B1992" t="s">
        <v>557</v>
      </c>
      <c r="C1992" t="s">
        <v>558</v>
      </c>
      <c r="D1992" t="s">
        <v>2549</v>
      </c>
      <c r="E1992">
        <v>-1990</v>
      </c>
      <c r="F1992" t="s">
        <v>559</v>
      </c>
      <c r="G1992" t="s">
        <v>560</v>
      </c>
    </row>
    <row r="1993" spans="1:7">
      <c r="A1993" t="s">
        <v>182</v>
      </c>
      <c r="B1993" t="s">
        <v>557</v>
      </c>
      <c r="C1993" t="s">
        <v>558</v>
      </c>
      <c r="D1993" t="s">
        <v>2550</v>
      </c>
      <c r="E1993">
        <v>-1991</v>
      </c>
      <c r="F1993" t="s">
        <v>559</v>
      </c>
      <c r="G1993" t="s">
        <v>560</v>
      </c>
    </row>
    <row r="1994" spans="1:7">
      <c r="A1994" t="s">
        <v>182</v>
      </c>
      <c r="B1994" t="s">
        <v>557</v>
      </c>
      <c r="C1994" t="s">
        <v>558</v>
      </c>
      <c r="D1994" t="s">
        <v>2551</v>
      </c>
      <c r="E1994">
        <v>-1992</v>
      </c>
      <c r="F1994" t="s">
        <v>559</v>
      </c>
      <c r="G1994" t="s">
        <v>560</v>
      </c>
    </row>
    <row r="1995" spans="1:7">
      <c r="A1995" t="s">
        <v>182</v>
      </c>
      <c r="B1995" t="s">
        <v>557</v>
      </c>
      <c r="C1995" t="s">
        <v>558</v>
      </c>
      <c r="D1995" t="s">
        <v>2552</v>
      </c>
      <c r="E1995">
        <v>-1993</v>
      </c>
      <c r="F1995" t="s">
        <v>559</v>
      </c>
      <c r="G1995" t="s">
        <v>560</v>
      </c>
    </row>
    <row r="1996" spans="1:7">
      <c r="A1996" t="s">
        <v>182</v>
      </c>
      <c r="B1996" t="s">
        <v>557</v>
      </c>
      <c r="C1996" t="s">
        <v>558</v>
      </c>
      <c r="D1996" t="s">
        <v>2553</v>
      </c>
      <c r="E1996">
        <v>-1994</v>
      </c>
      <c r="F1996" t="s">
        <v>559</v>
      </c>
      <c r="G1996" t="s">
        <v>560</v>
      </c>
    </row>
    <row r="1997" spans="1:7">
      <c r="A1997" t="s">
        <v>182</v>
      </c>
      <c r="B1997" t="s">
        <v>557</v>
      </c>
      <c r="C1997" t="s">
        <v>558</v>
      </c>
      <c r="D1997" t="s">
        <v>2554</v>
      </c>
      <c r="E1997">
        <v>-1995</v>
      </c>
      <c r="F1997" t="s">
        <v>559</v>
      </c>
      <c r="G1997" t="s">
        <v>560</v>
      </c>
    </row>
    <row r="1998" spans="1:7">
      <c r="A1998" t="s">
        <v>182</v>
      </c>
      <c r="B1998" t="s">
        <v>557</v>
      </c>
      <c r="C1998" t="s">
        <v>558</v>
      </c>
      <c r="D1998" t="s">
        <v>2555</v>
      </c>
      <c r="E1998">
        <v>-1996</v>
      </c>
      <c r="F1998" t="s">
        <v>559</v>
      </c>
      <c r="G1998" t="s">
        <v>560</v>
      </c>
    </row>
    <row r="1999" spans="1:7">
      <c r="A1999" t="s">
        <v>182</v>
      </c>
      <c r="B1999" t="s">
        <v>557</v>
      </c>
      <c r="C1999" t="s">
        <v>558</v>
      </c>
      <c r="D1999" t="s">
        <v>2556</v>
      </c>
      <c r="E1999">
        <v>-1997</v>
      </c>
      <c r="F1999" t="s">
        <v>559</v>
      </c>
      <c r="G1999" t="s">
        <v>560</v>
      </c>
    </row>
    <row r="2000" spans="1:7">
      <c r="A2000" t="s">
        <v>182</v>
      </c>
      <c r="B2000" t="s">
        <v>557</v>
      </c>
      <c r="C2000" t="s">
        <v>558</v>
      </c>
      <c r="D2000" t="s">
        <v>2557</v>
      </c>
      <c r="E2000">
        <v>-1998</v>
      </c>
      <c r="F2000" t="s">
        <v>559</v>
      </c>
      <c r="G2000" t="s">
        <v>560</v>
      </c>
    </row>
    <row r="2001" spans="1:7">
      <c r="A2001" t="s">
        <v>182</v>
      </c>
      <c r="B2001" t="s">
        <v>557</v>
      </c>
      <c r="C2001" t="s">
        <v>558</v>
      </c>
      <c r="D2001" t="s">
        <v>2558</v>
      </c>
      <c r="E2001">
        <v>-1999</v>
      </c>
      <c r="F2001" t="s">
        <v>559</v>
      </c>
      <c r="G2001" t="s">
        <v>560</v>
      </c>
    </row>
    <row r="2002" spans="1:7">
      <c r="A2002" t="s">
        <v>182</v>
      </c>
      <c r="B2002" t="s">
        <v>557</v>
      </c>
      <c r="C2002" t="s">
        <v>558</v>
      </c>
      <c r="D2002" t="s">
        <v>2559</v>
      </c>
      <c r="E2002">
        <v>-2000</v>
      </c>
      <c r="F2002" t="s">
        <v>559</v>
      </c>
      <c r="G2002" t="s">
        <v>560</v>
      </c>
    </row>
    <row r="2003" spans="1:7">
      <c r="A2003" t="s">
        <v>182</v>
      </c>
      <c r="B2003" t="s">
        <v>557</v>
      </c>
      <c r="C2003" t="s">
        <v>558</v>
      </c>
      <c r="D2003" t="s">
        <v>2560</v>
      </c>
      <c r="E2003">
        <v>-2001</v>
      </c>
      <c r="F2003" t="s">
        <v>559</v>
      </c>
      <c r="G2003" t="s">
        <v>560</v>
      </c>
    </row>
    <row r="2004" spans="1:7">
      <c r="A2004" t="s">
        <v>182</v>
      </c>
      <c r="B2004" t="s">
        <v>557</v>
      </c>
      <c r="C2004" t="s">
        <v>558</v>
      </c>
      <c r="D2004" t="s">
        <v>2561</v>
      </c>
      <c r="E2004">
        <v>-2002</v>
      </c>
      <c r="F2004" t="s">
        <v>559</v>
      </c>
      <c r="G2004" t="s">
        <v>560</v>
      </c>
    </row>
    <row r="2005" spans="1:7">
      <c r="A2005" t="s">
        <v>182</v>
      </c>
      <c r="B2005" t="s">
        <v>557</v>
      </c>
      <c r="C2005" t="s">
        <v>558</v>
      </c>
      <c r="D2005" t="s">
        <v>2562</v>
      </c>
      <c r="E2005">
        <v>-2003</v>
      </c>
      <c r="F2005" t="s">
        <v>559</v>
      </c>
      <c r="G2005" t="s">
        <v>560</v>
      </c>
    </row>
    <row r="2006" spans="1:7">
      <c r="A2006" t="s">
        <v>182</v>
      </c>
      <c r="B2006" t="s">
        <v>557</v>
      </c>
      <c r="C2006" t="s">
        <v>558</v>
      </c>
      <c r="D2006" t="s">
        <v>2563</v>
      </c>
      <c r="E2006">
        <v>-2004</v>
      </c>
      <c r="F2006" t="s">
        <v>559</v>
      </c>
      <c r="G2006" t="s">
        <v>560</v>
      </c>
    </row>
    <row r="2007" spans="1:7">
      <c r="A2007" t="s">
        <v>182</v>
      </c>
      <c r="B2007" t="s">
        <v>557</v>
      </c>
      <c r="C2007" t="s">
        <v>558</v>
      </c>
      <c r="D2007" t="s">
        <v>2564</v>
      </c>
      <c r="E2007">
        <v>-2005</v>
      </c>
      <c r="F2007" t="s">
        <v>559</v>
      </c>
      <c r="G2007" t="s">
        <v>560</v>
      </c>
    </row>
    <row r="2008" spans="1:7">
      <c r="A2008" t="s">
        <v>182</v>
      </c>
      <c r="B2008" t="s">
        <v>557</v>
      </c>
      <c r="C2008" t="s">
        <v>558</v>
      </c>
      <c r="D2008" t="s">
        <v>2565</v>
      </c>
      <c r="E2008">
        <v>-2006</v>
      </c>
      <c r="F2008" t="s">
        <v>559</v>
      </c>
      <c r="G2008" t="s">
        <v>560</v>
      </c>
    </row>
    <row r="2009" spans="1:7">
      <c r="A2009" t="s">
        <v>182</v>
      </c>
      <c r="B2009" t="s">
        <v>557</v>
      </c>
      <c r="C2009" t="s">
        <v>558</v>
      </c>
      <c r="D2009" t="s">
        <v>2566</v>
      </c>
      <c r="E2009">
        <v>-2007</v>
      </c>
      <c r="F2009" t="s">
        <v>559</v>
      </c>
      <c r="G2009" t="s">
        <v>560</v>
      </c>
    </row>
    <row r="2010" spans="1:7">
      <c r="A2010" t="s">
        <v>182</v>
      </c>
      <c r="B2010" t="s">
        <v>557</v>
      </c>
      <c r="C2010" t="s">
        <v>558</v>
      </c>
      <c r="D2010" t="s">
        <v>2567</v>
      </c>
      <c r="E2010">
        <v>-2008</v>
      </c>
      <c r="F2010" t="s">
        <v>559</v>
      </c>
      <c r="G2010" t="s">
        <v>560</v>
      </c>
    </row>
    <row r="2011" spans="1:7">
      <c r="A2011" t="s">
        <v>182</v>
      </c>
      <c r="B2011" t="s">
        <v>557</v>
      </c>
      <c r="C2011" t="s">
        <v>558</v>
      </c>
      <c r="D2011" t="s">
        <v>2568</v>
      </c>
      <c r="E2011">
        <v>-2009</v>
      </c>
      <c r="F2011" t="s">
        <v>559</v>
      </c>
      <c r="G2011" t="s">
        <v>560</v>
      </c>
    </row>
    <row r="2012" spans="1:7">
      <c r="A2012" t="s">
        <v>182</v>
      </c>
      <c r="B2012" t="s">
        <v>557</v>
      </c>
      <c r="C2012" t="s">
        <v>558</v>
      </c>
      <c r="D2012" t="s">
        <v>2569</v>
      </c>
      <c r="E2012">
        <v>-2010</v>
      </c>
      <c r="F2012" t="s">
        <v>559</v>
      </c>
      <c r="G2012" t="s">
        <v>560</v>
      </c>
    </row>
    <row r="2013" spans="1:7">
      <c r="A2013" t="s">
        <v>182</v>
      </c>
      <c r="B2013" t="s">
        <v>557</v>
      </c>
      <c r="C2013" t="s">
        <v>558</v>
      </c>
      <c r="D2013" t="s">
        <v>2570</v>
      </c>
      <c r="E2013">
        <v>-2011</v>
      </c>
      <c r="F2013" t="s">
        <v>559</v>
      </c>
      <c r="G2013" t="s">
        <v>560</v>
      </c>
    </row>
    <row r="2014" spans="1:7">
      <c r="A2014" t="s">
        <v>182</v>
      </c>
      <c r="B2014" t="s">
        <v>557</v>
      </c>
      <c r="C2014" t="s">
        <v>558</v>
      </c>
      <c r="D2014" t="s">
        <v>2571</v>
      </c>
      <c r="E2014">
        <v>-2012</v>
      </c>
      <c r="F2014" t="s">
        <v>559</v>
      </c>
      <c r="G2014" t="s">
        <v>560</v>
      </c>
    </row>
    <row r="2015" spans="1:7">
      <c r="A2015" t="s">
        <v>182</v>
      </c>
      <c r="B2015" t="s">
        <v>557</v>
      </c>
      <c r="C2015" t="s">
        <v>558</v>
      </c>
      <c r="D2015" t="s">
        <v>2572</v>
      </c>
      <c r="E2015">
        <v>-2013</v>
      </c>
      <c r="F2015" t="s">
        <v>559</v>
      </c>
      <c r="G2015" t="s">
        <v>560</v>
      </c>
    </row>
    <row r="2016" spans="1:7">
      <c r="A2016" t="s">
        <v>182</v>
      </c>
      <c r="B2016" t="s">
        <v>557</v>
      </c>
      <c r="C2016" t="s">
        <v>558</v>
      </c>
      <c r="D2016" t="s">
        <v>2573</v>
      </c>
      <c r="E2016">
        <v>-2014</v>
      </c>
      <c r="F2016" t="s">
        <v>559</v>
      </c>
      <c r="G2016" t="s">
        <v>560</v>
      </c>
    </row>
    <row r="2017" spans="1:7">
      <c r="A2017" t="s">
        <v>182</v>
      </c>
      <c r="B2017" t="s">
        <v>557</v>
      </c>
      <c r="C2017" t="s">
        <v>558</v>
      </c>
      <c r="D2017" t="s">
        <v>2574</v>
      </c>
      <c r="E2017">
        <v>-2015</v>
      </c>
      <c r="F2017" t="s">
        <v>559</v>
      </c>
      <c r="G2017" t="s">
        <v>560</v>
      </c>
    </row>
    <row r="2018" spans="1:7">
      <c r="A2018" t="s">
        <v>182</v>
      </c>
      <c r="B2018" t="s">
        <v>557</v>
      </c>
      <c r="C2018" t="s">
        <v>558</v>
      </c>
      <c r="D2018" t="s">
        <v>2575</v>
      </c>
      <c r="E2018">
        <v>-2016</v>
      </c>
      <c r="F2018" t="s">
        <v>559</v>
      </c>
      <c r="G2018" t="s">
        <v>560</v>
      </c>
    </row>
    <row r="2019" spans="1:7">
      <c r="A2019" t="s">
        <v>182</v>
      </c>
      <c r="B2019" t="s">
        <v>557</v>
      </c>
      <c r="C2019" t="s">
        <v>558</v>
      </c>
      <c r="D2019" t="s">
        <v>2576</v>
      </c>
      <c r="E2019">
        <v>-2017</v>
      </c>
      <c r="F2019" t="s">
        <v>559</v>
      </c>
      <c r="G2019" t="s">
        <v>560</v>
      </c>
    </row>
    <row r="2020" spans="1:7">
      <c r="A2020" t="s">
        <v>182</v>
      </c>
      <c r="B2020" t="s">
        <v>557</v>
      </c>
      <c r="C2020" t="s">
        <v>558</v>
      </c>
      <c r="D2020" t="s">
        <v>2577</v>
      </c>
      <c r="E2020">
        <v>-2018</v>
      </c>
      <c r="F2020" t="s">
        <v>559</v>
      </c>
      <c r="G2020" t="s">
        <v>560</v>
      </c>
    </row>
    <row r="2021" spans="1:7">
      <c r="A2021" t="s">
        <v>182</v>
      </c>
      <c r="B2021" t="s">
        <v>557</v>
      </c>
      <c r="C2021" t="s">
        <v>558</v>
      </c>
      <c r="D2021" t="s">
        <v>2578</v>
      </c>
      <c r="E2021">
        <v>-2019</v>
      </c>
      <c r="F2021" t="s">
        <v>559</v>
      </c>
      <c r="G2021" t="s">
        <v>560</v>
      </c>
    </row>
    <row r="2022" spans="1:7">
      <c r="A2022" t="s">
        <v>182</v>
      </c>
      <c r="B2022" t="s">
        <v>557</v>
      </c>
      <c r="C2022" t="s">
        <v>558</v>
      </c>
      <c r="D2022" t="s">
        <v>2579</v>
      </c>
      <c r="E2022">
        <v>-2020</v>
      </c>
      <c r="F2022" t="s">
        <v>559</v>
      </c>
      <c r="G2022" t="s">
        <v>560</v>
      </c>
    </row>
    <row r="2023" spans="1:7">
      <c r="A2023" t="s">
        <v>182</v>
      </c>
      <c r="B2023" t="s">
        <v>557</v>
      </c>
      <c r="C2023" t="s">
        <v>558</v>
      </c>
      <c r="D2023" t="s">
        <v>2580</v>
      </c>
      <c r="E2023">
        <v>-2021</v>
      </c>
      <c r="F2023" t="s">
        <v>559</v>
      </c>
      <c r="G2023" t="s">
        <v>560</v>
      </c>
    </row>
    <row r="2024" spans="1:7">
      <c r="A2024" t="s">
        <v>182</v>
      </c>
      <c r="B2024" t="s">
        <v>557</v>
      </c>
      <c r="C2024" t="s">
        <v>558</v>
      </c>
      <c r="D2024" t="s">
        <v>2581</v>
      </c>
      <c r="E2024">
        <v>-2022</v>
      </c>
      <c r="F2024" t="s">
        <v>559</v>
      </c>
      <c r="G2024" t="s">
        <v>560</v>
      </c>
    </row>
    <row r="2025" spans="1:7">
      <c r="A2025" t="s">
        <v>182</v>
      </c>
      <c r="B2025" t="s">
        <v>557</v>
      </c>
      <c r="C2025" t="s">
        <v>558</v>
      </c>
      <c r="D2025" t="s">
        <v>2582</v>
      </c>
      <c r="E2025">
        <v>-2023</v>
      </c>
      <c r="F2025" t="s">
        <v>559</v>
      </c>
      <c r="G2025" t="s">
        <v>560</v>
      </c>
    </row>
    <row r="2026" spans="1:7">
      <c r="A2026" t="s">
        <v>182</v>
      </c>
      <c r="B2026" t="s">
        <v>557</v>
      </c>
      <c r="C2026" t="s">
        <v>558</v>
      </c>
      <c r="D2026" t="s">
        <v>2583</v>
      </c>
      <c r="E2026">
        <v>-2024</v>
      </c>
      <c r="F2026" t="s">
        <v>559</v>
      </c>
      <c r="G2026" t="s">
        <v>560</v>
      </c>
    </row>
    <row r="2027" spans="1:7">
      <c r="A2027" t="s">
        <v>182</v>
      </c>
      <c r="B2027" t="s">
        <v>557</v>
      </c>
      <c r="C2027" t="s">
        <v>558</v>
      </c>
      <c r="D2027" t="s">
        <v>2584</v>
      </c>
      <c r="E2027">
        <v>-2025</v>
      </c>
      <c r="F2027" t="s">
        <v>559</v>
      </c>
      <c r="G2027" t="s">
        <v>560</v>
      </c>
    </row>
    <row r="2028" spans="1:7">
      <c r="A2028" t="s">
        <v>182</v>
      </c>
      <c r="B2028" t="s">
        <v>557</v>
      </c>
      <c r="C2028" t="s">
        <v>558</v>
      </c>
      <c r="D2028" t="s">
        <v>2585</v>
      </c>
      <c r="E2028">
        <v>-2026</v>
      </c>
      <c r="F2028" t="s">
        <v>559</v>
      </c>
      <c r="G2028" t="s">
        <v>560</v>
      </c>
    </row>
    <row r="2029" spans="1:7">
      <c r="A2029" t="s">
        <v>182</v>
      </c>
      <c r="B2029" t="s">
        <v>557</v>
      </c>
      <c r="C2029" t="s">
        <v>558</v>
      </c>
      <c r="D2029" t="s">
        <v>2586</v>
      </c>
      <c r="E2029">
        <v>-2027</v>
      </c>
      <c r="F2029" t="s">
        <v>559</v>
      </c>
      <c r="G2029" t="s">
        <v>560</v>
      </c>
    </row>
    <row r="2030" spans="1:7">
      <c r="A2030" t="s">
        <v>182</v>
      </c>
      <c r="B2030" t="s">
        <v>557</v>
      </c>
      <c r="C2030" t="s">
        <v>558</v>
      </c>
      <c r="D2030" t="s">
        <v>2587</v>
      </c>
      <c r="E2030">
        <v>-2028</v>
      </c>
      <c r="F2030" t="s">
        <v>559</v>
      </c>
      <c r="G2030" t="s">
        <v>560</v>
      </c>
    </row>
    <row r="2031" spans="1:7">
      <c r="A2031" t="s">
        <v>182</v>
      </c>
      <c r="B2031" t="s">
        <v>557</v>
      </c>
      <c r="C2031" t="s">
        <v>558</v>
      </c>
      <c r="D2031" t="s">
        <v>2588</v>
      </c>
      <c r="E2031">
        <v>-2029</v>
      </c>
      <c r="F2031" t="s">
        <v>559</v>
      </c>
      <c r="G2031" t="s">
        <v>560</v>
      </c>
    </row>
    <row r="2032" spans="1:7">
      <c r="A2032" t="s">
        <v>182</v>
      </c>
      <c r="B2032" t="s">
        <v>557</v>
      </c>
      <c r="C2032" t="s">
        <v>558</v>
      </c>
      <c r="D2032" t="s">
        <v>2589</v>
      </c>
      <c r="E2032">
        <v>-2030</v>
      </c>
      <c r="F2032" t="s">
        <v>559</v>
      </c>
      <c r="G2032" t="s">
        <v>560</v>
      </c>
    </row>
    <row r="2033" spans="1:7">
      <c r="A2033" t="s">
        <v>182</v>
      </c>
      <c r="B2033" t="s">
        <v>557</v>
      </c>
      <c r="C2033" t="s">
        <v>558</v>
      </c>
      <c r="D2033" t="s">
        <v>2590</v>
      </c>
      <c r="E2033">
        <v>-2031</v>
      </c>
      <c r="F2033" t="s">
        <v>559</v>
      </c>
      <c r="G2033" t="s">
        <v>560</v>
      </c>
    </row>
    <row r="2034" spans="1:7">
      <c r="A2034" t="s">
        <v>182</v>
      </c>
      <c r="B2034" t="s">
        <v>557</v>
      </c>
      <c r="C2034" t="s">
        <v>558</v>
      </c>
      <c r="D2034" t="s">
        <v>2591</v>
      </c>
      <c r="E2034">
        <v>-2032</v>
      </c>
      <c r="F2034" t="s">
        <v>559</v>
      </c>
      <c r="G2034" t="s">
        <v>560</v>
      </c>
    </row>
    <row r="2035" spans="1:7">
      <c r="A2035" t="s">
        <v>182</v>
      </c>
      <c r="B2035" t="s">
        <v>557</v>
      </c>
      <c r="C2035" t="s">
        <v>558</v>
      </c>
      <c r="D2035" t="s">
        <v>2592</v>
      </c>
      <c r="E2035">
        <v>-2033</v>
      </c>
      <c r="F2035" t="s">
        <v>559</v>
      </c>
      <c r="G2035" t="s">
        <v>560</v>
      </c>
    </row>
    <row r="2036" spans="1:7">
      <c r="A2036" t="s">
        <v>182</v>
      </c>
      <c r="B2036" t="s">
        <v>557</v>
      </c>
      <c r="C2036" t="s">
        <v>558</v>
      </c>
      <c r="D2036" t="s">
        <v>2593</v>
      </c>
      <c r="E2036">
        <v>-2034</v>
      </c>
      <c r="F2036" t="s">
        <v>559</v>
      </c>
      <c r="G2036" t="s">
        <v>560</v>
      </c>
    </row>
    <row r="2037" spans="1:7">
      <c r="A2037" t="s">
        <v>182</v>
      </c>
      <c r="B2037" t="s">
        <v>557</v>
      </c>
      <c r="C2037" t="s">
        <v>558</v>
      </c>
      <c r="D2037" t="s">
        <v>2594</v>
      </c>
      <c r="E2037">
        <v>-2035</v>
      </c>
      <c r="F2037" t="s">
        <v>559</v>
      </c>
      <c r="G2037" t="s">
        <v>560</v>
      </c>
    </row>
    <row r="2038" spans="1:7">
      <c r="A2038" t="s">
        <v>182</v>
      </c>
      <c r="B2038" t="s">
        <v>557</v>
      </c>
      <c r="C2038" t="s">
        <v>558</v>
      </c>
      <c r="D2038" t="s">
        <v>2595</v>
      </c>
      <c r="E2038">
        <v>-2036</v>
      </c>
      <c r="F2038" t="s">
        <v>559</v>
      </c>
      <c r="G2038" t="s">
        <v>560</v>
      </c>
    </row>
    <row r="2039" spans="1:7">
      <c r="A2039" t="s">
        <v>182</v>
      </c>
      <c r="B2039" t="s">
        <v>557</v>
      </c>
      <c r="C2039" t="s">
        <v>558</v>
      </c>
      <c r="D2039" t="s">
        <v>2596</v>
      </c>
      <c r="E2039">
        <v>-2037</v>
      </c>
      <c r="F2039" t="s">
        <v>559</v>
      </c>
      <c r="G2039" t="s">
        <v>560</v>
      </c>
    </row>
    <row r="2040" spans="1:7">
      <c r="A2040" t="s">
        <v>182</v>
      </c>
      <c r="B2040" t="s">
        <v>557</v>
      </c>
      <c r="C2040" t="s">
        <v>558</v>
      </c>
      <c r="D2040" t="s">
        <v>2597</v>
      </c>
      <c r="E2040">
        <v>-2038</v>
      </c>
      <c r="F2040" t="s">
        <v>559</v>
      </c>
      <c r="G2040" t="s">
        <v>560</v>
      </c>
    </row>
    <row r="2041" spans="1:7">
      <c r="A2041" t="s">
        <v>182</v>
      </c>
      <c r="B2041" t="s">
        <v>557</v>
      </c>
      <c r="C2041" t="s">
        <v>558</v>
      </c>
      <c r="D2041" t="s">
        <v>2598</v>
      </c>
      <c r="E2041">
        <v>-2039</v>
      </c>
      <c r="F2041" t="s">
        <v>559</v>
      </c>
      <c r="G2041" t="s">
        <v>560</v>
      </c>
    </row>
    <row r="2042" spans="1:7">
      <c r="A2042" t="s">
        <v>182</v>
      </c>
      <c r="B2042" t="s">
        <v>557</v>
      </c>
      <c r="C2042" t="s">
        <v>558</v>
      </c>
      <c r="D2042" t="s">
        <v>2599</v>
      </c>
      <c r="E2042">
        <v>-2040</v>
      </c>
      <c r="F2042" t="s">
        <v>559</v>
      </c>
      <c r="G2042" t="s">
        <v>560</v>
      </c>
    </row>
    <row r="2043" spans="1:7">
      <c r="A2043" t="s">
        <v>182</v>
      </c>
      <c r="B2043" t="s">
        <v>557</v>
      </c>
      <c r="C2043" t="s">
        <v>558</v>
      </c>
      <c r="D2043" t="s">
        <v>2600</v>
      </c>
      <c r="E2043">
        <v>-2041</v>
      </c>
      <c r="F2043" t="s">
        <v>559</v>
      </c>
      <c r="G2043" t="s">
        <v>560</v>
      </c>
    </row>
    <row r="2044" spans="1:7">
      <c r="A2044" t="s">
        <v>182</v>
      </c>
      <c r="B2044" t="s">
        <v>557</v>
      </c>
      <c r="C2044" t="s">
        <v>558</v>
      </c>
      <c r="D2044" t="s">
        <v>2601</v>
      </c>
      <c r="E2044">
        <v>-2042</v>
      </c>
      <c r="F2044" t="s">
        <v>559</v>
      </c>
      <c r="G2044" t="s">
        <v>560</v>
      </c>
    </row>
    <row r="2045" spans="1:7">
      <c r="A2045" t="s">
        <v>182</v>
      </c>
      <c r="B2045" t="s">
        <v>557</v>
      </c>
      <c r="C2045" t="s">
        <v>558</v>
      </c>
      <c r="D2045" t="s">
        <v>2602</v>
      </c>
      <c r="E2045">
        <v>-2043</v>
      </c>
      <c r="F2045" t="s">
        <v>559</v>
      </c>
      <c r="G2045" t="s">
        <v>560</v>
      </c>
    </row>
    <row r="2046" spans="1:7">
      <c r="A2046" t="s">
        <v>182</v>
      </c>
      <c r="B2046" t="s">
        <v>557</v>
      </c>
      <c r="C2046" t="s">
        <v>558</v>
      </c>
      <c r="D2046" t="s">
        <v>2603</v>
      </c>
      <c r="E2046">
        <v>-2044</v>
      </c>
      <c r="F2046" t="s">
        <v>559</v>
      </c>
      <c r="G2046" t="s">
        <v>560</v>
      </c>
    </row>
    <row r="2047" spans="1:7">
      <c r="A2047" t="s">
        <v>182</v>
      </c>
      <c r="B2047" t="s">
        <v>557</v>
      </c>
      <c r="C2047" t="s">
        <v>558</v>
      </c>
      <c r="D2047" t="s">
        <v>2604</v>
      </c>
      <c r="E2047">
        <v>-2045</v>
      </c>
      <c r="F2047" t="s">
        <v>559</v>
      </c>
      <c r="G2047" t="s">
        <v>560</v>
      </c>
    </row>
    <row r="2048" spans="1:7">
      <c r="A2048" t="s">
        <v>182</v>
      </c>
      <c r="B2048" t="s">
        <v>557</v>
      </c>
      <c r="C2048" t="s">
        <v>558</v>
      </c>
      <c r="D2048" t="s">
        <v>2605</v>
      </c>
      <c r="E2048">
        <v>-2046</v>
      </c>
      <c r="F2048" t="s">
        <v>559</v>
      </c>
      <c r="G2048" t="s">
        <v>560</v>
      </c>
    </row>
    <row r="2049" spans="1:7">
      <c r="A2049" t="s">
        <v>182</v>
      </c>
      <c r="B2049" t="s">
        <v>557</v>
      </c>
      <c r="C2049" t="s">
        <v>558</v>
      </c>
      <c r="D2049" t="s">
        <v>2606</v>
      </c>
      <c r="E2049">
        <v>-2047</v>
      </c>
      <c r="F2049" t="s">
        <v>559</v>
      </c>
      <c r="G2049" t="s">
        <v>560</v>
      </c>
    </row>
    <row r="2050" spans="1:7">
      <c r="A2050" t="s">
        <v>182</v>
      </c>
      <c r="B2050" t="s">
        <v>557</v>
      </c>
      <c r="C2050" t="s">
        <v>558</v>
      </c>
      <c r="D2050" t="s">
        <v>2607</v>
      </c>
      <c r="E2050">
        <v>-2048</v>
      </c>
      <c r="F2050" t="s">
        <v>559</v>
      </c>
      <c r="G2050" t="s">
        <v>560</v>
      </c>
    </row>
    <row r="2051" spans="1:7">
      <c r="A2051" t="s">
        <v>182</v>
      </c>
      <c r="B2051" t="s">
        <v>557</v>
      </c>
      <c r="C2051" t="s">
        <v>558</v>
      </c>
      <c r="D2051" t="s">
        <v>2608</v>
      </c>
      <c r="E2051">
        <v>-2049</v>
      </c>
      <c r="F2051" t="s">
        <v>559</v>
      </c>
      <c r="G2051" t="s">
        <v>560</v>
      </c>
    </row>
    <row r="2052" spans="1:7">
      <c r="A2052" t="s">
        <v>182</v>
      </c>
      <c r="B2052" t="s">
        <v>557</v>
      </c>
      <c r="C2052" t="s">
        <v>558</v>
      </c>
      <c r="D2052" t="s">
        <v>2609</v>
      </c>
      <c r="E2052">
        <v>-2050</v>
      </c>
      <c r="F2052" t="s">
        <v>559</v>
      </c>
      <c r="G2052" t="s">
        <v>560</v>
      </c>
    </row>
    <row r="2053" spans="1:7">
      <c r="A2053" t="s">
        <v>182</v>
      </c>
      <c r="B2053" t="s">
        <v>557</v>
      </c>
      <c r="C2053" t="s">
        <v>558</v>
      </c>
      <c r="D2053" t="s">
        <v>2610</v>
      </c>
      <c r="E2053">
        <v>-2051</v>
      </c>
      <c r="F2053" t="s">
        <v>559</v>
      </c>
      <c r="G2053" t="s">
        <v>560</v>
      </c>
    </row>
    <row r="2054" spans="1:7">
      <c r="A2054" t="s">
        <v>182</v>
      </c>
      <c r="B2054" t="s">
        <v>557</v>
      </c>
      <c r="C2054" t="s">
        <v>558</v>
      </c>
      <c r="D2054" t="s">
        <v>2611</v>
      </c>
      <c r="E2054">
        <v>-2052</v>
      </c>
      <c r="F2054" t="s">
        <v>559</v>
      </c>
      <c r="G2054" t="s">
        <v>560</v>
      </c>
    </row>
    <row r="2055" spans="1:7">
      <c r="A2055" t="s">
        <v>182</v>
      </c>
      <c r="B2055" t="s">
        <v>557</v>
      </c>
      <c r="C2055" t="s">
        <v>558</v>
      </c>
      <c r="D2055" t="s">
        <v>2612</v>
      </c>
      <c r="E2055">
        <v>-2053</v>
      </c>
      <c r="F2055" t="s">
        <v>559</v>
      </c>
      <c r="G2055" t="s">
        <v>560</v>
      </c>
    </row>
    <row r="2056" spans="1:7">
      <c r="A2056" t="s">
        <v>182</v>
      </c>
      <c r="B2056" t="s">
        <v>557</v>
      </c>
      <c r="C2056" t="s">
        <v>558</v>
      </c>
      <c r="D2056" t="s">
        <v>2613</v>
      </c>
      <c r="E2056">
        <v>-2054</v>
      </c>
      <c r="F2056" t="s">
        <v>559</v>
      </c>
      <c r="G2056" t="s">
        <v>560</v>
      </c>
    </row>
    <row r="2057" spans="1:7">
      <c r="A2057" t="s">
        <v>182</v>
      </c>
      <c r="B2057" t="s">
        <v>557</v>
      </c>
      <c r="C2057" t="s">
        <v>558</v>
      </c>
      <c r="D2057" t="s">
        <v>2614</v>
      </c>
      <c r="E2057">
        <v>-2055</v>
      </c>
      <c r="F2057" t="s">
        <v>559</v>
      </c>
      <c r="G2057" t="s">
        <v>560</v>
      </c>
    </row>
    <row r="2058" spans="1:7">
      <c r="A2058" t="s">
        <v>182</v>
      </c>
      <c r="B2058" t="s">
        <v>557</v>
      </c>
      <c r="C2058" t="s">
        <v>558</v>
      </c>
      <c r="D2058" t="s">
        <v>2615</v>
      </c>
      <c r="E2058">
        <v>-2056</v>
      </c>
      <c r="F2058" t="s">
        <v>559</v>
      </c>
      <c r="G2058" t="s">
        <v>560</v>
      </c>
    </row>
    <row r="2059" spans="1:7">
      <c r="A2059" t="s">
        <v>182</v>
      </c>
      <c r="B2059" t="s">
        <v>557</v>
      </c>
      <c r="C2059" t="s">
        <v>558</v>
      </c>
      <c r="D2059" t="s">
        <v>2616</v>
      </c>
      <c r="E2059">
        <v>-2057</v>
      </c>
      <c r="F2059" t="s">
        <v>559</v>
      </c>
      <c r="G2059" t="s">
        <v>560</v>
      </c>
    </row>
    <row r="2060" spans="1:7">
      <c r="A2060" t="s">
        <v>182</v>
      </c>
      <c r="B2060" t="s">
        <v>557</v>
      </c>
      <c r="C2060" t="s">
        <v>558</v>
      </c>
      <c r="D2060" t="s">
        <v>2617</v>
      </c>
      <c r="E2060">
        <v>-2058</v>
      </c>
      <c r="F2060" t="s">
        <v>559</v>
      </c>
      <c r="G2060" t="s">
        <v>560</v>
      </c>
    </row>
    <row r="2061" spans="1:7">
      <c r="A2061" t="s">
        <v>182</v>
      </c>
      <c r="B2061" t="s">
        <v>557</v>
      </c>
      <c r="C2061" t="s">
        <v>558</v>
      </c>
      <c r="D2061" t="s">
        <v>2618</v>
      </c>
      <c r="E2061">
        <v>-2059</v>
      </c>
      <c r="F2061" t="s">
        <v>559</v>
      </c>
      <c r="G2061" t="s">
        <v>560</v>
      </c>
    </row>
    <row r="2062" spans="1:7">
      <c r="A2062" t="s">
        <v>182</v>
      </c>
      <c r="B2062" t="s">
        <v>557</v>
      </c>
      <c r="C2062" t="s">
        <v>558</v>
      </c>
      <c r="D2062" t="s">
        <v>2619</v>
      </c>
      <c r="E2062">
        <v>-2060</v>
      </c>
      <c r="F2062" t="s">
        <v>559</v>
      </c>
      <c r="G2062" t="s">
        <v>560</v>
      </c>
    </row>
    <row r="2063" spans="1:7">
      <c r="A2063" t="s">
        <v>182</v>
      </c>
      <c r="B2063" t="s">
        <v>557</v>
      </c>
      <c r="C2063" t="s">
        <v>558</v>
      </c>
      <c r="D2063" t="s">
        <v>2620</v>
      </c>
      <c r="E2063">
        <v>-2061</v>
      </c>
      <c r="F2063" t="s">
        <v>559</v>
      </c>
      <c r="G2063" t="s">
        <v>560</v>
      </c>
    </row>
    <row r="2064" spans="1:7">
      <c r="A2064" t="s">
        <v>182</v>
      </c>
      <c r="B2064" t="s">
        <v>557</v>
      </c>
      <c r="C2064" t="s">
        <v>558</v>
      </c>
      <c r="D2064" t="s">
        <v>2621</v>
      </c>
      <c r="E2064">
        <v>-2062</v>
      </c>
      <c r="F2064" t="s">
        <v>559</v>
      </c>
      <c r="G2064" t="s">
        <v>560</v>
      </c>
    </row>
    <row r="2065" spans="1:7">
      <c r="A2065" t="s">
        <v>182</v>
      </c>
      <c r="B2065" t="s">
        <v>557</v>
      </c>
      <c r="C2065" t="s">
        <v>558</v>
      </c>
      <c r="D2065" t="s">
        <v>2622</v>
      </c>
      <c r="E2065">
        <v>-2063</v>
      </c>
      <c r="F2065" t="s">
        <v>559</v>
      </c>
      <c r="G2065" t="s">
        <v>560</v>
      </c>
    </row>
    <row r="2066" spans="1:7">
      <c r="A2066" t="s">
        <v>182</v>
      </c>
      <c r="B2066" t="s">
        <v>557</v>
      </c>
      <c r="C2066" t="s">
        <v>558</v>
      </c>
      <c r="D2066" t="s">
        <v>2623</v>
      </c>
      <c r="E2066">
        <v>-2064</v>
      </c>
      <c r="F2066" t="s">
        <v>559</v>
      </c>
      <c r="G2066" t="s">
        <v>560</v>
      </c>
    </row>
    <row r="2067" spans="1:7">
      <c r="A2067" t="s">
        <v>182</v>
      </c>
      <c r="B2067" t="s">
        <v>557</v>
      </c>
      <c r="C2067" t="s">
        <v>558</v>
      </c>
      <c r="D2067" t="s">
        <v>2624</v>
      </c>
      <c r="E2067">
        <v>-2065</v>
      </c>
      <c r="F2067" t="s">
        <v>559</v>
      </c>
      <c r="G2067" t="s">
        <v>560</v>
      </c>
    </row>
    <row r="2068" spans="1:7">
      <c r="A2068" t="s">
        <v>182</v>
      </c>
      <c r="B2068" t="s">
        <v>557</v>
      </c>
      <c r="C2068" t="s">
        <v>558</v>
      </c>
      <c r="D2068" t="s">
        <v>2625</v>
      </c>
      <c r="E2068">
        <v>-2066</v>
      </c>
      <c r="F2068" t="s">
        <v>559</v>
      </c>
      <c r="G2068" t="s">
        <v>560</v>
      </c>
    </row>
    <row r="2069" spans="1:7">
      <c r="A2069" t="s">
        <v>182</v>
      </c>
      <c r="B2069" t="s">
        <v>557</v>
      </c>
      <c r="C2069" t="s">
        <v>558</v>
      </c>
      <c r="D2069" t="s">
        <v>2626</v>
      </c>
      <c r="E2069">
        <v>-2067</v>
      </c>
      <c r="F2069" t="s">
        <v>559</v>
      </c>
      <c r="G2069" t="s">
        <v>560</v>
      </c>
    </row>
    <row r="2070" spans="1:7">
      <c r="A2070" t="s">
        <v>182</v>
      </c>
      <c r="B2070" t="s">
        <v>557</v>
      </c>
      <c r="C2070" t="s">
        <v>558</v>
      </c>
      <c r="D2070" t="s">
        <v>2627</v>
      </c>
      <c r="E2070">
        <v>-2068</v>
      </c>
      <c r="F2070" t="s">
        <v>559</v>
      </c>
      <c r="G2070" t="s">
        <v>560</v>
      </c>
    </row>
    <row r="2071" spans="1:7">
      <c r="A2071" t="s">
        <v>182</v>
      </c>
      <c r="B2071" t="s">
        <v>557</v>
      </c>
      <c r="C2071" t="s">
        <v>558</v>
      </c>
      <c r="D2071" t="s">
        <v>2628</v>
      </c>
      <c r="E2071">
        <v>-2069</v>
      </c>
      <c r="F2071" t="s">
        <v>559</v>
      </c>
      <c r="G2071" t="s">
        <v>560</v>
      </c>
    </row>
    <row r="2072" spans="1:7">
      <c r="A2072" t="s">
        <v>182</v>
      </c>
      <c r="B2072" t="s">
        <v>557</v>
      </c>
      <c r="C2072" t="s">
        <v>558</v>
      </c>
      <c r="D2072" t="s">
        <v>2629</v>
      </c>
      <c r="E2072">
        <v>-2070</v>
      </c>
      <c r="F2072" t="s">
        <v>559</v>
      </c>
      <c r="G2072" t="s">
        <v>560</v>
      </c>
    </row>
    <row r="2073" spans="1:7">
      <c r="A2073" t="s">
        <v>182</v>
      </c>
      <c r="B2073" t="s">
        <v>557</v>
      </c>
      <c r="C2073" t="s">
        <v>558</v>
      </c>
      <c r="D2073" t="s">
        <v>2630</v>
      </c>
      <c r="E2073">
        <v>-2071</v>
      </c>
      <c r="F2073" t="s">
        <v>559</v>
      </c>
      <c r="G2073" t="s">
        <v>560</v>
      </c>
    </row>
    <row r="2074" spans="1:7">
      <c r="A2074" t="s">
        <v>182</v>
      </c>
      <c r="B2074" t="s">
        <v>557</v>
      </c>
      <c r="C2074" t="s">
        <v>558</v>
      </c>
      <c r="D2074" t="s">
        <v>2631</v>
      </c>
      <c r="E2074">
        <v>-2072</v>
      </c>
      <c r="F2074" t="s">
        <v>559</v>
      </c>
      <c r="G2074" t="s">
        <v>560</v>
      </c>
    </row>
    <row r="2075" spans="1:7">
      <c r="A2075" t="s">
        <v>182</v>
      </c>
      <c r="B2075" t="s">
        <v>557</v>
      </c>
      <c r="C2075" t="s">
        <v>558</v>
      </c>
      <c r="D2075" t="s">
        <v>2632</v>
      </c>
      <c r="E2075">
        <v>-2073</v>
      </c>
      <c r="F2075" t="s">
        <v>559</v>
      </c>
      <c r="G2075" t="s">
        <v>560</v>
      </c>
    </row>
    <row r="2076" spans="1:7">
      <c r="A2076" t="s">
        <v>182</v>
      </c>
      <c r="B2076" t="s">
        <v>557</v>
      </c>
      <c r="C2076" t="s">
        <v>558</v>
      </c>
      <c r="D2076" t="s">
        <v>2633</v>
      </c>
      <c r="E2076">
        <v>-2074</v>
      </c>
      <c r="F2076" t="s">
        <v>559</v>
      </c>
      <c r="G2076" t="s">
        <v>560</v>
      </c>
    </row>
    <row r="2077" spans="1:7">
      <c r="A2077" t="s">
        <v>182</v>
      </c>
      <c r="B2077" t="s">
        <v>557</v>
      </c>
      <c r="C2077" t="s">
        <v>558</v>
      </c>
      <c r="D2077" t="s">
        <v>2634</v>
      </c>
      <c r="E2077">
        <v>-2075</v>
      </c>
      <c r="F2077" t="s">
        <v>559</v>
      </c>
      <c r="G2077" t="s">
        <v>560</v>
      </c>
    </row>
    <row r="2078" spans="1:7">
      <c r="A2078" t="s">
        <v>182</v>
      </c>
      <c r="B2078" t="s">
        <v>557</v>
      </c>
      <c r="C2078" t="s">
        <v>558</v>
      </c>
      <c r="D2078" t="s">
        <v>2635</v>
      </c>
      <c r="E2078">
        <v>-2076</v>
      </c>
      <c r="F2078" t="s">
        <v>559</v>
      </c>
      <c r="G2078" t="s">
        <v>560</v>
      </c>
    </row>
    <row r="2079" spans="1:7">
      <c r="A2079" t="s">
        <v>182</v>
      </c>
      <c r="B2079" t="s">
        <v>557</v>
      </c>
      <c r="C2079" t="s">
        <v>558</v>
      </c>
      <c r="D2079" t="s">
        <v>2636</v>
      </c>
      <c r="E2079">
        <v>-2077</v>
      </c>
      <c r="F2079" t="s">
        <v>559</v>
      </c>
      <c r="G2079" t="s">
        <v>560</v>
      </c>
    </row>
    <row r="2080" spans="1:7">
      <c r="A2080" t="s">
        <v>182</v>
      </c>
      <c r="B2080" t="s">
        <v>557</v>
      </c>
      <c r="C2080" t="s">
        <v>558</v>
      </c>
      <c r="D2080" t="s">
        <v>2637</v>
      </c>
      <c r="E2080">
        <v>-2078</v>
      </c>
      <c r="F2080" t="s">
        <v>559</v>
      </c>
      <c r="G2080" t="s">
        <v>560</v>
      </c>
    </row>
    <row r="2081" spans="1:7">
      <c r="A2081" t="s">
        <v>182</v>
      </c>
      <c r="B2081" t="s">
        <v>557</v>
      </c>
      <c r="C2081" t="s">
        <v>558</v>
      </c>
      <c r="D2081" t="s">
        <v>2638</v>
      </c>
      <c r="E2081">
        <v>-2079</v>
      </c>
      <c r="F2081" t="s">
        <v>559</v>
      </c>
      <c r="G2081" t="s">
        <v>560</v>
      </c>
    </row>
    <row r="2082" spans="1:7">
      <c r="A2082" t="s">
        <v>182</v>
      </c>
      <c r="B2082" t="s">
        <v>557</v>
      </c>
      <c r="C2082" t="s">
        <v>558</v>
      </c>
      <c r="D2082" t="s">
        <v>2639</v>
      </c>
      <c r="E2082">
        <v>-2080</v>
      </c>
      <c r="F2082" t="s">
        <v>559</v>
      </c>
      <c r="G2082" t="s">
        <v>560</v>
      </c>
    </row>
    <row r="2083" spans="1:7">
      <c r="A2083" t="s">
        <v>182</v>
      </c>
      <c r="B2083" t="s">
        <v>557</v>
      </c>
      <c r="C2083" t="s">
        <v>558</v>
      </c>
      <c r="D2083" t="s">
        <v>2640</v>
      </c>
      <c r="E2083">
        <v>-2081</v>
      </c>
      <c r="F2083" t="s">
        <v>559</v>
      </c>
      <c r="G2083" t="s">
        <v>560</v>
      </c>
    </row>
    <row r="2084" spans="1:7">
      <c r="A2084" t="s">
        <v>182</v>
      </c>
      <c r="B2084" t="s">
        <v>557</v>
      </c>
      <c r="C2084" t="s">
        <v>558</v>
      </c>
      <c r="D2084" t="s">
        <v>2641</v>
      </c>
      <c r="E2084">
        <v>-2082</v>
      </c>
      <c r="F2084" t="s">
        <v>559</v>
      </c>
      <c r="G2084" t="s">
        <v>560</v>
      </c>
    </row>
    <row r="2085" spans="1:7">
      <c r="A2085" t="s">
        <v>182</v>
      </c>
      <c r="B2085" t="s">
        <v>557</v>
      </c>
      <c r="C2085" t="s">
        <v>558</v>
      </c>
      <c r="D2085" t="s">
        <v>2642</v>
      </c>
      <c r="E2085">
        <v>-2083</v>
      </c>
      <c r="F2085" t="s">
        <v>559</v>
      </c>
      <c r="G2085" t="s">
        <v>560</v>
      </c>
    </row>
    <row r="2086" spans="1:7">
      <c r="A2086" t="s">
        <v>182</v>
      </c>
      <c r="B2086" t="s">
        <v>557</v>
      </c>
      <c r="C2086" t="s">
        <v>558</v>
      </c>
      <c r="D2086" t="s">
        <v>2643</v>
      </c>
      <c r="E2086">
        <v>-2084</v>
      </c>
      <c r="F2086" t="s">
        <v>559</v>
      </c>
      <c r="G2086" t="s">
        <v>560</v>
      </c>
    </row>
    <row r="2087" spans="1:7">
      <c r="A2087" t="s">
        <v>182</v>
      </c>
      <c r="B2087" t="s">
        <v>557</v>
      </c>
      <c r="C2087" t="s">
        <v>558</v>
      </c>
      <c r="D2087" t="s">
        <v>2644</v>
      </c>
      <c r="E2087">
        <v>-2085</v>
      </c>
      <c r="F2087" t="s">
        <v>559</v>
      </c>
      <c r="G2087" t="s">
        <v>560</v>
      </c>
    </row>
    <row r="2088" spans="1:7">
      <c r="A2088" t="s">
        <v>182</v>
      </c>
      <c r="B2088" t="s">
        <v>557</v>
      </c>
      <c r="C2088" t="s">
        <v>558</v>
      </c>
      <c r="D2088" t="s">
        <v>2645</v>
      </c>
      <c r="E2088">
        <v>-2086</v>
      </c>
      <c r="F2088" t="s">
        <v>559</v>
      </c>
      <c r="G2088" t="s">
        <v>560</v>
      </c>
    </row>
    <row r="2089" spans="1:7">
      <c r="A2089" t="s">
        <v>182</v>
      </c>
      <c r="B2089" t="s">
        <v>557</v>
      </c>
      <c r="C2089" t="s">
        <v>558</v>
      </c>
      <c r="D2089" t="s">
        <v>2646</v>
      </c>
      <c r="E2089">
        <v>-2087</v>
      </c>
      <c r="F2089" t="s">
        <v>559</v>
      </c>
      <c r="G2089" t="s">
        <v>560</v>
      </c>
    </row>
    <row r="2090" spans="1:7">
      <c r="A2090" t="s">
        <v>182</v>
      </c>
      <c r="B2090" t="s">
        <v>557</v>
      </c>
      <c r="C2090" t="s">
        <v>558</v>
      </c>
      <c r="D2090" t="s">
        <v>2647</v>
      </c>
      <c r="E2090">
        <v>-2088</v>
      </c>
      <c r="F2090" t="s">
        <v>559</v>
      </c>
      <c r="G2090" t="s">
        <v>560</v>
      </c>
    </row>
    <row r="2091" spans="1:7">
      <c r="A2091" t="s">
        <v>182</v>
      </c>
      <c r="B2091" t="s">
        <v>557</v>
      </c>
      <c r="C2091" t="s">
        <v>558</v>
      </c>
      <c r="D2091" t="s">
        <v>2648</v>
      </c>
      <c r="E2091">
        <v>-2089</v>
      </c>
      <c r="F2091" t="s">
        <v>559</v>
      </c>
      <c r="G2091" t="s">
        <v>560</v>
      </c>
    </row>
    <row r="2092" spans="1:7">
      <c r="A2092" t="s">
        <v>182</v>
      </c>
      <c r="B2092" t="s">
        <v>557</v>
      </c>
      <c r="C2092" t="s">
        <v>558</v>
      </c>
      <c r="D2092" t="s">
        <v>2649</v>
      </c>
      <c r="E2092">
        <v>-2090</v>
      </c>
      <c r="F2092" t="s">
        <v>559</v>
      </c>
      <c r="G2092" t="s">
        <v>560</v>
      </c>
    </row>
    <row r="2093" spans="1:7">
      <c r="A2093" t="s">
        <v>182</v>
      </c>
      <c r="B2093" t="s">
        <v>557</v>
      </c>
      <c r="C2093" t="s">
        <v>558</v>
      </c>
      <c r="D2093" t="s">
        <v>2650</v>
      </c>
      <c r="E2093">
        <v>-2091</v>
      </c>
      <c r="F2093" t="s">
        <v>559</v>
      </c>
      <c r="G2093" t="s">
        <v>560</v>
      </c>
    </row>
    <row r="2094" spans="1:7">
      <c r="A2094" t="s">
        <v>182</v>
      </c>
      <c r="B2094" t="s">
        <v>557</v>
      </c>
      <c r="C2094" t="s">
        <v>558</v>
      </c>
      <c r="D2094" t="s">
        <v>2651</v>
      </c>
      <c r="E2094">
        <v>-2092</v>
      </c>
      <c r="F2094" t="s">
        <v>559</v>
      </c>
      <c r="G2094" t="s">
        <v>560</v>
      </c>
    </row>
    <row r="2095" spans="1:7">
      <c r="A2095" t="s">
        <v>182</v>
      </c>
      <c r="B2095" t="s">
        <v>557</v>
      </c>
      <c r="C2095" t="s">
        <v>558</v>
      </c>
      <c r="D2095" t="s">
        <v>2652</v>
      </c>
      <c r="E2095">
        <v>-2093</v>
      </c>
      <c r="F2095" t="s">
        <v>559</v>
      </c>
      <c r="G2095" t="s">
        <v>560</v>
      </c>
    </row>
    <row r="2096" spans="1:7">
      <c r="A2096" t="s">
        <v>182</v>
      </c>
      <c r="B2096" t="s">
        <v>557</v>
      </c>
      <c r="C2096" t="s">
        <v>558</v>
      </c>
      <c r="D2096" t="s">
        <v>2653</v>
      </c>
      <c r="E2096">
        <v>-2094</v>
      </c>
      <c r="F2096" t="s">
        <v>559</v>
      </c>
      <c r="G2096" t="s">
        <v>560</v>
      </c>
    </row>
    <row r="2097" spans="1:7">
      <c r="A2097" t="s">
        <v>182</v>
      </c>
      <c r="B2097" t="s">
        <v>557</v>
      </c>
      <c r="C2097" t="s">
        <v>558</v>
      </c>
      <c r="D2097" t="s">
        <v>2654</v>
      </c>
      <c r="E2097">
        <v>-2095</v>
      </c>
      <c r="F2097" t="s">
        <v>559</v>
      </c>
      <c r="G2097" t="s">
        <v>560</v>
      </c>
    </row>
    <row r="2098" spans="1:7">
      <c r="A2098" t="s">
        <v>182</v>
      </c>
      <c r="B2098" t="s">
        <v>557</v>
      </c>
      <c r="C2098" t="s">
        <v>558</v>
      </c>
      <c r="D2098" t="s">
        <v>2655</v>
      </c>
      <c r="E2098">
        <v>-2096</v>
      </c>
      <c r="F2098" t="s">
        <v>559</v>
      </c>
      <c r="G2098" t="s">
        <v>560</v>
      </c>
    </row>
    <row r="2099" spans="1:7">
      <c r="A2099" t="s">
        <v>182</v>
      </c>
      <c r="B2099" t="s">
        <v>557</v>
      </c>
      <c r="C2099" t="s">
        <v>558</v>
      </c>
      <c r="D2099" t="s">
        <v>2656</v>
      </c>
      <c r="E2099">
        <v>-2097</v>
      </c>
      <c r="F2099" t="s">
        <v>559</v>
      </c>
      <c r="G2099" t="s">
        <v>560</v>
      </c>
    </row>
    <row r="2100" spans="1:7">
      <c r="A2100" t="s">
        <v>182</v>
      </c>
      <c r="B2100" t="s">
        <v>557</v>
      </c>
      <c r="C2100" t="s">
        <v>558</v>
      </c>
      <c r="D2100" t="s">
        <v>2657</v>
      </c>
      <c r="E2100">
        <v>-2098</v>
      </c>
      <c r="F2100" t="s">
        <v>559</v>
      </c>
      <c r="G2100" t="s">
        <v>560</v>
      </c>
    </row>
    <row r="2101" spans="1:7">
      <c r="A2101" t="s">
        <v>182</v>
      </c>
      <c r="B2101" t="s">
        <v>557</v>
      </c>
      <c r="C2101" t="s">
        <v>558</v>
      </c>
      <c r="D2101" t="s">
        <v>2658</v>
      </c>
      <c r="E2101">
        <v>-2099</v>
      </c>
      <c r="F2101" t="s">
        <v>559</v>
      </c>
      <c r="G2101" t="s">
        <v>560</v>
      </c>
    </row>
    <row r="2102" spans="1:7">
      <c r="A2102" t="s">
        <v>182</v>
      </c>
      <c r="B2102" t="s">
        <v>557</v>
      </c>
      <c r="C2102" t="s">
        <v>558</v>
      </c>
      <c r="D2102" t="s">
        <v>2659</v>
      </c>
      <c r="E2102">
        <v>-2100</v>
      </c>
      <c r="F2102" t="s">
        <v>559</v>
      </c>
      <c r="G2102" t="s">
        <v>560</v>
      </c>
    </row>
    <row r="2103" spans="1:7">
      <c r="A2103" t="s">
        <v>182</v>
      </c>
      <c r="B2103" t="s">
        <v>557</v>
      </c>
      <c r="C2103" t="s">
        <v>558</v>
      </c>
      <c r="D2103" t="s">
        <v>2660</v>
      </c>
      <c r="E2103">
        <v>-2101</v>
      </c>
      <c r="F2103" t="s">
        <v>559</v>
      </c>
      <c r="G2103" t="s">
        <v>560</v>
      </c>
    </row>
    <row r="2104" spans="1:7">
      <c r="A2104" t="s">
        <v>182</v>
      </c>
      <c r="B2104" t="s">
        <v>557</v>
      </c>
      <c r="C2104" t="s">
        <v>558</v>
      </c>
      <c r="D2104" t="s">
        <v>2661</v>
      </c>
      <c r="E2104">
        <v>-2102</v>
      </c>
      <c r="F2104" t="s">
        <v>559</v>
      </c>
      <c r="G2104" t="s">
        <v>560</v>
      </c>
    </row>
    <row r="2105" spans="1:7">
      <c r="A2105" t="s">
        <v>182</v>
      </c>
      <c r="B2105" t="s">
        <v>557</v>
      </c>
      <c r="C2105" t="s">
        <v>558</v>
      </c>
      <c r="D2105" t="s">
        <v>2662</v>
      </c>
      <c r="E2105">
        <v>-2103</v>
      </c>
      <c r="F2105" t="s">
        <v>559</v>
      </c>
      <c r="G2105" t="s">
        <v>560</v>
      </c>
    </row>
    <row r="2106" spans="1:7">
      <c r="A2106" t="s">
        <v>182</v>
      </c>
      <c r="B2106" t="s">
        <v>557</v>
      </c>
      <c r="C2106" t="s">
        <v>558</v>
      </c>
      <c r="D2106" t="s">
        <v>2663</v>
      </c>
      <c r="E2106">
        <v>-2104</v>
      </c>
      <c r="F2106" t="s">
        <v>559</v>
      </c>
      <c r="G2106" t="s">
        <v>560</v>
      </c>
    </row>
    <row r="2107" spans="1:7">
      <c r="A2107" t="s">
        <v>182</v>
      </c>
      <c r="B2107" t="s">
        <v>557</v>
      </c>
      <c r="C2107" t="s">
        <v>558</v>
      </c>
      <c r="D2107" t="s">
        <v>2664</v>
      </c>
      <c r="E2107">
        <v>-2105</v>
      </c>
      <c r="F2107" t="s">
        <v>559</v>
      </c>
      <c r="G2107" t="s">
        <v>560</v>
      </c>
    </row>
    <row r="2108" spans="1:7">
      <c r="A2108" t="s">
        <v>182</v>
      </c>
      <c r="B2108" t="s">
        <v>557</v>
      </c>
      <c r="C2108" t="s">
        <v>558</v>
      </c>
      <c r="D2108" t="s">
        <v>2665</v>
      </c>
      <c r="E2108">
        <v>-2106</v>
      </c>
      <c r="F2108" t="s">
        <v>559</v>
      </c>
      <c r="G2108" t="s">
        <v>560</v>
      </c>
    </row>
    <row r="2109" spans="1:7">
      <c r="A2109" t="s">
        <v>182</v>
      </c>
      <c r="B2109" t="s">
        <v>557</v>
      </c>
      <c r="C2109" t="s">
        <v>558</v>
      </c>
      <c r="D2109" t="s">
        <v>2666</v>
      </c>
      <c r="E2109">
        <v>-2107</v>
      </c>
      <c r="F2109" t="s">
        <v>559</v>
      </c>
      <c r="G2109" t="s">
        <v>560</v>
      </c>
    </row>
    <row r="2110" spans="1:7">
      <c r="A2110" t="s">
        <v>182</v>
      </c>
      <c r="B2110" t="s">
        <v>557</v>
      </c>
      <c r="C2110" t="s">
        <v>558</v>
      </c>
      <c r="D2110" t="s">
        <v>2667</v>
      </c>
      <c r="E2110">
        <v>-2108</v>
      </c>
      <c r="F2110" t="s">
        <v>559</v>
      </c>
      <c r="G2110" t="s">
        <v>560</v>
      </c>
    </row>
    <row r="2111" spans="1:7">
      <c r="A2111" t="s">
        <v>182</v>
      </c>
      <c r="B2111" t="s">
        <v>557</v>
      </c>
      <c r="C2111" t="s">
        <v>558</v>
      </c>
      <c r="D2111" t="s">
        <v>2668</v>
      </c>
      <c r="E2111">
        <v>-2109</v>
      </c>
      <c r="F2111" t="s">
        <v>559</v>
      </c>
      <c r="G2111" t="s">
        <v>560</v>
      </c>
    </row>
    <row r="2112" spans="1:7">
      <c r="A2112" t="s">
        <v>182</v>
      </c>
      <c r="B2112" t="s">
        <v>557</v>
      </c>
      <c r="C2112" t="s">
        <v>558</v>
      </c>
      <c r="D2112" t="s">
        <v>2669</v>
      </c>
      <c r="E2112">
        <v>-2110</v>
      </c>
      <c r="F2112" t="s">
        <v>559</v>
      </c>
      <c r="G2112" t="s">
        <v>560</v>
      </c>
    </row>
    <row r="2113" spans="1:7">
      <c r="A2113" t="s">
        <v>182</v>
      </c>
      <c r="B2113" t="s">
        <v>557</v>
      </c>
      <c r="C2113" t="s">
        <v>558</v>
      </c>
      <c r="D2113" t="s">
        <v>2670</v>
      </c>
      <c r="E2113">
        <v>-2111</v>
      </c>
      <c r="F2113" t="s">
        <v>559</v>
      </c>
      <c r="G2113" t="s">
        <v>560</v>
      </c>
    </row>
    <row r="2114" spans="1:7">
      <c r="A2114" t="s">
        <v>182</v>
      </c>
      <c r="B2114" t="s">
        <v>557</v>
      </c>
      <c r="C2114" t="s">
        <v>558</v>
      </c>
      <c r="D2114" t="s">
        <v>2671</v>
      </c>
      <c r="E2114">
        <v>-2112</v>
      </c>
      <c r="F2114" t="s">
        <v>559</v>
      </c>
      <c r="G2114" t="s">
        <v>560</v>
      </c>
    </row>
    <row r="2115" spans="1:7">
      <c r="A2115" t="s">
        <v>182</v>
      </c>
      <c r="B2115" t="s">
        <v>557</v>
      </c>
      <c r="C2115" t="s">
        <v>558</v>
      </c>
      <c r="D2115" t="s">
        <v>2672</v>
      </c>
      <c r="E2115">
        <v>-2113</v>
      </c>
      <c r="F2115" t="s">
        <v>559</v>
      </c>
      <c r="G2115" t="s">
        <v>560</v>
      </c>
    </row>
    <row r="2116" spans="1:7">
      <c r="A2116" t="s">
        <v>182</v>
      </c>
      <c r="B2116" t="s">
        <v>557</v>
      </c>
      <c r="C2116" t="s">
        <v>558</v>
      </c>
      <c r="D2116" t="s">
        <v>2673</v>
      </c>
      <c r="E2116">
        <v>-2114</v>
      </c>
      <c r="F2116" t="s">
        <v>559</v>
      </c>
      <c r="G2116" t="s">
        <v>560</v>
      </c>
    </row>
    <row r="2117" spans="1:7">
      <c r="A2117" t="s">
        <v>182</v>
      </c>
      <c r="B2117" t="s">
        <v>557</v>
      </c>
      <c r="C2117" t="s">
        <v>558</v>
      </c>
      <c r="D2117" t="s">
        <v>2674</v>
      </c>
      <c r="E2117">
        <v>-2115</v>
      </c>
      <c r="F2117" t="s">
        <v>559</v>
      </c>
      <c r="G2117" t="s">
        <v>560</v>
      </c>
    </row>
    <row r="2118" spans="1:7">
      <c r="A2118" t="s">
        <v>182</v>
      </c>
      <c r="B2118" t="s">
        <v>557</v>
      </c>
      <c r="C2118" t="s">
        <v>558</v>
      </c>
      <c r="D2118" t="s">
        <v>2675</v>
      </c>
      <c r="E2118">
        <v>-2116</v>
      </c>
      <c r="F2118" t="s">
        <v>559</v>
      </c>
      <c r="G2118" t="s">
        <v>560</v>
      </c>
    </row>
    <row r="2119" spans="1:7">
      <c r="A2119" t="s">
        <v>182</v>
      </c>
      <c r="B2119" t="s">
        <v>557</v>
      </c>
      <c r="C2119" t="s">
        <v>558</v>
      </c>
      <c r="D2119" t="s">
        <v>2676</v>
      </c>
      <c r="E2119">
        <v>-2117</v>
      </c>
      <c r="F2119" t="s">
        <v>559</v>
      </c>
      <c r="G2119" t="s">
        <v>560</v>
      </c>
    </row>
    <row r="2120" spans="1:7">
      <c r="A2120" t="s">
        <v>182</v>
      </c>
      <c r="B2120" t="s">
        <v>557</v>
      </c>
      <c r="C2120" t="s">
        <v>558</v>
      </c>
      <c r="D2120" t="s">
        <v>2677</v>
      </c>
      <c r="E2120">
        <v>-2118</v>
      </c>
      <c r="F2120" t="s">
        <v>559</v>
      </c>
      <c r="G2120" t="s">
        <v>560</v>
      </c>
    </row>
    <row r="2121" spans="1:7">
      <c r="A2121" t="s">
        <v>182</v>
      </c>
      <c r="B2121" t="s">
        <v>557</v>
      </c>
      <c r="C2121" t="s">
        <v>558</v>
      </c>
      <c r="D2121" t="s">
        <v>2678</v>
      </c>
      <c r="E2121">
        <v>-2119</v>
      </c>
      <c r="F2121" t="s">
        <v>559</v>
      </c>
      <c r="G2121" t="s">
        <v>560</v>
      </c>
    </row>
    <row r="2122" spans="1:7">
      <c r="A2122" t="s">
        <v>182</v>
      </c>
      <c r="B2122" t="s">
        <v>557</v>
      </c>
      <c r="C2122" t="s">
        <v>558</v>
      </c>
      <c r="D2122" t="s">
        <v>2679</v>
      </c>
      <c r="E2122">
        <v>-2120</v>
      </c>
      <c r="F2122" t="s">
        <v>559</v>
      </c>
      <c r="G2122" t="s">
        <v>560</v>
      </c>
    </row>
    <row r="2123" spans="1:7">
      <c r="A2123" t="s">
        <v>182</v>
      </c>
      <c r="B2123" t="s">
        <v>557</v>
      </c>
      <c r="C2123" t="s">
        <v>558</v>
      </c>
      <c r="D2123" t="s">
        <v>2680</v>
      </c>
      <c r="E2123">
        <v>-2121</v>
      </c>
      <c r="F2123" t="s">
        <v>559</v>
      </c>
      <c r="G2123" t="s">
        <v>560</v>
      </c>
    </row>
    <row r="2124" spans="1:7">
      <c r="A2124" t="s">
        <v>182</v>
      </c>
      <c r="B2124" t="s">
        <v>557</v>
      </c>
      <c r="C2124" t="s">
        <v>558</v>
      </c>
      <c r="D2124" t="s">
        <v>2681</v>
      </c>
      <c r="E2124">
        <v>-2122</v>
      </c>
      <c r="F2124" t="s">
        <v>559</v>
      </c>
      <c r="G2124" t="s">
        <v>560</v>
      </c>
    </row>
    <row r="2125" spans="1:7">
      <c r="A2125" t="s">
        <v>182</v>
      </c>
      <c r="B2125" t="s">
        <v>557</v>
      </c>
      <c r="C2125" t="s">
        <v>558</v>
      </c>
      <c r="D2125" t="s">
        <v>2682</v>
      </c>
      <c r="E2125">
        <v>-2123</v>
      </c>
      <c r="F2125" t="s">
        <v>559</v>
      </c>
      <c r="G2125" t="s">
        <v>560</v>
      </c>
    </row>
    <row r="2126" spans="1:7">
      <c r="A2126" t="s">
        <v>182</v>
      </c>
      <c r="B2126" t="s">
        <v>557</v>
      </c>
      <c r="C2126" t="s">
        <v>558</v>
      </c>
      <c r="D2126" t="s">
        <v>2683</v>
      </c>
      <c r="E2126">
        <v>-2124</v>
      </c>
      <c r="F2126" t="s">
        <v>559</v>
      </c>
      <c r="G2126" t="s">
        <v>560</v>
      </c>
    </row>
    <row r="2127" spans="1:7">
      <c r="A2127" t="s">
        <v>182</v>
      </c>
      <c r="B2127" t="s">
        <v>557</v>
      </c>
      <c r="C2127" t="s">
        <v>558</v>
      </c>
      <c r="D2127" t="s">
        <v>2684</v>
      </c>
      <c r="E2127">
        <v>-2125</v>
      </c>
      <c r="F2127" t="s">
        <v>559</v>
      </c>
      <c r="G2127" t="s">
        <v>560</v>
      </c>
    </row>
    <row r="2128" spans="1:7">
      <c r="A2128" t="s">
        <v>182</v>
      </c>
      <c r="B2128" t="s">
        <v>557</v>
      </c>
      <c r="C2128" t="s">
        <v>558</v>
      </c>
      <c r="D2128" t="s">
        <v>2685</v>
      </c>
      <c r="E2128">
        <v>-2126</v>
      </c>
      <c r="F2128" t="s">
        <v>559</v>
      </c>
      <c r="G2128" t="s">
        <v>560</v>
      </c>
    </row>
    <row r="2129" spans="1:7">
      <c r="A2129" t="s">
        <v>182</v>
      </c>
      <c r="B2129" t="s">
        <v>557</v>
      </c>
      <c r="C2129" t="s">
        <v>558</v>
      </c>
      <c r="D2129" t="s">
        <v>2686</v>
      </c>
      <c r="E2129">
        <v>-2127</v>
      </c>
      <c r="F2129" t="s">
        <v>559</v>
      </c>
      <c r="G2129" t="s">
        <v>560</v>
      </c>
    </row>
    <row r="2130" spans="1:7">
      <c r="A2130" t="s">
        <v>182</v>
      </c>
      <c r="B2130" t="s">
        <v>557</v>
      </c>
      <c r="C2130" t="s">
        <v>558</v>
      </c>
      <c r="D2130" t="s">
        <v>2687</v>
      </c>
      <c r="E2130">
        <v>-2128</v>
      </c>
      <c r="F2130" t="s">
        <v>559</v>
      </c>
      <c r="G2130" t="s">
        <v>560</v>
      </c>
    </row>
    <row r="2131" spans="1:7">
      <c r="A2131" t="s">
        <v>182</v>
      </c>
      <c r="B2131" t="s">
        <v>557</v>
      </c>
      <c r="C2131" t="s">
        <v>558</v>
      </c>
      <c r="D2131" t="s">
        <v>2688</v>
      </c>
      <c r="E2131">
        <v>-2129</v>
      </c>
      <c r="F2131" t="s">
        <v>559</v>
      </c>
      <c r="G2131" t="s">
        <v>560</v>
      </c>
    </row>
    <row r="2132" spans="1:7">
      <c r="A2132" t="s">
        <v>182</v>
      </c>
      <c r="B2132" t="s">
        <v>557</v>
      </c>
      <c r="C2132" t="s">
        <v>558</v>
      </c>
      <c r="D2132" t="s">
        <v>2689</v>
      </c>
      <c r="E2132">
        <v>-2130</v>
      </c>
      <c r="F2132" t="s">
        <v>559</v>
      </c>
      <c r="G2132" t="s">
        <v>560</v>
      </c>
    </row>
    <row r="2133" spans="1:7">
      <c r="A2133" t="s">
        <v>182</v>
      </c>
      <c r="B2133" t="s">
        <v>557</v>
      </c>
      <c r="C2133" t="s">
        <v>558</v>
      </c>
      <c r="D2133" t="s">
        <v>2690</v>
      </c>
      <c r="E2133">
        <v>-2131</v>
      </c>
      <c r="F2133" t="s">
        <v>559</v>
      </c>
      <c r="G2133" t="s">
        <v>560</v>
      </c>
    </row>
    <row r="2134" spans="1:7">
      <c r="A2134" t="s">
        <v>182</v>
      </c>
      <c r="B2134" t="s">
        <v>557</v>
      </c>
      <c r="C2134" t="s">
        <v>558</v>
      </c>
      <c r="D2134" t="s">
        <v>2691</v>
      </c>
      <c r="E2134">
        <v>-2132</v>
      </c>
      <c r="F2134" t="s">
        <v>559</v>
      </c>
      <c r="G2134" t="s">
        <v>560</v>
      </c>
    </row>
    <row r="2135" spans="1:7">
      <c r="A2135" t="s">
        <v>182</v>
      </c>
      <c r="B2135" t="s">
        <v>557</v>
      </c>
      <c r="C2135" t="s">
        <v>558</v>
      </c>
      <c r="D2135" t="s">
        <v>2692</v>
      </c>
      <c r="E2135">
        <v>-2133</v>
      </c>
      <c r="F2135" t="s">
        <v>559</v>
      </c>
      <c r="G2135" t="s">
        <v>560</v>
      </c>
    </row>
    <row r="2136" spans="1:7">
      <c r="A2136" t="s">
        <v>182</v>
      </c>
      <c r="B2136" t="s">
        <v>557</v>
      </c>
      <c r="C2136" t="s">
        <v>558</v>
      </c>
      <c r="D2136" t="s">
        <v>2693</v>
      </c>
      <c r="E2136">
        <v>-2134</v>
      </c>
      <c r="F2136" t="s">
        <v>559</v>
      </c>
      <c r="G2136" t="s">
        <v>560</v>
      </c>
    </row>
    <row r="2137" spans="1:7">
      <c r="A2137" t="s">
        <v>182</v>
      </c>
      <c r="B2137" t="s">
        <v>557</v>
      </c>
      <c r="C2137" t="s">
        <v>558</v>
      </c>
      <c r="D2137" t="s">
        <v>2694</v>
      </c>
      <c r="E2137">
        <v>-2135</v>
      </c>
      <c r="F2137" t="s">
        <v>559</v>
      </c>
      <c r="G2137" t="s">
        <v>560</v>
      </c>
    </row>
    <row r="2138" spans="1:7">
      <c r="A2138" t="s">
        <v>182</v>
      </c>
      <c r="B2138" t="s">
        <v>557</v>
      </c>
      <c r="C2138" t="s">
        <v>558</v>
      </c>
      <c r="D2138" t="s">
        <v>2695</v>
      </c>
      <c r="E2138">
        <v>-2136</v>
      </c>
      <c r="F2138" t="s">
        <v>559</v>
      </c>
      <c r="G2138" t="s">
        <v>560</v>
      </c>
    </row>
    <row r="2139" spans="1:7">
      <c r="A2139" t="s">
        <v>182</v>
      </c>
      <c r="B2139" t="s">
        <v>557</v>
      </c>
      <c r="C2139" t="s">
        <v>558</v>
      </c>
      <c r="D2139" t="s">
        <v>2696</v>
      </c>
      <c r="E2139">
        <v>-2137</v>
      </c>
      <c r="F2139" t="s">
        <v>559</v>
      </c>
      <c r="G2139" t="s">
        <v>560</v>
      </c>
    </row>
    <row r="2140" spans="1:7">
      <c r="A2140" t="s">
        <v>182</v>
      </c>
      <c r="B2140" t="s">
        <v>557</v>
      </c>
      <c r="C2140" t="s">
        <v>558</v>
      </c>
      <c r="D2140" t="s">
        <v>2697</v>
      </c>
      <c r="E2140">
        <v>-2138</v>
      </c>
      <c r="F2140" t="s">
        <v>559</v>
      </c>
      <c r="G2140" t="s">
        <v>560</v>
      </c>
    </row>
    <row r="2141" spans="1:7">
      <c r="A2141" t="s">
        <v>182</v>
      </c>
      <c r="B2141" t="s">
        <v>557</v>
      </c>
      <c r="C2141" t="s">
        <v>558</v>
      </c>
      <c r="D2141" t="s">
        <v>2698</v>
      </c>
      <c r="E2141">
        <v>-2139</v>
      </c>
      <c r="F2141" t="s">
        <v>559</v>
      </c>
      <c r="G2141" t="s">
        <v>560</v>
      </c>
    </row>
    <row r="2142" spans="1:7">
      <c r="A2142" t="s">
        <v>182</v>
      </c>
      <c r="B2142" t="s">
        <v>557</v>
      </c>
      <c r="C2142" t="s">
        <v>558</v>
      </c>
      <c r="D2142" t="s">
        <v>2699</v>
      </c>
      <c r="E2142">
        <v>-2140</v>
      </c>
      <c r="F2142" t="s">
        <v>559</v>
      </c>
      <c r="G2142" t="s">
        <v>560</v>
      </c>
    </row>
    <row r="2143" spans="1:7">
      <c r="A2143" t="s">
        <v>182</v>
      </c>
      <c r="B2143" t="s">
        <v>557</v>
      </c>
      <c r="C2143" t="s">
        <v>558</v>
      </c>
      <c r="D2143" t="s">
        <v>2700</v>
      </c>
      <c r="E2143">
        <v>-2141</v>
      </c>
      <c r="F2143" t="s">
        <v>559</v>
      </c>
      <c r="G2143" t="s">
        <v>560</v>
      </c>
    </row>
    <row r="2144" spans="1:7">
      <c r="A2144" t="s">
        <v>182</v>
      </c>
      <c r="B2144" t="s">
        <v>557</v>
      </c>
      <c r="C2144" t="s">
        <v>558</v>
      </c>
      <c r="D2144" t="s">
        <v>2701</v>
      </c>
      <c r="E2144">
        <v>-2142</v>
      </c>
      <c r="F2144" t="s">
        <v>559</v>
      </c>
      <c r="G2144" t="s">
        <v>560</v>
      </c>
    </row>
    <row r="2145" spans="1:7">
      <c r="A2145" t="s">
        <v>182</v>
      </c>
      <c r="B2145" t="s">
        <v>557</v>
      </c>
      <c r="C2145" t="s">
        <v>558</v>
      </c>
      <c r="D2145" t="s">
        <v>2702</v>
      </c>
      <c r="E2145">
        <v>-2143</v>
      </c>
      <c r="F2145" t="s">
        <v>559</v>
      </c>
      <c r="G2145" t="s">
        <v>560</v>
      </c>
    </row>
    <row r="2146" spans="1:7">
      <c r="A2146" t="s">
        <v>182</v>
      </c>
      <c r="B2146" t="s">
        <v>557</v>
      </c>
      <c r="C2146" t="s">
        <v>558</v>
      </c>
      <c r="D2146" t="s">
        <v>2703</v>
      </c>
      <c r="E2146">
        <v>-2144</v>
      </c>
      <c r="F2146" t="s">
        <v>559</v>
      </c>
      <c r="G2146" t="s">
        <v>560</v>
      </c>
    </row>
    <row r="2147" spans="1:7">
      <c r="A2147" t="s">
        <v>182</v>
      </c>
      <c r="B2147" t="s">
        <v>557</v>
      </c>
      <c r="C2147" t="s">
        <v>558</v>
      </c>
      <c r="D2147" t="s">
        <v>2704</v>
      </c>
      <c r="E2147">
        <v>-2145</v>
      </c>
      <c r="F2147" t="s">
        <v>559</v>
      </c>
      <c r="G2147" t="s">
        <v>560</v>
      </c>
    </row>
    <row r="2148" spans="1:7">
      <c r="A2148" t="s">
        <v>182</v>
      </c>
      <c r="B2148" t="s">
        <v>557</v>
      </c>
      <c r="C2148" t="s">
        <v>558</v>
      </c>
      <c r="D2148" t="s">
        <v>2705</v>
      </c>
      <c r="E2148">
        <v>-2146</v>
      </c>
      <c r="F2148" t="s">
        <v>559</v>
      </c>
      <c r="G2148" t="s">
        <v>560</v>
      </c>
    </row>
    <row r="2149" spans="1:7">
      <c r="A2149" t="s">
        <v>182</v>
      </c>
      <c r="B2149" t="s">
        <v>557</v>
      </c>
      <c r="C2149" t="s">
        <v>558</v>
      </c>
      <c r="D2149" t="s">
        <v>2706</v>
      </c>
      <c r="E2149">
        <v>-2147</v>
      </c>
      <c r="F2149" t="s">
        <v>559</v>
      </c>
      <c r="G2149" t="s">
        <v>560</v>
      </c>
    </row>
    <row r="2150" spans="1:7">
      <c r="A2150" t="s">
        <v>182</v>
      </c>
      <c r="B2150" t="s">
        <v>557</v>
      </c>
      <c r="C2150" t="s">
        <v>558</v>
      </c>
      <c r="D2150" t="s">
        <v>2707</v>
      </c>
      <c r="E2150">
        <v>-2148</v>
      </c>
      <c r="F2150" t="s">
        <v>559</v>
      </c>
      <c r="G2150" t="s">
        <v>560</v>
      </c>
    </row>
    <row r="2151" spans="1:7">
      <c r="A2151" t="s">
        <v>182</v>
      </c>
      <c r="B2151" t="s">
        <v>557</v>
      </c>
      <c r="C2151" t="s">
        <v>558</v>
      </c>
      <c r="D2151" t="s">
        <v>2708</v>
      </c>
      <c r="E2151">
        <v>-2149</v>
      </c>
      <c r="F2151" t="s">
        <v>559</v>
      </c>
      <c r="G2151" t="s">
        <v>560</v>
      </c>
    </row>
    <row r="2152" spans="1:7">
      <c r="A2152" t="s">
        <v>182</v>
      </c>
      <c r="B2152" t="s">
        <v>557</v>
      </c>
      <c r="C2152" t="s">
        <v>558</v>
      </c>
      <c r="D2152" t="s">
        <v>2709</v>
      </c>
      <c r="E2152">
        <v>-2150</v>
      </c>
      <c r="F2152" t="s">
        <v>559</v>
      </c>
      <c r="G2152" t="s">
        <v>560</v>
      </c>
    </row>
    <row r="2153" spans="1:7">
      <c r="A2153" t="s">
        <v>182</v>
      </c>
      <c r="B2153" t="s">
        <v>557</v>
      </c>
      <c r="C2153" t="s">
        <v>558</v>
      </c>
      <c r="D2153" t="s">
        <v>2710</v>
      </c>
      <c r="E2153">
        <v>-2151</v>
      </c>
      <c r="F2153" t="s">
        <v>559</v>
      </c>
      <c r="G2153" t="s">
        <v>560</v>
      </c>
    </row>
    <row r="2154" spans="1:7">
      <c r="A2154" t="s">
        <v>182</v>
      </c>
      <c r="B2154" t="s">
        <v>557</v>
      </c>
      <c r="C2154" t="s">
        <v>558</v>
      </c>
      <c r="D2154" t="s">
        <v>2711</v>
      </c>
      <c r="E2154">
        <v>-2152</v>
      </c>
      <c r="F2154" t="s">
        <v>559</v>
      </c>
      <c r="G2154" t="s">
        <v>560</v>
      </c>
    </row>
    <row r="2155" spans="1:7">
      <c r="A2155" t="s">
        <v>182</v>
      </c>
      <c r="B2155" t="s">
        <v>557</v>
      </c>
      <c r="C2155" t="s">
        <v>558</v>
      </c>
      <c r="D2155" t="s">
        <v>2712</v>
      </c>
      <c r="E2155">
        <v>-2153</v>
      </c>
      <c r="F2155" t="s">
        <v>559</v>
      </c>
      <c r="G2155" t="s">
        <v>560</v>
      </c>
    </row>
    <row r="2156" spans="1:7">
      <c r="A2156" t="s">
        <v>182</v>
      </c>
      <c r="B2156" t="s">
        <v>557</v>
      </c>
      <c r="C2156" t="s">
        <v>558</v>
      </c>
      <c r="D2156" t="s">
        <v>2713</v>
      </c>
      <c r="E2156">
        <v>-2154</v>
      </c>
      <c r="F2156" t="s">
        <v>559</v>
      </c>
      <c r="G2156" t="s">
        <v>560</v>
      </c>
    </row>
    <row r="2157" spans="1:7">
      <c r="A2157" t="s">
        <v>182</v>
      </c>
      <c r="B2157" t="s">
        <v>557</v>
      </c>
      <c r="C2157" t="s">
        <v>558</v>
      </c>
      <c r="D2157" t="s">
        <v>2714</v>
      </c>
      <c r="E2157">
        <v>-2155</v>
      </c>
      <c r="F2157" t="s">
        <v>559</v>
      </c>
      <c r="G2157" t="s">
        <v>560</v>
      </c>
    </row>
    <row r="2158" spans="1:7">
      <c r="A2158" t="s">
        <v>182</v>
      </c>
      <c r="B2158" t="s">
        <v>557</v>
      </c>
      <c r="C2158" t="s">
        <v>558</v>
      </c>
      <c r="D2158" t="s">
        <v>2715</v>
      </c>
      <c r="E2158">
        <v>-2156</v>
      </c>
      <c r="F2158" t="s">
        <v>559</v>
      </c>
      <c r="G2158" t="s">
        <v>560</v>
      </c>
    </row>
    <row r="2159" spans="1:7">
      <c r="A2159" t="s">
        <v>182</v>
      </c>
      <c r="B2159" t="s">
        <v>557</v>
      </c>
      <c r="C2159" t="s">
        <v>558</v>
      </c>
      <c r="D2159" t="s">
        <v>2716</v>
      </c>
      <c r="E2159">
        <v>-2157</v>
      </c>
      <c r="F2159" t="s">
        <v>559</v>
      </c>
      <c r="G2159" t="s">
        <v>560</v>
      </c>
    </row>
    <row r="2160" spans="1:7">
      <c r="A2160" t="s">
        <v>182</v>
      </c>
      <c r="B2160" t="s">
        <v>557</v>
      </c>
      <c r="C2160" t="s">
        <v>558</v>
      </c>
      <c r="D2160" t="s">
        <v>2717</v>
      </c>
      <c r="E2160">
        <v>-2158</v>
      </c>
      <c r="F2160" t="s">
        <v>559</v>
      </c>
      <c r="G2160" t="s">
        <v>560</v>
      </c>
    </row>
    <row r="2161" spans="1:7">
      <c r="A2161" t="s">
        <v>182</v>
      </c>
      <c r="B2161" t="s">
        <v>557</v>
      </c>
      <c r="C2161" t="s">
        <v>558</v>
      </c>
      <c r="D2161" t="s">
        <v>2718</v>
      </c>
      <c r="E2161">
        <v>-2159</v>
      </c>
      <c r="F2161" t="s">
        <v>559</v>
      </c>
      <c r="G2161" t="s">
        <v>560</v>
      </c>
    </row>
    <row r="2162" spans="1:7">
      <c r="A2162" t="s">
        <v>182</v>
      </c>
      <c r="B2162" t="s">
        <v>557</v>
      </c>
      <c r="C2162" t="s">
        <v>558</v>
      </c>
      <c r="D2162" t="s">
        <v>2719</v>
      </c>
      <c r="E2162">
        <v>-2160</v>
      </c>
      <c r="F2162" t="s">
        <v>559</v>
      </c>
      <c r="G2162" t="s">
        <v>560</v>
      </c>
    </row>
    <row r="2163" spans="1:7">
      <c r="A2163" t="s">
        <v>182</v>
      </c>
      <c r="B2163" t="s">
        <v>557</v>
      </c>
      <c r="C2163" t="s">
        <v>558</v>
      </c>
      <c r="D2163" t="s">
        <v>2720</v>
      </c>
      <c r="E2163">
        <v>-2161</v>
      </c>
      <c r="F2163" t="s">
        <v>559</v>
      </c>
      <c r="G2163" t="s">
        <v>560</v>
      </c>
    </row>
    <row r="2164" spans="1:7">
      <c r="A2164" t="s">
        <v>182</v>
      </c>
      <c r="B2164" t="s">
        <v>557</v>
      </c>
      <c r="C2164" t="s">
        <v>558</v>
      </c>
      <c r="D2164" t="s">
        <v>2721</v>
      </c>
      <c r="E2164">
        <v>-2162</v>
      </c>
      <c r="F2164" t="s">
        <v>559</v>
      </c>
      <c r="G2164" t="s">
        <v>560</v>
      </c>
    </row>
    <row r="2165" spans="1:7">
      <c r="A2165" t="s">
        <v>182</v>
      </c>
      <c r="B2165" t="s">
        <v>557</v>
      </c>
      <c r="C2165" t="s">
        <v>558</v>
      </c>
      <c r="D2165" t="s">
        <v>2722</v>
      </c>
      <c r="E2165">
        <v>-2163</v>
      </c>
      <c r="F2165" t="s">
        <v>559</v>
      </c>
      <c r="G2165" t="s">
        <v>560</v>
      </c>
    </row>
    <row r="2166" spans="1:7">
      <c r="A2166" t="s">
        <v>182</v>
      </c>
      <c r="B2166" t="s">
        <v>557</v>
      </c>
      <c r="C2166" t="s">
        <v>558</v>
      </c>
      <c r="D2166" t="s">
        <v>2723</v>
      </c>
      <c r="E2166">
        <v>-2164</v>
      </c>
      <c r="F2166" t="s">
        <v>559</v>
      </c>
      <c r="G2166" t="s">
        <v>560</v>
      </c>
    </row>
    <row r="2167" spans="1:7">
      <c r="A2167" t="s">
        <v>182</v>
      </c>
      <c r="B2167" t="s">
        <v>557</v>
      </c>
      <c r="C2167" t="s">
        <v>558</v>
      </c>
      <c r="D2167" t="s">
        <v>2724</v>
      </c>
      <c r="E2167">
        <v>-2165</v>
      </c>
      <c r="F2167" t="s">
        <v>559</v>
      </c>
      <c r="G2167" t="s">
        <v>560</v>
      </c>
    </row>
    <row r="2168" spans="1:7">
      <c r="A2168" t="s">
        <v>182</v>
      </c>
      <c r="B2168" t="s">
        <v>557</v>
      </c>
      <c r="C2168" t="s">
        <v>558</v>
      </c>
      <c r="D2168" t="s">
        <v>2725</v>
      </c>
      <c r="E2168">
        <v>-2166</v>
      </c>
      <c r="F2168" t="s">
        <v>559</v>
      </c>
      <c r="G2168" t="s">
        <v>560</v>
      </c>
    </row>
    <row r="2169" spans="1:7">
      <c r="A2169" t="s">
        <v>182</v>
      </c>
      <c r="B2169" t="s">
        <v>557</v>
      </c>
      <c r="C2169" t="s">
        <v>558</v>
      </c>
      <c r="D2169" t="s">
        <v>2726</v>
      </c>
      <c r="E2169">
        <v>-2167</v>
      </c>
      <c r="F2169" t="s">
        <v>559</v>
      </c>
      <c r="G2169" t="s">
        <v>560</v>
      </c>
    </row>
    <row r="2170" spans="1:7">
      <c r="A2170" t="s">
        <v>182</v>
      </c>
      <c r="B2170" t="s">
        <v>557</v>
      </c>
      <c r="C2170" t="s">
        <v>558</v>
      </c>
      <c r="D2170" t="s">
        <v>2727</v>
      </c>
      <c r="E2170">
        <v>-2168</v>
      </c>
      <c r="F2170" t="s">
        <v>559</v>
      </c>
      <c r="G2170" t="s">
        <v>560</v>
      </c>
    </row>
    <row r="2171" spans="1:7">
      <c r="A2171" t="s">
        <v>182</v>
      </c>
      <c r="B2171" t="s">
        <v>557</v>
      </c>
      <c r="C2171" t="s">
        <v>558</v>
      </c>
      <c r="D2171" t="s">
        <v>2728</v>
      </c>
      <c r="E2171">
        <v>-2169</v>
      </c>
      <c r="F2171" t="s">
        <v>559</v>
      </c>
      <c r="G2171" t="s">
        <v>560</v>
      </c>
    </row>
    <row r="2172" spans="1:7">
      <c r="A2172" t="s">
        <v>182</v>
      </c>
      <c r="B2172" t="s">
        <v>557</v>
      </c>
      <c r="C2172" t="s">
        <v>558</v>
      </c>
      <c r="D2172" t="s">
        <v>2729</v>
      </c>
      <c r="E2172">
        <v>-2170</v>
      </c>
      <c r="F2172" t="s">
        <v>559</v>
      </c>
      <c r="G2172" t="s">
        <v>560</v>
      </c>
    </row>
    <row r="2173" spans="1:7">
      <c r="A2173" t="s">
        <v>182</v>
      </c>
      <c r="B2173" t="s">
        <v>557</v>
      </c>
      <c r="C2173" t="s">
        <v>558</v>
      </c>
      <c r="D2173" t="s">
        <v>2730</v>
      </c>
      <c r="E2173">
        <v>-2171</v>
      </c>
      <c r="F2173" t="s">
        <v>559</v>
      </c>
      <c r="G2173" t="s">
        <v>560</v>
      </c>
    </row>
    <row r="2174" spans="1:7">
      <c r="A2174" t="s">
        <v>182</v>
      </c>
      <c r="B2174" t="s">
        <v>557</v>
      </c>
      <c r="C2174" t="s">
        <v>558</v>
      </c>
      <c r="D2174" t="s">
        <v>2731</v>
      </c>
      <c r="E2174">
        <v>-2172</v>
      </c>
      <c r="F2174" t="s">
        <v>559</v>
      </c>
      <c r="G2174" t="s">
        <v>560</v>
      </c>
    </row>
    <row r="2175" spans="1:7">
      <c r="A2175" t="s">
        <v>182</v>
      </c>
      <c r="B2175" t="s">
        <v>557</v>
      </c>
      <c r="C2175" t="s">
        <v>558</v>
      </c>
      <c r="D2175" t="s">
        <v>2732</v>
      </c>
      <c r="E2175">
        <v>-2173</v>
      </c>
      <c r="F2175" t="s">
        <v>559</v>
      </c>
      <c r="G2175" t="s">
        <v>560</v>
      </c>
    </row>
    <row r="2176" spans="1:7">
      <c r="A2176" t="s">
        <v>182</v>
      </c>
      <c r="B2176" t="s">
        <v>557</v>
      </c>
      <c r="C2176" t="s">
        <v>558</v>
      </c>
      <c r="D2176" t="s">
        <v>2733</v>
      </c>
      <c r="E2176">
        <v>-2174</v>
      </c>
      <c r="F2176" t="s">
        <v>559</v>
      </c>
      <c r="G2176" t="s">
        <v>560</v>
      </c>
    </row>
    <row r="2177" spans="1:7">
      <c r="A2177" t="s">
        <v>182</v>
      </c>
      <c r="B2177" t="s">
        <v>557</v>
      </c>
      <c r="C2177" t="s">
        <v>558</v>
      </c>
      <c r="D2177" t="s">
        <v>2734</v>
      </c>
      <c r="E2177">
        <v>-2175</v>
      </c>
      <c r="F2177" t="s">
        <v>559</v>
      </c>
      <c r="G2177" t="s">
        <v>560</v>
      </c>
    </row>
    <row r="2178" spans="1:7">
      <c r="A2178" t="s">
        <v>182</v>
      </c>
      <c r="B2178" t="s">
        <v>557</v>
      </c>
      <c r="C2178" t="s">
        <v>558</v>
      </c>
      <c r="D2178" t="s">
        <v>2735</v>
      </c>
      <c r="E2178">
        <v>-2176</v>
      </c>
      <c r="F2178" t="s">
        <v>559</v>
      </c>
      <c r="G2178" t="s">
        <v>560</v>
      </c>
    </row>
    <row r="2179" spans="1:7">
      <c r="A2179" t="s">
        <v>182</v>
      </c>
      <c r="B2179" t="s">
        <v>557</v>
      </c>
      <c r="C2179" t="s">
        <v>558</v>
      </c>
      <c r="D2179" t="s">
        <v>2736</v>
      </c>
      <c r="E2179">
        <v>-2177</v>
      </c>
      <c r="F2179" t="s">
        <v>559</v>
      </c>
      <c r="G2179" t="s">
        <v>560</v>
      </c>
    </row>
    <row r="2180" spans="1:7">
      <c r="A2180" t="s">
        <v>182</v>
      </c>
      <c r="B2180" t="s">
        <v>557</v>
      </c>
      <c r="C2180" t="s">
        <v>558</v>
      </c>
      <c r="D2180" t="s">
        <v>2737</v>
      </c>
      <c r="E2180">
        <v>-2178</v>
      </c>
      <c r="F2180" t="s">
        <v>559</v>
      </c>
      <c r="G2180" t="s">
        <v>560</v>
      </c>
    </row>
    <row r="2181" spans="1:7">
      <c r="A2181" t="s">
        <v>182</v>
      </c>
      <c r="B2181" t="s">
        <v>557</v>
      </c>
      <c r="C2181" t="s">
        <v>558</v>
      </c>
      <c r="D2181" t="s">
        <v>2738</v>
      </c>
      <c r="E2181">
        <v>-2179</v>
      </c>
      <c r="F2181" t="s">
        <v>559</v>
      </c>
      <c r="G2181" t="s">
        <v>560</v>
      </c>
    </row>
    <row r="2182" spans="1:7">
      <c r="A2182" t="s">
        <v>182</v>
      </c>
      <c r="B2182" t="s">
        <v>557</v>
      </c>
      <c r="C2182" t="s">
        <v>558</v>
      </c>
      <c r="D2182" t="s">
        <v>2739</v>
      </c>
      <c r="E2182">
        <v>-2180</v>
      </c>
      <c r="F2182" t="s">
        <v>559</v>
      </c>
      <c r="G2182" t="s">
        <v>560</v>
      </c>
    </row>
    <row r="2183" spans="1:7">
      <c r="A2183" t="s">
        <v>182</v>
      </c>
      <c r="B2183" t="s">
        <v>557</v>
      </c>
      <c r="C2183" t="s">
        <v>558</v>
      </c>
      <c r="D2183" t="s">
        <v>2740</v>
      </c>
      <c r="E2183">
        <v>-2181</v>
      </c>
      <c r="F2183" t="s">
        <v>559</v>
      </c>
      <c r="G2183" t="s">
        <v>560</v>
      </c>
    </row>
    <row r="2184" spans="1:7">
      <c r="A2184" t="s">
        <v>182</v>
      </c>
      <c r="B2184" t="s">
        <v>557</v>
      </c>
      <c r="C2184" t="s">
        <v>558</v>
      </c>
      <c r="D2184" t="s">
        <v>2741</v>
      </c>
      <c r="E2184">
        <v>-2182</v>
      </c>
      <c r="F2184" t="s">
        <v>559</v>
      </c>
      <c r="G2184" t="s">
        <v>560</v>
      </c>
    </row>
    <row r="2185" spans="1:7">
      <c r="A2185" t="s">
        <v>182</v>
      </c>
      <c r="B2185" t="s">
        <v>557</v>
      </c>
      <c r="C2185" t="s">
        <v>558</v>
      </c>
      <c r="D2185" t="s">
        <v>2742</v>
      </c>
      <c r="E2185">
        <v>-2183</v>
      </c>
      <c r="F2185" t="s">
        <v>559</v>
      </c>
      <c r="G2185" t="s">
        <v>560</v>
      </c>
    </row>
    <row r="2186" spans="1:7">
      <c r="A2186" t="s">
        <v>182</v>
      </c>
      <c r="B2186" t="s">
        <v>557</v>
      </c>
      <c r="C2186" t="s">
        <v>558</v>
      </c>
      <c r="D2186" t="s">
        <v>2743</v>
      </c>
      <c r="E2186">
        <v>-2184</v>
      </c>
      <c r="F2186" t="s">
        <v>559</v>
      </c>
      <c r="G2186" t="s">
        <v>560</v>
      </c>
    </row>
    <row r="2187" spans="1:7">
      <c r="A2187" t="s">
        <v>182</v>
      </c>
      <c r="B2187" t="s">
        <v>557</v>
      </c>
      <c r="C2187" t="s">
        <v>558</v>
      </c>
      <c r="D2187" t="s">
        <v>2744</v>
      </c>
      <c r="E2187">
        <v>-2185</v>
      </c>
      <c r="F2187" t="s">
        <v>559</v>
      </c>
      <c r="G2187" t="s">
        <v>560</v>
      </c>
    </row>
    <row r="2188" spans="1:7">
      <c r="A2188" t="s">
        <v>182</v>
      </c>
      <c r="B2188" t="s">
        <v>557</v>
      </c>
      <c r="C2188" t="s">
        <v>558</v>
      </c>
      <c r="D2188" t="s">
        <v>2745</v>
      </c>
      <c r="E2188">
        <v>-2186</v>
      </c>
      <c r="F2188" t="s">
        <v>559</v>
      </c>
      <c r="G2188" t="s">
        <v>560</v>
      </c>
    </row>
    <row r="2189" spans="1:7">
      <c r="A2189" t="s">
        <v>182</v>
      </c>
      <c r="B2189" t="s">
        <v>557</v>
      </c>
      <c r="C2189" t="s">
        <v>558</v>
      </c>
      <c r="D2189" t="s">
        <v>2746</v>
      </c>
      <c r="E2189">
        <v>-2187</v>
      </c>
      <c r="F2189" t="s">
        <v>559</v>
      </c>
      <c r="G2189" t="s">
        <v>560</v>
      </c>
    </row>
    <row r="2190" spans="1:7">
      <c r="A2190" t="s">
        <v>182</v>
      </c>
      <c r="B2190" t="s">
        <v>557</v>
      </c>
      <c r="C2190" t="s">
        <v>558</v>
      </c>
      <c r="D2190" t="s">
        <v>2747</v>
      </c>
      <c r="E2190">
        <v>-2188</v>
      </c>
      <c r="F2190" t="s">
        <v>559</v>
      </c>
      <c r="G2190" t="s">
        <v>560</v>
      </c>
    </row>
    <row r="2191" spans="1:7">
      <c r="A2191" t="s">
        <v>182</v>
      </c>
      <c r="B2191" t="s">
        <v>557</v>
      </c>
      <c r="C2191" t="s">
        <v>558</v>
      </c>
      <c r="D2191" t="s">
        <v>2748</v>
      </c>
      <c r="E2191">
        <v>-2189</v>
      </c>
      <c r="F2191" t="s">
        <v>559</v>
      </c>
      <c r="G2191" t="s">
        <v>560</v>
      </c>
    </row>
    <row r="2192" spans="1:7">
      <c r="A2192" t="s">
        <v>182</v>
      </c>
      <c r="B2192" t="s">
        <v>557</v>
      </c>
      <c r="C2192" t="s">
        <v>558</v>
      </c>
      <c r="D2192" t="s">
        <v>2749</v>
      </c>
      <c r="E2192">
        <v>-2190</v>
      </c>
      <c r="F2192" t="s">
        <v>559</v>
      </c>
      <c r="G2192" t="s">
        <v>560</v>
      </c>
    </row>
    <row r="2193" spans="1:7">
      <c r="A2193" t="s">
        <v>182</v>
      </c>
      <c r="B2193" t="s">
        <v>557</v>
      </c>
      <c r="C2193" t="s">
        <v>558</v>
      </c>
      <c r="D2193" t="s">
        <v>2750</v>
      </c>
      <c r="E2193">
        <v>-2191</v>
      </c>
      <c r="F2193" t="s">
        <v>559</v>
      </c>
      <c r="G2193" t="s">
        <v>560</v>
      </c>
    </row>
    <row r="2194" spans="1:7">
      <c r="A2194" t="s">
        <v>182</v>
      </c>
      <c r="B2194" t="s">
        <v>557</v>
      </c>
      <c r="C2194" t="s">
        <v>558</v>
      </c>
      <c r="D2194" t="s">
        <v>2751</v>
      </c>
      <c r="E2194">
        <v>-2192</v>
      </c>
      <c r="F2194" t="s">
        <v>559</v>
      </c>
      <c r="G2194" t="s">
        <v>560</v>
      </c>
    </row>
    <row r="2195" spans="1:7">
      <c r="A2195" t="s">
        <v>182</v>
      </c>
      <c r="B2195" t="s">
        <v>557</v>
      </c>
      <c r="C2195" t="s">
        <v>558</v>
      </c>
      <c r="D2195" t="s">
        <v>2752</v>
      </c>
      <c r="E2195">
        <v>-2193</v>
      </c>
      <c r="F2195" t="s">
        <v>559</v>
      </c>
      <c r="G2195" t="s">
        <v>560</v>
      </c>
    </row>
    <row r="2196" spans="1:7">
      <c r="A2196" t="s">
        <v>182</v>
      </c>
      <c r="B2196" t="s">
        <v>557</v>
      </c>
      <c r="C2196" t="s">
        <v>558</v>
      </c>
      <c r="D2196" t="s">
        <v>2753</v>
      </c>
      <c r="E2196">
        <v>-2194</v>
      </c>
      <c r="F2196" t="s">
        <v>559</v>
      </c>
      <c r="G2196" t="s">
        <v>560</v>
      </c>
    </row>
    <row r="2197" spans="1:7">
      <c r="A2197" t="s">
        <v>182</v>
      </c>
      <c r="B2197" t="s">
        <v>557</v>
      </c>
      <c r="C2197" t="s">
        <v>558</v>
      </c>
      <c r="D2197" t="s">
        <v>2754</v>
      </c>
      <c r="E2197">
        <v>-2195</v>
      </c>
      <c r="F2197" t="s">
        <v>559</v>
      </c>
      <c r="G2197" t="s">
        <v>560</v>
      </c>
    </row>
    <row r="2198" spans="1:7">
      <c r="A2198" t="s">
        <v>182</v>
      </c>
      <c r="B2198" t="s">
        <v>557</v>
      </c>
      <c r="C2198" t="s">
        <v>558</v>
      </c>
      <c r="D2198" t="s">
        <v>2755</v>
      </c>
      <c r="E2198">
        <v>-2196</v>
      </c>
      <c r="F2198" t="s">
        <v>559</v>
      </c>
      <c r="G2198" t="s">
        <v>560</v>
      </c>
    </row>
    <row r="2199" spans="1:7">
      <c r="A2199" t="s">
        <v>182</v>
      </c>
      <c r="B2199" t="s">
        <v>557</v>
      </c>
      <c r="C2199" t="s">
        <v>558</v>
      </c>
      <c r="D2199" t="s">
        <v>2756</v>
      </c>
      <c r="E2199">
        <v>-2197</v>
      </c>
      <c r="F2199" t="s">
        <v>559</v>
      </c>
      <c r="G2199" t="s">
        <v>560</v>
      </c>
    </row>
    <row r="2200" spans="1:7">
      <c r="A2200" t="s">
        <v>182</v>
      </c>
      <c r="B2200" t="s">
        <v>557</v>
      </c>
      <c r="C2200" t="s">
        <v>558</v>
      </c>
      <c r="D2200" t="s">
        <v>2757</v>
      </c>
      <c r="E2200">
        <v>-2198</v>
      </c>
      <c r="F2200" t="s">
        <v>559</v>
      </c>
      <c r="G2200" t="s">
        <v>560</v>
      </c>
    </row>
    <row r="2201" spans="1:7">
      <c r="A2201" t="s">
        <v>182</v>
      </c>
      <c r="B2201" t="s">
        <v>557</v>
      </c>
      <c r="C2201" t="s">
        <v>558</v>
      </c>
      <c r="D2201" t="s">
        <v>2758</v>
      </c>
      <c r="E2201">
        <v>-2199</v>
      </c>
      <c r="F2201" t="s">
        <v>559</v>
      </c>
      <c r="G2201" t="s">
        <v>560</v>
      </c>
    </row>
    <row r="2202" spans="1:7">
      <c r="A2202" t="s">
        <v>182</v>
      </c>
      <c r="B2202" t="s">
        <v>557</v>
      </c>
      <c r="C2202" t="s">
        <v>558</v>
      </c>
      <c r="D2202" t="s">
        <v>2759</v>
      </c>
      <c r="E2202">
        <v>-2200</v>
      </c>
      <c r="F2202" t="s">
        <v>559</v>
      </c>
      <c r="G2202" t="s">
        <v>560</v>
      </c>
    </row>
    <row r="2203" spans="1:7">
      <c r="A2203" t="s">
        <v>182</v>
      </c>
      <c r="B2203" t="s">
        <v>557</v>
      </c>
      <c r="C2203" t="s">
        <v>558</v>
      </c>
      <c r="D2203" t="s">
        <v>2760</v>
      </c>
      <c r="E2203">
        <v>-2201</v>
      </c>
      <c r="F2203" t="s">
        <v>559</v>
      </c>
      <c r="G2203" t="s">
        <v>560</v>
      </c>
    </row>
    <row r="2204" spans="1:7">
      <c r="A2204" t="s">
        <v>182</v>
      </c>
      <c r="B2204" t="s">
        <v>557</v>
      </c>
      <c r="C2204" t="s">
        <v>558</v>
      </c>
      <c r="D2204" t="s">
        <v>2761</v>
      </c>
      <c r="E2204">
        <v>-2202</v>
      </c>
      <c r="F2204" t="s">
        <v>559</v>
      </c>
      <c r="G2204" t="s">
        <v>560</v>
      </c>
    </row>
    <row r="2205" spans="1:7">
      <c r="A2205" t="s">
        <v>182</v>
      </c>
      <c r="B2205" t="s">
        <v>557</v>
      </c>
      <c r="C2205" t="s">
        <v>558</v>
      </c>
      <c r="D2205" t="s">
        <v>2762</v>
      </c>
      <c r="E2205">
        <v>-2203</v>
      </c>
      <c r="F2205" t="s">
        <v>559</v>
      </c>
      <c r="G2205" t="s">
        <v>560</v>
      </c>
    </row>
    <row r="2206" spans="1:7">
      <c r="A2206" t="s">
        <v>182</v>
      </c>
      <c r="B2206" t="s">
        <v>557</v>
      </c>
      <c r="C2206" t="s">
        <v>558</v>
      </c>
      <c r="D2206" t="s">
        <v>2763</v>
      </c>
      <c r="E2206">
        <v>-2204</v>
      </c>
      <c r="F2206" t="s">
        <v>559</v>
      </c>
      <c r="G2206" t="s">
        <v>560</v>
      </c>
    </row>
    <row r="2207" spans="1:7">
      <c r="A2207" t="s">
        <v>182</v>
      </c>
      <c r="B2207" t="s">
        <v>557</v>
      </c>
      <c r="C2207" t="s">
        <v>558</v>
      </c>
      <c r="D2207" t="s">
        <v>2764</v>
      </c>
      <c r="E2207">
        <v>-2205</v>
      </c>
      <c r="F2207" t="s">
        <v>559</v>
      </c>
      <c r="G2207" t="s">
        <v>560</v>
      </c>
    </row>
    <row r="2208" spans="1:7">
      <c r="A2208" t="s">
        <v>182</v>
      </c>
      <c r="B2208" t="s">
        <v>557</v>
      </c>
      <c r="C2208" t="s">
        <v>558</v>
      </c>
      <c r="D2208" t="s">
        <v>2765</v>
      </c>
      <c r="E2208">
        <v>-2206</v>
      </c>
      <c r="F2208" t="s">
        <v>559</v>
      </c>
      <c r="G2208" t="s">
        <v>560</v>
      </c>
    </row>
    <row r="2209" spans="1:7">
      <c r="A2209" t="s">
        <v>182</v>
      </c>
      <c r="B2209" t="s">
        <v>557</v>
      </c>
      <c r="C2209" t="s">
        <v>558</v>
      </c>
      <c r="D2209" t="s">
        <v>2766</v>
      </c>
      <c r="E2209">
        <v>-2207</v>
      </c>
      <c r="F2209" t="s">
        <v>559</v>
      </c>
      <c r="G2209" t="s">
        <v>560</v>
      </c>
    </row>
    <row r="2210" spans="1:7">
      <c r="A2210" t="s">
        <v>182</v>
      </c>
      <c r="B2210" t="s">
        <v>557</v>
      </c>
      <c r="C2210" t="s">
        <v>558</v>
      </c>
      <c r="D2210" t="s">
        <v>2767</v>
      </c>
      <c r="E2210">
        <v>-2208</v>
      </c>
      <c r="F2210" t="s">
        <v>559</v>
      </c>
      <c r="G2210" t="s">
        <v>560</v>
      </c>
    </row>
    <row r="2211" spans="1:7">
      <c r="A2211" t="s">
        <v>182</v>
      </c>
      <c r="B2211" t="s">
        <v>557</v>
      </c>
      <c r="C2211" t="s">
        <v>558</v>
      </c>
      <c r="D2211" t="s">
        <v>2768</v>
      </c>
      <c r="E2211">
        <v>-2209</v>
      </c>
      <c r="F2211" t="s">
        <v>559</v>
      </c>
      <c r="G2211" t="s">
        <v>560</v>
      </c>
    </row>
    <row r="2212" spans="1:7">
      <c r="A2212" t="s">
        <v>182</v>
      </c>
      <c r="B2212" t="s">
        <v>557</v>
      </c>
      <c r="C2212" t="s">
        <v>558</v>
      </c>
      <c r="D2212" t="s">
        <v>2769</v>
      </c>
      <c r="E2212">
        <v>-2210</v>
      </c>
      <c r="F2212" t="s">
        <v>559</v>
      </c>
      <c r="G2212" t="s">
        <v>560</v>
      </c>
    </row>
    <row r="2213" spans="1:7">
      <c r="A2213" t="s">
        <v>182</v>
      </c>
      <c r="B2213" t="s">
        <v>557</v>
      </c>
      <c r="C2213" t="s">
        <v>558</v>
      </c>
      <c r="D2213" t="s">
        <v>2770</v>
      </c>
      <c r="E2213">
        <v>-2211</v>
      </c>
      <c r="F2213" t="s">
        <v>559</v>
      </c>
      <c r="G2213" t="s">
        <v>560</v>
      </c>
    </row>
    <row r="2214" spans="1:7">
      <c r="A2214" t="s">
        <v>182</v>
      </c>
      <c r="B2214" t="s">
        <v>557</v>
      </c>
      <c r="C2214" t="s">
        <v>558</v>
      </c>
      <c r="D2214" t="s">
        <v>2771</v>
      </c>
      <c r="E2214">
        <v>-2212</v>
      </c>
      <c r="F2214" t="s">
        <v>559</v>
      </c>
      <c r="G2214" t="s">
        <v>560</v>
      </c>
    </row>
    <row r="2215" spans="1:7">
      <c r="A2215" t="s">
        <v>182</v>
      </c>
      <c r="B2215" t="s">
        <v>557</v>
      </c>
      <c r="C2215" t="s">
        <v>558</v>
      </c>
      <c r="D2215" t="s">
        <v>2772</v>
      </c>
      <c r="E2215">
        <v>-2213</v>
      </c>
      <c r="F2215" t="s">
        <v>559</v>
      </c>
      <c r="G2215" t="s">
        <v>560</v>
      </c>
    </row>
    <row r="2216" spans="1:7">
      <c r="A2216" t="s">
        <v>182</v>
      </c>
      <c r="B2216" t="s">
        <v>557</v>
      </c>
      <c r="C2216" t="s">
        <v>558</v>
      </c>
      <c r="D2216" t="s">
        <v>2773</v>
      </c>
      <c r="E2216">
        <v>-2214</v>
      </c>
      <c r="F2216" t="s">
        <v>559</v>
      </c>
      <c r="G2216" t="s">
        <v>560</v>
      </c>
    </row>
    <row r="2217" spans="1:7">
      <c r="A2217" t="s">
        <v>182</v>
      </c>
      <c r="B2217" t="s">
        <v>557</v>
      </c>
      <c r="C2217" t="s">
        <v>558</v>
      </c>
      <c r="D2217" t="s">
        <v>2774</v>
      </c>
      <c r="E2217">
        <v>-2215</v>
      </c>
      <c r="F2217" t="s">
        <v>559</v>
      </c>
      <c r="G2217" t="s">
        <v>560</v>
      </c>
    </row>
    <row r="2218" spans="1:7">
      <c r="A2218" t="s">
        <v>182</v>
      </c>
      <c r="B2218" t="s">
        <v>557</v>
      </c>
      <c r="C2218" t="s">
        <v>558</v>
      </c>
      <c r="D2218" t="s">
        <v>2775</v>
      </c>
      <c r="E2218">
        <v>-2216</v>
      </c>
      <c r="F2218" t="s">
        <v>559</v>
      </c>
      <c r="G2218" t="s">
        <v>560</v>
      </c>
    </row>
    <row r="2219" spans="1:7">
      <c r="A2219" t="s">
        <v>182</v>
      </c>
      <c r="B2219" t="s">
        <v>557</v>
      </c>
      <c r="C2219" t="s">
        <v>558</v>
      </c>
      <c r="D2219" t="s">
        <v>2776</v>
      </c>
      <c r="E2219">
        <v>-2217</v>
      </c>
      <c r="F2219" t="s">
        <v>559</v>
      </c>
      <c r="G2219" t="s">
        <v>560</v>
      </c>
    </row>
    <row r="2220" spans="1:7">
      <c r="A2220" t="s">
        <v>182</v>
      </c>
      <c r="B2220" t="s">
        <v>557</v>
      </c>
      <c r="C2220" t="s">
        <v>558</v>
      </c>
      <c r="D2220" t="s">
        <v>2777</v>
      </c>
      <c r="E2220">
        <v>-2218</v>
      </c>
      <c r="F2220" t="s">
        <v>559</v>
      </c>
      <c r="G2220" t="s">
        <v>560</v>
      </c>
    </row>
    <row r="2221" spans="1:7">
      <c r="A2221" t="s">
        <v>182</v>
      </c>
      <c r="B2221" t="s">
        <v>557</v>
      </c>
      <c r="C2221" t="s">
        <v>558</v>
      </c>
      <c r="D2221" t="s">
        <v>2778</v>
      </c>
      <c r="E2221">
        <v>-2219</v>
      </c>
      <c r="F2221" t="s">
        <v>559</v>
      </c>
      <c r="G2221" t="s">
        <v>560</v>
      </c>
    </row>
    <row r="2222" spans="1:7">
      <c r="A2222" t="s">
        <v>182</v>
      </c>
      <c r="B2222" t="s">
        <v>557</v>
      </c>
      <c r="C2222" t="s">
        <v>558</v>
      </c>
      <c r="D2222" t="s">
        <v>2779</v>
      </c>
      <c r="E2222">
        <v>-2220</v>
      </c>
      <c r="F2222" t="s">
        <v>559</v>
      </c>
      <c r="G2222" t="s">
        <v>560</v>
      </c>
    </row>
    <row r="2223" spans="1:7">
      <c r="A2223" t="s">
        <v>182</v>
      </c>
      <c r="B2223" t="s">
        <v>557</v>
      </c>
      <c r="C2223" t="s">
        <v>558</v>
      </c>
      <c r="D2223" t="s">
        <v>2780</v>
      </c>
      <c r="E2223">
        <v>-2221</v>
      </c>
      <c r="F2223" t="s">
        <v>559</v>
      </c>
      <c r="G2223" t="s">
        <v>560</v>
      </c>
    </row>
    <row r="2224" spans="1:7">
      <c r="A2224" t="s">
        <v>182</v>
      </c>
      <c r="B2224" t="s">
        <v>557</v>
      </c>
      <c r="C2224" t="s">
        <v>558</v>
      </c>
      <c r="D2224" t="s">
        <v>2781</v>
      </c>
      <c r="E2224">
        <v>-2222</v>
      </c>
      <c r="F2224" t="s">
        <v>559</v>
      </c>
      <c r="G2224" t="s">
        <v>560</v>
      </c>
    </row>
    <row r="2225" spans="1:7">
      <c r="A2225" t="s">
        <v>182</v>
      </c>
      <c r="B2225" t="s">
        <v>557</v>
      </c>
      <c r="C2225" t="s">
        <v>558</v>
      </c>
      <c r="D2225" t="s">
        <v>2782</v>
      </c>
      <c r="E2225">
        <v>-2223</v>
      </c>
      <c r="F2225" t="s">
        <v>559</v>
      </c>
      <c r="G2225" t="s">
        <v>560</v>
      </c>
    </row>
    <row r="2226" spans="1:7">
      <c r="A2226" t="s">
        <v>182</v>
      </c>
      <c r="B2226" t="s">
        <v>557</v>
      </c>
      <c r="C2226" t="s">
        <v>558</v>
      </c>
      <c r="D2226" t="s">
        <v>2783</v>
      </c>
      <c r="E2226">
        <v>-2224</v>
      </c>
      <c r="F2226" t="s">
        <v>559</v>
      </c>
      <c r="G2226" t="s">
        <v>560</v>
      </c>
    </row>
    <row r="2227" spans="1:7">
      <c r="A2227" t="s">
        <v>182</v>
      </c>
      <c r="B2227" t="s">
        <v>557</v>
      </c>
      <c r="C2227" t="s">
        <v>558</v>
      </c>
      <c r="D2227" t="s">
        <v>2784</v>
      </c>
      <c r="E2227">
        <v>-2225</v>
      </c>
      <c r="F2227" t="s">
        <v>559</v>
      </c>
      <c r="G2227" t="s">
        <v>560</v>
      </c>
    </row>
    <row r="2228" spans="1:7">
      <c r="A2228" t="s">
        <v>182</v>
      </c>
      <c r="B2228" t="s">
        <v>557</v>
      </c>
      <c r="C2228" t="s">
        <v>558</v>
      </c>
      <c r="D2228" t="s">
        <v>2785</v>
      </c>
      <c r="E2228">
        <v>-2226</v>
      </c>
      <c r="F2228" t="s">
        <v>559</v>
      </c>
      <c r="G2228" t="s">
        <v>560</v>
      </c>
    </row>
    <row r="2229" spans="1:7">
      <c r="A2229" t="s">
        <v>182</v>
      </c>
      <c r="B2229" t="s">
        <v>557</v>
      </c>
      <c r="C2229" t="s">
        <v>558</v>
      </c>
      <c r="D2229" t="s">
        <v>2786</v>
      </c>
      <c r="E2229">
        <v>-2227</v>
      </c>
      <c r="F2229" t="s">
        <v>559</v>
      </c>
      <c r="G2229" t="s">
        <v>560</v>
      </c>
    </row>
    <row r="2230" spans="1:7">
      <c r="A2230" t="s">
        <v>182</v>
      </c>
      <c r="B2230" t="s">
        <v>557</v>
      </c>
      <c r="C2230" t="s">
        <v>558</v>
      </c>
      <c r="D2230" t="s">
        <v>2787</v>
      </c>
      <c r="E2230">
        <v>-2228</v>
      </c>
      <c r="F2230" t="s">
        <v>559</v>
      </c>
      <c r="G2230" t="s">
        <v>560</v>
      </c>
    </row>
    <row r="2231" spans="1:7">
      <c r="A2231" t="s">
        <v>182</v>
      </c>
      <c r="B2231" t="s">
        <v>557</v>
      </c>
      <c r="C2231" t="s">
        <v>558</v>
      </c>
      <c r="D2231" t="s">
        <v>2788</v>
      </c>
      <c r="E2231">
        <v>-2229</v>
      </c>
      <c r="F2231" t="s">
        <v>559</v>
      </c>
      <c r="G2231" t="s">
        <v>560</v>
      </c>
    </row>
    <row r="2232" spans="1:7">
      <c r="A2232" t="s">
        <v>182</v>
      </c>
      <c r="B2232" t="s">
        <v>557</v>
      </c>
      <c r="C2232" t="s">
        <v>558</v>
      </c>
      <c r="D2232" t="s">
        <v>2789</v>
      </c>
      <c r="E2232">
        <v>-2230</v>
      </c>
      <c r="F2232" t="s">
        <v>559</v>
      </c>
      <c r="G2232" t="s">
        <v>560</v>
      </c>
    </row>
    <row r="2233" spans="1:7">
      <c r="A2233" t="s">
        <v>182</v>
      </c>
      <c r="B2233" t="s">
        <v>557</v>
      </c>
      <c r="C2233" t="s">
        <v>558</v>
      </c>
      <c r="D2233" t="s">
        <v>2790</v>
      </c>
      <c r="E2233">
        <v>-2231</v>
      </c>
      <c r="F2233" t="s">
        <v>559</v>
      </c>
      <c r="G2233" t="s">
        <v>560</v>
      </c>
    </row>
    <row r="2234" spans="1:7">
      <c r="A2234" t="s">
        <v>182</v>
      </c>
      <c r="B2234" t="s">
        <v>557</v>
      </c>
      <c r="C2234" t="s">
        <v>558</v>
      </c>
      <c r="D2234" t="s">
        <v>2791</v>
      </c>
      <c r="E2234">
        <v>-2232</v>
      </c>
      <c r="F2234" t="s">
        <v>559</v>
      </c>
      <c r="G2234" t="s">
        <v>560</v>
      </c>
    </row>
    <row r="2235" spans="1:7">
      <c r="A2235" t="s">
        <v>182</v>
      </c>
      <c r="B2235" t="s">
        <v>557</v>
      </c>
      <c r="C2235" t="s">
        <v>558</v>
      </c>
      <c r="D2235" t="s">
        <v>2792</v>
      </c>
      <c r="E2235">
        <v>-2233</v>
      </c>
      <c r="F2235" t="s">
        <v>559</v>
      </c>
      <c r="G2235" t="s">
        <v>560</v>
      </c>
    </row>
    <row r="2236" spans="1:7">
      <c r="A2236" t="s">
        <v>182</v>
      </c>
      <c r="B2236" t="s">
        <v>557</v>
      </c>
      <c r="C2236" t="s">
        <v>558</v>
      </c>
      <c r="D2236" t="s">
        <v>2793</v>
      </c>
      <c r="E2236">
        <v>-2234</v>
      </c>
      <c r="F2236" t="s">
        <v>559</v>
      </c>
      <c r="G2236" t="s">
        <v>560</v>
      </c>
    </row>
    <row r="2237" spans="1:7">
      <c r="A2237" t="s">
        <v>182</v>
      </c>
      <c r="B2237" t="s">
        <v>557</v>
      </c>
      <c r="C2237" t="s">
        <v>558</v>
      </c>
      <c r="D2237" t="s">
        <v>2794</v>
      </c>
      <c r="E2237">
        <v>-2235</v>
      </c>
      <c r="F2237" t="s">
        <v>559</v>
      </c>
      <c r="G2237" t="s">
        <v>560</v>
      </c>
    </row>
    <row r="2238" spans="1:7">
      <c r="A2238" t="s">
        <v>182</v>
      </c>
      <c r="B2238" t="s">
        <v>557</v>
      </c>
      <c r="C2238" t="s">
        <v>558</v>
      </c>
      <c r="D2238" t="s">
        <v>2795</v>
      </c>
      <c r="E2238">
        <v>-2236</v>
      </c>
      <c r="F2238" t="s">
        <v>559</v>
      </c>
      <c r="G2238" t="s">
        <v>560</v>
      </c>
    </row>
    <row r="2239" spans="1:7">
      <c r="A2239" t="s">
        <v>182</v>
      </c>
      <c r="B2239" t="s">
        <v>557</v>
      </c>
      <c r="C2239" t="s">
        <v>558</v>
      </c>
      <c r="D2239" t="s">
        <v>2796</v>
      </c>
      <c r="E2239">
        <v>-2237</v>
      </c>
      <c r="F2239" t="s">
        <v>559</v>
      </c>
      <c r="G2239" t="s">
        <v>560</v>
      </c>
    </row>
    <row r="2240" spans="1:7">
      <c r="A2240" t="s">
        <v>182</v>
      </c>
      <c r="B2240" t="s">
        <v>557</v>
      </c>
      <c r="C2240" t="s">
        <v>558</v>
      </c>
      <c r="D2240" t="s">
        <v>2797</v>
      </c>
      <c r="E2240">
        <v>-2238</v>
      </c>
      <c r="F2240" t="s">
        <v>559</v>
      </c>
      <c r="G2240" t="s">
        <v>560</v>
      </c>
    </row>
    <row r="2241" spans="1:7">
      <c r="A2241" t="s">
        <v>182</v>
      </c>
      <c r="B2241" t="s">
        <v>557</v>
      </c>
      <c r="C2241" t="s">
        <v>558</v>
      </c>
      <c r="D2241" t="s">
        <v>2798</v>
      </c>
      <c r="E2241">
        <v>-2239</v>
      </c>
      <c r="F2241" t="s">
        <v>559</v>
      </c>
      <c r="G2241" t="s">
        <v>560</v>
      </c>
    </row>
    <row r="2242" spans="1:7">
      <c r="A2242" t="s">
        <v>182</v>
      </c>
      <c r="B2242" t="s">
        <v>557</v>
      </c>
      <c r="C2242" t="s">
        <v>558</v>
      </c>
      <c r="D2242" t="s">
        <v>2799</v>
      </c>
      <c r="E2242">
        <v>-2240</v>
      </c>
      <c r="F2242" t="s">
        <v>559</v>
      </c>
      <c r="G2242" t="s">
        <v>560</v>
      </c>
    </row>
    <row r="2243" spans="1:7">
      <c r="A2243" t="s">
        <v>182</v>
      </c>
      <c r="B2243" t="s">
        <v>557</v>
      </c>
      <c r="C2243" t="s">
        <v>558</v>
      </c>
      <c r="D2243" t="s">
        <v>2800</v>
      </c>
      <c r="E2243">
        <v>-2241</v>
      </c>
      <c r="F2243" t="s">
        <v>559</v>
      </c>
      <c r="G2243" t="s">
        <v>560</v>
      </c>
    </row>
    <row r="2244" spans="1:7">
      <c r="A2244" t="s">
        <v>182</v>
      </c>
      <c r="B2244" t="s">
        <v>557</v>
      </c>
      <c r="C2244" t="s">
        <v>558</v>
      </c>
      <c r="D2244" t="s">
        <v>2801</v>
      </c>
      <c r="E2244">
        <v>-2242</v>
      </c>
      <c r="F2244" t="s">
        <v>559</v>
      </c>
      <c r="G2244" t="s">
        <v>560</v>
      </c>
    </row>
    <row r="2245" spans="1:7">
      <c r="A2245" t="s">
        <v>182</v>
      </c>
      <c r="B2245" t="s">
        <v>557</v>
      </c>
      <c r="C2245" t="s">
        <v>558</v>
      </c>
      <c r="D2245" t="s">
        <v>2802</v>
      </c>
      <c r="E2245">
        <v>-2243</v>
      </c>
      <c r="F2245" t="s">
        <v>559</v>
      </c>
      <c r="G2245" t="s">
        <v>560</v>
      </c>
    </row>
    <row r="2246" spans="1:7">
      <c r="A2246" t="s">
        <v>182</v>
      </c>
      <c r="B2246" t="s">
        <v>557</v>
      </c>
      <c r="C2246" t="s">
        <v>558</v>
      </c>
      <c r="D2246" t="s">
        <v>2803</v>
      </c>
      <c r="E2246">
        <v>-2244</v>
      </c>
      <c r="F2246" t="s">
        <v>559</v>
      </c>
      <c r="G2246" t="s">
        <v>560</v>
      </c>
    </row>
    <row r="2247" spans="1:7">
      <c r="A2247" t="s">
        <v>182</v>
      </c>
      <c r="B2247" t="s">
        <v>557</v>
      </c>
      <c r="C2247" t="s">
        <v>558</v>
      </c>
      <c r="D2247" t="s">
        <v>2804</v>
      </c>
      <c r="E2247">
        <v>-2245</v>
      </c>
      <c r="F2247" t="s">
        <v>559</v>
      </c>
      <c r="G2247" t="s">
        <v>560</v>
      </c>
    </row>
    <row r="2248" spans="1:7">
      <c r="A2248" t="s">
        <v>182</v>
      </c>
      <c r="B2248" t="s">
        <v>557</v>
      </c>
      <c r="C2248" t="s">
        <v>558</v>
      </c>
      <c r="D2248" t="s">
        <v>2805</v>
      </c>
      <c r="E2248">
        <v>-2246</v>
      </c>
      <c r="F2248" t="s">
        <v>559</v>
      </c>
      <c r="G2248" t="s">
        <v>560</v>
      </c>
    </row>
    <row r="2249" spans="1:7">
      <c r="A2249" t="s">
        <v>182</v>
      </c>
      <c r="B2249" t="s">
        <v>557</v>
      </c>
      <c r="C2249" t="s">
        <v>558</v>
      </c>
      <c r="D2249" t="s">
        <v>2806</v>
      </c>
      <c r="E2249">
        <v>-2247</v>
      </c>
      <c r="F2249" t="s">
        <v>559</v>
      </c>
      <c r="G2249" t="s">
        <v>560</v>
      </c>
    </row>
    <row r="2250" spans="1:7">
      <c r="A2250" t="s">
        <v>182</v>
      </c>
      <c r="B2250" t="s">
        <v>557</v>
      </c>
      <c r="C2250" t="s">
        <v>558</v>
      </c>
      <c r="D2250" t="s">
        <v>2807</v>
      </c>
      <c r="E2250">
        <v>-2248</v>
      </c>
      <c r="F2250" t="s">
        <v>559</v>
      </c>
      <c r="G2250" t="s">
        <v>560</v>
      </c>
    </row>
    <row r="2251" spans="1:7">
      <c r="A2251" t="s">
        <v>182</v>
      </c>
      <c r="B2251" t="s">
        <v>557</v>
      </c>
      <c r="C2251" t="s">
        <v>558</v>
      </c>
      <c r="D2251" t="s">
        <v>2808</v>
      </c>
      <c r="E2251">
        <v>-2249</v>
      </c>
      <c r="F2251" t="s">
        <v>559</v>
      </c>
      <c r="G2251" t="s">
        <v>560</v>
      </c>
    </row>
    <row r="2252" spans="1:7">
      <c r="A2252" t="s">
        <v>182</v>
      </c>
      <c r="B2252" t="s">
        <v>557</v>
      </c>
      <c r="C2252" t="s">
        <v>558</v>
      </c>
      <c r="D2252" t="s">
        <v>2809</v>
      </c>
      <c r="E2252">
        <v>-2250</v>
      </c>
      <c r="F2252" t="s">
        <v>559</v>
      </c>
      <c r="G2252" t="s">
        <v>560</v>
      </c>
    </row>
    <row r="2253" spans="1:7">
      <c r="A2253" t="s">
        <v>182</v>
      </c>
      <c r="B2253" t="s">
        <v>557</v>
      </c>
      <c r="C2253" t="s">
        <v>558</v>
      </c>
      <c r="D2253" t="s">
        <v>2810</v>
      </c>
      <c r="E2253">
        <v>-2251</v>
      </c>
      <c r="F2253" t="s">
        <v>559</v>
      </c>
      <c r="G2253" t="s">
        <v>560</v>
      </c>
    </row>
    <row r="2254" spans="1:7">
      <c r="A2254" t="s">
        <v>182</v>
      </c>
      <c r="B2254" t="s">
        <v>557</v>
      </c>
      <c r="C2254" t="s">
        <v>558</v>
      </c>
      <c r="D2254" t="s">
        <v>2811</v>
      </c>
      <c r="E2254">
        <v>-2252</v>
      </c>
      <c r="F2254" t="s">
        <v>559</v>
      </c>
      <c r="G2254" t="s">
        <v>560</v>
      </c>
    </row>
    <row r="2255" spans="1:7">
      <c r="A2255" t="s">
        <v>182</v>
      </c>
      <c r="B2255" t="s">
        <v>557</v>
      </c>
      <c r="C2255" t="s">
        <v>558</v>
      </c>
      <c r="D2255" t="s">
        <v>2812</v>
      </c>
      <c r="E2255">
        <v>-2253</v>
      </c>
      <c r="F2255" t="s">
        <v>559</v>
      </c>
      <c r="G2255" t="s">
        <v>560</v>
      </c>
    </row>
    <row r="2256" spans="1:7">
      <c r="A2256" t="s">
        <v>182</v>
      </c>
      <c r="B2256" t="s">
        <v>557</v>
      </c>
      <c r="C2256" t="s">
        <v>558</v>
      </c>
      <c r="D2256" t="s">
        <v>2813</v>
      </c>
      <c r="E2256">
        <v>-2254</v>
      </c>
      <c r="F2256" t="s">
        <v>559</v>
      </c>
      <c r="G2256" t="s">
        <v>560</v>
      </c>
    </row>
    <row r="2257" spans="1:7">
      <c r="A2257" t="s">
        <v>182</v>
      </c>
      <c r="B2257" t="s">
        <v>557</v>
      </c>
      <c r="C2257" t="s">
        <v>558</v>
      </c>
      <c r="D2257" t="s">
        <v>2814</v>
      </c>
      <c r="E2257">
        <v>-2255</v>
      </c>
      <c r="F2257" t="s">
        <v>559</v>
      </c>
      <c r="G2257" t="s">
        <v>560</v>
      </c>
    </row>
    <row r="2258" spans="1:7">
      <c r="A2258" t="s">
        <v>182</v>
      </c>
      <c r="B2258" t="s">
        <v>557</v>
      </c>
      <c r="C2258" t="s">
        <v>558</v>
      </c>
      <c r="D2258" t="s">
        <v>2815</v>
      </c>
      <c r="E2258">
        <v>-2256</v>
      </c>
      <c r="F2258" t="s">
        <v>559</v>
      </c>
      <c r="G2258" t="s">
        <v>560</v>
      </c>
    </row>
    <row r="2259" spans="1:7">
      <c r="A2259" t="s">
        <v>182</v>
      </c>
      <c r="B2259" t="s">
        <v>557</v>
      </c>
      <c r="C2259" t="s">
        <v>558</v>
      </c>
      <c r="D2259" t="s">
        <v>2816</v>
      </c>
      <c r="E2259">
        <v>-2257</v>
      </c>
      <c r="F2259" t="s">
        <v>559</v>
      </c>
      <c r="G2259" t="s">
        <v>560</v>
      </c>
    </row>
    <row r="2260" spans="1:7">
      <c r="A2260" t="s">
        <v>182</v>
      </c>
      <c r="B2260" t="s">
        <v>557</v>
      </c>
      <c r="C2260" t="s">
        <v>558</v>
      </c>
      <c r="D2260" t="s">
        <v>2817</v>
      </c>
      <c r="E2260">
        <v>-2258</v>
      </c>
      <c r="F2260" t="s">
        <v>559</v>
      </c>
      <c r="G2260" t="s">
        <v>560</v>
      </c>
    </row>
    <row r="2261" spans="1:7">
      <c r="A2261" t="s">
        <v>182</v>
      </c>
      <c r="B2261" t="s">
        <v>557</v>
      </c>
      <c r="C2261" t="s">
        <v>558</v>
      </c>
      <c r="D2261" t="s">
        <v>2818</v>
      </c>
      <c r="E2261">
        <v>-2259</v>
      </c>
      <c r="F2261" t="s">
        <v>559</v>
      </c>
      <c r="G2261" t="s">
        <v>560</v>
      </c>
    </row>
    <row r="2262" spans="1:7">
      <c r="A2262" t="s">
        <v>182</v>
      </c>
      <c r="B2262" t="s">
        <v>557</v>
      </c>
      <c r="C2262" t="s">
        <v>558</v>
      </c>
      <c r="D2262" t="s">
        <v>2819</v>
      </c>
      <c r="E2262">
        <v>-2260</v>
      </c>
      <c r="F2262" t="s">
        <v>559</v>
      </c>
      <c r="G2262" t="s">
        <v>560</v>
      </c>
    </row>
    <row r="2263" spans="1:7">
      <c r="A2263" t="s">
        <v>182</v>
      </c>
      <c r="B2263" t="s">
        <v>557</v>
      </c>
      <c r="C2263" t="s">
        <v>558</v>
      </c>
      <c r="D2263" t="s">
        <v>2820</v>
      </c>
      <c r="E2263">
        <v>-2261</v>
      </c>
      <c r="F2263" t="s">
        <v>559</v>
      </c>
      <c r="G2263" t="s">
        <v>560</v>
      </c>
    </row>
    <row r="2264" spans="1:7">
      <c r="A2264" t="s">
        <v>182</v>
      </c>
      <c r="B2264" t="s">
        <v>557</v>
      </c>
      <c r="C2264" t="s">
        <v>558</v>
      </c>
      <c r="D2264" t="s">
        <v>2821</v>
      </c>
      <c r="E2264">
        <v>-2262</v>
      </c>
      <c r="F2264" t="s">
        <v>559</v>
      </c>
      <c r="G2264" t="s">
        <v>560</v>
      </c>
    </row>
    <row r="2265" spans="1:7">
      <c r="A2265" t="s">
        <v>182</v>
      </c>
      <c r="B2265" t="s">
        <v>557</v>
      </c>
      <c r="C2265" t="s">
        <v>558</v>
      </c>
      <c r="D2265" t="s">
        <v>2822</v>
      </c>
      <c r="E2265">
        <v>-2263</v>
      </c>
      <c r="F2265" t="s">
        <v>559</v>
      </c>
      <c r="G2265" t="s">
        <v>560</v>
      </c>
    </row>
    <row r="2266" spans="1:7">
      <c r="A2266" t="s">
        <v>182</v>
      </c>
      <c r="B2266" t="s">
        <v>557</v>
      </c>
      <c r="C2266" t="s">
        <v>558</v>
      </c>
      <c r="D2266" t="s">
        <v>2823</v>
      </c>
      <c r="E2266">
        <v>-2264</v>
      </c>
      <c r="F2266" t="s">
        <v>559</v>
      </c>
      <c r="G2266" t="s">
        <v>560</v>
      </c>
    </row>
    <row r="2267" spans="1:7">
      <c r="A2267" t="s">
        <v>182</v>
      </c>
      <c r="B2267" t="s">
        <v>557</v>
      </c>
      <c r="C2267" t="s">
        <v>558</v>
      </c>
      <c r="D2267" t="s">
        <v>2824</v>
      </c>
      <c r="E2267">
        <v>-2265</v>
      </c>
      <c r="F2267" t="s">
        <v>559</v>
      </c>
      <c r="G2267" t="s">
        <v>560</v>
      </c>
    </row>
    <row r="2268" spans="1:7">
      <c r="A2268" t="s">
        <v>182</v>
      </c>
      <c r="B2268" t="s">
        <v>557</v>
      </c>
      <c r="C2268" t="s">
        <v>558</v>
      </c>
      <c r="D2268" t="s">
        <v>2825</v>
      </c>
      <c r="E2268">
        <v>-2266</v>
      </c>
      <c r="F2268" t="s">
        <v>559</v>
      </c>
      <c r="G2268" t="s">
        <v>560</v>
      </c>
    </row>
    <row r="2269" spans="1:7">
      <c r="A2269" t="s">
        <v>182</v>
      </c>
      <c r="B2269" t="s">
        <v>557</v>
      </c>
      <c r="C2269" t="s">
        <v>558</v>
      </c>
      <c r="D2269" t="s">
        <v>2826</v>
      </c>
      <c r="E2269">
        <v>-2267</v>
      </c>
      <c r="F2269" t="s">
        <v>559</v>
      </c>
      <c r="G2269" t="s">
        <v>560</v>
      </c>
    </row>
    <row r="2270" spans="1:7">
      <c r="A2270" t="s">
        <v>182</v>
      </c>
      <c r="B2270" t="s">
        <v>557</v>
      </c>
      <c r="C2270" t="s">
        <v>558</v>
      </c>
      <c r="D2270" t="s">
        <v>2827</v>
      </c>
      <c r="E2270">
        <v>-2268</v>
      </c>
      <c r="F2270" t="s">
        <v>559</v>
      </c>
      <c r="G2270" t="s">
        <v>560</v>
      </c>
    </row>
    <row r="2271" spans="1:7">
      <c r="A2271" t="s">
        <v>182</v>
      </c>
      <c r="B2271" t="s">
        <v>557</v>
      </c>
      <c r="C2271" t="s">
        <v>558</v>
      </c>
      <c r="D2271" t="s">
        <v>2828</v>
      </c>
      <c r="E2271">
        <v>-2269</v>
      </c>
      <c r="F2271" t="s">
        <v>559</v>
      </c>
      <c r="G2271" t="s">
        <v>560</v>
      </c>
    </row>
    <row r="2272" spans="1:7">
      <c r="A2272" t="s">
        <v>182</v>
      </c>
      <c r="B2272" t="s">
        <v>557</v>
      </c>
      <c r="C2272" t="s">
        <v>558</v>
      </c>
      <c r="D2272" t="s">
        <v>2829</v>
      </c>
      <c r="E2272">
        <v>-2270</v>
      </c>
      <c r="F2272" t="s">
        <v>559</v>
      </c>
      <c r="G2272" t="s">
        <v>560</v>
      </c>
    </row>
    <row r="2273" spans="1:7">
      <c r="A2273" t="s">
        <v>182</v>
      </c>
      <c r="B2273" t="s">
        <v>557</v>
      </c>
      <c r="C2273" t="s">
        <v>558</v>
      </c>
      <c r="D2273" t="s">
        <v>2830</v>
      </c>
      <c r="E2273">
        <v>-2271</v>
      </c>
      <c r="F2273" t="s">
        <v>559</v>
      </c>
      <c r="G2273" t="s">
        <v>560</v>
      </c>
    </row>
    <row r="2274" spans="1:7">
      <c r="A2274" t="s">
        <v>182</v>
      </c>
      <c r="B2274" t="s">
        <v>557</v>
      </c>
      <c r="C2274" t="s">
        <v>558</v>
      </c>
      <c r="D2274" t="s">
        <v>2831</v>
      </c>
      <c r="E2274">
        <v>-2272</v>
      </c>
      <c r="F2274" t="s">
        <v>559</v>
      </c>
      <c r="G2274" t="s">
        <v>560</v>
      </c>
    </row>
    <row r="2275" spans="1:7">
      <c r="A2275" t="s">
        <v>182</v>
      </c>
      <c r="B2275" t="s">
        <v>557</v>
      </c>
      <c r="C2275" t="s">
        <v>558</v>
      </c>
      <c r="D2275" t="s">
        <v>2832</v>
      </c>
      <c r="E2275">
        <v>-2273</v>
      </c>
      <c r="F2275" t="s">
        <v>559</v>
      </c>
      <c r="G2275" t="s">
        <v>560</v>
      </c>
    </row>
    <row r="2276" spans="1:7">
      <c r="A2276" t="s">
        <v>182</v>
      </c>
      <c r="B2276" t="s">
        <v>557</v>
      </c>
      <c r="C2276" t="s">
        <v>558</v>
      </c>
      <c r="D2276" t="s">
        <v>2833</v>
      </c>
      <c r="E2276">
        <v>-2274</v>
      </c>
      <c r="F2276" t="s">
        <v>559</v>
      </c>
      <c r="G2276" t="s">
        <v>560</v>
      </c>
    </row>
    <row r="2277" spans="1:7">
      <c r="A2277" t="s">
        <v>182</v>
      </c>
      <c r="B2277" t="s">
        <v>557</v>
      </c>
      <c r="C2277" t="s">
        <v>558</v>
      </c>
      <c r="D2277" t="s">
        <v>2834</v>
      </c>
      <c r="E2277">
        <v>-2275</v>
      </c>
      <c r="F2277" t="s">
        <v>559</v>
      </c>
      <c r="G2277" t="s">
        <v>560</v>
      </c>
    </row>
    <row r="2278" spans="1:7">
      <c r="A2278" t="s">
        <v>182</v>
      </c>
      <c r="B2278" t="s">
        <v>557</v>
      </c>
      <c r="C2278" t="s">
        <v>558</v>
      </c>
      <c r="D2278" t="s">
        <v>2835</v>
      </c>
      <c r="E2278">
        <v>-2276</v>
      </c>
      <c r="F2278" t="s">
        <v>559</v>
      </c>
      <c r="G2278" t="s">
        <v>560</v>
      </c>
    </row>
    <row r="2279" spans="1:7">
      <c r="A2279" t="s">
        <v>182</v>
      </c>
      <c r="B2279" t="s">
        <v>557</v>
      </c>
      <c r="C2279" t="s">
        <v>558</v>
      </c>
      <c r="D2279" t="s">
        <v>2836</v>
      </c>
      <c r="E2279">
        <v>-2277</v>
      </c>
      <c r="F2279" t="s">
        <v>559</v>
      </c>
      <c r="G2279" t="s">
        <v>560</v>
      </c>
    </row>
    <row r="2280" spans="1:7">
      <c r="A2280" t="s">
        <v>182</v>
      </c>
      <c r="B2280" t="s">
        <v>557</v>
      </c>
      <c r="C2280" t="s">
        <v>558</v>
      </c>
      <c r="D2280" t="s">
        <v>2837</v>
      </c>
      <c r="E2280">
        <v>-2278</v>
      </c>
      <c r="F2280" t="s">
        <v>559</v>
      </c>
      <c r="G2280" t="s">
        <v>560</v>
      </c>
    </row>
    <row r="2281" spans="1:7">
      <c r="A2281" t="s">
        <v>182</v>
      </c>
      <c r="B2281" t="s">
        <v>557</v>
      </c>
      <c r="C2281" t="s">
        <v>558</v>
      </c>
      <c r="D2281" t="s">
        <v>2838</v>
      </c>
      <c r="E2281">
        <v>-2279</v>
      </c>
      <c r="F2281" t="s">
        <v>559</v>
      </c>
      <c r="G2281" t="s">
        <v>560</v>
      </c>
    </row>
    <row r="2282" spans="1:7">
      <c r="A2282" t="s">
        <v>182</v>
      </c>
      <c r="B2282" t="s">
        <v>557</v>
      </c>
      <c r="C2282" t="s">
        <v>558</v>
      </c>
      <c r="D2282" t="s">
        <v>2839</v>
      </c>
      <c r="E2282">
        <v>-2280</v>
      </c>
      <c r="F2282" t="s">
        <v>559</v>
      </c>
      <c r="G2282" t="s">
        <v>560</v>
      </c>
    </row>
    <row r="2283" spans="1:7">
      <c r="A2283" t="s">
        <v>182</v>
      </c>
      <c r="B2283" t="s">
        <v>557</v>
      </c>
      <c r="C2283" t="s">
        <v>558</v>
      </c>
      <c r="D2283" t="s">
        <v>2840</v>
      </c>
      <c r="E2283">
        <v>-2281</v>
      </c>
      <c r="F2283" t="s">
        <v>559</v>
      </c>
      <c r="G2283" t="s">
        <v>560</v>
      </c>
    </row>
    <row r="2284" spans="1:7">
      <c r="A2284" t="s">
        <v>182</v>
      </c>
      <c r="B2284" t="s">
        <v>557</v>
      </c>
      <c r="C2284" t="s">
        <v>558</v>
      </c>
      <c r="D2284" t="s">
        <v>2841</v>
      </c>
      <c r="E2284">
        <v>-2282</v>
      </c>
      <c r="F2284" t="s">
        <v>559</v>
      </c>
      <c r="G2284" t="s">
        <v>560</v>
      </c>
    </row>
    <row r="2285" spans="1:7">
      <c r="A2285" t="s">
        <v>182</v>
      </c>
      <c r="B2285" t="s">
        <v>557</v>
      </c>
      <c r="C2285" t="s">
        <v>558</v>
      </c>
      <c r="D2285" t="s">
        <v>2842</v>
      </c>
      <c r="E2285">
        <v>-2283</v>
      </c>
      <c r="F2285" t="s">
        <v>559</v>
      </c>
      <c r="G2285" t="s">
        <v>560</v>
      </c>
    </row>
    <row r="2286" spans="1:7">
      <c r="A2286" t="s">
        <v>182</v>
      </c>
      <c r="B2286" t="s">
        <v>557</v>
      </c>
      <c r="C2286" t="s">
        <v>558</v>
      </c>
      <c r="D2286" t="s">
        <v>2843</v>
      </c>
      <c r="E2286">
        <v>-2284</v>
      </c>
      <c r="F2286" t="s">
        <v>559</v>
      </c>
      <c r="G2286" t="s">
        <v>560</v>
      </c>
    </row>
    <row r="2287" spans="1:7">
      <c r="A2287" t="s">
        <v>182</v>
      </c>
      <c r="B2287" t="s">
        <v>557</v>
      </c>
      <c r="C2287" t="s">
        <v>558</v>
      </c>
      <c r="D2287" t="s">
        <v>2844</v>
      </c>
      <c r="E2287">
        <v>-2285</v>
      </c>
      <c r="F2287" t="s">
        <v>559</v>
      </c>
      <c r="G2287" t="s">
        <v>560</v>
      </c>
    </row>
    <row r="2288" spans="1:7">
      <c r="A2288" t="s">
        <v>182</v>
      </c>
      <c r="B2288" t="s">
        <v>557</v>
      </c>
      <c r="C2288" t="s">
        <v>558</v>
      </c>
      <c r="D2288" t="s">
        <v>2845</v>
      </c>
      <c r="E2288">
        <v>-2286</v>
      </c>
      <c r="F2288" t="s">
        <v>559</v>
      </c>
      <c r="G2288" t="s">
        <v>560</v>
      </c>
    </row>
    <row r="2289" spans="1:7">
      <c r="A2289" t="s">
        <v>182</v>
      </c>
      <c r="B2289" t="s">
        <v>557</v>
      </c>
      <c r="C2289" t="s">
        <v>558</v>
      </c>
      <c r="D2289" t="s">
        <v>2846</v>
      </c>
      <c r="E2289">
        <v>-2287</v>
      </c>
      <c r="F2289" t="s">
        <v>559</v>
      </c>
      <c r="G2289" t="s">
        <v>560</v>
      </c>
    </row>
    <row r="2290" spans="1:7">
      <c r="A2290" t="s">
        <v>182</v>
      </c>
      <c r="B2290" t="s">
        <v>557</v>
      </c>
      <c r="C2290" t="s">
        <v>558</v>
      </c>
      <c r="D2290" t="s">
        <v>2847</v>
      </c>
      <c r="E2290">
        <v>-2288</v>
      </c>
      <c r="F2290" t="s">
        <v>559</v>
      </c>
      <c r="G2290" t="s">
        <v>560</v>
      </c>
    </row>
    <row r="2291" spans="1:7">
      <c r="A2291" t="s">
        <v>182</v>
      </c>
      <c r="B2291" t="s">
        <v>557</v>
      </c>
      <c r="C2291" t="s">
        <v>558</v>
      </c>
      <c r="D2291" t="s">
        <v>2848</v>
      </c>
      <c r="E2291">
        <v>-2289</v>
      </c>
      <c r="F2291" t="s">
        <v>559</v>
      </c>
      <c r="G2291" t="s">
        <v>560</v>
      </c>
    </row>
    <row r="2292" spans="1:7">
      <c r="A2292" t="s">
        <v>182</v>
      </c>
      <c r="B2292" t="s">
        <v>557</v>
      </c>
      <c r="C2292" t="s">
        <v>558</v>
      </c>
      <c r="D2292" t="s">
        <v>2849</v>
      </c>
      <c r="E2292">
        <v>-2290</v>
      </c>
      <c r="F2292" t="s">
        <v>559</v>
      </c>
      <c r="G2292" t="s">
        <v>560</v>
      </c>
    </row>
    <row r="2293" spans="1:7">
      <c r="A2293" t="s">
        <v>182</v>
      </c>
      <c r="B2293" t="s">
        <v>557</v>
      </c>
      <c r="C2293" t="s">
        <v>558</v>
      </c>
      <c r="D2293" t="s">
        <v>2850</v>
      </c>
      <c r="E2293">
        <v>-2291</v>
      </c>
      <c r="F2293" t="s">
        <v>559</v>
      </c>
      <c r="G2293" t="s">
        <v>560</v>
      </c>
    </row>
    <row r="2294" spans="1:7">
      <c r="A2294" t="s">
        <v>182</v>
      </c>
      <c r="B2294" t="s">
        <v>557</v>
      </c>
      <c r="C2294" t="s">
        <v>558</v>
      </c>
      <c r="D2294" t="s">
        <v>2851</v>
      </c>
      <c r="E2294">
        <v>-2292</v>
      </c>
      <c r="F2294" t="s">
        <v>559</v>
      </c>
      <c r="G2294" t="s">
        <v>560</v>
      </c>
    </row>
    <row r="2295" spans="1:7">
      <c r="A2295" t="s">
        <v>182</v>
      </c>
      <c r="B2295" t="s">
        <v>557</v>
      </c>
      <c r="C2295" t="s">
        <v>558</v>
      </c>
      <c r="D2295" t="s">
        <v>2852</v>
      </c>
      <c r="E2295">
        <v>-2293</v>
      </c>
      <c r="F2295" t="s">
        <v>559</v>
      </c>
      <c r="G2295" t="s">
        <v>560</v>
      </c>
    </row>
    <row r="2296" spans="1:7">
      <c r="A2296" t="s">
        <v>182</v>
      </c>
      <c r="B2296" t="s">
        <v>557</v>
      </c>
      <c r="C2296" t="s">
        <v>558</v>
      </c>
      <c r="D2296" t="s">
        <v>2853</v>
      </c>
      <c r="E2296">
        <v>-2294</v>
      </c>
      <c r="F2296" t="s">
        <v>559</v>
      </c>
      <c r="G2296" t="s">
        <v>560</v>
      </c>
    </row>
    <row r="2297" spans="1:7">
      <c r="A2297" t="s">
        <v>182</v>
      </c>
      <c r="B2297" t="s">
        <v>557</v>
      </c>
      <c r="C2297" t="s">
        <v>558</v>
      </c>
      <c r="D2297" t="s">
        <v>2854</v>
      </c>
      <c r="E2297">
        <v>-2295</v>
      </c>
      <c r="F2297" t="s">
        <v>559</v>
      </c>
      <c r="G2297" t="s">
        <v>560</v>
      </c>
    </row>
    <row r="2298" spans="1:7">
      <c r="A2298" t="s">
        <v>182</v>
      </c>
      <c r="B2298" t="s">
        <v>557</v>
      </c>
      <c r="C2298" t="s">
        <v>558</v>
      </c>
      <c r="D2298" t="s">
        <v>2855</v>
      </c>
      <c r="E2298">
        <v>-2296</v>
      </c>
      <c r="F2298" t="s">
        <v>559</v>
      </c>
      <c r="G2298" t="s">
        <v>560</v>
      </c>
    </row>
    <row r="2299" spans="1:7">
      <c r="A2299" t="s">
        <v>182</v>
      </c>
      <c r="B2299" t="s">
        <v>557</v>
      </c>
      <c r="C2299" t="s">
        <v>558</v>
      </c>
      <c r="D2299" t="s">
        <v>2856</v>
      </c>
      <c r="E2299">
        <v>-2297</v>
      </c>
      <c r="F2299" t="s">
        <v>559</v>
      </c>
      <c r="G2299" t="s">
        <v>560</v>
      </c>
    </row>
    <row r="2300" spans="1:7">
      <c r="A2300" t="s">
        <v>182</v>
      </c>
      <c r="B2300" t="s">
        <v>557</v>
      </c>
      <c r="C2300" t="s">
        <v>558</v>
      </c>
      <c r="D2300" t="s">
        <v>2857</v>
      </c>
      <c r="E2300">
        <v>-2298</v>
      </c>
      <c r="F2300" t="s">
        <v>559</v>
      </c>
      <c r="G2300" t="s">
        <v>560</v>
      </c>
    </row>
    <row r="2301" spans="1:7">
      <c r="A2301" t="s">
        <v>182</v>
      </c>
      <c r="B2301" t="s">
        <v>557</v>
      </c>
      <c r="C2301" t="s">
        <v>558</v>
      </c>
      <c r="D2301" t="s">
        <v>2858</v>
      </c>
      <c r="E2301">
        <v>-2299</v>
      </c>
      <c r="F2301" t="s">
        <v>559</v>
      </c>
      <c r="G2301" t="s">
        <v>560</v>
      </c>
    </row>
    <row r="2302" spans="1:7">
      <c r="A2302" t="s">
        <v>182</v>
      </c>
      <c r="B2302" t="s">
        <v>557</v>
      </c>
      <c r="C2302" t="s">
        <v>558</v>
      </c>
      <c r="D2302" t="s">
        <v>2859</v>
      </c>
      <c r="E2302">
        <v>-2300</v>
      </c>
      <c r="F2302" t="s">
        <v>559</v>
      </c>
      <c r="G2302" t="s">
        <v>560</v>
      </c>
    </row>
    <row r="2303" spans="1:7">
      <c r="A2303" t="s">
        <v>182</v>
      </c>
      <c r="B2303" t="s">
        <v>557</v>
      </c>
      <c r="C2303" t="s">
        <v>558</v>
      </c>
      <c r="D2303" t="s">
        <v>2860</v>
      </c>
      <c r="E2303">
        <v>-2301</v>
      </c>
      <c r="F2303" t="s">
        <v>559</v>
      </c>
      <c r="G2303" t="s">
        <v>560</v>
      </c>
    </row>
    <row r="2304" spans="1:7">
      <c r="A2304" t="s">
        <v>182</v>
      </c>
      <c r="B2304" t="s">
        <v>557</v>
      </c>
      <c r="C2304" t="s">
        <v>558</v>
      </c>
      <c r="D2304" t="s">
        <v>2861</v>
      </c>
      <c r="E2304">
        <v>-2302</v>
      </c>
      <c r="F2304" t="s">
        <v>559</v>
      </c>
      <c r="G2304" t="s">
        <v>560</v>
      </c>
    </row>
    <row r="2305" spans="1:7">
      <c r="A2305" t="s">
        <v>182</v>
      </c>
      <c r="B2305" t="s">
        <v>557</v>
      </c>
      <c r="C2305" t="s">
        <v>558</v>
      </c>
      <c r="D2305" t="s">
        <v>2862</v>
      </c>
      <c r="E2305">
        <v>-2303</v>
      </c>
      <c r="F2305" t="s">
        <v>559</v>
      </c>
      <c r="G2305" t="s">
        <v>560</v>
      </c>
    </row>
    <row r="2306" spans="1:7">
      <c r="A2306" t="s">
        <v>182</v>
      </c>
      <c r="B2306" t="s">
        <v>557</v>
      </c>
      <c r="C2306" t="s">
        <v>558</v>
      </c>
      <c r="D2306" t="s">
        <v>2863</v>
      </c>
      <c r="E2306">
        <v>-2304</v>
      </c>
      <c r="F2306" t="s">
        <v>559</v>
      </c>
      <c r="G2306" t="s">
        <v>560</v>
      </c>
    </row>
    <row r="2307" spans="1:7">
      <c r="A2307" t="s">
        <v>182</v>
      </c>
      <c r="B2307" t="s">
        <v>557</v>
      </c>
      <c r="C2307" t="s">
        <v>558</v>
      </c>
      <c r="D2307" t="s">
        <v>2864</v>
      </c>
      <c r="E2307">
        <v>-2305</v>
      </c>
      <c r="F2307" t="s">
        <v>559</v>
      </c>
      <c r="G2307" t="s">
        <v>560</v>
      </c>
    </row>
    <row r="2308" spans="1:7">
      <c r="A2308" t="s">
        <v>182</v>
      </c>
      <c r="B2308" t="s">
        <v>557</v>
      </c>
      <c r="C2308" t="s">
        <v>558</v>
      </c>
      <c r="D2308" t="s">
        <v>2865</v>
      </c>
      <c r="E2308">
        <v>-2306</v>
      </c>
      <c r="F2308" t="s">
        <v>559</v>
      </c>
      <c r="G2308" t="s">
        <v>560</v>
      </c>
    </row>
    <row r="2309" spans="1:7">
      <c r="A2309" t="s">
        <v>182</v>
      </c>
      <c r="B2309" t="s">
        <v>557</v>
      </c>
      <c r="C2309" t="s">
        <v>558</v>
      </c>
      <c r="D2309" t="s">
        <v>2866</v>
      </c>
      <c r="E2309">
        <v>-2307</v>
      </c>
      <c r="F2309" t="s">
        <v>559</v>
      </c>
      <c r="G2309" t="s">
        <v>560</v>
      </c>
    </row>
    <row r="2310" spans="1:7">
      <c r="A2310" t="s">
        <v>182</v>
      </c>
      <c r="B2310" t="s">
        <v>557</v>
      </c>
      <c r="C2310" t="s">
        <v>558</v>
      </c>
      <c r="D2310" t="s">
        <v>2867</v>
      </c>
      <c r="E2310">
        <v>-2308</v>
      </c>
      <c r="F2310" t="s">
        <v>559</v>
      </c>
      <c r="G2310" t="s">
        <v>560</v>
      </c>
    </row>
    <row r="2311" spans="1:7">
      <c r="A2311" t="s">
        <v>182</v>
      </c>
      <c r="B2311" t="s">
        <v>557</v>
      </c>
      <c r="C2311" t="s">
        <v>558</v>
      </c>
      <c r="D2311" t="s">
        <v>2868</v>
      </c>
      <c r="E2311">
        <v>-2309</v>
      </c>
      <c r="F2311" t="s">
        <v>559</v>
      </c>
      <c r="G2311" t="s">
        <v>560</v>
      </c>
    </row>
    <row r="2312" spans="1:7">
      <c r="A2312" t="s">
        <v>182</v>
      </c>
      <c r="B2312" t="s">
        <v>557</v>
      </c>
      <c r="C2312" t="s">
        <v>558</v>
      </c>
      <c r="D2312" t="s">
        <v>2869</v>
      </c>
      <c r="E2312">
        <v>-2310</v>
      </c>
      <c r="F2312" t="s">
        <v>559</v>
      </c>
      <c r="G2312" t="s">
        <v>560</v>
      </c>
    </row>
    <row r="2313" spans="1:7">
      <c r="A2313" t="s">
        <v>182</v>
      </c>
      <c r="B2313" t="s">
        <v>557</v>
      </c>
      <c r="C2313" t="s">
        <v>558</v>
      </c>
      <c r="D2313" t="s">
        <v>2870</v>
      </c>
      <c r="E2313">
        <v>-2311</v>
      </c>
      <c r="F2313" t="s">
        <v>559</v>
      </c>
      <c r="G2313" t="s">
        <v>560</v>
      </c>
    </row>
    <row r="2314" spans="1:7">
      <c r="A2314" t="s">
        <v>182</v>
      </c>
      <c r="B2314" t="s">
        <v>557</v>
      </c>
      <c r="C2314" t="s">
        <v>558</v>
      </c>
      <c r="D2314" t="s">
        <v>2871</v>
      </c>
      <c r="E2314">
        <v>-2312</v>
      </c>
      <c r="F2314" t="s">
        <v>559</v>
      </c>
      <c r="G2314" t="s">
        <v>560</v>
      </c>
    </row>
    <row r="2315" spans="1:7">
      <c r="A2315" t="s">
        <v>182</v>
      </c>
      <c r="B2315" t="s">
        <v>557</v>
      </c>
      <c r="C2315" t="s">
        <v>558</v>
      </c>
      <c r="D2315" t="s">
        <v>2872</v>
      </c>
      <c r="E2315">
        <v>-2313</v>
      </c>
      <c r="F2315" t="s">
        <v>559</v>
      </c>
      <c r="G2315" t="s">
        <v>560</v>
      </c>
    </row>
    <row r="2316" spans="1:7">
      <c r="A2316" t="s">
        <v>182</v>
      </c>
      <c r="B2316" t="s">
        <v>557</v>
      </c>
      <c r="C2316" t="s">
        <v>558</v>
      </c>
      <c r="D2316" t="s">
        <v>2873</v>
      </c>
      <c r="E2316">
        <v>-2314</v>
      </c>
      <c r="F2316" t="s">
        <v>559</v>
      </c>
      <c r="G2316" t="s">
        <v>560</v>
      </c>
    </row>
    <row r="2317" spans="1:7">
      <c r="A2317" t="s">
        <v>182</v>
      </c>
      <c r="B2317" t="s">
        <v>557</v>
      </c>
      <c r="C2317" t="s">
        <v>558</v>
      </c>
      <c r="D2317" t="s">
        <v>2874</v>
      </c>
      <c r="E2317">
        <v>-2315</v>
      </c>
      <c r="F2317" t="s">
        <v>559</v>
      </c>
      <c r="G2317" t="s">
        <v>560</v>
      </c>
    </row>
    <row r="2318" spans="1:7">
      <c r="A2318" t="s">
        <v>182</v>
      </c>
      <c r="B2318" t="s">
        <v>557</v>
      </c>
      <c r="C2318" t="s">
        <v>558</v>
      </c>
      <c r="D2318" t="s">
        <v>2875</v>
      </c>
      <c r="E2318">
        <v>-2316</v>
      </c>
      <c r="F2318" t="s">
        <v>559</v>
      </c>
      <c r="G2318" t="s">
        <v>560</v>
      </c>
    </row>
    <row r="2319" spans="1:7">
      <c r="A2319" t="s">
        <v>182</v>
      </c>
      <c r="B2319" t="s">
        <v>557</v>
      </c>
      <c r="C2319" t="s">
        <v>558</v>
      </c>
      <c r="D2319" t="s">
        <v>2876</v>
      </c>
      <c r="E2319">
        <v>-2317</v>
      </c>
      <c r="F2319" t="s">
        <v>559</v>
      </c>
      <c r="G2319" t="s">
        <v>560</v>
      </c>
    </row>
    <row r="2320" spans="1:7">
      <c r="A2320" t="s">
        <v>182</v>
      </c>
      <c r="B2320" t="s">
        <v>557</v>
      </c>
      <c r="C2320" t="s">
        <v>558</v>
      </c>
      <c r="D2320" t="s">
        <v>2877</v>
      </c>
      <c r="E2320">
        <v>-2318</v>
      </c>
      <c r="F2320" t="s">
        <v>559</v>
      </c>
      <c r="G2320" t="s">
        <v>560</v>
      </c>
    </row>
    <row r="2321" spans="1:7">
      <c r="A2321" t="s">
        <v>182</v>
      </c>
      <c r="B2321" t="s">
        <v>557</v>
      </c>
      <c r="C2321" t="s">
        <v>558</v>
      </c>
      <c r="D2321" t="s">
        <v>2878</v>
      </c>
      <c r="E2321">
        <v>-2319</v>
      </c>
      <c r="F2321" t="s">
        <v>559</v>
      </c>
      <c r="G2321" t="s">
        <v>560</v>
      </c>
    </row>
    <row r="2322" spans="1:7">
      <c r="A2322" t="s">
        <v>182</v>
      </c>
      <c r="B2322" t="s">
        <v>557</v>
      </c>
      <c r="C2322" t="s">
        <v>558</v>
      </c>
      <c r="D2322" t="s">
        <v>2879</v>
      </c>
      <c r="E2322">
        <v>-2320</v>
      </c>
      <c r="F2322" t="s">
        <v>559</v>
      </c>
      <c r="G2322" t="s">
        <v>560</v>
      </c>
    </row>
    <row r="2323" spans="1:7">
      <c r="A2323" t="s">
        <v>182</v>
      </c>
      <c r="B2323" t="s">
        <v>557</v>
      </c>
      <c r="C2323" t="s">
        <v>558</v>
      </c>
      <c r="D2323" t="s">
        <v>2880</v>
      </c>
      <c r="E2323">
        <v>-2321</v>
      </c>
      <c r="F2323" t="s">
        <v>559</v>
      </c>
      <c r="G2323" t="s">
        <v>560</v>
      </c>
    </row>
    <row r="2324" spans="1:7">
      <c r="A2324" t="s">
        <v>182</v>
      </c>
      <c r="B2324" t="s">
        <v>557</v>
      </c>
      <c r="C2324" t="s">
        <v>558</v>
      </c>
      <c r="D2324" t="s">
        <v>2881</v>
      </c>
      <c r="E2324">
        <v>-2322</v>
      </c>
      <c r="F2324" t="s">
        <v>559</v>
      </c>
      <c r="G2324" t="s">
        <v>560</v>
      </c>
    </row>
    <row r="2325" spans="1:7">
      <c r="A2325" t="s">
        <v>182</v>
      </c>
      <c r="B2325" t="s">
        <v>557</v>
      </c>
      <c r="C2325" t="s">
        <v>558</v>
      </c>
      <c r="D2325" t="s">
        <v>2882</v>
      </c>
      <c r="E2325">
        <v>-2323</v>
      </c>
      <c r="F2325" t="s">
        <v>559</v>
      </c>
      <c r="G2325" t="s">
        <v>560</v>
      </c>
    </row>
    <row r="2326" spans="1:7">
      <c r="A2326" t="s">
        <v>182</v>
      </c>
      <c r="B2326" t="s">
        <v>557</v>
      </c>
      <c r="C2326" t="s">
        <v>558</v>
      </c>
      <c r="D2326" t="s">
        <v>2883</v>
      </c>
      <c r="E2326">
        <v>-2324</v>
      </c>
      <c r="F2326" t="s">
        <v>559</v>
      </c>
      <c r="G2326" t="s">
        <v>560</v>
      </c>
    </row>
    <row r="2327" spans="1:7">
      <c r="A2327" t="s">
        <v>182</v>
      </c>
      <c r="B2327" t="s">
        <v>557</v>
      </c>
      <c r="C2327" t="s">
        <v>558</v>
      </c>
      <c r="D2327" t="s">
        <v>2884</v>
      </c>
      <c r="E2327">
        <v>-2325</v>
      </c>
      <c r="F2327" t="s">
        <v>559</v>
      </c>
      <c r="G2327" t="s">
        <v>560</v>
      </c>
    </row>
    <row r="2328" spans="1:7">
      <c r="A2328" t="s">
        <v>182</v>
      </c>
      <c r="B2328" t="s">
        <v>557</v>
      </c>
      <c r="C2328" t="s">
        <v>558</v>
      </c>
      <c r="D2328" t="s">
        <v>2885</v>
      </c>
      <c r="E2328">
        <v>-2326</v>
      </c>
      <c r="F2328" t="s">
        <v>559</v>
      </c>
      <c r="G2328" t="s">
        <v>560</v>
      </c>
    </row>
    <row r="2329" spans="1:7">
      <c r="A2329" t="s">
        <v>182</v>
      </c>
      <c r="B2329" t="s">
        <v>557</v>
      </c>
      <c r="C2329" t="s">
        <v>558</v>
      </c>
      <c r="D2329" t="s">
        <v>2886</v>
      </c>
      <c r="E2329">
        <v>-2327</v>
      </c>
      <c r="F2329" t="s">
        <v>559</v>
      </c>
      <c r="G2329" t="s">
        <v>560</v>
      </c>
    </row>
    <row r="2330" spans="1:7">
      <c r="A2330" t="s">
        <v>182</v>
      </c>
      <c r="B2330" t="s">
        <v>557</v>
      </c>
      <c r="C2330" t="s">
        <v>558</v>
      </c>
      <c r="D2330" t="s">
        <v>2887</v>
      </c>
      <c r="E2330">
        <v>-2328</v>
      </c>
      <c r="F2330" t="s">
        <v>559</v>
      </c>
      <c r="G2330" t="s">
        <v>560</v>
      </c>
    </row>
    <row r="2331" spans="1:7">
      <c r="A2331" t="s">
        <v>182</v>
      </c>
      <c r="B2331" t="s">
        <v>557</v>
      </c>
      <c r="C2331" t="s">
        <v>558</v>
      </c>
      <c r="D2331" t="s">
        <v>2888</v>
      </c>
      <c r="E2331">
        <v>-2329</v>
      </c>
      <c r="F2331" t="s">
        <v>559</v>
      </c>
      <c r="G2331" t="s">
        <v>560</v>
      </c>
    </row>
    <row r="2332" spans="1:7">
      <c r="A2332" t="s">
        <v>182</v>
      </c>
      <c r="B2332" t="s">
        <v>557</v>
      </c>
      <c r="C2332" t="s">
        <v>558</v>
      </c>
      <c r="D2332" t="s">
        <v>2889</v>
      </c>
      <c r="E2332">
        <v>-2330</v>
      </c>
      <c r="F2332" t="s">
        <v>559</v>
      </c>
      <c r="G2332" t="s">
        <v>560</v>
      </c>
    </row>
    <row r="2333" spans="1:7">
      <c r="A2333" t="s">
        <v>182</v>
      </c>
      <c r="B2333" t="s">
        <v>557</v>
      </c>
      <c r="C2333" t="s">
        <v>558</v>
      </c>
      <c r="D2333" t="s">
        <v>2890</v>
      </c>
      <c r="E2333">
        <v>-2331</v>
      </c>
      <c r="F2333" t="s">
        <v>559</v>
      </c>
      <c r="G2333" t="s">
        <v>560</v>
      </c>
    </row>
    <row r="2334" spans="1:7">
      <c r="A2334" t="s">
        <v>182</v>
      </c>
      <c r="B2334" t="s">
        <v>557</v>
      </c>
      <c r="C2334" t="s">
        <v>558</v>
      </c>
      <c r="D2334" t="s">
        <v>2891</v>
      </c>
      <c r="E2334">
        <v>-2332</v>
      </c>
      <c r="F2334" t="s">
        <v>559</v>
      </c>
      <c r="G2334" t="s">
        <v>560</v>
      </c>
    </row>
    <row r="2335" spans="1:7">
      <c r="A2335" t="s">
        <v>182</v>
      </c>
      <c r="B2335" t="s">
        <v>557</v>
      </c>
      <c r="C2335" t="s">
        <v>558</v>
      </c>
      <c r="D2335" t="s">
        <v>2892</v>
      </c>
      <c r="E2335">
        <v>-2333</v>
      </c>
      <c r="F2335" t="s">
        <v>559</v>
      </c>
      <c r="G2335" t="s">
        <v>560</v>
      </c>
    </row>
    <row r="2336" spans="1:7">
      <c r="A2336" t="s">
        <v>182</v>
      </c>
      <c r="B2336" t="s">
        <v>557</v>
      </c>
      <c r="C2336" t="s">
        <v>558</v>
      </c>
      <c r="D2336" t="s">
        <v>2893</v>
      </c>
      <c r="E2336">
        <v>-2334</v>
      </c>
      <c r="F2336" t="s">
        <v>559</v>
      </c>
      <c r="G2336" t="s">
        <v>560</v>
      </c>
    </row>
    <row r="2337" spans="1:7">
      <c r="A2337" t="s">
        <v>182</v>
      </c>
      <c r="B2337" t="s">
        <v>557</v>
      </c>
      <c r="C2337" t="s">
        <v>558</v>
      </c>
      <c r="D2337" t="s">
        <v>2894</v>
      </c>
      <c r="E2337">
        <v>-2335</v>
      </c>
      <c r="F2337" t="s">
        <v>559</v>
      </c>
      <c r="G2337" t="s">
        <v>560</v>
      </c>
    </row>
    <row r="2338" spans="1:7">
      <c r="A2338" t="s">
        <v>182</v>
      </c>
      <c r="B2338" t="s">
        <v>557</v>
      </c>
      <c r="C2338" t="s">
        <v>558</v>
      </c>
      <c r="D2338" t="s">
        <v>2895</v>
      </c>
      <c r="E2338">
        <v>-2336</v>
      </c>
      <c r="F2338" t="s">
        <v>559</v>
      </c>
      <c r="G2338" t="s">
        <v>560</v>
      </c>
    </row>
    <row r="2339" spans="1:7">
      <c r="A2339" t="s">
        <v>182</v>
      </c>
      <c r="B2339" t="s">
        <v>557</v>
      </c>
      <c r="C2339" t="s">
        <v>558</v>
      </c>
      <c r="D2339" t="s">
        <v>2896</v>
      </c>
      <c r="E2339">
        <v>-2337</v>
      </c>
      <c r="F2339" t="s">
        <v>559</v>
      </c>
      <c r="G2339" t="s">
        <v>560</v>
      </c>
    </row>
    <row r="2340" spans="1:7">
      <c r="A2340" t="s">
        <v>182</v>
      </c>
      <c r="B2340" t="s">
        <v>557</v>
      </c>
      <c r="C2340" t="s">
        <v>558</v>
      </c>
      <c r="D2340" t="s">
        <v>2897</v>
      </c>
      <c r="E2340">
        <v>-2338</v>
      </c>
      <c r="F2340" t="s">
        <v>559</v>
      </c>
      <c r="G2340" t="s">
        <v>560</v>
      </c>
    </row>
    <row r="2341" spans="1:7">
      <c r="A2341" t="s">
        <v>182</v>
      </c>
      <c r="B2341" t="s">
        <v>557</v>
      </c>
      <c r="C2341" t="s">
        <v>558</v>
      </c>
      <c r="D2341" t="s">
        <v>2898</v>
      </c>
      <c r="E2341">
        <v>-2339</v>
      </c>
      <c r="F2341" t="s">
        <v>559</v>
      </c>
      <c r="G2341" t="s">
        <v>560</v>
      </c>
    </row>
    <row r="2342" spans="1:7">
      <c r="A2342" t="s">
        <v>182</v>
      </c>
      <c r="B2342" t="s">
        <v>557</v>
      </c>
      <c r="C2342" t="s">
        <v>558</v>
      </c>
      <c r="D2342" t="s">
        <v>2899</v>
      </c>
      <c r="E2342">
        <v>-2340</v>
      </c>
      <c r="F2342" t="s">
        <v>559</v>
      </c>
      <c r="G2342" t="s">
        <v>560</v>
      </c>
    </row>
    <row r="2343" spans="1:7">
      <c r="A2343" t="s">
        <v>182</v>
      </c>
      <c r="B2343" t="s">
        <v>557</v>
      </c>
      <c r="C2343" t="s">
        <v>558</v>
      </c>
      <c r="D2343" t="s">
        <v>2900</v>
      </c>
      <c r="E2343">
        <v>-2341</v>
      </c>
      <c r="F2343" t="s">
        <v>559</v>
      </c>
      <c r="G2343" t="s">
        <v>560</v>
      </c>
    </row>
    <row r="2344" spans="1:7">
      <c r="A2344" t="s">
        <v>182</v>
      </c>
      <c r="B2344" t="s">
        <v>557</v>
      </c>
      <c r="C2344" t="s">
        <v>558</v>
      </c>
      <c r="D2344" t="s">
        <v>2901</v>
      </c>
      <c r="E2344">
        <v>-2342</v>
      </c>
      <c r="F2344" t="s">
        <v>559</v>
      </c>
      <c r="G2344" t="s">
        <v>560</v>
      </c>
    </row>
    <row r="2345" spans="1:7">
      <c r="A2345" t="s">
        <v>182</v>
      </c>
      <c r="B2345" t="s">
        <v>557</v>
      </c>
      <c r="C2345" t="s">
        <v>558</v>
      </c>
      <c r="D2345" t="s">
        <v>2902</v>
      </c>
      <c r="E2345">
        <v>-2343</v>
      </c>
      <c r="F2345" t="s">
        <v>559</v>
      </c>
      <c r="G2345" t="s">
        <v>560</v>
      </c>
    </row>
    <row r="2346" spans="1:7">
      <c r="A2346" t="s">
        <v>182</v>
      </c>
      <c r="B2346" t="s">
        <v>557</v>
      </c>
      <c r="C2346" t="s">
        <v>558</v>
      </c>
      <c r="D2346" t="s">
        <v>2903</v>
      </c>
      <c r="E2346">
        <v>-2344</v>
      </c>
      <c r="F2346" t="s">
        <v>559</v>
      </c>
      <c r="G2346" t="s">
        <v>560</v>
      </c>
    </row>
    <row r="2347" spans="1:7">
      <c r="A2347" t="s">
        <v>182</v>
      </c>
      <c r="B2347" t="s">
        <v>557</v>
      </c>
      <c r="C2347" t="s">
        <v>558</v>
      </c>
      <c r="D2347" t="s">
        <v>2904</v>
      </c>
      <c r="E2347">
        <v>-2345</v>
      </c>
      <c r="F2347" t="s">
        <v>559</v>
      </c>
      <c r="G2347" t="s">
        <v>560</v>
      </c>
    </row>
    <row r="2348" spans="1:7">
      <c r="A2348" t="s">
        <v>182</v>
      </c>
      <c r="B2348" t="s">
        <v>557</v>
      </c>
      <c r="C2348" t="s">
        <v>558</v>
      </c>
      <c r="D2348" t="s">
        <v>2905</v>
      </c>
      <c r="E2348">
        <v>-2346</v>
      </c>
      <c r="F2348" t="s">
        <v>559</v>
      </c>
      <c r="G2348" t="s">
        <v>560</v>
      </c>
    </row>
    <row r="2349" spans="1:7">
      <c r="A2349" t="s">
        <v>182</v>
      </c>
      <c r="B2349" t="s">
        <v>557</v>
      </c>
      <c r="C2349" t="s">
        <v>558</v>
      </c>
      <c r="D2349" t="s">
        <v>2906</v>
      </c>
      <c r="E2349">
        <v>-2347</v>
      </c>
      <c r="F2349" t="s">
        <v>559</v>
      </c>
      <c r="G2349" t="s">
        <v>560</v>
      </c>
    </row>
    <row r="2350" spans="1:7">
      <c r="A2350" t="s">
        <v>182</v>
      </c>
      <c r="B2350" t="s">
        <v>557</v>
      </c>
      <c r="C2350" t="s">
        <v>558</v>
      </c>
      <c r="D2350" t="s">
        <v>2907</v>
      </c>
      <c r="E2350">
        <v>-2348</v>
      </c>
      <c r="F2350" t="s">
        <v>559</v>
      </c>
      <c r="G2350" t="s">
        <v>560</v>
      </c>
    </row>
    <row r="2351" spans="1:7">
      <c r="A2351" t="s">
        <v>182</v>
      </c>
      <c r="B2351" t="s">
        <v>557</v>
      </c>
      <c r="C2351" t="s">
        <v>558</v>
      </c>
      <c r="D2351" t="s">
        <v>2908</v>
      </c>
      <c r="E2351">
        <v>-2349</v>
      </c>
      <c r="F2351" t="s">
        <v>559</v>
      </c>
      <c r="G2351" t="s">
        <v>560</v>
      </c>
    </row>
    <row r="2352" spans="1:7">
      <c r="A2352" t="s">
        <v>182</v>
      </c>
      <c r="B2352" t="s">
        <v>557</v>
      </c>
      <c r="C2352" t="s">
        <v>558</v>
      </c>
      <c r="D2352" t="s">
        <v>2909</v>
      </c>
      <c r="E2352">
        <v>-2350</v>
      </c>
      <c r="F2352" t="s">
        <v>559</v>
      </c>
      <c r="G2352" t="s">
        <v>560</v>
      </c>
    </row>
    <row r="2353" spans="1:7">
      <c r="A2353" t="s">
        <v>182</v>
      </c>
      <c r="B2353" t="s">
        <v>557</v>
      </c>
      <c r="C2353" t="s">
        <v>558</v>
      </c>
      <c r="D2353" t="s">
        <v>2910</v>
      </c>
      <c r="E2353">
        <v>-2351</v>
      </c>
      <c r="F2353" t="s">
        <v>559</v>
      </c>
      <c r="G2353" t="s">
        <v>560</v>
      </c>
    </row>
    <row r="2354" spans="1:7">
      <c r="A2354" t="s">
        <v>182</v>
      </c>
      <c r="B2354" t="s">
        <v>557</v>
      </c>
      <c r="C2354" t="s">
        <v>558</v>
      </c>
      <c r="D2354" t="s">
        <v>2911</v>
      </c>
      <c r="E2354">
        <v>-2352</v>
      </c>
      <c r="F2354" t="s">
        <v>559</v>
      </c>
      <c r="G2354" t="s">
        <v>560</v>
      </c>
    </row>
    <row r="2355" spans="1:7">
      <c r="A2355" t="s">
        <v>182</v>
      </c>
      <c r="B2355" t="s">
        <v>557</v>
      </c>
      <c r="C2355" t="s">
        <v>558</v>
      </c>
      <c r="D2355" t="s">
        <v>2912</v>
      </c>
      <c r="E2355">
        <v>-2353</v>
      </c>
      <c r="F2355" t="s">
        <v>559</v>
      </c>
      <c r="G2355" t="s">
        <v>560</v>
      </c>
    </row>
    <row r="2356" spans="1:7">
      <c r="A2356" t="s">
        <v>182</v>
      </c>
      <c r="B2356" t="s">
        <v>557</v>
      </c>
      <c r="C2356" t="s">
        <v>558</v>
      </c>
      <c r="D2356" t="s">
        <v>2913</v>
      </c>
      <c r="E2356">
        <v>-2354</v>
      </c>
      <c r="F2356" t="s">
        <v>559</v>
      </c>
      <c r="G2356" t="s">
        <v>560</v>
      </c>
    </row>
    <row r="2357" spans="1:7">
      <c r="A2357" t="s">
        <v>182</v>
      </c>
      <c r="B2357" t="s">
        <v>557</v>
      </c>
      <c r="C2357" t="s">
        <v>558</v>
      </c>
      <c r="D2357" t="s">
        <v>2914</v>
      </c>
      <c r="E2357">
        <v>-2355</v>
      </c>
      <c r="F2357" t="s">
        <v>559</v>
      </c>
      <c r="G2357" t="s">
        <v>560</v>
      </c>
    </row>
    <row r="2358" spans="1:7">
      <c r="A2358" t="s">
        <v>182</v>
      </c>
      <c r="B2358" t="s">
        <v>557</v>
      </c>
      <c r="C2358" t="s">
        <v>558</v>
      </c>
      <c r="D2358" t="s">
        <v>2915</v>
      </c>
      <c r="E2358">
        <v>-2356</v>
      </c>
      <c r="F2358" t="s">
        <v>559</v>
      </c>
      <c r="G2358" t="s">
        <v>560</v>
      </c>
    </row>
    <row r="2359" spans="1:7">
      <c r="A2359" t="s">
        <v>182</v>
      </c>
      <c r="B2359" t="s">
        <v>557</v>
      </c>
      <c r="C2359" t="s">
        <v>558</v>
      </c>
      <c r="D2359" t="s">
        <v>2916</v>
      </c>
      <c r="E2359">
        <v>-2357</v>
      </c>
      <c r="F2359" t="s">
        <v>559</v>
      </c>
      <c r="G2359" t="s">
        <v>560</v>
      </c>
    </row>
    <row r="2360" spans="1:7">
      <c r="A2360" t="s">
        <v>182</v>
      </c>
      <c r="B2360" t="s">
        <v>557</v>
      </c>
      <c r="C2360" t="s">
        <v>558</v>
      </c>
      <c r="D2360" t="s">
        <v>2917</v>
      </c>
      <c r="E2360">
        <v>-2358</v>
      </c>
      <c r="F2360" t="s">
        <v>559</v>
      </c>
      <c r="G2360" t="s">
        <v>560</v>
      </c>
    </row>
    <row r="2361" spans="1:7">
      <c r="A2361" t="s">
        <v>182</v>
      </c>
      <c r="B2361" t="s">
        <v>557</v>
      </c>
      <c r="C2361" t="s">
        <v>558</v>
      </c>
      <c r="D2361" t="s">
        <v>2918</v>
      </c>
      <c r="E2361">
        <v>-2359</v>
      </c>
      <c r="F2361" t="s">
        <v>559</v>
      </c>
      <c r="G2361" t="s">
        <v>560</v>
      </c>
    </row>
    <row r="2362" spans="1:7">
      <c r="A2362" t="s">
        <v>182</v>
      </c>
      <c r="B2362" t="s">
        <v>557</v>
      </c>
      <c r="C2362" t="s">
        <v>558</v>
      </c>
      <c r="D2362" t="s">
        <v>2919</v>
      </c>
      <c r="E2362">
        <v>-2360</v>
      </c>
      <c r="F2362" t="s">
        <v>559</v>
      </c>
      <c r="G2362" t="s">
        <v>560</v>
      </c>
    </row>
    <row r="2363" spans="1:7">
      <c r="A2363" t="s">
        <v>182</v>
      </c>
      <c r="B2363" t="s">
        <v>557</v>
      </c>
      <c r="C2363" t="s">
        <v>558</v>
      </c>
      <c r="D2363" t="s">
        <v>2920</v>
      </c>
      <c r="E2363">
        <v>-2361</v>
      </c>
      <c r="F2363" t="s">
        <v>559</v>
      </c>
      <c r="G2363" t="s">
        <v>560</v>
      </c>
    </row>
    <row r="2364" spans="1:7">
      <c r="A2364" t="s">
        <v>182</v>
      </c>
      <c r="B2364" t="s">
        <v>557</v>
      </c>
      <c r="C2364" t="s">
        <v>558</v>
      </c>
      <c r="D2364" t="s">
        <v>2921</v>
      </c>
      <c r="E2364">
        <v>-2362</v>
      </c>
      <c r="F2364" t="s">
        <v>559</v>
      </c>
      <c r="G2364" t="s">
        <v>560</v>
      </c>
    </row>
    <row r="2365" spans="1:7">
      <c r="A2365" t="s">
        <v>182</v>
      </c>
      <c r="B2365" t="s">
        <v>557</v>
      </c>
      <c r="C2365" t="s">
        <v>558</v>
      </c>
      <c r="D2365" t="s">
        <v>2922</v>
      </c>
      <c r="E2365">
        <v>-2363</v>
      </c>
      <c r="F2365" t="s">
        <v>559</v>
      </c>
      <c r="G2365" t="s">
        <v>560</v>
      </c>
    </row>
    <row r="2366" spans="1:7">
      <c r="A2366" t="s">
        <v>182</v>
      </c>
      <c r="B2366" t="s">
        <v>557</v>
      </c>
      <c r="C2366" t="s">
        <v>558</v>
      </c>
      <c r="D2366" t="s">
        <v>2923</v>
      </c>
      <c r="E2366">
        <v>-2364</v>
      </c>
      <c r="F2366" t="s">
        <v>559</v>
      </c>
      <c r="G2366" t="s">
        <v>560</v>
      </c>
    </row>
    <row r="2367" spans="1:7">
      <c r="A2367" t="s">
        <v>182</v>
      </c>
      <c r="B2367" t="s">
        <v>557</v>
      </c>
      <c r="C2367" t="s">
        <v>558</v>
      </c>
      <c r="D2367" t="s">
        <v>2924</v>
      </c>
      <c r="E2367">
        <v>-2365</v>
      </c>
      <c r="F2367" t="s">
        <v>559</v>
      </c>
      <c r="G2367" t="s">
        <v>560</v>
      </c>
    </row>
    <row r="2368" spans="1:7">
      <c r="A2368" t="s">
        <v>182</v>
      </c>
      <c r="B2368" t="s">
        <v>557</v>
      </c>
      <c r="C2368" t="s">
        <v>558</v>
      </c>
      <c r="D2368" t="s">
        <v>2925</v>
      </c>
      <c r="E2368">
        <v>-2366</v>
      </c>
      <c r="F2368" t="s">
        <v>559</v>
      </c>
      <c r="G2368" t="s">
        <v>560</v>
      </c>
    </row>
    <row r="2369" spans="1:7">
      <c r="A2369" t="s">
        <v>182</v>
      </c>
      <c r="B2369" t="s">
        <v>557</v>
      </c>
      <c r="C2369" t="s">
        <v>558</v>
      </c>
      <c r="D2369" t="s">
        <v>2926</v>
      </c>
      <c r="E2369">
        <v>-2367</v>
      </c>
      <c r="F2369" t="s">
        <v>559</v>
      </c>
      <c r="G2369" t="s">
        <v>560</v>
      </c>
    </row>
    <row r="2370" spans="1:7">
      <c r="A2370" t="s">
        <v>182</v>
      </c>
      <c r="B2370" t="s">
        <v>557</v>
      </c>
      <c r="C2370" t="s">
        <v>558</v>
      </c>
      <c r="D2370" t="s">
        <v>2927</v>
      </c>
      <c r="E2370">
        <v>-2368</v>
      </c>
      <c r="F2370" t="s">
        <v>559</v>
      </c>
      <c r="G2370" t="s">
        <v>560</v>
      </c>
    </row>
    <row r="2371" spans="1:7">
      <c r="A2371" t="s">
        <v>182</v>
      </c>
      <c r="B2371" t="s">
        <v>557</v>
      </c>
      <c r="C2371" t="s">
        <v>558</v>
      </c>
      <c r="D2371" t="s">
        <v>2928</v>
      </c>
      <c r="E2371">
        <v>-2369</v>
      </c>
      <c r="F2371" t="s">
        <v>559</v>
      </c>
      <c r="G2371" t="s">
        <v>560</v>
      </c>
    </row>
    <row r="2372" spans="1:7">
      <c r="A2372" t="s">
        <v>182</v>
      </c>
      <c r="B2372" t="s">
        <v>557</v>
      </c>
      <c r="C2372" t="s">
        <v>558</v>
      </c>
      <c r="D2372" t="s">
        <v>2929</v>
      </c>
      <c r="E2372">
        <v>-2370</v>
      </c>
      <c r="F2372" t="s">
        <v>559</v>
      </c>
      <c r="G2372" t="s">
        <v>560</v>
      </c>
    </row>
    <row r="2373" spans="1:7">
      <c r="A2373" t="s">
        <v>182</v>
      </c>
      <c r="B2373" t="s">
        <v>557</v>
      </c>
      <c r="C2373" t="s">
        <v>558</v>
      </c>
      <c r="D2373" t="s">
        <v>2930</v>
      </c>
      <c r="E2373">
        <v>-2371</v>
      </c>
      <c r="F2373" t="s">
        <v>559</v>
      </c>
      <c r="G2373" t="s">
        <v>560</v>
      </c>
    </row>
    <row r="2374" spans="1:7">
      <c r="A2374" t="s">
        <v>182</v>
      </c>
      <c r="B2374" t="s">
        <v>557</v>
      </c>
      <c r="C2374" t="s">
        <v>558</v>
      </c>
      <c r="D2374" t="s">
        <v>2931</v>
      </c>
      <c r="E2374">
        <v>-2372</v>
      </c>
      <c r="F2374" t="s">
        <v>559</v>
      </c>
      <c r="G2374" t="s">
        <v>560</v>
      </c>
    </row>
    <row r="2375" spans="1:7">
      <c r="A2375" t="s">
        <v>182</v>
      </c>
      <c r="B2375" t="s">
        <v>557</v>
      </c>
      <c r="C2375" t="s">
        <v>558</v>
      </c>
      <c r="D2375" t="s">
        <v>2932</v>
      </c>
      <c r="E2375">
        <v>-2373</v>
      </c>
      <c r="F2375" t="s">
        <v>559</v>
      </c>
      <c r="G2375" t="s">
        <v>560</v>
      </c>
    </row>
    <row r="2376" spans="1:7">
      <c r="A2376" t="s">
        <v>182</v>
      </c>
      <c r="B2376" t="s">
        <v>557</v>
      </c>
      <c r="C2376" t="s">
        <v>558</v>
      </c>
      <c r="D2376" t="s">
        <v>2933</v>
      </c>
      <c r="E2376">
        <v>-2374</v>
      </c>
      <c r="F2376" t="s">
        <v>559</v>
      </c>
      <c r="G2376" t="s">
        <v>560</v>
      </c>
    </row>
    <row r="2377" spans="1:7">
      <c r="A2377" t="s">
        <v>182</v>
      </c>
      <c r="B2377" t="s">
        <v>557</v>
      </c>
      <c r="C2377" t="s">
        <v>558</v>
      </c>
      <c r="D2377" t="s">
        <v>2934</v>
      </c>
      <c r="E2377">
        <v>-2375</v>
      </c>
      <c r="F2377" t="s">
        <v>559</v>
      </c>
      <c r="G2377" t="s">
        <v>560</v>
      </c>
    </row>
    <row r="2378" spans="1:7">
      <c r="A2378" t="s">
        <v>182</v>
      </c>
      <c r="B2378" t="s">
        <v>557</v>
      </c>
      <c r="C2378" t="s">
        <v>558</v>
      </c>
      <c r="D2378" t="s">
        <v>2935</v>
      </c>
      <c r="E2378">
        <v>-2376</v>
      </c>
      <c r="F2378" t="s">
        <v>559</v>
      </c>
      <c r="G2378" t="s">
        <v>560</v>
      </c>
    </row>
    <row r="2379" spans="1:7">
      <c r="A2379" t="s">
        <v>182</v>
      </c>
      <c r="B2379" t="s">
        <v>557</v>
      </c>
      <c r="C2379" t="s">
        <v>558</v>
      </c>
      <c r="D2379" t="s">
        <v>2936</v>
      </c>
      <c r="E2379">
        <v>-2377</v>
      </c>
      <c r="F2379" t="s">
        <v>559</v>
      </c>
      <c r="G2379" t="s">
        <v>560</v>
      </c>
    </row>
    <row r="2380" spans="1:7">
      <c r="A2380" t="s">
        <v>182</v>
      </c>
      <c r="B2380" t="s">
        <v>557</v>
      </c>
      <c r="C2380" t="s">
        <v>558</v>
      </c>
      <c r="D2380" t="s">
        <v>2937</v>
      </c>
      <c r="E2380">
        <v>-2378</v>
      </c>
      <c r="F2380" t="s">
        <v>559</v>
      </c>
      <c r="G2380" t="s">
        <v>560</v>
      </c>
    </row>
    <row r="2381" spans="1:7">
      <c r="A2381" t="s">
        <v>182</v>
      </c>
      <c r="B2381" t="s">
        <v>557</v>
      </c>
      <c r="C2381" t="s">
        <v>558</v>
      </c>
      <c r="D2381" t="s">
        <v>2938</v>
      </c>
      <c r="E2381">
        <v>-2379</v>
      </c>
      <c r="F2381" t="s">
        <v>559</v>
      </c>
      <c r="G2381" t="s">
        <v>560</v>
      </c>
    </row>
    <row r="2382" spans="1:7">
      <c r="A2382" t="s">
        <v>182</v>
      </c>
      <c r="B2382" t="s">
        <v>557</v>
      </c>
      <c r="C2382" t="s">
        <v>558</v>
      </c>
      <c r="D2382" t="s">
        <v>2939</v>
      </c>
      <c r="E2382">
        <v>-2380</v>
      </c>
      <c r="F2382" t="s">
        <v>559</v>
      </c>
      <c r="G2382" t="s">
        <v>560</v>
      </c>
    </row>
    <row r="2383" spans="1:7">
      <c r="A2383" t="s">
        <v>182</v>
      </c>
      <c r="B2383" t="s">
        <v>557</v>
      </c>
      <c r="C2383" t="s">
        <v>558</v>
      </c>
      <c r="D2383" t="s">
        <v>2940</v>
      </c>
      <c r="E2383">
        <v>-2381</v>
      </c>
      <c r="F2383" t="s">
        <v>559</v>
      </c>
      <c r="G2383" t="s">
        <v>560</v>
      </c>
    </row>
    <row r="2384" spans="1:7">
      <c r="A2384" t="s">
        <v>182</v>
      </c>
      <c r="B2384" t="s">
        <v>557</v>
      </c>
      <c r="C2384" t="s">
        <v>558</v>
      </c>
      <c r="D2384" t="s">
        <v>2941</v>
      </c>
      <c r="E2384">
        <v>-2382</v>
      </c>
      <c r="F2384" t="s">
        <v>559</v>
      </c>
      <c r="G2384" t="s">
        <v>560</v>
      </c>
    </row>
    <row r="2385" spans="1:7">
      <c r="A2385" t="s">
        <v>182</v>
      </c>
      <c r="B2385" t="s">
        <v>557</v>
      </c>
      <c r="C2385" t="s">
        <v>558</v>
      </c>
      <c r="D2385" t="s">
        <v>2942</v>
      </c>
      <c r="E2385">
        <v>-2383</v>
      </c>
      <c r="F2385" t="s">
        <v>559</v>
      </c>
      <c r="G2385" t="s">
        <v>560</v>
      </c>
    </row>
    <row r="2386" spans="1:7">
      <c r="A2386" t="s">
        <v>182</v>
      </c>
      <c r="B2386" t="s">
        <v>557</v>
      </c>
      <c r="C2386" t="s">
        <v>558</v>
      </c>
      <c r="D2386" t="s">
        <v>2943</v>
      </c>
      <c r="E2386">
        <v>-2384</v>
      </c>
      <c r="F2386" t="s">
        <v>559</v>
      </c>
      <c r="G2386" t="s">
        <v>560</v>
      </c>
    </row>
    <row r="2387" spans="1:7">
      <c r="A2387" t="s">
        <v>182</v>
      </c>
      <c r="B2387" t="s">
        <v>557</v>
      </c>
      <c r="C2387" t="s">
        <v>558</v>
      </c>
      <c r="D2387" t="s">
        <v>2944</v>
      </c>
      <c r="E2387">
        <v>-2385</v>
      </c>
      <c r="F2387" t="s">
        <v>559</v>
      </c>
      <c r="G2387" t="s">
        <v>560</v>
      </c>
    </row>
    <row r="2388" spans="1:7">
      <c r="A2388" t="s">
        <v>182</v>
      </c>
      <c r="B2388" t="s">
        <v>557</v>
      </c>
      <c r="C2388" t="s">
        <v>558</v>
      </c>
      <c r="D2388" t="s">
        <v>2945</v>
      </c>
      <c r="E2388">
        <v>-2386</v>
      </c>
      <c r="F2388" t="s">
        <v>559</v>
      </c>
      <c r="G2388" t="s">
        <v>560</v>
      </c>
    </row>
    <row r="2389" spans="1:7">
      <c r="A2389" t="s">
        <v>182</v>
      </c>
      <c r="B2389" t="s">
        <v>557</v>
      </c>
      <c r="C2389" t="s">
        <v>558</v>
      </c>
      <c r="D2389" t="s">
        <v>2946</v>
      </c>
      <c r="E2389">
        <v>-2387</v>
      </c>
      <c r="F2389" t="s">
        <v>559</v>
      </c>
      <c r="G2389" t="s">
        <v>560</v>
      </c>
    </row>
    <row r="2390" spans="1:7">
      <c r="A2390" t="s">
        <v>182</v>
      </c>
      <c r="B2390" t="s">
        <v>557</v>
      </c>
      <c r="C2390" t="s">
        <v>558</v>
      </c>
      <c r="D2390" t="s">
        <v>2947</v>
      </c>
      <c r="E2390">
        <v>-2388</v>
      </c>
      <c r="F2390" t="s">
        <v>559</v>
      </c>
      <c r="G2390" t="s">
        <v>560</v>
      </c>
    </row>
    <row r="2391" spans="1:7">
      <c r="A2391" t="s">
        <v>182</v>
      </c>
      <c r="B2391" t="s">
        <v>557</v>
      </c>
      <c r="C2391" t="s">
        <v>558</v>
      </c>
      <c r="D2391" t="s">
        <v>2948</v>
      </c>
      <c r="E2391">
        <v>-2389</v>
      </c>
      <c r="F2391" t="s">
        <v>559</v>
      </c>
      <c r="G2391" t="s">
        <v>560</v>
      </c>
    </row>
    <row r="2392" spans="1:7">
      <c r="A2392" t="s">
        <v>182</v>
      </c>
      <c r="B2392" t="s">
        <v>557</v>
      </c>
      <c r="C2392" t="s">
        <v>558</v>
      </c>
      <c r="D2392" t="s">
        <v>2949</v>
      </c>
      <c r="E2392">
        <v>-2390</v>
      </c>
      <c r="F2392" t="s">
        <v>559</v>
      </c>
      <c r="G2392" t="s">
        <v>560</v>
      </c>
    </row>
    <row r="2393" spans="1:7">
      <c r="A2393" t="s">
        <v>182</v>
      </c>
      <c r="B2393" t="s">
        <v>557</v>
      </c>
      <c r="C2393" t="s">
        <v>558</v>
      </c>
      <c r="D2393" t="s">
        <v>2950</v>
      </c>
      <c r="E2393">
        <v>-2391</v>
      </c>
      <c r="F2393" t="s">
        <v>559</v>
      </c>
      <c r="G2393" t="s">
        <v>560</v>
      </c>
    </row>
    <row r="2394" spans="1:7">
      <c r="A2394" t="s">
        <v>182</v>
      </c>
      <c r="B2394" t="s">
        <v>557</v>
      </c>
      <c r="C2394" t="s">
        <v>558</v>
      </c>
      <c r="D2394" t="s">
        <v>2951</v>
      </c>
      <c r="E2394">
        <v>-2392</v>
      </c>
      <c r="F2394" t="s">
        <v>559</v>
      </c>
      <c r="G2394" t="s">
        <v>560</v>
      </c>
    </row>
    <row r="2395" spans="1:7">
      <c r="A2395" t="s">
        <v>182</v>
      </c>
      <c r="B2395" t="s">
        <v>557</v>
      </c>
      <c r="C2395" t="s">
        <v>558</v>
      </c>
      <c r="D2395" t="s">
        <v>2952</v>
      </c>
      <c r="E2395">
        <v>-2393</v>
      </c>
      <c r="F2395" t="s">
        <v>559</v>
      </c>
      <c r="G2395" t="s">
        <v>560</v>
      </c>
    </row>
    <row r="2396" spans="1:7">
      <c r="A2396" t="s">
        <v>182</v>
      </c>
      <c r="B2396" t="s">
        <v>557</v>
      </c>
      <c r="C2396" t="s">
        <v>558</v>
      </c>
      <c r="D2396" t="s">
        <v>2953</v>
      </c>
      <c r="E2396">
        <v>-2394</v>
      </c>
      <c r="F2396" t="s">
        <v>559</v>
      </c>
      <c r="G2396" t="s">
        <v>560</v>
      </c>
    </row>
    <row r="2397" spans="1:7">
      <c r="A2397" t="s">
        <v>182</v>
      </c>
      <c r="B2397" t="s">
        <v>557</v>
      </c>
      <c r="C2397" t="s">
        <v>558</v>
      </c>
      <c r="D2397" t="s">
        <v>2954</v>
      </c>
      <c r="E2397">
        <v>-2395</v>
      </c>
      <c r="F2397" t="s">
        <v>559</v>
      </c>
      <c r="G2397" t="s">
        <v>560</v>
      </c>
    </row>
    <row r="2398" spans="1:7">
      <c r="A2398" t="s">
        <v>182</v>
      </c>
      <c r="B2398" t="s">
        <v>557</v>
      </c>
      <c r="C2398" t="s">
        <v>558</v>
      </c>
      <c r="D2398" t="s">
        <v>2955</v>
      </c>
      <c r="E2398">
        <v>-2396</v>
      </c>
      <c r="F2398" t="s">
        <v>559</v>
      </c>
      <c r="G2398" t="s">
        <v>560</v>
      </c>
    </row>
    <row r="2399" spans="1:7">
      <c r="A2399" t="s">
        <v>182</v>
      </c>
      <c r="B2399" t="s">
        <v>557</v>
      </c>
      <c r="C2399" t="s">
        <v>558</v>
      </c>
      <c r="D2399" t="s">
        <v>2956</v>
      </c>
      <c r="E2399">
        <v>-2397</v>
      </c>
      <c r="F2399" t="s">
        <v>559</v>
      </c>
      <c r="G2399" t="s">
        <v>560</v>
      </c>
    </row>
    <row r="2400" spans="1:7">
      <c r="A2400" t="s">
        <v>182</v>
      </c>
      <c r="B2400" t="s">
        <v>557</v>
      </c>
      <c r="C2400" t="s">
        <v>558</v>
      </c>
      <c r="D2400" t="s">
        <v>2957</v>
      </c>
      <c r="E2400">
        <v>-2398</v>
      </c>
      <c r="F2400" t="s">
        <v>559</v>
      </c>
      <c r="G2400" t="s">
        <v>560</v>
      </c>
    </row>
    <row r="2401" spans="1:7">
      <c r="A2401" t="s">
        <v>182</v>
      </c>
      <c r="B2401" t="s">
        <v>557</v>
      </c>
      <c r="C2401" t="s">
        <v>558</v>
      </c>
      <c r="D2401" t="s">
        <v>2958</v>
      </c>
      <c r="E2401">
        <v>-2399</v>
      </c>
      <c r="F2401" t="s">
        <v>559</v>
      </c>
      <c r="G2401" t="s">
        <v>560</v>
      </c>
    </row>
    <row r="2402" spans="1:7">
      <c r="A2402" t="s">
        <v>182</v>
      </c>
      <c r="B2402" t="s">
        <v>557</v>
      </c>
      <c r="C2402" t="s">
        <v>558</v>
      </c>
      <c r="D2402" t="s">
        <v>2959</v>
      </c>
      <c r="E2402">
        <v>-2400</v>
      </c>
      <c r="F2402" t="s">
        <v>559</v>
      </c>
      <c r="G2402" t="s">
        <v>560</v>
      </c>
    </row>
    <row r="2403" spans="1:7">
      <c r="A2403" t="s">
        <v>182</v>
      </c>
      <c r="B2403" t="s">
        <v>557</v>
      </c>
      <c r="C2403" t="s">
        <v>558</v>
      </c>
      <c r="D2403" t="s">
        <v>2960</v>
      </c>
      <c r="E2403">
        <v>-2401</v>
      </c>
      <c r="F2403" t="s">
        <v>559</v>
      </c>
      <c r="G2403" t="s">
        <v>560</v>
      </c>
    </row>
    <row r="2404" spans="1:7">
      <c r="A2404" t="s">
        <v>182</v>
      </c>
      <c r="B2404" t="s">
        <v>557</v>
      </c>
      <c r="C2404" t="s">
        <v>558</v>
      </c>
      <c r="D2404" t="s">
        <v>2961</v>
      </c>
      <c r="E2404">
        <v>-2402</v>
      </c>
      <c r="F2404" t="s">
        <v>559</v>
      </c>
      <c r="G2404" t="s">
        <v>560</v>
      </c>
    </row>
    <row r="2405" spans="1:7">
      <c r="A2405" t="s">
        <v>182</v>
      </c>
      <c r="B2405" t="s">
        <v>557</v>
      </c>
      <c r="C2405" t="s">
        <v>558</v>
      </c>
      <c r="D2405" t="s">
        <v>2962</v>
      </c>
      <c r="E2405">
        <v>-2403</v>
      </c>
      <c r="F2405" t="s">
        <v>559</v>
      </c>
      <c r="G2405" t="s">
        <v>560</v>
      </c>
    </row>
    <row r="2406" spans="1:7">
      <c r="A2406" t="s">
        <v>182</v>
      </c>
      <c r="B2406" t="s">
        <v>557</v>
      </c>
      <c r="C2406" t="s">
        <v>558</v>
      </c>
      <c r="D2406" t="s">
        <v>2963</v>
      </c>
      <c r="E2406">
        <v>-2404</v>
      </c>
      <c r="F2406" t="s">
        <v>559</v>
      </c>
      <c r="G2406" t="s">
        <v>560</v>
      </c>
    </row>
    <row r="2407" spans="1:7">
      <c r="A2407" t="s">
        <v>182</v>
      </c>
      <c r="B2407" t="s">
        <v>557</v>
      </c>
      <c r="C2407" t="s">
        <v>558</v>
      </c>
      <c r="D2407" t="s">
        <v>2964</v>
      </c>
      <c r="E2407">
        <v>-2405</v>
      </c>
      <c r="F2407" t="s">
        <v>559</v>
      </c>
      <c r="G2407" t="s">
        <v>560</v>
      </c>
    </row>
    <row r="2408" spans="1:7">
      <c r="A2408" t="s">
        <v>182</v>
      </c>
      <c r="B2408" t="s">
        <v>557</v>
      </c>
      <c r="C2408" t="s">
        <v>558</v>
      </c>
      <c r="D2408" t="s">
        <v>2965</v>
      </c>
      <c r="E2408">
        <v>-2406</v>
      </c>
      <c r="F2408" t="s">
        <v>559</v>
      </c>
      <c r="G2408" t="s">
        <v>560</v>
      </c>
    </row>
    <row r="2409" spans="1:7">
      <c r="A2409" t="s">
        <v>182</v>
      </c>
      <c r="B2409" t="s">
        <v>557</v>
      </c>
      <c r="C2409" t="s">
        <v>558</v>
      </c>
      <c r="D2409" t="s">
        <v>2966</v>
      </c>
      <c r="E2409">
        <v>-2407</v>
      </c>
      <c r="F2409" t="s">
        <v>559</v>
      </c>
      <c r="G2409" t="s">
        <v>560</v>
      </c>
    </row>
    <row r="2410" spans="1:7">
      <c r="A2410" t="s">
        <v>182</v>
      </c>
      <c r="B2410" t="s">
        <v>557</v>
      </c>
      <c r="C2410" t="s">
        <v>558</v>
      </c>
      <c r="D2410" t="s">
        <v>2967</v>
      </c>
      <c r="E2410">
        <v>-2408</v>
      </c>
      <c r="F2410" t="s">
        <v>559</v>
      </c>
      <c r="G2410" t="s">
        <v>560</v>
      </c>
    </row>
    <row r="2411" spans="1:7">
      <c r="A2411" t="s">
        <v>182</v>
      </c>
      <c r="B2411" t="s">
        <v>557</v>
      </c>
      <c r="C2411" t="s">
        <v>558</v>
      </c>
      <c r="D2411" t="s">
        <v>2968</v>
      </c>
      <c r="E2411">
        <v>-2409</v>
      </c>
      <c r="F2411" t="s">
        <v>559</v>
      </c>
      <c r="G2411" t="s">
        <v>560</v>
      </c>
    </row>
    <row r="2412" spans="1:7">
      <c r="A2412" t="s">
        <v>182</v>
      </c>
      <c r="B2412" t="s">
        <v>557</v>
      </c>
      <c r="C2412" t="s">
        <v>558</v>
      </c>
      <c r="D2412" t="s">
        <v>2969</v>
      </c>
      <c r="E2412">
        <v>-2410</v>
      </c>
      <c r="F2412" t="s">
        <v>559</v>
      </c>
      <c r="G2412" t="s">
        <v>560</v>
      </c>
    </row>
    <row r="2413" spans="1:7">
      <c r="A2413" t="s">
        <v>182</v>
      </c>
      <c r="B2413" t="s">
        <v>557</v>
      </c>
      <c r="C2413" t="s">
        <v>558</v>
      </c>
      <c r="D2413" t="s">
        <v>2970</v>
      </c>
      <c r="E2413">
        <v>-2411</v>
      </c>
      <c r="F2413" t="s">
        <v>559</v>
      </c>
      <c r="G2413" t="s">
        <v>560</v>
      </c>
    </row>
    <row r="2414" spans="1:7">
      <c r="A2414" t="s">
        <v>182</v>
      </c>
      <c r="B2414" t="s">
        <v>557</v>
      </c>
      <c r="C2414" t="s">
        <v>558</v>
      </c>
      <c r="D2414" t="s">
        <v>2971</v>
      </c>
      <c r="E2414">
        <v>-2412</v>
      </c>
      <c r="F2414" t="s">
        <v>559</v>
      </c>
      <c r="G2414" t="s">
        <v>560</v>
      </c>
    </row>
    <row r="2415" spans="1:7">
      <c r="A2415" t="s">
        <v>182</v>
      </c>
      <c r="B2415" t="s">
        <v>557</v>
      </c>
      <c r="C2415" t="s">
        <v>558</v>
      </c>
      <c r="D2415" t="s">
        <v>2972</v>
      </c>
      <c r="E2415">
        <v>-2413</v>
      </c>
      <c r="F2415" t="s">
        <v>559</v>
      </c>
      <c r="G2415" t="s">
        <v>560</v>
      </c>
    </row>
    <row r="2416" spans="1:7">
      <c r="A2416" t="s">
        <v>182</v>
      </c>
      <c r="B2416" t="s">
        <v>557</v>
      </c>
      <c r="C2416" t="s">
        <v>558</v>
      </c>
      <c r="D2416" t="s">
        <v>2973</v>
      </c>
      <c r="E2416">
        <v>-2414</v>
      </c>
      <c r="F2416" t="s">
        <v>559</v>
      </c>
      <c r="G2416" t="s">
        <v>560</v>
      </c>
    </row>
    <row r="2417" spans="1:7">
      <c r="A2417" t="s">
        <v>182</v>
      </c>
      <c r="B2417" t="s">
        <v>557</v>
      </c>
      <c r="C2417" t="s">
        <v>558</v>
      </c>
      <c r="D2417" t="s">
        <v>2974</v>
      </c>
      <c r="E2417">
        <v>-2415</v>
      </c>
      <c r="F2417" t="s">
        <v>559</v>
      </c>
      <c r="G2417" t="s">
        <v>560</v>
      </c>
    </row>
    <row r="2418" spans="1:7">
      <c r="A2418" t="s">
        <v>182</v>
      </c>
      <c r="B2418" t="s">
        <v>557</v>
      </c>
      <c r="C2418" t="s">
        <v>558</v>
      </c>
      <c r="D2418" t="s">
        <v>2975</v>
      </c>
      <c r="E2418">
        <v>-2416</v>
      </c>
      <c r="F2418" t="s">
        <v>559</v>
      </c>
      <c r="G2418" t="s">
        <v>560</v>
      </c>
    </row>
    <row r="2419" spans="1:7">
      <c r="A2419" t="s">
        <v>182</v>
      </c>
      <c r="B2419" t="s">
        <v>557</v>
      </c>
      <c r="C2419" t="s">
        <v>558</v>
      </c>
      <c r="D2419" t="s">
        <v>2976</v>
      </c>
      <c r="E2419">
        <v>-2417</v>
      </c>
      <c r="F2419" t="s">
        <v>559</v>
      </c>
      <c r="G2419" t="s">
        <v>560</v>
      </c>
    </row>
    <row r="2420" spans="1:7">
      <c r="A2420" t="s">
        <v>182</v>
      </c>
      <c r="B2420" t="s">
        <v>557</v>
      </c>
      <c r="C2420" t="s">
        <v>558</v>
      </c>
      <c r="D2420" t="s">
        <v>2977</v>
      </c>
      <c r="E2420">
        <v>-2418</v>
      </c>
      <c r="F2420" t="s">
        <v>559</v>
      </c>
      <c r="G2420" t="s">
        <v>560</v>
      </c>
    </row>
    <row r="2421" spans="1:7">
      <c r="A2421" t="s">
        <v>182</v>
      </c>
      <c r="B2421" t="s">
        <v>557</v>
      </c>
      <c r="C2421" t="s">
        <v>558</v>
      </c>
      <c r="D2421" t="s">
        <v>2978</v>
      </c>
      <c r="E2421">
        <v>-2419</v>
      </c>
      <c r="F2421" t="s">
        <v>559</v>
      </c>
      <c r="G2421" t="s">
        <v>560</v>
      </c>
    </row>
    <row r="2422" spans="1:7">
      <c r="A2422" t="s">
        <v>182</v>
      </c>
      <c r="B2422" t="s">
        <v>557</v>
      </c>
      <c r="C2422" t="s">
        <v>558</v>
      </c>
      <c r="D2422" t="s">
        <v>2979</v>
      </c>
      <c r="E2422">
        <v>-2420</v>
      </c>
      <c r="F2422" t="s">
        <v>559</v>
      </c>
      <c r="G2422" t="s">
        <v>560</v>
      </c>
    </row>
    <row r="2423" spans="1:7">
      <c r="A2423" t="s">
        <v>182</v>
      </c>
      <c r="B2423" t="s">
        <v>557</v>
      </c>
      <c r="C2423" t="s">
        <v>558</v>
      </c>
      <c r="D2423" t="s">
        <v>2980</v>
      </c>
      <c r="E2423">
        <v>-2421</v>
      </c>
      <c r="F2423" t="s">
        <v>559</v>
      </c>
      <c r="G2423" t="s">
        <v>560</v>
      </c>
    </row>
    <row r="2424" spans="1:7">
      <c r="A2424" t="s">
        <v>182</v>
      </c>
      <c r="B2424" t="s">
        <v>557</v>
      </c>
      <c r="C2424" t="s">
        <v>558</v>
      </c>
      <c r="D2424" t="s">
        <v>2981</v>
      </c>
      <c r="E2424">
        <v>-2422</v>
      </c>
      <c r="F2424" t="s">
        <v>559</v>
      </c>
      <c r="G2424" t="s">
        <v>560</v>
      </c>
    </row>
    <row r="2425" spans="1:7">
      <c r="A2425" t="s">
        <v>182</v>
      </c>
      <c r="B2425" t="s">
        <v>557</v>
      </c>
      <c r="C2425" t="s">
        <v>558</v>
      </c>
      <c r="D2425" t="s">
        <v>2982</v>
      </c>
      <c r="E2425">
        <v>-2423</v>
      </c>
      <c r="F2425" t="s">
        <v>559</v>
      </c>
      <c r="G2425" t="s">
        <v>560</v>
      </c>
    </row>
    <row r="2426" spans="1:7">
      <c r="A2426" t="s">
        <v>182</v>
      </c>
      <c r="B2426" t="s">
        <v>557</v>
      </c>
      <c r="C2426" t="s">
        <v>558</v>
      </c>
      <c r="D2426" t="s">
        <v>2983</v>
      </c>
      <c r="E2426">
        <v>-2424</v>
      </c>
      <c r="F2426" t="s">
        <v>559</v>
      </c>
      <c r="G2426" t="s">
        <v>560</v>
      </c>
    </row>
    <row r="2427" spans="1:7">
      <c r="A2427" t="s">
        <v>182</v>
      </c>
      <c r="B2427" t="s">
        <v>557</v>
      </c>
      <c r="C2427" t="s">
        <v>558</v>
      </c>
      <c r="D2427" t="s">
        <v>2984</v>
      </c>
      <c r="E2427">
        <v>-2425</v>
      </c>
      <c r="F2427" t="s">
        <v>559</v>
      </c>
      <c r="G2427" t="s">
        <v>560</v>
      </c>
    </row>
    <row r="2428" spans="1:7">
      <c r="A2428" t="s">
        <v>182</v>
      </c>
      <c r="B2428" t="s">
        <v>557</v>
      </c>
      <c r="C2428" t="s">
        <v>558</v>
      </c>
      <c r="D2428" t="s">
        <v>2985</v>
      </c>
      <c r="E2428">
        <v>-2426</v>
      </c>
      <c r="F2428" t="s">
        <v>559</v>
      </c>
      <c r="G2428" t="s">
        <v>560</v>
      </c>
    </row>
    <row r="2429" spans="1:7">
      <c r="A2429" t="s">
        <v>182</v>
      </c>
      <c r="B2429" t="s">
        <v>557</v>
      </c>
      <c r="C2429" t="s">
        <v>558</v>
      </c>
      <c r="D2429" t="s">
        <v>2986</v>
      </c>
      <c r="E2429">
        <v>-2427</v>
      </c>
      <c r="F2429" t="s">
        <v>559</v>
      </c>
      <c r="G2429" t="s">
        <v>560</v>
      </c>
    </row>
    <row r="2430" spans="1:7">
      <c r="A2430" t="s">
        <v>182</v>
      </c>
      <c r="B2430" t="s">
        <v>557</v>
      </c>
      <c r="C2430" t="s">
        <v>558</v>
      </c>
      <c r="D2430" t="s">
        <v>2987</v>
      </c>
      <c r="E2430">
        <v>-2428</v>
      </c>
      <c r="F2430" t="s">
        <v>559</v>
      </c>
      <c r="G2430" t="s">
        <v>560</v>
      </c>
    </row>
    <row r="2431" spans="1:7">
      <c r="A2431" t="s">
        <v>182</v>
      </c>
      <c r="B2431" t="s">
        <v>557</v>
      </c>
      <c r="C2431" t="s">
        <v>558</v>
      </c>
      <c r="D2431" t="s">
        <v>2988</v>
      </c>
      <c r="E2431">
        <v>-2429</v>
      </c>
      <c r="F2431" t="s">
        <v>559</v>
      </c>
      <c r="G2431" t="s">
        <v>560</v>
      </c>
    </row>
    <row r="2432" spans="1:7">
      <c r="A2432" t="s">
        <v>182</v>
      </c>
      <c r="B2432" t="s">
        <v>557</v>
      </c>
      <c r="C2432" t="s">
        <v>558</v>
      </c>
      <c r="D2432" t="s">
        <v>2989</v>
      </c>
      <c r="E2432">
        <v>-2430</v>
      </c>
      <c r="F2432" t="s">
        <v>559</v>
      </c>
      <c r="G2432" t="s">
        <v>560</v>
      </c>
    </row>
    <row r="2433" spans="1:7">
      <c r="A2433" t="s">
        <v>182</v>
      </c>
      <c r="B2433" t="s">
        <v>557</v>
      </c>
      <c r="C2433" t="s">
        <v>558</v>
      </c>
      <c r="D2433" t="s">
        <v>2990</v>
      </c>
      <c r="E2433">
        <v>-2431</v>
      </c>
      <c r="F2433" t="s">
        <v>559</v>
      </c>
      <c r="G2433" t="s">
        <v>560</v>
      </c>
    </row>
    <row r="2434" spans="1:7">
      <c r="A2434" t="s">
        <v>182</v>
      </c>
      <c r="B2434" t="s">
        <v>557</v>
      </c>
      <c r="C2434" t="s">
        <v>558</v>
      </c>
      <c r="D2434" t="s">
        <v>2991</v>
      </c>
      <c r="E2434">
        <v>-2432</v>
      </c>
      <c r="F2434" t="s">
        <v>559</v>
      </c>
      <c r="G2434" t="s">
        <v>560</v>
      </c>
    </row>
    <row r="2435" spans="1:7">
      <c r="A2435" t="s">
        <v>182</v>
      </c>
      <c r="B2435" t="s">
        <v>557</v>
      </c>
      <c r="C2435" t="s">
        <v>558</v>
      </c>
      <c r="D2435" t="s">
        <v>2992</v>
      </c>
      <c r="E2435">
        <v>-2433</v>
      </c>
      <c r="F2435" t="s">
        <v>559</v>
      </c>
      <c r="G2435" t="s">
        <v>560</v>
      </c>
    </row>
    <row r="2436" spans="1:7">
      <c r="A2436" t="s">
        <v>182</v>
      </c>
      <c r="B2436" t="s">
        <v>557</v>
      </c>
      <c r="C2436" t="s">
        <v>558</v>
      </c>
      <c r="D2436" t="s">
        <v>2993</v>
      </c>
      <c r="E2436">
        <v>-2434</v>
      </c>
      <c r="F2436" t="s">
        <v>559</v>
      </c>
      <c r="G2436" t="s">
        <v>560</v>
      </c>
    </row>
    <row r="2437" spans="1:7">
      <c r="A2437" t="s">
        <v>182</v>
      </c>
      <c r="B2437" t="s">
        <v>557</v>
      </c>
      <c r="C2437" t="s">
        <v>558</v>
      </c>
      <c r="D2437" t="s">
        <v>2994</v>
      </c>
      <c r="E2437">
        <v>-2435</v>
      </c>
      <c r="F2437" t="s">
        <v>559</v>
      </c>
      <c r="G2437" t="s">
        <v>560</v>
      </c>
    </row>
    <row r="2438" spans="1:7">
      <c r="A2438" t="s">
        <v>182</v>
      </c>
      <c r="B2438" t="s">
        <v>557</v>
      </c>
      <c r="C2438" t="s">
        <v>558</v>
      </c>
      <c r="D2438" t="s">
        <v>2995</v>
      </c>
      <c r="E2438">
        <v>-2436</v>
      </c>
      <c r="F2438" t="s">
        <v>559</v>
      </c>
      <c r="G2438" t="s">
        <v>560</v>
      </c>
    </row>
    <row r="2439" spans="1:7">
      <c r="A2439" t="s">
        <v>182</v>
      </c>
      <c r="B2439" t="s">
        <v>557</v>
      </c>
      <c r="C2439" t="s">
        <v>558</v>
      </c>
      <c r="D2439" t="s">
        <v>2996</v>
      </c>
      <c r="E2439">
        <v>-2437</v>
      </c>
      <c r="F2439" t="s">
        <v>559</v>
      </c>
      <c r="G2439" t="s">
        <v>560</v>
      </c>
    </row>
    <row r="2440" spans="1:7">
      <c r="A2440" t="s">
        <v>182</v>
      </c>
      <c r="B2440" t="s">
        <v>557</v>
      </c>
      <c r="C2440" t="s">
        <v>558</v>
      </c>
      <c r="D2440" t="s">
        <v>2997</v>
      </c>
      <c r="E2440">
        <v>-2438</v>
      </c>
      <c r="F2440" t="s">
        <v>559</v>
      </c>
      <c r="G2440" t="s">
        <v>560</v>
      </c>
    </row>
    <row r="2441" spans="1:7">
      <c r="A2441" t="s">
        <v>182</v>
      </c>
      <c r="B2441" t="s">
        <v>557</v>
      </c>
      <c r="C2441" t="s">
        <v>558</v>
      </c>
      <c r="D2441" t="s">
        <v>2998</v>
      </c>
      <c r="E2441">
        <v>-2439</v>
      </c>
      <c r="F2441" t="s">
        <v>559</v>
      </c>
      <c r="G2441" t="s">
        <v>560</v>
      </c>
    </row>
    <row r="2442" spans="1:7">
      <c r="A2442" t="s">
        <v>182</v>
      </c>
      <c r="B2442" t="s">
        <v>557</v>
      </c>
      <c r="C2442" t="s">
        <v>558</v>
      </c>
      <c r="D2442" t="s">
        <v>2999</v>
      </c>
      <c r="E2442">
        <v>-2440</v>
      </c>
      <c r="F2442" t="s">
        <v>559</v>
      </c>
      <c r="G2442" t="s">
        <v>560</v>
      </c>
    </row>
    <row r="2443" spans="1:7">
      <c r="A2443" t="s">
        <v>182</v>
      </c>
      <c r="B2443" t="s">
        <v>557</v>
      </c>
      <c r="C2443" t="s">
        <v>558</v>
      </c>
      <c r="D2443" t="s">
        <v>3000</v>
      </c>
      <c r="E2443">
        <v>-2441</v>
      </c>
      <c r="F2443" t="s">
        <v>559</v>
      </c>
      <c r="G2443" t="s">
        <v>560</v>
      </c>
    </row>
    <row r="2444" spans="1:7">
      <c r="A2444" t="s">
        <v>182</v>
      </c>
      <c r="B2444" t="s">
        <v>557</v>
      </c>
      <c r="C2444" t="s">
        <v>558</v>
      </c>
      <c r="D2444" t="s">
        <v>3001</v>
      </c>
      <c r="E2444">
        <v>-2442</v>
      </c>
      <c r="F2444" t="s">
        <v>559</v>
      </c>
      <c r="G2444" t="s">
        <v>560</v>
      </c>
    </row>
    <row r="2445" spans="1:7">
      <c r="A2445" t="s">
        <v>182</v>
      </c>
      <c r="B2445" t="s">
        <v>557</v>
      </c>
      <c r="C2445" t="s">
        <v>558</v>
      </c>
      <c r="D2445" t="s">
        <v>3002</v>
      </c>
      <c r="E2445">
        <v>-2443</v>
      </c>
      <c r="F2445" t="s">
        <v>559</v>
      </c>
      <c r="G2445" t="s">
        <v>560</v>
      </c>
    </row>
    <row r="2446" spans="1:7">
      <c r="A2446" t="s">
        <v>182</v>
      </c>
      <c r="B2446" t="s">
        <v>557</v>
      </c>
      <c r="C2446" t="s">
        <v>558</v>
      </c>
      <c r="D2446" t="s">
        <v>3003</v>
      </c>
      <c r="E2446">
        <v>-2444</v>
      </c>
      <c r="F2446" t="s">
        <v>559</v>
      </c>
      <c r="G2446" t="s">
        <v>560</v>
      </c>
    </row>
    <row r="2447" spans="1:7">
      <c r="A2447" t="s">
        <v>182</v>
      </c>
      <c r="B2447" t="s">
        <v>557</v>
      </c>
      <c r="C2447" t="s">
        <v>558</v>
      </c>
      <c r="D2447" t="s">
        <v>3004</v>
      </c>
      <c r="E2447">
        <v>-2445</v>
      </c>
      <c r="F2447" t="s">
        <v>559</v>
      </c>
      <c r="G2447" t="s">
        <v>560</v>
      </c>
    </row>
    <row r="2448" spans="1:7">
      <c r="A2448" t="s">
        <v>182</v>
      </c>
      <c r="B2448" t="s">
        <v>557</v>
      </c>
      <c r="C2448" t="s">
        <v>558</v>
      </c>
      <c r="D2448" t="s">
        <v>3005</v>
      </c>
      <c r="E2448">
        <v>-2446</v>
      </c>
      <c r="F2448" t="s">
        <v>559</v>
      </c>
      <c r="G2448" t="s">
        <v>560</v>
      </c>
    </row>
    <row r="2449" spans="1:7">
      <c r="A2449" t="s">
        <v>182</v>
      </c>
      <c r="B2449" t="s">
        <v>557</v>
      </c>
      <c r="C2449" t="s">
        <v>558</v>
      </c>
      <c r="D2449" t="s">
        <v>3006</v>
      </c>
      <c r="E2449">
        <v>-2447</v>
      </c>
      <c r="F2449" t="s">
        <v>559</v>
      </c>
      <c r="G2449" t="s">
        <v>560</v>
      </c>
    </row>
    <row r="2450" spans="1:7">
      <c r="A2450" t="s">
        <v>182</v>
      </c>
      <c r="B2450" t="s">
        <v>557</v>
      </c>
      <c r="C2450" t="s">
        <v>558</v>
      </c>
      <c r="D2450" t="s">
        <v>3007</v>
      </c>
      <c r="E2450">
        <v>-2448</v>
      </c>
      <c r="F2450" t="s">
        <v>559</v>
      </c>
      <c r="G2450" t="s">
        <v>560</v>
      </c>
    </row>
    <row r="2451" spans="1:7">
      <c r="A2451" t="s">
        <v>182</v>
      </c>
      <c r="B2451" t="s">
        <v>557</v>
      </c>
      <c r="C2451" t="s">
        <v>558</v>
      </c>
      <c r="D2451" t="s">
        <v>3008</v>
      </c>
      <c r="E2451">
        <v>-2449</v>
      </c>
      <c r="F2451" t="s">
        <v>559</v>
      </c>
      <c r="G2451" t="s">
        <v>560</v>
      </c>
    </row>
    <row r="2452" spans="1:7">
      <c r="A2452" t="s">
        <v>182</v>
      </c>
      <c r="B2452" t="s">
        <v>557</v>
      </c>
      <c r="C2452" t="s">
        <v>558</v>
      </c>
      <c r="D2452" t="s">
        <v>3009</v>
      </c>
      <c r="E2452">
        <v>-2450</v>
      </c>
      <c r="F2452" t="s">
        <v>559</v>
      </c>
      <c r="G2452" t="s">
        <v>560</v>
      </c>
    </row>
    <row r="2453" spans="1:7">
      <c r="A2453" t="s">
        <v>182</v>
      </c>
      <c r="B2453" t="s">
        <v>557</v>
      </c>
      <c r="C2453" t="s">
        <v>558</v>
      </c>
      <c r="D2453" t="s">
        <v>3010</v>
      </c>
      <c r="E2453">
        <v>-2451</v>
      </c>
      <c r="F2453" t="s">
        <v>559</v>
      </c>
      <c r="G2453" t="s">
        <v>560</v>
      </c>
    </row>
    <row r="2454" spans="1:7">
      <c r="A2454" t="s">
        <v>182</v>
      </c>
      <c r="B2454" t="s">
        <v>557</v>
      </c>
      <c r="C2454" t="s">
        <v>558</v>
      </c>
      <c r="D2454" t="s">
        <v>3011</v>
      </c>
      <c r="E2454">
        <v>-2452</v>
      </c>
      <c r="F2454" t="s">
        <v>559</v>
      </c>
      <c r="G2454" t="s">
        <v>560</v>
      </c>
    </row>
    <row r="2455" spans="1:7">
      <c r="A2455" t="s">
        <v>182</v>
      </c>
      <c r="B2455" t="s">
        <v>557</v>
      </c>
      <c r="C2455" t="s">
        <v>558</v>
      </c>
      <c r="D2455" t="s">
        <v>3012</v>
      </c>
      <c r="E2455">
        <v>-2453</v>
      </c>
      <c r="F2455" t="s">
        <v>559</v>
      </c>
      <c r="G2455" t="s">
        <v>560</v>
      </c>
    </row>
    <row r="2456" spans="1:7">
      <c r="A2456" t="s">
        <v>182</v>
      </c>
      <c r="B2456" t="s">
        <v>557</v>
      </c>
      <c r="C2456" t="s">
        <v>558</v>
      </c>
      <c r="D2456" t="s">
        <v>3013</v>
      </c>
      <c r="E2456">
        <v>-2454</v>
      </c>
      <c r="F2456" t="s">
        <v>559</v>
      </c>
      <c r="G2456" t="s">
        <v>560</v>
      </c>
    </row>
    <row r="2457" spans="1:7">
      <c r="A2457" t="s">
        <v>182</v>
      </c>
      <c r="B2457" t="s">
        <v>557</v>
      </c>
      <c r="C2457" t="s">
        <v>558</v>
      </c>
      <c r="D2457" t="s">
        <v>3014</v>
      </c>
      <c r="E2457">
        <v>-2455</v>
      </c>
      <c r="F2457" t="s">
        <v>559</v>
      </c>
      <c r="G2457" t="s">
        <v>560</v>
      </c>
    </row>
    <row r="2458" spans="1:7">
      <c r="A2458" t="s">
        <v>182</v>
      </c>
      <c r="B2458" t="s">
        <v>557</v>
      </c>
      <c r="C2458" t="s">
        <v>558</v>
      </c>
      <c r="D2458" t="s">
        <v>3015</v>
      </c>
      <c r="E2458">
        <v>-2456</v>
      </c>
      <c r="F2458" t="s">
        <v>559</v>
      </c>
      <c r="G2458" t="s">
        <v>560</v>
      </c>
    </row>
    <row r="2459" spans="1:7">
      <c r="A2459" t="s">
        <v>182</v>
      </c>
      <c r="B2459" t="s">
        <v>557</v>
      </c>
      <c r="C2459" t="s">
        <v>558</v>
      </c>
      <c r="D2459" t="s">
        <v>3016</v>
      </c>
      <c r="E2459">
        <v>-2457</v>
      </c>
      <c r="F2459" t="s">
        <v>559</v>
      </c>
      <c r="G2459" t="s">
        <v>560</v>
      </c>
    </row>
    <row r="2460" spans="1:7">
      <c r="A2460" t="s">
        <v>182</v>
      </c>
      <c r="B2460" t="s">
        <v>557</v>
      </c>
      <c r="C2460" t="s">
        <v>558</v>
      </c>
      <c r="D2460" t="s">
        <v>3017</v>
      </c>
      <c r="E2460">
        <v>-2458</v>
      </c>
      <c r="F2460" t="s">
        <v>559</v>
      </c>
      <c r="G2460" t="s">
        <v>560</v>
      </c>
    </row>
    <row r="2461" spans="1:7">
      <c r="A2461" t="s">
        <v>182</v>
      </c>
      <c r="B2461" t="s">
        <v>557</v>
      </c>
      <c r="C2461" t="s">
        <v>558</v>
      </c>
      <c r="D2461" t="s">
        <v>3018</v>
      </c>
      <c r="E2461">
        <v>-2459</v>
      </c>
      <c r="F2461" t="s">
        <v>559</v>
      </c>
      <c r="G2461" t="s">
        <v>560</v>
      </c>
    </row>
    <row r="2462" spans="1:7">
      <c r="A2462" t="s">
        <v>182</v>
      </c>
      <c r="B2462" t="s">
        <v>557</v>
      </c>
      <c r="C2462" t="s">
        <v>558</v>
      </c>
      <c r="D2462" t="s">
        <v>3019</v>
      </c>
      <c r="E2462">
        <v>-2460</v>
      </c>
      <c r="F2462" t="s">
        <v>559</v>
      </c>
      <c r="G2462" t="s">
        <v>560</v>
      </c>
    </row>
    <row r="2463" spans="1:7">
      <c r="A2463" t="s">
        <v>182</v>
      </c>
      <c r="B2463" t="s">
        <v>557</v>
      </c>
      <c r="C2463" t="s">
        <v>558</v>
      </c>
      <c r="D2463" t="s">
        <v>3020</v>
      </c>
      <c r="E2463">
        <v>-2461</v>
      </c>
      <c r="F2463" t="s">
        <v>559</v>
      </c>
      <c r="G2463" t="s">
        <v>560</v>
      </c>
    </row>
    <row r="2464" spans="1:7">
      <c r="A2464" t="s">
        <v>182</v>
      </c>
      <c r="B2464" t="s">
        <v>557</v>
      </c>
      <c r="C2464" t="s">
        <v>558</v>
      </c>
      <c r="D2464" t="s">
        <v>3021</v>
      </c>
      <c r="E2464">
        <v>-2462</v>
      </c>
      <c r="F2464" t="s">
        <v>559</v>
      </c>
      <c r="G2464" t="s">
        <v>560</v>
      </c>
    </row>
    <row r="2465" spans="1:7">
      <c r="A2465" t="s">
        <v>182</v>
      </c>
      <c r="B2465" t="s">
        <v>557</v>
      </c>
      <c r="C2465" t="s">
        <v>558</v>
      </c>
      <c r="D2465" t="s">
        <v>3022</v>
      </c>
      <c r="E2465">
        <v>-2463</v>
      </c>
      <c r="F2465" t="s">
        <v>559</v>
      </c>
      <c r="G2465" t="s">
        <v>560</v>
      </c>
    </row>
    <row r="2466" spans="1:7">
      <c r="A2466" t="s">
        <v>182</v>
      </c>
      <c r="B2466" t="s">
        <v>557</v>
      </c>
      <c r="C2466" t="s">
        <v>558</v>
      </c>
      <c r="D2466" t="s">
        <v>3023</v>
      </c>
      <c r="E2466">
        <v>-2464</v>
      </c>
      <c r="F2466" t="s">
        <v>559</v>
      </c>
      <c r="G2466" t="s">
        <v>560</v>
      </c>
    </row>
    <row r="2467" spans="1:7">
      <c r="A2467" t="s">
        <v>182</v>
      </c>
      <c r="B2467" t="s">
        <v>557</v>
      </c>
      <c r="C2467" t="s">
        <v>558</v>
      </c>
      <c r="D2467" t="s">
        <v>3024</v>
      </c>
      <c r="E2467">
        <v>-2465</v>
      </c>
      <c r="F2467" t="s">
        <v>559</v>
      </c>
      <c r="G2467" t="s">
        <v>560</v>
      </c>
    </row>
    <row r="2468" spans="1:7">
      <c r="A2468" t="s">
        <v>182</v>
      </c>
      <c r="B2468" t="s">
        <v>557</v>
      </c>
      <c r="C2468" t="s">
        <v>558</v>
      </c>
      <c r="D2468" t="s">
        <v>3025</v>
      </c>
      <c r="E2468">
        <v>-2466</v>
      </c>
      <c r="F2468" t="s">
        <v>559</v>
      </c>
      <c r="G2468" t="s">
        <v>560</v>
      </c>
    </row>
    <row r="2469" spans="1:7">
      <c r="A2469" t="s">
        <v>182</v>
      </c>
      <c r="B2469" t="s">
        <v>557</v>
      </c>
      <c r="C2469" t="s">
        <v>558</v>
      </c>
      <c r="D2469" t="s">
        <v>3026</v>
      </c>
      <c r="E2469">
        <v>-2467</v>
      </c>
      <c r="F2469" t="s">
        <v>559</v>
      </c>
      <c r="G2469" t="s">
        <v>560</v>
      </c>
    </row>
    <row r="2470" spans="1:7">
      <c r="A2470" t="s">
        <v>182</v>
      </c>
      <c r="B2470" t="s">
        <v>557</v>
      </c>
      <c r="C2470" t="s">
        <v>558</v>
      </c>
      <c r="D2470" t="s">
        <v>3027</v>
      </c>
      <c r="E2470">
        <v>-2468</v>
      </c>
      <c r="F2470" t="s">
        <v>559</v>
      </c>
      <c r="G2470" t="s">
        <v>560</v>
      </c>
    </row>
    <row r="2471" spans="1:7">
      <c r="A2471" t="s">
        <v>182</v>
      </c>
      <c r="B2471" t="s">
        <v>557</v>
      </c>
      <c r="C2471" t="s">
        <v>558</v>
      </c>
      <c r="D2471" t="s">
        <v>3028</v>
      </c>
      <c r="E2471">
        <v>-2469</v>
      </c>
      <c r="F2471" t="s">
        <v>559</v>
      </c>
      <c r="G2471" t="s">
        <v>560</v>
      </c>
    </row>
    <row r="2472" spans="1:7">
      <c r="A2472" t="s">
        <v>182</v>
      </c>
      <c r="B2472" t="s">
        <v>557</v>
      </c>
      <c r="C2472" t="s">
        <v>558</v>
      </c>
      <c r="D2472" t="s">
        <v>3029</v>
      </c>
      <c r="E2472">
        <v>-2470</v>
      </c>
      <c r="F2472" t="s">
        <v>559</v>
      </c>
      <c r="G2472" t="s">
        <v>560</v>
      </c>
    </row>
    <row r="2473" spans="1:7">
      <c r="A2473" t="s">
        <v>182</v>
      </c>
      <c r="B2473" t="s">
        <v>557</v>
      </c>
      <c r="C2473" t="s">
        <v>558</v>
      </c>
      <c r="D2473" t="s">
        <v>3030</v>
      </c>
      <c r="E2473">
        <v>-2471</v>
      </c>
      <c r="F2473" t="s">
        <v>559</v>
      </c>
      <c r="G2473" t="s">
        <v>560</v>
      </c>
    </row>
    <row r="2474" spans="1:7">
      <c r="A2474" t="s">
        <v>182</v>
      </c>
      <c r="B2474" t="s">
        <v>557</v>
      </c>
      <c r="C2474" t="s">
        <v>558</v>
      </c>
      <c r="D2474" t="s">
        <v>3031</v>
      </c>
      <c r="E2474">
        <v>-2472</v>
      </c>
      <c r="F2474" t="s">
        <v>559</v>
      </c>
      <c r="G2474" t="s">
        <v>560</v>
      </c>
    </row>
    <row r="2475" spans="1:7">
      <c r="A2475" t="s">
        <v>182</v>
      </c>
      <c r="B2475" t="s">
        <v>557</v>
      </c>
      <c r="C2475" t="s">
        <v>558</v>
      </c>
      <c r="D2475" t="s">
        <v>3032</v>
      </c>
      <c r="E2475">
        <v>-2473</v>
      </c>
      <c r="F2475" t="s">
        <v>559</v>
      </c>
      <c r="G2475" t="s">
        <v>560</v>
      </c>
    </row>
    <row r="2476" spans="1:7">
      <c r="A2476" t="s">
        <v>182</v>
      </c>
      <c r="B2476" t="s">
        <v>557</v>
      </c>
      <c r="C2476" t="s">
        <v>558</v>
      </c>
      <c r="D2476" t="s">
        <v>3033</v>
      </c>
      <c r="E2476">
        <v>-2474</v>
      </c>
      <c r="F2476" t="s">
        <v>559</v>
      </c>
      <c r="G2476" t="s">
        <v>560</v>
      </c>
    </row>
    <row r="2477" spans="1:7">
      <c r="A2477" t="s">
        <v>182</v>
      </c>
      <c r="B2477" t="s">
        <v>557</v>
      </c>
      <c r="C2477" t="s">
        <v>558</v>
      </c>
      <c r="D2477" t="s">
        <v>3034</v>
      </c>
      <c r="E2477">
        <v>-2475</v>
      </c>
      <c r="F2477" t="s">
        <v>559</v>
      </c>
      <c r="G2477" t="s">
        <v>560</v>
      </c>
    </row>
    <row r="2478" spans="1:7">
      <c r="A2478" t="s">
        <v>182</v>
      </c>
      <c r="B2478" t="s">
        <v>557</v>
      </c>
      <c r="C2478" t="s">
        <v>558</v>
      </c>
      <c r="D2478" t="s">
        <v>3035</v>
      </c>
      <c r="E2478">
        <v>-2476</v>
      </c>
      <c r="F2478" t="s">
        <v>559</v>
      </c>
      <c r="G2478" t="s">
        <v>560</v>
      </c>
    </row>
    <row r="2479" spans="1:7">
      <c r="A2479" t="s">
        <v>182</v>
      </c>
      <c r="B2479" t="s">
        <v>557</v>
      </c>
      <c r="C2479" t="s">
        <v>558</v>
      </c>
      <c r="D2479" t="s">
        <v>3036</v>
      </c>
      <c r="E2479">
        <v>-2477</v>
      </c>
      <c r="F2479" t="s">
        <v>559</v>
      </c>
      <c r="G2479" t="s">
        <v>560</v>
      </c>
    </row>
    <row r="2480" spans="1:7">
      <c r="A2480" t="s">
        <v>182</v>
      </c>
      <c r="B2480" t="s">
        <v>557</v>
      </c>
      <c r="C2480" t="s">
        <v>558</v>
      </c>
      <c r="D2480" t="s">
        <v>3037</v>
      </c>
      <c r="E2480">
        <v>-2478</v>
      </c>
      <c r="F2480" t="s">
        <v>559</v>
      </c>
      <c r="G2480" t="s">
        <v>560</v>
      </c>
    </row>
    <row r="2481" spans="1:7">
      <c r="A2481" t="s">
        <v>182</v>
      </c>
      <c r="B2481" t="s">
        <v>557</v>
      </c>
      <c r="C2481" t="s">
        <v>558</v>
      </c>
      <c r="D2481" t="s">
        <v>3038</v>
      </c>
      <c r="E2481">
        <v>-2479</v>
      </c>
      <c r="F2481" t="s">
        <v>559</v>
      </c>
      <c r="G2481" t="s">
        <v>560</v>
      </c>
    </row>
    <row r="2482" spans="1:7">
      <c r="A2482" t="s">
        <v>182</v>
      </c>
      <c r="B2482" t="s">
        <v>557</v>
      </c>
      <c r="C2482" t="s">
        <v>558</v>
      </c>
      <c r="D2482" t="s">
        <v>3039</v>
      </c>
      <c r="E2482">
        <v>-2480</v>
      </c>
      <c r="F2482" t="s">
        <v>559</v>
      </c>
      <c r="G2482" t="s">
        <v>560</v>
      </c>
    </row>
    <row r="2483" spans="1:7">
      <c r="A2483" t="s">
        <v>182</v>
      </c>
      <c r="B2483" t="s">
        <v>557</v>
      </c>
      <c r="C2483" t="s">
        <v>558</v>
      </c>
      <c r="D2483" t="s">
        <v>3040</v>
      </c>
      <c r="E2483">
        <v>-2481</v>
      </c>
      <c r="F2483" t="s">
        <v>559</v>
      </c>
      <c r="G2483" t="s">
        <v>560</v>
      </c>
    </row>
    <row r="2484" spans="1:7">
      <c r="A2484" t="s">
        <v>182</v>
      </c>
      <c r="B2484" t="s">
        <v>557</v>
      </c>
      <c r="C2484" t="s">
        <v>558</v>
      </c>
      <c r="D2484" t="s">
        <v>3041</v>
      </c>
      <c r="E2484">
        <v>-2482</v>
      </c>
      <c r="F2484" t="s">
        <v>559</v>
      </c>
      <c r="G2484" t="s">
        <v>560</v>
      </c>
    </row>
    <row r="2485" spans="1:7">
      <c r="A2485" t="s">
        <v>182</v>
      </c>
      <c r="B2485" t="s">
        <v>557</v>
      </c>
      <c r="C2485" t="s">
        <v>558</v>
      </c>
      <c r="D2485" t="s">
        <v>3042</v>
      </c>
      <c r="E2485">
        <v>-2483</v>
      </c>
      <c r="F2485" t="s">
        <v>559</v>
      </c>
      <c r="G2485" t="s">
        <v>560</v>
      </c>
    </row>
    <row r="2486" spans="1:7">
      <c r="A2486" t="s">
        <v>182</v>
      </c>
      <c r="B2486" t="s">
        <v>557</v>
      </c>
      <c r="C2486" t="s">
        <v>558</v>
      </c>
      <c r="D2486" t="s">
        <v>3043</v>
      </c>
      <c r="E2486">
        <v>-2484</v>
      </c>
      <c r="F2486" t="s">
        <v>559</v>
      </c>
      <c r="G2486" t="s">
        <v>560</v>
      </c>
    </row>
    <row r="2487" spans="1:7">
      <c r="A2487" t="s">
        <v>182</v>
      </c>
      <c r="B2487" t="s">
        <v>557</v>
      </c>
      <c r="C2487" t="s">
        <v>558</v>
      </c>
      <c r="D2487" t="s">
        <v>3044</v>
      </c>
      <c r="E2487">
        <v>-2485</v>
      </c>
      <c r="F2487" t="s">
        <v>559</v>
      </c>
      <c r="G2487" t="s">
        <v>560</v>
      </c>
    </row>
    <row r="2488" spans="1:7">
      <c r="A2488" t="s">
        <v>182</v>
      </c>
      <c r="B2488" t="s">
        <v>557</v>
      </c>
      <c r="C2488" t="s">
        <v>558</v>
      </c>
      <c r="D2488" t="s">
        <v>3045</v>
      </c>
      <c r="E2488">
        <v>-2486</v>
      </c>
      <c r="F2488" t="s">
        <v>559</v>
      </c>
      <c r="G2488" t="s">
        <v>560</v>
      </c>
    </row>
    <row r="2489" spans="1:7">
      <c r="A2489" t="s">
        <v>182</v>
      </c>
      <c r="B2489" t="s">
        <v>557</v>
      </c>
      <c r="C2489" t="s">
        <v>558</v>
      </c>
      <c r="D2489" t="s">
        <v>3046</v>
      </c>
      <c r="E2489">
        <v>-2487</v>
      </c>
      <c r="F2489" t="s">
        <v>559</v>
      </c>
      <c r="G2489" t="s">
        <v>560</v>
      </c>
    </row>
    <row r="2490" spans="1:7">
      <c r="A2490" t="s">
        <v>182</v>
      </c>
      <c r="B2490" t="s">
        <v>557</v>
      </c>
      <c r="C2490" t="s">
        <v>558</v>
      </c>
      <c r="D2490" t="s">
        <v>3047</v>
      </c>
      <c r="E2490">
        <v>-2488</v>
      </c>
      <c r="F2490" t="s">
        <v>559</v>
      </c>
      <c r="G2490" t="s">
        <v>560</v>
      </c>
    </row>
    <row r="2491" spans="1:7">
      <c r="A2491" t="s">
        <v>182</v>
      </c>
      <c r="B2491" t="s">
        <v>557</v>
      </c>
      <c r="C2491" t="s">
        <v>558</v>
      </c>
      <c r="D2491" t="s">
        <v>3048</v>
      </c>
      <c r="E2491">
        <v>-2489</v>
      </c>
      <c r="F2491" t="s">
        <v>559</v>
      </c>
      <c r="G2491" t="s">
        <v>560</v>
      </c>
    </row>
    <row r="2492" spans="1:7">
      <c r="A2492" t="s">
        <v>182</v>
      </c>
      <c r="B2492" t="s">
        <v>557</v>
      </c>
      <c r="C2492" t="s">
        <v>558</v>
      </c>
      <c r="D2492" t="s">
        <v>3049</v>
      </c>
      <c r="E2492">
        <v>-2490</v>
      </c>
      <c r="F2492" t="s">
        <v>559</v>
      </c>
      <c r="G2492" t="s">
        <v>560</v>
      </c>
    </row>
    <row r="2493" spans="1:7">
      <c r="A2493" t="s">
        <v>182</v>
      </c>
      <c r="B2493" t="s">
        <v>557</v>
      </c>
      <c r="C2493" t="s">
        <v>558</v>
      </c>
      <c r="D2493" t="s">
        <v>3050</v>
      </c>
      <c r="E2493">
        <v>-2491</v>
      </c>
      <c r="F2493" t="s">
        <v>559</v>
      </c>
      <c r="G2493" t="s">
        <v>560</v>
      </c>
    </row>
    <row r="2494" spans="1:7">
      <c r="A2494" t="s">
        <v>182</v>
      </c>
      <c r="B2494" t="s">
        <v>557</v>
      </c>
      <c r="C2494" t="s">
        <v>558</v>
      </c>
      <c r="D2494" t="s">
        <v>3051</v>
      </c>
      <c r="E2494">
        <v>-2492</v>
      </c>
      <c r="F2494" t="s">
        <v>559</v>
      </c>
      <c r="G2494" t="s">
        <v>560</v>
      </c>
    </row>
    <row r="2495" spans="1:7">
      <c r="A2495" t="s">
        <v>182</v>
      </c>
      <c r="B2495" t="s">
        <v>557</v>
      </c>
      <c r="C2495" t="s">
        <v>558</v>
      </c>
      <c r="D2495" t="s">
        <v>3052</v>
      </c>
      <c r="E2495">
        <v>-2493</v>
      </c>
      <c r="F2495" t="s">
        <v>559</v>
      </c>
      <c r="G2495" t="s">
        <v>560</v>
      </c>
    </row>
    <row r="2496" spans="1:7">
      <c r="A2496" t="s">
        <v>182</v>
      </c>
      <c r="B2496" t="s">
        <v>557</v>
      </c>
      <c r="C2496" t="s">
        <v>558</v>
      </c>
      <c r="D2496" t="s">
        <v>3053</v>
      </c>
      <c r="E2496">
        <v>-2494</v>
      </c>
      <c r="F2496" t="s">
        <v>559</v>
      </c>
      <c r="G2496" t="s">
        <v>560</v>
      </c>
    </row>
    <row r="2497" spans="1:7">
      <c r="A2497" t="s">
        <v>182</v>
      </c>
      <c r="B2497" t="s">
        <v>557</v>
      </c>
      <c r="C2497" t="s">
        <v>558</v>
      </c>
      <c r="D2497" t="s">
        <v>3054</v>
      </c>
      <c r="E2497">
        <v>-2495</v>
      </c>
      <c r="F2497" t="s">
        <v>559</v>
      </c>
      <c r="G2497" t="s">
        <v>560</v>
      </c>
    </row>
    <row r="2498" spans="1:7">
      <c r="A2498" t="s">
        <v>182</v>
      </c>
      <c r="B2498" t="s">
        <v>557</v>
      </c>
      <c r="C2498" t="s">
        <v>558</v>
      </c>
      <c r="D2498" t="s">
        <v>3055</v>
      </c>
      <c r="E2498">
        <v>-2496</v>
      </c>
      <c r="F2498" t="s">
        <v>559</v>
      </c>
      <c r="G2498" t="s">
        <v>560</v>
      </c>
    </row>
    <row r="2499" spans="1:7">
      <c r="A2499" t="s">
        <v>182</v>
      </c>
      <c r="B2499" t="s">
        <v>557</v>
      </c>
      <c r="C2499" t="s">
        <v>558</v>
      </c>
      <c r="D2499" t="s">
        <v>3056</v>
      </c>
      <c r="E2499">
        <v>-2497</v>
      </c>
      <c r="F2499" t="s">
        <v>559</v>
      </c>
      <c r="G2499" t="s">
        <v>560</v>
      </c>
    </row>
    <row r="2500" spans="1:7">
      <c r="A2500" t="s">
        <v>182</v>
      </c>
      <c r="B2500" t="s">
        <v>557</v>
      </c>
      <c r="C2500" t="s">
        <v>558</v>
      </c>
      <c r="D2500" t="s">
        <v>3057</v>
      </c>
      <c r="E2500">
        <v>-2498</v>
      </c>
      <c r="F2500" t="s">
        <v>559</v>
      </c>
      <c r="G2500" t="s">
        <v>560</v>
      </c>
    </row>
    <row r="2501" spans="1:7">
      <c r="A2501" t="s">
        <v>182</v>
      </c>
      <c r="B2501" t="s">
        <v>557</v>
      </c>
      <c r="C2501" t="s">
        <v>558</v>
      </c>
      <c r="D2501" t="s">
        <v>3058</v>
      </c>
      <c r="E2501">
        <v>-2499</v>
      </c>
      <c r="F2501" t="s">
        <v>559</v>
      </c>
      <c r="G2501" t="s">
        <v>560</v>
      </c>
    </row>
    <row r="2502" spans="1:7">
      <c r="A2502" t="s">
        <v>182</v>
      </c>
      <c r="B2502" t="s">
        <v>557</v>
      </c>
      <c r="C2502" t="s">
        <v>558</v>
      </c>
      <c r="D2502" t="s">
        <v>3059</v>
      </c>
      <c r="E2502">
        <v>-2500</v>
      </c>
      <c r="F2502" t="s">
        <v>559</v>
      </c>
      <c r="G2502" t="s">
        <v>560</v>
      </c>
    </row>
    <row r="2503" spans="1:7">
      <c r="A2503" t="s">
        <v>182</v>
      </c>
      <c r="B2503" t="s">
        <v>557</v>
      </c>
      <c r="C2503" t="s">
        <v>558</v>
      </c>
      <c r="D2503" t="s">
        <v>3060</v>
      </c>
      <c r="E2503">
        <v>-2501</v>
      </c>
      <c r="F2503" t="s">
        <v>559</v>
      </c>
      <c r="G2503" t="s">
        <v>560</v>
      </c>
    </row>
    <row r="2504" spans="1:7">
      <c r="A2504" t="s">
        <v>182</v>
      </c>
      <c r="B2504" t="s">
        <v>557</v>
      </c>
      <c r="C2504" t="s">
        <v>558</v>
      </c>
      <c r="D2504" t="s">
        <v>3061</v>
      </c>
      <c r="E2504">
        <v>-2502</v>
      </c>
      <c r="F2504" t="s">
        <v>559</v>
      </c>
      <c r="G2504" t="s">
        <v>560</v>
      </c>
    </row>
    <row r="2505" spans="1:7">
      <c r="A2505" t="s">
        <v>182</v>
      </c>
      <c r="B2505" t="s">
        <v>557</v>
      </c>
      <c r="C2505" t="s">
        <v>558</v>
      </c>
      <c r="D2505" t="s">
        <v>3062</v>
      </c>
      <c r="E2505">
        <v>-2503</v>
      </c>
      <c r="F2505" t="s">
        <v>559</v>
      </c>
      <c r="G2505" t="s">
        <v>560</v>
      </c>
    </row>
    <row r="2506" spans="1:7">
      <c r="A2506" t="s">
        <v>182</v>
      </c>
      <c r="B2506" t="s">
        <v>557</v>
      </c>
      <c r="C2506" t="s">
        <v>558</v>
      </c>
      <c r="D2506" t="s">
        <v>3063</v>
      </c>
      <c r="E2506">
        <v>-2504</v>
      </c>
      <c r="F2506" t="s">
        <v>559</v>
      </c>
      <c r="G2506" t="s">
        <v>560</v>
      </c>
    </row>
    <row r="2507" spans="1:7">
      <c r="A2507" t="s">
        <v>182</v>
      </c>
      <c r="B2507" t="s">
        <v>557</v>
      </c>
      <c r="C2507" t="s">
        <v>558</v>
      </c>
      <c r="D2507" t="s">
        <v>3064</v>
      </c>
      <c r="E2507">
        <v>-2505</v>
      </c>
      <c r="F2507" t="s">
        <v>559</v>
      </c>
      <c r="G2507" t="s">
        <v>560</v>
      </c>
    </row>
    <row r="2508" spans="1:7">
      <c r="A2508" t="s">
        <v>182</v>
      </c>
      <c r="B2508" t="s">
        <v>557</v>
      </c>
      <c r="C2508" t="s">
        <v>558</v>
      </c>
      <c r="D2508" t="s">
        <v>3065</v>
      </c>
      <c r="E2508">
        <v>-2506</v>
      </c>
      <c r="F2508" t="s">
        <v>559</v>
      </c>
      <c r="G2508" t="s">
        <v>560</v>
      </c>
    </row>
    <row r="2509" spans="1:7">
      <c r="A2509" t="s">
        <v>182</v>
      </c>
      <c r="B2509" t="s">
        <v>557</v>
      </c>
      <c r="C2509" t="s">
        <v>558</v>
      </c>
      <c r="D2509" t="s">
        <v>3066</v>
      </c>
      <c r="E2509">
        <v>-2507</v>
      </c>
      <c r="F2509" t="s">
        <v>559</v>
      </c>
      <c r="G2509" t="s">
        <v>560</v>
      </c>
    </row>
    <row r="2510" spans="1:7">
      <c r="A2510" t="s">
        <v>182</v>
      </c>
      <c r="B2510" t="s">
        <v>557</v>
      </c>
      <c r="C2510" t="s">
        <v>558</v>
      </c>
      <c r="D2510" t="s">
        <v>3067</v>
      </c>
      <c r="E2510">
        <v>-2508</v>
      </c>
      <c r="F2510" t="s">
        <v>559</v>
      </c>
      <c r="G2510" t="s">
        <v>560</v>
      </c>
    </row>
    <row r="2511" spans="1:7">
      <c r="A2511" t="s">
        <v>182</v>
      </c>
      <c r="B2511" t="s">
        <v>557</v>
      </c>
      <c r="C2511" t="s">
        <v>558</v>
      </c>
      <c r="D2511" t="s">
        <v>3068</v>
      </c>
      <c r="E2511">
        <v>-2509</v>
      </c>
      <c r="F2511" t="s">
        <v>559</v>
      </c>
      <c r="G2511" t="s">
        <v>560</v>
      </c>
    </row>
    <row r="2512" spans="1:7">
      <c r="A2512" t="s">
        <v>182</v>
      </c>
      <c r="B2512" t="s">
        <v>557</v>
      </c>
      <c r="C2512" t="s">
        <v>558</v>
      </c>
      <c r="D2512" t="s">
        <v>3069</v>
      </c>
      <c r="E2512">
        <v>-2510</v>
      </c>
      <c r="F2512" t="s">
        <v>559</v>
      </c>
      <c r="G2512" t="s">
        <v>560</v>
      </c>
    </row>
    <row r="2513" spans="1:7">
      <c r="A2513" t="s">
        <v>182</v>
      </c>
      <c r="B2513" t="s">
        <v>557</v>
      </c>
      <c r="C2513" t="s">
        <v>558</v>
      </c>
      <c r="D2513" t="s">
        <v>3070</v>
      </c>
      <c r="E2513">
        <v>-2511</v>
      </c>
      <c r="F2513" t="s">
        <v>559</v>
      </c>
      <c r="G2513" t="s">
        <v>560</v>
      </c>
    </row>
    <row r="2514" spans="1:7">
      <c r="A2514" t="s">
        <v>182</v>
      </c>
      <c r="B2514" t="s">
        <v>557</v>
      </c>
      <c r="C2514" t="s">
        <v>558</v>
      </c>
      <c r="D2514" t="s">
        <v>3071</v>
      </c>
      <c r="E2514">
        <v>-2512</v>
      </c>
      <c r="F2514" t="s">
        <v>559</v>
      </c>
      <c r="G2514" t="s">
        <v>560</v>
      </c>
    </row>
    <row r="2515" spans="1:7">
      <c r="A2515" t="s">
        <v>182</v>
      </c>
      <c r="B2515" t="s">
        <v>557</v>
      </c>
      <c r="C2515" t="s">
        <v>558</v>
      </c>
      <c r="D2515" t="s">
        <v>3072</v>
      </c>
      <c r="E2515">
        <v>-2513</v>
      </c>
      <c r="F2515" t="s">
        <v>559</v>
      </c>
      <c r="G2515" t="s">
        <v>560</v>
      </c>
    </row>
    <row r="2516" spans="1:7">
      <c r="A2516" t="s">
        <v>182</v>
      </c>
      <c r="B2516" t="s">
        <v>557</v>
      </c>
      <c r="C2516" t="s">
        <v>558</v>
      </c>
      <c r="D2516" t="s">
        <v>3073</v>
      </c>
      <c r="E2516">
        <v>-2514</v>
      </c>
      <c r="F2516" t="s">
        <v>559</v>
      </c>
      <c r="G2516" t="s">
        <v>560</v>
      </c>
    </row>
    <row r="2517" spans="1:7">
      <c r="A2517" t="s">
        <v>182</v>
      </c>
      <c r="B2517" t="s">
        <v>557</v>
      </c>
      <c r="C2517" t="s">
        <v>558</v>
      </c>
      <c r="D2517" t="s">
        <v>3074</v>
      </c>
      <c r="E2517">
        <v>-2515</v>
      </c>
      <c r="F2517" t="s">
        <v>559</v>
      </c>
      <c r="G2517" t="s">
        <v>560</v>
      </c>
    </row>
    <row r="2518" spans="1:7">
      <c r="A2518" t="s">
        <v>182</v>
      </c>
      <c r="B2518" t="s">
        <v>557</v>
      </c>
      <c r="C2518" t="s">
        <v>558</v>
      </c>
      <c r="D2518" t="s">
        <v>3075</v>
      </c>
      <c r="E2518">
        <v>-2516</v>
      </c>
      <c r="F2518" t="s">
        <v>559</v>
      </c>
      <c r="G2518" t="s">
        <v>560</v>
      </c>
    </row>
    <row r="2519" spans="1:7">
      <c r="A2519" t="s">
        <v>182</v>
      </c>
      <c r="B2519" t="s">
        <v>557</v>
      </c>
      <c r="C2519" t="s">
        <v>558</v>
      </c>
      <c r="D2519" t="s">
        <v>3076</v>
      </c>
      <c r="E2519">
        <v>-2517</v>
      </c>
      <c r="F2519" t="s">
        <v>559</v>
      </c>
      <c r="G2519" t="s">
        <v>560</v>
      </c>
    </row>
    <row r="2520" spans="1:7">
      <c r="A2520" t="s">
        <v>182</v>
      </c>
      <c r="B2520" t="s">
        <v>557</v>
      </c>
      <c r="C2520" t="s">
        <v>558</v>
      </c>
      <c r="D2520" t="s">
        <v>3077</v>
      </c>
      <c r="E2520">
        <v>-2518</v>
      </c>
      <c r="F2520" t="s">
        <v>559</v>
      </c>
      <c r="G2520" t="s">
        <v>560</v>
      </c>
    </row>
    <row r="2521" spans="1:7">
      <c r="A2521" t="s">
        <v>182</v>
      </c>
      <c r="B2521" t="s">
        <v>557</v>
      </c>
      <c r="C2521" t="s">
        <v>558</v>
      </c>
      <c r="D2521" t="s">
        <v>3078</v>
      </c>
      <c r="E2521">
        <v>-2519</v>
      </c>
      <c r="F2521" t="s">
        <v>559</v>
      </c>
      <c r="G2521" t="s">
        <v>560</v>
      </c>
    </row>
    <row r="2522" spans="1:7">
      <c r="A2522" t="s">
        <v>182</v>
      </c>
      <c r="B2522" t="s">
        <v>557</v>
      </c>
      <c r="C2522" t="s">
        <v>558</v>
      </c>
      <c r="D2522" t="s">
        <v>3079</v>
      </c>
      <c r="E2522">
        <v>-2520</v>
      </c>
      <c r="F2522" t="s">
        <v>559</v>
      </c>
      <c r="G2522" t="s">
        <v>560</v>
      </c>
    </row>
    <row r="2523" spans="1:7">
      <c r="A2523" t="s">
        <v>182</v>
      </c>
      <c r="B2523" t="s">
        <v>557</v>
      </c>
      <c r="C2523" t="s">
        <v>558</v>
      </c>
      <c r="D2523" t="s">
        <v>3080</v>
      </c>
      <c r="E2523">
        <v>-2521</v>
      </c>
      <c r="F2523" t="s">
        <v>559</v>
      </c>
      <c r="G2523" t="s">
        <v>560</v>
      </c>
    </row>
    <row r="2524" spans="1:7">
      <c r="A2524" t="s">
        <v>182</v>
      </c>
      <c r="B2524" t="s">
        <v>557</v>
      </c>
      <c r="C2524" t="s">
        <v>558</v>
      </c>
      <c r="D2524" t="s">
        <v>3081</v>
      </c>
      <c r="E2524">
        <v>-2522</v>
      </c>
      <c r="F2524" t="s">
        <v>559</v>
      </c>
      <c r="G2524" t="s">
        <v>560</v>
      </c>
    </row>
    <row r="2525" spans="1:7">
      <c r="A2525" t="s">
        <v>182</v>
      </c>
      <c r="B2525" t="s">
        <v>557</v>
      </c>
      <c r="C2525" t="s">
        <v>558</v>
      </c>
      <c r="D2525" t="s">
        <v>3082</v>
      </c>
      <c r="E2525">
        <v>-2523</v>
      </c>
      <c r="F2525" t="s">
        <v>559</v>
      </c>
      <c r="G2525" t="s">
        <v>560</v>
      </c>
    </row>
    <row r="2526" spans="1:7">
      <c r="A2526" t="s">
        <v>182</v>
      </c>
      <c r="B2526" t="s">
        <v>557</v>
      </c>
      <c r="C2526" t="s">
        <v>558</v>
      </c>
      <c r="D2526" t="s">
        <v>3083</v>
      </c>
      <c r="E2526">
        <v>-2524</v>
      </c>
      <c r="F2526" t="s">
        <v>559</v>
      </c>
      <c r="G2526" t="s">
        <v>560</v>
      </c>
    </row>
    <row r="2527" spans="1:7">
      <c r="A2527" t="s">
        <v>182</v>
      </c>
      <c r="B2527" t="s">
        <v>557</v>
      </c>
      <c r="C2527" t="s">
        <v>558</v>
      </c>
      <c r="D2527" t="s">
        <v>3084</v>
      </c>
      <c r="E2527">
        <v>-2525</v>
      </c>
      <c r="F2527" t="s">
        <v>559</v>
      </c>
      <c r="G2527" t="s">
        <v>560</v>
      </c>
    </row>
    <row r="2528" spans="1:7">
      <c r="A2528" t="s">
        <v>182</v>
      </c>
      <c r="B2528" t="s">
        <v>557</v>
      </c>
      <c r="C2528" t="s">
        <v>558</v>
      </c>
      <c r="D2528" t="s">
        <v>3085</v>
      </c>
      <c r="E2528">
        <v>-2526</v>
      </c>
      <c r="F2528" t="s">
        <v>559</v>
      </c>
      <c r="G2528" t="s">
        <v>560</v>
      </c>
    </row>
    <row r="2529" spans="1:7">
      <c r="A2529" t="s">
        <v>182</v>
      </c>
      <c r="B2529" t="s">
        <v>557</v>
      </c>
      <c r="C2529" t="s">
        <v>558</v>
      </c>
      <c r="D2529" t="s">
        <v>3086</v>
      </c>
      <c r="E2529">
        <v>-2527</v>
      </c>
      <c r="F2529" t="s">
        <v>559</v>
      </c>
      <c r="G2529" t="s">
        <v>560</v>
      </c>
    </row>
    <row r="2530" spans="1:7">
      <c r="A2530" t="s">
        <v>182</v>
      </c>
      <c r="B2530" t="s">
        <v>557</v>
      </c>
      <c r="C2530" t="s">
        <v>558</v>
      </c>
      <c r="D2530" t="s">
        <v>3087</v>
      </c>
      <c r="E2530">
        <v>-2528</v>
      </c>
      <c r="F2530" t="s">
        <v>559</v>
      </c>
      <c r="G2530" t="s">
        <v>560</v>
      </c>
    </row>
    <row r="2531" spans="1:7">
      <c r="A2531" t="s">
        <v>182</v>
      </c>
      <c r="B2531" t="s">
        <v>557</v>
      </c>
      <c r="C2531" t="s">
        <v>558</v>
      </c>
      <c r="D2531" t="s">
        <v>3088</v>
      </c>
      <c r="E2531">
        <v>-2529</v>
      </c>
      <c r="F2531" t="s">
        <v>559</v>
      </c>
      <c r="G2531" t="s">
        <v>560</v>
      </c>
    </row>
    <row r="2532" spans="1:7">
      <c r="A2532" t="s">
        <v>182</v>
      </c>
      <c r="B2532" t="s">
        <v>557</v>
      </c>
      <c r="C2532" t="s">
        <v>558</v>
      </c>
      <c r="D2532" t="s">
        <v>3089</v>
      </c>
      <c r="E2532">
        <v>-2530</v>
      </c>
      <c r="F2532" t="s">
        <v>559</v>
      </c>
      <c r="G2532" t="s">
        <v>560</v>
      </c>
    </row>
    <row r="2533" spans="1:7">
      <c r="A2533" t="s">
        <v>182</v>
      </c>
      <c r="B2533" t="s">
        <v>557</v>
      </c>
      <c r="C2533" t="s">
        <v>558</v>
      </c>
      <c r="D2533" t="s">
        <v>3090</v>
      </c>
      <c r="E2533">
        <v>-2531</v>
      </c>
      <c r="F2533" t="s">
        <v>559</v>
      </c>
      <c r="G2533" t="s">
        <v>560</v>
      </c>
    </row>
    <row r="2534" spans="1:7">
      <c r="A2534" t="s">
        <v>182</v>
      </c>
      <c r="B2534" t="s">
        <v>557</v>
      </c>
      <c r="C2534" t="s">
        <v>558</v>
      </c>
      <c r="D2534" t="s">
        <v>3091</v>
      </c>
      <c r="E2534">
        <v>-2532</v>
      </c>
      <c r="F2534" t="s">
        <v>559</v>
      </c>
      <c r="G2534" t="s">
        <v>560</v>
      </c>
    </row>
    <row r="2535" spans="1:7">
      <c r="A2535" t="s">
        <v>182</v>
      </c>
      <c r="B2535" t="s">
        <v>557</v>
      </c>
      <c r="C2535" t="s">
        <v>558</v>
      </c>
      <c r="D2535" t="s">
        <v>3092</v>
      </c>
      <c r="E2535">
        <v>-2533</v>
      </c>
      <c r="F2535" t="s">
        <v>559</v>
      </c>
      <c r="G2535" t="s">
        <v>560</v>
      </c>
    </row>
    <row r="2536" spans="1:7">
      <c r="A2536" t="s">
        <v>182</v>
      </c>
      <c r="B2536" t="s">
        <v>557</v>
      </c>
      <c r="C2536" t="s">
        <v>558</v>
      </c>
      <c r="D2536" t="s">
        <v>3093</v>
      </c>
      <c r="E2536">
        <v>-2534</v>
      </c>
      <c r="F2536" t="s">
        <v>559</v>
      </c>
      <c r="G2536" t="s">
        <v>560</v>
      </c>
    </row>
    <row r="2537" spans="1:7">
      <c r="A2537" t="s">
        <v>182</v>
      </c>
      <c r="B2537" t="s">
        <v>557</v>
      </c>
      <c r="C2537" t="s">
        <v>558</v>
      </c>
      <c r="D2537" t="s">
        <v>3094</v>
      </c>
      <c r="E2537">
        <v>-2535</v>
      </c>
      <c r="F2537" t="s">
        <v>559</v>
      </c>
      <c r="G2537" t="s">
        <v>560</v>
      </c>
    </row>
    <row r="2538" spans="1:7">
      <c r="A2538" t="s">
        <v>182</v>
      </c>
      <c r="B2538" t="s">
        <v>557</v>
      </c>
      <c r="C2538" t="s">
        <v>558</v>
      </c>
      <c r="D2538" t="s">
        <v>3095</v>
      </c>
      <c r="E2538">
        <v>-2536</v>
      </c>
      <c r="F2538" t="s">
        <v>559</v>
      </c>
      <c r="G2538" t="s">
        <v>560</v>
      </c>
    </row>
    <row r="2539" spans="1:7">
      <c r="A2539" t="s">
        <v>182</v>
      </c>
      <c r="B2539" t="s">
        <v>557</v>
      </c>
      <c r="C2539" t="s">
        <v>558</v>
      </c>
      <c r="D2539" t="s">
        <v>3096</v>
      </c>
      <c r="E2539">
        <v>-2537</v>
      </c>
      <c r="F2539" t="s">
        <v>559</v>
      </c>
      <c r="G2539" t="s">
        <v>560</v>
      </c>
    </row>
    <row r="2540" spans="1:7">
      <c r="A2540" t="s">
        <v>182</v>
      </c>
      <c r="B2540" t="s">
        <v>557</v>
      </c>
      <c r="C2540" t="s">
        <v>558</v>
      </c>
      <c r="D2540" t="s">
        <v>3097</v>
      </c>
      <c r="E2540">
        <v>-2538</v>
      </c>
      <c r="F2540" t="s">
        <v>559</v>
      </c>
      <c r="G2540" t="s">
        <v>560</v>
      </c>
    </row>
    <row r="2541" spans="1:7">
      <c r="A2541" t="s">
        <v>182</v>
      </c>
      <c r="B2541" t="s">
        <v>557</v>
      </c>
      <c r="C2541" t="s">
        <v>558</v>
      </c>
      <c r="D2541" t="s">
        <v>3098</v>
      </c>
      <c r="E2541">
        <v>-2539</v>
      </c>
      <c r="F2541" t="s">
        <v>559</v>
      </c>
      <c r="G2541" t="s">
        <v>560</v>
      </c>
    </row>
    <row r="2542" spans="1:7">
      <c r="A2542" t="s">
        <v>182</v>
      </c>
      <c r="B2542" t="s">
        <v>557</v>
      </c>
      <c r="C2542" t="s">
        <v>558</v>
      </c>
      <c r="D2542" t="s">
        <v>3099</v>
      </c>
      <c r="E2542">
        <v>-2540</v>
      </c>
      <c r="F2542" t="s">
        <v>559</v>
      </c>
      <c r="G2542" t="s">
        <v>560</v>
      </c>
    </row>
    <row r="2543" spans="1:7">
      <c r="A2543" t="s">
        <v>182</v>
      </c>
      <c r="B2543" t="s">
        <v>557</v>
      </c>
      <c r="C2543" t="s">
        <v>558</v>
      </c>
      <c r="D2543" t="s">
        <v>3100</v>
      </c>
      <c r="E2543">
        <v>-2541</v>
      </c>
      <c r="F2543" t="s">
        <v>559</v>
      </c>
      <c r="G2543" t="s">
        <v>560</v>
      </c>
    </row>
    <row r="2544" spans="1:7">
      <c r="A2544" t="s">
        <v>182</v>
      </c>
      <c r="B2544" t="s">
        <v>557</v>
      </c>
      <c r="C2544" t="s">
        <v>558</v>
      </c>
      <c r="D2544" t="s">
        <v>3101</v>
      </c>
      <c r="E2544">
        <v>-2542</v>
      </c>
      <c r="F2544" t="s">
        <v>559</v>
      </c>
      <c r="G2544" t="s">
        <v>560</v>
      </c>
    </row>
    <row r="2545" spans="1:7">
      <c r="A2545" t="s">
        <v>182</v>
      </c>
      <c r="B2545" t="s">
        <v>557</v>
      </c>
      <c r="C2545" t="s">
        <v>558</v>
      </c>
      <c r="D2545" t="s">
        <v>3102</v>
      </c>
      <c r="E2545">
        <v>-2543</v>
      </c>
      <c r="F2545" t="s">
        <v>559</v>
      </c>
      <c r="G2545" t="s">
        <v>560</v>
      </c>
    </row>
    <row r="2546" spans="1:7">
      <c r="A2546" t="s">
        <v>182</v>
      </c>
      <c r="B2546" t="s">
        <v>557</v>
      </c>
      <c r="C2546" t="s">
        <v>558</v>
      </c>
      <c r="D2546" t="s">
        <v>3103</v>
      </c>
      <c r="E2546">
        <v>-2544</v>
      </c>
      <c r="F2546" t="s">
        <v>559</v>
      </c>
      <c r="G2546" t="s">
        <v>560</v>
      </c>
    </row>
    <row r="2547" spans="1:7">
      <c r="A2547" t="s">
        <v>182</v>
      </c>
      <c r="B2547" t="s">
        <v>557</v>
      </c>
      <c r="C2547" t="s">
        <v>558</v>
      </c>
      <c r="D2547" t="s">
        <v>3104</v>
      </c>
      <c r="E2547">
        <v>-2545</v>
      </c>
      <c r="F2547" t="s">
        <v>559</v>
      </c>
      <c r="G2547" t="s">
        <v>560</v>
      </c>
    </row>
    <row r="2548" spans="1:7">
      <c r="A2548" t="s">
        <v>182</v>
      </c>
      <c r="B2548" t="s">
        <v>557</v>
      </c>
      <c r="C2548" t="s">
        <v>558</v>
      </c>
      <c r="D2548" t="s">
        <v>3105</v>
      </c>
      <c r="E2548">
        <v>-2546</v>
      </c>
      <c r="F2548" t="s">
        <v>559</v>
      </c>
      <c r="G2548" t="s">
        <v>560</v>
      </c>
    </row>
    <row r="2549" spans="1:7">
      <c r="A2549" t="s">
        <v>182</v>
      </c>
      <c r="B2549" t="s">
        <v>557</v>
      </c>
      <c r="C2549" t="s">
        <v>558</v>
      </c>
      <c r="D2549" t="s">
        <v>3106</v>
      </c>
      <c r="E2549">
        <v>-2547</v>
      </c>
      <c r="F2549" t="s">
        <v>559</v>
      </c>
      <c r="G2549" t="s">
        <v>560</v>
      </c>
    </row>
    <row r="2550" spans="1:7">
      <c r="A2550" t="s">
        <v>182</v>
      </c>
      <c r="B2550" t="s">
        <v>557</v>
      </c>
      <c r="C2550" t="s">
        <v>558</v>
      </c>
      <c r="D2550" t="s">
        <v>3107</v>
      </c>
      <c r="E2550">
        <v>-2548</v>
      </c>
      <c r="F2550" t="s">
        <v>559</v>
      </c>
      <c r="G2550" t="s">
        <v>560</v>
      </c>
    </row>
    <row r="2551" spans="1:7">
      <c r="A2551" t="s">
        <v>182</v>
      </c>
      <c r="B2551" t="s">
        <v>557</v>
      </c>
      <c r="C2551" t="s">
        <v>558</v>
      </c>
      <c r="D2551" t="s">
        <v>3108</v>
      </c>
      <c r="E2551">
        <v>-2549</v>
      </c>
      <c r="F2551" t="s">
        <v>559</v>
      </c>
      <c r="G2551" t="s">
        <v>560</v>
      </c>
    </row>
    <row r="2552" spans="1:7">
      <c r="A2552" t="s">
        <v>182</v>
      </c>
      <c r="B2552" t="s">
        <v>557</v>
      </c>
      <c r="C2552" t="s">
        <v>558</v>
      </c>
      <c r="D2552" t="s">
        <v>3109</v>
      </c>
      <c r="E2552">
        <v>-2550</v>
      </c>
      <c r="F2552" t="s">
        <v>559</v>
      </c>
      <c r="G2552" t="s">
        <v>560</v>
      </c>
    </row>
    <row r="2553" spans="1:7">
      <c r="A2553" t="s">
        <v>182</v>
      </c>
      <c r="B2553" t="s">
        <v>557</v>
      </c>
      <c r="C2553" t="s">
        <v>558</v>
      </c>
      <c r="D2553" t="s">
        <v>3110</v>
      </c>
      <c r="E2553">
        <v>-2551</v>
      </c>
      <c r="F2553" t="s">
        <v>559</v>
      </c>
      <c r="G2553" t="s">
        <v>560</v>
      </c>
    </row>
    <row r="2554" spans="1:7">
      <c r="A2554" t="s">
        <v>182</v>
      </c>
      <c r="B2554" t="s">
        <v>557</v>
      </c>
      <c r="C2554" t="s">
        <v>558</v>
      </c>
      <c r="D2554" t="s">
        <v>3111</v>
      </c>
      <c r="E2554">
        <v>-2552</v>
      </c>
      <c r="F2554" t="s">
        <v>559</v>
      </c>
      <c r="G2554" t="s">
        <v>560</v>
      </c>
    </row>
    <row r="2555" spans="1:7">
      <c r="A2555" t="s">
        <v>182</v>
      </c>
      <c r="B2555" t="s">
        <v>557</v>
      </c>
      <c r="C2555" t="s">
        <v>558</v>
      </c>
      <c r="D2555" t="s">
        <v>3112</v>
      </c>
      <c r="E2555">
        <v>-2553</v>
      </c>
      <c r="F2555" t="s">
        <v>559</v>
      </c>
      <c r="G2555" t="s">
        <v>560</v>
      </c>
    </row>
    <row r="2556" spans="1:7">
      <c r="A2556" t="s">
        <v>182</v>
      </c>
      <c r="B2556" t="s">
        <v>557</v>
      </c>
      <c r="C2556" t="s">
        <v>558</v>
      </c>
      <c r="D2556" t="s">
        <v>3113</v>
      </c>
      <c r="E2556">
        <v>-2554</v>
      </c>
      <c r="F2556" t="s">
        <v>559</v>
      </c>
      <c r="G2556" t="s">
        <v>560</v>
      </c>
    </row>
    <row r="2557" spans="1:7">
      <c r="A2557" t="s">
        <v>182</v>
      </c>
      <c r="B2557" t="s">
        <v>557</v>
      </c>
      <c r="C2557" t="s">
        <v>558</v>
      </c>
      <c r="D2557" t="s">
        <v>3114</v>
      </c>
      <c r="E2557">
        <v>-2555</v>
      </c>
      <c r="F2557" t="s">
        <v>559</v>
      </c>
      <c r="G2557" t="s">
        <v>560</v>
      </c>
    </row>
    <row r="2558" spans="1:7">
      <c r="A2558" t="s">
        <v>182</v>
      </c>
      <c r="B2558" t="s">
        <v>557</v>
      </c>
      <c r="C2558" t="s">
        <v>558</v>
      </c>
      <c r="D2558" t="s">
        <v>3115</v>
      </c>
      <c r="E2558">
        <v>-2556</v>
      </c>
      <c r="F2558" t="s">
        <v>559</v>
      </c>
      <c r="G2558" t="s">
        <v>560</v>
      </c>
    </row>
    <row r="2559" spans="1:7">
      <c r="A2559" t="s">
        <v>182</v>
      </c>
      <c r="B2559" t="s">
        <v>557</v>
      </c>
      <c r="C2559" t="s">
        <v>558</v>
      </c>
      <c r="D2559" t="s">
        <v>3116</v>
      </c>
      <c r="E2559">
        <v>-2557</v>
      </c>
      <c r="F2559" t="s">
        <v>559</v>
      </c>
      <c r="G2559" t="s">
        <v>560</v>
      </c>
    </row>
    <row r="2560" spans="1:7">
      <c r="A2560" t="s">
        <v>182</v>
      </c>
      <c r="B2560" t="s">
        <v>557</v>
      </c>
      <c r="C2560" t="s">
        <v>558</v>
      </c>
      <c r="D2560" t="s">
        <v>3117</v>
      </c>
      <c r="E2560">
        <v>-2558</v>
      </c>
      <c r="F2560" t="s">
        <v>559</v>
      </c>
      <c r="G2560" t="s">
        <v>560</v>
      </c>
    </row>
    <row r="2561" spans="1:7">
      <c r="A2561" t="s">
        <v>182</v>
      </c>
      <c r="B2561" t="s">
        <v>557</v>
      </c>
      <c r="C2561" t="s">
        <v>558</v>
      </c>
      <c r="D2561" t="s">
        <v>3118</v>
      </c>
      <c r="E2561">
        <v>-2559</v>
      </c>
      <c r="F2561" t="s">
        <v>559</v>
      </c>
      <c r="G2561" t="s">
        <v>560</v>
      </c>
    </row>
    <row r="2562" spans="1:7">
      <c r="A2562" t="s">
        <v>182</v>
      </c>
      <c r="B2562" t="s">
        <v>557</v>
      </c>
      <c r="C2562" t="s">
        <v>558</v>
      </c>
      <c r="D2562" t="s">
        <v>3119</v>
      </c>
      <c r="E2562">
        <v>-2560</v>
      </c>
      <c r="F2562" t="s">
        <v>559</v>
      </c>
      <c r="G2562" t="s">
        <v>560</v>
      </c>
    </row>
    <row r="2563" spans="1:7">
      <c r="A2563" t="s">
        <v>182</v>
      </c>
      <c r="B2563" t="s">
        <v>557</v>
      </c>
      <c r="C2563" t="s">
        <v>558</v>
      </c>
      <c r="D2563" t="s">
        <v>3120</v>
      </c>
      <c r="E2563">
        <v>-2561</v>
      </c>
      <c r="F2563" t="s">
        <v>559</v>
      </c>
      <c r="G2563" t="s">
        <v>560</v>
      </c>
    </row>
    <row r="2564" spans="1:7">
      <c r="A2564" t="s">
        <v>182</v>
      </c>
      <c r="B2564" t="s">
        <v>557</v>
      </c>
      <c r="C2564" t="s">
        <v>558</v>
      </c>
      <c r="D2564" t="s">
        <v>3121</v>
      </c>
      <c r="E2564">
        <v>-2562</v>
      </c>
      <c r="F2564" t="s">
        <v>559</v>
      </c>
      <c r="G2564" t="s">
        <v>560</v>
      </c>
    </row>
    <row r="2565" spans="1:7">
      <c r="A2565" t="s">
        <v>182</v>
      </c>
      <c r="B2565" t="s">
        <v>557</v>
      </c>
      <c r="C2565" t="s">
        <v>558</v>
      </c>
      <c r="D2565" t="s">
        <v>3122</v>
      </c>
      <c r="E2565">
        <v>-2563</v>
      </c>
      <c r="F2565" t="s">
        <v>559</v>
      </c>
      <c r="G2565" t="s">
        <v>560</v>
      </c>
    </row>
    <row r="2566" spans="1:7">
      <c r="A2566" t="s">
        <v>182</v>
      </c>
      <c r="B2566" t="s">
        <v>557</v>
      </c>
      <c r="C2566" t="s">
        <v>558</v>
      </c>
      <c r="D2566" t="s">
        <v>3123</v>
      </c>
      <c r="E2566">
        <v>-2564</v>
      </c>
      <c r="F2566" t="s">
        <v>559</v>
      </c>
      <c r="G2566" t="s">
        <v>560</v>
      </c>
    </row>
    <row r="2567" spans="1:7">
      <c r="A2567" t="s">
        <v>182</v>
      </c>
      <c r="B2567" t="s">
        <v>557</v>
      </c>
      <c r="C2567" t="s">
        <v>558</v>
      </c>
      <c r="D2567" t="s">
        <v>3124</v>
      </c>
      <c r="E2567">
        <v>-2565</v>
      </c>
      <c r="F2567" t="s">
        <v>559</v>
      </c>
      <c r="G2567" t="s">
        <v>560</v>
      </c>
    </row>
    <row r="2568" spans="1:7">
      <c r="A2568" t="s">
        <v>182</v>
      </c>
      <c r="B2568" t="s">
        <v>557</v>
      </c>
      <c r="C2568" t="s">
        <v>558</v>
      </c>
      <c r="D2568" t="s">
        <v>3125</v>
      </c>
      <c r="E2568">
        <v>-2566</v>
      </c>
      <c r="F2568" t="s">
        <v>559</v>
      </c>
      <c r="G2568" t="s">
        <v>560</v>
      </c>
    </row>
    <row r="2569" spans="1:7">
      <c r="A2569" t="s">
        <v>182</v>
      </c>
      <c r="B2569" t="s">
        <v>557</v>
      </c>
      <c r="C2569" t="s">
        <v>558</v>
      </c>
      <c r="D2569" t="s">
        <v>3126</v>
      </c>
      <c r="E2569">
        <v>-2567</v>
      </c>
      <c r="F2569" t="s">
        <v>559</v>
      </c>
      <c r="G2569" t="s">
        <v>560</v>
      </c>
    </row>
    <row r="2570" spans="1:7">
      <c r="A2570" t="s">
        <v>182</v>
      </c>
      <c r="B2570" t="s">
        <v>557</v>
      </c>
      <c r="C2570" t="s">
        <v>558</v>
      </c>
      <c r="D2570" t="s">
        <v>3127</v>
      </c>
      <c r="E2570">
        <v>-2568</v>
      </c>
      <c r="F2570" t="s">
        <v>559</v>
      </c>
      <c r="G2570" t="s">
        <v>560</v>
      </c>
    </row>
    <row r="2571" spans="1:7">
      <c r="A2571" t="s">
        <v>182</v>
      </c>
      <c r="B2571" t="s">
        <v>557</v>
      </c>
      <c r="C2571" t="s">
        <v>558</v>
      </c>
      <c r="D2571" t="s">
        <v>3128</v>
      </c>
      <c r="E2571">
        <v>-2569</v>
      </c>
      <c r="F2571" t="s">
        <v>559</v>
      </c>
      <c r="G2571" t="s">
        <v>560</v>
      </c>
    </row>
    <row r="2572" spans="1:7">
      <c r="A2572" t="s">
        <v>182</v>
      </c>
      <c r="B2572" t="s">
        <v>557</v>
      </c>
      <c r="C2572" t="s">
        <v>558</v>
      </c>
      <c r="D2572" t="s">
        <v>3129</v>
      </c>
      <c r="E2572">
        <v>-2570</v>
      </c>
      <c r="F2572" t="s">
        <v>559</v>
      </c>
      <c r="G2572" t="s">
        <v>560</v>
      </c>
    </row>
    <row r="2573" spans="1:7">
      <c r="A2573" t="s">
        <v>182</v>
      </c>
      <c r="B2573" t="s">
        <v>557</v>
      </c>
      <c r="C2573" t="s">
        <v>558</v>
      </c>
      <c r="D2573" t="s">
        <v>3130</v>
      </c>
      <c r="E2573">
        <v>-2571</v>
      </c>
      <c r="F2573" t="s">
        <v>559</v>
      </c>
      <c r="G2573" t="s">
        <v>560</v>
      </c>
    </row>
    <row r="2574" spans="1:7">
      <c r="A2574" t="s">
        <v>182</v>
      </c>
      <c r="B2574" t="s">
        <v>557</v>
      </c>
      <c r="C2574" t="s">
        <v>558</v>
      </c>
      <c r="D2574" t="s">
        <v>3131</v>
      </c>
      <c r="E2574">
        <v>-2572</v>
      </c>
      <c r="F2574" t="s">
        <v>559</v>
      </c>
      <c r="G2574" t="s">
        <v>560</v>
      </c>
    </row>
    <row r="2575" spans="1:7">
      <c r="A2575" t="s">
        <v>182</v>
      </c>
      <c r="B2575" t="s">
        <v>557</v>
      </c>
      <c r="C2575" t="s">
        <v>558</v>
      </c>
      <c r="D2575" t="s">
        <v>3132</v>
      </c>
      <c r="E2575">
        <v>-2573</v>
      </c>
      <c r="F2575" t="s">
        <v>559</v>
      </c>
      <c r="G2575" t="s">
        <v>560</v>
      </c>
    </row>
    <row r="2576" spans="1:7">
      <c r="A2576" t="s">
        <v>182</v>
      </c>
      <c r="B2576" t="s">
        <v>557</v>
      </c>
      <c r="C2576" t="s">
        <v>558</v>
      </c>
      <c r="D2576" t="s">
        <v>3133</v>
      </c>
      <c r="E2576">
        <v>-2574</v>
      </c>
      <c r="F2576" t="s">
        <v>559</v>
      </c>
      <c r="G2576" t="s">
        <v>560</v>
      </c>
    </row>
    <row r="2577" spans="1:7">
      <c r="A2577" t="s">
        <v>182</v>
      </c>
      <c r="B2577" t="s">
        <v>557</v>
      </c>
      <c r="C2577" t="s">
        <v>558</v>
      </c>
      <c r="D2577" t="s">
        <v>3134</v>
      </c>
      <c r="E2577">
        <v>-2575</v>
      </c>
      <c r="F2577" t="s">
        <v>559</v>
      </c>
      <c r="G2577" t="s">
        <v>560</v>
      </c>
    </row>
    <row r="2578" spans="1:7">
      <c r="A2578" t="s">
        <v>182</v>
      </c>
      <c r="B2578" t="s">
        <v>557</v>
      </c>
      <c r="C2578" t="s">
        <v>558</v>
      </c>
      <c r="D2578" t="s">
        <v>3135</v>
      </c>
      <c r="E2578">
        <v>-2576</v>
      </c>
      <c r="F2578" t="s">
        <v>559</v>
      </c>
      <c r="G2578" t="s">
        <v>560</v>
      </c>
    </row>
    <row r="2579" spans="1:7">
      <c r="A2579" t="s">
        <v>182</v>
      </c>
      <c r="B2579" t="s">
        <v>557</v>
      </c>
      <c r="C2579" t="s">
        <v>558</v>
      </c>
      <c r="D2579" t="s">
        <v>3136</v>
      </c>
      <c r="E2579">
        <v>-2577</v>
      </c>
      <c r="F2579" t="s">
        <v>559</v>
      </c>
      <c r="G2579" t="s">
        <v>560</v>
      </c>
    </row>
    <row r="2580" spans="1:7">
      <c r="A2580" t="s">
        <v>182</v>
      </c>
      <c r="B2580" t="s">
        <v>557</v>
      </c>
      <c r="C2580" t="s">
        <v>558</v>
      </c>
      <c r="D2580" t="s">
        <v>3137</v>
      </c>
      <c r="E2580">
        <v>-2578</v>
      </c>
      <c r="F2580" t="s">
        <v>559</v>
      </c>
      <c r="G2580" t="s">
        <v>560</v>
      </c>
    </row>
    <row r="2581" spans="1:7">
      <c r="A2581" t="s">
        <v>182</v>
      </c>
      <c r="B2581" t="s">
        <v>557</v>
      </c>
      <c r="C2581" t="s">
        <v>558</v>
      </c>
      <c r="D2581" t="s">
        <v>3138</v>
      </c>
      <c r="E2581">
        <v>-2579</v>
      </c>
      <c r="F2581" t="s">
        <v>559</v>
      </c>
      <c r="G2581" t="s">
        <v>560</v>
      </c>
    </row>
    <row r="2582" spans="1:7">
      <c r="A2582" t="s">
        <v>182</v>
      </c>
      <c r="B2582" t="s">
        <v>557</v>
      </c>
      <c r="C2582" t="s">
        <v>558</v>
      </c>
      <c r="D2582" t="s">
        <v>3139</v>
      </c>
      <c r="E2582">
        <v>-2580</v>
      </c>
      <c r="F2582" t="s">
        <v>559</v>
      </c>
      <c r="G2582" t="s">
        <v>560</v>
      </c>
    </row>
    <row r="2583" spans="1:7">
      <c r="A2583" t="s">
        <v>182</v>
      </c>
      <c r="B2583" t="s">
        <v>557</v>
      </c>
      <c r="C2583" t="s">
        <v>558</v>
      </c>
      <c r="D2583" t="s">
        <v>3140</v>
      </c>
      <c r="E2583">
        <v>-2581</v>
      </c>
      <c r="F2583" t="s">
        <v>559</v>
      </c>
      <c r="G2583" t="s">
        <v>560</v>
      </c>
    </row>
    <row r="2584" spans="1:7">
      <c r="A2584" t="s">
        <v>182</v>
      </c>
      <c r="B2584" t="s">
        <v>557</v>
      </c>
      <c r="C2584" t="s">
        <v>558</v>
      </c>
      <c r="D2584" t="s">
        <v>3141</v>
      </c>
      <c r="E2584">
        <v>-2582</v>
      </c>
      <c r="F2584" t="s">
        <v>559</v>
      </c>
      <c r="G2584" t="s">
        <v>560</v>
      </c>
    </row>
    <row r="2585" spans="1:7">
      <c r="A2585" t="s">
        <v>182</v>
      </c>
      <c r="B2585" t="s">
        <v>557</v>
      </c>
      <c r="C2585" t="s">
        <v>558</v>
      </c>
      <c r="D2585" t="s">
        <v>3142</v>
      </c>
      <c r="E2585">
        <v>-2583</v>
      </c>
      <c r="F2585" t="s">
        <v>559</v>
      </c>
      <c r="G2585" t="s">
        <v>560</v>
      </c>
    </row>
    <row r="2586" spans="1:7">
      <c r="A2586" t="s">
        <v>182</v>
      </c>
      <c r="B2586" t="s">
        <v>557</v>
      </c>
      <c r="C2586" t="s">
        <v>558</v>
      </c>
      <c r="D2586" t="s">
        <v>3143</v>
      </c>
      <c r="E2586">
        <v>-2584</v>
      </c>
      <c r="F2586" t="s">
        <v>559</v>
      </c>
      <c r="G2586" t="s">
        <v>560</v>
      </c>
    </row>
    <row r="2587" spans="1:7">
      <c r="A2587" t="s">
        <v>182</v>
      </c>
      <c r="B2587" t="s">
        <v>557</v>
      </c>
      <c r="C2587" t="s">
        <v>558</v>
      </c>
      <c r="D2587" t="s">
        <v>3144</v>
      </c>
      <c r="E2587">
        <v>-2585</v>
      </c>
      <c r="F2587" t="s">
        <v>559</v>
      </c>
      <c r="G2587" t="s">
        <v>560</v>
      </c>
    </row>
    <row r="2588" spans="1:7">
      <c r="A2588" t="s">
        <v>182</v>
      </c>
      <c r="B2588" t="s">
        <v>557</v>
      </c>
      <c r="C2588" t="s">
        <v>558</v>
      </c>
      <c r="D2588" t="s">
        <v>3145</v>
      </c>
      <c r="E2588">
        <v>-2586</v>
      </c>
      <c r="F2588" t="s">
        <v>559</v>
      </c>
      <c r="G2588" t="s">
        <v>560</v>
      </c>
    </row>
    <row r="2589" spans="1:7">
      <c r="A2589" t="s">
        <v>182</v>
      </c>
      <c r="B2589" t="s">
        <v>557</v>
      </c>
      <c r="C2589" t="s">
        <v>558</v>
      </c>
      <c r="D2589" t="s">
        <v>3146</v>
      </c>
      <c r="E2589">
        <v>-2587</v>
      </c>
      <c r="F2589" t="s">
        <v>559</v>
      </c>
      <c r="G2589" t="s">
        <v>560</v>
      </c>
    </row>
    <row r="2590" spans="1:7">
      <c r="A2590" t="s">
        <v>182</v>
      </c>
      <c r="B2590" t="s">
        <v>557</v>
      </c>
      <c r="C2590" t="s">
        <v>558</v>
      </c>
      <c r="D2590" t="s">
        <v>3147</v>
      </c>
      <c r="E2590">
        <v>-2588</v>
      </c>
      <c r="F2590" t="s">
        <v>559</v>
      </c>
      <c r="G2590" t="s">
        <v>560</v>
      </c>
    </row>
    <row r="2591" spans="1:7">
      <c r="A2591" t="s">
        <v>182</v>
      </c>
      <c r="B2591" t="s">
        <v>557</v>
      </c>
      <c r="C2591" t="s">
        <v>558</v>
      </c>
      <c r="D2591" t="s">
        <v>3148</v>
      </c>
      <c r="E2591">
        <v>-2589</v>
      </c>
      <c r="F2591" t="s">
        <v>559</v>
      </c>
      <c r="G2591" t="s">
        <v>560</v>
      </c>
    </row>
    <row r="2592" spans="1:7">
      <c r="A2592" t="s">
        <v>182</v>
      </c>
      <c r="B2592" t="s">
        <v>557</v>
      </c>
      <c r="C2592" t="s">
        <v>558</v>
      </c>
      <c r="D2592" t="s">
        <v>3149</v>
      </c>
      <c r="E2592">
        <v>-2590</v>
      </c>
      <c r="F2592" t="s">
        <v>559</v>
      </c>
      <c r="G2592" t="s">
        <v>560</v>
      </c>
    </row>
    <row r="2593" spans="1:7">
      <c r="A2593" t="s">
        <v>182</v>
      </c>
      <c r="B2593" t="s">
        <v>557</v>
      </c>
      <c r="C2593" t="s">
        <v>558</v>
      </c>
      <c r="D2593" t="s">
        <v>3150</v>
      </c>
      <c r="E2593">
        <v>-2591</v>
      </c>
      <c r="F2593" t="s">
        <v>559</v>
      </c>
      <c r="G2593" t="s">
        <v>560</v>
      </c>
    </row>
    <row r="2594" spans="1:7">
      <c r="A2594" t="s">
        <v>182</v>
      </c>
      <c r="B2594" t="s">
        <v>557</v>
      </c>
      <c r="C2594" t="s">
        <v>558</v>
      </c>
      <c r="D2594" t="s">
        <v>3151</v>
      </c>
      <c r="E2594">
        <v>-2592</v>
      </c>
      <c r="F2594" t="s">
        <v>559</v>
      </c>
      <c r="G2594" t="s">
        <v>560</v>
      </c>
    </row>
    <row r="2595" spans="1:7">
      <c r="A2595" t="s">
        <v>182</v>
      </c>
      <c r="B2595" t="s">
        <v>557</v>
      </c>
      <c r="C2595" t="s">
        <v>558</v>
      </c>
      <c r="D2595" t="s">
        <v>3152</v>
      </c>
      <c r="E2595">
        <v>-2593</v>
      </c>
      <c r="F2595" t="s">
        <v>559</v>
      </c>
      <c r="G2595" t="s">
        <v>560</v>
      </c>
    </row>
    <row r="2596" spans="1:7">
      <c r="A2596" t="s">
        <v>182</v>
      </c>
      <c r="B2596" t="s">
        <v>557</v>
      </c>
      <c r="C2596" t="s">
        <v>558</v>
      </c>
      <c r="D2596" t="s">
        <v>3153</v>
      </c>
      <c r="E2596">
        <v>-2594</v>
      </c>
      <c r="F2596" t="s">
        <v>559</v>
      </c>
      <c r="G2596" t="s">
        <v>560</v>
      </c>
    </row>
    <row r="2597" spans="1:7">
      <c r="A2597" t="s">
        <v>182</v>
      </c>
      <c r="B2597" t="s">
        <v>557</v>
      </c>
      <c r="C2597" t="s">
        <v>558</v>
      </c>
      <c r="D2597" t="s">
        <v>3154</v>
      </c>
      <c r="E2597">
        <v>-2595</v>
      </c>
      <c r="F2597" t="s">
        <v>559</v>
      </c>
      <c r="G2597" t="s">
        <v>560</v>
      </c>
    </row>
    <row r="2598" spans="1:7">
      <c r="A2598" t="s">
        <v>182</v>
      </c>
      <c r="B2598" t="s">
        <v>557</v>
      </c>
      <c r="C2598" t="s">
        <v>558</v>
      </c>
      <c r="D2598" t="s">
        <v>3155</v>
      </c>
      <c r="E2598">
        <v>-2596</v>
      </c>
      <c r="F2598" t="s">
        <v>559</v>
      </c>
      <c r="G2598" t="s">
        <v>560</v>
      </c>
    </row>
    <row r="2599" spans="1:7">
      <c r="A2599" t="s">
        <v>182</v>
      </c>
      <c r="B2599" t="s">
        <v>557</v>
      </c>
      <c r="C2599" t="s">
        <v>558</v>
      </c>
      <c r="D2599" t="s">
        <v>3156</v>
      </c>
      <c r="E2599">
        <v>-2597</v>
      </c>
      <c r="F2599" t="s">
        <v>559</v>
      </c>
      <c r="G2599" t="s">
        <v>560</v>
      </c>
    </row>
    <row r="2600" spans="1:7">
      <c r="A2600" t="s">
        <v>182</v>
      </c>
      <c r="B2600" t="s">
        <v>557</v>
      </c>
      <c r="C2600" t="s">
        <v>558</v>
      </c>
      <c r="D2600" t="s">
        <v>3157</v>
      </c>
      <c r="E2600">
        <v>-2598</v>
      </c>
      <c r="F2600" t="s">
        <v>559</v>
      </c>
      <c r="G2600" t="s">
        <v>560</v>
      </c>
    </row>
    <row r="2601" spans="1:7">
      <c r="A2601" t="s">
        <v>182</v>
      </c>
      <c r="B2601" t="s">
        <v>557</v>
      </c>
      <c r="C2601" t="s">
        <v>558</v>
      </c>
      <c r="D2601" t="s">
        <v>3158</v>
      </c>
      <c r="E2601">
        <v>-2599</v>
      </c>
      <c r="F2601" t="s">
        <v>559</v>
      </c>
      <c r="G2601" t="s">
        <v>560</v>
      </c>
    </row>
    <row r="2602" spans="1:7">
      <c r="A2602" t="s">
        <v>182</v>
      </c>
      <c r="B2602" t="s">
        <v>557</v>
      </c>
      <c r="C2602" t="s">
        <v>558</v>
      </c>
      <c r="D2602" t="s">
        <v>3159</v>
      </c>
      <c r="E2602">
        <v>-2600</v>
      </c>
      <c r="F2602" t="s">
        <v>559</v>
      </c>
      <c r="G2602" t="s">
        <v>560</v>
      </c>
    </row>
    <row r="2603" spans="1:7">
      <c r="A2603" t="s">
        <v>182</v>
      </c>
      <c r="B2603" t="s">
        <v>557</v>
      </c>
      <c r="C2603" t="s">
        <v>558</v>
      </c>
      <c r="D2603" t="s">
        <v>3160</v>
      </c>
      <c r="E2603">
        <v>-2601</v>
      </c>
      <c r="F2603" t="s">
        <v>559</v>
      </c>
      <c r="G2603" t="s">
        <v>560</v>
      </c>
    </row>
    <row r="2604" spans="1:7">
      <c r="A2604" t="s">
        <v>182</v>
      </c>
      <c r="B2604" t="s">
        <v>557</v>
      </c>
      <c r="C2604" t="s">
        <v>558</v>
      </c>
      <c r="D2604" t="s">
        <v>3161</v>
      </c>
      <c r="E2604">
        <v>-2602</v>
      </c>
      <c r="F2604" t="s">
        <v>559</v>
      </c>
      <c r="G2604" t="s">
        <v>560</v>
      </c>
    </row>
    <row r="2605" spans="1:7">
      <c r="A2605" t="s">
        <v>182</v>
      </c>
      <c r="B2605" t="s">
        <v>557</v>
      </c>
      <c r="C2605" t="s">
        <v>558</v>
      </c>
      <c r="D2605" t="s">
        <v>3162</v>
      </c>
      <c r="E2605">
        <v>-2603</v>
      </c>
      <c r="F2605" t="s">
        <v>559</v>
      </c>
      <c r="G2605" t="s">
        <v>560</v>
      </c>
    </row>
    <row r="2606" spans="1:7">
      <c r="A2606" t="s">
        <v>182</v>
      </c>
      <c r="B2606" t="s">
        <v>557</v>
      </c>
      <c r="C2606" t="s">
        <v>558</v>
      </c>
      <c r="D2606" t="s">
        <v>3163</v>
      </c>
      <c r="E2606">
        <v>-2604</v>
      </c>
      <c r="F2606" t="s">
        <v>559</v>
      </c>
      <c r="G2606" t="s">
        <v>560</v>
      </c>
    </row>
    <row r="2607" spans="1:7">
      <c r="A2607" t="s">
        <v>182</v>
      </c>
      <c r="B2607" t="s">
        <v>557</v>
      </c>
      <c r="C2607" t="s">
        <v>558</v>
      </c>
      <c r="D2607" t="s">
        <v>3164</v>
      </c>
      <c r="E2607">
        <v>-2605</v>
      </c>
      <c r="F2607" t="s">
        <v>559</v>
      </c>
      <c r="G2607" t="s">
        <v>560</v>
      </c>
    </row>
    <row r="2608" spans="1:7">
      <c r="A2608" t="s">
        <v>182</v>
      </c>
      <c r="B2608" t="s">
        <v>557</v>
      </c>
      <c r="C2608" t="s">
        <v>558</v>
      </c>
      <c r="D2608" t="s">
        <v>3165</v>
      </c>
      <c r="E2608">
        <v>-2606</v>
      </c>
      <c r="F2608" t="s">
        <v>559</v>
      </c>
      <c r="G2608" t="s">
        <v>560</v>
      </c>
    </row>
    <row r="2609" spans="1:7">
      <c r="A2609" t="s">
        <v>182</v>
      </c>
      <c r="B2609" t="s">
        <v>557</v>
      </c>
      <c r="C2609" t="s">
        <v>558</v>
      </c>
      <c r="D2609" t="s">
        <v>3166</v>
      </c>
      <c r="E2609">
        <v>-2607</v>
      </c>
      <c r="F2609" t="s">
        <v>559</v>
      </c>
      <c r="G2609" t="s">
        <v>560</v>
      </c>
    </row>
    <row r="2610" spans="1:7">
      <c r="A2610" t="s">
        <v>182</v>
      </c>
      <c r="B2610" t="s">
        <v>557</v>
      </c>
      <c r="C2610" t="s">
        <v>558</v>
      </c>
      <c r="D2610" t="s">
        <v>3167</v>
      </c>
      <c r="E2610">
        <v>-2608</v>
      </c>
      <c r="F2610" t="s">
        <v>559</v>
      </c>
      <c r="G2610" t="s">
        <v>560</v>
      </c>
    </row>
    <row r="2611" spans="1:7">
      <c r="A2611" t="s">
        <v>182</v>
      </c>
      <c r="B2611" t="s">
        <v>557</v>
      </c>
      <c r="C2611" t="s">
        <v>558</v>
      </c>
      <c r="D2611" t="s">
        <v>3168</v>
      </c>
      <c r="E2611">
        <v>-2609</v>
      </c>
      <c r="F2611" t="s">
        <v>559</v>
      </c>
      <c r="G2611" t="s">
        <v>560</v>
      </c>
    </row>
    <row r="2612" spans="1:7">
      <c r="A2612" t="s">
        <v>182</v>
      </c>
      <c r="B2612" t="s">
        <v>557</v>
      </c>
      <c r="C2612" t="s">
        <v>558</v>
      </c>
      <c r="D2612" t="s">
        <v>3169</v>
      </c>
      <c r="E2612">
        <v>-2610</v>
      </c>
      <c r="F2612" t="s">
        <v>559</v>
      </c>
      <c r="G2612" t="s">
        <v>560</v>
      </c>
    </row>
    <row r="2613" spans="1:7">
      <c r="A2613" t="s">
        <v>182</v>
      </c>
      <c r="B2613" t="s">
        <v>557</v>
      </c>
      <c r="C2613" t="s">
        <v>558</v>
      </c>
      <c r="D2613" t="s">
        <v>3170</v>
      </c>
      <c r="E2613">
        <v>-2611</v>
      </c>
      <c r="F2613" t="s">
        <v>559</v>
      </c>
      <c r="G2613" t="s">
        <v>560</v>
      </c>
    </row>
    <row r="2614" spans="1:7">
      <c r="A2614" t="s">
        <v>182</v>
      </c>
      <c r="B2614" t="s">
        <v>557</v>
      </c>
      <c r="C2614" t="s">
        <v>558</v>
      </c>
      <c r="D2614" t="s">
        <v>3171</v>
      </c>
      <c r="E2614">
        <v>-2612</v>
      </c>
      <c r="F2614" t="s">
        <v>559</v>
      </c>
      <c r="G2614" t="s">
        <v>560</v>
      </c>
    </row>
    <row r="2615" spans="1:7">
      <c r="A2615" t="s">
        <v>182</v>
      </c>
      <c r="B2615" t="s">
        <v>557</v>
      </c>
      <c r="C2615" t="s">
        <v>558</v>
      </c>
      <c r="D2615" t="s">
        <v>3172</v>
      </c>
      <c r="E2615">
        <v>-2613</v>
      </c>
      <c r="F2615" t="s">
        <v>559</v>
      </c>
      <c r="G2615" t="s">
        <v>560</v>
      </c>
    </row>
    <row r="2616" spans="1:7">
      <c r="A2616" t="s">
        <v>182</v>
      </c>
      <c r="B2616" t="s">
        <v>557</v>
      </c>
      <c r="C2616" t="s">
        <v>558</v>
      </c>
      <c r="D2616" t="s">
        <v>3173</v>
      </c>
      <c r="E2616">
        <v>-2614</v>
      </c>
      <c r="F2616" t="s">
        <v>559</v>
      </c>
      <c r="G2616" t="s">
        <v>560</v>
      </c>
    </row>
    <row r="2617" spans="1:7">
      <c r="A2617" t="s">
        <v>182</v>
      </c>
      <c r="B2617" t="s">
        <v>557</v>
      </c>
      <c r="C2617" t="s">
        <v>558</v>
      </c>
      <c r="D2617" t="s">
        <v>3174</v>
      </c>
      <c r="E2617">
        <v>-2615</v>
      </c>
      <c r="F2617" t="s">
        <v>559</v>
      </c>
      <c r="G2617" t="s">
        <v>560</v>
      </c>
    </row>
    <row r="2618" spans="1:7">
      <c r="A2618" t="s">
        <v>182</v>
      </c>
      <c r="B2618" t="s">
        <v>557</v>
      </c>
      <c r="C2618" t="s">
        <v>558</v>
      </c>
      <c r="D2618" t="s">
        <v>3175</v>
      </c>
      <c r="E2618">
        <v>-2616</v>
      </c>
      <c r="F2618" t="s">
        <v>559</v>
      </c>
      <c r="G2618" t="s">
        <v>560</v>
      </c>
    </row>
    <row r="2619" spans="1:7">
      <c r="A2619" t="s">
        <v>182</v>
      </c>
      <c r="B2619" t="s">
        <v>557</v>
      </c>
      <c r="C2619" t="s">
        <v>558</v>
      </c>
      <c r="D2619" t="s">
        <v>3176</v>
      </c>
      <c r="E2619">
        <v>-2617</v>
      </c>
      <c r="F2619" t="s">
        <v>559</v>
      </c>
      <c r="G2619" t="s">
        <v>560</v>
      </c>
    </row>
    <row r="2620" spans="1:7">
      <c r="A2620" t="s">
        <v>182</v>
      </c>
      <c r="B2620" t="s">
        <v>557</v>
      </c>
      <c r="C2620" t="s">
        <v>558</v>
      </c>
      <c r="D2620" t="s">
        <v>3177</v>
      </c>
      <c r="E2620">
        <v>-2618</v>
      </c>
      <c r="F2620" t="s">
        <v>559</v>
      </c>
      <c r="G2620" t="s">
        <v>560</v>
      </c>
    </row>
    <row r="2621" spans="1:7">
      <c r="A2621" t="s">
        <v>182</v>
      </c>
      <c r="B2621" t="s">
        <v>557</v>
      </c>
      <c r="C2621" t="s">
        <v>558</v>
      </c>
      <c r="D2621" t="s">
        <v>3178</v>
      </c>
      <c r="E2621">
        <v>-2619</v>
      </c>
      <c r="F2621" t="s">
        <v>559</v>
      </c>
      <c r="G2621" t="s">
        <v>560</v>
      </c>
    </row>
    <row r="2622" spans="1:7">
      <c r="A2622" t="s">
        <v>182</v>
      </c>
      <c r="B2622" t="s">
        <v>557</v>
      </c>
      <c r="C2622" t="s">
        <v>558</v>
      </c>
      <c r="D2622" t="s">
        <v>3179</v>
      </c>
      <c r="E2622">
        <v>-2620</v>
      </c>
      <c r="F2622" t="s">
        <v>559</v>
      </c>
      <c r="G2622" t="s">
        <v>560</v>
      </c>
    </row>
    <row r="2623" spans="1:7">
      <c r="A2623" t="s">
        <v>182</v>
      </c>
      <c r="B2623" t="s">
        <v>557</v>
      </c>
      <c r="C2623" t="s">
        <v>558</v>
      </c>
      <c r="D2623" t="s">
        <v>3180</v>
      </c>
      <c r="E2623">
        <v>-2621</v>
      </c>
      <c r="F2623" t="s">
        <v>559</v>
      </c>
      <c r="G2623" t="s">
        <v>560</v>
      </c>
    </row>
    <row r="2624" spans="1:7">
      <c r="A2624" t="s">
        <v>182</v>
      </c>
      <c r="B2624" t="s">
        <v>557</v>
      </c>
      <c r="C2624" t="s">
        <v>558</v>
      </c>
      <c r="D2624" t="s">
        <v>3181</v>
      </c>
      <c r="E2624">
        <v>-2622</v>
      </c>
      <c r="F2624" t="s">
        <v>559</v>
      </c>
      <c r="G2624" t="s">
        <v>560</v>
      </c>
    </row>
    <row r="2625" spans="1:7">
      <c r="A2625" t="s">
        <v>182</v>
      </c>
      <c r="B2625" t="s">
        <v>557</v>
      </c>
      <c r="C2625" t="s">
        <v>558</v>
      </c>
      <c r="D2625" t="s">
        <v>3182</v>
      </c>
      <c r="E2625">
        <v>-2623</v>
      </c>
      <c r="F2625" t="s">
        <v>559</v>
      </c>
      <c r="G2625" t="s">
        <v>560</v>
      </c>
    </row>
    <row r="2626" spans="1:7">
      <c r="A2626" t="s">
        <v>182</v>
      </c>
      <c r="B2626" t="s">
        <v>557</v>
      </c>
      <c r="C2626" t="s">
        <v>558</v>
      </c>
      <c r="D2626" t="s">
        <v>3183</v>
      </c>
      <c r="E2626">
        <v>-2624</v>
      </c>
      <c r="F2626" t="s">
        <v>559</v>
      </c>
      <c r="G2626" t="s">
        <v>560</v>
      </c>
    </row>
    <row r="2627" spans="1:7">
      <c r="A2627" t="s">
        <v>182</v>
      </c>
      <c r="B2627" t="s">
        <v>557</v>
      </c>
      <c r="C2627" t="s">
        <v>558</v>
      </c>
      <c r="D2627" t="s">
        <v>3184</v>
      </c>
      <c r="E2627">
        <v>-2625</v>
      </c>
      <c r="F2627" t="s">
        <v>559</v>
      </c>
      <c r="G2627" t="s">
        <v>560</v>
      </c>
    </row>
    <row r="2628" spans="1:7">
      <c r="A2628" t="s">
        <v>182</v>
      </c>
      <c r="B2628" t="s">
        <v>557</v>
      </c>
      <c r="C2628" t="s">
        <v>558</v>
      </c>
      <c r="D2628" t="s">
        <v>3185</v>
      </c>
      <c r="E2628">
        <v>-2626</v>
      </c>
      <c r="F2628" t="s">
        <v>559</v>
      </c>
      <c r="G2628" t="s">
        <v>560</v>
      </c>
    </row>
    <row r="2629" spans="1:7">
      <c r="A2629" t="s">
        <v>182</v>
      </c>
      <c r="B2629" t="s">
        <v>557</v>
      </c>
      <c r="C2629" t="s">
        <v>558</v>
      </c>
      <c r="D2629" t="s">
        <v>3186</v>
      </c>
      <c r="E2629">
        <v>-2627</v>
      </c>
      <c r="F2629" t="s">
        <v>559</v>
      </c>
      <c r="G2629" t="s">
        <v>560</v>
      </c>
    </row>
    <row r="2630" spans="1:7">
      <c r="A2630" t="s">
        <v>182</v>
      </c>
      <c r="B2630" t="s">
        <v>557</v>
      </c>
      <c r="C2630" t="s">
        <v>558</v>
      </c>
      <c r="D2630" t="s">
        <v>3187</v>
      </c>
      <c r="E2630">
        <v>-2628</v>
      </c>
      <c r="F2630" t="s">
        <v>559</v>
      </c>
      <c r="G2630" t="s">
        <v>560</v>
      </c>
    </row>
    <row r="2631" spans="1:7">
      <c r="A2631" t="s">
        <v>182</v>
      </c>
      <c r="B2631" t="s">
        <v>557</v>
      </c>
      <c r="C2631" t="s">
        <v>558</v>
      </c>
      <c r="D2631" t="s">
        <v>3188</v>
      </c>
      <c r="E2631">
        <v>-2629</v>
      </c>
      <c r="F2631" t="s">
        <v>559</v>
      </c>
      <c r="G2631" t="s">
        <v>560</v>
      </c>
    </row>
    <row r="2632" spans="1:7">
      <c r="A2632" t="s">
        <v>182</v>
      </c>
      <c r="B2632" t="s">
        <v>557</v>
      </c>
      <c r="C2632" t="s">
        <v>558</v>
      </c>
      <c r="D2632" t="s">
        <v>3189</v>
      </c>
      <c r="E2632">
        <v>-2630</v>
      </c>
      <c r="F2632" t="s">
        <v>559</v>
      </c>
      <c r="G2632" t="s">
        <v>560</v>
      </c>
    </row>
    <row r="2633" spans="1:7">
      <c r="A2633" t="s">
        <v>182</v>
      </c>
      <c r="B2633" t="s">
        <v>557</v>
      </c>
      <c r="C2633" t="s">
        <v>558</v>
      </c>
      <c r="D2633" t="s">
        <v>3190</v>
      </c>
      <c r="E2633">
        <v>-2631</v>
      </c>
      <c r="F2633" t="s">
        <v>559</v>
      </c>
      <c r="G2633" t="s">
        <v>560</v>
      </c>
    </row>
    <row r="2634" spans="1:7">
      <c r="A2634" t="s">
        <v>182</v>
      </c>
      <c r="B2634" t="s">
        <v>557</v>
      </c>
      <c r="C2634" t="s">
        <v>558</v>
      </c>
      <c r="D2634" t="s">
        <v>3191</v>
      </c>
      <c r="E2634">
        <v>-2632</v>
      </c>
      <c r="F2634" t="s">
        <v>559</v>
      </c>
      <c r="G2634" t="s">
        <v>560</v>
      </c>
    </row>
    <row r="2635" spans="1:7">
      <c r="A2635" t="s">
        <v>182</v>
      </c>
      <c r="B2635" t="s">
        <v>557</v>
      </c>
      <c r="C2635" t="s">
        <v>558</v>
      </c>
      <c r="D2635" t="s">
        <v>3192</v>
      </c>
      <c r="E2635">
        <v>-2633</v>
      </c>
      <c r="F2635" t="s">
        <v>559</v>
      </c>
      <c r="G2635" t="s">
        <v>560</v>
      </c>
    </row>
    <row r="2636" spans="1:7">
      <c r="A2636" t="s">
        <v>182</v>
      </c>
      <c r="B2636" t="s">
        <v>557</v>
      </c>
      <c r="C2636" t="s">
        <v>558</v>
      </c>
      <c r="D2636" t="s">
        <v>3193</v>
      </c>
      <c r="E2636">
        <v>-2634</v>
      </c>
      <c r="F2636" t="s">
        <v>559</v>
      </c>
      <c r="G2636" t="s">
        <v>560</v>
      </c>
    </row>
    <row r="2637" spans="1:7">
      <c r="A2637" t="s">
        <v>182</v>
      </c>
      <c r="B2637" t="s">
        <v>557</v>
      </c>
      <c r="C2637" t="s">
        <v>558</v>
      </c>
      <c r="D2637" t="s">
        <v>3194</v>
      </c>
      <c r="E2637">
        <v>-2635</v>
      </c>
      <c r="F2637" t="s">
        <v>559</v>
      </c>
      <c r="G2637" t="s">
        <v>560</v>
      </c>
    </row>
    <row r="2638" spans="1:7">
      <c r="A2638" t="s">
        <v>182</v>
      </c>
      <c r="B2638" t="s">
        <v>557</v>
      </c>
      <c r="C2638" t="s">
        <v>558</v>
      </c>
      <c r="D2638" t="s">
        <v>3195</v>
      </c>
      <c r="E2638">
        <v>-2636</v>
      </c>
      <c r="F2638" t="s">
        <v>559</v>
      </c>
      <c r="G2638" t="s">
        <v>560</v>
      </c>
    </row>
    <row r="2639" spans="1:7">
      <c r="A2639" t="s">
        <v>182</v>
      </c>
      <c r="B2639" t="s">
        <v>557</v>
      </c>
      <c r="C2639" t="s">
        <v>558</v>
      </c>
      <c r="D2639" t="s">
        <v>3196</v>
      </c>
      <c r="E2639">
        <v>-2637</v>
      </c>
      <c r="F2639" t="s">
        <v>559</v>
      </c>
      <c r="G2639" t="s">
        <v>560</v>
      </c>
    </row>
    <row r="2640" spans="1:7">
      <c r="A2640" t="s">
        <v>182</v>
      </c>
      <c r="B2640" t="s">
        <v>557</v>
      </c>
      <c r="C2640" t="s">
        <v>558</v>
      </c>
      <c r="D2640" t="s">
        <v>3197</v>
      </c>
      <c r="E2640">
        <v>-2638</v>
      </c>
      <c r="F2640" t="s">
        <v>559</v>
      </c>
      <c r="G2640" t="s">
        <v>560</v>
      </c>
    </row>
    <row r="2641" spans="1:7">
      <c r="A2641" t="s">
        <v>182</v>
      </c>
      <c r="B2641" t="s">
        <v>557</v>
      </c>
      <c r="C2641" t="s">
        <v>558</v>
      </c>
      <c r="D2641" t="s">
        <v>3198</v>
      </c>
      <c r="E2641">
        <v>-2639</v>
      </c>
      <c r="F2641" t="s">
        <v>559</v>
      </c>
      <c r="G2641" t="s">
        <v>560</v>
      </c>
    </row>
    <row r="2642" spans="1:7">
      <c r="A2642" t="s">
        <v>182</v>
      </c>
      <c r="B2642" t="s">
        <v>557</v>
      </c>
      <c r="C2642" t="s">
        <v>558</v>
      </c>
      <c r="D2642" t="s">
        <v>3199</v>
      </c>
      <c r="E2642">
        <v>-2640</v>
      </c>
      <c r="F2642" t="s">
        <v>559</v>
      </c>
      <c r="G2642" t="s">
        <v>560</v>
      </c>
    </row>
    <row r="2643" spans="1:7">
      <c r="A2643" t="s">
        <v>182</v>
      </c>
      <c r="B2643" t="s">
        <v>557</v>
      </c>
      <c r="C2643" t="s">
        <v>558</v>
      </c>
      <c r="D2643" t="s">
        <v>3200</v>
      </c>
      <c r="E2643">
        <v>-2641</v>
      </c>
      <c r="F2643" t="s">
        <v>559</v>
      </c>
      <c r="G2643" t="s">
        <v>560</v>
      </c>
    </row>
    <row r="2644" spans="1:7">
      <c r="A2644" t="s">
        <v>182</v>
      </c>
      <c r="B2644" t="s">
        <v>557</v>
      </c>
      <c r="C2644" t="s">
        <v>558</v>
      </c>
      <c r="D2644" t="s">
        <v>3201</v>
      </c>
      <c r="E2644">
        <v>-2642</v>
      </c>
      <c r="F2644" t="s">
        <v>559</v>
      </c>
      <c r="G2644" t="s">
        <v>560</v>
      </c>
    </row>
    <row r="2645" spans="1:7">
      <c r="A2645" t="s">
        <v>182</v>
      </c>
      <c r="B2645" t="s">
        <v>557</v>
      </c>
      <c r="C2645" t="s">
        <v>558</v>
      </c>
      <c r="D2645" t="s">
        <v>3202</v>
      </c>
      <c r="E2645">
        <v>-2643</v>
      </c>
      <c r="F2645" t="s">
        <v>559</v>
      </c>
      <c r="G2645" t="s">
        <v>560</v>
      </c>
    </row>
    <row r="2646" spans="1:7">
      <c r="A2646" t="s">
        <v>182</v>
      </c>
      <c r="B2646" t="s">
        <v>557</v>
      </c>
      <c r="C2646" t="s">
        <v>558</v>
      </c>
      <c r="D2646" t="s">
        <v>3203</v>
      </c>
      <c r="E2646">
        <v>-2644</v>
      </c>
      <c r="F2646" t="s">
        <v>559</v>
      </c>
      <c r="G2646" t="s">
        <v>560</v>
      </c>
    </row>
    <row r="2647" spans="1:7">
      <c r="A2647" t="s">
        <v>182</v>
      </c>
      <c r="B2647" t="s">
        <v>557</v>
      </c>
      <c r="C2647" t="s">
        <v>558</v>
      </c>
      <c r="D2647" t="s">
        <v>3204</v>
      </c>
      <c r="E2647">
        <v>-2645</v>
      </c>
      <c r="F2647" t="s">
        <v>559</v>
      </c>
      <c r="G2647" t="s">
        <v>560</v>
      </c>
    </row>
    <row r="2648" spans="1:7">
      <c r="A2648" t="s">
        <v>182</v>
      </c>
      <c r="B2648" t="s">
        <v>557</v>
      </c>
      <c r="C2648" t="s">
        <v>558</v>
      </c>
      <c r="D2648" t="s">
        <v>3205</v>
      </c>
      <c r="E2648">
        <v>-2646</v>
      </c>
      <c r="F2648" t="s">
        <v>559</v>
      </c>
      <c r="G2648" t="s">
        <v>560</v>
      </c>
    </row>
    <row r="2649" spans="1:7">
      <c r="A2649" t="s">
        <v>182</v>
      </c>
      <c r="B2649" t="s">
        <v>557</v>
      </c>
      <c r="C2649" t="s">
        <v>558</v>
      </c>
      <c r="D2649" t="s">
        <v>3206</v>
      </c>
      <c r="E2649">
        <v>-2647</v>
      </c>
      <c r="F2649" t="s">
        <v>559</v>
      </c>
      <c r="G2649" t="s">
        <v>560</v>
      </c>
    </row>
    <row r="2650" spans="1:7">
      <c r="A2650" t="s">
        <v>182</v>
      </c>
      <c r="B2650" t="s">
        <v>557</v>
      </c>
      <c r="C2650" t="s">
        <v>558</v>
      </c>
      <c r="D2650" t="s">
        <v>3207</v>
      </c>
      <c r="E2650">
        <v>-2648</v>
      </c>
      <c r="F2650" t="s">
        <v>559</v>
      </c>
      <c r="G2650" t="s">
        <v>560</v>
      </c>
    </row>
    <row r="2651" spans="1:7">
      <c r="A2651" t="s">
        <v>182</v>
      </c>
      <c r="B2651" t="s">
        <v>557</v>
      </c>
      <c r="C2651" t="s">
        <v>558</v>
      </c>
      <c r="D2651" t="s">
        <v>3208</v>
      </c>
      <c r="E2651">
        <v>-2649</v>
      </c>
      <c r="F2651" t="s">
        <v>559</v>
      </c>
      <c r="G2651" t="s">
        <v>560</v>
      </c>
    </row>
    <row r="2652" spans="1:7">
      <c r="A2652" t="s">
        <v>182</v>
      </c>
      <c r="B2652" t="s">
        <v>557</v>
      </c>
      <c r="C2652" t="s">
        <v>558</v>
      </c>
      <c r="D2652" t="s">
        <v>3209</v>
      </c>
      <c r="E2652">
        <v>-2650</v>
      </c>
      <c r="F2652" t="s">
        <v>559</v>
      </c>
      <c r="G2652" t="s">
        <v>560</v>
      </c>
    </row>
    <row r="2653" spans="1:7">
      <c r="A2653" t="s">
        <v>182</v>
      </c>
      <c r="B2653" t="s">
        <v>557</v>
      </c>
      <c r="C2653" t="s">
        <v>558</v>
      </c>
      <c r="D2653" t="s">
        <v>3210</v>
      </c>
      <c r="E2653">
        <v>-2651</v>
      </c>
      <c r="F2653" t="s">
        <v>559</v>
      </c>
      <c r="G2653" t="s">
        <v>560</v>
      </c>
    </row>
    <row r="2654" spans="1:7">
      <c r="A2654" t="s">
        <v>182</v>
      </c>
      <c r="B2654" t="s">
        <v>557</v>
      </c>
      <c r="C2654" t="s">
        <v>558</v>
      </c>
      <c r="D2654" t="s">
        <v>3211</v>
      </c>
      <c r="E2654">
        <v>-2652</v>
      </c>
      <c r="F2654" t="s">
        <v>559</v>
      </c>
      <c r="G2654" t="s">
        <v>560</v>
      </c>
    </row>
    <row r="2655" spans="1:7">
      <c r="A2655" t="s">
        <v>182</v>
      </c>
      <c r="B2655" t="s">
        <v>557</v>
      </c>
      <c r="C2655" t="s">
        <v>558</v>
      </c>
      <c r="D2655" t="s">
        <v>3212</v>
      </c>
      <c r="E2655">
        <v>-2653</v>
      </c>
      <c r="F2655" t="s">
        <v>559</v>
      </c>
      <c r="G2655" t="s">
        <v>560</v>
      </c>
    </row>
    <row r="2656" spans="1:7">
      <c r="A2656" t="s">
        <v>182</v>
      </c>
      <c r="B2656" t="s">
        <v>557</v>
      </c>
      <c r="C2656" t="s">
        <v>558</v>
      </c>
      <c r="D2656" t="s">
        <v>3213</v>
      </c>
      <c r="E2656">
        <v>-2654</v>
      </c>
      <c r="F2656" t="s">
        <v>559</v>
      </c>
      <c r="G2656" t="s">
        <v>560</v>
      </c>
    </row>
    <row r="2657" spans="1:7">
      <c r="A2657" t="s">
        <v>182</v>
      </c>
      <c r="B2657" t="s">
        <v>557</v>
      </c>
      <c r="C2657" t="s">
        <v>558</v>
      </c>
      <c r="D2657" t="s">
        <v>3214</v>
      </c>
      <c r="E2657">
        <v>-2655</v>
      </c>
      <c r="F2657" t="s">
        <v>559</v>
      </c>
      <c r="G2657" t="s">
        <v>560</v>
      </c>
    </row>
    <row r="2658" spans="1:7">
      <c r="A2658" t="s">
        <v>182</v>
      </c>
      <c r="B2658" t="s">
        <v>557</v>
      </c>
      <c r="C2658" t="s">
        <v>558</v>
      </c>
      <c r="D2658" t="s">
        <v>3215</v>
      </c>
      <c r="E2658">
        <v>-2656</v>
      </c>
      <c r="F2658" t="s">
        <v>559</v>
      </c>
      <c r="G2658" t="s">
        <v>560</v>
      </c>
    </row>
    <row r="2659" spans="1:7">
      <c r="A2659" t="s">
        <v>182</v>
      </c>
      <c r="B2659" t="s">
        <v>557</v>
      </c>
      <c r="C2659" t="s">
        <v>558</v>
      </c>
      <c r="D2659" t="s">
        <v>3216</v>
      </c>
      <c r="E2659">
        <v>-2657</v>
      </c>
      <c r="F2659" t="s">
        <v>559</v>
      </c>
      <c r="G2659" t="s">
        <v>560</v>
      </c>
    </row>
    <row r="2660" spans="1:7">
      <c r="A2660" t="s">
        <v>182</v>
      </c>
      <c r="B2660" t="s">
        <v>557</v>
      </c>
      <c r="C2660" t="s">
        <v>558</v>
      </c>
      <c r="D2660" t="s">
        <v>3217</v>
      </c>
      <c r="E2660">
        <v>-2658</v>
      </c>
      <c r="F2660" t="s">
        <v>559</v>
      </c>
      <c r="G2660" t="s">
        <v>560</v>
      </c>
    </row>
    <row r="2661" spans="1:7">
      <c r="A2661" t="s">
        <v>182</v>
      </c>
      <c r="B2661" t="s">
        <v>557</v>
      </c>
      <c r="C2661" t="s">
        <v>558</v>
      </c>
      <c r="D2661" t="s">
        <v>3218</v>
      </c>
      <c r="E2661">
        <v>-2659</v>
      </c>
      <c r="F2661" t="s">
        <v>559</v>
      </c>
      <c r="G2661" t="s">
        <v>560</v>
      </c>
    </row>
    <row r="2662" spans="1:7">
      <c r="A2662" t="s">
        <v>182</v>
      </c>
      <c r="B2662" t="s">
        <v>557</v>
      </c>
      <c r="C2662" t="s">
        <v>558</v>
      </c>
      <c r="D2662" t="s">
        <v>3219</v>
      </c>
      <c r="E2662">
        <v>-2660</v>
      </c>
      <c r="F2662" t="s">
        <v>559</v>
      </c>
      <c r="G2662" t="s">
        <v>560</v>
      </c>
    </row>
    <row r="2663" spans="1:7">
      <c r="A2663" t="s">
        <v>182</v>
      </c>
      <c r="B2663" t="s">
        <v>557</v>
      </c>
      <c r="C2663" t="s">
        <v>558</v>
      </c>
      <c r="D2663" t="s">
        <v>3220</v>
      </c>
      <c r="E2663">
        <v>-2661</v>
      </c>
      <c r="F2663" t="s">
        <v>559</v>
      </c>
      <c r="G2663" t="s">
        <v>560</v>
      </c>
    </row>
    <row r="2664" spans="1:7">
      <c r="A2664" t="s">
        <v>182</v>
      </c>
      <c r="B2664" t="s">
        <v>557</v>
      </c>
      <c r="C2664" t="s">
        <v>558</v>
      </c>
      <c r="D2664" t="s">
        <v>3221</v>
      </c>
      <c r="E2664">
        <v>-2662</v>
      </c>
      <c r="F2664" t="s">
        <v>559</v>
      </c>
      <c r="G2664" t="s">
        <v>560</v>
      </c>
    </row>
    <row r="2665" spans="1:7">
      <c r="A2665" t="s">
        <v>182</v>
      </c>
      <c r="B2665" t="s">
        <v>557</v>
      </c>
      <c r="C2665" t="s">
        <v>558</v>
      </c>
      <c r="D2665" t="s">
        <v>3222</v>
      </c>
      <c r="E2665">
        <v>-2663</v>
      </c>
      <c r="F2665" t="s">
        <v>559</v>
      </c>
      <c r="G2665" t="s">
        <v>560</v>
      </c>
    </row>
    <row r="2666" spans="1:7">
      <c r="A2666" t="s">
        <v>182</v>
      </c>
      <c r="B2666" t="s">
        <v>557</v>
      </c>
      <c r="C2666" t="s">
        <v>558</v>
      </c>
      <c r="D2666" t="s">
        <v>3223</v>
      </c>
      <c r="E2666">
        <v>-2664</v>
      </c>
      <c r="F2666" t="s">
        <v>559</v>
      </c>
      <c r="G2666" t="s">
        <v>560</v>
      </c>
    </row>
    <row r="2667" spans="1:7">
      <c r="A2667" t="s">
        <v>182</v>
      </c>
      <c r="B2667" t="s">
        <v>557</v>
      </c>
      <c r="C2667" t="s">
        <v>558</v>
      </c>
      <c r="D2667" t="s">
        <v>3224</v>
      </c>
      <c r="E2667">
        <v>-2665</v>
      </c>
      <c r="F2667" t="s">
        <v>559</v>
      </c>
      <c r="G2667" t="s">
        <v>560</v>
      </c>
    </row>
    <row r="2668" spans="1:7">
      <c r="A2668" t="s">
        <v>182</v>
      </c>
      <c r="B2668" t="s">
        <v>557</v>
      </c>
      <c r="C2668" t="s">
        <v>558</v>
      </c>
      <c r="D2668" t="s">
        <v>3225</v>
      </c>
      <c r="E2668">
        <v>-2666</v>
      </c>
      <c r="F2668" t="s">
        <v>559</v>
      </c>
      <c r="G2668" t="s">
        <v>560</v>
      </c>
    </row>
    <row r="2669" spans="1:7">
      <c r="A2669" t="s">
        <v>182</v>
      </c>
      <c r="B2669" t="s">
        <v>557</v>
      </c>
      <c r="C2669" t="s">
        <v>558</v>
      </c>
      <c r="D2669" t="s">
        <v>3226</v>
      </c>
      <c r="E2669">
        <v>-2667</v>
      </c>
      <c r="F2669" t="s">
        <v>559</v>
      </c>
      <c r="G2669" t="s">
        <v>560</v>
      </c>
    </row>
    <row r="2670" spans="1:7">
      <c r="A2670" t="s">
        <v>182</v>
      </c>
      <c r="B2670" t="s">
        <v>557</v>
      </c>
      <c r="C2670" t="s">
        <v>558</v>
      </c>
      <c r="D2670" t="s">
        <v>3227</v>
      </c>
      <c r="E2670">
        <v>-2668</v>
      </c>
      <c r="F2670" t="s">
        <v>559</v>
      </c>
      <c r="G2670" t="s">
        <v>560</v>
      </c>
    </row>
    <row r="2671" spans="1:7">
      <c r="A2671" t="s">
        <v>182</v>
      </c>
      <c r="B2671" t="s">
        <v>557</v>
      </c>
      <c r="C2671" t="s">
        <v>558</v>
      </c>
      <c r="D2671" t="s">
        <v>3228</v>
      </c>
      <c r="E2671">
        <v>-2669</v>
      </c>
      <c r="F2671" t="s">
        <v>559</v>
      </c>
      <c r="G2671" t="s">
        <v>560</v>
      </c>
    </row>
    <row r="2672" spans="1:7">
      <c r="A2672" t="s">
        <v>182</v>
      </c>
      <c r="B2672" t="s">
        <v>557</v>
      </c>
      <c r="C2672" t="s">
        <v>558</v>
      </c>
      <c r="D2672" t="s">
        <v>3229</v>
      </c>
      <c r="E2672">
        <v>-2670</v>
      </c>
      <c r="F2672" t="s">
        <v>559</v>
      </c>
      <c r="G2672" t="s">
        <v>560</v>
      </c>
    </row>
    <row r="2673" spans="1:7">
      <c r="A2673" t="s">
        <v>182</v>
      </c>
      <c r="B2673" t="s">
        <v>557</v>
      </c>
      <c r="C2673" t="s">
        <v>558</v>
      </c>
      <c r="D2673" t="s">
        <v>3230</v>
      </c>
      <c r="E2673">
        <v>-2671</v>
      </c>
      <c r="F2673" t="s">
        <v>559</v>
      </c>
      <c r="G2673" t="s">
        <v>560</v>
      </c>
    </row>
    <row r="2674" spans="1:7">
      <c r="A2674" t="s">
        <v>182</v>
      </c>
      <c r="B2674" t="s">
        <v>557</v>
      </c>
      <c r="C2674" t="s">
        <v>558</v>
      </c>
      <c r="D2674" t="s">
        <v>3231</v>
      </c>
      <c r="E2674">
        <v>-2672</v>
      </c>
      <c r="F2674" t="s">
        <v>559</v>
      </c>
      <c r="G2674" t="s">
        <v>560</v>
      </c>
    </row>
    <row r="2675" spans="1:7">
      <c r="A2675" t="s">
        <v>182</v>
      </c>
      <c r="B2675" t="s">
        <v>557</v>
      </c>
      <c r="C2675" t="s">
        <v>558</v>
      </c>
      <c r="D2675" t="s">
        <v>3232</v>
      </c>
      <c r="E2675">
        <v>-2673</v>
      </c>
      <c r="F2675" t="s">
        <v>559</v>
      </c>
      <c r="G2675" t="s">
        <v>560</v>
      </c>
    </row>
    <row r="2676" spans="1:7">
      <c r="A2676" t="s">
        <v>182</v>
      </c>
      <c r="B2676" t="s">
        <v>557</v>
      </c>
      <c r="C2676" t="s">
        <v>558</v>
      </c>
      <c r="D2676" t="s">
        <v>3233</v>
      </c>
      <c r="E2676">
        <v>-2674</v>
      </c>
      <c r="F2676" t="s">
        <v>559</v>
      </c>
      <c r="G2676" t="s">
        <v>560</v>
      </c>
    </row>
    <row r="2677" spans="1:7">
      <c r="A2677" t="s">
        <v>182</v>
      </c>
      <c r="B2677" t="s">
        <v>557</v>
      </c>
      <c r="C2677" t="s">
        <v>558</v>
      </c>
      <c r="D2677" t="s">
        <v>3234</v>
      </c>
      <c r="E2677">
        <v>-2675</v>
      </c>
      <c r="F2677" t="s">
        <v>559</v>
      </c>
      <c r="G2677" t="s">
        <v>560</v>
      </c>
    </row>
    <row r="2678" spans="1:7">
      <c r="A2678" t="s">
        <v>182</v>
      </c>
      <c r="B2678" t="s">
        <v>557</v>
      </c>
      <c r="C2678" t="s">
        <v>558</v>
      </c>
      <c r="D2678" t="s">
        <v>3235</v>
      </c>
      <c r="E2678">
        <v>-2676</v>
      </c>
      <c r="F2678" t="s">
        <v>559</v>
      </c>
      <c r="G2678" t="s">
        <v>560</v>
      </c>
    </row>
    <row r="2679" spans="1:7">
      <c r="A2679" t="s">
        <v>182</v>
      </c>
      <c r="B2679" t="s">
        <v>557</v>
      </c>
      <c r="C2679" t="s">
        <v>558</v>
      </c>
      <c r="D2679" t="s">
        <v>3236</v>
      </c>
      <c r="E2679">
        <v>-2677</v>
      </c>
      <c r="F2679" t="s">
        <v>559</v>
      </c>
      <c r="G2679" t="s">
        <v>560</v>
      </c>
    </row>
    <row r="2680" spans="1:7">
      <c r="A2680" t="s">
        <v>182</v>
      </c>
      <c r="B2680" t="s">
        <v>557</v>
      </c>
      <c r="C2680" t="s">
        <v>558</v>
      </c>
      <c r="D2680" t="s">
        <v>3237</v>
      </c>
      <c r="E2680">
        <v>-2678</v>
      </c>
      <c r="F2680" t="s">
        <v>559</v>
      </c>
      <c r="G2680" t="s">
        <v>560</v>
      </c>
    </row>
    <row r="2681" spans="1:7">
      <c r="A2681" t="s">
        <v>182</v>
      </c>
      <c r="B2681" t="s">
        <v>557</v>
      </c>
      <c r="C2681" t="s">
        <v>558</v>
      </c>
      <c r="D2681" t="s">
        <v>3238</v>
      </c>
      <c r="E2681">
        <v>-2679</v>
      </c>
      <c r="F2681" t="s">
        <v>559</v>
      </c>
      <c r="G2681" t="s">
        <v>560</v>
      </c>
    </row>
    <row r="2682" spans="1:7">
      <c r="A2682" t="s">
        <v>182</v>
      </c>
      <c r="B2682" t="s">
        <v>557</v>
      </c>
      <c r="C2682" t="s">
        <v>558</v>
      </c>
      <c r="D2682" t="s">
        <v>3239</v>
      </c>
      <c r="E2682">
        <v>-2680</v>
      </c>
      <c r="F2682" t="s">
        <v>559</v>
      </c>
      <c r="G2682" t="s">
        <v>560</v>
      </c>
    </row>
    <row r="2683" spans="1:7">
      <c r="A2683" t="s">
        <v>182</v>
      </c>
      <c r="B2683" t="s">
        <v>557</v>
      </c>
      <c r="C2683" t="s">
        <v>558</v>
      </c>
      <c r="D2683" t="s">
        <v>3240</v>
      </c>
      <c r="E2683">
        <v>-2681</v>
      </c>
      <c r="F2683" t="s">
        <v>559</v>
      </c>
      <c r="G2683" t="s">
        <v>560</v>
      </c>
    </row>
    <row r="2684" spans="1:7">
      <c r="A2684" t="s">
        <v>182</v>
      </c>
      <c r="B2684" t="s">
        <v>557</v>
      </c>
      <c r="C2684" t="s">
        <v>558</v>
      </c>
      <c r="D2684" t="s">
        <v>3241</v>
      </c>
      <c r="E2684">
        <v>-2682</v>
      </c>
      <c r="F2684" t="s">
        <v>559</v>
      </c>
      <c r="G2684" t="s">
        <v>560</v>
      </c>
    </row>
    <row r="2685" spans="1:7">
      <c r="A2685" t="s">
        <v>182</v>
      </c>
      <c r="B2685" t="s">
        <v>557</v>
      </c>
      <c r="C2685" t="s">
        <v>558</v>
      </c>
      <c r="D2685" t="s">
        <v>3242</v>
      </c>
      <c r="E2685">
        <v>-2683</v>
      </c>
      <c r="F2685" t="s">
        <v>559</v>
      </c>
      <c r="G2685" t="s">
        <v>560</v>
      </c>
    </row>
    <row r="2686" spans="1:7">
      <c r="A2686" t="s">
        <v>182</v>
      </c>
      <c r="B2686" t="s">
        <v>557</v>
      </c>
      <c r="C2686" t="s">
        <v>558</v>
      </c>
      <c r="D2686" t="s">
        <v>3243</v>
      </c>
      <c r="E2686">
        <v>-2684</v>
      </c>
      <c r="F2686" t="s">
        <v>559</v>
      </c>
      <c r="G2686" t="s">
        <v>560</v>
      </c>
    </row>
    <row r="2687" spans="1:7">
      <c r="A2687" t="s">
        <v>182</v>
      </c>
      <c r="B2687" t="s">
        <v>557</v>
      </c>
      <c r="C2687" t="s">
        <v>558</v>
      </c>
      <c r="D2687" t="s">
        <v>3244</v>
      </c>
      <c r="E2687">
        <v>-2685</v>
      </c>
      <c r="F2687" t="s">
        <v>559</v>
      </c>
      <c r="G2687" t="s">
        <v>560</v>
      </c>
    </row>
    <row r="2688" spans="1:7">
      <c r="A2688" t="s">
        <v>182</v>
      </c>
      <c r="B2688" t="s">
        <v>557</v>
      </c>
      <c r="C2688" t="s">
        <v>558</v>
      </c>
      <c r="D2688" t="s">
        <v>3245</v>
      </c>
      <c r="E2688">
        <v>-2686</v>
      </c>
      <c r="F2688" t="s">
        <v>559</v>
      </c>
      <c r="G2688" t="s">
        <v>560</v>
      </c>
    </row>
    <row r="2689" spans="1:7">
      <c r="A2689" t="s">
        <v>182</v>
      </c>
      <c r="B2689" t="s">
        <v>557</v>
      </c>
      <c r="C2689" t="s">
        <v>558</v>
      </c>
      <c r="D2689" t="s">
        <v>3246</v>
      </c>
      <c r="E2689">
        <v>-2687</v>
      </c>
      <c r="F2689" t="s">
        <v>559</v>
      </c>
      <c r="G2689" t="s">
        <v>560</v>
      </c>
    </row>
    <row r="2690" spans="1:7">
      <c r="A2690" t="s">
        <v>182</v>
      </c>
      <c r="B2690" t="s">
        <v>557</v>
      </c>
      <c r="C2690" t="s">
        <v>558</v>
      </c>
      <c r="D2690" t="s">
        <v>3247</v>
      </c>
      <c r="E2690">
        <v>-2688</v>
      </c>
      <c r="F2690" t="s">
        <v>559</v>
      </c>
      <c r="G2690" t="s">
        <v>560</v>
      </c>
    </row>
    <row r="2691" spans="1:7">
      <c r="A2691" t="s">
        <v>182</v>
      </c>
      <c r="B2691" t="s">
        <v>557</v>
      </c>
      <c r="C2691" t="s">
        <v>558</v>
      </c>
      <c r="D2691" t="s">
        <v>3248</v>
      </c>
      <c r="E2691">
        <v>-2689</v>
      </c>
      <c r="F2691" t="s">
        <v>559</v>
      </c>
      <c r="G2691" t="s">
        <v>560</v>
      </c>
    </row>
    <row r="2692" spans="1:7">
      <c r="A2692" t="s">
        <v>182</v>
      </c>
      <c r="B2692" t="s">
        <v>557</v>
      </c>
      <c r="C2692" t="s">
        <v>558</v>
      </c>
      <c r="D2692" t="s">
        <v>3249</v>
      </c>
      <c r="E2692">
        <v>-2690</v>
      </c>
      <c r="F2692" t="s">
        <v>559</v>
      </c>
      <c r="G2692" t="s">
        <v>560</v>
      </c>
    </row>
    <row r="2693" spans="1:7">
      <c r="A2693" t="s">
        <v>182</v>
      </c>
      <c r="B2693" t="s">
        <v>557</v>
      </c>
      <c r="C2693" t="s">
        <v>558</v>
      </c>
      <c r="D2693" t="s">
        <v>3250</v>
      </c>
      <c r="E2693">
        <v>-2691</v>
      </c>
      <c r="F2693" t="s">
        <v>559</v>
      </c>
      <c r="G2693" t="s">
        <v>560</v>
      </c>
    </row>
    <row r="2694" spans="1:7">
      <c r="A2694" t="s">
        <v>182</v>
      </c>
      <c r="B2694" t="s">
        <v>557</v>
      </c>
      <c r="C2694" t="s">
        <v>558</v>
      </c>
      <c r="D2694" t="s">
        <v>3251</v>
      </c>
      <c r="E2694">
        <v>-2692</v>
      </c>
      <c r="F2694" t="s">
        <v>559</v>
      </c>
      <c r="G2694" t="s">
        <v>560</v>
      </c>
    </row>
    <row r="2695" spans="1:7">
      <c r="A2695" t="s">
        <v>182</v>
      </c>
      <c r="B2695" t="s">
        <v>557</v>
      </c>
      <c r="C2695" t="s">
        <v>558</v>
      </c>
      <c r="D2695" t="s">
        <v>3252</v>
      </c>
      <c r="E2695">
        <v>-2693</v>
      </c>
      <c r="F2695" t="s">
        <v>559</v>
      </c>
      <c r="G2695" t="s">
        <v>560</v>
      </c>
    </row>
    <row r="2696" spans="1:7">
      <c r="A2696" t="s">
        <v>182</v>
      </c>
      <c r="B2696" t="s">
        <v>557</v>
      </c>
      <c r="C2696" t="s">
        <v>558</v>
      </c>
      <c r="D2696" t="s">
        <v>3253</v>
      </c>
      <c r="E2696">
        <v>-2694</v>
      </c>
      <c r="F2696" t="s">
        <v>559</v>
      </c>
      <c r="G2696" t="s">
        <v>560</v>
      </c>
    </row>
    <row r="2697" spans="1:7">
      <c r="A2697" t="s">
        <v>182</v>
      </c>
      <c r="B2697" t="s">
        <v>557</v>
      </c>
      <c r="C2697" t="s">
        <v>558</v>
      </c>
      <c r="D2697" t="s">
        <v>3254</v>
      </c>
      <c r="E2697">
        <v>-2695</v>
      </c>
      <c r="F2697" t="s">
        <v>559</v>
      </c>
      <c r="G2697" t="s">
        <v>560</v>
      </c>
    </row>
    <row r="2698" spans="1:7">
      <c r="A2698" t="s">
        <v>182</v>
      </c>
      <c r="B2698" t="s">
        <v>557</v>
      </c>
      <c r="C2698" t="s">
        <v>558</v>
      </c>
      <c r="D2698" t="s">
        <v>3255</v>
      </c>
      <c r="E2698">
        <v>-2696</v>
      </c>
      <c r="F2698" t="s">
        <v>559</v>
      </c>
      <c r="G2698" t="s">
        <v>560</v>
      </c>
    </row>
    <row r="2699" spans="1:7">
      <c r="A2699" t="s">
        <v>182</v>
      </c>
      <c r="B2699" t="s">
        <v>557</v>
      </c>
      <c r="C2699" t="s">
        <v>558</v>
      </c>
      <c r="D2699" t="s">
        <v>3256</v>
      </c>
      <c r="E2699">
        <v>-2697</v>
      </c>
      <c r="F2699" t="s">
        <v>559</v>
      </c>
      <c r="G2699" t="s">
        <v>560</v>
      </c>
    </row>
    <row r="2700" spans="1:7">
      <c r="A2700" t="s">
        <v>182</v>
      </c>
      <c r="B2700" t="s">
        <v>557</v>
      </c>
      <c r="C2700" t="s">
        <v>558</v>
      </c>
      <c r="D2700" t="s">
        <v>3257</v>
      </c>
      <c r="E2700">
        <v>-2698</v>
      </c>
      <c r="F2700" t="s">
        <v>559</v>
      </c>
      <c r="G2700" t="s">
        <v>560</v>
      </c>
    </row>
    <row r="2701" spans="1:7">
      <c r="A2701" t="s">
        <v>182</v>
      </c>
      <c r="B2701" t="s">
        <v>557</v>
      </c>
      <c r="C2701" t="s">
        <v>558</v>
      </c>
      <c r="D2701" t="s">
        <v>3258</v>
      </c>
      <c r="E2701">
        <v>-2699</v>
      </c>
      <c r="F2701" t="s">
        <v>559</v>
      </c>
      <c r="G2701" t="s">
        <v>560</v>
      </c>
    </row>
    <row r="2702" spans="1:7">
      <c r="A2702" t="s">
        <v>182</v>
      </c>
      <c r="B2702" t="s">
        <v>557</v>
      </c>
      <c r="C2702" t="s">
        <v>558</v>
      </c>
      <c r="D2702" t="s">
        <v>3259</v>
      </c>
      <c r="E2702">
        <v>-2700</v>
      </c>
      <c r="F2702" t="s">
        <v>559</v>
      </c>
      <c r="G2702" t="s">
        <v>560</v>
      </c>
    </row>
    <row r="2703" spans="1:7">
      <c r="A2703" t="s">
        <v>182</v>
      </c>
      <c r="B2703" t="s">
        <v>557</v>
      </c>
      <c r="C2703" t="s">
        <v>558</v>
      </c>
      <c r="D2703" t="s">
        <v>3260</v>
      </c>
      <c r="E2703">
        <v>-2701</v>
      </c>
      <c r="F2703" t="s">
        <v>559</v>
      </c>
      <c r="G2703" t="s">
        <v>560</v>
      </c>
    </row>
    <row r="2704" spans="1:7">
      <c r="A2704" t="s">
        <v>182</v>
      </c>
      <c r="B2704" t="s">
        <v>557</v>
      </c>
      <c r="C2704" t="s">
        <v>558</v>
      </c>
      <c r="D2704" t="s">
        <v>3261</v>
      </c>
      <c r="E2704">
        <v>-2702</v>
      </c>
      <c r="F2704" t="s">
        <v>559</v>
      </c>
      <c r="G2704" t="s">
        <v>560</v>
      </c>
    </row>
    <row r="2705" spans="1:7">
      <c r="A2705" t="s">
        <v>182</v>
      </c>
      <c r="B2705" t="s">
        <v>557</v>
      </c>
      <c r="C2705" t="s">
        <v>558</v>
      </c>
      <c r="D2705" t="s">
        <v>3262</v>
      </c>
      <c r="E2705">
        <v>-2703</v>
      </c>
      <c r="F2705" t="s">
        <v>559</v>
      </c>
      <c r="G2705" t="s">
        <v>560</v>
      </c>
    </row>
    <row r="2706" spans="1:7">
      <c r="A2706" t="s">
        <v>182</v>
      </c>
      <c r="B2706" t="s">
        <v>557</v>
      </c>
      <c r="C2706" t="s">
        <v>558</v>
      </c>
      <c r="D2706" t="s">
        <v>3263</v>
      </c>
      <c r="E2706">
        <v>-2704</v>
      </c>
      <c r="F2706" t="s">
        <v>559</v>
      </c>
      <c r="G2706" t="s">
        <v>560</v>
      </c>
    </row>
    <row r="2707" spans="1:7">
      <c r="A2707" t="s">
        <v>182</v>
      </c>
      <c r="B2707" t="s">
        <v>557</v>
      </c>
      <c r="C2707" t="s">
        <v>558</v>
      </c>
      <c r="D2707" t="s">
        <v>3264</v>
      </c>
      <c r="E2707">
        <v>-2705</v>
      </c>
      <c r="F2707" t="s">
        <v>559</v>
      </c>
      <c r="G2707" t="s">
        <v>560</v>
      </c>
    </row>
    <row r="2708" spans="1:7">
      <c r="A2708" t="s">
        <v>182</v>
      </c>
      <c r="B2708" t="s">
        <v>557</v>
      </c>
      <c r="C2708" t="s">
        <v>558</v>
      </c>
      <c r="D2708" t="s">
        <v>3265</v>
      </c>
      <c r="E2708">
        <v>-2706</v>
      </c>
      <c r="F2708" t="s">
        <v>559</v>
      </c>
      <c r="G2708" t="s">
        <v>560</v>
      </c>
    </row>
    <row r="2709" spans="1:7">
      <c r="A2709" t="s">
        <v>182</v>
      </c>
      <c r="B2709" t="s">
        <v>557</v>
      </c>
      <c r="C2709" t="s">
        <v>558</v>
      </c>
      <c r="D2709" t="s">
        <v>3266</v>
      </c>
      <c r="E2709">
        <v>-2707</v>
      </c>
      <c r="F2709" t="s">
        <v>559</v>
      </c>
      <c r="G2709" t="s">
        <v>560</v>
      </c>
    </row>
    <row r="2710" spans="1:7">
      <c r="A2710" t="s">
        <v>182</v>
      </c>
      <c r="B2710" t="s">
        <v>557</v>
      </c>
      <c r="C2710" t="s">
        <v>558</v>
      </c>
      <c r="D2710" t="s">
        <v>3267</v>
      </c>
      <c r="E2710">
        <v>-2708</v>
      </c>
      <c r="F2710" t="s">
        <v>559</v>
      </c>
      <c r="G2710" t="s">
        <v>560</v>
      </c>
    </row>
    <row r="2711" spans="1:7">
      <c r="A2711" t="s">
        <v>182</v>
      </c>
      <c r="B2711" t="s">
        <v>557</v>
      </c>
      <c r="C2711" t="s">
        <v>558</v>
      </c>
      <c r="D2711" t="s">
        <v>3268</v>
      </c>
      <c r="E2711">
        <v>-2709</v>
      </c>
      <c r="F2711" t="s">
        <v>559</v>
      </c>
      <c r="G2711" t="s">
        <v>560</v>
      </c>
    </row>
    <row r="2712" spans="1:7">
      <c r="A2712" t="s">
        <v>182</v>
      </c>
      <c r="B2712" t="s">
        <v>557</v>
      </c>
      <c r="C2712" t="s">
        <v>558</v>
      </c>
      <c r="D2712" t="s">
        <v>3269</v>
      </c>
      <c r="E2712">
        <v>-2710</v>
      </c>
      <c r="F2712" t="s">
        <v>559</v>
      </c>
      <c r="G2712" t="s">
        <v>560</v>
      </c>
    </row>
    <row r="2713" spans="1:7">
      <c r="A2713" t="s">
        <v>182</v>
      </c>
      <c r="B2713" t="s">
        <v>557</v>
      </c>
      <c r="C2713" t="s">
        <v>558</v>
      </c>
      <c r="D2713" t="s">
        <v>3270</v>
      </c>
      <c r="E2713">
        <v>-2711</v>
      </c>
      <c r="F2713" t="s">
        <v>559</v>
      </c>
      <c r="G2713" t="s">
        <v>560</v>
      </c>
    </row>
    <row r="2714" spans="1:7">
      <c r="A2714" t="s">
        <v>182</v>
      </c>
      <c r="B2714" t="s">
        <v>557</v>
      </c>
      <c r="C2714" t="s">
        <v>558</v>
      </c>
      <c r="D2714" t="s">
        <v>3271</v>
      </c>
      <c r="E2714">
        <v>-2712</v>
      </c>
      <c r="F2714" t="s">
        <v>559</v>
      </c>
      <c r="G2714" t="s">
        <v>560</v>
      </c>
    </row>
    <row r="2715" spans="1:7">
      <c r="A2715" t="s">
        <v>182</v>
      </c>
      <c r="B2715" t="s">
        <v>557</v>
      </c>
      <c r="C2715" t="s">
        <v>558</v>
      </c>
      <c r="D2715" t="s">
        <v>3272</v>
      </c>
      <c r="E2715">
        <v>-2713</v>
      </c>
      <c r="F2715" t="s">
        <v>559</v>
      </c>
      <c r="G2715" t="s">
        <v>560</v>
      </c>
    </row>
    <row r="2716" spans="1:7">
      <c r="A2716" t="s">
        <v>182</v>
      </c>
      <c r="B2716" t="s">
        <v>557</v>
      </c>
      <c r="C2716" t="s">
        <v>558</v>
      </c>
      <c r="D2716" t="s">
        <v>3273</v>
      </c>
      <c r="E2716">
        <v>-2714</v>
      </c>
      <c r="F2716" t="s">
        <v>559</v>
      </c>
      <c r="G2716" t="s">
        <v>560</v>
      </c>
    </row>
    <row r="2717" spans="1:7">
      <c r="A2717" t="s">
        <v>182</v>
      </c>
      <c r="B2717" t="s">
        <v>557</v>
      </c>
      <c r="C2717" t="s">
        <v>558</v>
      </c>
      <c r="D2717" t="s">
        <v>3274</v>
      </c>
      <c r="E2717">
        <v>-2715</v>
      </c>
      <c r="F2717" t="s">
        <v>559</v>
      </c>
      <c r="G2717" t="s">
        <v>560</v>
      </c>
    </row>
    <row r="2718" spans="1:7">
      <c r="A2718" t="s">
        <v>182</v>
      </c>
      <c r="B2718" t="s">
        <v>557</v>
      </c>
      <c r="C2718" t="s">
        <v>558</v>
      </c>
      <c r="D2718" t="s">
        <v>3275</v>
      </c>
      <c r="E2718">
        <v>-2716</v>
      </c>
      <c r="F2718" t="s">
        <v>559</v>
      </c>
      <c r="G2718" t="s">
        <v>560</v>
      </c>
    </row>
    <row r="2719" spans="1:7">
      <c r="A2719" t="s">
        <v>182</v>
      </c>
      <c r="B2719" t="s">
        <v>557</v>
      </c>
      <c r="C2719" t="s">
        <v>558</v>
      </c>
      <c r="D2719" t="s">
        <v>3276</v>
      </c>
      <c r="E2719">
        <v>-2717</v>
      </c>
      <c r="F2719" t="s">
        <v>559</v>
      </c>
      <c r="G2719" t="s">
        <v>560</v>
      </c>
    </row>
    <row r="2720" spans="1:7">
      <c r="A2720" t="s">
        <v>182</v>
      </c>
      <c r="B2720" t="s">
        <v>557</v>
      </c>
      <c r="C2720" t="s">
        <v>558</v>
      </c>
      <c r="D2720" t="s">
        <v>3277</v>
      </c>
      <c r="E2720">
        <v>-2718</v>
      </c>
      <c r="F2720" t="s">
        <v>559</v>
      </c>
      <c r="G2720" t="s">
        <v>560</v>
      </c>
    </row>
    <row r="2721" spans="1:7">
      <c r="A2721" t="s">
        <v>182</v>
      </c>
      <c r="B2721" t="s">
        <v>557</v>
      </c>
      <c r="C2721" t="s">
        <v>558</v>
      </c>
      <c r="D2721" t="s">
        <v>3278</v>
      </c>
      <c r="E2721">
        <v>-2719</v>
      </c>
      <c r="F2721" t="s">
        <v>559</v>
      </c>
      <c r="G2721" t="s">
        <v>560</v>
      </c>
    </row>
    <row r="2722" spans="1:7">
      <c r="A2722" t="s">
        <v>182</v>
      </c>
      <c r="B2722" t="s">
        <v>557</v>
      </c>
      <c r="C2722" t="s">
        <v>558</v>
      </c>
      <c r="D2722" t="s">
        <v>3279</v>
      </c>
      <c r="E2722">
        <v>-2720</v>
      </c>
      <c r="F2722" t="s">
        <v>559</v>
      </c>
      <c r="G2722" t="s">
        <v>560</v>
      </c>
    </row>
    <row r="2723" spans="1:7">
      <c r="A2723" t="s">
        <v>182</v>
      </c>
      <c r="B2723" t="s">
        <v>557</v>
      </c>
      <c r="C2723" t="s">
        <v>558</v>
      </c>
      <c r="D2723" t="s">
        <v>3280</v>
      </c>
      <c r="E2723">
        <v>-2721</v>
      </c>
      <c r="F2723" t="s">
        <v>559</v>
      </c>
      <c r="G2723" t="s">
        <v>560</v>
      </c>
    </row>
    <row r="2724" spans="1:7">
      <c r="A2724" t="s">
        <v>182</v>
      </c>
      <c r="B2724" t="s">
        <v>557</v>
      </c>
      <c r="C2724" t="s">
        <v>558</v>
      </c>
      <c r="D2724" t="s">
        <v>3281</v>
      </c>
      <c r="E2724">
        <v>-2722</v>
      </c>
      <c r="F2724" t="s">
        <v>559</v>
      </c>
      <c r="G2724" t="s">
        <v>560</v>
      </c>
    </row>
    <row r="2725" spans="1:7">
      <c r="A2725" t="s">
        <v>182</v>
      </c>
      <c r="B2725" t="s">
        <v>557</v>
      </c>
      <c r="C2725" t="s">
        <v>558</v>
      </c>
      <c r="D2725" t="s">
        <v>3282</v>
      </c>
      <c r="E2725">
        <v>-2723</v>
      </c>
      <c r="F2725" t="s">
        <v>559</v>
      </c>
      <c r="G2725" t="s">
        <v>560</v>
      </c>
    </row>
    <row r="2726" spans="1:7">
      <c r="A2726" t="s">
        <v>182</v>
      </c>
      <c r="B2726" t="s">
        <v>557</v>
      </c>
      <c r="C2726" t="s">
        <v>558</v>
      </c>
      <c r="D2726" t="s">
        <v>3283</v>
      </c>
      <c r="E2726">
        <v>-2724</v>
      </c>
      <c r="F2726" t="s">
        <v>559</v>
      </c>
      <c r="G2726" t="s">
        <v>560</v>
      </c>
    </row>
    <row r="2727" spans="1:7">
      <c r="A2727" t="s">
        <v>182</v>
      </c>
      <c r="B2727" t="s">
        <v>557</v>
      </c>
      <c r="C2727" t="s">
        <v>558</v>
      </c>
      <c r="D2727" t="s">
        <v>3284</v>
      </c>
      <c r="E2727">
        <v>-2725</v>
      </c>
      <c r="F2727" t="s">
        <v>559</v>
      </c>
      <c r="G2727" t="s">
        <v>560</v>
      </c>
    </row>
    <row r="2728" spans="1:7">
      <c r="A2728" t="s">
        <v>182</v>
      </c>
      <c r="B2728" t="s">
        <v>557</v>
      </c>
      <c r="C2728" t="s">
        <v>558</v>
      </c>
      <c r="D2728" t="s">
        <v>3285</v>
      </c>
      <c r="E2728">
        <v>-2726</v>
      </c>
      <c r="F2728" t="s">
        <v>559</v>
      </c>
      <c r="G2728" t="s">
        <v>560</v>
      </c>
    </row>
    <row r="2729" spans="1:7">
      <c r="A2729" t="s">
        <v>182</v>
      </c>
      <c r="B2729" t="s">
        <v>557</v>
      </c>
      <c r="C2729" t="s">
        <v>558</v>
      </c>
      <c r="D2729" t="s">
        <v>3286</v>
      </c>
      <c r="E2729">
        <v>-2727</v>
      </c>
      <c r="F2729" t="s">
        <v>559</v>
      </c>
      <c r="G2729" t="s">
        <v>560</v>
      </c>
    </row>
    <row r="2730" spans="1:7">
      <c r="A2730" t="s">
        <v>182</v>
      </c>
      <c r="B2730" t="s">
        <v>557</v>
      </c>
      <c r="C2730" t="s">
        <v>558</v>
      </c>
      <c r="D2730" t="s">
        <v>3287</v>
      </c>
      <c r="E2730">
        <v>-2728</v>
      </c>
      <c r="F2730" t="s">
        <v>559</v>
      </c>
      <c r="G2730" t="s">
        <v>560</v>
      </c>
    </row>
    <row r="2731" spans="1:7">
      <c r="A2731" t="s">
        <v>182</v>
      </c>
      <c r="B2731" t="s">
        <v>557</v>
      </c>
      <c r="C2731" t="s">
        <v>558</v>
      </c>
      <c r="D2731" t="s">
        <v>3288</v>
      </c>
      <c r="E2731">
        <v>-2729</v>
      </c>
      <c r="F2731" t="s">
        <v>559</v>
      </c>
      <c r="G2731" t="s">
        <v>560</v>
      </c>
    </row>
    <row r="2732" spans="1:7">
      <c r="A2732" t="s">
        <v>182</v>
      </c>
      <c r="B2732" t="s">
        <v>557</v>
      </c>
      <c r="C2732" t="s">
        <v>558</v>
      </c>
      <c r="D2732" t="s">
        <v>3289</v>
      </c>
      <c r="E2732">
        <v>-2730</v>
      </c>
      <c r="F2732" t="s">
        <v>559</v>
      </c>
      <c r="G2732" t="s">
        <v>560</v>
      </c>
    </row>
    <row r="2733" spans="1:7">
      <c r="A2733" t="s">
        <v>182</v>
      </c>
      <c r="B2733" t="s">
        <v>557</v>
      </c>
      <c r="C2733" t="s">
        <v>558</v>
      </c>
      <c r="D2733" t="s">
        <v>3290</v>
      </c>
      <c r="E2733">
        <v>-2731</v>
      </c>
      <c r="F2733" t="s">
        <v>559</v>
      </c>
      <c r="G2733" t="s">
        <v>560</v>
      </c>
    </row>
    <row r="2734" spans="1:7">
      <c r="A2734" t="s">
        <v>182</v>
      </c>
      <c r="B2734" t="s">
        <v>557</v>
      </c>
      <c r="C2734" t="s">
        <v>558</v>
      </c>
      <c r="D2734" t="s">
        <v>3291</v>
      </c>
      <c r="E2734">
        <v>-2732</v>
      </c>
      <c r="F2734" t="s">
        <v>559</v>
      </c>
      <c r="G2734" t="s">
        <v>560</v>
      </c>
    </row>
    <row r="2735" spans="1:7">
      <c r="A2735" t="s">
        <v>182</v>
      </c>
      <c r="B2735" t="s">
        <v>557</v>
      </c>
      <c r="C2735" t="s">
        <v>558</v>
      </c>
      <c r="D2735" t="s">
        <v>3292</v>
      </c>
      <c r="E2735">
        <v>-2733</v>
      </c>
      <c r="F2735" t="s">
        <v>559</v>
      </c>
      <c r="G2735" t="s">
        <v>560</v>
      </c>
    </row>
    <row r="2736" spans="1:7">
      <c r="A2736" t="s">
        <v>182</v>
      </c>
      <c r="B2736" t="s">
        <v>557</v>
      </c>
      <c r="C2736" t="s">
        <v>558</v>
      </c>
      <c r="D2736" t="s">
        <v>3293</v>
      </c>
      <c r="E2736">
        <v>-2734</v>
      </c>
      <c r="F2736" t="s">
        <v>559</v>
      </c>
      <c r="G2736" t="s">
        <v>560</v>
      </c>
    </row>
    <row r="2737" spans="1:7">
      <c r="A2737" t="s">
        <v>182</v>
      </c>
      <c r="B2737" t="s">
        <v>557</v>
      </c>
      <c r="C2737" t="s">
        <v>558</v>
      </c>
      <c r="D2737" t="s">
        <v>3294</v>
      </c>
      <c r="E2737">
        <v>-2735</v>
      </c>
      <c r="F2737" t="s">
        <v>559</v>
      </c>
      <c r="G2737" t="s">
        <v>560</v>
      </c>
    </row>
    <row r="2738" spans="1:7">
      <c r="A2738" t="s">
        <v>182</v>
      </c>
      <c r="B2738" t="s">
        <v>557</v>
      </c>
      <c r="C2738" t="s">
        <v>558</v>
      </c>
      <c r="D2738" t="s">
        <v>3295</v>
      </c>
      <c r="E2738">
        <v>-2736</v>
      </c>
      <c r="F2738" t="s">
        <v>559</v>
      </c>
      <c r="G2738" t="s">
        <v>560</v>
      </c>
    </row>
    <row r="2739" spans="1:7">
      <c r="A2739" t="s">
        <v>182</v>
      </c>
      <c r="B2739" t="s">
        <v>557</v>
      </c>
      <c r="C2739" t="s">
        <v>558</v>
      </c>
      <c r="D2739" t="s">
        <v>3296</v>
      </c>
      <c r="E2739">
        <v>-2737</v>
      </c>
      <c r="F2739" t="s">
        <v>559</v>
      </c>
      <c r="G2739" t="s">
        <v>560</v>
      </c>
    </row>
    <row r="2740" spans="1:7">
      <c r="A2740" t="s">
        <v>182</v>
      </c>
      <c r="B2740" t="s">
        <v>557</v>
      </c>
      <c r="C2740" t="s">
        <v>558</v>
      </c>
      <c r="D2740" t="s">
        <v>3297</v>
      </c>
      <c r="E2740">
        <v>-2738</v>
      </c>
      <c r="F2740" t="s">
        <v>559</v>
      </c>
      <c r="G2740" t="s">
        <v>560</v>
      </c>
    </row>
    <row r="2741" spans="1:7">
      <c r="A2741" t="s">
        <v>182</v>
      </c>
      <c r="B2741" t="s">
        <v>557</v>
      </c>
      <c r="C2741" t="s">
        <v>558</v>
      </c>
      <c r="D2741" t="s">
        <v>3298</v>
      </c>
      <c r="E2741">
        <v>-2739</v>
      </c>
      <c r="F2741" t="s">
        <v>559</v>
      </c>
      <c r="G2741" t="s">
        <v>560</v>
      </c>
    </row>
    <row r="2742" spans="1:7">
      <c r="A2742" t="s">
        <v>182</v>
      </c>
      <c r="B2742" t="s">
        <v>557</v>
      </c>
      <c r="C2742" t="s">
        <v>558</v>
      </c>
      <c r="D2742" t="s">
        <v>3299</v>
      </c>
      <c r="E2742">
        <v>-2740</v>
      </c>
      <c r="F2742" t="s">
        <v>559</v>
      </c>
      <c r="G2742" t="s">
        <v>560</v>
      </c>
    </row>
    <row r="2743" spans="1:7">
      <c r="A2743" t="s">
        <v>182</v>
      </c>
      <c r="B2743" t="s">
        <v>557</v>
      </c>
      <c r="C2743" t="s">
        <v>558</v>
      </c>
      <c r="D2743" t="s">
        <v>3300</v>
      </c>
      <c r="E2743">
        <v>-2741</v>
      </c>
      <c r="F2743" t="s">
        <v>559</v>
      </c>
      <c r="G2743" t="s">
        <v>560</v>
      </c>
    </row>
    <row r="2744" spans="1:7">
      <c r="A2744" t="s">
        <v>182</v>
      </c>
      <c r="B2744" t="s">
        <v>557</v>
      </c>
      <c r="C2744" t="s">
        <v>558</v>
      </c>
      <c r="D2744" t="s">
        <v>3301</v>
      </c>
      <c r="E2744">
        <v>-2742</v>
      </c>
      <c r="F2744" t="s">
        <v>559</v>
      </c>
      <c r="G2744" t="s">
        <v>560</v>
      </c>
    </row>
    <row r="2745" spans="1:7">
      <c r="A2745" t="s">
        <v>182</v>
      </c>
      <c r="B2745" t="s">
        <v>557</v>
      </c>
      <c r="C2745" t="s">
        <v>558</v>
      </c>
      <c r="D2745" t="s">
        <v>3302</v>
      </c>
      <c r="E2745">
        <v>-2743</v>
      </c>
      <c r="F2745" t="s">
        <v>559</v>
      </c>
      <c r="G2745" t="s">
        <v>560</v>
      </c>
    </row>
    <row r="2746" spans="1:7">
      <c r="A2746" t="s">
        <v>182</v>
      </c>
      <c r="B2746" t="s">
        <v>557</v>
      </c>
      <c r="C2746" t="s">
        <v>558</v>
      </c>
      <c r="D2746" t="s">
        <v>3303</v>
      </c>
      <c r="E2746">
        <v>-2744</v>
      </c>
      <c r="F2746" t="s">
        <v>559</v>
      </c>
      <c r="G2746" t="s">
        <v>560</v>
      </c>
    </row>
    <row r="2747" spans="1:7">
      <c r="A2747" t="s">
        <v>182</v>
      </c>
      <c r="B2747" t="s">
        <v>557</v>
      </c>
      <c r="C2747" t="s">
        <v>558</v>
      </c>
      <c r="D2747" t="s">
        <v>3304</v>
      </c>
      <c r="E2747">
        <v>-2745</v>
      </c>
      <c r="F2747" t="s">
        <v>559</v>
      </c>
      <c r="G2747" t="s">
        <v>560</v>
      </c>
    </row>
    <row r="2748" spans="1:7">
      <c r="A2748" t="s">
        <v>182</v>
      </c>
      <c r="B2748" t="s">
        <v>557</v>
      </c>
      <c r="C2748" t="s">
        <v>558</v>
      </c>
      <c r="D2748" t="s">
        <v>3305</v>
      </c>
      <c r="E2748">
        <v>-2746</v>
      </c>
      <c r="F2748" t="s">
        <v>559</v>
      </c>
      <c r="G2748" t="s">
        <v>560</v>
      </c>
    </row>
    <row r="2749" spans="1:7">
      <c r="A2749" t="s">
        <v>182</v>
      </c>
      <c r="B2749" t="s">
        <v>557</v>
      </c>
      <c r="C2749" t="s">
        <v>558</v>
      </c>
      <c r="D2749" t="s">
        <v>3306</v>
      </c>
      <c r="E2749">
        <v>-2747</v>
      </c>
      <c r="F2749" t="s">
        <v>559</v>
      </c>
      <c r="G2749" t="s">
        <v>560</v>
      </c>
    </row>
    <row r="2750" spans="1:7">
      <c r="A2750" t="s">
        <v>182</v>
      </c>
      <c r="B2750" t="s">
        <v>557</v>
      </c>
      <c r="C2750" t="s">
        <v>558</v>
      </c>
      <c r="D2750" t="s">
        <v>3307</v>
      </c>
      <c r="E2750">
        <v>-2748</v>
      </c>
      <c r="F2750" t="s">
        <v>559</v>
      </c>
      <c r="G2750" t="s">
        <v>560</v>
      </c>
    </row>
    <row r="2751" spans="1:7">
      <c r="A2751" t="s">
        <v>182</v>
      </c>
      <c r="B2751" t="s">
        <v>557</v>
      </c>
      <c r="C2751" t="s">
        <v>558</v>
      </c>
      <c r="D2751" t="s">
        <v>3308</v>
      </c>
      <c r="E2751">
        <v>-2749</v>
      </c>
      <c r="F2751" t="s">
        <v>559</v>
      </c>
      <c r="G2751" t="s">
        <v>560</v>
      </c>
    </row>
    <row r="2752" spans="1:7">
      <c r="A2752" t="s">
        <v>182</v>
      </c>
      <c r="B2752" t="s">
        <v>557</v>
      </c>
      <c r="C2752" t="s">
        <v>558</v>
      </c>
      <c r="D2752" t="s">
        <v>3309</v>
      </c>
      <c r="E2752">
        <v>-2750</v>
      </c>
      <c r="F2752" t="s">
        <v>559</v>
      </c>
      <c r="G2752" t="s">
        <v>560</v>
      </c>
    </row>
    <row r="2753" spans="1:7">
      <c r="A2753" t="s">
        <v>182</v>
      </c>
      <c r="B2753" t="s">
        <v>557</v>
      </c>
      <c r="C2753" t="s">
        <v>558</v>
      </c>
      <c r="D2753" t="s">
        <v>3310</v>
      </c>
      <c r="E2753">
        <v>-2751</v>
      </c>
      <c r="F2753" t="s">
        <v>559</v>
      </c>
      <c r="G2753" t="s">
        <v>560</v>
      </c>
    </row>
    <row r="2754" spans="1:7">
      <c r="A2754" t="s">
        <v>182</v>
      </c>
      <c r="B2754" t="s">
        <v>557</v>
      </c>
      <c r="C2754" t="s">
        <v>558</v>
      </c>
      <c r="D2754" t="s">
        <v>3311</v>
      </c>
      <c r="E2754">
        <v>-2752</v>
      </c>
      <c r="F2754" t="s">
        <v>559</v>
      </c>
      <c r="G2754" t="s">
        <v>560</v>
      </c>
    </row>
    <row r="2755" spans="1:7">
      <c r="A2755" t="s">
        <v>182</v>
      </c>
      <c r="B2755" t="s">
        <v>557</v>
      </c>
      <c r="C2755" t="s">
        <v>558</v>
      </c>
      <c r="D2755" t="s">
        <v>3312</v>
      </c>
      <c r="E2755">
        <v>-2753</v>
      </c>
      <c r="F2755" t="s">
        <v>559</v>
      </c>
      <c r="G2755" t="s">
        <v>560</v>
      </c>
    </row>
    <row r="2756" spans="1:7">
      <c r="A2756" t="s">
        <v>182</v>
      </c>
      <c r="B2756" t="s">
        <v>557</v>
      </c>
      <c r="C2756" t="s">
        <v>558</v>
      </c>
      <c r="D2756" t="s">
        <v>3313</v>
      </c>
      <c r="E2756">
        <v>-2754</v>
      </c>
      <c r="F2756" t="s">
        <v>559</v>
      </c>
      <c r="G2756" t="s">
        <v>560</v>
      </c>
    </row>
    <row r="2757" spans="1:7">
      <c r="A2757" t="s">
        <v>182</v>
      </c>
      <c r="B2757" t="s">
        <v>557</v>
      </c>
      <c r="C2757" t="s">
        <v>558</v>
      </c>
      <c r="D2757" t="s">
        <v>3314</v>
      </c>
      <c r="E2757">
        <v>-2755</v>
      </c>
      <c r="F2757" t="s">
        <v>559</v>
      </c>
      <c r="G2757" t="s">
        <v>560</v>
      </c>
    </row>
    <row r="2758" spans="1:7">
      <c r="A2758" t="s">
        <v>182</v>
      </c>
      <c r="B2758" t="s">
        <v>557</v>
      </c>
      <c r="C2758" t="s">
        <v>558</v>
      </c>
      <c r="D2758" t="s">
        <v>3315</v>
      </c>
      <c r="E2758">
        <v>-2756</v>
      </c>
      <c r="F2758" t="s">
        <v>559</v>
      </c>
      <c r="G2758" t="s">
        <v>560</v>
      </c>
    </row>
    <row r="2759" spans="1:7">
      <c r="A2759" t="s">
        <v>182</v>
      </c>
      <c r="B2759" t="s">
        <v>557</v>
      </c>
      <c r="C2759" t="s">
        <v>558</v>
      </c>
      <c r="D2759" t="s">
        <v>3316</v>
      </c>
      <c r="E2759">
        <v>-2757</v>
      </c>
      <c r="F2759" t="s">
        <v>559</v>
      </c>
      <c r="G2759" t="s">
        <v>560</v>
      </c>
    </row>
    <row r="2760" spans="1:7">
      <c r="A2760" t="s">
        <v>182</v>
      </c>
      <c r="B2760" t="s">
        <v>557</v>
      </c>
      <c r="C2760" t="s">
        <v>558</v>
      </c>
      <c r="D2760" t="s">
        <v>3317</v>
      </c>
      <c r="E2760">
        <v>-2758</v>
      </c>
      <c r="F2760" t="s">
        <v>559</v>
      </c>
      <c r="G2760" t="s">
        <v>560</v>
      </c>
    </row>
    <row r="2761" spans="1:7">
      <c r="A2761" t="s">
        <v>182</v>
      </c>
      <c r="B2761" t="s">
        <v>557</v>
      </c>
      <c r="C2761" t="s">
        <v>558</v>
      </c>
      <c r="D2761" t="s">
        <v>3318</v>
      </c>
      <c r="E2761">
        <v>-2759</v>
      </c>
      <c r="F2761" t="s">
        <v>559</v>
      </c>
      <c r="G2761" t="s">
        <v>560</v>
      </c>
    </row>
    <row r="2762" spans="1:7">
      <c r="A2762" t="s">
        <v>182</v>
      </c>
      <c r="B2762" t="s">
        <v>557</v>
      </c>
      <c r="C2762" t="s">
        <v>558</v>
      </c>
      <c r="D2762" t="s">
        <v>3319</v>
      </c>
      <c r="E2762">
        <v>-2760</v>
      </c>
      <c r="F2762" t="s">
        <v>559</v>
      </c>
      <c r="G2762" t="s">
        <v>560</v>
      </c>
    </row>
    <row r="2763" spans="1:7">
      <c r="A2763" t="s">
        <v>182</v>
      </c>
      <c r="B2763" t="s">
        <v>557</v>
      </c>
      <c r="C2763" t="s">
        <v>558</v>
      </c>
      <c r="D2763" t="s">
        <v>3320</v>
      </c>
      <c r="E2763">
        <v>-2761</v>
      </c>
      <c r="F2763" t="s">
        <v>559</v>
      </c>
      <c r="G2763" t="s">
        <v>560</v>
      </c>
    </row>
    <row r="2764" spans="1:7">
      <c r="A2764" t="s">
        <v>182</v>
      </c>
      <c r="B2764" t="s">
        <v>557</v>
      </c>
      <c r="C2764" t="s">
        <v>558</v>
      </c>
      <c r="D2764" t="s">
        <v>3321</v>
      </c>
      <c r="E2764">
        <v>-2762</v>
      </c>
      <c r="F2764" t="s">
        <v>559</v>
      </c>
      <c r="G2764" t="s">
        <v>560</v>
      </c>
    </row>
    <row r="2765" spans="1:7">
      <c r="A2765" t="s">
        <v>182</v>
      </c>
      <c r="B2765" t="s">
        <v>557</v>
      </c>
      <c r="C2765" t="s">
        <v>558</v>
      </c>
      <c r="D2765" t="s">
        <v>3322</v>
      </c>
      <c r="E2765">
        <v>-2763</v>
      </c>
      <c r="F2765" t="s">
        <v>559</v>
      </c>
      <c r="G2765" t="s">
        <v>560</v>
      </c>
    </row>
    <row r="2766" spans="1:7">
      <c r="A2766" t="s">
        <v>182</v>
      </c>
      <c r="B2766" t="s">
        <v>557</v>
      </c>
      <c r="C2766" t="s">
        <v>558</v>
      </c>
      <c r="D2766" t="s">
        <v>3323</v>
      </c>
      <c r="E2766">
        <v>-2764</v>
      </c>
      <c r="F2766" t="s">
        <v>559</v>
      </c>
      <c r="G2766" t="s">
        <v>560</v>
      </c>
    </row>
    <row r="2767" spans="1:7">
      <c r="A2767" t="s">
        <v>182</v>
      </c>
      <c r="B2767" t="s">
        <v>557</v>
      </c>
      <c r="C2767" t="s">
        <v>558</v>
      </c>
      <c r="D2767" t="s">
        <v>3324</v>
      </c>
      <c r="E2767">
        <v>-2765</v>
      </c>
      <c r="F2767" t="s">
        <v>559</v>
      </c>
      <c r="G2767" t="s">
        <v>560</v>
      </c>
    </row>
    <row r="2768" spans="1:7">
      <c r="A2768" t="s">
        <v>182</v>
      </c>
      <c r="B2768" t="s">
        <v>557</v>
      </c>
      <c r="C2768" t="s">
        <v>558</v>
      </c>
      <c r="D2768" t="s">
        <v>3325</v>
      </c>
      <c r="E2768">
        <v>-2766</v>
      </c>
      <c r="F2768" t="s">
        <v>559</v>
      </c>
      <c r="G2768" t="s">
        <v>560</v>
      </c>
    </row>
    <row r="2769" spans="1:7">
      <c r="A2769" t="s">
        <v>182</v>
      </c>
      <c r="B2769" t="s">
        <v>557</v>
      </c>
      <c r="C2769" t="s">
        <v>558</v>
      </c>
      <c r="D2769" t="s">
        <v>3326</v>
      </c>
      <c r="E2769">
        <v>-2767</v>
      </c>
      <c r="F2769" t="s">
        <v>559</v>
      </c>
      <c r="G2769" t="s">
        <v>560</v>
      </c>
    </row>
    <row r="2770" spans="1:7">
      <c r="A2770" t="s">
        <v>182</v>
      </c>
      <c r="B2770" t="s">
        <v>557</v>
      </c>
      <c r="C2770" t="s">
        <v>558</v>
      </c>
      <c r="D2770" t="s">
        <v>3327</v>
      </c>
      <c r="E2770">
        <v>-2768</v>
      </c>
      <c r="F2770" t="s">
        <v>559</v>
      </c>
      <c r="G2770" t="s">
        <v>560</v>
      </c>
    </row>
    <row r="2771" spans="1:7">
      <c r="A2771" t="s">
        <v>182</v>
      </c>
      <c r="B2771" t="s">
        <v>557</v>
      </c>
      <c r="C2771" t="s">
        <v>558</v>
      </c>
      <c r="D2771" t="s">
        <v>3328</v>
      </c>
      <c r="E2771">
        <v>-2769</v>
      </c>
      <c r="F2771" t="s">
        <v>559</v>
      </c>
      <c r="G2771" t="s">
        <v>560</v>
      </c>
    </row>
    <row r="2772" spans="1:7">
      <c r="A2772" t="s">
        <v>182</v>
      </c>
      <c r="B2772" t="s">
        <v>557</v>
      </c>
      <c r="C2772" t="s">
        <v>558</v>
      </c>
      <c r="D2772" t="s">
        <v>3329</v>
      </c>
      <c r="E2772">
        <v>-2770</v>
      </c>
      <c r="F2772" t="s">
        <v>559</v>
      </c>
      <c r="G2772" t="s">
        <v>560</v>
      </c>
    </row>
    <row r="2773" spans="1:7">
      <c r="A2773" t="s">
        <v>182</v>
      </c>
      <c r="B2773" t="s">
        <v>557</v>
      </c>
      <c r="C2773" t="s">
        <v>558</v>
      </c>
      <c r="D2773" t="s">
        <v>3330</v>
      </c>
      <c r="E2773">
        <v>-2771</v>
      </c>
      <c r="F2773" t="s">
        <v>559</v>
      </c>
      <c r="G2773" t="s">
        <v>560</v>
      </c>
    </row>
    <row r="2774" spans="1:7">
      <c r="A2774" t="s">
        <v>182</v>
      </c>
      <c r="B2774" t="s">
        <v>557</v>
      </c>
      <c r="C2774" t="s">
        <v>558</v>
      </c>
      <c r="D2774" t="s">
        <v>3331</v>
      </c>
      <c r="E2774">
        <v>-2772</v>
      </c>
      <c r="F2774" t="s">
        <v>559</v>
      </c>
      <c r="G2774" t="s">
        <v>560</v>
      </c>
    </row>
    <row r="2775" spans="1:7">
      <c r="A2775" t="s">
        <v>182</v>
      </c>
      <c r="B2775" t="s">
        <v>557</v>
      </c>
      <c r="C2775" t="s">
        <v>558</v>
      </c>
      <c r="D2775" t="s">
        <v>3332</v>
      </c>
      <c r="E2775">
        <v>-2773</v>
      </c>
      <c r="F2775" t="s">
        <v>559</v>
      </c>
      <c r="G2775" t="s">
        <v>560</v>
      </c>
    </row>
    <row r="2776" spans="1:7">
      <c r="A2776" t="s">
        <v>182</v>
      </c>
      <c r="B2776" t="s">
        <v>557</v>
      </c>
      <c r="C2776" t="s">
        <v>558</v>
      </c>
      <c r="D2776" t="s">
        <v>3333</v>
      </c>
      <c r="E2776">
        <v>-2774</v>
      </c>
      <c r="F2776" t="s">
        <v>559</v>
      </c>
      <c r="G2776" t="s">
        <v>560</v>
      </c>
    </row>
    <row r="2777" spans="1:7">
      <c r="A2777" t="s">
        <v>182</v>
      </c>
      <c r="B2777" t="s">
        <v>557</v>
      </c>
      <c r="C2777" t="s">
        <v>558</v>
      </c>
      <c r="D2777" t="s">
        <v>3334</v>
      </c>
      <c r="E2777">
        <v>-2775</v>
      </c>
      <c r="F2777" t="s">
        <v>559</v>
      </c>
      <c r="G2777" t="s">
        <v>560</v>
      </c>
    </row>
    <row r="2778" spans="1:7">
      <c r="A2778" t="s">
        <v>182</v>
      </c>
      <c r="B2778" t="s">
        <v>557</v>
      </c>
      <c r="C2778" t="s">
        <v>558</v>
      </c>
      <c r="D2778" t="s">
        <v>3335</v>
      </c>
      <c r="E2778">
        <v>-2776</v>
      </c>
      <c r="F2778" t="s">
        <v>559</v>
      </c>
      <c r="G2778" t="s">
        <v>560</v>
      </c>
    </row>
    <row r="2779" spans="1:7">
      <c r="A2779" t="s">
        <v>182</v>
      </c>
      <c r="B2779" t="s">
        <v>557</v>
      </c>
      <c r="C2779" t="s">
        <v>558</v>
      </c>
      <c r="D2779" t="s">
        <v>3336</v>
      </c>
      <c r="E2779">
        <v>-2777</v>
      </c>
      <c r="F2779" t="s">
        <v>559</v>
      </c>
      <c r="G2779" t="s">
        <v>560</v>
      </c>
    </row>
    <row r="2780" spans="1:7">
      <c r="A2780" t="s">
        <v>182</v>
      </c>
      <c r="B2780" t="s">
        <v>557</v>
      </c>
      <c r="C2780" t="s">
        <v>558</v>
      </c>
      <c r="D2780" t="s">
        <v>3337</v>
      </c>
      <c r="E2780">
        <v>-2778</v>
      </c>
      <c r="F2780" t="s">
        <v>559</v>
      </c>
      <c r="G2780" t="s">
        <v>560</v>
      </c>
    </row>
    <row r="2781" spans="1:7">
      <c r="A2781" t="s">
        <v>182</v>
      </c>
      <c r="B2781" t="s">
        <v>557</v>
      </c>
      <c r="C2781" t="s">
        <v>558</v>
      </c>
      <c r="D2781" t="s">
        <v>3338</v>
      </c>
      <c r="E2781">
        <v>-2779</v>
      </c>
      <c r="F2781" t="s">
        <v>559</v>
      </c>
      <c r="G2781" t="s">
        <v>560</v>
      </c>
    </row>
    <row r="2782" spans="1:7">
      <c r="A2782" t="s">
        <v>182</v>
      </c>
      <c r="B2782" t="s">
        <v>557</v>
      </c>
      <c r="C2782" t="s">
        <v>558</v>
      </c>
      <c r="D2782" t="s">
        <v>3339</v>
      </c>
      <c r="E2782">
        <v>-2780</v>
      </c>
      <c r="F2782" t="s">
        <v>559</v>
      </c>
      <c r="G2782" t="s">
        <v>560</v>
      </c>
    </row>
    <row r="2783" spans="1:7">
      <c r="A2783" t="s">
        <v>182</v>
      </c>
      <c r="B2783" t="s">
        <v>557</v>
      </c>
      <c r="C2783" t="s">
        <v>558</v>
      </c>
      <c r="D2783" t="s">
        <v>3340</v>
      </c>
      <c r="E2783">
        <v>-2781</v>
      </c>
      <c r="F2783" t="s">
        <v>559</v>
      </c>
      <c r="G2783" t="s">
        <v>560</v>
      </c>
    </row>
    <row r="2784" spans="1:7">
      <c r="A2784" t="s">
        <v>182</v>
      </c>
      <c r="B2784" t="s">
        <v>557</v>
      </c>
      <c r="C2784" t="s">
        <v>558</v>
      </c>
      <c r="D2784" t="s">
        <v>3341</v>
      </c>
      <c r="E2784">
        <v>-2782</v>
      </c>
      <c r="F2784" t="s">
        <v>559</v>
      </c>
      <c r="G2784" t="s">
        <v>560</v>
      </c>
    </row>
    <row r="2785" spans="1:7">
      <c r="A2785" t="s">
        <v>182</v>
      </c>
      <c r="B2785" t="s">
        <v>557</v>
      </c>
      <c r="C2785" t="s">
        <v>558</v>
      </c>
      <c r="D2785" t="s">
        <v>3342</v>
      </c>
      <c r="E2785">
        <v>-2783</v>
      </c>
      <c r="F2785" t="s">
        <v>559</v>
      </c>
      <c r="G2785" t="s">
        <v>560</v>
      </c>
    </row>
    <row r="2786" spans="1:7">
      <c r="A2786" t="s">
        <v>182</v>
      </c>
      <c r="B2786" t="s">
        <v>557</v>
      </c>
      <c r="C2786" t="s">
        <v>558</v>
      </c>
      <c r="D2786" t="s">
        <v>3343</v>
      </c>
      <c r="E2786">
        <v>-2784</v>
      </c>
      <c r="F2786" t="s">
        <v>559</v>
      </c>
      <c r="G2786" t="s">
        <v>560</v>
      </c>
    </row>
    <row r="2787" spans="1:7">
      <c r="A2787" t="s">
        <v>182</v>
      </c>
      <c r="B2787" t="s">
        <v>557</v>
      </c>
      <c r="C2787" t="s">
        <v>558</v>
      </c>
      <c r="D2787" t="s">
        <v>3344</v>
      </c>
      <c r="E2787">
        <v>-2785</v>
      </c>
      <c r="F2787" t="s">
        <v>559</v>
      </c>
      <c r="G2787" t="s">
        <v>560</v>
      </c>
    </row>
    <row r="2788" spans="1:7">
      <c r="A2788" t="s">
        <v>182</v>
      </c>
      <c r="B2788" t="s">
        <v>557</v>
      </c>
      <c r="C2788" t="s">
        <v>558</v>
      </c>
      <c r="D2788" t="s">
        <v>3345</v>
      </c>
      <c r="E2788">
        <v>-2786</v>
      </c>
      <c r="F2788" t="s">
        <v>559</v>
      </c>
      <c r="G2788" t="s">
        <v>560</v>
      </c>
    </row>
    <row r="2789" spans="1:7">
      <c r="A2789" t="s">
        <v>182</v>
      </c>
      <c r="B2789" t="s">
        <v>557</v>
      </c>
      <c r="C2789" t="s">
        <v>558</v>
      </c>
      <c r="D2789" t="s">
        <v>3346</v>
      </c>
      <c r="E2789">
        <v>-2787</v>
      </c>
      <c r="F2789" t="s">
        <v>559</v>
      </c>
      <c r="G2789" t="s">
        <v>560</v>
      </c>
    </row>
    <row r="2790" spans="1:7">
      <c r="A2790" t="s">
        <v>182</v>
      </c>
      <c r="B2790" t="s">
        <v>557</v>
      </c>
      <c r="C2790" t="s">
        <v>558</v>
      </c>
      <c r="D2790" t="s">
        <v>3347</v>
      </c>
      <c r="E2790">
        <v>-2788</v>
      </c>
      <c r="F2790" t="s">
        <v>559</v>
      </c>
      <c r="G2790" t="s">
        <v>560</v>
      </c>
    </row>
    <row r="2791" spans="1:7">
      <c r="A2791" t="s">
        <v>182</v>
      </c>
      <c r="B2791" t="s">
        <v>557</v>
      </c>
      <c r="C2791" t="s">
        <v>558</v>
      </c>
      <c r="D2791" t="s">
        <v>3348</v>
      </c>
      <c r="E2791">
        <v>-2789</v>
      </c>
      <c r="F2791" t="s">
        <v>559</v>
      </c>
      <c r="G2791" t="s">
        <v>560</v>
      </c>
    </row>
    <row r="2792" spans="1:7">
      <c r="A2792" t="s">
        <v>182</v>
      </c>
      <c r="B2792" t="s">
        <v>557</v>
      </c>
      <c r="C2792" t="s">
        <v>558</v>
      </c>
      <c r="D2792" t="s">
        <v>3349</v>
      </c>
      <c r="E2792">
        <v>-2790</v>
      </c>
      <c r="F2792" t="s">
        <v>559</v>
      </c>
      <c r="G2792" t="s">
        <v>560</v>
      </c>
    </row>
    <row r="2793" spans="1:7">
      <c r="A2793" t="s">
        <v>182</v>
      </c>
      <c r="B2793" t="s">
        <v>557</v>
      </c>
      <c r="C2793" t="s">
        <v>558</v>
      </c>
      <c r="D2793" t="s">
        <v>3350</v>
      </c>
      <c r="E2793">
        <v>-2791</v>
      </c>
      <c r="F2793" t="s">
        <v>559</v>
      </c>
      <c r="G2793" t="s">
        <v>560</v>
      </c>
    </row>
    <row r="2794" spans="1:7">
      <c r="A2794" t="s">
        <v>182</v>
      </c>
      <c r="B2794" t="s">
        <v>557</v>
      </c>
      <c r="C2794" t="s">
        <v>558</v>
      </c>
      <c r="D2794" t="s">
        <v>3351</v>
      </c>
      <c r="E2794">
        <v>-2792</v>
      </c>
      <c r="F2794" t="s">
        <v>559</v>
      </c>
      <c r="G2794" t="s">
        <v>560</v>
      </c>
    </row>
    <row r="2795" spans="1:7">
      <c r="A2795" t="s">
        <v>182</v>
      </c>
      <c r="B2795" t="s">
        <v>557</v>
      </c>
      <c r="C2795" t="s">
        <v>558</v>
      </c>
      <c r="D2795" t="s">
        <v>3352</v>
      </c>
      <c r="E2795">
        <v>-2793</v>
      </c>
      <c r="F2795" t="s">
        <v>559</v>
      </c>
      <c r="G2795" t="s">
        <v>560</v>
      </c>
    </row>
    <row r="2796" spans="1:7">
      <c r="A2796" t="s">
        <v>182</v>
      </c>
      <c r="B2796" t="s">
        <v>557</v>
      </c>
      <c r="C2796" t="s">
        <v>558</v>
      </c>
      <c r="D2796" t="s">
        <v>3353</v>
      </c>
      <c r="E2796">
        <v>-2794</v>
      </c>
      <c r="F2796" t="s">
        <v>559</v>
      </c>
      <c r="G2796" t="s">
        <v>560</v>
      </c>
    </row>
    <row r="2797" spans="1:7">
      <c r="A2797" t="s">
        <v>182</v>
      </c>
      <c r="B2797" t="s">
        <v>557</v>
      </c>
      <c r="C2797" t="s">
        <v>558</v>
      </c>
      <c r="D2797" t="s">
        <v>3354</v>
      </c>
      <c r="E2797">
        <v>-2795</v>
      </c>
      <c r="F2797" t="s">
        <v>559</v>
      </c>
      <c r="G2797" t="s">
        <v>560</v>
      </c>
    </row>
    <row r="2798" spans="1:7">
      <c r="A2798" t="s">
        <v>182</v>
      </c>
      <c r="B2798" t="s">
        <v>557</v>
      </c>
      <c r="C2798" t="s">
        <v>558</v>
      </c>
      <c r="D2798" t="s">
        <v>3355</v>
      </c>
      <c r="E2798">
        <v>-2796</v>
      </c>
      <c r="F2798" t="s">
        <v>559</v>
      </c>
      <c r="G2798" t="s">
        <v>560</v>
      </c>
    </row>
    <row r="2799" spans="1:7">
      <c r="A2799" t="s">
        <v>182</v>
      </c>
      <c r="B2799" t="s">
        <v>557</v>
      </c>
      <c r="C2799" t="s">
        <v>558</v>
      </c>
      <c r="D2799" t="s">
        <v>3356</v>
      </c>
      <c r="E2799">
        <v>-2797</v>
      </c>
      <c r="F2799" t="s">
        <v>559</v>
      </c>
      <c r="G2799" t="s">
        <v>560</v>
      </c>
    </row>
    <row r="2800" spans="1:7">
      <c r="A2800" t="s">
        <v>182</v>
      </c>
      <c r="B2800" t="s">
        <v>557</v>
      </c>
      <c r="C2800" t="s">
        <v>558</v>
      </c>
      <c r="D2800" t="s">
        <v>3357</v>
      </c>
      <c r="E2800">
        <v>-2798</v>
      </c>
      <c r="F2800" t="s">
        <v>559</v>
      </c>
      <c r="G2800" t="s">
        <v>560</v>
      </c>
    </row>
    <row r="2801" spans="1:7">
      <c r="A2801" t="s">
        <v>182</v>
      </c>
      <c r="B2801" t="s">
        <v>557</v>
      </c>
      <c r="C2801" t="s">
        <v>558</v>
      </c>
      <c r="D2801" t="s">
        <v>3358</v>
      </c>
      <c r="E2801">
        <v>-2799</v>
      </c>
      <c r="F2801" t="s">
        <v>559</v>
      </c>
      <c r="G2801" t="s">
        <v>560</v>
      </c>
    </row>
    <row r="2802" spans="1:7">
      <c r="A2802" t="s">
        <v>182</v>
      </c>
      <c r="B2802" t="s">
        <v>557</v>
      </c>
      <c r="C2802" t="s">
        <v>558</v>
      </c>
      <c r="D2802" t="s">
        <v>3359</v>
      </c>
      <c r="E2802">
        <v>-2800</v>
      </c>
      <c r="F2802" t="s">
        <v>559</v>
      </c>
      <c r="G2802" t="s">
        <v>560</v>
      </c>
    </row>
    <row r="2803" spans="1:7">
      <c r="A2803" t="s">
        <v>182</v>
      </c>
      <c r="B2803" t="s">
        <v>557</v>
      </c>
      <c r="C2803" t="s">
        <v>558</v>
      </c>
      <c r="D2803" t="s">
        <v>3360</v>
      </c>
      <c r="E2803">
        <v>-2801</v>
      </c>
      <c r="F2803" t="s">
        <v>559</v>
      </c>
      <c r="G2803" t="s">
        <v>560</v>
      </c>
    </row>
    <row r="2804" spans="1:7">
      <c r="A2804" t="s">
        <v>182</v>
      </c>
      <c r="B2804" t="s">
        <v>557</v>
      </c>
      <c r="C2804" t="s">
        <v>558</v>
      </c>
      <c r="D2804" t="s">
        <v>3361</v>
      </c>
      <c r="E2804">
        <v>-2802</v>
      </c>
      <c r="F2804" t="s">
        <v>559</v>
      </c>
      <c r="G2804" t="s">
        <v>560</v>
      </c>
    </row>
    <row r="2805" spans="1:7">
      <c r="A2805" t="s">
        <v>182</v>
      </c>
      <c r="B2805" t="s">
        <v>557</v>
      </c>
      <c r="C2805" t="s">
        <v>558</v>
      </c>
      <c r="D2805" t="s">
        <v>3362</v>
      </c>
      <c r="E2805">
        <v>-2803</v>
      </c>
      <c r="F2805" t="s">
        <v>559</v>
      </c>
      <c r="G2805" t="s">
        <v>560</v>
      </c>
    </row>
    <row r="2806" spans="1:7">
      <c r="A2806" t="s">
        <v>182</v>
      </c>
      <c r="B2806" t="s">
        <v>557</v>
      </c>
      <c r="C2806" t="s">
        <v>558</v>
      </c>
      <c r="D2806" t="s">
        <v>3363</v>
      </c>
      <c r="E2806">
        <v>-2804</v>
      </c>
      <c r="F2806" t="s">
        <v>559</v>
      </c>
      <c r="G2806" t="s">
        <v>560</v>
      </c>
    </row>
    <row r="2807" spans="1:7">
      <c r="A2807" t="s">
        <v>182</v>
      </c>
      <c r="B2807" t="s">
        <v>557</v>
      </c>
      <c r="C2807" t="s">
        <v>558</v>
      </c>
      <c r="D2807" t="s">
        <v>3364</v>
      </c>
      <c r="E2807">
        <v>-2805</v>
      </c>
      <c r="F2807" t="s">
        <v>559</v>
      </c>
      <c r="G2807" t="s">
        <v>560</v>
      </c>
    </row>
    <row r="2808" spans="1:7">
      <c r="A2808" t="s">
        <v>182</v>
      </c>
      <c r="B2808" t="s">
        <v>557</v>
      </c>
      <c r="C2808" t="s">
        <v>558</v>
      </c>
      <c r="D2808" t="s">
        <v>3365</v>
      </c>
      <c r="E2808">
        <v>-2806</v>
      </c>
      <c r="F2808" t="s">
        <v>559</v>
      </c>
      <c r="G2808" t="s">
        <v>560</v>
      </c>
    </row>
    <row r="2809" spans="1:7">
      <c r="A2809" t="s">
        <v>182</v>
      </c>
      <c r="B2809" t="s">
        <v>557</v>
      </c>
      <c r="C2809" t="s">
        <v>558</v>
      </c>
      <c r="D2809" t="s">
        <v>3366</v>
      </c>
      <c r="E2809">
        <v>-2807</v>
      </c>
      <c r="F2809" t="s">
        <v>559</v>
      </c>
      <c r="G2809" t="s">
        <v>560</v>
      </c>
    </row>
    <row r="2810" spans="1:7">
      <c r="A2810" t="s">
        <v>182</v>
      </c>
      <c r="B2810" t="s">
        <v>557</v>
      </c>
      <c r="C2810" t="s">
        <v>558</v>
      </c>
      <c r="D2810" t="s">
        <v>3367</v>
      </c>
      <c r="E2810">
        <v>-2808</v>
      </c>
      <c r="F2810" t="s">
        <v>559</v>
      </c>
      <c r="G2810" t="s">
        <v>560</v>
      </c>
    </row>
    <row r="2811" spans="1:7">
      <c r="A2811" t="s">
        <v>182</v>
      </c>
      <c r="B2811" t="s">
        <v>557</v>
      </c>
      <c r="C2811" t="s">
        <v>558</v>
      </c>
      <c r="D2811" t="s">
        <v>3368</v>
      </c>
      <c r="E2811">
        <v>-2809</v>
      </c>
      <c r="F2811" t="s">
        <v>559</v>
      </c>
      <c r="G2811" t="s">
        <v>560</v>
      </c>
    </row>
    <row r="2812" spans="1:7">
      <c r="A2812" t="s">
        <v>182</v>
      </c>
      <c r="B2812" t="s">
        <v>557</v>
      </c>
      <c r="C2812" t="s">
        <v>558</v>
      </c>
      <c r="D2812" t="s">
        <v>3369</v>
      </c>
      <c r="E2812">
        <v>-2810</v>
      </c>
      <c r="F2812" t="s">
        <v>559</v>
      </c>
      <c r="G2812" t="s">
        <v>560</v>
      </c>
    </row>
    <row r="2813" spans="1:7">
      <c r="A2813" t="s">
        <v>182</v>
      </c>
      <c r="B2813" t="s">
        <v>557</v>
      </c>
      <c r="C2813" t="s">
        <v>558</v>
      </c>
      <c r="D2813" t="s">
        <v>3370</v>
      </c>
      <c r="E2813">
        <v>-2811</v>
      </c>
      <c r="F2813" t="s">
        <v>559</v>
      </c>
      <c r="G2813" t="s">
        <v>560</v>
      </c>
    </row>
    <row r="2814" spans="1:7">
      <c r="A2814" t="s">
        <v>182</v>
      </c>
      <c r="B2814" t="s">
        <v>557</v>
      </c>
      <c r="C2814" t="s">
        <v>558</v>
      </c>
      <c r="D2814" t="s">
        <v>3371</v>
      </c>
      <c r="E2814">
        <v>-2812</v>
      </c>
      <c r="F2814" t="s">
        <v>559</v>
      </c>
      <c r="G2814" t="s">
        <v>560</v>
      </c>
    </row>
    <row r="2815" spans="1:7">
      <c r="A2815" t="s">
        <v>182</v>
      </c>
      <c r="B2815" t="s">
        <v>557</v>
      </c>
      <c r="C2815" t="s">
        <v>558</v>
      </c>
      <c r="D2815" t="s">
        <v>3372</v>
      </c>
      <c r="E2815">
        <v>-2813</v>
      </c>
      <c r="F2815" t="s">
        <v>559</v>
      </c>
      <c r="G2815" t="s">
        <v>560</v>
      </c>
    </row>
    <row r="2816" spans="1:7">
      <c r="A2816" t="s">
        <v>182</v>
      </c>
      <c r="B2816" t="s">
        <v>557</v>
      </c>
      <c r="C2816" t="s">
        <v>558</v>
      </c>
      <c r="D2816" t="s">
        <v>3373</v>
      </c>
      <c r="E2816">
        <v>-2814</v>
      </c>
      <c r="F2816" t="s">
        <v>559</v>
      </c>
      <c r="G2816" t="s">
        <v>560</v>
      </c>
    </row>
    <row r="2817" spans="1:7">
      <c r="A2817" t="s">
        <v>182</v>
      </c>
      <c r="B2817" t="s">
        <v>557</v>
      </c>
      <c r="C2817" t="s">
        <v>558</v>
      </c>
      <c r="D2817" t="s">
        <v>3374</v>
      </c>
      <c r="E2817">
        <v>-2815</v>
      </c>
      <c r="F2817" t="s">
        <v>559</v>
      </c>
      <c r="G2817" t="s">
        <v>560</v>
      </c>
    </row>
    <row r="2818" spans="1:7">
      <c r="A2818" t="s">
        <v>182</v>
      </c>
      <c r="B2818" t="s">
        <v>557</v>
      </c>
      <c r="C2818" t="s">
        <v>558</v>
      </c>
      <c r="D2818" t="s">
        <v>3375</v>
      </c>
      <c r="E2818">
        <v>-2816</v>
      </c>
      <c r="F2818" t="s">
        <v>559</v>
      </c>
      <c r="G2818" t="s">
        <v>560</v>
      </c>
    </row>
    <row r="2819" spans="1:7">
      <c r="A2819" t="s">
        <v>182</v>
      </c>
      <c r="B2819" t="s">
        <v>557</v>
      </c>
      <c r="C2819" t="s">
        <v>558</v>
      </c>
      <c r="D2819" t="s">
        <v>3376</v>
      </c>
      <c r="E2819">
        <v>-2817</v>
      </c>
      <c r="F2819" t="s">
        <v>559</v>
      </c>
      <c r="G2819" t="s">
        <v>560</v>
      </c>
    </row>
    <row r="2820" spans="1:7">
      <c r="A2820" t="s">
        <v>182</v>
      </c>
      <c r="B2820" t="s">
        <v>557</v>
      </c>
      <c r="C2820" t="s">
        <v>558</v>
      </c>
      <c r="D2820" t="s">
        <v>3377</v>
      </c>
      <c r="E2820">
        <v>-2818</v>
      </c>
      <c r="F2820" t="s">
        <v>559</v>
      </c>
      <c r="G2820" t="s">
        <v>560</v>
      </c>
    </row>
    <row r="2821" spans="1:7">
      <c r="A2821" t="s">
        <v>182</v>
      </c>
      <c r="B2821" t="s">
        <v>557</v>
      </c>
      <c r="C2821" t="s">
        <v>558</v>
      </c>
      <c r="D2821" t="s">
        <v>3378</v>
      </c>
      <c r="E2821">
        <v>-2819</v>
      </c>
      <c r="F2821" t="s">
        <v>559</v>
      </c>
      <c r="G2821" t="s">
        <v>560</v>
      </c>
    </row>
    <row r="2822" spans="1:7">
      <c r="A2822" t="s">
        <v>182</v>
      </c>
      <c r="B2822" t="s">
        <v>557</v>
      </c>
      <c r="C2822" t="s">
        <v>558</v>
      </c>
      <c r="D2822" t="s">
        <v>3379</v>
      </c>
      <c r="E2822">
        <v>-2820</v>
      </c>
      <c r="F2822" t="s">
        <v>559</v>
      </c>
      <c r="G2822" t="s">
        <v>560</v>
      </c>
    </row>
    <row r="2823" spans="1:7">
      <c r="A2823" t="s">
        <v>182</v>
      </c>
      <c r="B2823" t="s">
        <v>557</v>
      </c>
      <c r="C2823" t="s">
        <v>558</v>
      </c>
      <c r="D2823" t="s">
        <v>3380</v>
      </c>
      <c r="E2823">
        <v>-2821</v>
      </c>
      <c r="F2823" t="s">
        <v>559</v>
      </c>
      <c r="G2823" t="s">
        <v>560</v>
      </c>
    </row>
    <row r="2824" spans="1:7">
      <c r="A2824" t="s">
        <v>182</v>
      </c>
      <c r="B2824" t="s">
        <v>557</v>
      </c>
      <c r="C2824" t="s">
        <v>558</v>
      </c>
      <c r="D2824" t="s">
        <v>3381</v>
      </c>
      <c r="E2824">
        <v>-2822</v>
      </c>
      <c r="F2824" t="s">
        <v>559</v>
      </c>
      <c r="G2824" t="s">
        <v>560</v>
      </c>
    </row>
    <row r="2825" spans="1:7">
      <c r="A2825" t="s">
        <v>182</v>
      </c>
      <c r="B2825" t="s">
        <v>557</v>
      </c>
      <c r="C2825" t="s">
        <v>558</v>
      </c>
      <c r="D2825" t="s">
        <v>3382</v>
      </c>
      <c r="E2825">
        <v>-2823</v>
      </c>
      <c r="F2825" t="s">
        <v>559</v>
      </c>
      <c r="G2825" t="s">
        <v>560</v>
      </c>
    </row>
    <row r="2826" spans="1:7">
      <c r="A2826" t="s">
        <v>182</v>
      </c>
      <c r="B2826" t="s">
        <v>557</v>
      </c>
      <c r="C2826" t="s">
        <v>558</v>
      </c>
      <c r="D2826" t="s">
        <v>3383</v>
      </c>
      <c r="E2826">
        <v>-2824</v>
      </c>
      <c r="F2826" t="s">
        <v>559</v>
      </c>
      <c r="G2826" t="s">
        <v>560</v>
      </c>
    </row>
    <row r="2827" spans="1:7">
      <c r="A2827" t="s">
        <v>182</v>
      </c>
      <c r="B2827" t="s">
        <v>557</v>
      </c>
      <c r="C2827" t="s">
        <v>558</v>
      </c>
      <c r="D2827" t="s">
        <v>3384</v>
      </c>
      <c r="E2827">
        <v>-2825</v>
      </c>
      <c r="F2827" t="s">
        <v>559</v>
      </c>
      <c r="G2827" t="s">
        <v>560</v>
      </c>
    </row>
    <row r="2828" spans="1:7">
      <c r="A2828" t="s">
        <v>182</v>
      </c>
      <c r="B2828" t="s">
        <v>557</v>
      </c>
      <c r="C2828" t="s">
        <v>558</v>
      </c>
      <c r="D2828" t="s">
        <v>3385</v>
      </c>
      <c r="E2828">
        <v>-2826</v>
      </c>
      <c r="F2828" t="s">
        <v>559</v>
      </c>
      <c r="G2828" t="s">
        <v>560</v>
      </c>
    </row>
    <row r="2829" spans="1:7">
      <c r="A2829" t="s">
        <v>182</v>
      </c>
      <c r="B2829" t="s">
        <v>557</v>
      </c>
      <c r="C2829" t="s">
        <v>558</v>
      </c>
      <c r="D2829" t="s">
        <v>3386</v>
      </c>
      <c r="E2829">
        <v>-2827</v>
      </c>
      <c r="F2829" t="s">
        <v>559</v>
      </c>
      <c r="G2829" t="s">
        <v>560</v>
      </c>
    </row>
    <row r="2830" spans="1:7">
      <c r="A2830" t="s">
        <v>182</v>
      </c>
      <c r="B2830" t="s">
        <v>557</v>
      </c>
      <c r="C2830" t="s">
        <v>558</v>
      </c>
      <c r="D2830" t="s">
        <v>3387</v>
      </c>
      <c r="E2830">
        <v>-2828</v>
      </c>
      <c r="F2830" t="s">
        <v>559</v>
      </c>
      <c r="G2830" t="s">
        <v>560</v>
      </c>
    </row>
    <row r="2831" spans="1:7">
      <c r="A2831" t="s">
        <v>182</v>
      </c>
      <c r="B2831" t="s">
        <v>557</v>
      </c>
      <c r="C2831" t="s">
        <v>558</v>
      </c>
      <c r="D2831" t="s">
        <v>3388</v>
      </c>
      <c r="E2831">
        <v>-2829</v>
      </c>
      <c r="F2831" t="s">
        <v>559</v>
      </c>
      <c r="G2831" t="s">
        <v>560</v>
      </c>
    </row>
    <row r="2832" spans="1:7">
      <c r="A2832" t="s">
        <v>182</v>
      </c>
      <c r="B2832" t="s">
        <v>557</v>
      </c>
      <c r="C2832" t="s">
        <v>558</v>
      </c>
      <c r="D2832" t="s">
        <v>3389</v>
      </c>
      <c r="E2832">
        <v>-2830</v>
      </c>
      <c r="F2832" t="s">
        <v>559</v>
      </c>
      <c r="G2832" t="s">
        <v>560</v>
      </c>
    </row>
    <row r="2833" spans="1:7">
      <c r="A2833" t="s">
        <v>182</v>
      </c>
      <c r="B2833" t="s">
        <v>557</v>
      </c>
      <c r="C2833" t="s">
        <v>558</v>
      </c>
      <c r="D2833" t="s">
        <v>3390</v>
      </c>
      <c r="E2833">
        <v>-2831</v>
      </c>
      <c r="F2833" t="s">
        <v>559</v>
      </c>
      <c r="G2833" t="s">
        <v>560</v>
      </c>
    </row>
    <row r="2834" spans="1:7">
      <c r="A2834" t="s">
        <v>182</v>
      </c>
      <c r="B2834" t="s">
        <v>557</v>
      </c>
      <c r="C2834" t="s">
        <v>558</v>
      </c>
      <c r="D2834" t="s">
        <v>3391</v>
      </c>
      <c r="E2834">
        <v>-2832</v>
      </c>
      <c r="F2834" t="s">
        <v>559</v>
      </c>
      <c r="G2834" t="s">
        <v>560</v>
      </c>
    </row>
    <row r="2835" spans="1:7">
      <c r="A2835" t="s">
        <v>182</v>
      </c>
      <c r="B2835" t="s">
        <v>557</v>
      </c>
      <c r="C2835" t="s">
        <v>558</v>
      </c>
      <c r="D2835" t="s">
        <v>3392</v>
      </c>
      <c r="E2835">
        <v>-2833</v>
      </c>
      <c r="F2835" t="s">
        <v>559</v>
      </c>
      <c r="G2835" t="s">
        <v>560</v>
      </c>
    </row>
    <row r="2836" spans="1:7">
      <c r="A2836" t="s">
        <v>182</v>
      </c>
      <c r="B2836" t="s">
        <v>557</v>
      </c>
      <c r="C2836" t="s">
        <v>558</v>
      </c>
      <c r="D2836" t="s">
        <v>3393</v>
      </c>
      <c r="E2836">
        <v>-2834</v>
      </c>
      <c r="F2836" t="s">
        <v>559</v>
      </c>
      <c r="G2836" t="s">
        <v>560</v>
      </c>
    </row>
    <row r="2837" spans="1:7">
      <c r="A2837" t="s">
        <v>182</v>
      </c>
      <c r="B2837" t="s">
        <v>557</v>
      </c>
      <c r="C2837" t="s">
        <v>558</v>
      </c>
      <c r="D2837" t="s">
        <v>3394</v>
      </c>
      <c r="E2837">
        <v>-2835</v>
      </c>
      <c r="F2837" t="s">
        <v>559</v>
      </c>
      <c r="G2837" t="s">
        <v>560</v>
      </c>
    </row>
    <row r="2838" spans="1:7">
      <c r="A2838" t="s">
        <v>182</v>
      </c>
      <c r="B2838" t="s">
        <v>557</v>
      </c>
      <c r="C2838" t="s">
        <v>558</v>
      </c>
      <c r="D2838" t="s">
        <v>3395</v>
      </c>
      <c r="E2838">
        <v>-2836</v>
      </c>
      <c r="F2838" t="s">
        <v>559</v>
      </c>
      <c r="G2838" t="s">
        <v>560</v>
      </c>
    </row>
    <row r="2839" spans="1:7">
      <c r="A2839" t="s">
        <v>182</v>
      </c>
      <c r="B2839" t="s">
        <v>557</v>
      </c>
      <c r="C2839" t="s">
        <v>558</v>
      </c>
      <c r="D2839" t="s">
        <v>3396</v>
      </c>
      <c r="E2839">
        <v>-2837</v>
      </c>
      <c r="F2839" t="s">
        <v>559</v>
      </c>
      <c r="G2839" t="s">
        <v>560</v>
      </c>
    </row>
    <row r="2840" spans="1:7">
      <c r="A2840" t="s">
        <v>182</v>
      </c>
      <c r="B2840" t="s">
        <v>557</v>
      </c>
      <c r="C2840" t="s">
        <v>558</v>
      </c>
      <c r="D2840" t="s">
        <v>3397</v>
      </c>
      <c r="E2840">
        <v>-2838</v>
      </c>
      <c r="F2840" t="s">
        <v>559</v>
      </c>
      <c r="G2840" t="s">
        <v>560</v>
      </c>
    </row>
    <row r="2841" spans="1:7">
      <c r="A2841" t="s">
        <v>182</v>
      </c>
      <c r="B2841" t="s">
        <v>557</v>
      </c>
      <c r="C2841" t="s">
        <v>558</v>
      </c>
      <c r="D2841" t="s">
        <v>3398</v>
      </c>
      <c r="E2841">
        <v>-2839</v>
      </c>
      <c r="F2841" t="s">
        <v>559</v>
      </c>
      <c r="G2841" t="s">
        <v>560</v>
      </c>
    </row>
    <row r="2842" spans="1:7">
      <c r="A2842" t="s">
        <v>182</v>
      </c>
      <c r="B2842" t="s">
        <v>557</v>
      </c>
      <c r="C2842" t="s">
        <v>558</v>
      </c>
      <c r="D2842" t="s">
        <v>3399</v>
      </c>
      <c r="E2842">
        <v>-2840</v>
      </c>
      <c r="F2842" t="s">
        <v>559</v>
      </c>
      <c r="G2842" t="s">
        <v>560</v>
      </c>
    </row>
    <row r="2843" spans="1:7">
      <c r="A2843" t="s">
        <v>182</v>
      </c>
      <c r="B2843" t="s">
        <v>557</v>
      </c>
      <c r="C2843" t="s">
        <v>558</v>
      </c>
      <c r="D2843" t="s">
        <v>3400</v>
      </c>
      <c r="E2843">
        <v>-2841</v>
      </c>
      <c r="F2843" t="s">
        <v>559</v>
      </c>
      <c r="G2843" t="s">
        <v>560</v>
      </c>
    </row>
    <row r="2844" spans="1:7">
      <c r="A2844" t="s">
        <v>182</v>
      </c>
      <c r="B2844" t="s">
        <v>557</v>
      </c>
      <c r="C2844" t="s">
        <v>558</v>
      </c>
      <c r="D2844" t="s">
        <v>3401</v>
      </c>
      <c r="E2844">
        <v>-2842</v>
      </c>
      <c r="F2844" t="s">
        <v>559</v>
      </c>
      <c r="G2844" t="s">
        <v>560</v>
      </c>
    </row>
    <row r="2845" spans="1:7">
      <c r="A2845" t="s">
        <v>182</v>
      </c>
      <c r="B2845" t="s">
        <v>557</v>
      </c>
      <c r="C2845" t="s">
        <v>558</v>
      </c>
      <c r="D2845" t="s">
        <v>3402</v>
      </c>
      <c r="E2845">
        <v>-2843</v>
      </c>
      <c r="F2845" t="s">
        <v>559</v>
      </c>
      <c r="G2845" t="s">
        <v>560</v>
      </c>
    </row>
    <row r="2846" spans="1:7">
      <c r="A2846" t="s">
        <v>182</v>
      </c>
      <c r="B2846" t="s">
        <v>557</v>
      </c>
      <c r="C2846" t="s">
        <v>558</v>
      </c>
      <c r="D2846" t="s">
        <v>3403</v>
      </c>
      <c r="E2846">
        <v>-2844</v>
      </c>
      <c r="F2846" t="s">
        <v>559</v>
      </c>
      <c r="G2846" t="s">
        <v>560</v>
      </c>
    </row>
    <row r="2847" spans="1:7">
      <c r="A2847" t="s">
        <v>182</v>
      </c>
      <c r="B2847" t="s">
        <v>557</v>
      </c>
      <c r="C2847" t="s">
        <v>558</v>
      </c>
      <c r="D2847" t="s">
        <v>3404</v>
      </c>
      <c r="E2847">
        <v>-2845</v>
      </c>
      <c r="F2847" t="s">
        <v>559</v>
      </c>
      <c r="G2847" t="s">
        <v>560</v>
      </c>
    </row>
    <row r="2848" spans="1:7">
      <c r="A2848" t="s">
        <v>182</v>
      </c>
      <c r="B2848" t="s">
        <v>557</v>
      </c>
      <c r="C2848" t="s">
        <v>558</v>
      </c>
      <c r="D2848" t="s">
        <v>3405</v>
      </c>
      <c r="E2848">
        <v>-2846</v>
      </c>
      <c r="F2848" t="s">
        <v>559</v>
      </c>
      <c r="G2848" t="s">
        <v>560</v>
      </c>
    </row>
    <row r="2849" spans="1:7">
      <c r="A2849" t="s">
        <v>182</v>
      </c>
      <c r="B2849" t="s">
        <v>557</v>
      </c>
      <c r="C2849" t="s">
        <v>558</v>
      </c>
      <c r="D2849" t="s">
        <v>3406</v>
      </c>
      <c r="E2849">
        <v>-2847</v>
      </c>
      <c r="F2849" t="s">
        <v>559</v>
      </c>
      <c r="G2849" t="s">
        <v>560</v>
      </c>
    </row>
    <row r="2850" spans="1:7">
      <c r="A2850" t="s">
        <v>182</v>
      </c>
      <c r="B2850" t="s">
        <v>557</v>
      </c>
      <c r="C2850" t="s">
        <v>558</v>
      </c>
      <c r="D2850" t="s">
        <v>3407</v>
      </c>
      <c r="E2850">
        <v>-2848</v>
      </c>
      <c r="F2850" t="s">
        <v>559</v>
      </c>
      <c r="G2850" t="s">
        <v>560</v>
      </c>
    </row>
    <row r="2851" spans="1:7">
      <c r="A2851" t="s">
        <v>182</v>
      </c>
      <c r="B2851" t="s">
        <v>557</v>
      </c>
      <c r="C2851" t="s">
        <v>558</v>
      </c>
      <c r="D2851" t="s">
        <v>3408</v>
      </c>
      <c r="E2851">
        <v>-2849</v>
      </c>
      <c r="F2851" t="s">
        <v>559</v>
      </c>
      <c r="G2851" t="s">
        <v>560</v>
      </c>
    </row>
    <row r="2852" spans="1:7">
      <c r="A2852" t="s">
        <v>182</v>
      </c>
      <c r="B2852" t="s">
        <v>557</v>
      </c>
      <c r="C2852" t="s">
        <v>558</v>
      </c>
      <c r="D2852" t="s">
        <v>3409</v>
      </c>
      <c r="E2852">
        <v>-2850</v>
      </c>
      <c r="F2852" t="s">
        <v>559</v>
      </c>
      <c r="G2852" t="s">
        <v>560</v>
      </c>
    </row>
    <row r="2853" spans="1:7">
      <c r="A2853" t="s">
        <v>182</v>
      </c>
      <c r="B2853" t="s">
        <v>557</v>
      </c>
      <c r="C2853" t="s">
        <v>558</v>
      </c>
      <c r="D2853" t="s">
        <v>3410</v>
      </c>
      <c r="E2853">
        <v>-2851</v>
      </c>
      <c r="F2853" t="s">
        <v>559</v>
      </c>
      <c r="G2853" t="s">
        <v>560</v>
      </c>
    </row>
    <row r="2854" spans="1:7">
      <c r="A2854" t="s">
        <v>182</v>
      </c>
      <c r="B2854" t="s">
        <v>557</v>
      </c>
      <c r="C2854" t="s">
        <v>558</v>
      </c>
      <c r="D2854" t="s">
        <v>3411</v>
      </c>
      <c r="E2854">
        <v>-2852</v>
      </c>
      <c r="F2854" t="s">
        <v>559</v>
      </c>
      <c r="G2854" t="s">
        <v>560</v>
      </c>
    </row>
    <row r="2855" spans="1:7">
      <c r="A2855" t="s">
        <v>182</v>
      </c>
      <c r="B2855" t="s">
        <v>557</v>
      </c>
      <c r="C2855" t="s">
        <v>558</v>
      </c>
      <c r="D2855" t="s">
        <v>3412</v>
      </c>
      <c r="E2855">
        <v>-2853</v>
      </c>
      <c r="F2855" t="s">
        <v>559</v>
      </c>
      <c r="G2855" t="s">
        <v>560</v>
      </c>
    </row>
    <row r="2856" spans="1:7">
      <c r="A2856" t="s">
        <v>182</v>
      </c>
      <c r="B2856" t="s">
        <v>557</v>
      </c>
      <c r="C2856" t="s">
        <v>558</v>
      </c>
      <c r="D2856" t="s">
        <v>3413</v>
      </c>
      <c r="E2856">
        <v>-2854</v>
      </c>
      <c r="F2856" t="s">
        <v>559</v>
      </c>
      <c r="G2856" t="s">
        <v>560</v>
      </c>
    </row>
    <row r="2857" spans="1:7">
      <c r="A2857" t="s">
        <v>182</v>
      </c>
      <c r="B2857" t="s">
        <v>557</v>
      </c>
      <c r="C2857" t="s">
        <v>558</v>
      </c>
      <c r="D2857" t="s">
        <v>3414</v>
      </c>
      <c r="E2857">
        <v>-2855</v>
      </c>
      <c r="F2857" t="s">
        <v>559</v>
      </c>
      <c r="G2857" t="s">
        <v>560</v>
      </c>
    </row>
    <row r="2858" spans="1:7">
      <c r="A2858" t="s">
        <v>182</v>
      </c>
      <c r="B2858" t="s">
        <v>557</v>
      </c>
      <c r="C2858" t="s">
        <v>558</v>
      </c>
      <c r="D2858" t="s">
        <v>3415</v>
      </c>
      <c r="E2858">
        <v>-2856</v>
      </c>
      <c r="F2858" t="s">
        <v>559</v>
      </c>
      <c r="G2858" t="s">
        <v>560</v>
      </c>
    </row>
    <row r="2859" spans="1:7">
      <c r="A2859" t="s">
        <v>182</v>
      </c>
      <c r="B2859" t="s">
        <v>557</v>
      </c>
      <c r="C2859" t="s">
        <v>558</v>
      </c>
      <c r="D2859" t="s">
        <v>3416</v>
      </c>
      <c r="E2859">
        <v>-2857</v>
      </c>
      <c r="F2859" t="s">
        <v>559</v>
      </c>
      <c r="G2859" t="s">
        <v>560</v>
      </c>
    </row>
    <row r="2860" spans="1:7">
      <c r="A2860" t="s">
        <v>182</v>
      </c>
      <c r="B2860" t="s">
        <v>557</v>
      </c>
      <c r="C2860" t="s">
        <v>558</v>
      </c>
      <c r="D2860" t="s">
        <v>3417</v>
      </c>
      <c r="E2860">
        <v>-2858</v>
      </c>
      <c r="F2860" t="s">
        <v>559</v>
      </c>
      <c r="G2860" t="s">
        <v>560</v>
      </c>
    </row>
    <row r="2861" spans="1:7">
      <c r="A2861" t="s">
        <v>182</v>
      </c>
      <c r="B2861" t="s">
        <v>557</v>
      </c>
      <c r="C2861" t="s">
        <v>558</v>
      </c>
      <c r="D2861" t="s">
        <v>3418</v>
      </c>
      <c r="E2861">
        <v>-2859</v>
      </c>
      <c r="F2861" t="s">
        <v>559</v>
      </c>
      <c r="G2861" t="s">
        <v>560</v>
      </c>
    </row>
    <row r="2862" spans="1:7">
      <c r="A2862" t="s">
        <v>182</v>
      </c>
      <c r="B2862" t="s">
        <v>557</v>
      </c>
      <c r="C2862" t="s">
        <v>558</v>
      </c>
      <c r="D2862" t="s">
        <v>3419</v>
      </c>
      <c r="E2862">
        <v>-2860</v>
      </c>
      <c r="F2862" t="s">
        <v>559</v>
      </c>
      <c r="G2862" t="s">
        <v>560</v>
      </c>
    </row>
    <row r="2863" spans="1:7">
      <c r="A2863" t="s">
        <v>182</v>
      </c>
      <c r="B2863" t="s">
        <v>557</v>
      </c>
      <c r="C2863" t="s">
        <v>558</v>
      </c>
      <c r="D2863" t="s">
        <v>3420</v>
      </c>
      <c r="E2863">
        <v>-2861</v>
      </c>
      <c r="F2863" t="s">
        <v>559</v>
      </c>
      <c r="G2863" t="s">
        <v>560</v>
      </c>
    </row>
    <row r="2864" spans="1:7">
      <c r="A2864" t="s">
        <v>182</v>
      </c>
      <c r="B2864" t="s">
        <v>557</v>
      </c>
      <c r="C2864" t="s">
        <v>558</v>
      </c>
      <c r="D2864" t="s">
        <v>3421</v>
      </c>
      <c r="E2864">
        <v>-2862</v>
      </c>
      <c r="F2864" t="s">
        <v>559</v>
      </c>
      <c r="G2864" t="s">
        <v>560</v>
      </c>
    </row>
    <row r="2865" spans="1:7">
      <c r="A2865" t="s">
        <v>182</v>
      </c>
      <c r="B2865" t="s">
        <v>557</v>
      </c>
      <c r="C2865" t="s">
        <v>558</v>
      </c>
      <c r="D2865" t="s">
        <v>3422</v>
      </c>
      <c r="E2865">
        <v>-2863</v>
      </c>
      <c r="F2865" t="s">
        <v>559</v>
      </c>
      <c r="G2865" t="s">
        <v>560</v>
      </c>
    </row>
    <row r="2866" spans="1:7">
      <c r="A2866" t="s">
        <v>182</v>
      </c>
      <c r="B2866" t="s">
        <v>557</v>
      </c>
      <c r="C2866" t="s">
        <v>558</v>
      </c>
      <c r="D2866" t="s">
        <v>3423</v>
      </c>
      <c r="E2866">
        <v>-2864</v>
      </c>
      <c r="F2866" t="s">
        <v>559</v>
      </c>
      <c r="G2866" t="s">
        <v>560</v>
      </c>
    </row>
    <row r="2867" spans="1:7">
      <c r="A2867" t="s">
        <v>182</v>
      </c>
      <c r="B2867" t="s">
        <v>557</v>
      </c>
      <c r="C2867" t="s">
        <v>558</v>
      </c>
      <c r="D2867" t="s">
        <v>3424</v>
      </c>
      <c r="E2867">
        <v>-2865</v>
      </c>
      <c r="F2867" t="s">
        <v>559</v>
      </c>
      <c r="G2867" t="s">
        <v>560</v>
      </c>
    </row>
    <row r="2868" spans="1:7">
      <c r="A2868" t="s">
        <v>182</v>
      </c>
      <c r="B2868" t="s">
        <v>557</v>
      </c>
      <c r="C2868" t="s">
        <v>558</v>
      </c>
      <c r="D2868" t="s">
        <v>3425</v>
      </c>
      <c r="E2868">
        <v>-2866</v>
      </c>
      <c r="F2868" t="s">
        <v>559</v>
      </c>
      <c r="G2868" t="s">
        <v>560</v>
      </c>
    </row>
    <row r="2869" spans="1:7">
      <c r="A2869" t="s">
        <v>182</v>
      </c>
      <c r="B2869" t="s">
        <v>557</v>
      </c>
      <c r="C2869" t="s">
        <v>558</v>
      </c>
      <c r="D2869" t="s">
        <v>3426</v>
      </c>
      <c r="E2869">
        <v>-2867</v>
      </c>
      <c r="F2869" t="s">
        <v>559</v>
      </c>
      <c r="G2869" t="s">
        <v>560</v>
      </c>
    </row>
    <row r="2870" spans="1:7">
      <c r="A2870" t="s">
        <v>182</v>
      </c>
      <c r="B2870" t="s">
        <v>557</v>
      </c>
      <c r="C2870" t="s">
        <v>558</v>
      </c>
      <c r="D2870" t="s">
        <v>3427</v>
      </c>
      <c r="E2870">
        <v>-2868</v>
      </c>
      <c r="F2870" t="s">
        <v>559</v>
      </c>
      <c r="G2870" t="s">
        <v>560</v>
      </c>
    </row>
    <row r="2871" spans="1:7">
      <c r="A2871" t="s">
        <v>182</v>
      </c>
      <c r="B2871" t="s">
        <v>557</v>
      </c>
      <c r="C2871" t="s">
        <v>558</v>
      </c>
      <c r="D2871" t="s">
        <v>3428</v>
      </c>
      <c r="E2871">
        <v>-2869</v>
      </c>
      <c r="F2871" t="s">
        <v>559</v>
      </c>
      <c r="G2871" t="s">
        <v>560</v>
      </c>
    </row>
    <row r="2872" spans="1:7">
      <c r="A2872" t="s">
        <v>182</v>
      </c>
      <c r="B2872" t="s">
        <v>557</v>
      </c>
      <c r="C2872" t="s">
        <v>558</v>
      </c>
      <c r="D2872" t="s">
        <v>3429</v>
      </c>
      <c r="E2872">
        <v>-2870</v>
      </c>
      <c r="F2872" t="s">
        <v>559</v>
      </c>
      <c r="G2872" t="s">
        <v>560</v>
      </c>
    </row>
    <row r="2873" spans="1:7">
      <c r="A2873" t="s">
        <v>182</v>
      </c>
      <c r="B2873" t="s">
        <v>557</v>
      </c>
      <c r="C2873" t="s">
        <v>558</v>
      </c>
      <c r="D2873" t="s">
        <v>3430</v>
      </c>
      <c r="E2873">
        <v>-2871</v>
      </c>
      <c r="F2873" t="s">
        <v>559</v>
      </c>
      <c r="G2873" t="s">
        <v>560</v>
      </c>
    </row>
    <row r="2874" spans="1:7">
      <c r="A2874" t="s">
        <v>182</v>
      </c>
      <c r="B2874" t="s">
        <v>557</v>
      </c>
      <c r="C2874" t="s">
        <v>558</v>
      </c>
      <c r="D2874" t="s">
        <v>3431</v>
      </c>
      <c r="E2874">
        <v>-2872</v>
      </c>
      <c r="F2874" t="s">
        <v>559</v>
      </c>
      <c r="G2874" t="s">
        <v>560</v>
      </c>
    </row>
    <row r="2875" spans="1:7">
      <c r="A2875" t="s">
        <v>182</v>
      </c>
      <c r="B2875" t="s">
        <v>557</v>
      </c>
      <c r="C2875" t="s">
        <v>558</v>
      </c>
      <c r="D2875" t="s">
        <v>3432</v>
      </c>
      <c r="E2875">
        <v>-2873</v>
      </c>
      <c r="F2875" t="s">
        <v>559</v>
      </c>
      <c r="G2875" t="s">
        <v>560</v>
      </c>
    </row>
    <row r="2876" spans="1:7">
      <c r="A2876" t="s">
        <v>182</v>
      </c>
      <c r="B2876" t="s">
        <v>557</v>
      </c>
      <c r="C2876" t="s">
        <v>558</v>
      </c>
      <c r="D2876" t="s">
        <v>3433</v>
      </c>
      <c r="E2876">
        <v>-2874</v>
      </c>
      <c r="F2876" t="s">
        <v>559</v>
      </c>
      <c r="G2876" t="s">
        <v>560</v>
      </c>
    </row>
    <row r="2877" spans="1:7">
      <c r="A2877" t="s">
        <v>182</v>
      </c>
      <c r="B2877" t="s">
        <v>557</v>
      </c>
      <c r="C2877" t="s">
        <v>558</v>
      </c>
      <c r="D2877" t="s">
        <v>3434</v>
      </c>
      <c r="E2877">
        <v>-2875</v>
      </c>
      <c r="F2877" t="s">
        <v>559</v>
      </c>
      <c r="G2877" t="s">
        <v>560</v>
      </c>
    </row>
    <row r="2878" spans="1:7">
      <c r="A2878" t="s">
        <v>182</v>
      </c>
      <c r="B2878" t="s">
        <v>557</v>
      </c>
      <c r="C2878" t="s">
        <v>558</v>
      </c>
      <c r="D2878" t="s">
        <v>3435</v>
      </c>
      <c r="E2878">
        <v>-2876</v>
      </c>
      <c r="F2878" t="s">
        <v>559</v>
      </c>
      <c r="G2878" t="s">
        <v>560</v>
      </c>
    </row>
    <row r="2879" spans="1:7">
      <c r="A2879" t="s">
        <v>182</v>
      </c>
      <c r="B2879" t="s">
        <v>557</v>
      </c>
      <c r="C2879" t="s">
        <v>558</v>
      </c>
      <c r="D2879" t="s">
        <v>3436</v>
      </c>
      <c r="E2879">
        <v>-2877</v>
      </c>
      <c r="F2879" t="s">
        <v>559</v>
      </c>
      <c r="G2879" t="s">
        <v>560</v>
      </c>
    </row>
    <row r="2880" spans="1:7">
      <c r="A2880" t="s">
        <v>182</v>
      </c>
      <c r="B2880" t="s">
        <v>557</v>
      </c>
      <c r="C2880" t="s">
        <v>558</v>
      </c>
      <c r="D2880" t="s">
        <v>3437</v>
      </c>
      <c r="E2880">
        <v>-2878</v>
      </c>
      <c r="F2880" t="s">
        <v>559</v>
      </c>
      <c r="G2880" t="s">
        <v>560</v>
      </c>
    </row>
    <row r="2881" spans="1:7">
      <c r="A2881" t="s">
        <v>182</v>
      </c>
      <c r="B2881" t="s">
        <v>557</v>
      </c>
      <c r="C2881" t="s">
        <v>558</v>
      </c>
      <c r="D2881" t="s">
        <v>3438</v>
      </c>
      <c r="E2881">
        <v>-2879</v>
      </c>
      <c r="F2881" t="s">
        <v>559</v>
      </c>
      <c r="G2881" t="s">
        <v>560</v>
      </c>
    </row>
    <row r="2882" spans="1:7">
      <c r="A2882" t="s">
        <v>182</v>
      </c>
      <c r="B2882" t="s">
        <v>557</v>
      </c>
      <c r="C2882" t="s">
        <v>558</v>
      </c>
      <c r="D2882" t="s">
        <v>3439</v>
      </c>
      <c r="E2882">
        <v>-2880</v>
      </c>
      <c r="F2882" t="s">
        <v>559</v>
      </c>
      <c r="G2882" t="s">
        <v>560</v>
      </c>
    </row>
    <row r="2883" spans="1:7">
      <c r="A2883" t="s">
        <v>182</v>
      </c>
      <c r="B2883" t="s">
        <v>557</v>
      </c>
      <c r="C2883" t="s">
        <v>558</v>
      </c>
      <c r="D2883" t="s">
        <v>3440</v>
      </c>
      <c r="E2883">
        <v>-2881</v>
      </c>
      <c r="F2883" t="s">
        <v>559</v>
      </c>
      <c r="G2883" t="s">
        <v>560</v>
      </c>
    </row>
    <row r="2884" spans="1:7">
      <c r="A2884" t="s">
        <v>182</v>
      </c>
      <c r="B2884" t="s">
        <v>557</v>
      </c>
      <c r="C2884" t="s">
        <v>558</v>
      </c>
      <c r="D2884" t="s">
        <v>3441</v>
      </c>
      <c r="E2884">
        <v>-2882</v>
      </c>
      <c r="F2884" t="s">
        <v>559</v>
      </c>
      <c r="G2884" t="s">
        <v>560</v>
      </c>
    </row>
    <row r="2885" spans="1:7">
      <c r="A2885" t="s">
        <v>182</v>
      </c>
      <c r="B2885" t="s">
        <v>557</v>
      </c>
      <c r="C2885" t="s">
        <v>558</v>
      </c>
      <c r="D2885" t="s">
        <v>3442</v>
      </c>
      <c r="E2885">
        <v>-2883</v>
      </c>
      <c r="F2885" t="s">
        <v>559</v>
      </c>
      <c r="G2885" t="s">
        <v>560</v>
      </c>
    </row>
    <row r="2886" spans="1:7">
      <c r="A2886" t="s">
        <v>182</v>
      </c>
      <c r="B2886" t="s">
        <v>557</v>
      </c>
      <c r="C2886" t="s">
        <v>558</v>
      </c>
      <c r="D2886" t="s">
        <v>3443</v>
      </c>
      <c r="E2886">
        <v>-2884</v>
      </c>
      <c r="F2886" t="s">
        <v>559</v>
      </c>
      <c r="G2886" t="s">
        <v>560</v>
      </c>
    </row>
    <row r="2887" spans="1:7">
      <c r="A2887" t="s">
        <v>182</v>
      </c>
      <c r="B2887" t="s">
        <v>557</v>
      </c>
      <c r="C2887" t="s">
        <v>558</v>
      </c>
      <c r="D2887" t="s">
        <v>3444</v>
      </c>
      <c r="E2887">
        <v>-2885</v>
      </c>
      <c r="F2887" t="s">
        <v>559</v>
      </c>
      <c r="G2887" t="s">
        <v>560</v>
      </c>
    </row>
    <row r="2888" spans="1:7">
      <c r="A2888" t="s">
        <v>182</v>
      </c>
      <c r="B2888" t="s">
        <v>557</v>
      </c>
      <c r="C2888" t="s">
        <v>558</v>
      </c>
      <c r="D2888" t="s">
        <v>3445</v>
      </c>
      <c r="E2888">
        <v>-2886</v>
      </c>
      <c r="F2888" t="s">
        <v>559</v>
      </c>
      <c r="G2888" t="s">
        <v>560</v>
      </c>
    </row>
    <row r="2889" spans="1:7">
      <c r="A2889" t="s">
        <v>182</v>
      </c>
      <c r="B2889" t="s">
        <v>557</v>
      </c>
      <c r="C2889" t="s">
        <v>558</v>
      </c>
      <c r="D2889" t="s">
        <v>3446</v>
      </c>
      <c r="E2889">
        <v>-2887</v>
      </c>
      <c r="F2889" t="s">
        <v>559</v>
      </c>
      <c r="G2889" t="s">
        <v>560</v>
      </c>
    </row>
    <row r="2890" spans="1:7">
      <c r="A2890" t="s">
        <v>182</v>
      </c>
      <c r="B2890" t="s">
        <v>557</v>
      </c>
      <c r="C2890" t="s">
        <v>558</v>
      </c>
      <c r="D2890" t="s">
        <v>3447</v>
      </c>
      <c r="E2890">
        <v>-2888</v>
      </c>
      <c r="F2890" t="s">
        <v>559</v>
      </c>
      <c r="G2890" t="s">
        <v>560</v>
      </c>
    </row>
    <row r="2891" spans="1:7">
      <c r="A2891" t="s">
        <v>182</v>
      </c>
      <c r="B2891" t="s">
        <v>557</v>
      </c>
      <c r="C2891" t="s">
        <v>558</v>
      </c>
      <c r="D2891" t="s">
        <v>3448</v>
      </c>
      <c r="E2891">
        <v>-2889</v>
      </c>
      <c r="F2891" t="s">
        <v>559</v>
      </c>
      <c r="G2891" t="s">
        <v>560</v>
      </c>
    </row>
    <row r="2892" spans="1:7">
      <c r="A2892" t="s">
        <v>182</v>
      </c>
      <c r="B2892" t="s">
        <v>557</v>
      </c>
      <c r="C2892" t="s">
        <v>558</v>
      </c>
      <c r="D2892" t="s">
        <v>3449</v>
      </c>
      <c r="E2892">
        <v>-2890</v>
      </c>
      <c r="F2892" t="s">
        <v>559</v>
      </c>
      <c r="G2892" t="s">
        <v>560</v>
      </c>
    </row>
    <row r="2893" spans="1:7">
      <c r="A2893" t="s">
        <v>182</v>
      </c>
      <c r="B2893" t="s">
        <v>557</v>
      </c>
      <c r="C2893" t="s">
        <v>558</v>
      </c>
      <c r="D2893" t="s">
        <v>3450</v>
      </c>
      <c r="E2893">
        <v>-2891</v>
      </c>
      <c r="F2893" t="s">
        <v>559</v>
      </c>
      <c r="G2893" t="s">
        <v>560</v>
      </c>
    </row>
    <row r="2894" spans="1:7">
      <c r="A2894" t="s">
        <v>182</v>
      </c>
      <c r="B2894" t="s">
        <v>557</v>
      </c>
      <c r="C2894" t="s">
        <v>558</v>
      </c>
      <c r="D2894" t="s">
        <v>3451</v>
      </c>
      <c r="E2894">
        <v>-2892</v>
      </c>
      <c r="F2894" t="s">
        <v>559</v>
      </c>
      <c r="G2894" t="s">
        <v>560</v>
      </c>
    </row>
    <row r="2895" spans="1:7">
      <c r="A2895" t="s">
        <v>182</v>
      </c>
      <c r="B2895" t="s">
        <v>557</v>
      </c>
      <c r="C2895" t="s">
        <v>558</v>
      </c>
      <c r="D2895" t="s">
        <v>3452</v>
      </c>
      <c r="E2895">
        <v>-2893</v>
      </c>
      <c r="F2895" t="s">
        <v>559</v>
      </c>
      <c r="G2895" t="s">
        <v>560</v>
      </c>
    </row>
    <row r="2896" spans="1:7">
      <c r="A2896" t="s">
        <v>182</v>
      </c>
      <c r="B2896" t="s">
        <v>557</v>
      </c>
      <c r="C2896" t="s">
        <v>558</v>
      </c>
      <c r="D2896" t="s">
        <v>3453</v>
      </c>
      <c r="E2896">
        <v>-2894</v>
      </c>
      <c r="F2896" t="s">
        <v>559</v>
      </c>
      <c r="G2896" t="s">
        <v>560</v>
      </c>
    </row>
    <row r="2897" spans="1:7">
      <c r="A2897" t="s">
        <v>182</v>
      </c>
      <c r="B2897" t="s">
        <v>557</v>
      </c>
      <c r="C2897" t="s">
        <v>558</v>
      </c>
      <c r="D2897" t="s">
        <v>3454</v>
      </c>
      <c r="E2897">
        <v>-2895</v>
      </c>
      <c r="F2897" t="s">
        <v>559</v>
      </c>
      <c r="G2897" t="s">
        <v>560</v>
      </c>
    </row>
    <row r="2898" spans="1:7">
      <c r="A2898" t="s">
        <v>182</v>
      </c>
      <c r="B2898" t="s">
        <v>557</v>
      </c>
      <c r="C2898" t="s">
        <v>558</v>
      </c>
      <c r="D2898" t="s">
        <v>3455</v>
      </c>
      <c r="E2898">
        <v>-2896</v>
      </c>
      <c r="F2898" t="s">
        <v>559</v>
      </c>
      <c r="G2898" t="s">
        <v>560</v>
      </c>
    </row>
    <row r="2899" spans="1:7">
      <c r="A2899" t="s">
        <v>182</v>
      </c>
      <c r="B2899" t="s">
        <v>557</v>
      </c>
      <c r="C2899" t="s">
        <v>558</v>
      </c>
      <c r="D2899" t="s">
        <v>3456</v>
      </c>
      <c r="E2899">
        <v>-2897</v>
      </c>
      <c r="F2899" t="s">
        <v>559</v>
      </c>
      <c r="G2899" t="s">
        <v>560</v>
      </c>
    </row>
    <row r="2900" spans="1:7">
      <c r="A2900" t="s">
        <v>182</v>
      </c>
      <c r="B2900" t="s">
        <v>557</v>
      </c>
      <c r="C2900" t="s">
        <v>558</v>
      </c>
      <c r="D2900" t="s">
        <v>3457</v>
      </c>
      <c r="E2900">
        <v>-2898</v>
      </c>
      <c r="F2900" t="s">
        <v>559</v>
      </c>
      <c r="G2900" t="s">
        <v>560</v>
      </c>
    </row>
    <row r="2901" spans="1:7">
      <c r="A2901" t="s">
        <v>182</v>
      </c>
      <c r="B2901" t="s">
        <v>557</v>
      </c>
      <c r="C2901" t="s">
        <v>558</v>
      </c>
      <c r="D2901" t="s">
        <v>3458</v>
      </c>
      <c r="E2901">
        <v>-2899</v>
      </c>
      <c r="F2901" t="s">
        <v>559</v>
      </c>
      <c r="G2901" t="s">
        <v>560</v>
      </c>
    </row>
    <row r="2902" spans="1:7">
      <c r="A2902" t="s">
        <v>182</v>
      </c>
      <c r="B2902" t="s">
        <v>557</v>
      </c>
      <c r="C2902" t="s">
        <v>558</v>
      </c>
      <c r="D2902" t="s">
        <v>3459</v>
      </c>
      <c r="E2902">
        <v>-2900</v>
      </c>
      <c r="F2902" t="s">
        <v>559</v>
      </c>
      <c r="G2902" t="s">
        <v>560</v>
      </c>
    </row>
    <row r="2903" spans="1:7">
      <c r="A2903" t="s">
        <v>182</v>
      </c>
      <c r="B2903" t="s">
        <v>557</v>
      </c>
      <c r="C2903" t="s">
        <v>558</v>
      </c>
      <c r="D2903" t="s">
        <v>3460</v>
      </c>
      <c r="E2903">
        <v>-2901</v>
      </c>
      <c r="F2903" t="s">
        <v>559</v>
      </c>
      <c r="G2903" t="s">
        <v>560</v>
      </c>
    </row>
    <row r="2904" spans="1:7">
      <c r="A2904" t="s">
        <v>182</v>
      </c>
      <c r="B2904" t="s">
        <v>557</v>
      </c>
      <c r="C2904" t="s">
        <v>558</v>
      </c>
      <c r="D2904" t="s">
        <v>3461</v>
      </c>
      <c r="E2904">
        <v>-2902</v>
      </c>
      <c r="F2904" t="s">
        <v>559</v>
      </c>
      <c r="G2904" t="s">
        <v>560</v>
      </c>
    </row>
    <row r="2905" spans="1:7">
      <c r="A2905" t="s">
        <v>182</v>
      </c>
      <c r="B2905" t="s">
        <v>557</v>
      </c>
      <c r="C2905" t="s">
        <v>558</v>
      </c>
      <c r="D2905" t="s">
        <v>3462</v>
      </c>
      <c r="E2905">
        <v>-2903</v>
      </c>
      <c r="F2905" t="s">
        <v>559</v>
      </c>
      <c r="G2905" t="s">
        <v>560</v>
      </c>
    </row>
    <row r="2906" spans="1:7">
      <c r="A2906" t="s">
        <v>182</v>
      </c>
      <c r="B2906" t="s">
        <v>557</v>
      </c>
      <c r="C2906" t="s">
        <v>558</v>
      </c>
      <c r="D2906" t="s">
        <v>3463</v>
      </c>
      <c r="E2906">
        <v>-2904</v>
      </c>
      <c r="F2906" t="s">
        <v>559</v>
      </c>
      <c r="G2906" t="s">
        <v>560</v>
      </c>
    </row>
    <row r="2907" spans="1:7">
      <c r="A2907" t="s">
        <v>182</v>
      </c>
      <c r="B2907" t="s">
        <v>557</v>
      </c>
      <c r="C2907" t="s">
        <v>558</v>
      </c>
      <c r="D2907" t="s">
        <v>3464</v>
      </c>
      <c r="E2907">
        <v>-2905</v>
      </c>
      <c r="F2907" t="s">
        <v>559</v>
      </c>
      <c r="G2907" t="s">
        <v>560</v>
      </c>
    </row>
    <row r="2908" spans="1:7">
      <c r="A2908" t="s">
        <v>182</v>
      </c>
      <c r="B2908" t="s">
        <v>557</v>
      </c>
      <c r="C2908" t="s">
        <v>558</v>
      </c>
      <c r="D2908" t="s">
        <v>3465</v>
      </c>
      <c r="E2908">
        <v>-2906</v>
      </c>
      <c r="F2908" t="s">
        <v>559</v>
      </c>
      <c r="G2908" t="s">
        <v>560</v>
      </c>
    </row>
    <row r="2909" spans="1:7">
      <c r="A2909" t="s">
        <v>182</v>
      </c>
      <c r="B2909" t="s">
        <v>557</v>
      </c>
      <c r="C2909" t="s">
        <v>558</v>
      </c>
      <c r="D2909" t="s">
        <v>3466</v>
      </c>
      <c r="E2909">
        <v>-2907</v>
      </c>
      <c r="F2909" t="s">
        <v>559</v>
      </c>
      <c r="G2909" t="s">
        <v>560</v>
      </c>
    </row>
    <row r="2910" spans="1:7">
      <c r="A2910" t="s">
        <v>182</v>
      </c>
      <c r="B2910" t="s">
        <v>557</v>
      </c>
      <c r="C2910" t="s">
        <v>558</v>
      </c>
      <c r="D2910" t="s">
        <v>3467</v>
      </c>
      <c r="E2910">
        <v>-2908</v>
      </c>
      <c r="F2910" t="s">
        <v>559</v>
      </c>
      <c r="G2910" t="s">
        <v>560</v>
      </c>
    </row>
    <row r="2911" spans="1:7">
      <c r="A2911" t="s">
        <v>182</v>
      </c>
      <c r="B2911" t="s">
        <v>557</v>
      </c>
      <c r="C2911" t="s">
        <v>558</v>
      </c>
      <c r="D2911" t="s">
        <v>3468</v>
      </c>
      <c r="E2911">
        <v>-2909</v>
      </c>
      <c r="F2911" t="s">
        <v>559</v>
      </c>
      <c r="G2911" t="s">
        <v>560</v>
      </c>
    </row>
    <row r="2912" spans="1:7">
      <c r="A2912" t="s">
        <v>182</v>
      </c>
      <c r="B2912" t="s">
        <v>557</v>
      </c>
      <c r="C2912" t="s">
        <v>558</v>
      </c>
      <c r="D2912" t="s">
        <v>3469</v>
      </c>
      <c r="E2912">
        <v>-2910</v>
      </c>
      <c r="F2912" t="s">
        <v>559</v>
      </c>
      <c r="G2912" t="s">
        <v>560</v>
      </c>
    </row>
    <row r="2913" spans="1:7">
      <c r="A2913" t="s">
        <v>182</v>
      </c>
      <c r="B2913" t="s">
        <v>557</v>
      </c>
      <c r="C2913" t="s">
        <v>558</v>
      </c>
      <c r="D2913" t="s">
        <v>3470</v>
      </c>
      <c r="E2913">
        <v>-2911</v>
      </c>
      <c r="F2913" t="s">
        <v>559</v>
      </c>
      <c r="G2913" t="s">
        <v>560</v>
      </c>
    </row>
    <row r="2914" spans="1:7">
      <c r="A2914" t="s">
        <v>182</v>
      </c>
      <c r="B2914" t="s">
        <v>557</v>
      </c>
      <c r="C2914" t="s">
        <v>558</v>
      </c>
      <c r="D2914" t="s">
        <v>3471</v>
      </c>
      <c r="E2914">
        <v>-2912</v>
      </c>
      <c r="F2914" t="s">
        <v>559</v>
      </c>
      <c r="G2914" t="s">
        <v>560</v>
      </c>
    </row>
    <row r="2915" spans="1:7">
      <c r="A2915" t="s">
        <v>182</v>
      </c>
      <c r="B2915" t="s">
        <v>557</v>
      </c>
      <c r="C2915" t="s">
        <v>558</v>
      </c>
      <c r="D2915" t="s">
        <v>3472</v>
      </c>
      <c r="E2915">
        <v>-2913</v>
      </c>
      <c r="F2915" t="s">
        <v>559</v>
      </c>
      <c r="G2915" t="s">
        <v>560</v>
      </c>
    </row>
    <row r="2916" spans="1:7">
      <c r="A2916" t="s">
        <v>182</v>
      </c>
      <c r="B2916" t="s">
        <v>557</v>
      </c>
      <c r="C2916" t="s">
        <v>558</v>
      </c>
      <c r="D2916" t="s">
        <v>3473</v>
      </c>
      <c r="E2916">
        <v>-2914</v>
      </c>
      <c r="F2916" t="s">
        <v>559</v>
      </c>
      <c r="G2916" t="s">
        <v>560</v>
      </c>
    </row>
    <row r="2917" spans="1:7">
      <c r="A2917" t="s">
        <v>182</v>
      </c>
      <c r="B2917" t="s">
        <v>557</v>
      </c>
      <c r="C2917" t="s">
        <v>558</v>
      </c>
      <c r="D2917" t="s">
        <v>3474</v>
      </c>
      <c r="E2917">
        <v>-2915</v>
      </c>
      <c r="F2917" t="s">
        <v>559</v>
      </c>
      <c r="G2917" t="s">
        <v>560</v>
      </c>
    </row>
    <row r="2918" spans="1:7">
      <c r="A2918" t="s">
        <v>182</v>
      </c>
      <c r="B2918" t="s">
        <v>557</v>
      </c>
      <c r="C2918" t="s">
        <v>558</v>
      </c>
      <c r="D2918" t="s">
        <v>3475</v>
      </c>
      <c r="E2918">
        <v>-2916</v>
      </c>
      <c r="F2918" t="s">
        <v>559</v>
      </c>
      <c r="G2918" t="s">
        <v>560</v>
      </c>
    </row>
    <row r="2919" spans="1:7">
      <c r="A2919" t="s">
        <v>182</v>
      </c>
      <c r="B2919" t="s">
        <v>557</v>
      </c>
      <c r="C2919" t="s">
        <v>558</v>
      </c>
      <c r="D2919" t="s">
        <v>3476</v>
      </c>
      <c r="E2919">
        <v>-2917</v>
      </c>
      <c r="F2919" t="s">
        <v>559</v>
      </c>
      <c r="G2919" t="s">
        <v>560</v>
      </c>
    </row>
    <row r="2920" spans="1:7">
      <c r="A2920" t="s">
        <v>182</v>
      </c>
      <c r="B2920" t="s">
        <v>557</v>
      </c>
      <c r="C2920" t="s">
        <v>558</v>
      </c>
      <c r="D2920" t="s">
        <v>3477</v>
      </c>
      <c r="E2920">
        <v>-2918</v>
      </c>
      <c r="F2920" t="s">
        <v>559</v>
      </c>
      <c r="G2920" t="s">
        <v>560</v>
      </c>
    </row>
    <row r="2921" spans="1:7">
      <c r="A2921" t="s">
        <v>182</v>
      </c>
      <c r="B2921" t="s">
        <v>557</v>
      </c>
      <c r="C2921" t="s">
        <v>558</v>
      </c>
      <c r="D2921" t="s">
        <v>3478</v>
      </c>
      <c r="E2921">
        <v>-2919</v>
      </c>
      <c r="F2921" t="s">
        <v>559</v>
      </c>
      <c r="G2921" t="s">
        <v>560</v>
      </c>
    </row>
    <row r="2922" spans="1:7">
      <c r="A2922" t="s">
        <v>182</v>
      </c>
      <c r="B2922" t="s">
        <v>557</v>
      </c>
      <c r="C2922" t="s">
        <v>558</v>
      </c>
      <c r="D2922" t="s">
        <v>3479</v>
      </c>
      <c r="E2922">
        <v>-2920</v>
      </c>
      <c r="F2922" t="s">
        <v>559</v>
      </c>
      <c r="G2922" t="s">
        <v>560</v>
      </c>
    </row>
    <row r="2923" spans="1:7">
      <c r="A2923" t="s">
        <v>182</v>
      </c>
      <c r="B2923" t="s">
        <v>557</v>
      </c>
      <c r="C2923" t="s">
        <v>558</v>
      </c>
      <c r="D2923" t="s">
        <v>3480</v>
      </c>
      <c r="E2923">
        <v>-2921</v>
      </c>
      <c r="F2923" t="s">
        <v>559</v>
      </c>
      <c r="G2923" t="s">
        <v>560</v>
      </c>
    </row>
    <row r="2924" spans="1:7">
      <c r="A2924" t="s">
        <v>182</v>
      </c>
      <c r="B2924" t="s">
        <v>557</v>
      </c>
      <c r="C2924" t="s">
        <v>558</v>
      </c>
      <c r="D2924" t="s">
        <v>3481</v>
      </c>
      <c r="E2924">
        <v>-2922</v>
      </c>
      <c r="F2924" t="s">
        <v>559</v>
      </c>
      <c r="G2924" t="s">
        <v>560</v>
      </c>
    </row>
    <row r="2925" spans="1:7">
      <c r="A2925" t="s">
        <v>182</v>
      </c>
      <c r="B2925" t="s">
        <v>557</v>
      </c>
      <c r="C2925" t="s">
        <v>558</v>
      </c>
      <c r="D2925" t="s">
        <v>3482</v>
      </c>
      <c r="E2925">
        <v>-2923</v>
      </c>
      <c r="F2925" t="s">
        <v>559</v>
      </c>
      <c r="G2925" t="s">
        <v>560</v>
      </c>
    </row>
    <row r="2926" spans="1:7">
      <c r="A2926" t="s">
        <v>182</v>
      </c>
      <c r="B2926" t="s">
        <v>557</v>
      </c>
      <c r="C2926" t="s">
        <v>558</v>
      </c>
      <c r="D2926" t="s">
        <v>3483</v>
      </c>
      <c r="E2926">
        <v>-2924</v>
      </c>
      <c r="F2926" t="s">
        <v>559</v>
      </c>
      <c r="G2926" t="s">
        <v>560</v>
      </c>
    </row>
    <row r="2927" spans="1:7">
      <c r="A2927" t="s">
        <v>182</v>
      </c>
      <c r="B2927" t="s">
        <v>557</v>
      </c>
      <c r="C2927" t="s">
        <v>558</v>
      </c>
      <c r="D2927" t="s">
        <v>3484</v>
      </c>
      <c r="E2927">
        <v>-2925</v>
      </c>
      <c r="F2927" t="s">
        <v>559</v>
      </c>
      <c r="G2927" t="s">
        <v>560</v>
      </c>
    </row>
    <row r="2928" spans="1:7">
      <c r="A2928" t="s">
        <v>182</v>
      </c>
      <c r="B2928" t="s">
        <v>557</v>
      </c>
      <c r="C2928" t="s">
        <v>558</v>
      </c>
      <c r="D2928" t="s">
        <v>3485</v>
      </c>
      <c r="E2928">
        <v>-2926</v>
      </c>
      <c r="F2928" t="s">
        <v>559</v>
      </c>
      <c r="G2928" t="s">
        <v>560</v>
      </c>
    </row>
    <row r="2929" spans="1:7">
      <c r="A2929" t="s">
        <v>182</v>
      </c>
      <c r="B2929" t="s">
        <v>557</v>
      </c>
      <c r="C2929" t="s">
        <v>558</v>
      </c>
      <c r="D2929" t="s">
        <v>3486</v>
      </c>
      <c r="E2929">
        <v>-2927</v>
      </c>
      <c r="F2929" t="s">
        <v>559</v>
      </c>
      <c r="G2929" t="s">
        <v>560</v>
      </c>
    </row>
    <row r="2930" spans="1:7">
      <c r="A2930" t="s">
        <v>182</v>
      </c>
      <c r="B2930" t="s">
        <v>557</v>
      </c>
      <c r="C2930" t="s">
        <v>558</v>
      </c>
      <c r="D2930" t="s">
        <v>3487</v>
      </c>
      <c r="E2930">
        <v>-2928</v>
      </c>
      <c r="F2930" t="s">
        <v>559</v>
      </c>
      <c r="G2930" t="s">
        <v>560</v>
      </c>
    </row>
    <row r="2931" spans="1:7">
      <c r="A2931" t="s">
        <v>182</v>
      </c>
      <c r="B2931" t="s">
        <v>557</v>
      </c>
      <c r="C2931" t="s">
        <v>558</v>
      </c>
      <c r="D2931" t="s">
        <v>3488</v>
      </c>
      <c r="E2931">
        <v>-2929</v>
      </c>
      <c r="F2931" t="s">
        <v>559</v>
      </c>
      <c r="G2931" t="s">
        <v>560</v>
      </c>
    </row>
    <row r="2932" spans="1:7">
      <c r="A2932" t="s">
        <v>182</v>
      </c>
      <c r="B2932" t="s">
        <v>557</v>
      </c>
      <c r="C2932" t="s">
        <v>558</v>
      </c>
      <c r="D2932" t="s">
        <v>3489</v>
      </c>
      <c r="E2932">
        <v>-2930</v>
      </c>
      <c r="F2932" t="s">
        <v>559</v>
      </c>
      <c r="G2932" t="s">
        <v>560</v>
      </c>
    </row>
    <row r="2933" spans="1:7">
      <c r="A2933" t="s">
        <v>182</v>
      </c>
      <c r="B2933" t="s">
        <v>557</v>
      </c>
      <c r="C2933" t="s">
        <v>558</v>
      </c>
      <c r="D2933" t="s">
        <v>3490</v>
      </c>
      <c r="E2933">
        <v>-2931</v>
      </c>
      <c r="F2933" t="s">
        <v>559</v>
      </c>
      <c r="G2933" t="s">
        <v>560</v>
      </c>
    </row>
    <row r="2934" spans="1:7">
      <c r="A2934" t="s">
        <v>182</v>
      </c>
      <c r="B2934" t="s">
        <v>557</v>
      </c>
      <c r="C2934" t="s">
        <v>558</v>
      </c>
      <c r="D2934" t="s">
        <v>3491</v>
      </c>
      <c r="E2934">
        <v>-2932</v>
      </c>
      <c r="F2934" t="s">
        <v>559</v>
      </c>
      <c r="G2934" t="s">
        <v>560</v>
      </c>
    </row>
    <row r="2935" spans="1:7">
      <c r="A2935" t="s">
        <v>182</v>
      </c>
      <c r="B2935" t="s">
        <v>557</v>
      </c>
      <c r="C2935" t="s">
        <v>558</v>
      </c>
      <c r="D2935" t="s">
        <v>3492</v>
      </c>
      <c r="E2935">
        <v>-2933</v>
      </c>
      <c r="F2935" t="s">
        <v>559</v>
      </c>
      <c r="G2935" t="s">
        <v>560</v>
      </c>
    </row>
    <row r="2936" spans="1:7">
      <c r="A2936" t="s">
        <v>182</v>
      </c>
      <c r="B2936" t="s">
        <v>557</v>
      </c>
      <c r="C2936" t="s">
        <v>558</v>
      </c>
      <c r="D2936" t="s">
        <v>3493</v>
      </c>
      <c r="E2936">
        <v>-2934</v>
      </c>
      <c r="F2936" t="s">
        <v>559</v>
      </c>
      <c r="G2936" t="s">
        <v>560</v>
      </c>
    </row>
    <row r="2937" spans="1:7">
      <c r="A2937" t="s">
        <v>182</v>
      </c>
      <c r="B2937" t="s">
        <v>557</v>
      </c>
      <c r="C2937" t="s">
        <v>558</v>
      </c>
      <c r="D2937" t="s">
        <v>3494</v>
      </c>
      <c r="E2937">
        <v>-2935</v>
      </c>
      <c r="F2937" t="s">
        <v>559</v>
      </c>
      <c r="G2937" t="s">
        <v>560</v>
      </c>
    </row>
    <row r="2938" spans="1:7">
      <c r="A2938" t="s">
        <v>182</v>
      </c>
      <c r="B2938" t="s">
        <v>557</v>
      </c>
      <c r="C2938" t="s">
        <v>558</v>
      </c>
      <c r="D2938" t="s">
        <v>3495</v>
      </c>
      <c r="E2938">
        <v>-2936</v>
      </c>
      <c r="F2938" t="s">
        <v>559</v>
      </c>
      <c r="G2938" t="s">
        <v>560</v>
      </c>
    </row>
    <row r="2939" spans="1:7">
      <c r="A2939" t="s">
        <v>182</v>
      </c>
      <c r="B2939" t="s">
        <v>557</v>
      </c>
      <c r="C2939" t="s">
        <v>558</v>
      </c>
      <c r="D2939" t="s">
        <v>3496</v>
      </c>
      <c r="E2939">
        <v>-2937</v>
      </c>
      <c r="F2939" t="s">
        <v>559</v>
      </c>
      <c r="G2939" t="s">
        <v>560</v>
      </c>
    </row>
    <row r="2940" spans="1:7">
      <c r="A2940" t="s">
        <v>182</v>
      </c>
      <c r="B2940" t="s">
        <v>557</v>
      </c>
      <c r="C2940" t="s">
        <v>558</v>
      </c>
      <c r="D2940" t="s">
        <v>3497</v>
      </c>
      <c r="E2940">
        <v>-2938</v>
      </c>
      <c r="F2940" t="s">
        <v>559</v>
      </c>
      <c r="G2940" t="s">
        <v>560</v>
      </c>
    </row>
    <row r="2941" spans="1:7">
      <c r="A2941" t="s">
        <v>182</v>
      </c>
      <c r="B2941" t="s">
        <v>557</v>
      </c>
      <c r="C2941" t="s">
        <v>558</v>
      </c>
      <c r="D2941" t="s">
        <v>3498</v>
      </c>
      <c r="E2941">
        <v>-2939</v>
      </c>
      <c r="F2941" t="s">
        <v>559</v>
      </c>
      <c r="G2941" t="s">
        <v>560</v>
      </c>
    </row>
    <row r="2942" spans="1:7">
      <c r="A2942" t="s">
        <v>182</v>
      </c>
      <c r="B2942" t="s">
        <v>557</v>
      </c>
      <c r="C2942" t="s">
        <v>558</v>
      </c>
      <c r="D2942" t="s">
        <v>3499</v>
      </c>
      <c r="E2942">
        <v>-2940</v>
      </c>
      <c r="F2942" t="s">
        <v>559</v>
      </c>
      <c r="G2942" t="s">
        <v>560</v>
      </c>
    </row>
    <row r="2943" spans="1:7">
      <c r="A2943" t="s">
        <v>182</v>
      </c>
      <c r="B2943" t="s">
        <v>557</v>
      </c>
      <c r="C2943" t="s">
        <v>558</v>
      </c>
      <c r="D2943" t="s">
        <v>3500</v>
      </c>
      <c r="E2943">
        <v>-2941</v>
      </c>
      <c r="F2943" t="s">
        <v>559</v>
      </c>
      <c r="G2943" t="s">
        <v>560</v>
      </c>
    </row>
    <row r="2944" spans="1:7">
      <c r="A2944" t="s">
        <v>182</v>
      </c>
      <c r="B2944" t="s">
        <v>557</v>
      </c>
      <c r="C2944" t="s">
        <v>558</v>
      </c>
      <c r="D2944" t="s">
        <v>3501</v>
      </c>
      <c r="E2944">
        <v>-2942</v>
      </c>
      <c r="F2944" t="s">
        <v>559</v>
      </c>
      <c r="G2944" t="s">
        <v>560</v>
      </c>
    </row>
    <row r="2945" spans="1:7">
      <c r="A2945" t="s">
        <v>182</v>
      </c>
      <c r="B2945" t="s">
        <v>557</v>
      </c>
      <c r="C2945" t="s">
        <v>558</v>
      </c>
      <c r="D2945" t="s">
        <v>3502</v>
      </c>
      <c r="E2945">
        <v>-2943</v>
      </c>
      <c r="F2945" t="s">
        <v>559</v>
      </c>
      <c r="G2945" t="s">
        <v>560</v>
      </c>
    </row>
    <row r="2946" spans="1:7">
      <c r="A2946" t="s">
        <v>182</v>
      </c>
      <c r="B2946" t="s">
        <v>557</v>
      </c>
      <c r="C2946" t="s">
        <v>558</v>
      </c>
      <c r="D2946" t="s">
        <v>3503</v>
      </c>
      <c r="E2946">
        <v>-2944</v>
      </c>
      <c r="F2946" t="s">
        <v>559</v>
      </c>
      <c r="G2946" t="s">
        <v>560</v>
      </c>
    </row>
    <row r="2947" spans="1:7">
      <c r="A2947" t="s">
        <v>182</v>
      </c>
      <c r="B2947" t="s">
        <v>557</v>
      </c>
      <c r="C2947" t="s">
        <v>558</v>
      </c>
      <c r="D2947" t="s">
        <v>3504</v>
      </c>
      <c r="E2947">
        <v>-2945</v>
      </c>
      <c r="F2947" t="s">
        <v>559</v>
      </c>
      <c r="G2947" t="s">
        <v>560</v>
      </c>
    </row>
    <row r="2948" spans="1:7">
      <c r="A2948" t="s">
        <v>182</v>
      </c>
      <c r="B2948" t="s">
        <v>557</v>
      </c>
      <c r="C2948" t="s">
        <v>558</v>
      </c>
      <c r="D2948" t="s">
        <v>3505</v>
      </c>
      <c r="E2948">
        <v>-2946</v>
      </c>
      <c r="F2948" t="s">
        <v>559</v>
      </c>
      <c r="G2948" t="s">
        <v>560</v>
      </c>
    </row>
    <row r="2949" spans="1:7">
      <c r="A2949" t="s">
        <v>182</v>
      </c>
      <c r="B2949" t="s">
        <v>557</v>
      </c>
      <c r="C2949" t="s">
        <v>558</v>
      </c>
      <c r="D2949" t="s">
        <v>3506</v>
      </c>
      <c r="E2949">
        <v>-2947</v>
      </c>
      <c r="F2949" t="s">
        <v>559</v>
      </c>
      <c r="G2949" t="s">
        <v>560</v>
      </c>
    </row>
    <row r="2950" spans="1:7">
      <c r="A2950" t="s">
        <v>182</v>
      </c>
      <c r="B2950" t="s">
        <v>557</v>
      </c>
      <c r="C2950" t="s">
        <v>558</v>
      </c>
      <c r="D2950" t="s">
        <v>3507</v>
      </c>
      <c r="E2950">
        <v>-2948</v>
      </c>
      <c r="F2950" t="s">
        <v>559</v>
      </c>
      <c r="G2950" t="s">
        <v>560</v>
      </c>
    </row>
    <row r="2951" spans="1:7">
      <c r="A2951" t="s">
        <v>182</v>
      </c>
      <c r="B2951" t="s">
        <v>557</v>
      </c>
      <c r="C2951" t="s">
        <v>558</v>
      </c>
      <c r="D2951" t="s">
        <v>3508</v>
      </c>
      <c r="E2951">
        <v>-2949</v>
      </c>
      <c r="F2951" t="s">
        <v>559</v>
      </c>
      <c r="G2951" t="s">
        <v>560</v>
      </c>
    </row>
    <row r="2952" spans="1:7">
      <c r="A2952" t="s">
        <v>182</v>
      </c>
      <c r="B2952" t="s">
        <v>557</v>
      </c>
      <c r="C2952" t="s">
        <v>558</v>
      </c>
      <c r="D2952" t="s">
        <v>3509</v>
      </c>
      <c r="E2952">
        <v>-2950</v>
      </c>
      <c r="F2952" t="s">
        <v>559</v>
      </c>
      <c r="G2952" t="s">
        <v>560</v>
      </c>
    </row>
    <row r="2953" spans="1:7">
      <c r="A2953" t="s">
        <v>182</v>
      </c>
      <c r="B2953" t="s">
        <v>557</v>
      </c>
      <c r="C2953" t="s">
        <v>558</v>
      </c>
      <c r="D2953" t="s">
        <v>3510</v>
      </c>
      <c r="E2953">
        <v>-2951</v>
      </c>
      <c r="F2953" t="s">
        <v>559</v>
      </c>
      <c r="G2953" t="s">
        <v>560</v>
      </c>
    </row>
    <row r="2954" spans="1:7">
      <c r="A2954" t="s">
        <v>182</v>
      </c>
      <c r="B2954" t="s">
        <v>557</v>
      </c>
      <c r="C2954" t="s">
        <v>558</v>
      </c>
      <c r="D2954" t="s">
        <v>3511</v>
      </c>
      <c r="E2954">
        <v>-2952</v>
      </c>
      <c r="F2954" t="s">
        <v>559</v>
      </c>
      <c r="G2954" t="s">
        <v>560</v>
      </c>
    </row>
    <row r="2955" spans="1:7">
      <c r="A2955" t="s">
        <v>182</v>
      </c>
      <c r="B2955" t="s">
        <v>557</v>
      </c>
      <c r="C2955" t="s">
        <v>558</v>
      </c>
      <c r="D2955" t="s">
        <v>3512</v>
      </c>
      <c r="E2955">
        <v>-2953</v>
      </c>
      <c r="F2955" t="s">
        <v>559</v>
      </c>
      <c r="G2955" t="s">
        <v>560</v>
      </c>
    </row>
    <row r="2956" spans="1:7">
      <c r="A2956" t="s">
        <v>182</v>
      </c>
      <c r="B2956" t="s">
        <v>557</v>
      </c>
      <c r="C2956" t="s">
        <v>558</v>
      </c>
      <c r="D2956" t="s">
        <v>3513</v>
      </c>
      <c r="E2956">
        <v>-2954</v>
      </c>
      <c r="F2956" t="s">
        <v>559</v>
      </c>
      <c r="G2956" t="s">
        <v>560</v>
      </c>
    </row>
    <row r="2957" spans="1:7">
      <c r="A2957" t="s">
        <v>182</v>
      </c>
      <c r="B2957" t="s">
        <v>557</v>
      </c>
      <c r="C2957" t="s">
        <v>558</v>
      </c>
      <c r="D2957" t="s">
        <v>3514</v>
      </c>
      <c r="E2957">
        <v>-2955</v>
      </c>
      <c r="F2957" t="s">
        <v>559</v>
      </c>
      <c r="G2957" t="s">
        <v>560</v>
      </c>
    </row>
    <row r="2958" spans="1:7">
      <c r="A2958" t="s">
        <v>182</v>
      </c>
      <c r="B2958" t="s">
        <v>557</v>
      </c>
      <c r="C2958" t="s">
        <v>558</v>
      </c>
      <c r="D2958" t="s">
        <v>3515</v>
      </c>
      <c r="E2958">
        <v>-2956</v>
      </c>
      <c r="F2958" t="s">
        <v>559</v>
      </c>
      <c r="G2958" t="s">
        <v>560</v>
      </c>
    </row>
    <row r="2959" spans="1:7">
      <c r="A2959" t="s">
        <v>182</v>
      </c>
      <c r="B2959" t="s">
        <v>557</v>
      </c>
      <c r="C2959" t="s">
        <v>558</v>
      </c>
      <c r="D2959" t="s">
        <v>3516</v>
      </c>
      <c r="E2959">
        <v>-2957</v>
      </c>
      <c r="F2959" t="s">
        <v>559</v>
      </c>
      <c r="G2959" t="s">
        <v>560</v>
      </c>
    </row>
    <row r="2960" spans="1:7">
      <c r="A2960" t="s">
        <v>182</v>
      </c>
      <c r="B2960" t="s">
        <v>557</v>
      </c>
      <c r="C2960" t="s">
        <v>558</v>
      </c>
      <c r="D2960" t="s">
        <v>3517</v>
      </c>
      <c r="E2960">
        <v>-2958</v>
      </c>
      <c r="F2960" t="s">
        <v>559</v>
      </c>
      <c r="G2960" t="s">
        <v>560</v>
      </c>
    </row>
    <row r="2961" spans="1:7">
      <c r="A2961" t="s">
        <v>182</v>
      </c>
      <c r="B2961" t="s">
        <v>557</v>
      </c>
      <c r="C2961" t="s">
        <v>558</v>
      </c>
      <c r="D2961" t="s">
        <v>3518</v>
      </c>
      <c r="E2961">
        <v>-2959</v>
      </c>
      <c r="F2961" t="s">
        <v>559</v>
      </c>
      <c r="G2961" t="s">
        <v>560</v>
      </c>
    </row>
    <row r="2962" spans="1:7">
      <c r="A2962" t="s">
        <v>182</v>
      </c>
      <c r="B2962" t="s">
        <v>557</v>
      </c>
      <c r="C2962" t="s">
        <v>558</v>
      </c>
      <c r="D2962" t="s">
        <v>3519</v>
      </c>
      <c r="E2962">
        <v>-2960</v>
      </c>
      <c r="F2962" t="s">
        <v>559</v>
      </c>
      <c r="G2962" t="s">
        <v>560</v>
      </c>
    </row>
    <row r="2963" spans="1:7">
      <c r="A2963" t="s">
        <v>182</v>
      </c>
      <c r="B2963" t="s">
        <v>557</v>
      </c>
      <c r="C2963" t="s">
        <v>558</v>
      </c>
      <c r="D2963" t="s">
        <v>3520</v>
      </c>
      <c r="E2963">
        <v>-2961</v>
      </c>
      <c r="F2963" t="s">
        <v>559</v>
      </c>
      <c r="G2963" t="s">
        <v>560</v>
      </c>
    </row>
    <row r="2964" spans="1:7">
      <c r="A2964" t="s">
        <v>182</v>
      </c>
      <c r="B2964" t="s">
        <v>557</v>
      </c>
      <c r="C2964" t="s">
        <v>558</v>
      </c>
      <c r="D2964" t="s">
        <v>3521</v>
      </c>
      <c r="E2964">
        <v>-2962</v>
      </c>
      <c r="F2964" t="s">
        <v>559</v>
      </c>
      <c r="G2964" t="s">
        <v>560</v>
      </c>
    </row>
    <row r="2965" spans="1:7">
      <c r="A2965" t="s">
        <v>182</v>
      </c>
      <c r="B2965" t="s">
        <v>557</v>
      </c>
      <c r="C2965" t="s">
        <v>558</v>
      </c>
      <c r="D2965" t="s">
        <v>3522</v>
      </c>
      <c r="E2965">
        <v>-2963</v>
      </c>
      <c r="F2965" t="s">
        <v>559</v>
      </c>
      <c r="G2965" t="s">
        <v>560</v>
      </c>
    </row>
    <row r="2966" spans="1:7">
      <c r="A2966" t="s">
        <v>182</v>
      </c>
      <c r="B2966" t="s">
        <v>557</v>
      </c>
      <c r="C2966" t="s">
        <v>558</v>
      </c>
      <c r="D2966" t="s">
        <v>3523</v>
      </c>
      <c r="E2966">
        <v>-2964</v>
      </c>
      <c r="F2966" t="s">
        <v>559</v>
      </c>
      <c r="G2966" t="s">
        <v>560</v>
      </c>
    </row>
    <row r="2967" spans="1:7">
      <c r="A2967" t="s">
        <v>182</v>
      </c>
      <c r="B2967" t="s">
        <v>557</v>
      </c>
      <c r="C2967" t="s">
        <v>558</v>
      </c>
      <c r="D2967" t="s">
        <v>3524</v>
      </c>
      <c r="E2967">
        <v>-2965</v>
      </c>
      <c r="F2967" t="s">
        <v>559</v>
      </c>
      <c r="G2967" t="s">
        <v>560</v>
      </c>
    </row>
    <row r="2968" spans="1:7">
      <c r="A2968" t="s">
        <v>182</v>
      </c>
      <c r="B2968" t="s">
        <v>557</v>
      </c>
      <c r="C2968" t="s">
        <v>558</v>
      </c>
      <c r="D2968" t="s">
        <v>3525</v>
      </c>
      <c r="E2968">
        <v>-2966</v>
      </c>
      <c r="F2968" t="s">
        <v>559</v>
      </c>
      <c r="G2968" t="s">
        <v>560</v>
      </c>
    </row>
    <row r="2969" spans="1:7">
      <c r="A2969" t="s">
        <v>182</v>
      </c>
      <c r="B2969" t="s">
        <v>557</v>
      </c>
      <c r="C2969" t="s">
        <v>558</v>
      </c>
      <c r="D2969" t="s">
        <v>3526</v>
      </c>
      <c r="E2969">
        <v>-2967</v>
      </c>
      <c r="F2969" t="s">
        <v>559</v>
      </c>
      <c r="G2969" t="s">
        <v>560</v>
      </c>
    </row>
    <row r="2970" spans="1:7">
      <c r="A2970" t="s">
        <v>182</v>
      </c>
      <c r="B2970" t="s">
        <v>557</v>
      </c>
      <c r="C2970" t="s">
        <v>558</v>
      </c>
      <c r="D2970" t="s">
        <v>3527</v>
      </c>
      <c r="E2970">
        <v>-2968</v>
      </c>
      <c r="F2970" t="s">
        <v>559</v>
      </c>
      <c r="G2970" t="s">
        <v>560</v>
      </c>
    </row>
    <row r="2971" spans="1:7">
      <c r="A2971" t="s">
        <v>182</v>
      </c>
      <c r="B2971" t="s">
        <v>557</v>
      </c>
      <c r="C2971" t="s">
        <v>558</v>
      </c>
      <c r="D2971" t="s">
        <v>3528</v>
      </c>
      <c r="E2971">
        <v>-2969</v>
      </c>
      <c r="F2971" t="s">
        <v>559</v>
      </c>
      <c r="G2971" t="s">
        <v>560</v>
      </c>
    </row>
    <row r="2972" spans="1:7">
      <c r="A2972" t="s">
        <v>182</v>
      </c>
      <c r="B2972" t="s">
        <v>557</v>
      </c>
      <c r="C2972" t="s">
        <v>558</v>
      </c>
      <c r="D2972" t="s">
        <v>3529</v>
      </c>
      <c r="E2972">
        <v>-2970</v>
      </c>
      <c r="F2972" t="s">
        <v>559</v>
      </c>
      <c r="G2972" t="s">
        <v>560</v>
      </c>
    </row>
    <row r="2973" spans="1:7">
      <c r="A2973" t="s">
        <v>182</v>
      </c>
      <c r="B2973" t="s">
        <v>557</v>
      </c>
      <c r="C2973" t="s">
        <v>558</v>
      </c>
      <c r="D2973" t="s">
        <v>3530</v>
      </c>
      <c r="E2973">
        <v>-2971</v>
      </c>
      <c r="F2973" t="s">
        <v>559</v>
      </c>
      <c r="G2973" t="s">
        <v>560</v>
      </c>
    </row>
    <row r="2974" spans="1:7">
      <c r="A2974" t="s">
        <v>182</v>
      </c>
      <c r="B2974" t="s">
        <v>557</v>
      </c>
      <c r="C2974" t="s">
        <v>558</v>
      </c>
      <c r="D2974" t="s">
        <v>3531</v>
      </c>
      <c r="E2974">
        <v>-2972</v>
      </c>
      <c r="F2974" t="s">
        <v>559</v>
      </c>
      <c r="G2974" t="s">
        <v>560</v>
      </c>
    </row>
    <row r="2975" spans="1:7">
      <c r="A2975" t="s">
        <v>182</v>
      </c>
      <c r="B2975" t="s">
        <v>557</v>
      </c>
      <c r="C2975" t="s">
        <v>558</v>
      </c>
      <c r="D2975" t="s">
        <v>3532</v>
      </c>
      <c r="E2975">
        <v>-2973</v>
      </c>
      <c r="F2975" t="s">
        <v>559</v>
      </c>
      <c r="G2975" t="s">
        <v>560</v>
      </c>
    </row>
    <row r="2976" spans="1:7">
      <c r="A2976" t="s">
        <v>182</v>
      </c>
      <c r="B2976" t="s">
        <v>557</v>
      </c>
      <c r="C2976" t="s">
        <v>558</v>
      </c>
      <c r="D2976" t="s">
        <v>3533</v>
      </c>
      <c r="E2976">
        <v>-2974</v>
      </c>
      <c r="F2976" t="s">
        <v>559</v>
      </c>
      <c r="G2976" t="s">
        <v>560</v>
      </c>
    </row>
    <row r="2977" spans="1:7">
      <c r="A2977" t="s">
        <v>182</v>
      </c>
      <c r="B2977" t="s">
        <v>557</v>
      </c>
      <c r="C2977" t="s">
        <v>558</v>
      </c>
      <c r="D2977" t="s">
        <v>3534</v>
      </c>
      <c r="E2977">
        <v>-2975</v>
      </c>
      <c r="F2977" t="s">
        <v>559</v>
      </c>
      <c r="G2977" t="s">
        <v>560</v>
      </c>
    </row>
    <row r="2978" spans="1:7">
      <c r="A2978" t="s">
        <v>182</v>
      </c>
      <c r="B2978" t="s">
        <v>557</v>
      </c>
      <c r="C2978" t="s">
        <v>558</v>
      </c>
      <c r="D2978" t="s">
        <v>3535</v>
      </c>
      <c r="E2978">
        <v>-2976</v>
      </c>
      <c r="F2978" t="s">
        <v>559</v>
      </c>
      <c r="G2978" t="s">
        <v>560</v>
      </c>
    </row>
    <row r="2979" spans="1:7">
      <c r="A2979" t="s">
        <v>182</v>
      </c>
      <c r="B2979" t="s">
        <v>557</v>
      </c>
      <c r="C2979" t="s">
        <v>558</v>
      </c>
      <c r="D2979" t="s">
        <v>3536</v>
      </c>
      <c r="E2979">
        <v>-2977</v>
      </c>
      <c r="F2979" t="s">
        <v>559</v>
      </c>
      <c r="G2979" t="s">
        <v>560</v>
      </c>
    </row>
    <row r="2980" spans="1:7">
      <c r="A2980" t="s">
        <v>182</v>
      </c>
      <c r="B2980" t="s">
        <v>557</v>
      </c>
      <c r="C2980" t="s">
        <v>558</v>
      </c>
      <c r="D2980" t="s">
        <v>3537</v>
      </c>
      <c r="E2980">
        <v>-2978</v>
      </c>
      <c r="F2980" t="s">
        <v>559</v>
      </c>
      <c r="G2980" t="s">
        <v>560</v>
      </c>
    </row>
    <row r="2981" spans="1:7">
      <c r="A2981" t="s">
        <v>182</v>
      </c>
      <c r="B2981" t="s">
        <v>557</v>
      </c>
      <c r="C2981" t="s">
        <v>558</v>
      </c>
      <c r="D2981" t="s">
        <v>3538</v>
      </c>
      <c r="E2981">
        <v>-2979</v>
      </c>
      <c r="F2981" t="s">
        <v>559</v>
      </c>
      <c r="G2981" t="s">
        <v>560</v>
      </c>
    </row>
    <row r="2982" spans="1:7">
      <c r="A2982" t="s">
        <v>182</v>
      </c>
      <c r="B2982" t="s">
        <v>557</v>
      </c>
      <c r="C2982" t="s">
        <v>558</v>
      </c>
      <c r="D2982" t="s">
        <v>3539</v>
      </c>
      <c r="E2982">
        <v>-2980</v>
      </c>
      <c r="F2982" t="s">
        <v>559</v>
      </c>
      <c r="G2982" t="s">
        <v>560</v>
      </c>
    </row>
    <row r="2983" spans="1:7">
      <c r="A2983" t="s">
        <v>182</v>
      </c>
      <c r="B2983" t="s">
        <v>557</v>
      </c>
      <c r="C2983" t="s">
        <v>558</v>
      </c>
      <c r="D2983" t="s">
        <v>3540</v>
      </c>
      <c r="E2983">
        <v>-2981</v>
      </c>
      <c r="F2983" t="s">
        <v>559</v>
      </c>
      <c r="G2983" t="s">
        <v>560</v>
      </c>
    </row>
    <row r="2984" spans="1:7">
      <c r="A2984" t="s">
        <v>182</v>
      </c>
      <c r="B2984" t="s">
        <v>557</v>
      </c>
      <c r="C2984" t="s">
        <v>558</v>
      </c>
      <c r="D2984" t="s">
        <v>3541</v>
      </c>
      <c r="E2984">
        <v>-2982</v>
      </c>
      <c r="F2984" t="s">
        <v>559</v>
      </c>
      <c r="G2984" t="s">
        <v>560</v>
      </c>
    </row>
    <row r="2985" spans="1:7">
      <c r="A2985" t="s">
        <v>182</v>
      </c>
      <c r="B2985" t="s">
        <v>557</v>
      </c>
      <c r="C2985" t="s">
        <v>558</v>
      </c>
      <c r="D2985" t="s">
        <v>3542</v>
      </c>
      <c r="E2985">
        <v>-2983</v>
      </c>
      <c r="F2985" t="s">
        <v>559</v>
      </c>
      <c r="G2985" t="s">
        <v>560</v>
      </c>
    </row>
    <row r="2986" spans="1:7">
      <c r="A2986" t="s">
        <v>182</v>
      </c>
      <c r="B2986" t="s">
        <v>557</v>
      </c>
      <c r="C2986" t="s">
        <v>558</v>
      </c>
      <c r="D2986" t="s">
        <v>3543</v>
      </c>
      <c r="E2986">
        <v>-2984</v>
      </c>
      <c r="F2986" t="s">
        <v>559</v>
      </c>
      <c r="G2986" t="s">
        <v>560</v>
      </c>
    </row>
    <row r="2987" spans="1:7">
      <c r="A2987" t="s">
        <v>182</v>
      </c>
      <c r="B2987" t="s">
        <v>557</v>
      </c>
      <c r="C2987" t="s">
        <v>558</v>
      </c>
      <c r="D2987" t="s">
        <v>3544</v>
      </c>
      <c r="E2987">
        <v>-2985</v>
      </c>
      <c r="F2987" t="s">
        <v>559</v>
      </c>
      <c r="G2987" t="s">
        <v>560</v>
      </c>
    </row>
    <row r="2988" spans="1:7">
      <c r="A2988" t="s">
        <v>182</v>
      </c>
      <c r="B2988" t="s">
        <v>557</v>
      </c>
      <c r="C2988" t="s">
        <v>558</v>
      </c>
      <c r="D2988" t="s">
        <v>3545</v>
      </c>
      <c r="E2988">
        <v>-2986</v>
      </c>
      <c r="F2988" t="s">
        <v>559</v>
      </c>
      <c r="G2988" t="s">
        <v>560</v>
      </c>
    </row>
    <row r="2989" spans="1:7">
      <c r="A2989" t="s">
        <v>182</v>
      </c>
      <c r="B2989" t="s">
        <v>557</v>
      </c>
      <c r="C2989" t="s">
        <v>558</v>
      </c>
      <c r="D2989" t="s">
        <v>3546</v>
      </c>
      <c r="E2989">
        <v>-2987</v>
      </c>
      <c r="F2989" t="s">
        <v>559</v>
      </c>
      <c r="G2989" t="s">
        <v>560</v>
      </c>
    </row>
    <row r="2990" spans="1:7">
      <c r="A2990" t="s">
        <v>182</v>
      </c>
      <c r="B2990" t="s">
        <v>557</v>
      </c>
      <c r="C2990" t="s">
        <v>558</v>
      </c>
      <c r="D2990" t="s">
        <v>3547</v>
      </c>
      <c r="E2990">
        <v>-2988</v>
      </c>
      <c r="F2990" t="s">
        <v>559</v>
      </c>
      <c r="G2990" t="s">
        <v>560</v>
      </c>
    </row>
    <row r="2991" spans="1:7">
      <c r="A2991" t="s">
        <v>182</v>
      </c>
      <c r="B2991" t="s">
        <v>557</v>
      </c>
      <c r="C2991" t="s">
        <v>558</v>
      </c>
      <c r="D2991" t="s">
        <v>3548</v>
      </c>
      <c r="E2991">
        <v>-2989</v>
      </c>
      <c r="F2991" t="s">
        <v>559</v>
      </c>
      <c r="G2991" t="s">
        <v>560</v>
      </c>
    </row>
    <row r="2992" spans="1:7">
      <c r="A2992" t="s">
        <v>182</v>
      </c>
      <c r="B2992" t="s">
        <v>557</v>
      </c>
      <c r="C2992" t="s">
        <v>558</v>
      </c>
      <c r="D2992" t="s">
        <v>3549</v>
      </c>
      <c r="E2992">
        <v>-2990</v>
      </c>
      <c r="F2992" t="s">
        <v>559</v>
      </c>
      <c r="G2992" t="s">
        <v>560</v>
      </c>
    </row>
    <row r="2993" spans="1:7">
      <c r="A2993" t="s">
        <v>182</v>
      </c>
      <c r="B2993" t="s">
        <v>557</v>
      </c>
      <c r="C2993" t="s">
        <v>558</v>
      </c>
      <c r="D2993" t="s">
        <v>3550</v>
      </c>
      <c r="E2993">
        <v>-2991</v>
      </c>
      <c r="F2993" t="s">
        <v>559</v>
      </c>
      <c r="G2993" t="s">
        <v>560</v>
      </c>
    </row>
    <row r="2994" spans="1:7">
      <c r="A2994" t="s">
        <v>182</v>
      </c>
      <c r="B2994" t="s">
        <v>557</v>
      </c>
      <c r="C2994" t="s">
        <v>558</v>
      </c>
      <c r="D2994" t="s">
        <v>3551</v>
      </c>
      <c r="E2994">
        <v>-2992</v>
      </c>
      <c r="F2994" t="s">
        <v>559</v>
      </c>
      <c r="G2994" t="s">
        <v>560</v>
      </c>
    </row>
    <row r="2995" spans="1:7">
      <c r="A2995" t="s">
        <v>182</v>
      </c>
      <c r="B2995" t="s">
        <v>557</v>
      </c>
      <c r="C2995" t="s">
        <v>558</v>
      </c>
      <c r="D2995" t="s">
        <v>3552</v>
      </c>
      <c r="E2995">
        <v>-2993</v>
      </c>
      <c r="F2995" t="s">
        <v>559</v>
      </c>
      <c r="G2995" t="s">
        <v>560</v>
      </c>
    </row>
    <row r="2996" spans="1:7">
      <c r="A2996" t="s">
        <v>182</v>
      </c>
      <c r="B2996" t="s">
        <v>557</v>
      </c>
      <c r="C2996" t="s">
        <v>558</v>
      </c>
      <c r="D2996" t="s">
        <v>3553</v>
      </c>
      <c r="E2996">
        <v>-2994</v>
      </c>
      <c r="F2996" t="s">
        <v>559</v>
      </c>
      <c r="G2996" t="s">
        <v>560</v>
      </c>
    </row>
    <row r="2997" spans="1:7">
      <c r="A2997" t="s">
        <v>182</v>
      </c>
      <c r="B2997" t="s">
        <v>557</v>
      </c>
      <c r="C2997" t="s">
        <v>558</v>
      </c>
      <c r="D2997" t="s">
        <v>3554</v>
      </c>
      <c r="E2997">
        <v>-2995</v>
      </c>
      <c r="F2997" t="s">
        <v>559</v>
      </c>
      <c r="G2997" t="s">
        <v>560</v>
      </c>
    </row>
    <row r="2998" spans="1:7">
      <c r="A2998" t="s">
        <v>182</v>
      </c>
      <c r="B2998" t="s">
        <v>557</v>
      </c>
      <c r="C2998" t="s">
        <v>558</v>
      </c>
      <c r="D2998" t="s">
        <v>3555</v>
      </c>
      <c r="E2998">
        <v>-2996</v>
      </c>
      <c r="F2998" t="s">
        <v>559</v>
      </c>
      <c r="G2998" t="s">
        <v>560</v>
      </c>
    </row>
    <row r="2999" spans="1:7">
      <c r="A2999" t="s">
        <v>182</v>
      </c>
      <c r="B2999" t="s">
        <v>557</v>
      </c>
      <c r="C2999" t="s">
        <v>558</v>
      </c>
      <c r="D2999" t="s">
        <v>3556</v>
      </c>
      <c r="E2999">
        <v>-2997</v>
      </c>
      <c r="F2999" t="s">
        <v>559</v>
      </c>
      <c r="G2999" t="s">
        <v>560</v>
      </c>
    </row>
    <row r="3000" spans="1:7">
      <c r="A3000" t="s">
        <v>182</v>
      </c>
      <c r="B3000" t="s">
        <v>557</v>
      </c>
      <c r="C3000" t="s">
        <v>558</v>
      </c>
      <c r="D3000" t="s">
        <v>3557</v>
      </c>
      <c r="E3000">
        <v>-2998</v>
      </c>
      <c r="F3000" t="s">
        <v>559</v>
      </c>
      <c r="G3000" t="s">
        <v>560</v>
      </c>
    </row>
    <row r="3001" spans="1:7">
      <c r="A3001" t="s">
        <v>182</v>
      </c>
      <c r="B3001" t="s">
        <v>557</v>
      </c>
      <c r="C3001" t="s">
        <v>558</v>
      </c>
      <c r="D3001" t="s">
        <v>3558</v>
      </c>
      <c r="E3001">
        <v>-2999</v>
      </c>
      <c r="F3001" t="s">
        <v>559</v>
      </c>
      <c r="G3001" t="s">
        <v>560</v>
      </c>
    </row>
    <row r="3002" spans="1:7">
      <c r="A3002" t="s">
        <v>182</v>
      </c>
      <c r="B3002" t="s">
        <v>557</v>
      </c>
      <c r="C3002" t="s">
        <v>558</v>
      </c>
      <c r="D3002" t="s">
        <v>3559</v>
      </c>
      <c r="E3002">
        <v>-3000</v>
      </c>
      <c r="F3002" t="s">
        <v>559</v>
      </c>
      <c r="G3002" t="s">
        <v>560</v>
      </c>
    </row>
    <row r="3003" spans="1:7">
      <c r="A3003" t="s">
        <v>182</v>
      </c>
      <c r="B3003" t="s">
        <v>557</v>
      </c>
      <c r="C3003" t="s">
        <v>558</v>
      </c>
      <c r="D3003" t="s">
        <v>3560</v>
      </c>
      <c r="E3003">
        <v>-3001</v>
      </c>
      <c r="F3003" t="s">
        <v>559</v>
      </c>
      <c r="G3003" t="s">
        <v>560</v>
      </c>
    </row>
    <row r="3004" spans="1:7">
      <c r="A3004" t="s">
        <v>182</v>
      </c>
      <c r="B3004" t="s">
        <v>557</v>
      </c>
      <c r="C3004" t="s">
        <v>558</v>
      </c>
      <c r="D3004" t="s">
        <v>3561</v>
      </c>
      <c r="E3004">
        <v>-3002</v>
      </c>
      <c r="F3004" t="s">
        <v>559</v>
      </c>
      <c r="G3004" t="s">
        <v>560</v>
      </c>
    </row>
    <row r="3005" spans="1:7">
      <c r="A3005" t="s">
        <v>182</v>
      </c>
      <c r="B3005" t="s">
        <v>557</v>
      </c>
      <c r="C3005" t="s">
        <v>558</v>
      </c>
      <c r="D3005" t="s">
        <v>3562</v>
      </c>
      <c r="E3005">
        <v>-3003</v>
      </c>
      <c r="F3005" t="s">
        <v>559</v>
      </c>
      <c r="G3005" t="s">
        <v>560</v>
      </c>
    </row>
    <row r="3006" spans="1:7">
      <c r="A3006" t="s">
        <v>182</v>
      </c>
      <c r="B3006" t="s">
        <v>557</v>
      </c>
      <c r="C3006" t="s">
        <v>558</v>
      </c>
      <c r="D3006" t="s">
        <v>3563</v>
      </c>
      <c r="E3006">
        <v>-3004</v>
      </c>
      <c r="F3006" t="s">
        <v>559</v>
      </c>
      <c r="G3006" t="s">
        <v>560</v>
      </c>
    </row>
    <row r="3007" spans="1:7">
      <c r="A3007" t="s">
        <v>182</v>
      </c>
      <c r="B3007" t="s">
        <v>557</v>
      </c>
      <c r="C3007" t="s">
        <v>558</v>
      </c>
      <c r="D3007" t="s">
        <v>3564</v>
      </c>
      <c r="E3007">
        <v>-3005</v>
      </c>
      <c r="F3007" t="s">
        <v>559</v>
      </c>
      <c r="G3007" t="s">
        <v>560</v>
      </c>
    </row>
    <row r="3008" spans="1:7">
      <c r="A3008" t="s">
        <v>182</v>
      </c>
      <c r="B3008" t="s">
        <v>557</v>
      </c>
      <c r="C3008" t="s">
        <v>558</v>
      </c>
      <c r="D3008" t="s">
        <v>3565</v>
      </c>
      <c r="E3008">
        <v>-3006</v>
      </c>
      <c r="F3008" t="s">
        <v>559</v>
      </c>
      <c r="G3008" t="s">
        <v>560</v>
      </c>
    </row>
    <row r="3009" spans="1:7">
      <c r="A3009" t="s">
        <v>182</v>
      </c>
      <c r="B3009" t="s">
        <v>557</v>
      </c>
      <c r="C3009" t="s">
        <v>558</v>
      </c>
      <c r="D3009" t="s">
        <v>3566</v>
      </c>
      <c r="E3009">
        <v>-3007</v>
      </c>
      <c r="F3009" t="s">
        <v>559</v>
      </c>
      <c r="G3009" t="s">
        <v>560</v>
      </c>
    </row>
    <row r="3010" spans="1:7">
      <c r="A3010" t="s">
        <v>182</v>
      </c>
      <c r="B3010" t="s">
        <v>557</v>
      </c>
      <c r="C3010" t="s">
        <v>558</v>
      </c>
      <c r="D3010" t="s">
        <v>3567</v>
      </c>
      <c r="E3010">
        <v>-3008</v>
      </c>
      <c r="F3010" t="s">
        <v>559</v>
      </c>
      <c r="G3010" t="s">
        <v>560</v>
      </c>
    </row>
    <row r="3011" spans="1:7">
      <c r="A3011" t="s">
        <v>182</v>
      </c>
      <c r="B3011" t="s">
        <v>557</v>
      </c>
      <c r="C3011" t="s">
        <v>558</v>
      </c>
      <c r="D3011" t="s">
        <v>3568</v>
      </c>
      <c r="E3011">
        <v>-3009</v>
      </c>
      <c r="F3011" t="s">
        <v>559</v>
      </c>
      <c r="G3011" t="s">
        <v>560</v>
      </c>
    </row>
    <row r="3012" spans="1:7">
      <c r="A3012" t="s">
        <v>182</v>
      </c>
      <c r="B3012" t="s">
        <v>557</v>
      </c>
      <c r="C3012" t="s">
        <v>558</v>
      </c>
      <c r="D3012" t="s">
        <v>3569</v>
      </c>
      <c r="E3012">
        <v>-3010</v>
      </c>
      <c r="F3012" t="s">
        <v>559</v>
      </c>
      <c r="G3012" t="s">
        <v>560</v>
      </c>
    </row>
    <row r="3013" spans="1:7">
      <c r="A3013" t="s">
        <v>182</v>
      </c>
      <c r="B3013" t="s">
        <v>557</v>
      </c>
      <c r="C3013" t="s">
        <v>558</v>
      </c>
      <c r="D3013" t="s">
        <v>3570</v>
      </c>
      <c r="E3013">
        <v>-3011</v>
      </c>
      <c r="F3013" t="s">
        <v>559</v>
      </c>
      <c r="G3013" t="s">
        <v>560</v>
      </c>
    </row>
    <row r="3014" spans="1:7">
      <c r="A3014" t="s">
        <v>182</v>
      </c>
      <c r="B3014" t="s">
        <v>557</v>
      </c>
      <c r="C3014" t="s">
        <v>558</v>
      </c>
      <c r="D3014" t="s">
        <v>3571</v>
      </c>
      <c r="E3014">
        <v>-3012</v>
      </c>
      <c r="F3014" t="s">
        <v>559</v>
      </c>
      <c r="G3014" t="s">
        <v>560</v>
      </c>
    </row>
    <row r="3015" spans="1:7">
      <c r="A3015" t="s">
        <v>182</v>
      </c>
      <c r="B3015" t="s">
        <v>557</v>
      </c>
      <c r="C3015" t="s">
        <v>558</v>
      </c>
      <c r="D3015" t="s">
        <v>3572</v>
      </c>
      <c r="E3015">
        <v>-3013</v>
      </c>
      <c r="F3015" t="s">
        <v>559</v>
      </c>
      <c r="G3015" t="s">
        <v>560</v>
      </c>
    </row>
    <row r="3016" spans="1:7">
      <c r="A3016" t="s">
        <v>182</v>
      </c>
      <c r="B3016" t="s">
        <v>557</v>
      </c>
      <c r="C3016" t="s">
        <v>558</v>
      </c>
      <c r="D3016" t="s">
        <v>3573</v>
      </c>
      <c r="E3016">
        <v>-3014</v>
      </c>
      <c r="F3016" t="s">
        <v>559</v>
      </c>
      <c r="G3016" t="s">
        <v>560</v>
      </c>
    </row>
    <row r="3017" spans="1:7">
      <c r="A3017" t="s">
        <v>182</v>
      </c>
      <c r="B3017" t="s">
        <v>557</v>
      </c>
      <c r="C3017" t="s">
        <v>558</v>
      </c>
      <c r="D3017" t="s">
        <v>3574</v>
      </c>
      <c r="E3017">
        <v>-3015</v>
      </c>
      <c r="F3017" t="s">
        <v>559</v>
      </c>
      <c r="G3017" t="s">
        <v>560</v>
      </c>
    </row>
    <row r="3018" spans="1:7">
      <c r="A3018" t="s">
        <v>182</v>
      </c>
      <c r="B3018" t="s">
        <v>557</v>
      </c>
      <c r="C3018" t="s">
        <v>558</v>
      </c>
      <c r="D3018" t="s">
        <v>3575</v>
      </c>
      <c r="E3018">
        <v>-3016</v>
      </c>
      <c r="F3018" t="s">
        <v>559</v>
      </c>
      <c r="G3018" t="s">
        <v>560</v>
      </c>
    </row>
    <row r="3019" spans="1:7">
      <c r="A3019" t="s">
        <v>182</v>
      </c>
      <c r="B3019" t="s">
        <v>557</v>
      </c>
      <c r="C3019" t="s">
        <v>558</v>
      </c>
      <c r="D3019" t="s">
        <v>3576</v>
      </c>
      <c r="E3019">
        <v>-3017</v>
      </c>
      <c r="F3019" t="s">
        <v>559</v>
      </c>
      <c r="G3019" t="s">
        <v>560</v>
      </c>
    </row>
    <row r="3020" spans="1:7">
      <c r="A3020" t="s">
        <v>182</v>
      </c>
      <c r="B3020" t="s">
        <v>557</v>
      </c>
      <c r="C3020" t="s">
        <v>558</v>
      </c>
      <c r="D3020" t="s">
        <v>3577</v>
      </c>
      <c r="E3020">
        <v>-3018</v>
      </c>
      <c r="F3020" t="s">
        <v>559</v>
      </c>
      <c r="G3020" t="s">
        <v>560</v>
      </c>
    </row>
    <row r="3021" spans="1:7">
      <c r="A3021" t="s">
        <v>182</v>
      </c>
      <c r="B3021" t="s">
        <v>557</v>
      </c>
      <c r="C3021" t="s">
        <v>558</v>
      </c>
      <c r="D3021" t="s">
        <v>3578</v>
      </c>
      <c r="E3021">
        <v>-3019</v>
      </c>
      <c r="F3021" t="s">
        <v>559</v>
      </c>
      <c r="G3021" t="s">
        <v>560</v>
      </c>
    </row>
    <row r="3022" spans="1:7">
      <c r="A3022" t="s">
        <v>182</v>
      </c>
      <c r="B3022" t="s">
        <v>557</v>
      </c>
      <c r="C3022" t="s">
        <v>558</v>
      </c>
      <c r="D3022" t="s">
        <v>3579</v>
      </c>
      <c r="E3022">
        <v>-3020</v>
      </c>
      <c r="F3022" t="s">
        <v>559</v>
      </c>
      <c r="G3022" t="s">
        <v>560</v>
      </c>
    </row>
    <row r="3023" spans="1:7">
      <c r="A3023" t="s">
        <v>182</v>
      </c>
      <c r="B3023" t="s">
        <v>557</v>
      </c>
      <c r="C3023" t="s">
        <v>558</v>
      </c>
      <c r="D3023" t="s">
        <v>3580</v>
      </c>
      <c r="E3023">
        <v>-3021</v>
      </c>
      <c r="F3023" t="s">
        <v>559</v>
      </c>
      <c r="G3023" t="s">
        <v>560</v>
      </c>
    </row>
    <row r="3024" spans="1:7">
      <c r="A3024" t="s">
        <v>182</v>
      </c>
      <c r="B3024" t="s">
        <v>557</v>
      </c>
      <c r="C3024" t="s">
        <v>558</v>
      </c>
      <c r="D3024" t="s">
        <v>3581</v>
      </c>
      <c r="E3024">
        <v>-3022</v>
      </c>
      <c r="F3024" t="s">
        <v>559</v>
      </c>
      <c r="G3024" t="s">
        <v>560</v>
      </c>
    </row>
    <row r="3025" spans="1:7">
      <c r="A3025" t="s">
        <v>182</v>
      </c>
      <c r="B3025" t="s">
        <v>557</v>
      </c>
      <c r="C3025" t="s">
        <v>558</v>
      </c>
      <c r="D3025" t="s">
        <v>3582</v>
      </c>
      <c r="E3025">
        <v>-3023</v>
      </c>
      <c r="F3025" t="s">
        <v>559</v>
      </c>
      <c r="G3025" t="s">
        <v>560</v>
      </c>
    </row>
    <row r="3026" spans="1:7">
      <c r="A3026" t="s">
        <v>182</v>
      </c>
      <c r="B3026" t="s">
        <v>557</v>
      </c>
      <c r="C3026" t="s">
        <v>558</v>
      </c>
      <c r="D3026" t="s">
        <v>3583</v>
      </c>
      <c r="E3026">
        <v>-3024</v>
      </c>
      <c r="F3026" t="s">
        <v>559</v>
      </c>
      <c r="G3026" t="s">
        <v>560</v>
      </c>
    </row>
    <row r="3027" spans="1:7">
      <c r="A3027" t="s">
        <v>182</v>
      </c>
      <c r="B3027" t="s">
        <v>557</v>
      </c>
      <c r="C3027" t="s">
        <v>558</v>
      </c>
      <c r="D3027" t="s">
        <v>3584</v>
      </c>
      <c r="E3027">
        <v>-3025</v>
      </c>
      <c r="F3027" t="s">
        <v>559</v>
      </c>
      <c r="G3027" t="s">
        <v>560</v>
      </c>
    </row>
    <row r="3028" spans="1:7">
      <c r="A3028" t="s">
        <v>182</v>
      </c>
      <c r="B3028" t="s">
        <v>557</v>
      </c>
      <c r="C3028" t="s">
        <v>558</v>
      </c>
      <c r="D3028" t="s">
        <v>3585</v>
      </c>
      <c r="E3028">
        <v>-3026</v>
      </c>
      <c r="F3028" t="s">
        <v>559</v>
      </c>
      <c r="G3028" t="s">
        <v>560</v>
      </c>
    </row>
    <row r="3029" spans="1:7">
      <c r="A3029" t="s">
        <v>182</v>
      </c>
      <c r="B3029" t="s">
        <v>557</v>
      </c>
      <c r="C3029" t="s">
        <v>558</v>
      </c>
      <c r="D3029" t="s">
        <v>3586</v>
      </c>
      <c r="E3029">
        <v>-3027</v>
      </c>
      <c r="F3029" t="s">
        <v>559</v>
      </c>
      <c r="G3029" t="s">
        <v>560</v>
      </c>
    </row>
    <row r="3030" spans="1:7">
      <c r="A3030" t="s">
        <v>182</v>
      </c>
      <c r="B3030" t="s">
        <v>557</v>
      </c>
      <c r="C3030" t="s">
        <v>558</v>
      </c>
      <c r="D3030" t="s">
        <v>3587</v>
      </c>
      <c r="E3030">
        <v>-3028</v>
      </c>
      <c r="F3030" t="s">
        <v>559</v>
      </c>
      <c r="G3030" t="s">
        <v>560</v>
      </c>
    </row>
    <row r="3031" spans="1:7">
      <c r="A3031" t="s">
        <v>182</v>
      </c>
      <c r="B3031" t="s">
        <v>557</v>
      </c>
      <c r="C3031" t="s">
        <v>558</v>
      </c>
      <c r="D3031" t="s">
        <v>3588</v>
      </c>
      <c r="E3031">
        <v>-3029</v>
      </c>
      <c r="F3031" t="s">
        <v>559</v>
      </c>
      <c r="G3031" t="s">
        <v>560</v>
      </c>
    </row>
    <row r="3032" spans="1:7">
      <c r="A3032" t="s">
        <v>182</v>
      </c>
      <c r="B3032" t="s">
        <v>557</v>
      </c>
      <c r="C3032" t="s">
        <v>558</v>
      </c>
      <c r="D3032" t="s">
        <v>3589</v>
      </c>
      <c r="E3032">
        <v>-3030</v>
      </c>
      <c r="F3032" t="s">
        <v>559</v>
      </c>
      <c r="G3032" t="s">
        <v>560</v>
      </c>
    </row>
    <row r="3033" spans="1:7">
      <c r="A3033" t="s">
        <v>182</v>
      </c>
      <c r="B3033" t="s">
        <v>557</v>
      </c>
      <c r="C3033" t="s">
        <v>558</v>
      </c>
      <c r="D3033" t="s">
        <v>3590</v>
      </c>
      <c r="E3033">
        <v>-3031</v>
      </c>
      <c r="F3033" t="s">
        <v>559</v>
      </c>
      <c r="G3033" t="s">
        <v>560</v>
      </c>
    </row>
    <row r="3034" spans="1:7">
      <c r="A3034" t="s">
        <v>182</v>
      </c>
      <c r="B3034" t="s">
        <v>557</v>
      </c>
      <c r="C3034" t="s">
        <v>558</v>
      </c>
      <c r="D3034" t="s">
        <v>3591</v>
      </c>
      <c r="E3034">
        <v>-3032</v>
      </c>
      <c r="F3034" t="s">
        <v>559</v>
      </c>
      <c r="G3034" t="s">
        <v>560</v>
      </c>
    </row>
    <row r="3035" spans="1:7">
      <c r="A3035" t="s">
        <v>182</v>
      </c>
      <c r="B3035" t="s">
        <v>557</v>
      </c>
      <c r="C3035" t="s">
        <v>558</v>
      </c>
      <c r="D3035" t="s">
        <v>3592</v>
      </c>
      <c r="E3035">
        <v>-3033</v>
      </c>
      <c r="F3035" t="s">
        <v>559</v>
      </c>
      <c r="G3035" t="s">
        <v>560</v>
      </c>
    </row>
    <row r="3036" spans="1:7">
      <c r="A3036" t="s">
        <v>182</v>
      </c>
      <c r="B3036" t="s">
        <v>557</v>
      </c>
      <c r="C3036" t="s">
        <v>558</v>
      </c>
      <c r="D3036" t="s">
        <v>3593</v>
      </c>
      <c r="E3036">
        <v>-3034</v>
      </c>
      <c r="F3036" t="s">
        <v>559</v>
      </c>
      <c r="G3036" t="s">
        <v>560</v>
      </c>
    </row>
    <row r="3037" spans="1:7">
      <c r="A3037" t="s">
        <v>182</v>
      </c>
      <c r="B3037" t="s">
        <v>557</v>
      </c>
      <c r="C3037" t="s">
        <v>558</v>
      </c>
      <c r="D3037" t="s">
        <v>3594</v>
      </c>
      <c r="E3037">
        <v>-3035</v>
      </c>
      <c r="F3037" t="s">
        <v>559</v>
      </c>
      <c r="G3037" t="s">
        <v>560</v>
      </c>
    </row>
    <row r="3038" spans="1:7">
      <c r="A3038" t="s">
        <v>182</v>
      </c>
      <c r="B3038" t="s">
        <v>557</v>
      </c>
      <c r="C3038" t="s">
        <v>558</v>
      </c>
      <c r="D3038" t="s">
        <v>3595</v>
      </c>
      <c r="E3038">
        <v>-3036</v>
      </c>
      <c r="F3038" t="s">
        <v>559</v>
      </c>
      <c r="G3038" t="s">
        <v>560</v>
      </c>
    </row>
    <row r="3039" spans="1:7">
      <c r="A3039" t="s">
        <v>182</v>
      </c>
      <c r="B3039" t="s">
        <v>557</v>
      </c>
      <c r="C3039" t="s">
        <v>558</v>
      </c>
      <c r="D3039" t="s">
        <v>3596</v>
      </c>
      <c r="E3039">
        <v>-3037</v>
      </c>
      <c r="F3039" t="s">
        <v>559</v>
      </c>
      <c r="G3039" t="s">
        <v>560</v>
      </c>
    </row>
    <row r="3040" spans="1:7">
      <c r="A3040" t="s">
        <v>182</v>
      </c>
      <c r="B3040" t="s">
        <v>557</v>
      </c>
      <c r="C3040" t="s">
        <v>558</v>
      </c>
      <c r="D3040" t="s">
        <v>3597</v>
      </c>
      <c r="E3040">
        <v>-3038</v>
      </c>
      <c r="F3040" t="s">
        <v>559</v>
      </c>
      <c r="G3040" t="s">
        <v>560</v>
      </c>
    </row>
    <row r="3041" spans="1:7">
      <c r="A3041" t="s">
        <v>182</v>
      </c>
      <c r="B3041" t="s">
        <v>557</v>
      </c>
      <c r="C3041" t="s">
        <v>558</v>
      </c>
      <c r="D3041" t="s">
        <v>3598</v>
      </c>
      <c r="E3041">
        <v>-3039</v>
      </c>
      <c r="F3041" t="s">
        <v>559</v>
      </c>
      <c r="G3041" t="s">
        <v>560</v>
      </c>
    </row>
    <row r="3042" spans="1:7">
      <c r="A3042" t="s">
        <v>182</v>
      </c>
      <c r="B3042" t="s">
        <v>557</v>
      </c>
      <c r="C3042" t="s">
        <v>558</v>
      </c>
      <c r="D3042" t="s">
        <v>3599</v>
      </c>
      <c r="E3042">
        <v>-3040</v>
      </c>
      <c r="F3042" t="s">
        <v>559</v>
      </c>
      <c r="G3042" t="s">
        <v>560</v>
      </c>
    </row>
    <row r="3043" spans="1:7">
      <c r="A3043" t="s">
        <v>182</v>
      </c>
      <c r="B3043" t="s">
        <v>557</v>
      </c>
      <c r="C3043" t="s">
        <v>558</v>
      </c>
      <c r="D3043" t="s">
        <v>3600</v>
      </c>
      <c r="E3043">
        <v>-3041</v>
      </c>
      <c r="F3043" t="s">
        <v>559</v>
      </c>
      <c r="G3043" t="s">
        <v>560</v>
      </c>
    </row>
    <row r="3044" spans="1:7">
      <c r="A3044" t="s">
        <v>182</v>
      </c>
      <c r="B3044" t="s">
        <v>557</v>
      </c>
      <c r="C3044" t="s">
        <v>558</v>
      </c>
      <c r="D3044" t="s">
        <v>3601</v>
      </c>
      <c r="E3044">
        <v>-3042</v>
      </c>
      <c r="F3044" t="s">
        <v>559</v>
      </c>
      <c r="G3044" t="s">
        <v>560</v>
      </c>
    </row>
    <row r="3045" spans="1:7">
      <c r="A3045" t="s">
        <v>182</v>
      </c>
      <c r="B3045" t="s">
        <v>557</v>
      </c>
      <c r="C3045" t="s">
        <v>558</v>
      </c>
      <c r="D3045" t="s">
        <v>3602</v>
      </c>
      <c r="E3045">
        <v>-3043</v>
      </c>
      <c r="F3045" t="s">
        <v>559</v>
      </c>
      <c r="G3045" t="s">
        <v>560</v>
      </c>
    </row>
    <row r="3046" spans="1:7">
      <c r="A3046" t="s">
        <v>182</v>
      </c>
      <c r="B3046" t="s">
        <v>557</v>
      </c>
      <c r="C3046" t="s">
        <v>558</v>
      </c>
      <c r="D3046" t="s">
        <v>3603</v>
      </c>
      <c r="E3046">
        <v>-3044</v>
      </c>
      <c r="F3046" t="s">
        <v>559</v>
      </c>
      <c r="G3046" t="s">
        <v>560</v>
      </c>
    </row>
    <row r="3047" spans="1:7">
      <c r="A3047" t="s">
        <v>182</v>
      </c>
      <c r="B3047" t="s">
        <v>557</v>
      </c>
      <c r="C3047" t="s">
        <v>558</v>
      </c>
      <c r="D3047" t="s">
        <v>3604</v>
      </c>
      <c r="E3047">
        <v>-3045</v>
      </c>
      <c r="F3047" t="s">
        <v>559</v>
      </c>
      <c r="G3047" t="s">
        <v>560</v>
      </c>
    </row>
    <row r="3048" spans="1:7">
      <c r="A3048" t="s">
        <v>182</v>
      </c>
      <c r="B3048" t="s">
        <v>557</v>
      </c>
      <c r="C3048" t="s">
        <v>558</v>
      </c>
      <c r="D3048" t="s">
        <v>3605</v>
      </c>
      <c r="E3048">
        <v>-3046</v>
      </c>
      <c r="F3048" t="s">
        <v>559</v>
      </c>
      <c r="G3048" t="s">
        <v>560</v>
      </c>
    </row>
    <row r="3049" spans="1:7">
      <c r="A3049" t="s">
        <v>182</v>
      </c>
      <c r="B3049" t="s">
        <v>557</v>
      </c>
      <c r="C3049" t="s">
        <v>558</v>
      </c>
      <c r="D3049" t="s">
        <v>3606</v>
      </c>
      <c r="E3049">
        <v>-3047</v>
      </c>
      <c r="F3049" t="s">
        <v>559</v>
      </c>
      <c r="G3049" t="s">
        <v>560</v>
      </c>
    </row>
    <row r="3050" spans="1:7">
      <c r="A3050" t="s">
        <v>182</v>
      </c>
      <c r="B3050" t="s">
        <v>557</v>
      </c>
      <c r="C3050" t="s">
        <v>558</v>
      </c>
      <c r="D3050" t="s">
        <v>3607</v>
      </c>
      <c r="E3050">
        <v>-3048</v>
      </c>
      <c r="F3050" t="s">
        <v>559</v>
      </c>
      <c r="G3050" t="s">
        <v>560</v>
      </c>
    </row>
    <row r="3051" spans="1:7">
      <c r="A3051" t="s">
        <v>182</v>
      </c>
      <c r="B3051" t="s">
        <v>557</v>
      </c>
      <c r="C3051" t="s">
        <v>558</v>
      </c>
      <c r="D3051" t="s">
        <v>3608</v>
      </c>
      <c r="E3051">
        <v>-3049</v>
      </c>
      <c r="F3051" t="s">
        <v>559</v>
      </c>
      <c r="G3051" t="s">
        <v>560</v>
      </c>
    </row>
    <row r="3052" spans="1:7">
      <c r="A3052" t="s">
        <v>182</v>
      </c>
      <c r="B3052" t="s">
        <v>557</v>
      </c>
      <c r="C3052" t="s">
        <v>558</v>
      </c>
      <c r="D3052" t="s">
        <v>3609</v>
      </c>
      <c r="E3052">
        <v>-3050</v>
      </c>
      <c r="F3052" t="s">
        <v>559</v>
      </c>
      <c r="G3052" t="s">
        <v>560</v>
      </c>
    </row>
    <row r="3053" spans="1:7">
      <c r="A3053" t="s">
        <v>182</v>
      </c>
      <c r="B3053" t="s">
        <v>557</v>
      </c>
      <c r="C3053" t="s">
        <v>558</v>
      </c>
      <c r="D3053" t="s">
        <v>3610</v>
      </c>
      <c r="E3053">
        <v>-3051</v>
      </c>
      <c r="F3053" t="s">
        <v>559</v>
      </c>
      <c r="G3053" t="s">
        <v>560</v>
      </c>
    </row>
    <row r="3054" spans="1:7">
      <c r="A3054" t="s">
        <v>182</v>
      </c>
      <c r="B3054" t="s">
        <v>557</v>
      </c>
      <c r="C3054" t="s">
        <v>558</v>
      </c>
      <c r="D3054" t="s">
        <v>3611</v>
      </c>
      <c r="E3054">
        <v>-3052</v>
      </c>
      <c r="F3054" t="s">
        <v>559</v>
      </c>
      <c r="G3054" t="s">
        <v>560</v>
      </c>
    </row>
    <row r="3055" spans="1:7">
      <c r="A3055" t="s">
        <v>182</v>
      </c>
      <c r="B3055" t="s">
        <v>557</v>
      </c>
      <c r="C3055" t="s">
        <v>558</v>
      </c>
      <c r="D3055" t="s">
        <v>3612</v>
      </c>
      <c r="E3055">
        <v>-3053</v>
      </c>
      <c r="F3055" t="s">
        <v>559</v>
      </c>
      <c r="G3055" t="s">
        <v>560</v>
      </c>
    </row>
    <row r="3056" spans="1:7">
      <c r="A3056" t="s">
        <v>182</v>
      </c>
      <c r="B3056" t="s">
        <v>557</v>
      </c>
      <c r="C3056" t="s">
        <v>558</v>
      </c>
      <c r="D3056" t="s">
        <v>3613</v>
      </c>
      <c r="E3056">
        <v>-3054</v>
      </c>
      <c r="F3056" t="s">
        <v>559</v>
      </c>
      <c r="G3056" t="s">
        <v>560</v>
      </c>
    </row>
    <row r="3057" spans="1:7">
      <c r="A3057" t="s">
        <v>182</v>
      </c>
      <c r="B3057" t="s">
        <v>557</v>
      </c>
      <c r="C3057" t="s">
        <v>558</v>
      </c>
      <c r="D3057" t="s">
        <v>3614</v>
      </c>
      <c r="E3057">
        <v>-3055</v>
      </c>
      <c r="F3057" t="s">
        <v>559</v>
      </c>
      <c r="G3057" t="s">
        <v>560</v>
      </c>
    </row>
    <row r="3058" spans="1:7">
      <c r="A3058" t="s">
        <v>182</v>
      </c>
      <c r="B3058" t="s">
        <v>557</v>
      </c>
      <c r="C3058" t="s">
        <v>558</v>
      </c>
      <c r="D3058" t="s">
        <v>3615</v>
      </c>
      <c r="E3058">
        <v>-3056</v>
      </c>
      <c r="F3058" t="s">
        <v>559</v>
      </c>
      <c r="G3058" t="s">
        <v>560</v>
      </c>
    </row>
    <row r="3059" spans="1:7">
      <c r="A3059" t="s">
        <v>182</v>
      </c>
      <c r="B3059" t="s">
        <v>557</v>
      </c>
      <c r="C3059" t="s">
        <v>558</v>
      </c>
      <c r="D3059" t="s">
        <v>3616</v>
      </c>
      <c r="E3059">
        <v>-3057</v>
      </c>
      <c r="F3059" t="s">
        <v>559</v>
      </c>
      <c r="G3059" t="s">
        <v>560</v>
      </c>
    </row>
    <row r="3060" spans="1:7">
      <c r="A3060" t="s">
        <v>182</v>
      </c>
      <c r="B3060" t="s">
        <v>557</v>
      </c>
      <c r="C3060" t="s">
        <v>558</v>
      </c>
      <c r="D3060" t="s">
        <v>3617</v>
      </c>
      <c r="E3060">
        <v>-3058</v>
      </c>
      <c r="F3060" t="s">
        <v>559</v>
      </c>
      <c r="G3060" t="s">
        <v>560</v>
      </c>
    </row>
    <row r="3061" spans="1:7">
      <c r="A3061" t="s">
        <v>182</v>
      </c>
      <c r="B3061" t="s">
        <v>557</v>
      </c>
      <c r="C3061" t="s">
        <v>558</v>
      </c>
      <c r="D3061" t="s">
        <v>3618</v>
      </c>
      <c r="E3061">
        <v>-3059</v>
      </c>
      <c r="F3061" t="s">
        <v>559</v>
      </c>
      <c r="G3061" t="s">
        <v>560</v>
      </c>
    </row>
    <row r="3062" spans="1:7">
      <c r="A3062" t="s">
        <v>182</v>
      </c>
      <c r="B3062" t="s">
        <v>557</v>
      </c>
      <c r="C3062" t="s">
        <v>558</v>
      </c>
      <c r="D3062" t="s">
        <v>3619</v>
      </c>
      <c r="E3062">
        <v>-3060</v>
      </c>
      <c r="F3062" t="s">
        <v>559</v>
      </c>
      <c r="G3062" t="s">
        <v>560</v>
      </c>
    </row>
    <row r="3063" spans="1:7">
      <c r="A3063" t="s">
        <v>182</v>
      </c>
      <c r="B3063" t="s">
        <v>557</v>
      </c>
      <c r="C3063" t="s">
        <v>558</v>
      </c>
      <c r="D3063" t="s">
        <v>3620</v>
      </c>
      <c r="E3063">
        <v>-3061</v>
      </c>
      <c r="F3063" t="s">
        <v>559</v>
      </c>
      <c r="G3063" t="s">
        <v>560</v>
      </c>
    </row>
    <row r="3064" spans="1:7">
      <c r="A3064" t="s">
        <v>182</v>
      </c>
      <c r="B3064" t="s">
        <v>557</v>
      </c>
      <c r="C3064" t="s">
        <v>558</v>
      </c>
      <c r="D3064" t="s">
        <v>3621</v>
      </c>
      <c r="E3064">
        <v>-3062</v>
      </c>
      <c r="F3064" t="s">
        <v>559</v>
      </c>
      <c r="G3064" t="s">
        <v>560</v>
      </c>
    </row>
    <row r="3065" spans="1:7">
      <c r="A3065" t="s">
        <v>182</v>
      </c>
      <c r="B3065" t="s">
        <v>557</v>
      </c>
      <c r="C3065" t="s">
        <v>558</v>
      </c>
      <c r="D3065" t="s">
        <v>3622</v>
      </c>
      <c r="E3065">
        <v>-3063</v>
      </c>
      <c r="F3065" t="s">
        <v>559</v>
      </c>
      <c r="G3065" t="s">
        <v>560</v>
      </c>
    </row>
    <row r="3066" spans="1:7">
      <c r="A3066" t="s">
        <v>182</v>
      </c>
      <c r="B3066" t="s">
        <v>557</v>
      </c>
      <c r="C3066" t="s">
        <v>558</v>
      </c>
      <c r="D3066" t="s">
        <v>3623</v>
      </c>
      <c r="E3066">
        <v>-3064</v>
      </c>
      <c r="F3066" t="s">
        <v>559</v>
      </c>
      <c r="G3066" t="s">
        <v>560</v>
      </c>
    </row>
    <row r="3067" spans="1:7">
      <c r="A3067" t="s">
        <v>182</v>
      </c>
      <c r="B3067" t="s">
        <v>557</v>
      </c>
      <c r="C3067" t="s">
        <v>558</v>
      </c>
      <c r="D3067" t="s">
        <v>3624</v>
      </c>
      <c r="E3067">
        <v>-3065</v>
      </c>
      <c r="F3067" t="s">
        <v>559</v>
      </c>
      <c r="G3067" t="s">
        <v>560</v>
      </c>
    </row>
    <row r="3068" spans="1:7">
      <c r="A3068" t="s">
        <v>182</v>
      </c>
      <c r="B3068" t="s">
        <v>557</v>
      </c>
      <c r="C3068" t="s">
        <v>558</v>
      </c>
      <c r="D3068" t="s">
        <v>3625</v>
      </c>
      <c r="E3068">
        <v>-3066</v>
      </c>
      <c r="F3068" t="s">
        <v>559</v>
      </c>
      <c r="G3068" t="s">
        <v>560</v>
      </c>
    </row>
    <row r="3069" spans="1:7">
      <c r="A3069" t="s">
        <v>182</v>
      </c>
      <c r="B3069" t="s">
        <v>557</v>
      </c>
      <c r="C3069" t="s">
        <v>558</v>
      </c>
      <c r="D3069" t="s">
        <v>3626</v>
      </c>
      <c r="E3069">
        <v>-3067</v>
      </c>
      <c r="F3069" t="s">
        <v>559</v>
      </c>
      <c r="G3069" t="s">
        <v>560</v>
      </c>
    </row>
    <row r="3070" spans="1:7">
      <c r="A3070" t="s">
        <v>182</v>
      </c>
      <c r="B3070" t="s">
        <v>557</v>
      </c>
      <c r="C3070" t="s">
        <v>558</v>
      </c>
      <c r="D3070" t="s">
        <v>3627</v>
      </c>
      <c r="E3070">
        <v>-3068</v>
      </c>
      <c r="F3070" t="s">
        <v>559</v>
      </c>
      <c r="G3070" t="s">
        <v>560</v>
      </c>
    </row>
    <row r="3071" spans="1:7">
      <c r="A3071" t="s">
        <v>182</v>
      </c>
      <c r="B3071" t="s">
        <v>557</v>
      </c>
      <c r="C3071" t="s">
        <v>558</v>
      </c>
      <c r="D3071" t="s">
        <v>3628</v>
      </c>
      <c r="E3071">
        <v>-3069</v>
      </c>
      <c r="F3071" t="s">
        <v>559</v>
      </c>
      <c r="G3071" t="s">
        <v>560</v>
      </c>
    </row>
    <row r="3072" spans="1:7">
      <c r="A3072" t="s">
        <v>182</v>
      </c>
      <c r="B3072" t="s">
        <v>557</v>
      </c>
      <c r="C3072" t="s">
        <v>558</v>
      </c>
      <c r="D3072" t="s">
        <v>3629</v>
      </c>
      <c r="E3072">
        <v>-3070</v>
      </c>
      <c r="F3072" t="s">
        <v>559</v>
      </c>
      <c r="G3072" t="s">
        <v>560</v>
      </c>
    </row>
    <row r="3073" spans="1:7">
      <c r="A3073" t="s">
        <v>182</v>
      </c>
      <c r="B3073" t="s">
        <v>557</v>
      </c>
      <c r="C3073" t="s">
        <v>558</v>
      </c>
      <c r="D3073" t="s">
        <v>3630</v>
      </c>
      <c r="E3073">
        <v>-3071</v>
      </c>
      <c r="F3073" t="s">
        <v>559</v>
      </c>
      <c r="G3073" t="s">
        <v>560</v>
      </c>
    </row>
    <row r="3074" spans="1:7">
      <c r="A3074" t="s">
        <v>182</v>
      </c>
      <c r="B3074" t="s">
        <v>557</v>
      </c>
      <c r="C3074" t="s">
        <v>558</v>
      </c>
      <c r="D3074" t="s">
        <v>3631</v>
      </c>
      <c r="E3074">
        <v>-3072</v>
      </c>
      <c r="F3074" t="s">
        <v>559</v>
      </c>
      <c r="G3074" t="s">
        <v>560</v>
      </c>
    </row>
    <row r="3075" spans="1:7">
      <c r="A3075" t="s">
        <v>182</v>
      </c>
      <c r="B3075" t="s">
        <v>557</v>
      </c>
      <c r="C3075" t="s">
        <v>558</v>
      </c>
      <c r="D3075" t="s">
        <v>3632</v>
      </c>
      <c r="E3075">
        <v>-3073</v>
      </c>
      <c r="F3075" t="s">
        <v>559</v>
      </c>
      <c r="G3075" t="s">
        <v>560</v>
      </c>
    </row>
    <row r="3076" spans="1:7">
      <c r="A3076" t="s">
        <v>182</v>
      </c>
      <c r="B3076" t="s">
        <v>557</v>
      </c>
      <c r="C3076" t="s">
        <v>558</v>
      </c>
      <c r="D3076" t="s">
        <v>3633</v>
      </c>
      <c r="E3076">
        <v>-3074</v>
      </c>
      <c r="F3076" t="s">
        <v>559</v>
      </c>
      <c r="G3076" t="s">
        <v>560</v>
      </c>
    </row>
    <row r="3077" spans="1:7">
      <c r="A3077" t="s">
        <v>182</v>
      </c>
      <c r="B3077" t="s">
        <v>557</v>
      </c>
      <c r="C3077" t="s">
        <v>558</v>
      </c>
      <c r="D3077" t="s">
        <v>3634</v>
      </c>
      <c r="E3077">
        <v>-3075</v>
      </c>
      <c r="F3077" t="s">
        <v>559</v>
      </c>
      <c r="G3077" t="s">
        <v>560</v>
      </c>
    </row>
    <row r="3078" spans="1:7">
      <c r="A3078" t="s">
        <v>182</v>
      </c>
      <c r="B3078" t="s">
        <v>557</v>
      </c>
      <c r="C3078" t="s">
        <v>558</v>
      </c>
      <c r="D3078" t="s">
        <v>3635</v>
      </c>
      <c r="E3078">
        <v>-3076</v>
      </c>
      <c r="F3078" t="s">
        <v>559</v>
      </c>
      <c r="G3078" t="s">
        <v>560</v>
      </c>
    </row>
    <row r="3079" spans="1:7">
      <c r="A3079" t="s">
        <v>182</v>
      </c>
      <c r="B3079" t="s">
        <v>557</v>
      </c>
      <c r="C3079" t="s">
        <v>558</v>
      </c>
      <c r="D3079" t="s">
        <v>3636</v>
      </c>
      <c r="E3079">
        <v>-3077</v>
      </c>
      <c r="F3079" t="s">
        <v>559</v>
      </c>
      <c r="G3079" t="s">
        <v>560</v>
      </c>
    </row>
    <row r="3080" spans="1:7">
      <c r="A3080" t="s">
        <v>182</v>
      </c>
      <c r="B3080" t="s">
        <v>557</v>
      </c>
      <c r="C3080" t="s">
        <v>558</v>
      </c>
      <c r="D3080" t="s">
        <v>3637</v>
      </c>
      <c r="E3080">
        <v>-3078</v>
      </c>
      <c r="F3080" t="s">
        <v>559</v>
      </c>
      <c r="G3080" t="s">
        <v>560</v>
      </c>
    </row>
    <row r="3081" spans="1:7">
      <c r="A3081" t="s">
        <v>182</v>
      </c>
      <c r="B3081" t="s">
        <v>557</v>
      </c>
      <c r="C3081" t="s">
        <v>558</v>
      </c>
      <c r="D3081" t="s">
        <v>3638</v>
      </c>
      <c r="E3081">
        <v>-3079</v>
      </c>
      <c r="F3081" t="s">
        <v>559</v>
      </c>
      <c r="G3081" t="s">
        <v>560</v>
      </c>
    </row>
    <row r="3082" spans="1:7">
      <c r="A3082" t="s">
        <v>182</v>
      </c>
      <c r="B3082" t="s">
        <v>557</v>
      </c>
      <c r="C3082" t="s">
        <v>558</v>
      </c>
      <c r="D3082" t="s">
        <v>3639</v>
      </c>
      <c r="E3082">
        <v>-3080</v>
      </c>
      <c r="F3082" t="s">
        <v>559</v>
      </c>
      <c r="G3082" t="s">
        <v>560</v>
      </c>
    </row>
    <row r="3083" spans="1:7">
      <c r="A3083" t="s">
        <v>182</v>
      </c>
      <c r="B3083" t="s">
        <v>557</v>
      </c>
      <c r="C3083" t="s">
        <v>558</v>
      </c>
      <c r="D3083" t="s">
        <v>3640</v>
      </c>
      <c r="E3083">
        <v>-3081</v>
      </c>
      <c r="F3083" t="s">
        <v>559</v>
      </c>
      <c r="G3083" t="s">
        <v>560</v>
      </c>
    </row>
    <row r="3084" spans="1:7">
      <c r="A3084" t="s">
        <v>182</v>
      </c>
      <c r="B3084" t="s">
        <v>557</v>
      </c>
      <c r="C3084" t="s">
        <v>558</v>
      </c>
      <c r="D3084" t="s">
        <v>3641</v>
      </c>
      <c r="E3084">
        <v>-3082</v>
      </c>
      <c r="F3084" t="s">
        <v>559</v>
      </c>
      <c r="G3084" t="s">
        <v>560</v>
      </c>
    </row>
    <row r="3085" spans="1:7">
      <c r="A3085" t="s">
        <v>182</v>
      </c>
      <c r="B3085" t="s">
        <v>557</v>
      </c>
      <c r="C3085" t="s">
        <v>558</v>
      </c>
      <c r="D3085" t="s">
        <v>3642</v>
      </c>
      <c r="E3085">
        <v>-3083</v>
      </c>
      <c r="F3085" t="s">
        <v>559</v>
      </c>
      <c r="G3085" t="s">
        <v>560</v>
      </c>
    </row>
    <row r="3086" spans="1:7">
      <c r="A3086" t="s">
        <v>182</v>
      </c>
      <c r="B3086" t="s">
        <v>557</v>
      </c>
      <c r="C3086" t="s">
        <v>558</v>
      </c>
      <c r="D3086" t="s">
        <v>3643</v>
      </c>
      <c r="E3086">
        <v>-3084</v>
      </c>
      <c r="F3086" t="s">
        <v>559</v>
      </c>
      <c r="G3086" t="s">
        <v>560</v>
      </c>
    </row>
    <row r="3087" spans="1:7">
      <c r="A3087" t="s">
        <v>182</v>
      </c>
      <c r="B3087" t="s">
        <v>557</v>
      </c>
      <c r="C3087" t="s">
        <v>558</v>
      </c>
      <c r="D3087" t="s">
        <v>3644</v>
      </c>
      <c r="E3087">
        <v>-3085</v>
      </c>
      <c r="F3087" t="s">
        <v>559</v>
      </c>
      <c r="G3087" t="s">
        <v>560</v>
      </c>
    </row>
    <row r="3088" spans="1:7">
      <c r="A3088" t="s">
        <v>182</v>
      </c>
      <c r="B3088" t="s">
        <v>557</v>
      </c>
      <c r="C3088" t="s">
        <v>558</v>
      </c>
      <c r="D3088" t="s">
        <v>3645</v>
      </c>
      <c r="E3088">
        <v>-3086</v>
      </c>
      <c r="F3088" t="s">
        <v>559</v>
      </c>
      <c r="G3088" t="s">
        <v>560</v>
      </c>
    </row>
    <row r="3089" spans="1:7">
      <c r="A3089" t="s">
        <v>182</v>
      </c>
      <c r="B3089" t="s">
        <v>557</v>
      </c>
      <c r="C3089" t="s">
        <v>558</v>
      </c>
      <c r="D3089" t="s">
        <v>3646</v>
      </c>
      <c r="E3089">
        <v>-3087</v>
      </c>
      <c r="F3089" t="s">
        <v>559</v>
      </c>
      <c r="G3089" t="s">
        <v>560</v>
      </c>
    </row>
    <row r="3090" spans="1:7">
      <c r="A3090" t="s">
        <v>182</v>
      </c>
      <c r="B3090" t="s">
        <v>557</v>
      </c>
      <c r="C3090" t="s">
        <v>558</v>
      </c>
      <c r="D3090" t="s">
        <v>3647</v>
      </c>
      <c r="E3090">
        <v>-3088</v>
      </c>
      <c r="F3090" t="s">
        <v>559</v>
      </c>
      <c r="G3090" t="s">
        <v>560</v>
      </c>
    </row>
    <row r="3091" spans="1:7">
      <c r="A3091" t="s">
        <v>182</v>
      </c>
      <c r="B3091" t="s">
        <v>557</v>
      </c>
      <c r="C3091" t="s">
        <v>558</v>
      </c>
      <c r="D3091" t="s">
        <v>3648</v>
      </c>
      <c r="E3091">
        <v>-3089</v>
      </c>
      <c r="F3091" t="s">
        <v>559</v>
      </c>
      <c r="G3091" t="s">
        <v>560</v>
      </c>
    </row>
    <row r="3092" spans="1:7">
      <c r="A3092" t="s">
        <v>182</v>
      </c>
      <c r="B3092" t="s">
        <v>557</v>
      </c>
      <c r="C3092" t="s">
        <v>558</v>
      </c>
      <c r="D3092" t="s">
        <v>3649</v>
      </c>
      <c r="E3092">
        <v>-3090</v>
      </c>
      <c r="F3092" t="s">
        <v>559</v>
      </c>
      <c r="G3092" t="s">
        <v>560</v>
      </c>
    </row>
    <row r="3093" spans="1:7">
      <c r="A3093" t="s">
        <v>182</v>
      </c>
      <c r="B3093" t="s">
        <v>557</v>
      </c>
      <c r="C3093" t="s">
        <v>558</v>
      </c>
      <c r="D3093" t="s">
        <v>3650</v>
      </c>
      <c r="E3093">
        <v>-3091</v>
      </c>
      <c r="F3093" t="s">
        <v>559</v>
      </c>
      <c r="G3093" t="s">
        <v>560</v>
      </c>
    </row>
    <row r="3094" spans="1:7">
      <c r="A3094" t="s">
        <v>182</v>
      </c>
      <c r="B3094" t="s">
        <v>557</v>
      </c>
      <c r="C3094" t="s">
        <v>558</v>
      </c>
      <c r="D3094" t="s">
        <v>3651</v>
      </c>
      <c r="E3094">
        <v>-3092</v>
      </c>
      <c r="F3094" t="s">
        <v>559</v>
      </c>
      <c r="G3094" t="s">
        <v>560</v>
      </c>
    </row>
    <row r="3095" spans="1:7">
      <c r="A3095" t="s">
        <v>182</v>
      </c>
      <c r="B3095" t="s">
        <v>557</v>
      </c>
      <c r="C3095" t="s">
        <v>558</v>
      </c>
      <c r="D3095" t="s">
        <v>3652</v>
      </c>
      <c r="E3095">
        <v>-3093</v>
      </c>
      <c r="F3095" t="s">
        <v>559</v>
      </c>
      <c r="G3095" t="s">
        <v>560</v>
      </c>
    </row>
    <row r="3096" spans="1:7">
      <c r="A3096" t="s">
        <v>182</v>
      </c>
      <c r="B3096" t="s">
        <v>557</v>
      </c>
      <c r="C3096" t="s">
        <v>558</v>
      </c>
      <c r="D3096" t="s">
        <v>3653</v>
      </c>
      <c r="E3096">
        <v>-3094</v>
      </c>
      <c r="F3096" t="s">
        <v>559</v>
      </c>
      <c r="G3096" t="s">
        <v>560</v>
      </c>
    </row>
    <row r="3097" spans="1:7">
      <c r="A3097" t="s">
        <v>182</v>
      </c>
      <c r="B3097" t="s">
        <v>557</v>
      </c>
      <c r="C3097" t="s">
        <v>558</v>
      </c>
      <c r="D3097" t="s">
        <v>3654</v>
      </c>
      <c r="E3097">
        <v>-3095</v>
      </c>
      <c r="F3097" t="s">
        <v>559</v>
      </c>
      <c r="G3097" t="s">
        <v>560</v>
      </c>
    </row>
    <row r="3098" spans="1:7">
      <c r="A3098" t="s">
        <v>182</v>
      </c>
      <c r="B3098" t="s">
        <v>557</v>
      </c>
      <c r="C3098" t="s">
        <v>558</v>
      </c>
      <c r="D3098" t="s">
        <v>3655</v>
      </c>
      <c r="E3098">
        <v>-3096</v>
      </c>
      <c r="F3098" t="s">
        <v>559</v>
      </c>
      <c r="G3098" t="s">
        <v>560</v>
      </c>
    </row>
    <row r="3099" spans="1:7">
      <c r="A3099" t="s">
        <v>182</v>
      </c>
      <c r="B3099" t="s">
        <v>557</v>
      </c>
      <c r="C3099" t="s">
        <v>558</v>
      </c>
      <c r="D3099" t="s">
        <v>3656</v>
      </c>
      <c r="E3099">
        <v>-3097</v>
      </c>
      <c r="F3099" t="s">
        <v>559</v>
      </c>
      <c r="G3099" t="s">
        <v>560</v>
      </c>
    </row>
    <row r="3100" spans="1:7">
      <c r="A3100" t="s">
        <v>182</v>
      </c>
      <c r="B3100" t="s">
        <v>557</v>
      </c>
      <c r="C3100" t="s">
        <v>558</v>
      </c>
      <c r="D3100" t="s">
        <v>3657</v>
      </c>
      <c r="E3100">
        <v>-3098</v>
      </c>
      <c r="F3100" t="s">
        <v>559</v>
      </c>
      <c r="G3100" t="s">
        <v>560</v>
      </c>
    </row>
    <row r="3101" spans="1:7">
      <c r="A3101" t="s">
        <v>182</v>
      </c>
      <c r="B3101" t="s">
        <v>557</v>
      </c>
      <c r="C3101" t="s">
        <v>558</v>
      </c>
      <c r="D3101" t="s">
        <v>3658</v>
      </c>
      <c r="E3101">
        <v>-3099</v>
      </c>
      <c r="F3101" t="s">
        <v>559</v>
      </c>
      <c r="G3101" t="s">
        <v>560</v>
      </c>
    </row>
    <row r="3102" spans="1:7">
      <c r="A3102" t="s">
        <v>182</v>
      </c>
      <c r="B3102" t="s">
        <v>557</v>
      </c>
      <c r="C3102" t="s">
        <v>558</v>
      </c>
      <c r="D3102" t="s">
        <v>3659</v>
      </c>
      <c r="E3102">
        <v>-3100</v>
      </c>
      <c r="F3102" t="s">
        <v>559</v>
      </c>
      <c r="G3102" t="s">
        <v>560</v>
      </c>
    </row>
    <row r="3103" spans="1:7">
      <c r="A3103" t="s">
        <v>182</v>
      </c>
      <c r="B3103" t="s">
        <v>557</v>
      </c>
      <c r="C3103" t="s">
        <v>558</v>
      </c>
      <c r="D3103" t="s">
        <v>3660</v>
      </c>
      <c r="E3103">
        <v>-3101</v>
      </c>
      <c r="F3103" t="s">
        <v>559</v>
      </c>
      <c r="G3103" t="s">
        <v>560</v>
      </c>
    </row>
    <row r="3104" spans="1:7">
      <c r="A3104" t="s">
        <v>182</v>
      </c>
      <c r="B3104" t="s">
        <v>557</v>
      </c>
      <c r="C3104" t="s">
        <v>558</v>
      </c>
      <c r="D3104" t="s">
        <v>3661</v>
      </c>
      <c r="E3104">
        <v>-3102</v>
      </c>
      <c r="F3104" t="s">
        <v>559</v>
      </c>
      <c r="G3104" t="s">
        <v>560</v>
      </c>
    </row>
    <row r="3105" spans="1:7">
      <c r="A3105" t="s">
        <v>182</v>
      </c>
      <c r="B3105" t="s">
        <v>557</v>
      </c>
      <c r="C3105" t="s">
        <v>558</v>
      </c>
      <c r="D3105" t="s">
        <v>3662</v>
      </c>
      <c r="E3105">
        <v>-3103</v>
      </c>
      <c r="F3105" t="s">
        <v>559</v>
      </c>
      <c r="G3105" t="s">
        <v>560</v>
      </c>
    </row>
    <row r="3106" spans="1:7">
      <c r="A3106" t="s">
        <v>182</v>
      </c>
      <c r="B3106" t="s">
        <v>557</v>
      </c>
      <c r="C3106" t="s">
        <v>558</v>
      </c>
      <c r="D3106" t="s">
        <v>3663</v>
      </c>
      <c r="E3106">
        <v>-3104</v>
      </c>
      <c r="F3106" t="s">
        <v>559</v>
      </c>
      <c r="G3106" t="s">
        <v>560</v>
      </c>
    </row>
    <row r="3107" spans="1:7">
      <c r="A3107" t="s">
        <v>182</v>
      </c>
      <c r="B3107" t="s">
        <v>557</v>
      </c>
      <c r="C3107" t="s">
        <v>558</v>
      </c>
      <c r="D3107" t="s">
        <v>3664</v>
      </c>
      <c r="E3107">
        <v>-3105</v>
      </c>
      <c r="F3107" t="s">
        <v>559</v>
      </c>
      <c r="G3107" t="s">
        <v>560</v>
      </c>
    </row>
    <row r="3108" spans="1:7">
      <c r="A3108" t="s">
        <v>182</v>
      </c>
      <c r="B3108" t="s">
        <v>557</v>
      </c>
      <c r="C3108" t="s">
        <v>558</v>
      </c>
      <c r="D3108" t="s">
        <v>3665</v>
      </c>
      <c r="E3108">
        <v>-3106</v>
      </c>
      <c r="F3108" t="s">
        <v>559</v>
      </c>
      <c r="G3108" t="s">
        <v>560</v>
      </c>
    </row>
    <row r="3109" spans="1:7">
      <c r="A3109" t="s">
        <v>182</v>
      </c>
      <c r="B3109" t="s">
        <v>557</v>
      </c>
      <c r="C3109" t="s">
        <v>558</v>
      </c>
      <c r="D3109" t="s">
        <v>3666</v>
      </c>
      <c r="E3109">
        <v>-3107</v>
      </c>
      <c r="F3109" t="s">
        <v>559</v>
      </c>
      <c r="G3109" t="s">
        <v>560</v>
      </c>
    </row>
    <row r="3110" spans="1:7">
      <c r="A3110" t="s">
        <v>182</v>
      </c>
      <c r="B3110" t="s">
        <v>557</v>
      </c>
      <c r="C3110" t="s">
        <v>558</v>
      </c>
      <c r="D3110" t="s">
        <v>3667</v>
      </c>
      <c r="E3110">
        <v>-3108</v>
      </c>
      <c r="F3110" t="s">
        <v>559</v>
      </c>
      <c r="G3110" t="s">
        <v>560</v>
      </c>
    </row>
    <row r="3111" spans="1:7">
      <c r="A3111" t="s">
        <v>182</v>
      </c>
      <c r="B3111" t="s">
        <v>557</v>
      </c>
      <c r="C3111" t="s">
        <v>558</v>
      </c>
      <c r="D3111" t="s">
        <v>3668</v>
      </c>
      <c r="E3111">
        <v>-3109</v>
      </c>
      <c r="F3111" t="s">
        <v>559</v>
      </c>
      <c r="G3111" t="s">
        <v>560</v>
      </c>
    </row>
    <row r="3112" spans="1:7">
      <c r="A3112" t="s">
        <v>182</v>
      </c>
      <c r="B3112" t="s">
        <v>557</v>
      </c>
      <c r="C3112" t="s">
        <v>558</v>
      </c>
      <c r="D3112" t="s">
        <v>3669</v>
      </c>
      <c r="E3112">
        <v>-3110</v>
      </c>
      <c r="F3112" t="s">
        <v>559</v>
      </c>
      <c r="G3112" t="s">
        <v>560</v>
      </c>
    </row>
    <row r="3113" spans="1:7">
      <c r="A3113" t="s">
        <v>182</v>
      </c>
      <c r="B3113" t="s">
        <v>557</v>
      </c>
      <c r="C3113" t="s">
        <v>558</v>
      </c>
      <c r="D3113" t="s">
        <v>3670</v>
      </c>
      <c r="E3113">
        <v>-3111</v>
      </c>
      <c r="F3113" t="s">
        <v>559</v>
      </c>
      <c r="G3113" t="s">
        <v>560</v>
      </c>
    </row>
    <row r="3114" spans="1:7">
      <c r="A3114" t="s">
        <v>182</v>
      </c>
      <c r="B3114" t="s">
        <v>557</v>
      </c>
      <c r="C3114" t="s">
        <v>558</v>
      </c>
      <c r="D3114" t="s">
        <v>3671</v>
      </c>
      <c r="E3114">
        <v>-3112</v>
      </c>
      <c r="F3114" t="s">
        <v>559</v>
      </c>
      <c r="G3114" t="s">
        <v>560</v>
      </c>
    </row>
    <row r="3115" spans="1:7">
      <c r="A3115" t="s">
        <v>182</v>
      </c>
      <c r="B3115" t="s">
        <v>557</v>
      </c>
      <c r="C3115" t="s">
        <v>558</v>
      </c>
      <c r="D3115" t="s">
        <v>3672</v>
      </c>
      <c r="E3115">
        <v>-3113</v>
      </c>
      <c r="F3115" t="s">
        <v>559</v>
      </c>
      <c r="G3115" t="s">
        <v>560</v>
      </c>
    </row>
    <row r="3116" spans="1:7">
      <c r="A3116" t="s">
        <v>182</v>
      </c>
      <c r="B3116" t="s">
        <v>557</v>
      </c>
      <c r="C3116" t="s">
        <v>558</v>
      </c>
      <c r="D3116" t="s">
        <v>3673</v>
      </c>
      <c r="E3116">
        <v>-3114</v>
      </c>
      <c r="F3116" t="s">
        <v>559</v>
      </c>
      <c r="G3116" t="s">
        <v>560</v>
      </c>
    </row>
    <row r="3117" spans="1:7">
      <c r="A3117" t="s">
        <v>182</v>
      </c>
      <c r="B3117" t="s">
        <v>557</v>
      </c>
      <c r="C3117" t="s">
        <v>558</v>
      </c>
      <c r="D3117" t="s">
        <v>3674</v>
      </c>
      <c r="E3117">
        <v>-3115</v>
      </c>
      <c r="F3117" t="s">
        <v>559</v>
      </c>
      <c r="G3117" t="s">
        <v>560</v>
      </c>
    </row>
    <row r="3118" spans="1:7">
      <c r="A3118" t="s">
        <v>182</v>
      </c>
      <c r="B3118" t="s">
        <v>557</v>
      </c>
      <c r="C3118" t="s">
        <v>558</v>
      </c>
      <c r="D3118" t="s">
        <v>3675</v>
      </c>
      <c r="E3118">
        <v>-3116</v>
      </c>
      <c r="F3118" t="s">
        <v>559</v>
      </c>
      <c r="G3118" t="s">
        <v>560</v>
      </c>
    </row>
    <row r="3119" spans="1:7">
      <c r="A3119" t="s">
        <v>182</v>
      </c>
      <c r="B3119" t="s">
        <v>557</v>
      </c>
      <c r="C3119" t="s">
        <v>558</v>
      </c>
      <c r="D3119" t="s">
        <v>3676</v>
      </c>
      <c r="E3119">
        <v>-3117</v>
      </c>
      <c r="F3119" t="s">
        <v>559</v>
      </c>
      <c r="G3119" t="s">
        <v>560</v>
      </c>
    </row>
    <row r="3120" spans="1:7">
      <c r="A3120" t="s">
        <v>182</v>
      </c>
      <c r="B3120" t="s">
        <v>557</v>
      </c>
      <c r="C3120" t="s">
        <v>558</v>
      </c>
      <c r="D3120" t="s">
        <v>3677</v>
      </c>
      <c r="E3120">
        <v>-3118</v>
      </c>
      <c r="F3120" t="s">
        <v>559</v>
      </c>
      <c r="G3120" t="s">
        <v>560</v>
      </c>
    </row>
    <row r="3121" spans="1:7">
      <c r="A3121" t="s">
        <v>182</v>
      </c>
      <c r="B3121" t="s">
        <v>557</v>
      </c>
      <c r="C3121" t="s">
        <v>558</v>
      </c>
      <c r="D3121" t="s">
        <v>3678</v>
      </c>
      <c r="E3121">
        <v>-3119</v>
      </c>
      <c r="F3121" t="s">
        <v>559</v>
      </c>
      <c r="G3121" t="s">
        <v>560</v>
      </c>
    </row>
    <row r="3122" spans="1:7">
      <c r="A3122" t="s">
        <v>182</v>
      </c>
      <c r="B3122" t="s">
        <v>557</v>
      </c>
      <c r="C3122" t="s">
        <v>558</v>
      </c>
      <c r="D3122" t="s">
        <v>3679</v>
      </c>
      <c r="E3122">
        <v>-3120</v>
      </c>
      <c r="F3122" t="s">
        <v>559</v>
      </c>
      <c r="G3122" t="s">
        <v>560</v>
      </c>
    </row>
    <row r="3123" spans="1:7">
      <c r="A3123" t="s">
        <v>182</v>
      </c>
      <c r="B3123" t="s">
        <v>557</v>
      </c>
      <c r="C3123" t="s">
        <v>558</v>
      </c>
      <c r="D3123" t="s">
        <v>3680</v>
      </c>
      <c r="E3123">
        <v>-3121</v>
      </c>
      <c r="F3123" t="s">
        <v>559</v>
      </c>
      <c r="G3123" t="s">
        <v>560</v>
      </c>
    </row>
    <row r="3124" spans="1:7">
      <c r="A3124" t="s">
        <v>182</v>
      </c>
      <c r="B3124" t="s">
        <v>557</v>
      </c>
      <c r="C3124" t="s">
        <v>558</v>
      </c>
      <c r="D3124" t="s">
        <v>3681</v>
      </c>
      <c r="E3124">
        <v>-3122</v>
      </c>
      <c r="F3124" t="s">
        <v>559</v>
      </c>
      <c r="G3124" t="s">
        <v>560</v>
      </c>
    </row>
    <row r="3125" spans="1:7">
      <c r="A3125" t="s">
        <v>182</v>
      </c>
      <c r="B3125" t="s">
        <v>557</v>
      </c>
      <c r="C3125" t="s">
        <v>558</v>
      </c>
      <c r="D3125" t="s">
        <v>3682</v>
      </c>
      <c r="E3125">
        <v>-3123</v>
      </c>
      <c r="F3125" t="s">
        <v>559</v>
      </c>
      <c r="G3125" t="s">
        <v>560</v>
      </c>
    </row>
    <row r="3126" spans="1:7">
      <c r="A3126" t="s">
        <v>182</v>
      </c>
      <c r="B3126" t="s">
        <v>557</v>
      </c>
      <c r="C3126" t="s">
        <v>558</v>
      </c>
      <c r="D3126" t="s">
        <v>3683</v>
      </c>
      <c r="E3126">
        <v>-3124</v>
      </c>
      <c r="F3126" t="s">
        <v>559</v>
      </c>
      <c r="G3126" t="s">
        <v>560</v>
      </c>
    </row>
    <row r="3127" spans="1:7">
      <c r="A3127" t="s">
        <v>182</v>
      </c>
      <c r="B3127" t="s">
        <v>557</v>
      </c>
      <c r="C3127" t="s">
        <v>558</v>
      </c>
      <c r="D3127" t="s">
        <v>3684</v>
      </c>
      <c r="E3127">
        <v>-3125</v>
      </c>
      <c r="F3127" t="s">
        <v>559</v>
      </c>
      <c r="G3127" t="s">
        <v>560</v>
      </c>
    </row>
    <row r="3128" spans="1:7">
      <c r="A3128" t="s">
        <v>182</v>
      </c>
      <c r="B3128" t="s">
        <v>557</v>
      </c>
      <c r="C3128" t="s">
        <v>558</v>
      </c>
      <c r="D3128" t="s">
        <v>3685</v>
      </c>
      <c r="E3128">
        <v>-3126</v>
      </c>
      <c r="F3128" t="s">
        <v>559</v>
      </c>
      <c r="G3128" t="s">
        <v>560</v>
      </c>
    </row>
    <row r="3129" spans="1:7">
      <c r="A3129" t="s">
        <v>182</v>
      </c>
      <c r="B3129" t="s">
        <v>557</v>
      </c>
      <c r="C3129" t="s">
        <v>558</v>
      </c>
      <c r="D3129" t="s">
        <v>3686</v>
      </c>
      <c r="E3129">
        <v>-3127</v>
      </c>
      <c r="F3129" t="s">
        <v>559</v>
      </c>
      <c r="G3129" t="s">
        <v>560</v>
      </c>
    </row>
    <row r="3130" spans="1:7">
      <c r="A3130" t="s">
        <v>182</v>
      </c>
      <c r="B3130" t="s">
        <v>557</v>
      </c>
      <c r="C3130" t="s">
        <v>558</v>
      </c>
      <c r="D3130" t="s">
        <v>3687</v>
      </c>
      <c r="E3130">
        <v>-3128</v>
      </c>
      <c r="F3130" t="s">
        <v>559</v>
      </c>
      <c r="G3130" t="s">
        <v>560</v>
      </c>
    </row>
    <row r="3131" spans="1:7">
      <c r="A3131" t="s">
        <v>182</v>
      </c>
      <c r="B3131" t="s">
        <v>557</v>
      </c>
      <c r="C3131" t="s">
        <v>558</v>
      </c>
      <c r="D3131" t="s">
        <v>3688</v>
      </c>
      <c r="E3131">
        <v>-3129</v>
      </c>
      <c r="F3131" t="s">
        <v>559</v>
      </c>
      <c r="G3131" t="s">
        <v>560</v>
      </c>
    </row>
    <row r="3132" spans="1:7">
      <c r="A3132" t="s">
        <v>182</v>
      </c>
      <c r="B3132" t="s">
        <v>557</v>
      </c>
      <c r="C3132" t="s">
        <v>558</v>
      </c>
      <c r="D3132" t="s">
        <v>3689</v>
      </c>
      <c r="E3132">
        <v>-3130</v>
      </c>
      <c r="F3132" t="s">
        <v>559</v>
      </c>
      <c r="G3132" t="s">
        <v>560</v>
      </c>
    </row>
    <row r="3133" spans="1:7">
      <c r="A3133" t="s">
        <v>182</v>
      </c>
      <c r="B3133" t="s">
        <v>557</v>
      </c>
      <c r="C3133" t="s">
        <v>558</v>
      </c>
      <c r="D3133" t="s">
        <v>3690</v>
      </c>
      <c r="E3133">
        <v>-3131</v>
      </c>
      <c r="F3133" t="s">
        <v>559</v>
      </c>
      <c r="G3133" t="s">
        <v>560</v>
      </c>
    </row>
    <row r="3134" spans="1:7">
      <c r="A3134" t="s">
        <v>182</v>
      </c>
      <c r="B3134" t="s">
        <v>557</v>
      </c>
      <c r="C3134" t="s">
        <v>558</v>
      </c>
      <c r="D3134" t="s">
        <v>3691</v>
      </c>
      <c r="E3134">
        <v>-3132</v>
      </c>
      <c r="F3134" t="s">
        <v>559</v>
      </c>
      <c r="G3134" t="s">
        <v>560</v>
      </c>
    </row>
    <row r="3135" spans="1:7">
      <c r="A3135" t="s">
        <v>182</v>
      </c>
      <c r="B3135" t="s">
        <v>557</v>
      </c>
      <c r="C3135" t="s">
        <v>558</v>
      </c>
      <c r="D3135" t="s">
        <v>3692</v>
      </c>
      <c r="E3135">
        <v>-3133</v>
      </c>
      <c r="F3135" t="s">
        <v>559</v>
      </c>
      <c r="G3135" t="s">
        <v>560</v>
      </c>
    </row>
    <row r="3136" spans="1:7">
      <c r="A3136" t="s">
        <v>182</v>
      </c>
      <c r="B3136" t="s">
        <v>557</v>
      </c>
      <c r="C3136" t="s">
        <v>558</v>
      </c>
      <c r="D3136" t="s">
        <v>3693</v>
      </c>
      <c r="E3136">
        <v>-3134</v>
      </c>
      <c r="F3136" t="s">
        <v>559</v>
      </c>
      <c r="G3136" t="s">
        <v>560</v>
      </c>
    </row>
    <row r="3137" spans="1:7">
      <c r="A3137" t="s">
        <v>182</v>
      </c>
      <c r="B3137" t="s">
        <v>557</v>
      </c>
      <c r="C3137" t="s">
        <v>558</v>
      </c>
      <c r="D3137" t="s">
        <v>3694</v>
      </c>
      <c r="E3137">
        <v>-3135</v>
      </c>
      <c r="F3137" t="s">
        <v>559</v>
      </c>
      <c r="G3137" t="s">
        <v>560</v>
      </c>
    </row>
    <row r="3138" spans="1:7">
      <c r="A3138" t="s">
        <v>182</v>
      </c>
      <c r="B3138" t="s">
        <v>557</v>
      </c>
      <c r="C3138" t="s">
        <v>558</v>
      </c>
      <c r="D3138" t="s">
        <v>3695</v>
      </c>
      <c r="E3138">
        <v>-3136</v>
      </c>
      <c r="F3138" t="s">
        <v>559</v>
      </c>
      <c r="G3138" t="s">
        <v>560</v>
      </c>
    </row>
    <row r="3139" spans="1:7">
      <c r="A3139" t="s">
        <v>182</v>
      </c>
      <c r="B3139" t="s">
        <v>557</v>
      </c>
      <c r="C3139" t="s">
        <v>558</v>
      </c>
      <c r="D3139" t="s">
        <v>3696</v>
      </c>
      <c r="E3139">
        <v>-3137</v>
      </c>
      <c r="F3139" t="s">
        <v>559</v>
      </c>
      <c r="G3139" t="s">
        <v>560</v>
      </c>
    </row>
    <row r="3140" spans="1:7">
      <c r="A3140" t="s">
        <v>182</v>
      </c>
      <c r="B3140" t="s">
        <v>557</v>
      </c>
      <c r="C3140" t="s">
        <v>558</v>
      </c>
      <c r="D3140" t="s">
        <v>3697</v>
      </c>
      <c r="E3140">
        <v>-3138</v>
      </c>
      <c r="F3140" t="s">
        <v>559</v>
      </c>
      <c r="G3140" t="s">
        <v>560</v>
      </c>
    </row>
    <row r="3141" spans="1:7">
      <c r="A3141" t="s">
        <v>182</v>
      </c>
      <c r="B3141" t="s">
        <v>557</v>
      </c>
      <c r="C3141" t="s">
        <v>558</v>
      </c>
      <c r="D3141" t="s">
        <v>3698</v>
      </c>
      <c r="E3141">
        <v>-3139</v>
      </c>
      <c r="F3141" t="s">
        <v>559</v>
      </c>
      <c r="G3141" t="s">
        <v>560</v>
      </c>
    </row>
    <row r="3142" spans="1:7">
      <c r="A3142" t="s">
        <v>182</v>
      </c>
      <c r="B3142" t="s">
        <v>557</v>
      </c>
      <c r="C3142" t="s">
        <v>558</v>
      </c>
      <c r="D3142" t="s">
        <v>3699</v>
      </c>
      <c r="E3142">
        <v>-3140</v>
      </c>
      <c r="F3142" t="s">
        <v>559</v>
      </c>
      <c r="G3142" t="s">
        <v>560</v>
      </c>
    </row>
    <row r="3143" spans="1:7">
      <c r="A3143" t="s">
        <v>182</v>
      </c>
      <c r="B3143" t="s">
        <v>557</v>
      </c>
      <c r="C3143" t="s">
        <v>558</v>
      </c>
      <c r="D3143" t="s">
        <v>3700</v>
      </c>
      <c r="E3143">
        <v>-3141</v>
      </c>
      <c r="F3143" t="s">
        <v>559</v>
      </c>
      <c r="G3143" t="s">
        <v>560</v>
      </c>
    </row>
    <row r="3144" spans="1:7">
      <c r="A3144" t="s">
        <v>182</v>
      </c>
      <c r="B3144" t="s">
        <v>557</v>
      </c>
      <c r="C3144" t="s">
        <v>558</v>
      </c>
      <c r="D3144" t="s">
        <v>3701</v>
      </c>
      <c r="E3144">
        <v>-3142</v>
      </c>
      <c r="F3144" t="s">
        <v>559</v>
      </c>
      <c r="G3144" t="s">
        <v>560</v>
      </c>
    </row>
    <row r="3145" spans="1:7">
      <c r="A3145" t="s">
        <v>182</v>
      </c>
      <c r="B3145" t="s">
        <v>557</v>
      </c>
      <c r="C3145" t="s">
        <v>558</v>
      </c>
      <c r="D3145" t="s">
        <v>3702</v>
      </c>
      <c r="E3145">
        <v>-3143</v>
      </c>
      <c r="F3145" t="s">
        <v>559</v>
      </c>
      <c r="G3145" t="s">
        <v>560</v>
      </c>
    </row>
    <row r="3146" spans="1:7">
      <c r="A3146" t="s">
        <v>182</v>
      </c>
      <c r="B3146" t="s">
        <v>557</v>
      </c>
      <c r="C3146" t="s">
        <v>558</v>
      </c>
      <c r="D3146" t="s">
        <v>3703</v>
      </c>
      <c r="E3146">
        <v>-3144</v>
      </c>
      <c r="F3146" t="s">
        <v>559</v>
      </c>
      <c r="G3146" t="s">
        <v>560</v>
      </c>
    </row>
    <row r="3147" spans="1:7">
      <c r="A3147" t="s">
        <v>182</v>
      </c>
      <c r="B3147" t="s">
        <v>557</v>
      </c>
      <c r="C3147" t="s">
        <v>558</v>
      </c>
      <c r="D3147" t="s">
        <v>3704</v>
      </c>
      <c r="E3147">
        <v>-3145</v>
      </c>
      <c r="F3147" t="s">
        <v>559</v>
      </c>
      <c r="G3147" t="s">
        <v>560</v>
      </c>
    </row>
    <row r="3148" spans="1:7">
      <c r="A3148" t="s">
        <v>182</v>
      </c>
      <c r="B3148" t="s">
        <v>557</v>
      </c>
      <c r="C3148" t="s">
        <v>558</v>
      </c>
      <c r="D3148" t="s">
        <v>3705</v>
      </c>
      <c r="E3148">
        <v>-3146</v>
      </c>
      <c r="F3148" t="s">
        <v>559</v>
      </c>
      <c r="G3148" t="s">
        <v>560</v>
      </c>
    </row>
    <row r="3149" spans="1:7">
      <c r="A3149" t="s">
        <v>182</v>
      </c>
      <c r="B3149" t="s">
        <v>557</v>
      </c>
      <c r="C3149" t="s">
        <v>558</v>
      </c>
      <c r="D3149" t="s">
        <v>3706</v>
      </c>
      <c r="E3149">
        <v>-3147</v>
      </c>
      <c r="F3149" t="s">
        <v>559</v>
      </c>
      <c r="G3149" t="s">
        <v>560</v>
      </c>
    </row>
    <row r="3150" spans="1:7">
      <c r="A3150" t="s">
        <v>182</v>
      </c>
      <c r="B3150" t="s">
        <v>557</v>
      </c>
      <c r="C3150" t="s">
        <v>558</v>
      </c>
      <c r="D3150" t="s">
        <v>3707</v>
      </c>
      <c r="E3150">
        <v>-3148</v>
      </c>
      <c r="F3150" t="s">
        <v>559</v>
      </c>
      <c r="G3150" t="s">
        <v>560</v>
      </c>
    </row>
    <row r="3151" spans="1:7">
      <c r="A3151" t="s">
        <v>182</v>
      </c>
      <c r="B3151" t="s">
        <v>557</v>
      </c>
      <c r="C3151" t="s">
        <v>558</v>
      </c>
      <c r="D3151" t="s">
        <v>3708</v>
      </c>
      <c r="E3151">
        <v>-3149</v>
      </c>
      <c r="F3151" t="s">
        <v>559</v>
      </c>
      <c r="G3151" t="s">
        <v>560</v>
      </c>
    </row>
    <row r="3152" spans="1:7">
      <c r="A3152" t="s">
        <v>182</v>
      </c>
      <c r="B3152" t="s">
        <v>557</v>
      </c>
      <c r="C3152" t="s">
        <v>558</v>
      </c>
      <c r="D3152" t="s">
        <v>3709</v>
      </c>
      <c r="E3152">
        <v>-3150</v>
      </c>
      <c r="F3152" t="s">
        <v>559</v>
      </c>
      <c r="G3152" t="s">
        <v>560</v>
      </c>
    </row>
    <row r="3153" spans="1:7">
      <c r="A3153" t="s">
        <v>182</v>
      </c>
      <c r="B3153" t="s">
        <v>557</v>
      </c>
      <c r="C3153" t="s">
        <v>558</v>
      </c>
      <c r="D3153" t="s">
        <v>3710</v>
      </c>
      <c r="E3153">
        <v>-3151</v>
      </c>
      <c r="F3153" t="s">
        <v>559</v>
      </c>
      <c r="G3153" t="s">
        <v>560</v>
      </c>
    </row>
    <row r="3154" spans="1:7">
      <c r="A3154" t="s">
        <v>182</v>
      </c>
      <c r="B3154" t="s">
        <v>557</v>
      </c>
      <c r="C3154" t="s">
        <v>558</v>
      </c>
      <c r="D3154" t="s">
        <v>3711</v>
      </c>
      <c r="E3154">
        <v>-3152</v>
      </c>
      <c r="F3154" t="s">
        <v>559</v>
      </c>
      <c r="G3154" t="s">
        <v>560</v>
      </c>
    </row>
    <row r="3155" spans="1:7">
      <c r="A3155" t="s">
        <v>182</v>
      </c>
      <c r="B3155" t="s">
        <v>557</v>
      </c>
      <c r="C3155" t="s">
        <v>558</v>
      </c>
      <c r="D3155" t="s">
        <v>3712</v>
      </c>
      <c r="E3155">
        <v>-3153</v>
      </c>
      <c r="F3155" t="s">
        <v>559</v>
      </c>
      <c r="G3155" t="s">
        <v>560</v>
      </c>
    </row>
    <row r="3156" spans="1:7">
      <c r="A3156" t="s">
        <v>182</v>
      </c>
      <c r="B3156" t="s">
        <v>557</v>
      </c>
      <c r="C3156" t="s">
        <v>558</v>
      </c>
      <c r="D3156" t="s">
        <v>3713</v>
      </c>
      <c r="E3156">
        <v>-3154</v>
      </c>
      <c r="F3156" t="s">
        <v>559</v>
      </c>
      <c r="G3156" t="s">
        <v>560</v>
      </c>
    </row>
    <row r="3157" spans="1:7">
      <c r="A3157" t="s">
        <v>182</v>
      </c>
      <c r="B3157" t="s">
        <v>557</v>
      </c>
      <c r="C3157" t="s">
        <v>558</v>
      </c>
      <c r="D3157" t="s">
        <v>3714</v>
      </c>
      <c r="E3157">
        <v>-3155</v>
      </c>
      <c r="F3157" t="s">
        <v>559</v>
      </c>
      <c r="G3157" t="s">
        <v>560</v>
      </c>
    </row>
    <row r="3158" spans="1:7">
      <c r="A3158" t="s">
        <v>182</v>
      </c>
      <c r="B3158" t="s">
        <v>557</v>
      </c>
      <c r="C3158" t="s">
        <v>558</v>
      </c>
      <c r="D3158" t="s">
        <v>3715</v>
      </c>
      <c r="E3158">
        <v>-3156</v>
      </c>
      <c r="F3158" t="s">
        <v>559</v>
      </c>
      <c r="G3158" t="s">
        <v>560</v>
      </c>
    </row>
    <row r="3159" spans="1:7">
      <c r="A3159" t="s">
        <v>182</v>
      </c>
      <c r="B3159" t="s">
        <v>557</v>
      </c>
      <c r="C3159" t="s">
        <v>558</v>
      </c>
      <c r="D3159" t="s">
        <v>3716</v>
      </c>
      <c r="E3159">
        <v>-3157</v>
      </c>
      <c r="F3159" t="s">
        <v>559</v>
      </c>
      <c r="G3159" t="s">
        <v>560</v>
      </c>
    </row>
    <row r="3160" spans="1:7">
      <c r="A3160" t="s">
        <v>182</v>
      </c>
      <c r="B3160" t="s">
        <v>557</v>
      </c>
      <c r="C3160" t="s">
        <v>558</v>
      </c>
      <c r="D3160" t="s">
        <v>3717</v>
      </c>
      <c r="E3160">
        <v>-3158</v>
      </c>
      <c r="F3160" t="s">
        <v>559</v>
      </c>
      <c r="G3160" t="s">
        <v>560</v>
      </c>
    </row>
    <row r="3161" spans="1:7">
      <c r="A3161" t="s">
        <v>182</v>
      </c>
      <c r="B3161" t="s">
        <v>557</v>
      </c>
      <c r="C3161" t="s">
        <v>558</v>
      </c>
      <c r="D3161" t="s">
        <v>3718</v>
      </c>
      <c r="E3161">
        <v>-3159</v>
      </c>
      <c r="F3161" t="s">
        <v>559</v>
      </c>
      <c r="G3161" t="s">
        <v>560</v>
      </c>
    </row>
    <row r="3162" spans="1:7">
      <c r="A3162" t="s">
        <v>182</v>
      </c>
      <c r="B3162" t="s">
        <v>557</v>
      </c>
      <c r="C3162" t="s">
        <v>558</v>
      </c>
      <c r="D3162" t="s">
        <v>3719</v>
      </c>
      <c r="E3162">
        <v>-3160</v>
      </c>
      <c r="F3162" t="s">
        <v>559</v>
      </c>
      <c r="G3162" t="s">
        <v>560</v>
      </c>
    </row>
    <row r="3163" spans="1:7">
      <c r="A3163" t="s">
        <v>182</v>
      </c>
      <c r="B3163" t="s">
        <v>557</v>
      </c>
      <c r="C3163" t="s">
        <v>558</v>
      </c>
      <c r="D3163" t="s">
        <v>3720</v>
      </c>
      <c r="E3163">
        <v>-3161</v>
      </c>
      <c r="F3163" t="s">
        <v>559</v>
      </c>
      <c r="G3163" t="s">
        <v>560</v>
      </c>
    </row>
    <row r="3164" spans="1:7">
      <c r="A3164" t="s">
        <v>182</v>
      </c>
      <c r="B3164" t="s">
        <v>557</v>
      </c>
      <c r="C3164" t="s">
        <v>558</v>
      </c>
      <c r="D3164" t="s">
        <v>3721</v>
      </c>
      <c r="E3164">
        <v>-3162</v>
      </c>
      <c r="F3164" t="s">
        <v>559</v>
      </c>
      <c r="G3164" t="s">
        <v>560</v>
      </c>
    </row>
    <row r="3165" spans="1:7">
      <c r="A3165" t="s">
        <v>182</v>
      </c>
      <c r="B3165" t="s">
        <v>557</v>
      </c>
      <c r="C3165" t="s">
        <v>558</v>
      </c>
      <c r="D3165" t="s">
        <v>3722</v>
      </c>
      <c r="E3165">
        <v>-3163</v>
      </c>
      <c r="F3165" t="s">
        <v>559</v>
      </c>
      <c r="G3165" t="s">
        <v>560</v>
      </c>
    </row>
    <row r="3166" spans="1:7">
      <c r="A3166" t="s">
        <v>182</v>
      </c>
      <c r="B3166" t="s">
        <v>557</v>
      </c>
      <c r="C3166" t="s">
        <v>558</v>
      </c>
      <c r="D3166" t="s">
        <v>3723</v>
      </c>
      <c r="E3166">
        <v>-3164</v>
      </c>
      <c r="F3166" t="s">
        <v>559</v>
      </c>
      <c r="G3166" t="s">
        <v>560</v>
      </c>
    </row>
    <row r="3167" spans="1:7">
      <c r="A3167" t="s">
        <v>182</v>
      </c>
      <c r="B3167" t="s">
        <v>557</v>
      </c>
      <c r="C3167" t="s">
        <v>558</v>
      </c>
      <c r="D3167" t="s">
        <v>3724</v>
      </c>
      <c r="E3167">
        <v>-3165</v>
      </c>
      <c r="F3167" t="s">
        <v>559</v>
      </c>
      <c r="G3167" t="s">
        <v>560</v>
      </c>
    </row>
    <row r="3168" spans="1:7">
      <c r="A3168" t="s">
        <v>182</v>
      </c>
      <c r="B3168" t="s">
        <v>557</v>
      </c>
      <c r="C3168" t="s">
        <v>558</v>
      </c>
      <c r="D3168" t="s">
        <v>3725</v>
      </c>
      <c r="E3168">
        <v>-3166</v>
      </c>
      <c r="F3168" t="s">
        <v>559</v>
      </c>
      <c r="G3168" t="s">
        <v>560</v>
      </c>
    </row>
    <row r="3169" spans="1:7">
      <c r="A3169" t="s">
        <v>182</v>
      </c>
      <c r="B3169" t="s">
        <v>557</v>
      </c>
      <c r="C3169" t="s">
        <v>558</v>
      </c>
      <c r="D3169" t="s">
        <v>3726</v>
      </c>
      <c r="E3169">
        <v>-3167</v>
      </c>
      <c r="F3169" t="s">
        <v>559</v>
      </c>
      <c r="G3169" t="s">
        <v>560</v>
      </c>
    </row>
    <row r="3170" spans="1:7">
      <c r="A3170" t="s">
        <v>182</v>
      </c>
      <c r="B3170" t="s">
        <v>557</v>
      </c>
      <c r="C3170" t="s">
        <v>558</v>
      </c>
      <c r="D3170" t="s">
        <v>3727</v>
      </c>
      <c r="E3170">
        <v>-3168</v>
      </c>
      <c r="F3170" t="s">
        <v>559</v>
      </c>
      <c r="G3170" t="s">
        <v>560</v>
      </c>
    </row>
    <row r="3171" spans="1:7">
      <c r="A3171" t="s">
        <v>182</v>
      </c>
      <c r="B3171" t="s">
        <v>557</v>
      </c>
      <c r="C3171" t="s">
        <v>558</v>
      </c>
      <c r="D3171" t="s">
        <v>3728</v>
      </c>
      <c r="E3171">
        <v>-3169</v>
      </c>
      <c r="F3171" t="s">
        <v>559</v>
      </c>
      <c r="G3171" t="s">
        <v>560</v>
      </c>
    </row>
    <row r="3172" spans="1:7">
      <c r="A3172" t="s">
        <v>182</v>
      </c>
      <c r="B3172" t="s">
        <v>557</v>
      </c>
      <c r="C3172" t="s">
        <v>558</v>
      </c>
      <c r="D3172" t="s">
        <v>3729</v>
      </c>
      <c r="E3172">
        <v>-3170</v>
      </c>
      <c r="F3172" t="s">
        <v>559</v>
      </c>
      <c r="G3172" t="s">
        <v>560</v>
      </c>
    </row>
    <row r="3173" spans="1:7">
      <c r="A3173" t="s">
        <v>182</v>
      </c>
      <c r="B3173" t="s">
        <v>557</v>
      </c>
      <c r="C3173" t="s">
        <v>558</v>
      </c>
      <c r="D3173" t="s">
        <v>3730</v>
      </c>
      <c r="E3173">
        <v>-3171</v>
      </c>
      <c r="F3173" t="s">
        <v>559</v>
      </c>
      <c r="G3173" t="s">
        <v>560</v>
      </c>
    </row>
    <row r="3174" spans="1:7">
      <c r="A3174" t="s">
        <v>182</v>
      </c>
      <c r="B3174" t="s">
        <v>557</v>
      </c>
      <c r="C3174" t="s">
        <v>558</v>
      </c>
      <c r="D3174" t="s">
        <v>3731</v>
      </c>
      <c r="E3174">
        <v>-3172</v>
      </c>
      <c r="F3174" t="s">
        <v>559</v>
      </c>
      <c r="G3174" t="s">
        <v>560</v>
      </c>
    </row>
    <row r="3175" spans="1:7">
      <c r="A3175" t="s">
        <v>182</v>
      </c>
      <c r="B3175" t="s">
        <v>557</v>
      </c>
      <c r="C3175" t="s">
        <v>558</v>
      </c>
      <c r="D3175" t="s">
        <v>3732</v>
      </c>
      <c r="E3175">
        <v>-3173</v>
      </c>
      <c r="F3175" t="s">
        <v>559</v>
      </c>
      <c r="G3175" t="s">
        <v>560</v>
      </c>
    </row>
    <row r="3176" spans="1:7">
      <c r="A3176" t="s">
        <v>182</v>
      </c>
      <c r="B3176" t="s">
        <v>557</v>
      </c>
      <c r="C3176" t="s">
        <v>558</v>
      </c>
      <c r="D3176" t="s">
        <v>3733</v>
      </c>
      <c r="E3176">
        <v>-3174</v>
      </c>
      <c r="F3176" t="s">
        <v>559</v>
      </c>
      <c r="G3176" t="s">
        <v>560</v>
      </c>
    </row>
    <row r="3177" spans="1:7">
      <c r="A3177" t="s">
        <v>182</v>
      </c>
      <c r="B3177" t="s">
        <v>557</v>
      </c>
      <c r="C3177" t="s">
        <v>558</v>
      </c>
      <c r="D3177" t="s">
        <v>3734</v>
      </c>
      <c r="E3177">
        <v>-3175</v>
      </c>
      <c r="F3177" t="s">
        <v>559</v>
      </c>
      <c r="G3177" t="s">
        <v>560</v>
      </c>
    </row>
    <row r="3178" spans="1:7">
      <c r="A3178" t="s">
        <v>182</v>
      </c>
      <c r="B3178" t="s">
        <v>557</v>
      </c>
      <c r="C3178" t="s">
        <v>558</v>
      </c>
      <c r="D3178" t="s">
        <v>3735</v>
      </c>
      <c r="E3178">
        <v>-3176</v>
      </c>
      <c r="F3178" t="s">
        <v>559</v>
      </c>
      <c r="G3178" t="s">
        <v>560</v>
      </c>
    </row>
    <row r="3179" spans="1:7">
      <c r="A3179" t="s">
        <v>182</v>
      </c>
      <c r="B3179" t="s">
        <v>557</v>
      </c>
      <c r="C3179" t="s">
        <v>558</v>
      </c>
      <c r="D3179" t="s">
        <v>3736</v>
      </c>
      <c r="E3179">
        <v>-3177</v>
      </c>
      <c r="F3179" t="s">
        <v>559</v>
      </c>
      <c r="G3179" t="s">
        <v>560</v>
      </c>
    </row>
    <row r="3180" spans="1:7">
      <c r="A3180" t="s">
        <v>182</v>
      </c>
      <c r="B3180" t="s">
        <v>557</v>
      </c>
      <c r="C3180" t="s">
        <v>558</v>
      </c>
      <c r="D3180" t="s">
        <v>3737</v>
      </c>
      <c r="E3180">
        <v>-3178</v>
      </c>
      <c r="F3180" t="s">
        <v>559</v>
      </c>
      <c r="G3180" t="s">
        <v>560</v>
      </c>
    </row>
    <row r="3181" spans="1:7">
      <c r="A3181" t="s">
        <v>182</v>
      </c>
      <c r="B3181" t="s">
        <v>557</v>
      </c>
      <c r="C3181" t="s">
        <v>558</v>
      </c>
      <c r="D3181" t="s">
        <v>3738</v>
      </c>
      <c r="E3181">
        <v>-3179</v>
      </c>
      <c r="F3181" t="s">
        <v>559</v>
      </c>
      <c r="G3181" t="s">
        <v>560</v>
      </c>
    </row>
    <row r="3182" spans="1:7">
      <c r="A3182" t="s">
        <v>182</v>
      </c>
      <c r="B3182" t="s">
        <v>557</v>
      </c>
      <c r="C3182" t="s">
        <v>558</v>
      </c>
      <c r="D3182" t="s">
        <v>3739</v>
      </c>
      <c r="E3182">
        <v>-3180</v>
      </c>
      <c r="F3182" t="s">
        <v>559</v>
      </c>
      <c r="G3182" t="s">
        <v>560</v>
      </c>
    </row>
    <row r="3183" spans="1:7">
      <c r="A3183" t="s">
        <v>182</v>
      </c>
      <c r="B3183" t="s">
        <v>557</v>
      </c>
      <c r="C3183" t="s">
        <v>558</v>
      </c>
      <c r="D3183" t="s">
        <v>3740</v>
      </c>
      <c r="E3183">
        <v>-3181</v>
      </c>
      <c r="F3183" t="s">
        <v>559</v>
      </c>
      <c r="G3183" t="s">
        <v>560</v>
      </c>
    </row>
    <row r="3184" spans="1:7">
      <c r="A3184" t="s">
        <v>182</v>
      </c>
      <c r="B3184" t="s">
        <v>557</v>
      </c>
      <c r="C3184" t="s">
        <v>558</v>
      </c>
      <c r="D3184" t="s">
        <v>3741</v>
      </c>
      <c r="E3184">
        <v>-3182</v>
      </c>
      <c r="F3184" t="s">
        <v>559</v>
      </c>
      <c r="G3184" t="s">
        <v>560</v>
      </c>
    </row>
    <row r="3185" spans="1:7">
      <c r="A3185" t="s">
        <v>182</v>
      </c>
      <c r="B3185" t="s">
        <v>557</v>
      </c>
      <c r="C3185" t="s">
        <v>558</v>
      </c>
      <c r="D3185" t="s">
        <v>3742</v>
      </c>
      <c r="E3185">
        <v>-3183</v>
      </c>
      <c r="F3185" t="s">
        <v>559</v>
      </c>
      <c r="G3185" t="s">
        <v>560</v>
      </c>
    </row>
    <row r="3186" spans="1:7">
      <c r="A3186" t="s">
        <v>182</v>
      </c>
      <c r="B3186" t="s">
        <v>557</v>
      </c>
      <c r="C3186" t="s">
        <v>558</v>
      </c>
      <c r="D3186" t="s">
        <v>3743</v>
      </c>
      <c r="E3186">
        <v>-3184</v>
      </c>
      <c r="F3186" t="s">
        <v>559</v>
      </c>
      <c r="G3186" t="s">
        <v>560</v>
      </c>
    </row>
    <row r="3187" spans="1:7">
      <c r="A3187" t="s">
        <v>182</v>
      </c>
      <c r="B3187" t="s">
        <v>557</v>
      </c>
      <c r="C3187" t="s">
        <v>558</v>
      </c>
      <c r="D3187" t="s">
        <v>3744</v>
      </c>
      <c r="E3187">
        <v>-3185</v>
      </c>
      <c r="F3187" t="s">
        <v>559</v>
      </c>
      <c r="G3187" t="s">
        <v>560</v>
      </c>
    </row>
    <row r="3188" spans="1:7">
      <c r="A3188" t="s">
        <v>182</v>
      </c>
      <c r="B3188" t="s">
        <v>557</v>
      </c>
      <c r="C3188" t="s">
        <v>558</v>
      </c>
      <c r="D3188" t="s">
        <v>3745</v>
      </c>
      <c r="E3188">
        <v>-3186</v>
      </c>
      <c r="F3188" t="s">
        <v>559</v>
      </c>
      <c r="G3188" t="s">
        <v>560</v>
      </c>
    </row>
    <row r="3189" spans="1:7">
      <c r="A3189" t="s">
        <v>182</v>
      </c>
      <c r="B3189" t="s">
        <v>557</v>
      </c>
      <c r="C3189" t="s">
        <v>558</v>
      </c>
      <c r="D3189" t="s">
        <v>3746</v>
      </c>
      <c r="E3189">
        <v>-3187</v>
      </c>
      <c r="F3189" t="s">
        <v>559</v>
      </c>
      <c r="G3189" t="s">
        <v>560</v>
      </c>
    </row>
    <row r="3190" spans="1:7">
      <c r="A3190" t="s">
        <v>182</v>
      </c>
      <c r="B3190" t="s">
        <v>557</v>
      </c>
      <c r="C3190" t="s">
        <v>558</v>
      </c>
      <c r="D3190" t="s">
        <v>3747</v>
      </c>
      <c r="E3190">
        <v>-3188</v>
      </c>
      <c r="F3190" t="s">
        <v>559</v>
      </c>
      <c r="G3190" t="s">
        <v>560</v>
      </c>
    </row>
    <row r="3191" spans="1:7">
      <c r="A3191" t="s">
        <v>182</v>
      </c>
      <c r="B3191" t="s">
        <v>557</v>
      </c>
      <c r="C3191" t="s">
        <v>558</v>
      </c>
      <c r="D3191" t="s">
        <v>3748</v>
      </c>
      <c r="E3191">
        <v>-3189</v>
      </c>
      <c r="F3191" t="s">
        <v>559</v>
      </c>
      <c r="G3191" t="s">
        <v>560</v>
      </c>
    </row>
    <row r="3192" spans="1:7">
      <c r="A3192" t="s">
        <v>182</v>
      </c>
      <c r="B3192" t="s">
        <v>557</v>
      </c>
      <c r="C3192" t="s">
        <v>558</v>
      </c>
      <c r="D3192" t="s">
        <v>3749</v>
      </c>
      <c r="E3192">
        <v>-3190</v>
      </c>
      <c r="F3192" t="s">
        <v>559</v>
      </c>
      <c r="G3192" t="s">
        <v>560</v>
      </c>
    </row>
    <row r="3193" spans="1:7">
      <c r="A3193" t="s">
        <v>182</v>
      </c>
      <c r="B3193" t="s">
        <v>557</v>
      </c>
      <c r="C3193" t="s">
        <v>558</v>
      </c>
      <c r="D3193" t="s">
        <v>3750</v>
      </c>
      <c r="E3193">
        <v>-3191</v>
      </c>
      <c r="F3193" t="s">
        <v>559</v>
      </c>
      <c r="G3193" t="s">
        <v>560</v>
      </c>
    </row>
    <row r="3194" spans="1:7">
      <c r="A3194" t="s">
        <v>182</v>
      </c>
      <c r="B3194" t="s">
        <v>557</v>
      </c>
      <c r="C3194" t="s">
        <v>558</v>
      </c>
      <c r="D3194" t="s">
        <v>3751</v>
      </c>
      <c r="E3194">
        <v>-3192</v>
      </c>
      <c r="F3194" t="s">
        <v>559</v>
      </c>
      <c r="G3194" t="s">
        <v>560</v>
      </c>
    </row>
    <row r="3195" spans="1:7">
      <c r="A3195" t="s">
        <v>182</v>
      </c>
      <c r="B3195" t="s">
        <v>557</v>
      </c>
      <c r="C3195" t="s">
        <v>558</v>
      </c>
      <c r="D3195" t="s">
        <v>3752</v>
      </c>
      <c r="E3195">
        <v>-3193</v>
      </c>
      <c r="F3195" t="s">
        <v>559</v>
      </c>
      <c r="G3195" t="s">
        <v>560</v>
      </c>
    </row>
    <row r="3196" spans="1:7">
      <c r="A3196" t="s">
        <v>182</v>
      </c>
      <c r="B3196" t="s">
        <v>557</v>
      </c>
      <c r="C3196" t="s">
        <v>558</v>
      </c>
      <c r="D3196" t="s">
        <v>3753</v>
      </c>
      <c r="E3196">
        <v>-3194</v>
      </c>
      <c r="F3196" t="s">
        <v>559</v>
      </c>
      <c r="G3196" t="s">
        <v>560</v>
      </c>
    </row>
    <row r="3197" spans="1:7">
      <c r="A3197" t="s">
        <v>182</v>
      </c>
      <c r="B3197" t="s">
        <v>557</v>
      </c>
      <c r="C3197" t="s">
        <v>558</v>
      </c>
      <c r="D3197" t="s">
        <v>3754</v>
      </c>
      <c r="E3197">
        <v>-3195</v>
      </c>
      <c r="F3197" t="s">
        <v>559</v>
      </c>
      <c r="G3197" t="s">
        <v>560</v>
      </c>
    </row>
    <row r="3198" spans="1:7">
      <c r="A3198" t="s">
        <v>182</v>
      </c>
      <c r="B3198" t="s">
        <v>557</v>
      </c>
      <c r="C3198" t="s">
        <v>558</v>
      </c>
      <c r="D3198" t="s">
        <v>3755</v>
      </c>
      <c r="E3198">
        <v>-3196</v>
      </c>
      <c r="F3198" t="s">
        <v>559</v>
      </c>
      <c r="G3198" t="s">
        <v>560</v>
      </c>
    </row>
    <row r="3199" spans="1:7">
      <c r="A3199" t="s">
        <v>182</v>
      </c>
      <c r="B3199" t="s">
        <v>557</v>
      </c>
      <c r="C3199" t="s">
        <v>558</v>
      </c>
      <c r="D3199" t="s">
        <v>3756</v>
      </c>
      <c r="E3199">
        <v>-3197</v>
      </c>
      <c r="F3199" t="s">
        <v>559</v>
      </c>
      <c r="G3199" t="s">
        <v>560</v>
      </c>
    </row>
    <row r="3200" spans="1:7">
      <c r="A3200" t="s">
        <v>182</v>
      </c>
      <c r="B3200" t="s">
        <v>557</v>
      </c>
      <c r="C3200" t="s">
        <v>558</v>
      </c>
      <c r="D3200" t="s">
        <v>3757</v>
      </c>
      <c r="E3200">
        <v>-3198</v>
      </c>
      <c r="F3200" t="s">
        <v>559</v>
      </c>
      <c r="G3200" t="s">
        <v>560</v>
      </c>
    </row>
    <row r="3201" spans="1:7">
      <c r="A3201" t="s">
        <v>182</v>
      </c>
      <c r="B3201" t="s">
        <v>557</v>
      </c>
      <c r="C3201" t="s">
        <v>558</v>
      </c>
      <c r="D3201" t="s">
        <v>3758</v>
      </c>
      <c r="E3201">
        <v>-3199</v>
      </c>
      <c r="F3201" t="s">
        <v>559</v>
      </c>
      <c r="G3201" t="s">
        <v>560</v>
      </c>
    </row>
    <row r="3202" spans="1:7">
      <c r="A3202" t="s">
        <v>182</v>
      </c>
      <c r="B3202" t="s">
        <v>557</v>
      </c>
      <c r="C3202" t="s">
        <v>558</v>
      </c>
      <c r="D3202" t="s">
        <v>3759</v>
      </c>
      <c r="E3202">
        <v>-3200</v>
      </c>
      <c r="F3202" t="s">
        <v>559</v>
      </c>
      <c r="G3202" t="s">
        <v>560</v>
      </c>
    </row>
    <row r="3203" spans="1:7">
      <c r="A3203" t="s">
        <v>182</v>
      </c>
      <c r="B3203" t="s">
        <v>557</v>
      </c>
      <c r="C3203" t="s">
        <v>558</v>
      </c>
      <c r="D3203" t="s">
        <v>3760</v>
      </c>
      <c r="E3203">
        <v>-3201</v>
      </c>
      <c r="F3203" t="s">
        <v>559</v>
      </c>
      <c r="G3203" t="s">
        <v>560</v>
      </c>
    </row>
    <row r="3204" spans="1:7">
      <c r="A3204" t="s">
        <v>182</v>
      </c>
      <c r="B3204" t="s">
        <v>557</v>
      </c>
      <c r="C3204" t="s">
        <v>558</v>
      </c>
      <c r="D3204" t="s">
        <v>3761</v>
      </c>
      <c r="E3204">
        <v>-3202</v>
      </c>
      <c r="F3204" t="s">
        <v>559</v>
      </c>
      <c r="G3204" t="s">
        <v>560</v>
      </c>
    </row>
    <row r="3205" spans="1:7">
      <c r="A3205" t="s">
        <v>182</v>
      </c>
      <c r="B3205" t="s">
        <v>557</v>
      </c>
      <c r="C3205" t="s">
        <v>558</v>
      </c>
      <c r="D3205" t="s">
        <v>3762</v>
      </c>
      <c r="E3205">
        <v>-3203</v>
      </c>
      <c r="F3205" t="s">
        <v>559</v>
      </c>
      <c r="G3205" t="s">
        <v>560</v>
      </c>
    </row>
    <row r="3206" spans="1:7">
      <c r="A3206" t="s">
        <v>182</v>
      </c>
      <c r="B3206" t="s">
        <v>557</v>
      </c>
      <c r="C3206" t="s">
        <v>558</v>
      </c>
      <c r="D3206" t="s">
        <v>3763</v>
      </c>
      <c r="E3206">
        <v>-3204</v>
      </c>
      <c r="F3206" t="s">
        <v>559</v>
      </c>
      <c r="G3206" t="s">
        <v>560</v>
      </c>
    </row>
    <row r="3207" spans="1:7">
      <c r="A3207" t="s">
        <v>182</v>
      </c>
      <c r="B3207" t="s">
        <v>557</v>
      </c>
      <c r="C3207" t="s">
        <v>558</v>
      </c>
      <c r="D3207" t="s">
        <v>3764</v>
      </c>
      <c r="E3207">
        <v>-3205</v>
      </c>
      <c r="F3207" t="s">
        <v>559</v>
      </c>
      <c r="G3207" t="s">
        <v>560</v>
      </c>
    </row>
    <row r="3208" spans="1:7">
      <c r="A3208" t="s">
        <v>182</v>
      </c>
      <c r="B3208" t="s">
        <v>557</v>
      </c>
      <c r="C3208" t="s">
        <v>558</v>
      </c>
      <c r="D3208" t="s">
        <v>3765</v>
      </c>
      <c r="E3208">
        <v>-3206</v>
      </c>
      <c r="F3208" t="s">
        <v>559</v>
      </c>
      <c r="G3208" t="s">
        <v>560</v>
      </c>
    </row>
    <row r="3209" spans="1:7">
      <c r="A3209" t="s">
        <v>182</v>
      </c>
      <c r="B3209" t="s">
        <v>557</v>
      </c>
      <c r="C3209" t="s">
        <v>558</v>
      </c>
      <c r="D3209" t="s">
        <v>3766</v>
      </c>
      <c r="E3209">
        <v>-3207</v>
      </c>
      <c r="F3209" t="s">
        <v>559</v>
      </c>
      <c r="G3209" t="s">
        <v>560</v>
      </c>
    </row>
    <row r="3210" spans="1:7">
      <c r="A3210" t="s">
        <v>182</v>
      </c>
      <c r="B3210" t="s">
        <v>557</v>
      </c>
      <c r="C3210" t="s">
        <v>558</v>
      </c>
      <c r="D3210" t="s">
        <v>3767</v>
      </c>
      <c r="E3210">
        <v>-3208</v>
      </c>
      <c r="F3210" t="s">
        <v>559</v>
      </c>
      <c r="G3210" t="s">
        <v>560</v>
      </c>
    </row>
    <row r="3211" spans="1:7">
      <c r="A3211" t="s">
        <v>182</v>
      </c>
      <c r="B3211" t="s">
        <v>557</v>
      </c>
      <c r="C3211" t="s">
        <v>558</v>
      </c>
      <c r="D3211" t="s">
        <v>3768</v>
      </c>
      <c r="E3211">
        <v>-3209</v>
      </c>
      <c r="F3211" t="s">
        <v>559</v>
      </c>
      <c r="G3211" t="s">
        <v>560</v>
      </c>
    </row>
    <row r="3212" spans="1:7">
      <c r="A3212" t="s">
        <v>182</v>
      </c>
      <c r="B3212" t="s">
        <v>557</v>
      </c>
      <c r="C3212" t="s">
        <v>558</v>
      </c>
      <c r="D3212" t="s">
        <v>3769</v>
      </c>
      <c r="E3212">
        <v>-3210</v>
      </c>
      <c r="F3212" t="s">
        <v>559</v>
      </c>
      <c r="G3212" t="s">
        <v>560</v>
      </c>
    </row>
    <row r="3213" spans="1:7">
      <c r="A3213" t="s">
        <v>182</v>
      </c>
      <c r="B3213" t="s">
        <v>557</v>
      </c>
      <c r="C3213" t="s">
        <v>558</v>
      </c>
      <c r="D3213" t="s">
        <v>3770</v>
      </c>
      <c r="E3213">
        <v>-3211</v>
      </c>
      <c r="F3213" t="s">
        <v>559</v>
      </c>
      <c r="G3213" t="s">
        <v>560</v>
      </c>
    </row>
    <row r="3214" spans="1:7">
      <c r="A3214" t="s">
        <v>182</v>
      </c>
      <c r="B3214" t="s">
        <v>557</v>
      </c>
      <c r="C3214" t="s">
        <v>558</v>
      </c>
      <c r="D3214" t="s">
        <v>3771</v>
      </c>
      <c r="E3214">
        <v>-3212</v>
      </c>
      <c r="F3214" t="s">
        <v>559</v>
      </c>
      <c r="G3214" t="s">
        <v>560</v>
      </c>
    </row>
    <row r="3215" spans="1:7">
      <c r="A3215" t="s">
        <v>182</v>
      </c>
      <c r="B3215" t="s">
        <v>557</v>
      </c>
      <c r="C3215" t="s">
        <v>558</v>
      </c>
      <c r="D3215" t="s">
        <v>3772</v>
      </c>
      <c r="E3215">
        <v>-3213</v>
      </c>
      <c r="F3215" t="s">
        <v>559</v>
      </c>
      <c r="G3215" t="s">
        <v>560</v>
      </c>
    </row>
    <row r="3216" spans="1:7">
      <c r="A3216" t="s">
        <v>182</v>
      </c>
      <c r="B3216" t="s">
        <v>557</v>
      </c>
      <c r="C3216" t="s">
        <v>558</v>
      </c>
      <c r="D3216" t="s">
        <v>3773</v>
      </c>
      <c r="E3216">
        <v>-3214</v>
      </c>
      <c r="F3216" t="s">
        <v>559</v>
      </c>
      <c r="G3216" t="s">
        <v>560</v>
      </c>
    </row>
    <row r="3217" spans="1:7">
      <c r="A3217" t="s">
        <v>182</v>
      </c>
      <c r="B3217" t="s">
        <v>557</v>
      </c>
      <c r="C3217" t="s">
        <v>558</v>
      </c>
      <c r="D3217" t="s">
        <v>3774</v>
      </c>
      <c r="E3217">
        <v>-3215</v>
      </c>
      <c r="F3217" t="s">
        <v>559</v>
      </c>
      <c r="G3217" t="s">
        <v>560</v>
      </c>
    </row>
    <row r="3218" spans="1:7">
      <c r="A3218" t="s">
        <v>182</v>
      </c>
      <c r="B3218" t="s">
        <v>557</v>
      </c>
      <c r="C3218" t="s">
        <v>558</v>
      </c>
      <c r="D3218" t="s">
        <v>3775</v>
      </c>
      <c r="E3218">
        <v>-3216</v>
      </c>
      <c r="F3218" t="s">
        <v>559</v>
      </c>
      <c r="G3218" t="s">
        <v>560</v>
      </c>
    </row>
    <row r="3219" spans="1:7">
      <c r="A3219" t="s">
        <v>182</v>
      </c>
      <c r="B3219" t="s">
        <v>557</v>
      </c>
      <c r="C3219" t="s">
        <v>558</v>
      </c>
      <c r="D3219" t="s">
        <v>3776</v>
      </c>
      <c r="E3219">
        <v>-3217</v>
      </c>
      <c r="F3219" t="s">
        <v>559</v>
      </c>
      <c r="G3219" t="s">
        <v>560</v>
      </c>
    </row>
    <row r="3220" spans="1:7">
      <c r="A3220" t="s">
        <v>182</v>
      </c>
      <c r="B3220" t="s">
        <v>557</v>
      </c>
      <c r="C3220" t="s">
        <v>558</v>
      </c>
      <c r="D3220" t="s">
        <v>3777</v>
      </c>
      <c r="E3220">
        <v>-3218</v>
      </c>
      <c r="F3220" t="s">
        <v>559</v>
      </c>
      <c r="G3220" t="s">
        <v>560</v>
      </c>
    </row>
    <row r="3221" spans="1:7">
      <c r="A3221" t="s">
        <v>182</v>
      </c>
      <c r="B3221" t="s">
        <v>557</v>
      </c>
      <c r="C3221" t="s">
        <v>558</v>
      </c>
      <c r="D3221" t="s">
        <v>3778</v>
      </c>
      <c r="E3221">
        <v>-3219</v>
      </c>
      <c r="F3221" t="s">
        <v>559</v>
      </c>
      <c r="G3221" t="s">
        <v>560</v>
      </c>
    </row>
    <row r="3222" spans="1:7">
      <c r="A3222" t="s">
        <v>182</v>
      </c>
      <c r="B3222" t="s">
        <v>557</v>
      </c>
      <c r="C3222" t="s">
        <v>558</v>
      </c>
      <c r="D3222" t="s">
        <v>3779</v>
      </c>
      <c r="E3222">
        <v>-3220</v>
      </c>
      <c r="F3222" t="s">
        <v>559</v>
      </c>
      <c r="G3222" t="s">
        <v>560</v>
      </c>
    </row>
    <row r="3223" spans="1:7">
      <c r="A3223" t="s">
        <v>182</v>
      </c>
      <c r="B3223" t="s">
        <v>557</v>
      </c>
      <c r="C3223" t="s">
        <v>558</v>
      </c>
      <c r="D3223" t="s">
        <v>3780</v>
      </c>
      <c r="E3223">
        <v>-3221</v>
      </c>
      <c r="F3223" t="s">
        <v>559</v>
      </c>
      <c r="G3223" t="s">
        <v>560</v>
      </c>
    </row>
    <row r="3224" spans="1:7">
      <c r="A3224" t="s">
        <v>182</v>
      </c>
      <c r="B3224" t="s">
        <v>557</v>
      </c>
      <c r="C3224" t="s">
        <v>558</v>
      </c>
      <c r="D3224" t="s">
        <v>3781</v>
      </c>
      <c r="E3224">
        <v>-3222</v>
      </c>
      <c r="F3224" t="s">
        <v>559</v>
      </c>
      <c r="G3224" t="s">
        <v>560</v>
      </c>
    </row>
    <row r="3225" spans="1:7">
      <c r="A3225" t="s">
        <v>182</v>
      </c>
      <c r="B3225" t="s">
        <v>557</v>
      </c>
      <c r="C3225" t="s">
        <v>558</v>
      </c>
      <c r="D3225" t="s">
        <v>3782</v>
      </c>
      <c r="E3225">
        <v>-3223</v>
      </c>
      <c r="F3225" t="s">
        <v>559</v>
      </c>
      <c r="G3225" t="s">
        <v>560</v>
      </c>
    </row>
    <row r="3226" spans="1:7">
      <c r="A3226" t="s">
        <v>182</v>
      </c>
      <c r="B3226" t="s">
        <v>557</v>
      </c>
      <c r="C3226" t="s">
        <v>558</v>
      </c>
      <c r="D3226" t="s">
        <v>3783</v>
      </c>
      <c r="E3226">
        <v>-3224</v>
      </c>
      <c r="F3226" t="s">
        <v>559</v>
      </c>
      <c r="G3226" t="s">
        <v>560</v>
      </c>
    </row>
    <row r="3227" spans="1:7">
      <c r="A3227" t="s">
        <v>182</v>
      </c>
      <c r="B3227" t="s">
        <v>557</v>
      </c>
      <c r="C3227" t="s">
        <v>558</v>
      </c>
      <c r="D3227" t="s">
        <v>3784</v>
      </c>
      <c r="E3227">
        <v>-3225</v>
      </c>
      <c r="F3227" t="s">
        <v>559</v>
      </c>
      <c r="G3227" t="s">
        <v>560</v>
      </c>
    </row>
    <row r="3228" spans="1:7">
      <c r="A3228" t="s">
        <v>182</v>
      </c>
      <c r="B3228" t="s">
        <v>557</v>
      </c>
      <c r="C3228" t="s">
        <v>558</v>
      </c>
      <c r="D3228" t="s">
        <v>3785</v>
      </c>
      <c r="E3228">
        <v>-3226</v>
      </c>
      <c r="F3228" t="s">
        <v>559</v>
      </c>
      <c r="G3228" t="s">
        <v>560</v>
      </c>
    </row>
    <row r="3229" spans="1:7">
      <c r="A3229" t="s">
        <v>182</v>
      </c>
      <c r="B3229" t="s">
        <v>557</v>
      </c>
      <c r="C3229" t="s">
        <v>558</v>
      </c>
      <c r="D3229" t="s">
        <v>3786</v>
      </c>
      <c r="E3229">
        <v>-3227</v>
      </c>
      <c r="F3229" t="s">
        <v>559</v>
      </c>
      <c r="G3229" t="s">
        <v>560</v>
      </c>
    </row>
    <row r="3230" spans="1:7">
      <c r="A3230" t="s">
        <v>182</v>
      </c>
      <c r="B3230" t="s">
        <v>557</v>
      </c>
      <c r="C3230" t="s">
        <v>558</v>
      </c>
      <c r="D3230" t="s">
        <v>3787</v>
      </c>
      <c r="E3230">
        <v>-3228</v>
      </c>
      <c r="F3230" t="s">
        <v>559</v>
      </c>
      <c r="G3230" t="s">
        <v>560</v>
      </c>
    </row>
    <row r="3231" spans="1:7">
      <c r="A3231" t="s">
        <v>182</v>
      </c>
      <c r="B3231" t="s">
        <v>557</v>
      </c>
      <c r="C3231" t="s">
        <v>558</v>
      </c>
      <c r="D3231" t="s">
        <v>3788</v>
      </c>
      <c r="E3231">
        <v>-3229</v>
      </c>
      <c r="F3231" t="s">
        <v>559</v>
      </c>
      <c r="G3231" t="s">
        <v>560</v>
      </c>
    </row>
    <row r="3232" spans="1:7">
      <c r="A3232" t="s">
        <v>182</v>
      </c>
      <c r="B3232" t="s">
        <v>557</v>
      </c>
      <c r="C3232" t="s">
        <v>558</v>
      </c>
      <c r="D3232" t="s">
        <v>3789</v>
      </c>
      <c r="E3232">
        <v>-3230</v>
      </c>
      <c r="F3232" t="s">
        <v>559</v>
      </c>
      <c r="G3232" t="s">
        <v>560</v>
      </c>
    </row>
    <row r="3233" spans="1:7">
      <c r="A3233" t="s">
        <v>182</v>
      </c>
      <c r="B3233" t="s">
        <v>557</v>
      </c>
      <c r="C3233" t="s">
        <v>558</v>
      </c>
      <c r="D3233" t="s">
        <v>3790</v>
      </c>
      <c r="E3233">
        <v>-3231</v>
      </c>
      <c r="F3233" t="s">
        <v>559</v>
      </c>
      <c r="G3233" t="s">
        <v>560</v>
      </c>
    </row>
    <row r="3234" spans="1:7">
      <c r="A3234" t="s">
        <v>182</v>
      </c>
      <c r="B3234" t="s">
        <v>557</v>
      </c>
      <c r="C3234" t="s">
        <v>558</v>
      </c>
      <c r="D3234" t="s">
        <v>3791</v>
      </c>
      <c r="E3234">
        <v>-3232</v>
      </c>
      <c r="F3234" t="s">
        <v>559</v>
      </c>
      <c r="G3234" t="s">
        <v>560</v>
      </c>
    </row>
    <row r="3235" spans="1:7">
      <c r="A3235" t="s">
        <v>182</v>
      </c>
      <c r="B3235" t="s">
        <v>557</v>
      </c>
      <c r="C3235" t="s">
        <v>558</v>
      </c>
      <c r="D3235" t="s">
        <v>3792</v>
      </c>
      <c r="E3235">
        <v>-3233</v>
      </c>
      <c r="F3235" t="s">
        <v>559</v>
      </c>
      <c r="G3235" t="s">
        <v>560</v>
      </c>
    </row>
    <row r="3236" spans="1:7">
      <c r="A3236" t="s">
        <v>182</v>
      </c>
      <c r="B3236" t="s">
        <v>557</v>
      </c>
      <c r="C3236" t="s">
        <v>558</v>
      </c>
      <c r="D3236" t="s">
        <v>3793</v>
      </c>
      <c r="E3236">
        <v>-3234</v>
      </c>
      <c r="F3236" t="s">
        <v>559</v>
      </c>
      <c r="G3236" t="s">
        <v>560</v>
      </c>
    </row>
    <row r="3237" spans="1:7">
      <c r="A3237" t="s">
        <v>182</v>
      </c>
      <c r="B3237" t="s">
        <v>557</v>
      </c>
      <c r="C3237" t="s">
        <v>558</v>
      </c>
      <c r="D3237" t="s">
        <v>3794</v>
      </c>
      <c r="E3237">
        <v>-3235</v>
      </c>
      <c r="F3237" t="s">
        <v>559</v>
      </c>
      <c r="G3237" t="s">
        <v>560</v>
      </c>
    </row>
    <row r="3238" spans="1:7">
      <c r="A3238" t="s">
        <v>182</v>
      </c>
      <c r="B3238" t="s">
        <v>557</v>
      </c>
      <c r="C3238" t="s">
        <v>558</v>
      </c>
      <c r="D3238" t="s">
        <v>3795</v>
      </c>
      <c r="E3238">
        <v>-3236</v>
      </c>
      <c r="F3238" t="s">
        <v>559</v>
      </c>
      <c r="G3238" t="s">
        <v>560</v>
      </c>
    </row>
    <row r="3239" spans="1:7">
      <c r="A3239" t="s">
        <v>182</v>
      </c>
      <c r="B3239" t="s">
        <v>557</v>
      </c>
      <c r="C3239" t="s">
        <v>558</v>
      </c>
      <c r="D3239" t="s">
        <v>3796</v>
      </c>
      <c r="E3239">
        <v>-3237</v>
      </c>
      <c r="F3239" t="s">
        <v>559</v>
      </c>
      <c r="G3239" t="s">
        <v>560</v>
      </c>
    </row>
    <row r="3240" spans="1:7">
      <c r="A3240" t="s">
        <v>182</v>
      </c>
      <c r="B3240" t="s">
        <v>557</v>
      </c>
      <c r="C3240" t="s">
        <v>558</v>
      </c>
      <c r="D3240" t="s">
        <v>3797</v>
      </c>
      <c r="E3240">
        <v>-3238</v>
      </c>
      <c r="F3240" t="s">
        <v>559</v>
      </c>
      <c r="G3240" t="s">
        <v>560</v>
      </c>
    </row>
    <row r="3241" spans="1:7">
      <c r="A3241" t="s">
        <v>182</v>
      </c>
      <c r="B3241" t="s">
        <v>557</v>
      </c>
      <c r="C3241" t="s">
        <v>558</v>
      </c>
      <c r="D3241" t="s">
        <v>3798</v>
      </c>
      <c r="E3241">
        <v>-3239</v>
      </c>
      <c r="F3241" t="s">
        <v>559</v>
      </c>
      <c r="G3241" t="s">
        <v>560</v>
      </c>
    </row>
    <row r="3242" spans="1:7">
      <c r="A3242" t="s">
        <v>182</v>
      </c>
      <c r="B3242" t="s">
        <v>557</v>
      </c>
      <c r="C3242" t="s">
        <v>558</v>
      </c>
      <c r="D3242" t="s">
        <v>3799</v>
      </c>
      <c r="E3242">
        <v>-3240</v>
      </c>
      <c r="F3242" t="s">
        <v>559</v>
      </c>
      <c r="G3242" t="s">
        <v>560</v>
      </c>
    </row>
    <row r="3243" spans="1:7">
      <c r="A3243" t="s">
        <v>182</v>
      </c>
      <c r="B3243" t="s">
        <v>557</v>
      </c>
      <c r="C3243" t="s">
        <v>558</v>
      </c>
      <c r="D3243" t="s">
        <v>3800</v>
      </c>
      <c r="E3243">
        <v>-3241</v>
      </c>
      <c r="F3243" t="s">
        <v>559</v>
      </c>
      <c r="G3243" t="s">
        <v>560</v>
      </c>
    </row>
    <row r="3244" spans="1:7">
      <c r="A3244" t="s">
        <v>182</v>
      </c>
      <c r="B3244" t="s">
        <v>557</v>
      </c>
      <c r="C3244" t="s">
        <v>558</v>
      </c>
      <c r="D3244" t="s">
        <v>3801</v>
      </c>
      <c r="E3244">
        <v>-3242</v>
      </c>
      <c r="F3244" t="s">
        <v>559</v>
      </c>
      <c r="G3244" t="s">
        <v>560</v>
      </c>
    </row>
    <row r="3245" spans="1:7">
      <c r="A3245" t="s">
        <v>182</v>
      </c>
      <c r="B3245" t="s">
        <v>557</v>
      </c>
      <c r="C3245" t="s">
        <v>558</v>
      </c>
      <c r="D3245" t="s">
        <v>3802</v>
      </c>
      <c r="E3245">
        <v>-3243</v>
      </c>
      <c r="F3245" t="s">
        <v>559</v>
      </c>
      <c r="G3245" t="s">
        <v>560</v>
      </c>
    </row>
    <row r="3246" spans="1:7">
      <c r="A3246" t="s">
        <v>182</v>
      </c>
      <c r="B3246" t="s">
        <v>557</v>
      </c>
      <c r="C3246" t="s">
        <v>558</v>
      </c>
      <c r="D3246" t="s">
        <v>3803</v>
      </c>
      <c r="E3246">
        <v>-3244</v>
      </c>
      <c r="F3246" t="s">
        <v>559</v>
      </c>
      <c r="G3246" t="s">
        <v>560</v>
      </c>
    </row>
    <row r="3247" spans="1:7">
      <c r="A3247" t="s">
        <v>182</v>
      </c>
      <c r="B3247" t="s">
        <v>557</v>
      </c>
      <c r="C3247" t="s">
        <v>558</v>
      </c>
      <c r="D3247" t="s">
        <v>3804</v>
      </c>
      <c r="E3247">
        <v>-3245</v>
      </c>
      <c r="F3247" t="s">
        <v>559</v>
      </c>
      <c r="G3247" t="s">
        <v>560</v>
      </c>
    </row>
    <row r="3248" spans="1:7">
      <c r="A3248" t="s">
        <v>182</v>
      </c>
      <c r="B3248" t="s">
        <v>557</v>
      </c>
      <c r="C3248" t="s">
        <v>558</v>
      </c>
      <c r="D3248" t="s">
        <v>3805</v>
      </c>
      <c r="E3248">
        <v>-3246</v>
      </c>
      <c r="F3248" t="s">
        <v>559</v>
      </c>
      <c r="G3248" t="s">
        <v>560</v>
      </c>
    </row>
    <row r="3249" spans="1:7">
      <c r="A3249" t="s">
        <v>182</v>
      </c>
      <c r="B3249" t="s">
        <v>557</v>
      </c>
      <c r="C3249" t="s">
        <v>558</v>
      </c>
      <c r="D3249" t="s">
        <v>3806</v>
      </c>
      <c r="E3249">
        <v>-3247</v>
      </c>
      <c r="F3249" t="s">
        <v>559</v>
      </c>
      <c r="G3249" t="s">
        <v>560</v>
      </c>
    </row>
    <row r="3250" spans="1:7">
      <c r="A3250" t="s">
        <v>182</v>
      </c>
      <c r="B3250" t="s">
        <v>557</v>
      </c>
      <c r="C3250" t="s">
        <v>558</v>
      </c>
      <c r="D3250" t="s">
        <v>3807</v>
      </c>
      <c r="E3250">
        <v>-3248</v>
      </c>
      <c r="F3250" t="s">
        <v>559</v>
      </c>
      <c r="G3250" t="s">
        <v>560</v>
      </c>
    </row>
    <row r="3251" spans="1:7">
      <c r="A3251" t="s">
        <v>182</v>
      </c>
      <c r="B3251" t="s">
        <v>557</v>
      </c>
      <c r="C3251" t="s">
        <v>558</v>
      </c>
      <c r="D3251" t="s">
        <v>3808</v>
      </c>
      <c r="E3251">
        <v>-3249</v>
      </c>
      <c r="F3251" t="s">
        <v>559</v>
      </c>
      <c r="G3251" t="s">
        <v>560</v>
      </c>
    </row>
    <row r="3252" spans="1:7">
      <c r="A3252" t="s">
        <v>182</v>
      </c>
      <c r="B3252" t="s">
        <v>557</v>
      </c>
      <c r="C3252" t="s">
        <v>558</v>
      </c>
      <c r="D3252" t="s">
        <v>3809</v>
      </c>
      <c r="E3252">
        <v>-3250</v>
      </c>
      <c r="F3252" t="s">
        <v>559</v>
      </c>
      <c r="G3252" t="s">
        <v>560</v>
      </c>
    </row>
    <row r="3253" spans="1:7">
      <c r="A3253" t="s">
        <v>182</v>
      </c>
      <c r="B3253" t="s">
        <v>557</v>
      </c>
      <c r="C3253" t="s">
        <v>558</v>
      </c>
      <c r="D3253" t="s">
        <v>3810</v>
      </c>
      <c r="E3253">
        <v>-3251</v>
      </c>
      <c r="F3253" t="s">
        <v>559</v>
      </c>
      <c r="G3253" t="s">
        <v>560</v>
      </c>
    </row>
    <row r="3254" spans="1:7">
      <c r="A3254" t="s">
        <v>182</v>
      </c>
      <c r="B3254" t="s">
        <v>557</v>
      </c>
      <c r="C3254" t="s">
        <v>558</v>
      </c>
      <c r="D3254" t="s">
        <v>3811</v>
      </c>
      <c r="E3254">
        <v>-3252</v>
      </c>
      <c r="F3254" t="s">
        <v>559</v>
      </c>
      <c r="G3254" t="s">
        <v>560</v>
      </c>
    </row>
    <row r="3255" spans="1:7">
      <c r="A3255" t="s">
        <v>182</v>
      </c>
      <c r="B3255" t="s">
        <v>557</v>
      </c>
      <c r="C3255" t="s">
        <v>558</v>
      </c>
      <c r="D3255" t="s">
        <v>3812</v>
      </c>
      <c r="E3255">
        <v>-3253</v>
      </c>
      <c r="F3255" t="s">
        <v>559</v>
      </c>
      <c r="G3255" t="s">
        <v>560</v>
      </c>
    </row>
    <row r="3256" spans="1:7">
      <c r="A3256" t="s">
        <v>182</v>
      </c>
      <c r="B3256" t="s">
        <v>557</v>
      </c>
      <c r="C3256" t="s">
        <v>558</v>
      </c>
      <c r="D3256" t="s">
        <v>3813</v>
      </c>
      <c r="E3256">
        <v>-3254</v>
      </c>
      <c r="F3256" t="s">
        <v>559</v>
      </c>
      <c r="G3256" t="s">
        <v>560</v>
      </c>
    </row>
    <row r="3257" spans="1:7">
      <c r="A3257" t="s">
        <v>182</v>
      </c>
      <c r="B3257" t="s">
        <v>557</v>
      </c>
      <c r="C3257" t="s">
        <v>558</v>
      </c>
      <c r="D3257" t="s">
        <v>3814</v>
      </c>
      <c r="E3257">
        <v>-3255</v>
      </c>
      <c r="F3257" t="s">
        <v>559</v>
      </c>
      <c r="G3257" t="s">
        <v>560</v>
      </c>
    </row>
    <row r="3258" spans="1:7">
      <c r="A3258" t="s">
        <v>182</v>
      </c>
      <c r="B3258" t="s">
        <v>557</v>
      </c>
      <c r="C3258" t="s">
        <v>558</v>
      </c>
      <c r="D3258" t="s">
        <v>3815</v>
      </c>
      <c r="E3258">
        <v>-3256</v>
      </c>
      <c r="F3258" t="s">
        <v>559</v>
      </c>
      <c r="G3258" t="s">
        <v>560</v>
      </c>
    </row>
    <row r="3259" spans="1:7">
      <c r="A3259" t="s">
        <v>182</v>
      </c>
      <c r="B3259" t="s">
        <v>557</v>
      </c>
      <c r="C3259" t="s">
        <v>558</v>
      </c>
      <c r="D3259" t="s">
        <v>3816</v>
      </c>
      <c r="E3259">
        <v>-3257</v>
      </c>
      <c r="F3259" t="s">
        <v>559</v>
      </c>
      <c r="G3259" t="s">
        <v>560</v>
      </c>
    </row>
    <row r="3260" spans="1:7">
      <c r="A3260" t="s">
        <v>182</v>
      </c>
      <c r="B3260" t="s">
        <v>557</v>
      </c>
      <c r="C3260" t="s">
        <v>558</v>
      </c>
      <c r="D3260" t="s">
        <v>3817</v>
      </c>
      <c r="E3260">
        <v>-3258</v>
      </c>
      <c r="F3260" t="s">
        <v>559</v>
      </c>
      <c r="G3260" t="s">
        <v>560</v>
      </c>
    </row>
    <row r="3261" spans="1:7">
      <c r="A3261" t="s">
        <v>182</v>
      </c>
      <c r="B3261" t="s">
        <v>557</v>
      </c>
      <c r="C3261" t="s">
        <v>558</v>
      </c>
      <c r="D3261" t="s">
        <v>3818</v>
      </c>
      <c r="E3261">
        <v>-3259</v>
      </c>
      <c r="F3261" t="s">
        <v>559</v>
      </c>
      <c r="G3261" t="s">
        <v>560</v>
      </c>
    </row>
    <row r="3262" spans="1:7">
      <c r="A3262" t="s">
        <v>182</v>
      </c>
      <c r="B3262" t="s">
        <v>557</v>
      </c>
      <c r="C3262" t="s">
        <v>558</v>
      </c>
      <c r="D3262" t="s">
        <v>3819</v>
      </c>
      <c r="E3262">
        <v>-3260</v>
      </c>
      <c r="F3262" t="s">
        <v>559</v>
      </c>
      <c r="G3262" t="s">
        <v>560</v>
      </c>
    </row>
    <row r="3263" spans="1:7">
      <c r="A3263" t="s">
        <v>182</v>
      </c>
      <c r="B3263" t="s">
        <v>557</v>
      </c>
      <c r="C3263" t="s">
        <v>558</v>
      </c>
      <c r="D3263" t="s">
        <v>3820</v>
      </c>
      <c r="E3263">
        <v>-3261</v>
      </c>
      <c r="F3263" t="s">
        <v>559</v>
      </c>
      <c r="G3263" t="s">
        <v>560</v>
      </c>
    </row>
    <row r="3264" spans="1:7">
      <c r="A3264" t="s">
        <v>182</v>
      </c>
      <c r="B3264" t="s">
        <v>557</v>
      </c>
      <c r="C3264" t="s">
        <v>558</v>
      </c>
      <c r="D3264" t="s">
        <v>3821</v>
      </c>
      <c r="E3264">
        <v>-3262</v>
      </c>
      <c r="F3264" t="s">
        <v>559</v>
      </c>
      <c r="G3264" t="s">
        <v>560</v>
      </c>
    </row>
    <row r="3265" spans="1:7">
      <c r="A3265" t="s">
        <v>182</v>
      </c>
      <c r="B3265" t="s">
        <v>557</v>
      </c>
      <c r="C3265" t="s">
        <v>558</v>
      </c>
      <c r="D3265" t="s">
        <v>3822</v>
      </c>
      <c r="E3265">
        <v>-3263</v>
      </c>
      <c r="F3265" t="s">
        <v>559</v>
      </c>
      <c r="G3265" t="s">
        <v>560</v>
      </c>
    </row>
    <row r="3266" spans="1:7">
      <c r="A3266" t="s">
        <v>182</v>
      </c>
      <c r="B3266" t="s">
        <v>557</v>
      </c>
      <c r="C3266" t="s">
        <v>558</v>
      </c>
      <c r="D3266" t="s">
        <v>3823</v>
      </c>
      <c r="E3266">
        <v>-3264</v>
      </c>
      <c r="F3266" t="s">
        <v>559</v>
      </c>
      <c r="G3266" t="s">
        <v>560</v>
      </c>
    </row>
    <row r="3267" spans="1:7">
      <c r="A3267" t="s">
        <v>182</v>
      </c>
      <c r="B3267" t="s">
        <v>557</v>
      </c>
      <c r="C3267" t="s">
        <v>558</v>
      </c>
      <c r="D3267" t="s">
        <v>3824</v>
      </c>
      <c r="E3267">
        <v>-3265</v>
      </c>
      <c r="F3267" t="s">
        <v>559</v>
      </c>
      <c r="G3267" t="s">
        <v>560</v>
      </c>
    </row>
    <row r="3268" spans="1:7">
      <c r="A3268" t="s">
        <v>182</v>
      </c>
      <c r="B3268" t="s">
        <v>557</v>
      </c>
      <c r="C3268" t="s">
        <v>558</v>
      </c>
      <c r="D3268" t="s">
        <v>3825</v>
      </c>
      <c r="E3268">
        <v>-3266</v>
      </c>
      <c r="F3268" t="s">
        <v>559</v>
      </c>
      <c r="G3268" t="s">
        <v>560</v>
      </c>
    </row>
    <row r="3269" spans="1:7">
      <c r="A3269" t="s">
        <v>182</v>
      </c>
      <c r="B3269" t="s">
        <v>557</v>
      </c>
      <c r="C3269" t="s">
        <v>558</v>
      </c>
      <c r="D3269" t="s">
        <v>3826</v>
      </c>
      <c r="E3269">
        <v>-3267</v>
      </c>
      <c r="F3269" t="s">
        <v>559</v>
      </c>
      <c r="G3269" t="s">
        <v>560</v>
      </c>
    </row>
    <row r="3270" spans="1:7">
      <c r="A3270" t="s">
        <v>182</v>
      </c>
      <c r="B3270" t="s">
        <v>557</v>
      </c>
      <c r="C3270" t="s">
        <v>558</v>
      </c>
      <c r="D3270" t="s">
        <v>3827</v>
      </c>
      <c r="E3270">
        <v>-3268</v>
      </c>
      <c r="F3270" t="s">
        <v>559</v>
      </c>
      <c r="G3270" t="s">
        <v>560</v>
      </c>
    </row>
    <row r="3271" spans="1:7">
      <c r="A3271" t="s">
        <v>182</v>
      </c>
      <c r="B3271" t="s">
        <v>557</v>
      </c>
      <c r="C3271" t="s">
        <v>558</v>
      </c>
      <c r="D3271" t="s">
        <v>3828</v>
      </c>
      <c r="E3271">
        <v>-3269</v>
      </c>
      <c r="F3271" t="s">
        <v>559</v>
      </c>
      <c r="G3271" t="s">
        <v>560</v>
      </c>
    </row>
    <row r="3272" spans="1:7">
      <c r="A3272" t="s">
        <v>182</v>
      </c>
      <c r="B3272" t="s">
        <v>557</v>
      </c>
      <c r="C3272" t="s">
        <v>558</v>
      </c>
      <c r="D3272" t="s">
        <v>3829</v>
      </c>
      <c r="E3272">
        <v>-3270</v>
      </c>
      <c r="F3272" t="s">
        <v>559</v>
      </c>
      <c r="G3272" t="s">
        <v>560</v>
      </c>
    </row>
    <row r="3273" spans="1:7">
      <c r="A3273" t="s">
        <v>182</v>
      </c>
      <c r="B3273" t="s">
        <v>557</v>
      </c>
      <c r="C3273" t="s">
        <v>558</v>
      </c>
      <c r="D3273" t="s">
        <v>3830</v>
      </c>
      <c r="E3273">
        <v>-3271</v>
      </c>
      <c r="F3273" t="s">
        <v>559</v>
      </c>
      <c r="G3273" t="s">
        <v>560</v>
      </c>
    </row>
    <row r="3274" spans="1:7">
      <c r="A3274" t="s">
        <v>182</v>
      </c>
      <c r="B3274" t="s">
        <v>557</v>
      </c>
      <c r="C3274" t="s">
        <v>558</v>
      </c>
      <c r="D3274" t="s">
        <v>3831</v>
      </c>
      <c r="E3274">
        <v>-3272</v>
      </c>
      <c r="F3274" t="s">
        <v>559</v>
      </c>
      <c r="G3274" t="s">
        <v>560</v>
      </c>
    </row>
    <row r="3275" spans="1:7">
      <c r="A3275" t="s">
        <v>182</v>
      </c>
      <c r="B3275" t="s">
        <v>557</v>
      </c>
      <c r="C3275" t="s">
        <v>558</v>
      </c>
      <c r="D3275" t="s">
        <v>3832</v>
      </c>
      <c r="E3275">
        <v>-3273</v>
      </c>
      <c r="F3275" t="s">
        <v>559</v>
      </c>
      <c r="G3275" t="s">
        <v>560</v>
      </c>
    </row>
    <row r="3276" spans="1:7">
      <c r="A3276" t="s">
        <v>182</v>
      </c>
      <c r="B3276" t="s">
        <v>557</v>
      </c>
      <c r="C3276" t="s">
        <v>558</v>
      </c>
      <c r="D3276" t="s">
        <v>3833</v>
      </c>
      <c r="E3276">
        <v>-3274</v>
      </c>
      <c r="F3276" t="s">
        <v>559</v>
      </c>
      <c r="G3276" t="s">
        <v>560</v>
      </c>
    </row>
    <row r="3277" spans="1:7">
      <c r="A3277" t="s">
        <v>182</v>
      </c>
      <c r="B3277" t="s">
        <v>557</v>
      </c>
      <c r="C3277" t="s">
        <v>558</v>
      </c>
      <c r="D3277" t="s">
        <v>3834</v>
      </c>
      <c r="E3277">
        <v>-3275</v>
      </c>
      <c r="F3277" t="s">
        <v>559</v>
      </c>
      <c r="G3277" t="s">
        <v>560</v>
      </c>
    </row>
    <row r="3278" spans="1:7">
      <c r="A3278" t="s">
        <v>182</v>
      </c>
      <c r="B3278" t="s">
        <v>557</v>
      </c>
      <c r="C3278" t="s">
        <v>558</v>
      </c>
      <c r="D3278" t="s">
        <v>3835</v>
      </c>
      <c r="E3278">
        <v>-3276</v>
      </c>
      <c r="F3278" t="s">
        <v>559</v>
      </c>
      <c r="G3278" t="s">
        <v>560</v>
      </c>
    </row>
    <row r="3279" spans="1:7">
      <c r="A3279" t="s">
        <v>182</v>
      </c>
      <c r="B3279" t="s">
        <v>557</v>
      </c>
      <c r="C3279" t="s">
        <v>558</v>
      </c>
      <c r="D3279" t="s">
        <v>3836</v>
      </c>
      <c r="E3279">
        <v>-3277</v>
      </c>
      <c r="F3279" t="s">
        <v>559</v>
      </c>
      <c r="G3279" t="s">
        <v>560</v>
      </c>
    </row>
    <row r="3280" spans="1:7">
      <c r="A3280" t="s">
        <v>182</v>
      </c>
      <c r="B3280" t="s">
        <v>557</v>
      </c>
      <c r="C3280" t="s">
        <v>558</v>
      </c>
      <c r="D3280" t="s">
        <v>3837</v>
      </c>
      <c r="E3280">
        <v>-3278</v>
      </c>
      <c r="F3280" t="s">
        <v>559</v>
      </c>
      <c r="G3280" t="s">
        <v>560</v>
      </c>
    </row>
    <row r="3281" spans="1:7">
      <c r="A3281" t="s">
        <v>182</v>
      </c>
      <c r="B3281" t="s">
        <v>557</v>
      </c>
      <c r="C3281" t="s">
        <v>558</v>
      </c>
      <c r="D3281" t="s">
        <v>3838</v>
      </c>
      <c r="E3281">
        <v>-3279</v>
      </c>
      <c r="F3281" t="s">
        <v>559</v>
      </c>
      <c r="G3281" t="s">
        <v>560</v>
      </c>
    </row>
    <row r="3282" spans="1:7">
      <c r="A3282" t="s">
        <v>182</v>
      </c>
      <c r="B3282" t="s">
        <v>557</v>
      </c>
      <c r="C3282" t="s">
        <v>558</v>
      </c>
      <c r="D3282" t="s">
        <v>3839</v>
      </c>
      <c r="E3282">
        <v>-3280</v>
      </c>
      <c r="F3282" t="s">
        <v>559</v>
      </c>
      <c r="G3282" t="s">
        <v>560</v>
      </c>
    </row>
    <row r="3283" spans="1:7">
      <c r="A3283" t="s">
        <v>182</v>
      </c>
      <c r="B3283" t="s">
        <v>557</v>
      </c>
      <c r="C3283" t="s">
        <v>558</v>
      </c>
      <c r="D3283" t="s">
        <v>3840</v>
      </c>
      <c r="E3283">
        <v>-3281</v>
      </c>
      <c r="F3283" t="s">
        <v>559</v>
      </c>
      <c r="G3283" t="s">
        <v>560</v>
      </c>
    </row>
    <row r="3284" spans="1:7">
      <c r="A3284" t="s">
        <v>182</v>
      </c>
      <c r="B3284" t="s">
        <v>557</v>
      </c>
      <c r="C3284" t="s">
        <v>558</v>
      </c>
      <c r="D3284" t="s">
        <v>3841</v>
      </c>
      <c r="E3284">
        <v>-3282</v>
      </c>
      <c r="F3284" t="s">
        <v>559</v>
      </c>
      <c r="G3284" t="s">
        <v>560</v>
      </c>
    </row>
    <row r="3285" spans="1:7">
      <c r="A3285" t="s">
        <v>182</v>
      </c>
      <c r="B3285" t="s">
        <v>557</v>
      </c>
      <c r="C3285" t="s">
        <v>558</v>
      </c>
      <c r="D3285" t="s">
        <v>3842</v>
      </c>
      <c r="E3285">
        <v>-3283</v>
      </c>
      <c r="F3285" t="s">
        <v>559</v>
      </c>
      <c r="G3285" t="s">
        <v>560</v>
      </c>
    </row>
    <row r="3286" spans="1:7">
      <c r="A3286" t="s">
        <v>182</v>
      </c>
      <c r="B3286" t="s">
        <v>557</v>
      </c>
      <c r="C3286" t="s">
        <v>558</v>
      </c>
      <c r="D3286" t="s">
        <v>3843</v>
      </c>
      <c r="E3286">
        <v>-3284</v>
      </c>
      <c r="F3286" t="s">
        <v>559</v>
      </c>
      <c r="G3286" t="s">
        <v>560</v>
      </c>
    </row>
    <row r="3287" spans="1:7">
      <c r="A3287" t="s">
        <v>182</v>
      </c>
      <c r="B3287" t="s">
        <v>557</v>
      </c>
      <c r="C3287" t="s">
        <v>558</v>
      </c>
      <c r="D3287" t="s">
        <v>3844</v>
      </c>
      <c r="E3287">
        <v>-3285</v>
      </c>
      <c r="F3287" t="s">
        <v>559</v>
      </c>
      <c r="G3287" t="s">
        <v>560</v>
      </c>
    </row>
    <row r="3288" spans="1:7">
      <c r="A3288" t="s">
        <v>182</v>
      </c>
      <c r="B3288" t="s">
        <v>557</v>
      </c>
      <c r="C3288" t="s">
        <v>558</v>
      </c>
      <c r="D3288" t="s">
        <v>3845</v>
      </c>
      <c r="E3288">
        <v>-3286</v>
      </c>
      <c r="F3288" t="s">
        <v>559</v>
      </c>
      <c r="G3288" t="s">
        <v>560</v>
      </c>
    </row>
    <row r="3289" spans="1:7">
      <c r="A3289" t="s">
        <v>182</v>
      </c>
      <c r="B3289" t="s">
        <v>557</v>
      </c>
      <c r="C3289" t="s">
        <v>558</v>
      </c>
      <c r="D3289" t="s">
        <v>3846</v>
      </c>
      <c r="E3289">
        <v>-3287</v>
      </c>
      <c r="F3289" t="s">
        <v>559</v>
      </c>
      <c r="G3289" t="s">
        <v>560</v>
      </c>
    </row>
    <row r="3290" spans="1:7">
      <c r="A3290" t="s">
        <v>182</v>
      </c>
      <c r="B3290" t="s">
        <v>557</v>
      </c>
      <c r="C3290" t="s">
        <v>558</v>
      </c>
      <c r="D3290" t="s">
        <v>3847</v>
      </c>
      <c r="E3290">
        <v>-3288</v>
      </c>
      <c r="F3290" t="s">
        <v>559</v>
      </c>
      <c r="G3290" t="s">
        <v>560</v>
      </c>
    </row>
    <row r="3291" spans="1:7">
      <c r="A3291" t="s">
        <v>182</v>
      </c>
      <c r="B3291" t="s">
        <v>557</v>
      </c>
      <c r="C3291" t="s">
        <v>558</v>
      </c>
      <c r="D3291" t="s">
        <v>3848</v>
      </c>
      <c r="E3291">
        <v>-3289</v>
      </c>
      <c r="F3291" t="s">
        <v>559</v>
      </c>
      <c r="G3291" t="s">
        <v>560</v>
      </c>
    </row>
    <row r="3292" spans="1:7">
      <c r="A3292" t="s">
        <v>182</v>
      </c>
      <c r="B3292" t="s">
        <v>557</v>
      </c>
      <c r="C3292" t="s">
        <v>558</v>
      </c>
      <c r="D3292" t="s">
        <v>3849</v>
      </c>
      <c r="E3292">
        <v>-3290</v>
      </c>
      <c r="F3292" t="s">
        <v>559</v>
      </c>
      <c r="G3292" t="s">
        <v>560</v>
      </c>
    </row>
    <row r="3293" spans="1:7">
      <c r="A3293" t="s">
        <v>182</v>
      </c>
      <c r="B3293" t="s">
        <v>557</v>
      </c>
      <c r="C3293" t="s">
        <v>558</v>
      </c>
      <c r="D3293" t="s">
        <v>3850</v>
      </c>
      <c r="E3293">
        <v>-3291</v>
      </c>
      <c r="F3293" t="s">
        <v>559</v>
      </c>
      <c r="G3293" t="s">
        <v>560</v>
      </c>
    </row>
    <row r="3294" spans="1:7">
      <c r="A3294" t="s">
        <v>182</v>
      </c>
      <c r="B3294" t="s">
        <v>557</v>
      </c>
      <c r="C3294" t="s">
        <v>558</v>
      </c>
      <c r="D3294" t="s">
        <v>3851</v>
      </c>
      <c r="E3294">
        <v>-3292</v>
      </c>
      <c r="F3294" t="s">
        <v>559</v>
      </c>
      <c r="G3294" t="s">
        <v>560</v>
      </c>
    </row>
    <row r="3295" spans="1:7">
      <c r="A3295" t="s">
        <v>182</v>
      </c>
      <c r="B3295" t="s">
        <v>557</v>
      </c>
      <c r="C3295" t="s">
        <v>558</v>
      </c>
      <c r="D3295" t="s">
        <v>3852</v>
      </c>
      <c r="E3295">
        <v>-3293</v>
      </c>
      <c r="F3295" t="s">
        <v>559</v>
      </c>
      <c r="G3295" t="s">
        <v>560</v>
      </c>
    </row>
    <row r="3296" spans="1:7">
      <c r="A3296" t="s">
        <v>182</v>
      </c>
      <c r="B3296" t="s">
        <v>557</v>
      </c>
      <c r="C3296" t="s">
        <v>558</v>
      </c>
      <c r="D3296" t="s">
        <v>3853</v>
      </c>
      <c r="E3296">
        <v>-3294</v>
      </c>
      <c r="F3296" t="s">
        <v>559</v>
      </c>
      <c r="G3296" t="s">
        <v>560</v>
      </c>
    </row>
    <row r="3297" spans="1:7">
      <c r="A3297" t="s">
        <v>182</v>
      </c>
      <c r="B3297" t="s">
        <v>557</v>
      </c>
      <c r="C3297" t="s">
        <v>558</v>
      </c>
      <c r="D3297" t="s">
        <v>3854</v>
      </c>
      <c r="E3297">
        <v>-3295</v>
      </c>
      <c r="F3297" t="s">
        <v>559</v>
      </c>
      <c r="G3297" t="s">
        <v>560</v>
      </c>
    </row>
    <row r="3298" spans="1:7">
      <c r="A3298" t="s">
        <v>182</v>
      </c>
      <c r="B3298" t="s">
        <v>557</v>
      </c>
      <c r="C3298" t="s">
        <v>558</v>
      </c>
      <c r="D3298" t="s">
        <v>3855</v>
      </c>
      <c r="E3298">
        <v>-3296</v>
      </c>
      <c r="F3298" t="s">
        <v>559</v>
      </c>
      <c r="G3298" t="s">
        <v>560</v>
      </c>
    </row>
    <row r="3299" spans="1:7">
      <c r="A3299" t="s">
        <v>182</v>
      </c>
      <c r="B3299" t="s">
        <v>557</v>
      </c>
      <c r="C3299" t="s">
        <v>558</v>
      </c>
      <c r="D3299" t="s">
        <v>3856</v>
      </c>
      <c r="E3299">
        <v>-3297</v>
      </c>
      <c r="F3299" t="s">
        <v>559</v>
      </c>
      <c r="G3299" t="s">
        <v>560</v>
      </c>
    </row>
    <row r="3300" spans="1:7">
      <c r="A3300" t="s">
        <v>182</v>
      </c>
      <c r="B3300" t="s">
        <v>557</v>
      </c>
      <c r="C3300" t="s">
        <v>558</v>
      </c>
      <c r="D3300" t="s">
        <v>3857</v>
      </c>
      <c r="E3300">
        <v>-3298</v>
      </c>
      <c r="F3300" t="s">
        <v>559</v>
      </c>
      <c r="G3300" t="s">
        <v>560</v>
      </c>
    </row>
    <row r="3301" spans="1:7">
      <c r="A3301" t="s">
        <v>182</v>
      </c>
      <c r="B3301" t="s">
        <v>557</v>
      </c>
      <c r="C3301" t="s">
        <v>558</v>
      </c>
      <c r="D3301" t="s">
        <v>3858</v>
      </c>
      <c r="E3301">
        <v>-3299</v>
      </c>
      <c r="F3301" t="s">
        <v>559</v>
      </c>
      <c r="G3301" t="s">
        <v>560</v>
      </c>
    </row>
    <row r="3302" spans="1:7">
      <c r="A3302" t="s">
        <v>182</v>
      </c>
      <c r="B3302" t="s">
        <v>557</v>
      </c>
      <c r="C3302" t="s">
        <v>558</v>
      </c>
      <c r="D3302" t="s">
        <v>3859</v>
      </c>
      <c r="E3302">
        <v>-3300</v>
      </c>
      <c r="F3302" t="s">
        <v>559</v>
      </c>
      <c r="G3302" t="s">
        <v>560</v>
      </c>
    </row>
    <row r="3303" spans="1:7">
      <c r="A3303" t="s">
        <v>182</v>
      </c>
      <c r="B3303" t="s">
        <v>557</v>
      </c>
      <c r="C3303" t="s">
        <v>558</v>
      </c>
      <c r="D3303" t="s">
        <v>3860</v>
      </c>
      <c r="E3303">
        <v>-3301</v>
      </c>
      <c r="F3303" t="s">
        <v>559</v>
      </c>
      <c r="G3303" t="s">
        <v>560</v>
      </c>
    </row>
    <row r="3304" spans="1:7">
      <c r="A3304" t="s">
        <v>182</v>
      </c>
      <c r="B3304" t="s">
        <v>557</v>
      </c>
      <c r="C3304" t="s">
        <v>558</v>
      </c>
      <c r="D3304" t="s">
        <v>3861</v>
      </c>
      <c r="E3304">
        <v>-3302</v>
      </c>
      <c r="F3304" t="s">
        <v>559</v>
      </c>
      <c r="G3304" t="s">
        <v>560</v>
      </c>
    </row>
    <row r="3305" spans="1:7">
      <c r="A3305" t="s">
        <v>182</v>
      </c>
      <c r="B3305" t="s">
        <v>557</v>
      </c>
      <c r="C3305" t="s">
        <v>558</v>
      </c>
      <c r="D3305" t="s">
        <v>3862</v>
      </c>
      <c r="E3305">
        <v>-3303</v>
      </c>
      <c r="F3305" t="s">
        <v>559</v>
      </c>
      <c r="G3305" t="s">
        <v>560</v>
      </c>
    </row>
    <row r="3306" spans="1:7">
      <c r="A3306" t="s">
        <v>182</v>
      </c>
      <c r="B3306" t="s">
        <v>557</v>
      </c>
      <c r="C3306" t="s">
        <v>558</v>
      </c>
      <c r="D3306" t="s">
        <v>3863</v>
      </c>
      <c r="E3306">
        <v>-3304</v>
      </c>
      <c r="F3306" t="s">
        <v>559</v>
      </c>
      <c r="G3306" t="s">
        <v>560</v>
      </c>
    </row>
    <row r="3307" spans="1:7">
      <c r="A3307" t="s">
        <v>182</v>
      </c>
      <c r="B3307" t="s">
        <v>557</v>
      </c>
      <c r="C3307" t="s">
        <v>558</v>
      </c>
      <c r="D3307" t="s">
        <v>3864</v>
      </c>
      <c r="E3307">
        <v>-3305</v>
      </c>
      <c r="F3307" t="s">
        <v>559</v>
      </c>
      <c r="G3307" t="s">
        <v>560</v>
      </c>
    </row>
    <row r="3308" spans="1:7">
      <c r="A3308" t="s">
        <v>182</v>
      </c>
      <c r="B3308" t="s">
        <v>557</v>
      </c>
      <c r="C3308" t="s">
        <v>558</v>
      </c>
      <c r="D3308" t="s">
        <v>3865</v>
      </c>
      <c r="E3308">
        <v>-3306</v>
      </c>
      <c r="F3308" t="s">
        <v>559</v>
      </c>
      <c r="G3308" t="s">
        <v>560</v>
      </c>
    </row>
    <row r="3309" spans="1:7">
      <c r="A3309" t="s">
        <v>182</v>
      </c>
      <c r="B3309" t="s">
        <v>557</v>
      </c>
      <c r="C3309" t="s">
        <v>558</v>
      </c>
      <c r="D3309" t="s">
        <v>3866</v>
      </c>
      <c r="E3309">
        <v>-3307</v>
      </c>
      <c r="F3309" t="s">
        <v>559</v>
      </c>
      <c r="G3309" t="s">
        <v>560</v>
      </c>
    </row>
    <row r="3310" spans="1:7">
      <c r="A3310" t="s">
        <v>182</v>
      </c>
      <c r="B3310" t="s">
        <v>557</v>
      </c>
      <c r="C3310" t="s">
        <v>558</v>
      </c>
      <c r="D3310" t="s">
        <v>3867</v>
      </c>
      <c r="E3310">
        <v>-3308</v>
      </c>
      <c r="F3310" t="s">
        <v>559</v>
      </c>
      <c r="G3310" t="s">
        <v>560</v>
      </c>
    </row>
    <row r="3311" spans="1:7">
      <c r="A3311" t="s">
        <v>182</v>
      </c>
      <c r="B3311" t="s">
        <v>557</v>
      </c>
      <c r="C3311" t="s">
        <v>558</v>
      </c>
      <c r="D3311" t="s">
        <v>3868</v>
      </c>
      <c r="E3311">
        <v>-3309</v>
      </c>
      <c r="F3311" t="s">
        <v>559</v>
      </c>
      <c r="G3311" t="s">
        <v>560</v>
      </c>
    </row>
    <row r="3312" spans="1:7">
      <c r="A3312" t="s">
        <v>182</v>
      </c>
      <c r="B3312" t="s">
        <v>557</v>
      </c>
      <c r="C3312" t="s">
        <v>558</v>
      </c>
      <c r="D3312" t="s">
        <v>3869</v>
      </c>
      <c r="E3312">
        <v>-3310</v>
      </c>
      <c r="F3312" t="s">
        <v>559</v>
      </c>
      <c r="G3312" t="s">
        <v>560</v>
      </c>
    </row>
    <row r="3313" spans="1:7">
      <c r="A3313" t="s">
        <v>182</v>
      </c>
      <c r="B3313" t="s">
        <v>557</v>
      </c>
      <c r="C3313" t="s">
        <v>558</v>
      </c>
      <c r="D3313" t="s">
        <v>3870</v>
      </c>
      <c r="E3313">
        <v>-3311</v>
      </c>
      <c r="F3313" t="s">
        <v>559</v>
      </c>
      <c r="G3313" t="s">
        <v>560</v>
      </c>
    </row>
    <row r="3314" spans="1:7">
      <c r="A3314" t="s">
        <v>182</v>
      </c>
      <c r="B3314" t="s">
        <v>557</v>
      </c>
      <c r="C3314" t="s">
        <v>558</v>
      </c>
      <c r="D3314" t="s">
        <v>3871</v>
      </c>
      <c r="E3314">
        <v>-3312</v>
      </c>
      <c r="F3314" t="s">
        <v>559</v>
      </c>
      <c r="G3314" t="s">
        <v>560</v>
      </c>
    </row>
    <row r="3315" spans="1:7">
      <c r="A3315" t="s">
        <v>182</v>
      </c>
      <c r="B3315" t="s">
        <v>557</v>
      </c>
      <c r="C3315" t="s">
        <v>558</v>
      </c>
      <c r="D3315" t="s">
        <v>3872</v>
      </c>
      <c r="E3315">
        <v>-3313</v>
      </c>
      <c r="F3315" t="s">
        <v>559</v>
      </c>
      <c r="G3315" t="s">
        <v>560</v>
      </c>
    </row>
    <row r="3316" spans="1:7">
      <c r="A3316" t="s">
        <v>182</v>
      </c>
      <c r="B3316" t="s">
        <v>557</v>
      </c>
      <c r="C3316" t="s">
        <v>558</v>
      </c>
      <c r="D3316" t="s">
        <v>3873</v>
      </c>
      <c r="E3316">
        <v>-3314</v>
      </c>
      <c r="F3316" t="s">
        <v>559</v>
      </c>
      <c r="G3316" t="s">
        <v>560</v>
      </c>
    </row>
    <row r="3317" spans="1:7">
      <c r="A3317" t="s">
        <v>182</v>
      </c>
      <c r="B3317" t="s">
        <v>557</v>
      </c>
      <c r="C3317" t="s">
        <v>558</v>
      </c>
      <c r="D3317" t="s">
        <v>3874</v>
      </c>
      <c r="E3317">
        <v>-3315</v>
      </c>
      <c r="F3317" t="s">
        <v>559</v>
      </c>
      <c r="G3317" t="s">
        <v>560</v>
      </c>
    </row>
    <row r="3318" spans="1:7">
      <c r="A3318" t="s">
        <v>182</v>
      </c>
      <c r="B3318" t="s">
        <v>557</v>
      </c>
      <c r="C3318" t="s">
        <v>558</v>
      </c>
      <c r="D3318" t="s">
        <v>3875</v>
      </c>
      <c r="E3318">
        <v>-3316</v>
      </c>
      <c r="F3318" t="s">
        <v>559</v>
      </c>
      <c r="G3318" t="s">
        <v>560</v>
      </c>
    </row>
    <row r="3319" spans="1:7">
      <c r="A3319" t="s">
        <v>182</v>
      </c>
      <c r="B3319" t="s">
        <v>557</v>
      </c>
      <c r="C3319" t="s">
        <v>558</v>
      </c>
      <c r="D3319" t="s">
        <v>3876</v>
      </c>
      <c r="E3319">
        <v>-3317</v>
      </c>
      <c r="F3319" t="s">
        <v>559</v>
      </c>
      <c r="G3319" t="s">
        <v>560</v>
      </c>
    </row>
    <row r="3320" spans="1:7">
      <c r="A3320" t="s">
        <v>182</v>
      </c>
      <c r="B3320" t="s">
        <v>557</v>
      </c>
      <c r="C3320" t="s">
        <v>558</v>
      </c>
      <c r="D3320" t="s">
        <v>3877</v>
      </c>
      <c r="E3320">
        <v>-3318</v>
      </c>
      <c r="F3320" t="s">
        <v>559</v>
      </c>
      <c r="G3320" t="s">
        <v>560</v>
      </c>
    </row>
    <row r="3321" spans="1:7">
      <c r="A3321" t="s">
        <v>182</v>
      </c>
      <c r="B3321" t="s">
        <v>557</v>
      </c>
      <c r="C3321" t="s">
        <v>558</v>
      </c>
      <c r="D3321" t="s">
        <v>3878</v>
      </c>
      <c r="E3321">
        <v>-3319</v>
      </c>
      <c r="F3321" t="s">
        <v>559</v>
      </c>
      <c r="G3321" t="s">
        <v>560</v>
      </c>
    </row>
    <row r="3322" spans="1:7">
      <c r="A3322" t="s">
        <v>182</v>
      </c>
      <c r="B3322" t="s">
        <v>557</v>
      </c>
      <c r="C3322" t="s">
        <v>558</v>
      </c>
      <c r="D3322" t="s">
        <v>3879</v>
      </c>
      <c r="E3322">
        <v>-3320</v>
      </c>
      <c r="F3322" t="s">
        <v>559</v>
      </c>
      <c r="G3322" t="s">
        <v>560</v>
      </c>
    </row>
    <row r="3323" spans="1:7">
      <c r="A3323" t="s">
        <v>182</v>
      </c>
      <c r="B3323" t="s">
        <v>557</v>
      </c>
      <c r="C3323" t="s">
        <v>558</v>
      </c>
      <c r="D3323" t="s">
        <v>3880</v>
      </c>
      <c r="E3323">
        <v>-3321</v>
      </c>
      <c r="F3323" t="s">
        <v>559</v>
      </c>
      <c r="G3323" t="s">
        <v>560</v>
      </c>
    </row>
    <row r="3324" spans="1:7">
      <c r="A3324" t="s">
        <v>182</v>
      </c>
      <c r="B3324" t="s">
        <v>557</v>
      </c>
      <c r="C3324" t="s">
        <v>558</v>
      </c>
      <c r="D3324" t="s">
        <v>3881</v>
      </c>
      <c r="E3324">
        <v>-3322</v>
      </c>
      <c r="F3324" t="s">
        <v>559</v>
      </c>
      <c r="G3324" t="s">
        <v>560</v>
      </c>
    </row>
    <row r="3325" spans="1:7">
      <c r="A3325" t="s">
        <v>182</v>
      </c>
      <c r="B3325" t="s">
        <v>557</v>
      </c>
      <c r="C3325" t="s">
        <v>558</v>
      </c>
      <c r="D3325" t="s">
        <v>3882</v>
      </c>
      <c r="E3325">
        <v>-3323</v>
      </c>
      <c r="F3325" t="s">
        <v>559</v>
      </c>
      <c r="G3325" t="s">
        <v>560</v>
      </c>
    </row>
    <row r="3326" spans="1:7">
      <c r="A3326" t="s">
        <v>182</v>
      </c>
      <c r="B3326" t="s">
        <v>557</v>
      </c>
      <c r="C3326" t="s">
        <v>558</v>
      </c>
      <c r="D3326" t="s">
        <v>3883</v>
      </c>
      <c r="E3326">
        <v>-3324</v>
      </c>
      <c r="F3326" t="s">
        <v>559</v>
      </c>
      <c r="G3326" t="s">
        <v>560</v>
      </c>
    </row>
    <row r="3327" spans="1:7">
      <c r="A3327" t="s">
        <v>182</v>
      </c>
      <c r="B3327" t="s">
        <v>557</v>
      </c>
      <c r="C3327" t="s">
        <v>558</v>
      </c>
      <c r="D3327" t="s">
        <v>3884</v>
      </c>
      <c r="E3327">
        <v>-3325</v>
      </c>
      <c r="F3327" t="s">
        <v>559</v>
      </c>
      <c r="G3327" t="s">
        <v>560</v>
      </c>
    </row>
    <row r="3328" spans="1:7">
      <c r="A3328" t="s">
        <v>182</v>
      </c>
      <c r="B3328" t="s">
        <v>557</v>
      </c>
      <c r="C3328" t="s">
        <v>558</v>
      </c>
      <c r="D3328" t="s">
        <v>3885</v>
      </c>
      <c r="E3328">
        <v>-3326</v>
      </c>
      <c r="F3328" t="s">
        <v>559</v>
      </c>
      <c r="G3328" t="s">
        <v>560</v>
      </c>
    </row>
    <row r="3329" spans="1:7">
      <c r="A3329" t="s">
        <v>182</v>
      </c>
      <c r="B3329" t="s">
        <v>557</v>
      </c>
      <c r="C3329" t="s">
        <v>558</v>
      </c>
      <c r="D3329" t="s">
        <v>3886</v>
      </c>
      <c r="E3329">
        <v>-3327</v>
      </c>
      <c r="F3329" t="s">
        <v>559</v>
      </c>
      <c r="G3329" t="s">
        <v>560</v>
      </c>
    </row>
    <row r="3330" spans="1:7">
      <c r="A3330" t="s">
        <v>182</v>
      </c>
      <c r="B3330" t="s">
        <v>557</v>
      </c>
      <c r="C3330" t="s">
        <v>558</v>
      </c>
      <c r="D3330" t="s">
        <v>3887</v>
      </c>
      <c r="E3330">
        <v>-3328</v>
      </c>
      <c r="F3330" t="s">
        <v>559</v>
      </c>
      <c r="G3330" t="s">
        <v>560</v>
      </c>
    </row>
    <row r="3331" spans="1:7">
      <c r="A3331" t="s">
        <v>182</v>
      </c>
      <c r="B3331" t="s">
        <v>557</v>
      </c>
      <c r="C3331" t="s">
        <v>558</v>
      </c>
      <c r="D3331" t="s">
        <v>3888</v>
      </c>
      <c r="E3331">
        <v>-3329</v>
      </c>
      <c r="F3331" t="s">
        <v>559</v>
      </c>
      <c r="G3331" t="s">
        <v>560</v>
      </c>
    </row>
    <row r="3332" spans="1:7">
      <c r="A3332" t="s">
        <v>182</v>
      </c>
      <c r="B3332" t="s">
        <v>557</v>
      </c>
      <c r="C3332" t="s">
        <v>558</v>
      </c>
      <c r="D3332" t="s">
        <v>3889</v>
      </c>
      <c r="E3332">
        <v>-3330</v>
      </c>
      <c r="F3332" t="s">
        <v>559</v>
      </c>
      <c r="G3332" t="s">
        <v>560</v>
      </c>
    </row>
    <row r="3333" spans="1:7">
      <c r="A3333" t="s">
        <v>182</v>
      </c>
      <c r="B3333" t="s">
        <v>557</v>
      </c>
      <c r="C3333" t="s">
        <v>558</v>
      </c>
      <c r="D3333" t="s">
        <v>3890</v>
      </c>
      <c r="E3333">
        <v>-3331</v>
      </c>
      <c r="F3333" t="s">
        <v>559</v>
      </c>
      <c r="G3333" t="s">
        <v>560</v>
      </c>
    </row>
    <row r="3334" spans="1:7">
      <c r="A3334" t="s">
        <v>182</v>
      </c>
      <c r="B3334" t="s">
        <v>557</v>
      </c>
      <c r="C3334" t="s">
        <v>558</v>
      </c>
      <c r="D3334" t="s">
        <v>3891</v>
      </c>
      <c r="E3334">
        <v>-3332</v>
      </c>
      <c r="F3334" t="s">
        <v>559</v>
      </c>
      <c r="G3334" t="s">
        <v>560</v>
      </c>
    </row>
    <row r="3335" spans="1:7">
      <c r="A3335" t="s">
        <v>182</v>
      </c>
      <c r="B3335" t="s">
        <v>557</v>
      </c>
      <c r="C3335" t="s">
        <v>558</v>
      </c>
      <c r="D3335" t="s">
        <v>3892</v>
      </c>
      <c r="E3335">
        <v>-3333</v>
      </c>
      <c r="F3335" t="s">
        <v>559</v>
      </c>
      <c r="G3335" t="s">
        <v>560</v>
      </c>
    </row>
    <row r="3336" spans="1:7">
      <c r="A3336" t="s">
        <v>182</v>
      </c>
      <c r="B3336" t="s">
        <v>557</v>
      </c>
      <c r="C3336" t="s">
        <v>558</v>
      </c>
      <c r="D3336" t="s">
        <v>3893</v>
      </c>
      <c r="E3336">
        <v>-3334</v>
      </c>
      <c r="F3336" t="s">
        <v>559</v>
      </c>
      <c r="G3336" t="s">
        <v>560</v>
      </c>
    </row>
    <row r="3337" spans="1:7">
      <c r="A3337" t="s">
        <v>182</v>
      </c>
      <c r="B3337" t="s">
        <v>557</v>
      </c>
      <c r="C3337" t="s">
        <v>558</v>
      </c>
      <c r="D3337" t="s">
        <v>3894</v>
      </c>
      <c r="E3337">
        <v>-3335</v>
      </c>
      <c r="F3337" t="s">
        <v>559</v>
      </c>
      <c r="G3337" t="s">
        <v>560</v>
      </c>
    </row>
    <row r="3338" spans="1:7">
      <c r="A3338" t="s">
        <v>182</v>
      </c>
      <c r="B3338" t="s">
        <v>557</v>
      </c>
      <c r="C3338" t="s">
        <v>558</v>
      </c>
      <c r="D3338" t="s">
        <v>3895</v>
      </c>
      <c r="E3338">
        <v>-3336</v>
      </c>
      <c r="F3338" t="s">
        <v>559</v>
      </c>
      <c r="G3338" t="s">
        <v>560</v>
      </c>
    </row>
    <row r="3339" spans="1:7">
      <c r="A3339" t="s">
        <v>182</v>
      </c>
      <c r="B3339" t="s">
        <v>557</v>
      </c>
      <c r="C3339" t="s">
        <v>558</v>
      </c>
      <c r="D3339" t="s">
        <v>3896</v>
      </c>
      <c r="E3339">
        <v>-3337</v>
      </c>
      <c r="F3339" t="s">
        <v>559</v>
      </c>
      <c r="G3339" t="s">
        <v>560</v>
      </c>
    </row>
    <row r="3340" spans="1:7">
      <c r="A3340" t="s">
        <v>182</v>
      </c>
      <c r="B3340" t="s">
        <v>557</v>
      </c>
      <c r="C3340" t="s">
        <v>558</v>
      </c>
      <c r="D3340" t="s">
        <v>3897</v>
      </c>
      <c r="E3340">
        <v>-3338</v>
      </c>
      <c r="F3340" t="s">
        <v>559</v>
      </c>
      <c r="G3340" t="s">
        <v>560</v>
      </c>
    </row>
    <row r="3341" spans="1:7">
      <c r="A3341" t="s">
        <v>182</v>
      </c>
      <c r="B3341" t="s">
        <v>557</v>
      </c>
      <c r="C3341" t="s">
        <v>558</v>
      </c>
      <c r="D3341" t="s">
        <v>3898</v>
      </c>
      <c r="E3341">
        <v>-3339</v>
      </c>
      <c r="F3341" t="s">
        <v>559</v>
      </c>
      <c r="G3341" t="s">
        <v>560</v>
      </c>
    </row>
    <row r="3342" spans="1:7">
      <c r="A3342" t="s">
        <v>182</v>
      </c>
      <c r="B3342" t="s">
        <v>557</v>
      </c>
      <c r="C3342" t="s">
        <v>558</v>
      </c>
      <c r="D3342" t="s">
        <v>3899</v>
      </c>
      <c r="E3342">
        <v>-3340</v>
      </c>
      <c r="F3342" t="s">
        <v>559</v>
      </c>
      <c r="G3342" t="s">
        <v>560</v>
      </c>
    </row>
    <row r="3343" spans="1:7">
      <c r="A3343" t="s">
        <v>182</v>
      </c>
      <c r="B3343" t="s">
        <v>557</v>
      </c>
      <c r="C3343" t="s">
        <v>558</v>
      </c>
      <c r="D3343" t="s">
        <v>3900</v>
      </c>
      <c r="E3343">
        <v>-3341</v>
      </c>
      <c r="F3343" t="s">
        <v>559</v>
      </c>
      <c r="G3343" t="s">
        <v>560</v>
      </c>
    </row>
    <row r="3344" spans="1:7">
      <c r="A3344" t="s">
        <v>182</v>
      </c>
      <c r="B3344" t="s">
        <v>557</v>
      </c>
      <c r="C3344" t="s">
        <v>558</v>
      </c>
      <c r="D3344" t="s">
        <v>3901</v>
      </c>
      <c r="E3344">
        <v>-3342</v>
      </c>
      <c r="F3344" t="s">
        <v>559</v>
      </c>
      <c r="G3344" t="s">
        <v>560</v>
      </c>
    </row>
    <row r="3345" spans="1:7">
      <c r="A3345" t="s">
        <v>182</v>
      </c>
      <c r="B3345" t="s">
        <v>557</v>
      </c>
      <c r="C3345" t="s">
        <v>558</v>
      </c>
      <c r="D3345" t="s">
        <v>3902</v>
      </c>
      <c r="E3345">
        <v>-3343</v>
      </c>
      <c r="F3345" t="s">
        <v>559</v>
      </c>
      <c r="G3345" t="s">
        <v>560</v>
      </c>
    </row>
    <row r="3346" spans="1:7">
      <c r="A3346" t="s">
        <v>182</v>
      </c>
      <c r="B3346" t="s">
        <v>557</v>
      </c>
      <c r="C3346" t="s">
        <v>558</v>
      </c>
      <c r="D3346" t="s">
        <v>3903</v>
      </c>
      <c r="E3346">
        <v>-3344</v>
      </c>
      <c r="F3346" t="s">
        <v>559</v>
      </c>
      <c r="G3346" t="s">
        <v>560</v>
      </c>
    </row>
    <row r="3347" spans="1:7">
      <c r="A3347" t="s">
        <v>182</v>
      </c>
      <c r="B3347" t="s">
        <v>557</v>
      </c>
      <c r="C3347" t="s">
        <v>558</v>
      </c>
      <c r="D3347" t="s">
        <v>3904</v>
      </c>
      <c r="E3347">
        <v>-3345</v>
      </c>
      <c r="F3347" t="s">
        <v>559</v>
      </c>
      <c r="G3347" t="s">
        <v>560</v>
      </c>
    </row>
    <row r="3348" spans="1:7">
      <c r="A3348" t="s">
        <v>182</v>
      </c>
      <c r="B3348" t="s">
        <v>557</v>
      </c>
      <c r="C3348" t="s">
        <v>558</v>
      </c>
      <c r="D3348" t="s">
        <v>3905</v>
      </c>
      <c r="E3348">
        <v>-3346</v>
      </c>
      <c r="F3348" t="s">
        <v>559</v>
      </c>
      <c r="G3348" t="s">
        <v>560</v>
      </c>
    </row>
    <row r="3349" spans="1:7">
      <c r="A3349" t="s">
        <v>182</v>
      </c>
      <c r="B3349" t="s">
        <v>557</v>
      </c>
      <c r="C3349" t="s">
        <v>558</v>
      </c>
      <c r="D3349" t="s">
        <v>3906</v>
      </c>
      <c r="E3349">
        <v>-3347</v>
      </c>
      <c r="F3349" t="s">
        <v>559</v>
      </c>
      <c r="G3349" t="s">
        <v>560</v>
      </c>
    </row>
    <row r="3350" spans="1:7">
      <c r="A3350" t="s">
        <v>182</v>
      </c>
      <c r="B3350" t="s">
        <v>557</v>
      </c>
      <c r="C3350" t="s">
        <v>558</v>
      </c>
      <c r="D3350" t="s">
        <v>3907</v>
      </c>
      <c r="E3350">
        <v>-3348</v>
      </c>
      <c r="F3350" t="s">
        <v>559</v>
      </c>
      <c r="G3350" t="s">
        <v>560</v>
      </c>
    </row>
    <row r="3351" spans="1:7">
      <c r="A3351" t="s">
        <v>182</v>
      </c>
      <c r="B3351" t="s">
        <v>557</v>
      </c>
      <c r="C3351" t="s">
        <v>558</v>
      </c>
      <c r="D3351" t="s">
        <v>3908</v>
      </c>
      <c r="E3351">
        <v>-3349</v>
      </c>
      <c r="F3351" t="s">
        <v>559</v>
      </c>
      <c r="G3351" t="s">
        <v>560</v>
      </c>
    </row>
    <row r="3352" spans="1:7">
      <c r="A3352" t="s">
        <v>182</v>
      </c>
      <c r="B3352" t="s">
        <v>557</v>
      </c>
      <c r="C3352" t="s">
        <v>558</v>
      </c>
      <c r="D3352" t="s">
        <v>3909</v>
      </c>
      <c r="E3352">
        <v>-3350</v>
      </c>
      <c r="F3352" t="s">
        <v>559</v>
      </c>
      <c r="G3352" t="s">
        <v>560</v>
      </c>
    </row>
    <row r="3353" spans="1:7">
      <c r="A3353" t="s">
        <v>182</v>
      </c>
      <c r="B3353" t="s">
        <v>557</v>
      </c>
      <c r="C3353" t="s">
        <v>558</v>
      </c>
      <c r="D3353" t="s">
        <v>3910</v>
      </c>
      <c r="E3353">
        <v>-3351</v>
      </c>
      <c r="F3353" t="s">
        <v>559</v>
      </c>
      <c r="G3353" t="s">
        <v>560</v>
      </c>
    </row>
    <row r="3354" spans="1:7">
      <c r="A3354" t="s">
        <v>182</v>
      </c>
      <c r="B3354" t="s">
        <v>557</v>
      </c>
      <c r="C3354" t="s">
        <v>558</v>
      </c>
      <c r="D3354" t="s">
        <v>3911</v>
      </c>
      <c r="E3354">
        <v>-3352</v>
      </c>
      <c r="F3354" t="s">
        <v>559</v>
      </c>
      <c r="G3354" t="s">
        <v>560</v>
      </c>
    </row>
    <row r="3355" spans="1:7">
      <c r="A3355" t="s">
        <v>182</v>
      </c>
      <c r="B3355" t="s">
        <v>557</v>
      </c>
      <c r="C3355" t="s">
        <v>558</v>
      </c>
      <c r="D3355" t="s">
        <v>3912</v>
      </c>
      <c r="E3355">
        <v>-3353</v>
      </c>
      <c r="F3355" t="s">
        <v>559</v>
      </c>
      <c r="G3355" t="s">
        <v>560</v>
      </c>
    </row>
    <row r="3356" spans="1:7">
      <c r="A3356" t="s">
        <v>182</v>
      </c>
      <c r="B3356" t="s">
        <v>557</v>
      </c>
      <c r="C3356" t="s">
        <v>558</v>
      </c>
      <c r="D3356" t="s">
        <v>3913</v>
      </c>
      <c r="E3356">
        <v>-3354</v>
      </c>
      <c r="F3356" t="s">
        <v>559</v>
      </c>
      <c r="G3356" t="s">
        <v>560</v>
      </c>
    </row>
    <row r="3357" spans="1:7">
      <c r="A3357" t="s">
        <v>182</v>
      </c>
      <c r="B3357" t="s">
        <v>557</v>
      </c>
      <c r="C3357" t="s">
        <v>558</v>
      </c>
      <c r="D3357" t="s">
        <v>3914</v>
      </c>
      <c r="E3357">
        <v>-3355</v>
      </c>
      <c r="F3357" t="s">
        <v>559</v>
      </c>
      <c r="G3357" t="s">
        <v>560</v>
      </c>
    </row>
    <row r="3358" spans="1:7">
      <c r="A3358" t="s">
        <v>182</v>
      </c>
      <c r="B3358" t="s">
        <v>557</v>
      </c>
      <c r="C3358" t="s">
        <v>558</v>
      </c>
      <c r="D3358" t="s">
        <v>3915</v>
      </c>
      <c r="E3358">
        <v>-3356</v>
      </c>
      <c r="F3358" t="s">
        <v>559</v>
      </c>
      <c r="G3358" t="s">
        <v>560</v>
      </c>
    </row>
    <row r="3359" spans="1:7">
      <c r="A3359" t="s">
        <v>182</v>
      </c>
      <c r="B3359" t="s">
        <v>557</v>
      </c>
      <c r="C3359" t="s">
        <v>558</v>
      </c>
      <c r="D3359" t="s">
        <v>3916</v>
      </c>
      <c r="E3359">
        <v>-3357</v>
      </c>
      <c r="F3359" t="s">
        <v>559</v>
      </c>
      <c r="G3359" t="s">
        <v>560</v>
      </c>
    </row>
    <row r="3360" spans="1:7">
      <c r="A3360" t="s">
        <v>182</v>
      </c>
      <c r="B3360" t="s">
        <v>557</v>
      </c>
      <c r="C3360" t="s">
        <v>558</v>
      </c>
      <c r="D3360" t="s">
        <v>3917</v>
      </c>
      <c r="E3360">
        <v>-3358</v>
      </c>
      <c r="F3360" t="s">
        <v>559</v>
      </c>
      <c r="G3360" t="s">
        <v>560</v>
      </c>
    </row>
    <row r="3361" spans="1:7">
      <c r="A3361" t="s">
        <v>182</v>
      </c>
      <c r="B3361" t="s">
        <v>557</v>
      </c>
      <c r="C3361" t="s">
        <v>558</v>
      </c>
      <c r="D3361" t="s">
        <v>3918</v>
      </c>
      <c r="E3361">
        <v>-3359</v>
      </c>
      <c r="F3361" t="s">
        <v>559</v>
      </c>
      <c r="G3361" t="s">
        <v>560</v>
      </c>
    </row>
    <row r="3362" spans="1:7">
      <c r="A3362" t="s">
        <v>182</v>
      </c>
      <c r="B3362" t="s">
        <v>557</v>
      </c>
      <c r="C3362" t="s">
        <v>558</v>
      </c>
      <c r="D3362" t="s">
        <v>3919</v>
      </c>
      <c r="E3362">
        <v>-3360</v>
      </c>
      <c r="F3362" t="s">
        <v>559</v>
      </c>
      <c r="G3362" t="s">
        <v>560</v>
      </c>
    </row>
    <row r="3363" spans="1:7">
      <c r="A3363" t="s">
        <v>182</v>
      </c>
      <c r="B3363" t="s">
        <v>557</v>
      </c>
      <c r="C3363" t="s">
        <v>558</v>
      </c>
      <c r="D3363" t="s">
        <v>3920</v>
      </c>
      <c r="E3363">
        <v>-3361</v>
      </c>
      <c r="F3363" t="s">
        <v>559</v>
      </c>
      <c r="G3363" t="s">
        <v>560</v>
      </c>
    </row>
    <row r="3364" spans="1:7">
      <c r="A3364" t="s">
        <v>182</v>
      </c>
      <c r="B3364" t="s">
        <v>557</v>
      </c>
      <c r="C3364" t="s">
        <v>558</v>
      </c>
      <c r="D3364" t="s">
        <v>3921</v>
      </c>
      <c r="E3364">
        <v>-3362</v>
      </c>
      <c r="F3364" t="s">
        <v>559</v>
      </c>
      <c r="G3364" t="s">
        <v>560</v>
      </c>
    </row>
    <row r="3365" spans="1:7">
      <c r="A3365" t="s">
        <v>182</v>
      </c>
      <c r="B3365" t="s">
        <v>557</v>
      </c>
      <c r="C3365" t="s">
        <v>558</v>
      </c>
      <c r="D3365" t="s">
        <v>3922</v>
      </c>
      <c r="E3365">
        <v>-3363</v>
      </c>
      <c r="F3365" t="s">
        <v>559</v>
      </c>
      <c r="G3365" t="s">
        <v>560</v>
      </c>
    </row>
    <row r="3366" spans="1:7">
      <c r="A3366" t="s">
        <v>182</v>
      </c>
      <c r="B3366" t="s">
        <v>557</v>
      </c>
      <c r="C3366" t="s">
        <v>558</v>
      </c>
      <c r="D3366" t="s">
        <v>3923</v>
      </c>
      <c r="E3366">
        <v>-3364</v>
      </c>
      <c r="F3366" t="s">
        <v>559</v>
      </c>
      <c r="G3366" t="s">
        <v>560</v>
      </c>
    </row>
    <row r="3367" spans="1:7">
      <c r="A3367" t="s">
        <v>182</v>
      </c>
      <c r="B3367" t="s">
        <v>557</v>
      </c>
      <c r="C3367" t="s">
        <v>558</v>
      </c>
      <c r="D3367" t="s">
        <v>3924</v>
      </c>
      <c r="E3367">
        <v>-3365</v>
      </c>
      <c r="F3367" t="s">
        <v>559</v>
      </c>
      <c r="G3367" t="s">
        <v>560</v>
      </c>
    </row>
    <row r="3368" spans="1:7">
      <c r="A3368" t="s">
        <v>182</v>
      </c>
      <c r="B3368" t="s">
        <v>557</v>
      </c>
      <c r="C3368" t="s">
        <v>558</v>
      </c>
      <c r="D3368" t="s">
        <v>3925</v>
      </c>
      <c r="E3368">
        <v>-3366</v>
      </c>
      <c r="F3368" t="s">
        <v>559</v>
      </c>
      <c r="G3368" t="s">
        <v>560</v>
      </c>
    </row>
    <row r="3369" spans="1:7">
      <c r="A3369" t="s">
        <v>182</v>
      </c>
      <c r="B3369" t="s">
        <v>557</v>
      </c>
      <c r="C3369" t="s">
        <v>558</v>
      </c>
      <c r="D3369" t="s">
        <v>3926</v>
      </c>
      <c r="E3369">
        <v>-3367</v>
      </c>
      <c r="F3369" t="s">
        <v>559</v>
      </c>
      <c r="G3369" t="s">
        <v>560</v>
      </c>
    </row>
    <row r="3370" spans="1:7">
      <c r="A3370" t="s">
        <v>182</v>
      </c>
      <c r="B3370" t="s">
        <v>557</v>
      </c>
      <c r="C3370" t="s">
        <v>558</v>
      </c>
      <c r="D3370" t="s">
        <v>3927</v>
      </c>
      <c r="E3370">
        <v>-3368</v>
      </c>
      <c r="F3370" t="s">
        <v>559</v>
      </c>
      <c r="G3370" t="s">
        <v>560</v>
      </c>
    </row>
    <row r="3371" spans="1:7">
      <c r="A3371" t="s">
        <v>182</v>
      </c>
      <c r="B3371" t="s">
        <v>557</v>
      </c>
      <c r="C3371" t="s">
        <v>558</v>
      </c>
      <c r="D3371" t="s">
        <v>3928</v>
      </c>
      <c r="E3371">
        <v>-3369</v>
      </c>
      <c r="F3371" t="s">
        <v>559</v>
      </c>
      <c r="G3371" t="s">
        <v>560</v>
      </c>
    </row>
    <row r="3372" spans="1:7">
      <c r="A3372" t="s">
        <v>182</v>
      </c>
      <c r="B3372" t="s">
        <v>557</v>
      </c>
      <c r="C3372" t="s">
        <v>558</v>
      </c>
      <c r="D3372" t="s">
        <v>3929</v>
      </c>
      <c r="E3372">
        <v>-3370</v>
      </c>
      <c r="F3372" t="s">
        <v>559</v>
      </c>
      <c r="G3372" t="s">
        <v>560</v>
      </c>
    </row>
    <row r="3373" spans="1:7">
      <c r="A3373" t="s">
        <v>182</v>
      </c>
      <c r="B3373" t="s">
        <v>557</v>
      </c>
      <c r="C3373" t="s">
        <v>558</v>
      </c>
      <c r="D3373" t="s">
        <v>3930</v>
      </c>
      <c r="E3373">
        <v>-3371</v>
      </c>
      <c r="F3373" t="s">
        <v>559</v>
      </c>
      <c r="G3373" t="s">
        <v>560</v>
      </c>
    </row>
    <row r="3374" spans="1:7">
      <c r="A3374" t="s">
        <v>182</v>
      </c>
      <c r="B3374" t="s">
        <v>557</v>
      </c>
      <c r="C3374" t="s">
        <v>558</v>
      </c>
      <c r="D3374" t="s">
        <v>3931</v>
      </c>
      <c r="E3374">
        <v>-3372</v>
      </c>
      <c r="F3374" t="s">
        <v>559</v>
      </c>
      <c r="G3374" t="s">
        <v>560</v>
      </c>
    </row>
    <row r="3375" spans="1:7">
      <c r="A3375" t="s">
        <v>182</v>
      </c>
      <c r="B3375" t="s">
        <v>557</v>
      </c>
      <c r="C3375" t="s">
        <v>558</v>
      </c>
      <c r="D3375" t="s">
        <v>3932</v>
      </c>
      <c r="E3375">
        <v>-3373</v>
      </c>
      <c r="F3375" t="s">
        <v>559</v>
      </c>
      <c r="G3375" t="s">
        <v>560</v>
      </c>
    </row>
    <row r="3376" spans="1:7">
      <c r="A3376" t="s">
        <v>182</v>
      </c>
      <c r="B3376" t="s">
        <v>557</v>
      </c>
      <c r="C3376" t="s">
        <v>558</v>
      </c>
      <c r="D3376" t="s">
        <v>3933</v>
      </c>
      <c r="E3376">
        <v>-3374</v>
      </c>
      <c r="F3376" t="s">
        <v>559</v>
      </c>
      <c r="G3376" t="s">
        <v>560</v>
      </c>
    </row>
    <row r="3377" spans="1:7">
      <c r="A3377" t="s">
        <v>182</v>
      </c>
      <c r="B3377" t="s">
        <v>557</v>
      </c>
      <c r="C3377" t="s">
        <v>558</v>
      </c>
      <c r="D3377" t="s">
        <v>3934</v>
      </c>
      <c r="E3377">
        <v>-3375</v>
      </c>
      <c r="F3377" t="s">
        <v>559</v>
      </c>
      <c r="G3377" t="s">
        <v>560</v>
      </c>
    </row>
    <row r="3378" spans="1:7">
      <c r="A3378" t="s">
        <v>182</v>
      </c>
      <c r="B3378" t="s">
        <v>557</v>
      </c>
      <c r="C3378" t="s">
        <v>558</v>
      </c>
      <c r="D3378" t="s">
        <v>3935</v>
      </c>
      <c r="E3378">
        <v>-3376</v>
      </c>
      <c r="F3378" t="s">
        <v>559</v>
      </c>
      <c r="G3378" t="s">
        <v>560</v>
      </c>
    </row>
    <row r="3379" spans="1:7">
      <c r="A3379" t="s">
        <v>182</v>
      </c>
      <c r="B3379" t="s">
        <v>557</v>
      </c>
      <c r="C3379" t="s">
        <v>558</v>
      </c>
      <c r="D3379" t="s">
        <v>3936</v>
      </c>
      <c r="E3379">
        <v>-3377</v>
      </c>
      <c r="F3379" t="s">
        <v>559</v>
      </c>
      <c r="G3379" t="s">
        <v>560</v>
      </c>
    </row>
    <row r="3380" spans="1:7">
      <c r="A3380" t="s">
        <v>182</v>
      </c>
      <c r="B3380" t="s">
        <v>557</v>
      </c>
      <c r="C3380" t="s">
        <v>558</v>
      </c>
      <c r="D3380" t="s">
        <v>3937</v>
      </c>
      <c r="E3380">
        <v>-3378</v>
      </c>
      <c r="F3380" t="s">
        <v>559</v>
      </c>
      <c r="G3380" t="s">
        <v>560</v>
      </c>
    </row>
    <row r="3381" spans="1:7">
      <c r="A3381" t="s">
        <v>182</v>
      </c>
      <c r="B3381" t="s">
        <v>557</v>
      </c>
      <c r="C3381" t="s">
        <v>558</v>
      </c>
      <c r="D3381" t="s">
        <v>3938</v>
      </c>
      <c r="E3381">
        <v>-3379</v>
      </c>
      <c r="F3381" t="s">
        <v>559</v>
      </c>
      <c r="G3381" t="s">
        <v>560</v>
      </c>
    </row>
    <row r="3382" spans="1:7">
      <c r="A3382" t="s">
        <v>182</v>
      </c>
      <c r="B3382" t="s">
        <v>557</v>
      </c>
      <c r="C3382" t="s">
        <v>558</v>
      </c>
      <c r="D3382" t="s">
        <v>3939</v>
      </c>
      <c r="E3382">
        <v>-3380</v>
      </c>
      <c r="F3382" t="s">
        <v>559</v>
      </c>
      <c r="G3382" t="s">
        <v>560</v>
      </c>
    </row>
    <row r="3383" spans="1:7">
      <c r="A3383" t="s">
        <v>182</v>
      </c>
      <c r="B3383" t="s">
        <v>557</v>
      </c>
      <c r="C3383" t="s">
        <v>558</v>
      </c>
      <c r="D3383" t="s">
        <v>3940</v>
      </c>
      <c r="E3383">
        <v>-3381</v>
      </c>
      <c r="F3383" t="s">
        <v>559</v>
      </c>
      <c r="G3383" t="s">
        <v>560</v>
      </c>
    </row>
    <row r="3384" spans="1:7">
      <c r="A3384" t="s">
        <v>182</v>
      </c>
      <c r="B3384" t="s">
        <v>557</v>
      </c>
      <c r="C3384" t="s">
        <v>558</v>
      </c>
      <c r="D3384" t="s">
        <v>3941</v>
      </c>
      <c r="E3384">
        <v>-3382</v>
      </c>
      <c r="F3384" t="s">
        <v>559</v>
      </c>
      <c r="G3384" t="s">
        <v>560</v>
      </c>
    </row>
    <row r="3385" spans="1:7">
      <c r="A3385" t="s">
        <v>182</v>
      </c>
      <c r="B3385" t="s">
        <v>557</v>
      </c>
      <c r="C3385" t="s">
        <v>558</v>
      </c>
      <c r="D3385" t="s">
        <v>3942</v>
      </c>
      <c r="E3385">
        <v>-3383</v>
      </c>
      <c r="F3385" t="s">
        <v>559</v>
      </c>
      <c r="G3385" t="s">
        <v>560</v>
      </c>
    </row>
    <row r="3386" spans="1:7">
      <c r="A3386" t="s">
        <v>182</v>
      </c>
      <c r="B3386" t="s">
        <v>557</v>
      </c>
      <c r="C3386" t="s">
        <v>558</v>
      </c>
      <c r="D3386" t="s">
        <v>3943</v>
      </c>
      <c r="E3386">
        <v>-3384</v>
      </c>
      <c r="F3386" t="s">
        <v>559</v>
      </c>
      <c r="G3386" t="s">
        <v>560</v>
      </c>
    </row>
    <row r="3387" spans="1:7">
      <c r="A3387" t="s">
        <v>182</v>
      </c>
      <c r="B3387" t="s">
        <v>557</v>
      </c>
      <c r="C3387" t="s">
        <v>558</v>
      </c>
      <c r="D3387" t="s">
        <v>3944</v>
      </c>
      <c r="E3387">
        <v>-3385</v>
      </c>
      <c r="F3387" t="s">
        <v>559</v>
      </c>
      <c r="G3387" t="s">
        <v>560</v>
      </c>
    </row>
    <row r="3388" spans="1:7">
      <c r="A3388" t="s">
        <v>182</v>
      </c>
      <c r="B3388" t="s">
        <v>557</v>
      </c>
      <c r="C3388" t="s">
        <v>558</v>
      </c>
      <c r="D3388" t="s">
        <v>3945</v>
      </c>
      <c r="E3388">
        <v>-3386</v>
      </c>
      <c r="F3388" t="s">
        <v>559</v>
      </c>
      <c r="G3388" t="s">
        <v>560</v>
      </c>
    </row>
    <row r="3389" spans="1:7">
      <c r="A3389" t="s">
        <v>182</v>
      </c>
      <c r="B3389" t="s">
        <v>557</v>
      </c>
      <c r="C3389" t="s">
        <v>558</v>
      </c>
      <c r="D3389" t="s">
        <v>3946</v>
      </c>
      <c r="E3389">
        <v>-3387</v>
      </c>
      <c r="F3389" t="s">
        <v>559</v>
      </c>
      <c r="G3389" t="s">
        <v>560</v>
      </c>
    </row>
    <row r="3390" spans="1:7">
      <c r="A3390" t="s">
        <v>182</v>
      </c>
      <c r="B3390" t="s">
        <v>557</v>
      </c>
      <c r="C3390" t="s">
        <v>558</v>
      </c>
      <c r="D3390" t="s">
        <v>3947</v>
      </c>
      <c r="E3390">
        <v>-3388</v>
      </c>
      <c r="F3390" t="s">
        <v>559</v>
      </c>
      <c r="G3390" t="s">
        <v>560</v>
      </c>
    </row>
    <row r="3391" spans="1:7">
      <c r="A3391" t="s">
        <v>182</v>
      </c>
      <c r="B3391" t="s">
        <v>557</v>
      </c>
      <c r="C3391" t="s">
        <v>558</v>
      </c>
      <c r="D3391" t="s">
        <v>3948</v>
      </c>
      <c r="E3391">
        <v>-3389</v>
      </c>
      <c r="F3391" t="s">
        <v>559</v>
      </c>
      <c r="G3391" t="s">
        <v>560</v>
      </c>
    </row>
    <row r="3392" spans="1:7">
      <c r="A3392" t="s">
        <v>182</v>
      </c>
      <c r="B3392" t="s">
        <v>557</v>
      </c>
      <c r="C3392" t="s">
        <v>558</v>
      </c>
      <c r="D3392" t="s">
        <v>3949</v>
      </c>
      <c r="E3392">
        <v>-3390</v>
      </c>
      <c r="F3392" t="s">
        <v>559</v>
      </c>
      <c r="G3392" t="s">
        <v>560</v>
      </c>
    </row>
    <row r="3393" spans="1:7">
      <c r="A3393" t="s">
        <v>182</v>
      </c>
      <c r="B3393" t="s">
        <v>557</v>
      </c>
      <c r="C3393" t="s">
        <v>558</v>
      </c>
      <c r="D3393" t="s">
        <v>3950</v>
      </c>
      <c r="E3393">
        <v>-3391</v>
      </c>
      <c r="F3393" t="s">
        <v>559</v>
      </c>
      <c r="G3393" t="s">
        <v>560</v>
      </c>
    </row>
    <row r="3394" spans="1:7">
      <c r="A3394" t="s">
        <v>182</v>
      </c>
      <c r="B3394" t="s">
        <v>557</v>
      </c>
      <c r="C3394" t="s">
        <v>558</v>
      </c>
      <c r="D3394" t="s">
        <v>3951</v>
      </c>
      <c r="E3394">
        <v>-3392</v>
      </c>
      <c r="F3394" t="s">
        <v>559</v>
      </c>
      <c r="G3394" t="s">
        <v>560</v>
      </c>
    </row>
    <row r="3395" spans="1:7">
      <c r="A3395" t="s">
        <v>182</v>
      </c>
      <c r="B3395" t="s">
        <v>557</v>
      </c>
      <c r="C3395" t="s">
        <v>558</v>
      </c>
      <c r="D3395" t="s">
        <v>3952</v>
      </c>
      <c r="E3395">
        <v>-3393</v>
      </c>
      <c r="F3395" t="s">
        <v>559</v>
      </c>
      <c r="G3395" t="s">
        <v>560</v>
      </c>
    </row>
    <row r="3396" spans="1:7">
      <c r="A3396" t="s">
        <v>182</v>
      </c>
      <c r="B3396" t="s">
        <v>557</v>
      </c>
      <c r="C3396" t="s">
        <v>558</v>
      </c>
      <c r="D3396" t="s">
        <v>3953</v>
      </c>
      <c r="E3396">
        <v>-3394</v>
      </c>
      <c r="F3396" t="s">
        <v>559</v>
      </c>
      <c r="G3396" t="s">
        <v>560</v>
      </c>
    </row>
    <row r="3397" spans="1:7">
      <c r="A3397" t="s">
        <v>182</v>
      </c>
      <c r="B3397" t="s">
        <v>557</v>
      </c>
      <c r="C3397" t="s">
        <v>558</v>
      </c>
      <c r="D3397" t="s">
        <v>3954</v>
      </c>
      <c r="E3397">
        <v>-3395</v>
      </c>
      <c r="F3397" t="s">
        <v>559</v>
      </c>
      <c r="G3397" t="s">
        <v>560</v>
      </c>
    </row>
    <row r="3398" spans="1:7">
      <c r="A3398" t="s">
        <v>182</v>
      </c>
      <c r="B3398" t="s">
        <v>557</v>
      </c>
      <c r="C3398" t="s">
        <v>558</v>
      </c>
      <c r="D3398" t="s">
        <v>3955</v>
      </c>
      <c r="E3398">
        <v>-3396</v>
      </c>
      <c r="F3398" t="s">
        <v>559</v>
      </c>
      <c r="G3398" t="s">
        <v>560</v>
      </c>
    </row>
    <row r="3399" spans="1:7">
      <c r="A3399" t="s">
        <v>182</v>
      </c>
      <c r="B3399" t="s">
        <v>557</v>
      </c>
      <c r="C3399" t="s">
        <v>558</v>
      </c>
      <c r="D3399" t="s">
        <v>3956</v>
      </c>
      <c r="E3399">
        <v>-3397</v>
      </c>
      <c r="F3399" t="s">
        <v>559</v>
      </c>
      <c r="G3399" t="s">
        <v>560</v>
      </c>
    </row>
    <row r="3400" spans="1:7">
      <c r="A3400" t="s">
        <v>182</v>
      </c>
      <c r="B3400" t="s">
        <v>557</v>
      </c>
      <c r="C3400" t="s">
        <v>558</v>
      </c>
      <c r="D3400" t="s">
        <v>3957</v>
      </c>
      <c r="E3400">
        <v>-3398</v>
      </c>
      <c r="F3400" t="s">
        <v>559</v>
      </c>
      <c r="G3400" t="s">
        <v>560</v>
      </c>
    </row>
    <row r="3401" spans="1:7">
      <c r="A3401" t="s">
        <v>182</v>
      </c>
      <c r="B3401" t="s">
        <v>557</v>
      </c>
      <c r="C3401" t="s">
        <v>558</v>
      </c>
      <c r="D3401" t="s">
        <v>3958</v>
      </c>
      <c r="E3401">
        <v>-3399</v>
      </c>
      <c r="F3401" t="s">
        <v>559</v>
      </c>
      <c r="G3401" t="s">
        <v>560</v>
      </c>
    </row>
    <row r="3402" spans="1:7">
      <c r="A3402" t="s">
        <v>182</v>
      </c>
      <c r="B3402" t="s">
        <v>557</v>
      </c>
      <c r="C3402" t="s">
        <v>558</v>
      </c>
      <c r="D3402" t="s">
        <v>3959</v>
      </c>
      <c r="E3402">
        <v>-3400</v>
      </c>
      <c r="F3402" t="s">
        <v>559</v>
      </c>
      <c r="G3402" t="s">
        <v>560</v>
      </c>
    </row>
    <row r="3403" spans="1:7">
      <c r="A3403" t="s">
        <v>182</v>
      </c>
      <c r="B3403" t="s">
        <v>557</v>
      </c>
      <c r="C3403" t="s">
        <v>558</v>
      </c>
      <c r="D3403" t="s">
        <v>3960</v>
      </c>
      <c r="E3403">
        <v>-3401</v>
      </c>
      <c r="F3403" t="s">
        <v>559</v>
      </c>
      <c r="G3403" t="s">
        <v>560</v>
      </c>
    </row>
    <row r="3404" spans="1:7">
      <c r="A3404" t="s">
        <v>182</v>
      </c>
      <c r="B3404" t="s">
        <v>557</v>
      </c>
      <c r="C3404" t="s">
        <v>558</v>
      </c>
      <c r="D3404" t="s">
        <v>3961</v>
      </c>
      <c r="E3404">
        <v>-3402</v>
      </c>
      <c r="F3404" t="s">
        <v>559</v>
      </c>
      <c r="G3404" t="s">
        <v>560</v>
      </c>
    </row>
    <row r="3405" spans="1:7">
      <c r="A3405" t="s">
        <v>182</v>
      </c>
      <c r="B3405" t="s">
        <v>557</v>
      </c>
      <c r="C3405" t="s">
        <v>558</v>
      </c>
      <c r="D3405" t="s">
        <v>3962</v>
      </c>
      <c r="E3405">
        <v>-3403</v>
      </c>
      <c r="F3405" t="s">
        <v>559</v>
      </c>
      <c r="G3405" t="s">
        <v>560</v>
      </c>
    </row>
    <row r="3406" spans="1:7">
      <c r="A3406" t="s">
        <v>182</v>
      </c>
      <c r="B3406" t="s">
        <v>557</v>
      </c>
      <c r="C3406" t="s">
        <v>558</v>
      </c>
      <c r="D3406" t="s">
        <v>3963</v>
      </c>
      <c r="E3406">
        <v>-3404</v>
      </c>
      <c r="F3406" t="s">
        <v>559</v>
      </c>
      <c r="G3406" t="s">
        <v>560</v>
      </c>
    </row>
    <row r="3407" spans="1:7">
      <c r="A3407" t="s">
        <v>182</v>
      </c>
      <c r="B3407" t="s">
        <v>557</v>
      </c>
      <c r="C3407" t="s">
        <v>558</v>
      </c>
      <c r="D3407" t="s">
        <v>3964</v>
      </c>
      <c r="E3407">
        <v>-3405</v>
      </c>
      <c r="F3407" t="s">
        <v>559</v>
      </c>
      <c r="G3407" t="s">
        <v>560</v>
      </c>
    </row>
    <row r="3408" spans="1:7">
      <c r="A3408" t="s">
        <v>182</v>
      </c>
      <c r="B3408" t="s">
        <v>557</v>
      </c>
      <c r="C3408" t="s">
        <v>558</v>
      </c>
      <c r="D3408" t="s">
        <v>3965</v>
      </c>
      <c r="E3408">
        <v>-3406</v>
      </c>
      <c r="F3408" t="s">
        <v>559</v>
      </c>
      <c r="G3408" t="s">
        <v>560</v>
      </c>
    </row>
    <row r="3409" spans="1:7">
      <c r="A3409" t="s">
        <v>182</v>
      </c>
      <c r="B3409" t="s">
        <v>557</v>
      </c>
      <c r="C3409" t="s">
        <v>558</v>
      </c>
      <c r="D3409" t="s">
        <v>3966</v>
      </c>
      <c r="E3409">
        <v>-3407</v>
      </c>
      <c r="F3409" t="s">
        <v>559</v>
      </c>
      <c r="G3409" t="s">
        <v>560</v>
      </c>
    </row>
    <row r="3410" spans="1:7">
      <c r="A3410" t="s">
        <v>182</v>
      </c>
      <c r="B3410" t="s">
        <v>557</v>
      </c>
      <c r="C3410" t="s">
        <v>558</v>
      </c>
      <c r="D3410" t="s">
        <v>3967</v>
      </c>
      <c r="E3410">
        <v>-3408</v>
      </c>
      <c r="F3410" t="s">
        <v>559</v>
      </c>
      <c r="G3410" t="s">
        <v>560</v>
      </c>
    </row>
    <row r="3411" spans="1:7">
      <c r="A3411" t="s">
        <v>182</v>
      </c>
      <c r="B3411" t="s">
        <v>557</v>
      </c>
      <c r="C3411" t="s">
        <v>558</v>
      </c>
      <c r="D3411" t="s">
        <v>3968</v>
      </c>
      <c r="E3411">
        <v>-3409</v>
      </c>
      <c r="F3411" t="s">
        <v>559</v>
      </c>
      <c r="G3411" t="s">
        <v>560</v>
      </c>
    </row>
    <row r="3412" spans="1:7">
      <c r="A3412" t="s">
        <v>182</v>
      </c>
      <c r="B3412" t="s">
        <v>557</v>
      </c>
      <c r="C3412" t="s">
        <v>558</v>
      </c>
      <c r="D3412" t="s">
        <v>3969</v>
      </c>
      <c r="E3412">
        <v>-3410</v>
      </c>
      <c r="F3412" t="s">
        <v>559</v>
      </c>
      <c r="G3412" t="s">
        <v>560</v>
      </c>
    </row>
    <row r="3413" spans="1:7">
      <c r="A3413" t="s">
        <v>182</v>
      </c>
      <c r="B3413" t="s">
        <v>557</v>
      </c>
      <c r="C3413" t="s">
        <v>558</v>
      </c>
      <c r="D3413" t="s">
        <v>3970</v>
      </c>
      <c r="E3413">
        <v>-3411</v>
      </c>
      <c r="F3413" t="s">
        <v>559</v>
      </c>
      <c r="G3413" t="s">
        <v>560</v>
      </c>
    </row>
    <row r="3414" spans="1:7">
      <c r="A3414" t="s">
        <v>182</v>
      </c>
      <c r="B3414" t="s">
        <v>557</v>
      </c>
      <c r="C3414" t="s">
        <v>558</v>
      </c>
      <c r="D3414" t="s">
        <v>3971</v>
      </c>
      <c r="E3414">
        <v>-3412</v>
      </c>
      <c r="F3414" t="s">
        <v>559</v>
      </c>
      <c r="G3414" t="s">
        <v>560</v>
      </c>
    </row>
    <row r="3415" spans="1:7">
      <c r="A3415" t="s">
        <v>182</v>
      </c>
      <c r="B3415" t="s">
        <v>557</v>
      </c>
      <c r="C3415" t="s">
        <v>558</v>
      </c>
      <c r="D3415" t="s">
        <v>3972</v>
      </c>
      <c r="E3415">
        <v>-3413</v>
      </c>
      <c r="F3415" t="s">
        <v>559</v>
      </c>
      <c r="G3415" t="s">
        <v>560</v>
      </c>
    </row>
    <row r="3416" spans="1:7">
      <c r="A3416" t="s">
        <v>182</v>
      </c>
      <c r="B3416" t="s">
        <v>557</v>
      </c>
      <c r="C3416" t="s">
        <v>558</v>
      </c>
      <c r="D3416" t="s">
        <v>3973</v>
      </c>
      <c r="E3416">
        <v>-3414</v>
      </c>
      <c r="F3416" t="s">
        <v>559</v>
      </c>
      <c r="G3416" t="s">
        <v>560</v>
      </c>
    </row>
    <row r="3417" spans="1:7">
      <c r="A3417" t="s">
        <v>182</v>
      </c>
      <c r="B3417" t="s">
        <v>557</v>
      </c>
      <c r="C3417" t="s">
        <v>558</v>
      </c>
      <c r="D3417" t="s">
        <v>3974</v>
      </c>
      <c r="E3417">
        <v>-3415</v>
      </c>
      <c r="F3417" t="s">
        <v>559</v>
      </c>
      <c r="G3417" t="s">
        <v>560</v>
      </c>
    </row>
    <row r="3418" spans="1:7">
      <c r="A3418" t="s">
        <v>182</v>
      </c>
      <c r="B3418" t="s">
        <v>557</v>
      </c>
      <c r="C3418" t="s">
        <v>558</v>
      </c>
      <c r="D3418" t="s">
        <v>3975</v>
      </c>
      <c r="E3418">
        <v>-3416</v>
      </c>
      <c r="F3418" t="s">
        <v>559</v>
      </c>
      <c r="G3418" t="s">
        <v>560</v>
      </c>
    </row>
    <row r="3419" spans="1:7">
      <c r="A3419" t="s">
        <v>182</v>
      </c>
      <c r="B3419" t="s">
        <v>557</v>
      </c>
      <c r="C3419" t="s">
        <v>558</v>
      </c>
      <c r="D3419" t="s">
        <v>3976</v>
      </c>
      <c r="E3419">
        <v>-3417</v>
      </c>
      <c r="F3419" t="s">
        <v>559</v>
      </c>
      <c r="G3419" t="s">
        <v>560</v>
      </c>
    </row>
    <row r="3420" spans="1:7">
      <c r="A3420" t="s">
        <v>182</v>
      </c>
      <c r="B3420" t="s">
        <v>557</v>
      </c>
      <c r="C3420" t="s">
        <v>558</v>
      </c>
      <c r="D3420" t="s">
        <v>3977</v>
      </c>
      <c r="E3420">
        <v>-3418</v>
      </c>
      <c r="F3420" t="s">
        <v>559</v>
      </c>
      <c r="G3420" t="s">
        <v>560</v>
      </c>
    </row>
    <row r="3421" spans="1:7">
      <c r="A3421" t="s">
        <v>182</v>
      </c>
      <c r="B3421" t="s">
        <v>557</v>
      </c>
      <c r="C3421" t="s">
        <v>558</v>
      </c>
      <c r="D3421" t="s">
        <v>3978</v>
      </c>
      <c r="E3421">
        <v>-3419</v>
      </c>
      <c r="F3421" t="s">
        <v>559</v>
      </c>
      <c r="G3421" t="s">
        <v>560</v>
      </c>
    </row>
    <row r="3422" spans="1:7">
      <c r="A3422" t="s">
        <v>182</v>
      </c>
      <c r="B3422" t="s">
        <v>557</v>
      </c>
      <c r="C3422" t="s">
        <v>558</v>
      </c>
      <c r="D3422" t="s">
        <v>3979</v>
      </c>
      <c r="E3422">
        <v>-3420</v>
      </c>
      <c r="F3422" t="s">
        <v>559</v>
      </c>
      <c r="G3422" t="s">
        <v>560</v>
      </c>
    </row>
    <row r="3423" spans="1:7">
      <c r="A3423" t="s">
        <v>182</v>
      </c>
      <c r="B3423" t="s">
        <v>557</v>
      </c>
      <c r="C3423" t="s">
        <v>558</v>
      </c>
      <c r="D3423" t="s">
        <v>3980</v>
      </c>
      <c r="E3423">
        <v>-3421</v>
      </c>
      <c r="F3423" t="s">
        <v>559</v>
      </c>
      <c r="G3423" t="s">
        <v>560</v>
      </c>
    </row>
    <row r="3424" spans="1:7">
      <c r="A3424" t="s">
        <v>182</v>
      </c>
      <c r="B3424" t="s">
        <v>557</v>
      </c>
      <c r="C3424" t="s">
        <v>558</v>
      </c>
      <c r="D3424" t="s">
        <v>3981</v>
      </c>
      <c r="E3424">
        <v>-3422</v>
      </c>
      <c r="F3424" t="s">
        <v>559</v>
      </c>
      <c r="G3424" t="s">
        <v>560</v>
      </c>
    </row>
    <row r="3425" spans="1:7">
      <c r="A3425" t="s">
        <v>182</v>
      </c>
      <c r="B3425" t="s">
        <v>557</v>
      </c>
      <c r="C3425" t="s">
        <v>558</v>
      </c>
      <c r="D3425" t="s">
        <v>3982</v>
      </c>
      <c r="E3425">
        <v>-3423</v>
      </c>
      <c r="F3425" t="s">
        <v>559</v>
      </c>
      <c r="G3425" t="s">
        <v>560</v>
      </c>
    </row>
    <row r="3426" spans="1:7">
      <c r="A3426" t="s">
        <v>182</v>
      </c>
      <c r="B3426" t="s">
        <v>557</v>
      </c>
      <c r="C3426" t="s">
        <v>558</v>
      </c>
      <c r="D3426" t="s">
        <v>3983</v>
      </c>
      <c r="E3426">
        <v>-3424</v>
      </c>
      <c r="F3426" t="s">
        <v>559</v>
      </c>
      <c r="G3426" t="s">
        <v>560</v>
      </c>
    </row>
    <row r="3427" spans="1:7">
      <c r="A3427" t="s">
        <v>182</v>
      </c>
      <c r="B3427" t="s">
        <v>557</v>
      </c>
      <c r="C3427" t="s">
        <v>558</v>
      </c>
      <c r="D3427" t="s">
        <v>3984</v>
      </c>
      <c r="E3427">
        <v>-3425</v>
      </c>
      <c r="F3427" t="s">
        <v>559</v>
      </c>
      <c r="G3427" t="s">
        <v>560</v>
      </c>
    </row>
    <row r="3428" spans="1:7">
      <c r="A3428" t="s">
        <v>182</v>
      </c>
      <c r="B3428" t="s">
        <v>557</v>
      </c>
      <c r="C3428" t="s">
        <v>558</v>
      </c>
      <c r="D3428" t="s">
        <v>3985</v>
      </c>
      <c r="E3428">
        <v>-3426</v>
      </c>
      <c r="F3428" t="s">
        <v>559</v>
      </c>
      <c r="G3428" t="s">
        <v>560</v>
      </c>
    </row>
    <row r="3429" spans="1:7">
      <c r="A3429" t="s">
        <v>182</v>
      </c>
      <c r="B3429" t="s">
        <v>557</v>
      </c>
      <c r="C3429" t="s">
        <v>558</v>
      </c>
      <c r="D3429" t="s">
        <v>3986</v>
      </c>
      <c r="E3429">
        <v>-3427</v>
      </c>
      <c r="F3429" t="s">
        <v>559</v>
      </c>
      <c r="G3429" t="s">
        <v>560</v>
      </c>
    </row>
    <row r="3430" spans="1:7">
      <c r="A3430" t="s">
        <v>182</v>
      </c>
      <c r="B3430" t="s">
        <v>557</v>
      </c>
      <c r="C3430" t="s">
        <v>558</v>
      </c>
      <c r="D3430" t="s">
        <v>3987</v>
      </c>
      <c r="E3430">
        <v>-3428</v>
      </c>
      <c r="F3430" t="s">
        <v>559</v>
      </c>
      <c r="G3430" t="s">
        <v>560</v>
      </c>
    </row>
    <row r="3431" spans="1:7">
      <c r="A3431" t="s">
        <v>182</v>
      </c>
      <c r="B3431" t="s">
        <v>557</v>
      </c>
      <c r="C3431" t="s">
        <v>558</v>
      </c>
      <c r="D3431" t="s">
        <v>3988</v>
      </c>
      <c r="E3431">
        <v>-3429</v>
      </c>
      <c r="F3431" t="s">
        <v>559</v>
      </c>
      <c r="G3431" t="s">
        <v>560</v>
      </c>
    </row>
    <row r="3432" spans="1:7">
      <c r="A3432" t="s">
        <v>182</v>
      </c>
      <c r="B3432" t="s">
        <v>557</v>
      </c>
      <c r="C3432" t="s">
        <v>558</v>
      </c>
      <c r="D3432" t="s">
        <v>3989</v>
      </c>
      <c r="E3432">
        <v>-3430</v>
      </c>
      <c r="F3432" t="s">
        <v>559</v>
      </c>
      <c r="G3432" t="s">
        <v>560</v>
      </c>
    </row>
    <row r="3433" spans="1:7">
      <c r="A3433" t="s">
        <v>182</v>
      </c>
      <c r="B3433" t="s">
        <v>557</v>
      </c>
      <c r="C3433" t="s">
        <v>558</v>
      </c>
      <c r="D3433" t="s">
        <v>3990</v>
      </c>
      <c r="E3433">
        <v>-3431</v>
      </c>
      <c r="F3433" t="s">
        <v>559</v>
      </c>
      <c r="G3433" t="s">
        <v>560</v>
      </c>
    </row>
    <row r="3434" spans="1:7">
      <c r="A3434" t="s">
        <v>182</v>
      </c>
      <c r="B3434" t="s">
        <v>557</v>
      </c>
      <c r="C3434" t="s">
        <v>558</v>
      </c>
      <c r="D3434" t="s">
        <v>3991</v>
      </c>
      <c r="E3434">
        <v>-3432</v>
      </c>
      <c r="F3434" t="s">
        <v>559</v>
      </c>
      <c r="G3434" t="s">
        <v>560</v>
      </c>
    </row>
    <row r="3435" spans="1:7">
      <c r="A3435" t="s">
        <v>182</v>
      </c>
      <c r="B3435" t="s">
        <v>557</v>
      </c>
      <c r="C3435" t="s">
        <v>558</v>
      </c>
      <c r="D3435" t="s">
        <v>3992</v>
      </c>
      <c r="E3435">
        <v>-3433</v>
      </c>
      <c r="F3435" t="s">
        <v>559</v>
      </c>
      <c r="G3435" t="s">
        <v>560</v>
      </c>
    </row>
    <row r="3436" spans="1:7">
      <c r="A3436" t="s">
        <v>182</v>
      </c>
      <c r="B3436" t="s">
        <v>557</v>
      </c>
      <c r="C3436" t="s">
        <v>558</v>
      </c>
      <c r="D3436" t="s">
        <v>3993</v>
      </c>
      <c r="E3436">
        <v>-3434</v>
      </c>
      <c r="F3436" t="s">
        <v>559</v>
      </c>
      <c r="G3436" t="s">
        <v>560</v>
      </c>
    </row>
    <row r="3437" spans="1:7">
      <c r="A3437" t="s">
        <v>182</v>
      </c>
      <c r="B3437" t="s">
        <v>557</v>
      </c>
      <c r="C3437" t="s">
        <v>558</v>
      </c>
      <c r="D3437" t="s">
        <v>3994</v>
      </c>
      <c r="E3437">
        <v>-3435</v>
      </c>
      <c r="F3437" t="s">
        <v>559</v>
      </c>
      <c r="G3437" t="s">
        <v>560</v>
      </c>
    </row>
    <row r="3438" spans="1:7">
      <c r="A3438" t="s">
        <v>182</v>
      </c>
      <c r="B3438" t="s">
        <v>557</v>
      </c>
      <c r="C3438" t="s">
        <v>558</v>
      </c>
      <c r="D3438" t="s">
        <v>3995</v>
      </c>
      <c r="E3438">
        <v>-3436</v>
      </c>
      <c r="F3438" t="s">
        <v>559</v>
      </c>
      <c r="G3438" t="s">
        <v>560</v>
      </c>
    </row>
    <row r="3439" spans="1:7">
      <c r="A3439" t="s">
        <v>182</v>
      </c>
      <c r="B3439" t="s">
        <v>557</v>
      </c>
      <c r="C3439" t="s">
        <v>558</v>
      </c>
      <c r="D3439" t="s">
        <v>3996</v>
      </c>
      <c r="E3439">
        <v>-3437</v>
      </c>
      <c r="F3439" t="s">
        <v>559</v>
      </c>
      <c r="G3439" t="s">
        <v>560</v>
      </c>
    </row>
    <row r="3440" spans="1:7">
      <c r="A3440" t="s">
        <v>182</v>
      </c>
      <c r="B3440" t="s">
        <v>557</v>
      </c>
      <c r="C3440" t="s">
        <v>558</v>
      </c>
      <c r="D3440" t="s">
        <v>3997</v>
      </c>
      <c r="E3440">
        <v>-3438</v>
      </c>
      <c r="F3440" t="s">
        <v>559</v>
      </c>
      <c r="G3440" t="s">
        <v>560</v>
      </c>
    </row>
    <row r="3441" spans="1:7">
      <c r="A3441" t="s">
        <v>182</v>
      </c>
      <c r="B3441" t="s">
        <v>557</v>
      </c>
      <c r="C3441" t="s">
        <v>558</v>
      </c>
      <c r="D3441" t="s">
        <v>3998</v>
      </c>
      <c r="E3441">
        <v>-3439</v>
      </c>
      <c r="F3441" t="s">
        <v>559</v>
      </c>
      <c r="G3441" t="s">
        <v>560</v>
      </c>
    </row>
    <row r="3442" spans="1:7">
      <c r="A3442" t="s">
        <v>182</v>
      </c>
      <c r="B3442" t="s">
        <v>557</v>
      </c>
      <c r="C3442" t="s">
        <v>558</v>
      </c>
      <c r="D3442" t="s">
        <v>3999</v>
      </c>
      <c r="E3442">
        <v>-3440</v>
      </c>
      <c r="F3442" t="s">
        <v>559</v>
      </c>
      <c r="G3442" t="s">
        <v>560</v>
      </c>
    </row>
    <row r="3443" spans="1:7">
      <c r="A3443" t="s">
        <v>182</v>
      </c>
      <c r="B3443" t="s">
        <v>557</v>
      </c>
      <c r="C3443" t="s">
        <v>558</v>
      </c>
      <c r="D3443" t="s">
        <v>4000</v>
      </c>
      <c r="E3443">
        <v>-3441</v>
      </c>
      <c r="F3443" t="s">
        <v>559</v>
      </c>
      <c r="G3443" t="s">
        <v>560</v>
      </c>
    </row>
    <row r="3444" spans="1:7">
      <c r="A3444" t="s">
        <v>182</v>
      </c>
      <c r="B3444" t="s">
        <v>557</v>
      </c>
      <c r="C3444" t="s">
        <v>558</v>
      </c>
      <c r="D3444" t="s">
        <v>4001</v>
      </c>
      <c r="E3444">
        <v>-3442</v>
      </c>
      <c r="F3444" t="s">
        <v>559</v>
      </c>
      <c r="G3444" t="s">
        <v>560</v>
      </c>
    </row>
    <row r="3445" spans="1:7">
      <c r="A3445" t="s">
        <v>182</v>
      </c>
      <c r="B3445" t="s">
        <v>557</v>
      </c>
      <c r="C3445" t="s">
        <v>558</v>
      </c>
      <c r="D3445" t="s">
        <v>4002</v>
      </c>
      <c r="E3445">
        <v>-3443</v>
      </c>
      <c r="F3445" t="s">
        <v>559</v>
      </c>
      <c r="G3445" t="s">
        <v>560</v>
      </c>
    </row>
    <row r="3446" spans="1:7">
      <c r="A3446" t="s">
        <v>182</v>
      </c>
      <c r="B3446" t="s">
        <v>557</v>
      </c>
      <c r="C3446" t="s">
        <v>558</v>
      </c>
      <c r="D3446" t="s">
        <v>4003</v>
      </c>
      <c r="E3446">
        <v>-3444</v>
      </c>
      <c r="F3446" t="s">
        <v>559</v>
      </c>
      <c r="G3446" t="s">
        <v>560</v>
      </c>
    </row>
    <row r="3447" spans="1:7">
      <c r="A3447" t="s">
        <v>182</v>
      </c>
      <c r="B3447" t="s">
        <v>557</v>
      </c>
      <c r="C3447" t="s">
        <v>558</v>
      </c>
      <c r="D3447" t="s">
        <v>4004</v>
      </c>
      <c r="E3447">
        <v>-3445</v>
      </c>
      <c r="F3447" t="s">
        <v>559</v>
      </c>
      <c r="G3447" t="s">
        <v>560</v>
      </c>
    </row>
    <row r="3448" spans="1:7">
      <c r="A3448" t="s">
        <v>182</v>
      </c>
      <c r="B3448" t="s">
        <v>557</v>
      </c>
      <c r="C3448" t="s">
        <v>558</v>
      </c>
      <c r="D3448" t="s">
        <v>4005</v>
      </c>
      <c r="E3448">
        <v>-3446</v>
      </c>
      <c r="F3448" t="s">
        <v>559</v>
      </c>
      <c r="G3448" t="s">
        <v>560</v>
      </c>
    </row>
    <row r="3449" spans="1:7">
      <c r="A3449" t="s">
        <v>182</v>
      </c>
      <c r="B3449" t="s">
        <v>557</v>
      </c>
      <c r="C3449" t="s">
        <v>558</v>
      </c>
      <c r="D3449" t="s">
        <v>4006</v>
      </c>
      <c r="E3449">
        <v>-3447</v>
      </c>
      <c r="F3449" t="s">
        <v>559</v>
      </c>
      <c r="G3449" t="s">
        <v>560</v>
      </c>
    </row>
    <row r="3450" spans="1:7">
      <c r="A3450" t="s">
        <v>182</v>
      </c>
      <c r="B3450" t="s">
        <v>557</v>
      </c>
      <c r="C3450" t="s">
        <v>558</v>
      </c>
      <c r="D3450" t="s">
        <v>4007</v>
      </c>
      <c r="E3450">
        <v>-3448</v>
      </c>
      <c r="F3450" t="s">
        <v>559</v>
      </c>
      <c r="G3450" t="s">
        <v>560</v>
      </c>
    </row>
    <row r="3451" spans="1:7">
      <c r="A3451" t="s">
        <v>182</v>
      </c>
      <c r="B3451" t="s">
        <v>557</v>
      </c>
      <c r="C3451" t="s">
        <v>558</v>
      </c>
      <c r="D3451" t="s">
        <v>4008</v>
      </c>
      <c r="E3451">
        <v>-3449</v>
      </c>
      <c r="F3451" t="s">
        <v>559</v>
      </c>
      <c r="G3451" t="s">
        <v>560</v>
      </c>
    </row>
    <row r="3452" spans="1:7">
      <c r="A3452" t="s">
        <v>182</v>
      </c>
      <c r="B3452" t="s">
        <v>557</v>
      </c>
      <c r="C3452" t="s">
        <v>558</v>
      </c>
      <c r="D3452" t="s">
        <v>4009</v>
      </c>
      <c r="E3452">
        <v>-3450</v>
      </c>
      <c r="F3452" t="s">
        <v>559</v>
      </c>
      <c r="G3452" t="s">
        <v>560</v>
      </c>
    </row>
    <row r="3453" spans="1:7">
      <c r="A3453" t="s">
        <v>182</v>
      </c>
      <c r="B3453" t="s">
        <v>557</v>
      </c>
      <c r="C3453" t="s">
        <v>558</v>
      </c>
      <c r="D3453" t="s">
        <v>4010</v>
      </c>
      <c r="E3453">
        <v>-3451</v>
      </c>
      <c r="F3453" t="s">
        <v>559</v>
      </c>
      <c r="G3453" t="s">
        <v>560</v>
      </c>
    </row>
    <row r="3454" spans="1:7">
      <c r="A3454" t="s">
        <v>182</v>
      </c>
      <c r="B3454" t="s">
        <v>557</v>
      </c>
      <c r="C3454" t="s">
        <v>558</v>
      </c>
      <c r="D3454" t="s">
        <v>4011</v>
      </c>
      <c r="E3454">
        <v>-3452</v>
      </c>
      <c r="F3454" t="s">
        <v>559</v>
      </c>
      <c r="G3454" t="s">
        <v>560</v>
      </c>
    </row>
    <row r="3455" spans="1:7">
      <c r="A3455" t="s">
        <v>182</v>
      </c>
      <c r="B3455" t="s">
        <v>557</v>
      </c>
      <c r="C3455" t="s">
        <v>558</v>
      </c>
      <c r="D3455" t="s">
        <v>4012</v>
      </c>
      <c r="E3455">
        <v>-3453</v>
      </c>
      <c r="F3455" t="s">
        <v>559</v>
      </c>
      <c r="G3455" t="s">
        <v>560</v>
      </c>
    </row>
    <row r="3456" spans="1:7">
      <c r="A3456" t="s">
        <v>182</v>
      </c>
      <c r="B3456" t="s">
        <v>557</v>
      </c>
      <c r="C3456" t="s">
        <v>558</v>
      </c>
      <c r="D3456" t="s">
        <v>4013</v>
      </c>
      <c r="E3456">
        <v>-3454</v>
      </c>
      <c r="F3456" t="s">
        <v>559</v>
      </c>
      <c r="G3456" t="s">
        <v>560</v>
      </c>
    </row>
    <row r="3457" spans="1:7">
      <c r="A3457" t="s">
        <v>182</v>
      </c>
      <c r="B3457" t="s">
        <v>557</v>
      </c>
      <c r="C3457" t="s">
        <v>558</v>
      </c>
      <c r="D3457" t="s">
        <v>4014</v>
      </c>
      <c r="E3457">
        <v>-3455</v>
      </c>
      <c r="F3457" t="s">
        <v>559</v>
      </c>
      <c r="G3457" t="s">
        <v>560</v>
      </c>
    </row>
    <row r="3458" spans="1:7">
      <c r="A3458" t="s">
        <v>182</v>
      </c>
      <c r="B3458" t="s">
        <v>557</v>
      </c>
      <c r="C3458" t="s">
        <v>558</v>
      </c>
      <c r="D3458" t="s">
        <v>4015</v>
      </c>
      <c r="E3458">
        <v>-3456</v>
      </c>
      <c r="F3458" t="s">
        <v>559</v>
      </c>
      <c r="G3458" t="s">
        <v>560</v>
      </c>
    </row>
    <row r="3459" spans="1:7">
      <c r="A3459" t="s">
        <v>182</v>
      </c>
      <c r="B3459" t="s">
        <v>557</v>
      </c>
      <c r="C3459" t="s">
        <v>558</v>
      </c>
      <c r="D3459" t="s">
        <v>4016</v>
      </c>
      <c r="E3459">
        <v>-3457</v>
      </c>
      <c r="F3459" t="s">
        <v>559</v>
      </c>
      <c r="G3459" t="s">
        <v>560</v>
      </c>
    </row>
    <row r="3460" spans="1:7">
      <c r="A3460" t="s">
        <v>182</v>
      </c>
      <c r="B3460" t="s">
        <v>557</v>
      </c>
      <c r="C3460" t="s">
        <v>558</v>
      </c>
      <c r="D3460" t="s">
        <v>4017</v>
      </c>
      <c r="E3460">
        <v>-3458</v>
      </c>
      <c r="F3460" t="s">
        <v>559</v>
      </c>
      <c r="G3460" t="s">
        <v>560</v>
      </c>
    </row>
    <row r="3461" spans="1:7">
      <c r="A3461" t="s">
        <v>182</v>
      </c>
      <c r="B3461" t="s">
        <v>557</v>
      </c>
      <c r="C3461" t="s">
        <v>558</v>
      </c>
      <c r="D3461" t="s">
        <v>4018</v>
      </c>
      <c r="E3461">
        <v>-3459</v>
      </c>
      <c r="F3461" t="s">
        <v>559</v>
      </c>
      <c r="G3461" t="s">
        <v>560</v>
      </c>
    </row>
    <row r="3462" spans="1:7">
      <c r="A3462" t="s">
        <v>182</v>
      </c>
      <c r="B3462" t="s">
        <v>557</v>
      </c>
      <c r="C3462" t="s">
        <v>558</v>
      </c>
      <c r="D3462" t="s">
        <v>4019</v>
      </c>
      <c r="E3462">
        <v>-3460</v>
      </c>
      <c r="F3462" t="s">
        <v>559</v>
      </c>
      <c r="G3462" t="s">
        <v>560</v>
      </c>
    </row>
    <row r="3463" spans="1:7">
      <c r="A3463" t="s">
        <v>182</v>
      </c>
      <c r="B3463" t="s">
        <v>557</v>
      </c>
      <c r="C3463" t="s">
        <v>558</v>
      </c>
      <c r="D3463" t="s">
        <v>4020</v>
      </c>
      <c r="E3463">
        <v>-3461</v>
      </c>
      <c r="F3463" t="s">
        <v>559</v>
      </c>
      <c r="G3463" t="s">
        <v>560</v>
      </c>
    </row>
    <row r="3464" spans="1:7">
      <c r="A3464" t="s">
        <v>182</v>
      </c>
      <c r="B3464" t="s">
        <v>557</v>
      </c>
      <c r="C3464" t="s">
        <v>558</v>
      </c>
      <c r="D3464" t="s">
        <v>4021</v>
      </c>
      <c r="E3464">
        <v>-3462</v>
      </c>
      <c r="F3464" t="s">
        <v>559</v>
      </c>
      <c r="G3464" t="s">
        <v>560</v>
      </c>
    </row>
    <row r="3465" spans="1:7">
      <c r="A3465" t="s">
        <v>182</v>
      </c>
      <c r="B3465" t="s">
        <v>557</v>
      </c>
      <c r="C3465" t="s">
        <v>558</v>
      </c>
      <c r="D3465" t="s">
        <v>4022</v>
      </c>
      <c r="E3465">
        <v>-3463</v>
      </c>
      <c r="F3465" t="s">
        <v>559</v>
      </c>
      <c r="G3465" t="s">
        <v>560</v>
      </c>
    </row>
    <row r="3466" spans="1:7">
      <c r="A3466" t="s">
        <v>182</v>
      </c>
      <c r="B3466" t="s">
        <v>557</v>
      </c>
      <c r="C3466" t="s">
        <v>558</v>
      </c>
      <c r="D3466" t="s">
        <v>4023</v>
      </c>
      <c r="E3466">
        <v>-3464</v>
      </c>
      <c r="F3466" t="s">
        <v>559</v>
      </c>
      <c r="G3466" t="s">
        <v>560</v>
      </c>
    </row>
    <row r="3467" spans="1:7">
      <c r="A3467" t="s">
        <v>182</v>
      </c>
      <c r="B3467" t="s">
        <v>557</v>
      </c>
      <c r="C3467" t="s">
        <v>558</v>
      </c>
      <c r="D3467" t="s">
        <v>4024</v>
      </c>
      <c r="E3467">
        <v>-3465</v>
      </c>
      <c r="F3467" t="s">
        <v>559</v>
      </c>
      <c r="G3467" t="s">
        <v>560</v>
      </c>
    </row>
    <row r="3468" spans="1:7">
      <c r="A3468" t="s">
        <v>182</v>
      </c>
      <c r="B3468" t="s">
        <v>557</v>
      </c>
      <c r="C3468" t="s">
        <v>558</v>
      </c>
      <c r="D3468" t="s">
        <v>4025</v>
      </c>
      <c r="E3468">
        <v>-3466</v>
      </c>
      <c r="F3468" t="s">
        <v>559</v>
      </c>
      <c r="G3468" t="s">
        <v>560</v>
      </c>
    </row>
    <row r="3469" spans="1:7">
      <c r="A3469" t="s">
        <v>182</v>
      </c>
      <c r="B3469" t="s">
        <v>557</v>
      </c>
      <c r="C3469" t="s">
        <v>558</v>
      </c>
      <c r="D3469" t="s">
        <v>4026</v>
      </c>
      <c r="E3469">
        <v>-3467</v>
      </c>
      <c r="F3469" t="s">
        <v>559</v>
      </c>
      <c r="G3469" t="s">
        <v>560</v>
      </c>
    </row>
    <row r="3470" spans="1:7">
      <c r="A3470" t="s">
        <v>182</v>
      </c>
      <c r="B3470" t="s">
        <v>557</v>
      </c>
      <c r="C3470" t="s">
        <v>558</v>
      </c>
      <c r="D3470" t="s">
        <v>4027</v>
      </c>
      <c r="E3470">
        <v>-3468</v>
      </c>
      <c r="F3470" t="s">
        <v>559</v>
      </c>
      <c r="G3470" t="s">
        <v>560</v>
      </c>
    </row>
    <row r="3471" spans="1:7">
      <c r="A3471" t="s">
        <v>182</v>
      </c>
      <c r="B3471" t="s">
        <v>557</v>
      </c>
      <c r="C3471" t="s">
        <v>558</v>
      </c>
      <c r="D3471" t="s">
        <v>4028</v>
      </c>
      <c r="E3471">
        <v>-3469</v>
      </c>
      <c r="F3471" t="s">
        <v>559</v>
      </c>
      <c r="G3471" t="s">
        <v>560</v>
      </c>
    </row>
    <row r="3472" spans="1:7">
      <c r="A3472" t="s">
        <v>182</v>
      </c>
      <c r="B3472" t="s">
        <v>557</v>
      </c>
      <c r="C3472" t="s">
        <v>558</v>
      </c>
      <c r="D3472" t="s">
        <v>4029</v>
      </c>
      <c r="E3472">
        <v>-3470</v>
      </c>
      <c r="F3472" t="s">
        <v>559</v>
      </c>
      <c r="G3472" t="s">
        <v>560</v>
      </c>
    </row>
    <row r="3473" spans="1:7">
      <c r="A3473" t="s">
        <v>182</v>
      </c>
      <c r="B3473" t="s">
        <v>557</v>
      </c>
      <c r="C3473" t="s">
        <v>558</v>
      </c>
      <c r="D3473" t="s">
        <v>4030</v>
      </c>
      <c r="E3473">
        <v>-3471</v>
      </c>
      <c r="F3473" t="s">
        <v>559</v>
      </c>
      <c r="G3473" t="s">
        <v>560</v>
      </c>
    </row>
    <row r="3474" spans="1:7">
      <c r="A3474" t="s">
        <v>182</v>
      </c>
      <c r="B3474" t="s">
        <v>557</v>
      </c>
      <c r="C3474" t="s">
        <v>558</v>
      </c>
      <c r="D3474" t="s">
        <v>4031</v>
      </c>
      <c r="E3474">
        <v>-3472</v>
      </c>
      <c r="F3474" t="s">
        <v>559</v>
      </c>
      <c r="G3474" t="s">
        <v>560</v>
      </c>
    </row>
    <row r="3475" spans="1:7">
      <c r="A3475" t="s">
        <v>182</v>
      </c>
      <c r="B3475" t="s">
        <v>557</v>
      </c>
      <c r="C3475" t="s">
        <v>558</v>
      </c>
      <c r="D3475" t="s">
        <v>4032</v>
      </c>
      <c r="E3475">
        <v>-3473</v>
      </c>
      <c r="F3475" t="s">
        <v>559</v>
      </c>
      <c r="G3475" t="s">
        <v>560</v>
      </c>
    </row>
    <row r="3476" spans="1:7">
      <c r="A3476" t="s">
        <v>182</v>
      </c>
      <c r="B3476" t="s">
        <v>557</v>
      </c>
      <c r="C3476" t="s">
        <v>558</v>
      </c>
      <c r="D3476" t="s">
        <v>4033</v>
      </c>
      <c r="E3476">
        <v>-3474</v>
      </c>
      <c r="F3476" t="s">
        <v>559</v>
      </c>
      <c r="G3476" t="s">
        <v>560</v>
      </c>
    </row>
    <row r="3477" spans="1:7">
      <c r="A3477" t="s">
        <v>182</v>
      </c>
      <c r="B3477" t="s">
        <v>557</v>
      </c>
      <c r="C3477" t="s">
        <v>558</v>
      </c>
      <c r="D3477" t="s">
        <v>4034</v>
      </c>
      <c r="E3477">
        <v>-3475</v>
      </c>
      <c r="F3477" t="s">
        <v>559</v>
      </c>
      <c r="G3477" t="s">
        <v>560</v>
      </c>
    </row>
    <row r="3478" spans="1:7">
      <c r="A3478" t="s">
        <v>182</v>
      </c>
      <c r="B3478" t="s">
        <v>557</v>
      </c>
      <c r="C3478" t="s">
        <v>558</v>
      </c>
      <c r="D3478" t="s">
        <v>4035</v>
      </c>
      <c r="E3478">
        <v>-3476</v>
      </c>
      <c r="F3478" t="s">
        <v>559</v>
      </c>
      <c r="G3478" t="s">
        <v>560</v>
      </c>
    </row>
    <row r="3479" spans="1:7">
      <c r="A3479" t="s">
        <v>182</v>
      </c>
      <c r="B3479" t="s">
        <v>557</v>
      </c>
      <c r="C3479" t="s">
        <v>558</v>
      </c>
      <c r="D3479" t="s">
        <v>4036</v>
      </c>
      <c r="E3479">
        <v>-3477</v>
      </c>
      <c r="F3479" t="s">
        <v>559</v>
      </c>
      <c r="G3479" t="s">
        <v>560</v>
      </c>
    </row>
    <row r="3480" spans="1:7">
      <c r="A3480" t="s">
        <v>182</v>
      </c>
      <c r="B3480" t="s">
        <v>557</v>
      </c>
      <c r="C3480" t="s">
        <v>558</v>
      </c>
      <c r="D3480" t="s">
        <v>4037</v>
      </c>
      <c r="E3480">
        <v>-3478</v>
      </c>
      <c r="F3480" t="s">
        <v>559</v>
      </c>
      <c r="G3480" t="s">
        <v>560</v>
      </c>
    </row>
    <row r="3481" spans="1:7">
      <c r="A3481" t="s">
        <v>182</v>
      </c>
      <c r="B3481" t="s">
        <v>557</v>
      </c>
      <c r="C3481" t="s">
        <v>558</v>
      </c>
      <c r="D3481" t="s">
        <v>4038</v>
      </c>
      <c r="E3481">
        <v>-3479</v>
      </c>
      <c r="F3481" t="s">
        <v>559</v>
      </c>
      <c r="G3481" t="s">
        <v>560</v>
      </c>
    </row>
    <row r="3482" spans="1:7">
      <c r="A3482" t="s">
        <v>182</v>
      </c>
      <c r="B3482" t="s">
        <v>557</v>
      </c>
      <c r="C3482" t="s">
        <v>558</v>
      </c>
      <c r="D3482" t="s">
        <v>4039</v>
      </c>
      <c r="E3482">
        <v>-3480</v>
      </c>
      <c r="F3482" t="s">
        <v>559</v>
      </c>
      <c r="G3482" t="s">
        <v>560</v>
      </c>
    </row>
    <row r="3483" spans="1:7">
      <c r="A3483" t="s">
        <v>182</v>
      </c>
      <c r="B3483" t="s">
        <v>557</v>
      </c>
      <c r="C3483" t="s">
        <v>558</v>
      </c>
      <c r="D3483" t="s">
        <v>4040</v>
      </c>
      <c r="E3483">
        <v>-3481</v>
      </c>
      <c r="F3483" t="s">
        <v>559</v>
      </c>
      <c r="G3483" t="s">
        <v>560</v>
      </c>
    </row>
    <row r="3484" spans="1:7">
      <c r="A3484" t="s">
        <v>182</v>
      </c>
      <c r="B3484" t="s">
        <v>557</v>
      </c>
      <c r="C3484" t="s">
        <v>558</v>
      </c>
      <c r="D3484" t="s">
        <v>4041</v>
      </c>
      <c r="E3484">
        <v>-3482</v>
      </c>
      <c r="F3484" t="s">
        <v>559</v>
      </c>
      <c r="G3484" t="s">
        <v>560</v>
      </c>
    </row>
    <row r="3485" spans="1:7">
      <c r="A3485" t="s">
        <v>182</v>
      </c>
      <c r="B3485" t="s">
        <v>557</v>
      </c>
      <c r="C3485" t="s">
        <v>558</v>
      </c>
      <c r="D3485" t="s">
        <v>4042</v>
      </c>
      <c r="E3485">
        <v>-3483</v>
      </c>
      <c r="F3485" t="s">
        <v>559</v>
      </c>
      <c r="G3485" t="s">
        <v>560</v>
      </c>
    </row>
    <row r="3486" spans="1:7">
      <c r="A3486" t="s">
        <v>182</v>
      </c>
      <c r="B3486" t="s">
        <v>557</v>
      </c>
      <c r="C3486" t="s">
        <v>558</v>
      </c>
      <c r="D3486" t="s">
        <v>4043</v>
      </c>
      <c r="E3486">
        <v>-3484</v>
      </c>
      <c r="F3486" t="s">
        <v>559</v>
      </c>
      <c r="G3486" t="s">
        <v>560</v>
      </c>
    </row>
    <row r="3487" spans="1:7">
      <c r="A3487" t="s">
        <v>182</v>
      </c>
      <c r="B3487" t="s">
        <v>557</v>
      </c>
      <c r="C3487" t="s">
        <v>558</v>
      </c>
      <c r="D3487" t="s">
        <v>4044</v>
      </c>
      <c r="E3487">
        <v>-3485</v>
      </c>
      <c r="F3487" t="s">
        <v>559</v>
      </c>
      <c r="G3487" t="s">
        <v>560</v>
      </c>
    </row>
    <row r="3488" spans="1:7">
      <c r="A3488" t="s">
        <v>182</v>
      </c>
      <c r="B3488" t="s">
        <v>557</v>
      </c>
      <c r="C3488" t="s">
        <v>558</v>
      </c>
      <c r="D3488" t="s">
        <v>4045</v>
      </c>
      <c r="E3488">
        <v>-3486</v>
      </c>
      <c r="F3488" t="s">
        <v>559</v>
      </c>
      <c r="G3488" t="s">
        <v>560</v>
      </c>
    </row>
    <row r="3489" spans="1:7">
      <c r="A3489" t="s">
        <v>182</v>
      </c>
      <c r="B3489" t="s">
        <v>557</v>
      </c>
      <c r="C3489" t="s">
        <v>558</v>
      </c>
      <c r="D3489" t="s">
        <v>4046</v>
      </c>
      <c r="E3489">
        <v>-3487</v>
      </c>
      <c r="F3489" t="s">
        <v>559</v>
      </c>
      <c r="G3489" t="s">
        <v>560</v>
      </c>
    </row>
    <row r="3490" spans="1:7">
      <c r="A3490" t="s">
        <v>182</v>
      </c>
      <c r="B3490" t="s">
        <v>557</v>
      </c>
      <c r="C3490" t="s">
        <v>558</v>
      </c>
      <c r="D3490" t="s">
        <v>4047</v>
      </c>
      <c r="E3490">
        <v>-3488</v>
      </c>
      <c r="F3490" t="s">
        <v>559</v>
      </c>
      <c r="G3490" t="s">
        <v>560</v>
      </c>
    </row>
    <row r="3491" spans="1:7">
      <c r="A3491" t="s">
        <v>182</v>
      </c>
      <c r="B3491" t="s">
        <v>557</v>
      </c>
      <c r="C3491" t="s">
        <v>558</v>
      </c>
      <c r="D3491" t="s">
        <v>4048</v>
      </c>
      <c r="E3491">
        <v>-3489</v>
      </c>
      <c r="F3491" t="s">
        <v>559</v>
      </c>
      <c r="G3491" t="s">
        <v>560</v>
      </c>
    </row>
    <row r="3492" spans="1:7">
      <c r="A3492" t="s">
        <v>182</v>
      </c>
      <c r="B3492" t="s">
        <v>557</v>
      </c>
      <c r="C3492" t="s">
        <v>558</v>
      </c>
      <c r="D3492" t="s">
        <v>4049</v>
      </c>
      <c r="E3492">
        <v>-3490</v>
      </c>
      <c r="F3492" t="s">
        <v>559</v>
      </c>
      <c r="G3492" t="s">
        <v>560</v>
      </c>
    </row>
    <row r="3493" spans="1:7">
      <c r="A3493" t="s">
        <v>182</v>
      </c>
      <c r="B3493" t="s">
        <v>557</v>
      </c>
      <c r="C3493" t="s">
        <v>558</v>
      </c>
      <c r="D3493" t="s">
        <v>4050</v>
      </c>
      <c r="E3493">
        <v>-3491</v>
      </c>
      <c r="F3493" t="s">
        <v>559</v>
      </c>
      <c r="G3493" t="s">
        <v>560</v>
      </c>
    </row>
    <row r="3494" spans="1:7">
      <c r="A3494" t="s">
        <v>182</v>
      </c>
      <c r="B3494" t="s">
        <v>557</v>
      </c>
      <c r="C3494" t="s">
        <v>558</v>
      </c>
      <c r="D3494" t="s">
        <v>4051</v>
      </c>
      <c r="E3494">
        <v>-3492</v>
      </c>
      <c r="F3494" t="s">
        <v>559</v>
      </c>
      <c r="G3494" t="s">
        <v>560</v>
      </c>
    </row>
    <row r="3495" spans="1:7">
      <c r="A3495" t="s">
        <v>182</v>
      </c>
      <c r="B3495" t="s">
        <v>557</v>
      </c>
      <c r="C3495" t="s">
        <v>558</v>
      </c>
      <c r="D3495" t="s">
        <v>4052</v>
      </c>
      <c r="E3495">
        <v>-3493</v>
      </c>
      <c r="F3495" t="s">
        <v>559</v>
      </c>
      <c r="G3495" t="s">
        <v>560</v>
      </c>
    </row>
    <row r="3496" spans="1:7">
      <c r="A3496" t="s">
        <v>182</v>
      </c>
      <c r="B3496" t="s">
        <v>557</v>
      </c>
      <c r="C3496" t="s">
        <v>558</v>
      </c>
      <c r="D3496" t="s">
        <v>4053</v>
      </c>
      <c r="E3496">
        <v>-3494</v>
      </c>
      <c r="F3496" t="s">
        <v>559</v>
      </c>
      <c r="G3496" t="s">
        <v>560</v>
      </c>
    </row>
    <row r="3497" spans="1:7">
      <c r="A3497" t="s">
        <v>182</v>
      </c>
      <c r="B3497" t="s">
        <v>557</v>
      </c>
      <c r="C3497" t="s">
        <v>558</v>
      </c>
      <c r="D3497" t="s">
        <v>4054</v>
      </c>
      <c r="E3497">
        <v>-3495</v>
      </c>
      <c r="F3497" t="s">
        <v>559</v>
      </c>
      <c r="G3497" t="s">
        <v>560</v>
      </c>
    </row>
    <row r="3498" spans="1:7">
      <c r="A3498" t="s">
        <v>182</v>
      </c>
      <c r="B3498" t="s">
        <v>557</v>
      </c>
      <c r="C3498" t="s">
        <v>558</v>
      </c>
      <c r="D3498" t="s">
        <v>4055</v>
      </c>
      <c r="E3498">
        <v>-3496</v>
      </c>
      <c r="F3498" t="s">
        <v>559</v>
      </c>
      <c r="G3498" t="s">
        <v>560</v>
      </c>
    </row>
    <row r="3499" spans="1:7">
      <c r="A3499" t="s">
        <v>182</v>
      </c>
      <c r="B3499" t="s">
        <v>557</v>
      </c>
      <c r="C3499" t="s">
        <v>558</v>
      </c>
      <c r="D3499" t="s">
        <v>4056</v>
      </c>
      <c r="E3499">
        <v>-3497</v>
      </c>
      <c r="F3499" t="s">
        <v>559</v>
      </c>
      <c r="G3499" t="s">
        <v>560</v>
      </c>
    </row>
    <row r="3500" spans="1:7">
      <c r="A3500" t="s">
        <v>182</v>
      </c>
      <c r="B3500" t="s">
        <v>557</v>
      </c>
      <c r="C3500" t="s">
        <v>558</v>
      </c>
      <c r="D3500" t="s">
        <v>4057</v>
      </c>
      <c r="E3500">
        <v>-3498</v>
      </c>
      <c r="F3500" t="s">
        <v>559</v>
      </c>
      <c r="G3500" t="s">
        <v>560</v>
      </c>
    </row>
    <row r="3501" spans="1:7">
      <c r="A3501" t="s">
        <v>182</v>
      </c>
      <c r="B3501" t="s">
        <v>557</v>
      </c>
      <c r="C3501" t="s">
        <v>558</v>
      </c>
      <c r="D3501" t="s">
        <v>4058</v>
      </c>
      <c r="E3501">
        <v>-3499</v>
      </c>
      <c r="F3501" t="s">
        <v>559</v>
      </c>
      <c r="G3501" t="s">
        <v>560</v>
      </c>
    </row>
    <row r="3502" spans="1:7">
      <c r="A3502" t="s">
        <v>182</v>
      </c>
      <c r="B3502" t="s">
        <v>557</v>
      </c>
      <c r="C3502" t="s">
        <v>558</v>
      </c>
      <c r="D3502" t="s">
        <v>4059</v>
      </c>
      <c r="E3502">
        <v>-3500</v>
      </c>
      <c r="F3502" t="s">
        <v>559</v>
      </c>
      <c r="G3502" t="s">
        <v>560</v>
      </c>
    </row>
    <row r="3503" spans="1:7">
      <c r="A3503" t="s">
        <v>182</v>
      </c>
      <c r="B3503" t="s">
        <v>557</v>
      </c>
      <c r="C3503" t="s">
        <v>558</v>
      </c>
      <c r="D3503" t="s">
        <v>4060</v>
      </c>
      <c r="E3503">
        <v>-3501</v>
      </c>
      <c r="F3503" t="s">
        <v>559</v>
      </c>
      <c r="G3503" t="s">
        <v>560</v>
      </c>
    </row>
    <row r="3504" spans="1:7">
      <c r="A3504" t="s">
        <v>182</v>
      </c>
      <c r="B3504" t="s">
        <v>557</v>
      </c>
      <c r="C3504" t="s">
        <v>558</v>
      </c>
      <c r="D3504" t="s">
        <v>4061</v>
      </c>
      <c r="E3504">
        <v>-3502</v>
      </c>
      <c r="F3504" t="s">
        <v>559</v>
      </c>
      <c r="G3504" t="s">
        <v>560</v>
      </c>
    </row>
    <row r="3505" spans="1:7">
      <c r="A3505" t="s">
        <v>182</v>
      </c>
      <c r="B3505" t="s">
        <v>557</v>
      </c>
      <c r="C3505" t="s">
        <v>558</v>
      </c>
      <c r="D3505" t="s">
        <v>4062</v>
      </c>
      <c r="E3505">
        <v>-3503</v>
      </c>
      <c r="F3505" t="s">
        <v>559</v>
      </c>
      <c r="G3505" t="s">
        <v>560</v>
      </c>
    </row>
    <row r="3506" spans="1:7">
      <c r="A3506" t="s">
        <v>182</v>
      </c>
      <c r="B3506" t="s">
        <v>557</v>
      </c>
      <c r="C3506" t="s">
        <v>558</v>
      </c>
      <c r="D3506" t="s">
        <v>4063</v>
      </c>
      <c r="E3506">
        <v>-3504</v>
      </c>
      <c r="F3506" t="s">
        <v>559</v>
      </c>
      <c r="G3506" t="s">
        <v>560</v>
      </c>
    </row>
    <row r="3507" spans="1:7">
      <c r="A3507" t="s">
        <v>182</v>
      </c>
      <c r="B3507" t="s">
        <v>557</v>
      </c>
      <c r="C3507" t="s">
        <v>558</v>
      </c>
      <c r="D3507" t="s">
        <v>4064</v>
      </c>
      <c r="E3507">
        <v>-3505</v>
      </c>
      <c r="F3507" t="s">
        <v>559</v>
      </c>
      <c r="G3507" t="s">
        <v>560</v>
      </c>
    </row>
    <row r="3508" spans="1:7">
      <c r="A3508" t="s">
        <v>182</v>
      </c>
      <c r="B3508" t="s">
        <v>557</v>
      </c>
      <c r="C3508" t="s">
        <v>558</v>
      </c>
      <c r="D3508" t="s">
        <v>4065</v>
      </c>
      <c r="E3508">
        <v>-3506</v>
      </c>
      <c r="F3508" t="s">
        <v>559</v>
      </c>
      <c r="G3508" t="s">
        <v>560</v>
      </c>
    </row>
    <row r="3509" spans="1:7">
      <c r="A3509" t="s">
        <v>182</v>
      </c>
      <c r="B3509" t="s">
        <v>557</v>
      </c>
      <c r="C3509" t="s">
        <v>558</v>
      </c>
      <c r="D3509" t="s">
        <v>4066</v>
      </c>
      <c r="E3509">
        <v>-3507</v>
      </c>
      <c r="F3509" t="s">
        <v>559</v>
      </c>
      <c r="G3509" t="s">
        <v>560</v>
      </c>
    </row>
    <row r="3510" spans="1:7">
      <c r="A3510" t="s">
        <v>182</v>
      </c>
      <c r="B3510" t="s">
        <v>557</v>
      </c>
      <c r="C3510" t="s">
        <v>558</v>
      </c>
      <c r="D3510" t="s">
        <v>4067</v>
      </c>
      <c r="E3510">
        <v>-3508</v>
      </c>
      <c r="F3510" t="s">
        <v>559</v>
      </c>
      <c r="G3510" t="s">
        <v>560</v>
      </c>
    </row>
    <row r="3511" spans="1:7">
      <c r="A3511" t="s">
        <v>182</v>
      </c>
      <c r="B3511" t="s">
        <v>557</v>
      </c>
      <c r="C3511" t="s">
        <v>558</v>
      </c>
      <c r="D3511" t="s">
        <v>4068</v>
      </c>
      <c r="E3511">
        <v>-3509</v>
      </c>
      <c r="F3511" t="s">
        <v>559</v>
      </c>
      <c r="G3511" t="s">
        <v>560</v>
      </c>
    </row>
    <row r="3512" spans="1:7">
      <c r="A3512" t="s">
        <v>182</v>
      </c>
      <c r="B3512" t="s">
        <v>557</v>
      </c>
      <c r="C3512" t="s">
        <v>558</v>
      </c>
      <c r="D3512" t="s">
        <v>4069</v>
      </c>
      <c r="E3512">
        <v>-3510</v>
      </c>
      <c r="F3512" t="s">
        <v>559</v>
      </c>
      <c r="G3512" t="s">
        <v>560</v>
      </c>
    </row>
    <row r="3513" spans="1:7">
      <c r="A3513" t="s">
        <v>182</v>
      </c>
      <c r="B3513" t="s">
        <v>557</v>
      </c>
      <c r="C3513" t="s">
        <v>558</v>
      </c>
      <c r="D3513" t="s">
        <v>4070</v>
      </c>
      <c r="E3513">
        <v>-3511</v>
      </c>
      <c r="F3513" t="s">
        <v>559</v>
      </c>
      <c r="G3513" t="s">
        <v>560</v>
      </c>
    </row>
    <row r="3514" spans="1:7">
      <c r="A3514" t="s">
        <v>182</v>
      </c>
      <c r="B3514" t="s">
        <v>557</v>
      </c>
      <c r="C3514" t="s">
        <v>558</v>
      </c>
      <c r="D3514" t="s">
        <v>4071</v>
      </c>
      <c r="E3514">
        <v>-3512</v>
      </c>
      <c r="F3514" t="s">
        <v>559</v>
      </c>
      <c r="G3514" t="s">
        <v>560</v>
      </c>
    </row>
    <row r="3515" spans="1:7">
      <c r="A3515" t="s">
        <v>182</v>
      </c>
      <c r="B3515" t="s">
        <v>557</v>
      </c>
      <c r="C3515" t="s">
        <v>558</v>
      </c>
      <c r="D3515" t="s">
        <v>4072</v>
      </c>
      <c r="E3515">
        <v>-3513</v>
      </c>
      <c r="F3515" t="s">
        <v>559</v>
      </c>
      <c r="G3515" t="s">
        <v>560</v>
      </c>
    </row>
    <row r="3516" spans="1:7">
      <c r="A3516" t="s">
        <v>182</v>
      </c>
      <c r="B3516" t="s">
        <v>557</v>
      </c>
      <c r="C3516" t="s">
        <v>558</v>
      </c>
      <c r="D3516" t="s">
        <v>4073</v>
      </c>
      <c r="E3516">
        <v>-3514</v>
      </c>
      <c r="F3516" t="s">
        <v>559</v>
      </c>
      <c r="G3516" t="s">
        <v>560</v>
      </c>
    </row>
    <row r="3517" spans="1:7">
      <c r="A3517" t="s">
        <v>182</v>
      </c>
      <c r="B3517" t="s">
        <v>557</v>
      </c>
      <c r="C3517" t="s">
        <v>558</v>
      </c>
      <c r="D3517" t="s">
        <v>4074</v>
      </c>
      <c r="E3517">
        <v>-3515</v>
      </c>
      <c r="F3517" t="s">
        <v>559</v>
      </c>
      <c r="G3517" t="s">
        <v>560</v>
      </c>
    </row>
    <row r="3518" spans="1:7">
      <c r="A3518" t="s">
        <v>182</v>
      </c>
      <c r="B3518" t="s">
        <v>557</v>
      </c>
      <c r="C3518" t="s">
        <v>558</v>
      </c>
      <c r="D3518" t="s">
        <v>4075</v>
      </c>
      <c r="E3518">
        <v>-3516</v>
      </c>
      <c r="F3518" t="s">
        <v>559</v>
      </c>
      <c r="G3518" t="s">
        <v>560</v>
      </c>
    </row>
    <row r="3519" spans="1:7">
      <c r="A3519" t="s">
        <v>182</v>
      </c>
      <c r="B3519" t="s">
        <v>557</v>
      </c>
      <c r="C3519" t="s">
        <v>558</v>
      </c>
      <c r="D3519" t="s">
        <v>4076</v>
      </c>
      <c r="E3519">
        <v>-3517</v>
      </c>
      <c r="F3519" t="s">
        <v>559</v>
      </c>
      <c r="G3519" t="s">
        <v>560</v>
      </c>
    </row>
    <row r="3520" spans="1:7">
      <c r="A3520" t="s">
        <v>182</v>
      </c>
      <c r="B3520" t="s">
        <v>557</v>
      </c>
      <c r="C3520" t="s">
        <v>558</v>
      </c>
      <c r="D3520" t="s">
        <v>4077</v>
      </c>
      <c r="E3520">
        <v>-3518</v>
      </c>
      <c r="F3520" t="s">
        <v>559</v>
      </c>
      <c r="G3520" t="s">
        <v>560</v>
      </c>
    </row>
    <row r="3521" spans="1:7">
      <c r="A3521" t="s">
        <v>182</v>
      </c>
      <c r="B3521" t="s">
        <v>557</v>
      </c>
      <c r="C3521" t="s">
        <v>558</v>
      </c>
      <c r="D3521" t="s">
        <v>4078</v>
      </c>
      <c r="E3521">
        <v>-3519</v>
      </c>
      <c r="F3521" t="s">
        <v>559</v>
      </c>
      <c r="G3521" t="s">
        <v>560</v>
      </c>
    </row>
    <row r="3522" spans="1:7">
      <c r="A3522" t="s">
        <v>182</v>
      </c>
      <c r="B3522" t="s">
        <v>557</v>
      </c>
      <c r="C3522" t="s">
        <v>558</v>
      </c>
      <c r="D3522" t="s">
        <v>4079</v>
      </c>
      <c r="E3522">
        <v>-3520</v>
      </c>
      <c r="F3522" t="s">
        <v>559</v>
      </c>
      <c r="G3522" t="s">
        <v>560</v>
      </c>
    </row>
    <row r="3523" spans="1:7">
      <c r="A3523" t="s">
        <v>182</v>
      </c>
      <c r="B3523" t="s">
        <v>557</v>
      </c>
      <c r="C3523" t="s">
        <v>558</v>
      </c>
      <c r="D3523" t="s">
        <v>4080</v>
      </c>
      <c r="E3523">
        <v>-3521</v>
      </c>
      <c r="F3523" t="s">
        <v>559</v>
      </c>
      <c r="G3523" t="s">
        <v>560</v>
      </c>
    </row>
    <row r="3524" spans="1:7">
      <c r="A3524" t="s">
        <v>182</v>
      </c>
      <c r="B3524" t="s">
        <v>557</v>
      </c>
      <c r="C3524" t="s">
        <v>558</v>
      </c>
      <c r="D3524" t="s">
        <v>4081</v>
      </c>
      <c r="E3524">
        <v>-3522</v>
      </c>
      <c r="F3524" t="s">
        <v>559</v>
      </c>
      <c r="G3524" t="s">
        <v>560</v>
      </c>
    </row>
    <row r="3525" spans="1:7">
      <c r="A3525" t="s">
        <v>182</v>
      </c>
      <c r="B3525" t="s">
        <v>557</v>
      </c>
      <c r="C3525" t="s">
        <v>558</v>
      </c>
      <c r="D3525" t="s">
        <v>4082</v>
      </c>
      <c r="E3525">
        <v>-3523</v>
      </c>
      <c r="F3525" t="s">
        <v>559</v>
      </c>
      <c r="G3525" t="s">
        <v>560</v>
      </c>
    </row>
    <row r="3526" spans="1:7">
      <c r="A3526" t="s">
        <v>182</v>
      </c>
      <c r="B3526" t="s">
        <v>557</v>
      </c>
      <c r="C3526" t="s">
        <v>558</v>
      </c>
      <c r="D3526" t="s">
        <v>4083</v>
      </c>
      <c r="E3526">
        <v>-3524</v>
      </c>
      <c r="F3526" t="s">
        <v>559</v>
      </c>
      <c r="G3526" t="s">
        <v>560</v>
      </c>
    </row>
    <row r="3527" spans="1:7">
      <c r="A3527" t="s">
        <v>182</v>
      </c>
      <c r="B3527" t="s">
        <v>557</v>
      </c>
      <c r="C3527" t="s">
        <v>558</v>
      </c>
      <c r="D3527" t="s">
        <v>4084</v>
      </c>
      <c r="E3527">
        <v>-3525</v>
      </c>
      <c r="F3527" t="s">
        <v>559</v>
      </c>
      <c r="G3527" t="s">
        <v>560</v>
      </c>
    </row>
    <row r="3528" spans="1:7">
      <c r="A3528" t="s">
        <v>182</v>
      </c>
      <c r="B3528" t="s">
        <v>557</v>
      </c>
      <c r="C3528" t="s">
        <v>558</v>
      </c>
      <c r="D3528" t="s">
        <v>4085</v>
      </c>
      <c r="E3528">
        <v>-3526</v>
      </c>
      <c r="F3528" t="s">
        <v>559</v>
      </c>
      <c r="G3528" t="s">
        <v>560</v>
      </c>
    </row>
    <row r="3529" spans="1:7">
      <c r="A3529" t="s">
        <v>182</v>
      </c>
      <c r="B3529" t="s">
        <v>557</v>
      </c>
      <c r="C3529" t="s">
        <v>558</v>
      </c>
      <c r="D3529" t="s">
        <v>4086</v>
      </c>
      <c r="E3529">
        <v>-3527</v>
      </c>
      <c r="F3529" t="s">
        <v>559</v>
      </c>
      <c r="G3529" t="s">
        <v>560</v>
      </c>
    </row>
    <row r="3530" spans="1:7">
      <c r="A3530" t="s">
        <v>182</v>
      </c>
      <c r="B3530" t="s">
        <v>557</v>
      </c>
      <c r="C3530" t="s">
        <v>558</v>
      </c>
      <c r="D3530" t="s">
        <v>4087</v>
      </c>
      <c r="E3530">
        <v>-3528</v>
      </c>
      <c r="F3530" t="s">
        <v>559</v>
      </c>
      <c r="G3530" t="s">
        <v>560</v>
      </c>
    </row>
    <row r="3531" spans="1:7">
      <c r="A3531" t="s">
        <v>182</v>
      </c>
      <c r="B3531" t="s">
        <v>557</v>
      </c>
      <c r="C3531" t="s">
        <v>558</v>
      </c>
      <c r="D3531" t="s">
        <v>4088</v>
      </c>
      <c r="E3531">
        <v>-3529</v>
      </c>
      <c r="F3531" t="s">
        <v>559</v>
      </c>
      <c r="G3531" t="s">
        <v>560</v>
      </c>
    </row>
    <row r="3532" spans="1:7">
      <c r="A3532" t="s">
        <v>182</v>
      </c>
      <c r="B3532" t="s">
        <v>557</v>
      </c>
      <c r="C3532" t="s">
        <v>558</v>
      </c>
      <c r="D3532" t="s">
        <v>4089</v>
      </c>
      <c r="E3532">
        <v>-3530</v>
      </c>
      <c r="F3532" t="s">
        <v>559</v>
      </c>
      <c r="G3532" t="s">
        <v>560</v>
      </c>
    </row>
    <row r="3533" spans="1:7">
      <c r="A3533" t="s">
        <v>182</v>
      </c>
      <c r="B3533" t="s">
        <v>557</v>
      </c>
      <c r="C3533" t="s">
        <v>558</v>
      </c>
      <c r="D3533" t="s">
        <v>4090</v>
      </c>
      <c r="E3533">
        <v>-3531</v>
      </c>
      <c r="F3533" t="s">
        <v>559</v>
      </c>
      <c r="G3533" t="s">
        <v>560</v>
      </c>
    </row>
    <row r="3534" spans="1:7">
      <c r="A3534" t="s">
        <v>182</v>
      </c>
      <c r="B3534" t="s">
        <v>557</v>
      </c>
      <c r="C3534" t="s">
        <v>558</v>
      </c>
      <c r="D3534" t="s">
        <v>4091</v>
      </c>
      <c r="E3534">
        <v>-3532</v>
      </c>
      <c r="F3534" t="s">
        <v>559</v>
      </c>
      <c r="G3534" t="s">
        <v>560</v>
      </c>
    </row>
    <row r="3535" spans="1:7">
      <c r="A3535" t="s">
        <v>182</v>
      </c>
      <c r="B3535" t="s">
        <v>557</v>
      </c>
      <c r="C3535" t="s">
        <v>558</v>
      </c>
      <c r="D3535" t="s">
        <v>4092</v>
      </c>
      <c r="E3535">
        <v>-3533</v>
      </c>
      <c r="F3535" t="s">
        <v>559</v>
      </c>
      <c r="G3535" t="s">
        <v>560</v>
      </c>
    </row>
    <row r="3536" spans="1:7">
      <c r="A3536" t="s">
        <v>182</v>
      </c>
      <c r="B3536" t="s">
        <v>557</v>
      </c>
      <c r="C3536" t="s">
        <v>558</v>
      </c>
      <c r="D3536" t="s">
        <v>4093</v>
      </c>
      <c r="E3536">
        <v>-3534</v>
      </c>
      <c r="F3536" t="s">
        <v>559</v>
      </c>
      <c r="G3536" t="s">
        <v>560</v>
      </c>
    </row>
    <row r="3537" spans="1:7">
      <c r="A3537" t="s">
        <v>182</v>
      </c>
      <c r="B3537" t="s">
        <v>557</v>
      </c>
      <c r="C3537" t="s">
        <v>558</v>
      </c>
      <c r="D3537" t="s">
        <v>4094</v>
      </c>
      <c r="E3537">
        <v>-3535</v>
      </c>
      <c r="F3537" t="s">
        <v>559</v>
      </c>
      <c r="G3537" t="s">
        <v>560</v>
      </c>
    </row>
    <row r="3538" spans="1:7">
      <c r="A3538" t="s">
        <v>182</v>
      </c>
      <c r="B3538" t="s">
        <v>557</v>
      </c>
      <c r="C3538" t="s">
        <v>558</v>
      </c>
      <c r="D3538" t="s">
        <v>4095</v>
      </c>
      <c r="E3538">
        <v>-3536</v>
      </c>
      <c r="F3538" t="s">
        <v>559</v>
      </c>
      <c r="G3538" t="s">
        <v>560</v>
      </c>
    </row>
    <row r="3539" spans="1:7">
      <c r="A3539" t="s">
        <v>182</v>
      </c>
      <c r="B3539" t="s">
        <v>557</v>
      </c>
      <c r="C3539" t="s">
        <v>558</v>
      </c>
      <c r="D3539" t="s">
        <v>4096</v>
      </c>
      <c r="E3539">
        <v>-3537</v>
      </c>
      <c r="F3539" t="s">
        <v>559</v>
      </c>
      <c r="G3539" t="s">
        <v>560</v>
      </c>
    </row>
    <row r="3540" spans="1:7">
      <c r="A3540" t="s">
        <v>182</v>
      </c>
      <c r="B3540" t="s">
        <v>557</v>
      </c>
      <c r="C3540" t="s">
        <v>558</v>
      </c>
      <c r="D3540" t="s">
        <v>4097</v>
      </c>
      <c r="E3540">
        <v>-3538</v>
      </c>
      <c r="F3540" t="s">
        <v>559</v>
      </c>
      <c r="G3540" t="s">
        <v>560</v>
      </c>
    </row>
    <row r="3541" spans="1:7">
      <c r="A3541" t="s">
        <v>182</v>
      </c>
      <c r="B3541" t="s">
        <v>557</v>
      </c>
      <c r="C3541" t="s">
        <v>558</v>
      </c>
      <c r="D3541" t="s">
        <v>4098</v>
      </c>
      <c r="E3541">
        <v>-3539</v>
      </c>
      <c r="F3541" t="s">
        <v>559</v>
      </c>
      <c r="G3541" t="s">
        <v>560</v>
      </c>
    </row>
    <row r="3542" spans="1:7">
      <c r="A3542" t="s">
        <v>182</v>
      </c>
      <c r="B3542" t="s">
        <v>557</v>
      </c>
      <c r="C3542" t="s">
        <v>558</v>
      </c>
      <c r="D3542" t="s">
        <v>4099</v>
      </c>
      <c r="E3542">
        <v>-3540</v>
      </c>
      <c r="F3542" t="s">
        <v>559</v>
      </c>
      <c r="G3542" t="s">
        <v>560</v>
      </c>
    </row>
    <row r="3543" spans="1:7">
      <c r="A3543" t="s">
        <v>182</v>
      </c>
      <c r="B3543" t="s">
        <v>557</v>
      </c>
      <c r="C3543" t="s">
        <v>558</v>
      </c>
      <c r="D3543" t="s">
        <v>4100</v>
      </c>
      <c r="E3543">
        <v>-3541</v>
      </c>
      <c r="F3543" t="s">
        <v>559</v>
      </c>
      <c r="G3543" t="s">
        <v>560</v>
      </c>
    </row>
    <row r="3544" spans="1:7">
      <c r="A3544" t="s">
        <v>182</v>
      </c>
      <c r="B3544" t="s">
        <v>557</v>
      </c>
      <c r="C3544" t="s">
        <v>558</v>
      </c>
      <c r="D3544" t="s">
        <v>4101</v>
      </c>
      <c r="E3544">
        <v>-3542</v>
      </c>
      <c r="F3544" t="s">
        <v>559</v>
      </c>
      <c r="G3544" t="s">
        <v>560</v>
      </c>
    </row>
    <row r="3545" spans="1:7">
      <c r="A3545" t="s">
        <v>182</v>
      </c>
      <c r="B3545" t="s">
        <v>557</v>
      </c>
      <c r="C3545" t="s">
        <v>558</v>
      </c>
      <c r="D3545" t="s">
        <v>4102</v>
      </c>
      <c r="E3545">
        <v>-3543</v>
      </c>
      <c r="F3545" t="s">
        <v>559</v>
      </c>
      <c r="G3545" t="s">
        <v>560</v>
      </c>
    </row>
    <row r="3546" spans="1:7">
      <c r="A3546" t="s">
        <v>182</v>
      </c>
      <c r="B3546" t="s">
        <v>557</v>
      </c>
      <c r="C3546" t="s">
        <v>558</v>
      </c>
      <c r="D3546" t="s">
        <v>4103</v>
      </c>
      <c r="E3546">
        <v>-3544</v>
      </c>
      <c r="F3546" t="s">
        <v>559</v>
      </c>
      <c r="G3546" t="s">
        <v>560</v>
      </c>
    </row>
    <row r="3547" spans="1:7">
      <c r="A3547" t="s">
        <v>182</v>
      </c>
      <c r="B3547" t="s">
        <v>557</v>
      </c>
      <c r="C3547" t="s">
        <v>558</v>
      </c>
      <c r="D3547" t="s">
        <v>4104</v>
      </c>
      <c r="E3547">
        <v>-3545</v>
      </c>
      <c r="F3547" t="s">
        <v>559</v>
      </c>
      <c r="G3547" t="s">
        <v>560</v>
      </c>
    </row>
    <row r="3548" spans="1:7">
      <c r="A3548" t="s">
        <v>182</v>
      </c>
      <c r="B3548" t="s">
        <v>557</v>
      </c>
      <c r="C3548" t="s">
        <v>558</v>
      </c>
      <c r="D3548" t="s">
        <v>4105</v>
      </c>
      <c r="E3548">
        <v>-3546</v>
      </c>
      <c r="F3548" t="s">
        <v>559</v>
      </c>
      <c r="G3548" t="s">
        <v>560</v>
      </c>
    </row>
    <row r="3549" spans="1:7">
      <c r="A3549" t="s">
        <v>182</v>
      </c>
      <c r="B3549" t="s">
        <v>557</v>
      </c>
      <c r="C3549" t="s">
        <v>558</v>
      </c>
      <c r="D3549" t="s">
        <v>4106</v>
      </c>
      <c r="E3549">
        <v>-3547</v>
      </c>
      <c r="F3549" t="s">
        <v>559</v>
      </c>
      <c r="G3549" t="s">
        <v>560</v>
      </c>
    </row>
    <row r="3550" spans="1:7">
      <c r="A3550" t="s">
        <v>182</v>
      </c>
      <c r="B3550" t="s">
        <v>557</v>
      </c>
      <c r="C3550" t="s">
        <v>558</v>
      </c>
      <c r="D3550" t="s">
        <v>4107</v>
      </c>
      <c r="E3550">
        <v>-3548</v>
      </c>
      <c r="F3550" t="s">
        <v>559</v>
      </c>
      <c r="G3550" t="s">
        <v>560</v>
      </c>
    </row>
    <row r="3551" spans="1:7">
      <c r="A3551" t="s">
        <v>182</v>
      </c>
      <c r="B3551" t="s">
        <v>557</v>
      </c>
      <c r="C3551" t="s">
        <v>558</v>
      </c>
      <c r="D3551" t="s">
        <v>4108</v>
      </c>
      <c r="E3551">
        <v>-3549</v>
      </c>
      <c r="F3551" t="s">
        <v>559</v>
      </c>
      <c r="G3551" t="s">
        <v>560</v>
      </c>
    </row>
    <row r="3552" spans="1:7">
      <c r="A3552" t="s">
        <v>182</v>
      </c>
      <c r="B3552" t="s">
        <v>557</v>
      </c>
      <c r="C3552" t="s">
        <v>558</v>
      </c>
      <c r="D3552" t="s">
        <v>4109</v>
      </c>
      <c r="E3552">
        <v>-3550</v>
      </c>
      <c r="F3552" t="s">
        <v>559</v>
      </c>
      <c r="G3552" t="s">
        <v>560</v>
      </c>
    </row>
    <row r="3553" spans="1:7">
      <c r="A3553" t="s">
        <v>182</v>
      </c>
      <c r="B3553" t="s">
        <v>557</v>
      </c>
      <c r="C3553" t="s">
        <v>558</v>
      </c>
      <c r="D3553" t="s">
        <v>4110</v>
      </c>
      <c r="E3553">
        <v>-3551</v>
      </c>
      <c r="F3553" t="s">
        <v>559</v>
      </c>
      <c r="G3553" t="s">
        <v>560</v>
      </c>
    </row>
    <row r="3554" spans="1:7">
      <c r="A3554" t="s">
        <v>182</v>
      </c>
      <c r="B3554" t="s">
        <v>557</v>
      </c>
      <c r="C3554" t="s">
        <v>558</v>
      </c>
      <c r="D3554" t="s">
        <v>4111</v>
      </c>
      <c r="E3554">
        <v>-3552</v>
      </c>
      <c r="F3554" t="s">
        <v>559</v>
      </c>
      <c r="G3554" t="s">
        <v>560</v>
      </c>
    </row>
    <row r="3555" spans="1:7">
      <c r="A3555" t="s">
        <v>182</v>
      </c>
      <c r="B3555" t="s">
        <v>557</v>
      </c>
      <c r="C3555" t="s">
        <v>558</v>
      </c>
      <c r="D3555" t="s">
        <v>4112</v>
      </c>
      <c r="E3555">
        <v>-3553</v>
      </c>
      <c r="F3555" t="s">
        <v>559</v>
      </c>
      <c r="G3555" t="s">
        <v>560</v>
      </c>
    </row>
    <row r="3556" spans="1:7">
      <c r="A3556" t="s">
        <v>182</v>
      </c>
      <c r="B3556" t="s">
        <v>557</v>
      </c>
      <c r="C3556" t="s">
        <v>558</v>
      </c>
      <c r="D3556" t="s">
        <v>4113</v>
      </c>
      <c r="E3556">
        <v>-3554</v>
      </c>
      <c r="F3556" t="s">
        <v>559</v>
      </c>
      <c r="G3556" t="s">
        <v>560</v>
      </c>
    </row>
    <row r="3557" spans="1:7">
      <c r="A3557" t="s">
        <v>182</v>
      </c>
      <c r="B3557" t="s">
        <v>557</v>
      </c>
      <c r="C3557" t="s">
        <v>558</v>
      </c>
      <c r="D3557" t="s">
        <v>4114</v>
      </c>
      <c r="E3557">
        <v>-3555</v>
      </c>
      <c r="F3557" t="s">
        <v>559</v>
      </c>
      <c r="G3557" t="s">
        <v>560</v>
      </c>
    </row>
    <row r="3558" spans="1:7">
      <c r="A3558" t="s">
        <v>182</v>
      </c>
      <c r="B3558" t="s">
        <v>557</v>
      </c>
      <c r="C3558" t="s">
        <v>558</v>
      </c>
      <c r="D3558" t="s">
        <v>4115</v>
      </c>
      <c r="E3558">
        <v>-3556</v>
      </c>
      <c r="F3558" t="s">
        <v>559</v>
      </c>
      <c r="G3558" t="s">
        <v>560</v>
      </c>
    </row>
    <row r="3559" spans="1:7">
      <c r="A3559" t="s">
        <v>182</v>
      </c>
      <c r="B3559" t="s">
        <v>557</v>
      </c>
      <c r="C3559" t="s">
        <v>558</v>
      </c>
      <c r="D3559" t="s">
        <v>4116</v>
      </c>
      <c r="E3559">
        <v>-3557</v>
      </c>
      <c r="F3559" t="s">
        <v>559</v>
      </c>
      <c r="G3559" t="s">
        <v>560</v>
      </c>
    </row>
    <row r="3560" spans="1:7">
      <c r="A3560" t="s">
        <v>182</v>
      </c>
      <c r="B3560" t="s">
        <v>557</v>
      </c>
      <c r="C3560" t="s">
        <v>558</v>
      </c>
      <c r="D3560" t="s">
        <v>4117</v>
      </c>
      <c r="E3560">
        <v>-3558</v>
      </c>
      <c r="F3560" t="s">
        <v>559</v>
      </c>
      <c r="G3560" t="s">
        <v>560</v>
      </c>
    </row>
    <row r="3561" spans="1:7">
      <c r="A3561" t="s">
        <v>182</v>
      </c>
      <c r="B3561" t="s">
        <v>557</v>
      </c>
      <c r="C3561" t="s">
        <v>558</v>
      </c>
      <c r="D3561" t="s">
        <v>4118</v>
      </c>
      <c r="E3561">
        <v>-3559</v>
      </c>
      <c r="F3561" t="s">
        <v>559</v>
      </c>
      <c r="G3561" t="s">
        <v>560</v>
      </c>
    </row>
    <row r="3562" spans="1:7">
      <c r="A3562" t="s">
        <v>182</v>
      </c>
      <c r="B3562" t="s">
        <v>557</v>
      </c>
      <c r="C3562" t="s">
        <v>558</v>
      </c>
      <c r="D3562" t="s">
        <v>4119</v>
      </c>
      <c r="E3562">
        <v>-3560</v>
      </c>
      <c r="F3562" t="s">
        <v>559</v>
      </c>
      <c r="G3562" t="s">
        <v>560</v>
      </c>
    </row>
    <row r="3563" spans="1:7">
      <c r="A3563" t="s">
        <v>182</v>
      </c>
      <c r="B3563" t="s">
        <v>557</v>
      </c>
      <c r="C3563" t="s">
        <v>558</v>
      </c>
      <c r="D3563" t="s">
        <v>4120</v>
      </c>
      <c r="E3563">
        <v>-3561</v>
      </c>
      <c r="F3563" t="s">
        <v>559</v>
      </c>
      <c r="G3563" t="s">
        <v>560</v>
      </c>
    </row>
    <row r="3564" spans="1:7">
      <c r="A3564" t="s">
        <v>182</v>
      </c>
      <c r="B3564" t="s">
        <v>557</v>
      </c>
      <c r="C3564" t="s">
        <v>558</v>
      </c>
      <c r="D3564" t="s">
        <v>4121</v>
      </c>
      <c r="E3564">
        <v>-3562</v>
      </c>
      <c r="F3564" t="s">
        <v>559</v>
      </c>
      <c r="G3564" t="s">
        <v>560</v>
      </c>
    </row>
    <row r="3565" spans="1:7">
      <c r="A3565" t="s">
        <v>182</v>
      </c>
      <c r="B3565" t="s">
        <v>557</v>
      </c>
      <c r="C3565" t="s">
        <v>558</v>
      </c>
      <c r="D3565" t="s">
        <v>4122</v>
      </c>
      <c r="E3565">
        <v>-3563</v>
      </c>
      <c r="F3565" t="s">
        <v>559</v>
      </c>
      <c r="G3565" t="s">
        <v>560</v>
      </c>
    </row>
    <row r="3566" spans="1:7">
      <c r="A3566" t="s">
        <v>182</v>
      </c>
      <c r="B3566" t="s">
        <v>557</v>
      </c>
      <c r="C3566" t="s">
        <v>558</v>
      </c>
      <c r="D3566" t="s">
        <v>4123</v>
      </c>
      <c r="E3566">
        <v>-3564</v>
      </c>
      <c r="F3566" t="s">
        <v>559</v>
      </c>
      <c r="G3566" t="s">
        <v>560</v>
      </c>
    </row>
    <row r="3567" spans="1:7">
      <c r="A3567" t="s">
        <v>182</v>
      </c>
      <c r="B3567" t="s">
        <v>557</v>
      </c>
      <c r="C3567" t="s">
        <v>558</v>
      </c>
      <c r="D3567" t="s">
        <v>4124</v>
      </c>
      <c r="E3567">
        <v>-3565</v>
      </c>
      <c r="F3567" t="s">
        <v>559</v>
      </c>
      <c r="G3567" t="s">
        <v>560</v>
      </c>
    </row>
    <row r="3568" spans="1:7">
      <c r="A3568" t="s">
        <v>182</v>
      </c>
      <c r="B3568" t="s">
        <v>557</v>
      </c>
      <c r="C3568" t="s">
        <v>558</v>
      </c>
      <c r="D3568" t="s">
        <v>4125</v>
      </c>
      <c r="E3568">
        <v>-3566</v>
      </c>
      <c r="F3568" t="s">
        <v>559</v>
      </c>
      <c r="G3568" t="s">
        <v>560</v>
      </c>
    </row>
    <row r="3569" spans="1:7">
      <c r="A3569" t="s">
        <v>182</v>
      </c>
      <c r="B3569" t="s">
        <v>557</v>
      </c>
      <c r="C3569" t="s">
        <v>558</v>
      </c>
      <c r="D3569" t="s">
        <v>4126</v>
      </c>
      <c r="E3569">
        <v>-3567</v>
      </c>
      <c r="F3569" t="s">
        <v>559</v>
      </c>
      <c r="G3569" t="s">
        <v>560</v>
      </c>
    </row>
    <row r="3570" spans="1:7">
      <c r="A3570" t="s">
        <v>182</v>
      </c>
      <c r="B3570" t="s">
        <v>557</v>
      </c>
      <c r="C3570" t="s">
        <v>558</v>
      </c>
      <c r="D3570" t="s">
        <v>4127</v>
      </c>
      <c r="E3570">
        <v>-3568</v>
      </c>
      <c r="F3570" t="s">
        <v>559</v>
      </c>
      <c r="G3570" t="s">
        <v>560</v>
      </c>
    </row>
    <row r="3571" spans="1:7">
      <c r="A3571" t="s">
        <v>182</v>
      </c>
      <c r="B3571" t="s">
        <v>557</v>
      </c>
      <c r="C3571" t="s">
        <v>558</v>
      </c>
      <c r="D3571" t="s">
        <v>4128</v>
      </c>
      <c r="E3571">
        <v>-3569</v>
      </c>
      <c r="F3571" t="s">
        <v>559</v>
      </c>
      <c r="G3571" t="s">
        <v>560</v>
      </c>
    </row>
    <row r="3572" spans="1:7">
      <c r="A3572" t="s">
        <v>182</v>
      </c>
      <c r="B3572" t="s">
        <v>557</v>
      </c>
      <c r="C3572" t="s">
        <v>558</v>
      </c>
      <c r="D3572" t="s">
        <v>4129</v>
      </c>
      <c r="E3572">
        <v>-3570</v>
      </c>
      <c r="F3572" t="s">
        <v>559</v>
      </c>
      <c r="G3572" t="s">
        <v>560</v>
      </c>
    </row>
    <row r="3573" spans="1:7">
      <c r="A3573" t="s">
        <v>182</v>
      </c>
      <c r="B3573" t="s">
        <v>557</v>
      </c>
      <c r="C3573" t="s">
        <v>558</v>
      </c>
      <c r="D3573" t="s">
        <v>4130</v>
      </c>
      <c r="E3573">
        <v>-3571</v>
      </c>
      <c r="F3573" t="s">
        <v>559</v>
      </c>
      <c r="G3573" t="s">
        <v>560</v>
      </c>
    </row>
    <row r="3574" spans="1:7">
      <c r="A3574" t="s">
        <v>182</v>
      </c>
      <c r="B3574" t="s">
        <v>557</v>
      </c>
      <c r="C3574" t="s">
        <v>558</v>
      </c>
      <c r="D3574" t="s">
        <v>4131</v>
      </c>
      <c r="E3574">
        <v>-3572</v>
      </c>
      <c r="F3574" t="s">
        <v>559</v>
      </c>
      <c r="G3574" t="s">
        <v>560</v>
      </c>
    </row>
    <row r="3575" spans="1:7">
      <c r="A3575" t="s">
        <v>182</v>
      </c>
      <c r="B3575" t="s">
        <v>557</v>
      </c>
      <c r="C3575" t="s">
        <v>558</v>
      </c>
      <c r="D3575" t="s">
        <v>4132</v>
      </c>
      <c r="E3575">
        <v>-3573</v>
      </c>
      <c r="F3575" t="s">
        <v>559</v>
      </c>
      <c r="G3575" t="s">
        <v>560</v>
      </c>
    </row>
    <row r="3576" spans="1:7">
      <c r="A3576" t="s">
        <v>182</v>
      </c>
      <c r="B3576" t="s">
        <v>557</v>
      </c>
      <c r="C3576" t="s">
        <v>558</v>
      </c>
      <c r="D3576" t="s">
        <v>4133</v>
      </c>
      <c r="E3576">
        <v>-3574</v>
      </c>
      <c r="F3576" t="s">
        <v>559</v>
      </c>
      <c r="G3576" t="s">
        <v>560</v>
      </c>
    </row>
    <row r="3577" spans="1:7">
      <c r="A3577" t="s">
        <v>182</v>
      </c>
      <c r="B3577" t="s">
        <v>557</v>
      </c>
      <c r="C3577" t="s">
        <v>558</v>
      </c>
      <c r="D3577" t="s">
        <v>4134</v>
      </c>
      <c r="E3577">
        <v>-3575</v>
      </c>
      <c r="F3577" t="s">
        <v>559</v>
      </c>
      <c r="G3577" t="s">
        <v>560</v>
      </c>
    </row>
    <row r="3578" spans="1:7">
      <c r="A3578" t="s">
        <v>182</v>
      </c>
      <c r="B3578" t="s">
        <v>557</v>
      </c>
      <c r="C3578" t="s">
        <v>558</v>
      </c>
      <c r="D3578" t="s">
        <v>4135</v>
      </c>
      <c r="E3578">
        <v>-3576</v>
      </c>
      <c r="F3578" t="s">
        <v>559</v>
      </c>
      <c r="G3578" t="s">
        <v>560</v>
      </c>
    </row>
    <row r="3579" spans="1:7">
      <c r="A3579" t="s">
        <v>182</v>
      </c>
      <c r="B3579" t="s">
        <v>557</v>
      </c>
      <c r="C3579" t="s">
        <v>558</v>
      </c>
      <c r="D3579" t="s">
        <v>4136</v>
      </c>
      <c r="E3579">
        <v>-3577</v>
      </c>
      <c r="F3579" t="s">
        <v>559</v>
      </c>
      <c r="G3579" t="s">
        <v>560</v>
      </c>
    </row>
    <row r="3580" spans="1:7">
      <c r="A3580" t="s">
        <v>182</v>
      </c>
      <c r="B3580" t="s">
        <v>557</v>
      </c>
      <c r="C3580" t="s">
        <v>558</v>
      </c>
      <c r="D3580" t="s">
        <v>4137</v>
      </c>
      <c r="E3580">
        <v>-3578</v>
      </c>
      <c r="F3580" t="s">
        <v>559</v>
      </c>
      <c r="G3580" t="s">
        <v>560</v>
      </c>
    </row>
    <row r="3581" spans="1:7">
      <c r="A3581" t="s">
        <v>182</v>
      </c>
      <c r="B3581" t="s">
        <v>557</v>
      </c>
      <c r="C3581" t="s">
        <v>558</v>
      </c>
      <c r="D3581" t="s">
        <v>4138</v>
      </c>
      <c r="E3581">
        <v>-3579</v>
      </c>
      <c r="F3581" t="s">
        <v>559</v>
      </c>
      <c r="G3581" t="s">
        <v>560</v>
      </c>
    </row>
    <row r="3582" spans="1:7">
      <c r="A3582" t="s">
        <v>182</v>
      </c>
      <c r="B3582" t="s">
        <v>557</v>
      </c>
      <c r="C3582" t="s">
        <v>558</v>
      </c>
      <c r="D3582" t="s">
        <v>4139</v>
      </c>
      <c r="E3582">
        <v>-3580</v>
      </c>
      <c r="F3582" t="s">
        <v>559</v>
      </c>
      <c r="G3582" t="s">
        <v>560</v>
      </c>
    </row>
    <row r="3583" spans="1:7">
      <c r="A3583" t="s">
        <v>182</v>
      </c>
      <c r="B3583" t="s">
        <v>557</v>
      </c>
      <c r="C3583" t="s">
        <v>558</v>
      </c>
      <c r="D3583" t="s">
        <v>4140</v>
      </c>
      <c r="E3583">
        <v>-3581</v>
      </c>
      <c r="F3583" t="s">
        <v>559</v>
      </c>
      <c r="G3583" t="s">
        <v>560</v>
      </c>
    </row>
    <row r="3584" spans="1:7">
      <c r="A3584" t="s">
        <v>182</v>
      </c>
      <c r="B3584" t="s">
        <v>557</v>
      </c>
      <c r="C3584" t="s">
        <v>558</v>
      </c>
      <c r="D3584" t="s">
        <v>4141</v>
      </c>
      <c r="E3584">
        <v>-3582</v>
      </c>
      <c r="F3584" t="s">
        <v>559</v>
      </c>
      <c r="G3584" t="s">
        <v>560</v>
      </c>
    </row>
    <row r="3585" spans="1:7">
      <c r="A3585" t="s">
        <v>182</v>
      </c>
      <c r="B3585" t="s">
        <v>557</v>
      </c>
      <c r="C3585" t="s">
        <v>558</v>
      </c>
      <c r="D3585" t="s">
        <v>4142</v>
      </c>
      <c r="E3585">
        <v>-3583</v>
      </c>
      <c r="F3585" t="s">
        <v>559</v>
      </c>
      <c r="G3585" t="s">
        <v>560</v>
      </c>
    </row>
    <row r="3586" spans="1:7">
      <c r="A3586" t="s">
        <v>182</v>
      </c>
      <c r="B3586" t="s">
        <v>557</v>
      </c>
      <c r="C3586" t="s">
        <v>558</v>
      </c>
      <c r="D3586" t="s">
        <v>4143</v>
      </c>
      <c r="E3586">
        <v>-3584</v>
      </c>
      <c r="F3586" t="s">
        <v>559</v>
      </c>
      <c r="G3586" t="s">
        <v>560</v>
      </c>
    </row>
    <row r="3587" spans="1:7">
      <c r="A3587" t="s">
        <v>182</v>
      </c>
      <c r="B3587" t="s">
        <v>557</v>
      </c>
      <c r="C3587" t="s">
        <v>558</v>
      </c>
      <c r="D3587" t="s">
        <v>4144</v>
      </c>
      <c r="E3587">
        <v>-3585</v>
      </c>
      <c r="F3587" t="s">
        <v>559</v>
      </c>
      <c r="G3587" t="s">
        <v>560</v>
      </c>
    </row>
    <row r="3588" spans="1:7">
      <c r="A3588" t="s">
        <v>182</v>
      </c>
      <c r="B3588" t="s">
        <v>557</v>
      </c>
      <c r="C3588" t="s">
        <v>558</v>
      </c>
      <c r="D3588" t="s">
        <v>4145</v>
      </c>
      <c r="E3588">
        <v>-3586</v>
      </c>
      <c r="F3588" t="s">
        <v>559</v>
      </c>
      <c r="G3588" t="s">
        <v>560</v>
      </c>
    </row>
    <row r="3589" spans="1:7">
      <c r="A3589" t="s">
        <v>182</v>
      </c>
      <c r="B3589" t="s">
        <v>557</v>
      </c>
      <c r="C3589" t="s">
        <v>558</v>
      </c>
      <c r="D3589" t="s">
        <v>4146</v>
      </c>
      <c r="E3589">
        <v>-3587</v>
      </c>
      <c r="F3589" t="s">
        <v>559</v>
      </c>
      <c r="G3589" t="s">
        <v>560</v>
      </c>
    </row>
    <row r="3590" spans="1:7">
      <c r="A3590" t="s">
        <v>182</v>
      </c>
      <c r="B3590" t="s">
        <v>557</v>
      </c>
      <c r="C3590" t="s">
        <v>558</v>
      </c>
      <c r="D3590" t="s">
        <v>4147</v>
      </c>
      <c r="E3590">
        <v>-3588</v>
      </c>
      <c r="F3590" t="s">
        <v>559</v>
      </c>
      <c r="G3590" t="s">
        <v>560</v>
      </c>
    </row>
    <row r="3591" spans="1:7">
      <c r="A3591" t="s">
        <v>182</v>
      </c>
      <c r="B3591" t="s">
        <v>557</v>
      </c>
      <c r="C3591" t="s">
        <v>558</v>
      </c>
      <c r="D3591" t="s">
        <v>4148</v>
      </c>
      <c r="E3591">
        <v>-3589</v>
      </c>
      <c r="F3591" t="s">
        <v>559</v>
      </c>
      <c r="G3591" t="s">
        <v>560</v>
      </c>
    </row>
    <row r="3592" spans="1:7">
      <c r="A3592" t="s">
        <v>182</v>
      </c>
      <c r="B3592" t="s">
        <v>557</v>
      </c>
      <c r="C3592" t="s">
        <v>558</v>
      </c>
      <c r="D3592" t="s">
        <v>4149</v>
      </c>
      <c r="E3592">
        <v>-3590</v>
      </c>
      <c r="F3592" t="s">
        <v>559</v>
      </c>
      <c r="G3592" t="s">
        <v>560</v>
      </c>
    </row>
    <row r="3593" spans="1:7">
      <c r="A3593" t="s">
        <v>182</v>
      </c>
      <c r="B3593" t="s">
        <v>557</v>
      </c>
      <c r="C3593" t="s">
        <v>558</v>
      </c>
      <c r="D3593" t="s">
        <v>4150</v>
      </c>
      <c r="E3593">
        <v>-3591</v>
      </c>
      <c r="F3593" t="s">
        <v>559</v>
      </c>
      <c r="G3593" t="s">
        <v>560</v>
      </c>
    </row>
    <row r="3594" spans="1:7">
      <c r="A3594" t="s">
        <v>182</v>
      </c>
      <c r="B3594" t="s">
        <v>557</v>
      </c>
      <c r="C3594" t="s">
        <v>558</v>
      </c>
      <c r="D3594" t="s">
        <v>4151</v>
      </c>
      <c r="E3594">
        <v>-3592</v>
      </c>
      <c r="F3594" t="s">
        <v>559</v>
      </c>
      <c r="G3594" t="s">
        <v>560</v>
      </c>
    </row>
    <row r="3595" spans="1:7">
      <c r="A3595" t="s">
        <v>182</v>
      </c>
      <c r="B3595" t="s">
        <v>557</v>
      </c>
      <c r="C3595" t="s">
        <v>558</v>
      </c>
      <c r="D3595" t="s">
        <v>4152</v>
      </c>
      <c r="E3595">
        <v>-3593</v>
      </c>
      <c r="F3595" t="s">
        <v>559</v>
      </c>
      <c r="G3595" t="s">
        <v>560</v>
      </c>
    </row>
    <row r="3596" spans="1:7">
      <c r="A3596" t="s">
        <v>182</v>
      </c>
      <c r="B3596" t="s">
        <v>557</v>
      </c>
      <c r="C3596" t="s">
        <v>558</v>
      </c>
      <c r="D3596" t="s">
        <v>4153</v>
      </c>
      <c r="E3596">
        <v>-3594</v>
      </c>
      <c r="F3596" t="s">
        <v>559</v>
      </c>
      <c r="G3596" t="s">
        <v>560</v>
      </c>
    </row>
    <row r="3597" spans="1:7">
      <c r="A3597" t="s">
        <v>182</v>
      </c>
      <c r="B3597" t="s">
        <v>557</v>
      </c>
      <c r="C3597" t="s">
        <v>558</v>
      </c>
      <c r="D3597" t="s">
        <v>4154</v>
      </c>
      <c r="E3597">
        <v>-3595</v>
      </c>
      <c r="F3597" t="s">
        <v>559</v>
      </c>
      <c r="G3597" t="s">
        <v>560</v>
      </c>
    </row>
    <row r="3598" spans="1:7">
      <c r="A3598" t="s">
        <v>182</v>
      </c>
      <c r="B3598" t="s">
        <v>557</v>
      </c>
      <c r="C3598" t="s">
        <v>558</v>
      </c>
      <c r="D3598" t="s">
        <v>4155</v>
      </c>
      <c r="E3598">
        <v>-3596</v>
      </c>
      <c r="F3598" t="s">
        <v>559</v>
      </c>
      <c r="G3598" t="s">
        <v>560</v>
      </c>
    </row>
    <row r="3599" spans="1:7">
      <c r="A3599" t="s">
        <v>182</v>
      </c>
      <c r="B3599" t="s">
        <v>557</v>
      </c>
      <c r="C3599" t="s">
        <v>558</v>
      </c>
      <c r="D3599" t="s">
        <v>4156</v>
      </c>
      <c r="E3599">
        <v>-3597</v>
      </c>
      <c r="F3599" t="s">
        <v>559</v>
      </c>
      <c r="G3599" t="s">
        <v>560</v>
      </c>
    </row>
    <row r="3600" spans="1:7">
      <c r="A3600" t="s">
        <v>182</v>
      </c>
      <c r="B3600" t="s">
        <v>557</v>
      </c>
      <c r="C3600" t="s">
        <v>558</v>
      </c>
      <c r="D3600" t="s">
        <v>4157</v>
      </c>
      <c r="E3600">
        <v>-3598</v>
      </c>
      <c r="F3600" t="s">
        <v>559</v>
      </c>
      <c r="G3600" t="s">
        <v>560</v>
      </c>
    </row>
    <row r="3601" spans="1:7">
      <c r="A3601" t="s">
        <v>182</v>
      </c>
      <c r="B3601" t="s">
        <v>557</v>
      </c>
      <c r="C3601" t="s">
        <v>558</v>
      </c>
      <c r="D3601" t="s">
        <v>4158</v>
      </c>
      <c r="E3601">
        <v>-3599</v>
      </c>
      <c r="F3601" t="s">
        <v>559</v>
      </c>
      <c r="G3601" t="s">
        <v>560</v>
      </c>
    </row>
    <row r="3602" spans="1:7">
      <c r="A3602" t="s">
        <v>182</v>
      </c>
      <c r="B3602" t="s">
        <v>557</v>
      </c>
      <c r="C3602" t="s">
        <v>558</v>
      </c>
      <c r="D3602" t="s">
        <v>4159</v>
      </c>
      <c r="E3602">
        <v>-3600</v>
      </c>
      <c r="F3602" t="s">
        <v>559</v>
      </c>
      <c r="G3602" t="s">
        <v>560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A186B-4B73-4C92-ACD6-DEBF5EE044C2}">
  <sheetPr codeName="Sheet9"/>
  <dimension ref="A1:G76"/>
  <sheetViews>
    <sheetView workbookViewId="0"/>
  </sheetViews>
  <sheetFormatPr defaultColWidth="8.85546875" defaultRowHeight="15"/>
  <cols>
    <col min="1" max="3" width="21" style="3" customWidth="1"/>
    <col min="4" max="4" width="23.140625" style="3" bestFit="1" customWidth="1"/>
    <col min="5" max="16384" width="8.85546875" style="17"/>
  </cols>
  <sheetData>
    <row r="1" spans="1:7">
      <c r="A1" s="2" t="s">
        <v>504</v>
      </c>
      <c r="B1" s="2" t="s">
        <v>505</v>
      </c>
      <c r="C1" s="2" t="s">
        <v>506</v>
      </c>
      <c r="D1" s="2" t="s">
        <v>507</v>
      </c>
    </row>
    <row r="2" spans="1:7">
      <c r="A2" s="45">
        <f>Results!C16</f>
        <v>492</v>
      </c>
      <c r="B2" s="45">
        <f>Results!D16</f>
        <v>0</v>
      </c>
      <c r="C2" s="45">
        <f>Results!E16</f>
        <v>492</v>
      </c>
      <c r="D2" s="45">
        <f>ROUND(BackgroundCalcs!G29,0)</f>
        <v>34958</v>
      </c>
    </row>
    <row r="10" spans="1:7">
      <c r="G10" s="46"/>
    </row>
    <row r="11" spans="1:7">
      <c r="G11" s="47"/>
    </row>
    <row r="12" spans="1:7">
      <c r="G12" s="47"/>
    </row>
    <row r="14" spans="1:7">
      <c r="G14" s="46"/>
    </row>
    <row r="15" spans="1:7">
      <c r="G15" s="46"/>
    </row>
    <row r="16" spans="1:7">
      <c r="G16" s="46"/>
    </row>
    <row r="17" spans="7:7">
      <c r="G17" s="46"/>
    </row>
    <row r="18" spans="7:7">
      <c r="G18" s="46"/>
    </row>
    <row r="20" spans="7:7">
      <c r="G20" s="47"/>
    </row>
    <row r="21" spans="7:7">
      <c r="G21" s="48"/>
    </row>
    <row r="22" spans="7:7">
      <c r="G22" s="48"/>
    </row>
    <row r="23" spans="7:7">
      <c r="G23" s="48"/>
    </row>
    <row r="25" spans="7:7">
      <c r="G25" s="47"/>
    </row>
    <row r="26" spans="7:7">
      <c r="G26" s="48"/>
    </row>
    <row r="28" spans="7:7">
      <c r="G28" s="48"/>
    </row>
    <row r="29" spans="7:7">
      <c r="G29" s="48"/>
    </row>
    <row r="30" spans="7:7">
      <c r="G30" s="48"/>
    </row>
    <row r="31" spans="7:7">
      <c r="G31" s="48"/>
    </row>
    <row r="32" spans="7:7">
      <c r="G32" s="48"/>
    </row>
    <row r="33" spans="7:7">
      <c r="G33" s="48"/>
    </row>
    <row r="35" spans="7:7">
      <c r="G35" s="47"/>
    </row>
    <row r="36" spans="7:7">
      <c r="G36" s="48"/>
    </row>
    <row r="37" spans="7:7">
      <c r="G37" s="48"/>
    </row>
    <row r="38" spans="7:7">
      <c r="G38" s="48"/>
    </row>
    <row r="40" spans="7:7">
      <c r="G40" s="47"/>
    </row>
    <row r="41" spans="7:7">
      <c r="G41" s="48"/>
    </row>
    <row r="43" spans="7:7">
      <c r="G43" s="47"/>
    </row>
    <row r="44" spans="7:7">
      <c r="G44" s="48"/>
    </row>
    <row r="46" spans="7:7">
      <c r="G46" s="47"/>
    </row>
    <row r="47" spans="7:7">
      <c r="G47" s="48"/>
    </row>
    <row r="48" spans="7:7">
      <c r="G48" s="48"/>
    </row>
    <row r="49" spans="7:7">
      <c r="G49" s="48"/>
    </row>
    <row r="50" spans="7:7">
      <c r="G50" s="48"/>
    </row>
    <row r="51" spans="7:7">
      <c r="G51" s="48"/>
    </row>
    <row r="52" spans="7:7">
      <c r="G52" s="48"/>
    </row>
    <row r="53" spans="7:7">
      <c r="G53" s="48"/>
    </row>
    <row r="54" spans="7:7">
      <c r="G54" s="48"/>
    </row>
    <row r="55" spans="7:7">
      <c r="G55" s="48"/>
    </row>
    <row r="56" spans="7:7">
      <c r="G56" s="48"/>
    </row>
    <row r="57" spans="7:7">
      <c r="G57" s="48"/>
    </row>
    <row r="58" spans="7:7">
      <c r="G58" s="48"/>
    </row>
    <row r="59" spans="7:7">
      <c r="G59" s="48"/>
    </row>
    <row r="60" spans="7:7">
      <c r="G60" s="48"/>
    </row>
    <row r="61" spans="7:7">
      <c r="G61" s="48"/>
    </row>
    <row r="63" spans="7:7">
      <c r="G63" s="48"/>
    </row>
    <row r="64" spans="7:7">
      <c r="G64" s="48"/>
    </row>
    <row r="65" spans="7:7">
      <c r="G65" s="48"/>
    </row>
    <row r="67" spans="7:7">
      <c r="G67" s="47"/>
    </row>
    <row r="68" spans="7:7">
      <c r="G68" s="48"/>
    </row>
    <row r="70" spans="7:7">
      <c r="G70" s="48"/>
    </row>
    <row r="71" spans="7:7">
      <c r="G71" s="48"/>
    </row>
    <row r="72" spans="7:7">
      <c r="G72" s="48"/>
    </row>
    <row r="73" spans="7:7">
      <c r="G73" s="48"/>
    </row>
    <row r="74" spans="7:7">
      <c r="G74" s="48"/>
    </row>
    <row r="75" spans="7:7">
      <c r="G75" s="46"/>
    </row>
    <row r="76" spans="7:7">
      <c r="G76" s="4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01182-8126-41CA-85BD-F3B2D4B5090A}">
  <sheetPr codeName="Sheet5"/>
  <dimension ref="A1:P101"/>
  <sheetViews>
    <sheetView workbookViewId="0"/>
  </sheetViews>
  <sheetFormatPr defaultRowHeight="15"/>
  <sheetData>
    <row r="1" spans="1:16">
      <c r="B1" t="s">
        <v>94</v>
      </c>
      <c r="C1" t="s">
        <v>437</v>
      </c>
      <c r="D1" t="s">
        <v>94</v>
      </c>
      <c r="E1" t="s">
        <v>438</v>
      </c>
      <c r="F1" t="s">
        <v>94</v>
      </c>
      <c r="G1" t="s">
        <v>437</v>
      </c>
      <c r="J1" t="s">
        <v>4</v>
      </c>
      <c r="K1" t="s">
        <v>93</v>
      </c>
      <c r="L1" t="s">
        <v>484</v>
      </c>
      <c r="M1" t="s">
        <v>93</v>
      </c>
      <c r="O1" t="s">
        <v>482</v>
      </c>
      <c r="P1" t="s">
        <v>483</v>
      </c>
    </row>
    <row r="2" spans="1:16">
      <c r="A2">
        <v>1</v>
      </c>
      <c r="B2" t="s">
        <v>202</v>
      </c>
      <c r="C2">
        <v>1</v>
      </c>
      <c r="D2" t="s">
        <v>439</v>
      </c>
      <c r="E2">
        <v>0</v>
      </c>
      <c r="F2" t="s">
        <v>203</v>
      </c>
      <c r="G2" cm="1">
        <f t="array" aca="1" ref="G2" ca="1">_xlfn.RANDARRAY(1,1,0,1,1)</f>
        <v>0</v>
      </c>
      <c r="J2" t="s">
        <v>485</v>
      </c>
      <c r="K2">
        <v>0</v>
      </c>
      <c r="L2" t="s">
        <v>314</v>
      </c>
      <c r="M2">
        <v>1</v>
      </c>
      <c r="O2" t="str">
        <f t="shared" ref="O2:O33" ca="1" si="0">IF(P2,L2,J2)</f>
        <v>Rory</v>
      </c>
      <c r="P2" cm="1">
        <f t="array" aca="1" ref="P2:P101" ca="1">_xlfn.RANDARRAY(100,1,0,1,1)</f>
        <v>0</v>
      </c>
    </row>
    <row r="3" spans="1:16">
      <c r="A3">
        <v>2</v>
      </c>
      <c r="B3" t="s">
        <v>204</v>
      </c>
      <c r="C3">
        <v>1</v>
      </c>
      <c r="D3" t="s">
        <v>104</v>
      </c>
      <c r="E3">
        <v>0</v>
      </c>
      <c r="F3" t="s">
        <v>205</v>
      </c>
      <c r="G3" cm="1">
        <f t="array" aca="1" ref="G3" ca="1">_xlfn.RANDARRAY(1,1,0,1,1)</f>
        <v>1</v>
      </c>
      <c r="J3" t="s">
        <v>107</v>
      </c>
      <c r="K3">
        <v>0</v>
      </c>
      <c r="L3" t="s">
        <v>407</v>
      </c>
      <c r="M3">
        <v>1</v>
      </c>
      <c r="O3" t="str">
        <f t="shared" ca="1" si="0"/>
        <v>Scarlett</v>
      </c>
      <c r="P3">
        <f ca="1"/>
        <v>0</v>
      </c>
    </row>
    <row r="4" spans="1:16">
      <c r="A4">
        <v>3</v>
      </c>
      <c r="B4" t="s">
        <v>206</v>
      </c>
      <c r="C4">
        <v>1</v>
      </c>
      <c r="D4" t="s">
        <v>440</v>
      </c>
      <c r="E4">
        <v>0</v>
      </c>
      <c r="F4" t="s">
        <v>207</v>
      </c>
      <c r="G4" cm="1">
        <f t="array" aca="1" ref="G4" ca="1">_xlfn.RANDARRAY(1,1,0,1,1)</f>
        <v>0</v>
      </c>
      <c r="J4" t="s">
        <v>26</v>
      </c>
      <c r="K4">
        <v>0</v>
      </c>
      <c r="L4" t="s">
        <v>317</v>
      </c>
      <c r="M4">
        <v>1</v>
      </c>
      <c r="O4" t="str">
        <f t="shared" ca="1" si="0"/>
        <v>Jessica</v>
      </c>
      <c r="P4">
        <f ca="1"/>
        <v>0</v>
      </c>
    </row>
    <row r="5" spans="1:16">
      <c r="A5">
        <v>4</v>
      </c>
      <c r="B5" t="s">
        <v>208</v>
      </c>
      <c r="C5">
        <v>1</v>
      </c>
      <c r="D5" t="s">
        <v>441</v>
      </c>
      <c r="E5">
        <v>0</v>
      </c>
      <c r="F5" t="s">
        <v>209</v>
      </c>
      <c r="G5" cm="1">
        <f t="array" aca="1" ref="G5" ca="1">_xlfn.RANDARRAY(1,1,0,1,1)</f>
        <v>1</v>
      </c>
      <c r="J5" t="s">
        <v>72</v>
      </c>
      <c r="K5">
        <v>0</v>
      </c>
      <c r="L5" t="s">
        <v>424</v>
      </c>
      <c r="M5">
        <v>1</v>
      </c>
      <c r="O5" t="str">
        <f t="shared" ca="1" si="0"/>
        <v>Pamela</v>
      </c>
      <c r="P5">
        <f ca="1"/>
        <v>0</v>
      </c>
    </row>
    <row r="6" spans="1:16">
      <c r="A6">
        <v>5</v>
      </c>
      <c r="B6" t="s">
        <v>210</v>
      </c>
      <c r="C6">
        <v>1</v>
      </c>
      <c r="D6" t="s">
        <v>201</v>
      </c>
      <c r="E6">
        <v>0</v>
      </c>
      <c r="F6" t="s">
        <v>211</v>
      </c>
      <c r="G6" cm="1">
        <f t="array" aca="1" ref="G6" ca="1">_xlfn.RANDARRAY(1,1,0,1,1)</f>
        <v>1</v>
      </c>
      <c r="J6" t="s">
        <v>8</v>
      </c>
      <c r="K6">
        <v>0</v>
      </c>
      <c r="L6" t="s">
        <v>320</v>
      </c>
      <c r="M6">
        <v>1</v>
      </c>
      <c r="O6" t="str">
        <f t="shared" ca="1" si="0"/>
        <v>Jennifer</v>
      </c>
      <c r="P6">
        <f ca="1"/>
        <v>0</v>
      </c>
    </row>
    <row r="7" spans="1:16">
      <c r="A7">
        <v>6</v>
      </c>
      <c r="B7" t="s">
        <v>420</v>
      </c>
      <c r="C7">
        <v>1</v>
      </c>
      <c r="D7" t="s">
        <v>410</v>
      </c>
      <c r="E7">
        <v>0</v>
      </c>
      <c r="F7" t="s">
        <v>212</v>
      </c>
      <c r="G7" cm="1">
        <f t="array" aca="1" ref="G7" ca="1">_xlfn.RANDARRAY(1,1,0,1,1)</f>
        <v>1</v>
      </c>
      <c r="J7" t="s">
        <v>109</v>
      </c>
      <c r="K7">
        <v>0</v>
      </c>
      <c r="L7" t="s">
        <v>322</v>
      </c>
      <c r="M7">
        <v>1</v>
      </c>
      <c r="O7" t="str">
        <f t="shared" ca="1" si="0"/>
        <v>Lucien</v>
      </c>
      <c r="P7">
        <f ca="1"/>
        <v>1</v>
      </c>
    </row>
    <row r="8" spans="1:16">
      <c r="A8">
        <v>7</v>
      </c>
      <c r="B8" t="s">
        <v>106</v>
      </c>
      <c r="C8">
        <v>1</v>
      </c>
      <c r="D8" t="s">
        <v>442</v>
      </c>
      <c r="E8">
        <v>0</v>
      </c>
      <c r="F8" t="s">
        <v>213</v>
      </c>
      <c r="G8" cm="1">
        <f t="array" aca="1" ref="G8" ca="1">_xlfn.RANDARRAY(1,1,0,1,1)</f>
        <v>1</v>
      </c>
      <c r="J8" t="s">
        <v>103</v>
      </c>
      <c r="K8">
        <v>0</v>
      </c>
      <c r="L8" t="s">
        <v>324</v>
      </c>
      <c r="M8">
        <v>1</v>
      </c>
      <c r="O8" t="str">
        <f t="shared" ca="1" si="0"/>
        <v>Simon</v>
      </c>
      <c r="P8">
        <f ca="1"/>
        <v>1</v>
      </c>
    </row>
    <row r="9" spans="1:16">
      <c r="A9">
        <v>8</v>
      </c>
      <c r="B9" t="s">
        <v>214</v>
      </c>
      <c r="C9">
        <v>1</v>
      </c>
      <c r="D9" t="s">
        <v>421</v>
      </c>
      <c r="E9">
        <v>0</v>
      </c>
      <c r="F9" t="s">
        <v>422</v>
      </c>
      <c r="G9" cm="1">
        <f t="array" aca="1" ref="G9" ca="1">_xlfn.RANDARRAY(1,1,0,1,1)</f>
        <v>0</v>
      </c>
      <c r="J9" t="s">
        <v>78</v>
      </c>
      <c r="K9">
        <v>0</v>
      </c>
      <c r="L9" t="s">
        <v>327</v>
      </c>
      <c r="M9">
        <v>1</v>
      </c>
      <c r="O9" t="str">
        <f t="shared" ca="1" si="0"/>
        <v>Samantha</v>
      </c>
      <c r="P9">
        <f ca="1"/>
        <v>0</v>
      </c>
    </row>
    <row r="10" spans="1:16">
      <c r="A10">
        <v>9</v>
      </c>
      <c r="B10" t="s">
        <v>215</v>
      </c>
      <c r="C10">
        <v>1</v>
      </c>
      <c r="D10" t="s">
        <v>423</v>
      </c>
      <c r="E10">
        <v>0</v>
      </c>
      <c r="F10" t="s">
        <v>216</v>
      </c>
      <c r="G10" cm="1">
        <f t="array" aca="1" ref="G10" ca="1">_xlfn.RANDARRAY(1,1,0,1,1)</f>
        <v>1</v>
      </c>
      <c r="J10" t="s">
        <v>44</v>
      </c>
      <c r="K10">
        <v>0</v>
      </c>
      <c r="L10" t="s">
        <v>329</v>
      </c>
      <c r="M10">
        <v>1</v>
      </c>
      <c r="O10" t="str">
        <f t="shared" ca="1" si="0"/>
        <v>Michelle</v>
      </c>
      <c r="P10">
        <f ca="1"/>
        <v>0</v>
      </c>
    </row>
    <row r="11" spans="1:16">
      <c r="A11">
        <v>10</v>
      </c>
      <c r="B11" t="s">
        <v>217</v>
      </c>
      <c r="C11">
        <v>1</v>
      </c>
      <c r="D11" t="s">
        <v>443</v>
      </c>
      <c r="E11">
        <v>0</v>
      </c>
      <c r="F11" t="s">
        <v>218</v>
      </c>
      <c r="G11" cm="1">
        <f t="array" aca="1" ref="G11" ca="1">_xlfn.RANDARRAY(1,1,0,1,1)</f>
        <v>1</v>
      </c>
      <c r="J11" t="s">
        <v>104</v>
      </c>
      <c r="K11">
        <v>0</v>
      </c>
      <c r="L11" t="s">
        <v>331</v>
      </c>
      <c r="M11">
        <v>1</v>
      </c>
      <c r="O11" t="str">
        <f t="shared" ca="1" si="0"/>
        <v>Violet</v>
      </c>
      <c r="P11">
        <f ca="1"/>
        <v>0</v>
      </c>
    </row>
    <row r="12" spans="1:16">
      <c r="A12">
        <v>11</v>
      </c>
      <c r="B12" t="s">
        <v>77</v>
      </c>
      <c r="C12">
        <v>1</v>
      </c>
      <c r="D12" t="s">
        <v>219</v>
      </c>
      <c r="E12">
        <v>0</v>
      </c>
      <c r="F12" t="s">
        <v>424</v>
      </c>
      <c r="G12" cm="1">
        <f t="array" aca="1" ref="G12" ca="1">_xlfn.RANDARRAY(1,1,0,1,1)</f>
        <v>1</v>
      </c>
      <c r="J12" t="s">
        <v>33</v>
      </c>
      <c r="K12">
        <v>0</v>
      </c>
      <c r="L12" t="s">
        <v>486</v>
      </c>
      <c r="M12">
        <v>1</v>
      </c>
      <c r="O12" t="str">
        <f t="shared" ca="1" si="0"/>
        <v>Betty</v>
      </c>
      <c r="P12">
        <f ca="1"/>
        <v>0</v>
      </c>
    </row>
    <row r="13" spans="1:16">
      <c r="A13">
        <v>12</v>
      </c>
      <c r="B13" t="s">
        <v>220</v>
      </c>
      <c r="C13">
        <v>1</v>
      </c>
      <c r="D13" t="s">
        <v>221</v>
      </c>
      <c r="E13">
        <v>0</v>
      </c>
      <c r="F13" t="s">
        <v>222</v>
      </c>
      <c r="G13" cm="1">
        <f t="array" aca="1" ref="G13" ca="1">_xlfn.RANDARRAY(1,1,0,1,1)</f>
        <v>0</v>
      </c>
      <c r="J13" t="s">
        <v>55</v>
      </c>
      <c r="K13">
        <v>0</v>
      </c>
      <c r="L13" t="s">
        <v>334</v>
      </c>
      <c r="M13">
        <v>1</v>
      </c>
      <c r="O13" t="str">
        <f t="shared" ca="1" si="0"/>
        <v>Nathaniel</v>
      </c>
      <c r="P13">
        <f ca="1"/>
        <v>1</v>
      </c>
    </row>
    <row r="14" spans="1:16">
      <c r="A14">
        <v>13</v>
      </c>
      <c r="B14" t="s">
        <v>223</v>
      </c>
      <c r="C14">
        <v>1</v>
      </c>
      <c r="D14" t="s">
        <v>224</v>
      </c>
      <c r="E14">
        <v>0</v>
      </c>
      <c r="F14" t="s">
        <v>225</v>
      </c>
      <c r="G14" cm="1">
        <f t="array" aca="1" ref="G14" ca="1">_xlfn.RANDARRAY(1,1,0,1,1)</f>
        <v>0</v>
      </c>
      <c r="J14" t="s">
        <v>74</v>
      </c>
      <c r="K14">
        <v>0</v>
      </c>
      <c r="L14" t="s">
        <v>409</v>
      </c>
      <c r="M14">
        <v>1</v>
      </c>
      <c r="O14" t="str">
        <f t="shared" ca="1" si="0"/>
        <v>Nicole</v>
      </c>
      <c r="P14">
        <f ca="1"/>
        <v>0</v>
      </c>
    </row>
    <row r="15" spans="1:16">
      <c r="A15">
        <v>14</v>
      </c>
      <c r="B15" t="s">
        <v>425</v>
      </c>
      <c r="C15">
        <v>1</v>
      </c>
      <c r="D15" t="s">
        <v>226</v>
      </c>
      <c r="E15">
        <v>0</v>
      </c>
      <c r="F15" t="s">
        <v>227</v>
      </c>
      <c r="G15" cm="1">
        <f t="array" aca="1" ref="G15" ca="1">_xlfn.RANDARRAY(1,1,0,1,1)</f>
        <v>0</v>
      </c>
      <c r="J15" t="s">
        <v>108</v>
      </c>
      <c r="K15">
        <v>0</v>
      </c>
      <c r="L15" t="s">
        <v>337</v>
      </c>
      <c r="M15">
        <v>1</v>
      </c>
      <c r="O15" t="str">
        <f t="shared" ca="1" si="0"/>
        <v>Ella</v>
      </c>
      <c r="P15">
        <f ca="1"/>
        <v>0</v>
      </c>
    </row>
    <row r="16" spans="1:16">
      <c r="A16">
        <v>15</v>
      </c>
      <c r="B16" t="s">
        <v>228</v>
      </c>
      <c r="C16">
        <v>1</v>
      </c>
      <c r="D16" t="s">
        <v>229</v>
      </c>
      <c r="E16">
        <v>0</v>
      </c>
      <c r="F16" t="s">
        <v>230</v>
      </c>
      <c r="G16" cm="1">
        <f t="array" aca="1" ref="G16" ca="1">_xlfn.RANDARRAY(1,1,0,1,1)</f>
        <v>1</v>
      </c>
      <c r="J16" t="s">
        <v>57</v>
      </c>
      <c r="K16">
        <v>0</v>
      </c>
      <c r="L16" t="s">
        <v>487</v>
      </c>
      <c r="M16">
        <v>1</v>
      </c>
      <c r="O16" t="str">
        <f t="shared" ca="1" si="0"/>
        <v>Laura</v>
      </c>
      <c r="P16">
        <f ca="1"/>
        <v>0</v>
      </c>
    </row>
    <row r="17" spans="1:16">
      <c r="A17">
        <v>16</v>
      </c>
      <c r="B17" t="s">
        <v>426</v>
      </c>
      <c r="C17">
        <v>1</v>
      </c>
      <c r="D17" t="s">
        <v>231</v>
      </c>
      <c r="E17">
        <v>0</v>
      </c>
      <c r="F17" t="s">
        <v>232</v>
      </c>
      <c r="G17" cm="1">
        <f t="array" aca="1" ref="G17" ca="1">_xlfn.RANDARRAY(1,1,0,1,1)</f>
        <v>1</v>
      </c>
      <c r="J17" t="s">
        <v>62</v>
      </c>
      <c r="K17">
        <v>0</v>
      </c>
      <c r="L17" t="s">
        <v>340</v>
      </c>
      <c r="M17">
        <v>1</v>
      </c>
      <c r="O17" t="str">
        <f t="shared" ca="1" si="0"/>
        <v>Harrison</v>
      </c>
      <c r="P17">
        <f ca="1"/>
        <v>1</v>
      </c>
    </row>
    <row r="18" spans="1:16">
      <c r="A18">
        <v>17</v>
      </c>
      <c r="B18" t="s">
        <v>82</v>
      </c>
      <c r="C18">
        <v>1</v>
      </c>
      <c r="D18" t="s">
        <v>233</v>
      </c>
      <c r="E18">
        <v>0</v>
      </c>
      <c r="F18" t="s">
        <v>234</v>
      </c>
      <c r="G18" cm="1">
        <f t="array" aca="1" ref="G18" ca="1">_xlfn.RANDARRAY(1,1,0,1,1)</f>
        <v>0</v>
      </c>
      <c r="J18" t="s">
        <v>49</v>
      </c>
      <c r="K18">
        <v>0</v>
      </c>
      <c r="L18" t="s">
        <v>342</v>
      </c>
      <c r="M18">
        <v>1</v>
      </c>
      <c r="O18" t="str">
        <f t="shared" ca="1" si="0"/>
        <v>Melissa</v>
      </c>
      <c r="P18">
        <f ca="1"/>
        <v>0</v>
      </c>
    </row>
    <row r="19" spans="1:16">
      <c r="A19">
        <v>18</v>
      </c>
      <c r="B19" t="s">
        <v>235</v>
      </c>
      <c r="C19">
        <v>1</v>
      </c>
      <c r="D19" t="s">
        <v>236</v>
      </c>
      <c r="E19">
        <v>0</v>
      </c>
      <c r="F19" t="s">
        <v>278</v>
      </c>
      <c r="G19" cm="1">
        <f t="array" aca="1" ref="G19" ca="1">_xlfn.RANDARRAY(1,1,0,1,1)</f>
        <v>0</v>
      </c>
      <c r="J19" t="s">
        <v>53</v>
      </c>
      <c r="K19">
        <v>0</v>
      </c>
      <c r="L19" t="s">
        <v>488</v>
      </c>
      <c r="M19">
        <v>1</v>
      </c>
      <c r="O19" t="str">
        <f t="shared" ca="1" si="0"/>
        <v>Rebecca</v>
      </c>
      <c r="P19">
        <f ca="1"/>
        <v>0</v>
      </c>
    </row>
    <row r="20" spans="1:16">
      <c r="A20">
        <v>19</v>
      </c>
      <c r="B20" t="s">
        <v>427</v>
      </c>
      <c r="C20">
        <v>1</v>
      </c>
      <c r="D20" t="s">
        <v>428</v>
      </c>
      <c r="E20">
        <v>0</v>
      </c>
      <c r="F20" t="s">
        <v>237</v>
      </c>
      <c r="G20" cm="1">
        <f t="array" aca="1" ref="G20" ca="1">_xlfn.RANDARRAY(1,1,0,1,1)</f>
        <v>0</v>
      </c>
      <c r="J20" t="s">
        <v>28</v>
      </c>
      <c r="K20">
        <v>0</v>
      </c>
      <c r="L20" t="s">
        <v>343</v>
      </c>
      <c r="M20">
        <v>1</v>
      </c>
      <c r="O20" t="str">
        <f t="shared" ca="1" si="0"/>
        <v>Sarah</v>
      </c>
      <c r="P20">
        <f ca="1"/>
        <v>0</v>
      </c>
    </row>
    <row r="21" spans="1:16">
      <c r="A21">
        <v>20</v>
      </c>
      <c r="B21" t="s">
        <v>238</v>
      </c>
      <c r="C21">
        <v>1</v>
      </c>
      <c r="D21" t="s">
        <v>239</v>
      </c>
      <c r="E21">
        <v>0</v>
      </c>
      <c r="F21" t="s">
        <v>240</v>
      </c>
      <c r="G21" cm="1">
        <f t="array" aca="1" ref="G21" ca="1">_xlfn.RANDARRAY(1,1,0,1,1)</f>
        <v>1</v>
      </c>
      <c r="J21" t="s">
        <v>105</v>
      </c>
      <c r="K21">
        <v>0</v>
      </c>
      <c r="L21" t="s">
        <v>345</v>
      </c>
      <c r="M21">
        <v>1</v>
      </c>
      <c r="O21" t="str">
        <f t="shared" ca="1" si="0"/>
        <v>Ava</v>
      </c>
      <c r="P21">
        <f ca="1"/>
        <v>0</v>
      </c>
    </row>
    <row r="22" spans="1:16">
      <c r="A22">
        <v>21</v>
      </c>
      <c r="B22" t="s">
        <v>241</v>
      </c>
      <c r="C22">
        <v>1</v>
      </c>
      <c r="D22" t="s">
        <v>242</v>
      </c>
      <c r="E22">
        <v>0</v>
      </c>
      <c r="F22" t="s">
        <v>243</v>
      </c>
      <c r="G22" cm="1">
        <f t="array" aca="1" ref="G22" ca="1">_xlfn.RANDARRAY(1,1,0,1,1)</f>
        <v>0</v>
      </c>
      <c r="J22" t="s">
        <v>35</v>
      </c>
      <c r="K22">
        <v>0</v>
      </c>
      <c r="L22" t="s">
        <v>347</v>
      </c>
      <c r="M22">
        <v>1</v>
      </c>
      <c r="O22" t="str">
        <f t="shared" ca="1" si="0"/>
        <v>Ezra</v>
      </c>
      <c r="P22">
        <f ca="1"/>
        <v>1</v>
      </c>
    </row>
    <row r="23" spans="1:16">
      <c r="A23">
        <v>22</v>
      </c>
      <c r="B23" t="s">
        <v>244</v>
      </c>
      <c r="C23">
        <v>1</v>
      </c>
      <c r="D23" t="s">
        <v>245</v>
      </c>
      <c r="E23">
        <v>0</v>
      </c>
      <c r="F23" t="s">
        <v>246</v>
      </c>
      <c r="G23" cm="1">
        <f t="array" aca="1" ref="G23" ca="1">_xlfn.RANDARRAY(1,1,0,1,1)</f>
        <v>0</v>
      </c>
      <c r="J23" t="s">
        <v>76</v>
      </c>
      <c r="K23">
        <v>0</v>
      </c>
      <c r="L23" t="s">
        <v>489</v>
      </c>
      <c r="M23">
        <v>1</v>
      </c>
      <c r="O23" t="str">
        <f t="shared" ca="1" si="0"/>
        <v>Quinn</v>
      </c>
      <c r="P23">
        <f ca="1"/>
        <v>1</v>
      </c>
    </row>
    <row r="24" spans="1:16">
      <c r="A24">
        <v>23</v>
      </c>
      <c r="B24" t="s">
        <v>247</v>
      </c>
      <c r="C24">
        <v>1</v>
      </c>
      <c r="D24" t="s">
        <v>248</v>
      </c>
      <c r="E24">
        <v>0</v>
      </c>
      <c r="F24" t="s">
        <v>249</v>
      </c>
      <c r="G24" cm="1">
        <f t="array" aca="1" ref="G24" ca="1">_xlfn.RANDARRAY(1,1,0,1,1)</f>
        <v>0</v>
      </c>
      <c r="J24" t="s">
        <v>22</v>
      </c>
      <c r="K24">
        <v>0</v>
      </c>
      <c r="L24" t="s">
        <v>350</v>
      </c>
      <c r="M24">
        <v>1</v>
      </c>
      <c r="O24" t="str">
        <f t="shared" ca="1" si="0"/>
        <v>Isaiah</v>
      </c>
      <c r="P24">
        <f ca="1"/>
        <v>1</v>
      </c>
    </row>
    <row r="25" spans="1:16">
      <c r="A25">
        <v>24</v>
      </c>
      <c r="B25" t="s">
        <v>250</v>
      </c>
      <c r="C25">
        <v>1</v>
      </c>
      <c r="D25" t="s">
        <v>400</v>
      </c>
      <c r="E25">
        <v>0</v>
      </c>
      <c r="F25" t="s">
        <v>251</v>
      </c>
      <c r="G25" cm="1">
        <f t="array" aca="1" ref="G25" ca="1">_xlfn.RANDARRAY(1,1,0,1,1)</f>
        <v>1</v>
      </c>
      <c r="J25" t="s">
        <v>11</v>
      </c>
      <c r="K25">
        <v>0</v>
      </c>
      <c r="L25" t="s">
        <v>352</v>
      </c>
      <c r="M25">
        <v>1</v>
      </c>
      <c r="O25" t="str">
        <f t="shared" ca="1" si="0"/>
        <v>Callum</v>
      </c>
      <c r="P25">
        <f ca="1"/>
        <v>1</v>
      </c>
    </row>
    <row r="26" spans="1:16">
      <c r="A26">
        <v>25</v>
      </c>
      <c r="B26" t="s">
        <v>252</v>
      </c>
      <c r="C26">
        <v>1</v>
      </c>
      <c r="D26" t="s">
        <v>253</v>
      </c>
      <c r="E26">
        <v>0</v>
      </c>
      <c r="F26" t="s">
        <v>254</v>
      </c>
      <c r="G26" cm="1">
        <f t="array" aca="1" ref="G26" ca="1">_xlfn.RANDARRAY(1,1,0,1,1)</f>
        <v>0</v>
      </c>
      <c r="J26" t="s">
        <v>13</v>
      </c>
      <c r="K26">
        <v>0</v>
      </c>
      <c r="L26" t="s">
        <v>354</v>
      </c>
      <c r="M26">
        <v>1</v>
      </c>
      <c r="O26" t="str">
        <f t="shared" ca="1" si="0"/>
        <v>Amanda</v>
      </c>
      <c r="P26">
        <f ca="1"/>
        <v>0</v>
      </c>
    </row>
    <row r="27" spans="1:16">
      <c r="A27">
        <v>26</v>
      </c>
      <c r="B27" t="s">
        <v>255</v>
      </c>
      <c r="C27">
        <v>1</v>
      </c>
      <c r="D27" t="s">
        <v>256</v>
      </c>
      <c r="E27">
        <v>0</v>
      </c>
      <c r="F27" t="s">
        <v>257</v>
      </c>
      <c r="G27" cm="1">
        <f t="array" aca="1" ref="G27" ca="1">_xlfn.RANDARRAY(1,1,0,1,1)</f>
        <v>1</v>
      </c>
      <c r="J27" t="s">
        <v>31</v>
      </c>
      <c r="K27">
        <v>0</v>
      </c>
      <c r="L27" t="s">
        <v>356</v>
      </c>
      <c r="M27">
        <v>1</v>
      </c>
      <c r="O27" t="str">
        <f t="shared" ca="1" si="0"/>
        <v>Nancy</v>
      </c>
      <c r="P27">
        <f ca="1"/>
        <v>0</v>
      </c>
    </row>
    <row r="28" spans="1:16">
      <c r="A28">
        <v>27</v>
      </c>
      <c r="B28" t="s">
        <v>258</v>
      </c>
      <c r="C28">
        <v>1</v>
      </c>
      <c r="D28" t="s">
        <v>259</v>
      </c>
      <c r="E28">
        <v>0</v>
      </c>
      <c r="F28" t="s">
        <v>260</v>
      </c>
      <c r="G28" cm="1">
        <f t="array" aca="1" ref="G28" ca="1">_xlfn.RANDARRAY(1,1,0,1,1)</f>
        <v>0</v>
      </c>
      <c r="J28" t="s">
        <v>68</v>
      </c>
      <c r="K28">
        <v>0</v>
      </c>
      <c r="L28" t="s">
        <v>358</v>
      </c>
      <c r="M28">
        <v>1</v>
      </c>
      <c r="O28" t="str">
        <f t="shared" ca="1" si="0"/>
        <v>Anna</v>
      </c>
      <c r="P28">
        <f ca="1"/>
        <v>0</v>
      </c>
    </row>
    <row r="29" spans="1:16">
      <c r="A29">
        <v>28</v>
      </c>
      <c r="B29" t="s">
        <v>261</v>
      </c>
      <c r="C29">
        <v>1</v>
      </c>
      <c r="D29" t="s">
        <v>262</v>
      </c>
      <c r="E29">
        <v>0</v>
      </c>
      <c r="F29" t="s">
        <v>402</v>
      </c>
      <c r="G29" cm="1">
        <f t="array" aca="1" ref="G29" ca="1">_xlfn.RANDARRAY(1,1,0,1,1)</f>
        <v>0</v>
      </c>
      <c r="J29" t="s">
        <v>60</v>
      </c>
      <c r="K29">
        <v>0</v>
      </c>
      <c r="L29" t="s">
        <v>360</v>
      </c>
      <c r="M29">
        <v>1</v>
      </c>
      <c r="O29" t="str">
        <f t="shared" ca="1" si="0"/>
        <v>Kathleen</v>
      </c>
      <c r="P29">
        <f ca="1"/>
        <v>0</v>
      </c>
    </row>
    <row r="30" spans="1:16">
      <c r="A30">
        <v>29</v>
      </c>
      <c r="B30" t="s">
        <v>263</v>
      </c>
      <c r="C30">
        <v>1</v>
      </c>
      <c r="D30" t="s">
        <v>264</v>
      </c>
      <c r="E30">
        <v>0</v>
      </c>
      <c r="F30" t="s">
        <v>265</v>
      </c>
      <c r="G30" cm="1">
        <f t="array" aca="1" ref="G30" ca="1">_xlfn.RANDARRAY(1,1,0,1,1)</f>
        <v>1</v>
      </c>
      <c r="J30" t="s">
        <v>70</v>
      </c>
      <c r="K30">
        <v>0</v>
      </c>
      <c r="L30" t="s">
        <v>490</v>
      </c>
      <c r="M30">
        <v>1</v>
      </c>
      <c r="O30" t="str">
        <f t="shared" ca="1" si="0"/>
        <v>Jade</v>
      </c>
      <c r="P30">
        <f ca="1"/>
        <v>1</v>
      </c>
    </row>
    <row r="31" spans="1:16">
      <c r="A31">
        <v>30</v>
      </c>
      <c r="B31" t="s">
        <v>266</v>
      </c>
      <c r="C31">
        <v>1</v>
      </c>
      <c r="D31" t="s">
        <v>429</v>
      </c>
      <c r="E31">
        <v>0</v>
      </c>
      <c r="F31" t="s">
        <v>267</v>
      </c>
      <c r="G31" cm="1">
        <f t="array" aca="1" ref="G31" ca="1">_xlfn.RANDARRAY(1,1,0,1,1)</f>
        <v>0</v>
      </c>
      <c r="J31" t="s">
        <v>37</v>
      </c>
      <c r="K31">
        <v>0</v>
      </c>
      <c r="L31" t="s">
        <v>363</v>
      </c>
      <c r="M31">
        <v>1</v>
      </c>
      <c r="O31" t="str">
        <f t="shared" ca="1" si="0"/>
        <v>Rowan</v>
      </c>
      <c r="P31">
        <f ca="1"/>
        <v>1</v>
      </c>
    </row>
    <row r="32" spans="1:16">
      <c r="A32">
        <v>31</v>
      </c>
      <c r="B32" t="s">
        <v>268</v>
      </c>
      <c r="C32">
        <v>1</v>
      </c>
      <c r="D32" t="s">
        <v>269</v>
      </c>
      <c r="E32">
        <v>0</v>
      </c>
      <c r="F32" t="s">
        <v>270</v>
      </c>
      <c r="G32" cm="1">
        <f t="array" aca="1" ref="G32" ca="1">_xlfn.RANDARRAY(1,1,0,1,1)</f>
        <v>1</v>
      </c>
      <c r="J32" t="s">
        <v>81</v>
      </c>
      <c r="K32">
        <v>0</v>
      </c>
      <c r="L32" t="s">
        <v>365</v>
      </c>
      <c r="M32">
        <v>1</v>
      </c>
      <c r="O32" t="str">
        <f t="shared" ca="1" si="0"/>
        <v>Christine</v>
      </c>
      <c r="P32">
        <f ca="1"/>
        <v>0</v>
      </c>
    </row>
    <row r="33" spans="1:16">
      <c r="A33">
        <v>32</v>
      </c>
      <c r="B33" t="s">
        <v>21</v>
      </c>
      <c r="C33">
        <v>1</v>
      </c>
      <c r="D33" t="s">
        <v>271</v>
      </c>
      <c r="E33">
        <v>0</v>
      </c>
      <c r="F33" t="s">
        <v>272</v>
      </c>
      <c r="G33" cm="1">
        <f t="array" aca="1" ref="G33" ca="1">_xlfn.RANDARRAY(1,1,0,1,1)</f>
        <v>1</v>
      </c>
      <c r="J33" t="s">
        <v>491</v>
      </c>
      <c r="K33">
        <v>0</v>
      </c>
      <c r="L33" t="s">
        <v>367</v>
      </c>
      <c r="M33">
        <v>1</v>
      </c>
      <c r="O33" t="str">
        <f t="shared" ca="1" si="0"/>
        <v>Alex</v>
      </c>
      <c r="P33">
        <f ca="1"/>
        <v>0</v>
      </c>
    </row>
    <row r="34" spans="1:16">
      <c r="A34">
        <v>33</v>
      </c>
      <c r="B34" t="s">
        <v>273</v>
      </c>
      <c r="C34">
        <v>1</v>
      </c>
      <c r="D34" t="s">
        <v>274</v>
      </c>
      <c r="E34">
        <v>0</v>
      </c>
      <c r="F34" t="s">
        <v>275</v>
      </c>
      <c r="G34" cm="1">
        <f t="array" aca="1" ref="G34" ca="1">_xlfn.RANDARRAY(1,1,0,1,1)</f>
        <v>1</v>
      </c>
      <c r="J34" t="s">
        <v>86</v>
      </c>
      <c r="K34">
        <v>0</v>
      </c>
      <c r="L34" t="s">
        <v>369</v>
      </c>
      <c r="M34">
        <v>1</v>
      </c>
      <c r="O34" t="str">
        <f t="shared" ref="O34:O65" ca="1" si="1">IF(P34,L34,J34)</f>
        <v>Cyrus</v>
      </c>
      <c r="P34">
        <f ca="1"/>
        <v>1</v>
      </c>
    </row>
    <row r="35" spans="1:16">
      <c r="A35">
        <v>34</v>
      </c>
      <c r="B35" t="s">
        <v>430</v>
      </c>
      <c r="C35">
        <v>1</v>
      </c>
      <c r="D35" t="s">
        <v>276</v>
      </c>
      <c r="E35">
        <v>0</v>
      </c>
      <c r="F35" t="s">
        <v>277</v>
      </c>
      <c r="G35" cm="1">
        <f t="array" aca="1" ref="G35" ca="1">_xlfn.RANDARRAY(1,1,0,1,1)</f>
        <v>1</v>
      </c>
      <c r="J35" t="s">
        <v>24</v>
      </c>
      <c r="K35">
        <v>0</v>
      </c>
      <c r="L35" t="s">
        <v>371</v>
      </c>
      <c r="M35">
        <v>1</v>
      </c>
      <c r="O35" t="str">
        <f t="shared" ca="1" si="1"/>
        <v>Nolan</v>
      </c>
      <c r="P35">
        <f ca="1"/>
        <v>1</v>
      </c>
    </row>
    <row r="36" spans="1:16">
      <c r="A36">
        <v>35</v>
      </c>
      <c r="B36" t="s">
        <v>278</v>
      </c>
      <c r="C36">
        <v>1</v>
      </c>
      <c r="D36" t="s">
        <v>279</v>
      </c>
      <c r="E36">
        <v>0</v>
      </c>
      <c r="F36" t="s">
        <v>280</v>
      </c>
      <c r="G36" cm="1">
        <f t="array" aca="1" ref="G36" ca="1">_xlfn.RANDARRAY(1,1,0,1,1)</f>
        <v>1</v>
      </c>
      <c r="J36" t="s">
        <v>10</v>
      </c>
      <c r="K36">
        <v>0</v>
      </c>
      <c r="L36" t="s">
        <v>373</v>
      </c>
      <c r="M36">
        <v>1</v>
      </c>
      <c r="O36" t="str">
        <f t="shared" ca="1" si="1"/>
        <v>Gideon</v>
      </c>
      <c r="P36">
        <f ca="1"/>
        <v>1</v>
      </c>
    </row>
    <row r="37" spans="1:16">
      <c r="A37">
        <v>36</v>
      </c>
      <c r="B37" t="s">
        <v>281</v>
      </c>
      <c r="C37">
        <v>1</v>
      </c>
      <c r="D37" t="s">
        <v>282</v>
      </c>
      <c r="E37">
        <v>0</v>
      </c>
      <c r="F37" t="s">
        <v>283</v>
      </c>
      <c r="G37" cm="1">
        <f t="array" aca="1" ref="G37" ca="1">_xlfn.RANDARRAY(1,1,0,1,1)</f>
        <v>1</v>
      </c>
      <c r="J37" t="s">
        <v>12</v>
      </c>
      <c r="K37">
        <v>0</v>
      </c>
      <c r="L37" t="s">
        <v>416</v>
      </c>
      <c r="M37">
        <v>1</v>
      </c>
      <c r="O37" t="str">
        <f t="shared" ca="1" si="1"/>
        <v>Damien</v>
      </c>
      <c r="P37">
        <f ca="1"/>
        <v>1</v>
      </c>
    </row>
    <row r="38" spans="1:16">
      <c r="A38">
        <v>37</v>
      </c>
      <c r="B38" t="s">
        <v>284</v>
      </c>
      <c r="C38">
        <v>1</v>
      </c>
      <c r="D38" t="s">
        <v>285</v>
      </c>
      <c r="E38">
        <v>0</v>
      </c>
      <c r="F38" t="s">
        <v>286</v>
      </c>
      <c r="G38" cm="1">
        <f t="array" aca="1" ref="G38" ca="1">_xlfn.RANDARRAY(1,1,0,1,1)</f>
        <v>0</v>
      </c>
      <c r="J38" t="s">
        <v>84</v>
      </c>
      <c r="K38">
        <v>0</v>
      </c>
      <c r="L38" t="s">
        <v>376</v>
      </c>
      <c r="M38">
        <v>1</v>
      </c>
      <c r="O38" t="str">
        <f t="shared" ca="1" si="1"/>
        <v>Alaric</v>
      </c>
      <c r="P38">
        <f ca="1"/>
        <v>1</v>
      </c>
    </row>
    <row r="39" spans="1:16">
      <c r="A39">
        <v>38</v>
      </c>
      <c r="B39" t="s">
        <v>287</v>
      </c>
      <c r="C39">
        <v>1</v>
      </c>
      <c r="D39" t="s">
        <v>431</v>
      </c>
      <c r="E39">
        <v>0</v>
      </c>
      <c r="F39" t="s">
        <v>288</v>
      </c>
      <c r="G39" cm="1">
        <f t="array" aca="1" ref="G39" ca="1">_xlfn.RANDARRAY(1,1,0,1,1)</f>
        <v>0</v>
      </c>
      <c r="J39" t="s">
        <v>92</v>
      </c>
      <c r="K39">
        <v>0</v>
      </c>
      <c r="L39" t="s">
        <v>378</v>
      </c>
      <c r="M39">
        <v>1</v>
      </c>
      <c r="O39" t="str">
        <f t="shared" ca="1" si="1"/>
        <v>Heather</v>
      </c>
      <c r="P39">
        <f ca="1"/>
        <v>0</v>
      </c>
    </row>
    <row r="40" spans="1:16">
      <c r="A40">
        <v>39</v>
      </c>
      <c r="B40" t="s">
        <v>289</v>
      </c>
      <c r="C40">
        <v>1</v>
      </c>
      <c r="D40" t="s">
        <v>290</v>
      </c>
      <c r="E40">
        <v>0</v>
      </c>
      <c r="F40" t="s">
        <v>291</v>
      </c>
      <c r="G40" cm="1">
        <f t="array" aca="1" ref="G40" ca="1">_xlfn.RANDARRAY(1,1,0,1,1)</f>
        <v>0</v>
      </c>
      <c r="J40" t="s">
        <v>66</v>
      </c>
      <c r="K40">
        <v>0</v>
      </c>
      <c r="L40" t="s">
        <v>492</v>
      </c>
      <c r="M40">
        <v>1</v>
      </c>
      <c r="O40" t="str">
        <f t="shared" ca="1" si="1"/>
        <v>Shirley</v>
      </c>
      <c r="P40">
        <f ca="1"/>
        <v>0</v>
      </c>
    </row>
    <row r="41" spans="1:16">
      <c r="A41">
        <v>40</v>
      </c>
      <c r="B41" t="s">
        <v>432</v>
      </c>
      <c r="C41">
        <v>1</v>
      </c>
      <c r="D41" t="s">
        <v>401</v>
      </c>
      <c r="E41">
        <v>0</v>
      </c>
      <c r="F41" t="s">
        <v>292</v>
      </c>
      <c r="G41" cm="1">
        <f t="array" aca="1" ref="G41" ca="1">_xlfn.RANDARRAY(1,1,0,1,1)</f>
        <v>0</v>
      </c>
      <c r="J41" t="s">
        <v>64</v>
      </c>
      <c r="K41">
        <v>0</v>
      </c>
      <c r="L41" t="s">
        <v>493</v>
      </c>
      <c r="M41">
        <v>1</v>
      </c>
      <c r="O41" t="str">
        <f t="shared" ca="1" si="1"/>
        <v>Angela</v>
      </c>
      <c r="P41">
        <f ca="1"/>
        <v>0</v>
      </c>
    </row>
    <row r="42" spans="1:16">
      <c r="A42">
        <v>41</v>
      </c>
      <c r="B42" t="s">
        <v>293</v>
      </c>
      <c r="C42">
        <v>1</v>
      </c>
      <c r="D42" t="s">
        <v>294</v>
      </c>
      <c r="E42">
        <v>0</v>
      </c>
      <c r="F42" t="s">
        <v>295</v>
      </c>
      <c r="G42" cm="1">
        <f t="array" aca="1" ref="G42" ca="1">_xlfn.RANDARRAY(1,1,0,1,1)</f>
        <v>0</v>
      </c>
      <c r="J42" t="s">
        <v>9</v>
      </c>
      <c r="K42">
        <v>0</v>
      </c>
      <c r="L42" t="s">
        <v>383</v>
      </c>
      <c r="M42">
        <v>1</v>
      </c>
      <c r="O42" t="str">
        <f t="shared" ca="1" si="1"/>
        <v>Linda</v>
      </c>
      <c r="P42">
        <f ca="1"/>
        <v>0</v>
      </c>
    </row>
    <row r="43" spans="1:16">
      <c r="A43">
        <v>42</v>
      </c>
      <c r="B43" t="s">
        <v>88</v>
      </c>
      <c r="C43">
        <v>1</v>
      </c>
      <c r="D43" t="s">
        <v>296</v>
      </c>
      <c r="E43">
        <v>0</v>
      </c>
      <c r="F43" t="s">
        <v>403</v>
      </c>
      <c r="G43" cm="1">
        <f t="array" aca="1" ref="G43" ca="1">_xlfn.RANDARRAY(1,1,0,1,1)</f>
        <v>1</v>
      </c>
      <c r="J43" t="s">
        <v>42</v>
      </c>
      <c r="K43">
        <v>0</v>
      </c>
      <c r="L43" t="s">
        <v>385</v>
      </c>
      <c r="M43">
        <v>1</v>
      </c>
      <c r="O43" t="str">
        <f t="shared" ca="1" si="1"/>
        <v>Lincoln</v>
      </c>
      <c r="P43">
        <f ca="1"/>
        <v>1</v>
      </c>
    </row>
    <row r="44" spans="1:16">
      <c r="A44">
        <v>43</v>
      </c>
      <c r="B44" t="s">
        <v>297</v>
      </c>
      <c r="C44">
        <v>1</v>
      </c>
      <c r="D44" t="s">
        <v>298</v>
      </c>
      <c r="E44">
        <v>0</v>
      </c>
      <c r="F44" t="s">
        <v>299</v>
      </c>
      <c r="G44" cm="1">
        <f t="array" aca="1" ref="G44" ca="1">_xlfn.RANDARRAY(1,1,0,1,1)</f>
        <v>1</v>
      </c>
      <c r="J44" t="s">
        <v>90</v>
      </c>
      <c r="K44">
        <v>0</v>
      </c>
      <c r="L44" t="s">
        <v>494</v>
      </c>
      <c r="M44">
        <v>1</v>
      </c>
      <c r="O44" t="str">
        <f t="shared" ca="1" si="1"/>
        <v>Maria</v>
      </c>
      <c r="P44">
        <f ca="1"/>
        <v>0</v>
      </c>
    </row>
    <row r="45" spans="1:16">
      <c r="A45">
        <v>44</v>
      </c>
      <c r="B45" t="s">
        <v>300</v>
      </c>
      <c r="C45">
        <v>1</v>
      </c>
      <c r="D45" t="s">
        <v>301</v>
      </c>
      <c r="E45">
        <v>0</v>
      </c>
      <c r="F45" t="s">
        <v>302</v>
      </c>
      <c r="G45" cm="1">
        <f t="array" aca="1" ref="G45" ca="1">_xlfn.RANDARRAY(1,1,0,1,1)</f>
        <v>1</v>
      </c>
      <c r="J45" t="s">
        <v>14</v>
      </c>
      <c r="K45">
        <v>0</v>
      </c>
      <c r="L45" t="s">
        <v>388</v>
      </c>
      <c r="M45">
        <v>1</v>
      </c>
      <c r="O45" t="str">
        <f t="shared" ca="1" si="1"/>
        <v>Mary</v>
      </c>
      <c r="P45">
        <f ca="1"/>
        <v>0</v>
      </c>
    </row>
    <row r="46" spans="1:16">
      <c r="A46">
        <v>45</v>
      </c>
      <c r="B46" t="s">
        <v>303</v>
      </c>
      <c r="C46">
        <v>1</v>
      </c>
      <c r="D46" t="s">
        <v>404</v>
      </c>
      <c r="E46">
        <v>0</v>
      </c>
      <c r="F46" t="s">
        <v>304</v>
      </c>
      <c r="G46" cm="1">
        <f t="array" aca="1" ref="G46" ca="1">_xlfn.RANDARRAY(1,1,0,1,1)</f>
        <v>1</v>
      </c>
      <c r="J46" t="s">
        <v>54</v>
      </c>
      <c r="K46">
        <v>1</v>
      </c>
      <c r="L46" t="s">
        <v>390</v>
      </c>
      <c r="M46">
        <v>1</v>
      </c>
      <c r="O46" t="str">
        <f t="shared" ca="1" si="1"/>
        <v>Jason</v>
      </c>
      <c r="P46">
        <f ca="1"/>
        <v>0</v>
      </c>
    </row>
    <row r="47" spans="1:16">
      <c r="A47">
        <v>46</v>
      </c>
      <c r="B47" t="s">
        <v>30</v>
      </c>
      <c r="C47">
        <v>1</v>
      </c>
      <c r="D47" t="s">
        <v>305</v>
      </c>
      <c r="E47">
        <v>0</v>
      </c>
      <c r="F47" t="s">
        <v>306</v>
      </c>
      <c r="G47" cm="1">
        <f t="array" aca="1" ref="G47" ca="1">_xlfn.RANDARRAY(1,1,0,1,1)</f>
        <v>0</v>
      </c>
      <c r="J47" t="s">
        <v>46</v>
      </c>
      <c r="K47">
        <v>1</v>
      </c>
      <c r="L47" t="s">
        <v>391</v>
      </c>
      <c r="M47">
        <v>1</v>
      </c>
      <c r="O47" t="str">
        <f t="shared" ca="1" si="1"/>
        <v>Nathan</v>
      </c>
      <c r="P47">
        <f ca="1"/>
        <v>1</v>
      </c>
    </row>
    <row r="48" spans="1:16">
      <c r="A48">
        <v>47</v>
      </c>
      <c r="B48" t="s">
        <v>405</v>
      </c>
      <c r="C48">
        <v>1</v>
      </c>
      <c r="D48" t="s">
        <v>307</v>
      </c>
      <c r="E48">
        <v>0</v>
      </c>
      <c r="F48" t="s">
        <v>308</v>
      </c>
      <c r="G48" cm="1">
        <f t="array" aca="1" ref="G48" ca="1">_xlfn.RANDARRAY(1,1,0,1,1)</f>
        <v>0</v>
      </c>
      <c r="J48" t="s">
        <v>50</v>
      </c>
      <c r="K48">
        <v>1</v>
      </c>
      <c r="L48" t="s">
        <v>393</v>
      </c>
      <c r="M48">
        <v>1</v>
      </c>
      <c r="O48" t="str">
        <f t="shared" ca="1" si="1"/>
        <v>Timothy</v>
      </c>
      <c r="P48">
        <f ca="1"/>
        <v>0</v>
      </c>
    </row>
    <row r="49" spans="1:16">
      <c r="A49">
        <v>48</v>
      </c>
      <c r="B49" t="s">
        <v>309</v>
      </c>
      <c r="C49">
        <v>1</v>
      </c>
      <c r="D49" t="s">
        <v>406</v>
      </c>
      <c r="E49">
        <v>0</v>
      </c>
      <c r="F49" t="s">
        <v>310</v>
      </c>
      <c r="G49" cm="1">
        <f t="array" aca="1" ref="G49" ca="1">_xlfn.RANDARRAY(1,1,0,1,1)</f>
        <v>1</v>
      </c>
      <c r="J49" t="s">
        <v>85</v>
      </c>
      <c r="K49">
        <v>1</v>
      </c>
      <c r="L49" t="s">
        <v>395</v>
      </c>
      <c r="M49">
        <v>1</v>
      </c>
      <c r="O49" t="str">
        <f t="shared" ca="1" si="1"/>
        <v>Patrick</v>
      </c>
      <c r="P49">
        <f ca="1"/>
        <v>0</v>
      </c>
    </row>
    <row r="50" spans="1:16">
      <c r="A50">
        <v>49</v>
      </c>
      <c r="B50" t="s">
        <v>311</v>
      </c>
      <c r="C50">
        <v>1</v>
      </c>
      <c r="D50" t="s">
        <v>481</v>
      </c>
      <c r="E50">
        <v>0</v>
      </c>
      <c r="F50" t="s">
        <v>312</v>
      </c>
      <c r="G50" cm="1">
        <f t="array" aca="1" ref="G50" ca="1">_xlfn.RANDARRAY(1,1,0,1,1)</f>
        <v>1</v>
      </c>
      <c r="J50" t="s">
        <v>32</v>
      </c>
      <c r="K50">
        <v>1</v>
      </c>
      <c r="L50" t="s">
        <v>396</v>
      </c>
      <c r="M50">
        <v>1</v>
      </c>
      <c r="O50" t="str">
        <f t="shared" ca="1" si="1"/>
        <v>Matthew</v>
      </c>
      <c r="P50">
        <f ca="1"/>
        <v>0</v>
      </c>
    </row>
    <row r="51" spans="1:16">
      <c r="A51">
        <v>50</v>
      </c>
      <c r="B51" t="s">
        <v>41</v>
      </c>
      <c r="C51">
        <v>1</v>
      </c>
      <c r="D51" t="s">
        <v>480</v>
      </c>
      <c r="E51">
        <v>0</v>
      </c>
      <c r="F51" t="s">
        <v>313</v>
      </c>
      <c r="G51" cm="1">
        <f t="array" aca="1" ref="G51" ca="1">_xlfn.RANDARRAY(1,1,0,1,1)</f>
        <v>0</v>
      </c>
      <c r="J51" t="s">
        <v>38</v>
      </c>
      <c r="K51">
        <v>1</v>
      </c>
      <c r="L51" t="s">
        <v>398</v>
      </c>
      <c r="M51">
        <v>1</v>
      </c>
      <c r="O51" t="str">
        <f t="shared" ca="1" si="1"/>
        <v>Chase</v>
      </c>
      <c r="P51">
        <f ca="1"/>
        <v>1</v>
      </c>
    </row>
    <row r="52" spans="1:16">
      <c r="A52">
        <v>51</v>
      </c>
      <c r="B52" t="s">
        <v>314</v>
      </c>
      <c r="C52">
        <v>1</v>
      </c>
      <c r="D52" t="s">
        <v>479</v>
      </c>
      <c r="E52">
        <v>0</v>
      </c>
      <c r="F52" t="s">
        <v>315</v>
      </c>
      <c r="G52" cm="1">
        <f t="array" aca="1" ref="G52" ca="1">_xlfn.RANDARRAY(1,1,0,1,1)</f>
        <v>1</v>
      </c>
      <c r="J52" t="s">
        <v>27</v>
      </c>
      <c r="K52">
        <v>1</v>
      </c>
      <c r="L52" t="s">
        <v>406</v>
      </c>
      <c r="M52">
        <v>0</v>
      </c>
      <c r="O52" t="str">
        <f t="shared" ca="1" si="1"/>
        <v>Thomas</v>
      </c>
      <c r="P52">
        <f ca="1"/>
        <v>0</v>
      </c>
    </row>
    <row r="53" spans="1:16">
      <c r="A53">
        <v>52</v>
      </c>
      <c r="B53" t="s">
        <v>407</v>
      </c>
      <c r="C53">
        <v>1</v>
      </c>
      <c r="D53" t="s">
        <v>478</v>
      </c>
      <c r="E53">
        <v>0</v>
      </c>
      <c r="F53" t="s">
        <v>316</v>
      </c>
      <c r="G53" cm="1">
        <f t="array" aca="1" ref="G53" ca="1">_xlfn.RANDARRAY(1,1,0,1,1)</f>
        <v>0</v>
      </c>
      <c r="J53" t="s">
        <v>96</v>
      </c>
      <c r="K53">
        <v>1</v>
      </c>
      <c r="L53" t="s">
        <v>481</v>
      </c>
      <c r="M53">
        <v>0</v>
      </c>
      <c r="O53" t="str">
        <f t="shared" ca="1" si="1"/>
        <v>Brad</v>
      </c>
      <c r="P53">
        <f ca="1"/>
        <v>0</v>
      </c>
    </row>
    <row r="54" spans="1:16">
      <c r="A54">
        <v>53</v>
      </c>
      <c r="B54" t="s">
        <v>317</v>
      </c>
      <c r="C54">
        <v>1</v>
      </c>
      <c r="D54" t="s">
        <v>477</v>
      </c>
      <c r="E54">
        <v>0</v>
      </c>
      <c r="F54" t="s">
        <v>318</v>
      </c>
      <c r="G54" cm="1">
        <f t="array" aca="1" ref="G54" ca="1">_xlfn.RANDARRAY(1,1,0,1,1)</f>
        <v>1</v>
      </c>
      <c r="J54" t="s">
        <v>6</v>
      </c>
      <c r="K54">
        <v>1</v>
      </c>
      <c r="L54" t="s">
        <v>480</v>
      </c>
      <c r="M54">
        <v>0</v>
      </c>
      <c r="O54" t="str">
        <f t="shared" ca="1" si="1"/>
        <v>Astrid</v>
      </c>
      <c r="P54">
        <f ca="1"/>
        <v>1</v>
      </c>
    </row>
    <row r="55" spans="1:16">
      <c r="A55">
        <v>54</v>
      </c>
      <c r="B55" t="s">
        <v>17</v>
      </c>
      <c r="C55">
        <v>1</v>
      </c>
      <c r="D55" t="s">
        <v>476</v>
      </c>
      <c r="E55">
        <v>0</v>
      </c>
      <c r="F55" t="s">
        <v>319</v>
      </c>
      <c r="G55" cm="1">
        <f t="array" aca="1" ref="G55" ca="1">_xlfn.RANDARRAY(1,1,0,1,1)</f>
        <v>0</v>
      </c>
      <c r="J55" t="s">
        <v>30</v>
      </c>
      <c r="K55">
        <v>1</v>
      </c>
      <c r="L55" t="s">
        <v>479</v>
      </c>
      <c r="M55">
        <v>0</v>
      </c>
      <c r="O55" t="str">
        <f t="shared" ca="1" si="1"/>
        <v>Daniel</v>
      </c>
      <c r="P55">
        <f ca="1"/>
        <v>0</v>
      </c>
    </row>
    <row r="56" spans="1:16">
      <c r="A56">
        <v>55</v>
      </c>
      <c r="B56" t="s">
        <v>320</v>
      </c>
      <c r="C56">
        <v>1</v>
      </c>
      <c r="D56" t="s">
        <v>475</v>
      </c>
      <c r="E56">
        <v>0</v>
      </c>
      <c r="F56" t="s">
        <v>321</v>
      </c>
      <c r="G56" cm="1">
        <f t="array" aca="1" ref="G56" ca="1">_xlfn.RANDARRAY(1,1,0,1,1)</f>
        <v>1</v>
      </c>
      <c r="J56" t="s">
        <v>51</v>
      </c>
      <c r="K56">
        <v>1</v>
      </c>
      <c r="L56" t="s">
        <v>478</v>
      </c>
      <c r="M56">
        <v>0</v>
      </c>
      <c r="O56" t="str">
        <f t="shared" ca="1" si="1"/>
        <v>Ronald</v>
      </c>
      <c r="P56">
        <f ca="1"/>
        <v>0</v>
      </c>
    </row>
    <row r="57" spans="1:16">
      <c r="A57">
        <v>56</v>
      </c>
      <c r="B57" t="s">
        <v>322</v>
      </c>
      <c r="C57">
        <v>1</v>
      </c>
      <c r="D57" t="s">
        <v>474</v>
      </c>
      <c r="E57">
        <v>0</v>
      </c>
      <c r="F57" t="s">
        <v>323</v>
      </c>
      <c r="G57" cm="1">
        <f t="array" aca="1" ref="G57" ca="1">_xlfn.RANDARRAY(1,1,0,1,1)</f>
        <v>0</v>
      </c>
      <c r="J57" t="s">
        <v>17</v>
      </c>
      <c r="K57">
        <v>1</v>
      </c>
      <c r="L57" t="s">
        <v>477</v>
      </c>
      <c r="M57">
        <v>0</v>
      </c>
      <c r="O57" t="str">
        <f t="shared" ca="1" si="1"/>
        <v>James</v>
      </c>
      <c r="P57">
        <f ca="1"/>
        <v>0</v>
      </c>
    </row>
    <row r="58" spans="1:16">
      <c r="A58">
        <v>57</v>
      </c>
      <c r="B58" t="s">
        <v>324</v>
      </c>
      <c r="C58">
        <v>1</v>
      </c>
      <c r="D58" t="s">
        <v>325</v>
      </c>
      <c r="E58">
        <v>0</v>
      </c>
      <c r="F58" t="s">
        <v>326</v>
      </c>
      <c r="G58" cm="1">
        <f t="array" aca="1" ref="G58" ca="1">_xlfn.RANDARRAY(1,1,0,1,1)</f>
        <v>1</v>
      </c>
      <c r="J58" t="s">
        <v>101</v>
      </c>
      <c r="K58">
        <v>1</v>
      </c>
      <c r="L58" t="s">
        <v>476</v>
      </c>
      <c r="M58">
        <v>0</v>
      </c>
      <c r="O58" t="str">
        <f t="shared" ca="1" si="1"/>
        <v>Isabella</v>
      </c>
      <c r="P58">
        <f ca="1"/>
        <v>1</v>
      </c>
    </row>
    <row r="59" spans="1:16">
      <c r="A59">
        <v>58</v>
      </c>
      <c r="B59" t="s">
        <v>327</v>
      </c>
      <c r="C59">
        <v>1</v>
      </c>
      <c r="D59" t="s">
        <v>473</v>
      </c>
      <c r="E59">
        <v>0</v>
      </c>
      <c r="F59" t="s">
        <v>328</v>
      </c>
      <c r="G59" cm="1">
        <f t="array" aca="1" ref="G59" ca="1">_xlfn.RANDARRAY(1,1,0,1,1)</f>
        <v>1</v>
      </c>
      <c r="J59" t="s">
        <v>47</v>
      </c>
      <c r="K59">
        <v>1</v>
      </c>
      <c r="L59" t="s">
        <v>475</v>
      </c>
      <c r="M59">
        <v>0</v>
      </c>
      <c r="O59" t="str">
        <f t="shared" ca="1" si="1"/>
        <v>Lilith</v>
      </c>
      <c r="P59">
        <f ca="1"/>
        <v>1</v>
      </c>
    </row>
    <row r="60" spans="1:16">
      <c r="A60">
        <v>59</v>
      </c>
      <c r="B60" t="s">
        <v>329</v>
      </c>
      <c r="C60">
        <v>1</v>
      </c>
      <c r="D60" t="s">
        <v>472</v>
      </c>
      <c r="E60">
        <v>0</v>
      </c>
      <c r="F60" t="s">
        <v>330</v>
      </c>
      <c r="G60" cm="1">
        <f t="array" aca="1" ref="G60" ca="1">_xlfn.RANDARRAY(1,1,0,1,1)</f>
        <v>1</v>
      </c>
      <c r="J60" t="s">
        <v>29</v>
      </c>
      <c r="K60">
        <v>1</v>
      </c>
      <c r="L60" t="s">
        <v>474</v>
      </c>
      <c r="M60">
        <v>0</v>
      </c>
      <c r="O60" t="str">
        <f t="shared" ca="1" si="1"/>
        <v>Charles</v>
      </c>
      <c r="P60">
        <f ca="1"/>
        <v>0</v>
      </c>
    </row>
    <row r="61" spans="1:16">
      <c r="A61">
        <v>60</v>
      </c>
      <c r="B61" t="s">
        <v>331</v>
      </c>
      <c r="C61">
        <v>1</v>
      </c>
      <c r="D61" t="s">
        <v>471</v>
      </c>
      <c r="E61">
        <v>0</v>
      </c>
      <c r="F61" t="s">
        <v>332</v>
      </c>
      <c r="G61" cm="1">
        <f t="array" aca="1" ref="G61" ca="1">_xlfn.RANDARRAY(1,1,0,1,1)</f>
        <v>1</v>
      </c>
      <c r="J61" t="s">
        <v>43</v>
      </c>
      <c r="K61">
        <v>1</v>
      </c>
      <c r="L61" t="s">
        <v>325</v>
      </c>
      <c r="M61">
        <v>0</v>
      </c>
      <c r="O61" t="str">
        <f t="shared" ca="1" si="1"/>
        <v>Joshua</v>
      </c>
      <c r="P61">
        <f ca="1"/>
        <v>0</v>
      </c>
    </row>
    <row r="62" spans="1:16">
      <c r="A62">
        <v>61</v>
      </c>
      <c r="B62" t="s">
        <v>27</v>
      </c>
      <c r="C62">
        <v>1</v>
      </c>
      <c r="D62" t="s">
        <v>470</v>
      </c>
      <c r="E62">
        <v>0</v>
      </c>
      <c r="F62" t="s">
        <v>333</v>
      </c>
      <c r="G62" cm="1">
        <f t="array" aca="1" ref="G62" ca="1">_xlfn.RANDARRAY(1,1,0,1,1)</f>
        <v>1</v>
      </c>
      <c r="J62" t="s">
        <v>67</v>
      </c>
      <c r="K62">
        <v>1</v>
      </c>
      <c r="L62" t="s">
        <v>473</v>
      </c>
      <c r="M62">
        <v>0</v>
      </c>
      <c r="O62" t="str">
        <f t="shared" ca="1" si="1"/>
        <v>Aurelia</v>
      </c>
      <c r="P62">
        <f ca="1"/>
        <v>1</v>
      </c>
    </row>
    <row r="63" spans="1:16">
      <c r="A63">
        <v>62</v>
      </c>
      <c r="B63" t="s">
        <v>334</v>
      </c>
      <c r="C63">
        <v>1</v>
      </c>
      <c r="D63" t="s">
        <v>408</v>
      </c>
      <c r="E63">
        <v>0</v>
      </c>
      <c r="F63" t="s">
        <v>335</v>
      </c>
      <c r="G63" cm="1">
        <f t="array" aca="1" ref="G63" ca="1">_xlfn.RANDARRAY(1,1,0,1,1)</f>
        <v>0</v>
      </c>
      <c r="J63" t="s">
        <v>7</v>
      </c>
      <c r="K63">
        <v>1</v>
      </c>
      <c r="L63" t="s">
        <v>472</v>
      </c>
      <c r="M63">
        <v>0</v>
      </c>
      <c r="O63" t="str">
        <f t="shared" ca="1" si="1"/>
        <v>Scott</v>
      </c>
      <c r="P63">
        <f ca="1"/>
        <v>0</v>
      </c>
    </row>
    <row r="64" spans="1:16">
      <c r="A64">
        <v>63</v>
      </c>
      <c r="B64" t="s">
        <v>409</v>
      </c>
      <c r="C64">
        <v>1</v>
      </c>
      <c r="D64" t="s">
        <v>469</v>
      </c>
      <c r="E64">
        <v>0</v>
      </c>
      <c r="F64" t="s">
        <v>336</v>
      </c>
      <c r="G64" cm="1">
        <f t="array" aca="1" ref="G64" ca="1">_xlfn.RANDARRAY(1,1,0,1,1)</f>
        <v>1</v>
      </c>
      <c r="J64" t="s">
        <v>79</v>
      </c>
      <c r="K64">
        <v>1</v>
      </c>
      <c r="L64" t="s">
        <v>471</v>
      </c>
      <c r="M64">
        <v>0</v>
      </c>
      <c r="O64" t="str">
        <f t="shared" ca="1" si="1"/>
        <v>Samuel</v>
      </c>
      <c r="P64">
        <f ca="1"/>
        <v>0</v>
      </c>
    </row>
    <row r="65" spans="1:16">
      <c r="A65">
        <v>64</v>
      </c>
      <c r="B65" t="s">
        <v>337</v>
      </c>
      <c r="C65">
        <v>1</v>
      </c>
      <c r="D65" t="s">
        <v>468</v>
      </c>
      <c r="E65">
        <v>0</v>
      </c>
      <c r="F65" t="s">
        <v>338</v>
      </c>
      <c r="G65" cm="1">
        <f t="array" aca="1" ref="G65" ca="1">_xlfn.RANDARRAY(1,1,0,1,1)</f>
        <v>1</v>
      </c>
      <c r="J65" t="s">
        <v>88</v>
      </c>
      <c r="K65">
        <v>1</v>
      </c>
      <c r="L65" t="s">
        <v>470</v>
      </c>
      <c r="M65">
        <v>0</v>
      </c>
      <c r="O65" t="str">
        <f t="shared" ca="1" si="1"/>
        <v>Josephine</v>
      </c>
      <c r="P65">
        <f ca="1"/>
        <v>1</v>
      </c>
    </row>
    <row r="66" spans="1:16">
      <c r="A66">
        <v>65</v>
      </c>
      <c r="B66" t="s">
        <v>59</v>
      </c>
      <c r="C66">
        <v>1</v>
      </c>
      <c r="D66" t="s">
        <v>467</v>
      </c>
      <c r="E66">
        <v>0</v>
      </c>
      <c r="F66" t="s">
        <v>339</v>
      </c>
      <c r="G66" cm="1">
        <f t="array" aca="1" ref="G66" ca="1">_xlfn.RANDARRAY(1,1,0,1,1)</f>
        <v>0</v>
      </c>
      <c r="J66" t="s">
        <v>21</v>
      </c>
      <c r="K66">
        <v>1</v>
      </c>
      <c r="L66" t="s">
        <v>408</v>
      </c>
      <c r="M66">
        <v>0</v>
      </c>
      <c r="O66" t="str">
        <f t="shared" ref="O66:O97" ca="1" si="2">IF(P66,L66,J66)</f>
        <v>Juliette</v>
      </c>
      <c r="P66">
        <f ca="1"/>
        <v>1</v>
      </c>
    </row>
    <row r="67" spans="1:16">
      <c r="A67">
        <v>66</v>
      </c>
      <c r="B67" t="s">
        <v>340</v>
      </c>
      <c r="C67">
        <v>1</v>
      </c>
      <c r="D67" t="s">
        <v>466</v>
      </c>
      <c r="E67">
        <v>0</v>
      </c>
      <c r="F67" t="s">
        <v>341</v>
      </c>
      <c r="G67" cm="1">
        <f t="array" aca="1" ref="G67" ca="1">_xlfn.RANDARRAY(1,1,0,1,1)</f>
        <v>0</v>
      </c>
      <c r="J67" t="s">
        <v>77</v>
      </c>
      <c r="K67">
        <v>1</v>
      </c>
      <c r="L67" t="s">
        <v>469</v>
      </c>
      <c r="M67">
        <v>0</v>
      </c>
      <c r="O67" t="str">
        <f t="shared" ca="1" si="2"/>
        <v>Benjamin</v>
      </c>
      <c r="P67">
        <f ca="1"/>
        <v>0</v>
      </c>
    </row>
    <row r="68" spans="1:16">
      <c r="A68">
        <v>67</v>
      </c>
      <c r="B68" t="s">
        <v>342</v>
      </c>
      <c r="C68">
        <v>1</v>
      </c>
      <c r="D68" t="s">
        <v>465</v>
      </c>
      <c r="E68">
        <v>0</v>
      </c>
      <c r="F68" t="s">
        <v>410</v>
      </c>
      <c r="G68" cm="1">
        <f t="array" aca="1" ref="G68" ca="1">_xlfn.RANDARRAY(1,1,0,1,1)</f>
        <v>0</v>
      </c>
      <c r="J68" t="s">
        <v>19</v>
      </c>
      <c r="K68">
        <v>1</v>
      </c>
      <c r="L68" t="s">
        <v>468</v>
      </c>
      <c r="M68">
        <v>0</v>
      </c>
      <c r="O68" t="str">
        <f t="shared" ca="1" si="2"/>
        <v>John</v>
      </c>
      <c r="P68">
        <f ca="1"/>
        <v>0</v>
      </c>
    </row>
    <row r="69" spans="1:16">
      <c r="A69">
        <v>68</v>
      </c>
      <c r="B69" t="s">
        <v>32</v>
      </c>
      <c r="C69">
        <v>1</v>
      </c>
      <c r="D69" t="s">
        <v>411</v>
      </c>
      <c r="E69">
        <v>0</v>
      </c>
      <c r="F69" t="s">
        <v>412</v>
      </c>
      <c r="G69" cm="1">
        <f t="array" aca="1" ref="G69" ca="1">_xlfn.RANDARRAY(1,1,0,1,1)</f>
        <v>0</v>
      </c>
      <c r="J69" t="s">
        <v>20</v>
      </c>
      <c r="K69">
        <v>1</v>
      </c>
      <c r="L69" t="s">
        <v>467</v>
      </c>
      <c r="M69">
        <v>0</v>
      </c>
      <c r="O69" t="str">
        <f t="shared" ca="1" si="2"/>
        <v>Celeste</v>
      </c>
      <c r="P69">
        <f ca="1"/>
        <v>1</v>
      </c>
    </row>
    <row r="70" spans="1:16">
      <c r="A70">
        <v>69</v>
      </c>
      <c r="B70" t="s">
        <v>343</v>
      </c>
      <c r="C70">
        <v>1</v>
      </c>
      <c r="D70" t="s">
        <v>413</v>
      </c>
      <c r="E70">
        <v>0</v>
      </c>
      <c r="F70" t="s">
        <v>344</v>
      </c>
      <c r="G70" cm="1">
        <f t="array" aca="1" ref="G70" ca="1">_xlfn.RANDARRAY(1,1,0,1,1)</f>
        <v>1</v>
      </c>
      <c r="J70" t="s">
        <v>65</v>
      </c>
      <c r="K70">
        <v>1</v>
      </c>
      <c r="L70" t="s">
        <v>466</v>
      </c>
      <c r="M70">
        <v>0</v>
      </c>
      <c r="O70" t="str">
        <f t="shared" ca="1" si="2"/>
        <v>Eric</v>
      </c>
      <c r="P70">
        <f ca="1"/>
        <v>0</v>
      </c>
    </row>
    <row r="71" spans="1:16">
      <c r="A71">
        <v>70</v>
      </c>
      <c r="B71" t="s">
        <v>345</v>
      </c>
      <c r="C71">
        <v>1</v>
      </c>
      <c r="D71" t="s">
        <v>464</v>
      </c>
      <c r="E71">
        <v>0</v>
      </c>
      <c r="F71" t="s">
        <v>346</v>
      </c>
      <c r="G71" cm="1">
        <f t="array" aca="1" ref="G71" ca="1">_xlfn.RANDARRAY(1,1,0,1,1)</f>
        <v>1</v>
      </c>
      <c r="J71" t="s">
        <v>59</v>
      </c>
      <c r="K71">
        <v>1</v>
      </c>
      <c r="L71" t="s">
        <v>465</v>
      </c>
      <c r="M71">
        <v>0</v>
      </c>
      <c r="O71" t="str">
        <f t="shared" ca="1" si="2"/>
        <v>Jacob</v>
      </c>
      <c r="P71">
        <f ca="1"/>
        <v>0</v>
      </c>
    </row>
    <row r="72" spans="1:16">
      <c r="A72">
        <v>71</v>
      </c>
      <c r="B72" t="s">
        <v>347</v>
      </c>
      <c r="C72">
        <v>1</v>
      </c>
      <c r="D72" t="s">
        <v>463</v>
      </c>
      <c r="E72">
        <v>0</v>
      </c>
      <c r="F72" t="s">
        <v>348</v>
      </c>
      <c r="G72" cm="1">
        <f t="array" aca="1" ref="G72" ca="1">_xlfn.RANDARRAY(1,1,0,1,1)</f>
        <v>0</v>
      </c>
      <c r="J72" t="s">
        <v>52</v>
      </c>
      <c r="K72">
        <v>1</v>
      </c>
      <c r="L72" t="s">
        <v>411</v>
      </c>
      <c r="M72">
        <v>0</v>
      </c>
      <c r="O72" t="str">
        <f t="shared" ca="1" si="2"/>
        <v>Maia</v>
      </c>
      <c r="P72">
        <f ca="1"/>
        <v>1</v>
      </c>
    </row>
    <row r="73" spans="1:16">
      <c r="A73">
        <v>72</v>
      </c>
      <c r="B73" t="s">
        <v>79</v>
      </c>
      <c r="C73">
        <v>1</v>
      </c>
      <c r="D73" t="s">
        <v>414</v>
      </c>
      <c r="E73">
        <v>0</v>
      </c>
      <c r="F73" t="s">
        <v>349</v>
      </c>
      <c r="G73" cm="1">
        <f t="array" aca="1" ref="G73" ca="1">_xlfn.RANDARRAY(1,1,0,1,1)</f>
        <v>0</v>
      </c>
      <c r="J73" t="s">
        <v>87</v>
      </c>
      <c r="K73">
        <v>1</v>
      </c>
      <c r="L73" t="s">
        <v>413</v>
      </c>
      <c r="M73">
        <v>0</v>
      </c>
      <c r="O73" t="str">
        <f t="shared" ca="1" si="2"/>
        <v>Lilah</v>
      </c>
      <c r="P73">
        <f ca="1"/>
        <v>1</v>
      </c>
    </row>
    <row r="74" spans="1:16">
      <c r="A74">
        <v>73</v>
      </c>
      <c r="B74" t="s">
        <v>350</v>
      </c>
      <c r="C74">
        <v>1</v>
      </c>
      <c r="D74" t="s">
        <v>462</v>
      </c>
      <c r="E74">
        <v>0</v>
      </c>
      <c r="F74" t="s">
        <v>351</v>
      </c>
      <c r="G74" cm="1">
        <f t="array" aca="1" ref="G74" ca="1">_xlfn.RANDARRAY(1,1,0,1,1)</f>
        <v>0</v>
      </c>
      <c r="J74" t="s">
        <v>91</v>
      </c>
      <c r="K74">
        <v>1</v>
      </c>
      <c r="L74" t="s">
        <v>464</v>
      </c>
      <c r="M74">
        <v>0</v>
      </c>
      <c r="O74" t="str">
        <f t="shared" ca="1" si="2"/>
        <v>Jerry</v>
      </c>
      <c r="P74">
        <f ca="1"/>
        <v>0</v>
      </c>
    </row>
    <row r="75" spans="1:16">
      <c r="A75">
        <v>74</v>
      </c>
      <c r="B75" t="s">
        <v>352</v>
      </c>
      <c r="C75">
        <v>1</v>
      </c>
      <c r="D75" t="s">
        <v>415</v>
      </c>
      <c r="E75">
        <v>0</v>
      </c>
      <c r="F75" t="s">
        <v>353</v>
      </c>
      <c r="G75" cm="1">
        <f t="array" aca="1" ref="G75" ca="1">_xlfn.RANDARRAY(1,1,0,1,1)</f>
        <v>1</v>
      </c>
      <c r="J75" t="s">
        <v>39</v>
      </c>
      <c r="K75">
        <v>1</v>
      </c>
      <c r="L75" t="s">
        <v>463</v>
      </c>
      <c r="M75">
        <v>0</v>
      </c>
      <c r="O75" t="str">
        <f t="shared" ca="1" si="2"/>
        <v>Paul</v>
      </c>
      <c r="P75">
        <f ca="1"/>
        <v>0</v>
      </c>
    </row>
    <row r="76" spans="1:16">
      <c r="A76">
        <v>75</v>
      </c>
      <c r="B76" t="s">
        <v>354</v>
      </c>
      <c r="C76">
        <v>1</v>
      </c>
      <c r="D76" t="s">
        <v>461</v>
      </c>
      <c r="E76">
        <v>0</v>
      </c>
      <c r="F76" t="s">
        <v>355</v>
      </c>
      <c r="G76" cm="1">
        <f t="array" aca="1" ref="G76" ca="1">_xlfn.RANDARRAY(1,1,0,1,1)</f>
        <v>1</v>
      </c>
      <c r="J76" t="s">
        <v>41</v>
      </c>
      <c r="K76">
        <v>1</v>
      </c>
      <c r="L76" t="s">
        <v>414</v>
      </c>
      <c r="M76">
        <v>0</v>
      </c>
      <c r="O76" t="str">
        <f t="shared" ca="1" si="2"/>
        <v>Margo</v>
      </c>
      <c r="P76">
        <f ca="1"/>
        <v>1</v>
      </c>
    </row>
    <row r="77" spans="1:16">
      <c r="A77">
        <v>76</v>
      </c>
      <c r="B77" t="s">
        <v>356</v>
      </c>
      <c r="C77">
        <v>1</v>
      </c>
      <c r="D77" t="s">
        <v>460</v>
      </c>
      <c r="E77">
        <v>0</v>
      </c>
      <c r="F77" t="s">
        <v>357</v>
      </c>
      <c r="G77" cm="1">
        <f t="array" aca="1" ref="G77" ca="1">_xlfn.RANDARRAY(1,1,0,1,1)</f>
        <v>1</v>
      </c>
      <c r="J77" t="s">
        <v>48</v>
      </c>
      <c r="K77">
        <v>1</v>
      </c>
      <c r="L77" t="s">
        <v>462</v>
      </c>
      <c r="M77">
        <v>0</v>
      </c>
      <c r="O77" t="str">
        <f t="shared" ca="1" si="2"/>
        <v>Mia</v>
      </c>
      <c r="P77">
        <f ca="1"/>
        <v>1</v>
      </c>
    </row>
    <row r="78" spans="1:16">
      <c r="A78">
        <v>77</v>
      </c>
      <c r="B78" t="s">
        <v>358</v>
      </c>
      <c r="C78">
        <v>1</v>
      </c>
      <c r="D78" t="s">
        <v>459</v>
      </c>
      <c r="E78">
        <v>0</v>
      </c>
      <c r="F78" t="s">
        <v>359</v>
      </c>
      <c r="G78" cm="1">
        <f t="array" aca="1" ref="G78" ca="1">_xlfn.RANDARRAY(1,1,0,1,1)</f>
        <v>1</v>
      </c>
      <c r="J78" t="s">
        <v>80</v>
      </c>
      <c r="K78">
        <v>1</v>
      </c>
      <c r="L78" t="s">
        <v>415</v>
      </c>
      <c r="M78">
        <v>0</v>
      </c>
      <c r="O78" t="str">
        <f t="shared" ca="1" si="2"/>
        <v>Gregory</v>
      </c>
      <c r="P78">
        <f ca="1"/>
        <v>0</v>
      </c>
    </row>
    <row r="79" spans="1:16">
      <c r="A79">
        <v>78</v>
      </c>
      <c r="B79" t="s">
        <v>360</v>
      </c>
      <c r="C79">
        <v>1</v>
      </c>
      <c r="D79" t="s">
        <v>458</v>
      </c>
      <c r="E79">
        <v>0</v>
      </c>
      <c r="F79" t="s">
        <v>361</v>
      </c>
      <c r="G79" cm="1">
        <f t="array" aca="1" ref="G79" ca="1">_xlfn.RANDARRAY(1,1,0,1,1)</f>
        <v>0</v>
      </c>
      <c r="J79" t="s">
        <v>97</v>
      </c>
      <c r="K79">
        <v>1</v>
      </c>
      <c r="L79" t="s">
        <v>461</v>
      </c>
      <c r="M79">
        <v>0</v>
      </c>
      <c r="O79" t="str">
        <f t="shared" ca="1" si="2"/>
        <v>Matilda</v>
      </c>
      <c r="P79">
        <f ca="1"/>
        <v>1</v>
      </c>
    </row>
    <row r="80" spans="1:16">
      <c r="A80">
        <v>79</v>
      </c>
      <c r="B80" t="s">
        <v>6</v>
      </c>
      <c r="C80">
        <v>1</v>
      </c>
      <c r="D80" t="s">
        <v>457</v>
      </c>
      <c r="E80">
        <v>0</v>
      </c>
      <c r="F80" t="s">
        <v>362</v>
      </c>
      <c r="G80" cm="1">
        <f t="array" aca="1" ref="G80" ca="1">_xlfn.RANDARRAY(1,1,0,1,1)</f>
        <v>1</v>
      </c>
      <c r="J80" t="s">
        <v>98</v>
      </c>
      <c r="K80">
        <v>1</v>
      </c>
      <c r="L80" t="s">
        <v>460</v>
      </c>
      <c r="M80">
        <v>0</v>
      </c>
      <c r="O80" t="str">
        <f t="shared" ca="1" si="2"/>
        <v>Zed</v>
      </c>
      <c r="P80">
        <f ca="1"/>
        <v>0</v>
      </c>
    </row>
    <row r="81" spans="1:16">
      <c r="A81">
        <v>80</v>
      </c>
      <c r="B81" t="s">
        <v>363</v>
      </c>
      <c r="C81">
        <v>1</v>
      </c>
      <c r="D81" t="s">
        <v>456</v>
      </c>
      <c r="E81">
        <v>0</v>
      </c>
      <c r="F81" t="s">
        <v>364</v>
      </c>
      <c r="G81" cm="1">
        <f t="array" aca="1" ref="G81" ca="1">_xlfn.RANDARRAY(1,1,0,1,1)</f>
        <v>1</v>
      </c>
      <c r="J81" t="s">
        <v>83</v>
      </c>
      <c r="K81">
        <v>1</v>
      </c>
      <c r="L81" t="s">
        <v>459</v>
      </c>
      <c r="M81">
        <v>0</v>
      </c>
      <c r="O81" t="str">
        <f t="shared" ca="1" si="2"/>
        <v>Frank</v>
      </c>
      <c r="P81">
        <f ca="1"/>
        <v>0</v>
      </c>
    </row>
    <row r="82" spans="1:16">
      <c r="A82">
        <v>81</v>
      </c>
      <c r="B82" t="s">
        <v>365</v>
      </c>
      <c r="C82">
        <v>1</v>
      </c>
      <c r="D82" t="s">
        <v>455</v>
      </c>
      <c r="E82">
        <v>0</v>
      </c>
      <c r="F82" t="s">
        <v>366</v>
      </c>
      <c r="G82" cm="1">
        <f t="array" aca="1" ref="G82" ca="1">_xlfn.RANDARRAY(1,1,0,1,1)</f>
        <v>0</v>
      </c>
      <c r="J82" t="s">
        <v>56</v>
      </c>
      <c r="K82">
        <v>1</v>
      </c>
      <c r="L82" t="s">
        <v>458</v>
      </c>
      <c r="M82">
        <v>0</v>
      </c>
      <c r="O82" t="str">
        <f t="shared" ca="1" si="2"/>
        <v>Daphne</v>
      </c>
      <c r="P82">
        <f ca="1"/>
        <v>1</v>
      </c>
    </row>
    <row r="83" spans="1:16">
      <c r="A83">
        <v>82</v>
      </c>
      <c r="B83" t="s">
        <v>367</v>
      </c>
      <c r="C83">
        <v>1</v>
      </c>
      <c r="D83" t="s">
        <v>454</v>
      </c>
      <c r="E83">
        <v>0</v>
      </c>
      <c r="F83" t="s">
        <v>368</v>
      </c>
      <c r="G83" cm="1">
        <f t="array" aca="1" ref="G83" ca="1">_xlfn.RANDARRAY(1,1,0,1,1)</f>
        <v>1</v>
      </c>
      <c r="J83" t="s">
        <v>82</v>
      </c>
      <c r="K83">
        <v>1</v>
      </c>
      <c r="L83" t="s">
        <v>457</v>
      </c>
      <c r="M83">
        <v>0</v>
      </c>
      <c r="O83" t="str">
        <f t="shared" ca="1" si="2"/>
        <v>Olive</v>
      </c>
      <c r="P83">
        <f ca="1"/>
        <v>1</v>
      </c>
    </row>
    <row r="84" spans="1:16">
      <c r="A84">
        <v>83</v>
      </c>
      <c r="B84" t="s">
        <v>369</v>
      </c>
      <c r="C84">
        <v>1</v>
      </c>
      <c r="D84" t="s">
        <v>453</v>
      </c>
      <c r="E84">
        <v>0</v>
      </c>
      <c r="F84" t="s">
        <v>370</v>
      </c>
      <c r="G84" cm="1">
        <f t="array" aca="1" ref="G84" ca="1">_xlfn.RANDARRAY(1,1,0,1,1)</f>
        <v>0</v>
      </c>
      <c r="J84" t="s">
        <v>89</v>
      </c>
      <c r="K84">
        <v>1</v>
      </c>
      <c r="L84" t="s">
        <v>456</v>
      </c>
      <c r="M84">
        <v>0</v>
      </c>
      <c r="O84" t="str">
        <f t="shared" ca="1" si="2"/>
        <v>Dennis</v>
      </c>
      <c r="P84">
        <f ca="1"/>
        <v>0</v>
      </c>
    </row>
    <row r="85" spans="1:16">
      <c r="A85">
        <v>84</v>
      </c>
      <c r="B85" t="s">
        <v>371</v>
      </c>
      <c r="C85">
        <v>1</v>
      </c>
      <c r="D85" t="s">
        <v>452</v>
      </c>
      <c r="E85">
        <v>0</v>
      </c>
      <c r="F85" t="s">
        <v>372</v>
      </c>
      <c r="G85" cm="1">
        <f t="array" aca="1" ref="G85" ca="1">_xlfn.RANDARRAY(1,1,0,1,1)</f>
        <v>1</v>
      </c>
      <c r="J85" t="s">
        <v>36</v>
      </c>
      <c r="K85">
        <v>1</v>
      </c>
      <c r="L85" t="s">
        <v>455</v>
      </c>
      <c r="M85">
        <v>0</v>
      </c>
      <c r="O85" t="str">
        <f t="shared" ca="1" si="2"/>
        <v>Donald</v>
      </c>
      <c r="P85">
        <f ca="1"/>
        <v>0</v>
      </c>
    </row>
    <row r="86" spans="1:16">
      <c r="A86">
        <v>85</v>
      </c>
      <c r="B86" t="s">
        <v>373</v>
      </c>
      <c r="C86">
        <v>1</v>
      </c>
      <c r="D86" t="s">
        <v>40</v>
      </c>
      <c r="E86">
        <v>0</v>
      </c>
      <c r="F86" t="s">
        <v>374</v>
      </c>
      <c r="G86" cm="1">
        <f t="array" aca="1" ref="G86" ca="1">_xlfn.RANDARRAY(1,1,0,1,1)</f>
        <v>1</v>
      </c>
      <c r="J86" t="s">
        <v>71</v>
      </c>
      <c r="K86">
        <v>1</v>
      </c>
      <c r="L86" t="s">
        <v>454</v>
      </c>
      <c r="M86">
        <v>0</v>
      </c>
      <c r="O86" t="str">
        <f t="shared" ca="1" si="2"/>
        <v>Arabella</v>
      </c>
      <c r="P86">
        <f ca="1"/>
        <v>1</v>
      </c>
    </row>
    <row r="87" spans="1:16">
      <c r="A87">
        <v>86</v>
      </c>
      <c r="B87" t="s">
        <v>416</v>
      </c>
      <c r="C87">
        <v>1</v>
      </c>
      <c r="D87" t="s">
        <v>417</v>
      </c>
      <c r="E87">
        <v>0</v>
      </c>
      <c r="F87" t="s">
        <v>375</v>
      </c>
      <c r="G87" cm="1">
        <f t="array" aca="1" ref="G87" ca="1">_xlfn.RANDARRAY(1,1,0,1,1)</f>
        <v>1</v>
      </c>
      <c r="J87" t="s">
        <v>99</v>
      </c>
      <c r="K87">
        <v>1</v>
      </c>
      <c r="L87" t="s">
        <v>453</v>
      </c>
      <c r="M87">
        <v>0</v>
      </c>
      <c r="O87" t="str">
        <f t="shared" ca="1" si="2"/>
        <v>Delilah</v>
      </c>
      <c r="P87">
        <f ca="1"/>
        <v>1</v>
      </c>
    </row>
    <row r="88" spans="1:16">
      <c r="A88">
        <v>87</v>
      </c>
      <c r="B88" t="s">
        <v>376</v>
      </c>
      <c r="C88">
        <v>1</v>
      </c>
      <c r="D88" t="s">
        <v>433</v>
      </c>
      <c r="E88">
        <v>0</v>
      </c>
      <c r="F88" t="s">
        <v>377</v>
      </c>
      <c r="G88" cm="1">
        <f t="array" aca="1" ref="G88" ca="1">_xlfn.RANDARRAY(1,1,0,1,1)</f>
        <v>1</v>
      </c>
      <c r="J88" t="s">
        <v>58</v>
      </c>
      <c r="K88">
        <v>1</v>
      </c>
      <c r="L88" t="s">
        <v>452</v>
      </c>
      <c r="M88">
        <v>0</v>
      </c>
      <c r="O88" t="str">
        <f t="shared" ca="1" si="2"/>
        <v>Ryan</v>
      </c>
      <c r="P88">
        <f ca="1"/>
        <v>0</v>
      </c>
    </row>
    <row r="89" spans="1:16">
      <c r="A89">
        <v>88</v>
      </c>
      <c r="B89" t="s">
        <v>378</v>
      </c>
      <c r="C89">
        <v>1</v>
      </c>
      <c r="D89" t="s">
        <v>434</v>
      </c>
      <c r="E89">
        <v>0</v>
      </c>
      <c r="F89" t="s">
        <v>379</v>
      </c>
      <c r="G89" cm="1">
        <f t="array" aca="1" ref="G89" ca="1">_xlfn.RANDARRAY(1,1,0,1,1)</f>
        <v>1</v>
      </c>
      <c r="J89" t="s">
        <v>69</v>
      </c>
      <c r="K89">
        <v>1</v>
      </c>
      <c r="L89" t="s">
        <v>40</v>
      </c>
      <c r="M89">
        <v>0</v>
      </c>
      <c r="O89" t="str">
        <f t="shared" ca="1" si="2"/>
        <v>Emily</v>
      </c>
      <c r="P89">
        <f ca="1"/>
        <v>1</v>
      </c>
    </row>
    <row r="90" spans="1:16">
      <c r="A90">
        <v>89</v>
      </c>
      <c r="B90" t="s">
        <v>43</v>
      </c>
      <c r="C90">
        <v>1</v>
      </c>
      <c r="D90" t="s">
        <v>435</v>
      </c>
      <c r="E90">
        <v>0</v>
      </c>
      <c r="F90" t="s">
        <v>380</v>
      </c>
      <c r="G90" cm="1">
        <f t="array" aca="1" ref="G90" ca="1">_xlfn.RANDARRAY(1,1,0,1,1)</f>
        <v>0</v>
      </c>
      <c r="J90" t="s">
        <v>18</v>
      </c>
      <c r="K90">
        <v>1</v>
      </c>
      <c r="L90" t="s">
        <v>417</v>
      </c>
      <c r="M90">
        <v>0</v>
      </c>
      <c r="O90" t="str">
        <f t="shared" ca="1" si="2"/>
        <v>Robert</v>
      </c>
      <c r="P90">
        <f ca="1"/>
        <v>0</v>
      </c>
    </row>
    <row r="91" spans="1:16">
      <c r="A91">
        <v>90</v>
      </c>
      <c r="B91" t="s">
        <v>20</v>
      </c>
      <c r="C91">
        <v>1</v>
      </c>
      <c r="D91" t="s">
        <v>381</v>
      </c>
      <c r="E91">
        <v>0</v>
      </c>
      <c r="F91" t="s">
        <v>382</v>
      </c>
      <c r="G91" cm="1">
        <f t="array" aca="1" ref="G91" ca="1">_xlfn.RANDARRAY(1,1,0,1,1)</f>
        <v>0</v>
      </c>
      <c r="J91" t="s">
        <v>34</v>
      </c>
      <c r="K91">
        <v>1</v>
      </c>
      <c r="L91" t="s">
        <v>433</v>
      </c>
      <c r="M91">
        <v>0</v>
      </c>
      <c r="O91" t="str">
        <f t="shared" ca="1" si="2"/>
        <v>Daisy</v>
      </c>
      <c r="P91">
        <f ca="1"/>
        <v>1</v>
      </c>
    </row>
    <row r="92" spans="1:16">
      <c r="A92">
        <v>91</v>
      </c>
      <c r="B92" t="s">
        <v>383</v>
      </c>
      <c r="C92">
        <v>1</v>
      </c>
      <c r="D92" t="s">
        <v>444</v>
      </c>
      <c r="E92">
        <v>0</v>
      </c>
      <c r="F92" t="s">
        <v>384</v>
      </c>
      <c r="G92" cm="1">
        <f t="array" aca="1" ref="G92" ca="1">_xlfn.RANDARRAY(1,1,0,1,1)</f>
        <v>1</v>
      </c>
      <c r="J92" t="s">
        <v>45</v>
      </c>
      <c r="K92">
        <v>1</v>
      </c>
      <c r="L92" t="s">
        <v>434</v>
      </c>
      <c r="M92">
        <v>0</v>
      </c>
      <c r="O92" t="str">
        <f t="shared" ca="1" si="2"/>
        <v>Vera</v>
      </c>
      <c r="P92">
        <f ca="1"/>
        <v>1</v>
      </c>
    </row>
    <row r="93" spans="1:16">
      <c r="A93">
        <v>92</v>
      </c>
      <c r="B93" t="s">
        <v>385</v>
      </c>
      <c r="C93">
        <v>1</v>
      </c>
      <c r="D93" t="s">
        <v>446</v>
      </c>
      <c r="E93">
        <v>0</v>
      </c>
      <c r="F93" t="s">
        <v>386</v>
      </c>
      <c r="G93" cm="1">
        <f t="array" aca="1" ref="G93" ca="1">_xlfn.RANDARRAY(1,1,0,1,1)</f>
        <v>0</v>
      </c>
      <c r="J93" t="s">
        <v>63</v>
      </c>
      <c r="K93">
        <v>1</v>
      </c>
      <c r="L93" t="s">
        <v>435</v>
      </c>
      <c r="M93">
        <v>0</v>
      </c>
      <c r="O93" t="str">
        <f t="shared" ca="1" si="2"/>
        <v>Sienna</v>
      </c>
      <c r="P93">
        <f ca="1"/>
        <v>1</v>
      </c>
    </row>
    <row r="94" spans="1:16">
      <c r="A94">
        <v>93</v>
      </c>
      <c r="B94" t="s">
        <v>101</v>
      </c>
      <c r="C94">
        <v>1</v>
      </c>
      <c r="D94" t="s">
        <v>445</v>
      </c>
      <c r="E94">
        <v>0</v>
      </c>
      <c r="F94" t="s">
        <v>387</v>
      </c>
      <c r="G94" cm="1">
        <f t="array" aca="1" ref="G94" ca="1">_xlfn.RANDARRAY(1,1,0,1,1)</f>
        <v>1</v>
      </c>
      <c r="J94" t="s">
        <v>73</v>
      </c>
      <c r="K94">
        <v>1</v>
      </c>
      <c r="L94" t="s">
        <v>381</v>
      </c>
      <c r="M94">
        <v>0</v>
      </c>
      <c r="O94" t="str">
        <f t="shared" ca="1" si="2"/>
        <v>Justin</v>
      </c>
      <c r="P94">
        <f ca="1"/>
        <v>0</v>
      </c>
    </row>
    <row r="95" spans="1:16">
      <c r="A95">
        <v>94</v>
      </c>
      <c r="B95" t="s">
        <v>388</v>
      </c>
      <c r="C95">
        <v>1</v>
      </c>
      <c r="D95" t="s">
        <v>436</v>
      </c>
      <c r="E95">
        <v>0</v>
      </c>
      <c r="F95" t="s">
        <v>389</v>
      </c>
      <c r="G95" cm="1">
        <f t="array" aca="1" ref="G95" ca="1">_xlfn.RANDARRAY(1,1,0,1,1)</f>
        <v>0</v>
      </c>
      <c r="J95" t="s">
        <v>5</v>
      </c>
      <c r="K95">
        <v>1</v>
      </c>
      <c r="L95" t="s">
        <v>444</v>
      </c>
      <c r="M95">
        <v>0</v>
      </c>
      <c r="O95" t="str">
        <f t="shared" ca="1" si="2"/>
        <v>Mark</v>
      </c>
      <c r="P95">
        <f ca="1"/>
        <v>0</v>
      </c>
    </row>
    <row r="96" spans="1:16">
      <c r="A96">
        <v>95</v>
      </c>
      <c r="B96" t="s">
        <v>390</v>
      </c>
      <c r="C96">
        <v>1</v>
      </c>
      <c r="D96" t="s">
        <v>448</v>
      </c>
      <c r="E96">
        <v>0</v>
      </c>
      <c r="F96" t="s">
        <v>418</v>
      </c>
      <c r="G96" cm="1">
        <f t="array" aca="1" ref="G96" ca="1">_xlfn.RANDARRAY(1,1,0,1,1)</f>
        <v>1</v>
      </c>
      <c r="J96" t="s">
        <v>75</v>
      </c>
      <c r="K96">
        <v>1</v>
      </c>
      <c r="L96" t="s">
        <v>446</v>
      </c>
      <c r="M96">
        <v>0</v>
      </c>
      <c r="O96" t="str">
        <f t="shared" ca="1" si="2"/>
        <v>Sophie</v>
      </c>
      <c r="P96">
        <f ca="1"/>
        <v>1</v>
      </c>
    </row>
    <row r="97" spans="1:16">
      <c r="A97">
        <v>96</v>
      </c>
      <c r="B97" t="s">
        <v>391</v>
      </c>
      <c r="C97">
        <v>1</v>
      </c>
      <c r="D97" t="s">
        <v>447</v>
      </c>
      <c r="E97">
        <v>0</v>
      </c>
      <c r="F97" t="s">
        <v>392</v>
      </c>
      <c r="G97" cm="1">
        <f t="array" aca="1" ref="G97" ca="1">_xlfn.RANDARRAY(1,1,0,1,1)</f>
        <v>1</v>
      </c>
      <c r="J97" t="s">
        <v>23</v>
      </c>
      <c r="K97">
        <v>1</v>
      </c>
      <c r="L97" t="s">
        <v>445</v>
      </c>
      <c r="M97">
        <v>0</v>
      </c>
      <c r="O97" t="str">
        <f t="shared" ca="1" si="2"/>
        <v>Richard</v>
      </c>
      <c r="P97">
        <f ca="1"/>
        <v>0</v>
      </c>
    </row>
    <row r="98" spans="1:16">
      <c r="A98">
        <v>97</v>
      </c>
      <c r="B98" t="s">
        <v>393</v>
      </c>
      <c r="C98">
        <v>1</v>
      </c>
      <c r="D98" t="s">
        <v>110</v>
      </c>
      <c r="E98">
        <v>0</v>
      </c>
      <c r="F98" t="s">
        <v>394</v>
      </c>
      <c r="G98" cm="1">
        <f t="array" aca="1" ref="G98" ca="1">_xlfn.RANDARRAY(1,1,0,1,1)</f>
        <v>0</v>
      </c>
      <c r="J98" t="s">
        <v>25</v>
      </c>
      <c r="K98">
        <v>1</v>
      </c>
      <c r="L98" t="s">
        <v>436</v>
      </c>
      <c r="M98">
        <v>0</v>
      </c>
      <c r="O98" t="str">
        <f t="shared" ref="O98:O101" ca="1" si="3">IF(P98,L98,J98)</f>
        <v>Joseph</v>
      </c>
      <c r="P98">
        <f ca="1"/>
        <v>0</v>
      </c>
    </row>
    <row r="99" spans="1:16">
      <c r="A99">
        <v>98</v>
      </c>
      <c r="B99" t="s">
        <v>395</v>
      </c>
      <c r="C99">
        <v>1</v>
      </c>
      <c r="D99" t="s">
        <v>449</v>
      </c>
      <c r="E99">
        <v>0</v>
      </c>
      <c r="F99" t="s">
        <v>419</v>
      </c>
      <c r="G99" cm="1">
        <f t="array" aca="1" ref="G99" ca="1">_xlfn.RANDARRAY(1,1,0,1,1)</f>
        <v>0</v>
      </c>
      <c r="J99" t="s">
        <v>106</v>
      </c>
      <c r="K99">
        <v>1</v>
      </c>
      <c r="L99" t="s">
        <v>448</v>
      </c>
      <c r="M99">
        <v>0</v>
      </c>
      <c r="O99" t="str">
        <f t="shared" ca="1" si="3"/>
        <v>Willow</v>
      </c>
      <c r="P99">
        <f ca="1"/>
        <v>1</v>
      </c>
    </row>
    <row r="100" spans="1:16">
      <c r="A100">
        <v>99</v>
      </c>
      <c r="B100" t="s">
        <v>396</v>
      </c>
      <c r="C100">
        <v>1</v>
      </c>
      <c r="D100" t="s">
        <v>450</v>
      </c>
      <c r="E100">
        <v>0</v>
      </c>
      <c r="F100" t="s">
        <v>397</v>
      </c>
      <c r="G100" cm="1">
        <f t="array" aca="1" ref="G100" ca="1">_xlfn.RANDARRAY(1,1,0,1,1)</f>
        <v>0</v>
      </c>
      <c r="J100" t="s">
        <v>100</v>
      </c>
      <c r="K100">
        <v>1</v>
      </c>
      <c r="L100" t="s">
        <v>447</v>
      </c>
      <c r="M100">
        <v>0</v>
      </c>
      <c r="O100" t="str">
        <f t="shared" ca="1" si="3"/>
        <v>Aaron</v>
      </c>
      <c r="P100">
        <f ca="1"/>
        <v>0</v>
      </c>
    </row>
    <row r="101" spans="1:16">
      <c r="A101">
        <v>100</v>
      </c>
      <c r="B101" t="s">
        <v>398</v>
      </c>
      <c r="C101">
        <v>1</v>
      </c>
      <c r="D101" t="s">
        <v>451</v>
      </c>
      <c r="E101">
        <v>0</v>
      </c>
      <c r="F101" t="s">
        <v>399</v>
      </c>
      <c r="G101" cm="1">
        <f t="array" aca="1" ref="G101" ca="1">_xlfn.RANDARRAY(1,1,0,1,1)</f>
        <v>1</v>
      </c>
      <c r="J101" t="s">
        <v>61</v>
      </c>
      <c r="K101">
        <v>1</v>
      </c>
      <c r="L101" t="s">
        <v>110</v>
      </c>
      <c r="M101">
        <v>0</v>
      </c>
      <c r="O101" t="str">
        <f t="shared" ca="1" si="3"/>
        <v>Zoe</v>
      </c>
      <c r="P101">
        <f ca="1"/>
        <v>1</v>
      </c>
    </row>
  </sheetData>
  <sortState xmlns:xlrd2="http://schemas.microsoft.com/office/spreadsheetml/2017/richdata2" ref="J2:K101">
    <sortCondition ref="K2:K101"/>
  </sortState>
  <conditionalFormatting sqref="J2:J101">
    <cfRule type="duplicateValues" dxfId="2" priority="2"/>
  </conditionalFormatting>
  <conditionalFormatting sqref="L2:L101">
    <cfRule type="duplicateValues" dxfId="1" priority="1"/>
  </conditionalFormatting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026A253F9D34418D92E89FCD085A69" ma:contentTypeVersion="2" ma:contentTypeDescription="Create a new document." ma:contentTypeScope="" ma:versionID="077ff3975ed1236d1dc02c54ce8f1bde">
  <xsd:schema xmlns:xsd="http://www.w3.org/2001/XMLSchema" xmlns:xs="http://www.w3.org/2001/XMLSchema" xmlns:p="http://schemas.microsoft.com/office/2006/metadata/properties" xmlns:ns3="53472db5-b091-4940-916c-b6d0a452e361" targetNamespace="http://schemas.microsoft.com/office/2006/metadata/properties" ma:root="true" ma:fieldsID="e12b66e40a6a95a9b2c2f7b1ef847540" ns3:_="">
    <xsd:import namespace="53472db5-b091-4940-916c-b6d0a452e3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472db5-b091-4940-916c-b6d0a452e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94CD24C-3A07-4054-9A82-EBD1F6CEAFD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472db5-b091-4940-916c-b6d0a452e3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DA3C2C-A27E-4B57-9094-4A06F6F755F6}">
  <ds:schemaRefs>
    <ds:schemaRef ds:uri="http://purl.org/dc/terms/"/>
    <ds:schemaRef ds:uri="http://purl.org/dc/elements/1.1/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53472db5-b091-4940-916c-b6d0a452e36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C91E2F9-1C39-489F-B40D-F31469E2BE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9</vt:i4>
      </vt:variant>
      <vt:variant>
        <vt:lpstr>Nazwane zakresy</vt:lpstr>
      </vt:variant>
      <vt:variant>
        <vt:i4>66</vt:i4>
      </vt:variant>
    </vt:vector>
  </HeadingPairs>
  <TitlesOfParts>
    <vt:vector size="75" baseType="lpstr">
      <vt:lpstr>Instructions</vt:lpstr>
      <vt:lpstr>Unblock Guide</vt:lpstr>
      <vt:lpstr>Keyboarding Challenge</vt:lpstr>
      <vt:lpstr>Results</vt:lpstr>
      <vt:lpstr>BackgroundCalcs</vt:lpstr>
      <vt:lpstr>Time Grading</vt:lpstr>
      <vt:lpstr>Grading</vt:lpstr>
      <vt:lpstr>Output</vt:lpstr>
      <vt:lpstr>Sheet4</vt:lpstr>
      <vt:lpstr>activateCount</vt:lpstr>
      <vt:lpstr>AllCorrect</vt:lpstr>
      <vt:lpstr>Answer1</vt:lpstr>
      <vt:lpstr>Answer2</vt:lpstr>
      <vt:lpstr>Answer3</vt:lpstr>
      <vt:lpstr>Answer4</vt:lpstr>
      <vt:lpstr>Answer5</vt:lpstr>
      <vt:lpstr>Answer6</vt:lpstr>
      <vt:lpstr>cellNames</vt:lpstr>
      <vt:lpstr>CheckRange1</vt:lpstr>
      <vt:lpstr>CheckRange2</vt:lpstr>
      <vt:lpstr>CheckRange3</vt:lpstr>
      <vt:lpstr>CheckRange4</vt:lpstr>
      <vt:lpstr>CheckRange5</vt:lpstr>
      <vt:lpstr>CheckRange6</vt:lpstr>
      <vt:lpstr>Documents</vt:lpstr>
      <vt:lpstr>eighth</vt:lpstr>
      <vt:lpstr>elapsedTime</vt:lpstr>
      <vt:lpstr>eleventh</vt:lpstr>
      <vt:lpstr>EmptyCell</vt:lpstr>
      <vt:lpstr>endTime</vt:lpstr>
      <vt:lpstr>Excel_Reception</vt:lpstr>
      <vt:lpstr>fifth</vt:lpstr>
      <vt:lpstr>first</vt:lpstr>
      <vt:lpstr>firstVisited</vt:lpstr>
      <vt:lpstr>fourteenth</vt:lpstr>
      <vt:lpstr>fourth</vt:lpstr>
      <vt:lpstr>instructionsOn</vt:lpstr>
      <vt:lpstr>Invalid2</vt:lpstr>
      <vt:lpstr>Invalid3</vt:lpstr>
      <vt:lpstr>Invalid4</vt:lpstr>
      <vt:lpstr>Invalid5</vt:lpstr>
      <vt:lpstr>Invalid6</vt:lpstr>
      <vt:lpstr>isGameOn</vt:lpstr>
      <vt:lpstr>lastTime</vt:lpstr>
      <vt:lpstr>liveVersion</vt:lpstr>
      <vt:lpstr>macOn</vt:lpstr>
      <vt:lpstr>mouseMovements</vt:lpstr>
      <vt:lpstr>ninth</vt:lpstr>
      <vt:lpstr>numCorrect</vt:lpstr>
      <vt:lpstr>NumExercises</vt:lpstr>
      <vt:lpstr>numProtectedCells</vt:lpstr>
      <vt:lpstr>numRandomValues</vt:lpstr>
      <vt:lpstr>OverrideSave</vt:lpstr>
      <vt:lpstr>passwordOn</vt:lpstr>
      <vt:lpstr>pcOn</vt:lpstr>
      <vt:lpstr>pCountNew</vt:lpstr>
      <vt:lpstr>seventh</vt:lpstr>
      <vt:lpstr>SheetNameRange</vt:lpstr>
      <vt:lpstr>sixth</vt:lpstr>
      <vt:lpstr>SpreadsheetName</vt:lpstr>
      <vt:lpstr>startTime</vt:lpstr>
      <vt:lpstr>StudentIDCell</vt:lpstr>
      <vt:lpstr>StudentNameCell</vt:lpstr>
      <vt:lpstr>Tab1Answer</vt:lpstr>
      <vt:lpstr>Tab1ClearRange</vt:lpstr>
      <vt:lpstr>Tab1Name</vt:lpstr>
      <vt:lpstr>Tab1Start</vt:lpstr>
      <vt:lpstr>tenth</vt:lpstr>
      <vt:lpstr>thirteenth</vt:lpstr>
      <vt:lpstr>totalTime</vt:lpstr>
      <vt:lpstr>Track</vt:lpstr>
      <vt:lpstr>twelveth</vt:lpstr>
      <vt:lpstr>twelvth</vt:lpstr>
      <vt:lpstr>xPosition</vt:lpstr>
      <vt:lpstr>yPosition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Poorya Mehrabinia</dc:creator>
  <cp:lastModifiedBy>Maciej Kopczyński</cp:lastModifiedBy>
  <cp:lastPrinted>2023-04-12T19:17:11Z</cp:lastPrinted>
  <dcterms:created xsi:type="dcterms:W3CDTF">2015-06-05T18:17:20Z</dcterms:created>
  <dcterms:modified xsi:type="dcterms:W3CDTF">2024-10-17T20:54:06Z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0x010100AA026A253F9D34418D92E89FCD085A69</vt:lpwstr>
  </property>
</Properties>
</file>