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25" documentId="8_{2D8425E8-85F4-4922-AE31-F750256315FA}" xr6:coauthVersionLast="47" xr6:coauthVersionMax="47" xr10:uidLastSave="{A566F143-CCD6-46D1-9D49-2CE16106349D}"/>
  <bookViews>
    <workbookView xWindow="25695" yWindow="0" windowWidth="26010" windowHeight="20985" xr2:uid="{C14CADDB-B7F1-4C32-8E95-99D50DB6BBC6}"/>
  </bookViews>
  <sheets>
    <sheet name="Case" sheetId="50" r:id="rId1"/>
    <sheet name="PipeMaze" sheetId="34" r:id="rId2"/>
    <sheet name="Graded Answers" sheetId="51" state="hidden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maze">PipeMaze!$C$3:$AX$42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4" i="34" l="1" a="1"/>
  <c r="AQ347" i="50"/>
  <c r="AQ348" i="50"/>
  <c r="AQ349" i="50"/>
  <c r="AQ350" i="50"/>
  <c r="AQ351" i="50"/>
  <c r="AQ352" i="50"/>
  <c r="AQ353" i="50"/>
  <c r="AQ354" i="50"/>
  <c r="AQ355" i="50"/>
  <c r="AQ356" i="50"/>
  <c r="AQ357" i="50"/>
  <c r="AQ358" i="50"/>
  <c r="AQ359" i="50"/>
  <c r="AQ360" i="50"/>
  <c r="AQ361" i="50"/>
  <c r="AQ362" i="50"/>
  <c r="AQ363" i="50"/>
  <c r="AQ364" i="50"/>
  <c r="AQ365" i="50"/>
  <c r="AQ346" i="50"/>
  <c r="K208" i="50" a="1"/>
  <c r="K208" i="50" s="1"/>
  <c r="E53" i="50" a="1"/>
  <c r="E53" i="50" s="1"/>
  <c r="C3" i="51" s="1"/>
  <c r="H120" i="50" a="1"/>
  <c r="H120" i="50" s="1"/>
  <c r="AC347" i="50" a="1"/>
  <c r="AC347" i="50" s="1"/>
  <c r="AD347" i="50" a="1"/>
  <c r="AD347" i="50" s="1"/>
  <c r="AE347" i="50" a="1"/>
  <c r="AE347" i="50"/>
  <c r="AF347" i="50" a="1"/>
  <c r="AF347" i="50"/>
  <c r="AG347" i="50" a="1"/>
  <c r="AG347" i="50"/>
  <c r="AH347" i="50" a="1"/>
  <c r="AH347" i="50"/>
  <c r="AI347" i="50" a="1"/>
  <c r="AI347" i="50"/>
  <c r="AJ347" i="50" a="1"/>
  <c r="AJ347" i="50"/>
  <c r="AK347" i="50" a="1"/>
  <c r="AK347" i="50"/>
  <c r="AC348" i="50" a="1"/>
  <c r="AC348" i="50"/>
  <c r="AD348" i="50" a="1"/>
  <c r="AD348" i="50" s="1"/>
  <c r="AE348" i="50" a="1"/>
  <c r="AE348" i="50"/>
  <c r="AF348" i="50" a="1"/>
  <c r="AF348" i="50" s="1"/>
  <c r="AG348" i="50" a="1"/>
  <c r="AG348" i="50" s="1"/>
  <c r="AH348" i="50" a="1"/>
  <c r="AH348" i="50"/>
  <c r="AI348" i="50" a="1"/>
  <c r="AI348" i="50" s="1"/>
  <c r="AJ348" i="50" a="1"/>
  <c r="AJ348" i="50" s="1"/>
  <c r="AK348" i="50" a="1"/>
  <c r="AK348" i="50"/>
  <c r="AC349" i="50" a="1"/>
  <c r="AC349" i="50" s="1"/>
  <c r="AD349" i="50" a="1"/>
  <c r="AD349" i="50" s="1"/>
  <c r="AE349" i="50" a="1"/>
  <c r="AE349" i="50" s="1"/>
  <c r="AF349" i="50" a="1"/>
  <c r="AF349" i="50" s="1"/>
  <c r="AG349" i="50" a="1"/>
  <c r="AG349" i="50" s="1"/>
  <c r="AH349" i="50" a="1"/>
  <c r="AH349" i="50" s="1"/>
  <c r="AI349" i="50" a="1"/>
  <c r="AI349" i="50" s="1"/>
  <c r="AJ349" i="50" a="1"/>
  <c r="AJ349" i="50" s="1"/>
  <c r="AK349" i="50" a="1"/>
  <c r="AK349" i="50" s="1"/>
  <c r="AC350" i="50" a="1"/>
  <c r="AC350" i="50" s="1"/>
  <c r="AD350" i="50" a="1"/>
  <c r="AD350" i="50" s="1"/>
  <c r="AE350" i="50" a="1"/>
  <c r="AE350" i="50" s="1"/>
  <c r="AF350" i="50" a="1"/>
  <c r="AF350" i="50" s="1"/>
  <c r="AG350" i="50" a="1"/>
  <c r="AG350" i="50" s="1"/>
  <c r="AH350" i="50" a="1"/>
  <c r="AH350" i="50" s="1"/>
  <c r="AI350" i="50" a="1"/>
  <c r="AI350" i="50" s="1"/>
  <c r="AJ350" i="50" a="1"/>
  <c r="AJ350" i="50" s="1"/>
  <c r="AK350" i="50" a="1"/>
  <c r="AK350" i="50" s="1"/>
  <c r="AC351" i="50" a="1"/>
  <c r="AC351" i="50" s="1"/>
  <c r="AD351" i="50" a="1"/>
  <c r="AD351" i="50" s="1"/>
  <c r="AE351" i="50" a="1"/>
  <c r="AE351" i="50" s="1"/>
  <c r="AF351" i="50" a="1"/>
  <c r="AF351" i="50" s="1"/>
  <c r="AG351" i="50" a="1"/>
  <c r="AG351" i="50"/>
  <c r="AH351" i="50" a="1"/>
  <c r="AH351" i="50" s="1"/>
  <c r="AI351" i="50" a="1"/>
  <c r="AI351" i="50" s="1"/>
  <c r="AJ351" i="50" a="1"/>
  <c r="AJ351" i="50" s="1"/>
  <c r="AK351" i="50" a="1"/>
  <c r="AK351" i="50" s="1"/>
  <c r="AC352" i="50" a="1"/>
  <c r="AC352" i="50"/>
  <c r="AD352" i="50" a="1"/>
  <c r="AD352" i="50"/>
  <c r="AE352" i="50" a="1"/>
  <c r="AE352" i="50" s="1"/>
  <c r="AM352" i="50" s="1" a="1"/>
  <c r="AM352" i="50" s="1"/>
  <c r="AF352" i="50" a="1"/>
  <c r="AF352" i="50" s="1"/>
  <c r="AG352" i="50" a="1"/>
  <c r="AG352" i="50" s="1"/>
  <c r="AH352" i="50" a="1"/>
  <c r="AH352" i="50" s="1"/>
  <c r="AI352" i="50" a="1"/>
  <c r="AI352" i="50" s="1"/>
  <c r="AJ352" i="50" a="1"/>
  <c r="AJ352" i="50" s="1"/>
  <c r="AK352" i="50" a="1"/>
  <c r="AK352" i="50" s="1"/>
  <c r="AC353" i="50" a="1"/>
  <c r="AC353" i="50" s="1"/>
  <c r="AD353" i="50" a="1"/>
  <c r="AD353" i="50" s="1"/>
  <c r="AE353" i="50" a="1"/>
  <c r="AE353" i="50" s="1"/>
  <c r="AF353" i="50" a="1"/>
  <c r="AF353" i="50" s="1"/>
  <c r="AG353" i="50" a="1"/>
  <c r="AG353" i="50" s="1"/>
  <c r="AH353" i="50" a="1"/>
  <c r="AH353" i="50" s="1"/>
  <c r="AI353" i="50" a="1"/>
  <c r="AI353" i="50" s="1"/>
  <c r="AJ353" i="50" a="1"/>
  <c r="AJ353" i="50" s="1"/>
  <c r="AK353" i="50" a="1"/>
  <c r="AK353" i="50" s="1"/>
  <c r="AC354" i="50" a="1"/>
  <c r="AC354" i="50" s="1"/>
  <c r="AD354" i="50" a="1"/>
  <c r="AD354" i="50" s="1"/>
  <c r="AE354" i="50" a="1"/>
  <c r="AE354" i="50" s="1"/>
  <c r="AF354" i="50" a="1"/>
  <c r="AF354" i="50" s="1"/>
  <c r="AG354" i="50" a="1"/>
  <c r="AG354" i="50" s="1"/>
  <c r="AH354" i="50" a="1"/>
  <c r="AH354" i="50" s="1"/>
  <c r="AI354" i="50" a="1"/>
  <c r="AI354" i="50" s="1"/>
  <c r="AJ354" i="50" a="1"/>
  <c r="AJ354" i="50" s="1"/>
  <c r="AK354" i="50" a="1"/>
  <c r="AK354" i="50" s="1"/>
  <c r="AC355" i="50" a="1"/>
  <c r="AC355" i="50" s="1"/>
  <c r="AD355" i="50" a="1"/>
  <c r="AD355" i="50" s="1"/>
  <c r="AE355" i="50" a="1"/>
  <c r="AE355" i="50" s="1"/>
  <c r="AF355" i="50" a="1"/>
  <c r="AF355" i="50" s="1"/>
  <c r="AG355" i="50" a="1"/>
  <c r="AG355" i="50" s="1"/>
  <c r="AH355" i="50" a="1"/>
  <c r="AH355" i="50" s="1"/>
  <c r="AI355" i="50" a="1"/>
  <c r="AI355" i="50" s="1"/>
  <c r="AJ355" i="50" a="1"/>
  <c r="AJ355" i="50" s="1"/>
  <c r="AK355" i="50" a="1"/>
  <c r="AK355" i="50" s="1"/>
  <c r="AC356" i="50" a="1"/>
  <c r="AC356" i="50" s="1"/>
  <c r="AD356" i="50" a="1"/>
  <c r="AD356" i="50" s="1"/>
  <c r="AE356" i="50" a="1"/>
  <c r="AE356" i="50" s="1"/>
  <c r="AF356" i="50" a="1"/>
  <c r="AF356" i="50" s="1"/>
  <c r="AG356" i="50" a="1"/>
  <c r="AG356" i="50" s="1"/>
  <c r="AH356" i="50" a="1"/>
  <c r="AH356" i="50" s="1"/>
  <c r="AI356" i="50" a="1"/>
  <c r="AI356" i="50" s="1"/>
  <c r="AJ356" i="50" a="1"/>
  <c r="AJ356" i="50" s="1"/>
  <c r="AK356" i="50" a="1"/>
  <c r="AK356" i="50" s="1"/>
  <c r="AC357" i="50" a="1"/>
  <c r="AC357" i="50"/>
  <c r="AD357" i="50" a="1"/>
  <c r="AD357" i="50"/>
  <c r="AE357" i="50" a="1"/>
  <c r="AE357" i="50"/>
  <c r="AF357" i="50" a="1"/>
  <c r="AF357" i="50"/>
  <c r="AG357" i="50" a="1"/>
  <c r="AG357" i="50"/>
  <c r="AH357" i="50" a="1"/>
  <c r="AH357" i="50"/>
  <c r="AI357" i="50" a="1"/>
  <c r="AI357" i="50"/>
  <c r="AJ357" i="50" a="1"/>
  <c r="AJ357" i="50"/>
  <c r="AK357" i="50" a="1"/>
  <c r="AK357" i="50"/>
  <c r="AM357" i="50" a="1"/>
  <c r="AM357" i="50"/>
  <c r="AC358" i="50" a="1"/>
  <c r="AC358" i="50"/>
  <c r="AD358" i="50" a="1"/>
  <c r="AD358" i="50"/>
  <c r="AE358" i="50" a="1"/>
  <c r="AE358" i="50"/>
  <c r="AF358" i="50" a="1"/>
  <c r="AF358" i="50"/>
  <c r="AG358" i="50" a="1"/>
  <c r="AG358" i="50"/>
  <c r="AH358" i="50" a="1"/>
  <c r="AH358" i="50"/>
  <c r="AI358" i="50" a="1"/>
  <c r="AI358" i="50"/>
  <c r="AJ358" i="50" a="1"/>
  <c r="AJ358" i="50"/>
  <c r="AK358" i="50" a="1"/>
  <c r="AK358" i="50"/>
  <c r="AM358" i="50" a="1"/>
  <c r="AM358" i="50"/>
  <c r="AC359" i="50" a="1"/>
  <c r="AC359" i="50"/>
  <c r="AD359" i="50" a="1"/>
  <c r="AD359" i="50"/>
  <c r="AE359" i="50" a="1"/>
  <c r="AE359" i="50" s="1"/>
  <c r="AF359" i="50" a="1"/>
  <c r="AF359" i="50" s="1"/>
  <c r="AG359" i="50" a="1"/>
  <c r="AG359" i="50" s="1"/>
  <c r="AH359" i="50" a="1"/>
  <c r="AH359" i="50" s="1"/>
  <c r="AI359" i="50" a="1"/>
  <c r="AI359" i="50" s="1"/>
  <c r="AJ359" i="50" a="1"/>
  <c r="AJ359" i="50" s="1"/>
  <c r="AK359" i="50" a="1"/>
  <c r="AK359" i="50" s="1"/>
  <c r="AC360" i="50" a="1"/>
  <c r="AC360" i="50" s="1"/>
  <c r="AD360" i="50" a="1"/>
  <c r="AD360" i="50" s="1"/>
  <c r="AE360" i="50" a="1"/>
  <c r="AE360" i="50" s="1"/>
  <c r="AF360" i="50" a="1"/>
  <c r="AF360" i="50" s="1"/>
  <c r="AG360" i="50" a="1"/>
  <c r="AG360" i="50" s="1"/>
  <c r="AH360" i="50" a="1"/>
  <c r="AH360" i="50" s="1"/>
  <c r="AI360" i="50" a="1"/>
  <c r="AI360" i="50" s="1"/>
  <c r="AJ360" i="50" a="1"/>
  <c r="AJ360" i="50" s="1"/>
  <c r="AK360" i="50" a="1"/>
  <c r="AK360" i="50" s="1"/>
  <c r="AC361" i="50" a="1"/>
  <c r="AC361" i="50" s="1"/>
  <c r="AD361" i="50" a="1"/>
  <c r="AD361" i="50" s="1"/>
  <c r="AE361" i="50" a="1"/>
  <c r="AE361" i="50" s="1"/>
  <c r="AF361" i="50" a="1"/>
  <c r="AF361" i="50" s="1"/>
  <c r="AG361" i="50" a="1"/>
  <c r="AG361" i="50" s="1"/>
  <c r="AH361" i="50" a="1"/>
  <c r="AH361" i="50" s="1"/>
  <c r="AI361" i="50" a="1"/>
  <c r="AI361" i="50" s="1"/>
  <c r="AJ361" i="50" a="1"/>
  <c r="AJ361" i="50" s="1"/>
  <c r="AK361" i="50" a="1"/>
  <c r="AK361" i="50" s="1"/>
  <c r="AC362" i="50" a="1"/>
  <c r="AC362" i="50" s="1"/>
  <c r="AD362" i="50" a="1"/>
  <c r="AD362" i="50" s="1"/>
  <c r="AE362" i="50" a="1"/>
  <c r="AE362" i="50" s="1"/>
  <c r="AF362" i="50" a="1"/>
  <c r="AF362" i="50" s="1"/>
  <c r="AG362" i="50" a="1"/>
  <c r="AG362" i="50" s="1"/>
  <c r="AH362" i="50" a="1"/>
  <c r="AH362" i="50" s="1"/>
  <c r="AI362" i="50" a="1"/>
  <c r="AI362" i="50" s="1"/>
  <c r="AJ362" i="50" a="1"/>
  <c r="AJ362" i="50" s="1"/>
  <c r="AK362" i="50" a="1"/>
  <c r="AK362" i="50" s="1"/>
  <c r="AC363" i="50" a="1"/>
  <c r="AC363" i="50" s="1"/>
  <c r="AM363" i="50" s="1" a="1"/>
  <c r="AM363" i="50" s="1"/>
  <c r="AD363" i="50" a="1"/>
  <c r="AD363" i="50" s="1"/>
  <c r="AE363" i="50" a="1"/>
  <c r="AE363" i="50" s="1"/>
  <c r="AF363" i="50" a="1"/>
  <c r="AF363" i="50" s="1"/>
  <c r="AG363" i="50" a="1"/>
  <c r="AG363" i="50" s="1"/>
  <c r="AH363" i="50" a="1"/>
  <c r="AH363" i="50" s="1"/>
  <c r="AI363" i="50" a="1"/>
  <c r="AI363" i="50" s="1"/>
  <c r="AJ363" i="50" a="1"/>
  <c r="AJ363" i="50" s="1"/>
  <c r="AK363" i="50" a="1"/>
  <c r="AK363" i="50" s="1"/>
  <c r="AC364" i="50" a="1"/>
  <c r="AC364" i="50" s="1"/>
  <c r="AD364" i="50" a="1"/>
  <c r="AD364" i="50" s="1"/>
  <c r="AE364" i="50" a="1"/>
  <c r="AE364" i="50" s="1"/>
  <c r="AF364" i="50" a="1"/>
  <c r="AF364" i="50" s="1"/>
  <c r="AG364" i="50" a="1"/>
  <c r="AG364" i="50" s="1"/>
  <c r="AH364" i="50" a="1"/>
  <c r="AH364" i="50" s="1"/>
  <c r="AI364" i="50" a="1"/>
  <c r="AI364" i="50" s="1"/>
  <c r="AJ364" i="50" a="1"/>
  <c r="AJ364" i="50" s="1"/>
  <c r="AK364" i="50" a="1"/>
  <c r="AK364" i="50" s="1"/>
  <c r="AC365" i="50" a="1"/>
  <c r="AC365" i="50" s="1"/>
  <c r="AM365" i="50" s="1" a="1"/>
  <c r="AM365" i="50" s="1"/>
  <c r="AD365" i="50" a="1"/>
  <c r="AD365" i="50" s="1"/>
  <c r="AE365" i="50" a="1"/>
  <c r="AE365" i="50" s="1"/>
  <c r="AF365" i="50" a="1"/>
  <c r="AF365" i="50" s="1"/>
  <c r="AG365" i="50" a="1"/>
  <c r="AG365" i="50" s="1"/>
  <c r="AH365" i="50" a="1"/>
  <c r="AH365" i="50" s="1"/>
  <c r="AI365" i="50" a="1"/>
  <c r="AI365" i="50" s="1"/>
  <c r="AJ365" i="50" a="1"/>
  <c r="AJ365" i="50" s="1"/>
  <c r="AK365" i="50" a="1"/>
  <c r="AK365" i="50" s="1"/>
  <c r="AM344" i="50" a="1"/>
  <c r="AM344" i="50" s="1"/>
  <c r="AD344" i="50" a="1"/>
  <c r="AD344" i="50"/>
  <c r="AE344" i="50" a="1"/>
  <c r="AE344" i="50"/>
  <c r="AF344" i="50" a="1"/>
  <c r="AF344" i="50"/>
  <c r="AG344" i="50" a="1"/>
  <c r="AG344" i="50"/>
  <c r="AH344" i="50" a="1"/>
  <c r="AH344" i="50"/>
  <c r="AI344" i="50" a="1"/>
  <c r="AI344" i="50"/>
  <c r="AJ344" i="50" a="1"/>
  <c r="AJ344" i="50"/>
  <c r="AK344" i="50" a="1"/>
  <c r="AK344" i="50"/>
  <c r="AC344" i="50" a="1"/>
  <c r="AC344" i="50" s="1"/>
  <c r="R347" i="50" a="1"/>
  <c r="R347" i="50"/>
  <c r="S347" i="50" a="1"/>
  <c r="S347" i="50"/>
  <c r="T347" i="50" a="1"/>
  <c r="T347" i="50"/>
  <c r="U347" i="50" a="1"/>
  <c r="U347" i="50"/>
  <c r="V347" i="50" a="1"/>
  <c r="V347" i="50"/>
  <c r="W347" i="50" a="1"/>
  <c r="W347" i="50"/>
  <c r="X347" i="50" a="1"/>
  <c r="X347" i="50"/>
  <c r="Y347" i="50" a="1"/>
  <c r="Y347" i="50"/>
  <c r="Z347" i="50" a="1"/>
  <c r="Z347" i="50"/>
  <c r="AA347" i="50" a="1"/>
  <c r="AA347" i="50"/>
  <c r="R348" i="50" a="1"/>
  <c r="R348" i="50"/>
  <c r="S348" i="50" a="1"/>
  <c r="S348" i="50"/>
  <c r="T348" i="50" a="1"/>
  <c r="T348" i="50"/>
  <c r="U348" i="50" a="1"/>
  <c r="U348" i="50"/>
  <c r="V348" i="50" a="1"/>
  <c r="V348" i="50"/>
  <c r="W348" i="50" a="1"/>
  <c r="W348" i="50"/>
  <c r="X348" i="50" a="1"/>
  <c r="X348" i="50"/>
  <c r="Y348" i="50" a="1"/>
  <c r="Y348" i="50"/>
  <c r="Z348" i="50" a="1"/>
  <c r="Z348" i="50"/>
  <c r="AA348" i="50" a="1"/>
  <c r="AA348" i="50" s="1"/>
  <c r="R349" i="50" a="1"/>
  <c r="R349" i="50" s="1"/>
  <c r="S349" i="50" a="1"/>
  <c r="S349" i="50" s="1"/>
  <c r="T349" i="50" a="1"/>
  <c r="T349" i="50"/>
  <c r="U349" i="50" a="1"/>
  <c r="U349" i="50"/>
  <c r="V349" i="50" a="1"/>
  <c r="V349" i="50"/>
  <c r="W349" i="50" a="1"/>
  <c r="W349" i="50"/>
  <c r="X349" i="50" a="1"/>
  <c r="X349" i="50"/>
  <c r="Y349" i="50" a="1"/>
  <c r="Y349" i="50" s="1"/>
  <c r="Z349" i="50" a="1"/>
  <c r="Z349" i="50" s="1"/>
  <c r="AA349" i="50" a="1"/>
  <c r="AA349" i="50" s="1"/>
  <c r="R350" i="50" a="1"/>
  <c r="R350" i="50" s="1"/>
  <c r="S350" i="50" a="1"/>
  <c r="S350" i="50" s="1"/>
  <c r="T350" i="50" a="1"/>
  <c r="T350" i="50" s="1"/>
  <c r="U350" i="50" a="1"/>
  <c r="U350" i="50" s="1"/>
  <c r="V350" i="50" a="1"/>
  <c r="V350" i="50" s="1"/>
  <c r="W350" i="50" a="1"/>
  <c r="W350" i="50" s="1"/>
  <c r="X350" i="50" a="1"/>
  <c r="X350" i="50" s="1"/>
  <c r="Y350" i="50" a="1"/>
  <c r="Y350" i="50" s="1"/>
  <c r="Z350" i="50" a="1"/>
  <c r="Z350" i="50" s="1"/>
  <c r="AA350" i="50" a="1"/>
  <c r="AA350" i="50" s="1"/>
  <c r="R351" i="50" a="1"/>
  <c r="R351" i="50" s="1"/>
  <c r="S351" i="50" a="1"/>
  <c r="S351" i="50"/>
  <c r="T351" i="50" a="1"/>
  <c r="T351" i="50"/>
  <c r="U351" i="50" a="1"/>
  <c r="U351" i="50"/>
  <c r="V351" i="50" a="1"/>
  <c r="V351" i="50"/>
  <c r="W351" i="50" a="1"/>
  <c r="W351" i="50"/>
  <c r="X351" i="50" a="1"/>
  <c r="X351" i="50"/>
  <c r="Y351" i="50" a="1"/>
  <c r="Y351" i="50"/>
  <c r="Z351" i="50" a="1"/>
  <c r="Z351" i="50"/>
  <c r="AA351" i="50" a="1"/>
  <c r="AA351" i="50"/>
  <c r="R352" i="50" a="1"/>
  <c r="R352" i="50"/>
  <c r="S352" i="50" a="1"/>
  <c r="S352" i="50" s="1"/>
  <c r="T352" i="50" a="1"/>
  <c r="T352" i="50" s="1"/>
  <c r="U352" i="50" a="1"/>
  <c r="U352" i="50" s="1"/>
  <c r="V352" i="50" a="1"/>
  <c r="V352" i="50" s="1"/>
  <c r="W352" i="50" a="1"/>
  <c r="W352" i="50" s="1"/>
  <c r="X352" i="50" a="1"/>
  <c r="X352" i="50" s="1"/>
  <c r="Y352" i="50" a="1"/>
  <c r="Y352" i="50" s="1"/>
  <c r="Z352" i="50" a="1"/>
  <c r="Z352" i="50"/>
  <c r="AA352" i="50" a="1"/>
  <c r="AA352" i="50" s="1"/>
  <c r="R353" i="50" a="1"/>
  <c r="R353" i="50" s="1"/>
  <c r="S353" i="50" a="1"/>
  <c r="S353" i="50" s="1"/>
  <c r="T353" i="50" a="1"/>
  <c r="T353" i="50" s="1"/>
  <c r="U353" i="50" a="1"/>
  <c r="U353" i="50" s="1"/>
  <c r="V353" i="50" a="1"/>
  <c r="V353" i="50" s="1"/>
  <c r="W353" i="50" a="1"/>
  <c r="W353" i="50" s="1"/>
  <c r="X353" i="50" a="1"/>
  <c r="X353" i="50" s="1"/>
  <c r="Y353" i="50" a="1"/>
  <c r="Y353" i="50" s="1"/>
  <c r="Z353" i="50" a="1"/>
  <c r="Z353" i="50" s="1"/>
  <c r="AA353" i="50" a="1"/>
  <c r="AA353" i="50" s="1"/>
  <c r="R354" i="50" a="1"/>
  <c r="R354" i="50" s="1"/>
  <c r="S354" i="50" a="1"/>
  <c r="S354" i="50" s="1"/>
  <c r="T354" i="50" a="1"/>
  <c r="T354" i="50" s="1"/>
  <c r="U354" i="50" a="1"/>
  <c r="U354" i="50" s="1"/>
  <c r="V354" i="50" a="1"/>
  <c r="V354" i="50" s="1"/>
  <c r="W354" i="50" a="1"/>
  <c r="W354" i="50" s="1"/>
  <c r="X354" i="50" a="1"/>
  <c r="X354" i="50" s="1"/>
  <c r="Y354" i="50" a="1"/>
  <c r="Y354" i="50" s="1"/>
  <c r="Z354" i="50" a="1"/>
  <c r="Z354" i="50" s="1"/>
  <c r="AA354" i="50" a="1"/>
  <c r="AA354" i="50" s="1"/>
  <c r="R355" i="50" a="1"/>
  <c r="R355" i="50" s="1"/>
  <c r="S355" i="50" a="1"/>
  <c r="S355" i="50"/>
  <c r="T355" i="50" a="1"/>
  <c r="T355" i="50"/>
  <c r="U355" i="50" a="1"/>
  <c r="U355" i="50"/>
  <c r="V355" i="50" a="1"/>
  <c r="V355" i="50"/>
  <c r="W355" i="50" a="1"/>
  <c r="W355" i="50"/>
  <c r="X355" i="50" a="1"/>
  <c r="X355" i="50"/>
  <c r="Y355" i="50" a="1"/>
  <c r="Y355" i="50"/>
  <c r="Z355" i="50" a="1"/>
  <c r="Z355" i="50"/>
  <c r="AA355" i="50" a="1"/>
  <c r="AA355" i="50"/>
  <c r="R356" i="50" a="1"/>
  <c r="R356" i="50"/>
  <c r="S356" i="50" a="1"/>
  <c r="S356" i="50"/>
  <c r="T356" i="50" a="1"/>
  <c r="T356" i="50"/>
  <c r="U356" i="50" a="1"/>
  <c r="U356" i="50"/>
  <c r="V356" i="50" a="1"/>
  <c r="V356" i="50"/>
  <c r="W356" i="50" a="1"/>
  <c r="W356" i="50"/>
  <c r="X356" i="50" a="1"/>
  <c r="X356" i="50"/>
  <c r="Y356" i="50" a="1"/>
  <c r="Y356" i="50"/>
  <c r="Z356" i="50" a="1"/>
  <c r="Z356" i="50" s="1"/>
  <c r="AA356" i="50" a="1"/>
  <c r="AA356" i="50" s="1"/>
  <c r="R357" i="50" a="1"/>
  <c r="R357" i="50" s="1"/>
  <c r="S357" i="50" a="1"/>
  <c r="S357" i="50" s="1"/>
  <c r="T357" i="50" a="1"/>
  <c r="T357" i="50" s="1"/>
  <c r="U357" i="50" a="1"/>
  <c r="U357" i="50" s="1"/>
  <c r="V357" i="50" a="1"/>
  <c r="V357" i="50" s="1"/>
  <c r="W357" i="50" a="1"/>
  <c r="W357" i="50" s="1"/>
  <c r="X357" i="50" a="1"/>
  <c r="X357" i="50" s="1"/>
  <c r="Y357" i="50" a="1"/>
  <c r="Y357" i="50" s="1"/>
  <c r="Z357" i="50" a="1"/>
  <c r="Z357" i="50" s="1"/>
  <c r="AA357" i="50" a="1"/>
  <c r="AA357" i="50" s="1"/>
  <c r="R358" i="50" a="1"/>
  <c r="R358" i="50" s="1"/>
  <c r="S358" i="50" a="1"/>
  <c r="S358" i="50" s="1"/>
  <c r="T358" i="50" a="1"/>
  <c r="T358" i="50" s="1"/>
  <c r="U358" i="50" a="1"/>
  <c r="U358" i="50" s="1"/>
  <c r="V358" i="50" a="1"/>
  <c r="V358" i="50" s="1"/>
  <c r="W358" i="50" a="1"/>
  <c r="W358" i="50" s="1"/>
  <c r="X358" i="50" a="1"/>
  <c r="X358" i="50" s="1"/>
  <c r="Y358" i="50" a="1"/>
  <c r="Y358" i="50" s="1"/>
  <c r="Z358" i="50" a="1"/>
  <c r="Z358" i="50" s="1"/>
  <c r="AA358" i="50" a="1"/>
  <c r="AA358" i="50"/>
  <c r="R359" i="50" a="1"/>
  <c r="R359" i="50" s="1"/>
  <c r="S359" i="50" a="1"/>
  <c r="S359" i="50" s="1"/>
  <c r="T359" i="50" a="1"/>
  <c r="T359" i="50" s="1"/>
  <c r="U359" i="50" a="1"/>
  <c r="U359" i="50" s="1"/>
  <c r="V359" i="50" a="1"/>
  <c r="V359" i="50" s="1"/>
  <c r="W359" i="50" a="1"/>
  <c r="W359" i="50" s="1"/>
  <c r="X359" i="50" a="1"/>
  <c r="X359" i="50" s="1"/>
  <c r="Y359" i="50" a="1"/>
  <c r="Y359" i="50"/>
  <c r="Z359" i="50" a="1"/>
  <c r="Z359" i="50" s="1"/>
  <c r="AA359" i="50" a="1"/>
  <c r="AA359" i="50" s="1"/>
  <c r="R360" i="50" a="1"/>
  <c r="R360" i="50" s="1"/>
  <c r="S360" i="50" a="1"/>
  <c r="S360" i="50" s="1"/>
  <c r="T360" i="50" a="1"/>
  <c r="T360" i="50" s="1"/>
  <c r="U360" i="50" a="1"/>
  <c r="U360" i="50" s="1"/>
  <c r="V360" i="50" a="1"/>
  <c r="V360" i="50" s="1"/>
  <c r="W360" i="50" a="1"/>
  <c r="W360" i="50" s="1"/>
  <c r="X360" i="50" a="1"/>
  <c r="X360" i="50" s="1"/>
  <c r="Y360" i="50" a="1"/>
  <c r="Y360" i="50" s="1"/>
  <c r="Z360" i="50" a="1"/>
  <c r="Z360" i="50"/>
  <c r="AA360" i="50" a="1"/>
  <c r="AA360" i="50" s="1"/>
  <c r="R361" i="50" a="1"/>
  <c r="R361" i="50" s="1"/>
  <c r="S361" i="50" a="1"/>
  <c r="S361" i="50" s="1"/>
  <c r="T361" i="50" a="1"/>
  <c r="T361" i="50"/>
  <c r="U361" i="50" a="1"/>
  <c r="U361" i="50" s="1"/>
  <c r="V361" i="50" a="1"/>
  <c r="V361" i="50" s="1"/>
  <c r="W361" i="50" a="1"/>
  <c r="W361" i="50" s="1"/>
  <c r="X361" i="50" a="1"/>
  <c r="X361" i="50" s="1"/>
  <c r="Y361" i="50" a="1"/>
  <c r="Y361" i="50" s="1"/>
  <c r="Z361" i="50" a="1"/>
  <c r="Z361" i="50" s="1"/>
  <c r="AA361" i="50" a="1"/>
  <c r="AA361" i="50"/>
  <c r="R362" i="50" a="1"/>
  <c r="R362" i="50" s="1"/>
  <c r="S362" i="50" a="1"/>
  <c r="S362" i="50" s="1"/>
  <c r="T362" i="50" a="1"/>
  <c r="T362" i="50" s="1"/>
  <c r="U362" i="50" a="1"/>
  <c r="U362" i="50" s="1"/>
  <c r="V362" i="50" a="1"/>
  <c r="V362" i="50" s="1"/>
  <c r="W362" i="50" a="1"/>
  <c r="W362" i="50" s="1"/>
  <c r="X362" i="50" a="1"/>
  <c r="X362" i="50" s="1"/>
  <c r="Y362" i="50" a="1"/>
  <c r="Y362" i="50"/>
  <c r="Z362" i="50" a="1"/>
  <c r="Z362" i="50" s="1"/>
  <c r="AA362" i="50" a="1"/>
  <c r="AA362" i="50" s="1"/>
  <c r="R363" i="50" a="1"/>
  <c r="R363" i="50" s="1"/>
  <c r="S363" i="50" a="1"/>
  <c r="S363" i="50" s="1"/>
  <c r="T363" i="50" a="1"/>
  <c r="T363" i="50" s="1"/>
  <c r="U363" i="50" a="1"/>
  <c r="U363" i="50" s="1"/>
  <c r="V363" i="50" a="1"/>
  <c r="V363" i="50" s="1"/>
  <c r="W363" i="50" a="1"/>
  <c r="W363" i="50"/>
  <c r="X363" i="50" a="1"/>
  <c r="X363" i="50" s="1"/>
  <c r="Y363" i="50" a="1"/>
  <c r="Y363" i="50" s="1"/>
  <c r="Z363" i="50" a="1"/>
  <c r="Z363" i="50" s="1"/>
  <c r="AA363" i="50" a="1"/>
  <c r="AA363" i="50" s="1"/>
  <c r="R364" i="50" a="1"/>
  <c r="R364" i="50" s="1"/>
  <c r="S364" i="50" a="1"/>
  <c r="S364" i="50" s="1"/>
  <c r="T364" i="50" a="1"/>
  <c r="T364" i="50"/>
  <c r="U364" i="50" a="1"/>
  <c r="U364" i="50" s="1"/>
  <c r="V364" i="50" a="1"/>
  <c r="V364" i="50" s="1"/>
  <c r="W364" i="50" a="1"/>
  <c r="W364" i="50" s="1"/>
  <c r="X364" i="50" a="1"/>
  <c r="X364" i="50" s="1"/>
  <c r="Y364" i="50" a="1"/>
  <c r="Y364" i="50" s="1"/>
  <c r="Z364" i="50" a="1"/>
  <c r="Z364" i="50" s="1"/>
  <c r="AA364" i="50" a="1"/>
  <c r="AA364" i="50" s="1"/>
  <c r="R365" i="50" a="1"/>
  <c r="R365" i="50" s="1"/>
  <c r="S365" i="50" a="1"/>
  <c r="S365" i="50" s="1"/>
  <c r="T365" i="50" a="1"/>
  <c r="T365" i="50" s="1"/>
  <c r="U365" i="50" a="1"/>
  <c r="U365" i="50" s="1"/>
  <c r="V365" i="50" a="1"/>
  <c r="V365" i="50" s="1"/>
  <c r="W365" i="50" a="1"/>
  <c r="W365" i="50" s="1"/>
  <c r="X365" i="50" a="1"/>
  <c r="X365" i="50" s="1"/>
  <c r="Y365" i="50" a="1"/>
  <c r="Y365" i="50" s="1"/>
  <c r="Z365" i="50" a="1"/>
  <c r="Z365" i="50" s="1"/>
  <c r="AA365" i="50" a="1"/>
  <c r="AA365" i="50" s="1"/>
  <c r="AA346" i="50" a="1"/>
  <c r="AA346" i="50" s="1"/>
  <c r="Z346" i="50" a="1"/>
  <c r="Z346" i="50" s="1"/>
  <c r="AK346" i="50" s="1" a="1"/>
  <c r="AK346" i="50" s="1"/>
  <c r="Y346" i="50" a="1"/>
  <c r="Y346" i="50" s="1"/>
  <c r="AJ346" i="50" s="1" a="1"/>
  <c r="AJ346" i="50" s="1"/>
  <c r="X346" i="50" a="1"/>
  <c r="X346" i="50" s="1"/>
  <c r="AI346" i="50" s="1" a="1"/>
  <c r="AI346" i="50" s="1"/>
  <c r="W346" i="50" a="1"/>
  <c r="W346" i="50" s="1"/>
  <c r="AH346" i="50" s="1" a="1"/>
  <c r="AH346" i="50" s="1"/>
  <c r="V346" i="50" a="1"/>
  <c r="V346" i="50" s="1"/>
  <c r="AG346" i="50" s="1" a="1"/>
  <c r="AG346" i="50" s="1"/>
  <c r="U346" i="50" a="1"/>
  <c r="U346" i="50" s="1"/>
  <c r="AF346" i="50" s="1" a="1"/>
  <c r="AF346" i="50" s="1"/>
  <c r="T346" i="50" a="1"/>
  <c r="T346" i="50" s="1"/>
  <c r="AE346" i="50" s="1" a="1"/>
  <c r="AE346" i="50" s="1"/>
  <c r="S346" i="50" a="1"/>
  <c r="S346" i="50" s="1"/>
  <c r="AD346" i="50" s="1" a="1"/>
  <c r="AD346" i="50" s="1"/>
  <c r="R346" i="50" a="1"/>
  <c r="R346" i="50" s="1"/>
  <c r="AC346" i="50" s="1" a="1"/>
  <c r="AC346" i="50" s="1"/>
  <c r="AM346" i="50" s="1" a="1"/>
  <c r="AM346" i="50" s="1"/>
  <c r="E346" i="50" s="1" a="1"/>
  <c r="T343" i="50" a="1"/>
  <c r="T343" i="50"/>
  <c r="U343" i="50" a="1"/>
  <c r="U343" i="50"/>
  <c r="V343" i="50" a="1"/>
  <c r="V343" i="50"/>
  <c r="W343" i="50" a="1"/>
  <c r="W343" i="50"/>
  <c r="X343" i="50" a="1"/>
  <c r="X343" i="50"/>
  <c r="Y343" i="50" a="1"/>
  <c r="Y343" i="50"/>
  <c r="Z343" i="50" a="1"/>
  <c r="Z343" i="50"/>
  <c r="AA343" i="50" a="1"/>
  <c r="AA343" i="50"/>
  <c r="S343" i="50" a="1"/>
  <c r="S343" i="50"/>
  <c r="AA344" i="50" a="1"/>
  <c r="AA344" i="50" s="1"/>
  <c r="Z344" i="50" a="1"/>
  <c r="Z344" i="50" s="1"/>
  <c r="S344" i="50" a="1"/>
  <c r="S344" i="50" s="1"/>
  <c r="T344" i="50" a="1"/>
  <c r="T344" i="50" s="1"/>
  <c r="U344" i="50" a="1"/>
  <c r="U344" i="50" s="1"/>
  <c r="V344" i="50" a="1"/>
  <c r="V344" i="50"/>
  <c r="W344" i="50" a="1"/>
  <c r="W344" i="50"/>
  <c r="X344" i="50" a="1"/>
  <c r="X344" i="50" s="1"/>
  <c r="Y344" i="50" a="1"/>
  <c r="Y344" i="50" s="1"/>
  <c r="R344" i="50" a="1"/>
  <c r="R344" i="50" s="1"/>
  <c r="E298" i="50" a="1"/>
  <c r="O301" i="50" a="1"/>
  <c r="O302" i="50" a="1"/>
  <c r="O303" i="50" a="1"/>
  <c r="O304" i="50" a="1"/>
  <c r="O305" i="50" a="1"/>
  <c r="O306" i="50" a="1"/>
  <c r="O307" i="50" a="1"/>
  <c r="O308" i="50" a="1"/>
  <c r="O309" i="50" a="1"/>
  <c r="O310" i="50" a="1"/>
  <c r="O311" i="50" a="1"/>
  <c r="O312" i="50" a="1"/>
  <c r="O313" i="50" a="1"/>
  <c r="O314" i="50" a="1"/>
  <c r="O315" i="50" a="1"/>
  <c r="O316" i="50" a="1"/>
  <c r="O317" i="50" a="1"/>
  <c r="U296" i="50"/>
  <c r="O296" i="50" a="1"/>
  <c r="O296" i="50" s="1"/>
  <c r="N296" i="50"/>
  <c r="N299" i="50"/>
  <c r="N300" i="50"/>
  <c r="N301" i="50"/>
  <c r="N302" i="50"/>
  <c r="N303" i="50"/>
  <c r="N304" i="50"/>
  <c r="N305" i="50"/>
  <c r="N306" i="50"/>
  <c r="N307" i="50"/>
  <c r="N308" i="50"/>
  <c r="N309" i="50"/>
  <c r="N310" i="50"/>
  <c r="N311" i="50"/>
  <c r="N312" i="50"/>
  <c r="N313" i="50"/>
  <c r="N314" i="50"/>
  <c r="N315" i="50"/>
  <c r="N316" i="50"/>
  <c r="N317" i="50"/>
  <c r="U299" i="50"/>
  <c r="U300" i="50"/>
  <c r="U298" i="50"/>
  <c r="N298" i="50"/>
  <c r="O299" i="50" a="1"/>
  <c r="O299" i="50" s="1"/>
  <c r="O298" i="50" a="1"/>
  <c r="O298" i="50" s="1"/>
  <c r="O300" i="50" a="1"/>
  <c r="C109" i="51"/>
  <c r="C110" i="51"/>
  <c r="C111" i="51"/>
  <c r="C112" i="51"/>
  <c r="C113" i="51"/>
  <c r="C114" i="51"/>
  <c r="C115" i="51"/>
  <c r="C116" i="51"/>
  <c r="C117" i="51"/>
  <c r="C118" i="51"/>
  <c r="C119" i="51"/>
  <c r="C120" i="51"/>
  <c r="C121" i="51"/>
  <c r="C122" i="51"/>
  <c r="C123" i="51"/>
  <c r="C124" i="51"/>
  <c r="C125" i="51"/>
  <c r="C126" i="51"/>
  <c r="C127" i="51"/>
  <c r="E250" i="50" a="1"/>
  <c r="E250" i="50" s="1"/>
  <c r="C88" i="51" s="1"/>
  <c r="E251" i="50" a="1"/>
  <c r="E251" i="50" s="1"/>
  <c r="C89" i="51" s="1"/>
  <c r="E252" i="50" a="1"/>
  <c r="E252" i="50" s="1"/>
  <c r="C90" i="51" s="1"/>
  <c r="E253" i="50" a="1"/>
  <c r="E253" i="50"/>
  <c r="C91" i="51" s="1"/>
  <c r="E254" i="50" a="1"/>
  <c r="E254" i="50"/>
  <c r="C92" i="51" s="1"/>
  <c r="E255" i="50" a="1"/>
  <c r="E255" i="50"/>
  <c r="C93" i="51" s="1"/>
  <c r="E256" i="50" a="1"/>
  <c r="E256" i="50"/>
  <c r="C94" i="51" s="1"/>
  <c r="E257" i="50" a="1"/>
  <c r="E257" i="50"/>
  <c r="C95" i="51" s="1"/>
  <c r="E258" i="50" a="1"/>
  <c r="E258" i="50" s="1"/>
  <c r="C96" i="51" s="1"/>
  <c r="E259" i="50" a="1"/>
  <c r="E259" i="50" s="1"/>
  <c r="C97" i="51" s="1"/>
  <c r="E260" i="50" a="1"/>
  <c r="E260" i="50" s="1"/>
  <c r="C98" i="51" s="1"/>
  <c r="E261" i="50" a="1"/>
  <c r="E261" i="50" s="1"/>
  <c r="C99" i="51" s="1"/>
  <c r="E262" i="50" a="1"/>
  <c r="E262" i="50" s="1"/>
  <c r="C100" i="51" s="1"/>
  <c r="E263" i="50" a="1"/>
  <c r="E263" i="50" s="1"/>
  <c r="C101" i="51" s="1"/>
  <c r="E264" i="50" a="1"/>
  <c r="E264" i="50" s="1"/>
  <c r="C102" i="51" s="1"/>
  <c r="E265" i="50" a="1"/>
  <c r="E265" i="50" s="1"/>
  <c r="C103" i="51" s="1"/>
  <c r="E266" i="50" a="1"/>
  <c r="E266" i="50" s="1"/>
  <c r="C104" i="51" s="1"/>
  <c r="E267" i="50" a="1"/>
  <c r="E267" i="50"/>
  <c r="C105" i="51" s="1"/>
  <c r="E268" i="50" a="1"/>
  <c r="E268" i="50" s="1"/>
  <c r="C106" i="51" s="1"/>
  <c r="E269" i="50" a="1"/>
  <c r="E269" i="50" s="1"/>
  <c r="C107" i="51" s="1"/>
  <c r="E209" i="50" a="1"/>
  <c r="E209" i="50" s="1"/>
  <c r="C69" i="51" s="1"/>
  <c r="E210" i="50" a="1"/>
  <c r="E210" i="50" s="1"/>
  <c r="C70" i="51" s="1"/>
  <c r="E211" i="50" a="1"/>
  <c r="E211" i="50" s="1"/>
  <c r="C71" i="51" s="1"/>
  <c r="E212" i="50" a="1"/>
  <c r="E212" i="50" s="1"/>
  <c r="C72" i="51" s="1"/>
  <c r="E213" i="50" a="1"/>
  <c r="E213" i="50" s="1"/>
  <c r="C73" i="51" s="1"/>
  <c r="E214" i="50" a="1"/>
  <c r="E214" i="50" s="1"/>
  <c r="C74" i="51" s="1"/>
  <c r="E215" i="50" a="1"/>
  <c r="E215" i="50" s="1"/>
  <c r="C75" i="51" s="1"/>
  <c r="E216" i="50" a="1"/>
  <c r="E216" i="50" s="1"/>
  <c r="C76" i="51" s="1"/>
  <c r="E217" i="50" a="1"/>
  <c r="E217" i="50" s="1"/>
  <c r="C77" i="51" s="1"/>
  <c r="E218" i="50" a="1"/>
  <c r="E218" i="50" s="1"/>
  <c r="C78" i="51" s="1"/>
  <c r="E219" i="50" a="1"/>
  <c r="E219" i="50" s="1"/>
  <c r="C79" i="51" s="1"/>
  <c r="E220" i="50" a="1"/>
  <c r="E220" i="50" s="1"/>
  <c r="C80" i="51" s="1"/>
  <c r="E221" i="50" a="1"/>
  <c r="E221" i="50" s="1"/>
  <c r="C81" i="51" s="1"/>
  <c r="E222" i="50" a="1"/>
  <c r="E222" i="50" s="1"/>
  <c r="C82" i="51" s="1"/>
  <c r="E223" i="50" a="1"/>
  <c r="E223" i="50" s="1"/>
  <c r="C83" i="51" s="1"/>
  <c r="E224" i="50" a="1"/>
  <c r="E224" i="50" s="1"/>
  <c r="C84" i="51" s="1"/>
  <c r="E225" i="50" a="1"/>
  <c r="E225" i="50" s="1"/>
  <c r="C85" i="51" s="1"/>
  <c r="E226" i="50" a="1"/>
  <c r="E226" i="50" s="1"/>
  <c r="C86" i="51" s="1"/>
  <c r="E227" i="50" a="1"/>
  <c r="E227" i="50" s="1"/>
  <c r="C87" i="51" s="1"/>
  <c r="E208" i="50" a="1"/>
  <c r="E208" i="50" s="1"/>
  <c r="C68" i="51" s="1"/>
  <c r="E162" i="50" a="1"/>
  <c r="E162" i="50" s="1"/>
  <c r="E163" i="50" a="1"/>
  <c r="E163" i="50" s="1"/>
  <c r="E164" i="50" a="1"/>
  <c r="E164" i="50" s="1"/>
  <c r="E165" i="50" a="1"/>
  <c r="E165" i="50" s="1"/>
  <c r="E166" i="50" a="1"/>
  <c r="E166" i="50" s="1"/>
  <c r="E167" i="50" a="1"/>
  <c r="E167" i="50" s="1"/>
  <c r="E168" i="50" a="1"/>
  <c r="E168" i="50" s="1"/>
  <c r="E169" i="50" a="1"/>
  <c r="E169" i="50" s="1"/>
  <c r="E170" i="50" a="1"/>
  <c r="E170" i="50" s="1"/>
  <c r="E171" i="50" a="1"/>
  <c r="E171" i="50" s="1"/>
  <c r="E172" i="50" a="1"/>
  <c r="E172" i="50" s="1"/>
  <c r="E173" i="50" a="1"/>
  <c r="E173" i="50" s="1"/>
  <c r="E174" i="50" a="1"/>
  <c r="E174" i="50" s="1"/>
  <c r="E175" i="50" a="1"/>
  <c r="E175" i="50" s="1"/>
  <c r="E176" i="50" a="1"/>
  <c r="E176" i="50" s="1"/>
  <c r="E177" i="50" a="1"/>
  <c r="E177" i="50" s="1"/>
  <c r="E178" i="50" a="1"/>
  <c r="E178" i="50" s="1"/>
  <c r="E179" i="50" a="1"/>
  <c r="E179" i="50" s="1"/>
  <c r="E180" i="50" a="1"/>
  <c r="E180" i="50" s="1"/>
  <c r="E161" i="50" a="1"/>
  <c r="E161" i="50" s="1"/>
  <c r="I161" i="50" s="1" a="1"/>
  <c r="E120" i="50" a="1"/>
  <c r="E80" i="50"/>
  <c r="C8" i="51" s="1"/>
  <c r="E81" i="50"/>
  <c r="C9" i="51" s="1"/>
  <c r="E82" i="50"/>
  <c r="C10" i="51" s="1"/>
  <c r="E83" i="50"/>
  <c r="C11" i="51" s="1"/>
  <c r="E84" i="50"/>
  <c r="C12" i="51" s="1"/>
  <c r="E85" i="50"/>
  <c r="C13" i="51" s="1"/>
  <c r="E86" i="50"/>
  <c r="C14" i="51" s="1"/>
  <c r="E87" i="50"/>
  <c r="C15" i="51" s="1"/>
  <c r="E88" i="50"/>
  <c r="C16" i="51" s="1"/>
  <c r="E89" i="50"/>
  <c r="C17" i="51" s="1"/>
  <c r="E90" i="50"/>
  <c r="C18" i="51" s="1"/>
  <c r="E91" i="50"/>
  <c r="C19" i="51" s="1"/>
  <c r="E92" i="50"/>
  <c r="C20" i="51" s="1"/>
  <c r="E93" i="50"/>
  <c r="C21" i="51" s="1"/>
  <c r="E94" i="50"/>
  <c r="C22" i="51" s="1"/>
  <c r="E95" i="50"/>
  <c r="C23" i="51" s="1"/>
  <c r="E96" i="50"/>
  <c r="C24" i="51" s="1"/>
  <c r="E97" i="50"/>
  <c r="C25" i="51" s="1"/>
  <c r="E98" i="50"/>
  <c r="C26" i="51" s="1"/>
  <c r="E99" i="50"/>
  <c r="C27" i="51" s="1"/>
  <c r="C7" i="51"/>
  <c r="C6" i="51"/>
  <c r="C5" i="51"/>
  <c r="C4" i="51"/>
  <c r="B9" i="51"/>
  <c r="B10" i="51" s="1"/>
  <c r="B11" i="51" s="1"/>
  <c r="B12" i="51" s="1"/>
  <c r="B13" i="51" s="1"/>
  <c r="B14" i="51" s="1"/>
  <c r="B15" i="51" s="1"/>
  <c r="B16" i="51" s="1"/>
  <c r="B17" i="51" s="1"/>
  <c r="B18" i="51" s="1"/>
  <c r="B19" i="51" s="1"/>
  <c r="B20" i="51" s="1"/>
  <c r="B21" i="51" s="1"/>
  <c r="B22" i="51" s="1"/>
  <c r="B23" i="51" s="1"/>
  <c r="B24" i="51" s="1"/>
  <c r="B25" i="51" s="1"/>
  <c r="B26" i="51" s="1"/>
  <c r="B27" i="51" s="1"/>
  <c r="B28" i="51" s="1"/>
  <c r="B29" i="51" s="1"/>
  <c r="B30" i="51" s="1"/>
  <c r="B31" i="51" s="1"/>
  <c r="B32" i="51" s="1"/>
  <c r="B33" i="51" s="1"/>
  <c r="B34" i="51" s="1"/>
  <c r="B35" i="51" s="1"/>
  <c r="B36" i="51" s="1"/>
  <c r="B37" i="51" s="1"/>
  <c r="B38" i="51" s="1"/>
  <c r="B39" i="51" s="1"/>
  <c r="B40" i="51" s="1"/>
  <c r="B41" i="51" s="1"/>
  <c r="B42" i="51" s="1"/>
  <c r="B43" i="51" s="1"/>
  <c r="B44" i="51" s="1"/>
  <c r="B45" i="51" s="1"/>
  <c r="B46" i="51" s="1"/>
  <c r="B47" i="51" s="1"/>
  <c r="B48" i="51" s="1"/>
  <c r="B49" i="51" s="1"/>
  <c r="B50" i="51" s="1"/>
  <c r="B51" i="51" s="1"/>
  <c r="B52" i="51" s="1"/>
  <c r="B53" i="51" s="1"/>
  <c r="B54" i="51" s="1"/>
  <c r="B55" i="51" s="1"/>
  <c r="B56" i="51" s="1"/>
  <c r="B57" i="51" s="1"/>
  <c r="B58" i="51" s="1"/>
  <c r="B59" i="51" s="1"/>
  <c r="B60" i="51" s="1"/>
  <c r="B61" i="51" s="1"/>
  <c r="B62" i="51" s="1"/>
  <c r="B63" i="51" s="1"/>
  <c r="B64" i="51" s="1"/>
  <c r="B65" i="51" s="1"/>
  <c r="B66" i="51" s="1"/>
  <c r="B67" i="51" s="1"/>
  <c r="B68" i="51" s="1"/>
  <c r="B69" i="51" s="1"/>
  <c r="B70" i="51" s="1"/>
  <c r="B71" i="51" s="1"/>
  <c r="B72" i="51" s="1"/>
  <c r="B73" i="51" s="1"/>
  <c r="B74" i="51" s="1"/>
  <c r="B75" i="51" s="1"/>
  <c r="B76" i="51" s="1"/>
  <c r="B77" i="51" s="1"/>
  <c r="B78" i="51" s="1"/>
  <c r="B79" i="51" s="1"/>
  <c r="B80" i="51" s="1"/>
  <c r="B81" i="51" s="1"/>
  <c r="B82" i="51" s="1"/>
  <c r="B83" i="51" s="1"/>
  <c r="B84" i="51" s="1"/>
  <c r="B85" i="51" s="1"/>
  <c r="B86" i="51" s="1"/>
  <c r="B87" i="51" s="1"/>
  <c r="B88" i="51" s="1"/>
  <c r="B89" i="51" s="1"/>
  <c r="B90" i="51" s="1"/>
  <c r="B91" i="51" s="1"/>
  <c r="B92" i="51" s="1"/>
  <c r="B93" i="51" s="1"/>
  <c r="B94" i="51" s="1"/>
  <c r="B95" i="51" s="1"/>
  <c r="B96" i="51" s="1"/>
  <c r="B97" i="51" s="1"/>
  <c r="B98" i="51" s="1"/>
  <c r="B99" i="51" s="1"/>
  <c r="B100" i="51" s="1"/>
  <c r="B101" i="51" s="1"/>
  <c r="B102" i="51" s="1"/>
  <c r="B103" i="51" s="1"/>
  <c r="B104" i="51" s="1"/>
  <c r="B105" i="51" s="1"/>
  <c r="B106" i="51" s="1"/>
  <c r="B107" i="51" s="1"/>
  <c r="B108" i="51" s="1"/>
  <c r="B109" i="51" s="1"/>
  <c r="B110" i="51" s="1"/>
  <c r="B111" i="51" s="1"/>
  <c r="B112" i="51" s="1"/>
  <c r="B113" i="51" s="1"/>
  <c r="B114" i="51" s="1"/>
  <c r="B115" i="51" s="1"/>
  <c r="B116" i="51" s="1"/>
  <c r="B117" i="51" s="1"/>
  <c r="B118" i="51" s="1"/>
  <c r="B119" i="51" s="1"/>
  <c r="B120" i="51" s="1"/>
  <c r="B121" i="51" s="1"/>
  <c r="B122" i="51" s="1"/>
  <c r="B123" i="51" s="1"/>
  <c r="B124" i="51" s="1"/>
  <c r="B125" i="51" s="1"/>
  <c r="B126" i="51" s="1"/>
  <c r="B127" i="51" s="1"/>
  <c r="B128" i="51" s="1"/>
  <c r="B129" i="51" s="1"/>
  <c r="B130" i="51" s="1"/>
  <c r="B131" i="51" s="1"/>
  <c r="B132" i="51" s="1"/>
  <c r="B133" i="51" s="1"/>
  <c r="B134" i="51" s="1"/>
  <c r="B135" i="51" s="1"/>
  <c r="B136" i="51" s="1"/>
  <c r="B137" i="51" s="1"/>
  <c r="B138" i="51" s="1"/>
  <c r="B139" i="51" s="1"/>
  <c r="B140" i="51" s="1"/>
  <c r="B141" i="51" s="1"/>
  <c r="B142" i="51" s="1"/>
  <c r="B143" i="51" s="1"/>
  <c r="B144" i="51" s="1"/>
  <c r="B145" i="51" s="1"/>
  <c r="B146" i="51" s="1"/>
  <c r="B147" i="51" s="1"/>
  <c r="BI4" i="34" l="1"/>
  <c r="BG4" i="34"/>
  <c r="I161" i="50"/>
  <c r="J161" i="50" s="1" a="1"/>
  <c r="C129" i="51"/>
  <c r="C130" i="51"/>
  <c r="C131" i="51"/>
  <c r="C132" i="51"/>
  <c r="C133" i="51"/>
  <c r="C134" i="51"/>
  <c r="C135" i="51"/>
  <c r="C136" i="51"/>
  <c r="C137" i="51"/>
  <c r="C138" i="51"/>
  <c r="C139" i="51"/>
  <c r="C140" i="51"/>
  <c r="C141" i="51"/>
  <c r="C142" i="51"/>
  <c r="C143" i="51"/>
  <c r="C144" i="51"/>
  <c r="C145" i="51"/>
  <c r="C146" i="51"/>
  <c r="C147" i="51"/>
  <c r="E346" i="50"/>
  <c r="C128" i="51" s="1"/>
  <c r="AM347" i="50" a="1"/>
  <c r="AM347" i="50" s="1"/>
  <c r="AM348" i="50" a="1"/>
  <c r="AM348" i="50" s="1"/>
  <c r="AM349" i="50" a="1"/>
  <c r="AM349" i="50" s="1"/>
  <c r="AM350" i="50" a="1"/>
  <c r="AM350" i="50" s="1"/>
  <c r="AM351" i="50" a="1"/>
  <c r="AM351" i="50" s="1"/>
  <c r="AM353" i="50" a="1"/>
  <c r="AM353" i="50" s="1"/>
  <c r="AM354" i="50" a="1"/>
  <c r="AM354" i="50" s="1"/>
  <c r="AM355" i="50" a="1"/>
  <c r="AM355" i="50" s="1"/>
  <c r="AM356" i="50" a="1"/>
  <c r="AM356" i="50" s="1"/>
  <c r="AM359" i="50" a="1"/>
  <c r="AM359" i="50" s="1"/>
  <c r="AM360" i="50" a="1"/>
  <c r="AM360" i="50" s="1"/>
  <c r="AM361" i="50" a="1"/>
  <c r="AM361" i="50" s="1"/>
  <c r="AM362" i="50" a="1"/>
  <c r="AM362" i="50" s="1"/>
  <c r="AM364" i="50" a="1"/>
  <c r="AM364" i="50" s="1"/>
  <c r="E298" i="50"/>
  <c r="C108" i="51" s="1"/>
  <c r="O301" i="50"/>
  <c r="U301" i="50"/>
  <c r="O302" i="50"/>
  <c r="U302" i="50"/>
  <c r="U303" i="50"/>
  <c r="O303" i="50"/>
  <c r="O304" i="50"/>
  <c r="U304" i="50"/>
  <c r="U305" i="50"/>
  <c r="O305" i="50"/>
  <c r="O306" i="50"/>
  <c r="U306" i="50"/>
  <c r="O307" i="50"/>
  <c r="U307" i="50"/>
  <c r="O308" i="50"/>
  <c r="U308" i="50"/>
  <c r="O309" i="50"/>
  <c r="U309" i="50"/>
  <c r="O310" i="50"/>
  <c r="U310" i="50"/>
  <c r="U311" i="50"/>
  <c r="O311" i="50"/>
  <c r="O312" i="50"/>
  <c r="U312" i="50"/>
  <c r="O313" i="50"/>
  <c r="U313" i="50"/>
  <c r="O314" i="50"/>
  <c r="U314" i="50"/>
  <c r="O315" i="50"/>
  <c r="U315" i="50"/>
  <c r="U316" i="50"/>
  <c r="O316" i="50"/>
  <c r="O317" i="50"/>
  <c r="U317" i="50"/>
  <c r="O300" i="50"/>
  <c r="E120" i="50"/>
  <c r="C28" i="51" s="1"/>
  <c r="C47" i="51"/>
  <c r="C46" i="51"/>
  <c r="C45" i="51"/>
  <c r="C44" i="51"/>
  <c r="C43" i="51"/>
  <c r="C42" i="51"/>
  <c r="C41" i="51"/>
  <c r="C40" i="51"/>
  <c r="C39" i="51"/>
  <c r="C38" i="51"/>
  <c r="C37" i="51"/>
  <c r="C36" i="51"/>
  <c r="C35" i="51"/>
  <c r="C34" i="51"/>
  <c r="C33" i="51"/>
  <c r="C32" i="51"/>
  <c r="C31" i="51"/>
  <c r="C30" i="51"/>
  <c r="C29" i="51"/>
  <c r="C48" i="51"/>
  <c r="C67" i="51"/>
  <c r="C65" i="51"/>
  <c r="C63" i="51"/>
  <c r="C62" i="51"/>
  <c r="C61" i="51"/>
  <c r="C60" i="51"/>
  <c r="C59" i="51"/>
  <c r="C58" i="51"/>
  <c r="C57" i="51"/>
  <c r="C56" i="51"/>
  <c r="C55" i="51"/>
  <c r="C54" i="51"/>
  <c r="C53" i="51"/>
  <c r="C52" i="51"/>
  <c r="C51" i="51"/>
  <c r="C50" i="51"/>
  <c r="C49" i="51"/>
  <c r="C64" i="51"/>
  <c r="C66" i="51"/>
  <c r="J161" i="50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<sst xmlns="http://schemas.openxmlformats.org/spreadsheetml/2006/main" count="6843" uniqueCount="2180">
  <si>
    <t xml:space="preserve"> </t>
  </si>
  <si>
    <t>Microsoft Excel Collegiate Challenge 2025</t>
  </si>
  <si>
    <t>PipeMare -  Junior Varsity Edition</t>
  </si>
  <si>
    <t>Original Case Author</t>
  </si>
  <si>
    <t>Juan José Cifuentes</t>
  </si>
  <si>
    <t>Case Design Team</t>
  </si>
  <si>
    <t>Leo Fernandez</t>
  </si>
  <si>
    <t>Carolyn Hamilton</t>
  </si>
  <si>
    <t>Chris McNeil</t>
  </si>
  <si>
    <t>Eric Kelley</t>
  </si>
  <si>
    <t>Instructions</t>
  </si>
  <si>
    <t>You can hardly believe it; your hands are shaking so hard that you almost dropped your acceptance letter. You got into EPU!</t>
  </si>
  <si>
    <t>You're on your way to becoming an Excel Plumber and walking the halls where the best of the best have been trained: Bobby Filter, and even Lemmy Spillmister!</t>
  </si>
  <si>
    <t>But for now, it’s time to work — before your opportunity becomes nothing more than just a Pipe Dream!</t>
  </si>
  <si>
    <t>In this case, you will be working with pipe symbols, as presented in the PIPES table below.</t>
  </si>
  <si>
    <t>Special Pipe Connecting Rules &amp; Terminology</t>
  </si>
  <si>
    <t>Pipes can only be connected by moving side to side or up and down</t>
  </si>
  <si>
    <t>Pipes cannot rotate. E.g., a “vertical” pipe cannot rotate to connect to a “horizontal” pipe.</t>
  </si>
  <si>
    <r>
      <rPr>
        <b/>
        <sz val="12"/>
        <color theme="1"/>
        <rFont val="Roboto"/>
      </rPr>
      <t xml:space="preserve">Connects To </t>
    </r>
    <r>
      <rPr>
        <sz val="12"/>
        <color theme="1"/>
        <rFont val="Roboto"/>
      </rPr>
      <t>refers to a Pipe’s own up, down, left, right connections. E.g., ┗ has an up connection and a right connection.</t>
    </r>
  </si>
  <si>
    <r>
      <rPr>
        <b/>
        <sz val="12"/>
        <color theme="1"/>
        <rFont val="Roboto"/>
      </rPr>
      <t xml:space="preserve">Connects From </t>
    </r>
    <r>
      <rPr>
        <sz val="12"/>
        <color theme="1"/>
        <rFont val="Roboto"/>
      </rPr>
      <t>refers to other pipes that will fit to a Pipe. E.g., ┗ will fit to other pipes that have a down connection or a left connection.</t>
    </r>
  </si>
  <si>
    <r>
      <rPr>
        <b/>
        <sz val="12"/>
        <color theme="1"/>
        <rFont val="Roboto"/>
      </rPr>
      <t xml:space="preserve">Mapping Binary Codes </t>
    </r>
    <r>
      <rPr>
        <sz val="12"/>
        <color theme="1"/>
        <rFont val="Roboto"/>
      </rPr>
      <t>(see PIPES table).</t>
    </r>
  </si>
  <si>
    <r>
      <t xml:space="preserve">	1xxx denotes an </t>
    </r>
    <r>
      <rPr>
        <u/>
        <sz val="12"/>
        <color theme="1"/>
        <rFont val="Roboto"/>
      </rPr>
      <t>up</t>
    </r>
    <r>
      <rPr>
        <sz val="12"/>
        <color theme="1"/>
        <rFont val="Roboto"/>
      </rPr>
      <t xml:space="preserve"> (top) connection; 0xxx means no up connection.</t>
    </r>
  </si>
  <si>
    <r>
      <t xml:space="preserve">	x1xx denotes a </t>
    </r>
    <r>
      <rPr>
        <u/>
        <sz val="12"/>
        <color theme="1"/>
        <rFont val="Roboto"/>
      </rPr>
      <t>down</t>
    </r>
    <r>
      <rPr>
        <sz val="12"/>
        <color theme="1"/>
        <rFont val="Roboto"/>
      </rPr>
      <t xml:space="preserve"> (bottom) connection; x0xxx means no down connection.</t>
    </r>
  </si>
  <si>
    <r>
      <t xml:space="preserve">xx1x denotes a </t>
    </r>
    <r>
      <rPr>
        <u/>
        <sz val="12"/>
        <color theme="1"/>
        <rFont val="Roboto"/>
      </rPr>
      <t>left</t>
    </r>
    <r>
      <rPr>
        <sz val="12"/>
        <color theme="1"/>
        <rFont val="Roboto"/>
      </rPr>
      <t xml:space="preserve"> connection; xx0x means no left connection.</t>
    </r>
  </si>
  <si>
    <r>
      <t xml:space="preserve">xxx1 denotes a </t>
    </r>
    <r>
      <rPr>
        <u/>
        <sz val="12"/>
        <color theme="1"/>
        <rFont val="Roboto"/>
      </rPr>
      <t>right</t>
    </r>
    <r>
      <rPr>
        <sz val="12"/>
        <color theme="1"/>
        <rFont val="Roboto"/>
      </rPr>
      <t xml:space="preserve"> connection; xxx0 means no right connection.</t>
    </r>
  </si>
  <si>
    <r>
      <rPr>
        <b/>
        <sz val="12"/>
        <color theme="1"/>
        <rFont val="Roboto"/>
      </rPr>
      <t>Note:</t>
    </r>
    <r>
      <rPr>
        <sz val="12"/>
        <color theme="1"/>
        <rFont val="Roboto"/>
      </rPr>
      <t xml:space="preserve"> Some pipe symbols may appear as an empty square ◻ in the formula bar, but Excel will still recognize and process them correctly.</t>
    </r>
  </si>
  <si>
    <t>PIPES</t>
  </si>
  <si>
    <t>Pipe / Element</t>
  </si>
  <si>
    <t>Name</t>
  </si>
  <si>
    <t>Connects To</t>
  </si>
  <si>
    <t>Connects From</t>
  </si>
  <si>
    <t>┃</t>
  </si>
  <si>
    <t>Vertical</t>
  </si>
  <si>
    <t>1100</t>
  </si>
  <si>
    <t>━</t>
  </si>
  <si>
    <t>Horizontal</t>
  </si>
  <si>
    <t>0011</t>
  </si>
  <si>
    <t>┏</t>
  </si>
  <si>
    <t>Top-Right Bend</t>
  </si>
  <si>
    <t>0101</t>
  </si>
  <si>
    <t>1010</t>
  </si>
  <si>
    <t>┓</t>
  </si>
  <si>
    <t>Top-Left Bend</t>
  </si>
  <si>
    <t>0110</t>
  </si>
  <si>
    <t>1001</t>
  </si>
  <si>
    <t>┗</t>
  </si>
  <si>
    <t>Bottom-Right Bend</t>
  </si>
  <si>
    <t>┛</t>
  </si>
  <si>
    <t>Bottom-Left Bend</t>
  </si>
  <si>
    <t>◉</t>
  </si>
  <si>
    <t>Source</t>
  </si>
  <si>
    <t>1111</t>
  </si>
  <si>
    <t>○</t>
  </si>
  <si>
    <t>Outlet</t>
  </si>
  <si>
    <t>🧱</t>
  </si>
  <si>
    <t>Wall</t>
  </si>
  <si>
    <t>N/A</t>
  </si>
  <si>
    <t>Bonus Questions</t>
  </si>
  <si>
    <t>To make the game more exciting, we have created 5 bonus questions for you. The questions can all be solved independently of the Levels.</t>
  </si>
  <si>
    <t>Game #</t>
  </si>
  <si>
    <t>Relates to Level #</t>
  </si>
  <si>
    <t>Points</t>
  </si>
  <si>
    <t>Answer</t>
  </si>
  <si>
    <t>Question</t>
  </si>
  <si>
    <t>Bonus 1</t>
  </si>
  <si>
    <r>
      <t xml:space="preserve">In Level 2 </t>
    </r>
    <r>
      <rPr>
        <u/>
        <sz val="12"/>
        <color theme="7" tint="-0.499984740745262"/>
        <rFont val="Roboto"/>
      </rPr>
      <t>answers</t>
    </r>
    <r>
      <rPr>
        <sz val="12"/>
        <color theme="7" tint="-0.499984740745262"/>
        <rFont val="Roboto"/>
      </rPr>
      <t xml:space="preserve"> (excluding the example), what is the total number of elements that are not pipes, sources or outlets?</t>
    </r>
  </si>
  <si>
    <t>Bonus 2</t>
  </si>
  <si>
    <r>
      <t xml:space="preserve">In Level 3 </t>
    </r>
    <r>
      <rPr>
        <u/>
        <sz val="12"/>
        <color theme="7" tint="-0.499984740745262"/>
        <rFont val="Roboto"/>
      </rPr>
      <t>answers</t>
    </r>
    <r>
      <rPr>
        <sz val="12"/>
        <color theme="7" tint="-0.499984740745262"/>
        <rFont val="Roboto"/>
      </rPr>
      <t>, excluding the example, there is one element that is present more than any other. How many times is that element present?</t>
    </r>
  </si>
  <si>
    <t>Bonus 3</t>
  </si>
  <si>
    <t>4-5</t>
  </si>
  <si>
    <t>Excluding the examples, how many of the pipe sections in levels 4 and 5 are┗ ?</t>
  </si>
  <si>
    <t>Bonus 4</t>
  </si>
  <si>
    <t>In the PipeMaze, what is the total number of pipes that Connets To the Right? Exclude Sources and Outlets as they are not pipes.</t>
  </si>
  <si>
    <t>Bonus 5</t>
  </si>
  <si>
    <t>Excluding the example in Level 7, what is the total number of pipes that do not connect to the previous pipe in the sequence?</t>
  </si>
  <si>
    <t>Levels</t>
  </si>
  <si>
    <t>Level 1</t>
  </si>
  <si>
    <t>Easy</t>
  </si>
  <si>
    <t>PipeMaze Inventory</t>
  </si>
  <si>
    <t>Alright! It's your first day at the plumbing academy, and you want to make a good impression.</t>
  </si>
  <si>
    <t>Your professor has asked you to count the number of times a given pipe is found in a storage area.</t>
  </si>
  <si>
    <t>Example1:</t>
  </si>
  <si>
    <t>Pipe  ┏ is found 3 times in the storage area: positions 2, 7, and 10.</t>
  </si>
  <si>
    <r>
      <rPr>
        <b/>
        <sz val="12"/>
        <rFont val="Roboto"/>
      </rPr>
      <t>Hint</t>
    </r>
    <r>
      <rPr>
        <sz val="12"/>
        <rFont val="Roboto"/>
      </rPr>
      <t>: Try using the COUNTIF or COUNTIFS functions.</t>
    </r>
  </si>
  <si>
    <t>Answer Hints:</t>
  </si>
  <si>
    <t>Game 1's answer is between 2 and 7</t>
  </si>
  <si>
    <t>Game 2's answer is between 1 and 6</t>
  </si>
  <si>
    <t>Game 3's answer is between 4 and 9</t>
  </si>
  <si>
    <t>Storage Area</t>
  </si>
  <si>
    <t>Level</t>
  </si>
  <si>
    <t>Pipe</t>
  </si>
  <si>
    <t>Example1</t>
  </si>
  <si>
    <t>Level 2</t>
  </si>
  <si>
    <t xml:space="preserve">Medium </t>
  </si>
  <si>
    <t>PipeMaze Addresses</t>
  </si>
  <si>
    <t>Your professor has asked you to count the given "element" (as in pipes, sources, outlets, walls, plants, and trees) that make up the PipeMaze (see the PipeMaze tab).</t>
  </si>
  <si>
    <t>Example2:</t>
  </si>
  <si>
    <t>The 🏵 is found in the range D4:I6 of the PipeMaze (18 times) and in the range D7:E7 of the PipeMaze (2 more times).</t>
  </si>
  <si>
    <t>The correct answer is 20.</t>
  </si>
  <si>
    <t>Game 21's answer is between 200 and 300</t>
  </si>
  <si>
    <t>Game 22's answer is between 100 and 200</t>
  </si>
  <si>
    <t>Game 23's answer is between 0 and 100</t>
  </si>
  <si>
    <t>Element</t>
  </si>
  <si>
    <t>Example2</t>
  </si>
  <si>
    <t>🏵</t>
  </si>
  <si>
    <t>🌱</t>
  </si>
  <si>
    <t>🌵</t>
  </si>
  <si>
    <t>🌴</t>
  </si>
  <si>
    <t>🌻</t>
  </si>
  <si>
    <t>🌼</t>
  </si>
  <si>
    <t>🌲</t>
  </si>
  <si>
    <t>🌳</t>
  </si>
  <si>
    <t>🌽</t>
  </si>
  <si>
    <t>🌾</t>
  </si>
  <si>
    <t>🌿</t>
  </si>
  <si>
    <t>🍄</t>
  </si>
  <si>
    <t>Level 3</t>
  </si>
  <si>
    <t>Now you know how many elements of each type are present in the PipeMaze.</t>
  </si>
  <si>
    <t>Your next challenge is to be able to tell where each element is located.</t>
  </si>
  <si>
    <t>To test your knowledge, your professor is giving you addresses in the PipeMaze and expects you to tell him what element is located in that address.</t>
  </si>
  <si>
    <t>To make this level a bit easier, the PipeMaze tap has a list of maze cell addresses and cell contents in columns BC and BD of that tab.</t>
  </si>
  <si>
    <t>Example3:</t>
  </si>
  <si>
    <t>In the PipeMaze tab, cell address F4 is listed in row 54 of column BC. The cell contents are shown to be 🏵.</t>
  </si>
  <si>
    <r>
      <rPr>
        <b/>
        <sz val="12"/>
        <rFont val="Roboto"/>
      </rPr>
      <t>Hint</t>
    </r>
    <r>
      <rPr>
        <sz val="12"/>
        <rFont val="Roboto"/>
      </rPr>
      <t>: Try using the XLOOKUP function.</t>
    </r>
  </si>
  <si>
    <t>Game 41's answer is a straight pipe.</t>
  </si>
  <si>
    <t>Game 42's answer is a plant.</t>
  </si>
  <si>
    <t>Game 43's answer is a bend pipe.</t>
  </si>
  <si>
    <t>Address</t>
  </si>
  <si>
    <t>Example3</t>
  </si>
  <si>
    <t>F4</t>
  </si>
  <si>
    <t>Q7</t>
  </si>
  <si>
    <t>AN28</t>
  </si>
  <si>
    <t>AM34</t>
  </si>
  <si>
    <t>AL15</t>
  </si>
  <si>
    <t>AI5</t>
  </si>
  <si>
    <t>AP4</t>
  </si>
  <si>
    <t>AK17</t>
  </si>
  <si>
    <t>AB30</t>
  </si>
  <si>
    <t>Z25</t>
  </si>
  <si>
    <t>E31</t>
  </si>
  <si>
    <t>I19</t>
  </si>
  <si>
    <t>E4</t>
  </si>
  <si>
    <t>X24</t>
  </si>
  <si>
    <t>AN23</t>
  </si>
  <si>
    <t>AM26</t>
  </si>
  <si>
    <t>AW18</t>
  </si>
  <si>
    <t>AE22</t>
  </si>
  <si>
    <t>W33</t>
  </si>
  <si>
    <t>P21</t>
  </si>
  <si>
    <t>AG28</t>
  </si>
  <si>
    <t>Level 4</t>
  </si>
  <si>
    <t>Pipin' 101…From</t>
  </si>
  <si>
    <t>Enough about the PipeMaze.</t>
  </si>
  <si>
    <t>To simplify connection checks, each pipe can be represented as a 4-digit binary code, indicating the directions it can "Connects To" / "Connects From" in the order: Up, Down, Left, Right.</t>
  </si>
  <si>
    <t>1 means the pipe does connect, 0 means it does not. "Connects To" refers to the directions a pipe has open ends towards, while "Connects From" means the open ends of the pipes that might connect to it.</t>
  </si>
  <si>
    <t>For example, ┗ Connects To 1001 = Up and Right, and Connects From 0110 = Down and Left.</t>
  </si>
  <si>
    <r>
      <t xml:space="preserve">The 4-digit binary mapping codes for each pipe are provided in the </t>
    </r>
    <r>
      <rPr>
        <b/>
        <sz val="12"/>
        <rFont val="Roboto"/>
      </rPr>
      <t>PIPES</t>
    </r>
    <r>
      <rPr>
        <sz val="12"/>
        <rFont val="Roboto"/>
      </rPr>
      <t xml:space="preserve"> table at the top of this sheet (near row 40).</t>
    </r>
  </si>
  <si>
    <r>
      <t>Your next task is to provide the concatenated codes of the given Pipe Sequence, using the "</t>
    </r>
    <r>
      <rPr>
        <b/>
        <u/>
        <sz val="12"/>
        <rFont val="Roboto"/>
      </rPr>
      <t>Connects From</t>
    </r>
    <r>
      <rPr>
        <b/>
        <sz val="12"/>
        <rFont val="Roboto"/>
      </rPr>
      <t>" mapping.</t>
    </r>
  </si>
  <si>
    <t>Example4:</t>
  </si>
  <si>
    <t>Connects From code for pipe┃ is 1100 (connects with a pipe with an up or down connection).</t>
  </si>
  <si>
    <t>Connects From code for ┏ is 1010 (connects with a pipe with an up or left connection).</t>
  </si>
  <si>
    <t>Connects From code for ┗ is 0110 (connects with a pipe with a down or left connection).</t>
  </si>
  <si>
    <t>Join 1100, 1010, and 0110 together for the correct answer of 110010100110.</t>
  </si>
  <si>
    <r>
      <rPr>
        <b/>
        <sz val="12"/>
        <rFont val="Roboto"/>
      </rPr>
      <t>Hint</t>
    </r>
    <r>
      <rPr>
        <sz val="12"/>
        <rFont val="Roboto"/>
      </rPr>
      <t>: Try using the XLOOKUP function along with CONCAT function.</t>
    </r>
  </si>
  <si>
    <t>Game 61's answer starts with 0101.</t>
  </si>
  <si>
    <t>Game 62's answer starts with 0110.</t>
  </si>
  <si>
    <t>Game 63's answer starts with 1100.</t>
  </si>
  <si>
    <t>Pipe Sequence</t>
  </si>
  <si>
    <t>Example4</t>
  </si>
  <si>
    <t>110010100110</t>
  </si>
  <si>
    <t>Level 5</t>
  </si>
  <si>
    <t>Medium Hard</t>
  </si>
  <si>
    <t>Pipin' 101…From or To</t>
  </si>
  <si>
    <t>You've done a great job! So, your professor has now asked you to provide the concatenated codes of the given Pipe Sequence, using the specified mapping (either From or To).</t>
  </si>
  <si>
    <t>Example5:</t>
  </si>
  <si>
    <t>Example5 stipulates "Connects To" mapping codes. Recall that the codes are listed in the PIPES table located near row 40.</t>
  </si>
  <si>
    <t>Pipe┗ has a Connects To code of 1001 (has up and right connections).</t>
  </si>
  <si>
    <t>Pipe ━ has a Connects To code of 0011 (has left and right connections).</t>
  </si>
  <si>
    <t>Pipe ┓ has a Connects To code of 0110 (has down and left connections).</t>
  </si>
  <si>
    <t>Combine 1001, 0011, and 0110 for the correct answer 100100110110.</t>
  </si>
  <si>
    <r>
      <rPr>
        <b/>
        <sz val="12"/>
        <rFont val="Roboto"/>
      </rPr>
      <t>Hint</t>
    </r>
    <r>
      <rPr>
        <sz val="12"/>
        <rFont val="Roboto"/>
      </rPr>
      <t>: Try the XLOOKUP function along with the CONCAT function, plus a second XLOOKUP function.</t>
    </r>
  </si>
  <si>
    <t>Game 81's answer starts with 1100.</t>
  </si>
  <si>
    <t>Game 82's answer starts with 0110.</t>
  </si>
  <si>
    <t>Game 83's answer starts with 0011.</t>
  </si>
  <si>
    <t>Mapping</t>
  </si>
  <si>
    <t>Example5</t>
  </si>
  <si>
    <t>100100110110</t>
  </si>
  <si>
    <t>Level 6</t>
  </si>
  <si>
    <t>Hard</t>
  </si>
  <si>
    <t>Pipe Census - One Direction</t>
  </si>
  <si>
    <t>Now that you understand all about pipe direction codes, your professor has asked you to help him catalog pipes by their potential to connect in a given direction.</t>
  </si>
  <si>
    <t>Determine how many pipes in the sequence can Connect To or Connect From the given direction.</t>
  </si>
  <si>
    <t>Example6:</t>
  </si>
  <si>
    <t>For Example6, we're looking for pipes whose Connects From mapping codes ends in 1 (xxx1, the RIGHT direction).</t>
  </si>
  <si>
    <r>
      <t xml:space="preserve">Pipe 1 </t>
    </r>
    <r>
      <rPr>
        <b/>
        <sz val="12"/>
        <rFont val="Roboto"/>
      </rPr>
      <t>┃</t>
    </r>
    <r>
      <rPr>
        <sz val="12"/>
        <rFont val="Roboto"/>
      </rPr>
      <t xml:space="preserve"> , the Connects From mapping is 1100, which does not end with a 1 (no Connects From RIGHT direction). Tally of 0.</t>
    </r>
  </si>
  <si>
    <r>
      <t xml:space="preserve">Pipe 2 </t>
    </r>
    <r>
      <rPr>
        <b/>
        <sz val="12"/>
        <rFont val="Roboto"/>
      </rPr>
      <t>┏</t>
    </r>
    <r>
      <rPr>
        <sz val="12"/>
        <rFont val="Roboto"/>
      </rPr>
      <t xml:space="preserve"> , the Connects From mapping is 1010, which does not end with a 1 (no Connects From RIGHT direction). Tally of 0.</t>
    </r>
  </si>
  <si>
    <r>
      <t xml:space="preserve">Pipe 3 </t>
    </r>
    <r>
      <rPr>
        <b/>
        <sz val="12"/>
        <rFont val="Roboto"/>
      </rPr>
      <t>┗</t>
    </r>
    <r>
      <rPr>
        <sz val="12"/>
        <rFont val="Roboto"/>
      </rPr>
      <t xml:space="preserve"> , the Connects From mapping is 0110, which does not end with a 1 (no Connects From RIGHT direction). Tally of 0.</t>
    </r>
  </si>
  <si>
    <r>
      <t xml:space="preserve">Pipe 4 </t>
    </r>
    <r>
      <rPr>
        <b/>
        <sz val="12"/>
        <rFont val="Roboto"/>
      </rPr>
      <t>━</t>
    </r>
    <r>
      <rPr>
        <sz val="12"/>
        <rFont val="Roboto"/>
      </rPr>
      <t xml:space="preserve"> , the Connects From mapping is 0011, which ends with a 1 (Connects From RIGHT direction). Tally of 1.</t>
    </r>
  </si>
  <si>
    <r>
      <t xml:space="preserve">Pipe 5 </t>
    </r>
    <r>
      <rPr>
        <b/>
        <sz val="12"/>
        <rFont val="Roboto"/>
      </rPr>
      <t>┓</t>
    </r>
    <r>
      <rPr>
        <sz val="12"/>
        <rFont val="Roboto"/>
      </rPr>
      <t xml:space="preserve"> , the Connects From mapping is 1001, which ends with a 1 (Connects From RIGHT direction). Tally of 1.</t>
    </r>
  </si>
  <si>
    <t>Pipes 4 and 5 match the Connect From direction, so the correct answer is 2.</t>
  </si>
  <si>
    <r>
      <rPr>
        <b/>
        <sz val="12"/>
        <rFont val="Roboto"/>
      </rPr>
      <t>Hint</t>
    </r>
    <r>
      <rPr>
        <sz val="12"/>
        <rFont val="Roboto"/>
      </rPr>
      <t>: Try using the MID and the XLOOKUP functions.</t>
    </r>
  </si>
  <si>
    <t>Game 101's answer is between 0 and 4</t>
  </si>
  <si>
    <t>Game 102's answer is between 1 and 5</t>
  </si>
  <si>
    <t>Game 103's answer is between 2 and 5</t>
  </si>
  <si>
    <t>Direction</t>
  </si>
  <si>
    <t>Example6</t>
  </si>
  <si>
    <t>0001</t>
  </si>
  <si>
    <t>0010</t>
  </si>
  <si>
    <t>1000</t>
  </si>
  <si>
    <t>0100</t>
  </si>
  <si>
    <t>Level 7</t>
  </si>
  <si>
    <t>Pipin' 201, Henry Ford style</t>
  </si>
  <si>
    <t>Oh, it can get harder. Now you’re doing 10 pieces in a row!</t>
  </si>
  <si>
    <r>
      <t xml:space="preserve">You are given a sequence of 10 pipes and must determine which ones </t>
    </r>
    <r>
      <rPr>
        <b/>
        <u/>
        <sz val="12"/>
        <rFont val="Roboto"/>
      </rPr>
      <t>do not</t>
    </r>
    <r>
      <rPr>
        <b/>
        <sz val="12"/>
        <rFont val="Roboto"/>
      </rPr>
      <t xml:space="preserve"> connect to the previous pipe in the sequence.</t>
    </r>
  </si>
  <si>
    <t>For each connection, pipes can move up or down (but not rotated) and otherwise must remain in sequence.</t>
  </si>
  <si>
    <t>Each connection is independent of the previous one. Both pipes will always have both ends available to connect.</t>
  </si>
  <si>
    <r>
      <t xml:space="preserve">Answer with the </t>
    </r>
    <r>
      <rPr>
        <b/>
        <u/>
        <sz val="12"/>
        <rFont val="Roboto"/>
      </rPr>
      <t>sum</t>
    </r>
    <r>
      <rPr>
        <b/>
        <sz val="12"/>
        <rFont val="Roboto"/>
      </rPr>
      <t xml:space="preserve"> of the positions of the relevant pipes.</t>
    </r>
  </si>
  <si>
    <r>
      <rPr>
        <i/>
        <sz val="12"/>
        <rFont val="Roboto"/>
      </rPr>
      <t>Hint:</t>
    </r>
    <r>
      <rPr>
        <sz val="12"/>
        <rFont val="Roboto"/>
      </rPr>
      <t xml:space="preserve"> Pipe B cannot connect to Pipe A when </t>
    </r>
    <r>
      <rPr>
        <u/>
        <sz val="12"/>
        <rFont val="Roboto"/>
      </rPr>
      <t>none</t>
    </r>
    <r>
      <rPr>
        <sz val="12"/>
        <rFont val="Roboto"/>
      </rPr>
      <t xml:space="preserve"> of Pipe B's </t>
    </r>
    <r>
      <rPr>
        <u/>
        <sz val="12"/>
        <rFont val="Roboto"/>
      </rPr>
      <t>Connects From</t>
    </r>
    <r>
      <rPr>
        <sz val="12"/>
        <rFont val="Roboto"/>
      </rPr>
      <t xml:space="preserve"> non-zero mapping binary code values match Pipe A's </t>
    </r>
    <r>
      <rPr>
        <u/>
        <sz val="12"/>
        <rFont val="Roboto"/>
      </rPr>
      <t>Connects To</t>
    </r>
    <r>
      <rPr>
        <sz val="12"/>
        <rFont val="Roboto"/>
      </rPr>
      <t xml:space="preserve"> non-zero mapping code values.</t>
    </r>
  </si>
  <si>
    <t>Example7:</t>
  </si>
  <si>
    <t>━ in position 2 (Connects From 0011 ) can't connect to ┃ in position 1 (Connects To 1100), so include 2 (pipe #2) in the answer sum.</t>
  </si>
  <si>
    <t>┓ in position 4 (Connects From 1001), can't connect to ┓ in position 3 (Connects To 0110), so include 4 (pipe #4) in the answer sum.</t>
  </si>
  <si>
    <t>Lastly, ┗ in position 6 (Connects From 0110) can't connect to ┗ in position 5 (Connects To 1001), so include 6 (pipe #6) in the answer sum..</t>
  </si>
  <si>
    <t>All other pipes can connect without issue. The answer is 2 + 4 + 6 = 12.</t>
  </si>
  <si>
    <r>
      <rPr>
        <b/>
        <sz val="12"/>
        <rFont val="Roboto"/>
      </rPr>
      <t>Hint</t>
    </r>
    <r>
      <rPr>
        <sz val="12"/>
        <rFont val="Roboto"/>
      </rPr>
      <t>: Try using the XLOOKUP, SUM, and SUMIFS functions.</t>
    </r>
  </si>
  <si>
    <t>Game 121's answer is between 5 and 15</t>
  </si>
  <si>
    <t>Game 122's answer is between 18 and 28</t>
  </si>
  <si>
    <t>Game 123's answer is between 3 and 13</t>
  </si>
  <si>
    <t>Example7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</si>
  <si>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</si>
  <si>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</si>
  <si>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</si>
  <si>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</si>
  <si>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</si>
  <si>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</si>
  <si>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</si>
  <si>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</si>
  <si>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</si>
  <si>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</si>
  <si>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</si>
  <si>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</si>
  <si>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</si>
  <si>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</si>
  <si>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</si>
  <si>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</si>
  <si>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</si>
  <si>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</si>
  <si>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</si>
  <si>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</si>
  <si>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</si>
  <si>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</si>
  <si>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</si>
  <si>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</si>
  <si>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</si>
  <si>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</si>
  <si>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</si>
  <si>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</si>
  <si>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</si>
  <si>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</si>
  <si>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</si>
  <si>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</si>
  <si>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</si>
  <si>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</si>
  <si>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</si>
  <si>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</si>
  <si>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</si>
  <si>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</si>
  <si>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</si>
  <si>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</si>
  <si>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</si>
  <si>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</si>
  <si>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</si>
  <si>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</si>
  <si>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</si>
  <si>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</si>
  <si>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</si>
  <si>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</si>
  <si>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PipeMaze Contents by Cell Address</t>
  </si>
  <si>
    <t>Cell Address</t>
  </si>
  <si>
    <t>Contents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</si>
  <si>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</si>
  <si>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</si>
  <si>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</si>
  <si>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</si>
  <si>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</si>
  <si>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</si>
  <si>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</si>
  <si>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</si>
  <si>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</si>
  <si>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</si>
  <si>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</si>
  <si>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</si>
  <si>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</si>
  <si>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P3</t>
  </si>
  <si>
    <t>Q3</t>
  </si>
  <si>
    <t>R3</t>
  </si>
  <si>
    <t>S3</t>
  </si>
  <si>
    <t>T3</t>
  </si>
  <si>
    <t>U3</t>
  </si>
  <si>
    <t>V3</t>
  </si>
  <si>
    <t>W3</t>
  </si>
  <si>
    <t>X3</t>
  </si>
  <si>
    <t>Y3</t>
  </si>
  <si>
    <t>Z3</t>
  </si>
  <si>
    <t>AA3</t>
  </si>
  <si>
    <t>AB3</t>
  </si>
  <si>
    <t>AC3</t>
  </si>
  <si>
    <t>AD3</t>
  </si>
  <si>
    <t>AE3</t>
  </si>
  <si>
    <t>AF3</t>
  </si>
  <si>
    <t>AG3</t>
  </si>
  <si>
    <t>AH3</t>
  </si>
  <si>
    <t>AI3</t>
  </si>
  <si>
    <t>AJ3</t>
  </si>
  <si>
    <t>AK3</t>
  </si>
  <si>
    <t>AL3</t>
  </si>
  <si>
    <t>AM3</t>
  </si>
  <si>
    <t>AN3</t>
  </si>
  <si>
    <t>AO3</t>
  </si>
  <si>
    <t>AP3</t>
  </si>
  <si>
    <t>AQ3</t>
  </si>
  <si>
    <t>AR3</t>
  </si>
  <si>
    <t>AS3</t>
  </si>
  <si>
    <t>AT3</t>
  </si>
  <si>
    <t>AU3</t>
  </si>
  <si>
    <t>AV3</t>
  </si>
  <si>
    <t>AW3</t>
  </si>
  <si>
    <t>AX3</t>
  </si>
  <si>
    <t>C4</t>
  </si>
  <si>
    <t>D4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</si>
  <si>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</si>
  <si>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</si>
  <si>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</si>
  <si>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</si>
  <si>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</si>
  <si>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</si>
  <si>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</si>
  <si>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</si>
  <si>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</si>
  <si>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P4</t>
  </si>
  <si>
    <t>Q4</t>
  </si>
  <si>
    <t>R4</t>
  </si>
  <si>
    <t>S4</t>
  </si>
  <si>
    <t>T4</t>
  </si>
  <si>
    <t>U4</t>
  </si>
  <si>
    <t>V4</t>
  </si>
  <si>
    <t>W4</t>
  </si>
  <si>
    <t>X4</t>
  </si>
  <si>
    <t>Y4</t>
  </si>
  <si>
    <t>Z4</t>
  </si>
  <si>
    <t>AA4</t>
  </si>
  <si>
    <t>AB4</t>
  </si>
  <si>
    <t>AC4</t>
  </si>
  <si>
    <t>AD4</t>
  </si>
  <si>
    <t>AE4</t>
  </si>
  <si>
    <t>AF4</t>
  </si>
  <si>
    <t>AG4</t>
  </si>
  <si>
    <t>AH4</t>
  </si>
  <si>
    <t>AI4</t>
  </si>
  <si>
    <t>AJ4</t>
  </si>
  <si>
    <t>AK4</t>
  </si>
  <si>
    <t>AL4</t>
  </si>
  <si>
    <t>AM4</t>
  </si>
  <si>
    <t>AN4</t>
  </si>
  <si>
    <t>AO4</t>
  </si>
  <si>
    <t>AQ4</t>
  </si>
  <si>
    <t>AR4</t>
  </si>
  <si>
    <t>AS4</t>
  </si>
  <si>
    <t>AT4</t>
  </si>
  <si>
    <t>AU4</t>
  </si>
  <si>
    <t>AV4</t>
  </si>
  <si>
    <t>AW4</t>
  </si>
  <si>
    <t>AX4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</si>
  <si>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</si>
  <si>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</si>
  <si>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</si>
  <si>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</si>
  <si>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</si>
  <si>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</si>
  <si>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</si>
  <si>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</si>
  <si>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</si>
  <si>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</si>
  <si>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</si>
  <si>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</si>
  <si>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</si>
  <si>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P5</t>
  </si>
  <si>
    <t>Q5</t>
  </si>
  <si>
    <t>R5</t>
  </si>
  <si>
    <t>S5</t>
  </si>
  <si>
    <t>T5</t>
  </si>
  <si>
    <t>U5</t>
  </si>
  <si>
    <t>V5</t>
  </si>
  <si>
    <t>W5</t>
  </si>
  <si>
    <t>X5</t>
  </si>
  <si>
    <t>Y5</t>
  </si>
  <si>
    <t>Z5</t>
  </si>
  <si>
    <t>AA5</t>
  </si>
  <si>
    <t>AB5</t>
  </si>
  <si>
    <t>AC5</t>
  </si>
  <si>
    <t>AD5</t>
  </si>
  <si>
    <t>AE5</t>
  </si>
  <si>
    <t>AF5</t>
  </si>
  <si>
    <t>AG5</t>
  </si>
  <si>
    <t>AH5</t>
  </si>
  <si>
    <t>AJ5</t>
  </si>
  <si>
    <t>AK5</t>
  </si>
  <si>
    <t>AL5</t>
  </si>
  <si>
    <t>AM5</t>
  </si>
  <si>
    <t>AN5</t>
  </si>
  <si>
    <t>AO5</t>
  </si>
  <si>
    <t>AP5</t>
  </si>
  <si>
    <t>AQ5</t>
  </si>
  <si>
    <t>AR5</t>
  </si>
  <si>
    <t>AS5</t>
  </si>
  <si>
    <t>AT5</t>
  </si>
  <si>
    <t>AU5</t>
  </si>
  <si>
    <t>AV5</t>
  </si>
  <si>
    <t>AW5</t>
  </si>
  <si>
    <t>AX5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</si>
  <si>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</si>
  <si>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</si>
  <si>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</si>
  <si>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</si>
  <si>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</si>
  <si>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</si>
  <si>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</si>
  <si>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</si>
  <si>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</si>
  <si>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</si>
  <si>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</si>
  <si>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</si>
  <si>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</si>
  <si>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P6</t>
  </si>
  <si>
    <t>Q6</t>
  </si>
  <si>
    <t>R6</t>
  </si>
  <si>
    <t>S6</t>
  </si>
  <si>
    <t>T6</t>
  </si>
  <si>
    <t>U6</t>
  </si>
  <si>
    <t>V6</t>
  </si>
  <si>
    <t>W6</t>
  </si>
  <si>
    <t>X6</t>
  </si>
  <si>
    <t>Y6</t>
  </si>
  <si>
    <t>Z6</t>
  </si>
  <si>
    <t>AA6</t>
  </si>
  <si>
    <t>AB6</t>
  </si>
  <si>
    <t>AC6</t>
  </si>
  <si>
    <t>AD6</t>
  </si>
  <si>
    <t>AE6</t>
  </si>
  <si>
    <t>AF6</t>
  </si>
  <si>
    <t>AG6</t>
  </si>
  <si>
    <t>AH6</t>
  </si>
  <si>
    <t>AI6</t>
  </si>
  <si>
    <t>AJ6</t>
  </si>
  <si>
    <t>AK6</t>
  </si>
  <si>
    <t>AL6</t>
  </si>
  <si>
    <t>AM6</t>
  </si>
  <si>
    <t>AN6</t>
  </si>
  <si>
    <t>AO6</t>
  </si>
  <si>
    <t>AP6</t>
  </si>
  <si>
    <t>AQ6</t>
  </si>
  <si>
    <t>AR6</t>
  </si>
  <si>
    <t>AS6</t>
  </si>
  <si>
    <t>AT6</t>
  </si>
  <si>
    <t>AU6</t>
  </si>
  <si>
    <t>AV6</t>
  </si>
  <si>
    <t>AW6</t>
  </si>
  <si>
    <t>AX6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</si>
  <si>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</si>
  <si>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</si>
  <si>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</si>
  <si>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</si>
  <si>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</si>
  <si>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</si>
  <si>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</si>
  <si>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</si>
  <si>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</si>
  <si>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</si>
  <si>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</si>
  <si>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</si>
  <si>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</si>
  <si>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P7</t>
  </si>
  <si>
    <t>R7</t>
  </si>
  <si>
    <t>S7</t>
  </si>
  <si>
    <t>T7</t>
  </si>
  <si>
    <t>U7</t>
  </si>
  <si>
    <t>V7</t>
  </si>
  <si>
    <t>W7</t>
  </si>
  <si>
    <t>X7</t>
  </si>
  <si>
    <t>Y7</t>
  </si>
  <si>
    <t>Z7</t>
  </si>
  <si>
    <t>AA7</t>
  </si>
  <si>
    <t>AB7</t>
  </si>
  <si>
    <t>AC7</t>
  </si>
  <si>
    <t>AD7</t>
  </si>
  <si>
    <t>AE7</t>
  </si>
  <si>
    <t>AF7</t>
  </si>
  <si>
    <t>AG7</t>
  </si>
  <si>
    <t>AH7</t>
  </si>
  <si>
    <t>AI7</t>
  </si>
  <si>
    <t>AJ7</t>
  </si>
  <si>
    <t>AK7</t>
  </si>
  <si>
    <t>AL7</t>
  </si>
  <si>
    <t>AM7</t>
  </si>
  <si>
    <t>AN7</t>
  </si>
  <si>
    <t>AO7</t>
  </si>
  <si>
    <t>AP7</t>
  </si>
  <si>
    <t>AQ7</t>
  </si>
  <si>
    <t>AR7</t>
  </si>
  <si>
    <t>AS7</t>
  </si>
  <si>
    <t>AT7</t>
  </si>
  <si>
    <t>AU7</t>
  </si>
  <si>
    <t>AV7</t>
  </si>
  <si>
    <t>AW7</t>
  </si>
  <si>
    <t>AX7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</si>
  <si>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</si>
  <si>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</si>
  <si>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</si>
  <si>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</si>
  <si>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</si>
  <si>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</si>
  <si>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</si>
  <si>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</si>
  <si>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</si>
  <si>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</si>
  <si>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</si>
  <si>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</si>
  <si>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</si>
  <si>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P8</t>
  </si>
  <si>
    <t>Q8</t>
  </si>
  <si>
    <t>R8</t>
  </si>
  <si>
    <t>S8</t>
  </si>
  <si>
    <t>T8</t>
  </si>
  <si>
    <t>U8</t>
  </si>
  <si>
    <t>V8</t>
  </si>
  <si>
    <t>W8</t>
  </si>
  <si>
    <t>X8</t>
  </si>
  <si>
    <t>Y8</t>
  </si>
  <si>
    <t>Z8</t>
  </si>
  <si>
    <t>AA8</t>
  </si>
  <si>
    <t>AB8</t>
  </si>
  <si>
    <t>AC8</t>
  </si>
  <si>
    <t>AD8</t>
  </si>
  <si>
    <t>AE8</t>
  </si>
  <si>
    <t>AF8</t>
  </si>
  <si>
    <t>AG8</t>
  </si>
  <si>
    <t>AH8</t>
  </si>
  <si>
    <t>AI8</t>
  </si>
  <si>
    <t>AJ8</t>
  </si>
  <si>
    <t>AK8</t>
  </si>
  <si>
    <t>AL8</t>
  </si>
  <si>
    <t>AM8</t>
  </si>
  <si>
    <t>AN8</t>
  </si>
  <si>
    <t>AO8</t>
  </si>
  <si>
    <t>AP8</t>
  </si>
  <si>
    <t>AQ8</t>
  </si>
  <si>
    <t>AR8</t>
  </si>
  <si>
    <t>AS8</t>
  </si>
  <si>
    <t>AT8</t>
  </si>
  <si>
    <t>AU8</t>
  </si>
  <si>
    <t>AV8</t>
  </si>
  <si>
    <t>AW8</t>
  </si>
  <si>
    <t>AX8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</si>
  <si>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</si>
  <si>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</si>
  <si>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</si>
  <si>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</si>
  <si>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</si>
  <si>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</si>
  <si>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</si>
  <si>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</si>
  <si>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</si>
  <si>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</si>
  <si>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</si>
  <si>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</si>
  <si>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</si>
  <si>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P9</t>
  </si>
  <si>
    <t>Q9</t>
  </si>
  <si>
    <t>R9</t>
  </si>
  <si>
    <t>S9</t>
  </si>
  <si>
    <t>T9</t>
  </si>
  <si>
    <t>U9</t>
  </si>
  <si>
    <t>V9</t>
  </si>
  <si>
    <t>W9</t>
  </si>
  <si>
    <t>X9</t>
  </si>
  <si>
    <t>Y9</t>
  </si>
  <si>
    <t>Z9</t>
  </si>
  <si>
    <t>AA9</t>
  </si>
  <si>
    <t>AB9</t>
  </si>
  <si>
    <t>AC9</t>
  </si>
  <si>
    <t>AD9</t>
  </si>
  <si>
    <t>AE9</t>
  </si>
  <si>
    <t>AF9</t>
  </si>
  <si>
    <t>AG9</t>
  </si>
  <si>
    <t>AH9</t>
  </si>
  <si>
    <t>AI9</t>
  </si>
  <si>
    <t>AJ9</t>
  </si>
  <si>
    <t>AK9</t>
  </si>
  <si>
    <t>AL9</t>
  </si>
  <si>
    <t>AM9</t>
  </si>
  <si>
    <t>AN9</t>
  </si>
  <si>
    <t>AO9</t>
  </si>
  <si>
    <t>AP9</t>
  </si>
  <si>
    <t>AQ9</t>
  </si>
  <si>
    <t>AR9</t>
  </si>
  <si>
    <t>AS9</t>
  </si>
  <si>
    <t>AT9</t>
  </si>
  <si>
    <t>AU9</t>
  </si>
  <si>
    <t>AV9</t>
  </si>
  <si>
    <t>AW9</t>
  </si>
  <si>
    <t>AX9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</si>
  <si>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</si>
  <si>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</si>
  <si>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</si>
  <si>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</si>
  <si>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</si>
  <si>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</si>
  <si>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</si>
  <si>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</si>
  <si>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</si>
  <si>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</si>
  <si>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</si>
  <si>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</si>
  <si>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</si>
  <si>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P10</t>
  </si>
  <si>
    <t>Q10</t>
  </si>
  <si>
    <t>R10</t>
  </si>
  <si>
    <t>S10</t>
  </si>
  <si>
    <t>T10</t>
  </si>
  <si>
    <t>U10</t>
  </si>
  <si>
    <t>V10</t>
  </si>
  <si>
    <t>W10</t>
  </si>
  <si>
    <t>X10</t>
  </si>
  <si>
    <t>Y10</t>
  </si>
  <si>
    <t>Z10</t>
  </si>
  <si>
    <t>AA10</t>
  </si>
  <si>
    <t>AB10</t>
  </si>
  <si>
    <t>AC10</t>
  </si>
  <si>
    <t>AD10</t>
  </si>
  <si>
    <t>AE10</t>
  </si>
  <si>
    <t>AF10</t>
  </si>
  <si>
    <t>AG10</t>
  </si>
  <si>
    <t>AH10</t>
  </si>
  <si>
    <t>AI10</t>
  </si>
  <si>
    <t>AJ10</t>
  </si>
  <si>
    <t>AK10</t>
  </si>
  <si>
    <t>AL10</t>
  </si>
  <si>
    <t>AM10</t>
  </si>
  <si>
    <t>AN10</t>
  </si>
  <si>
    <t>AO10</t>
  </si>
  <si>
    <t>AP10</t>
  </si>
  <si>
    <t>AQ10</t>
  </si>
  <si>
    <t>AR10</t>
  </si>
  <si>
    <t>AS10</t>
  </si>
  <si>
    <t>AT10</t>
  </si>
  <si>
    <t>AU10</t>
  </si>
  <si>
    <t>AV10</t>
  </si>
  <si>
    <t>AW10</t>
  </si>
  <si>
    <t>AX10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</si>
  <si>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</si>
  <si>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</si>
  <si>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</si>
  <si>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</si>
  <si>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</si>
  <si>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</si>
  <si>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</si>
  <si>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</si>
  <si>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</si>
  <si>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</si>
  <si>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</si>
  <si>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</si>
  <si>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</si>
  <si>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P11</t>
  </si>
  <si>
    <t>Q11</t>
  </si>
  <si>
    <t>R11</t>
  </si>
  <si>
    <t>S11</t>
  </si>
  <si>
    <t>T11</t>
  </si>
  <si>
    <t>U11</t>
  </si>
  <si>
    <t>V11</t>
  </si>
  <si>
    <t>W11</t>
  </si>
  <si>
    <t>X11</t>
  </si>
  <si>
    <t>Y11</t>
  </si>
  <si>
    <t>Z11</t>
  </si>
  <si>
    <t>AA11</t>
  </si>
  <si>
    <t>AB11</t>
  </si>
  <si>
    <t>AC11</t>
  </si>
  <si>
    <t>AD11</t>
  </si>
  <si>
    <t>AE11</t>
  </si>
  <si>
    <t>AF11</t>
  </si>
  <si>
    <t>AG11</t>
  </si>
  <si>
    <t>AH11</t>
  </si>
  <si>
    <t>AI11</t>
  </si>
  <si>
    <t>AJ11</t>
  </si>
  <si>
    <t>AK11</t>
  </si>
  <si>
    <t>AL11</t>
  </si>
  <si>
    <t>AM11</t>
  </si>
  <si>
    <t>AN11</t>
  </si>
  <si>
    <t>AO11</t>
  </si>
  <si>
    <t>AP11</t>
  </si>
  <si>
    <t>AQ11</t>
  </si>
  <si>
    <t>AR11</t>
  </si>
  <si>
    <t>AS11</t>
  </si>
  <si>
    <t>AT11</t>
  </si>
  <si>
    <t>AU11</t>
  </si>
  <si>
    <t>AV11</t>
  </si>
  <si>
    <t>AW11</t>
  </si>
  <si>
    <t>AX11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</si>
  <si>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</si>
  <si>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</si>
  <si>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</si>
  <si>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</si>
  <si>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</si>
  <si>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</si>
  <si>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</si>
  <si>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</si>
  <si>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</si>
  <si>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</si>
  <si>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</si>
  <si>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</si>
  <si>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</si>
  <si>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P12</t>
  </si>
  <si>
    <t>Q12</t>
  </si>
  <si>
    <t>R12</t>
  </si>
  <si>
    <t>S12</t>
  </si>
  <si>
    <t>T12</t>
  </si>
  <si>
    <t>U12</t>
  </si>
  <si>
    <t>V12</t>
  </si>
  <si>
    <t>W12</t>
  </si>
  <si>
    <t>X12</t>
  </si>
  <si>
    <t>Y12</t>
  </si>
  <si>
    <t>Z12</t>
  </si>
  <si>
    <t>AA12</t>
  </si>
  <si>
    <t>AB12</t>
  </si>
  <si>
    <t>AC12</t>
  </si>
  <si>
    <t>AD12</t>
  </si>
  <si>
    <t>AE12</t>
  </si>
  <si>
    <t>AF12</t>
  </si>
  <si>
    <t>AG12</t>
  </si>
  <si>
    <t>AH12</t>
  </si>
  <si>
    <t>AI12</t>
  </si>
  <si>
    <t>AJ12</t>
  </si>
  <si>
    <t>AK12</t>
  </si>
  <si>
    <t>AL12</t>
  </si>
  <si>
    <t>AM12</t>
  </si>
  <si>
    <t>AN12</t>
  </si>
  <si>
    <t>AO12</t>
  </si>
  <si>
    <t>AP12</t>
  </si>
  <si>
    <t>AQ12</t>
  </si>
  <si>
    <t>AR12</t>
  </si>
  <si>
    <t>AS12</t>
  </si>
  <si>
    <t>AT12</t>
  </si>
  <si>
    <t>AU12</t>
  </si>
  <si>
    <t>AV12</t>
  </si>
  <si>
    <t>AW12</t>
  </si>
  <si>
    <t>AX12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</si>
  <si>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</si>
  <si>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</si>
  <si>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</si>
  <si>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</si>
  <si>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</si>
  <si>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</si>
  <si>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</si>
  <si>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</si>
  <si>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</si>
  <si>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</si>
  <si>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</si>
  <si>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</si>
  <si>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</si>
  <si>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P13</t>
  </si>
  <si>
    <t>Q13</t>
  </si>
  <si>
    <t>R13</t>
  </si>
  <si>
    <t>S13</t>
  </si>
  <si>
    <t>T13</t>
  </si>
  <si>
    <t>U13</t>
  </si>
  <si>
    <t>V13</t>
  </si>
  <si>
    <t>W13</t>
  </si>
  <si>
    <t>X13</t>
  </si>
  <si>
    <t>Y13</t>
  </si>
  <si>
    <t>Z13</t>
  </si>
  <si>
    <t>AA13</t>
  </si>
  <si>
    <t>AB13</t>
  </si>
  <si>
    <t>AC13</t>
  </si>
  <si>
    <t>AD13</t>
  </si>
  <si>
    <t>AE13</t>
  </si>
  <si>
    <t>AF13</t>
  </si>
  <si>
    <t>AG13</t>
  </si>
  <si>
    <t>AH13</t>
  </si>
  <si>
    <t>AI13</t>
  </si>
  <si>
    <t>AJ13</t>
  </si>
  <si>
    <t>AK13</t>
  </si>
  <si>
    <t>AL13</t>
  </si>
  <si>
    <t>AM13</t>
  </si>
  <si>
    <t>AN13</t>
  </si>
  <si>
    <t>AO13</t>
  </si>
  <si>
    <t>AP13</t>
  </si>
  <si>
    <t>AQ13</t>
  </si>
  <si>
    <t>AR13</t>
  </si>
  <si>
    <t>AS13</t>
  </si>
  <si>
    <t>AT13</t>
  </si>
  <si>
    <t>AU13</t>
  </si>
  <si>
    <t>AV13</t>
  </si>
  <si>
    <t>AW13</t>
  </si>
  <si>
    <t>AX13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</si>
  <si>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</si>
  <si>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</si>
  <si>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</si>
  <si>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</si>
  <si>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</si>
  <si>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</si>
  <si>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</si>
  <si>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</si>
  <si>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</si>
  <si>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</si>
  <si>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</si>
  <si>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</si>
  <si>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</si>
  <si>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P14</t>
  </si>
  <si>
    <t>Q14</t>
  </si>
  <si>
    <t>R14</t>
  </si>
  <si>
    <t>S14</t>
  </si>
  <si>
    <t>T14</t>
  </si>
  <si>
    <t>U14</t>
  </si>
  <si>
    <t>V14</t>
  </si>
  <si>
    <t>W14</t>
  </si>
  <si>
    <t>X14</t>
  </si>
  <si>
    <t>Y14</t>
  </si>
  <si>
    <t>Z14</t>
  </si>
  <si>
    <t>AA14</t>
  </si>
  <si>
    <t>AB14</t>
  </si>
  <si>
    <t>AC14</t>
  </si>
  <si>
    <t>AD14</t>
  </si>
  <si>
    <t>AE14</t>
  </si>
  <si>
    <t>AF14</t>
  </si>
  <si>
    <t>AG14</t>
  </si>
  <si>
    <t>AH14</t>
  </si>
  <si>
    <t>AI14</t>
  </si>
  <si>
    <t>AJ14</t>
  </si>
  <si>
    <t>AK14</t>
  </si>
  <si>
    <t>AL14</t>
  </si>
  <si>
    <t>AM14</t>
  </si>
  <si>
    <t>AN14</t>
  </si>
  <si>
    <t>AO14</t>
  </si>
  <si>
    <t>AP14</t>
  </si>
  <si>
    <t>AQ14</t>
  </si>
  <si>
    <t>AR14</t>
  </si>
  <si>
    <t>AS14</t>
  </si>
  <si>
    <t>AT14</t>
  </si>
  <si>
    <t>AU14</t>
  </si>
  <si>
    <t>AV14</t>
  </si>
  <si>
    <t>AW14</t>
  </si>
  <si>
    <t>AX14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</si>
  <si>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</si>
  <si>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</si>
  <si>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</si>
  <si>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</si>
  <si>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</si>
  <si>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</si>
  <si>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</si>
  <si>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</si>
  <si>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</si>
  <si>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</si>
  <si>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</si>
  <si>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</si>
  <si>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</si>
  <si>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P15</t>
  </si>
  <si>
    <t>Q15</t>
  </si>
  <si>
    <t>R15</t>
  </si>
  <si>
    <t>S15</t>
  </si>
  <si>
    <t>T15</t>
  </si>
  <si>
    <t>U15</t>
  </si>
  <si>
    <t>V15</t>
  </si>
  <si>
    <t>W15</t>
  </si>
  <si>
    <t>X15</t>
  </si>
  <si>
    <t>Y15</t>
  </si>
  <si>
    <t>Z15</t>
  </si>
  <si>
    <t>AA15</t>
  </si>
  <si>
    <t>AB15</t>
  </si>
  <si>
    <t>AC15</t>
  </si>
  <si>
    <t>AD15</t>
  </si>
  <si>
    <t>AE15</t>
  </si>
  <si>
    <t>AF15</t>
  </si>
  <si>
    <t>AG15</t>
  </si>
  <si>
    <t>AH15</t>
  </si>
  <si>
    <t>AI15</t>
  </si>
  <si>
    <t>AJ15</t>
  </si>
  <si>
    <t>AK15</t>
  </si>
  <si>
    <t>AM15</t>
  </si>
  <si>
    <t>AN15</t>
  </si>
  <si>
    <t>AO15</t>
  </si>
  <si>
    <t>AP15</t>
  </si>
  <si>
    <t>AQ15</t>
  </si>
  <si>
    <t>AR15</t>
  </si>
  <si>
    <t>AS15</t>
  </si>
  <si>
    <t>AT15</t>
  </si>
  <si>
    <t>AU15</t>
  </si>
  <si>
    <t>AV15</t>
  </si>
  <si>
    <t>AW15</t>
  </si>
  <si>
    <t>AX15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</si>
  <si>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</si>
  <si>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</si>
  <si>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</si>
  <si>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</si>
  <si>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</si>
  <si>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</si>
  <si>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</si>
  <si>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</si>
  <si>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</si>
  <si>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</si>
  <si>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</si>
  <si>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</si>
  <si>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</si>
  <si>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P16</t>
  </si>
  <si>
    <t>Q16</t>
  </si>
  <si>
    <t>R16</t>
  </si>
  <si>
    <t>S16</t>
  </si>
  <si>
    <t>T16</t>
  </si>
  <si>
    <t>U16</t>
  </si>
  <si>
    <t>V16</t>
  </si>
  <si>
    <t>W16</t>
  </si>
  <si>
    <t>X16</t>
  </si>
  <si>
    <t>Y16</t>
  </si>
  <si>
    <t>Z16</t>
  </si>
  <si>
    <t>AA16</t>
  </si>
  <si>
    <t>AB16</t>
  </si>
  <si>
    <t>AC16</t>
  </si>
  <si>
    <t>AD16</t>
  </si>
  <si>
    <t>AE16</t>
  </si>
  <si>
    <t>AF16</t>
  </si>
  <si>
    <t>AG16</t>
  </si>
  <si>
    <t>AH16</t>
  </si>
  <si>
    <t>AI16</t>
  </si>
  <si>
    <t>AJ16</t>
  </si>
  <si>
    <t>AK16</t>
  </si>
  <si>
    <t>AL16</t>
  </si>
  <si>
    <t>AM16</t>
  </si>
  <si>
    <t>AN16</t>
  </si>
  <si>
    <t>AO16</t>
  </si>
  <si>
    <t>AP16</t>
  </si>
  <si>
    <t>AQ16</t>
  </si>
  <si>
    <t>AR16</t>
  </si>
  <si>
    <t>AS16</t>
  </si>
  <si>
    <t>AT16</t>
  </si>
  <si>
    <t>AU16</t>
  </si>
  <si>
    <t>AV16</t>
  </si>
  <si>
    <t>AW16</t>
  </si>
  <si>
    <t>AX16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</si>
  <si>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</si>
  <si>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</si>
  <si>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</si>
  <si>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</si>
  <si>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</si>
  <si>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</si>
  <si>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</si>
  <si>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</si>
  <si>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</si>
  <si>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</si>
  <si>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</si>
  <si>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</si>
  <si>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</si>
  <si>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P17</t>
  </si>
  <si>
    <t>Q17</t>
  </si>
  <si>
    <t>R17</t>
  </si>
  <si>
    <t>S17</t>
  </si>
  <si>
    <t>T17</t>
  </si>
  <si>
    <t>U17</t>
  </si>
  <si>
    <t>V17</t>
  </si>
  <si>
    <t>W17</t>
  </si>
  <si>
    <t>X17</t>
  </si>
  <si>
    <t>Y17</t>
  </si>
  <si>
    <t>Z17</t>
  </si>
  <si>
    <t>AA17</t>
  </si>
  <si>
    <t>AB17</t>
  </si>
  <si>
    <t>AC17</t>
  </si>
  <si>
    <t>AD17</t>
  </si>
  <si>
    <t>AE17</t>
  </si>
  <si>
    <t>AF17</t>
  </si>
  <si>
    <t>AG17</t>
  </si>
  <si>
    <t>AH17</t>
  </si>
  <si>
    <t>AI17</t>
  </si>
  <si>
    <t>AJ17</t>
  </si>
  <si>
    <t>AL17</t>
  </si>
  <si>
    <t>AM17</t>
  </si>
  <si>
    <t>AN17</t>
  </si>
  <si>
    <t>AO17</t>
  </si>
  <si>
    <t>AP17</t>
  </si>
  <si>
    <t>AQ17</t>
  </si>
  <si>
    <t>AR17</t>
  </si>
  <si>
    <t>AS17</t>
  </si>
  <si>
    <t>AT17</t>
  </si>
  <si>
    <t>AU17</t>
  </si>
  <si>
    <t>AV17</t>
  </si>
  <si>
    <t>AW17</t>
  </si>
  <si>
    <t>AX17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</si>
  <si>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</si>
  <si>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</si>
  <si>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</si>
  <si>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</si>
  <si>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</si>
  <si>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</si>
  <si>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</si>
  <si>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</si>
  <si>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</si>
  <si>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</si>
  <si>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</si>
  <si>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</si>
  <si>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</si>
  <si>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P18</t>
  </si>
  <si>
    <t>Q18</t>
  </si>
  <si>
    <t>R18</t>
  </si>
  <si>
    <t>S18</t>
  </si>
  <si>
    <t>T18</t>
  </si>
  <si>
    <t>U18</t>
  </si>
  <si>
    <t>V18</t>
  </si>
  <si>
    <t>W18</t>
  </si>
  <si>
    <t>X18</t>
  </si>
  <si>
    <t>Y18</t>
  </si>
  <si>
    <t>Z18</t>
  </si>
  <si>
    <t>AA18</t>
  </si>
  <si>
    <t>AB18</t>
  </si>
  <si>
    <t>AC18</t>
  </si>
  <si>
    <t>AD18</t>
  </si>
  <si>
    <t>AE18</t>
  </si>
  <si>
    <t>AF18</t>
  </si>
  <si>
    <t>AG18</t>
  </si>
  <si>
    <t>AH18</t>
  </si>
  <si>
    <t>AI18</t>
  </si>
  <si>
    <t>AJ18</t>
  </si>
  <si>
    <t>AK18</t>
  </si>
  <si>
    <t>AL18</t>
  </si>
  <si>
    <t>AM18</t>
  </si>
  <si>
    <t>AN18</t>
  </si>
  <si>
    <t>AO18</t>
  </si>
  <si>
    <t>AP18</t>
  </si>
  <si>
    <t>AQ18</t>
  </si>
  <si>
    <t>AR18</t>
  </si>
  <si>
    <t>AS18</t>
  </si>
  <si>
    <t>AT18</t>
  </si>
  <si>
    <t>AU18</t>
  </si>
  <si>
    <t>AV18</t>
  </si>
  <si>
    <t>AX18</t>
  </si>
  <si>
    <t>C19</t>
  </si>
  <si>
    <t>D19</t>
  </si>
  <si>
    <t>E19</t>
  </si>
  <si>
    <t>F19</t>
  </si>
  <si>
    <t>G19</t>
  </si>
  <si>
    <t>H19</t>
  </si>
  <si>
    <t>J19</t>
  </si>
  <si>
    <t>K19</t>
  </si>
  <si>
    <t>L19</t>
  </si>
  <si>
    <t>M19</t>
  </si>
  <si>
    <t>N19</t>
  </si>
  <si>
    <t>O19</t>
  </si>
  <si>
    <t>P19</t>
  </si>
  <si>
    <t>Q19</t>
  </si>
  <si>
    <t>R19</t>
  </si>
  <si>
    <t>S19</t>
  </si>
  <si>
    <t>T19</t>
  </si>
  <si>
    <t>U19</t>
  </si>
  <si>
    <t>V19</t>
  </si>
  <si>
    <t>W19</t>
  </si>
  <si>
    <t>X19</t>
  </si>
  <si>
    <t>Y19</t>
  </si>
  <si>
    <t>Z19</t>
  </si>
  <si>
    <t>AA19</t>
  </si>
  <si>
    <t>AB19</t>
  </si>
  <si>
    <t>AC19</t>
  </si>
  <si>
    <t>AD19</t>
  </si>
  <si>
    <t>AE19</t>
  </si>
  <si>
    <t>AF19</t>
  </si>
  <si>
    <t>AG19</t>
  </si>
  <si>
    <t>AH19</t>
  </si>
  <si>
    <t>AI19</t>
  </si>
  <si>
    <t>AJ19</t>
  </si>
  <si>
    <t>AK19</t>
  </si>
  <si>
    <t>AL19</t>
  </si>
  <si>
    <t>AM19</t>
  </si>
  <si>
    <t>AN19</t>
  </si>
  <si>
    <t>AO19</t>
  </si>
  <si>
    <t>AP19</t>
  </si>
  <si>
    <t>AQ19</t>
  </si>
  <si>
    <t>AR19</t>
  </si>
  <si>
    <t>AS19</t>
  </si>
  <si>
    <t>AT19</t>
  </si>
  <si>
    <t>AU19</t>
  </si>
  <si>
    <t>AV19</t>
  </si>
  <si>
    <t>AW19</t>
  </si>
  <si>
    <t>AX19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</si>
  <si>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</si>
  <si>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</si>
  <si>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</si>
  <si>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</si>
  <si>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</si>
  <si>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</si>
  <si>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</si>
  <si>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</si>
  <si>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</si>
  <si>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</si>
  <si>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</si>
  <si>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</si>
  <si>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</si>
  <si>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P20</t>
  </si>
  <si>
    <t>Q20</t>
  </si>
  <si>
    <t>R20</t>
  </si>
  <si>
    <t>S20</t>
  </si>
  <si>
    <t>T20</t>
  </si>
  <si>
    <t>U20</t>
  </si>
  <si>
    <t>V20</t>
  </si>
  <si>
    <t>W20</t>
  </si>
  <si>
    <t>X20</t>
  </si>
  <si>
    <t>Y20</t>
  </si>
  <si>
    <t>Z20</t>
  </si>
  <si>
    <t>AA20</t>
  </si>
  <si>
    <t>AB20</t>
  </si>
  <si>
    <t>AC20</t>
  </si>
  <si>
    <t>AD20</t>
  </si>
  <si>
    <t>AE20</t>
  </si>
  <si>
    <t>AF20</t>
  </si>
  <si>
    <t>AG20</t>
  </si>
  <si>
    <t>AH20</t>
  </si>
  <si>
    <t>AI20</t>
  </si>
  <si>
    <t>AJ20</t>
  </si>
  <si>
    <t>AK20</t>
  </si>
  <si>
    <t>AL20</t>
  </si>
  <si>
    <t>AM20</t>
  </si>
  <si>
    <t>AN20</t>
  </si>
  <si>
    <t>AO20</t>
  </si>
  <si>
    <t>AP20</t>
  </si>
  <si>
    <t>AQ20</t>
  </si>
  <si>
    <t>AR20</t>
  </si>
  <si>
    <t>AS20</t>
  </si>
  <si>
    <t>AT20</t>
  </si>
  <si>
    <t>AU20</t>
  </si>
  <si>
    <t>AV20</t>
  </si>
  <si>
    <t>AW20</t>
  </si>
  <si>
    <t>AX20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</si>
  <si>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</si>
  <si>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</si>
  <si>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</si>
  <si>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</si>
  <si>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</si>
  <si>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</si>
  <si>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</si>
  <si>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</si>
  <si>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</si>
  <si>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</si>
  <si>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</si>
  <si>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</si>
  <si>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</si>
  <si>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Q21</t>
  </si>
  <si>
    <t>R21</t>
  </si>
  <si>
    <t>S21</t>
  </si>
  <si>
    <t>T21</t>
  </si>
  <si>
    <t>U21</t>
  </si>
  <si>
    <t>V21</t>
  </si>
  <si>
    <t>W21</t>
  </si>
  <si>
    <t>X21</t>
  </si>
  <si>
    <t>Y21</t>
  </si>
  <si>
    <t>Z21</t>
  </si>
  <si>
    <t>AA21</t>
  </si>
  <si>
    <t>AB21</t>
  </si>
  <si>
    <t>AC21</t>
  </si>
  <si>
    <t>AD21</t>
  </si>
  <si>
    <t>AE21</t>
  </si>
  <si>
    <t>AF21</t>
  </si>
  <si>
    <t>AG21</t>
  </si>
  <si>
    <t>AH21</t>
  </si>
  <si>
    <t>AI21</t>
  </si>
  <si>
    <t>AJ21</t>
  </si>
  <si>
    <t>AK21</t>
  </si>
  <si>
    <t>AL21</t>
  </si>
  <si>
    <t>AM21</t>
  </si>
  <si>
    <t>AN21</t>
  </si>
  <si>
    <t>AO21</t>
  </si>
  <si>
    <t>AP21</t>
  </si>
  <si>
    <t>AQ21</t>
  </si>
  <si>
    <t>AR21</t>
  </si>
  <si>
    <t>AS21</t>
  </si>
  <si>
    <t>AT21</t>
  </si>
  <si>
    <t>AU21</t>
  </si>
  <si>
    <t>AV21</t>
  </si>
  <si>
    <t>AW21</t>
  </si>
  <si>
    <t>AX21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</si>
  <si>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</si>
  <si>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</si>
  <si>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</si>
  <si>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</si>
  <si>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</si>
  <si>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</si>
  <si>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</si>
  <si>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</si>
  <si>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</si>
  <si>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</si>
  <si>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</si>
  <si>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</si>
  <si>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</si>
  <si>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P22</t>
  </si>
  <si>
    <t>Q22</t>
  </si>
  <si>
    <t>R22</t>
  </si>
  <si>
    <t>S22</t>
  </si>
  <si>
    <t>T22</t>
  </si>
  <si>
    <t>U22</t>
  </si>
  <si>
    <t>V22</t>
  </si>
  <si>
    <t>W22</t>
  </si>
  <si>
    <t>X22</t>
  </si>
  <si>
    <t>Y22</t>
  </si>
  <si>
    <t>Z22</t>
  </si>
  <si>
    <t>AA22</t>
  </si>
  <si>
    <t>AB22</t>
  </si>
  <si>
    <t>AC22</t>
  </si>
  <si>
    <t>AD22</t>
  </si>
  <si>
    <t>AF22</t>
  </si>
  <si>
    <t>AG22</t>
  </si>
  <si>
    <t>AH22</t>
  </si>
  <si>
    <t>AI22</t>
  </si>
  <si>
    <t>AJ22</t>
  </si>
  <si>
    <t>AK22</t>
  </si>
  <si>
    <t>AL22</t>
  </si>
  <si>
    <t>AM22</t>
  </si>
  <si>
    <t>AN22</t>
  </si>
  <si>
    <t>AO22</t>
  </si>
  <si>
    <t>AP22</t>
  </si>
  <si>
    <t>AQ22</t>
  </si>
  <si>
    <t>AR22</t>
  </si>
  <si>
    <t>AS22</t>
  </si>
  <si>
    <t>AT22</t>
  </si>
  <si>
    <t>AU22</t>
  </si>
  <si>
    <t>AV22</t>
  </si>
  <si>
    <t>AW22</t>
  </si>
  <si>
    <t>AX22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</si>
  <si>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</si>
  <si>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</si>
  <si>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</si>
  <si>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</si>
  <si>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</si>
  <si>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</si>
  <si>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</si>
  <si>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</si>
  <si>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</si>
  <si>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</si>
  <si>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</si>
  <si>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</si>
  <si>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</si>
  <si>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P23</t>
  </si>
  <si>
    <t>Q23</t>
  </si>
  <si>
    <t>R23</t>
  </si>
  <si>
    <t>S23</t>
  </si>
  <si>
    <t>T23</t>
  </si>
  <si>
    <t>U23</t>
  </si>
  <si>
    <t>V23</t>
  </si>
  <si>
    <t>W23</t>
  </si>
  <si>
    <t>X23</t>
  </si>
  <si>
    <t>Y23</t>
  </si>
  <si>
    <t>Z23</t>
  </si>
  <si>
    <t>AA23</t>
  </si>
  <si>
    <t>AB23</t>
  </si>
  <si>
    <t>AC23</t>
  </si>
  <si>
    <t>AD23</t>
  </si>
  <si>
    <t>AE23</t>
  </si>
  <si>
    <t>AF23</t>
  </si>
  <si>
    <t>AG23</t>
  </si>
  <si>
    <t>AH23</t>
  </si>
  <si>
    <t>AI23</t>
  </si>
  <si>
    <t>AJ23</t>
  </si>
  <si>
    <t>AK23</t>
  </si>
  <si>
    <t>AL23</t>
  </si>
  <si>
    <t>AM23</t>
  </si>
  <si>
    <t>AO23</t>
  </si>
  <si>
    <t>AP23</t>
  </si>
  <si>
    <t>AQ23</t>
  </si>
  <si>
    <t>AR23</t>
  </si>
  <si>
    <t>AS23</t>
  </si>
  <si>
    <t>AT23</t>
  </si>
  <si>
    <t>AU23</t>
  </si>
  <si>
    <t>AV23</t>
  </si>
  <si>
    <t>AW23</t>
  </si>
  <si>
    <t>AX23</t>
  </si>
  <si>
    <t>C24</t>
  </si>
  <si>
    <t>D24</t>
  </si>
  <si>
    <t>E24</t>
  </si>
  <si>
    <t>F24</t>
  </si>
  <si>
    <t>G24</t>
  </si>
  <si>
    <t>H24</t>
  </si>
  <si>
    <t>I24</t>
  </si>
  <si>
    <t>J24</t>
  </si>
  <si>
    <t>K24</t>
  </si>
  <si>
    <t>L24</t>
  </si>
  <si>
    <t>M24</t>
  </si>
  <si>
    <t>N24</t>
  </si>
  <si>
    <t>O24</t>
  </si>
  <si>
    <t>P24</t>
  </si>
  <si>
    <t>Q24</t>
  </si>
  <si>
    <t>R24</t>
  </si>
  <si>
    <t>S24</t>
  </si>
  <si>
    <t>T24</t>
  </si>
  <si>
    <t>U24</t>
  </si>
  <si>
    <t>V24</t>
  </si>
  <si>
    <t>W24</t>
  </si>
  <si>
    <t>Y24</t>
  </si>
  <si>
    <t>Z24</t>
  </si>
  <si>
    <t>AA24</t>
  </si>
  <si>
    <t>AB24</t>
  </si>
  <si>
    <t>AC24</t>
  </si>
  <si>
    <t>AD24</t>
  </si>
  <si>
    <t>AE24</t>
  </si>
  <si>
    <t>AF24</t>
  </si>
  <si>
    <t>AG24</t>
  </si>
  <si>
    <t>AH24</t>
  </si>
  <si>
    <t>AI24</t>
  </si>
  <si>
    <t>AJ24</t>
  </si>
  <si>
    <t>AK24</t>
  </si>
  <si>
    <t>AL24</t>
  </si>
  <si>
    <t>AM24</t>
  </si>
  <si>
    <t>AN24</t>
  </si>
  <si>
    <t>AO24</t>
  </si>
  <si>
    <t>AP24</t>
  </si>
  <si>
    <t>AQ24</t>
  </si>
  <si>
    <t>AR24</t>
  </si>
  <si>
    <t>AS24</t>
  </si>
  <si>
    <t>AT24</t>
  </si>
  <si>
    <t>AU24</t>
  </si>
  <si>
    <t>AV24</t>
  </si>
  <si>
    <t>AW24</t>
  </si>
  <si>
    <t>AX24</t>
  </si>
  <si>
    <t>C25</t>
  </si>
  <si>
    <t>D25</t>
  </si>
  <si>
    <t>E25</t>
  </si>
  <si>
    <t>F25</t>
  </si>
  <si>
    <t>G25</t>
  </si>
  <si>
    <t>H25</t>
  </si>
  <si>
    <t>I25</t>
  </si>
  <si>
    <t>J25</t>
  </si>
  <si>
    <t>K25</t>
  </si>
  <si>
    <t>L25</t>
  </si>
  <si>
    <t>M25</t>
  </si>
  <si>
    <t>N25</t>
  </si>
  <si>
    <t>O25</t>
  </si>
  <si>
    <t>P25</t>
  </si>
  <si>
    <t>Q25</t>
  </si>
  <si>
    <t>R25</t>
  </si>
  <si>
    <t>S25</t>
  </si>
  <si>
    <t>T25</t>
  </si>
  <si>
    <t>U25</t>
  </si>
  <si>
    <t>V25</t>
  </si>
  <si>
    <t>W25</t>
  </si>
  <si>
    <t>X25</t>
  </si>
  <si>
    <t>Y25</t>
  </si>
  <si>
    <t>AA25</t>
  </si>
  <si>
    <t>AB25</t>
  </si>
  <si>
    <t>AC25</t>
  </si>
  <si>
    <t>AD25</t>
  </si>
  <si>
    <t>AE25</t>
  </si>
  <si>
    <t>AF25</t>
  </si>
  <si>
    <t>AG25</t>
  </si>
  <si>
    <t>AH25</t>
  </si>
  <si>
    <t>AI25</t>
  </si>
  <si>
    <t>AJ25</t>
  </si>
  <si>
    <t>AK25</t>
  </si>
  <si>
    <t>AL25</t>
  </si>
  <si>
    <t>AM25</t>
  </si>
  <si>
    <t>AN25</t>
  </si>
  <si>
    <t>AO25</t>
  </si>
  <si>
    <t>AP25</t>
  </si>
  <si>
    <t>AQ25</t>
  </si>
  <si>
    <t>AR25</t>
  </si>
  <si>
    <t>AS25</t>
  </si>
  <si>
    <t>AT25</t>
  </si>
  <si>
    <t>AU25</t>
  </si>
  <si>
    <t>AV25</t>
  </si>
  <si>
    <t>AW25</t>
  </si>
  <si>
    <t>AX25</t>
  </si>
  <si>
    <t>C26</t>
  </si>
  <si>
    <t>D26</t>
  </si>
  <si>
    <t>E26</t>
  </si>
  <si>
    <t>F26</t>
  </si>
  <si>
    <t>G26</t>
  </si>
  <si>
    <t>H26</t>
  </si>
  <si>
    <t>I26</t>
  </si>
  <si>
    <t>J26</t>
  </si>
  <si>
    <t>K26</t>
  </si>
  <si>
    <t>L26</t>
  </si>
  <si>
    <t>M26</t>
  </si>
  <si>
    <t>N26</t>
  </si>
  <si>
    <t>O26</t>
  </si>
  <si>
    <t>P26</t>
  </si>
  <si>
    <t>Q26</t>
  </si>
  <si>
    <t>R26</t>
  </si>
  <si>
    <t>S26</t>
  </si>
  <si>
    <t>T26</t>
  </si>
  <si>
    <t>U26</t>
  </si>
  <si>
    <t>V26</t>
  </si>
  <si>
    <t>W26</t>
  </si>
  <si>
    <t>X26</t>
  </si>
  <si>
    <t>Y26</t>
  </si>
  <si>
    <t>Z26</t>
  </si>
  <si>
    <t>AA26</t>
  </si>
  <si>
    <t>AB26</t>
  </si>
  <si>
    <t>AC26</t>
  </si>
  <si>
    <t>AD26</t>
  </si>
  <si>
    <t>AE26</t>
  </si>
  <si>
    <t>AF26</t>
  </si>
  <si>
    <t>AG26</t>
  </si>
  <si>
    <t>AH26</t>
  </si>
  <si>
    <t>AI26</t>
  </si>
  <si>
    <t>AJ26</t>
  </si>
  <si>
    <t>AK26</t>
  </si>
  <si>
    <t>AL26</t>
  </si>
  <si>
    <t>AN26</t>
  </si>
  <si>
    <t>AO26</t>
  </si>
  <si>
    <t>AP26</t>
  </si>
  <si>
    <t>AQ26</t>
  </si>
  <si>
    <t>AR26</t>
  </si>
  <si>
    <t>AS26</t>
  </si>
  <si>
    <t>AT26</t>
  </si>
  <si>
    <t>AU26</t>
  </si>
  <si>
    <t>AV26</t>
  </si>
  <si>
    <t>AW26</t>
  </si>
  <si>
    <t>AX26</t>
  </si>
  <si>
    <t>C27</t>
  </si>
  <si>
    <t>D27</t>
  </si>
  <si>
    <t>E27</t>
  </si>
  <si>
    <t>F27</t>
  </si>
  <si>
    <t>G27</t>
  </si>
  <si>
    <t>H27</t>
  </si>
  <si>
    <t>I27</t>
  </si>
  <si>
    <t>J27</t>
  </si>
  <si>
    <t>K27</t>
  </si>
  <si>
    <t>L27</t>
  </si>
  <si>
    <t>M27</t>
  </si>
  <si>
    <t>N27</t>
  </si>
  <si>
    <t>O27</t>
  </si>
  <si>
    <t>P27</t>
  </si>
  <si>
    <t>Q27</t>
  </si>
  <si>
    <t>R27</t>
  </si>
  <si>
    <t>S27</t>
  </si>
  <si>
    <t>T27</t>
  </si>
  <si>
    <t>U27</t>
  </si>
  <si>
    <t>V27</t>
  </si>
  <si>
    <t>W27</t>
  </si>
  <si>
    <t>X27</t>
  </si>
  <si>
    <t>Y27</t>
  </si>
  <si>
    <t>Z27</t>
  </si>
  <si>
    <t>AA27</t>
  </si>
  <si>
    <t>AB27</t>
  </si>
  <si>
    <t>AC27</t>
  </si>
  <si>
    <t>AD27</t>
  </si>
  <si>
    <t>AE27</t>
  </si>
  <si>
    <t>AF27</t>
  </si>
  <si>
    <t>AG27</t>
  </si>
  <si>
    <t>AH27</t>
  </si>
  <si>
    <t>AI27</t>
  </si>
  <si>
    <t>AJ27</t>
  </si>
  <si>
    <t>AK27</t>
  </si>
  <si>
    <t>AL27</t>
  </si>
  <si>
    <t>AM27</t>
  </si>
  <si>
    <t>AN27</t>
  </si>
  <si>
    <t>AO27</t>
  </si>
  <si>
    <t>AP27</t>
  </si>
  <si>
    <t>AQ27</t>
  </si>
  <si>
    <t>AR27</t>
  </si>
  <si>
    <t>AS27</t>
  </si>
  <si>
    <t>AT27</t>
  </si>
  <si>
    <t>AU27</t>
  </si>
  <si>
    <t>AV27</t>
  </si>
  <si>
    <t>AW27</t>
  </si>
  <si>
    <t>AX27</t>
  </si>
  <si>
    <t>C28</t>
  </si>
  <si>
    <t>D28</t>
  </si>
  <si>
    <t>E28</t>
  </si>
  <si>
    <t>F28</t>
  </si>
  <si>
    <t>G28</t>
  </si>
  <si>
    <t>H28</t>
  </si>
  <si>
    <t>I28</t>
  </si>
  <si>
    <t>J28</t>
  </si>
  <si>
    <t>K28</t>
  </si>
  <si>
    <t>L28</t>
  </si>
  <si>
    <t>M28</t>
  </si>
  <si>
    <t>N28</t>
  </si>
  <si>
    <t>O28</t>
  </si>
  <si>
    <t>P28</t>
  </si>
  <si>
    <t>Q28</t>
  </si>
  <si>
    <t>R28</t>
  </si>
  <si>
    <t>S28</t>
  </si>
  <si>
    <t>T28</t>
  </si>
  <si>
    <t>U28</t>
  </si>
  <si>
    <t>V28</t>
  </si>
  <si>
    <t>W28</t>
  </si>
  <si>
    <t>X28</t>
  </si>
  <si>
    <t>Y28</t>
  </si>
  <si>
    <t>Z28</t>
  </si>
  <si>
    <t>AA28</t>
  </si>
  <si>
    <t>AB28</t>
  </si>
  <si>
    <t>AC28</t>
  </si>
  <si>
    <t>AD28</t>
  </si>
  <si>
    <t>AE28</t>
  </si>
  <si>
    <t>AF28</t>
  </si>
  <si>
    <t>AH28</t>
  </si>
  <si>
    <t>AI28</t>
  </si>
  <si>
    <t>AJ28</t>
  </si>
  <si>
    <t>AK28</t>
  </si>
  <si>
    <t>AL28</t>
  </si>
  <si>
    <t>AM28</t>
  </si>
  <si>
    <t>AO28</t>
  </si>
  <si>
    <t>AP28</t>
  </si>
  <si>
    <t>AQ28</t>
  </si>
  <si>
    <t>AR28</t>
  </si>
  <si>
    <t>AS28</t>
  </si>
  <si>
    <t>AT28</t>
  </si>
  <si>
    <t>AU28</t>
  </si>
  <si>
    <t>AV28</t>
  </si>
  <si>
    <t>AW28</t>
  </si>
  <si>
    <t>AX28</t>
  </si>
  <si>
    <t>C29</t>
  </si>
  <si>
    <t>D29</t>
  </si>
  <si>
    <t>E29</t>
  </si>
  <si>
    <t>F29</t>
  </si>
  <si>
    <t>G29</t>
  </si>
  <si>
    <t>H29</t>
  </si>
  <si>
    <t>I29</t>
  </si>
  <si>
    <t>J29</t>
  </si>
  <si>
    <t>K29</t>
  </si>
  <si>
    <t>L29</t>
  </si>
  <si>
    <t>M29</t>
  </si>
  <si>
    <t>N29</t>
  </si>
  <si>
    <t>O29</t>
  </si>
  <si>
    <t>P29</t>
  </si>
  <si>
    <t>Q29</t>
  </si>
  <si>
    <t>R29</t>
  </si>
  <si>
    <t>S29</t>
  </si>
  <si>
    <t>T29</t>
  </si>
  <si>
    <t>U29</t>
  </si>
  <si>
    <t>V29</t>
  </si>
  <si>
    <t>W29</t>
  </si>
  <si>
    <t>X29</t>
  </si>
  <si>
    <t>Y29</t>
  </si>
  <si>
    <t>Z29</t>
  </si>
  <si>
    <t>AA29</t>
  </si>
  <si>
    <t>AB29</t>
  </si>
  <si>
    <t>AC29</t>
  </si>
  <si>
    <t>AD29</t>
  </si>
  <si>
    <t>AE29</t>
  </si>
  <si>
    <t>AF29</t>
  </si>
  <si>
    <t>AG29</t>
  </si>
  <si>
    <t>AH29</t>
  </si>
  <si>
    <t>AI29</t>
  </si>
  <si>
    <t>AJ29</t>
  </si>
  <si>
    <t>AK29</t>
  </si>
  <si>
    <t>AL29</t>
  </si>
  <si>
    <t>AM29</t>
  </si>
  <si>
    <t>AN29</t>
  </si>
  <si>
    <t>AO29</t>
  </si>
  <si>
    <t>AP29</t>
  </si>
  <si>
    <t>AQ29</t>
  </si>
  <si>
    <t>AR29</t>
  </si>
  <si>
    <t>AS29</t>
  </si>
  <si>
    <t>AT29</t>
  </si>
  <si>
    <t>AU29</t>
  </si>
  <si>
    <t>AV29</t>
  </si>
  <si>
    <t>AW29</t>
  </si>
  <si>
    <t>AX29</t>
  </si>
  <si>
    <t>C30</t>
  </si>
  <si>
    <t>D30</t>
  </si>
  <si>
    <t>E30</t>
  </si>
  <si>
    <t>F30</t>
  </si>
  <si>
    <t>G30</t>
  </si>
  <si>
    <t>H30</t>
  </si>
  <si>
    <t>I30</t>
  </si>
  <si>
    <t>J30</t>
  </si>
  <si>
    <t>K30</t>
  </si>
  <si>
    <t>L30</t>
  </si>
  <si>
    <t>M30</t>
  </si>
  <si>
    <t>N30</t>
  </si>
  <si>
    <t>O30</t>
  </si>
  <si>
    <t>P30</t>
  </si>
  <si>
    <t>Q30</t>
  </si>
  <si>
    <t>R30</t>
  </si>
  <si>
    <t>S30</t>
  </si>
  <si>
    <t>T30</t>
  </si>
  <si>
    <t>U30</t>
  </si>
  <si>
    <t>V30</t>
  </si>
  <si>
    <t>W30</t>
  </si>
  <si>
    <t>X30</t>
  </si>
  <si>
    <t>Y30</t>
  </si>
  <si>
    <t>Z30</t>
  </si>
  <si>
    <t>AA30</t>
  </si>
  <si>
    <t>AC30</t>
  </si>
  <si>
    <t>AD30</t>
  </si>
  <si>
    <t>AE30</t>
  </si>
  <si>
    <t>AF30</t>
  </si>
  <si>
    <t>AG30</t>
  </si>
  <si>
    <t>AH30</t>
  </si>
  <si>
    <t>AI30</t>
  </si>
  <si>
    <t>AJ30</t>
  </si>
  <si>
    <t>AK30</t>
  </si>
  <si>
    <t>AL30</t>
  </si>
  <si>
    <t>AM30</t>
  </si>
  <si>
    <t>AN30</t>
  </si>
  <si>
    <t>AO30</t>
  </si>
  <si>
    <t>AP30</t>
  </si>
  <si>
    <t>AQ30</t>
  </si>
  <si>
    <t>AR30</t>
  </si>
  <si>
    <t>AS30</t>
  </si>
  <si>
    <t>AT30</t>
  </si>
  <si>
    <t>AU30</t>
  </si>
  <si>
    <t>AV30</t>
  </si>
  <si>
    <t>AW30</t>
  </si>
  <si>
    <t>AX30</t>
  </si>
  <si>
    <t>C31</t>
  </si>
  <si>
    <t>D31</t>
  </si>
  <si>
    <t>F31</t>
  </si>
  <si>
    <t>G31</t>
  </si>
  <si>
    <t>H31</t>
  </si>
  <si>
    <t>I31</t>
  </si>
  <si>
    <t>J31</t>
  </si>
  <si>
    <t>K31</t>
  </si>
  <si>
    <t>L31</t>
  </si>
  <si>
    <t>M31</t>
  </si>
  <si>
    <t>N31</t>
  </si>
  <si>
    <t>O31</t>
  </si>
  <si>
    <t>P31</t>
  </si>
  <si>
    <t>Q31</t>
  </si>
  <si>
    <t>R31</t>
  </si>
  <si>
    <t>S31</t>
  </si>
  <si>
    <t>T31</t>
  </si>
  <si>
    <t>U31</t>
  </si>
  <si>
    <t>V31</t>
  </si>
  <si>
    <t>W31</t>
  </si>
  <si>
    <t>X31</t>
  </si>
  <si>
    <t>Y31</t>
  </si>
  <si>
    <t>Z31</t>
  </si>
  <si>
    <t>AA31</t>
  </si>
  <si>
    <t>AB31</t>
  </si>
  <si>
    <t>AC31</t>
  </si>
  <si>
    <t>AD31</t>
  </si>
  <si>
    <t>AE31</t>
  </si>
  <si>
    <t>AF31</t>
  </si>
  <si>
    <t>AG31</t>
  </si>
  <si>
    <t>AH31</t>
  </si>
  <si>
    <t>AI31</t>
  </si>
  <si>
    <t>AJ31</t>
  </si>
  <si>
    <t>AK31</t>
  </si>
  <si>
    <t>AL31</t>
  </si>
  <si>
    <t>AM31</t>
  </si>
  <si>
    <t>AN31</t>
  </si>
  <si>
    <t>AO31</t>
  </si>
  <si>
    <t>AP31</t>
  </si>
  <si>
    <t>AQ31</t>
  </si>
  <si>
    <t>AR31</t>
  </si>
  <si>
    <t>AS31</t>
  </si>
  <si>
    <t>AT31</t>
  </si>
  <si>
    <t>AU31</t>
  </si>
  <si>
    <t>AV31</t>
  </si>
  <si>
    <t>AW31</t>
  </si>
  <si>
    <t>AX31</t>
  </si>
  <si>
    <t>C32</t>
  </si>
  <si>
    <t>D32</t>
  </si>
  <si>
    <t>E32</t>
  </si>
  <si>
    <t>F32</t>
  </si>
  <si>
    <t>G32</t>
  </si>
  <si>
    <t>H32</t>
  </si>
  <si>
    <t>I32</t>
  </si>
  <si>
    <t>J32</t>
  </si>
  <si>
    <t>K32</t>
  </si>
  <si>
    <t>L32</t>
  </si>
  <si>
    <t>M32</t>
  </si>
  <si>
    <t>N32</t>
  </si>
  <si>
    <t>O32</t>
  </si>
  <si>
    <t>P32</t>
  </si>
  <si>
    <t>Q32</t>
  </si>
  <si>
    <t>R32</t>
  </si>
  <si>
    <t>S32</t>
  </si>
  <si>
    <t>T32</t>
  </si>
  <si>
    <t>U32</t>
  </si>
  <si>
    <t>V32</t>
  </si>
  <si>
    <t>W32</t>
  </si>
  <si>
    <t>X32</t>
  </si>
  <si>
    <t>Y32</t>
  </si>
  <si>
    <t>Z32</t>
  </si>
  <si>
    <t>AA32</t>
  </si>
  <si>
    <t>AB32</t>
  </si>
  <si>
    <t>AC32</t>
  </si>
  <si>
    <t>AD32</t>
  </si>
  <si>
    <t>AE32</t>
  </si>
  <si>
    <t>AF32</t>
  </si>
  <si>
    <t>AG32</t>
  </si>
  <si>
    <t>AH32</t>
  </si>
  <si>
    <t>AI32</t>
  </si>
  <si>
    <t>AJ32</t>
  </si>
  <si>
    <t>AK32</t>
  </si>
  <si>
    <t>AL32</t>
  </si>
  <si>
    <t>AM32</t>
  </si>
  <si>
    <t>AN32</t>
  </si>
  <si>
    <t>AO32</t>
  </si>
  <si>
    <t>AP32</t>
  </si>
  <si>
    <t>AQ32</t>
  </si>
  <si>
    <t>AR32</t>
  </si>
  <si>
    <t>AS32</t>
  </si>
  <si>
    <t>AT32</t>
  </si>
  <si>
    <t>AU32</t>
  </si>
  <si>
    <t>AV32</t>
  </si>
  <si>
    <t>AW32</t>
  </si>
  <si>
    <t>AX32</t>
  </si>
  <si>
    <t>C33</t>
  </si>
  <si>
    <t>D33</t>
  </si>
  <si>
    <t>E33</t>
  </si>
  <si>
    <t>F33</t>
  </si>
  <si>
    <t>G33</t>
  </si>
  <si>
    <t>H33</t>
  </si>
  <si>
    <t>I33</t>
  </si>
  <si>
    <t>J33</t>
  </si>
  <si>
    <t>K33</t>
  </si>
  <si>
    <t>L33</t>
  </si>
  <si>
    <t>M33</t>
  </si>
  <si>
    <t>N33</t>
  </si>
  <si>
    <t>O33</t>
  </si>
  <si>
    <t>P33</t>
  </si>
  <si>
    <t>Q33</t>
  </si>
  <si>
    <t>R33</t>
  </si>
  <si>
    <t>S33</t>
  </si>
  <si>
    <t>T33</t>
  </si>
  <si>
    <t>U33</t>
  </si>
  <si>
    <t>V33</t>
  </si>
  <si>
    <t>X33</t>
  </si>
  <si>
    <t>Y33</t>
  </si>
  <si>
    <t>Z33</t>
  </si>
  <si>
    <t>AA33</t>
  </si>
  <si>
    <t>AB33</t>
  </si>
  <si>
    <t>AC33</t>
  </si>
  <si>
    <t>AD33</t>
  </si>
  <si>
    <t>AE33</t>
  </si>
  <si>
    <t>AF33</t>
  </si>
  <si>
    <t>AG33</t>
  </si>
  <si>
    <t>AH33</t>
  </si>
  <si>
    <t>AI33</t>
  </si>
  <si>
    <t>AJ33</t>
  </si>
  <si>
    <t>AK33</t>
  </si>
  <si>
    <t>AL33</t>
  </si>
  <si>
    <t>AM33</t>
  </si>
  <si>
    <t>AN33</t>
  </si>
  <si>
    <t>AO33</t>
  </si>
  <si>
    <t>AP33</t>
  </si>
  <si>
    <t>AQ33</t>
  </si>
  <si>
    <t>AR33</t>
  </si>
  <si>
    <t>AS33</t>
  </si>
  <si>
    <t>AT33</t>
  </si>
  <si>
    <t>AU33</t>
  </si>
  <si>
    <t>AV33</t>
  </si>
  <si>
    <t>AW33</t>
  </si>
  <si>
    <t>AX33</t>
  </si>
  <si>
    <t>C34</t>
  </si>
  <si>
    <t>D34</t>
  </si>
  <si>
    <t>E34</t>
  </si>
  <si>
    <t>F34</t>
  </si>
  <si>
    <t>G34</t>
  </si>
  <si>
    <t>H34</t>
  </si>
  <si>
    <t>I34</t>
  </si>
  <si>
    <t>J34</t>
  </si>
  <si>
    <t>K34</t>
  </si>
  <si>
    <t>L34</t>
  </si>
  <si>
    <t>M34</t>
  </si>
  <si>
    <t>N34</t>
  </si>
  <si>
    <t>O34</t>
  </si>
  <si>
    <t>P34</t>
  </si>
  <si>
    <t>Q34</t>
  </si>
  <si>
    <t>R34</t>
  </si>
  <si>
    <t>S34</t>
  </si>
  <si>
    <t>T34</t>
  </si>
  <si>
    <t>U34</t>
  </si>
  <si>
    <t>V34</t>
  </si>
  <si>
    <t>W34</t>
  </si>
  <si>
    <t>X34</t>
  </si>
  <si>
    <t>Y34</t>
  </si>
  <si>
    <t>Z34</t>
  </si>
  <si>
    <t>AA34</t>
  </si>
  <si>
    <t>AB34</t>
  </si>
  <si>
    <t>AC34</t>
  </si>
  <si>
    <t>AD34</t>
  </si>
  <si>
    <t>AE34</t>
  </si>
  <si>
    <t>AF34</t>
  </si>
  <si>
    <t>AG34</t>
  </si>
  <si>
    <t>AH34</t>
  </si>
  <si>
    <t>AI34</t>
  </si>
  <si>
    <t>AJ34</t>
  </si>
  <si>
    <t>AK34</t>
  </si>
  <si>
    <t>AL34</t>
  </si>
  <si>
    <t>AN34</t>
  </si>
  <si>
    <t>AO34</t>
  </si>
  <si>
    <t>AP34</t>
  </si>
  <si>
    <t>AQ34</t>
  </si>
  <si>
    <t>AR34</t>
  </si>
  <si>
    <t>AS34</t>
  </si>
  <si>
    <t>AT34</t>
  </si>
  <si>
    <t>AU34</t>
  </si>
  <si>
    <t>AV34</t>
  </si>
  <si>
    <t>AW34</t>
  </si>
  <si>
    <t>AX34</t>
  </si>
  <si>
    <t>C35</t>
  </si>
  <si>
    <t>D35</t>
  </si>
  <si>
    <t>E35</t>
  </si>
  <si>
    <t>F35</t>
  </si>
  <si>
    <t>G35</t>
  </si>
  <si>
    <t>H35</t>
  </si>
  <si>
    <t>I35</t>
  </si>
  <si>
    <t>J35</t>
  </si>
  <si>
    <t>K35</t>
  </si>
  <si>
    <t>L35</t>
  </si>
  <si>
    <t>M35</t>
  </si>
  <si>
    <t>N35</t>
  </si>
  <si>
    <t>O35</t>
  </si>
  <si>
    <t>P35</t>
  </si>
  <si>
    <t>Q35</t>
  </si>
  <si>
    <t>R35</t>
  </si>
  <si>
    <t>S35</t>
  </si>
  <si>
    <t>T35</t>
  </si>
  <si>
    <t>U35</t>
  </si>
  <si>
    <t>V35</t>
  </si>
  <si>
    <t>W35</t>
  </si>
  <si>
    <t>X35</t>
  </si>
  <si>
    <t>Y35</t>
  </si>
  <si>
    <t>Z35</t>
  </si>
  <si>
    <t>AA35</t>
  </si>
  <si>
    <t>AB35</t>
  </si>
  <si>
    <t>AC35</t>
  </si>
  <si>
    <t>AD35</t>
  </si>
  <si>
    <t>AE35</t>
  </si>
  <si>
    <t>AF35</t>
  </si>
  <si>
    <t>AG35</t>
  </si>
  <si>
    <t>AH35</t>
  </si>
  <si>
    <t>AI35</t>
  </si>
  <si>
    <t>AJ35</t>
  </si>
  <si>
    <t>AK35</t>
  </si>
  <si>
    <t>AL35</t>
  </si>
  <si>
    <t>AM35</t>
  </si>
  <si>
    <t>AN35</t>
  </si>
  <si>
    <t>AO35</t>
  </si>
  <si>
    <t>AP35</t>
  </si>
  <si>
    <t>AQ35</t>
  </si>
  <si>
    <t>AR35</t>
  </si>
  <si>
    <t>AS35</t>
  </si>
  <si>
    <t>AT35</t>
  </si>
  <si>
    <t>AU35</t>
  </si>
  <si>
    <t>AV35</t>
  </si>
  <si>
    <t>AW35</t>
  </si>
  <si>
    <t>AX35</t>
  </si>
  <si>
    <t>C36</t>
  </si>
  <si>
    <t>D36</t>
  </si>
  <si>
    <t>E36</t>
  </si>
  <si>
    <t>F36</t>
  </si>
  <si>
    <t>G36</t>
  </si>
  <si>
    <t>H36</t>
  </si>
  <si>
    <t>I36</t>
  </si>
  <si>
    <t>J36</t>
  </si>
  <si>
    <t>K36</t>
  </si>
  <si>
    <t>L36</t>
  </si>
  <si>
    <t>M36</t>
  </si>
  <si>
    <t>N36</t>
  </si>
  <si>
    <t>O36</t>
  </si>
  <si>
    <t>P36</t>
  </si>
  <si>
    <t>Q36</t>
  </si>
  <si>
    <t>R36</t>
  </si>
  <si>
    <t>S36</t>
  </si>
  <si>
    <t>T36</t>
  </si>
  <si>
    <t>U36</t>
  </si>
  <si>
    <t>V36</t>
  </si>
  <si>
    <t>W36</t>
  </si>
  <si>
    <t>X36</t>
  </si>
  <si>
    <t>Y36</t>
  </si>
  <si>
    <t>Z36</t>
  </si>
  <si>
    <t>AA36</t>
  </si>
  <si>
    <t>AB36</t>
  </si>
  <si>
    <t>AC36</t>
  </si>
  <si>
    <t>AD36</t>
  </si>
  <si>
    <t>AE36</t>
  </si>
  <si>
    <t>AF36</t>
  </si>
  <si>
    <t>AG36</t>
  </si>
  <si>
    <t>AH36</t>
  </si>
  <si>
    <t>AI36</t>
  </si>
  <si>
    <t>AJ36</t>
  </si>
  <si>
    <t>AK36</t>
  </si>
  <si>
    <t>AL36</t>
  </si>
  <si>
    <t>AM36</t>
  </si>
  <si>
    <t>AN36</t>
  </si>
  <si>
    <t>AO36</t>
  </si>
  <si>
    <t>AP36</t>
  </si>
  <si>
    <t>AQ36</t>
  </si>
  <si>
    <t>AR36</t>
  </si>
  <si>
    <t>AS36</t>
  </si>
  <si>
    <t>AT36</t>
  </si>
  <si>
    <t>AU36</t>
  </si>
  <si>
    <t>AV36</t>
  </si>
  <si>
    <t>AW36</t>
  </si>
  <si>
    <t>AX36</t>
  </si>
  <si>
    <t>C37</t>
  </si>
  <si>
    <t>D37</t>
  </si>
  <si>
    <t>E37</t>
  </si>
  <si>
    <t>F37</t>
  </si>
  <si>
    <t>G37</t>
  </si>
  <si>
    <t>H37</t>
  </si>
  <si>
    <t>I37</t>
  </si>
  <si>
    <t>J37</t>
  </si>
  <si>
    <t>K37</t>
  </si>
  <si>
    <t>L37</t>
  </si>
  <si>
    <t>M37</t>
  </si>
  <si>
    <t>N37</t>
  </si>
  <si>
    <t>O37</t>
  </si>
  <si>
    <t>P37</t>
  </si>
  <si>
    <t>Q37</t>
  </si>
  <si>
    <t>R37</t>
  </si>
  <si>
    <t>S37</t>
  </si>
  <si>
    <t>T37</t>
  </si>
  <si>
    <t>U37</t>
  </si>
  <si>
    <t>V37</t>
  </si>
  <si>
    <t>W37</t>
  </si>
  <si>
    <t>X37</t>
  </si>
  <si>
    <t>Y37</t>
  </si>
  <si>
    <t>Z37</t>
  </si>
  <si>
    <t>AA37</t>
  </si>
  <si>
    <t>AB37</t>
  </si>
  <si>
    <t>AC37</t>
  </si>
  <si>
    <t>AD37</t>
  </si>
  <si>
    <t>AE37</t>
  </si>
  <si>
    <t>AF37</t>
  </si>
  <si>
    <t>AG37</t>
  </si>
  <si>
    <t>AH37</t>
  </si>
  <si>
    <t>AI37</t>
  </si>
  <si>
    <t>AJ37</t>
  </si>
  <si>
    <t>AK37</t>
  </si>
  <si>
    <t>AL37</t>
  </si>
  <si>
    <t>AM37</t>
  </si>
  <si>
    <t>AN37</t>
  </si>
  <si>
    <t>AO37</t>
  </si>
  <si>
    <t>AP37</t>
  </si>
  <si>
    <t>AQ37</t>
  </si>
  <si>
    <t>AR37</t>
  </si>
  <si>
    <t>AS37</t>
  </si>
  <si>
    <t>AT37</t>
  </si>
  <si>
    <t>AU37</t>
  </si>
  <si>
    <t>AV37</t>
  </si>
  <si>
    <t>AW37</t>
  </si>
  <si>
    <t>AX37</t>
  </si>
  <si>
    <t>C38</t>
  </si>
  <si>
    <t>D38</t>
  </si>
  <si>
    <t>E38</t>
  </si>
  <si>
    <t>F38</t>
  </si>
  <si>
    <t>G38</t>
  </si>
  <si>
    <t>H38</t>
  </si>
  <si>
    <t>I38</t>
  </si>
  <si>
    <t>J38</t>
  </si>
  <si>
    <t>K38</t>
  </si>
  <si>
    <t>L38</t>
  </si>
  <si>
    <t>M38</t>
  </si>
  <si>
    <t>N38</t>
  </si>
  <si>
    <t>O38</t>
  </si>
  <si>
    <t>P38</t>
  </si>
  <si>
    <t>Q38</t>
  </si>
  <si>
    <t>R38</t>
  </si>
  <si>
    <t>S38</t>
  </si>
  <si>
    <t>T38</t>
  </si>
  <si>
    <t>U38</t>
  </si>
  <si>
    <t>V38</t>
  </si>
  <si>
    <t>W38</t>
  </si>
  <si>
    <t>X38</t>
  </si>
  <si>
    <t>Y38</t>
  </si>
  <si>
    <t>Z38</t>
  </si>
  <si>
    <t>AA38</t>
  </si>
  <si>
    <t>AB38</t>
  </si>
  <si>
    <t>AC38</t>
  </si>
  <si>
    <t>AD38</t>
  </si>
  <si>
    <t>AE38</t>
  </si>
  <si>
    <t>AF38</t>
  </si>
  <si>
    <t>AG38</t>
  </si>
  <si>
    <t>AH38</t>
  </si>
  <si>
    <t>AI38</t>
  </si>
  <si>
    <t>AJ38</t>
  </si>
  <si>
    <t>AK38</t>
  </si>
  <si>
    <t>AL38</t>
  </si>
  <si>
    <t>AM38</t>
  </si>
  <si>
    <t>AN38</t>
  </si>
  <si>
    <t>AO38</t>
  </si>
  <si>
    <t>AP38</t>
  </si>
  <si>
    <t>AQ38</t>
  </si>
  <si>
    <t>AR38</t>
  </si>
  <si>
    <t>AS38</t>
  </si>
  <si>
    <t>AT38</t>
  </si>
  <si>
    <t>AU38</t>
  </si>
  <si>
    <t>AV38</t>
  </si>
  <si>
    <t>AW38</t>
  </si>
  <si>
    <t>AX38</t>
  </si>
  <si>
    <t>C39</t>
  </si>
  <si>
    <t>D39</t>
  </si>
  <si>
    <t>E39</t>
  </si>
  <si>
    <t>F39</t>
  </si>
  <si>
    <t>G39</t>
  </si>
  <si>
    <t>H39</t>
  </si>
  <si>
    <t>I39</t>
  </si>
  <si>
    <t>J39</t>
  </si>
  <si>
    <t>K39</t>
  </si>
  <si>
    <t>L39</t>
  </si>
  <si>
    <t>M39</t>
  </si>
  <si>
    <t>N39</t>
  </si>
  <si>
    <t>O39</t>
  </si>
  <si>
    <t>P39</t>
  </si>
  <si>
    <t>Q39</t>
  </si>
  <si>
    <t>R39</t>
  </si>
  <si>
    <t>S39</t>
  </si>
  <si>
    <t>T39</t>
  </si>
  <si>
    <t>U39</t>
  </si>
  <si>
    <t>V39</t>
  </si>
  <si>
    <t>W39</t>
  </si>
  <si>
    <t>X39</t>
  </si>
  <si>
    <t>Y39</t>
  </si>
  <si>
    <t>Z39</t>
  </si>
  <si>
    <t>AA39</t>
  </si>
  <si>
    <t>AB39</t>
  </si>
  <si>
    <t>AC39</t>
  </si>
  <si>
    <t>AD39</t>
  </si>
  <si>
    <t>AE39</t>
  </si>
  <si>
    <t>AF39</t>
  </si>
  <si>
    <t>AG39</t>
  </si>
  <si>
    <t>AH39</t>
  </si>
  <si>
    <t>AI39</t>
  </si>
  <si>
    <t>AJ39</t>
  </si>
  <si>
    <t>AK39</t>
  </si>
  <si>
    <t>AL39</t>
  </si>
  <si>
    <t>AM39</t>
  </si>
  <si>
    <t>AN39</t>
  </si>
  <si>
    <t>AO39</t>
  </si>
  <si>
    <t>AP39</t>
  </si>
  <si>
    <t>AQ39</t>
  </si>
  <si>
    <t>AR39</t>
  </si>
  <si>
    <t>AS39</t>
  </si>
  <si>
    <t>AT39</t>
  </si>
  <si>
    <t>AU39</t>
  </si>
  <si>
    <t>AV39</t>
  </si>
  <si>
    <t>AW39</t>
  </si>
  <si>
    <t>AX39</t>
  </si>
  <si>
    <t>C40</t>
  </si>
  <si>
    <t>D40</t>
  </si>
  <si>
    <t>E40</t>
  </si>
  <si>
    <t>F40</t>
  </si>
  <si>
    <t>G40</t>
  </si>
  <si>
    <t>H40</t>
  </si>
  <si>
    <t>I40</t>
  </si>
  <si>
    <t>J40</t>
  </si>
  <si>
    <t>K40</t>
  </si>
  <si>
    <t>L40</t>
  </si>
  <si>
    <t>M40</t>
  </si>
  <si>
    <t>N40</t>
  </si>
  <si>
    <t>O40</t>
  </si>
  <si>
    <t>P40</t>
  </si>
  <si>
    <t>Q40</t>
  </si>
  <si>
    <t>R40</t>
  </si>
  <si>
    <t>S40</t>
  </si>
  <si>
    <t>T40</t>
  </si>
  <si>
    <t>U40</t>
  </si>
  <si>
    <t>V40</t>
  </si>
  <si>
    <t>W40</t>
  </si>
  <si>
    <t>X40</t>
  </si>
  <si>
    <t>Y40</t>
  </si>
  <si>
    <t>Z40</t>
  </si>
  <si>
    <t>AA40</t>
  </si>
  <si>
    <t>AB40</t>
  </si>
  <si>
    <t>AC40</t>
  </si>
  <si>
    <t>AD40</t>
  </si>
  <si>
    <t>AE40</t>
  </si>
  <si>
    <t>AF40</t>
  </si>
  <si>
    <t>AG40</t>
  </si>
  <si>
    <t>AH40</t>
  </si>
  <si>
    <t>AI40</t>
  </si>
  <si>
    <t>AJ40</t>
  </si>
  <si>
    <t>AK40</t>
  </si>
  <si>
    <t>AL40</t>
  </si>
  <si>
    <t>AM40</t>
  </si>
  <si>
    <t>AN40</t>
  </si>
  <si>
    <t>AO40</t>
  </si>
  <si>
    <t>AP40</t>
  </si>
  <si>
    <t>AQ40</t>
  </si>
  <si>
    <t>AR40</t>
  </si>
  <si>
    <t>AS40</t>
  </si>
  <si>
    <t>AT40</t>
  </si>
  <si>
    <t>AU40</t>
  </si>
  <si>
    <t>AV40</t>
  </si>
  <si>
    <t>AW40</t>
  </si>
  <si>
    <t>AX40</t>
  </si>
  <si>
    <t>C41</t>
  </si>
  <si>
    <t>D41</t>
  </si>
  <si>
    <t>E41</t>
  </si>
  <si>
    <t>F41</t>
  </si>
  <si>
    <t>G41</t>
  </si>
  <si>
    <t>H41</t>
  </si>
  <si>
    <t>I41</t>
  </si>
  <si>
    <t>J41</t>
  </si>
  <si>
    <t>K41</t>
  </si>
  <si>
    <t>L41</t>
  </si>
  <si>
    <t>M41</t>
  </si>
  <si>
    <t>N41</t>
  </si>
  <si>
    <t>O41</t>
  </si>
  <si>
    <t>P41</t>
  </si>
  <si>
    <t>Q41</t>
  </si>
  <si>
    <t>R41</t>
  </si>
  <si>
    <t>S41</t>
  </si>
  <si>
    <t>T41</t>
  </si>
  <si>
    <t>U41</t>
  </si>
  <si>
    <t>V41</t>
  </si>
  <si>
    <t>W41</t>
  </si>
  <si>
    <t>X41</t>
  </si>
  <si>
    <t>Y41</t>
  </si>
  <si>
    <t>Z41</t>
  </si>
  <si>
    <t>AA41</t>
  </si>
  <si>
    <t>AB41</t>
  </si>
  <si>
    <t>AC41</t>
  </si>
  <si>
    <t>AD41</t>
  </si>
  <si>
    <t>AE41</t>
  </si>
  <si>
    <t>AF41</t>
  </si>
  <si>
    <t>AG41</t>
  </si>
  <si>
    <t>AH41</t>
  </si>
  <si>
    <t>AI41</t>
  </si>
  <si>
    <t>AJ41</t>
  </si>
  <si>
    <t>AK41</t>
  </si>
  <si>
    <t>AL41</t>
  </si>
  <si>
    <t>AM41</t>
  </si>
  <si>
    <t>AN41</t>
  </si>
  <si>
    <t>AO41</t>
  </si>
  <si>
    <t>AP41</t>
  </si>
  <si>
    <t>AQ41</t>
  </si>
  <si>
    <t>AR41</t>
  </si>
  <si>
    <t>AS41</t>
  </si>
  <si>
    <t>AT41</t>
  </si>
  <si>
    <t>AU41</t>
  </si>
  <si>
    <t>AV41</t>
  </si>
  <si>
    <t>AW41</t>
  </si>
  <si>
    <t>AX41</t>
  </si>
  <si>
    <t>C42</t>
  </si>
  <si>
    <t>D42</t>
  </si>
  <si>
    <t>E42</t>
  </si>
  <si>
    <t>F42</t>
  </si>
  <si>
    <t>G42</t>
  </si>
  <si>
    <t>H42</t>
  </si>
  <si>
    <t>I42</t>
  </si>
  <si>
    <t>J42</t>
  </si>
  <si>
    <t>K42</t>
  </si>
  <si>
    <t>L42</t>
  </si>
  <si>
    <t>M42</t>
  </si>
  <si>
    <t>N42</t>
  </si>
  <si>
    <t>O42</t>
  </si>
  <si>
    <t>P42</t>
  </si>
  <si>
    <t>Q42</t>
  </si>
  <si>
    <t>R42</t>
  </si>
  <si>
    <t>S42</t>
  </si>
  <si>
    <t>T42</t>
  </si>
  <si>
    <t>U42</t>
  </si>
  <si>
    <t>V42</t>
  </si>
  <si>
    <t>W42</t>
  </si>
  <si>
    <t>X42</t>
  </si>
  <si>
    <t>Y42</t>
  </si>
  <si>
    <t>Z42</t>
  </si>
  <si>
    <t>AA42</t>
  </si>
  <si>
    <t>AB42</t>
  </si>
  <si>
    <t>AC42</t>
  </si>
  <si>
    <t>AD42</t>
  </si>
  <si>
    <t>AE42</t>
  </si>
  <si>
    <t>AF42</t>
  </si>
  <si>
    <t>AG42</t>
  </si>
  <si>
    <t>AH42</t>
  </si>
  <si>
    <t>AI42</t>
  </si>
  <si>
    <t>AJ42</t>
  </si>
  <si>
    <t>AK42</t>
  </si>
  <si>
    <t>AL42</t>
  </si>
  <si>
    <t>AM42</t>
  </si>
  <si>
    <t>AN42</t>
  </si>
  <si>
    <t>AO42</t>
  </si>
  <si>
    <t>AP42</t>
  </si>
  <si>
    <t>AQ42</t>
  </si>
  <si>
    <t>AR42</t>
  </si>
  <si>
    <t>AS42</t>
  </si>
  <si>
    <t>AT42</t>
  </si>
  <si>
    <t>AU42</t>
  </si>
  <si>
    <t>AV42</t>
  </si>
  <si>
    <t>AW42</t>
  </si>
  <si>
    <t>AX42</t>
  </si>
  <si>
    <t>Your Answers</t>
  </si>
  <si>
    <t>???1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</si>
</sst>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#,##0;\(#,##0\);\-"/>
    <numFmt numFmtId="166" formatCode="&quot;$&quot;#,##0.00"/>
  </numFmts>
  <fonts count="38">
    <font>
      <sz val="11"/>
      <color theme="1"/>
      <name val="Calibri"/>
      <family val="2"/>
      <scheme val="minor"/>
    </font>
    <font>
      <sz val="11"/>
      <color theme="1"/>
      <name val="Roboto"/>
    </font>
    <font>
      <sz val="11"/>
      <name val="Roboto"/>
    </font>
    <font>
      <u/>
      <sz val="11"/>
      <color theme="10"/>
      <name val="Calibri"/>
      <family val="2"/>
      <scheme val="minor"/>
    </font>
    <font>
      <sz val="11"/>
      <color theme="7" tint="-0.499984740745262"/>
      <name val="Roboto"/>
    </font>
    <font>
      <sz val="12"/>
      <color theme="7" tint="-0.499984740745262"/>
      <name val="Roboto"/>
    </font>
    <font>
      <b/>
      <sz val="12"/>
      <color theme="7" tint="-0.499984740745262"/>
      <name val="Roboto"/>
    </font>
    <font>
      <b/>
      <sz val="18"/>
      <color theme="0"/>
      <name val="Roboto"/>
    </font>
    <font>
      <sz val="11"/>
      <color theme="1"/>
      <name val="Calibri"/>
      <family val="2"/>
      <scheme val="minor"/>
    </font>
    <font>
      <b/>
      <sz val="26"/>
      <color theme="0"/>
      <name val="Futura"/>
    </font>
    <font>
      <sz val="12"/>
      <color theme="1"/>
      <name val="Roboto"/>
    </font>
    <font>
      <b/>
      <sz val="18"/>
      <color theme="0"/>
      <name val="Futura"/>
    </font>
    <font>
      <sz val="18"/>
      <color theme="1"/>
      <name val="Roboto"/>
    </font>
    <font>
      <u/>
      <sz val="20"/>
      <color theme="10"/>
      <name val="Aptos"/>
      <family val="2"/>
    </font>
    <font>
      <b/>
      <sz val="12"/>
      <color theme="0"/>
      <name val="Roboto"/>
    </font>
    <font>
      <i/>
      <sz val="14"/>
      <color theme="1"/>
      <name val="Roboto"/>
    </font>
    <font>
      <sz val="20"/>
      <color theme="1"/>
      <name val="Aptos"/>
      <family val="2"/>
    </font>
    <font>
      <sz val="12"/>
      <name val="Roboto"/>
    </font>
    <font>
      <b/>
      <sz val="12"/>
      <name val="Roboto"/>
    </font>
    <font>
      <b/>
      <sz val="14"/>
      <color theme="0"/>
      <name val="Roboto"/>
    </font>
    <font>
      <b/>
      <sz val="12"/>
      <color theme="1"/>
      <name val="Roboto"/>
    </font>
    <font>
      <b/>
      <sz val="11"/>
      <color theme="0"/>
      <name val="Roboto"/>
    </font>
    <font>
      <b/>
      <sz val="26"/>
      <color theme="0"/>
      <name val="Roboto"/>
    </font>
    <font>
      <b/>
      <sz val="24"/>
      <color theme="0"/>
      <name val="Roboto"/>
    </font>
    <font>
      <i/>
      <sz val="11"/>
      <name val="Roboto"/>
    </font>
    <font>
      <b/>
      <sz val="20"/>
      <color theme="0"/>
      <name val="Futura"/>
    </font>
    <font>
      <b/>
      <sz val="11"/>
      <color theme="1"/>
      <name val="Roboto"/>
    </font>
    <font>
      <b/>
      <sz val="11"/>
      <name val="Roboto"/>
    </font>
    <font>
      <sz val="14"/>
      <name val="Roboto"/>
    </font>
    <font>
      <sz val="12"/>
      <color theme="5" tint="-0.499984740745262"/>
      <name val="Roboto"/>
    </font>
    <font>
      <sz val="12"/>
      <color theme="0"/>
      <name val="Roboto"/>
    </font>
    <font>
      <i/>
      <sz val="12"/>
      <name val="Roboto"/>
    </font>
    <font>
      <u/>
      <sz val="12"/>
      <color theme="1"/>
      <name val="Roboto"/>
    </font>
    <font>
      <b/>
      <u/>
      <sz val="12"/>
      <name val="Roboto"/>
    </font>
    <font>
      <u/>
      <sz val="12"/>
      <color theme="7" tint="-0.499984740745262"/>
      <name val="Roboto"/>
    </font>
    <font>
      <u/>
      <sz val="12"/>
      <name val="Roboto"/>
    </font>
    <font>
      <b/>
      <sz val="16"/>
      <color theme="1"/>
      <name val="Roboto"/>
    </font>
    <font>
      <sz val="12"/>
      <color rgb="FFFFFFFF"/>
      <name val="Arial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006837"/>
        <bgColor indexed="64"/>
      </patternFill>
    </fill>
    <fill>
      <patternFill patternType="solid">
        <fgColor rgb="FF001838"/>
        <bgColor indexed="64"/>
      </patternFill>
    </fill>
    <fill>
      <patternFill patternType="solid">
        <fgColor rgb="FFED203F"/>
        <bgColor indexed="64"/>
      </patternFill>
    </fill>
    <fill>
      <patternFill patternType="solid">
        <fgColor rgb="FFBC1F36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C6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E1B3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/>
      </top>
      <bottom style="thin">
        <color theme="0" tint="-0.2499465926084170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8">
    <xf numFmtId="0" fontId="0" fillId="0" borderId="0"/>
    <xf numFmtId="0" fontId="3" fillId="0" borderId="0" applyNumberForma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0"/>
    <xf numFmtId="0" fontId="8" fillId="0" borderId="0"/>
    <xf numFmtId="0" fontId="8" fillId="0" borderId="0"/>
  </cellStyleXfs>
  <cellXfs count="132">
    <xf numFmtId="0" fontId="0" fillId="0" borderId="0" xfId="0"/>
    <xf numFmtId="0" fontId="7" fillId="2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1" fontId="7" fillId="2" borderId="5" xfId="0" applyNumberFormat="1" applyFont="1" applyFill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Continuous" vertical="center"/>
    </xf>
    <xf numFmtId="0" fontId="10" fillId="0" borderId="0" xfId="0" applyFont="1"/>
    <xf numFmtId="3" fontId="10" fillId="0" borderId="0" xfId="0" applyNumberFormat="1" applyFont="1"/>
    <xf numFmtId="0" fontId="11" fillId="5" borderId="16" xfId="0" applyFont="1" applyFill="1" applyBorder="1" applyAlignment="1">
      <alignment horizontal="centerContinuous" vertical="center"/>
    </xf>
    <xf numFmtId="0" fontId="12" fillId="0" borderId="16" xfId="0" applyFont="1" applyBorder="1" applyAlignment="1">
      <alignment horizontal="centerContinuous"/>
    </xf>
    <xf numFmtId="0" fontId="14" fillId="5" borderId="8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Continuous" vertical="center"/>
    </xf>
    <xf numFmtId="0" fontId="14" fillId="5" borderId="2" xfId="0" applyFont="1" applyFill="1" applyBorder="1" applyAlignment="1">
      <alignment horizontal="centerContinuous" vertical="center"/>
    </xf>
    <xf numFmtId="0" fontId="14" fillId="5" borderId="8" xfId="0" applyFont="1" applyFill="1" applyBorder="1" applyAlignment="1">
      <alignment horizontal="center" vertical="center" wrapText="1"/>
    </xf>
    <xf numFmtId="0" fontId="15" fillId="6" borderId="8" xfId="0" applyFont="1" applyFill="1" applyBorder="1" applyAlignment="1">
      <alignment horizontal="center" vertical="center"/>
    </xf>
    <xf numFmtId="0" fontId="15" fillId="7" borderId="8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" fillId="0" borderId="0" xfId="5" applyFont="1" applyAlignment="1">
      <alignment horizontal="center" vertical="center"/>
    </xf>
    <xf numFmtId="3" fontId="14" fillId="5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7" fillId="0" borderId="0" xfId="0" applyFont="1"/>
    <xf numFmtId="0" fontId="18" fillId="0" borderId="0" xfId="0" applyFont="1" applyAlignment="1">
      <alignment horizontal="left"/>
    </xf>
    <xf numFmtId="0" fontId="10" fillId="0" borderId="0" xfId="0" applyFont="1" applyAlignment="1">
      <alignment vertical="center"/>
    </xf>
    <xf numFmtId="0" fontId="17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top"/>
    </xf>
    <xf numFmtId="0" fontId="19" fillId="4" borderId="8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left" vertical="top"/>
    </xf>
    <xf numFmtId="0" fontId="1" fillId="9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5" fillId="9" borderId="19" xfId="0" applyNumberFormat="1" applyFont="1" applyFill="1" applyBorder="1" applyAlignment="1">
      <alignment horizontal="center" vertical="center" wrapText="1"/>
    </xf>
    <xf numFmtId="2" fontId="5" fillId="9" borderId="20" xfId="0" applyNumberFormat="1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/>
    </xf>
    <xf numFmtId="0" fontId="10" fillId="0" borderId="14" xfId="0" applyFont="1" applyBorder="1" applyAlignment="1">
      <alignment vertical="top" wrapText="1"/>
    </xf>
    <xf numFmtId="0" fontId="10" fillId="0" borderId="0" xfId="0" applyFont="1" applyAlignment="1">
      <alignment horizontal="left" vertical="center" wrapText="1"/>
    </xf>
    <xf numFmtId="0" fontId="22" fillId="3" borderId="16" xfId="0" applyFont="1" applyFill="1" applyBorder="1" applyAlignment="1">
      <alignment horizontal="centerContinuous" vertical="center"/>
    </xf>
    <xf numFmtId="0" fontId="23" fillId="4" borderId="0" xfId="0" applyFont="1" applyFill="1" applyAlignment="1">
      <alignment horizontal="centerContinuous" vertical="center" wrapText="1"/>
    </xf>
    <xf numFmtId="0" fontId="20" fillId="0" borderId="0" xfId="0" applyFont="1" applyAlignment="1">
      <alignment wrapText="1"/>
    </xf>
    <xf numFmtId="0" fontId="7" fillId="5" borderId="16" xfId="0" applyFont="1" applyFill="1" applyBorder="1" applyAlignment="1">
      <alignment horizontal="centerContinuous" vertical="center"/>
    </xf>
    <xf numFmtId="0" fontId="18" fillId="0" borderId="0" xfId="4" applyFont="1" applyFill="1" applyBorder="1" applyAlignment="1">
      <alignment vertical="top"/>
    </xf>
    <xf numFmtId="0" fontId="7" fillId="5" borderId="17" xfId="0" applyFont="1" applyFill="1" applyBorder="1" applyAlignment="1">
      <alignment horizontal="centerContinuous" vertical="center"/>
    </xf>
    <xf numFmtId="0" fontId="7" fillId="3" borderId="16" xfId="0" applyFont="1" applyFill="1" applyBorder="1" applyAlignment="1">
      <alignment horizontal="centerContinuous" vertical="center"/>
    </xf>
    <xf numFmtId="3" fontId="1" fillId="0" borderId="0" xfId="3" applyNumberFormat="1" applyFont="1" applyAlignment="1">
      <alignment horizontal="center"/>
    </xf>
    <xf numFmtId="0" fontId="24" fillId="0" borderId="0" xfId="0" applyFont="1"/>
    <xf numFmtId="0" fontId="9" fillId="4" borderId="0" xfId="0" applyFont="1" applyFill="1" applyAlignment="1">
      <alignment horizontal="centerContinuous" vertical="center" wrapText="1"/>
    </xf>
    <xf numFmtId="0" fontId="25" fillId="5" borderId="17" xfId="0" applyFont="1" applyFill="1" applyBorder="1" applyAlignment="1">
      <alignment horizontal="centerContinuous" vertical="center"/>
    </xf>
    <xf numFmtId="0" fontId="25" fillId="3" borderId="16" xfId="0" applyFont="1" applyFill="1" applyBorder="1" applyAlignment="1">
      <alignment horizontal="centerContinuous" vertical="center"/>
    </xf>
    <xf numFmtId="0" fontId="20" fillId="0" borderId="0" xfId="0" applyFont="1"/>
    <xf numFmtId="0" fontId="7" fillId="2" borderId="5" xfId="3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Continuous"/>
    </xf>
    <xf numFmtId="0" fontId="14" fillId="5" borderId="23" xfId="0" applyFont="1" applyFill="1" applyBorder="1" applyAlignment="1">
      <alignment horizontal="centerContinuous"/>
    </xf>
    <xf numFmtId="165" fontId="5" fillId="0" borderId="7" xfId="0" applyNumberFormat="1" applyFont="1" applyBorder="1" applyAlignment="1">
      <alignment vertical="center"/>
    </xf>
    <xf numFmtId="0" fontId="5" fillId="9" borderId="0" xfId="0" applyFont="1" applyFill="1" applyAlignment="1">
      <alignment horizontal="centerContinuous"/>
    </xf>
    <xf numFmtId="0" fontId="10" fillId="9" borderId="0" xfId="0" applyFont="1" applyFill="1" applyAlignment="1">
      <alignment horizontal="centerContinuous"/>
    </xf>
    <xf numFmtId="2" fontId="5" fillId="9" borderId="0" xfId="0" applyNumberFormat="1" applyFont="1" applyFill="1" applyAlignment="1">
      <alignment horizontal="center" vertical="center" wrapText="1"/>
    </xf>
    <xf numFmtId="166" fontId="5" fillId="9" borderId="0" xfId="0" applyNumberFormat="1" applyFont="1" applyFill="1" applyAlignment="1">
      <alignment horizontal="centerContinuous" vertical="center" wrapText="1"/>
    </xf>
    <xf numFmtId="1" fontId="5" fillId="9" borderId="0" xfId="0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Continuous"/>
    </xf>
    <xf numFmtId="2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26" fillId="0" borderId="0" xfId="0" applyFont="1"/>
    <xf numFmtId="0" fontId="5" fillId="0" borderId="0" xfId="0" applyFont="1"/>
    <xf numFmtId="0" fontId="2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8" fillId="10" borderId="0" xfId="0" applyFont="1" applyFill="1" applyAlignment="1">
      <alignment horizontal="center" vertical="center"/>
    </xf>
    <xf numFmtId="0" fontId="21" fillId="5" borderId="2" xfId="0" applyFont="1" applyFill="1" applyBorder="1" applyAlignment="1">
      <alignment horizontal="centerContinuous" vertical="center"/>
    </xf>
    <xf numFmtId="0" fontId="21" fillId="5" borderId="3" xfId="0" applyFont="1" applyFill="1" applyBorder="1" applyAlignment="1">
      <alignment horizontal="centerContinuous" vertical="center"/>
    </xf>
    <xf numFmtId="0" fontId="5" fillId="9" borderId="25" xfId="0" applyFont="1" applyFill="1" applyBorder="1" applyAlignment="1">
      <alignment horizontal="center"/>
    </xf>
    <xf numFmtId="0" fontId="5" fillId="9" borderId="19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vertical="center"/>
    </xf>
    <xf numFmtId="0" fontId="29" fillId="0" borderId="0" xfId="0" applyFont="1"/>
    <xf numFmtId="0" fontId="14" fillId="5" borderId="26" xfId="0" applyFont="1" applyFill="1" applyBorder="1" applyAlignment="1">
      <alignment horizontal="centerContinuous" vertical="center" wrapText="1"/>
    </xf>
    <xf numFmtId="0" fontId="14" fillId="5" borderId="23" xfId="0" applyFont="1" applyFill="1" applyBorder="1" applyAlignment="1">
      <alignment horizontal="centerContinuous" vertical="center" wrapText="1"/>
    </xf>
    <xf numFmtId="0" fontId="14" fillId="5" borderId="22" xfId="0" applyFont="1" applyFill="1" applyBorder="1" applyAlignment="1">
      <alignment horizontal="centerContinuous" wrapText="1"/>
    </xf>
    <xf numFmtId="0" fontId="5" fillId="0" borderId="0" xfId="0" applyFont="1" applyAlignment="1">
      <alignment horizontal="center" vertical="center"/>
    </xf>
    <xf numFmtId="0" fontId="14" fillId="5" borderId="27" xfId="0" applyFont="1" applyFill="1" applyBorder="1" applyAlignment="1">
      <alignment horizontal="center" vertical="center"/>
    </xf>
    <xf numFmtId="0" fontId="30" fillId="5" borderId="2" xfId="0" applyFont="1" applyFill="1" applyBorder="1" applyAlignment="1">
      <alignment horizontal="centerContinuous" vertical="center"/>
    </xf>
    <xf numFmtId="0" fontId="5" fillId="0" borderId="16" xfId="0" applyFont="1" applyBorder="1" applyAlignment="1">
      <alignment horizontal="center" vertical="center"/>
    </xf>
    <xf numFmtId="18" fontId="30" fillId="5" borderId="2" xfId="0" applyNumberFormat="1" applyFont="1" applyFill="1" applyBorder="1" applyAlignment="1">
      <alignment horizontal="centerContinuous" vertical="center"/>
    </xf>
    <xf numFmtId="0" fontId="30" fillId="5" borderId="3" xfId="0" applyFont="1" applyFill="1" applyBorder="1" applyAlignment="1">
      <alignment horizontal="centerContinuous" vertical="center"/>
    </xf>
    <xf numFmtId="0" fontId="7" fillId="2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Continuous" vertical="center"/>
    </xf>
    <xf numFmtId="0" fontId="7" fillId="2" borderId="5" xfId="0" quotePrefix="1" applyFont="1" applyFill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top" indent="1"/>
    </xf>
    <xf numFmtId="0" fontId="10" fillId="0" borderId="11" xfId="0" applyFont="1" applyBorder="1" applyAlignment="1">
      <alignment horizontal="left" vertical="top" indent="2"/>
    </xf>
    <xf numFmtId="0" fontId="10" fillId="0" borderId="11" xfId="0" applyFont="1" applyBorder="1" applyAlignment="1">
      <alignment horizontal="left" vertical="top" indent="1"/>
    </xf>
    <xf numFmtId="0" fontId="10" fillId="0" borderId="13" xfId="0" applyFont="1" applyBorder="1" applyAlignment="1">
      <alignment horizontal="left" vertical="top" indent="1"/>
    </xf>
    <xf numFmtId="0" fontId="14" fillId="5" borderId="8" xfId="0" applyFont="1" applyFill="1" applyBorder="1" applyAlignment="1">
      <alignment horizontal="centerContinuous" vertical="center"/>
    </xf>
    <xf numFmtId="0" fontId="21" fillId="5" borderId="8" xfId="0" applyFont="1" applyFill="1" applyBorder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8" fillId="0" borderId="0" xfId="0" applyFont="1"/>
    <xf numFmtId="0" fontId="18" fillId="0" borderId="14" xfId="0" applyFont="1" applyBorder="1"/>
    <xf numFmtId="0" fontId="10" fillId="0" borderId="0" xfId="0" applyFont="1" applyAlignment="1">
      <alignment vertical="top" wrapText="1"/>
    </xf>
    <xf numFmtId="0" fontId="10" fillId="0" borderId="12" xfId="0" applyFont="1" applyBorder="1"/>
    <xf numFmtId="0" fontId="1" fillId="0" borderId="11" xfId="0" applyFont="1" applyBorder="1"/>
    <xf numFmtId="0" fontId="2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1" fillId="0" borderId="9" xfId="0" applyFont="1" applyBorder="1"/>
    <xf numFmtId="0" fontId="2" fillId="0" borderId="9" xfId="0" applyFont="1" applyBorder="1"/>
    <xf numFmtId="0" fontId="2" fillId="0" borderId="10" xfId="0" applyFont="1" applyBorder="1"/>
    <xf numFmtId="165" fontId="5" fillId="0" borderId="28" xfId="0" applyNumberFormat="1" applyFont="1" applyBorder="1" applyAlignment="1">
      <alignment vertical="center"/>
    </xf>
    <xf numFmtId="0" fontId="1" fillId="0" borderId="29" xfId="0" applyFont="1" applyBorder="1"/>
    <xf numFmtId="0" fontId="2" fillId="0" borderId="29" xfId="0" applyFont="1" applyBorder="1"/>
    <xf numFmtId="0" fontId="2" fillId="0" borderId="30" xfId="0" applyFont="1" applyBorder="1"/>
    <xf numFmtId="0" fontId="36" fillId="9" borderId="0" xfId="6" applyFont="1" applyFill="1"/>
    <xf numFmtId="3" fontId="1" fillId="9" borderId="0" xfId="6" applyNumberFormat="1" applyFont="1" applyFill="1"/>
    <xf numFmtId="0" fontId="1" fillId="9" borderId="0" xfId="6" applyFont="1" applyFill="1"/>
    <xf numFmtId="0" fontId="2" fillId="9" borderId="0" xfId="6" applyFont="1" applyFill="1"/>
    <xf numFmtId="0" fontId="21" fillId="11" borderId="8" xfId="6" applyFont="1" applyFill="1" applyBorder="1" applyAlignment="1">
      <alignment horizontal="center" vertical="center"/>
    </xf>
    <xf numFmtId="3" fontId="21" fillId="11" borderId="8" xfId="6" applyNumberFormat="1" applyFont="1" applyFill="1" applyBorder="1" applyAlignment="1">
      <alignment horizontal="center" vertical="center"/>
    </xf>
    <xf numFmtId="0" fontId="4" fillId="9" borderId="31" xfId="6" applyFont="1" applyFill="1" applyBorder="1" applyAlignment="1">
      <alignment horizontal="center" vertical="center" wrapText="1"/>
    </xf>
    <xf numFmtId="1" fontId="7" fillId="2" borderId="32" xfId="6" applyNumberFormat="1" applyFont="1" applyFill="1" applyBorder="1" applyAlignment="1">
      <alignment horizontal="center" vertical="center"/>
    </xf>
    <xf numFmtId="0" fontId="6" fillId="0" borderId="31" xfId="5" applyFont="1" applyBorder="1" applyAlignment="1">
      <alignment horizontal="center" vertical="center"/>
    </xf>
    <xf numFmtId="0" fontId="4" fillId="9" borderId="4" xfId="6" applyFont="1" applyFill="1" applyBorder="1" applyAlignment="1">
      <alignment horizontal="center" vertical="center" wrapText="1"/>
    </xf>
    <xf numFmtId="0" fontId="6" fillId="0" borderId="4" xfId="5" applyFont="1" applyBorder="1" applyAlignment="1">
      <alignment horizontal="center" vertical="center"/>
    </xf>
    <xf numFmtId="0" fontId="5" fillId="0" borderId="4" xfId="6" applyFont="1" applyBorder="1" applyAlignment="1">
      <alignment horizontal="center" vertical="center" wrapText="1"/>
    </xf>
    <xf numFmtId="0" fontId="1" fillId="9" borderId="0" xfId="6" applyFont="1" applyFill="1" applyAlignment="1">
      <alignment horizontal="center"/>
    </xf>
    <xf numFmtId="3" fontId="1" fillId="9" borderId="0" xfId="6" applyNumberFormat="1" applyFont="1" applyFill="1" applyAlignment="1">
      <alignment horizontal="center"/>
    </xf>
    <xf numFmtId="0" fontId="37" fillId="0" borderId="0" xfId="0" applyFont="1"/>
    <xf numFmtId="0" fontId="10" fillId="0" borderId="0" xfId="0" quotePrefix="1" applyFont="1"/>
  </cellXfs>
  <cellStyles count="8">
    <cellStyle name="Comma 2" xfId="2" xr:uid="{3F643F9E-A82A-4EED-89B8-6DDE99EEF9AF}"/>
    <cellStyle name="Dziesiętny" xfId="3" builtinId="3"/>
    <cellStyle name="Hiperłącze" xfId="4" builtinId="8"/>
    <cellStyle name="Hyperlink 2" xfId="1" xr:uid="{6ED85ED9-A24A-48A6-887D-4F7D7F9D9663}"/>
    <cellStyle name="Normal 2" xfId="5" xr:uid="{4DEF6784-F81A-44CD-A91E-11D31EFC3D0A}"/>
    <cellStyle name="Normal 3" xfId="6" xr:uid="{7C48EADF-7DCF-45F3-B880-3CF7CEB0EF9C}"/>
    <cellStyle name="Normal 3 2" xfId="7" xr:uid="{AAAB6D10-F220-41BA-B7BE-4DFCB8BB57EC}"/>
    <cellStyle name="Normalny" xfId="0" builtinId="0"/>
  </cellStyles>
  <dxfs count="0"/>
  <tableStyles count="1" defaultTableStyle="TableStyleMedium2" defaultPivotStyle="PivotStyleLight16">
    <tableStyle name="Invisible" pivot="0" table="0" count="0" xr9:uid="{60DF6241-D70C-4E3C-82E7-B7530499BEB6}"/>
  </tableStyles>
  <colors>
    <mruColors>
      <color rgb="FFBC1F36"/>
      <color rgb="FF806000"/>
      <color rgb="FF001838"/>
      <color rgb="FF020024"/>
      <color rgb="FF007B00"/>
      <color rgb="FFED203F"/>
      <color rgb="FFDAF2D0"/>
      <color rgb="FF0068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1550</xdr:colOff>
      <xdr:row>4</xdr:row>
      <xdr:rowOff>10205</xdr:rowOff>
    </xdr:from>
    <xdr:to>
      <xdr:col>10</xdr:col>
      <xdr:colOff>3549</xdr:colOff>
      <xdr:row>12</xdr:row>
      <xdr:rowOff>280499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17D7F5-9B05-42D7-8702-7DBF7D99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214910" y="1191305"/>
          <a:ext cx="12780739" cy="3318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5B1C22-9530-4F93-96FF-1D281038352E}">
  <we:reference id="wa200003696" version="1.3.0.0" store="fr-FR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6AC5-46AF-4317-9F8C-437AC60F330D}">
  <sheetPr>
    <tabColor theme="8" tint="0.79998168889431442"/>
  </sheetPr>
  <dimension ref="A1:XX1000"/>
  <sheetViews>
    <sheetView showGridLines="0" tabSelected="1" topLeftCell="A48" zoomScaleNormal="100" workbookViewId="0">
      <selection activeCell="E55" sqref="E55"/>
    </sheetView>
  </sheetViews>
  <sheetFormatPr defaultColWidth="4.140625" defaultRowHeight="15"/>
  <cols>
    <col min="1" max="1" width="3.140625" style="5" customWidth="1"/>
    <col min="2" max="2" width="12.140625" style="5" customWidth="1"/>
    <col min="3" max="3" width="19.5703125" style="5" bestFit="1" customWidth="1"/>
    <col min="4" max="4" width="21.85546875" style="5" customWidth="1"/>
    <col min="5" max="5" width="42.5703125" style="5" customWidth="1"/>
    <col min="6" max="6" width="4.85546875" style="5" customWidth="1"/>
    <col min="7" max="10" width="21.28515625" style="5" customWidth="1"/>
    <col min="11" max="17" width="21.28515625" style="7" customWidth="1"/>
    <col min="18" max="18" width="15.85546875" style="7" customWidth="1"/>
    <col min="19" max="28" width="12.5703125" style="7" customWidth="1"/>
    <col min="29" max="38" width="15.140625" style="7" customWidth="1"/>
    <col min="39" max="39" width="8.28515625" style="7" bestFit="1" customWidth="1"/>
    <col min="40" max="40" width="5.7109375" style="7" bestFit="1" customWidth="1"/>
    <col min="41" max="41" width="4.5703125" style="7" bestFit="1" customWidth="1"/>
    <col min="42" max="16384" width="4.140625" style="7"/>
  </cols>
  <sheetData>
    <row r="1" spans="1:13" s="12" customFormat="1" ht="15" customHeight="1">
      <c r="A1" s="12" t="s">
        <v>0</v>
      </c>
    </row>
    <row r="2" spans="1:13" s="12" customFormat="1" ht="33" customHeight="1">
      <c r="B2" s="11" t="s">
        <v>1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s="12" customFormat="1" ht="15" customHeight="1">
      <c r="E3" s="13"/>
    </row>
    <row r="4" spans="1:13" s="12" customFormat="1" ht="30" customHeight="1">
      <c r="B4" s="52" t="s">
        <v>2</v>
      </c>
      <c r="C4" s="44"/>
      <c r="D4" s="44"/>
      <c r="E4" s="44"/>
      <c r="F4" s="44"/>
      <c r="G4" s="44"/>
      <c r="H4" s="44"/>
      <c r="I4" s="44"/>
      <c r="J4" s="44"/>
      <c r="K4" s="45"/>
      <c r="L4" s="46" t="s">
        <v>3</v>
      </c>
      <c r="M4" s="46"/>
    </row>
    <row r="5" spans="1:13" s="12" customFormat="1" ht="30" customHeight="1">
      <c r="E5" s="13"/>
      <c r="K5" s="45"/>
      <c r="L5" s="15" t="s">
        <v>4</v>
      </c>
      <c r="M5" s="15"/>
    </row>
    <row r="6" spans="1:13" s="12" customFormat="1" ht="30" customHeight="1">
      <c r="E6" s="13"/>
      <c r="K6" s="45"/>
    </row>
    <row r="7" spans="1:13" s="12" customFormat="1" ht="30" customHeight="1">
      <c r="E7" s="13"/>
      <c r="K7" s="45"/>
      <c r="L7" s="14" t="s">
        <v>5</v>
      </c>
      <c r="M7" s="14"/>
    </row>
    <row r="8" spans="1:13" s="12" customFormat="1" ht="30" customHeight="1">
      <c r="E8" s="13"/>
      <c r="K8" s="45"/>
      <c r="L8" s="15" t="s">
        <v>6</v>
      </c>
      <c r="M8" s="15"/>
    </row>
    <row r="9" spans="1:13" s="12" customFormat="1" ht="30" customHeight="1">
      <c r="E9" s="13"/>
      <c r="K9" s="45"/>
      <c r="L9" s="15" t="s">
        <v>7</v>
      </c>
      <c r="M9" s="15"/>
    </row>
    <row r="10" spans="1:13" s="12" customFormat="1" ht="30" customHeight="1">
      <c r="E10" s="13"/>
      <c r="K10" s="45"/>
      <c r="L10" s="15" t="s">
        <v>8</v>
      </c>
      <c r="M10" s="15"/>
    </row>
    <row r="11" spans="1:13" s="12" customFormat="1" ht="30" customHeight="1">
      <c r="E11" s="13"/>
      <c r="K11" s="45"/>
      <c r="L11" s="15" t="s">
        <v>9</v>
      </c>
      <c r="M11" s="15"/>
    </row>
    <row r="12" spans="1:13" s="12" customFormat="1" ht="30" customHeight="1">
      <c r="E12" s="13"/>
      <c r="K12" s="45"/>
      <c r="L12" s="45"/>
    </row>
    <row r="13" spans="1:13" s="12" customFormat="1" ht="30" customHeight="1">
      <c r="E13" s="13"/>
      <c r="K13" s="47"/>
      <c r="L13" s="47"/>
    </row>
    <row r="14" spans="1:13" s="12" customFormat="1" ht="30" customHeight="1">
      <c r="B14" s="53" t="s">
        <v>10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</row>
    <row r="15" spans="1:13" s="12" customFormat="1" ht="15" customHeight="1">
      <c r="B15" s="3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4"/>
    </row>
    <row r="16" spans="1:13" s="12" customFormat="1" ht="15" customHeight="1">
      <c r="B16" s="33" t="s">
        <v>11</v>
      </c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4"/>
    </row>
    <row r="17" spans="2:13" s="12" customFormat="1" ht="15" customHeight="1">
      <c r="B17" s="33" t="s">
        <v>12</v>
      </c>
      <c r="M17" s="104"/>
    </row>
    <row r="18" spans="2:13" s="12" customFormat="1" ht="15" customHeight="1">
      <c r="B18" s="33" t="s">
        <v>13</v>
      </c>
      <c r="M18" s="104"/>
    </row>
    <row r="19" spans="2:13" s="12" customFormat="1" ht="15" customHeight="1">
      <c r="B19" s="33" t="s">
        <v>14</v>
      </c>
      <c r="M19" s="104"/>
    </row>
    <row r="20" spans="2:13" s="12" customFormat="1" ht="15" customHeight="1">
      <c r="B20" s="33"/>
      <c r="M20" s="104"/>
    </row>
    <row r="21" spans="2:13" s="12" customFormat="1" ht="15" customHeight="1">
      <c r="B21" s="94" t="s">
        <v>15</v>
      </c>
      <c r="M21" s="104"/>
    </row>
    <row r="22" spans="2:13" s="12" customFormat="1" ht="15" customHeight="1">
      <c r="B22" s="95" t="s">
        <v>16</v>
      </c>
      <c r="M22" s="104"/>
    </row>
    <row r="23" spans="2:13" s="12" customFormat="1" ht="15" customHeight="1">
      <c r="B23" s="95" t="s">
        <v>17</v>
      </c>
      <c r="M23" s="104"/>
    </row>
    <row r="24" spans="2:13" s="12" customFormat="1" ht="15" customHeight="1">
      <c r="B24" s="95" t="s">
        <v>18</v>
      </c>
      <c r="M24" s="104"/>
    </row>
    <row r="25" spans="2:13" s="12" customFormat="1" ht="15" customHeight="1">
      <c r="B25" s="95" t="s">
        <v>19</v>
      </c>
      <c r="M25" s="104"/>
    </row>
    <row r="26" spans="2:13" s="12" customFormat="1" ht="15" customHeight="1">
      <c r="B26" s="96"/>
      <c r="M26" s="104"/>
    </row>
    <row r="27" spans="2:13" s="12" customFormat="1" ht="15" customHeight="1">
      <c r="B27" s="96" t="s">
        <v>20</v>
      </c>
      <c r="M27" s="104"/>
    </row>
    <row r="28" spans="2:13" s="12" customFormat="1" ht="15" customHeight="1">
      <c r="B28" s="95" t="s">
        <v>21</v>
      </c>
      <c r="M28" s="104"/>
    </row>
    <row r="29" spans="2:13" s="12" customFormat="1" ht="15" customHeight="1">
      <c r="B29" s="95" t="s">
        <v>22</v>
      </c>
      <c r="M29" s="104"/>
    </row>
    <row r="30" spans="2:13" s="12" customFormat="1" ht="15" customHeight="1">
      <c r="B30" s="95" t="s">
        <v>23</v>
      </c>
      <c r="M30" s="104"/>
    </row>
    <row r="31" spans="2:13" s="12" customFormat="1" ht="15" customHeight="1">
      <c r="B31" s="95" t="s">
        <v>24</v>
      </c>
      <c r="M31" s="104"/>
    </row>
    <row r="32" spans="2:13">
      <c r="B32" s="105"/>
      <c r="M32" s="106"/>
    </row>
    <row r="33" spans="2:13" s="12" customFormat="1" ht="15" customHeight="1">
      <c r="B33" s="96" t="s">
        <v>25</v>
      </c>
      <c r="C33" s="103"/>
      <c r="D33" s="103"/>
      <c r="E33" s="103"/>
      <c r="F33" s="103"/>
      <c r="G33" s="103"/>
      <c r="H33" s="103"/>
      <c r="I33" s="103"/>
      <c r="J33" s="103"/>
      <c r="M33" s="104"/>
    </row>
    <row r="34" spans="2:13" s="12" customFormat="1" ht="15" customHeight="1">
      <c r="B34" s="97"/>
      <c r="C34" s="41"/>
      <c r="D34" s="41"/>
      <c r="E34" s="41"/>
      <c r="F34" s="41"/>
      <c r="G34" s="41"/>
      <c r="H34" s="41"/>
      <c r="I34" s="41"/>
      <c r="J34" s="41"/>
      <c r="K34" s="107"/>
      <c r="L34" s="107"/>
      <c r="M34" s="108"/>
    </row>
    <row r="35" spans="2:13" s="12" customFormat="1" ht="15" customHeight="1">
      <c r="B35" s="42"/>
      <c r="C35" s="42"/>
      <c r="D35" s="42"/>
      <c r="E35" s="42"/>
      <c r="F35" s="42"/>
      <c r="G35" s="42"/>
      <c r="H35" s="42"/>
      <c r="I35" s="42"/>
      <c r="J35" s="42"/>
    </row>
    <row r="36" spans="2:13" s="12" customFormat="1" ht="15" customHeight="1">
      <c r="B36" s="42"/>
      <c r="C36" s="42"/>
      <c r="D36" s="42"/>
      <c r="E36" s="42"/>
      <c r="F36" s="42"/>
      <c r="G36" s="83" t="s">
        <v>26</v>
      </c>
      <c r="H36" s="81"/>
      <c r="I36" s="81"/>
      <c r="J36" s="82"/>
    </row>
    <row r="37" spans="2:13" s="12" customFormat="1" ht="15.6" customHeight="1">
      <c r="F37" s="65"/>
      <c r="G37" s="57" t="s">
        <v>27</v>
      </c>
      <c r="H37" s="58" t="s">
        <v>28</v>
      </c>
      <c r="I37" s="40" t="s">
        <v>29</v>
      </c>
      <c r="J37" s="40" t="s">
        <v>30</v>
      </c>
    </row>
    <row r="38" spans="2:13" s="12" customFormat="1" ht="15.6" customHeight="1">
      <c r="F38" s="66"/>
      <c r="G38" s="75" t="s">
        <v>31</v>
      </c>
      <c r="H38" s="77" t="s">
        <v>32</v>
      </c>
      <c r="I38" s="39" t="s">
        <v>33</v>
      </c>
      <c r="J38" s="39" t="s">
        <v>33</v>
      </c>
    </row>
    <row r="39" spans="2:13" s="12" customFormat="1" ht="15.6" customHeight="1">
      <c r="F39" s="67"/>
      <c r="G39" s="76" t="s">
        <v>34</v>
      </c>
      <c r="H39" s="78" t="s">
        <v>35</v>
      </c>
      <c r="I39" s="38" t="s">
        <v>36</v>
      </c>
      <c r="J39" s="38" t="s">
        <v>36</v>
      </c>
      <c r="L39" s="131" t="s">
        <v>2179</v>
      </c>
    </row>
    <row r="40" spans="2:13" s="12" customFormat="1" ht="15.6" customHeight="1">
      <c r="F40" s="67"/>
      <c r="G40" s="76" t="s">
        <v>37</v>
      </c>
      <c r="H40" s="78" t="s">
        <v>38</v>
      </c>
      <c r="I40" s="38" t="s">
        <v>39</v>
      </c>
      <c r="J40" s="38" t="s">
        <v>40</v>
      </c>
    </row>
    <row r="41" spans="2:13" s="12" customFormat="1" ht="15.6" customHeight="1">
      <c r="F41" s="67"/>
      <c r="G41" s="76" t="s">
        <v>41</v>
      </c>
      <c r="H41" s="78" t="s">
        <v>42</v>
      </c>
      <c r="I41" s="38" t="s">
        <v>43</v>
      </c>
      <c r="J41" s="38" t="s">
        <v>44</v>
      </c>
    </row>
    <row r="42" spans="2:13" s="12" customFormat="1" ht="15.6" customHeight="1">
      <c r="F42" s="67"/>
      <c r="G42" s="76" t="s">
        <v>45</v>
      </c>
      <c r="H42" s="78" t="s">
        <v>46</v>
      </c>
      <c r="I42" s="38" t="s">
        <v>44</v>
      </c>
      <c r="J42" s="38" t="s">
        <v>43</v>
      </c>
    </row>
    <row r="43" spans="2:13" s="12" customFormat="1" ht="15.6" customHeight="1">
      <c r="F43" s="67"/>
      <c r="G43" s="76" t="s">
        <v>47</v>
      </c>
      <c r="H43" s="78" t="s">
        <v>48</v>
      </c>
      <c r="I43" s="38" t="s">
        <v>40</v>
      </c>
      <c r="J43" s="38" t="s">
        <v>39</v>
      </c>
    </row>
    <row r="44" spans="2:13" s="12" customFormat="1" ht="15.6" customHeight="1">
      <c r="F44" s="67"/>
      <c r="G44" s="76" t="s">
        <v>49</v>
      </c>
      <c r="H44" s="78" t="s">
        <v>50</v>
      </c>
      <c r="I44" s="38" t="s">
        <v>51</v>
      </c>
      <c r="J44" s="38" t="s">
        <v>51</v>
      </c>
    </row>
    <row r="45" spans="2:13" s="12" customFormat="1" ht="15.6" customHeight="1">
      <c r="F45" s="67"/>
      <c r="G45" s="76" t="s">
        <v>52</v>
      </c>
      <c r="H45" s="78" t="s">
        <v>53</v>
      </c>
      <c r="I45" s="38" t="s">
        <v>51</v>
      </c>
      <c r="J45" s="38" t="s">
        <v>51</v>
      </c>
    </row>
    <row r="46" spans="2:13" s="12" customFormat="1" ht="15.6" customHeight="1">
      <c r="F46" s="67"/>
      <c r="G46" s="76" t="s">
        <v>54</v>
      </c>
      <c r="H46" s="78" t="s">
        <v>55</v>
      </c>
      <c r="I46" s="38" t="s">
        <v>56</v>
      </c>
      <c r="J46" s="38" t="s">
        <v>56</v>
      </c>
    </row>
    <row r="47" spans="2:13" s="12" customFormat="1" ht="15.6" customHeight="1">
      <c r="B47" s="60"/>
      <c r="C47" s="61"/>
      <c r="D47" s="62"/>
      <c r="E47" s="63"/>
      <c r="F47" s="61"/>
      <c r="G47" s="62"/>
      <c r="H47" s="64"/>
      <c r="I47" s="64"/>
      <c r="J47" s="42"/>
    </row>
    <row r="48" spans="2:13" s="12" customFormat="1" ht="30" customHeight="1">
      <c r="B48" s="54" t="s">
        <v>57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50" spans="2:13" s="5" customFormat="1" ht="15" customHeight="1">
      <c r="B50" s="31" t="s">
        <v>58</v>
      </c>
      <c r="C50" s="8"/>
      <c r="D50" s="8"/>
      <c r="E50" s="8"/>
      <c r="F50" s="8"/>
      <c r="G50" s="8"/>
    </row>
    <row r="51" spans="2:13" s="5" customFormat="1" ht="15" customHeight="1" thickBot="1">
      <c r="B51" s="8"/>
      <c r="C51" s="8"/>
      <c r="D51" s="8"/>
      <c r="E51" s="8"/>
      <c r="F51" s="8"/>
      <c r="G51" s="8"/>
    </row>
    <row r="52" spans="2:13" s="26" customFormat="1" ht="30" customHeight="1" thickBot="1">
      <c r="B52" s="16" t="s">
        <v>59</v>
      </c>
      <c r="C52" s="19" t="s">
        <v>60</v>
      </c>
      <c r="D52" s="16" t="s">
        <v>61</v>
      </c>
      <c r="E52" s="16" t="s">
        <v>62</v>
      </c>
      <c r="F52" s="25"/>
      <c r="G52" s="17" t="s">
        <v>63</v>
      </c>
      <c r="H52" s="17"/>
      <c r="I52" s="17"/>
      <c r="J52" s="17"/>
      <c r="K52" s="17"/>
      <c r="L52" s="17"/>
      <c r="M52" s="98"/>
    </row>
    <row r="53" spans="2:13" ht="33.75" customHeight="1">
      <c r="B53" s="2" t="s">
        <v>64</v>
      </c>
      <c r="C53" s="2">
        <v>2</v>
      </c>
      <c r="D53" s="10">
        <v>30</v>
      </c>
      <c r="E53" s="1" cm="1">
        <f t="array" ref="E53">SUM(IF(ISERROR(_xlfn.ANCHORARRAY(H120)),_xlfn.ANCHORARRAY(E120),0))</f>
        <v>1167</v>
      </c>
      <c r="F53" s="23"/>
      <c r="G53" s="112" t="s">
        <v>65</v>
      </c>
      <c r="H53" s="113"/>
      <c r="I53" s="113"/>
      <c r="J53" s="113"/>
      <c r="K53" s="114"/>
      <c r="L53" s="114"/>
      <c r="M53" s="115"/>
    </row>
    <row r="54" spans="2:13" ht="33.75" customHeight="1">
      <c r="B54" s="2" t="s">
        <v>66</v>
      </c>
      <c r="C54" s="2">
        <v>3</v>
      </c>
      <c r="D54" s="10">
        <v>40</v>
      </c>
      <c r="E54" s="1">
        <v>3</v>
      </c>
      <c r="F54" s="23"/>
      <c r="G54" s="59" t="s">
        <v>67</v>
      </c>
      <c r="H54" s="109"/>
      <c r="I54" s="109"/>
      <c r="J54" s="109"/>
      <c r="K54" s="110"/>
      <c r="L54" s="110"/>
      <c r="M54" s="111"/>
    </row>
    <row r="55" spans="2:13" ht="33.75" customHeight="1">
      <c r="B55" s="2" t="s">
        <v>68</v>
      </c>
      <c r="C55" s="93" t="s">
        <v>69</v>
      </c>
      <c r="D55" s="10">
        <v>60</v>
      </c>
      <c r="E55" s="90">
        <v>10</v>
      </c>
      <c r="F55" s="23"/>
      <c r="G55" s="59" t="s">
        <v>70</v>
      </c>
      <c r="H55" s="109"/>
      <c r="I55" s="109"/>
      <c r="J55" s="109"/>
      <c r="K55" s="110"/>
      <c r="L55" s="110"/>
      <c r="M55" s="111"/>
    </row>
    <row r="56" spans="2:13" ht="33.75" customHeight="1">
      <c r="B56" s="2" t="s">
        <v>71</v>
      </c>
      <c r="C56" s="2" t="s">
        <v>56</v>
      </c>
      <c r="D56" s="10">
        <v>50</v>
      </c>
      <c r="E56" s="1">
        <v>282</v>
      </c>
      <c r="F56" s="23"/>
      <c r="G56" s="59" t="s">
        <v>72</v>
      </c>
      <c r="H56" s="109"/>
      <c r="I56" s="109"/>
      <c r="J56" s="109"/>
      <c r="K56" s="110"/>
      <c r="L56" s="110"/>
      <c r="M56" s="111"/>
    </row>
    <row r="57" spans="2:13" ht="33.75" customHeight="1">
      <c r="B57" s="2" t="s">
        <v>73</v>
      </c>
      <c r="C57" s="2">
        <v>7</v>
      </c>
      <c r="D57" s="10">
        <v>70</v>
      </c>
      <c r="E57" s="4">
        <v>46</v>
      </c>
      <c r="F57" s="23"/>
      <c r="G57" s="59" t="s">
        <v>74</v>
      </c>
      <c r="H57" s="109"/>
      <c r="I57" s="109"/>
      <c r="J57" s="109"/>
      <c r="K57" s="110"/>
      <c r="L57" s="110"/>
      <c r="M57" s="111"/>
    </row>
    <row r="58" spans="2:13" s="5" customFormat="1" ht="15" customHeight="1"/>
    <row r="59" spans="2:13" s="12" customFormat="1" ht="30" customHeight="1">
      <c r="B59" s="54" t="s">
        <v>75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</row>
    <row r="60" spans="2:13" s="5" customFormat="1" ht="15" customHeight="1" thickBot="1"/>
    <row r="61" spans="2:13" s="5" customFormat="1" ht="22.5" customHeight="1" thickBot="1">
      <c r="B61" s="32" t="s">
        <v>76</v>
      </c>
      <c r="C61" s="20" t="s">
        <v>77</v>
      </c>
      <c r="D61" s="35" t="s">
        <v>78</v>
      </c>
    </row>
    <row r="62" spans="2:13" s="5" customFormat="1" ht="15" customHeight="1">
      <c r="B62" s="12"/>
      <c r="C62" s="12"/>
      <c r="D62" s="12"/>
      <c r="E62" s="12"/>
      <c r="F62" s="12"/>
      <c r="G62" s="12"/>
    </row>
    <row r="63" spans="2:13" s="5" customFormat="1" ht="15" customHeight="1">
      <c r="B63" s="12" t="s">
        <v>79</v>
      </c>
      <c r="C63" s="12"/>
      <c r="D63" s="12"/>
      <c r="E63" s="12"/>
      <c r="F63" s="12"/>
      <c r="G63" s="12"/>
    </row>
    <row r="64" spans="2:13" s="5" customFormat="1" ht="15" customHeight="1">
      <c r="B64" s="55" t="s">
        <v>80</v>
      </c>
      <c r="C64" s="12"/>
      <c r="D64" s="12"/>
      <c r="E64" s="12"/>
      <c r="F64" s="12"/>
      <c r="G64" s="12"/>
    </row>
    <row r="66" spans="2:17" ht="15" customHeight="1">
      <c r="B66" s="55" t="s">
        <v>81</v>
      </c>
      <c r="C66" s="30"/>
      <c r="D66" s="26"/>
      <c r="E66" s="26"/>
      <c r="F66" s="26"/>
      <c r="G66" s="26"/>
      <c r="H66" s="26"/>
      <c r="I66" s="26"/>
      <c r="J66" s="26"/>
      <c r="K66" s="26"/>
      <c r="L66" s="26"/>
      <c r="M66" s="26"/>
      <c r="O66" s="26"/>
      <c r="P66" s="26"/>
      <c r="Q66" s="26"/>
    </row>
    <row r="67" spans="2:17" ht="15" customHeight="1">
      <c r="B67" s="29" t="s">
        <v>82</v>
      </c>
      <c r="C67" s="30"/>
      <c r="D67" s="26"/>
      <c r="E67" s="26"/>
      <c r="F67" s="26"/>
      <c r="G67" s="26"/>
      <c r="H67" s="26"/>
      <c r="I67" s="26"/>
      <c r="J67" s="26"/>
      <c r="K67" s="26"/>
      <c r="L67" s="26"/>
      <c r="M67" s="26"/>
      <c r="O67" s="26"/>
      <c r="P67" s="26"/>
      <c r="Q67" s="26"/>
    </row>
    <row r="68" spans="2:17" ht="15" customHeight="1">
      <c r="B68" s="29" t="s">
        <v>83</v>
      </c>
      <c r="C68" s="30"/>
      <c r="D68" s="26"/>
      <c r="E68" s="26"/>
      <c r="F68" s="26"/>
      <c r="G68" s="26"/>
      <c r="H68" s="26"/>
      <c r="I68" s="26"/>
      <c r="J68" s="26"/>
      <c r="K68" s="26"/>
      <c r="L68" s="26"/>
      <c r="M68" s="26"/>
      <c r="O68" s="26"/>
      <c r="P68" s="26"/>
      <c r="Q68" s="26"/>
    </row>
    <row r="69" spans="2:17" s="5" customFormat="1" ht="15" customHeight="1">
      <c r="B69" s="29"/>
      <c r="C69" s="30"/>
      <c r="D69" s="12"/>
      <c r="E69" s="12"/>
      <c r="F69" s="12"/>
      <c r="G69" s="12"/>
      <c r="H69" s="12"/>
      <c r="I69" s="12"/>
      <c r="J69" s="12"/>
      <c r="K69" s="12"/>
      <c r="L69" s="12"/>
      <c r="M69" s="12"/>
      <c r="O69" s="12"/>
      <c r="P69" s="12"/>
      <c r="Q69" s="12"/>
    </row>
    <row r="70" spans="2:17" s="5" customFormat="1" ht="15" customHeight="1">
      <c r="B70" s="55" t="s">
        <v>84</v>
      </c>
      <c r="C70" s="30"/>
      <c r="D70" s="12"/>
      <c r="E70" s="12"/>
      <c r="F70" s="12"/>
      <c r="G70" s="12"/>
      <c r="H70" s="12"/>
      <c r="I70" s="12"/>
      <c r="J70" s="12"/>
      <c r="K70" s="12"/>
      <c r="L70" s="12"/>
      <c r="M70" s="12"/>
      <c r="O70" s="12"/>
      <c r="P70" s="12"/>
      <c r="Q70" s="12"/>
    </row>
    <row r="71" spans="2:17" ht="15" customHeight="1">
      <c r="B71" s="30" t="s">
        <v>85</v>
      </c>
      <c r="C71" s="12"/>
      <c r="D71" s="26"/>
      <c r="E71" s="26"/>
      <c r="F71" s="26"/>
      <c r="G71" s="26"/>
      <c r="H71" s="26"/>
      <c r="I71" s="26"/>
      <c r="J71" s="26"/>
      <c r="K71" s="26"/>
      <c r="L71" s="26"/>
      <c r="M71" s="26"/>
      <c r="O71" s="26"/>
      <c r="P71" s="26"/>
      <c r="Q71" s="26"/>
    </row>
    <row r="72" spans="2:17" ht="15" customHeight="1">
      <c r="B72" s="30" t="s">
        <v>86</v>
      </c>
      <c r="C72" s="12"/>
      <c r="D72" s="26"/>
      <c r="E72" s="26"/>
      <c r="F72" s="26"/>
      <c r="G72" s="26"/>
      <c r="H72" s="26"/>
      <c r="I72" s="26"/>
      <c r="J72" s="26"/>
      <c r="K72" s="26"/>
      <c r="L72" s="26"/>
      <c r="M72" s="26"/>
      <c r="O72" s="26"/>
      <c r="P72" s="26"/>
      <c r="Q72" s="26"/>
    </row>
    <row r="73" spans="2:17" ht="15" customHeight="1">
      <c r="B73" s="30" t="s">
        <v>87</v>
      </c>
      <c r="C73" s="12"/>
      <c r="D73" s="26"/>
      <c r="E73" s="26"/>
      <c r="F73" s="26"/>
      <c r="G73" s="26"/>
      <c r="H73" s="26"/>
      <c r="I73" s="26"/>
      <c r="J73" s="26"/>
      <c r="K73" s="26"/>
      <c r="L73" s="26"/>
      <c r="M73" s="26"/>
      <c r="O73" s="26"/>
      <c r="P73" s="26"/>
      <c r="Q73" s="26"/>
    </row>
    <row r="74" spans="2:17" ht="15" customHeight="1" thickBot="1">
      <c r="B74" s="30"/>
      <c r="C74" s="12"/>
      <c r="D74" s="26"/>
      <c r="E74" s="26"/>
      <c r="F74" s="26"/>
      <c r="G74" s="26"/>
      <c r="H74" s="26"/>
      <c r="I74" s="26"/>
      <c r="J74" s="26"/>
      <c r="K74" s="26"/>
      <c r="L74" s="26"/>
      <c r="M74" s="26"/>
      <c r="O74" s="26"/>
      <c r="P74" s="26"/>
      <c r="Q74" s="26"/>
    </row>
    <row r="75" spans="2:17" s="5" customFormat="1" ht="22.5" customHeight="1" thickBot="1">
      <c r="B75" s="12"/>
      <c r="C75" s="12"/>
      <c r="D75" s="12"/>
      <c r="E75" s="12"/>
      <c r="F75" s="12"/>
      <c r="H75" s="17" t="s">
        <v>88</v>
      </c>
      <c r="I75" s="18"/>
      <c r="J75" s="73"/>
      <c r="K75" s="73"/>
      <c r="L75" s="74"/>
      <c r="M75" s="17"/>
      <c r="N75" s="18"/>
      <c r="O75" s="73"/>
      <c r="P75" s="73"/>
      <c r="Q75" s="74"/>
    </row>
    <row r="76" spans="2:17" s="26" customFormat="1" ht="22.5" customHeight="1" thickBot="1">
      <c r="B76" s="16" t="s">
        <v>59</v>
      </c>
      <c r="C76" s="19" t="s">
        <v>89</v>
      </c>
      <c r="D76" s="16" t="s">
        <v>61</v>
      </c>
      <c r="E76" s="24" t="s">
        <v>62</v>
      </c>
      <c r="F76" s="12"/>
      <c r="G76" s="24" t="s">
        <v>90</v>
      </c>
      <c r="H76" s="98">
        <v>1</v>
      </c>
      <c r="I76" s="98">
        <v>2</v>
      </c>
      <c r="J76" s="99">
        <v>3</v>
      </c>
      <c r="K76" s="99">
        <v>4</v>
      </c>
      <c r="L76" s="99">
        <v>5</v>
      </c>
      <c r="M76" s="98">
        <v>6</v>
      </c>
      <c r="N76" s="98">
        <v>7</v>
      </c>
      <c r="O76" s="99">
        <v>8</v>
      </c>
      <c r="P76" s="99">
        <v>9</v>
      </c>
      <c r="Q76" s="99">
        <v>10</v>
      </c>
    </row>
    <row r="77" spans="2:17" ht="15" customHeight="1">
      <c r="K77" s="5"/>
      <c r="L77" s="5"/>
      <c r="M77" s="5"/>
      <c r="N77" s="80"/>
      <c r="O77" s="80"/>
    </row>
    <row r="78" spans="2:17" ht="24.95" customHeight="1">
      <c r="B78" s="9" t="s">
        <v>91</v>
      </c>
      <c r="C78" s="2">
        <v>1</v>
      </c>
      <c r="D78" s="10">
        <v>0</v>
      </c>
      <c r="E78" s="1">
        <v>3</v>
      </c>
      <c r="F78" s="23"/>
      <c r="G78" s="37" t="s">
        <v>37</v>
      </c>
      <c r="H78" s="37" t="s">
        <v>47</v>
      </c>
      <c r="I78" s="37" t="s">
        <v>37</v>
      </c>
      <c r="J78" s="37" t="s">
        <v>47</v>
      </c>
      <c r="K78" s="37" t="s">
        <v>45</v>
      </c>
      <c r="L78" s="37" t="s">
        <v>34</v>
      </c>
      <c r="M78" s="37" t="s">
        <v>31</v>
      </c>
      <c r="N78" s="37" t="s">
        <v>37</v>
      </c>
      <c r="O78" s="37" t="s">
        <v>45</v>
      </c>
      <c r="P78" s="37" t="s">
        <v>41</v>
      </c>
      <c r="Q78" s="37" t="s">
        <v>37</v>
      </c>
    </row>
    <row r="79" spans="2:17" ht="15" customHeight="1">
      <c r="K79" s="5"/>
      <c r="L79" s="5"/>
      <c r="M79" s="5"/>
      <c r="N79" s="5"/>
      <c r="O79" s="5"/>
      <c r="P79" s="5"/>
      <c r="Q79" s="5"/>
    </row>
    <row r="80" spans="2:17" ht="24.95" customHeight="1">
      <c r="B80" s="2">
        <v>1</v>
      </c>
      <c r="C80" s="2">
        <v>1</v>
      </c>
      <c r="D80" s="3">
        <v>5</v>
      </c>
      <c r="E80" s="1">
        <f>COUNTIFS(H80:Q80,G80)</f>
        <v>5</v>
      </c>
      <c r="F80" s="23"/>
      <c r="G80" s="37" t="s">
        <v>47</v>
      </c>
      <c r="H80" s="37" t="s">
        <v>47</v>
      </c>
      <c r="I80" s="37" t="s">
        <v>37</v>
      </c>
      <c r="J80" s="37" t="s">
        <v>47</v>
      </c>
      <c r="K80" s="37" t="s">
        <v>41</v>
      </c>
      <c r="L80" s="37" t="s">
        <v>41</v>
      </c>
      <c r="M80" s="37" t="s">
        <v>45</v>
      </c>
      <c r="N80" s="37" t="s">
        <v>47</v>
      </c>
      <c r="O80" s="37" t="s">
        <v>37</v>
      </c>
      <c r="P80" s="37" t="s">
        <v>47</v>
      </c>
      <c r="Q80" s="37" t="s">
        <v>47</v>
      </c>
    </row>
    <row r="81" spans="2:17" ht="24.95" customHeight="1">
      <c r="B81" s="2">
        <v>2</v>
      </c>
      <c r="C81" s="2">
        <v>1</v>
      </c>
      <c r="D81" s="3">
        <v>5</v>
      </c>
      <c r="E81" s="1">
        <f t="shared" ref="E81:E99" si="0">COUNTIFS(H81:Q81,G81)</f>
        <v>2</v>
      </c>
      <c r="F81" s="23"/>
      <c r="G81" s="37" t="s">
        <v>45</v>
      </c>
      <c r="H81" s="37" t="s">
        <v>47</v>
      </c>
      <c r="I81" s="37" t="s">
        <v>31</v>
      </c>
      <c r="J81" s="37" t="s">
        <v>31</v>
      </c>
      <c r="K81" s="37" t="s">
        <v>34</v>
      </c>
      <c r="L81" s="37" t="s">
        <v>45</v>
      </c>
      <c r="M81" s="37" t="s">
        <v>31</v>
      </c>
      <c r="N81" s="37" t="s">
        <v>47</v>
      </c>
      <c r="O81" s="37" t="s">
        <v>45</v>
      </c>
      <c r="P81" s="37" t="s">
        <v>41</v>
      </c>
      <c r="Q81" s="37" t="s">
        <v>41</v>
      </c>
    </row>
    <row r="82" spans="2:17" ht="24.95" customHeight="1">
      <c r="B82" s="2">
        <v>3</v>
      </c>
      <c r="C82" s="2">
        <v>1</v>
      </c>
      <c r="D82" s="3">
        <v>5</v>
      </c>
      <c r="E82" s="1">
        <f t="shared" si="0"/>
        <v>6</v>
      </c>
      <c r="F82" s="23"/>
      <c r="G82" s="37" t="s">
        <v>45</v>
      </c>
      <c r="H82" s="37" t="s">
        <v>45</v>
      </c>
      <c r="I82" s="37" t="s">
        <v>45</v>
      </c>
      <c r="J82" s="37" t="s">
        <v>41</v>
      </c>
      <c r="K82" s="37" t="s">
        <v>45</v>
      </c>
      <c r="L82" s="37" t="s">
        <v>45</v>
      </c>
      <c r="M82" s="37" t="s">
        <v>47</v>
      </c>
      <c r="N82" s="37" t="s">
        <v>41</v>
      </c>
      <c r="O82" s="37" t="s">
        <v>45</v>
      </c>
      <c r="P82" s="37" t="s">
        <v>45</v>
      </c>
      <c r="Q82" s="37" t="s">
        <v>41</v>
      </c>
    </row>
    <row r="83" spans="2:17" ht="24.95" customHeight="1">
      <c r="B83" s="2">
        <v>4</v>
      </c>
      <c r="C83" s="2">
        <v>1</v>
      </c>
      <c r="D83" s="3">
        <v>5</v>
      </c>
      <c r="E83" s="1">
        <f t="shared" si="0"/>
        <v>3</v>
      </c>
      <c r="F83" s="23"/>
      <c r="G83" s="37" t="s">
        <v>47</v>
      </c>
      <c r="H83" s="37" t="s">
        <v>47</v>
      </c>
      <c r="I83" s="37" t="s">
        <v>47</v>
      </c>
      <c r="J83" s="37" t="s">
        <v>31</v>
      </c>
      <c r="K83" s="37" t="s">
        <v>31</v>
      </c>
      <c r="L83" s="37" t="s">
        <v>47</v>
      </c>
      <c r="M83" s="37" t="s">
        <v>37</v>
      </c>
      <c r="N83" s="37" t="s">
        <v>34</v>
      </c>
      <c r="O83" s="37" t="s">
        <v>37</v>
      </c>
      <c r="P83" s="37" t="s">
        <v>37</v>
      </c>
      <c r="Q83" s="37" t="s">
        <v>37</v>
      </c>
    </row>
    <row r="84" spans="2:17" ht="24.95" customHeight="1">
      <c r="B84" s="2">
        <v>5</v>
      </c>
      <c r="C84" s="2">
        <v>1</v>
      </c>
      <c r="D84" s="3">
        <v>5</v>
      </c>
      <c r="E84" s="1">
        <f t="shared" si="0"/>
        <v>3</v>
      </c>
      <c r="F84" s="23"/>
      <c r="G84" s="37" t="s">
        <v>41</v>
      </c>
      <c r="H84" s="37" t="s">
        <v>41</v>
      </c>
      <c r="I84" s="37" t="s">
        <v>47</v>
      </c>
      <c r="J84" s="37" t="s">
        <v>34</v>
      </c>
      <c r="K84" s="37" t="s">
        <v>31</v>
      </c>
      <c r="L84" s="37" t="s">
        <v>47</v>
      </c>
      <c r="M84" s="37" t="s">
        <v>41</v>
      </c>
      <c r="N84" s="37" t="s">
        <v>47</v>
      </c>
      <c r="O84" s="37" t="s">
        <v>41</v>
      </c>
      <c r="P84" s="37" t="s">
        <v>37</v>
      </c>
      <c r="Q84" s="37" t="s">
        <v>34</v>
      </c>
    </row>
    <row r="85" spans="2:17" ht="24.95" customHeight="1">
      <c r="B85" s="2">
        <v>6</v>
      </c>
      <c r="C85" s="2">
        <v>1</v>
      </c>
      <c r="D85" s="3">
        <v>5</v>
      </c>
      <c r="E85" s="1">
        <f t="shared" si="0"/>
        <v>6</v>
      </c>
      <c r="F85" s="23"/>
      <c r="G85" s="37" t="s">
        <v>45</v>
      </c>
      <c r="H85" s="37" t="s">
        <v>45</v>
      </c>
      <c r="I85" s="37" t="s">
        <v>31</v>
      </c>
      <c r="J85" s="37" t="s">
        <v>31</v>
      </c>
      <c r="K85" s="37" t="s">
        <v>45</v>
      </c>
      <c r="L85" s="37" t="s">
        <v>45</v>
      </c>
      <c r="M85" s="37" t="s">
        <v>37</v>
      </c>
      <c r="N85" s="37" t="s">
        <v>45</v>
      </c>
      <c r="O85" s="37" t="s">
        <v>31</v>
      </c>
      <c r="P85" s="37" t="s">
        <v>45</v>
      </c>
      <c r="Q85" s="37" t="s">
        <v>45</v>
      </c>
    </row>
    <row r="86" spans="2:17" ht="24.95" customHeight="1">
      <c r="B86" s="2">
        <v>7</v>
      </c>
      <c r="C86" s="2">
        <v>1</v>
      </c>
      <c r="D86" s="3">
        <v>5</v>
      </c>
      <c r="E86" s="1">
        <f t="shared" si="0"/>
        <v>2</v>
      </c>
      <c r="F86" s="23"/>
      <c r="G86" s="37" t="s">
        <v>47</v>
      </c>
      <c r="H86" s="37" t="s">
        <v>47</v>
      </c>
      <c r="I86" s="37" t="s">
        <v>37</v>
      </c>
      <c r="J86" s="37" t="s">
        <v>45</v>
      </c>
      <c r="K86" s="37" t="s">
        <v>47</v>
      </c>
      <c r="L86" s="37" t="s">
        <v>41</v>
      </c>
      <c r="M86" s="37" t="s">
        <v>41</v>
      </c>
      <c r="N86" s="37" t="s">
        <v>37</v>
      </c>
      <c r="O86" s="37" t="s">
        <v>45</v>
      </c>
      <c r="P86" s="37" t="s">
        <v>45</v>
      </c>
      <c r="Q86" s="37" t="s">
        <v>37</v>
      </c>
    </row>
    <row r="87" spans="2:17" ht="24.95" customHeight="1">
      <c r="B87" s="2">
        <v>8</v>
      </c>
      <c r="C87" s="2">
        <v>1</v>
      </c>
      <c r="D87" s="3">
        <v>5</v>
      </c>
      <c r="E87" s="1">
        <f t="shared" si="0"/>
        <v>8</v>
      </c>
      <c r="F87" s="23"/>
      <c r="G87" s="37" t="s">
        <v>37</v>
      </c>
      <c r="H87" s="37" t="s">
        <v>37</v>
      </c>
      <c r="I87" s="37" t="s">
        <v>47</v>
      </c>
      <c r="J87" s="37" t="s">
        <v>41</v>
      </c>
      <c r="K87" s="37" t="s">
        <v>37</v>
      </c>
      <c r="L87" s="37" t="s">
        <v>37</v>
      </c>
      <c r="M87" s="37" t="s">
        <v>37</v>
      </c>
      <c r="N87" s="37" t="s">
        <v>37</v>
      </c>
      <c r="O87" s="37" t="s">
        <v>37</v>
      </c>
      <c r="P87" s="37" t="s">
        <v>37</v>
      </c>
      <c r="Q87" s="37" t="s">
        <v>37</v>
      </c>
    </row>
    <row r="88" spans="2:17" ht="24.95" customHeight="1">
      <c r="B88" s="2">
        <v>9</v>
      </c>
      <c r="C88" s="2">
        <v>1</v>
      </c>
      <c r="D88" s="3">
        <v>5</v>
      </c>
      <c r="E88" s="1">
        <f t="shared" si="0"/>
        <v>1</v>
      </c>
      <c r="F88" s="23"/>
      <c r="G88" s="37" t="s">
        <v>47</v>
      </c>
      <c r="H88" s="37" t="s">
        <v>45</v>
      </c>
      <c r="I88" s="37" t="s">
        <v>37</v>
      </c>
      <c r="J88" s="37" t="s">
        <v>41</v>
      </c>
      <c r="K88" s="37" t="s">
        <v>41</v>
      </c>
      <c r="L88" s="37" t="s">
        <v>45</v>
      </c>
      <c r="M88" s="37" t="s">
        <v>45</v>
      </c>
      <c r="N88" s="37" t="s">
        <v>45</v>
      </c>
      <c r="O88" s="37" t="s">
        <v>41</v>
      </c>
      <c r="P88" s="37" t="s">
        <v>47</v>
      </c>
      <c r="Q88" s="37" t="s">
        <v>41</v>
      </c>
    </row>
    <row r="89" spans="2:17" ht="24.95" customHeight="1">
      <c r="B89" s="2">
        <v>10</v>
      </c>
      <c r="C89" s="2">
        <v>1</v>
      </c>
      <c r="D89" s="3">
        <v>5</v>
      </c>
      <c r="E89" s="1">
        <f t="shared" si="0"/>
        <v>3</v>
      </c>
      <c r="F89" s="23"/>
      <c r="G89" s="37" t="s">
        <v>34</v>
      </c>
      <c r="H89" s="37" t="s">
        <v>37</v>
      </c>
      <c r="I89" s="37" t="s">
        <v>37</v>
      </c>
      <c r="J89" s="37" t="s">
        <v>34</v>
      </c>
      <c r="K89" s="37" t="s">
        <v>41</v>
      </c>
      <c r="L89" s="37" t="s">
        <v>34</v>
      </c>
      <c r="M89" s="37" t="s">
        <v>37</v>
      </c>
      <c r="N89" s="37" t="s">
        <v>34</v>
      </c>
      <c r="O89" s="37" t="s">
        <v>37</v>
      </c>
      <c r="P89" s="37" t="s">
        <v>47</v>
      </c>
      <c r="Q89" s="37" t="s">
        <v>45</v>
      </c>
    </row>
    <row r="90" spans="2:17" ht="24.95" customHeight="1">
      <c r="B90" s="2">
        <v>11</v>
      </c>
      <c r="C90" s="2">
        <v>1</v>
      </c>
      <c r="D90" s="3">
        <v>5</v>
      </c>
      <c r="E90" s="1">
        <f t="shared" si="0"/>
        <v>4</v>
      </c>
      <c r="F90" s="23"/>
      <c r="G90" s="37" t="s">
        <v>47</v>
      </c>
      <c r="H90" s="37" t="s">
        <v>47</v>
      </c>
      <c r="I90" s="37" t="s">
        <v>47</v>
      </c>
      <c r="J90" s="37" t="s">
        <v>41</v>
      </c>
      <c r="K90" s="37" t="s">
        <v>45</v>
      </c>
      <c r="L90" s="37" t="s">
        <v>41</v>
      </c>
      <c r="M90" s="37" t="s">
        <v>37</v>
      </c>
      <c r="N90" s="37" t="s">
        <v>47</v>
      </c>
      <c r="O90" s="37" t="s">
        <v>31</v>
      </c>
      <c r="P90" s="37" t="s">
        <v>41</v>
      </c>
      <c r="Q90" s="37" t="s">
        <v>47</v>
      </c>
    </row>
    <row r="91" spans="2:17" ht="24.95" customHeight="1">
      <c r="B91" s="2">
        <v>12</v>
      </c>
      <c r="C91" s="2">
        <v>1</v>
      </c>
      <c r="D91" s="3">
        <v>5</v>
      </c>
      <c r="E91" s="1">
        <f t="shared" si="0"/>
        <v>1</v>
      </c>
      <c r="F91" s="23"/>
      <c r="G91" s="37" t="s">
        <v>37</v>
      </c>
      <c r="H91" s="37" t="s">
        <v>34</v>
      </c>
      <c r="I91" s="37" t="s">
        <v>34</v>
      </c>
      <c r="J91" s="37" t="s">
        <v>41</v>
      </c>
      <c r="K91" s="37" t="s">
        <v>31</v>
      </c>
      <c r="L91" s="37" t="s">
        <v>37</v>
      </c>
      <c r="M91" s="37" t="s">
        <v>41</v>
      </c>
      <c r="N91" s="37" t="s">
        <v>34</v>
      </c>
      <c r="O91" s="37" t="s">
        <v>34</v>
      </c>
      <c r="P91" s="37" t="s">
        <v>31</v>
      </c>
      <c r="Q91" s="37" t="s">
        <v>45</v>
      </c>
    </row>
    <row r="92" spans="2:17" ht="24.95" customHeight="1">
      <c r="B92" s="2">
        <v>13</v>
      </c>
      <c r="C92" s="2">
        <v>1</v>
      </c>
      <c r="D92" s="3">
        <v>5</v>
      </c>
      <c r="E92" s="1">
        <f t="shared" si="0"/>
        <v>4</v>
      </c>
      <c r="F92" s="23"/>
      <c r="G92" s="37" t="s">
        <v>41</v>
      </c>
      <c r="H92" s="37" t="s">
        <v>41</v>
      </c>
      <c r="I92" s="37" t="s">
        <v>41</v>
      </c>
      <c r="J92" s="37" t="s">
        <v>47</v>
      </c>
      <c r="K92" s="37" t="s">
        <v>45</v>
      </c>
      <c r="L92" s="37" t="s">
        <v>34</v>
      </c>
      <c r="M92" s="37" t="s">
        <v>41</v>
      </c>
      <c r="N92" s="37" t="s">
        <v>34</v>
      </c>
      <c r="O92" s="37" t="s">
        <v>41</v>
      </c>
      <c r="P92" s="37" t="s">
        <v>45</v>
      </c>
      <c r="Q92" s="37" t="s">
        <v>47</v>
      </c>
    </row>
    <row r="93" spans="2:17" ht="24.95" customHeight="1">
      <c r="B93" s="2">
        <v>14</v>
      </c>
      <c r="C93" s="2">
        <v>1</v>
      </c>
      <c r="D93" s="3">
        <v>5</v>
      </c>
      <c r="E93" s="1">
        <f t="shared" si="0"/>
        <v>10</v>
      </c>
      <c r="F93" s="23"/>
      <c r="G93" s="37" t="s">
        <v>41</v>
      </c>
      <c r="H93" s="37" t="s">
        <v>41</v>
      </c>
      <c r="I93" s="37" t="s">
        <v>41</v>
      </c>
      <c r="J93" s="37" t="s">
        <v>41</v>
      </c>
      <c r="K93" s="37" t="s">
        <v>41</v>
      </c>
      <c r="L93" s="37" t="s">
        <v>41</v>
      </c>
      <c r="M93" s="37" t="s">
        <v>41</v>
      </c>
      <c r="N93" s="37" t="s">
        <v>41</v>
      </c>
      <c r="O93" s="37" t="s">
        <v>41</v>
      </c>
      <c r="P93" s="37" t="s">
        <v>41</v>
      </c>
      <c r="Q93" s="37" t="s">
        <v>41</v>
      </c>
    </row>
    <row r="94" spans="2:17" ht="24.95" customHeight="1">
      <c r="B94" s="2">
        <v>15</v>
      </c>
      <c r="C94" s="2">
        <v>1</v>
      </c>
      <c r="D94" s="3">
        <v>5</v>
      </c>
      <c r="E94" s="1">
        <f t="shared" si="0"/>
        <v>1</v>
      </c>
      <c r="F94" s="23"/>
      <c r="G94" s="37" t="s">
        <v>37</v>
      </c>
      <c r="H94" s="37" t="s">
        <v>41</v>
      </c>
      <c r="I94" s="37" t="s">
        <v>34</v>
      </c>
      <c r="J94" s="37" t="s">
        <v>31</v>
      </c>
      <c r="K94" s="37" t="s">
        <v>45</v>
      </c>
      <c r="L94" s="37" t="s">
        <v>41</v>
      </c>
      <c r="M94" s="37" t="s">
        <v>34</v>
      </c>
      <c r="N94" s="37" t="s">
        <v>41</v>
      </c>
      <c r="O94" s="37" t="s">
        <v>47</v>
      </c>
      <c r="P94" s="37" t="s">
        <v>37</v>
      </c>
      <c r="Q94" s="37" t="s">
        <v>31</v>
      </c>
    </row>
    <row r="95" spans="2:17" ht="24.95" customHeight="1">
      <c r="B95" s="2">
        <v>16</v>
      </c>
      <c r="C95" s="2">
        <v>1</v>
      </c>
      <c r="D95" s="3">
        <v>5</v>
      </c>
      <c r="E95" s="1">
        <f t="shared" si="0"/>
        <v>6</v>
      </c>
      <c r="F95" s="23"/>
      <c r="G95" s="37" t="s">
        <v>37</v>
      </c>
      <c r="H95" s="37" t="s">
        <v>37</v>
      </c>
      <c r="I95" s="37" t="s">
        <v>31</v>
      </c>
      <c r="J95" s="37" t="s">
        <v>37</v>
      </c>
      <c r="K95" s="37" t="s">
        <v>47</v>
      </c>
      <c r="L95" s="37" t="s">
        <v>47</v>
      </c>
      <c r="M95" s="37" t="s">
        <v>47</v>
      </c>
      <c r="N95" s="37" t="s">
        <v>37</v>
      </c>
      <c r="O95" s="37" t="s">
        <v>37</v>
      </c>
      <c r="P95" s="37" t="s">
        <v>37</v>
      </c>
      <c r="Q95" s="37" t="s">
        <v>37</v>
      </c>
    </row>
    <row r="96" spans="2:17" ht="24.95" customHeight="1">
      <c r="B96" s="2">
        <v>17</v>
      </c>
      <c r="C96" s="2">
        <v>1</v>
      </c>
      <c r="D96" s="3">
        <v>5</v>
      </c>
      <c r="E96" s="1">
        <f t="shared" si="0"/>
        <v>0</v>
      </c>
      <c r="F96" s="23"/>
      <c r="G96" s="37" t="s">
        <v>45</v>
      </c>
      <c r="H96" s="37" t="s">
        <v>41</v>
      </c>
      <c r="I96" s="37" t="s">
        <v>31</v>
      </c>
      <c r="J96" s="37" t="s">
        <v>41</v>
      </c>
      <c r="K96" s="37" t="s">
        <v>47</v>
      </c>
      <c r="L96" s="37" t="s">
        <v>37</v>
      </c>
      <c r="M96" s="37" t="s">
        <v>37</v>
      </c>
      <c r="N96" s="37" t="s">
        <v>41</v>
      </c>
      <c r="O96" s="37" t="s">
        <v>41</v>
      </c>
      <c r="P96" s="37" t="s">
        <v>47</v>
      </c>
      <c r="Q96" s="37" t="s">
        <v>34</v>
      </c>
    </row>
    <row r="97" spans="2:17" ht="24.95" customHeight="1">
      <c r="B97" s="2">
        <v>18</v>
      </c>
      <c r="C97" s="2">
        <v>1</v>
      </c>
      <c r="D97" s="3">
        <v>5</v>
      </c>
      <c r="E97" s="1">
        <f t="shared" si="0"/>
        <v>5</v>
      </c>
      <c r="F97" s="23"/>
      <c r="G97" s="37" t="s">
        <v>47</v>
      </c>
      <c r="H97" s="37" t="s">
        <v>47</v>
      </c>
      <c r="I97" s="37" t="s">
        <v>47</v>
      </c>
      <c r="J97" s="37" t="s">
        <v>45</v>
      </c>
      <c r="K97" s="37" t="s">
        <v>34</v>
      </c>
      <c r="L97" s="37" t="s">
        <v>37</v>
      </c>
      <c r="M97" s="37" t="s">
        <v>47</v>
      </c>
      <c r="N97" s="37" t="s">
        <v>37</v>
      </c>
      <c r="O97" s="37" t="s">
        <v>34</v>
      </c>
      <c r="P97" s="37" t="s">
        <v>47</v>
      </c>
      <c r="Q97" s="37" t="s">
        <v>47</v>
      </c>
    </row>
    <row r="98" spans="2:17" ht="24.95" customHeight="1">
      <c r="B98" s="2">
        <v>19</v>
      </c>
      <c r="C98" s="2">
        <v>1</v>
      </c>
      <c r="D98" s="3">
        <v>5</v>
      </c>
      <c r="E98" s="1">
        <f t="shared" si="0"/>
        <v>3</v>
      </c>
      <c r="F98" s="23"/>
      <c r="G98" s="37" t="s">
        <v>31</v>
      </c>
      <c r="H98" s="37" t="s">
        <v>31</v>
      </c>
      <c r="I98" s="37" t="s">
        <v>41</v>
      </c>
      <c r="J98" s="37" t="s">
        <v>41</v>
      </c>
      <c r="K98" s="37" t="s">
        <v>31</v>
      </c>
      <c r="L98" s="37" t="s">
        <v>47</v>
      </c>
      <c r="M98" s="37" t="s">
        <v>45</v>
      </c>
      <c r="N98" s="37" t="s">
        <v>31</v>
      </c>
      <c r="O98" s="37" t="s">
        <v>37</v>
      </c>
      <c r="P98" s="37" t="s">
        <v>37</v>
      </c>
      <c r="Q98" s="37" t="s">
        <v>47</v>
      </c>
    </row>
    <row r="99" spans="2:17" ht="24.95" customHeight="1">
      <c r="B99" s="2">
        <v>20</v>
      </c>
      <c r="C99" s="2">
        <v>1</v>
      </c>
      <c r="D99" s="3">
        <v>5</v>
      </c>
      <c r="E99" s="1">
        <f t="shared" si="0"/>
        <v>1</v>
      </c>
      <c r="F99" s="23"/>
      <c r="G99" s="37" t="s">
        <v>41</v>
      </c>
      <c r="H99" s="37" t="s">
        <v>31</v>
      </c>
      <c r="I99" s="37" t="s">
        <v>37</v>
      </c>
      <c r="J99" s="37" t="s">
        <v>37</v>
      </c>
      <c r="K99" s="37" t="s">
        <v>47</v>
      </c>
      <c r="L99" s="37" t="s">
        <v>45</v>
      </c>
      <c r="M99" s="37" t="s">
        <v>45</v>
      </c>
      <c r="N99" s="37" t="s">
        <v>34</v>
      </c>
      <c r="O99" s="37" t="s">
        <v>31</v>
      </c>
      <c r="P99" s="37" t="s">
        <v>34</v>
      </c>
      <c r="Q99" s="37" t="s">
        <v>41</v>
      </c>
    </row>
    <row r="100" spans="2:17" ht="15" customHeight="1" thickBot="1">
      <c r="O100" s="26"/>
      <c r="P100" s="26"/>
      <c r="Q100" s="26"/>
    </row>
    <row r="101" spans="2:17" ht="22.5" customHeight="1" thickBot="1">
      <c r="B101" s="32" t="s">
        <v>92</v>
      </c>
      <c r="C101" s="21" t="s">
        <v>93</v>
      </c>
      <c r="D101" s="35" t="s">
        <v>94</v>
      </c>
      <c r="O101" s="26"/>
      <c r="P101" s="26"/>
      <c r="Q101" s="26"/>
    </row>
    <row r="102" spans="2:17" ht="15" customHeight="1">
      <c r="B102" s="12"/>
      <c r="C102" s="12"/>
      <c r="D102" s="12"/>
      <c r="E102" s="12"/>
      <c r="F102" s="12"/>
      <c r="G102" s="12"/>
      <c r="H102" s="12"/>
      <c r="I102" s="12"/>
      <c r="J102" s="12"/>
      <c r="K102" s="26"/>
      <c r="L102" s="26"/>
      <c r="M102" s="26"/>
      <c r="N102" s="26"/>
      <c r="O102" s="26"/>
      <c r="P102" s="26"/>
      <c r="Q102" s="26"/>
    </row>
    <row r="103" spans="2:17" ht="15" customHeight="1">
      <c r="B103" s="26" t="s">
        <v>79</v>
      </c>
      <c r="C103" s="12"/>
      <c r="D103" s="12"/>
      <c r="E103" s="12"/>
      <c r="F103" s="12"/>
      <c r="G103" s="12"/>
      <c r="H103" s="12"/>
      <c r="I103" s="12"/>
      <c r="J103" s="12"/>
      <c r="K103" s="26"/>
      <c r="L103" s="26"/>
      <c r="M103" s="26"/>
      <c r="N103" s="26"/>
      <c r="O103" s="26"/>
      <c r="P103" s="26"/>
      <c r="Q103" s="26"/>
    </row>
    <row r="104" spans="2:17" ht="15" customHeight="1">
      <c r="B104" s="101" t="s">
        <v>95</v>
      </c>
      <c r="C104" s="12"/>
      <c r="D104" s="12"/>
      <c r="E104" s="12"/>
      <c r="F104" s="12"/>
      <c r="G104" s="12"/>
      <c r="H104" s="12"/>
      <c r="I104" s="12"/>
      <c r="J104" s="12"/>
      <c r="K104" s="26"/>
      <c r="L104" s="26"/>
      <c r="M104" s="26"/>
      <c r="N104" s="26"/>
      <c r="O104" s="26"/>
      <c r="P104" s="26"/>
      <c r="Q104" s="26"/>
    </row>
    <row r="105" spans="2:17" ht="15" customHeight="1">
      <c r="B105" s="26"/>
      <c r="C105" s="12"/>
      <c r="D105" s="12"/>
      <c r="E105" s="12"/>
      <c r="F105" s="12"/>
      <c r="G105" s="12"/>
      <c r="H105" s="12"/>
      <c r="I105" s="12"/>
      <c r="J105" s="12"/>
      <c r="K105" s="26"/>
      <c r="L105" s="26"/>
      <c r="M105" s="26"/>
      <c r="N105" s="26"/>
      <c r="O105" s="26"/>
      <c r="P105" s="26"/>
      <c r="Q105" s="26"/>
    </row>
    <row r="106" spans="2:17" ht="15" customHeight="1">
      <c r="B106" s="101" t="s">
        <v>96</v>
      </c>
      <c r="C106" s="12"/>
      <c r="D106" s="12"/>
      <c r="E106" s="12"/>
      <c r="F106" s="12"/>
      <c r="G106" s="12"/>
      <c r="H106" s="12"/>
      <c r="I106" s="12"/>
      <c r="J106" s="12"/>
      <c r="K106" s="26"/>
      <c r="L106" s="26"/>
      <c r="M106" s="26"/>
      <c r="N106" s="26"/>
      <c r="O106" s="26"/>
      <c r="P106" s="26"/>
      <c r="Q106" s="26"/>
    </row>
    <row r="107" spans="2:17" ht="15" customHeight="1">
      <c r="B107" s="29" t="s">
        <v>97</v>
      </c>
      <c r="C107" s="12"/>
      <c r="D107" s="12"/>
      <c r="E107" s="12"/>
      <c r="F107" s="12"/>
      <c r="G107" s="12"/>
      <c r="H107" s="12"/>
      <c r="I107" s="12"/>
      <c r="J107" s="12"/>
      <c r="K107" s="26"/>
      <c r="L107" s="26"/>
      <c r="M107" s="26"/>
      <c r="N107" s="26"/>
      <c r="O107" s="26"/>
      <c r="P107" s="26"/>
      <c r="Q107" s="26"/>
    </row>
    <row r="108" spans="2:17" ht="15" customHeight="1">
      <c r="B108" s="30" t="s">
        <v>98</v>
      </c>
      <c r="C108" s="12"/>
      <c r="D108" s="12"/>
      <c r="E108" s="12"/>
      <c r="F108" s="12"/>
      <c r="G108" s="12"/>
      <c r="H108" s="12"/>
      <c r="I108" s="12"/>
      <c r="J108" s="12"/>
      <c r="K108" s="26"/>
      <c r="L108" s="26"/>
      <c r="M108" s="26"/>
      <c r="N108" s="26"/>
      <c r="O108" s="26"/>
      <c r="P108" s="26"/>
      <c r="Q108" s="26"/>
    </row>
    <row r="109" spans="2:17" ht="15" customHeight="1">
      <c r="B109" s="29" t="s">
        <v>83</v>
      </c>
      <c r="C109" s="12"/>
      <c r="D109" s="12"/>
      <c r="E109" s="12"/>
      <c r="F109" s="12"/>
      <c r="G109" s="12"/>
      <c r="H109" s="12"/>
      <c r="I109" s="12"/>
      <c r="J109" s="12"/>
      <c r="K109" s="26"/>
      <c r="L109" s="26"/>
      <c r="M109" s="26"/>
      <c r="N109" s="26"/>
      <c r="O109" s="26"/>
      <c r="P109" s="26"/>
      <c r="Q109" s="26"/>
    </row>
    <row r="110" spans="2:17" ht="15" customHeight="1">
      <c r="B110" s="29"/>
      <c r="C110" s="12"/>
      <c r="D110" s="12"/>
      <c r="E110" s="12"/>
      <c r="F110" s="12"/>
      <c r="G110" s="12"/>
      <c r="H110" s="12"/>
      <c r="I110" s="12"/>
      <c r="J110" s="12"/>
      <c r="K110" s="26"/>
      <c r="L110" s="26"/>
      <c r="M110" s="26"/>
      <c r="N110" s="26"/>
      <c r="O110" s="26"/>
      <c r="P110" s="26"/>
      <c r="Q110" s="26"/>
    </row>
    <row r="111" spans="2:17" ht="15" customHeight="1">
      <c r="B111" s="55" t="s">
        <v>84</v>
      </c>
      <c r="C111" s="12"/>
      <c r="D111" s="12"/>
      <c r="E111" s="12"/>
      <c r="F111" s="12"/>
      <c r="G111" s="12"/>
      <c r="H111" s="12"/>
      <c r="I111" s="12"/>
      <c r="J111" s="12"/>
      <c r="K111" s="26"/>
      <c r="L111" s="26"/>
      <c r="M111" s="26"/>
      <c r="N111" s="26"/>
      <c r="O111" s="26"/>
      <c r="P111" s="26"/>
      <c r="Q111" s="26"/>
    </row>
    <row r="112" spans="2:17" ht="15" customHeight="1">
      <c r="B112" s="30" t="s">
        <v>99</v>
      </c>
      <c r="C112" s="12"/>
      <c r="D112" s="12"/>
      <c r="E112" s="12"/>
      <c r="F112" s="12"/>
      <c r="G112" s="12"/>
      <c r="H112" s="12"/>
      <c r="I112" s="12"/>
      <c r="J112" s="12"/>
      <c r="K112" s="26"/>
      <c r="L112" s="26"/>
      <c r="M112" s="26"/>
      <c r="N112" s="26"/>
      <c r="O112" s="26"/>
      <c r="P112" s="26"/>
      <c r="Q112" s="26"/>
    </row>
    <row r="113" spans="2:8" ht="15" customHeight="1">
      <c r="B113" s="30" t="s">
        <v>100</v>
      </c>
      <c r="C113" s="12"/>
      <c r="D113" s="12"/>
      <c r="E113" s="12"/>
      <c r="F113" s="12"/>
      <c r="G113" s="12"/>
    </row>
    <row r="114" spans="2:8" ht="15" customHeight="1">
      <c r="B114" s="30" t="s">
        <v>101</v>
      </c>
      <c r="C114" s="12"/>
      <c r="D114" s="12"/>
      <c r="E114" s="12"/>
      <c r="F114" s="12"/>
      <c r="G114" s="12"/>
    </row>
    <row r="115" spans="2:8" ht="15" customHeight="1" thickBot="1">
      <c r="B115" s="12"/>
      <c r="C115" s="12"/>
      <c r="D115" s="12"/>
      <c r="E115" s="12"/>
      <c r="F115" s="12"/>
      <c r="G115" s="12"/>
    </row>
    <row r="116" spans="2:8" s="26" customFormat="1" ht="22.5" customHeight="1" thickBot="1">
      <c r="B116" s="16" t="s">
        <v>59</v>
      </c>
      <c r="C116" s="19" t="s">
        <v>89</v>
      </c>
      <c r="D116" s="16" t="s">
        <v>61</v>
      </c>
      <c r="E116" s="24" t="s">
        <v>62</v>
      </c>
      <c r="F116" s="12"/>
      <c r="G116" s="16" t="s">
        <v>102</v>
      </c>
    </row>
    <row r="117" spans="2:8" ht="15" customHeight="1">
      <c r="G117" s="34"/>
    </row>
    <row r="118" spans="2:8" ht="24.95" customHeight="1">
      <c r="B118" s="9" t="s">
        <v>103</v>
      </c>
      <c r="C118" s="2">
        <v>2</v>
      </c>
      <c r="D118" s="10">
        <v>0</v>
      </c>
      <c r="E118" s="1">
        <v>20</v>
      </c>
      <c r="F118" s="23"/>
      <c r="G118" s="37" t="s">
        <v>104</v>
      </c>
    </row>
    <row r="119" spans="2:8" ht="15" customHeight="1"/>
    <row r="120" spans="2:8" ht="24.95" customHeight="1">
      <c r="B120" s="2">
        <v>21</v>
      </c>
      <c r="C120" s="2">
        <v>2</v>
      </c>
      <c r="D120" s="3">
        <v>7</v>
      </c>
      <c r="E120" s="1" cm="1">
        <f t="array" ref="E120:E139">COUNTIFS(maze,G120:G139)</f>
        <v>262</v>
      </c>
      <c r="F120" s="23"/>
      <c r="G120" s="37" t="s">
        <v>31</v>
      </c>
      <c r="H120" s="5" t="str" cm="1">
        <f t="array" ref="H120:H139">_xlfn.XLOOKUP(G120:G139,G38:G45,G38:G45,NA(),0,1)</f>
        <v>┃</v>
      </c>
    </row>
    <row r="121" spans="2:8" ht="24.95" customHeight="1">
      <c r="B121" s="2">
        <v>22</v>
      </c>
      <c r="C121" s="2">
        <v>2</v>
      </c>
      <c r="D121" s="3">
        <v>7</v>
      </c>
      <c r="E121" s="1">
        <v>139</v>
      </c>
      <c r="F121" s="23"/>
      <c r="G121" s="37" t="s">
        <v>34</v>
      </c>
      <c r="H121" s="5" t="str">
        <v>━</v>
      </c>
    </row>
    <row r="122" spans="2:8" ht="24.95" customHeight="1">
      <c r="B122" s="2">
        <v>23</v>
      </c>
      <c r="C122" s="2">
        <v>2</v>
      </c>
      <c r="D122" s="3">
        <v>7</v>
      </c>
      <c r="E122" s="1">
        <v>64</v>
      </c>
      <c r="F122" s="23"/>
      <c r="G122" s="37" t="s">
        <v>37</v>
      </c>
      <c r="H122" s="5" t="str">
        <v>┏</v>
      </c>
    </row>
    <row r="123" spans="2:8" ht="24.95" customHeight="1">
      <c r="B123" s="2">
        <v>24</v>
      </c>
      <c r="C123" s="2">
        <v>2</v>
      </c>
      <c r="D123" s="3">
        <v>7</v>
      </c>
      <c r="E123" s="1">
        <v>79</v>
      </c>
      <c r="F123" s="23"/>
      <c r="G123" s="37" t="s">
        <v>41</v>
      </c>
      <c r="H123" s="5" t="str">
        <v>┓</v>
      </c>
    </row>
    <row r="124" spans="2:8" ht="24.95" customHeight="1">
      <c r="B124" s="2">
        <v>25</v>
      </c>
      <c r="C124" s="2">
        <v>2</v>
      </c>
      <c r="D124" s="3">
        <v>7</v>
      </c>
      <c r="E124" s="1">
        <v>79</v>
      </c>
      <c r="F124" s="23"/>
      <c r="G124" s="37" t="s">
        <v>45</v>
      </c>
      <c r="H124" s="5" t="str">
        <v>┗</v>
      </c>
    </row>
    <row r="125" spans="2:8" ht="24.95" customHeight="1">
      <c r="B125" s="2">
        <v>26</v>
      </c>
      <c r="C125" s="2">
        <v>2</v>
      </c>
      <c r="D125" s="3">
        <v>7</v>
      </c>
      <c r="E125" s="1">
        <v>68</v>
      </c>
      <c r="F125" s="23"/>
      <c r="G125" s="37" t="s">
        <v>47</v>
      </c>
      <c r="H125" s="5" t="str">
        <v>┛</v>
      </c>
    </row>
    <row r="126" spans="2:8" ht="24.95" customHeight="1">
      <c r="B126" s="2">
        <v>27</v>
      </c>
      <c r="C126" s="2">
        <v>2</v>
      </c>
      <c r="D126" s="3">
        <v>7</v>
      </c>
      <c r="E126" s="1">
        <v>21</v>
      </c>
      <c r="F126" s="23"/>
      <c r="G126" s="37" t="s">
        <v>49</v>
      </c>
      <c r="H126" s="5" t="str">
        <v>◉</v>
      </c>
    </row>
    <row r="127" spans="2:8" ht="24.95" customHeight="1">
      <c r="B127" s="2">
        <v>28</v>
      </c>
      <c r="C127" s="2">
        <v>2</v>
      </c>
      <c r="D127" s="3">
        <v>7</v>
      </c>
      <c r="E127" s="1">
        <v>21</v>
      </c>
      <c r="F127" s="23"/>
      <c r="G127" s="37" t="s">
        <v>52</v>
      </c>
      <c r="H127" s="5" t="str">
        <v>○</v>
      </c>
    </row>
    <row r="128" spans="2:8" ht="24.95" customHeight="1">
      <c r="B128" s="2">
        <v>29</v>
      </c>
      <c r="C128" s="2">
        <v>2</v>
      </c>
      <c r="D128" s="3">
        <v>7</v>
      </c>
      <c r="E128" s="1">
        <v>937</v>
      </c>
      <c r="F128" s="23"/>
      <c r="G128" s="37" t="s">
        <v>54</v>
      </c>
      <c r="H128" s="5" t="e">
        <v>#N/A</v>
      </c>
    </row>
    <row r="129" spans="2:8" ht="24.95" customHeight="1">
      <c r="B129" s="2">
        <v>30</v>
      </c>
      <c r="C129" s="2">
        <v>2</v>
      </c>
      <c r="D129" s="3">
        <v>7</v>
      </c>
      <c r="E129" s="1">
        <v>25</v>
      </c>
      <c r="F129" s="23"/>
      <c r="G129" s="37" t="s">
        <v>105</v>
      </c>
      <c r="H129" s="5" t="e">
        <v>#N/A</v>
      </c>
    </row>
    <row r="130" spans="2:8" ht="24.95" customHeight="1">
      <c r="B130" s="2">
        <v>31</v>
      </c>
      <c r="C130" s="2">
        <v>2</v>
      </c>
      <c r="D130" s="3">
        <v>7</v>
      </c>
      <c r="E130" s="1">
        <v>26</v>
      </c>
      <c r="F130" s="23"/>
      <c r="G130" s="37" t="s">
        <v>106</v>
      </c>
      <c r="H130" s="5" t="e">
        <v>#N/A</v>
      </c>
    </row>
    <row r="131" spans="2:8" ht="24.95" customHeight="1">
      <c r="B131" s="2">
        <v>32</v>
      </c>
      <c r="C131" s="2">
        <v>2</v>
      </c>
      <c r="D131" s="3">
        <v>7</v>
      </c>
      <c r="E131" s="1">
        <v>17</v>
      </c>
      <c r="F131" s="23"/>
      <c r="G131" s="37" t="s">
        <v>107</v>
      </c>
      <c r="H131" s="5" t="e">
        <v>#N/A</v>
      </c>
    </row>
    <row r="132" spans="2:8" ht="24.95" customHeight="1">
      <c r="B132" s="2">
        <v>33</v>
      </c>
      <c r="C132" s="2">
        <v>2</v>
      </c>
      <c r="D132" s="3">
        <v>7</v>
      </c>
      <c r="E132" s="1">
        <v>11</v>
      </c>
      <c r="F132" s="23"/>
      <c r="G132" s="37" t="s">
        <v>108</v>
      </c>
      <c r="H132" s="5" t="e">
        <v>#N/A</v>
      </c>
    </row>
    <row r="133" spans="2:8" ht="24.95" customHeight="1">
      <c r="B133" s="2">
        <v>34</v>
      </c>
      <c r="C133" s="2">
        <v>2</v>
      </c>
      <c r="D133" s="3">
        <v>7</v>
      </c>
      <c r="E133" s="1">
        <v>16</v>
      </c>
      <c r="F133" s="23"/>
      <c r="G133" s="37" t="s">
        <v>109</v>
      </c>
      <c r="H133" s="5" t="e">
        <v>#N/A</v>
      </c>
    </row>
    <row r="134" spans="2:8" ht="24.95" customHeight="1">
      <c r="B134" s="2">
        <v>35</v>
      </c>
      <c r="C134" s="2">
        <v>2</v>
      </c>
      <c r="D134" s="3">
        <v>7</v>
      </c>
      <c r="E134" s="1">
        <v>7</v>
      </c>
      <c r="F134" s="23"/>
      <c r="G134" s="37" t="s">
        <v>110</v>
      </c>
      <c r="H134" s="5" t="e">
        <v>#N/A</v>
      </c>
    </row>
    <row r="135" spans="2:8" ht="24.95" customHeight="1">
      <c r="B135" s="2">
        <v>36</v>
      </c>
      <c r="C135" s="2">
        <v>2</v>
      </c>
      <c r="D135" s="3">
        <v>7</v>
      </c>
      <c r="E135" s="1">
        <v>24</v>
      </c>
      <c r="F135" s="23"/>
      <c r="G135" s="37" t="s">
        <v>111</v>
      </c>
      <c r="H135" s="5" t="e">
        <v>#N/A</v>
      </c>
    </row>
    <row r="136" spans="2:8" ht="24.95" customHeight="1">
      <c r="B136" s="2">
        <v>37</v>
      </c>
      <c r="C136" s="2">
        <v>2</v>
      </c>
      <c r="D136" s="3">
        <v>7</v>
      </c>
      <c r="E136" s="1">
        <v>10</v>
      </c>
      <c r="F136" s="23"/>
      <c r="G136" s="37" t="s">
        <v>112</v>
      </c>
      <c r="H136" s="5" t="e">
        <v>#N/A</v>
      </c>
    </row>
    <row r="137" spans="2:8" ht="24.95" customHeight="1">
      <c r="B137" s="2">
        <v>38</v>
      </c>
      <c r="C137" s="2">
        <v>2</v>
      </c>
      <c r="D137" s="3">
        <v>7</v>
      </c>
      <c r="E137" s="1">
        <v>16</v>
      </c>
      <c r="F137" s="23"/>
      <c r="G137" s="37" t="s">
        <v>113</v>
      </c>
      <c r="H137" s="5" t="e">
        <v>#N/A</v>
      </c>
    </row>
    <row r="138" spans="2:8" ht="24.95" customHeight="1">
      <c r="B138" s="2">
        <v>39</v>
      </c>
      <c r="C138" s="2">
        <v>2</v>
      </c>
      <c r="D138" s="3">
        <v>7</v>
      </c>
      <c r="E138" s="1">
        <v>40</v>
      </c>
      <c r="F138" s="23"/>
      <c r="G138" s="37" t="s">
        <v>114</v>
      </c>
      <c r="H138" s="5" t="e">
        <v>#N/A</v>
      </c>
    </row>
    <row r="139" spans="2:8" ht="24.95" customHeight="1">
      <c r="B139" s="2">
        <v>40</v>
      </c>
      <c r="C139" s="2">
        <v>2</v>
      </c>
      <c r="D139" s="3">
        <v>7</v>
      </c>
      <c r="E139" s="1">
        <v>38</v>
      </c>
      <c r="F139" s="23"/>
      <c r="G139" s="37" t="s">
        <v>115</v>
      </c>
      <c r="H139" s="5" t="e">
        <v>#N/A</v>
      </c>
    </row>
    <row r="140" spans="2:8" ht="15" customHeight="1" thickBot="1"/>
    <row r="141" spans="2:8" ht="22.5" customHeight="1" thickBot="1">
      <c r="B141" s="32" t="s">
        <v>116</v>
      </c>
      <c r="C141" s="21" t="s">
        <v>93</v>
      </c>
      <c r="D141" s="35" t="s">
        <v>94</v>
      </c>
    </row>
    <row r="142" spans="2:8" ht="15" customHeight="1">
      <c r="B142" s="12"/>
    </row>
    <row r="143" spans="2:8" ht="15" customHeight="1">
      <c r="B143" s="29" t="s">
        <v>117</v>
      </c>
      <c r="C143" s="30"/>
      <c r="D143" s="12"/>
    </row>
    <row r="144" spans="2:8" ht="15" customHeight="1">
      <c r="B144" s="29" t="s">
        <v>118</v>
      </c>
      <c r="C144" s="30"/>
      <c r="D144" s="12"/>
    </row>
    <row r="145" spans="2:9" ht="15" customHeight="1">
      <c r="B145" s="27" t="s">
        <v>119</v>
      </c>
      <c r="C145" s="30"/>
      <c r="D145" s="12"/>
    </row>
    <row r="146" spans="2:9" ht="15" customHeight="1">
      <c r="B146" s="29" t="s">
        <v>120</v>
      </c>
      <c r="C146" s="30"/>
      <c r="D146" s="12"/>
    </row>
    <row r="147" spans="2:9" ht="15" customHeight="1">
      <c r="B147" s="7"/>
      <c r="C147" s="30"/>
      <c r="D147" s="12"/>
    </row>
    <row r="148" spans="2:9" ht="15" customHeight="1">
      <c r="B148" s="27" t="s">
        <v>121</v>
      </c>
      <c r="D148" s="12"/>
    </row>
    <row r="149" spans="2:9" ht="15" customHeight="1">
      <c r="B149" s="29" t="s">
        <v>122</v>
      </c>
      <c r="D149" s="12"/>
    </row>
    <row r="150" spans="2:9" ht="15" customHeight="1">
      <c r="B150" s="29" t="s">
        <v>123</v>
      </c>
      <c r="C150" s="30"/>
      <c r="D150" s="26"/>
      <c r="E150" s="7"/>
      <c r="F150" s="7"/>
      <c r="G150" s="7"/>
      <c r="H150" s="7"/>
    </row>
    <row r="151" spans="2:9" ht="15" customHeight="1">
      <c r="B151" s="26"/>
      <c r="C151" s="30"/>
      <c r="D151" s="26"/>
      <c r="E151" s="7"/>
      <c r="F151" s="7"/>
      <c r="G151" s="7"/>
      <c r="H151" s="7"/>
    </row>
    <row r="152" spans="2:9" ht="15" customHeight="1">
      <c r="B152" s="55" t="s">
        <v>84</v>
      </c>
      <c r="C152" s="30"/>
      <c r="D152" s="26"/>
      <c r="E152" s="7"/>
      <c r="F152" s="7"/>
      <c r="G152" s="7"/>
      <c r="H152" s="7"/>
    </row>
    <row r="153" spans="2:9" ht="15" customHeight="1">
      <c r="B153" s="30" t="s">
        <v>124</v>
      </c>
      <c r="D153" s="26"/>
      <c r="E153" s="7"/>
      <c r="F153" s="7"/>
      <c r="G153" s="7"/>
      <c r="H153" s="7"/>
      <c r="I153" s="7"/>
    </row>
    <row r="154" spans="2:9" ht="15" customHeight="1">
      <c r="B154" s="30" t="s">
        <v>125</v>
      </c>
      <c r="D154" s="26"/>
      <c r="E154" s="7"/>
      <c r="F154" s="7"/>
      <c r="G154" s="7"/>
      <c r="H154" s="7"/>
      <c r="I154" s="7"/>
    </row>
    <row r="155" spans="2:9" ht="15" customHeight="1">
      <c r="B155" s="30" t="s">
        <v>126</v>
      </c>
      <c r="D155" s="26"/>
      <c r="E155" s="7"/>
      <c r="F155" s="7"/>
      <c r="G155" s="7"/>
      <c r="H155" s="7"/>
      <c r="I155" s="7"/>
    </row>
    <row r="156" spans="2:9" ht="15" customHeight="1" thickBot="1">
      <c r="B156" s="12"/>
    </row>
    <row r="157" spans="2:9" s="26" customFormat="1" ht="22.5" customHeight="1" thickBot="1">
      <c r="B157" s="16" t="s">
        <v>59</v>
      </c>
      <c r="C157" s="19" t="s">
        <v>89</v>
      </c>
      <c r="D157" s="16" t="s">
        <v>61</v>
      </c>
      <c r="E157" s="24" t="s">
        <v>62</v>
      </c>
      <c r="F157" s="12"/>
      <c r="G157" s="16" t="s">
        <v>127</v>
      </c>
      <c r="H157" s="100"/>
      <c r="I157" s="91"/>
    </row>
    <row r="158" spans="2:9" ht="15" customHeight="1">
      <c r="G158" s="12"/>
    </row>
    <row r="159" spans="2:9" ht="24.95" customHeight="1">
      <c r="B159" s="9" t="s">
        <v>128</v>
      </c>
      <c r="C159" s="2">
        <v>3</v>
      </c>
      <c r="D159" s="10">
        <v>0</v>
      </c>
      <c r="E159" s="92" t="s">
        <v>104</v>
      </c>
      <c r="F159" s="23"/>
      <c r="G159" s="36" t="s">
        <v>129</v>
      </c>
      <c r="H159" s="84"/>
      <c r="I159" s="84"/>
    </row>
    <row r="161" spans="2:10" ht="24.95" customHeight="1">
      <c r="B161" s="2">
        <v>41</v>
      </c>
      <c r="C161" s="2">
        <v>3</v>
      </c>
      <c r="D161" s="3">
        <v>6</v>
      </c>
      <c r="E161" s="92" t="str" cm="1">
        <f t="array" aca="1" ref="E161" ca="1">INDIRECT("PipeMaze!"&amp;G161)</f>
        <v>┃</v>
      </c>
      <c r="F161" s="23"/>
      <c r="G161" s="36" t="s">
        <v>130</v>
      </c>
      <c r="H161" s="84"/>
      <c r="I161" s="84" t="str" cm="1">
        <f t="array" aca="1" ref="I161:I178" ca="1">_xlfn.UNIQUE(E161:E180)</f>
        <v>┃</v>
      </c>
      <c r="J161" s="7" cm="1">
        <f t="array" aca="1" ref="J161:J178" ca="1">COUNTIF(E161:E180,_xlfn.ANCHORARRAY(I161))</f>
        <v>1</v>
      </c>
    </row>
    <row r="162" spans="2:10" ht="24.95" customHeight="1">
      <c r="B162" s="2">
        <v>42</v>
      </c>
      <c r="C162" s="2">
        <v>3</v>
      </c>
      <c r="D162" s="3">
        <v>6</v>
      </c>
      <c r="E162" s="92" t="str" cm="1">
        <f t="array" aca="1" ref="E162" ca="1">INDIRECT("PipeMaze!"&amp;G162)</f>
        <v>🌱</v>
      </c>
      <c r="F162" s="23"/>
      <c r="G162" s="36" t="s">
        <v>131</v>
      </c>
      <c r="H162" s="84"/>
      <c r="I162" s="84" t="str">
        <f ca="1"/>
        <v>🌱</v>
      </c>
      <c r="J162" s="5">
        <f ca="1"/>
        <v>1</v>
      </c>
    </row>
    <row r="163" spans="2:10" ht="24.95" customHeight="1">
      <c r="B163" s="2">
        <v>43</v>
      </c>
      <c r="C163" s="2">
        <v>3</v>
      </c>
      <c r="D163" s="3">
        <v>6</v>
      </c>
      <c r="E163" s="92" t="str" cm="1">
        <f t="array" aca="1" ref="E163" ca="1">INDIRECT("PipeMaze!"&amp;G163)</f>
        <v>┏</v>
      </c>
      <c r="F163" s="23"/>
      <c r="G163" s="36" t="s">
        <v>132</v>
      </c>
      <c r="H163" s="84"/>
      <c r="I163" s="84" t="str">
        <f ca="1"/>
        <v>┏</v>
      </c>
      <c r="J163" s="5">
        <f ca="1"/>
        <v>1</v>
      </c>
    </row>
    <row r="164" spans="2:10" ht="24.95" customHeight="1">
      <c r="B164" s="2">
        <v>44</v>
      </c>
      <c r="C164" s="2">
        <v>3</v>
      </c>
      <c r="D164" s="3">
        <v>6</v>
      </c>
      <c r="E164" s="92" t="str" cm="1">
        <f t="array" aca="1" ref="E164" ca="1">INDIRECT("PipeMaze!"&amp;G164)</f>
        <v>🌿</v>
      </c>
      <c r="F164" s="23"/>
      <c r="G164" s="36" t="s">
        <v>133</v>
      </c>
      <c r="H164" s="84"/>
      <c r="I164" s="84" t="str">
        <f ca="1"/>
        <v>🌿</v>
      </c>
      <c r="J164" s="5">
        <f ca="1"/>
        <v>3</v>
      </c>
    </row>
    <row r="165" spans="2:10" ht="24.95" customHeight="1">
      <c r="B165" s="2">
        <v>45</v>
      </c>
      <c r="C165" s="2">
        <v>3</v>
      </c>
      <c r="D165" s="3">
        <v>6</v>
      </c>
      <c r="E165" s="92" t="str" cm="1">
        <f t="array" aca="1" ref="E165" ca="1">INDIRECT("PipeMaze!"&amp;G165)</f>
        <v>┓</v>
      </c>
      <c r="F165" s="23"/>
      <c r="G165" s="36" t="s">
        <v>134</v>
      </c>
      <c r="H165" s="84"/>
      <c r="I165" s="84" t="str">
        <f ca="1"/>
        <v>┓</v>
      </c>
      <c r="J165" s="5">
        <f ca="1"/>
        <v>1</v>
      </c>
    </row>
    <row r="166" spans="2:10" ht="24.95" customHeight="1">
      <c r="B166" s="2">
        <v>46</v>
      </c>
      <c r="C166" s="2">
        <v>3</v>
      </c>
      <c r="D166" s="3">
        <v>6</v>
      </c>
      <c r="E166" s="92" t="str" cm="1">
        <f t="array" aca="1" ref="E166" ca="1">INDIRECT("PipeMaze!"&amp;G166)</f>
        <v>○</v>
      </c>
      <c r="F166" s="23"/>
      <c r="G166" s="36" t="s">
        <v>135</v>
      </c>
      <c r="H166" s="84"/>
      <c r="I166" s="84" t="str">
        <f ca="1"/>
        <v>○</v>
      </c>
      <c r="J166" s="5">
        <f ca="1"/>
        <v>1</v>
      </c>
    </row>
    <row r="167" spans="2:10" ht="24.95" customHeight="1">
      <c r="B167" s="2">
        <v>47</v>
      </c>
      <c r="C167" s="2">
        <v>3</v>
      </c>
      <c r="D167" s="3">
        <v>6</v>
      </c>
      <c r="E167" s="92" t="str" cm="1">
        <f t="array" aca="1" ref="E167" ca="1">INDIRECT("PipeMaze!"&amp;G167)</f>
        <v>🌿</v>
      </c>
      <c r="F167" s="23"/>
      <c r="G167" s="36" t="s">
        <v>136</v>
      </c>
      <c r="H167" s="84"/>
      <c r="I167" s="84" t="str">
        <f ca="1"/>
        <v>┛</v>
      </c>
      <c r="J167" s="5">
        <f ca="1"/>
        <v>1</v>
      </c>
    </row>
    <row r="168" spans="2:10" ht="24.95" customHeight="1">
      <c r="B168" s="2">
        <v>48</v>
      </c>
      <c r="C168" s="2">
        <v>3</v>
      </c>
      <c r="D168" s="3">
        <v>6</v>
      </c>
      <c r="E168" s="92" t="str" cm="1">
        <f t="array" aca="1" ref="E168" ca="1">INDIRECT("PipeMaze!"&amp;G168)</f>
        <v>┛</v>
      </c>
      <c r="F168" s="23"/>
      <c r="G168" s="36" t="s">
        <v>137</v>
      </c>
      <c r="H168" s="84"/>
      <c r="I168" s="84" t="str">
        <f ca="1"/>
        <v>🌲</v>
      </c>
      <c r="J168" s="5">
        <f ca="1"/>
        <v>1</v>
      </c>
    </row>
    <row r="169" spans="2:10" ht="24.95" customHeight="1">
      <c r="B169" s="2">
        <v>49</v>
      </c>
      <c r="C169" s="2">
        <v>3</v>
      </c>
      <c r="D169" s="3">
        <v>6</v>
      </c>
      <c r="E169" s="92" t="str" cm="1">
        <f t="array" aca="1" ref="E169" ca="1">INDIRECT("PipeMaze!"&amp;G169)</f>
        <v>🌲</v>
      </c>
      <c r="F169" s="23"/>
      <c r="G169" s="36" t="s">
        <v>138</v>
      </c>
      <c r="H169" s="84"/>
      <c r="I169" s="84" t="str">
        <f ca="1"/>
        <v>🍄</v>
      </c>
      <c r="J169" s="5">
        <f ca="1"/>
        <v>1</v>
      </c>
    </row>
    <row r="170" spans="2:10" ht="24.95" customHeight="1">
      <c r="B170" s="2">
        <v>50</v>
      </c>
      <c r="C170" s="2">
        <v>3</v>
      </c>
      <c r="D170" s="3">
        <v>6</v>
      </c>
      <c r="E170" s="92" t="str" cm="1">
        <f t="array" aca="1" ref="E170" ca="1">INDIRECT("PipeMaze!"&amp;G170)</f>
        <v>🍄</v>
      </c>
      <c r="F170" s="23"/>
      <c r="G170" s="36" t="s">
        <v>139</v>
      </c>
      <c r="H170" s="84"/>
      <c r="I170" s="84" t="str">
        <f ca="1"/>
        <v>🌳</v>
      </c>
      <c r="J170" s="5">
        <f ca="1"/>
        <v>1</v>
      </c>
    </row>
    <row r="171" spans="2:10" ht="24.95" customHeight="1">
      <c r="B171" s="2">
        <v>51</v>
      </c>
      <c r="C171" s="2">
        <v>3</v>
      </c>
      <c r="D171" s="3">
        <v>6</v>
      </c>
      <c r="E171" s="92" t="str" cm="1">
        <f t="array" aca="1" ref="E171" ca="1">INDIRECT("PipeMaze!"&amp;G171)</f>
        <v>🌳</v>
      </c>
      <c r="F171" s="23"/>
      <c r="G171" s="36" t="s">
        <v>140</v>
      </c>
      <c r="H171" s="84"/>
      <c r="I171" s="84" t="str">
        <f ca="1"/>
        <v>🏵</v>
      </c>
      <c r="J171" s="5">
        <f ca="1"/>
        <v>1</v>
      </c>
    </row>
    <row r="172" spans="2:10" ht="24.95" customHeight="1">
      <c r="B172" s="2">
        <v>52</v>
      </c>
      <c r="C172" s="2">
        <v>3</v>
      </c>
      <c r="D172" s="3">
        <v>6</v>
      </c>
      <c r="E172" s="92" t="str" cm="1">
        <f t="array" aca="1" ref="E172" ca="1">INDIRECT("PipeMaze!"&amp;G172)</f>
        <v>🏵</v>
      </c>
      <c r="F172" s="23"/>
      <c r="G172" s="36" t="s">
        <v>141</v>
      </c>
      <c r="H172" s="84"/>
      <c r="I172" s="84" t="str">
        <f ca="1"/>
        <v>◉</v>
      </c>
      <c r="J172" s="5">
        <f ca="1"/>
        <v>1</v>
      </c>
    </row>
    <row r="173" spans="2:10" ht="24.95" customHeight="1">
      <c r="B173" s="2">
        <v>53</v>
      </c>
      <c r="C173" s="2">
        <v>3</v>
      </c>
      <c r="D173" s="3">
        <v>6</v>
      </c>
      <c r="E173" s="92" t="str" cm="1">
        <f t="array" aca="1" ref="E173" ca="1">INDIRECT("PipeMaze!"&amp;G173)</f>
        <v>◉</v>
      </c>
      <c r="F173" s="23"/>
      <c r="G173" s="36" t="s">
        <v>142</v>
      </c>
      <c r="H173" s="84"/>
      <c r="I173" s="84" t="str">
        <f ca="1"/>
        <v>━</v>
      </c>
      <c r="J173" s="5">
        <f ca="1"/>
        <v>1</v>
      </c>
    </row>
    <row r="174" spans="2:10" ht="24.95" customHeight="1">
      <c r="B174" s="2">
        <v>54</v>
      </c>
      <c r="C174" s="2">
        <v>3</v>
      </c>
      <c r="D174" s="3">
        <v>6</v>
      </c>
      <c r="E174" s="92" t="str" cm="1">
        <f t="array" aca="1" ref="E174" ca="1">INDIRECT("PipeMaze!"&amp;G174)</f>
        <v>🌿</v>
      </c>
      <c r="F174" s="23"/>
      <c r="G174" s="36" t="s">
        <v>143</v>
      </c>
      <c r="H174" s="84"/>
      <c r="I174" s="84" t="str">
        <f ca="1"/>
        <v>🌾</v>
      </c>
      <c r="J174" s="5">
        <f ca="1"/>
        <v>1</v>
      </c>
    </row>
    <row r="175" spans="2:10" ht="24.95" customHeight="1">
      <c r="B175" s="2">
        <v>55</v>
      </c>
      <c r="C175" s="2">
        <v>3</v>
      </c>
      <c r="D175" s="3">
        <v>6</v>
      </c>
      <c r="E175" s="92" t="str" cm="1">
        <f t="array" aca="1" ref="E175" ca="1">INDIRECT("PipeMaze!"&amp;G175)</f>
        <v>━</v>
      </c>
      <c r="F175" s="23"/>
      <c r="G175" s="36" t="s">
        <v>144</v>
      </c>
      <c r="H175" s="84"/>
      <c r="I175" s="84" t="str">
        <f ca="1"/>
        <v>🌻</v>
      </c>
      <c r="J175" s="5">
        <f ca="1"/>
        <v>1</v>
      </c>
    </row>
    <row r="176" spans="2:10" ht="24.95" customHeight="1">
      <c r="B176" s="2">
        <v>56</v>
      </c>
      <c r="C176" s="2">
        <v>3</v>
      </c>
      <c r="D176" s="3">
        <v>6</v>
      </c>
      <c r="E176" s="92" t="str" cm="1">
        <f t="array" aca="1" ref="E176" ca="1">INDIRECT("PipeMaze!"&amp;G176)</f>
        <v>🌾</v>
      </c>
      <c r="F176" s="23"/>
      <c r="G176" s="36" t="s">
        <v>145</v>
      </c>
      <c r="H176" s="84"/>
      <c r="I176" s="84" t="str">
        <f ca="1"/>
        <v>🧱</v>
      </c>
      <c r="J176" s="5">
        <f ca="1"/>
        <v>1</v>
      </c>
    </row>
    <row r="177" spans="2:10" ht="24.95" customHeight="1">
      <c r="B177" s="2">
        <v>57</v>
      </c>
      <c r="C177" s="2">
        <v>3</v>
      </c>
      <c r="D177" s="3">
        <v>6</v>
      </c>
      <c r="E177" s="92" t="str" cm="1">
        <f t="array" aca="1" ref="E177" ca="1">INDIRECT("PipeMaze!"&amp;G177)</f>
        <v>🌻</v>
      </c>
      <c r="F177" s="23"/>
      <c r="G177" s="36" t="s">
        <v>146</v>
      </c>
      <c r="H177" s="84"/>
      <c r="I177" s="84" t="str">
        <f ca="1"/>
        <v>🌴</v>
      </c>
      <c r="J177" s="5">
        <f ca="1"/>
        <v>1</v>
      </c>
    </row>
    <row r="178" spans="2:10" ht="24.95" customHeight="1">
      <c r="B178" s="2">
        <v>58</v>
      </c>
      <c r="C178" s="2">
        <v>3</v>
      </c>
      <c r="D178" s="3">
        <v>6</v>
      </c>
      <c r="E178" s="92" t="str" cm="1">
        <f t="array" aca="1" ref="E178" ca="1">INDIRECT("PipeMaze!"&amp;G178)</f>
        <v>🧱</v>
      </c>
      <c r="F178" s="23"/>
      <c r="G178" s="36" t="s">
        <v>147</v>
      </c>
      <c r="H178" s="84"/>
      <c r="I178" s="84" t="str">
        <f ca="1"/>
        <v>🌽</v>
      </c>
      <c r="J178" s="5">
        <f ca="1"/>
        <v>1</v>
      </c>
    </row>
    <row r="179" spans="2:10" ht="24.95" customHeight="1">
      <c r="B179" s="2">
        <v>59</v>
      </c>
      <c r="C179" s="2">
        <v>3</v>
      </c>
      <c r="D179" s="3">
        <v>6</v>
      </c>
      <c r="E179" s="92" t="str" cm="1">
        <f t="array" aca="1" ref="E179" ca="1">INDIRECT("PipeMaze!"&amp;G179)</f>
        <v>🌴</v>
      </c>
      <c r="F179" s="23"/>
      <c r="G179" s="36" t="s">
        <v>148</v>
      </c>
      <c r="H179" s="84"/>
      <c r="I179" s="84"/>
    </row>
    <row r="180" spans="2:10" ht="24.95" customHeight="1">
      <c r="B180" s="2">
        <v>60</v>
      </c>
      <c r="C180" s="2">
        <v>3</v>
      </c>
      <c r="D180" s="3">
        <v>6</v>
      </c>
      <c r="E180" s="92" t="str" cm="1">
        <f t="array" aca="1" ref="E180" ca="1">INDIRECT("PipeMaze!"&amp;G180)</f>
        <v>🌽</v>
      </c>
      <c r="F180" s="23"/>
      <c r="G180" s="36" t="s">
        <v>149</v>
      </c>
      <c r="H180" s="84"/>
      <c r="I180" s="84"/>
    </row>
    <row r="181" spans="2:10" ht="15" customHeight="1" thickBot="1"/>
    <row r="182" spans="2:10" ht="22.5" customHeight="1" thickBot="1">
      <c r="B182" s="32" t="s">
        <v>150</v>
      </c>
      <c r="C182" s="21" t="s">
        <v>93</v>
      </c>
      <c r="D182" s="35" t="s">
        <v>151</v>
      </c>
    </row>
    <row r="183" spans="2:10" ht="15" customHeight="1">
      <c r="B183" s="12"/>
    </row>
    <row r="184" spans="2:10" ht="15" customHeight="1">
      <c r="B184" s="26" t="s">
        <v>152</v>
      </c>
      <c r="C184" s="28"/>
      <c r="D184" s="12"/>
    </row>
    <row r="185" spans="2:10" ht="15" customHeight="1">
      <c r="B185" s="29" t="s">
        <v>153</v>
      </c>
      <c r="C185" s="28"/>
      <c r="D185" s="12"/>
    </row>
    <row r="186" spans="2:10" ht="15" customHeight="1">
      <c r="B186" s="29" t="s">
        <v>154</v>
      </c>
      <c r="C186" s="28"/>
      <c r="D186" s="12"/>
    </row>
    <row r="187" spans="2:10" ht="15" customHeight="1">
      <c r="B187" s="29" t="s">
        <v>155</v>
      </c>
      <c r="C187" s="28"/>
      <c r="D187" s="12"/>
    </row>
    <row r="188" spans="2:10" ht="15" customHeight="1">
      <c r="B188" s="29" t="s">
        <v>156</v>
      </c>
      <c r="C188" s="28"/>
      <c r="D188" s="12"/>
    </row>
    <row r="189" spans="2:10" ht="15" customHeight="1">
      <c r="B189" s="29"/>
      <c r="C189" s="28"/>
      <c r="D189" s="12"/>
    </row>
    <row r="190" spans="2:10" ht="15" customHeight="1">
      <c r="B190" s="101" t="s">
        <v>157</v>
      </c>
      <c r="C190" s="28"/>
      <c r="D190" s="12"/>
    </row>
    <row r="191" spans="2:10" ht="15" customHeight="1">
      <c r="B191" s="29"/>
      <c r="C191" s="28"/>
      <c r="D191" s="12"/>
    </row>
    <row r="192" spans="2:10" ht="15" customHeight="1">
      <c r="B192" s="27" t="s">
        <v>158</v>
      </c>
      <c r="C192" s="28"/>
      <c r="D192" s="12"/>
    </row>
    <row r="193" spans="2:13" ht="15" customHeight="1">
      <c r="B193" s="29" t="s">
        <v>159</v>
      </c>
      <c r="C193" s="28"/>
      <c r="D193" s="12"/>
      <c r="K193" s="5"/>
      <c r="L193" s="5"/>
    </row>
    <row r="194" spans="2:13" ht="15" customHeight="1">
      <c r="B194" s="29" t="s">
        <v>160</v>
      </c>
      <c r="C194" s="28"/>
      <c r="D194" s="12"/>
      <c r="K194" s="5"/>
      <c r="L194" s="5"/>
    </row>
    <row r="195" spans="2:13" ht="15" customHeight="1">
      <c r="B195" s="29" t="s">
        <v>161</v>
      </c>
      <c r="C195" s="28"/>
      <c r="D195" s="12"/>
      <c r="K195" s="5"/>
      <c r="L195" s="5"/>
    </row>
    <row r="196" spans="2:13" ht="15" customHeight="1">
      <c r="B196" s="29" t="s">
        <v>162</v>
      </c>
      <c r="C196" s="28"/>
      <c r="D196" s="12"/>
      <c r="K196" s="5"/>
      <c r="L196" s="5"/>
    </row>
    <row r="197" spans="2:13" ht="15" customHeight="1">
      <c r="B197" s="29" t="s">
        <v>163</v>
      </c>
      <c r="C197" s="28"/>
      <c r="D197" s="12"/>
      <c r="K197" s="5"/>
      <c r="L197" s="5"/>
    </row>
    <row r="198" spans="2:13" ht="15" customHeight="1">
      <c r="B198" s="12"/>
      <c r="C198" s="28"/>
      <c r="D198" s="12"/>
      <c r="K198" s="5"/>
      <c r="L198" s="5"/>
    </row>
    <row r="199" spans="2:13" ht="15" customHeight="1">
      <c r="B199" s="55" t="s">
        <v>84</v>
      </c>
      <c r="C199" s="28"/>
      <c r="D199" s="12"/>
      <c r="K199" s="5"/>
      <c r="L199" s="5"/>
    </row>
    <row r="200" spans="2:13" ht="15" customHeight="1">
      <c r="B200" s="30" t="s">
        <v>164</v>
      </c>
      <c r="C200" s="28"/>
      <c r="D200" s="12"/>
      <c r="K200" s="5"/>
      <c r="L200" s="5"/>
    </row>
    <row r="201" spans="2:13" ht="15" customHeight="1">
      <c r="B201" s="30" t="s">
        <v>165</v>
      </c>
      <c r="C201" s="28"/>
      <c r="D201" s="12"/>
      <c r="K201" s="5"/>
      <c r="L201" s="5"/>
    </row>
    <row r="202" spans="2:13" ht="15" customHeight="1">
      <c r="B202" s="30" t="s">
        <v>166</v>
      </c>
      <c r="C202" s="28"/>
      <c r="D202" s="12"/>
      <c r="K202" s="5"/>
      <c r="L202" s="5"/>
    </row>
    <row r="203" spans="2:13" ht="15" customHeight="1" thickBot="1">
      <c r="B203" s="12"/>
      <c r="C203" s="12"/>
      <c r="D203" s="12"/>
      <c r="E203" s="12"/>
      <c r="F203" s="12"/>
      <c r="G203" s="12"/>
      <c r="H203" s="12"/>
      <c r="I203" s="12"/>
      <c r="J203" s="12"/>
      <c r="K203" s="26"/>
      <c r="L203" s="26"/>
      <c r="M203" s="26"/>
    </row>
    <row r="204" spans="2:13" s="26" customFormat="1" ht="22.5" customHeight="1" thickBot="1">
      <c r="B204" s="16" t="s">
        <v>59</v>
      </c>
      <c r="C204" s="19" t="s">
        <v>89</v>
      </c>
      <c r="D204" s="16" t="s">
        <v>61</v>
      </c>
      <c r="E204" s="24" t="s">
        <v>62</v>
      </c>
      <c r="F204" s="12"/>
      <c r="G204" s="17" t="s">
        <v>167</v>
      </c>
      <c r="H204" s="73"/>
      <c r="I204" s="74"/>
      <c r="K204" s="84"/>
      <c r="L204" s="84"/>
      <c r="M204" s="84"/>
    </row>
    <row r="205" spans="2:13" ht="15" customHeight="1">
      <c r="J205" s="7"/>
      <c r="K205" s="84"/>
      <c r="L205" s="84"/>
      <c r="M205" s="84"/>
    </row>
    <row r="206" spans="2:13" ht="24.95" customHeight="1">
      <c r="B206" s="9" t="s">
        <v>168</v>
      </c>
      <c r="C206" s="2">
        <v>4</v>
      </c>
      <c r="D206" s="10">
        <v>0</v>
      </c>
      <c r="E206" s="1" t="s">
        <v>169</v>
      </c>
      <c r="F206" s="23"/>
      <c r="G206" s="37" t="s">
        <v>31</v>
      </c>
      <c r="H206" s="37" t="s">
        <v>37</v>
      </c>
      <c r="I206" s="37" t="s">
        <v>45</v>
      </c>
      <c r="J206" s="7"/>
      <c r="K206" s="84"/>
      <c r="L206" s="84"/>
      <c r="M206" s="84"/>
    </row>
    <row r="207" spans="2:13" ht="15" customHeight="1">
      <c r="E207" s="6"/>
      <c r="J207" s="7"/>
      <c r="K207" s="84"/>
      <c r="L207" s="84"/>
      <c r="M207" s="84"/>
    </row>
    <row r="208" spans="2:13" ht="24.95" customHeight="1">
      <c r="B208" s="2">
        <v>61</v>
      </c>
      <c r="C208" s="2">
        <v>4</v>
      </c>
      <c r="D208" s="3">
        <v>7</v>
      </c>
      <c r="E208" s="1" t="str" cm="1">
        <f t="array" ref="E208">_xlfn.CONCAT(_xlfn.XLOOKUP(G208:I208,$G$38:$G$46,$J$38:$J$46,,0,1))</f>
        <v>010110101100</v>
      </c>
      <c r="F208" s="23"/>
      <c r="G208" s="37" t="s">
        <v>47</v>
      </c>
      <c r="H208" s="37" t="s">
        <v>37</v>
      </c>
      <c r="I208" s="37" t="s">
        <v>31</v>
      </c>
      <c r="J208" s="7"/>
      <c r="K208" s="84" cm="1">
        <f t="array" ref="K208">SUM(--(_xlfn.VSTACK(G208:I227,H250:J269)=G42))</f>
        <v>10</v>
      </c>
      <c r="L208" s="84"/>
      <c r="M208" s="84"/>
    </row>
    <row r="209" spans="2:13" ht="24.95" customHeight="1">
      <c r="B209" s="2">
        <v>62</v>
      </c>
      <c r="C209" s="2">
        <v>4</v>
      </c>
      <c r="D209" s="3">
        <v>7</v>
      </c>
      <c r="E209" s="1" t="str" cm="1">
        <f t="array" ref="E209">_xlfn.CONCAT(_xlfn.XLOOKUP(G209:I209,$G$38:$G$46,$J$38:$J$46,,0,1))</f>
        <v>011001010110</v>
      </c>
      <c r="F209" s="23"/>
      <c r="G209" s="37" t="s">
        <v>45</v>
      </c>
      <c r="H209" s="37" t="s">
        <v>47</v>
      </c>
      <c r="I209" s="37" t="s">
        <v>45</v>
      </c>
      <c r="J209" s="7"/>
      <c r="K209" s="84"/>
      <c r="L209" s="84"/>
      <c r="M209" s="84"/>
    </row>
    <row r="210" spans="2:13" ht="24.95" customHeight="1">
      <c r="B210" s="2">
        <v>63</v>
      </c>
      <c r="C210" s="2">
        <v>4</v>
      </c>
      <c r="D210" s="3">
        <v>7</v>
      </c>
      <c r="E210" s="1" t="str" cm="1">
        <f t="array" ref="E210">_xlfn.CONCAT(_xlfn.XLOOKUP(G210:I210,$G$38:$G$46,$J$38:$J$46,,0,1))</f>
        <v>110010101100</v>
      </c>
      <c r="F210" s="23"/>
      <c r="G210" s="37" t="s">
        <v>31</v>
      </c>
      <c r="H210" s="37" t="s">
        <v>37</v>
      </c>
      <c r="I210" s="37" t="s">
        <v>31</v>
      </c>
      <c r="J210" s="7"/>
      <c r="K210" s="84"/>
      <c r="L210" s="84"/>
      <c r="M210" s="84"/>
    </row>
    <row r="211" spans="2:13" ht="24.95" customHeight="1">
      <c r="B211" s="2">
        <v>64</v>
      </c>
      <c r="C211" s="2">
        <v>4</v>
      </c>
      <c r="D211" s="3">
        <v>7</v>
      </c>
      <c r="E211" s="1" t="str" cm="1">
        <f t="array" ref="E211">_xlfn.CONCAT(_xlfn.XLOOKUP(G211:I211,$G$38:$G$46,$J$38:$J$46,,0,1))</f>
        <v>110011001100</v>
      </c>
      <c r="F211" s="23"/>
      <c r="G211" s="37" t="s">
        <v>31</v>
      </c>
      <c r="H211" s="37" t="s">
        <v>31</v>
      </c>
      <c r="I211" s="37" t="s">
        <v>31</v>
      </c>
      <c r="J211" s="7"/>
      <c r="K211" s="84"/>
      <c r="L211" s="84"/>
      <c r="M211" s="84"/>
    </row>
    <row r="212" spans="2:13" ht="24.95" customHeight="1">
      <c r="B212" s="2">
        <v>65</v>
      </c>
      <c r="C212" s="2">
        <v>4</v>
      </c>
      <c r="D212" s="3">
        <v>7</v>
      </c>
      <c r="E212" s="1" t="str" cm="1">
        <f t="array" ref="E212">_xlfn.CONCAT(_xlfn.XLOOKUP(G212:I212,$G$38:$G$46,$J$38:$J$46,,0,1))</f>
        <v>010101101010</v>
      </c>
      <c r="F212" s="23"/>
      <c r="G212" s="37" t="s">
        <v>47</v>
      </c>
      <c r="H212" s="37" t="s">
        <v>45</v>
      </c>
      <c r="I212" s="37" t="s">
        <v>37</v>
      </c>
      <c r="J212" s="7"/>
      <c r="K212" s="84"/>
      <c r="L212" s="84"/>
      <c r="M212" s="84"/>
    </row>
    <row r="213" spans="2:13" ht="24.95" customHeight="1">
      <c r="B213" s="2">
        <v>66</v>
      </c>
      <c r="C213" s="2">
        <v>4</v>
      </c>
      <c r="D213" s="3">
        <v>7</v>
      </c>
      <c r="E213" s="1" t="str" cm="1">
        <f t="array" ref="E213">_xlfn.CONCAT(_xlfn.XLOOKUP(G213:I213,$G$38:$G$46,$J$38:$J$46,,0,1))</f>
        <v>010101011100</v>
      </c>
      <c r="F213" s="23"/>
      <c r="G213" s="37" t="s">
        <v>47</v>
      </c>
      <c r="H213" s="37" t="s">
        <v>47</v>
      </c>
      <c r="I213" s="37" t="s">
        <v>31</v>
      </c>
      <c r="J213" s="7"/>
      <c r="K213" s="84"/>
      <c r="L213" s="84"/>
      <c r="M213" s="84"/>
    </row>
    <row r="214" spans="2:13" ht="24.95" customHeight="1">
      <c r="B214" s="2">
        <v>67</v>
      </c>
      <c r="C214" s="2">
        <v>4</v>
      </c>
      <c r="D214" s="3">
        <v>7</v>
      </c>
      <c r="E214" s="1" t="str" cm="1">
        <f t="array" ref="E214">_xlfn.CONCAT(_xlfn.XLOOKUP(G214:I214,$G$38:$G$46,$J$38:$J$46,,0,1))</f>
        <v>010100111100</v>
      </c>
      <c r="F214" s="23"/>
      <c r="G214" s="37" t="s">
        <v>47</v>
      </c>
      <c r="H214" s="37" t="s">
        <v>34</v>
      </c>
      <c r="I214" s="37" t="s">
        <v>31</v>
      </c>
      <c r="J214" s="7"/>
      <c r="K214" s="84"/>
      <c r="L214" s="84"/>
      <c r="M214" s="84"/>
    </row>
    <row r="215" spans="2:13" ht="24.95" customHeight="1">
      <c r="B215" s="2">
        <v>68</v>
      </c>
      <c r="C215" s="2">
        <v>4</v>
      </c>
      <c r="D215" s="3">
        <v>7</v>
      </c>
      <c r="E215" s="1" t="str" cm="1">
        <f t="array" ref="E215">_xlfn.CONCAT(_xlfn.XLOOKUP(G215:I215,$G$38:$G$46,$J$38:$J$46,,0,1))</f>
        <v>110011001100</v>
      </c>
      <c r="F215" s="23"/>
      <c r="G215" s="37" t="s">
        <v>31</v>
      </c>
      <c r="H215" s="37" t="s">
        <v>31</v>
      </c>
      <c r="I215" s="37" t="s">
        <v>31</v>
      </c>
      <c r="J215" s="7"/>
      <c r="K215" s="84"/>
      <c r="L215" s="84"/>
      <c r="M215" s="84"/>
    </row>
    <row r="216" spans="2:13" ht="24.95" customHeight="1">
      <c r="B216" s="2">
        <v>69</v>
      </c>
      <c r="C216" s="2">
        <v>4</v>
      </c>
      <c r="D216" s="3">
        <v>7</v>
      </c>
      <c r="E216" s="1" t="str" cm="1">
        <f t="array" ref="E216">_xlfn.CONCAT(_xlfn.XLOOKUP(G216:I216,$G$38:$G$46,$J$38:$J$46,,0,1))</f>
        <v>010110011100</v>
      </c>
      <c r="F216" s="23"/>
      <c r="G216" s="37" t="s">
        <v>47</v>
      </c>
      <c r="H216" s="37" t="s">
        <v>41</v>
      </c>
      <c r="I216" s="37" t="s">
        <v>31</v>
      </c>
      <c r="J216" s="7"/>
      <c r="K216" s="84"/>
      <c r="L216" s="84"/>
      <c r="M216" s="84"/>
    </row>
    <row r="217" spans="2:13" ht="24.95" customHeight="1">
      <c r="B217" s="2">
        <v>70</v>
      </c>
      <c r="C217" s="2">
        <v>4</v>
      </c>
      <c r="D217" s="3">
        <v>7</v>
      </c>
      <c r="E217" s="1" t="str" cm="1">
        <f t="array" ref="E217">_xlfn.CONCAT(_xlfn.XLOOKUP(G217:I217,$G$38:$G$46,$J$38:$J$46,,0,1))</f>
        <v>010110100101</v>
      </c>
      <c r="F217" s="23"/>
      <c r="G217" s="37" t="s">
        <v>47</v>
      </c>
      <c r="H217" s="37" t="s">
        <v>37</v>
      </c>
      <c r="I217" s="37" t="s">
        <v>47</v>
      </c>
      <c r="J217" s="7"/>
      <c r="K217" s="84"/>
      <c r="L217" s="84"/>
      <c r="M217" s="84"/>
    </row>
    <row r="218" spans="2:13" ht="24.95" customHeight="1">
      <c r="B218" s="2">
        <v>71</v>
      </c>
      <c r="C218" s="2">
        <v>4</v>
      </c>
      <c r="D218" s="3">
        <v>7</v>
      </c>
      <c r="E218" s="1" t="str" cm="1">
        <f t="array" ref="E218">_xlfn.CONCAT(_xlfn.XLOOKUP(G218:I218,$G$38:$G$46,$J$38:$J$46,,0,1))</f>
        <v>011011000011</v>
      </c>
      <c r="F218" s="23"/>
      <c r="G218" s="37" t="s">
        <v>45</v>
      </c>
      <c r="H218" s="37" t="s">
        <v>31</v>
      </c>
      <c r="I218" s="37" t="s">
        <v>34</v>
      </c>
      <c r="J218" s="7"/>
      <c r="K218" s="84"/>
      <c r="L218" s="84"/>
      <c r="M218" s="84"/>
    </row>
    <row r="219" spans="2:13" ht="24.95" customHeight="1">
      <c r="B219" s="2">
        <v>72</v>
      </c>
      <c r="C219" s="2">
        <v>4</v>
      </c>
      <c r="D219" s="3">
        <v>7</v>
      </c>
      <c r="E219" s="1" t="str" cm="1">
        <f t="array" ref="E219">_xlfn.CONCAT(_xlfn.XLOOKUP(G219:I219,$G$38:$G$46,$J$38:$J$46,,0,1))</f>
        <v>010100110011</v>
      </c>
      <c r="F219" s="23"/>
      <c r="G219" s="37" t="s">
        <v>47</v>
      </c>
      <c r="H219" s="37" t="s">
        <v>34</v>
      </c>
      <c r="I219" s="37" t="s">
        <v>34</v>
      </c>
      <c r="J219" s="7"/>
      <c r="K219" s="84"/>
      <c r="L219" s="84"/>
      <c r="M219" s="84"/>
    </row>
    <row r="220" spans="2:13" ht="24.95" customHeight="1">
      <c r="B220" s="2">
        <v>73</v>
      </c>
      <c r="C220" s="2">
        <v>4</v>
      </c>
      <c r="D220" s="3">
        <v>7</v>
      </c>
      <c r="E220" s="1" t="str" cm="1">
        <f t="array" ref="E220">_xlfn.CONCAT(_xlfn.XLOOKUP(G220:I220,$G$38:$G$46,$J$38:$J$46,,0,1))</f>
        <v>100111001100</v>
      </c>
      <c r="F220" s="23"/>
      <c r="G220" s="37" t="s">
        <v>41</v>
      </c>
      <c r="H220" s="37" t="s">
        <v>31</v>
      </c>
      <c r="I220" s="37" t="s">
        <v>31</v>
      </c>
      <c r="J220" s="7"/>
      <c r="K220" s="84"/>
      <c r="L220" s="84"/>
      <c r="M220" s="84"/>
    </row>
    <row r="221" spans="2:13" ht="24.95" customHeight="1">
      <c r="B221" s="2">
        <v>74</v>
      </c>
      <c r="C221" s="2">
        <v>4</v>
      </c>
      <c r="D221" s="3">
        <v>7</v>
      </c>
      <c r="E221" s="1" t="str" cm="1">
        <f t="array" ref="E221">_xlfn.CONCAT(_xlfn.XLOOKUP(G221:I221,$G$38:$G$46,$J$38:$J$46,,0,1))</f>
        <v>001100110011</v>
      </c>
      <c r="F221" s="23"/>
      <c r="G221" s="37" t="s">
        <v>34</v>
      </c>
      <c r="H221" s="37" t="s">
        <v>34</v>
      </c>
      <c r="I221" s="37" t="s">
        <v>34</v>
      </c>
      <c r="J221" s="7"/>
      <c r="K221" s="84"/>
      <c r="L221" s="84"/>
      <c r="M221" s="84"/>
    </row>
    <row r="222" spans="2:13" ht="24.95" customHeight="1">
      <c r="B222" s="2">
        <v>75</v>
      </c>
      <c r="C222" s="2">
        <v>4</v>
      </c>
      <c r="D222" s="3">
        <v>7</v>
      </c>
      <c r="E222" s="1" t="str" cm="1">
        <f t="array" ref="E222">_xlfn.CONCAT(_xlfn.XLOOKUP(G222:I222,$G$38:$G$46,$J$38:$J$46,,0,1))</f>
        <v>001111000011</v>
      </c>
      <c r="F222" s="23"/>
      <c r="G222" s="37" t="s">
        <v>34</v>
      </c>
      <c r="H222" s="37" t="s">
        <v>31</v>
      </c>
      <c r="I222" s="37" t="s">
        <v>34</v>
      </c>
      <c r="J222" s="7"/>
      <c r="K222" s="84"/>
      <c r="L222" s="84"/>
      <c r="M222" s="84"/>
    </row>
    <row r="223" spans="2:13" ht="24.95" customHeight="1">
      <c r="B223" s="2">
        <v>76</v>
      </c>
      <c r="C223" s="2">
        <v>4</v>
      </c>
      <c r="D223" s="3">
        <v>7</v>
      </c>
      <c r="E223" s="1" t="str" cm="1">
        <f t="array" ref="E223">_xlfn.CONCAT(_xlfn.XLOOKUP(G223:I223,$G$38:$G$46,$J$38:$J$46,,0,1))</f>
        <v>100111001010</v>
      </c>
      <c r="F223" s="23"/>
      <c r="G223" s="37" t="s">
        <v>41</v>
      </c>
      <c r="H223" s="37" t="s">
        <v>31</v>
      </c>
      <c r="I223" s="37" t="s">
        <v>37</v>
      </c>
      <c r="J223" s="7"/>
      <c r="K223" s="84"/>
      <c r="L223" s="84"/>
      <c r="M223" s="84"/>
    </row>
    <row r="224" spans="2:13" ht="24.95" customHeight="1">
      <c r="B224" s="2">
        <v>77</v>
      </c>
      <c r="C224" s="2">
        <v>4</v>
      </c>
      <c r="D224" s="3">
        <v>7</v>
      </c>
      <c r="E224" s="1" t="str" cm="1">
        <f t="array" ref="E224">_xlfn.CONCAT(_xlfn.XLOOKUP(G224:I224,$G$38:$G$46,$J$38:$J$46,,0,1))</f>
        <v>001110010011</v>
      </c>
      <c r="F224" s="23"/>
      <c r="G224" s="37" t="s">
        <v>34</v>
      </c>
      <c r="H224" s="37" t="s">
        <v>41</v>
      </c>
      <c r="I224" s="37" t="s">
        <v>34</v>
      </c>
      <c r="J224" s="7"/>
      <c r="K224" s="84"/>
      <c r="L224" s="84"/>
      <c r="M224" s="84"/>
    </row>
    <row r="225" spans="2:13" ht="24.95" customHeight="1">
      <c r="B225" s="2">
        <v>78</v>
      </c>
      <c r="C225" s="2">
        <v>4</v>
      </c>
      <c r="D225" s="3">
        <v>7</v>
      </c>
      <c r="E225" s="1" t="str" cm="1">
        <f t="array" ref="E225">_xlfn.CONCAT(_xlfn.XLOOKUP(G225:I225,$G$38:$G$46,$J$38:$J$46,,0,1))</f>
        <v>100101101001</v>
      </c>
      <c r="F225" s="23"/>
      <c r="G225" s="37" t="s">
        <v>41</v>
      </c>
      <c r="H225" s="37" t="s">
        <v>45</v>
      </c>
      <c r="I225" s="37" t="s">
        <v>41</v>
      </c>
      <c r="J225" s="7"/>
      <c r="K225" s="84"/>
      <c r="L225" s="84"/>
      <c r="M225" s="84"/>
    </row>
    <row r="226" spans="2:13" ht="24.95" customHeight="1">
      <c r="B226" s="2">
        <v>79</v>
      </c>
      <c r="C226" s="2">
        <v>4</v>
      </c>
      <c r="D226" s="3">
        <v>7</v>
      </c>
      <c r="E226" s="1" t="str" cm="1">
        <f t="array" ref="E226">_xlfn.CONCAT(_xlfn.XLOOKUP(G226:I226,$G$38:$G$46,$J$38:$J$46,,0,1))</f>
        <v>010110100011</v>
      </c>
      <c r="F226" s="23"/>
      <c r="G226" s="37" t="s">
        <v>47</v>
      </c>
      <c r="H226" s="37" t="s">
        <v>37</v>
      </c>
      <c r="I226" s="37" t="s">
        <v>34</v>
      </c>
      <c r="J226" s="7"/>
      <c r="K226" s="84"/>
      <c r="L226" s="84"/>
      <c r="M226" s="84"/>
    </row>
    <row r="227" spans="2:13" ht="24.95" customHeight="1">
      <c r="B227" s="2">
        <v>80</v>
      </c>
      <c r="C227" s="2">
        <v>4</v>
      </c>
      <c r="D227" s="3">
        <v>7</v>
      </c>
      <c r="E227" s="1" t="str" cm="1">
        <f t="array" ref="E227">_xlfn.CONCAT(_xlfn.XLOOKUP(G227:I227,$G$38:$G$46,$J$38:$J$46,,0,1))</f>
        <v>101001011010</v>
      </c>
      <c r="F227" s="23"/>
      <c r="G227" s="37" t="s">
        <v>37</v>
      </c>
      <c r="H227" s="37" t="s">
        <v>47</v>
      </c>
      <c r="I227" s="37" t="s">
        <v>37</v>
      </c>
      <c r="J227" s="7"/>
      <c r="K227" s="84"/>
      <c r="L227" s="84"/>
      <c r="M227" s="84"/>
    </row>
    <row r="228" spans="2:13" ht="15" customHeight="1" thickBot="1">
      <c r="B228" s="12"/>
      <c r="K228" s="84"/>
      <c r="L228" s="84"/>
      <c r="M228" s="84"/>
    </row>
    <row r="229" spans="2:13" ht="22.5" customHeight="1" thickBot="1">
      <c r="B229" s="32" t="s">
        <v>170</v>
      </c>
      <c r="C229" s="21" t="s">
        <v>171</v>
      </c>
      <c r="D229" s="35" t="s">
        <v>172</v>
      </c>
      <c r="K229" s="84"/>
      <c r="L229" s="84"/>
      <c r="M229" s="84"/>
    </row>
    <row r="230" spans="2:13" s="26" customFormat="1" ht="15" customHeight="1">
      <c r="B230" s="12"/>
      <c r="C230" s="12"/>
      <c r="D230" s="12"/>
      <c r="E230" s="12"/>
      <c r="F230" s="12"/>
      <c r="G230" s="12"/>
      <c r="H230" s="12"/>
      <c r="I230" s="12"/>
      <c r="J230" s="12"/>
      <c r="K230" s="84"/>
      <c r="L230" s="84"/>
      <c r="M230" s="84"/>
    </row>
    <row r="231" spans="2:13" ht="15" customHeight="1">
      <c r="B231" s="26" t="s">
        <v>173</v>
      </c>
      <c r="C231" s="28"/>
      <c r="D231" s="12"/>
      <c r="E231" s="12"/>
      <c r="F231" s="12"/>
      <c r="G231" s="12"/>
      <c r="H231" s="12"/>
      <c r="I231" s="12"/>
      <c r="J231" s="12"/>
      <c r="K231" s="84"/>
      <c r="L231" s="84"/>
      <c r="M231" s="84"/>
    </row>
    <row r="232" spans="2:13" ht="15" customHeight="1">
      <c r="B232" s="26"/>
      <c r="C232" s="28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spans="2:13" ht="15" customHeight="1">
      <c r="B233" s="101" t="s">
        <v>174</v>
      </c>
      <c r="C233" s="28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spans="2:13" ht="15" customHeight="1">
      <c r="B234" s="26" t="s">
        <v>175</v>
      </c>
      <c r="C234" s="28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spans="2:13" ht="15" customHeight="1">
      <c r="B235" s="26" t="s">
        <v>176</v>
      </c>
      <c r="C235" s="28"/>
      <c r="D235" s="12"/>
      <c r="E235" s="12"/>
      <c r="F235" s="12"/>
      <c r="G235" s="12"/>
      <c r="H235" s="12"/>
      <c r="I235" s="12"/>
      <c r="J235" s="12"/>
      <c r="K235" s="12"/>
      <c r="L235" s="12"/>
      <c r="M235" s="12"/>
    </row>
    <row r="236" spans="2:13" ht="15" customHeight="1">
      <c r="B236" s="26" t="s">
        <v>177</v>
      </c>
      <c r="C236" s="28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2:13" ht="15" customHeight="1">
      <c r="B237" s="26" t="s">
        <v>178</v>
      </c>
      <c r="C237" s="28"/>
      <c r="D237" s="12"/>
      <c r="E237" s="12"/>
      <c r="F237" s="12"/>
      <c r="G237" s="12"/>
      <c r="H237" s="12"/>
      <c r="I237" s="12"/>
      <c r="J237" s="12"/>
      <c r="K237" s="12"/>
      <c r="L237" s="12"/>
      <c r="M237" s="12"/>
    </row>
    <row r="238" spans="2:13" ht="15" customHeight="1">
      <c r="B238" s="26" t="s">
        <v>179</v>
      </c>
      <c r="C238" s="28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spans="2:13" ht="15" customHeight="1">
      <c r="B239" s="26" t="s">
        <v>180</v>
      </c>
      <c r="C239" s="28"/>
      <c r="D239" s="12"/>
      <c r="E239" s="12"/>
      <c r="F239" s="12"/>
      <c r="G239" s="12"/>
      <c r="H239" s="12"/>
      <c r="I239" s="12"/>
      <c r="J239" s="12"/>
      <c r="K239" s="12"/>
      <c r="L239" s="12"/>
      <c r="M239" s="12"/>
    </row>
    <row r="241" spans="2:14" ht="15" customHeight="1">
      <c r="B241" s="101" t="s">
        <v>84</v>
      </c>
      <c r="C241" s="28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spans="2:14" ht="15" customHeight="1">
      <c r="B242" s="30" t="s">
        <v>181</v>
      </c>
      <c r="C242" s="28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spans="2:14" ht="15" customHeight="1">
      <c r="B243" s="30" t="s">
        <v>182</v>
      </c>
      <c r="C243" s="28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2:14" ht="15" customHeight="1">
      <c r="B244" s="30" t="s">
        <v>183</v>
      </c>
      <c r="C244" s="29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spans="2:14" ht="15" customHeight="1" thickBot="1">
      <c r="B245" s="29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spans="2:14" s="26" customFormat="1" ht="22.5" customHeight="1" thickBot="1">
      <c r="B246" s="16" t="s">
        <v>59</v>
      </c>
      <c r="C246" s="19" t="s">
        <v>89</v>
      </c>
      <c r="D246" s="16" t="s">
        <v>61</v>
      </c>
      <c r="E246" s="24" t="s">
        <v>62</v>
      </c>
      <c r="F246" s="12"/>
      <c r="G246" s="16" t="s">
        <v>184</v>
      </c>
      <c r="H246" s="17" t="s">
        <v>167</v>
      </c>
      <c r="I246" s="73"/>
      <c r="J246" s="74"/>
      <c r="L246" s="12"/>
      <c r="M246" s="12"/>
      <c r="N246" s="12"/>
    </row>
    <row r="247" spans="2:14" ht="15" customHeight="1">
      <c r="G247" s="34"/>
      <c r="L247" s="12"/>
      <c r="M247" s="12"/>
      <c r="N247" s="12"/>
    </row>
    <row r="248" spans="2:14" ht="24.95" customHeight="1">
      <c r="B248" s="9" t="s">
        <v>185</v>
      </c>
      <c r="C248" s="2">
        <v>5</v>
      </c>
      <c r="D248" s="10">
        <v>0</v>
      </c>
      <c r="E248" s="1" t="s">
        <v>186</v>
      </c>
      <c r="F248" s="23"/>
      <c r="G248" s="37" t="s">
        <v>29</v>
      </c>
      <c r="H248" s="37" t="s">
        <v>45</v>
      </c>
      <c r="I248" s="37" t="s">
        <v>34</v>
      </c>
      <c r="J248" s="37" t="s">
        <v>41</v>
      </c>
      <c r="L248" s="12"/>
      <c r="M248" s="12"/>
      <c r="N248" s="12"/>
    </row>
    <row r="249" spans="2:14" ht="15" customHeight="1">
      <c r="E249" s="6"/>
      <c r="L249" s="12"/>
      <c r="M249" s="12"/>
      <c r="N249" s="12"/>
    </row>
    <row r="250" spans="2:14" ht="24.95" customHeight="1">
      <c r="B250" s="2">
        <v>81</v>
      </c>
      <c r="C250" s="2">
        <v>5</v>
      </c>
      <c r="D250" s="3">
        <v>8</v>
      </c>
      <c r="E250" s="1" t="str" cm="1">
        <f t="array" ref="E250">_xlfn.CONCAT(_xlfn.XLOOKUP(H250:J250,$G$38:$G$46, _xlfn.XLOOKUP(G250,$I$37:$J$37,$I$38:$J$46,,0,1),,0,1))</f>
        <v>110001011010</v>
      </c>
      <c r="F250" s="23"/>
      <c r="G250" s="37" t="s">
        <v>29</v>
      </c>
      <c r="H250" s="37" t="s">
        <v>31</v>
      </c>
      <c r="I250" s="37" t="s">
        <v>37</v>
      </c>
      <c r="J250" s="37" t="s">
        <v>47</v>
      </c>
      <c r="L250" s="12"/>
      <c r="M250" s="12"/>
      <c r="N250" s="12"/>
    </row>
    <row r="251" spans="2:14" ht="24.95" customHeight="1">
      <c r="B251" s="2">
        <v>82</v>
      </c>
      <c r="C251" s="2">
        <v>5</v>
      </c>
      <c r="D251" s="3">
        <v>8</v>
      </c>
      <c r="E251" s="1" t="str" cm="1">
        <f t="array" ref="E251">_xlfn.CONCAT(_xlfn.XLOOKUP(H251:J251,$G$38:$G$46, _xlfn.XLOOKUP(G251,$I$37:$J$37,$I$38:$J$46,,0,1),,0,1))</f>
        <v>011001010011</v>
      </c>
      <c r="F251" s="23"/>
      <c r="G251" s="37" t="s">
        <v>30</v>
      </c>
      <c r="H251" s="37" t="s">
        <v>45</v>
      </c>
      <c r="I251" s="37" t="s">
        <v>47</v>
      </c>
      <c r="J251" s="37" t="s">
        <v>34</v>
      </c>
      <c r="L251" s="12"/>
      <c r="M251" s="12"/>
      <c r="N251" s="12"/>
    </row>
    <row r="252" spans="2:14" ht="24.95" customHeight="1">
      <c r="B252" s="2">
        <v>83</v>
      </c>
      <c r="C252" s="2">
        <v>5</v>
      </c>
      <c r="D252" s="3">
        <v>8</v>
      </c>
      <c r="E252" s="1" t="str" cm="1">
        <f t="array" ref="E252">_xlfn.CONCAT(_xlfn.XLOOKUP(H252:J252,$G$38:$G$46, _xlfn.XLOOKUP(G252,$I$37:$J$37,$I$38:$J$46,,0,1),,0,1))</f>
        <v>001111001100</v>
      </c>
      <c r="F252" s="23"/>
      <c r="G252" s="37" t="s">
        <v>30</v>
      </c>
      <c r="H252" s="37" t="s">
        <v>34</v>
      </c>
      <c r="I252" s="37" t="s">
        <v>31</v>
      </c>
      <c r="J252" s="37" t="s">
        <v>31</v>
      </c>
      <c r="L252" s="12"/>
      <c r="M252" s="12"/>
      <c r="N252" s="12"/>
    </row>
    <row r="253" spans="2:14" ht="24.95" customHeight="1">
      <c r="B253" s="2">
        <v>84</v>
      </c>
      <c r="C253" s="2">
        <v>5</v>
      </c>
      <c r="D253" s="3">
        <v>8</v>
      </c>
      <c r="E253" s="1" t="str" cm="1">
        <f t="array" ref="E253">_xlfn.CONCAT(_xlfn.XLOOKUP(H253:J253,$G$38:$G$46, _xlfn.XLOOKUP(G253,$I$37:$J$37,$I$38:$J$46,,0,1),,0,1))</f>
        <v>110011000110</v>
      </c>
      <c r="F253" s="23"/>
      <c r="G253" s="37" t="s">
        <v>30</v>
      </c>
      <c r="H253" s="37" t="s">
        <v>31</v>
      </c>
      <c r="I253" s="37" t="s">
        <v>31</v>
      </c>
      <c r="J253" s="37" t="s">
        <v>45</v>
      </c>
      <c r="L253" s="12"/>
      <c r="M253" s="12"/>
      <c r="N253" s="12"/>
    </row>
    <row r="254" spans="2:14" ht="24.95" customHeight="1">
      <c r="B254" s="2">
        <v>85</v>
      </c>
      <c r="C254" s="2">
        <v>5</v>
      </c>
      <c r="D254" s="3">
        <v>8</v>
      </c>
      <c r="E254" s="1" t="str" cm="1">
        <f t="array" ref="E254">_xlfn.CONCAT(_xlfn.XLOOKUP(H254:J254,$G$38:$G$46, _xlfn.XLOOKUP(G254,$I$37:$J$37,$I$38:$J$46,,0,1),,0,1))</f>
        <v>010100111001</v>
      </c>
      <c r="F254" s="23"/>
      <c r="G254" s="37" t="s">
        <v>29</v>
      </c>
      <c r="H254" s="37" t="s">
        <v>37</v>
      </c>
      <c r="I254" s="37" t="s">
        <v>34</v>
      </c>
      <c r="J254" s="37" t="s">
        <v>45</v>
      </c>
      <c r="L254" s="12"/>
      <c r="M254" s="12"/>
      <c r="N254" s="12"/>
    </row>
    <row r="255" spans="2:14" ht="24.95" customHeight="1">
      <c r="B255" s="2">
        <v>86</v>
      </c>
      <c r="C255" s="2">
        <v>5</v>
      </c>
      <c r="D255" s="3">
        <v>8</v>
      </c>
      <c r="E255" s="1" t="str" cm="1">
        <f t="array" ref="E255">_xlfn.CONCAT(_xlfn.XLOOKUP(H255:J255,$G$38:$G$46, _xlfn.XLOOKUP(G255,$I$37:$J$37,$I$38:$J$46,,0,1),,0,1))</f>
        <v>110011000101</v>
      </c>
      <c r="F255" s="23"/>
      <c r="G255" s="37" t="s">
        <v>30</v>
      </c>
      <c r="H255" s="37" t="s">
        <v>31</v>
      </c>
      <c r="I255" s="37" t="s">
        <v>31</v>
      </c>
      <c r="J255" s="37" t="s">
        <v>47</v>
      </c>
      <c r="L255" s="12"/>
      <c r="M255" s="12"/>
      <c r="N255" s="12"/>
    </row>
    <row r="256" spans="2:14" ht="24.95" customHeight="1">
      <c r="B256" s="2">
        <v>87</v>
      </c>
      <c r="C256" s="2">
        <v>5</v>
      </c>
      <c r="D256" s="3">
        <v>8</v>
      </c>
      <c r="E256" s="1" t="str" cm="1">
        <f t="array" ref="E256">_xlfn.CONCAT(_xlfn.XLOOKUP(H256:J256,$G$38:$G$46, _xlfn.XLOOKUP(G256,$I$37:$J$37,$I$38:$J$46,,0,1),,0,1))</f>
        <v>110010100101</v>
      </c>
      <c r="F256" s="23"/>
      <c r="G256" s="37" t="s">
        <v>30</v>
      </c>
      <c r="H256" s="37" t="s">
        <v>31</v>
      </c>
      <c r="I256" s="37" t="s">
        <v>37</v>
      </c>
      <c r="J256" s="37" t="s">
        <v>47</v>
      </c>
      <c r="L256" s="12"/>
      <c r="M256" s="12"/>
      <c r="N256" s="12"/>
    </row>
    <row r="257" spans="2:14" ht="24.95" customHeight="1">
      <c r="B257" s="2">
        <v>88</v>
      </c>
      <c r="C257" s="2">
        <v>5</v>
      </c>
      <c r="D257" s="3">
        <v>8</v>
      </c>
      <c r="E257" s="1" t="str" cm="1">
        <f t="array" ref="E257">_xlfn.CONCAT(_xlfn.XLOOKUP(H257:J257,$G$38:$G$46, _xlfn.XLOOKUP(G257,$I$37:$J$37,$I$38:$J$46,,0,1),,0,1))</f>
        <v>110001011100</v>
      </c>
      <c r="F257" s="23"/>
      <c r="G257" s="37" t="s">
        <v>30</v>
      </c>
      <c r="H257" s="37" t="s">
        <v>31</v>
      </c>
      <c r="I257" s="37" t="s">
        <v>47</v>
      </c>
      <c r="J257" s="37" t="s">
        <v>31</v>
      </c>
      <c r="L257" s="12"/>
      <c r="M257" s="12"/>
      <c r="N257" s="12"/>
    </row>
    <row r="258" spans="2:14" ht="24.95" customHeight="1">
      <c r="B258" s="2">
        <v>89</v>
      </c>
      <c r="C258" s="2">
        <v>5</v>
      </c>
      <c r="D258" s="3">
        <v>8</v>
      </c>
      <c r="E258" s="1" t="str" cm="1">
        <f t="array" ref="E258">_xlfn.CONCAT(_xlfn.XLOOKUP(H258:J258,$G$38:$G$46, _xlfn.XLOOKUP(G258,$I$37:$J$37,$I$38:$J$46,,0,1),,0,1))</f>
        <v>110011001010</v>
      </c>
      <c r="F258" s="23"/>
      <c r="G258" s="37" t="s">
        <v>29</v>
      </c>
      <c r="H258" s="37" t="s">
        <v>31</v>
      </c>
      <c r="I258" s="37" t="s">
        <v>31</v>
      </c>
      <c r="J258" s="37" t="s">
        <v>47</v>
      </c>
      <c r="L258" s="12"/>
      <c r="M258" s="12"/>
      <c r="N258" s="12"/>
    </row>
    <row r="259" spans="2:14" ht="24.95" customHeight="1">
      <c r="B259" s="2">
        <v>90</v>
      </c>
      <c r="C259" s="2">
        <v>5</v>
      </c>
      <c r="D259" s="3">
        <v>8</v>
      </c>
      <c r="E259" s="1" t="str" cm="1">
        <f t="array" ref="E259">_xlfn.CONCAT(_xlfn.XLOOKUP(H259:J259,$G$38:$G$46, _xlfn.XLOOKUP(G259,$I$37:$J$37,$I$38:$J$46,,0,1),,0,1))</f>
        <v>010101101010</v>
      </c>
      <c r="F259" s="23"/>
      <c r="G259" s="37" t="s">
        <v>30</v>
      </c>
      <c r="H259" s="37" t="s">
        <v>47</v>
      </c>
      <c r="I259" s="37" t="s">
        <v>45</v>
      </c>
      <c r="J259" s="37" t="s">
        <v>37</v>
      </c>
      <c r="L259" s="12"/>
      <c r="M259" s="12"/>
      <c r="N259" s="12"/>
    </row>
    <row r="260" spans="2:14" ht="24.95" customHeight="1">
      <c r="B260" s="2">
        <v>91</v>
      </c>
      <c r="C260" s="2">
        <v>5</v>
      </c>
      <c r="D260" s="3">
        <v>8</v>
      </c>
      <c r="E260" s="1" t="str" cm="1">
        <f t="array" ref="E260">_xlfn.CONCAT(_xlfn.XLOOKUP(H260:J260,$G$38:$G$46, _xlfn.XLOOKUP(G260,$I$37:$J$37,$I$38:$J$46,,0,1),,0,1))</f>
        <v>001101010011</v>
      </c>
      <c r="F260" s="23"/>
      <c r="G260" s="37" t="s">
        <v>30</v>
      </c>
      <c r="H260" s="37" t="s">
        <v>34</v>
      </c>
      <c r="I260" s="37" t="s">
        <v>47</v>
      </c>
      <c r="J260" s="37" t="s">
        <v>34</v>
      </c>
      <c r="L260" s="12"/>
      <c r="M260" s="12"/>
      <c r="N260" s="12"/>
    </row>
    <row r="261" spans="2:14" ht="24.95" customHeight="1">
      <c r="B261" s="2">
        <v>92</v>
      </c>
      <c r="C261" s="2">
        <v>5</v>
      </c>
      <c r="D261" s="3">
        <v>8</v>
      </c>
      <c r="E261" s="1" t="str" cm="1">
        <f t="array" ref="E261">_xlfn.CONCAT(_xlfn.XLOOKUP(H261:J261,$G$38:$G$46, _xlfn.XLOOKUP(G261,$I$37:$J$37,$I$38:$J$46,,0,1),,0,1))</f>
        <v>001100111001</v>
      </c>
      <c r="F261" s="23"/>
      <c r="G261" s="37" t="s">
        <v>30</v>
      </c>
      <c r="H261" s="37" t="s">
        <v>34</v>
      </c>
      <c r="I261" s="37" t="s">
        <v>34</v>
      </c>
      <c r="J261" s="37" t="s">
        <v>41</v>
      </c>
      <c r="L261" s="12"/>
      <c r="M261" s="12"/>
      <c r="N261" s="12"/>
    </row>
    <row r="262" spans="2:14" ht="24.95" customHeight="1">
      <c r="B262" s="2">
        <v>93</v>
      </c>
      <c r="C262" s="2">
        <v>5</v>
      </c>
      <c r="D262" s="3">
        <v>8</v>
      </c>
      <c r="E262" s="1" t="str" cm="1">
        <f t="array" ref="E262">_xlfn.CONCAT(_xlfn.XLOOKUP(H262:J262,$G$38:$G$46, _xlfn.XLOOKUP(G262,$I$37:$J$37,$I$38:$J$46,,0,1),,0,1))</f>
        <v>110001101100</v>
      </c>
      <c r="F262" s="23"/>
      <c r="G262" s="37" t="s">
        <v>29</v>
      </c>
      <c r="H262" s="37" t="s">
        <v>31</v>
      </c>
      <c r="I262" s="37" t="s">
        <v>41</v>
      </c>
      <c r="J262" s="37" t="s">
        <v>31</v>
      </c>
      <c r="L262" s="12"/>
      <c r="M262" s="12"/>
      <c r="N262" s="12"/>
    </row>
    <row r="263" spans="2:14" ht="24.95" customHeight="1">
      <c r="B263" s="2">
        <v>94</v>
      </c>
      <c r="C263" s="2">
        <v>5</v>
      </c>
      <c r="D263" s="3">
        <v>8</v>
      </c>
      <c r="E263" s="1" t="str" cm="1">
        <f t="array" ref="E263">_xlfn.CONCAT(_xlfn.XLOOKUP(H263:J263,$G$38:$G$46, _xlfn.XLOOKUP(G263,$I$37:$J$37,$I$38:$J$46,,0,1),,0,1))</f>
        <v>001100110011</v>
      </c>
      <c r="F263" s="23"/>
      <c r="G263" s="37" t="s">
        <v>30</v>
      </c>
      <c r="H263" s="37" t="s">
        <v>34</v>
      </c>
      <c r="I263" s="37" t="s">
        <v>34</v>
      </c>
      <c r="J263" s="37" t="s">
        <v>34</v>
      </c>
      <c r="L263" s="12"/>
      <c r="M263" s="12"/>
      <c r="N263" s="12"/>
    </row>
    <row r="264" spans="2:14" ht="24.95" customHeight="1">
      <c r="B264" s="2">
        <v>95</v>
      </c>
      <c r="C264" s="2">
        <v>5</v>
      </c>
      <c r="D264" s="3">
        <v>8</v>
      </c>
      <c r="E264" s="1" t="str" cm="1">
        <f t="array" ref="E264">_xlfn.CONCAT(_xlfn.XLOOKUP(H264:J264,$G$38:$G$46, _xlfn.XLOOKUP(G264,$I$37:$J$37,$I$38:$J$46,,0,1),,0,1))</f>
        <v>001110100101</v>
      </c>
      <c r="F264" s="23"/>
      <c r="G264" s="37" t="s">
        <v>30</v>
      </c>
      <c r="H264" s="37" t="s">
        <v>34</v>
      </c>
      <c r="I264" s="37" t="s">
        <v>37</v>
      </c>
      <c r="J264" s="37" t="s">
        <v>47</v>
      </c>
      <c r="L264" s="12"/>
      <c r="M264" s="12"/>
      <c r="N264" s="12"/>
    </row>
    <row r="265" spans="2:14" ht="24.95" customHeight="1">
      <c r="B265" s="2">
        <v>96</v>
      </c>
      <c r="C265" s="2">
        <v>5</v>
      </c>
      <c r="D265" s="3">
        <v>8</v>
      </c>
      <c r="E265" s="1" t="str" cm="1">
        <f t="array" ref="E265">_xlfn.CONCAT(_xlfn.XLOOKUP(H265:J265,$G$38:$G$46, _xlfn.XLOOKUP(G265,$I$37:$J$37,$I$38:$J$46,,0,1),,0,1))</f>
        <v>010101100101</v>
      </c>
      <c r="F265" s="23"/>
      <c r="G265" s="37" t="s">
        <v>29</v>
      </c>
      <c r="H265" s="37" t="s">
        <v>37</v>
      </c>
      <c r="I265" s="37" t="s">
        <v>41</v>
      </c>
      <c r="J265" s="37" t="s">
        <v>37</v>
      </c>
      <c r="L265" s="12"/>
      <c r="M265" s="12"/>
      <c r="N265" s="12"/>
    </row>
    <row r="266" spans="2:14" ht="24.95" customHeight="1">
      <c r="B266" s="2">
        <v>97</v>
      </c>
      <c r="C266" s="2">
        <v>5</v>
      </c>
      <c r="D266" s="3">
        <v>8</v>
      </c>
      <c r="E266" s="1" t="str" cm="1">
        <f t="array" ref="E266">_xlfn.CONCAT(_xlfn.XLOOKUP(H266:J266,$G$38:$G$46, _xlfn.XLOOKUP(G266,$I$37:$J$37,$I$38:$J$46,,0,1),,0,1))</f>
        <v>001100111010</v>
      </c>
      <c r="F266" s="23"/>
      <c r="G266" s="37" t="s">
        <v>29</v>
      </c>
      <c r="H266" s="37" t="s">
        <v>34</v>
      </c>
      <c r="I266" s="37" t="s">
        <v>34</v>
      </c>
      <c r="J266" s="37" t="s">
        <v>47</v>
      </c>
      <c r="L266" s="12"/>
      <c r="M266" s="12"/>
      <c r="N266" s="12"/>
    </row>
    <row r="267" spans="2:14" ht="24.95" customHeight="1">
      <c r="B267" s="2">
        <v>98</v>
      </c>
      <c r="C267" s="2">
        <v>5</v>
      </c>
      <c r="D267" s="3">
        <v>8</v>
      </c>
      <c r="E267" s="1" t="str" cm="1">
        <f t="array" ref="E267">_xlfn.CONCAT(_xlfn.XLOOKUP(H267:J267,$G$38:$G$46, _xlfn.XLOOKUP(G267,$I$37:$J$37,$I$38:$J$46,,0,1),,0,1))</f>
        <v>100110101001</v>
      </c>
      <c r="F267" s="23"/>
      <c r="G267" s="37" t="s">
        <v>30</v>
      </c>
      <c r="H267" s="37" t="s">
        <v>41</v>
      </c>
      <c r="I267" s="37" t="s">
        <v>37</v>
      </c>
      <c r="J267" s="37" t="s">
        <v>41</v>
      </c>
      <c r="L267" s="12"/>
      <c r="M267" s="12"/>
      <c r="N267" s="12"/>
    </row>
    <row r="268" spans="2:14" ht="24.95" customHeight="1">
      <c r="B268" s="2">
        <v>99</v>
      </c>
      <c r="C268" s="2">
        <v>5</v>
      </c>
      <c r="D268" s="3">
        <v>8</v>
      </c>
      <c r="E268" s="1" t="str" cm="1">
        <f t="array" ref="E268">_xlfn.CONCAT(_xlfn.XLOOKUP(H268:J268,$G$38:$G$46, _xlfn.XLOOKUP(G268,$I$37:$J$37,$I$38:$J$46,,0,1),,0,1))</f>
        <v>001101101001</v>
      </c>
      <c r="F268" s="23"/>
      <c r="G268" s="37" t="s">
        <v>29</v>
      </c>
      <c r="H268" s="37" t="s">
        <v>34</v>
      </c>
      <c r="I268" s="37" t="s">
        <v>41</v>
      </c>
      <c r="J268" s="37" t="s">
        <v>45</v>
      </c>
      <c r="L268" s="12"/>
      <c r="M268" s="12"/>
      <c r="N268" s="12"/>
    </row>
    <row r="269" spans="2:14" ht="24.95" customHeight="1">
      <c r="B269" s="2">
        <v>100</v>
      </c>
      <c r="C269" s="2">
        <v>5</v>
      </c>
      <c r="D269" s="3">
        <v>8</v>
      </c>
      <c r="E269" s="1" t="str" cm="1">
        <f t="array" ref="E269">_xlfn.CONCAT(_xlfn.XLOOKUP(H269:J269,$G$38:$G$46, _xlfn.XLOOKUP(G269,$I$37:$J$37,$I$38:$J$46,,0,1),,0,1))</f>
        <v>010101100011</v>
      </c>
      <c r="F269" s="23"/>
      <c r="G269" s="37" t="s">
        <v>29</v>
      </c>
      <c r="H269" s="37" t="s">
        <v>37</v>
      </c>
      <c r="I269" s="37" t="s">
        <v>41</v>
      </c>
      <c r="J269" s="37" t="s">
        <v>34</v>
      </c>
      <c r="L269" s="12"/>
      <c r="M269" s="12"/>
      <c r="N269" s="12"/>
    </row>
    <row r="270" spans="2:14" ht="15" customHeight="1" thickBot="1">
      <c r="L270" s="12"/>
      <c r="M270" s="12"/>
      <c r="N270" s="12"/>
    </row>
    <row r="271" spans="2:14" ht="22.5" customHeight="1" thickBot="1">
      <c r="B271" s="32" t="s">
        <v>187</v>
      </c>
      <c r="C271" s="22" t="s">
        <v>188</v>
      </c>
      <c r="D271" s="35" t="s">
        <v>189</v>
      </c>
      <c r="L271" s="12"/>
      <c r="M271" s="12"/>
      <c r="N271" s="12"/>
    </row>
    <row r="273" spans="2:2" ht="15" customHeight="1">
      <c r="B273" s="26" t="s">
        <v>190</v>
      </c>
    </row>
    <row r="274" spans="2:2" ht="15" customHeight="1">
      <c r="B274" s="26"/>
    </row>
    <row r="275" spans="2:2" ht="15" customHeight="1">
      <c r="B275" s="26" t="s">
        <v>191</v>
      </c>
    </row>
    <row r="276" spans="2:2" ht="15" customHeight="1">
      <c r="B276" s="26"/>
    </row>
    <row r="277" spans="2:2" ht="15" customHeight="1">
      <c r="B277" s="101" t="s">
        <v>192</v>
      </c>
    </row>
    <row r="278" spans="2:2" ht="15" customHeight="1">
      <c r="B278" s="26" t="s">
        <v>193</v>
      </c>
    </row>
    <row r="279" spans="2:2" ht="15" customHeight="1">
      <c r="B279" s="26" t="s">
        <v>194</v>
      </c>
    </row>
    <row r="280" spans="2:2" ht="15" customHeight="1">
      <c r="B280" s="26" t="s">
        <v>195</v>
      </c>
    </row>
    <row r="281" spans="2:2" ht="15" customHeight="1">
      <c r="B281" s="26" t="s">
        <v>196</v>
      </c>
    </row>
    <row r="282" spans="2:2" ht="15" customHeight="1">
      <c r="B282" s="26" t="s">
        <v>197</v>
      </c>
    </row>
    <row r="283" spans="2:2" ht="15" customHeight="1">
      <c r="B283" s="26" t="s">
        <v>198</v>
      </c>
    </row>
    <row r="284" spans="2:2" ht="15" customHeight="1">
      <c r="B284" s="29" t="s">
        <v>199</v>
      </c>
    </row>
    <row r="285" spans="2:2" ht="15" customHeight="1">
      <c r="B285" s="29" t="s">
        <v>200</v>
      </c>
    </row>
    <row r="286" spans="2:2" ht="15" customHeight="1">
      <c r="B286" s="29"/>
    </row>
    <row r="287" spans="2:2" ht="15" customHeight="1">
      <c r="B287" s="29"/>
    </row>
    <row r="288" spans="2:2" ht="15" customHeight="1">
      <c r="B288" s="55" t="s">
        <v>84</v>
      </c>
    </row>
    <row r="289" spans="2:21" ht="15" customHeight="1">
      <c r="B289" s="30" t="s">
        <v>201</v>
      </c>
      <c r="C289" s="29"/>
      <c r="D289" s="12"/>
    </row>
    <row r="290" spans="2:21" ht="15" customHeight="1">
      <c r="B290" s="30" t="s">
        <v>202</v>
      </c>
      <c r="D290" s="12"/>
    </row>
    <row r="291" spans="2:21" ht="15" customHeight="1">
      <c r="B291" s="30" t="s">
        <v>203</v>
      </c>
      <c r="D291" s="12"/>
    </row>
    <row r="292" spans="2:21" ht="15" customHeight="1" thickBot="1">
      <c r="B292" s="29"/>
      <c r="C292" s="28"/>
      <c r="D292" s="12"/>
    </row>
    <row r="293" spans="2:21" ht="22.5" customHeight="1" thickBot="1">
      <c r="B293" s="29"/>
      <c r="C293" s="28"/>
      <c r="D293" s="12"/>
      <c r="I293" s="17" t="s">
        <v>167</v>
      </c>
      <c r="J293" s="18"/>
      <c r="K293" s="73"/>
      <c r="L293" s="73"/>
      <c r="M293" s="74"/>
    </row>
    <row r="294" spans="2:21" s="26" customFormat="1" ht="22.5" customHeight="1" thickBot="1">
      <c r="B294" s="16" t="s">
        <v>59</v>
      </c>
      <c r="C294" s="19" t="s">
        <v>89</v>
      </c>
      <c r="D294" s="16" t="s">
        <v>61</v>
      </c>
      <c r="E294" s="24" t="s">
        <v>62</v>
      </c>
      <c r="F294" s="12"/>
      <c r="G294" s="16" t="s">
        <v>184</v>
      </c>
      <c r="H294" s="79" t="s">
        <v>204</v>
      </c>
      <c r="I294" s="98">
        <v>1</v>
      </c>
      <c r="J294" s="98">
        <v>2</v>
      </c>
      <c r="K294" s="99">
        <v>3</v>
      </c>
      <c r="L294" s="99">
        <v>4</v>
      </c>
      <c r="M294" s="99">
        <v>5</v>
      </c>
    </row>
    <row r="295" spans="2:21" ht="15" customHeight="1">
      <c r="G295" s="34"/>
      <c r="H295" s="34"/>
      <c r="K295" s="5"/>
      <c r="L295" s="5"/>
      <c r="M295" s="5"/>
    </row>
    <row r="296" spans="2:21" ht="24.95" customHeight="1">
      <c r="B296" s="9" t="s">
        <v>205</v>
      </c>
      <c r="C296" s="2">
        <v>6</v>
      </c>
      <c r="D296" s="10">
        <v>0</v>
      </c>
      <c r="E296" s="1">
        <v>2</v>
      </c>
      <c r="F296" s="23"/>
      <c r="G296" s="37" t="s">
        <v>30</v>
      </c>
      <c r="H296" s="37" t="s">
        <v>206</v>
      </c>
      <c r="I296" s="37" t="s">
        <v>31</v>
      </c>
      <c r="J296" s="37" t="s">
        <v>37</v>
      </c>
      <c r="K296" s="37" t="s">
        <v>45</v>
      </c>
      <c r="L296" s="37" t="s">
        <v>34</v>
      </c>
      <c r="M296" s="37" t="s">
        <v>41</v>
      </c>
      <c r="N296" s="7" t="str">
        <f>SUBSTITUTE(H296,"0","?")</f>
        <v>???1</v>
      </c>
      <c r="O296" s="7" t="str" cm="1">
        <f t="array" ref="O296:S296">_xlfn.XLOOKUP(I296:M296,$G$38:$G$46, _xlfn.XLOOKUP(G296,$I$37:$J$37,$I$38:$J$46,,0,1),,0,1)</f>
        <v>1100</v>
      </c>
      <c r="P296" s="7" t="str">
        <v>1010</v>
      </c>
      <c r="Q296" s="7" t="str">
        <v>0110</v>
      </c>
      <c r="R296" s="7" t="str">
        <v>0011</v>
      </c>
      <c r="S296" s="7" t="str">
        <v>1001</v>
      </c>
      <c r="U296" s="7">
        <f>COUNTIF(_xlfn.ANCHORARRAY(O296),N296)</f>
        <v>2</v>
      </c>
    </row>
    <row r="297" spans="2:21" ht="15" customHeight="1">
      <c r="K297" s="5"/>
      <c r="L297" s="5"/>
      <c r="M297" s="5"/>
    </row>
    <row r="298" spans="2:21" ht="24.95" customHeight="1">
      <c r="B298" s="2">
        <v>101</v>
      </c>
      <c r="C298" s="2">
        <v>6</v>
      </c>
      <c r="D298" s="3">
        <v>7</v>
      </c>
      <c r="E298" s="1" cm="1">
        <f t="array" ref="E298:E317">U298:U317</f>
        <v>4</v>
      </c>
      <c r="F298" s="23"/>
      <c r="G298" s="37" t="s">
        <v>29</v>
      </c>
      <c r="H298" s="37">
        <v>1000</v>
      </c>
      <c r="I298" s="37" t="s">
        <v>47</v>
      </c>
      <c r="J298" s="37" t="s">
        <v>45</v>
      </c>
      <c r="K298" s="37" t="s">
        <v>31</v>
      </c>
      <c r="L298" s="37" t="s">
        <v>41</v>
      </c>
      <c r="M298" s="37" t="s">
        <v>45</v>
      </c>
      <c r="N298" s="7" t="str">
        <f>SUBSTITUTE(H298,"0","?")</f>
        <v>1???</v>
      </c>
      <c r="O298" s="7" t="str" cm="1">
        <f t="array" ref="O298:S298">_xlfn.XLOOKUP(I298:M298,$G$38:$G$46, _xlfn.XLOOKUP(G298,$I$37:$J$37,$I$38:$J$46,,0,1),,0,1)</f>
        <v>1010</v>
      </c>
      <c r="P298" s="7" t="str">
        <v>1001</v>
      </c>
      <c r="Q298" s="7" t="str">
        <v>1100</v>
      </c>
      <c r="R298" s="7" t="str">
        <v>0110</v>
      </c>
      <c r="S298" s="7" t="str">
        <v>1001</v>
      </c>
      <c r="U298" s="7">
        <f>COUNTIF(_xlfn.ANCHORARRAY(O298),N298)</f>
        <v>4</v>
      </c>
    </row>
    <row r="299" spans="2:21" ht="24.95" customHeight="1">
      <c r="B299" s="2">
        <v>102</v>
      </c>
      <c r="C299" s="2">
        <v>6</v>
      </c>
      <c r="D299" s="3">
        <v>7</v>
      </c>
      <c r="E299" s="1">
        <v>1</v>
      </c>
      <c r="F299" s="23"/>
      <c r="G299" s="37" t="s">
        <v>29</v>
      </c>
      <c r="H299" s="37" t="s">
        <v>207</v>
      </c>
      <c r="I299" s="37" t="s">
        <v>47</v>
      </c>
      <c r="J299" s="37" t="s">
        <v>37</v>
      </c>
      <c r="K299" s="37" t="s">
        <v>31</v>
      </c>
      <c r="L299" s="37" t="s">
        <v>37</v>
      </c>
      <c r="M299" s="37" t="s">
        <v>31</v>
      </c>
      <c r="N299" s="7" t="str">
        <f t="shared" ref="N299:N317" si="1">SUBSTITUTE(H299,"0","?")</f>
        <v>??1?</v>
      </c>
      <c r="O299" s="7" t="str" cm="1">
        <f t="array" ref="O299:S299">_xlfn.XLOOKUP(I299:M299,$G$38:$G$46, _xlfn.XLOOKUP(G299,$I$37:$J$37,$I$38:$J$46,,0,1),,0,1)</f>
        <v>1010</v>
      </c>
      <c r="P299" s="7" t="str">
        <v>0101</v>
      </c>
      <c r="Q299" s="7" t="str">
        <v>1100</v>
      </c>
      <c r="R299" s="7" t="str">
        <v>0101</v>
      </c>
      <c r="S299" s="7" t="str">
        <v>1100</v>
      </c>
      <c r="U299" s="7">
        <f t="shared" ref="U299:U300" si="2">COUNTIF(_xlfn.ANCHORARRAY(O299),N299)</f>
        <v>1</v>
      </c>
    </row>
    <row r="300" spans="2:21" ht="24.95" customHeight="1">
      <c r="B300" s="2">
        <v>103</v>
      </c>
      <c r="C300" s="2">
        <v>6</v>
      </c>
      <c r="D300" s="3">
        <v>7</v>
      </c>
      <c r="E300" s="1">
        <v>5</v>
      </c>
      <c r="F300" s="23"/>
      <c r="G300" s="37" t="s">
        <v>29</v>
      </c>
      <c r="H300" s="37" t="s">
        <v>207</v>
      </c>
      <c r="I300" s="37" t="s">
        <v>34</v>
      </c>
      <c r="J300" s="37" t="s">
        <v>41</v>
      </c>
      <c r="K300" s="37" t="s">
        <v>34</v>
      </c>
      <c r="L300" s="37" t="s">
        <v>41</v>
      </c>
      <c r="M300" s="37" t="s">
        <v>47</v>
      </c>
      <c r="N300" s="7" t="str">
        <f t="shared" si="1"/>
        <v>??1?</v>
      </c>
      <c r="O300" s="7" t="str" cm="1">
        <f t="array" ref="O300:S300">_xlfn.XLOOKUP(I300:M300,$G$38:$G$46, _xlfn.XLOOKUP(G300,$I$37:$J$37,$I$38:$J$46,,0,1),,0,1)</f>
        <v>0011</v>
      </c>
      <c r="P300" s="7" t="str">
        <v>0110</v>
      </c>
      <c r="Q300" s="7" t="str">
        <v>0011</v>
      </c>
      <c r="R300" s="7" t="str">
        <v>0110</v>
      </c>
      <c r="S300" s="7" t="str">
        <v>1010</v>
      </c>
      <c r="U300" s="7">
        <f t="shared" si="2"/>
        <v>5</v>
      </c>
    </row>
    <row r="301" spans="2:21" ht="24.95" customHeight="1">
      <c r="B301" s="2">
        <v>104</v>
      </c>
      <c r="C301" s="2">
        <v>6</v>
      </c>
      <c r="D301" s="3">
        <v>7</v>
      </c>
      <c r="E301" s="1">
        <v>2</v>
      </c>
      <c r="F301" s="23"/>
      <c r="G301" s="37" t="s">
        <v>30</v>
      </c>
      <c r="H301" s="37" t="s">
        <v>208</v>
      </c>
      <c r="I301" s="37" t="s">
        <v>34</v>
      </c>
      <c r="J301" s="37" t="s">
        <v>45</v>
      </c>
      <c r="K301" s="37" t="s">
        <v>41</v>
      </c>
      <c r="L301" s="37" t="s">
        <v>45</v>
      </c>
      <c r="M301" s="37" t="s">
        <v>41</v>
      </c>
      <c r="N301" s="7" t="str">
        <f t="shared" si="1"/>
        <v>1???</v>
      </c>
      <c r="O301" s="7" t="str" cm="1">
        <f t="array" ref="O301:S301">_xlfn.XLOOKUP(I301:M301,$G$38:$G$46, _xlfn.XLOOKUP(G301,$I$37:$J$37,$I$38:$J$46,,0,1),,0,1)</f>
        <v>0011</v>
      </c>
      <c r="P301" s="7" t="str">
        <v>0110</v>
      </c>
      <c r="Q301" s="7" t="str">
        <v>1001</v>
      </c>
      <c r="R301" s="7" t="str">
        <v>0110</v>
      </c>
      <c r="S301" s="7" t="str">
        <v>1001</v>
      </c>
      <c r="U301" s="7">
        <f t="shared" ref="U301:U317" si="3">COUNTIF(_xlfn.ANCHORARRAY(O301),N301)</f>
        <v>2</v>
      </c>
    </row>
    <row r="302" spans="2:21" ht="24.95" customHeight="1">
      <c r="B302" s="2">
        <v>105</v>
      </c>
      <c r="C302" s="2">
        <v>6</v>
      </c>
      <c r="D302" s="3">
        <v>7</v>
      </c>
      <c r="E302" s="1">
        <v>2</v>
      </c>
      <c r="F302" s="23"/>
      <c r="G302" s="37" t="s">
        <v>29</v>
      </c>
      <c r="H302" s="37" t="s">
        <v>206</v>
      </c>
      <c r="I302" s="37" t="s">
        <v>37</v>
      </c>
      <c r="J302" s="37" t="s">
        <v>47</v>
      </c>
      <c r="K302" s="37" t="s">
        <v>47</v>
      </c>
      <c r="L302" s="37" t="s">
        <v>37</v>
      </c>
      <c r="M302" s="37" t="s">
        <v>31</v>
      </c>
      <c r="N302" s="7" t="str">
        <f t="shared" si="1"/>
        <v>???1</v>
      </c>
      <c r="O302" s="7" t="str" cm="1">
        <f t="array" ref="O302:S302">_xlfn.XLOOKUP(I302:M302,$G$38:$G$46, _xlfn.XLOOKUP(G302,$I$37:$J$37,$I$38:$J$46,,0,1),,0,1)</f>
        <v>0101</v>
      </c>
      <c r="P302" s="7" t="str">
        <v>1010</v>
      </c>
      <c r="Q302" s="7" t="str">
        <v>1010</v>
      </c>
      <c r="R302" s="7" t="str">
        <v>0101</v>
      </c>
      <c r="S302" s="7" t="str">
        <v>1100</v>
      </c>
      <c r="U302" s="7">
        <f t="shared" si="3"/>
        <v>2</v>
      </c>
    </row>
    <row r="303" spans="2:21" ht="24.95" customHeight="1">
      <c r="B303" s="2">
        <v>106</v>
      </c>
      <c r="C303" s="2">
        <v>6</v>
      </c>
      <c r="D303" s="3">
        <v>7</v>
      </c>
      <c r="E303" s="1">
        <v>3</v>
      </c>
      <c r="F303" s="23"/>
      <c r="G303" s="37" t="s">
        <v>30</v>
      </c>
      <c r="H303" s="37" t="s">
        <v>208</v>
      </c>
      <c r="I303" s="37" t="s">
        <v>37</v>
      </c>
      <c r="J303" s="37" t="s">
        <v>37</v>
      </c>
      <c r="K303" s="37" t="s">
        <v>34</v>
      </c>
      <c r="L303" s="37" t="s">
        <v>45</v>
      </c>
      <c r="M303" s="37" t="s">
        <v>37</v>
      </c>
      <c r="N303" s="7" t="str">
        <f t="shared" si="1"/>
        <v>1???</v>
      </c>
      <c r="O303" s="7" t="str" cm="1">
        <f t="array" ref="O303:S303">_xlfn.XLOOKUP(I303:M303,$G$38:$G$46, _xlfn.XLOOKUP(G303,$I$37:$J$37,$I$38:$J$46,,0,1),,0,1)</f>
        <v>1010</v>
      </c>
      <c r="P303" s="7" t="str">
        <v>1010</v>
      </c>
      <c r="Q303" s="7" t="str">
        <v>0011</v>
      </c>
      <c r="R303" s="7" t="str">
        <v>0110</v>
      </c>
      <c r="S303" s="7" t="str">
        <v>1010</v>
      </c>
      <c r="U303" s="7">
        <f t="shared" si="3"/>
        <v>3</v>
      </c>
    </row>
    <row r="304" spans="2:21" ht="24.95" customHeight="1">
      <c r="B304" s="2">
        <v>107</v>
      </c>
      <c r="C304" s="2">
        <v>6</v>
      </c>
      <c r="D304" s="3">
        <v>7</v>
      </c>
      <c r="E304" s="1">
        <v>3</v>
      </c>
      <c r="F304" s="23"/>
      <c r="G304" s="37" t="s">
        <v>30</v>
      </c>
      <c r="H304" s="37" t="s">
        <v>209</v>
      </c>
      <c r="I304" s="37" t="s">
        <v>45</v>
      </c>
      <c r="J304" s="37" t="s">
        <v>34</v>
      </c>
      <c r="K304" s="37" t="s">
        <v>45</v>
      </c>
      <c r="L304" s="37" t="s">
        <v>34</v>
      </c>
      <c r="M304" s="37" t="s">
        <v>47</v>
      </c>
      <c r="N304" s="7" t="str">
        <f t="shared" si="1"/>
        <v>?1??</v>
      </c>
      <c r="O304" s="7" t="str" cm="1">
        <f t="array" ref="O304:S304">_xlfn.XLOOKUP(I304:M304,$G$38:$G$46, _xlfn.XLOOKUP(G304,$I$37:$J$37,$I$38:$J$46,,0,1),,0,1)</f>
        <v>0110</v>
      </c>
      <c r="P304" s="7" t="str">
        <v>0011</v>
      </c>
      <c r="Q304" s="7" t="str">
        <v>0110</v>
      </c>
      <c r="R304" s="7" t="str">
        <v>0011</v>
      </c>
      <c r="S304" s="7" t="str">
        <v>0101</v>
      </c>
      <c r="U304" s="7">
        <f t="shared" si="3"/>
        <v>3</v>
      </c>
    </row>
    <row r="305" spans="2:21" ht="24.95" customHeight="1">
      <c r="B305" s="2">
        <v>108</v>
      </c>
      <c r="C305" s="2">
        <v>6</v>
      </c>
      <c r="D305" s="3">
        <v>7</v>
      </c>
      <c r="E305" s="1">
        <v>0</v>
      </c>
      <c r="F305" s="23"/>
      <c r="G305" s="37" t="s">
        <v>29</v>
      </c>
      <c r="H305" s="37" t="s">
        <v>206</v>
      </c>
      <c r="I305" s="37" t="s">
        <v>41</v>
      </c>
      <c r="J305" s="37" t="s">
        <v>41</v>
      </c>
      <c r="K305" s="37" t="s">
        <v>31</v>
      </c>
      <c r="L305" s="37" t="s">
        <v>31</v>
      </c>
      <c r="M305" s="37" t="s">
        <v>31</v>
      </c>
      <c r="N305" s="7" t="str">
        <f t="shared" si="1"/>
        <v>???1</v>
      </c>
      <c r="O305" s="7" t="str" cm="1">
        <f t="array" ref="O305:S305">_xlfn.XLOOKUP(I305:M305,$G$38:$G$46, _xlfn.XLOOKUP(G305,$I$37:$J$37,$I$38:$J$46,,0,1),,0,1)</f>
        <v>0110</v>
      </c>
      <c r="P305" s="7" t="str">
        <v>0110</v>
      </c>
      <c r="Q305" s="7" t="str">
        <v>1100</v>
      </c>
      <c r="R305" s="7" t="str">
        <v>1100</v>
      </c>
      <c r="S305" s="7" t="str">
        <v>1100</v>
      </c>
      <c r="U305" s="7">
        <f t="shared" si="3"/>
        <v>0</v>
      </c>
    </row>
    <row r="306" spans="2:21" ht="24.95" customHeight="1">
      <c r="B306" s="2">
        <v>109</v>
      </c>
      <c r="C306" s="2">
        <v>6</v>
      </c>
      <c r="D306" s="3">
        <v>7</v>
      </c>
      <c r="E306" s="1">
        <v>1</v>
      </c>
      <c r="F306" s="23"/>
      <c r="G306" s="37" t="s">
        <v>30</v>
      </c>
      <c r="H306" s="37" t="s">
        <v>207</v>
      </c>
      <c r="I306" s="37" t="s">
        <v>47</v>
      </c>
      <c r="J306" s="37" t="s">
        <v>47</v>
      </c>
      <c r="K306" s="37" t="s">
        <v>41</v>
      </c>
      <c r="L306" s="37" t="s">
        <v>31</v>
      </c>
      <c r="M306" s="37" t="s">
        <v>45</v>
      </c>
      <c r="N306" s="7" t="str">
        <f t="shared" si="1"/>
        <v>??1?</v>
      </c>
      <c r="O306" s="7" t="str" cm="1">
        <f t="array" ref="O306:S306">_xlfn.XLOOKUP(I306:M306,$G$38:$G$46, _xlfn.XLOOKUP(G306,$I$37:$J$37,$I$38:$J$46,,0,1),,0,1)</f>
        <v>0101</v>
      </c>
      <c r="P306" s="7" t="str">
        <v>0101</v>
      </c>
      <c r="Q306" s="7" t="str">
        <v>1001</v>
      </c>
      <c r="R306" s="7" t="str">
        <v>1100</v>
      </c>
      <c r="S306" s="7" t="str">
        <v>0110</v>
      </c>
      <c r="U306" s="7">
        <f t="shared" si="3"/>
        <v>1</v>
      </c>
    </row>
    <row r="307" spans="2:21" ht="24.95" customHeight="1">
      <c r="B307" s="2">
        <v>110</v>
      </c>
      <c r="C307" s="2">
        <v>6</v>
      </c>
      <c r="D307" s="3">
        <v>7</v>
      </c>
      <c r="E307" s="1">
        <v>4</v>
      </c>
      <c r="F307" s="23"/>
      <c r="G307" s="37" t="s">
        <v>30</v>
      </c>
      <c r="H307" s="37" t="s">
        <v>209</v>
      </c>
      <c r="I307" s="37" t="s">
        <v>47</v>
      </c>
      <c r="J307" s="37" t="s">
        <v>41</v>
      </c>
      <c r="K307" s="37" t="s">
        <v>31</v>
      </c>
      <c r="L307" s="37" t="s">
        <v>45</v>
      </c>
      <c r="M307" s="37" t="s">
        <v>47</v>
      </c>
      <c r="N307" s="7" t="str">
        <f t="shared" si="1"/>
        <v>?1??</v>
      </c>
      <c r="O307" s="7" t="str" cm="1">
        <f t="array" ref="O307:S307">_xlfn.XLOOKUP(I307:M307,$G$38:$G$46, _xlfn.XLOOKUP(G307,$I$37:$J$37,$I$38:$J$46,,0,1),,0,1)</f>
        <v>0101</v>
      </c>
      <c r="P307" s="7" t="str">
        <v>1001</v>
      </c>
      <c r="Q307" s="7" t="str">
        <v>1100</v>
      </c>
      <c r="R307" s="7" t="str">
        <v>0110</v>
      </c>
      <c r="S307" s="7" t="str">
        <v>0101</v>
      </c>
      <c r="U307" s="7">
        <f t="shared" si="3"/>
        <v>4</v>
      </c>
    </row>
    <row r="308" spans="2:21" ht="24.95" customHeight="1">
      <c r="B308" s="2">
        <v>111</v>
      </c>
      <c r="C308" s="2">
        <v>6</v>
      </c>
      <c r="D308" s="3">
        <v>7</v>
      </c>
      <c r="E308" s="1">
        <v>2</v>
      </c>
      <c r="F308" s="23"/>
      <c r="G308" s="37" t="s">
        <v>29</v>
      </c>
      <c r="H308" s="37" t="s">
        <v>206</v>
      </c>
      <c r="I308" s="37" t="s">
        <v>41</v>
      </c>
      <c r="J308" s="37" t="s">
        <v>41</v>
      </c>
      <c r="K308" s="37" t="s">
        <v>41</v>
      </c>
      <c r="L308" s="37" t="s">
        <v>34</v>
      </c>
      <c r="M308" s="37" t="s">
        <v>45</v>
      </c>
      <c r="N308" s="7" t="str">
        <f t="shared" si="1"/>
        <v>???1</v>
      </c>
      <c r="O308" s="7" t="str" cm="1">
        <f t="array" ref="O308:S308">_xlfn.XLOOKUP(I308:M308,$G$38:$G$46, _xlfn.XLOOKUP(G308,$I$37:$J$37,$I$38:$J$46,,0,1),,0,1)</f>
        <v>0110</v>
      </c>
      <c r="P308" s="7" t="str">
        <v>0110</v>
      </c>
      <c r="Q308" s="7" t="str">
        <v>0110</v>
      </c>
      <c r="R308" s="7" t="str">
        <v>0011</v>
      </c>
      <c r="S308" s="7" t="str">
        <v>1001</v>
      </c>
      <c r="U308" s="7">
        <f t="shared" si="3"/>
        <v>2</v>
      </c>
    </row>
    <row r="309" spans="2:21" ht="24.95" customHeight="1">
      <c r="B309" s="2">
        <v>112</v>
      </c>
      <c r="C309" s="2">
        <v>6</v>
      </c>
      <c r="D309" s="3">
        <v>7</v>
      </c>
      <c r="E309" s="1">
        <v>2</v>
      </c>
      <c r="F309" s="23"/>
      <c r="G309" s="37" t="s">
        <v>30</v>
      </c>
      <c r="H309" s="37" t="s">
        <v>206</v>
      </c>
      <c r="I309" s="37" t="s">
        <v>37</v>
      </c>
      <c r="J309" s="37" t="s">
        <v>41</v>
      </c>
      <c r="K309" s="37" t="s">
        <v>37</v>
      </c>
      <c r="L309" s="37" t="s">
        <v>34</v>
      </c>
      <c r="M309" s="37" t="s">
        <v>31</v>
      </c>
      <c r="N309" s="7" t="str">
        <f t="shared" si="1"/>
        <v>???1</v>
      </c>
      <c r="O309" s="7" t="str" cm="1">
        <f t="array" ref="O309:S309">_xlfn.XLOOKUP(I309:M309,$G$38:$G$46, _xlfn.XLOOKUP(G309,$I$37:$J$37,$I$38:$J$46,,0,1),,0,1)</f>
        <v>1010</v>
      </c>
      <c r="P309" s="7" t="str">
        <v>1001</v>
      </c>
      <c r="Q309" s="7" t="str">
        <v>1010</v>
      </c>
      <c r="R309" s="7" t="str">
        <v>0011</v>
      </c>
      <c r="S309" s="7" t="str">
        <v>1100</v>
      </c>
      <c r="U309" s="7">
        <f t="shared" si="3"/>
        <v>2</v>
      </c>
    </row>
    <row r="310" spans="2:21" ht="24.95" customHeight="1">
      <c r="B310" s="2">
        <v>113</v>
      </c>
      <c r="C310" s="2">
        <v>6</v>
      </c>
      <c r="D310" s="3">
        <v>7</v>
      </c>
      <c r="E310" s="1">
        <v>2</v>
      </c>
      <c r="F310" s="23"/>
      <c r="G310" s="37" t="s">
        <v>30</v>
      </c>
      <c r="H310" s="37" t="s">
        <v>206</v>
      </c>
      <c r="I310" s="37" t="s">
        <v>37</v>
      </c>
      <c r="J310" s="37" t="s">
        <v>31</v>
      </c>
      <c r="K310" s="37" t="s">
        <v>31</v>
      </c>
      <c r="L310" s="37" t="s">
        <v>47</v>
      </c>
      <c r="M310" s="37" t="s">
        <v>34</v>
      </c>
      <c r="N310" s="7" t="str">
        <f t="shared" si="1"/>
        <v>???1</v>
      </c>
      <c r="O310" s="7" t="str" cm="1">
        <f t="array" ref="O310:S310">_xlfn.XLOOKUP(I310:M310,$G$38:$G$46, _xlfn.XLOOKUP(G310,$I$37:$J$37,$I$38:$J$46,,0,1),,0,1)</f>
        <v>1010</v>
      </c>
      <c r="P310" s="7" t="str">
        <v>1100</v>
      </c>
      <c r="Q310" s="7" t="str">
        <v>1100</v>
      </c>
      <c r="R310" s="7" t="str">
        <v>0101</v>
      </c>
      <c r="S310" s="7" t="str">
        <v>0011</v>
      </c>
      <c r="U310" s="7">
        <f t="shared" si="3"/>
        <v>2</v>
      </c>
    </row>
    <row r="311" spans="2:21" ht="24.95" customHeight="1">
      <c r="B311" s="2">
        <v>114</v>
      </c>
      <c r="C311" s="2">
        <v>6</v>
      </c>
      <c r="D311" s="3">
        <v>7</v>
      </c>
      <c r="E311" s="1">
        <v>5</v>
      </c>
      <c r="F311" s="23"/>
      <c r="G311" s="37" t="s">
        <v>30</v>
      </c>
      <c r="H311" s="37" t="s">
        <v>208</v>
      </c>
      <c r="I311" s="37" t="s">
        <v>41</v>
      </c>
      <c r="J311" s="37" t="s">
        <v>31</v>
      </c>
      <c r="K311" s="37" t="s">
        <v>41</v>
      </c>
      <c r="L311" s="37" t="s">
        <v>37</v>
      </c>
      <c r="M311" s="37" t="s">
        <v>31</v>
      </c>
      <c r="N311" s="7" t="str">
        <f t="shared" si="1"/>
        <v>1???</v>
      </c>
      <c r="O311" s="7" t="str" cm="1">
        <f t="array" ref="O311:S311">_xlfn.XLOOKUP(I311:M311,$G$38:$G$46, _xlfn.XLOOKUP(G311,$I$37:$J$37,$I$38:$J$46,,0,1),,0,1)</f>
        <v>1001</v>
      </c>
      <c r="P311" s="7" t="str">
        <v>1100</v>
      </c>
      <c r="Q311" s="7" t="str">
        <v>1001</v>
      </c>
      <c r="R311" s="7" t="str">
        <v>1010</v>
      </c>
      <c r="S311" s="7" t="str">
        <v>1100</v>
      </c>
      <c r="U311" s="7">
        <f t="shared" si="3"/>
        <v>5</v>
      </c>
    </row>
    <row r="312" spans="2:21" ht="24.95" customHeight="1">
      <c r="B312" s="2">
        <v>115</v>
      </c>
      <c r="C312" s="2">
        <v>6</v>
      </c>
      <c r="D312" s="3">
        <v>7</v>
      </c>
      <c r="E312" s="1">
        <v>3</v>
      </c>
      <c r="F312" s="23"/>
      <c r="G312" s="37" t="s">
        <v>29</v>
      </c>
      <c r="H312" s="37" t="s">
        <v>209</v>
      </c>
      <c r="I312" s="37" t="s">
        <v>45</v>
      </c>
      <c r="J312" s="37" t="s">
        <v>41</v>
      </c>
      <c r="K312" s="37" t="s">
        <v>47</v>
      </c>
      <c r="L312" s="37" t="s">
        <v>41</v>
      </c>
      <c r="M312" s="37" t="s">
        <v>31</v>
      </c>
      <c r="N312" s="7" t="str">
        <f t="shared" si="1"/>
        <v>?1??</v>
      </c>
      <c r="O312" s="7" t="str" cm="1">
        <f t="array" ref="O312:S312">_xlfn.XLOOKUP(I312:M312,$G$38:$G$46, _xlfn.XLOOKUP(G312,$I$37:$J$37,$I$38:$J$46,,0,1),,0,1)</f>
        <v>1001</v>
      </c>
      <c r="P312" s="7" t="str">
        <v>0110</v>
      </c>
      <c r="Q312" s="7" t="str">
        <v>1010</v>
      </c>
      <c r="R312" s="7" t="str">
        <v>0110</v>
      </c>
      <c r="S312" s="7" t="str">
        <v>1100</v>
      </c>
      <c r="U312" s="7">
        <f t="shared" si="3"/>
        <v>3</v>
      </c>
    </row>
    <row r="313" spans="2:21" ht="24.95" customHeight="1">
      <c r="B313" s="2">
        <v>116</v>
      </c>
      <c r="C313" s="2">
        <v>6</v>
      </c>
      <c r="D313" s="3">
        <v>7</v>
      </c>
      <c r="E313" s="1">
        <v>0</v>
      </c>
      <c r="F313" s="23"/>
      <c r="G313" s="37" t="s">
        <v>30</v>
      </c>
      <c r="H313" s="37" t="s">
        <v>209</v>
      </c>
      <c r="I313" s="37" t="s">
        <v>34</v>
      </c>
      <c r="J313" s="37" t="s">
        <v>37</v>
      </c>
      <c r="K313" s="37" t="s">
        <v>34</v>
      </c>
      <c r="L313" s="37" t="s">
        <v>41</v>
      </c>
      <c r="M313" s="37" t="s">
        <v>37</v>
      </c>
      <c r="N313" s="7" t="str">
        <f t="shared" si="1"/>
        <v>?1??</v>
      </c>
      <c r="O313" s="7" t="str" cm="1">
        <f t="array" ref="O313:S313">_xlfn.XLOOKUP(I313:M313,$G$38:$G$46, _xlfn.XLOOKUP(G313,$I$37:$J$37,$I$38:$J$46,,0,1),,0,1)</f>
        <v>0011</v>
      </c>
      <c r="P313" s="7" t="str">
        <v>1010</v>
      </c>
      <c r="Q313" s="7" t="str">
        <v>0011</v>
      </c>
      <c r="R313" s="7" t="str">
        <v>1001</v>
      </c>
      <c r="S313" s="7" t="str">
        <v>1010</v>
      </c>
      <c r="U313" s="7">
        <f t="shared" si="3"/>
        <v>0</v>
      </c>
    </row>
    <row r="314" spans="2:21" ht="24.95" customHeight="1">
      <c r="B314" s="2">
        <v>117</v>
      </c>
      <c r="C314" s="2">
        <v>6</v>
      </c>
      <c r="D314" s="3">
        <v>7</v>
      </c>
      <c r="E314" s="1">
        <v>4</v>
      </c>
      <c r="F314" s="23"/>
      <c r="G314" s="37" t="s">
        <v>30</v>
      </c>
      <c r="H314" s="37" t="s">
        <v>206</v>
      </c>
      <c r="I314" s="37" t="s">
        <v>41</v>
      </c>
      <c r="J314" s="37" t="s">
        <v>37</v>
      </c>
      <c r="K314" s="37" t="s">
        <v>47</v>
      </c>
      <c r="L314" s="37" t="s">
        <v>41</v>
      </c>
      <c r="M314" s="37" t="s">
        <v>47</v>
      </c>
      <c r="N314" s="7" t="str">
        <f t="shared" si="1"/>
        <v>???1</v>
      </c>
      <c r="O314" s="7" t="str" cm="1">
        <f t="array" ref="O314:S314">_xlfn.XLOOKUP(I314:M314,$G$38:$G$46, _xlfn.XLOOKUP(G314,$I$37:$J$37,$I$38:$J$46,,0,1),,0,1)</f>
        <v>1001</v>
      </c>
      <c r="P314" s="7" t="str">
        <v>1010</v>
      </c>
      <c r="Q314" s="7" t="str">
        <v>0101</v>
      </c>
      <c r="R314" s="7" t="str">
        <v>1001</v>
      </c>
      <c r="S314" s="7" t="str">
        <v>0101</v>
      </c>
      <c r="U314" s="7">
        <f t="shared" si="3"/>
        <v>4</v>
      </c>
    </row>
    <row r="315" spans="2:21" ht="24.95" customHeight="1">
      <c r="B315" s="2">
        <v>118</v>
      </c>
      <c r="C315" s="2">
        <v>6</v>
      </c>
      <c r="D315" s="3">
        <v>7</v>
      </c>
      <c r="E315" s="1">
        <v>2</v>
      </c>
      <c r="F315" s="23"/>
      <c r="G315" s="37" t="s">
        <v>29</v>
      </c>
      <c r="H315" s="37" t="s">
        <v>206</v>
      </c>
      <c r="I315" s="37" t="s">
        <v>37</v>
      </c>
      <c r="J315" s="37" t="s">
        <v>31</v>
      </c>
      <c r="K315" s="37" t="s">
        <v>41</v>
      </c>
      <c r="L315" s="37" t="s">
        <v>47</v>
      </c>
      <c r="M315" s="37" t="s">
        <v>37</v>
      </c>
      <c r="N315" s="7" t="str">
        <f t="shared" si="1"/>
        <v>???1</v>
      </c>
      <c r="O315" s="7" t="str" cm="1">
        <f t="array" ref="O315:S315">_xlfn.XLOOKUP(I315:M315,$G$38:$G$46, _xlfn.XLOOKUP(G315,$I$37:$J$37,$I$38:$J$46,,0,1),,0,1)</f>
        <v>0101</v>
      </c>
      <c r="P315" s="7" t="str">
        <v>1100</v>
      </c>
      <c r="Q315" s="7" t="str">
        <v>0110</v>
      </c>
      <c r="R315" s="7" t="str">
        <v>1010</v>
      </c>
      <c r="S315" s="7" t="str">
        <v>0101</v>
      </c>
      <c r="U315" s="7">
        <f t="shared" si="3"/>
        <v>2</v>
      </c>
    </row>
    <row r="316" spans="2:21" ht="24.95" customHeight="1">
      <c r="B316" s="2">
        <v>119</v>
      </c>
      <c r="C316" s="2">
        <v>6</v>
      </c>
      <c r="D316" s="3">
        <v>7</v>
      </c>
      <c r="E316" s="1">
        <v>4</v>
      </c>
      <c r="F316" s="23"/>
      <c r="G316" s="37" t="s">
        <v>29</v>
      </c>
      <c r="H316" s="37" t="s">
        <v>206</v>
      </c>
      <c r="I316" s="37" t="s">
        <v>37</v>
      </c>
      <c r="J316" s="37" t="s">
        <v>45</v>
      </c>
      <c r="K316" s="37" t="s">
        <v>37</v>
      </c>
      <c r="L316" s="37" t="s">
        <v>34</v>
      </c>
      <c r="M316" s="37" t="s">
        <v>41</v>
      </c>
      <c r="N316" s="7" t="str">
        <f t="shared" si="1"/>
        <v>???1</v>
      </c>
      <c r="O316" s="7" t="str" cm="1">
        <f t="array" ref="O316:S316">_xlfn.XLOOKUP(I316:M316,$G$38:$G$46, _xlfn.XLOOKUP(G316,$I$37:$J$37,$I$38:$J$46,,0,1),,0,1)</f>
        <v>0101</v>
      </c>
      <c r="P316" s="7" t="str">
        <v>1001</v>
      </c>
      <c r="Q316" s="7" t="str">
        <v>0101</v>
      </c>
      <c r="R316" s="7" t="str">
        <v>0011</v>
      </c>
      <c r="S316" s="7" t="str">
        <v>0110</v>
      </c>
      <c r="U316" s="7">
        <f t="shared" si="3"/>
        <v>4</v>
      </c>
    </row>
    <row r="317" spans="2:21" ht="24.95" customHeight="1">
      <c r="B317" s="2">
        <v>120</v>
      </c>
      <c r="C317" s="2">
        <v>6</v>
      </c>
      <c r="D317" s="3">
        <v>7</v>
      </c>
      <c r="E317" s="1">
        <v>3</v>
      </c>
      <c r="F317" s="23"/>
      <c r="G317" s="37" t="s">
        <v>30</v>
      </c>
      <c r="H317" s="37" t="s">
        <v>206</v>
      </c>
      <c r="I317" s="37" t="s">
        <v>37</v>
      </c>
      <c r="J317" s="37" t="s">
        <v>41</v>
      </c>
      <c r="K317" s="37" t="s">
        <v>37</v>
      </c>
      <c r="L317" s="37" t="s">
        <v>47</v>
      </c>
      <c r="M317" s="37" t="s">
        <v>34</v>
      </c>
      <c r="N317" s="7" t="str">
        <f t="shared" si="1"/>
        <v>???1</v>
      </c>
      <c r="O317" s="7" t="str" cm="1">
        <f t="array" ref="O317:S317">_xlfn.XLOOKUP(I317:M317,$G$38:$G$46, _xlfn.XLOOKUP(G317,$I$37:$J$37,$I$38:$J$46,,0,1),,0,1)</f>
        <v>1010</v>
      </c>
      <c r="P317" s="7" t="str">
        <v>1001</v>
      </c>
      <c r="Q317" s="7" t="str">
        <v>1010</v>
      </c>
      <c r="R317" s="7" t="str">
        <v>0101</v>
      </c>
      <c r="S317" s="7" t="str">
        <v>0011</v>
      </c>
      <c r="U317" s="7">
        <f t="shared" si="3"/>
        <v>3</v>
      </c>
    </row>
    <row r="318" spans="2:21" ht="15.75" thickBot="1"/>
    <row r="319" spans="2:21" ht="22.5" customHeight="1" thickBot="1">
      <c r="B319" s="32" t="s">
        <v>210</v>
      </c>
      <c r="C319" s="22" t="s">
        <v>188</v>
      </c>
      <c r="D319" s="35" t="s">
        <v>211</v>
      </c>
    </row>
    <row r="321" spans="2:2" ht="15" customHeight="1">
      <c r="B321" s="29" t="s">
        <v>212</v>
      </c>
    </row>
    <row r="322" spans="2:2" ht="15" customHeight="1">
      <c r="B322" s="29"/>
    </row>
    <row r="323" spans="2:2" ht="15" customHeight="1">
      <c r="B323" s="27" t="s">
        <v>213</v>
      </c>
    </row>
    <row r="324" spans="2:2" ht="15" customHeight="1">
      <c r="B324" s="29" t="s">
        <v>214</v>
      </c>
    </row>
    <row r="325" spans="2:2" ht="15" customHeight="1">
      <c r="B325" s="29" t="s">
        <v>215</v>
      </c>
    </row>
    <row r="326" spans="2:2" ht="15" customHeight="1">
      <c r="B326" s="27" t="s">
        <v>216</v>
      </c>
    </row>
    <row r="327" spans="2:2" ht="15" customHeight="1">
      <c r="B327" s="29" t="s">
        <v>217</v>
      </c>
    </row>
    <row r="328" spans="2:2" ht="15" customHeight="1">
      <c r="B328" s="29"/>
    </row>
    <row r="329" spans="2:2" ht="15" customHeight="1">
      <c r="B329" s="27" t="s">
        <v>218</v>
      </c>
    </row>
    <row r="330" spans="2:2" ht="15" customHeight="1">
      <c r="B330" s="29" t="s">
        <v>219</v>
      </c>
    </row>
    <row r="331" spans="2:2" ht="15" customHeight="1">
      <c r="B331" s="29" t="s">
        <v>220</v>
      </c>
    </row>
    <row r="332" spans="2:2" ht="15" customHeight="1">
      <c r="B332" s="29" t="s">
        <v>221</v>
      </c>
    </row>
    <row r="333" spans="2:2" ht="15" customHeight="1">
      <c r="B333" s="29" t="s">
        <v>222</v>
      </c>
    </row>
    <row r="334" spans="2:2" s="51" customFormat="1" ht="15" customHeight="1">
      <c r="B334" s="29" t="s">
        <v>223</v>
      </c>
    </row>
    <row r="335" spans="2:2" s="51" customFormat="1" ht="15" customHeight="1"/>
    <row r="336" spans="2:2" s="51" customFormat="1" ht="15" customHeight="1">
      <c r="B336" s="55" t="s">
        <v>84</v>
      </c>
    </row>
    <row r="337" spans="2:43" ht="15" customHeight="1">
      <c r="B337" s="30" t="s">
        <v>224</v>
      </c>
      <c r="C337" s="12"/>
      <c r="D337" s="26"/>
      <c r="E337" s="26"/>
      <c r="F337" s="26"/>
      <c r="G337" s="26"/>
      <c r="H337" s="26"/>
      <c r="I337" s="7"/>
      <c r="J337" s="7"/>
      <c r="O337" s="26"/>
      <c r="P337" s="26"/>
    </row>
    <row r="338" spans="2:43" ht="15" customHeight="1">
      <c r="B338" s="30" t="s">
        <v>225</v>
      </c>
      <c r="C338" s="12"/>
      <c r="D338" s="26"/>
      <c r="E338" s="26"/>
      <c r="F338" s="26"/>
      <c r="G338" s="26"/>
      <c r="H338" s="26"/>
      <c r="I338" s="7"/>
      <c r="J338" s="7"/>
      <c r="O338" s="26"/>
      <c r="P338" s="26"/>
    </row>
    <row r="339" spans="2:43" ht="15" customHeight="1">
      <c r="B339" s="30" t="s">
        <v>226</v>
      </c>
      <c r="C339" s="12"/>
      <c r="D339" s="26"/>
      <c r="E339" s="26"/>
      <c r="F339" s="26"/>
      <c r="G339" s="26"/>
      <c r="H339" s="26"/>
      <c r="I339" s="7"/>
      <c r="J339" s="7"/>
      <c r="K339" s="84"/>
      <c r="L339" s="84"/>
      <c r="O339" s="26"/>
      <c r="P339" s="26"/>
    </row>
    <row r="340" spans="2:43" ht="15" customHeight="1" thickBot="1">
      <c r="B340" s="30"/>
      <c r="C340" s="12"/>
      <c r="D340" s="26"/>
      <c r="E340" s="26"/>
      <c r="F340" s="26"/>
      <c r="G340" s="26"/>
      <c r="H340" s="26"/>
      <c r="I340" s="7"/>
      <c r="J340" s="7"/>
      <c r="K340" s="84"/>
      <c r="L340" s="84"/>
      <c r="O340" s="26"/>
      <c r="P340" s="26"/>
    </row>
    <row r="341" spans="2:43" ht="22.5" customHeight="1" thickBot="1">
      <c r="B341" s="12"/>
      <c r="C341" s="12"/>
      <c r="D341" s="12"/>
      <c r="E341" s="12"/>
      <c r="F341" s="12"/>
      <c r="G341" s="17" t="s">
        <v>167</v>
      </c>
      <c r="H341" s="86"/>
      <c r="I341" s="86"/>
      <c r="J341" s="86"/>
      <c r="K341" s="86"/>
      <c r="L341" s="86"/>
      <c r="M341" s="86"/>
      <c r="N341" s="86"/>
      <c r="O341" s="88"/>
      <c r="P341" s="89"/>
    </row>
    <row r="342" spans="2:43" s="26" customFormat="1" ht="22.5" customHeight="1" thickBot="1">
      <c r="B342" s="16" t="s">
        <v>59</v>
      </c>
      <c r="C342" s="19" t="s">
        <v>89</v>
      </c>
      <c r="D342" s="16" t="s">
        <v>61</v>
      </c>
      <c r="E342" s="24" t="s">
        <v>62</v>
      </c>
      <c r="F342" s="12"/>
      <c r="G342" s="85">
        <v>1</v>
      </c>
      <c r="H342" s="85">
        <v>2</v>
      </c>
      <c r="I342" s="85">
        <v>3</v>
      </c>
      <c r="J342" s="85">
        <v>4</v>
      </c>
      <c r="K342" s="85">
        <v>5</v>
      </c>
      <c r="L342" s="85">
        <v>6</v>
      </c>
      <c r="M342" s="85">
        <v>7</v>
      </c>
      <c r="N342" s="85">
        <v>8</v>
      </c>
      <c r="O342" s="85">
        <v>9</v>
      </c>
      <c r="P342" s="85">
        <v>10</v>
      </c>
    </row>
    <row r="343" spans="2:43" ht="15" customHeight="1">
      <c r="I343" s="68"/>
      <c r="J343" s="68"/>
      <c r="O343" s="26"/>
      <c r="P343" s="26"/>
      <c r="S343" s="7" t="b" cm="1">
        <f t="array" ref="S343">OR(MID(RIGHT(R344,4),{1,2,3,4},1) = MID(LEFT(S344,4),{1,2,3,4},1))</f>
        <v>0</v>
      </c>
      <c r="T343" s="7" t="b" cm="1">
        <f t="array" ref="T343">OR(MID(RIGHT(S344,4),{1,2,3,4},1) = MID(LEFT(T344,4),{1,2,3,4},1))</f>
        <v>1</v>
      </c>
      <c r="U343" s="7" t="b" cm="1">
        <f t="array" ref="U343">OR(MID(RIGHT(T344,4),{1,2,3,4},1) = MID(LEFT(U344,4),{1,2,3,4},1))</f>
        <v>0</v>
      </c>
      <c r="V343" s="7" t="b" cm="1">
        <f t="array" ref="V343">OR(MID(RIGHT(U344,4),{1,2,3,4},1) = MID(LEFT(V344,4),{1,2,3,4},1))</f>
        <v>1</v>
      </c>
      <c r="W343" s="7" t="b" cm="1">
        <f t="array" ref="W343">OR(MID(RIGHT(V344,4),{1,2,3,4},1) = MID(LEFT(W344,4),{1,2,3,4},1))</f>
        <v>0</v>
      </c>
      <c r="X343" s="7" t="b" cm="1">
        <f t="array" ref="X343">OR(MID(RIGHT(W344,4),{1,2,3,4},1) = MID(LEFT(X344,4),{1,2,3,4},1))</f>
        <v>1</v>
      </c>
      <c r="Y343" s="7" t="b" cm="1">
        <f t="array" ref="Y343">OR(MID(RIGHT(X344,4),{1,2,3,4},1) = MID(LEFT(Y344,4),{1,2,3,4},1))</f>
        <v>1</v>
      </c>
      <c r="Z343" s="7" t="b" cm="1">
        <f t="array" ref="Z343">OR(MID(RIGHT(Y344,4),{1,2,3,4},1) = MID(LEFT(Z344,4),{1,2,3,4},1))</f>
        <v>1</v>
      </c>
      <c r="AA343" s="7" t="b" cm="1">
        <f t="array" ref="AA343">OR(MID(RIGHT(Z344,4),{1,2,3,4},1) = MID(LEFT(AA344,4),{1,2,3,4},1))</f>
        <v>1</v>
      </c>
    </row>
    <row r="344" spans="2:43" ht="24.95" customHeight="1">
      <c r="B344" s="9" t="s">
        <v>227</v>
      </c>
      <c r="C344" s="2">
        <v>7</v>
      </c>
      <c r="D344" s="10">
        <v>0</v>
      </c>
      <c r="E344" s="56">
        <v>12</v>
      </c>
      <c r="F344" s="23"/>
      <c r="G344" s="87" t="s">
        <v>31</v>
      </c>
      <c r="H344" s="87" t="s">
        <v>34</v>
      </c>
      <c r="I344" s="87" t="s">
        <v>41</v>
      </c>
      <c r="J344" s="87" t="s">
        <v>41</v>
      </c>
      <c r="K344" s="87" t="s">
        <v>45</v>
      </c>
      <c r="L344" s="87" t="s">
        <v>45</v>
      </c>
      <c r="M344" s="87" t="s">
        <v>47</v>
      </c>
      <c r="N344" s="87" t="s">
        <v>37</v>
      </c>
      <c r="O344" s="87" t="s">
        <v>31</v>
      </c>
      <c r="P344" s="87" t="s">
        <v>45</v>
      </c>
      <c r="R344" s="7" t="str" cm="1">
        <f t="array" ref="R344">_xlfn.XLOOKUP(G344,$G$38:$G$46,$J$38:$J$46&amp;$I$38:$I$46,,0,1)</f>
        <v>11001100</v>
      </c>
      <c r="S344" s="7" t="str" cm="1">
        <f t="array" ref="S344">_xlfn.XLOOKUP(H344,$G$38:$G$46,$J$38:$J$46&amp;$I$38:$I$46,,0,1)</f>
        <v>00110011</v>
      </c>
      <c r="T344" s="7" t="str" cm="1">
        <f t="array" ref="T344">_xlfn.XLOOKUP(I344,$G$38:$G$46,$J$38:$J$46&amp;$I$38:$I$46,,0,1)</f>
        <v>10010110</v>
      </c>
      <c r="U344" s="7" t="str" cm="1">
        <f t="array" ref="U344">_xlfn.XLOOKUP(J344,$G$38:$G$46,$J$38:$J$46&amp;$I$38:$I$46,,0,1)</f>
        <v>10010110</v>
      </c>
      <c r="V344" s="7" t="str" cm="1">
        <f t="array" ref="V344">_xlfn.XLOOKUP(K344,$G$38:$G$46,$J$38:$J$46&amp;$I$38:$I$46,,0,1)</f>
        <v>01101001</v>
      </c>
      <c r="W344" s="7" t="str" cm="1">
        <f t="array" ref="W344">_xlfn.XLOOKUP(L344,$G$38:$G$46,$J$38:$J$46&amp;$I$38:$I$46,,0,1)</f>
        <v>01101001</v>
      </c>
      <c r="X344" s="7" t="str" cm="1">
        <f t="array" ref="X344">_xlfn.XLOOKUP(M344,$G$38:$G$46,$J$38:$J$46&amp;$I$38:$I$46,,0,1)</f>
        <v>01011010</v>
      </c>
      <c r="Y344" s="7" t="str" cm="1">
        <f t="array" ref="Y344">_xlfn.XLOOKUP(N344,$G$38:$G$46,$J$38:$J$46&amp;$I$38:$I$46,,0,1)</f>
        <v>10100101</v>
      </c>
      <c r="Z344" s="7" t="str" cm="1">
        <f t="array" ref="Z344">_xlfn.XLOOKUP(O344,$G$38:$G$46,$J$38:$J$46&amp;$I$38:$I$46,,0,1)</f>
        <v>11001100</v>
      </c>
      <c r="AA344" s="7" t="str" cm="1">
        <f t="array" ref="AA344">_xlfn.XLOOKUP(P344,$G$38:$G$46,$J$38:$J$46&amp;$I$38:$I$46,,0,1)</f>
        <v>01101001</v>
      </c>
      <c r="AC344" s="7" t="b" cm="1">
        <f t="array" ref="AC344">NOT(OR(MID(RIGHT(R344,4),{1,2,3,4},1) = MID(LEFT(S344,4),{1,2,3,4},1)))</f>
        <v>1</v>
      </c>
      <c r="AD344" s="7" t="b" cm="1">
        <f t="array" ref="AD344">NOT(OR(MID(RIGHT(S344,4),{1,2,3,4},1) = MID(LEFT(T344,4),{1,2,3,4},1)))</f>
        <v>0</v>
      </c>
      <c r="AE344" s="7" t="b" cm="1">
        <f t="array" ref="AE344">NOT(OR(MID(RIGHT(T344,4),{1,2,3,4},1) = MID(LEFT(U344,4),{1,2,3,4},1)))</f>
        <v>1</v>
      </c>
      <c r="AF344" s="7" t="b" cm="1">
        <f t="array" ref="AF344">NOT(OR(MID(RIGHT(U344,4),{1,2,3,4},1) = MID(LEFT(V344,4),{1,2,3,4},1)))</f>
        <v>0</v>
      </c>
      <c r="AG344" s="7" t="b" cm="1">
        <f t="array" ref="AG344">NOT(OR(MID(RIGHT(V344,4),{1,2,3,4},1) = MID(LEFT(W344,4),{1,2,3,4},1)))</f>
        <v>1</v>
      </c>
      <c r="AH344" s="7" t="b" cm="1">
        <f t="array" ref="AH344">NOT(OR(MID(RIGHT(W344,4),{1,2,3,4},1) = MID(LEFT(X344,4),{1,2,3,4},1)))</f>
        <v>0</v>
      </c>
      <c r="AI344" s="7" t="b" cm="1">
        <f t="array" ref="AI344">NOT(OR(MID(RIGHT(X344,4),{1,2,3,4},1) = MID(LEFT(Y344,4),{1,2,3,4},1)))</f>
        <v>0</v>
      </c>
      <c r="AJ344" s="7" t="b" cm="1">
        <f t="array" ref="AJ344">NOT(OR(MID(RIGHT(Y344,4),{1,2,3,4},1) = MID(LEFT(Z344,4),{1,2,3,4},1)))</f>
        <v>0</v>
      </c>
      <c r="AK344" s="7" t="b" cm="1">
        <f t="array" ref="AK344">NOT(OR(MID(RIGHT(Z344,4),{1,2,3,4},1) = MID(LEFT(AA344,4),{1,2,3,4},1)))</f>
        <v>0</v>
      </c>
      <c r="AM344" s="7" cm="1">
        <f t="array" ref="AM344">SUM((--AC344:AK344) * $H$342:$P$342)</f>
        <v>12</v>
      </c>
    </row>
    <row r="345" spans="2:43" ht="15" customHeight="1">
      <c r="E345" s="50"/>
      <c r="G345" s="69"/>
      <c r="H345" s="69"/>
      <c r="I345" s="69"/>
      <c r="J345" s="69"/>
      <c r="K345" s="69"/>
      <c r="L345" s="69"/>
      <c r="M345" s="69"/>
      <c r="N345" s="69"/>
      <c r="O345" s="69"/>
      <c r="P345" s="69"/>
    </row>
    <row r="346" spans="2:43" ht="24.95" customHeight="1">
      <c r="B346" s="2">
        <v>121</v>
      </c>
      <c r="C346" s="2">
        <v>7</v>
      </c>
      <c r="D346" s="3">
        <v>10</v>
      </c>
      <c r="E346" s="56" cm="1">
        <f t="array" ref="E346:E365">AM346:AM365</f>
        <v>8</v>
      </c>
      <c r="F346" s="23"/>
      <c r="G346" s="87" t="s">
        <v>34</v>
      </c>
      <c r="H346" s="87" t="s">
        <v>41</v>
      </c>
      <c r="I346" s="87" t="s">
        <v>45</v>
      </c>
      <c r="J346" s="87" t="s">
        <v>34</v>
      </c>
      <c r="K346" s="87" t="s">
        <v>34</v>
      </c>
      <c r="L346" s="87" t="s">
        <v>34</v>
      </c>
      <c r="M346" s="87" t="s">
        <v>34</v>
      </c>
      <c r="N346" s="87" t="s">
        <v>31</v>
      </c>
      <c r="O346" s="87" t="s">
        <v>45</v>
      </c>
      <c r="P346" s="87" t="s">
        <v>34</v>
      </c>
      <c r="R346" s="7" t="str" cm="1">
        <f t="array" ref="R346">_xlfn.XLOOKUP(G346,$G$38:$G$46,$J$38:$J$46&amp;$I$38:$I$46,,0,1)</f>
        <v>00110011</v>
      </c>
      <c r="S346" s="7" t="str" cm="1">
        <f t="array" ref="S346">_xlfn.XLOOKUP(H346,$G$38:$G$46,$J$38:$J$46&amp;$I$38:$I$46,,0,1)</f>
        <v>10010110</v>
      </c>
      <c r="T346" s="7" t="str" cm="1">
        <f t="array" ref="T346">_xlfn.XLOOKUP(I346,$G$38:$G$46,$J$38:$J$46&amp;$I$38:$I$46,,0,1)</f>
        <v>01101001</v>
      </c>
      <c r="U346" s="7" t="str" cm="1">
        <f t="array" ref="U346">_xlfn.XLOOKUP(J346,$G$38:$G$46,$J$38:$J$46&amp;$I$38:$I$46,,0,1)</f>
        <v>00110011</v>
      </c>
      <c r="V346" s="7" t="str" cm="1">
        <f t="array" ref="V346">_xlfn.XLOOKUP(K346,$G$38:$G$46,$J$38:$J$46&amp;$I$38:$I$46,,0,1)</f>
        <v>00110011</v>
      </c>
      <c r="W346" s="7" t="str" cm="1">
        <f t="array" ref="W346">_xlfn.XLOOKUP(L346,$G$38:$G$46,$J$38:$J$46&amp;$I$38:$I$46,,0,1)</f>
        <v>00110011</v>
      </c>
      <c r="X346" s="7" t="str" cm="1">
        <f t="array" ref="X346">_xlfn.XLOOKUP(M346,$G$38:$G$46,$J$38:$J$46&amp;$I$38:$I$46,,0,1)</f>
        <v>00110011</v>
      </c>
      <c r="Y346" s="7" t="str" cm="1">
        <f t="array" ref="Y346">_xlfn.XLOOKUP(N346,$G$38:$G$46,$J$38:$J$46&amp;$I$38:$I$46,,0,1)</f>
        <v>11001100</v>
      </c>
      <c r="Z346" s="7" t="str" cm="1">
        <f t="array" ref="Z346">_xlfn.XLOOKUP(O346,$G$38:$G$46,$J$38:$J$46&amp;$I$38:$I$46,,0,1)</f>
        <v>01101001</v>
      </c>
      <c r="AA346" s="7" t="str" cm="1">
        <f t="array" ref="AA346">_xlfn.XLOOKUP(P346,$G$38:$G$46,$J$38:$J$46&amp;$I$38:$I$46,,0,1)</f>
        <v>00110011</v>
      </c>
      <c r="AC346" s="7" t="b" cm="1">
        <f t="array" ref="AC346">NOT(OR(MID(RIGHT(R346,4),{1,2,3,4},1) = MID(LEFT(S346,4),{1,2,3,4},1)))</f>
        <v>0</v>
      </c>
      <c r="AD346" s="7" t="b" cm="1">
        <f t="array" ref="AD346">NOT(OR(MID(RIGHT(S346,4),{1,2,3,4},1) = MID(LEFT(T346,4),{1,2,3,4},1)))</f>
        <v>0</v>
      </c>
      <c r="AE346" s="7" t="b" cm="1">
        <f t="array" ref="AE346">NOT(OR(MID(RIGHT(T346,4),{1,2,3,4},1) = MID(LEFT(U346,4),{1,2,3,4},1)))</f>
        <v>0</v>
      </c>
      <c r="AF346" s="7" t="b" cm="1">
        <f t="array" ref="AF346">NOT(OR(MID(RIGHT(U346,4),{1,2,3,4},1) = MID(LEFT(V346,4),{1,2,3,4},1)))</f>
        <v>0</v>
      </c>
      <c r="AG346" s="7" t="b" cm="1">
        <f t="array" ref="AG346">NOT(OR(MID(RIGHT(V346,4),{1,2,3,4},1) = MID(LEFT(W346,4),{1,2,3,4},1)))</f>
        <v>0</v>
      </c>
      <c r="AH346" s="7" t="b" cm="1">
        <f t="array" ref="AH346">NOT(OR(MID(RIGHT(W346,4),{1,2,3,4},1) = MID(LEFT(X346,4),{1,2,3,4},1)))</f>
        <v>0</v>
      </c>
      <c r="AI346" s="7" t="b" cm="1">
        <f t="array" ref="AI346">NOT(OR(MID(RIGHT(X346,4),{1,2,3,4},1) = MID(LEFT(Y346,4),{1,2,3,4},1)))</f>
        <v>1</v>
      </c>
      <c r="AJ346" s="7" t="b" cm="1">
        <f t="array" ref="AJ346">NOT(OR(MID(RIGHT(Y346,4),{1,2,3,4},1) = MID(LEFT(Z346,4),{1,2,3,4},1)))</f>
        <v>0</v>
      </c>
      <c r="AK346" s="7" t="b" cm="1">
        <f t="array" ref="AK346">NOT(OR(MID(RIGHT(Z346,4),{1,2,3,4},1) = MID(LEFT(AA346,4),{1,2,3,4},1)))</f>
        <v>0</v>
      </c>
      <c r="AM346" s="7" cm="1">
        <f t="array" ref="AM346">SUM((--AC346:AK346) * $H$342:$P$342)</f>
        <v>8</v>
      </c>
      <c r="AQ346" s="7">
        <f>COUNTIF(AC346:AK346,TRUE)</f>
        <v>1</v>
      </c>
    </row>
    <row r="347" spans="2:43" ht="24.95" customHeight="1">
      <c r="B347" s="2">
        <v>122</v>
      </c>
      <c r="C347" s="2">
        <v>7</v>
      </c>
      <c r="D347" s="3">
        <v>10</v>
      </c>
      <c r="E347" s="56">
        <v>26</v>
      </c>
      <c r="F347" s="23"/>
      <c r="G347" s="87" t="s">
        <v>45</v>
      </c>
      <c r="H347" s="87" t="s">
        <v>34</v>
      </c>
      <c r="I347" s="87" t="s">
        <v>34</v>
      </c>
      <c r="J347" s="87" t="s">
        <v>31</v>
      </c>
      <c r="K347" s="87" t="s">
        <v>37</v>
      </c>
      <c r="L347" s="87" t="s">
        <v>37</v>
      </c>
      <c r="M347" s="87" t="s">
        <v>37</v>
      </c>
      <c r="N347" s="87" t="s">
        <v>31</v>
      </c>
      <c r="O347" s="87" t="s">
        <v>34</v>
      </c>
      <c r="P347" s="87" t="s">
        <v>45</v>
      </c>
      <c r="R347" s="7" t="str" cm="1">
        <f t="array" ref="R347">_xlfn.XLOOKUP(G347,$G$38:$G$46,$J$38:$J$46&amp;$I$38:$I$46,,0,1)</f>
        <v>01101001</v>
      </c>
      <c r="S347" s="7" t="str" cm="1">
        <f t="array" ref="S347">_xlfn.XLOOKUP(H347,$G$38:$G$46,$J$38:$J$46&amp;$I$38:$I$46,,0,1)</f>
        <v>00110011</v>
      </c>
      <c r="T347" s="7" t="str" cm="1">
        <f t="array" ref="T347">_xlfn.XLOOKUP(I347,$G$38:$G$46,$J$38:$J$46&amp;$I$38:$I$46,,0,1)</f>
        <v>00110011</v>
      </c>
      <c r="U347" s="7" t="str" cm="1">
        <f t="array" ref="U347">_xlfn.XLOOKUP(J347,$G$38:$G$46,$J$38:$J$46&amp;$I$38:$I$46,,0,1)</f>
        <v>11001100</v>
      </c>
      <c r="V347" s="7" t="str" cm="1">
        <f t="array" ref="V347">_xlfn.XLOOKUP(K347,$G$38:$G$46,$J$38:$J$46&amp;$I$38:$I$46,,0,1)</f>
        <v>10100101</v>
      </c>
      <c r="W347" s="7" t="str" cm="1">
        <f t="array" ref="W347">_xlfn.XLOOKUP(L347,$G$38:$G$46,$J$38:$J$46&amp;$I$38:$I$46,,0,1)</f>
        <v>10100101</v>
      </c>
      <c r="X347" s="7" t="str" cm="1">
        <f t="array" ref="X347">_xlfn.XLOOKUP(M347,$G$38:$G$46,$J$38:$J$46&amp;$I$38:$I$46,,0,1)</f>
        <v>10100101</v>
      </c>
      <c r="Y347" s="7" t="str" cm="1">
        <f t="array" ref="Y347">_xlfn.XLOOKUP(N347,$G$38:$G$46,$J$38:$J$46&amp;$I$38:$I$46,,0,1)</f>
        <v>11001100</v>
      </c>
      <c r="Z347" s="7" t="str" cm="1">
        <f t="array" ref="Z347">_xlfn.XLOOKUP(O347,$G$38:$G$46,$J$38:$J$46&amp;$I$38:$I$46,,0,1)</f>
        <v>00110011</v>
      </c>
      <c r="AA347" s="7" t="str" cm="1">
        <f t="array" ref="AA347">_xlfn.XLOOKUP(P347,$G$38:$G$46,$J$38:$J$46&amp;$I$38:$I$46,,0,1)</f>
        <v>01101001</v>
      </c>
      <c r="AC347" s="7" t="b" cm="1">
        <f t="array" ref="AC347">NOT(OR(MID(RIGHT(R347,4),{1,2,3,4},1) = MID(LEFT(S347,4),{1,2,3,4},1)))</f>
        <v>0</v>
      </c>
      <c r="AD347" s="7" t="b" cm="1">
        <f t="array" ref="AD347">NOT(OR(MID(RIGHT(S347,4),{1,2,3,4},1) = MID(LEFT(T347,4),{1,2,3,4},1)))</f>
        <v>0</v>
      </c>
      <c r="AE347" s="7" t="b" cm="1">
        <f t="array" ref="AE347">NOT(OR(MID(RIGHT(T347,4),{1,2,3,4},1) = MID(LEFT(U347,4),{1,2,3,4},1)))</f>
        <v>1</v>
      </c>
      <c r="AF347" s="7" t="b" cm="1">
        <f t="array" ref="AF347">NOT(OR(MID(RIGHT(U347,4),{1,2,3,4},1) = MID(LEFT(V347,4),{1,2,3,4},1)))</f>
        <v>0</v>
      </c>
      <c r="AG347" s="7" t="b" cm="1">
        <f t="array" ref="AG347">NOT(OR(MID(RIGHT(V347,4),{1,2,3,4},1) = MID(LEFT(W347,4),{1,2,3,4},1)))</f>
        <v>1</v>
      </c>
      <c r="AH347" s="7" t="b" cm="1">
        <f t="array" ref="AH347">NOT(OR(MID(RIGHT(W347,4),{1,2,3,4},1) = MID(LEFT(X347,4),{1,2,3,4},1)))</f>
        <v>1</v>
      </c>
      <c r="AI347" s="7" t="b" cm="1">
        <f t="array" ref="AI347">NOT(OR(MID(RIGHT(X347,4),{1,2,3,4},1) = MID(LEFT(Y347,4),{1,2,3,4},1)))</f>
        <v>0</v>
      </c>
      <c r="AJ347" s="7" t="b" cm="1">
        <f t="array" ref="AJ347">NOT(OR(MID(RIGHT(Y347,4),{1,2,3,4},1) = MID(LEFT(Z347,4),{1,2,3,4},1)))</f>
        <v>1</v>
      </c>
      <c r="AK347" s="7" t="b" cm="1">
        <f t="array" ref="AK347">NOT(OR(MID(RIGHT(Z347,4),{1,2,3,4},1) = MID(LEFT(AA347,4),{1,2,3,4},1)))</f>
        <v>0</v>
      </c>
      <c r="AM347" s="7" cm="1">
        <f t="array" ref="AM347">SUM((--AC347:AK347) * $H$342:$P$342)</f>
        <v>26</v>
      </c>
      <c r="AQ347" s="7">
        <f t="shared" ref="AQ347:AQ365" si="4">COUNTIF(AC347:AK347,TRUE)</f>
        <v>4</v>
      </c>
    </row>
    <row r="348" spans="2:43" ht="24.95" customHeight="1">
      <c r="B348" s="2">
        <v>123</v>
      </c>
      <c r="C348" s="2">
        <v>7</v>
      </c>
      <c r="D348" s="3">
        <v>10</v>
      </c>
      <c r="E348" s="56">
        <v>10</v>
      </c>
      <c r="F348" s="23"/>
      <c r="G348" s="87" t="s">
        <v>37</v>
      </c>
      <c r="H348" s="87" t="s">
        <v>47</v>
      </c>
      <c r="I348" s="87" t="s">
        <v>34</v>
      </c>
      <c r="J348" s="87" t="s">
        <v>37</v>
      </c>
      <c r="K348" s="87" t="s">
        <v>41</v>
      </c>
      <c r="L348" s="87" t="s">
        <v>47</v>
      </c>
      <c r="M348" s="87" t="s">
        <v>34</v>
      </c>
      <c r="N348" s="87" t="s">
        <v>47</v>
      </c>
      <c r="O348" s="87" t="s">
        <v>37</v>
      </c>
      <c r="P348" s="87" t="s">
        <v>37</v>
      </c>
      <c r="R348" s="7" t="str" cm="1">
        <f t="array" ref="R348">_xlfn.XLOOKUP(G348,$G$38:$G$46,$J$38:$J$46&amp;$I$38:$I$46,,0,1)</f>
        <v>10100101</v>
      </c>
      <c r="S348" s="7" t="str" cm="1">
        <f t="array" ref="S348">_xlfn.XLOOKUP(H348,$G$38:$G$46,$J$38:$J$46&amp;$I$38:$I$46,,0,1)</f>
        <v>01011010</v>
      </c>
      <c r="T348" s="7" t="str" cm="1">
        <f t="array" ref="T348">_xlfn.XLOOKUP(I348,$G$38:$G$46,$J$38:$J$46&amp;$I$38:$I$46,,0,1)</f>
        <v>00110011</v>
      </c>
      <c r="U348" s="7" t="str" cm="1">
        <f t="array" ref="U348">_xlfn.XLOOKUP(J348,$G$38:$G$46,$J$38:$J$46&amp;$I$38:$I$46,,0,1)</f>
        <v>10100101</v>
      </c>
      <c r="V348" s="7" t="str" cm="1">
        <f t="array" ref="V348">_xlfn.XLOOKUP(K348,$G$38:$G$46,$J$38:$J$46&amp;$I$38:$I$46,,0,1)</f>
        <v>10010110</v>
      </c>
      <c r="W348" s="7" t="str" cm="1">
        <f t="array" ref="W348">_xlfn.XLOOKUP(L348,$G$38:$G$46,$J$38:$J$46&amp;$I$38:$I$46,,0,1)</f>
        <v>01011010</v>
      </c>
      <c r="X348" s="7" t="str" cm="1">
        <f t="array" ref="X348">_xlfn.XLOOKUP(M348,$G$38:$G$46,$J$38:$J$46&amp;$I$38:$I$46,,0,1)</f>
        <v>00110011</v>
      </c>
      <c r="Y348" s="7" t="str" cm="1">
        <f t="array" ref="Y348">_xlfn.XLOOKUP(N348,$G$38:$G$46,$J$38:$J$46&amp;$I$38:$I$46,,0,1)</f>
        <v>01011010</v>
      </c>
      <c r="Z348" s="7" t="str" cm="1">
        <f t="array" ref="Z348">_xlfn.XLOOKUP(O348,$G$38:$G$46,$J$38:$J$46&amp;$I$38:$I$46,,0,1)</f>
        <v>10100101</v>
      </c>
      <c r="AA348" s="7" t="str" cm="1">
        <f t="array" ref="AA348">_xlfn.XLOOKUP(P348,$G$38:$G$46,$J$38:$J$46&amp;$I$38:$I$46,,0,1)</f>
        <v>10100101</v>
      </c>
      <c r="AC348" s="7" t="b" cm="1">
        <f t="array" ref="AC348">NOT(OR(MID(RIGHT(R348,4),{1,2,3,4},1) = MID(LEFT(S348,4),{1,2,3,4},1)))</f>
        <v>0</v>
      </c>
      <c r="AD348" s="7" t="b" cm="1">
        <f t="array" ref="AD348">NOT(OR(MID(RIGHT(S348,4),{1,2,3,4},1) = MID(LEFT(T348,4),{1,2,3,4},1)))</f>
        <v>0</v>
      </c>
      <c r="AE348" s="7" t="b" cm="1">
        <f t="array" ref="AE348">NOT(OR(MID(RIGHT(T348,4),{1,2,3,4},1) = MID(LEFT(U348,4),{1,2,3,4},1)))</f>
        <v>0</v>
      </c>
      <c r="AF348" s="7" t="b" cm="1">
        <f t="array" ref="AF348">NOT(OR(MID(RIGHT(U348,4),{1,2,3,4},1) = MID(LEFT(V348,4),{1,2,3,4},1)))</f>
        <v>0</v>
      </c>
      <c r="AG348" s="7" t="b" cm="1">
        <f t="array" ref="AG348">NOT(OR(MID(RIGHT(V348,4),{1,2,3,4},1) = MID(LEFT(W348,4),{1,2,3,4},1)))</f>
        <v>0</v>
      </c>
      <c r="AH348" s="7" t="b" cm="1">
        <f t="array" ref="AH348">NOT(OR(MID(RIGHT(W348,4),{1,2,3,4},1) = MID(LEFT(X348,4),{1,2,3,4},1)))</f>
        <v>0</v>
      </c>
      <c r="AI348" s="7" t="b" cm="1">
        <f t="array" ref="AI348">NOT(OR(MID(RIGHT(X348,4),{1,2,3,4},1) = MID(LEFT(Y348,4),{1,2,3,4},1)))</f>
        <v>0</v>
      </c>
      <c r="AJ348" s="7" t="b" cm="1">
        <f t="array" ref="AJ348">NOT(OR(MID(RIGHT(Y348,4),{1,2,3,4},1) = MID(LEFT(Z348,4),{1,2,3,4},1)))</f>
        <v>0</v>
      </c>
      <c r="AK348" s="7" t="b" cm="1">
        <f t="array" ref="AK348">NOT(OR(MID(RIGHT(Z348,4),{1,2,3,4},1) = MID(LEFT(AA348,4),{1,2,3,4},1)))</f>
        <v>1</v>
      </c>
      <c r="AM348" s="7" cm="1">
        <f t="array" ref="AM348">SUM((--AC348:AK348) * $H$342:$P$342)</f>
        <v>10</v>
      </c>
      <c r="AQ348" s="7">
        <f t="shared" si="4"/>
        <v>1</v>
      </c>
    </row>
    <row r="349" spans="2:43" ht="24.95" customHeight="1">
      <c r="B349" s="2">
        <v>124</v>
      </c>
      <c r="C349" s="2">
        <v>7</v>
      </c>
      <c r="D349" s="3">
        <v>10</v>
      </c>
      <c r="E349" s="56">
        <v>7</v>
      </c>
      <c r="F349" s="23"/>
      <c r="G349" s="87" t="s">
        <v>41</v>
      </c>
      <c r="H349" s="87" t="s">
        <v>41</v>
      </c>
      <c r="I349" s="87" t="s">
        <v>47</v>
      </c>
      <c r="J349" s="87" t="s">
        <v>31</v>
      </c>
      <c r="K349" s="87" t="s">
        <v>34</v>
      </c>
      <c r="L349" s="87" t="s">
        <v>41</v>
      </c>
      <c r="M349" s="87" t="s">
        <v>45</v>
      </c>
      <c r="N349" s="87" t="s">
        <v>41</v>
      </c>
      <c r="O349" s="87" t="s">
        <v>34</v>
      </c>
      <c r="P349" s="87" t="s">
        <v>45</v>
      </c>
      <c r="R349" s="7" t="str" cm="1">
        <f t="array" ref="R349">_xlfn.XLOOKUP(G349,$G$38:$G$46,$J$38:$J$46&amp;$I$38:$I$46,,0,1)</f>
        <v>10010110</v>
      </c>
      <c r="S349" s="7" t="str" cm="1">
        <f t="array" ref="S349">_xlfn.XLOOKUP(H349,$G$38:$G$46,$J$38:$J$46&amp;$I$38:$I$46,,0,1)</f>
        <v>10010110</v>
      </c>
      <c r="T349" s="7" t="str" cm="1">
        <f t="array" ref="T349">_xlfn.XLOOKUP(I349,$G$38:$G$46,$J$38:$J$46&amp;$I$38:$I$46,,0,1)</f>
        <v>01011010</v>
      </c>
      <c r="U349" s="7" t="str" cm="1">
        <f t="array" ref="U349">_xlfn.XLOOKUP(J349,$G$38:$G$46,$J$38:$J$46&amp;$I$38:$I$46,,0,1)</f>
        <v>11001100</v>
      </c>
      <c r="V349" s="7" t="str" cm="1">
        <f t="array" ref="V349">_xlfn.XLOOKUP(K349,$G$38:$G$46,$J$38:$J$46&amp;$I$38:$I$46,,0,1)</f>
        <v>00110011</v>
      </c>
      <c r="W349" s="7" t="str" cm="1">
        <f t="array" ref="W349">_xlfn.XLOOKUP(L349,$G$38:$G$46,$J$38:$J$46&amp;$I$38:$I$46,,0,1)</f>
        <v>10010110</v>
      </c>
      <c r="X349" s="7" t="str" cm="1">
        <f t="array" ref="X349">_xlfn.XLOOKUP(M349,$G$38:$G$46,$J$38:$J$46&amp;$I$38:$I$46,,0,1)</f>
        <v>01101001</v>
      </c>
      <c r="Y349" s="7" t="str" cm="1">
        <f t="array" ref="Y349">_xlfn.XLOOKUP(N349,$G$38:$G$46,$J$38:$J$46&amp;$I$38:$I$46,,0,1)</f>
        <v>10010110</v>
      </c>
      <c r="Z349" s="7" t="str" cm="1">
        <f t="array" ref="Z349">_xlfn.XLOOKUP(O349,$G$38:$G$46,$J$38:$J$46&amp;$I$38:$I$46,,0,1)</f>
        <v>00110011</v>
      </c>
      <c r="AA349" s="7" t="str" cm="1">
        <f t="array" ref="AA349">_xlfn.XLOOKUP(P349,$G$38:$G$46,$J$38:$J$46&amp;$I$38:$I$46,,0,1)</f>
        <v>01101001</v>
      </c>
      <c r="AC349" s="7" t="b" cm="1">
        <f t="array" ref="AC349">NOT(OR(MID(RIGHT(R349,4),{1,2,3,4},1) = MID(LEFT(S349,4),{1,2,3,4},1)))</f>
        <v>1</v>
      </c>
      <c r="AD349" s="7" t="b" cm="1">
        <f t="array" ref="AD349">NOT(OR(MID(RIGHT(S349,4),{1,2,3,4},1) = MID(LEFT(T349,4),{1,2,3,4},1)))</f>
        <v>0</v>
      </c>
      <c r="AE349" s="7" t="b" cm="1">
        <f t="array" ref="AE349">NOT(OR(MID(RIGHT(T349,4),{1,2,3,4},1) = MID(LEFT(U349,4),{1,2,3,4},1)))</f>
        <v>0</v>
      </c>
      <c r="AF349" s="7" t="b" cm="1">
        <f t="array" ref="AF349">NOT(OR(MID(RIGHT(U349,4),{1,2,3,4},1) = MID(LEFT(V349,4),{1,2,3,4},1)))</f>
        <v>1</v>
      </c>
      <c r="AG349" s="7" t="b" cm="1">
        <f t="array" ref="AG349">NOT(OR(MID(RIGHT(V349,4),{1,2,3,4},1) = MID(LEFT(W349,4),{1,2,3,4},1)))</f>
        <v>0</v>
      </c>
      <c r="AH349" s="7" t="b" cm="1">
        <f t="array" ref="AH349">NOT(OR(MID(RIGHT(W349,4),{1,2,3,4},1) = MID(LEFT(X349,4),{1,2,3,4},1)))</f>
        <v>0</v>
      </c>
      <c r="AI349" s="7" t="b" cm="1">
        <f t="array" ref="AI349">NOT(OR(MID(RIGHT(X349,4),{1,2,3,4},1) = MID(LEFT(Y349,4),{1,2,3,4},1)))</f>
        <v>0</v>
      </c>
      <c r="AJ349" s="7" t="b" cm="1">
        <f t="array" ref="AJ349">NOT(OR(MID(RIGHT(Y349,4),{1,2,3,4},1) = MID(LEFT(Z349,4),{1,2,3,4},1)))</f>
        <v>0</v>
      </c>
      <c r="AK349" s="7" t="b" cm="1">
        <f t="array" ref="AK349">NOT(OR(MID(RIGHT(Z349,4),{1,2,3,4},1) = MID(LEFT(AA349,4),{1,2,3,4},1)))</f>
        <v>0</v>
      </c>
      <c r="AM349" s="7" cm="1">
        <f t="array" ref="AM349">SUM((--AC349:AK349) * $H$342:$P$342)</f>
        <v>7</v>
      </c>
      <c r="AQ349" s="7">
        <f t="shared" si="4"/>
        <v>2</v>
      </c>
    </row>
    <row r="350" spans="2:43" ht="24.95" customHeight="1">
      <c r="B350" s="2">
        <v>125</v>
      </c>
      <c r="C350" s="2">
        <v>7</v>
      </c>
      <c r="D350" s="3">
        <v>10</v>
      </c>
      <c r="E350" s="56">
        <v>22</v>
      </c>
      <c r="F350" s="23"/>
      <c r="G350" s="87" t="s">
        <v>47</v>
      </c>
      <c r="H350" s="87" t="s">
        <v>41</v>
      </c>
      <c r="I350" s="87" t="s">
        <v>45</v>
      </c>
      <c r="J350" s="87" t="s">
        <v>45</v>
      </c>
      <c r="K350" s="87" t="s">
        <v>34</v>
      </c>
      <c r="L350" s="87" t="s">
        <v>45</v>
      </c>
      <c r="M350" s="87" t="s">
        <v>37</v>
      </c>
      <c r="N350" s="87" t="s">
        <v>37</v>
      </c>
      <c r="O350" s="87" t="s">
        <v>34</v>
      </c>
      <c r="P350" s="87" t="s">
        <v>31</v>
      </c>
      <c r="R350" s="7" t="str" cm="1">
        <f t="array" ref="R350">_xlfn.XLOOKUP(G350,$G$38:$G$46,$J$38:$J$46&amp;$I$38:$I$46,,0,1)</f>
        <v>01011010</v>
      </c>
      <c r="S350" s="7" t="str" cm="1">
        <f t="array" ref="S350">_xlfn.XLOOKUP(H350,$G$38:$G$46,$J$38:$J$46&amp;$I$38:$I$46,,0,1)</f>
        <v>10010110</v>
      </c>
      <c r="T350" s="7" t="str" cm="1">
        <f t="array" ref="T350">_xlfn.XLOOKUP(I350,$G$38:$G$46,$J$38:$J$46&amp;$I$38:$I$46,,0,1)</f>
        <v>01101001</v>
      </c>
      <c r="U350" s="7" t="str" cm="1">
        <f t="array" ref="U350">_xlfn.XLOOKUP(J350,$G$38:$G$46,$J$38:$J$46&amp;$I$38:$I$46,,0,1)</f>
        <v>01101001</v>
      </c>
      <c r="V350" s="7" t="str" cm="1">
        <f t="array" ref="V350">_xlfn.XLOOKUP(K350,$G$38:$G$46,$J$38:$J$46&amp;$I$38:$I$46,,0,1)</f>
        <v>00110011</v>
      </c>
      <c r="W350" s="7" t="str" cm="1">
        <f t="array" ref="W350">_xlfn.XLOOKUP(L350,$G$38:$G$46,$J$38:$J$46&amp;$I$38:$I$46,,0,1)</f>
        <v>01101001</v>
      </c>
      <c r="X350" s="7" t="str" cm="1">
        <f t="array" ref="X350">_xlfn.XLOOKUP(M350,$G$38:$G$46,$J$38:$J$46&amp;$I$38:$I$46,,0,1)</f>
        <v>10100101</v>
      </c>
      <c r="Y350" s="7" t="str" cm="1">
        <f t="array" ref="Y350">_xlfn.XLOOKUP(N350,$G$38:$G$46,$J$38:$J$46&amp;$I$38:$I$46,,0,1)</f>
        <v>10100101</v>
      </c>
      <c r="Z350" s="7" t="str" cm="1">
        <f t="array" ref="Z350">_xlfn.XLOOKUP(O350,$G$38:$G$46,$J$38:$J$46&amp;$I$38:$I$46,,0,1)</f>
        <v>00110011</v>
      </c>
      <c r="AA350" s="7" t="str" cm="1">
        <f t="array" ref="AA350">_xlfn.XLOOKUP(P350,$G$38:$G$46,$J$38:$J$46&amp;$I$38:$I$46,,0,1)</f>
        <v>11001100</v>
      </c>
      <c r="AC350" s="7" t="b" cm="1">
        <f t="array" ref="AC350">NOT(OR(MID(RIGHT(R350,4),{1,2,3,4},1) = MID(LEFT(S350,4),{1,2,3,4},1)))</f>
        <v>0</v>
      </c>
      <c r="AD350" s="7" t="b" cm="1">
        <f t="array" ref="AD350">NOT(OR(MID(RIGHT(S350,4),{1,2,3,4},1) = MID(LEFT(T350,4),{1,2,3,4},1)))</f>
        <v>0</v>
      </c>
      <c r="AE350" s="7" t="b" cm="1">
        <f t="array" ref="AE350">NOT(OR(MID(RIGHT(T350,4),{1,2,3,4},1) = MID(LEFT(U350,4),{1,2,3,4},1)))</f>
        <v>1</v>
      </c>
      <c r="AF350" s="7" t="b" cm="1">
        <f t="array" ref="AF350">NOT(OR(MID(RIGHT(U350,4),{1,2,3,4},1) = MID(LEFT(V350,4),{1,2,3,4},1)))</f>
        <v>0</v>
      </c>
      <c r="AG350" s="7" t="b" cm="1">
        <f t="array" ref="AG350">NOT(OR(MID(RIGHT(V350,4),{1,2,3,4},1) = MID(LEFT(W350,4),{1,2,3,4},1)))</f>
        <v>0</v>
      </c>
      <c r="AH350" s="7" t="b" cm="1">
        <f t="array" ref="AH350">NOT(OR(MID(RIGHT(W350,4),{1,2,3,4},1) = MID(LEFT(X350,4),{1,2,3,4},1)))</f>
        <v>0</v>
      </c>
      <c r="AI350" s="7" t="b" cm="1">
        <f t="array" ref="AI350">NOT(OR(MID(RIGHT(X350,4),{1,2,3,4},1) = MID(LEFT(Y350,4),{1,2,3,4},1)))</f>
        <v>1</v>
      </c>
      <c r="AJ350" s="7" t="b" cm="1">
        <f t="array" ref="AJ350">NOT(OR(MID(RIGHT(Y350,4),{1,2,3,4},1) = MID(LEFT(Z350,4),{1,2,3,4},1)))</f>
        <v>0</v>
      </c>
      <c r="AK350" s="7" t="b" cm="1">
        <f t="array" ref="AK350">NOT(OR(MID(RIGHT(Z350,4),{1,2,3,4},1) = MID(LEFT(AA350,4),{1,2,3,4},1)))</f>
        <v>1</v>
      </c>
      <c r="AM350" s="7" cm="1">
        <f t="array" ref="AM350">SUM((--AC350:AK350) * $H$342:$P$342)</f>
        <v>22</v>
      </c>
      <c r="AQ350" s="7">
        <f t="shared" si="4"/>
        <v>3</v>
      </c>
    </row>
    <row r="351" spans="2:43" ht="24.95" customHeight="1">
      <c r="B351" s="2">
        <v>126</v>
      </c>
      <c r="C351" s="2">
        <v>7</v>
      </c>
      <c r="D351" s="3">
        <v>10</v>
      </c>
      <c r="E351" s="56">
        <v>15</v>
      </c>
      <c r="F351" s="23"/>
      <c r="G351" s="87" t="s">
        <v>47</v>
      </c>
      <c r="H351" s="87" t="s">
        <v>45</v>
      </c>
      <c r="I351" s="87" t="s">
        <v>41</v>
      </c>
      <c r="J351" s="87" t="s">
        <v>45</v>
      </c>
      <c r="K351" s="87" t="s">
        <v>45</v>
      </c>
      <c r="L351" s="87" t="s">
        <v>31</v>
      </c>
      <c r="M351" s="87" t="s">
        <v>41</v>
      </c>
      <c r="N351" s="87" t="s">
        <v>45</v>
      </c>
      <c r="O351" s="87" t="s">
        <v>34</v>
      </c>
      <c r="P351" s="87" t="s">
        <v>31</v>
      </c>
      <c r="R351" s="7" t="str" cm="1">
        <f t="array" ref="R351">_xlfn.XLOOKUP(G351,$G$38:$G$46,$J$38:$J$46&amp;$I$38:$I$46,,0,1)</f>
        <v>01011010</v>
      </c>
      <c r="S351" s="7" t="str" cm="1">
        <f t="array" ref="S351">_xlfn.XLOOKUP(H351,$G$38:$G$46,$J$38:$J$46&amp;$I$38:$I$46,,0,1)</f>
        <v>01101001</v>
      </c>
      <c r="T351" s="7" t="str" cm="1">
        <f t="array" ref="T351">_xlfn.XLOOKUP(I351,$G$38:$G$46,$J$38:$J$46&amp;$I$38:$I$46,,0,1)</f>
        <v>10010110</v>
      </c>
      <c r="U351" s="7" t="str" cm="1">
        <f t="array" ref="U351">_xlfn.XLOOKUP(J351,$G$38:$G$46,$J$38:$J$46&amp;$I$38:$I$46,,0,1)</f>
        <v>01101001</v>
      </c>
      <c r="V351" s="7" t="str" cm="1">
        <f t="array" ref="V351">_xlfn.XLOOKUP(K351,$G$38:$G$46,$J$38:$J$46&amp;$I$38:$I$46,,0,1)</f>
        <v>01101001</v>
      </c>
      <c r="W351" s="7" t="str" cm="1">
        <f t="array" ref="W351">_xlfn.XLOOKUP(L351,$G$38:$G$46,$J$38:$J$46&amp;$I$38:$I$46,,0,1)</f>
        <v>11001100</v>
      </c>
      <c r="X351" s="7" t="str" cm="1">
        <f t="array" ref="X351">_xlfn.XLOOKUP(M351,$G$38:$G$46,$J$38:$J$46&amp;$I$38:$I$46,,0,1)</f>
        <v>10010110</v>
      </c>
      <c r="Y351" s="7" t="str" cm="1">
        <f t="array" ref="Y351">_xlfn.XLOOKUP(N351,$G$38:$G$46,$J$38:$J$46&amp;$I$38:$I$46,,0,1)</f>
        <v>01101001</v>
      </c>
      <c r="Z351" s="7" t="str" cm="1">
        <f t="array" ref="Z351">_xlfn.XLOOKUP(O351,$G$38:$G$46,$J$38:$J$46&amp;$I$38:$I$46,,0,1)</f>
        <v>00110011</v>
      </c>
      <c r="AA351" s="7" t="str" cm="1">
        <f t="array" ref="AA351">_xlfn.XLOOKUP(P351,$G$38:$G$46,$J$38:$J$46&amp;$I$38:$I$46,,0,1)</f>
        <v>11001100</v>
      </c>
      <c r="AC351" s="7" t="b" cm="1">
        <f t="array" ref="AC351">NOT(OR(MID(RIGHT(R351,4),{1,2,3,4},1) = MID(LEFT(S351,4),{1,2,3,4},1)))</f>
        <v>0</v>
      </c>
      <c r="AD351" s="7" t="b" cm="1">
        <f t="array" ref="AD351">NOT(OR(MID(RIGHT(S351,4),{1,2,3,4},1) = MID(LEFT(T351,4),{1,2,3,4},1)))</f>
        <v>0</v>
      </c>
      <c r="AE351" s="7" t="b" cm="1">
        <f t="array" ref="AE351">NOT(OR(MID(RIGHT(T351,4),{1,2,3,4},1) = MID(LEFT(U351,4),{1,2,3,4},1)))</f>
        <v>0</v>
      </c>
      <c r="AF351" s="7" t="b" cm="1">
        <f t="array" ref="AF351">NOT(OR(MID(RIGHT(U351,4),{1,2,3,4},1) = MID(LEFT(V351,4),{1,2,3,4},1)))</f>
        <v>1</v>
      </c>
      <c r="AG351" s="7" t="b" cm="1">
        <f t="array" ref="AG351">NOT(OR(MID(RIGHT(V351,4),{1,2,3,4},1) = MID(LEFT(W351,4),{1,2,3,4},1)))</f>
        <v>0</v>
      </c>
      <c r="AH351" s="7" t="b" cm="1">
        <f t="array" ref="AH351">NOT(OR(MID(RIGHT(W351,4),{1,2,3,4},1) = MID(LEFT(X351,4),{1,2,3,4},1)))</f>
        <v>0</v>
      </c>
      <c r="AI351" s="7" t="b" cm="1">
        <f t="array" ref="AI351">NOT(OR(MID(RIGHT(X351,4),{1,2,3,4},1) = MID(LEFT(Y351,4),{1,2,3,4},1)))</f>
        <v>0</v>
      </c>
      <c r="AJ351" s="7" t="b" cm="1">
        <f t="array" ref="AJ351">NOT(OR(MID(RIGHT(Y351,4),{1,2,3,4},1) = MID(LEFT(Z351,4),{1,2,3,4},1)))</f>
        <v>0</v>
      </c>
      <c r="AK351" s="7" t="b" cm="1">
        <f t="array" ref="AK351">NOT(OR(MID(RIGHT(Z351,4),{1,2,3,4},1) = MID(LEFT(AA351,4),{1,2,3,4},1)))</f>
        <v>1</v>
      </c>
      <c r="AM351" s="7" cm="1">
        <f t="array" ref="AM351">SUM((--AC351:AK351) * $H$342:$P$342)</f>
        <v>15</v>
      </c>
      <c r="AQ351" s="7">
        <f t="shared" si="4"/>
        <v>2</v>
      </c>
    </row>
    <row r="352" spans="2:43" ht="24.95" customHeight="1">
      <c r="B352" s="2">
        <v>127</v>
      </c>
      <c r="C352" s="2">
        <v>7</v>
      </c>
      <c r="D352" s="3">
        <v>10</v>
      </c>
      <c r="E352" s="56">
        <v>16</v>
      </c>
      <c r="F352" s="23"/>
      <c r="G352" s="87" t="s">
        <v>45</v>
      </c>
      <c r="H352" s="87" t="s">
        <v>45</v>
      </c>
      <c r="I352" s="87" t="s">
        <v>34</v>
      </c>
      <c r="J352" s="87" t="s">
        <v>34</v>
      </c>
      <c r="K352" s="87" t="s">
        <v>41</v>
      </c>
      <c r="L352" s="87" t="s">
        <v>41</v>
      </c>
      <c r="M352" s="87" t="s">
        <v>31</v>
      </c>
      <c r="N352" s="87" t="s">
        <v>34</v>
      </c>
      <c r="O352" s="87" t="s">
        <v>47</v>
      </c>
      <c r="P352" s="87" t="s">
        <v>41</v>
      </c>
      <c r="R352" s="7" t="str" cm="1">
        <f t="array" ref="R352">_xlfn.XLOOKUP(G352,$G$38:$G$46,$J$38:$J$46&amp;$I$38:$I$46,,0,1)</f>
        <v>01101001</v>
      </c>
      <c r="S352" s="7" t="str" cm="1">
        <f t="array" ref="S352">_xlfn.XLOOKUP(H352,$G$38:$G$46,$J$38:$J$46&amp;$I$38:$I$46,,0,1)</f>
        <v>01101001</v>
      </c>
      <c r="T352" s="7" t="str" cm="1">
        <f t="array" ref="T352">_xlfn.XLOOKUP(I352,$G$38:$G$46,$J$38:$J$46&amp;$I$38:$I$46,,0,1)</f>
        <v>00110011</v>
      </c>
      <c r="U352" s="7" t="str" cm="1">
        <f t="array" ref="U352">_xlfn.XLOOKUP(J352,$G$38:$G$46,$J$38:$J$46&amp;$I$38:$I$46,,0,1)</f>
        <v>00110011</v>
      </c>
      <c r="V352" s="7" t="str" cm="1">
        <f t="array" ref="V352">_xlfn.XLOOKUP(K352,$G$38:$G$46,$J$38:$J$46&amp;$I$38:$I$46,,0,1)</f>
        <v>10010110</v>
      </c>
      <c r="W352" s="7" t="str" cm="1">
        <f t="array" ref="W352">_xlfn.XLOOKUP(L352,$G$38:$G$46,$J$38:$J$46&amp;$I$38:$I$46,,0,1)</f>
        <v>10010110</v>
      </c>
      <c r="X352" s="7" t="str" cm="1">
        <f t="array" ref="X352">_xlfn.XLOOKUP(M352,$G$38:$G$46,$J$38:$J$46&amp;$I$38:$I$46,,0,1)</f>
        <v>11001100</v>
      </c>
      <c r="Y352" s="7" t="str" cm="1">
        <f t="array" ref="Y352">_xlfn.XLOOKUP(N352,$G$38:$G$46,$J$38:$J$46&amp;$I$38:$I$46,,0,1)</f>
        <v>00110011</v>
      </c>
      <c r="Z352" s="7" t="str" cm="1">
        <f t="array" ref="Z352">_xlfn.XLOOKUP(O352,$G$38:$G$46,$J$38:$J$46&amp;$I$38:$I$46,,0,1)</f>
        <v>01011010</v>
      </c>
      <c r="AA352" s="7" t="str" cm="1">
        <f t="array" ref="AA352">_xlfn.XLOOKUP(P352,$G$38:$G$46,$J$38:$J$46&amp;$I$38:$I$46,,0,1)</f>
        <v>10010110</v>
      </c>
      <c r="AC352" s="7" t="b" cm="1">
        <f t="array" ref="AC352">NOT(OR(MID(RIGHT(R352,4),{1,2,3,4},1) = MID(LEFT(S352,4),{1,2,3,4},1)))</f>
        <v>1</v>
      </c>
      <c r="AD352" s="7" t="b" cm="1">
        <f t="array" ref="AD352">NOT(OR(MID(RIGHT(S352,4),{1,2,3,4},1) = MID(LEFT(T352,4),{1,2,3,4},1)))</f>
        <v>0</v>
      </c>
      <c r="AE352" s="7" t="b" cm="1">
        <f t="array" ref="AE352">NOT(OR(MID(RIGHT(T352,4),{1,2,3,4},1) = MID(LEFT(U352,4),{1,2,3,4},1)))</f>
        <v>0</v>
      </c>
      <c r="AF352" s="7" t="b" cm="1">
        <f t="array" ref="AF352">NOT(OR(MID(RIGHT(U352,4),{1,2,3,4},1) = MID(LEFT(V352,4),{1,2,3,4},1)))</f>
        <v>0</v>
      </c>
      <c r="AG352" s="7" t="b" cm="1">
        <f t="array" ref="AG352">NOT(OR(MID(RIGHT(V352,4),{1,2,3,4},1) = MID(LEFT(W352,4),{1,2,3,4},1)))</f>
        <v>1</v>
      </c>
      <c r="AH352" s="7" t="b" cm="1">
        <f t="array" ref="AH352">NOT(OR(MID(RIGHT(W352,4),{1,2,3,4},1) = MID(LEFT(X352,4),{1,2,3,4},1)))</f>
        <v>0</v>
      </c>
      <c r="AI352" s="7" t="b" cm="1">
        <f t="array" ref="AI352">NOT(OR(MID(RIGHT(X352,4),{1,2,3,4},1) = MID(LEFT(Y352,4),{1,2,3,4},1)))</f>
        <v>1</v>
      </c>
      <c r="AJ352" s="7" t="b" cm="1">
        <f t="array" ref="AJ352">NOT(OR(MID(RIGHT(Y352,4),{1,2,3,4},1) = MID(LEFT(Z352,4),{1,2,3,4},1)))</f>
        <v>0</v>
      </c>
      <c r="AK352" s="7" t="b" cm="1">
        <f t="array" ref="AK352">NOT(OR(MID(RIGHT(Z352,4),{1,2,3,4},1) = MID(LEFT(AA352,4),{1,2,3,4},1)))</f>
        <v>0</v>
      </c>
      <c r="AM352" s="7" cm="1">
        <f t="array" ref="AM352">SUM((--AC352:AK352) * $H$342:$P$342)</f>
        <v>16</v>
      </c>
      <c r="AQ352" s="7">
        <f t="shared" si="4"/>
        <v>3</v>
      </c>
    </row>
    <row r="353" spans="2:43" ht="24.95" customHeight="1">
      <c r="B353" s="2">
        <v>128</v>
      </c>
      <c r="C353" s="2">
        <v>7</v>
      </c>
      <c r="D353" s="3">
        <v>10</v>
      </c>
      <c r="E353" s="56">
        <v>16</v>
      </c>
      <c r="F353" s="23"/>
      <c r="G353" s="87" t="s">
        <v>47</v>
      </c>
      <c r="H353" s="87" t="s">
        <v>31</v>
      </c>
      <c r="I353" s="87" t="s">
        <v>34</v>
      </c>
      <c r="J353" s="87" t="s">
        <v>41</v>
      </c>
      <c r="K353" s="87" t="s">
        <v>41</v>
      </c>
      <c r="L353" s="87" t="s">
        <v>34</v>
      </c>
      <c r="M353" s="87" t="s">
        <v>41</v>
      </c>
      <c r="N353" s="87" t="s">
        <v>41</v>
      </c>
      <c r="O353" s="87" t="s">
        <v>45</v>
      </c>
      <c r="P353" s="87" t="s">
        <v>41</v>
      </c>
      <c r="R353" s="7" t="str" cm="1">
        <f t="array" ref="R353">_xlfn.XLOOKUP(G353,$G$38:$G$46,$J$38:$J$46&amp;$I$38:$I$46,,0,1)</f>
        <v>01011010</v>
      </c>
      <c r="S353" s="7" t="str" cm="1">
        <f t="array" ref="S353">_xlfn.XLOOKUP(H353,$G$38:$G$46,$J$38:$J$46&amp;$I$38:$I$46,,0,1)</f>
        <v>11001100</v>
      </c>
      <c r="T353" s="7" t="str" cm="1">
        <f t="array" ref="T353">_xlfn.XLOOKUP(I353,$G$38:$G$46,$J$38:$J$46&amp;$I$38:$I$46,,0,1)</f>
        <v>00110011</v>
      </c>
      <c r="U353" s="7" t="str" cm="1">
        <f t="array" ref="U353">_xlfn.XLOOKUP(J353,$G$38:$G$46,$J$38:$J$46&amp;$I$38:$I$46,,0,1)</f>
        <v>10010110</v>
      </c>
      <c r="V353" s="7" t="str" cm="1">
        <f t="array" ref="V353">_xlfn.XLOOKUP(K353,$G$38:$G$46,$J$38:$J$46&amp;$I$38:$I$46,,0,1)</f>
        <v>10010110</v>
      </c>
      <c r="W353" s="7" t="str" cm="1">
        <f t="array" ref="W353">_xlfn.XLOOKUP(L353,$G$38:$G$46,$J$38:$J$46&amp;$I$38:$I$46,,0,1)</f>
        <v>00110011</v>
      </c>
      <c r="X353" s="7" t="str" cm="1">
        <f t="array" ref="X353">_xlfn.XLOOKUP(M353,$G$38:$G$46,$J$38:$J$46&amp;$I$38:$I$46,,0,1)</f>
        <v>10010110</v>
      </c>
      <c r="Y353" s="7" t="str" cm="1">
        <f t="array" ref="Y353">_xlfn.XLOOKUP(N353,$G$38:$G$46,$J$38:$J$46&amp;$I$38:$I$46,,0,1)</f>
        <v>10010110</v>
      </c>
      <c r="Z353" s="7" t="str" cm="1">
        <f t="array" ref="Z353">_xlfn.XLOOKUP(O353,$G$38:$G$46,$J$38:$J$46&amp;$I$38:$I$46,,0,1)</f>
        <v>01101001</v>
      </c>
      <c r="AA353" s="7" t="str" cm="1">
        <f t="array" ref="AA353">_xlfn.XLOOKUP(P353,$G$38:$G$46,$J$38:$J$46&amp;$I$38:$I$46,,0,1)</f>
        <v>10010110</v>
      </c>
      <c r="AC353" s="7" t="b" cm="1">
        <f t="array" ref="AC353">NOT(OR(MID(RIGHT(R353,4),{1,2,3,4},1) = MID(LEFT(S353,4),{1,2,3,4},1)))</f>
        <v>0</v>
      </c>
      <c r="AD353" s="7" t="b" cm="1">
        <f t="array" ref="AD353">NOT(OR(MID(RIGHT(S353,4),{1,2,3,4},1) = MID(LEFT(T353,4),{1,2,3,4},1)))</f>
        <v>1</v>
      </c>
      <c r="AE353" s="7" t="b" cm="1">
        <f t="array" ref="AE353">NOT(OR(MID(RIGHT(T353,4),{1,2,3,4},1) = MID(LEFT(U353,4),{1,2,3,4},1)))</f>
        <v>0</v>
      </c>
      <c r="AF353" s="7" t="b" cm="1">
        <f t="array" ref="AF353">NOT(OR(MID(RIGHT(U353,4),{1,2,3,4},1) = MID(LEFT(V353,4),{1,2,3,4},1)))</f>
        <v>1</v>
      </c>
      <c r="AG353" s="7" t="b" cm="1">
        <f t="array" ref="AG353">NOT(OR(MID(RIGHT(V353,4),{1,2,3,4},1) = MID(LEFT(W353,4),{1,2,3,4},1)))</f>
        <v>0</v>
      </c>
      <c r="AH353" s="7" t="b" cm="1">
        <f t="array" ref="AH353">NOT(OR(MID(RIGHT(W353,4),{1,2,3,4},1) = MID(LEFT(X353,4),{1,2,3,4},1)))</f>
        <v>0</v>
      </c>
      <c r="AI353" s="7" t="b" cm="1">
        <f t="array" ref="AI353">NOT(OR(MID(RIGHT(X353,4),{1,2,3,4},1) = MID(LEFT(Y353,4),{1,2,3,4},1)))</f>
        <v>1</v>
      </c>
      <c r="AJ353" s="7" t="b" cm="1">
        <f t="array" ref="AJ353">NOT(OR(MID(RIGHT(Y353,4),{1,2,3,4},1) = MID(LEFT(Z353,4),{1,2,3,4},1)))</f>
        <v>0</v>
      </c>
      <c r="AK353" s="7" t="b" cm="1">
        <f t="array" ref="AK353">NOT(OR(MID(RIGHT(Z353,4),{1,2,3,4},1) = MID(LEFT(AA353,4),{1,2,3,4},1)))</f>
        <v>0</v>
      </c>
      <c r="AM353" s="7" cm="1">
        <f t="array" ref="AM353">SUM((--AC353:AK353) * $H$342:$P$342)</f>
        <v>16</v>
      </c>
      <c r="AQ353" s="7">
        <f t="shared" si="4"/>
        <v>3</v>
      </c>
    </row>
    <row r="354" spans="2:43" ht="24.95" customHeight="1">
      <c r="B354" s="2">
        <v>129</v>
      </c>
      <c r="C354" s="2">
        <v>7</v>
      </c>
      <c r="D354" s="3">
        <v>10</v>
      </c>
      <c r="E354" s="56">
        <v>24</v>
      </c>
      <c r="F354" s="23"/>
      <c r="G354" s="87" t="s">
        <v>34</v>
      </c>
      <c r="H354" s="87" t="s">
        <v>31</v>
      </c>
      <c r="I354" s="87" t="s">
        <v>31</v>
      </c>
      <c r="J354" s="87" t="s">
        <v>34</v>
      </c>
      <c r="K354" s="87" t="s">
        <v>47</v>
      </c>
      <c r="L354" s="87" t="s">
        <v>31</v>
      </c>
      <c r="M354" s="87" t="s">
        <v>31</v>
      </c>
      <c r="N354" s="87" t="s">
        <v>34</v>
      </c>
      <c r="O354" s="87" t="s">
        <v>47</v>
      </c>
      <c r="P354" s="87" t="s">
        <v>47</v>
      </c>
      <c r="R354" s="7" t="str" cm="1">
        <f t="array" ref="R354">_xlfn.XLOOKUP(G354,$G$38:$G$46,$J$38:$J$46&amp;$I$38:$I$46,,0,1)</f>
        <v>00110011</v>
      </c>
      <c r="S354" s="7" t="str" cm="1">
        <f t="array" ref="S354">_xlfn.XLOOKUP(H354,$G$38:$G$46,$J$38:$J$46&amp;$I$38:$I$46,,0,1)</f>
        <v>11001100</v>
      </c>
      <c r="T354" s="7" t="str" cm="1">
        <f t="array" ref="T354">_xlfn.XLOOKUP(I354,$G$38:$G$46,$J$38:$J$46&amp;$I$38:$I$46,,0,1)</f>
        <v>11001100</v>
      </c>
      <c r="U354" s="7" t="str" cm="1">
        <f t="array" ref="U354">_xlfn.XLOOKUP(J354,$G$38:$G$46,$J$38:$J$46&amp;$I$38:$I$46,,0,1)</f>
        <v>00110011</v>
      </c>
      <c r="V354" s="7" t="str" cm="1">
        <f t="array" ref="V354">_xlfn.XLOOKUP(K354,$G$38:$G$46,$J$38:$J$46&amp;$I$38:$I$46,,0,1)</f>
        <v>01011010</v>
      </c>
      <c r="W354" s="7" t="str" cm="1">
        <f t="array" ref="W354">_xlfn.XLOOKUP(L354,$G$38:$G$46,$J$38:$J$46&amp;$I$38:$I$46,,0,1)</f>
        <v>11001100</v>
      </c>
      <c r="X354" s="7" t="str" cm="1">
        <f t="array" ref="X354">_xlfn.XLOOKUP(M354,$G$38:$G$46,$J$38:$J$46&amp;$I$38:$I$46,,0,1)</f>
        <v>11001100</v>
      </c>
      <c r="Y354" s="7" t="str" cm="1">
        <f t="array" ref="Y354">_xlfn.XLOOKUP(N354,$G$38:$G$46,$J$38:$J$46&amp;$I$38:$I$46,,0,1)</f>
        <v>00110011</v>
      </c>
      <c r="Z354" s="7" t="str" cm="1">
        <f t="array" ref="Z354">_xlfn.XLOOKUP(O354,$G$38:$G$46,$J$38:$J$46&amp;$I$38:$I$46,,0,1)</f>
        <v>01011010</v>
      </c>
      <c r="AA354" s="7" t="str" cm="1">
        <f t="array" ref="AA354">_xlfn.XLOOKUP(P354,$G$38:$G$46,$J$38:$J$46&amp;$I$38:$I$46,,0,1)</f>
        <v>01011010</v>
      </c>
      <c r="AC354" s="7" t="b" cm="1">
        <f t="array" ref="AC354">NOT(OR(MID(RIGHT(R354,4),{1,2,3,4},1) = MID(LEFT(S354,4),{1,2,3,4},1)))</f>
        <v>1</v>
      </c>
      <c r="AD354" s="7" t="b" cm="1">
        <f t="array" ref="AD354">NOT(OR(MID(RIGHT(S354,4),{1,2,3,4},1) = MID(LEFT(T354,4),{1,2,3,4},1)))</f>
        <v>0</v>
      </c>
      <c r="AE354" s="7" t="b" cm="1">
        <f t="array" ref="AE354">NOT(OR(MID(RIGHT(T354,4),{1,2,3,4},1) = MID(LEFT(U354,4),{1,2,3,4},1)))</f>
        <v>1</v>
      </c>
      <c r="AF354" s="7" t="b" cm="1">
        <f t="array" ref="AF354">NOT(OR(MID(RIGHT(U354,4),{1,2,3,4},1) = MID(LEFT(V354,4),{1,2,3,4},1)))</f>
        <v>0</v>
      </c>
      <c r="AG354" s="7" t="b" cm="1">
        <f t="array" ref="AG354">NOT(OR(MID(RIGHT(V354,4),{1,2,3,4},1) = MID(LEFT(W354,4),{1,2,3,4},1)))</f>
        <v>0</v>
      </c>
      <c r="AH354" s="7" t="b" cm="1">
        <f t="array" ref="AH354">NOT(OR(MID(RIGHT(W354,4),{1,2,3,4},1) = MID(LEFT(X354,4),{1,2,3,4},1)))</f>
        <v>0</v>
      </c>
      <c r="AI354" s="7" t="b" cm="1">
        <f t="array" ref="AI354">NOT(OR(MID(RIGHT(X354,4),{1,2,3,4},1) = MID(LEFT(Y354,4),{1,2,3,4},1)))</f>
        <v>1</v>
      </c>
      <c r="AJ354" s="7" t="b" cm="1">
        <f t="array" ref="AJ354">NOT(OR(MID(RIGHT(Y354,4),{1,2,3,4},1) = MID(LEFT(Z354,4),{1,2,3,4},1)))</f>
        <v>0</v>
      </c>
      <c r="AK354" s="7" t="b" cm="1">
        <f t="array" ref="AK354">NOT(OR(MID(RIGHT(Z354,4),{1,2,3,4},1) = MID(LEFT(AA354,4),{1,2,3,4},1)))</f>
        <v>1</v>
      </c>
      <c r="AM354" s="7" cm="1">
        <f t="array" ref="AM354">SUM((--AC354:AK354) * $H$342:$P$342)</f>
        <v>24</v>
      </c>
      <c r="AQ354" s="7">
        <f t="shared" si="4"/>
        <v>4</v>
      </c>
    </row>
    <row r="355" spans="2:43" ht="24.95" customHeight="1">
      <c r="B355" s="2">
        <v>130</v>
      </c>
      <c r="C355" s="2">
        <v>7</v>
      </c>
      <c r="D355" s="3">
        <v>10</v>
      </c>
      <c r="E355" s="56">
        <v>12</v>
      </c>
      <c r="F355" s="23"/>
      <c r="G355" s="87" t="s">
        <v>31</v>
      </c>
      <c r="H355" s="87" t="s">
        <v>31</v>
      </c>
      <c r="I355" s="87" t="s">
        <v>37</v>
      </c>
      <c r="J355" s="87" t="s">
        <v>37</v>
      </c>
      <c r="K355" s="87" t="s">
        <v>31</v>
      </c>
      <c r="L355" s="87" t="s">
        <v>47</v>
      </c>
      <c r="M355" s="87" t="s">
        <v>45</v>
      </c>
      <c r="N355" s="87" t="s">
        <v>45</v>
      </c>
      <c r="O355" s="87" t="s">
        <v>34</v>
      </c>
      <c r="P355" s="87" t="s">
        <v>47</v>
      </c>
      <c r="R355" s="7" t="str" cm="1">
        <f t="array" ref="R355">_xlfn.XLOOKUP(G355,$G$38:$G$46,$J$38:$J$46&amp;$I$38:$I$46,,0,1)</f>
        <v>11001100</v>
      </c>
      <c r="S355" s="7" t="str" cm="1">
        <f t="array" ref="S355">_xlfn.XLOOKUP(H355,$G$38:$G$46,$J$38:$J$46&amp;$I$38:$I$46,,0,1)</f>
        <v>11001100</v>
      </c>
      <c r="T355" s="7" t="str" cm="1">
        <f t="array" ref="T355">_xlfn.XLOOKUP(I355,$G$38:$G$46,$J$38:$J$46&amp;$I$38:$I$46,,0,1)</f>
        <v>10100101</v>
      </c>
      <c r="U355" s="7" t="str" cm="1">
        <f t="array" ref="U355">_xlfn.XLOOKUP(J355,$G$38:$G$46,$J$38:$J$46&amp;$I$38:$I$46,,0,1)</f>
        <v>10100101</v>
      </c>
      <c r="V355" s="7" t="str" cm="1">
        <f t="array" ref="V355">_xlfn.XLOOKUP(K355,$G$38:$G$46,$J$38:$J$46&amp;$I$38:$I$46,,0,1)</f>
        <v>11001100</v>
      </c>
      <c r="W355" s="7" t="str" cm="1">
        <f t="array" ref="W355">_xlfn.XLOOKUP(L355,$G$38:$G$46,$J$38:$J$46&amp;$I$38:$I$46,,0,1)</f>
        <v>01011010</v>
      </c>
      <c r="X355" s="7" t="str" cm="1">
        <f t="array" ref="X355">_xlfn.XLOOKUP(M355,$G$38:$G$46,$J$38:$J$46&amp;$I$38:$I$46,,0,1)</f>
        <v>01101001</v>
      </c>
      <c r="Y355" s="7" t="str" cm="1">
        <f t="array" ref="Y355">_xlfn.XLOOKUP(N355,$G$38:$G$46,$J$38:$J$46&amp;$I$38:$I$46,,0,1)</f>
        <v>01101001</v>
      </c>
      <c r="Z355" s="7" t="str" cm="1">
        <f t="array" ref="Z355">_xlfn.XLOOKUP(O355,$G$38:$G$46,$J$38:$J$46&amp;$I$38:$I$46,,0,1)</f>
        <v>00110011</v>
      </c>
      <c r="AA355" s="7" t="str" cm="1">
        <f t="array" ref="AA355">_xlfn.XLOOKUP(P355,$G$38:$G$46,$J$38:$J$46&amp;$I$38:$I$46,,0,1)</f>
        <v>01011010</v>
      </c>
      <c r="AC355" s="7" t="b" cm="1">
        <f t="array" ref="AC355">NOT(OR(MID(RIGHT(R355,4),{1,2,3,4},1) = MID(LEFT(S355,4),{1,2,3,4},1)))</f>
        <v>0</v>
      </c>
      <c r="AD355" s="7" t="b" cm="1">
        <f t="array" ref="AD355">NOT(OR(MID(RIGHT(S355,4),{1,2,3,4},1) = MID(LEFT(T355,4),{1,2,3,4},1)))</f>
        <v>0</v>
      </c>
      <c r="AE355" s="7" t="b" cm="1">
        <f t="array" ref="AE355">NOT(OR(MID(RIGHT(T355,4),{1,2,3,4},1) = MID(LEFT(U355,4),{1,2,3,4},1)))</f>
        <v>1</v>
      </c>
      <c r="AF355" s="7" t="b" cm="1">
        <f t="array" ref="AF355">NOT(OR(MID(RIGHT(U355,4),{1,2,3,4},1) = MID(LEFT(V355,4),{1,2,3,4},1)))</f>
        <v>0</v>
      </c>
      <c r="AG355" s="7" t="b" cm="1">
        <f t="array" ref="AG355">NOT(OR(MID(RIGHT(V355,4),{1,2,3,4},1) = MID(LEFT(W355,4),{1,2,3,4},1)))</f>
        <v>0</v>
      </c>
      <c r="AH355" s="7" t="b" cm="1">
        <f t="array" ref="AH355">NOT(OR(MID(RIGHT(W355,4),{1,2,3,4},1) = MID(LEFT(X355,4),{1,2,3,4},1)))</f>
        <v>0</v>
      </c>
      <c r="AI355" s="7" t="b" cm="1">
        <f t="array" ref="AI355">NOT(OR(MID(RIGHT(X355,4),{1,2,3,4},1) = MID(LEFT(Y355,4),{1,2,3,4},1)))</f>
        <v>1</v>
      </c>
      <c r="AJ355" s="7" t="b" cm="1">
        <f t="array" ref="AJ355">NOT(OR(MID(RIGHT(Y355,4),{1,2,3,4},1) = MID(LEFT(Z355,4),{1,2,3,4},1)))</f>
        <v>0</v>
      </c>
      <c r="AK355" s="7" t="b" cm="1">
        <f t="array" ref="AK355">NOT(OR(MID(RIGHT(Z355,4),{1,2,3,4},1) = MID(LEFT(AA355,4),{1,2,3,4},1)))</f>
        <v>0</v>
      </c>
      <c r="AM355" s="7" cm="1">
        <f t="array" ref="AM355">SUM((--AC355:AK355) * $H$342:$P$342)</f>
        <v>12</v>
      </c>
      <c r="AQ355" s="7">
        <f t="shared" si="4"/>
        <v>2</v>
      </c>
    </row>
    <row r="356" spans="2:43" ht="24.95" customHeight="1">
      <c r="B356" s="2">
        <v>131</v>
      </c>
      <c r="C356" s="2">
        <v>7</v>
      </c>
      <c r="D356" s="3">
        <v>10</v>
      </c>
      <c r="E356" s="56">
        <v>4</v>
      </c>
      <c r="F356" s="23"/>
      <c r="G356" s="87" t="s">
        <v>45</v>
      </c>
      <c r="H356" s="87" t="s">
        <v>31</v>
      </c>
      <c r="I356" s="87" t="s">
        <v>45</v>
      </c>
      <c r="J356" s="87" t="s">
        <v>45</v>
      </c>
      <c r="K356" s="87" t="s">
        <v>41</v>
      </c>
      <c r="L356" s="87" t="s">
        <v>45</v>
      </c>
      <c r="M356" s="87" t="s">
        <v>41</v>
      </c>
      <c r="N356" s="87" t="s">
        <v>31</v>
      </c>
      <c r="O356" s="87" t="s">
        <v>45</v>
      </c>
      <c r="P356" s="87" t="s">
        <v>37</v>
      </c>
      <c r="R356" s="7" t="str" cm="1">
        <f t="array" ref="R356">_xlfn.XLOOKUP(G356,$G$38:$G$46,$J$38:$J$46&amp;$I$38:$I$46,,0,1)</f>
        <v>01101001</v>
      </c>
      <c r="S356" s="7" t="str" cm="1">
        <f t="array" ref="S356">_xlfn.XLOOKUP(H356,$G$38:$G$46,$J$38:$J$46&amp;$I$38:$I$46,,0,1)</f>
        <v>11001100</v>
      </c>
      <c r="T356" s="7" t="str" cm="1">
        <f t="array" ref="T356">_xlfn.XLOOKUP(I356,$G$38:$G$46,$J$38:$J$46&amp;$I$38:$I$46,,0,1)</f>
        <v>01101001</v>
      </c>
      <c r="U356" s="7" t="str" cm="1">
        <f t="array" ref="U356">_xlfn.XLOOKUP(J356,$G$38:$G$46,$J$38:$J$46&amp;$I$38:$I$46,,0,1)</f>
        <v>01101001</v>
      </c>
      <c r="V356" s="7" t="str" cm="1">
        <f t="array" ref="V356">_xlfn.XLOOKUP(K356,$G$38:$G$46,$J$38:$J$46&amp;$I$38:$I$46,,0,1)</f>
        <v>10010110</v>
      </c>
      <c r="W356" s="7" t="str" cm="1">
        <f t="array" ref="W356">_xlfn.XLOOKUP(L356,$G$38:$G$46,$J$38:$J$46&amp;$I$38:$I$46,,0,1)</f>
        <v>01101001</v>
      </c>
      <c r="X356" s="7" t="str" cm="1">
        <f t="array" ref="X356">_xlfn.XLOOKUP(M356,$G$38:$G$46,$J$38:$J$46&amp;$I$38:$I$46,,0,1)</f>
        <v>10010110</v>
      </c>
      <c r="Y356" s="7" t="str" cm="1">
        <f t="array" ref="Y356">_xlfn.XLOOKUP(N356,$G$38:$G$46,$J$38:$J$46&amp;$I$38:$I$46,,0,1)</f>
        <v>11001100</v>
      </c>
      <c r="Z356" s="7" t="str" cm="1">
        <f t="array" ref="Z356">_xlfn.XLOOKUP(O356,$G$38:$G$46,$J$38:$J$46&amp;$I$38:$I$46,,0,1)</f>
        <v>01101001</v>
      </c>
      <c r="AA356" s="7" t="str" cm="1">
        <f t="array" ref="AA356">_xlfn.XLOOKUP(P356,$G$38:$G$46,$J$38:$J$46&amp;$I$38:$I$46,,0,1)</f>
        <v>10100101</v>
      </c>
      <c r="AC356" s="7" t="b" cm="1">
        <f t="array" ref="AC356">NOT(OR(MID(RIGHT(R356,4),{1,2,3,4},1) = MID(LEFT(S356,4),{1,2,3,4},1)))</f>
        <v>0</v>
      </c>
      <c r="AD356" s="7" t="b" cm="1">
        <f t="array" ref="AD356">NOT(OR(MID(RIGHT(S356,4),{1,2,3,4},1) = MID(LEFT(T356,4),{1,2,3,4},1)))</f>
        <v>0</v>
      </c>
      <c r="AE356" s="7" t="b" cm="1">
        <f t="array" ref="AE356">NOT(OR(MID(RIGHT(T356,4),{1,2,3,4},1) = MID(LEFT(U356,4),{1,2,3,4},1)))</f>
        <v>1</v>
      </c>
      <c r="AF356" s="7" t="b" cm="1">
        <f t="array" ref="AF356">NOT(OR(MID(RIGHT(U356,4),{1,2,3,4},1) = MID(LEFT(V356,4),{1,2,3,4},1)))</f>
        <v>0</v>
      </c>
      <c r="AG356" s="7" t="b" cm="1">
        <f t="array" ref="AG356">NOT(OR(MID(RIGHT(V356,4),{1,2,3,4},1) = MID(LEFT(W356,4),{1,2,3,4},1)))</f>
        <v>0</v>
      </c>
      <c r="AH356" s="7" t="b" cm="1">
        <f t="array" ref="AH356">NOT(OR(MID(RIGHT(W356,4),{1,2,3,4},1) = MID(LEFT(X356,4),{1,2,3,4},1)))</f>
        <v>0</v>
      </c>
      <c r="AI356" s="7" t="b" cm="1">
        <f t="array" ref="AI356">NOT(OR(MID(RIGHT(X356,4),{1,2,3,4},1) = MID(LEFT(Y356,4),{1,2,3,4},1)))</f>
        <v>0</v>
      </c>
      <c r="AJ356" s="7" t="b" cm="1">
        <f t="array" ref="AJ356">NOT(OR(MID(RIGHT(Y356,4),{1,2,3,4},1) = MID(LEFT(Z356,4),{1,2,3,4},1)))</f>
        <v>0</v>
      </c>
      <c r="AK356" s="7" t="b" cm="1">
        <f t="array" ref="AK356">NOT(OR(MID(RIGHT(Z356,4),{1,2,3,4},1) = MID(LEFT(AA356,4),{1,2,3,4},1)))</f>
        <v>0</v>
      </c>
      <c r="AM356" s="7" cm="1">
        <f t="array" ref="AM356">SUM((--AC356:AK356) * $H$342:$P$342)</f>
        <v>4</v>
      </c>
      <c r="AQ356" s="7">
        <f t="shared" si="4"/>
        <v>1</v>
      </c>
    </row>
    <row r="357" spans="2:43" ht="24.95" customHeight="1">
      <c r="B357" s="2">
        <v>132</v>
      </c>
      <c r="C357" s="2">
        <v>7</v>
      </c>
      <c r="D357" s="3">
        <v>10</v>
      </c>
      <c r="E357" s="56">
        <v>18</v>
      </c>
      <c r="F357" s="23"/>
      <c r="G357" s="87" t="s">
        <v>47</v>
      </c>
      <c r="H357" s="87" t="s">
        <v>41</v>
      </c>
      <c r="I357" s="87" t="s">
        <v>41</v>
      </c>
      <c r="J357" s="87" t="s">
        <v>47</v>
      </c>
      <c r="K357" s="87" t="s">
        <v>31</v>
      </c>
      <c r="L357" s="87" t="s">
        <v>34</v>
      </c>
      <c r="M357" s="87" t="s">
        <v>37</v>
      </c>
      <c r="N357" s="87" t="s">
        <v>45</v>
      </c>
      <c r="O357" s="87" t="s">
        <v>45</v>
      </c>
      <c r="P357" s="87" t="s">
        <v>31</v>
      </c>
      <c r="R357" s="7" t="str" cm="1">
        <f t="array" ref="R357">_xlfn.XLOOKUP(G357,$G$38:$G$46,$J$38:$J$46&amp;$I$38:$I$46,,0,1)</f>
        <v>01011010</v>
      </c>
      <c r="S357" s="7" t="str" cm="1">
        <f t="array" ref="S357">_xlfn.XLOOKUP(H357,$G$38:$G$46,$J$38:$J$46&amp;$I$38:$I$46,,0,1)</f>
        <v>10010110</v>
      </c>
      <c r="T357" s="7" t="str" cm="1">
        <f t="array" ref="T357">_xlfn.XLOOKUP(I357,$G$38:$G$46,$J$38:$J$46&amp;$I$38:$I$46,,0,1)</f>
        <v>10010110</v>
      </c>
      <c r="U357" s="7" t="str" cm="1">
        <f t="array" ref="U357">_xlfn.XLOOKUP(J357,$G$38:$G$46,$J$38:$J$46&amp;$I$38:$I$46,,0,1)</f>
        <v>01011010</v>
      </c>
      <c r="V357" s="7" t="str" cm="1">
        <f t="array" ref="V357">_xlfn.XLOOKUP(K357,$G$38:$G$46,$J$38:$J$46&amp;$I$38:$I$46,,0,1)</f>
        <v>11001100</v>
      </c>
      <c r="W357" s="7" t="str" cm="1">
        <f t="array" ref="W357">_xlfn.XLOOKUP(L357,$G$38:$G$46,$J$38:$J$46&amp;$I$38:$I$46,,0,1)</f>
        <v>00110011</v>
      </c>
      <c r="X357" s="7" t="str" cm="1">
        <f t="array" ref="X357">_xlfn.XLOOKUP(M357,$G$38:$G$46,$J$38:$J$46&amp;$I$38:$I$46,,0,1)</f>
        <v>10100101</v>
      </c>
      <c r="Y357" s="7" t="str" cm="1">
        <f t="array" ref="Y357">_xlfn.XLOOKUP(N357,$G$38:$G$46,$J$38:$J$46&amp;$I$38:$I$46,,0,1)</f>
        <v>01101001</v>
      </c>
      <c r="Z357" s="7" t="str" cm="1">
        <f t="array" ref="Z357">_xlfn.XLOOKUP(O357,$G$38:$G$46,$J$38:$J$46&amp;$I$38:$I$46,,0,1)</f>
        <v>01101001</v>
      </c>
      <c r="AA357" s="7" t="str" cm="1">
        <f t="array" ref="AA357">_xlfn.XLOOKUP(P357,$G$38:$G$46,$J$38:$J$46&amp;$I$38:$I$46,,0,1)</f>
        <v>11001100</v>
      </c>
      <c r="AC357" s="7" t="b" cm="1">
        <f t="array" ref="AC357">NOT(OR(MID(RIGHT(R357,4),{1,2,3,4},1) = MID(LEFT(S357,4),{1,2,3,4},1)))</f>
        <v>0</v>
      </c>
      <c r="AD357" s="7" t="b" cm="1">
        <f t="array" ref="AD357">NOT(OR(MID(RIGHT(S357,4),{1,2,3,4},1) = MID(LEFT(T357,4),{1,2,3,4},1)))</f>
        <v>1</v>
      </c>
      <c r="AE357" s="7" t="b" cm="1">
        <f t="array" ref="AE357">NOT(OR(MID(RIGHT(T357,4),{1,2,3,4},1) = MID(LEFT(U357,4),{1,2,3,4},1)))</f>
        <v>0</v>
      </c>
      <c r="AF357" s="7" t="b" cm="1">
        <f t="array" ref="AF357">NOT(OR(MID(RIGHT(U357,4),{1,2,3,4},1) = MID(LEFT(V357,4),{1,2,3,4},1)))</f>
        <v>0</v>
      </c>
      <c r="AG357" s="7" t="b" cm="1">
        <f t="array" ref="AG357">NOT(OR(MID(RIGHT(V357,4),{1,2,3,4},1) = MID(LEFT(W357,4),{1,2,3,4},1)))</f>
        <v>1</v>
      </c>
      <c r="AH357" s="7" t="b" cm="1">
        <f t="array" ref="AH357">NOT(OR(MID(RIGHT(W357,4),{1,2,3,4},1) = MID(LEFT(X357,4),{1,2,3,4},1)))</f>
        <v>0</v>
      </c>
      <c r="AI357" s="7" t="b" cm="1">
        <f t="array" ref="AI357">NOT(OR(MID(RIGHT(X357,4),{1,2,3,4},1) = MID(LEFT(Y357,4),{1,2,3,4},1)))</f>
        <v>0</v>
      </c>
      <c r="AJ357" s="7" t="b" cm="1">
        <f t="array" ref="AJ357">NOT(OR(MID(RIGHT(Y357,4),{1,2,3,4},1) = MID(LEFT(Z357,4),{1,2,3,4},1)))</f>
        <v>1</v>
      </c>
      <c r="AK357" s="7" t="b" cm="1">
        <f t="array" ref="AK357">NOT(OR(MID(RIGHT(Z357,4),{1,2,3,4},1) = MID(LEFT(AA357,4),{1,2,3,4},1)))</f>
        <v>0</v>
      </c>
      <c r="AM357" s="7" cm="1">
        <f t="array" ref="AM357">SUM((--AC357:AK357) * $H$342:$P$342)</f>
        <v>18</v>
      </c>
      <c r="AQ357" s="7">
        <f t="shared" si="4"/>
        <v>3</v>
      </c>
    </row>
    <row r="358" spans="2:43" ht="24.95" customHeight="1">
      <c r="B358" s="2">
        <v>133</v>
      </c>
      <c r="C358" s="2">
        <v>7</v>
      </c>
      <c r="D358" s="3">
        <v>10</v>
      </c>
      <c r="E358" s="56">
        <v>16</v>
      </c>
      <c r="F358" s="23"/>
      <c r="G358" s="87" t="s">
        <v>45</v>
      </c>
      <c r="H358" s="87" t="s">
        <v>45</v>
      </c>
      <c r="I358" s="87" t="s">
        <v>41</v>
      </c>
      <c r="J358" s="87" t="s">
        <v>31</v>
      </c>
      <c r="K358" s="87" t="s">
        <v>34</v>
      </c>
      <c r="L358" s="87" t="s">
        <v>47</v>
      </c>
      <c r="M358" s="87" t="s">
        <v>45</v>
      </c>
      <c r="N358" s="87" t="s">
        <v>37</v>
      </c>
      <c r="O358" s="87" t="s">
        <v>37</v>
      </c>
      <c r="P358" s="87" t="s">
        <v>34</v>
      </c>
      <c r="R358" s="7" t="str" cm="1">
        <f t="array" ref="R358">_xlfn.XLOOKUP(G358,$G$38:$G$46,$J$38:$J$46&amp;$I$38:$I$46,,0,1)</f>
        <v>01101001</v>
      </c>
      <c r="S358" s="7" t="str" cm="1">
        <f t="array" ref="S358">_xlfn.XLOOKUP(H358,$G$38:$G$46,$J$38:$J$46&amp;$I$38:$I$46,,0,1)</f>
        <v>01101001</v>
      </c>
      <c r="T358" s="7" t="str" cm="1">
        <f t="array" ref="T358">_xlfn.XLOOKUP(I358,$G$38:$G$46,$J$38:$J$46&amp;$I$38:$I$46,,0,1)</f>
        <v>10010110</v>
      </c>
      <c r="U358" s="7" t="str" cm="1">
        <f t="array" ref="U358">_xlfn.XLOOKUP(J358,$G$38:$G$46,$J$38:$J$46&amp;$I$38:$I$46,,0,1)</f>
        <v>11001100</v>
      </c>
      <c r="V358" s="7" t="str" cm="1">
        <f t="array" ref="V358">_xlfn.XLOOKUP(K358,$G$38:$G$46,$J$38:$J$46&amp;$I$38:$I$46,,0,1)</f>
        <v>00110011</v>
      </c>
      <c r="W358" s="7" t="str" cm="1">
        <f t="array" ref="W358">_xlfn.XLOOKUP(L358,$G$38:$G$46,$J$38:$J$46&amp;$I$38:$I$46,,0,1)</f>
        <v>01011010</v>
      </c>
      <c r="X358" s="7" t="str" cm="1">
        <f t="array" ref="X358">_xlfn.XLOOKUP(M358,$G$38:$G$46,$J$38:$J$46&amp;$I$38:$I$46,,0,1)</f>
        <v>01101001</v>
      </c>
      <c r="Y358" s="7" t="str" cm="1">
        <f t="array" ref="Y358">_xlfn.XLOOKUP(N358,$G$38:$G$46,$J$38:$J$46&amp;$I$38:$I$46,,0,1)</f>
        <v>10100101</v>
      </c>
      <c r="Z358" s="7" t="str" cm="1">
        <f t="array" ref="Z358">_xlfn.XLOOKUP(O358,$G$38:$G$46,$J$38:$J$46&amp;$I$38:$I$46,,0,1)</f>
        <v>10100101</v>
      </c>
      <c r="AA358" s="7" t="str" cm="1">
        <f t="array" ref="AA358">_xlfn.XLOOKUP(P358,$G$38:$G$46,$J$38:$J$46&amp;$I$38:$I$46,,0,1)</f>
        <v>00110011</v>
      </c>
      <c r="AC358" s="7" t="b" cm="1">
        <f t="array" ref="AC358">NOT(OR(MID(RIGHT(R358,4),{1,2,3,4},1) = MID(LEFT(S358,4),{1,2,3,4},1)))</f>
        <v>1</v>
      </c>
      <c r="AD358" s="7" t="b" cm="1">
        <f t="array" ref="AD358">NOT(OR(MID(RIGHT(S358,4),{1,2,3,4},1) = MID(LEFT(T358,4),{1,2,3,4},1)))</f>
        <v>0</v>
      </c>
      <c r="AE358" s="7" t="b" cm="1">
        <f t="array" ref="AE358">NOT(OR(MID(RIGHT(T358,4),{1,2,3,4},1) = MID(LEFT(U358,4),{1,2,3,4},1)))</f>
        <v>0</v>
      </c>
      <c r="AF358" s="7" t="b" cm="1">
        <f t="array" ref="AF358">NOT(OR(MID(RIGHT(U358,4),{1,2,3,4},1) = MID(LEFT(V358,4),{1,2,3,4},1)))</f>
        <v>1</v>
      </c>
      <c r="AG358" s="7" t="b" cm="1">
        <f t="array" ref="AG358">NOT(OR(MID(RIGHT(V358,4),{1,2,3,4},1) = MID(LEFT(W358,4),{1,2,3,4},1)))</f>
        <v>0</v>
      </c>
      <c r="AH358" s="7" t="b" cm="1">
        <f t="array" ref="AH358">NOT(OR(MID(RIGHT(W358,4),{1,2,3,4},1) = MID(LEFT(X358,4),{1,2,3,4},1)))</f>
        <v>0</v>
      </c>
      <c r="AI358" s="7" t="b" cm="1">
        <f t="array" ref="AI358">NOT(OR(MID(RIGHT(X358,4),{1,2,3,4},1) = MID(LEFT(Y358,4),{1,2,3,4},1)))</f>
        <v>0</v>
      </c>
      <c r="AJ358" s="7" t="b" cm="1">
        <f t="array" ref="AJ358">NOT(OR(MID(RIGHT(Y358,4),{1,2,3,4},1) = MID(LEFT(Z358,4),{1,2,3,4},1)))</f>
        <v>1</v>
      </c>
      <c r="AK358" s="7" t="b" cm="1">
        <f t="array" ref="AK358">NOT(OR(MID(RIGHT(Z358,4),{1,2,3,4},1) = MID(LEFT(AA358,4),{1,2,3,4},1)))</f>
        <v>0</v>
      </c>
      <c r="AM358" s="7" cm="1">
        <f t="array" ref="AM358">SUM((--AC358:AK358) * $H$342:$P$342)</f>
        <v>16</v>
      </c>
      <c r="AQ358" s="7">
        <f t="shared" si="4"/>
        <v>3</v>
      </c>
    </row>
    <row r="359" spans="2:43" ht="24.95" customHeight="1">
      <c r="B359" s="2">
        <v>134</v>
      </c>
      <c r="C359" s="2">
        <v>7</v>
      </c>
      <c r="D359" s="3">
        <v>10</v>
      </c>
      <c r="E359" s="56">
        <v>5</v>
      </c>
      <c r="F359" s="23"/>
      <c r="G359" s="87" t="s">
        <v>45</v>
      </c>
      <c r="H359" s="87" t="s">
        <v>41</v>
      </c>
      <c r="I359" s="87" t="s">
        <v>34</v>
      </c>
      <c r="J359" s="87" t="s">
        <v>45</v>
      </c>
      <c r="K359" s="87" t="s">
        <v>45</v>
      </c>
      <c r="L359" s="87" t="s">
        <v>41</v>
      </c>
      <c r="M359" s="87" t="s">
        <v>31</v>
      </c>
      <c r="N359" s="87" t="s">
        <v>47</v>
      </c>
      <c r="O359" s="87" t="s">
        <v>45</v>
      </c>
      <c r="P359" s="87" t="s">
        <v>37</v>
      </c>
      <c r="R359" s="7" t="str" cm="1">
        <f t="array" ref="R359">_xlfn.XLOOKUP(G359,$G$38:$G$46,$J$38:$J$46&amp;$I$38:$I$46,,0,1)</f>
        <v>01101001</v>
      </c>
      <c r="S359" s="7" t="str" cm="1">
        <f t="array" ref="S359">_xlfn.XLOOKUP(H359,$G$38:$G$46,$J$38:$J$46&amp;$I$38:$I$46,,0,1)</f>
        <v>10010110</v>
      </c>
      <c r="T359" s="7" t="str" cm="1">
        <f t="array" ref="T359">_xlfn.XLOOKUP(I359,$G$38:$G$46,$J$38:$J$46&amp;$I$38:$I$46,,0,1)</f>
        <v>00110011</v>
      </c>
      <c r="U359" s="7" t="str" cm="1">
        <f t="array" ref="U359">_xlfn.XLOOKUP(J359,$G$38:$G$46,$J$38:$J$46&amp;$I$38:$I$46,,0,1)</f>
        <v>01101001</v>
      </c>
      <c r="V359" s="7" t="str" cm="1">
        <f t="array" ref="V359">_xlfn.XLOOKUP(K359,$G$38:$G$46,$J$38:$J$46&amp;$I$38:$I$46,,0,1)</f>
        <v>01101001</v>
      </c>
      <c r="W359" s="7" t="str" cm="1">
        <f t="array" ref="W359">_xlfn.XLOOKUP(L359,$G$38:$G$46,$J$38:$J$46&amp;$I$38:$I$46,,0,1)</f>
        <v>10010110</v>
      </c>
      <c r="X359" s="7" t="str" cm="1">
        <f t="array" ref="X359">_xlfn.XLOOKUP(M359,$G$38:$G$46,$J$38:$J$46&amp;$I$38:$I$46,,0,1)</f>
        <v>11001100</v>
      </c>
      <c r="Y359" s="7" t="str" cm="1">
        <f t="array" ref="Y359">_xlfn.XLOOKUP(N359,$G$38:$G$46,$J$38:$J$46&amp;$I$38:$I$46,,0,1)</f>
        <v>01011010</v>
      </c>
      <c r="Z359" s="7" t="str" cm="1">
        <f t="array" ref="Z359">_xlfn.XLOOKUP(O359,$G$38:$G$46,$J$38:$J$46&amp;$I$38:$I$46,,0,1)</f>
        <v>01101001</v>
      </c>
      <c r="AA359" s="7" t="str" cm="1">
        <f t="array" ref="AA359">_xlfn.XLOOKUP(P359,$G$38:$G$46,$J$38:$J$46&amp;$I$38:$I$46,,0,1)</f>
        <v>10100101</v>
      </c>
      <c r="AC359" s="7" t="b" cm="1">
        <f t="array" ref="AC359">NOT(OR(MID(RIGHT(R359,4),{1,2,3,4},1) = MID(LEFT(S359,4),{1,2,3,4},1)))</f>
        <v>0</v>
      </c>
      <c r="AD359" s="7" t="b" cm="1">
        <f t="array" ref="AD359">NOT(OR(MID(RIGHT(S359,4),{1,2,3,4},1) = MID(LEFT(T359,4),{1,2,3,4},1)))</f>
        <v>0</v>
      </c>
      <c r="AE359" s="7" t="b" cm="1">
        <f t="array" ref="AE359">NOT(OR(MID(RIGHT(T359,4),{1,2,3,4},1) = MID(LEFT(U359,4),{1,2,3,4},1)))</f>
        <v>0</v>
      </c>
      <c r="AF359" s="7" t="b" cm="1">
        <f t="array" ref="AF359">NOT(OR(MID(RIGHT(U359,4),{1,2,3,4},1) = MID(LEFT(V359,4),{1,2,3,4},1)))</f>
        <v>1</v>
      </c>
      <c r="AG359" s="7" t="b" cm="1">
        <f t="array" ref="AG359">NOT(OR(MID(RIGHT(V359,4),{1,2,3,4},1) = MID(LEFT(W359,4),{1,2,3,4},1)))</f>
        <v>0</v>
      </c>
      <c r="AH359" s="7" t="b" cm="1">
        <f t="array" ref="AH359">NOT(OR(MID(RIGHT(W359,4),{1,2,3,4},1) = MID(LEFT(X359,4),{1,2,3,4},1)))</f>
        <v>0</v>
      </c>
      <c r="AI359" s="7" t="b" cm="1">
        <f t="array" ref="AI359">NOT(OR(MID(RIGHT(X359,4),{1,2,3,4},1) = MID(LEFT(Y359,4),{1,2,3,4},1)))</f>
        <v>0</v>
      </c>
      <c r="AJ359" s="7" t="b" cm="1">
        <f t="array" ref="AJ359">NOT(OR(MID(RIGHT(Y359,4),{1,2,3,4},1) = MID(LEFT(Z359,4),{1,2,3,4},1)))</f>
        <v>0</v>
      </c>
      <c r="AK359" s="7" t="b" cm="1">
        <f t="array" ref="AK359">NOT(OR(MID(RIGHT(Z359,4),{1,2,3,4},1) = MID(LEFT(AA359,4),{1,2,3,4},1)))</f>
        <v>0</v>
      </c>
      <c r="AM359" s="7" cm="1">
        <f t="array" ref="AM359">SUM((--AC359:AK359) * $H$342:$P$342)</f>
        <v>5</v>
      </c>
      <c r="AQ359" s="7">
        <f t="shared" si="4"/>
        <v>1</v>
      </c>
    </row>
    <row r="360" spans="2:43" ht="24.95" customHeight="1">
      <c r="B360" s="2">
        <v>135</v>
      </c>
      <c r="C360" s="2">
        <v>7</v>
      </c>
      <c r="D360" s="3">
        <v>10</v>
      </c>
      <c r="E360" s="56">
        <v>9</v>
      </c>
      <c r="F360" s="23"/>
      <c r="G360" s="87" t="s">
        <v>45</v>
      </c>
      <c r="H360" s="87" t="s">
        <v>45</v>
      </c>
      <c r="I360" s="87" t="s">
        <v>41</v>
      </c>
      <c r="J360" s="87" t="s">
        <v>34</v>
      </c>
      <c r="K360" s="87" t="s">
        <v>37</v>
      </c>
      <c r="L360" s="87" t="s">
        <v>47</v>
      </c>
      <c r="M360" s="87" t="s">
        <v>47</v>
      </c>
      <c r="N360" s="87" t="s">
        <v>34</v>
      </c>
      <c r="O360" s="87" t="s">
        <v>34</v>
      </c>
      <c r="P360" s="87" t="s">
        <v>34</v>
      </c>
      <c r="R360" s="7" t="str" cm="1">
        <f t="array" ref="R360">_xlfn.XLOOKUP(G360,$G$38:$G$46,$J$38:$J$46&amp;$I$38:$I$46,,0,1)</f>
        <v>01101001</v>
      </c>
      <c r="S360" s="7" t="str" cm="1">
        <f t="array" ref="S360">_xlfn.XLOOKUP(H360,$G$38:$G$46,$J$38:$J$46&amp;$I$38:$I$46,,0,1)</f>
        <v>01101001</v>
      </c>
      <c r="T360" s="7" t="str" cm="1">
        <f t="array" ref="T360">_xlfn.XLOOKUP(I360,$G$38:$G$46,$J$38:$J$46&amp;$I$38:$I$46,,0,1)</f>
        <v>10010110</v>
      </c>
      <c r="U360" s="7" t="str" cm="1">
        <f t="array" ref="U360">_xlfn.XLOOKUP(J360,$G$38:$G$46,$J$38:$J$46&amp;$I$38:$I$46,,0,1)</f>
        <v>00110011</v>
      </c>
      <c r="V360" s="7" t="str" cm="1">
        <f t="array" ref="V360">_xlfn.XLOOKUP(K360,$G$38:$G$46,$J$38:$J$46&amp;$I$38:$I$46,,0,1)</f>
        <v>10100101</v>
      </c>
      <c r="W360" s="7" t="str" cm="1">
        <f t="array" ref="W360">_xlfn.XLOOKUP(L360,$G$38:$G$46,$J$38:$J$46&amp;$I$38:$I$46,,0,1)</f>
        <v>01011010</v>
      </c>
      <c r="X360" s="7" t="str" cm="1">
        <f t="array" ref="X360">_xlfn.XLOOKUP(M360,$G$38:$G$46,$J$38:$J$46&amp;$I$38:$I$46,,0,1)</f>
        <v>01011010</v>
      </c>
      <c r="Y360" s="7" t="str" cm="1">
        <f t="array" ref="Y360">_xlfn.XLOOKUP(N360,$G$38:$G$46,$J$38:$J$46&amp;$I$38:$I$46,,0,1)</f>
        <v>00110011</v>
      </c>
      <c r="Z360" s="7" t="str" cm="1">
        <f t="array" ref="Z360">_xlfn.XLOOKUP(O360,$G$38:$G$46,$J$38:$J$46&amp;$I$38:$I$46,,0,1)</f>
        <v>00110011</v>
      </c>
      <c r="AA360" s="7" t="str" cm="1">
        <f t="array" ref="AA360">_xlfn.XLOOKUP(P360,$G$38:$G$46,$J$38:$J$46&amp;$I$38:$I$46,,0,1)</f>
        <v>00110011</v>
      </c>
      <c r="AC360" s="7" t="b" cm="1">
        <f t="array" ref="AC360">NOT(OR(MID(RIGHT(R360,4),{1,2,3,4},1) = MID(LEFT(S360,4),{1,2,3,4},1)))</f>
        <v>1</v>
      </c>
      <c r="AD360" s="7" t="b" cm="1">
        <f t="array" ref="AD360">NOT(OR(MID(RIGHT(S360,4),{1,2,3,4},1) = MID(LEFT(T360,4),{1,2,3,4},1)))</f>
        <v>0</v>
      </c>
      <c r="AE360" s="7" t="b" cm="1">
        <f t="array" ref="AE360">NOT(OR(MID(RIGHT(T360,4),{1,2,3,4},1) = MID(LEFT(U360,4),{1,2,3,4},1)))</f>
        <v>0</v>
      </c>
      <c r="AF360" s="7" t="b" cm="1">
        <f t="array" ref="AF360">NOT(OR(MID(RIGHT(U360,4),{1,2,3,4},1) = MID(LEFT(V360,4),{1,2,3,4},1)))</f>
        <v>0</v>
      </c>
      <c r="AG360" s="7" t="b" cm="1">
        <f t="array" ref="AG360">NOT(OR(MID(RIGHT(V360,4),{1,2,3,4},1) = MID(LEFT(W360,4),{1,2,3,4},1)))</f>
        <v>0</v>
      </c>
      <c r="AH360" s="7" t="b" cm="1">
        <f t="array" ref="AH360">NOT(OR(MID(RIGHT(W360,4),{1,2,3,4},1) = MID(LEFT(X360,4),{1,2,3,4},1)))</f>
        <v>1</v>
      </c>
      <c r="AI360" s="7" t="b" cm="1">
        <f t="array" ref="AI360">NOT(OR(MID(RIGHT(X360,4),{1,2,3,4},1) = MID(LEFT(Y360,4),{1,2,3,4},1)))</f>
        <v>0</v>
      </c>
      <c r="AJ360" s="7" t="b" cm="1">
        <f t="array" ref="AJ360">NOT(OR(MID(RIGHT(Y360,4),{1,2,3,4},1) = MID(LEFT(Z360,4),{1,2,3,4},1)))</f>
        <v>0</v>
      </c>
      <c r="AK360" s="7" t="b" cm="1">
        <f t="array" ref="AK360">NOT(OR(MID(RIGHT(Z360,4),{1,2,3,4},1) = MID(LEFT(AA360,4),{1,2,3,4},1)))</f>
        <v>0</v>
      </c>
      <c r="AM360" s="7" cm="1">
        <f t="array" ref="AM360">SUM((--AC360:AK360) * $H$342:$P$342)</f>
        <v>9</v>
      </c>
      <c r="AQ360" s="7">
        <f t="shared" si="4"/>
        <v>2</v>
      </c>
    </row>
    <row r="361" spans="2:43" ht="24.95" customHeight="1">
      <c r="B361" s="2">
        <v>136</v>
      </c>
      <c r="C361" s="2">
        <v>7</v>
      </c>
      <c r="D361" s="3">
        <v>10</v>
      </c>
      <c r="E361" s="56">
        <v>13</v>
      </c>
      <c r="F361" s="23"/>
      <c r="G361" s="87" t="s">
        <v>45</v>
      </c>
      <c r="H361" s="87" t="s">
        <v>45</v>
      </c>
      <c r="I361" s="87" t="s">
        <v>31</v>
      </c>
      <c r="J361" s="87" t="s">
        <v>34</v>
      </c>
      <c r="K361" s="87" t="s">
        <v>34</v>
      </c>
      <c r="L361" s="87" t="s">
        <v>37</v>
      </c>
      <c r="M361" s="87" t="s">
        <v>37</v>
      </c>
      <c r="N361" s="87" t="s">
        <v>41</v>
      </c>
      <c r="O361" s="87" t="s">
        <v>47</v>
      </c>
      <c r="P361" s="87" t="s">
        <v>41</v>
      </c>
      <c r="R361" s="7" t="str" cm="1">
        <f t="array" ref="R361">_xlfn.XLOOKUP(G361,$G$38:$G$46,$J$38:$J$46&amp;$I$38:$I$46,,0,1)</f>
        <v>01101001</v>
      </c>
      <c r="S361" s="7" t="str" cm="1">
        <f t="array" ref="S361">_xlfn.XLOOKUP(H361,$G$38:$G$46,$J$38:$J$46&amp;$I$38:$I$46,,0,1)</f>
        <v>01101001</v>
      </c>
      <c r="T361" s="7" t="str" cm="1">
        <f t="array" ref="T361">_xlfn.XLOOKUP(I361,$G$38:$G$46,$J$38:$J$46&amp;$I$38:$I$46,,0,1)</f>
        <v>11001100</v>
      </c>
      <c r="U361" s="7" t="str" cm="1">
        <f t="array" ref="U361">_xlfn.XLOOKUP(J361,$G$38:$G$46,$J$38:$J$46&amp;$I$38:$I$46,,0,1)</f>
        <v>00110011</v>
      </c>
      <c r="V361" s="7" t="str" cm="1">
        <f t="array" ref="V361">_xlfn.XLOOKUP(K361,$G$38:$G$46,$J$38:$J$46&amp;$I$38:$I$46,,0,1)</f>
        <v>00110011</v>
      </c>
      <c r="W361" s="7" t="str" cm="1">
        <f t="array" ref="W361">_xlfn.XLOOKUP(L361,$G$38:$G$46,$J$38:$J$46&amp;$I$38:$I$46,,0,1)</f>
        <v>10100101</v>
      </c>
      <c r="X361" s="7" t="str" cm="1">
        <f t="array" ref="X361">_xlfn.XLOOKUP(M361,$G$38:$G$46,$J$38:$J$46&amp;$I$38:$I$46,,0,1)</f>
        <v>10100101</v>
      </c>
      <c r="Y361" s="7" t="str" cm="1">
        <f t="array" ref="Y361">_xlfn.XLOOKUP(N361,$G$38:$G$46,$J$38:$J$46&amp;$I$38:$I$46,,0,1)</f>
        <v>10010110</v>
      </c>
      <c r="Z361" s="7" t="str" cm="1">
        <f t="array" ref="Z361">_xlfn.XLOOKUP(O361,$G$38:$G$46,$J$38:$J$46&amp;$I$38:$I$46,,0,1)</f>
        <v>01011010</v>
      </c>
      <c r="AA361" s="7" t="str" cm="1">
        <f t="array" ref="AA361">_xlfn.XLOOKUP(P361,$G$38:$G$46,$J$38:$J$46&amp;$I$38:$I$46,,0,1)</f>
        <v>10010110</v>
      </c>
      <c r="AC361" s="7" t="b" cm="1">
        <f t="array" ref="AC361">NOT(OR(MID(RIGHT(R361,4),{1,2,3,4},1) = MID(LEFT(S361,4),{1,2,3,4},1)))</f>
        <v>1</v>
      </c>
      <c r="AD361" s="7" t="b" cm="1">
        <f t="array" ref="AD361">NOT(OR(MID(RIGHT(S361,4),{1,2,3,4},1) = MID(LEFT(T361,4),{1,2,3,4},1)))</f>
        <v>0</v>
      </c>
      <c r="AE361" s="7" t="b" cm="1">
        <f t="array" ref="AE361">NOT(OR(MID(RIGHT(T361,4),{1,2,3,4},1) = MID(LEFT(U361,4),{1,2,3,4},1)))</f>
        <v>1</v>
      </c>
      <c r="AF361" s="7" t="b" cm="1">
        <f t="array" ref="AF361">NOT(OR(MID(RIGHT(U361,4),{1,2,3,4},1) = MID(LEFT(V361,4),{1,2,3,4},1)))</f>
        <v>0</v>
      </c>
      <c r="AG361" s="7" t="b" cm="1">
        <f t="array" ref="AG361">NOT(OR(MID(RIGHT(V361,4),{1,2,3,4},1) = MID(LEFT(W361,4),{1,2,3,4},1)))</f>
        <v>0</v>
      </c>
      <c r="AH361" s="7" t="b" cm="1">
        <f t="array" ref="AH361">NOT(OR(MID(RIGHT(W361,4),{1,2,3,4},1) = MID(LEFT(X361,4),{1,2,3,4},1)))</f>
        <v>1</v>
      </c>
      <c r="AI361" s="7" t="b" cm="1">
        <f t="array" ref="AI361">NOT(OR(MID(RIGHT(X361,4),{1,2,3,4},1) = MID(LEFT(Y361,4),{1,2,3,4},1)))</f>
        <v>0</v>
      </c>
      <c r="AJ361" s="7" t="b" cm="1">
        <f t="array" ref="AJ361">NOT(OR(MID(RIGHT(Y361,4),{1,2,3,4},1) = MID(LEFT(Z361,4),{1,2,3,4},1)))</f>
        <v>0</v>
      </c>
      <c r="AK361" s="7" t="b" cm="1">
        <f t="array" ref="AK361">NOT(OR(MID(RIGHT(Z361,4),{1,2,3,4},1) = MID(LEFT(AA361,4),{1,2,3,4},1)))</f>
        <v>0</v>
      </c>
      <c r="AM361" s="7" cm="1">
        <f t="array" ref="AM361">SUM((--AC361:AK361) * $H$342:$P$342)</f>
        <v>13</v>
      </c>
      <c r="AQ361" s="7">
        <f t="shared" si="4"/>
        <v>3</v>
      </c>
    </row>
    <row r="362" spans="2:43" ht="24.95" customHeight="1">
      <c r="B362" s="2">
        <v>137</v>
      </c>
      <c r="C362" s="2">
        <v>7</v>
      </c>
      <c r="D362" s="3">
        <v>10</v>
      </c>
      <c r="E362" s="56">
        <v>9</v>
      </c>
      <c r="F362" s="23"/>
      <c r="G362" s="87" t="s">
        <v>37</v>
      </c>
      <c r="H362" s="87" t="s">
        <v>41</v>
      </c>
      <c r="I362" s="87" t="s">
        <v>37</v>
      </c>
      <c r="J362" s="87" t="s">
        <v>45</v>
      </c>
      <c r="K362" s="87" t="s">
        <v>31</v>
      </c>
      <c r="L362" s="87" t="s">
        <v>47</v>
      </c>
      <c r="M362" s="87" t="s">
        <v>31</v>
      </c>
      <c r="N362" s="87" t="s">
        <v>31</v>
      </c>
      <c r="O362" s="87" t="s">
        <v>34</v>
      </c>
      <c r="P362" s="87" t="s">
        <v>37</v>
      </c>
      <c r="R362" s="7" t="str" cm="1">
        <f t="array" ref="R362">_xlfn.XLOOKUP(G362,$G$38:$G$46,$J$38:$J$46&amp;$I$38:$I$46,,0,1)</f>
        <v>10100101</v>
      </c>
      <c r="S362" s="7" t="str" cm="1">
        <f t="array" ref="S362">_xlfn.XLOOKUP(H362,$G$38:$G$46,$J$38:$J$46&amp;$I$38:$I$46,,0,1)</f>
        <v>10010110</v>
      </c>
      <c r="T362" s="7" t="str" cm="1">
        <f t="array" ref="T362">_xlfn.XLOOKUP(I362,$G$38:$G$46,$J$38:$J$46&amp;$I$38:$I$46,,0,1)</f>
        <v>10100101</v>
      </c>
      <c r="U362" s="7" t="str" cm="1">
        <f t="array" ref="U362">_xlfn.XLOOKUP(J362,$G$38:$G$46,$J$38:$J$46&amp;$I$38:$I$46,,0,1)</f>
        <v>01101001</v>
      </c>
      <c r="V362" s="7" t="str" cm="1">
        <f t="array" ref="V362">_xlfn.XLOOKUP(K362,$G$38:$G$46,$J$38:$J$46&amp;$I$38:$I$46,,0,1)</f>
        <v>11001100</v>
      </c>
      <c r="W362" s="7" t="str" cm="1">
        <f t="array" ref="W362">_xlfn.XLOOKUP(L362,$G$38:$G$46,$J$38:$J$46&amp;$I$38:$I$46,,0,1)</f>
        <v>01011010</v>
      </c>
      <c r="X362" s="7" t="str" cm="1">
        <f t="array" ref="X362">_xlfn.XLOOKUP(M362,$G$38:$G$46,$J$38:$J$46&amp;$I$38:$I$46,,0,1)</f>
        <v>11001100</v>
      </c>
      <c r="Y362" s="7" t="str" cm="1">
        <f t="array" ref="Y362">_xlfn.XLOOKUP(N362,$G$38:$G$46,$J$38:$J$46&amp;$I$38:$I$46,,0,1)</f>
        <v>11001100</v>
      </c>
      <c r="Z362" s="7" t="str" cm="1">
        <f t="array" ref="Z362">_xlfn.XLOOKUP(O362,$G$38:$G$46,$J$38:$J$46&amp;$I$38:$I$46,,0,1)</f>
        <v>00110011</v>
      </c>
      <c r="AA362" s="7" t="str" cm="1">
        <f t="array" ref="AA362">_xlfn.XLOOKUP(P362,$G$38:$G$46,$J$38:$J$46&amp;$I$38:$I$46,,0,1)</f>
        <v>10100101</v>
      </c>
      <c r="AC362" s="7" t="b" cm="1">
        <f t="array" ref="AC362">NOT(OR(MID(RIGHT(R362,4),{1,2,3,4},1) = MID(LEFT(S362,4),{1,2,3,4},1)))</f>
        <v>0</v>
      </c>
      <c r="AD362" s="7" t="b" cm="1">
        <f t="array" ref="AD362">NOT(OR(MID(RIGHT(S362,4),{1,2,3,4},1) = MID(LEFT(T362,4),{1,2,3,4},1)))</f>
        <v>0</v>
      </c>
      <c r="AE362" s="7" t="b" cm="1">
        <f t="array" ref="AE362">NOT(OR(MID(RIGHT(T362,4),{1,2,3,4},1) = MID(LEFT(U362,4),{1,2,3,4},1)))</f>
        <v>0</v>
      </c>
      <c r="AF362" s="7" t="b" cm="1">
        <f t="array" ref="AF362">NOT(OR(MID(RIGHT(U362,4),{1,2,3,4},1) = MID(LEFT(V362,4),{1,2,3,4},1)))</f>
        <v>0</v>
      </c>
      <c r="AG362" s="7" t="b" cm="1">
        <f t="array" ref="AG362">NOT(OR(MID(RIGHT(V362,4),{1,2,3,4},1) = MID(LEFT(W362,4),{1,2,3,4},1)))</f>
        <v>0</v>
      </c>
      <c r="AH362" s="7" t="b" cm="1">
        <f t="array" ref="AH362">NOT(OR(MID(RIGHT(W362,4),{1,2,3,4},1) = MID(LEFT(X362,4),{1,2,3,4},1)))</f>
        <v>0</v>
      </c>
      <c r="AI362" s="7" t="b" cm="1">
        <f t="array" ref="AI362">NOT(OR(MID(RIGHT(X362,4),{1,2,3,4},1) = MID(LEFT(Y362,4),{1,2,3,4},1)))</f>
        <v>0</v>
      </c>
      <c r="AJ362" s="7" t="b" cm="1">
        <f t="array" ref="AJ362">NOT(OR(MID(RIGHT(Y362,4),{1,2,3,4},1) = MID(LEFT(Z362,4),{1,2,3,4},1)))</f>
        <v>1</v>
      </c>
      <c r="AK362" s="7" t="b" cm="1">
        <f t="array" ref="AK362">NOT(OR(MID(RIGHT(Z362,4),{1,2,3,4},1) = MID(LEFT(AA362,4),{1,2,3,4},1)))</f>
        <v>0</v>
      </c>
      <c r="AM362" s="7" cm="1">
        <f t="array" ref="AM362">SUM((--AC362:AK362) * $H$342:$P$342)</f>
        <v>9</v>
      </c>
      <c r="AQ362" s="7">
        <f t="shared" si="4"/>
        <v>1</v>
      </c>
    </row>
    <row r="363" spans="2:43" ht="24.95" customHeight="1">
      <c r="B363" s="2">
        <v>138</v>
      </c>
      <c r="C363" s="2">
        <v>7</v>
      </c>
      <c r="D363" s="3">
        <v>10</v>
      </c>
      <c r="E363" s="56">
        <v>10</v>
      </c>
      <c r="F363" s="23"/>
      <c r="G363" s="87" t="s">
        <v>34</v>
      </c>
      <c r="H363" s="87" t="s">
        <v>31</v>
      </c>
      <c r="I363" s="87" t="s">
        <v>45</v>
      </c>
      <c r="J363" s="87" t="s">
        <v>41</v>
      </c>
      <c r="K363" s="87" t="s">
        <v>34</v>
      </c>
      <c r="L363" s="87" t="s">
        <v>34</v>
      </c>
      <c r="M363" s="87" t="s">
        <v>37</v>
      </c>
      <c r="N363" s="87" t="s">
        <v>37</v>
      </c>
      <c r="O363" s="87" t="s">
        <v>31</v>
      </c>
      <c r="P363" s="87" t="s">
        <v>31</v>
      </c>
      <c r="R363" s="7" t="str" cm="1">
        <f t="array" ref="R363">_xlfn.XLOOKUP(G363,$G$38:$G$46,$J$38:$J$46&amp;$I$38:$I$46,,0,1)</f>
        <v>00110011</v>
      </c>
      <c r="S363" s="7" t="str" cm="1">
        <f t="array" ref="S363">_xlfn.XLOOKUP(H363,$G$38:$G$46,$J$38:$J$46&amp;$I$38:$I$46,,0,1)</f>
        <v>11001100</v>
      </c>
      <c r="T363" s="7" t="str" cm="1">
        <f t="array" ref="T363">_xlfn.XLOOKUP(I363,$G$38:$G$46,$J$38:$J$46&amp;$I$38:$I$46,,0,1)</f>
        <v>01101001</v>
      </c>
      <c r="U363" s="7" t="str" cm="1">
        <f t="array" ref="U363">_xlfn.XLOOKUP(J363,$G$38:$G$46,$J$38:$J$46&amp;$I$38:$I$46,,0,1)</f>
        <v>10010110</v>
      </c>
      <c r="V363" s="7" t="str" cm="1">
        <f t="array" ref="V363">_xlfn.XLOOKUP(K363,$G$38:$G$46,$J$38:$J$46&amp;$I$38:$I$46,,0,1)</f>
        <v>00110011</v>
      </c>
      <c r="W363" s="7" t="str" cm="1">
        <f t="array" ref="W363">_xlfn.XLOOKUP(L363,$G$38:$G$46,$J$38:$J$46&amp;$I$38:$I$46,,0,1)</f>
        <v>00110011</v>
      </c>
      <c r="X363" s="7" t="str" cm="1">
        <f t="array" ref="X363">_xlfn.XLOOKUP(M363,$G$38:$G$46,$J$38:$J$46&amp;$I$38:$I$46,,0,1)</f>
        <v>10100101</v>
      </c>
      <c r="Y363" s="7" t="str" cm="1">
        <f t="array" ref="Y363">_xlfn.XLOOKUP(N363,$G$38:$G$46,$J$38:$J$46&amp;$I$38:$I$46,,0,1)</f>
        <v>10100101</v>
      </c>
      <c r="Z363" s="7" t="str" cm="1">
        <f t="array" ref="Z363">_xlfn.XLOOKUP(O363,$G$38:$G$46,$J$38:$J$46&amp;$I$38:$I$46,,0,1)</f>
        <v>11001100</v>
      </c>
      <c r="AA363" s="7" t="str" cm="1">
        <f t="array" ref="AA363">_xlfn.XLOOKUP(P363,$G$38:$G$46,$J$38:$J$46&amp;$I$38:$I$46,,0,1)</f>
        <v>11001100</v>
      </c>
      <c r="AC363" s="7" t="b" cm="1">
        <f t="array" ref="AC363">NOT(OR(MID(RIGHT(R363,4),{1,2,3,4},1) = MID(LEFT(S363,4),{1,2,3,4},1)))</f>
        <v>1</v>
      </c>
      <c r="AD363" s="7" t="b" cm="1">
        <f t="array" ref="AD363">NOT(OR(MID(RIGHT(S363,4),{1,2,3,4},1) = MID(LEFT(T363,4),{1,2,3,4},1)))</f>
        <v>0</v>
      </c>
      <c r="AE363" s="7" t="b" cm="1">
        <f t="array" ref="AE363">NOT(OR(MID(RIGHT(T363,4),{1,2,3,4},1) = MID(LEFT(U363,4),{1,2,3,4},1)))</f>
        <v>0</v>
      </c>
      <c r="AF363" s="7" t="b" cm="1">
        <f t="array" ref="AF363">NOT(OR(MID(RIGHT(U363,4),{1,2,3,4},1) = MID(LEFT(V363,4),{1,2,3,4},1)))</f>
        <v>0</v>
      </c>
      <c r="AG363" s="7" t="b" cm="1">
        <f t="array" ref="AG363">NOT(OR(MID(RIGHT(V363,4),{1,2,3,4},1) = MID(LEFT(W363,4),{1,2,3,4},1)))</f>
        <v>0</v>
      </c>
      <c r="AH363" s="7" t="b" cm="1">
        <f t="array" ref="AH363">NOT(OR(MID(RIGHT(W363,4),{1,2,3,4},1) = MID(LEFT(X363,4),{1,2,3,4},1)))</f>
        <v>0</v>
      </c>
      <c r="AI363" s="7" t="b" cm="1">
        <f t="array" ref="AI363">NOT(OR(MID(RIGHT(X363,4),{1,2,3,4},1) = MID(LEFT(Y363,4),{1,2,3,4},1)))</f>
        <v>1</v>
      </c>
      <c r="AJ363" s="7" t="b" cm="1">
        <f t="array" ref="AJ363">NOT(OR(MID(RIGHT(Y363,4),{1,2,3,4},1) = MID(LEFT(Z363,4),{1,2,3,4},1)))</f>
        <v>0</v>
      </c>
      <c r="AK363" s="7" t="b" cm="1">
        <f t="array" ref="AK363">NOT(OR(MID(RIGHT(Z363,4),{1,2,3,4},1) = MID(LEFT(AA363,4),{1,2,3,4},1)))</f>
        <v>0</v>
      </c>
      <c r="AM363" s="7" cm="1">
        <f t="array" ref="AM363">SUM((--AC363:AK363) * $H$342:$P$342)</f>
        <v>10</v>
      </c>
      <c r="AQ363" s="7">
        <f t="shared" si="4"/>
        <v>2</v>
      </c>
    </row>
    <row r="364" spans="2:43" ht="24.95" customHeight="1">
      <c r="B364" s="2">
        <v>139</v>
      </c>
      <c r="C364" s="2">
        <v>7</v>
      </c>
      <c r="D364" s="3">
        <v>10</v>
      </c>
      <c r="E364" s="56">
        <v>21</v>
      </c>
      <c r="F364" s="23"/>
      <c r="G364" s="87" t="s">
        <v>31</v>
      </c>
      <c r="H364" s="87" t="s">
        <v>31</v>
      </c>
      <c r="I364" s="87" t="s">
        <v>45</v>
      </c>
      <c r="J364" s="87" t="s">
        <v>45</v>
      </c>
      <c r="K364" s="87" t="s">
        <v>41</v>
      </c>
      <c r="L364" s="87" t="s">
        <v>47</v>
      </c>
      <c r="M364" s="87" t="s">
        <v>47</v>
      </c>
      <c r="N364" s="87" t="s">
        <v>41</v>
      </c>
      <c r="O364" s="87" t="s">
        <v>31</v>
      </c>
      <c r="P364" s="87" t="s">
        <v>34</v>
      </c>
      <c r="R364" s="7" t="str" cm="1">
        <f t="array" ref="R364">_xlfn.XLOOKUP(G364,$G$38:$G$46,$J$38:$J$46&amp;$I$38:$I$46,,0,1)</f>
        <v>11001100</v>
      </c>
      <c r="S364" s="7" t="str" cm="1">
        <f t="array" ref="S364">_xlfn.XLOOKUP(H364,$G$38:$G$46,$J$38:$J$46&amp;$I$38:$I$46,,0,1)</f>
        <v>11001100</v>
      </c>
      <c r="T364" s="7" t="str" cm="1">
        <f t="array" ref="T364">_xlfn.XLOOKUP(I364,$G$38:$G$46,$J$38:$J$46&amp;$I$38:$I$46,,0,1)</f>
        <v>01101001</v>
      </c>
      <c r="U364" s="7" t="str" cm="1">
        <f t="array" ref="U364">_xlfn.XLOOKUP(J364,$G$38:$G$46,$J$38:$J$46&amp;$I$38:$I$46,,0,1)</f>
        <v>01101001</v>
      </c>
      <c r="V364" s="7" t="str" cm="1">
        <f t="array" ref="V364">_xlfn.XLOOKUP(K364,$G$38:$G$46,$J$38:$J$46&amp;$I$38:$I$46,,0,1)</f>
        <v>10010110</v>
      </c>
      <c r="W364" s="7" t="str" cm="1">
        <f t="array" ref="W364">_xlfn.XLOOKUP(L364,$G$38:$G$46,$J$38:$J$46&amp;$I$38:$I$46,,0,1)</f>
        <v>01011010</v>
      </c>
      <c r="X364" s="7" t="str" cm="1">
        <f t="array" ref="X364">_xlfn.XLOOKUP(M364,$G$38:$G$46,$J$38:$J$46&amp;$I$38:$I$46,,0,1)</f>
        <v>01011010</v>
      </c>
      <c r="Y364" s="7" t="str" cm="1">
        <f t="array" ref="Y364">_xlfn.XLOOKUP(N364,$G$38:$G$46,$J$38:$J$46&amp;$I$38:$I$46,,0,1)</f>
        <v>10010110</v>
      </c>
      <c r="Z364" s="7" t="str" cm="1">
        <f t="array" ref="Z364">_xlfn.XLOOKUP(O364,$G$38:$G$46,$J$38:$J$46&amp;$I$38:$I$46,,0,1)</f>
        <v>11001100</v>
      </c>
      <c r="AA364" s="7" t="str" cm="1">
        <f t="array" ref="AA364">_xlfn.XLOOKUP(P364,$G$38:$G$46,$J$38:$J$46&amp;$I$38:$I$46,,0,1)</f>
        <v>00110011</v>
      </c>
      <c r="AC364" s="7" t="b" cm="1">
        <f t="array" ref="AC364">NOT(OR(MID(RIGHT(R364,4),{1,2,3,4},1) = MID(LEFT(S364,4),{1,2,3,4},1)))</f>
        <v>0</v>
      </c>
      <c r="AD364" s="7" t="b" cm="1">
        <f t="array" ref="AD364">NOT(OR(MID(RIGHT(S364,4),{1,2,3,4},1) = MID(LEFT(T364,4),{1,2,3,4},1)))</f>
        <v>0</v>
      </c>
      <c r="AE364" s="7" t="b" cm="1">
        <f t="array" ref="AE364">NOT(OR(MID(RIGHT(T364,4),{1,2,3,4},1) = MID(LEFT(U364,4),{1,2,3,4},1)))</f>
        <v>1</v>
      </c>
      <c r="AF364" s="7" t="b" cm="1">
        <f t="array" ref="AF364">NOT(OR(MID(RIGHT(U364,4),{1,2,3,4},1) = MID(LEFT(V364,4),{1,2,3,4},1)))</f>
        <v>0</v>
      </c>
      <c r="AG364" s="7" t="b" cm="1">
        <f t="array" ref="AG364">NOT(OR(MID(RIGHT(V364,4),{1,2,3,4},1) = MID(LEFT(W364,4),{1,2,3,4},1)))</f>
        <v>0</v>
      </c>
      <c r="AH364" s="7" t="b" cm="1">
        <f t="array" ref="AH364">NOT(OR(MID(RIGHT(W364,4),{1,2,3,4},1) = MID(LEFT(X364,4),{1,2,3,4},1)))</f>
        <v>1</v>
      </c>
      <c r="AI364" s="7" t="b" cm="1">
        <f t="array" ref="AI364">NOT(OR(MID(RIGHT(X364,4),{1,2,3,4},1) = MID(LEFT(Y364,4),{1,2,3,4},1)))</f>
        <v>0</v>
      </c>
      <c r="AJ364" s="7" t="b" cm="1">
        <f t="array" ref="AJ364">NOT(OR(MID(RIGHT(Y364,4),{1,2,3,4},1) = MID(LEFT(Z364,4),{1,2,3,4},1)))</f>
        <v>0</v>
      </c>
      <c r="AK364" s="7" t="b" cm="1">
        <f t="array" ref="AK364">NOT(OR(MID(RIGHT(Z364,4),{1,2,3,4},1) = MID(LEFT(AA364,4),{1,2,3,4},1)))</f>
        <v>1</v>
      </c>
      <c r="AM364" s="7" cm="1">
        <f t="array" ref="AM364">SUM((--AC364:AK364) * $H$342:$P$342)</f>
        <v>21</v>
      </c>
      <c r="AQ364" s="7">
        <f t="shared" si="4"/>
        <v>3</v>
      </c>
    </row>
    <row r="365" spans="2:43" ht="24.95" customHeight="1">
      <c r="B365" s="2">
        <v>140</v>
      </c>
      <c r="C365" s="2">
        <v>7</v>
      </c>
      <c r="D365" s="3">
        <v>10</v>
      </c>
      <c r="E365" s="56">
        <v>11</v>
      </c>
      <c r="F365" s="23"/>
      <c r="G365" s="87" t="s">
        <v>34</v>
      </c>
      <c r="H365" s="87" t="s">
        <v>41</v>
      </c>
      <c r="I365" s="87" t="s">
        <v>41</v>
      </c>
      <c r="J365" s="87" t="s">
        <v>37</v>
      </c>
      <c r="K365" s="87" t="s">
        <v>34</v>
      </c>
      <c r="L365" s="87" t="s">
        <v>41</v>
      </c>
      <c r="M365" s="87" t="s">
        <v>47</v>
      </c>
      <c r="N365" s="87" t="s">
        <v>47</v>
      </c>
      <c r="O365" s="87" t="s">
        <v>34</v>
      </c>
      <c r="P365" s="87" t="s">
        <v>41</v>
      </c>
      <c r="R365" s="7" t="str" cm="1">
        <f t="array" ref="R365">_xlfn.XLOOKUP(G365,$G$38:$G$46,$J$38:$J$46&amp;$I$38:$I$46,,0,1)</f>
        <v>00110011</v>
      </c>
      <c r="S365" s="7" t="str" cm="1">
        <f t="array" ref="S365">_xlfn.XLOOKUP(H365,$G$38:$G$46,$J$38:$J$46&amp;$I$38:$I$46,,0,1)</f>
        <v>10010110</v>
      </c>
      <c r="T365" s="7" t="str" cm="1">
        <f t="array" ref="T365">_xlfn.XLOOKUP(I365,$G$38:$G$46,$J$38:$J$46&amp;$I$38:$I$46,,0,1)</f>
        <v>10010110</v>
      </c>
      <c r="U365" s="7" t="str" cm="1">
        <f t="array" ref="U365">_xlfn.XLOOKUP(J365,$G$38:$G$46,$J$38:$J$46&amp;$I$38:$I$46,,0,1)</f>
        <v>10100101</v>
      </c>
      <c r="V365" s="7" t="str" cm="1">
        <f t="array" ref="V365">_xlfn.XLOOKUP(K365,$G$38:$G$46,$J$38:$J$46&amp;$I$38:$I$46,,0,1)</f>
        <v>00110011</v>
      </c>
      <c r="W365" s="7" t="str" cm="1">
        <f t="array" ref="W365">_xlfn.XLOOKUP(L365,$G$38:$G$46,$J$38:$J$46&amp;$I$38:$I$46,,0,1)</f>
        <v>10010110</v>
      </c>
      <c r="X365" s="7" t="str" cm="1">
        <f t="array" ref="X365">_xlfn.XLOOKUP(M365,$G$38:$G$46,$J$38:$J$46&amp;$I$38:$I$46,,0,1)</f>
        <v>01011010</v>
      </c>
      <c r="Y365" s="7" t="str" cm="1">
        <f t="array" ref="Y365">_xlfn.XLOOKUP(N365,$G$38:$G$46,$J$38:$J$46&amp;$I$38:$I$46,,0,1)</f>
        <v>01011010</v>
      </c>
      <c r="Z365" s="7" t="str" cm="1">
        <f t="array" ref="Z365">_xlfn.XLOOKUP(O365,$G$38:$G$46,$J$38:$J$46&amp;$I$38:$I$46,,0,1)</f>
        <v>00110011</v>
      </c>
      <c r="AA365" s="7" t="str" cm="1">
        <f t="array" ref="AA365">_xlfn.XLOOKUP(P365,$G$38:$G$46,$J$38:$J$46&amp;$I$38:$I$46,,0,1)</f>
        <v>10010110</v>
      </c>
      <c r="AC365" s="7" t="b" cm="1">
        <f t="array" ref="AC365">NOT(OR(MID(RIGHT(R365,4),{1,2,3,4},1) = MID(LEFT(S365,4),{1,2,3,4},1)))</f>
        <v>0</v>
      </c>
      <c r="AD365" s="7" t="b" cm="1">
        <f t="array" ref="AD365">NOT(OR(MID(RIGHT(S365,4),{1,2,3,4},1) = MID(LEFT(T365,4),{1,2,3,4},1)))</f>
        <v>1</v>
      </c>
      <c r="AE365" s="7" t="b" cm="1">
        <f t="array" ref="AE365">NOT(OR(MID(RIGHT(T365,4),{1,2,3,4},1) = MID(LEFT(U365,4),{1,2,3,4},1)))</f>
        <v>0</v>
      </c>
      <c r="AF365" s="7" t="b" cm="1">
        <f t="array" ref="AF365">NOT(OR(MID(RIGHT(U365,4),{1,2,3,4},1) = MID(LEFT(V365,4),{1,2,3,4},1)))</f>
        <v>0</v>
      </c>
      <c r="AG365" s="7" t="b" cm="1">
        <f t="array" ref="AG365">NOT(OR(MID(RIGHT(V365,4),{1,2,3,4},1) = MID(LEFT(W365,4),{1,2,3,4},1)))</f>
        <v>0</v>
      </c>
      <c r="AH365" s="7" t="b" cm="1">
        <f t="array" ref="AH365">NOT(OR(MID(RIGHT(W365,4),{1,2,3,4},1) = MID(LEFT(X365,4),{1,2,3,4},1)))</f>
        <v>0</v>
      </c>
      <c r="AI365" s="7" t="b" cm="1">
        <f t="array" ref="AI365">NOT(OR(MID(RIGHT(X365,4),{1,2,3,4},1) = MID(LEFT(Y365,4),{1,2,3,4},1)))</f>
        <v>1</v>
      </c>
      <c r="AJ365" s="7" t="b" cm="1">
        <f t="array" ref="AJ365">NOT(OR(MID(RIGHT(Y365,4),{1,2,3,4},1) = MID(LEFT(Z365,4),{1,2,3,4},1)))</f>
        <v>0</v>
      </c>
      <c r="AK365" s="7" t="b" cm="1">
        <f t="array" ref="AK365">NOT(OR(MID(RIGHT(Z365,4),{1,2,3,4},1) = MID(LEFT(AA365,4),{1,2,3,4},1)))</f>
        <v>0</v>
      </c>
      <c r="AM365" s="7" cm="1">
        <f t="array" ref="AM365">SUM((--AC365:AK365) * $H$342:$P$342)</f>
        <v>11</v>
      </c>
      <c r="AQ365" s="7">
        <f t="shared" si="4"/>
        <v>2</v>
      </c>
    </row>
    <row r="1000" spans="648:648" ht="15.75">
      <c r="XX1000" s="130">
        <v>125713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CB1FF449-25BF-4055-BE35-5261C74844C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F53:F57</xm:sqref>
        </x14:conditionalFormatting>
        <x14:conditionalFormatting xmlns:xm="http://schemas.microsoft.com/office/excel/2006/main">
          <x14:cfRule type="iconSet" priority="21" id="{32D655CE-0C29-434F-9010-6E4BA29C45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F66:F68</xm:sqref>
        </x14:conditionalFormatting>
        <x14:conditionalFormatting xmlns:xm="http://schemas.microsoft.com/office/excel/2006/main">
          <x14:cfRule type="iconSet" priority="19" id="{D80B8308-E2E1-4552-9DE1-847118A8329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F71:F74</xm:sqref>
        </x14:conditionalFormatting>
        <x14:conditionalFormatting xmlns:xm="http://schemas.microsoft.com/office/excel/2006/main">
          <x14:cfRule type="iconSet" priority="20" id="{5ADA881A-0432-4081-A669-86B422E9FD23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F75</xm:sqref>
        </x14:conditionalFormatting>
        <x14:conditionalFormatting xmlns:xm="http://schemas.microsoft.com/office/excel/2006/main">
          <x14:cfRule type="iconSet" priority="16" id="{7F97E85C-4795-4740-A6C1-DF001BA4562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F78</xm:sqref>
        </x14:conditionalFormatting>
        <x14:conditionalFormatting xmlns:xm="http://schemas.microsoft.com/office/excel/2006/main">
          <x14:cfRule type="iconSet" priority="9" id="{80EBBC58-0E88-4117-B135-C39943C8629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F80:F99</xm:sqref>
        </x14:conditionalFormatting>
        <x14:conditionalFormatting xmlns:xm="http://schemas.microsoft.com/office/excel/2006/main">
          <x14:cfRule type="iconSet" priority="3" id="{D3E235E4-92C9-42D6-A156-05D9F3B7554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F118</xm:sqref>
        </x14:conditionalFormatting>
        <x14:conditionalFormatting xmlns:xm="http://schemas.microsoft.com/office/excel/2006/main">
          <x14:cfRule type="iconSet" priority="2" id="{A9BC6A35-FCB9-41B9-85BF-8CF85DF181C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F120:F139</xm:sqref>
        </x14:conditionalFormatting>
        <x14:conditionalFormatting xmlns:xm="http://schemas.microsoft.com/office/excel/2006/main">
          <x14:cfRule type="iconSet" priority="11" id="{86BD3DC9-9113-44FE-B6E4-4ABFCA7A9E5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F150:F155</xm:sqref>
        </x14:conditionalFormatting>
        <x14:conditionalFormatting xmlns:xm="http://schemas.microsoft.com/office/excel/2006/main">
          <x14:cfRule type="iconSet" priority="10" id="{705862C8-9830-427D-BA3B-263753BB3E2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F159</xm:sqref>
        </x14:conditionalFormatting>
        <x14:conditionalFormatting xmlns:xm="http://schemas.microsoft.com/office/excel/2006/main">
          <x14:cfRule type="iconSet" priority="8" id="{E61F862D-B96E-4656-B524-4EADA17F716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F161:F180</xm:sqref>
        </x14:conditionalFormatting>
        <x14:conditionalFormatting xmlns:xm="http://schemas.microsoft.com/office/excel/2006/main">
          <x14:cfRule type="iconSet" priority="15" id="{82E86231-D5D8-489A-A141-79E6F67FF4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F206</xm:sqref>
        </x14:conditionalFormatting>
        <x14:conditionalFormatting xmlns:xm="http://schemas.microsoft.com/office/excel/2006/main">
          <x14:cfRule type="iconSet" priority="7" id="{09C5F534-3A5C-4B17-8F10-3C4BBCFD1424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F208:F227</xm:sqref>
        </x14:conditionalFormatting>
        <x14:conditionalFormatting xmlns:xm="http://schemas.microsoft.com/office/excel/2006/main">
          <x14:cfRule type="iconSet" priority="14" id="{FC08F4A9-933D-4C48-BC63-6234575B3080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F248</xm:sqref>
        </x14:conditionalFormatting>
        <x14:conditionalFormatting xmlns:xm="http://schemas.microsoft.com/office/excel/2006/main">
          <x14:cfRule type="iconSet" priority="6" id="{90CA0DCE-7F76-4760-92E1-54B3BDBB872B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F250:F269</xm:sqref>
        </x14:conditionalFormatting>
        <x14:conditionalFormatting xmlns:xm="http://schemas.microsoft.com/office/excel/2006/main">
          <x14:cfRule type="iconSet" priority="13" id="{06BC52B0-B7F3-4344-B196-BB983956D84C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F296</xm:sqref>
        </x14:conditionalFormatting>
        <x14:conditionalFormatting xmlns:xm="http://schemas.microsoft.com/office/excel/2006/main">
          <x14:cfRule type="iconSet" priority="5" id="{0D301C8F-54AD-4346-9593-2EDAEFFC93F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F298:F317</xm:sqref>
        </x14:conditionalFormatting>
        <x14:conditionalFormatting xmlns:xm="http://schemas.microsoft.com/office/excel/2006/main">
          <x14:cfRule type="iconSet" priority="18" id="{B530BD10-FF4F-42CA-8FDE-75F83D0B7AAD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F337:F340</xm:sqref>
        </x14:conditionalFormatting>
        <x14:conditionalFormatting xmlns:xm="http://schemas.microsoft.com/office/excel/2006/main">
          <x14:cfRule type="iconSet" priority="23" id="{36744091-DDB0-4382-AD68-452D503D653A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F341:F345 F54:F65 F69:F70 F76:F79 F156:F160 F140:F149 F181:F207 F228:F249 F270:F297 F318:F336 F366 F100:F119</xm:sqref>
        </x14:conditionalFormatting>
        <x14:conditionalFormatting xmlns:xm="http://schemas.microsoft.com/office/excel/2006/main">
          <x14:cfRule type="iconSet" priority="12" id="{231D33C6-C6D2-46FF-A53E-6D19FF2592E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F344</xm:sqref>
        </x14:conditionalFormatting>
        <x14:conditionalFormatting xmlns:xm="http://schemas.microsoft.com/office/excel/2006/main">
          <x14:cfRule type="iconSet" priority="4" id="{CE85F955-C1EB-43EF-976B-8317DF15171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F346:F365</xm:sqref>
        </x14:conditionalFormatting>
        <x14:conditionalFormatting xmlns:xm="http://schemas.microsoft.com/office/excel/2006/main">
          <x14:cfRule type="iconSet" priority="22" id="{68C572CB-274B-47A1-9EF9-B82A4AE18CB8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F408:F409</xm:sqref>
        </x14:conditionalFormatting>
        <x14:conditionalFormatting xmlns:xm="http://schemas.microsoft.com/office/excel/2006/main">
          <x14:cfRule type="iconSet" priority="1" id="{7D39EBB0-B867-464D-AB97-7A64BFD4CC19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" iconId="0"/>
              <x14:cfIcon iconSet="4RedToBlack" iconId="1"/>
              <x14:cfIcon iconSet="3Symbols" iconId="2"/>
            </x14:iconSet>
          </x14:cfRule>
          <xm:sqref>G77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2DD09-966F-4699-906F-77A8F1604E37}">
  <sheetPr>
    <tabColor theme="7" tint="0.59999389629810485"/>
  </sheetPr>
  <dimension ref="A1:XX1922"/>
  <sheetViews>
    <sheetView showGridLines="0" zoomScale="70" zoomScaleNormal="70" workbookViewId="0">
      <selection activeCell="BG4" sqref="BG4"/>
    </sheetView>
  </sheetViews>
  <sheetFormatPr defaultColWidth="8.42578125" defaultRowHeight="15"/>
  <cols>
    <col min="1" max="1" width="3.85546875" style="5" bestFit="1" customWidth="1"/>
    <col min="2" max="2" width="2.85546875" style="7" customWidth="1"/>
    <col min="3" max="50" width="3" style="7" customWidth="1"/>
    <col min="51" max="52" width="8.42578125" style="7"/>
    <col min="53" max="53" width="8.42578125" style="7" customWidth="1"/>
    <col min="54" max="54" width="8.42578125" style="7"/>
    <col min="55" max="55" width="15.140625" style="7" customWidth="1"/>
    <col min="56" max="56" width="10.140625" style="7" bestFit="1" customWidth="1"/>
    <col min="57" max="57" width="9.140625" style="7" bestFit="1" customWidth="1"/>
    <col min="58" max="60" width="8.42578125" style="7"/>
    <col min="61" max="61" width="8.85546875" style="7" bestFit="1" customWidth="1"/>
    <col min="62" max="16384" width="8.42578125" style="7"/>
  </cols>
  <sheetData>
    <row r="1" spans="1:108" ht="15" customHeight="1">
      <c r="C1" s="70" t="s">
        <v>228</v>
      </c>
      <c r="D1" s="70" t="s">
        <v>229</v>
      </c>
      <c r="E1" s="70" t="s">
        <v>230</v>
      </c>
      <c r="F1" s="70" t="s">
        <v>231</v>
      </c>
      <c r="G1" s="70" t="s">
        <v>232</v>
      </c>
      <c r="H1" s="70" t="s">
        <v>233</v>
      </c>
      <c r="I1" s="70" t="s">
        <v>234</v>
      </c>
      <c r="J1" s="70" t="s">
        <v>235</v>
      </c>
      <c r="K1" s="70" t="s">
        <v>236</v>
      </c>
      <c r="L1" s="70" t="s">
        <v>237</v>
      </c>
      <c r="M1" s="70" t="s">
        <v>238</v>
      </c>
      <c r="N1" s="70" t="s">
        <v>239</v>
      </c>
      <c r="O1" s="70" t="s">
        <v>240</v>
      </c>
      <c r="P1" s="70" t="s">
        <v>241</v>
      </c>
      <c r="Q1" s="70" t="s">
        <v>242</v>
      </c>
      <c r="R1" s="70" t="s">
        <v>243</v>
      </c>
      <c r="S1" s="70" t="s">
        <v>244</v>
      </c>
      <c r="T1" s="70" t="s">
        <v>245</v>
      </c>
      <c r="U1" s="70" t="s">
        <v>246</v>
      </c>
      <c r="V1" s="70" t="s">
        <v>247</v>
      </c>
      <c r="W1" s="70" t="s">
        <v>248</v>
      </c>
      <c r="X1" s="70" t="s">
        <v>249</v>
      </c>
      <c r="Y1" s="70" t="s">
        <v>250</v>
      </c>
      <c r="Z1" s="70" t="s">
        <v>251</v>
      </c>
      <c r="AA1" s="70" t="s">
        <v>252</v>
      </c>
      <c r="AB1" s="70" t="s">
        <v>253</v>
      </c>
      <c r="AC1" s="70" t="s">
        <v>254</v>
      </c>
      <c r="AD1" s="70" t="s">
        <v>255</v>
      </c>
      <c r="AE1" s="70" t="s">
        <v>256</v>
      </c>
      <c r="AF1" s="70" t="s">
        <v>257</v>
      </c>
      <c r="AG1" s="70" t="s">
        <v>258</v>
      </c>
      <c r="AH1" s="70" t="s">
        <v>259</v>
      </c>
      <c r="AI1" s="70" t="s">
        <v>260</v>
      </c>
      <c r="AJ1" s="70" t="s">
        <v>261</v>
      </c>
      <c r="AK1" s="70" t="s">
        <v>262</v>
      </c>
      <c r="AL1" s="70" t="s">
        <v>263</v>
      </c>
      <c r="AM1" s="70" t="s">
        <v>264</v>
      </c>
      <c r="AN1" s="70" t="s">
        <v>265</v>
      </c>
      <c r="AO1" s="70" t="s">
        <v>266</v>
      </c>
      <c r="AP1" s="70" t="s">
        <v>267</v>
      </c>
      <c r="AQ1" s="70" t="s">
        <v>268</v>
      </c>
      <c r="AR1" s="70" t="s">
        <v>269</v>
      </c>
      <c r="AS1" s="70" t="s">
        <v>270</v>
      </c>
      <c r="AT1" s="70" t="s">
        <v>271</v>
      </c>
      <c r="AU1" s="70" t="s">
        <v>272</v>
      </c>
      <c r="AV1" s="70" t="s">
        <v>273</v>
      </c>
      <c r="AW1" s="70" t="s">
        <v>274</v>
      </c>
      <c r="AX1" s="70" t="s">
        <v>275</v>
      </c>
      <c r="AY1" s="69"/>
      <c r="AZ1" s="69"/>
      <c r="BA1" s="69"/>
      <c r="BB1" s="69"/>
      <c r="BC1" s="101" t="s">
        <v>276</v>
      </c>
      <c r="BD1" s="26"/>
    </row>
    <row r="2" spans="1:108" ht="15" customHeight="1">
      <c r="AY2" s="69"/>
      <c r="AZ2" s="69"/>
      <c r="BA2" s="69"/>
      <c r="BB2" s="69"/>
      <c r="BC2" s="102" t="s">
        <v>277</v>
      </c>
      <c r="BD2" s="102" t="s">
        <v>278</v>
      </c>
    </row>
    <row r="3" spans="1:108" ht="15.75" customHeight="1">
      <c r="A3" s="71">
        <v>3</v>
      </c>
      <c r="C3" s="72" t="s">
        <v>54</v>
      </c>
      <c r="D3" s="72" t="s">
        <v>54</v>
      </c>
      <c r="E3" s="72" t="s">
        <v>54</v>
      </c>
      <c r="F3" s="72" t="s">
        <v>54</v>
      </c>
      <c r="G3" s="72" t="s">
        <v>54</v>
      </c>
      <c r="H3" s="72" t="s">
        <v>54</v>
      </c>
      <c r="I3" s="72" t="s">
        <v>54</v>
      </c>
      <c r="J3" s="72" t="s">
        <v>54</v>
      </c>
      <c r="K3" s="72" t="s">
        <v>54</v>
      </c>
      <c r="L3" s="72" t="s">
        <v>54</v>
      </c>
      <c r="M3" s="72" t="s">
        <v>54</v>
      </c>
      <c r="N3" s="72" t="s">
        <v>54</v>
      </c>
      <c r="O3" s="72" t="s">
        <v>54</v>
      </c>
      <c r="P3" s="72" t="s">
        <v>54</v>
      </c>
      <c r="Q3" s="72" t="s">
        <v>54</v>
      </c>
      <c r="R3" s="72" t="s">
        <v>54</v>
      </c>
      <c r="S3" s="72" t="s">
        <v>54</v>
      </c>
      <c r="T3" s="72" t="s">
        <v>54</v>
      </c>
      <c r="U3" s="72" t="s">
        <v>54</v>
      </c>
      <c r="V3" s="72" t="s">
        <v>54</v>
      </c>
      <c r="W3" s="72" t="s">
        <v>54</v>
      </c>
      <c r="X3" s="72" t="s">
        <v>54</v>
      </c>
      <c r="Y3" s="72" t="s">
        <v>54</v>
      </c>
      <c r="Z3" s="72" t="s">
        <v>54</v>
      </c>
      <c r="AA3" s="72" t="s">
        <v>54</v>
      </c>
      <c r="AB3" s="72" t="s">
        <v>54</v>
      </c>
      <c r="AC3" s="72" t="s">
        <v>54</v>
      </c>
      <c r="AD3" s="72" t="s">
        <v>54</v>
      </c>
      <c r="AE3" s="72" t="s">
        <v>54</v>
      </c>
      <c r="AF3" s="72" t="s">
        <v>54</v>
      </c>
      <c r="AG3" s="72" t="s">
        <v>54</v>
      </c>
      <c r="AH3" s="72" t="s">
        <v>54</v>
      </c>
      <c r="AI3" s="72" t="s">
        <v>52</v>
      </c>
      <c r="AJ3" s="72" t="s">
        <v>54</v>
      </c>
      <c r="AK3" s="72" t="s">
        <v>49</v>
      </c>
      <c r="AL3" s="72" t="s">
        <v>54</v>
      </c>
      <c r="AM3" s="72" t="s">
        <v>54</v>
      </c>
      <c r="AN3" s="72" t="s">
        <v>54</v>
      </c>
      <c r="AO3" s="72" t="s">
        <v>52</v>
      </c>
      <c r="AP3" s="72" t="s">
        <v>54</v>
      </c>
      <c r="AQ3" s="72" t="s">
        <v>54</v>
      </c>
      <c r="AR3" s="72" t="s">
        <v>54</v>
      </c>
      <c r="AS3" s="72" t="s">
        <v>54</v>
      </c>
      <c r="AT3" s="72" t="s">
        <v>54</v>
      </c>
      <c r="AU3" s="72" t="s">
        <v>54</v>
      </c>
      <c r="AV3" s="72" t="s">
        <v>54</v>
      </c>
      <c r="AW3" s="72" t="s">
        <v>54</v>
      </c>
      <c r="AX3" s="72" t="s">
        <v>54</v>
      </c>
      <c r="AY3" s="69"/>
      <c r="AZ3" s="69"/>
      <c r="BA3" s="69"/>
      <c r="BB3" s="69"/>
      <c r="BC3" s="26" t="s">
        <v>279</v>
      </c>
      <c r="BD3" s="26" t="s">
        <v>54</v>
      </c>
    </row>
    <row r="4" spans="1:108" ht="15.75" customHeight="1">
      <c r="A4" s="71">
        <v>4</v>
      </c>
      <c r="C4" s="72" t="s">
        <v>54</v>
      </c>
      <c r="D4" s="72" t="s">
        <v>104</v>
      </c>
      <c r="E4" s="72" t="s">
        <v>104</v>
      </c>
      <c r="F4" s="72" t="s">
        <v>104</v>
      </c>
      <c r="G4" s="72" t="s">
        <v>104</v>
      </c>
      <c r="H4" s="72" t="s">
        <v>104</v>
      </c>
      <c r="I4" s="72" t="s">
        <v>104</v>
      </c>
      <c r="J4" s="72" t="s">
        <v>54</v>
      </c>
      <c r="K4" s="72" t="s">
        <v>54</v>
      </c>
      <c r="L4" s="72" t="s">
        <v>54</v>
      </c>
      <c r="M4" s="72" t="s">
        <v>54</v>
      </c>
      <c r="N4" s="72" t="s">
        <v>54</v>
      </c>
      <c r="O4" s="72" t="s">
        <v>49</v>
      </c>
      <c r="P4" s="72" t="s">
        <v>54</v>
      </c>
      <c r="Q4" s="72" t="s">
        <v>49</v>
      </c>
      <c r="R4" s="72" t="s">
        <v>54</v>
      </c>
      <c r="S4" s="72" t="s">
        <v>105</v>
      </c>
      <c r="T4" s="72" t="s">
        <v>105</v>
      </c>
      <c r="U4" s="72" t="s">
        <v>105</v>
      </c>
      <c r="V4" s="72" t="s">
        <v>54</v>
      </c>
      <c r="W4" s="72" t="s">
        <v>37</v>
      </c>
      <c r="X4" s="72" t="s">
        <v>41</v>
      </c>
      <c r="Y4" s="72" t="s">
        <v>54</v>
      </c>
      <c r="Z4" s="72" t="s">
        <v>54</v>
      </c>
      <c r="AA4" s="72" t="s">
        <v>54</v>
      </c>
      <c r="AB4" s="72" t="s">
        <v>37</v>
      </c>
      <c r="AC4" s="72" t="s">
        <v>41</v>
      </c>
      <c r="AD4" s="72" t="s">
        <v>37</v>
      </c>
      <c r="AE4" s="72" t="s">
        <v>41</v>
      </c>
      <c r="AF4" s="72" t="s">
        <v>54</v>
      </c>
      <c r="AG4" s="72" t="s">
        <v>54</v>
      </c>
      <c r="AH4" s="72" t="s">
        <v>37</v>
      </c>
      <c r="AI4" s="72" t="s">
        <v>47</v>
      </c>
      <c r="AJ4" s="72" t="s">
        <v>54</v>
      </c>
      <c r="AK4" s="72" t="s">
        <v>31</v>
      </c>
      <c r="AL4" s="72" t="s">
        <v>37</v>
      </c>
      <c r="AM4" s="72" t="s">
        <v>41</v>
      </c>
      <c r="AN4" s="72" t="s">
        <v>54</v>
      </c>
      <c r="AO4" s="72" t="s">
        <v>31</v>
      </c>
      <c r="AP4" s="72" t="s">
        <v>52</v>
      </c>
      <c r="AQ4" s="72" t="s">
        <v>54</v>
      </c>
      <c r="AR4" s="72" t="s">
        <v>113</v>
      </c>
      <c r="AS4" s="72" t="s">
        <v>54</v>
      </c>
      <c r="AT4" s="72" t="s">
        <v>54</v>
      </c>
      <c r="AU4" s="72" t="s">
        <v>54</v>
      </c>
      <c r="AV4" s="72" t="s">
        <v>54</v>
      </c>
      <c r="AW4" s="72" t="s">
        <v>49</v>
      </c>
      <c r="AX4" s="72" t="s">
        <v>54</v>
      </c>
      <c r="AY4" s="69"/>
      <c r="AZ4" s="69"/>
      <c r="BA4" s="69"/>
      <c r="BB4" s="69"/>
      <c r="BC4" s="26" t="s">
        <v>280</v>
      </c>
      <c r="BD4" s="26" t="s">
        <v>54</v>
      </c>
      <c r="BG4" s="7">
        <f>COUNTIF(_xlfn.ANCHORARRAY(BI4),"???1")</f>
        <v>282</v>
      </c>
      <c r="BI4" s="7" t="str" cm="1">
        <f t="array" ref="BI4:DD43">_xlfn.XLOOKUP(maze,Case!$G$38:$G$43,Case!I38:I43,"",0,1)</f>
        <v/>
      </c>
      <c r="BJ4" s="7" t="str">
        <v/>
      </c>
      <c r="BK4" s="7" t="str">
        <v/>
      </c>
      <c r="BL4" s="7" t="str">
        <v/>
      </c>
      <c r="BM4" s="7" t="str">
        <v/>
      </c>
      <c r="BN4" s="7" t="str">
        <v/>
      </c>
      <c r="BO4" s="7" t="str">
        <v/>
      </c>
      <c r="BP4" s="7" t="str">
        <v/>
      </c>
      <c r="BQ4" s="7" t="str">
        <v/>
      </c>
      <c r="BR4" s="7" t="str">
        <v/>
      </c>
      <c r="BS4" s="7" t="str">
        <v/>
      </c>
      <c r="BT4" s="7" t="str">
        <v/>
      </c>
      <c r="BU4" s="7" t="str">
        <v/>
      </c>
      <c r="BV4" s="7" t="str">
        <v/>
      </c>
      <c r="BW4" s="7" t="str">
        <v/>
      </c>
      <c r="BX4" s="7" t="str">
        <v/>
      </c>
      <c r="BY4" s="7" t="str">
        <v/>
      </c>
      <c r="BZ4" s="7" t="str">
        <v/>
      </c>
      <c r="CA4" s="7" t="str">
        <v/>
      </c>
      <c r="CB4" s="7" t="str">
        <v/>
      </c>
      <c r="CC4" s="7" t="str">
        <v/>
      </c>
      <c r="CD4" s="7" t="str">
        <v/>
      </c>
      <c r="CE4" s="7" t="str">
        <v/>
      </c>
      <c r="CF4" s="7" t="str">
        <v/>
      </c>
      <c r="CG4" s="7" t="str">
        <v/>
      </c>
      <c r="CH4" s="7" t="str">
        <v/>
      </c>
      <c r="CI4" s="7" t="str">
        <v/>
      </c>
      <c r="CJ4" s="7" t="str">
        <v/>
      </c>
      <c r="CK4" s="7" t="str">
        <v/>
      </c>
      <c r="CL4" s="7" t="str">
        <v/>
      </c>
      <c r="CM4" s="7" t="str">
        <v/>
      </c>
      <c r="CN4" s="7" t="str">
        <v/>
      </c>
      <c r="CO4" s="7" t="str">
        <v/>
      </c>
      <c r="CP4" s="7" t="str">
        <v/>
      </c>
      <c r="CQ4" s="7" t="str">
        <v/>
      </c>
      <c r="CR4" s="7" t="str">
        <v/>
      </c>
      <c r="CS4" s="7" t="str">
        <v/>
      </c>
      <c r="CT4" s="7" t="str">
        <v/>
      </c>
      <c r="CU4" s="7" t="str">
        <v/>
      </c>
      <c r="CV4" s="7" t="str">
        <v/>
      </c>
      <c r="CW4" s="7" t="str">
        <v/>
      </c>
      <c r="CX4" s="7" t="str">
        <v/>
      </c>
      <c r="CY4" s="7" t="str">
        <v/>
      </c>
      <c r="CZ4" s="7" t="str">
        <v/>
      </c>
      <c r="DA4" s="7" t="str">
        <v/>
      </c>
      <c r="DB4" s="7" t="str">
        <v/>
      </c>
      <c r="DC4" s="7" t="str">
        <v/>
      </c>
      <c r="DD4" s="7" t="str">
        <v/>
      </c>
    </row>
    <row r="5" spans="1:108" ht="15.75" customHeight="1">
      <c r="A5" s="71">
        <v>5</v>
      </c>
      <c r="C5" s="72" t="s">
        <v>54</v>
      </c>
      <c r="D5" s="72" t="s">
        <v>104</v>
      </c>
      <c r="E5" s="72" t="s">
        <v>104</v>
      </c>
      <c r="F5" s="72" t="s">
        <v>104</v>
      </c>
      <c r="G5" s="72" t="s">
        <v>104</v>
      </c>
      <c r="H5" s="72" t="s">
        <v>104</v>
      </c>
      <c r="I5" s="72" t="s">
        <v>104</v>
      </c>
      <c r="J5" s="72" t="s">
        <v>54</v>
      </c>
      <c r="K5" s="72" t="s">
        <v>37</v>
      </c>
      <c r="L5" s="72" t="s">
        <v>34</v>
      </c>
      <c r="M5" s="72" t="s">
        <v>34</v>
      </c>
      <c r="N5" s="72" t="s">
        <v>34</v>
      </c>
      <c r="O5" s="72" t="s">
        <v>47</v>
      </c>
      <c r="P5" s="72" t="s">
        <v>54</v>
      </c>
      <c r="Q5" s="72" t="s">
        <v>31</v>
      </c>
      <c r="R5" s="72" t="s">
        <v>54</v>
      </c>
      <c r="S5" s="72" t="s">
        <v>105</v>
      </c>
      <c r="T5" s="72" t="s">
        <v>105</v>
      </c>
      <c r="U5" s="72" t="s">
        <v>105</v>
      </c>
      <c r="V5" s="72" t="s">
        <v>54</v>
      </c>
      <c r="W5" s="72" t="s">
        <v>31</v>
      </c>
      <c r="X5" s="72" t="s">
        <v>45</v>
      </c>
      <c r="Y5" s="72" t="s">
        <v>41</v>
      </c>
      <c r="Z5" s="72" t="s">
        <v>54</v>
      </c>
      <c r="AA5" s="72" t="s">
        <v>54</v>
      </c>
      <c r="AB5" s="72" t="s">
        <v>31</v>
      </c>
      <c r="AC5" s="72" t="s">
        <v>31</v>
      </c>
      <c r="AD5" s="72" t="s">
        <v>31</v>
      </c>
      <c r="AE5" s="72" t="s">
        <v>45</v>
      </c>
      <c r="AF5" s="72" t="s">
        <v>41</v>
      </c>
      <c r="AG5" s="72" t="s">
        <v>54</v>
      </c>
      <c r="AH5" s="72" t="s">
        <v>45</v>
      </c>
      <c r="AI5" s="72" t="s">
        <v>41</v>
      </c>
      <c r="AJ5" s="72" t="s">
        <v>54</v>
      </c>
      <c r="AK5" s="72" t="s">
        <v>45</v>
      </c>
      <c r="AL5" s="72" t="s">
        <v>47</v>
      </c>
      <c r="AM5" s="72" t="s">
        <v>31</v>
      </c>
      <c r="AN5" s="72" t="s">
        <v>54</v>
      </c>
      <c r="AO5" s="72" t="s">
        <v>31</v>
      </c>
      <c r="AP5" s="72" t="s">
        <v>31</v>
      </c>
      <c r="AQ5" s="72" t="s">
        <v>54</v>
      </c>
      <c r="AR5" s="72" t="s">
        <v>113</v>
      </c>
      <c r="AS5" s="72" t="s">
        <v>54</v>
      </c>
      <c r="AT5" s="72" t="s">
        <v>37</v>
      </c>
      <c r="AU5" s="72" t="s">
        <v>34</v>
      </c>
      <c r="AV5" s="72" t="s">
        <v>41</v>
      </c>
      <c r="AW5" s="72" t="s">
        <v>31</v>
      </c>
      <c r="AX5" s="72" t="s">
        <v>54</v>
      </c>
      <c r="AY5" s="69"/>
      <c r="AZ5" s="69"/>
      <c r="BA5" s="69"/>
      <c r="BB5" s="69"/>
      <c r="BC5" s="26" t="s">
        <v>281</v>
      </c>
      <c r="BD5" s="26" t="s">
        <v>54</v>
      </c>
      <c r="BI5" s="7" t="str">
        <v/>
      </c>
      <c r="BJ5" s="7" t="str">
        <v/>
      </c>
      <c r="BK5" s="7" t="str">
        <v/>
      </c>
      <c r="BL5" s="7" t="str">
        <v/>
      </c>
      <c r="BM5" s="7" t="str">
        <v/>
      </c>
      <c r="BN5" s="7" t="str">
        <v/>
      </c>
      <c r="BO5" s="7" t="str">
        <v/>
      </c>
      <c r="BP5" s="7" t="str">
        <v/>
      </c>
      <c r="BQ5" s="7" t="str">
        <v/>
      </c>
      <c r="BR5" s="7" t="str">
        <v/>
      </c>
      <c r="BS5" s="7" t="str">
        <v/>
      </c>
      <c r="BT5" s="7" t="str">
        <v/>
      </c>
      <c r="BU5" s="7" t="str">
        <v/>
      </c>
      <c r="BV5" s="7" t="str">
        <v/>
      </c>
      <c r="BW5" s="7" t="str">
        <v/>
      </c>
      <c r="BX5" s="7" t="str">
        <v/>
      </c>
      <c r="BY5" s="7" t="str">
        <v/>
      </c>
      <c r="BZ5" s="7" t="str">
        <v/>
      </c>
      <c r="CA5" s="7" t="str">
        <v/>
      </c>
      <c r="CB5" s="7" t="str">
        <v/>
      </c>
      <c r="CC5" s="7" t="str">
        <v>0101</v>
      </c>
      <c r="CD5" s="7" t="str">
        <v>0110</v>
      </c>
      <c r="CE5" s="7" t="str">
        <v/>
      </c>
      <c r="CF5" s="7" t="str">
        <v/>
      </c>
      <c r="CG5" s="7" t="str">
        <v/>
      </c>
      <c r="CH5" s="7" t="str">
        <v>0101</v>
      </c>
      <c r="CI5" s="7" t="str">
        <v>0110</v>
      </c>
      <c r="CJ5" s="7" t="str">
        <v>0101</v>
      </c>
      <c r="CK5" s="7" t="str">
        <v>0110</v>
      </c>
      <c r="CL5" s="7" t="str">
        <v/>
      </c>
      <c r="CM5" s="7" t="str">
        <v/>
      </c>
      <c r="CN5" s="7" t="str">
        <v>0101</v>
      </c>
      <c r="CO5" s="7" t="str">
        <v>1010</v>
      </c>
      <c r="CP5" s="7" t="str">
        <v/>
      </c>
      <c r="CQ5" s="7" t="str">
        <v>1100</v>
      </c>
      <c r="CR5" s="7" t="str">
        <v>0101</v>
      </c>
      <c r="CS5" s="7" t="str">
        <v>0110</v>
      </c>
      <c r="CT5" s="7" t="str">
        <v/>
      </c>
      <c r="CU5" s="7" t="str">
        <v>1100</v>
      </c>
      <c r="CV5" s="7" t="str">
        <v/>
      </c>
      <c r="CW5" s="7" t="str">
        <v/>
      </c>
      <c r="CX5" s="7" t="str">
        <v/>
      </c>
      <c r="CY5" s="7" t="str">
        <v/>
      </c>
      <c r="CZ5" s="7" t="str">
        <v/>
      </c>
      <c r="DA5" s="7" t="str">
        <v/>
      </c>
      <c r="DB5" s="7" t="str">
        <v/>
      </c>
      <c r="DC5" s="7" t="str">
        <v/>
      </c>
      <c r="DD5" s="7" t="str">
        <v/>
      </c>
    </row>
    <row r="6" spans="1:108" ht="15.75" customHeight="1">
      <c r="A6" s="71">
        <v>6</v>
      </c>
      <c r="C6" s="72" t="s">
        <v>54</v>
      </c>
      <c r="D6" s="72" t="s">
        <v>104</v>
      </c>
      <c r="E6" s="72" t="s">
        <v>104</v>
      </c>
      <c r="F6" s="72" t="s">
        <v>104</v>
      </c>
      <c r="G6" s="72" t="s">
        <v>104</v>
      </c>
      <c r="H6" s="72" t="s">
        <v>104</v>
      </c>
      <c r="I6" s="72" t="s">
        <v>104</v>
      </c>
      <c r="J6" s="72" t="s">
        <v>54</v>
      </c>
      <c r="K6" s="72" t="s">
        <v>31</v>
      </c>
      <c r="L6" s="72" t="s">
        <v>54</v>
      </c>
      <c r="M6" s="72" t="s">
        <v>54</v>
      </c>
      <c r="N6" s="72" t="s">
        <v>54</v>
      </c>
      <c r="O6" s="72" t="s">
        <v>54</v>
      </c>
      <c r="P6" s="72" t="s">
        <v>54</v>
      </c>
      <c r="Q6" s="72" t="s">
        <v>31</v>
      </c>
      <c r="R6" s="72" t="s">
        <v>54</v>
      </c>
      <c r="S6" s="72" t="s">
        <v>105</v>
      </c>
      <c r="T6" s="72" t="s">
        <v>105</v>
      </c>
      <c r="U6" s="72" t="s">
        <v>105</v>
      </c>
      <c r="V6" s="72" t="s">
        <v>54</v>
      </c>
      <c r="W6" s="72" t="s">
        <v>31</v>
      </c>
      <c r="X6" s="72" t="s">
        <v>54</v>
      </c>
      <c r="Y6" s="72" t="s">
        <v>31</v>
      </c>
      <c r="Z6" s="72" t="s">
        <v>54</v>
      </c>
      <c r="AA6" s="72" t="s">
        <v>54</v>
      </c>
      <c r="AB6" s="72" t="s">
        <v>31</v>
      </c>
      <c r="AC6" s="72" t="s">
        <v>31</v>
      </c>
      <c r="AD6" s="72" t="s">
        <v>31</v>
      </c>
      <c r="AE6" s="72" t="s">
        <v>54</v>
      </c>
      <c r="AF6" s="72" t="s">
        <v>31</v>
      </c>
      <c r="AG6" s="72" t="s">
        <v>54</v>
      </c>
      <c r="AH6" s="72" t="s">
        <v>54</v>
      </c>
      <c r="AI6" s="72" t="s">
        <v>31</v>
      </c>
      <c r="AJ6" s="72" t="s">
        <v>54</v>
      </c>
      <c r="AK6" s="72" t="s">
        <v>54</v>
      </c>
      <c r="AL6" s="72" t="s">
        <v>54</v>
      </c>
      <c r="AM6" s="72" t="s">
        <v>31</v>
      </c>
      <c r="AN6" s="72" t="s">
        <v>54</v>
      </c>
      <c r="AO6" s="72" t="s">
        <v>31</v>
      </c>
      <c r="AP6" s="72" t="s">
        <v>31</v>
      </c>
      <c r="AQ6" s="72" t="s">
        <v>54</v>
      </c>
      <c r="AR6" s="72" t="s">
        <v>54</v>
      </c>
      <c r="AS6" s="72" t="s">
        <v>54</v>
      </c>
      <c r="AT6" s="72" t="s">
        <v>31</v>
      </c>
      <c r="AU6" s="72" t="s">
        <v>54</v>
      </c>
      <c r="AV6" s="72" t="s">
        <v>45</v>
      </c>
      <c r="AW6" s="72" t="s">
        <v>47</v>
      </c>
      <c r="AX6" s="72" t="s">
        <v>54</v>
      </c>
      <c r="AY6" s="69"/>
      <c r="AZ6" s="69"/>
      <c r="BA6" s="69"/>
      <c r="BB6" s="69"/>
      <c r="BC6" s="26" t="s">
        <v>282</v>
      </c>
      <c r="BD6" s="26" t="s">
        <v>54</v>
      </c>
      <c r="BI6" s="7" t="str">
        <v/>
      </c>
      <c r="BJ6" s="7" t="str">
        <v/>
      </c>
      <c r="BK6" s="7" t="str">
        <v/>
      </c>
      <c r="BL6" s="7" t="str">
        <v/>
      </c>
      <c r="BM6" s="7" t="str">
        <v/>
      </c>
      <c r="BN6" s="7" t="str">
        <v/>
      </c>
      <c r="BO6" s="7" t="str">
        <v/>
      </c>
      <c r="BP6" s="7" t="str">
        <v/>
      </c>
      <c r="BQ6" s="7" t="str">
        <v>0101</v>
      </c>
      <c r="BR6" s="7" t="str">
        <v>0011</v>
      </c>
      <c r="BS6" s="7" t="str">
        <v>0011</v>
      </c>
      <c r="BT6" s="7" t="str">
        <v>0011</v>
      </c>
      <c r="BU6" s="7" t="str">
        <v>1010</v>
      </c>
      <c r="BV6" s="7" t="str">
        <v/>
      </c>
      <c r="BW6" s="7" t="str">
        <v>1100</v>
      </c>
      <c r="BX6" s="7" t="str">
        <v/>
      </c>
      <c r="BY6" s="7" t="str">
        <v/>
      </c>
      <c r="BZ6" s="7" t="str">
        <v/>
      </c>
      <c r="CA6" s="7" t="str">
        <v/>
      </c>
      <c r="CB6" s="7" t="str">
        <v/>
      </c>
      <c r="CC6" s="7" t="str">
        <v>1100</v>
      </c>
      <c r="CD6" s="7" t="str">
        <v>1001</v>
      </c>
      <c r="CE6" s="7" t="str">
        <v>0110</v>
      </c>
      <c r="CF6" s="7" t="str">
        <v/>
      </c>
      <c r="CG6" s="7" t="str">
        <v/>
      </c>
      <c r="CH6" s="7" t="str">
        <v>1100</v>
      </c>
      <c r="CI6" s="7" t="str">
        <v>1100</v>
      </c>
      <c r="CJ6" s="7" t="str">
        <v>1100</v>
      </c>
      <c r="CK6" s="7" t="str">
        <v>1001</v>
      </c>
      <c r="CL6" s="7" t="str">
        <v>0110</v>
      </c>
      <c r="CM6" s="7" t="str">
        <v/>
      </c>
      <c r="CN6" s="7" t="str">
        <v>1001</v>
      </c>
      <c r="CO6" s="7" t="str">
        <v>0110</v>
      </c>
      <c r="CP6" s="7" t="str">
        <v/>
      </c>
      <c r="CQ6" s="7" t="str">
        <v>1001</v>
      </c>
      <c r="CR6" s="7" t="str">
        <v>1010</v>
      </c>
      <c r="CS6" s="7" t="str">
        <v>1100</v>
      </c>
      <c r="CT6" s="7" t="str">
        <v/>
      </c>
      <c r="CU6" s="7" t="str">
        <v>1100</v>
      </c>
      <c r="CV6" s="7" t="str">
        <v>1100</v>
      </c>
      <c r="CW6" s="7" t="str">
        <v/>
      </c>
      <c r="CX6" s="7" t="str">
        <v/>
      </c>
      <c r="CY6" s="7" t="str">
        <v/>
      </c>
      <c r="CZ6" s="7" t="str">
        <v>0101</v>
      </c>
      <c r="DA6" s="7" t="str">
        <v>0011</v>
      </c>
      <c r="DB6" s="7" t="str">
        <v>0110</v>
      </c>
      <c r="DC6" s="7" t="str">
        <v>1100</v>
      </c>
      <c r="DD6" s="7" t="str">
        <v/>
      </c>
    </row>
    <row r="7" spans="1:108" ht="15.75" customHeight="1">
      <c r="A7" s="71">
        <v>7</v>
      </c>
      <c r="C7" s="72" t="s">
        <v>54</v>
      </c>
      <c r="D7" s="72" t="s">
        <v>104</v>
      </c>
      <c r="E7" s="72" t="s">
        <v>104</v>
      </c>
      <c r="F7" s="72" t="s">
        <v>54</v>
      </c>
      <c r="G7" s="72" t="s">
        <v>54</v>
      </c>
      <c r="H7" s="72" t="s">
        <v>54</v>
      </c>
      <c r="I7" s="72" t="s">
        <v>54</v>
      </c>
      <c r="J7" s="72" t="s">
        <v>54</v>
      </c>
      <c r="K7" s="72" t="s">
        <v>45</v>
      </c>
      <c r="L7" s="72" t="s">
        <v>34</v>
      </c>
      <c r="M7" s="72" t="s">
        <v>41</v>
      </c>
      <c r="N7" s="72" t="s">
        <v>54</v>
      </c>
      <c r="O7" s="72" t="s">
        <v>54</v>
      </c>
      <c r="P7" s="72" t="s">
        <v>54</v>
      </c>
      <c r="Q7" s="72" t="s">
        <v>31</v>
      </c>
      <c r="R7" s="72" t="s">
        <v>54</v>
      </c>
      <c r="S7" s="72" t="s">
        <v>105</v>
      </c>
      <c r="T7" s="72" t="s">
        <v>105</v>
      </c>
      <c r="U7" s="72" t="s">
        <v>105</v>
      </c>
      <c r="V7" s="72" t="s">
        <v>54</v>
      </c>
      <c r="W7" s="72" t="s">
        <v>31</v>
      </c>
      <c r="X7" s="72" t="s">
        <v>54</v>
      </c>
      <c r="Y7" s="72" t="s">
        <v>31</v>
      </c>
      <c r="Z7" s="72" t="s">
        <v>54</v>
      </c>
      <c r="AA7" s="72" t="s">
        <v>54</v>
      </c>
      <c r="AB7" s="72" t="s">
        <v>31</v>
      </c>
      <c r="AC7" s="72" t="s">
        <v>31</v>
      </c>
      <c r="AD7" s="72" t="s">
        <v>31</v>
      </c>
      <c r="AE7" s="72" t="s">
        <v>54</v>
      </c>
      <c r="AF7" s="72" t="s">
        <v>45</v>
      </c>
      <c r="AG7" s="72" t="s">
        <v>41</v>
      </c>
      <c r="AH7" s="72" t="s">
        <v>54</v>
      </c>
      <c r="AI7" s="72" t="s">
        <v>31</v>
      </c>
      <c r="AJ7" s="72" t="s">
        <v>54</v>
      </c>
      <c r="AK7" s="72" t="s">
        <v>37</v>
      </c>
      <c r="AL7" s="72" t="s">
        <v>34</v>
      </c>
      <c r="AM7" s="72" t="s">
        <v>47</v>
      </c>
      <c r="AN7" s="72" t="s">
        <v>37</v>
      </c>
      <c r="AO7" s="72" t="s">
        <v>47</v>
      </c>
      <c r="AP7" s="72" t="s">
        <v>31</v>
      </c>
      <c r="AQ7" s="72" t="s">
        <v>37</v>
      </c>
      <c r="AR7" s="72" t="s">
        <v>34</v>
      </c>
      <c r="AS7" s="72" t="s">
        <v>41</v>
      </c>
      <c r="AT7" s="72" t="s">
        <v>31</v>
      </c>
      <c r="AU7" s="72" t="s">
        <v>54</v>
      </c>
      <c r="AV7" s="72" t="s">
        <v>54</v>
      </c>
      <c r="AW7" s="72" t="s">
        <v>54</v>
      </c>
      <c r="AX7" s="72" t="s">
        <v>54</v>
      </c>
      <c r="AY7" s="69"/>
      <c r="AZ7" s="69"/>
      <c r="BA7" s="69"/>
      <c r="BB7" s="69"/>
      <c r="BC7" s="26" t="s">
        <v>283</v>
      </c>
      <c r="BD7" s="26" t="s">
        <v>54</v>
      </c>
      <c r="BI7" s="7" t="str">
        <v/>
      </c>
      <c r="BJ7" s="7" t="str">
        <v/>
      </c>
      <c r="BK7" s="7" t="str">
        <v/>
      </c>
      <c r="BL7" s="7" t="str">
        <v/>
      </c>
      <c r="BM7" s="7" t="str">
        <v/>
      </c>
      <c r="BN7" s="7" t="str">
        <v/>
      </c>
      <c r="BO7" s="7" t="str">
        <v/>
      </c>
      <c r="BP7" s="7" t="str">
        <v/>
      </c>
      <c r="BQ7" s="7" t="str">
        <v>1100</v>
      </c>
      <c r="BR7" s="7" t="str">
        <v/>
      </c>
      <c r="BS7" s="7" t="str">
        <v/>
      </c>
      <c r="BT7" s="7" t="str">
        <v/>
      </c>
      <c r="BU7" s="7" t="str">
        <v/>
      </c>
      <c r="BV7" s="7" t="str">
        <v/>
      </c>
      <c r="BW7" s="7" t="str">
        <v>1100</v>
      </c>
      <c r="BX7" s="7" t="str">
        <v/>
      </c>
      <c r="BY7" s="7" t="str">
        <v/>
      </c>
      <c r="BZ7" s="7" t="str">
        <v/>
      </c>
      <c r="CA7" s="7" t="str">
        <v/>
      </c>
      <c r="CB7" s="7" t="str">
        <v/>
      </c>
      <c r="CC7" s="7" t="str">
        <v>1100</v>
      </c>
      <c r="CD7" s="7" t="str">
        <v/>
      </c>
      <c r="CE7" s="7" t="str">
        <v>1100</v>
      </c>
      <c r="CF7" s="7" t="str">
        <v/>
      </c>
      <c r="CG7" s="7" t="str">
        <v/>
      </c>
      <c r="CH7" s="7" t="str">
        <v>1100</v>
      </c>
      <c r="CI7" s="7" t="str">
        <v>1100</v>
      </c>
      <c r="CJ7" s="7" t="str">
        <v>1100</v>
      </c>
      <c r="CK7" s="7" t="str">
        <v/>
      </c>
      <c r="CL7" s="7" t="str">
        <v>1100</v>
      </c>
      <c r="CM7" s="7" t="str">
        <v/>
      </c>
      <c r="CN7" s="7" t="str">
        <v/>
      </c>
      <c r="CO7" s="7" t="str">
        <v>1100</v>
      </c>
      <c r="CP7" s="7" t="str">
        <v/>
      </c>
      <c r="CQ7" s="7" t="str">
        <v/>
      </c>
      <c r="CR7" s="7" t="str">
        <v/>
      </c>
      <c r="CS7" s="7" t="str">
        <v>1100</v>
      </c>
      <c r="CT7" s="7" t="str">
        <v/>
      </c>
      <c r="CU7" s="7" t="str">
        <v>1100</v>
      </c>
      <c r="CV7" s="7" t="str">
        <v>1100</v>
      </c>
      <c r="CW7" s="7" t="str">
        <v/>
      </c>
      <c r="CX7" s="7" t="str">
        <v/>
      </c>
      <c r="CY7" s="7" t="str">
        <v/>
      </c>
      <c r="CZ7" s="7" t="str">
        <v>1100</v>
      </c>
      <c r="DA7" s="7" t="str">
        <v/>
      </c>
      <c r="DB7" s="7" t="str">
        <v>1001</v>
      </c>
      <c r="DC7" s="7" t="str">
        <v>1010</v>
      </c>
      <c r="DD7" s="7" t="str">
        <v/>
      </c>
    </row>
    <row r="8" spans="1:108" ht="15.75" customHeight="1">
      <c r="A8" s="71">
        <v>8</v>
      </c>
      <c r="C8" s="72" t="s">
        <v>54</v>
      </c>
      <c r="D8" s="72" t="s">
        <v>54</v>
      </c>
      <c r="E8" s="72" t="s">
        <v>54</v>
      </c>
      <c r="F8" s="72" t="s">
        <v>54</v>
      </c>
      <c r="G8" s="72" t="s">
        <v>37</v>
      </c>
      <c r="H8" s="72" t="s">
        <v>41</v>
      </c>
      <c r="I8" s="72" t="s">
        <v>54</v>
      </c>
      <c r="J8" s="72" t="s">
        <v>106</v>
      </c>
      <c r="K8" s="72" t="s">
        <v>54</v>
      </c>
      <c r="L8" s="72" t="s">
        <v>54</v>
      </c>
      <c r="M8" s="72" t="s">
        <v>45</v>
      </c>
      <c r="N8" s="72" t="s">
        <v>34</v>
      </c>
      <c r="O8" s="72" t="s">
        <v>41</v>
      </c>
      <c r="P8" s="72" t="s">
        <v>54</v>
      </c>
      <c r="Q8" s="72" t="s">
        <v>31</v>
      </c>
      <c r="R8" s="72" t="s">
        <v>54</v>
      </c>
      <c r="S8" s="72" t="s">
        <v>105</v>
      </c>
      <c r="T8" s="72" t="s">
        <v>105</v>
      </c>
      <c r="U8" s="72" t="s">
        <v>105</v>
      </c>
      <c r="V8" s="72" t="s">
        <v>54</v>
      </c>
      <c r="W8" s="72" t="s">
        <v>31</v>
      </c>
      <c r="X8" s="72" t="s">
        <v>54</v>
      </c>
      <c r="Y8" s="72" t="s">
        <v>31</v>
      </c>
      <c r="Z8" s="72" t="s">
        <v>54</v>
      </c>
      <c r="AA8" s="72" t="s">
        <v>37</v>
      </c>
      <c r="AB8" s="72" t="s">
        <v>47</v>
      </c>
      <c r="AC8" s="72" t="s">
        <v>31</v>
      </c>
      <c r="AD8" s="72" t="s">
        <v>31</v>
      </c>
      <c r="AE8" s="72" t="s">
        <v>54</v>
      </c>
      <c r="AF8" s="72" t="s">
        <v>37</v>
      </c>
      <c r="AG8" s="72" t="s">
        <v>47</v>
      </c>
      <c r="AH8" s="72" t="s">
        <v>54</v>
      </c>
      <c r="AI8" s="72" t="s">
        <v>31</v>
      </c>
      <c r="AJ8" s="72" t="s">
        <v>54</v>
      </c>
      <c r="AK8" s="72" t="s">
        <v>31</v>
      </c>
      <c r="AL8" s="72" t="s">
        <v>37</v>
      </c>
      <c r="AM8" s="72" t="s">
        <v>34</v>
      </c>
      <c r="AN8" s="72" t="s">
        <v>47</v>
      </c>
      <c r="AO8" s="72" t="s">
        <v>54</v>
      </c>
      <c r="AP8" s="72" t="s">
        <v>31</v>
      </c>
      <c r="AQ8" s="72" t="s">
        <v>31</v>
      </c>
      <c r="AR8" s="72" t="s">
        <v>54</v>
      </c>
      <c r="AS8" s="72" t="s">
        <v>31</v>
      </c>
      <c r="AT8" s="72" t="s">
        <v>45</v>
      </c>
      <c r="AU8" s="72" t="s">
        <v>34</v>
      </c>
      <c r="AV8" s="72" t="s">
        <v>41</v>
      </c>
      <c r="AW8" s="72" t="s">
        <v>54</v>
      </c>
      <c r="AX8" s="72" t="s">
        <v>54</v>
      </c>
      <c r="AY8" s="69"/>
      <c r="AZ8" s="69"/>
      <c r="BA8" s="69"/>
      <c r="BB8" s="69"/>
      <c r="BC8" s="26" t="s">
        <v>284</v>
      </c>
      <c r="BD8" s="26" t="s">
        <v>54</v>
      </c>
      <c r="BI8" s="7" t="str">
        <v/>
      </c>
      <c r="BJ8" s="7" t="str">
        <v/>
      </c>
      <c r="BK8" s="7" t="str">
        <v/>
      </c>
      <c r="BL8" s="7" t="str">
        <v/>
      </c>
      <c r="BM8" s="7" t="str">
        <v/>
      </c>
      <c r="BN8" s="7" t="str">
        <v/>
      </c>
      <c r="BO8" s="7" t="str">
        <v/>
      </c>
      <c r="BP8" s="7" t="str">
        <v/>
      </c>
      <c r="BQ8" s="7" t="str">
        <v>1001</v>
      </c>
      <c r="BR8" s="7" t="str">
        <v>0011</v>
      </c>
      <c r="BS8" s="7" t="str">
        <v>0110</v>
      </c>
      <c r="BT8" s="7" t="str">
        <v/>
      </c>
      <c r="BU8" s="7" t="str">
        <v/>
      </c>
      <c r="BV8" s="7" t="str">
        <v/>
      </c>
      <c r="BW8" s="7" t="str">
        <v>1100</v>
      </c>
      <c r="BX8" s="7" t="str">
        <v/>
      </c>
      <c r="BY8" s="7" t="str">
        <v/>
      </c>
      <c r="BZ8" s="7" t="str">
        <v/>
      </c>
      <c r="CA8" s="7" t="str">
        <v/>
      </c>
      <c r="CB8" s="7" t="str">
        <v/>
      </c>
      <c r="CC8" s="7" t="str">
        <v>1100</v>
      </c>
      <c r="CD8" s="7" t="str">
        <v/>
      </c>
      <c r="CE8" s="7" t="str">
        <v>1100</v>
      </c>
      <c r="CF8" s="7" t="str">
        <v/>
      </c>
      <c r="CG8" s="7" t="str">
        <v/>
      </c>
      <c r="CH8" s="7" t="str">
        <v>1100</v>
      </c>
      <c r="CI8" s="7" t="str">
        <v>1100</v>
      </c>
      <c r="CJ8" s="7" t="str">
        <v>1100</v>
      </c>
      <c r="CK8" s="7" t="str">
        <v/>
      </c>
      <c r="CL8" s="7" t="str">
        <v>1001</v>
      </c>
      <c r="CM8" s="7" t="str">
        <v>0110</v>
      </c>
      <c r="CN8" s="7" t="str">
        <v/>
      </c>
      <c r="CO8" s="7" t="str">
        <v>1100</v>
      </c>
      <c r="CP8" s="7" t="str">
        <v/>
      </c>
      <c r="CQ8" s="7" t="str">
        <v>0101</v>
      </c>
      <c r="CR8" s="7" t="str">
        <v>0011</v>
      </c>
      <c r="CS8" s="7" t="str">
        <v>1010</v>
      </c>
      <c r="CT8" s="7" t="str">
        <v>0101</v>
      </c>
      <c r="CU8" s="7" t="str">
        <v>1010</v>
      </c>
      <c r="CV8" s="7" t="str">
        <v>1100</v>
      </c>
      <c r="CW8" s="7" t="str">
        <v>0101</v>
      </c>
      <c r="CX8" s="7" t="str">
        <v>0011</v>
      </c>
      <c r="CY8" s="7" t="str">
        <v>0110</v>
      </c>
      <c r="CZ8" s="7" t="str">
        <v>1100</v>
      </c>
      <c r="DA8" s="7" t="str">
        <v/>
      </c>
      <c r="DB8" s="7" t="str">
        <v/>
      </c>
      <c r="DC8" s="7" t="str">
        <v/>
      </c>
      <c r="DD8" s="7" t="str">
        <v/>
      </c>
    </row>
    <row r="9" spans="1:108" ht="15.75" customHeight="1">
      <c r="A9" s="71">
        <v>9</v>
      </c>
      <c r="C9" s="72" t="s">
        <v>54</v>
      </c>
      <c r="D9" s="72" t="s">
        <v>54</v>
      </c>
      <c r="E9" s="72" t="s">
        <v>37</v>
      </c>
      <c r="F9" s="72" t="s">
        <v>34</v>
      </c>
      <c r="G9" s="72" t="s">
        <v>47</v>
      </c>
      <c r="H9" s="72" t="s">
        <v>31</v>
      </c>
      <c r="I9" s="72" t="s">
        <v>54</v>
      </c>
      <c r="J9" s="72" t="s">
        <v>106</v>
      </c>
      <c r="K9" s="72" t="s">
        <v>106</v>
      </c>
      <c r="L9" s="72" t="s">
        <v>106</v>
      </c>
      <c r="M9" s="72" t="s">
        <v>54</v>
      </c>
      <c r="N9" s="72" t="s">
        <v>54</v>
      </c>
      <c r="O9" s="72" t="s">
        <v>31</v>
      </c>
      <c r="P9" s="72" t="s">
        <v>54</v>
      </c>
      <c r="Q9" s="72" t="s">
        <v>31</v>
      </c>
      <c r="R9" s="72" t="s">
        <v>54</v>
      </c>
      <c r="S9" s="72" t="s">
        <v>54</v>
      </c>
      <c r="T9" s="72" t="s">
        <v>54</v>
      </c>
      <c r="U9" s="72" t="s">
        <v>54</v>
      </c>
      <c r="V9" s="72" t="s">
        <v>54</v>
      </c>
      <c r="W9" s="72" t="s">
        <v>31</v>
      </c>
      <c r="X9" s="72" t="s">
        <v>54</v>
      </c>
      <c r="Y9" s="72" t="s">
        <v>31</v>
      </c>
      <c r="Z9" s="72" t="s">
        <v>37</v>
      </c>
      <c r="AA9" s="72" t="s">
        <v>47</v>
      </c>
      <c r="AB9" s="72" t="s">
        <v>54</v>
      </c>
      <c r="AC9" s="72" t="s">
        <v>31</v>
      </c>
      <c r="AD9" s="72" t="s">
        <v>31</v>
      </c>
      <c r="AE9" s="72" t="s">
        <v>54</v>
      </c>
      <c r="AF9" s="72" t="s">
        <v>31</v>
      </c>
      <c r="AG9" s="72" t="s">
        <v>54</v>
      </c>
      <c r="AH9" s="72" t="s">
        <v>54</v>
      </c>
      <c r="AI9" s="72" t="s">
        <v>31</v>
      </c>
      <c r="AJ9" s="72" t="s">
        <v>54</v>
      </c>
      <c r="AK9" s="72" t="s">
        <v>31</v>
      </c>
      <c r="AL9" s="72" t="s">
        <v>31</v>
      </c>
      <c r="AM9" s="72" t="s">
        <v>54</v>
      </c>
      <c r="AN9" s="72" t="s">
        <v>54</v>
      </c>
      <c r="AO9" s="72" t="s">
        <v>54</v>
      </c>
      <c r="AP9" s="72" t="s">
        <v>31</v>
      </c>
      <c r="AQ9" s="72" t="s">
        <v>45</v>
      </c>
      <c r="AR9" s="72" t="s">
        <v>41</v>
      </c>
      <c r="AS9" s="72" t="s">
        <v>31</v>
      </c>
      <c r="AT9" s="72" t="s">
        <v>54</v>
      </c>
      <c r="AU9" s="72" t="s">
        <v>54</v>
      </c>
      <c r="AV9" s="72" t="s">
        <v>31</v>
      </c>
      <c r="AW9" s="72" t="s">
        <v>54</v>
      </c>
      <c r="AX9" s="72" t="s">
        <v>54</v>
      </c>
      <c r="AY9" s="69"/>
      <c r="AZ9" s="69"/>
      <c r="BA9" s="69"/>
      <c r="BB9" s="69"/>
      <c r="BC9" s="26" t="s">
        <v>285</v>
      </c>
      <c r="BD9" s="26" t="s">
        <v>54</v>
      </c>
      <c r="BI9" s="7" t="str">
        <v/>
      </c>
      <c r="BJ9" s="7" t="str">
        <v/>
      </c>
      <c r="BK9" s="7" t="str">
        <v/>
      </c>
      <c r="BL9" s="7" t="str">
        <v/>
      </c>
      <c r="BM9" s="7" t="str">
        <v>0101</v>
      </c>
      <c r="BN9" s="7" t="str">
        <v>0110</v>
      </c>
      <c r="BO9" s="7" t="str">
        <v/>
      </c>
      <c r="BP9" s="7" t="str">
        <v/>
      </c>
      <c r="BQ9" s="7" t="str">
        <v/>
      </c>
      <c r="BR9" s="7" t="str">
        <v/>
      </c>
      <c r="BS9" s="7" t="str">
        <v>1001</v>
      </c>
      <c r="BT9" s="7" t="str">
        <v>0011</v>
      </c>
      <c r="BU9" s="7" t="str">
        <v>0110</v>
      </c>
      <c r="BV9" s="7" t="str">
        <v/>
      </c>
      <c r="BW9" s="7" t="str">
        <v>1100</v>
      </c>
      <c r="BX9" s="7" t="str">
        <v/>
      </c>
      <c r="BY9" s="7" t="str">
        <v/>
      </c>
      <c r="BZ9" s="7" t="str">
        <v/>
      </c>
      <c r="CA9" s="7" t="str">
        <v/>
      </c>
      <c r="CB9" s="7" t="str">
        <v/>
      </c>
      <c r="CC9" s="7" t="str">
        <v>1100</v>
      </c>
      <c r="CD9" s="7" t="str">
        <v/>
      </c>
      <c r="CE9" s="7" t="str">
        <v>1100</v>
      </c>
      <c r="CF9" s="7" t="str">
        <v/>
      </c>
      <c r="CG9" s="7" t="str">
        <v>0101</v>
      </c>
      <c r="CH9" s="7" t="str">
        <v>1010</v>
      </c>
      <c r="CI9" s="7" t="str">
        <v>1100</v>
      </c>
      <c r="CJ9" s="7" t="str">
        <v>1100</v>
      </c>
      <c r="CK9" s="7" t="str">
        <v/>
      </c>
      <c r="CL9" s="7" t="str">
        <v>0101</v>
      </c>
      <c r="CM9" s="7" t="str">
        <v>1010</v>
      </c>
      <c r="CN9" s="7" t="str">
        <v/>
      </c>
      <c r="CO9" s="7" t="str">
        <v>1100</v>
      </c>
      <c r="CP9" s="7" t="str">
        <v/>
      </c>
      <c r="CQ9" s="7" t="str">
        <v>1100</v>
      </c>
      <c r="CR9" s="7" t="str">
        <v>0101</v>
      </c>
      <c r="CS9" s="7" t="str">
        <v>0011</v>
      </c>
      <c r="CT9" s="7" t="str">
        <v>1010</v>
      </c>
      <c r="CU9" s="7" t="str">
        <v/>
      </c>
      <c r="CV9" s="7" t="str">
        <v>1100</v>
      </c>
      <c r="CW9" s="7" t="str">
        <v>1100</v>
      </c>
      <c r="CX9" s="7" t="str">
        <v/>
      </c>
      <c r="CY9" s="7" t="str">
        <v>1100</v>
      </c>
      <c r="CZ9" s="7" t="str">
        <v>1001</v>
      </c>
      <c r="DA9" s="7" t="str">
        <v>0011</v>
      </c>
      <c r="DB9" s="7" t="str">
        <v>0110</v>
      </c>
      <c r="DC9" s="7" t="str">
        <v/>
      </c>
      <c r="DD9" s="7" t="str">
        <v/>
      </c>
    </row>
    <row r="10" spans="1:108" ht="15.75" customHeight="1">
      <c r="A10" s="71">
        <v>10</v>
      </c>
      <c r="C10" s="72" t="s">
        <v>54</v>
      </c>
      <c r="D10" s="72" t="s">
        <v>54</v>
      </c>
      <c r="E10" s="72" t="s">
        <v>31</v>
      </c>
      <c r="F10" s="72" t="s">
        <v>54</v>
      </c>
      <c r="G10" s="72" t="s">
        <v>54</v>
      </c>
      <c r="H10" s="72" t="s">
        <v>45</v>
      </c>
      <c r="I10" s="72" t="s">
        <v>41</v>
      </c>
      <c r="J10" s="72" t="s">
        <v>54</v>
      </c>
      <c r="K10" s="72" t="s">
        <v>54</v>
      </c>
      <c r="L10" s="72" t="s">
        <v>54</v>
      </c>
      <c r="M10" s="72" t="s">
        <v>54</v>
      </c>
      <c r="N10" s="72" t="s">
        <v>37</v>
      </c>
      <c r="O10" s="72" t="s">
        <v>47</v>
      </c>
      <c r="P10" s="72" t="s">
        <v>54</v>
      </c>
      <c r="Q10" s="72" t="s">
        <v>45</v>
      </c>
      <c r="R10" s="72" t="s">
        <v>41</v>
      </c>
      <c r="S10" s="72" t="s">
        <v>54</v>
      </c>
      <c r="T10" s="72" t="s">
        <v>37</v>
      </c>
      <c r="U10" s="72" t="s">
        <v>41</v>
      </c>
      <c r="V10" s="72" t="s">
        <v>54</v>
      </c>
      <c r="W10" s="72" t="s">
        <v>31</v>
      </c>
      <c r="X10" s="72" t="s">
        <v>54</v>
      </c>
      <c r="Y10" s="72" t="s">
        <v>45</v>
      </c>
      <c r="Z10" s="72" t="s">
        <v>47</v>
      </c>
      <c r="AA10" s="72" t="s">
        <v>54</v>
      </c>
      <c r="AB10" s="72" t="s">
        <v>54</v>
      </c>
      <c r="AC10" s="72" t="s">
        <v>31</v>
      </c>
      <c r="AD10" s="72" t="s">
        <v>31</v>
      </c>
      <c r="AE10" s="72" t="s">
        <v>54</v>
      </c>
      <c r="AF10" s="72" t="s">
        <v>45</v>
      </c>
      <c r="AG10" s="72" t="s">
        <v>34</v>
      </c>
      <c r="AH10" s="72" t="s">
        <v>34</v>
      </c>
      <c r="AI10" s="72" t="s">
        <v>47</v>
      </c>
      <c r="AJ10" s="72" t="s">
        <v>54</v>
      </c>
      <c r="AK10" s="72" t="s">
        <v>31</v>
      </c>
      <c r="AL10" s="72" t="s">
        <v>31</v>
      </c>
      <c r="AM10" s="72" t="s">
        <v>54</v>
      </c>
      <c r="AN10" s="72" t="s">
        <v>114</v>
      </c>
      <c r="AO10" s="72" t="s">
        <v>54</v>
      </c>
      <c r="AP10" s="72" t="s">
        <v>45</v>
      </c>
      <c r="AQ10" s="72" t="s">
        <v>41</v>
      </c>
      <c r="AR10" s="72" t="s">
        <v>31</v>
      </c>
      <c r="AS10" s="72" t="s">
        <v>31</v>
      </c>
      <c r="AT10" s="72" t="s">
        <v>54</v>
      </c>
      <c r="AU10" s="72" t="s">
        <v>37</v>
      </c>
      <c r="AV10" s="72" t="s">
        <v>47</v>
      </c>
      <c r="AW10" s="72" t="s">
        <v>54</v>
      </c>
      <c r="AX10" s="72" t="s">
        <v>54</v>
      </c>
      <c r="AY10" s="69"/>
      <c r="AZ10" s="69"/>
      <c r="BA10" s="69"/>
      <c r="BB10" s="69"/>
      <c r="BC10" s="26" t="s">
        <v>286</v>
      </c>
      <c r="BD10" s="26" t="s">
        <v>54</v>
      </c>
      <c r="BI10" s="7" t="str">
        <v/>
      </c>
      <c r="BJ10" s="7" t="str">
        <v/>
      </c>
      <c r="BK10" s="7" t="str">
        <v>0101</v>
      </c>
      <c r="BL10" s="7" t="str">
        <v>0011</v>
      </c>
      <c r="BM10" s="7" t="str">
        <v>1010</v>
      </c>
      <c r="BN10" s="7" t="str">
        <v>1100</v>
      </c>
      <c r="BO10" s="7" t="str">
        <v/>
      </c>
      <c r="BP10" s="7" t="str">
        <v/>
      </c>
      <c r="BQ10" s="7" t="str">
        <v/>
      </c>
      <c r="BR10" s="7" t="str">
        <v/>
      </c>
      <c r="BS10" s="7" t="str">
        <v/>
      </c>
      <c r="BT10" s="7" t="str">
        <v/>
      </c>
      <c r="BU10" s="7" t="str">
        <v>1100</v>
      </c>
      <c r="BV10" s="7" t="str">
        <v/>
      </c>
      <c r="BW10" s="7" t="str">
        <v>1100</v>
      </c>
      <c r="BX10" s="7" t="str">
        <v/>
      </c>
      <c r="BY10" s="7" t="str">
        <v/>
      </c>
      <c r="BZ10" s="7" t="str">
        <v/>
      </c>
      <c r="CA10" s="7" t="str">
        <v/>
      </c>
      <c r="CB10" s="7" t="str">
        <v/>
      </c>
      <c r="CC10" s="7" t="str">
        <v>1100</v>
      </c>
      <c r="CD10" s="7" t="str">
        <v/>
      </c>
      <c r="CE10" s="7" t="str">
        <v>1100</v>
      </c>
      <c r="CF10" s="7" t="str">
        <v>0101</v>
      </c>
      <c r="CG10" s="7" t="str">
        <v>1010</v>
      </c>
      <c r="CH10" s="7" t="str">
        <v/>
      </c>
      <c r="CI10" s="7" t="str">
        <v>1100</v>
      </c>
      <c r="CJ10" s="7" t="str">
        <v>1100</v>
      </c>
      <c r="CK10" s="7" t="str">
        <v/>
      </c>
      <c r="CL10" s="7" t="str">
        <v>1100</v>
      </c>
      <c r="CM10" s="7" t="str">
        <v/>
      </c>
      <c r="CN10" s="7" t="str">
        <v/>
      </c>
      <c r="CO10" s="7" t="str">
        <v>1100</v>
      </c>
      <c r="CP10" s="7" t="str">
        <v/>
      </c>
      <c r="CQ10" s="7" t="str">
        <v>1100</v>
      </c>
      <c r="CR10" s="7" t="str">
        <v>1100</v>
      </c>
      <c r="CS10" s="7" t="str">
        <v/>
      </c>
      <c r="CT10" s="7" t="str">
        <v/>
      </c>
      <c r="CU10" s="7" t="str">
        <v/>
      </c>
      <c r="CV10" s="7" t="str">
        <v>1100</v>
      </c>
      <c r="CW10" s="7" t="str">
        <v>1001</v>
      </c>
      <c r="CX10" s="7" t="str">
        <v>0110</v>
      </c>
      <c r="CY10" s="7" t="str">
        <v>1100</v>
      </c>
      <c r="CZ10" s="7" t="str">
        <v/>
      </c>
      <c r="DA10" s="7" t="str">
        <v/>
      </c>
      <c r="DB10" s="7" t="str">
        <v>1100</v>
      </c>
      <c r="DC10" s="7" t="str">
        <v/>
      </c>
      <c r="DD10" s="7" t="str">
        <v/>
      </c>
    </row>
    <row r="11" spans="1:108" ht="15.75" customHeight="1">
      <c r="A11" s="71">
        <v>11</v>
      </c>
      <c r="C11" s="72" t="s">
        <v>54</v>
      </c>
      <c r="D11" s="72" t="s">
        <v>54</v>
      </c>
      <c r="E11" s="72" t="s">
        <v>31</v>
      </c>
      <c r="F11" s="72" t="s">
        <v>54</v>
      </c>
      <c r="G11" s="72" t="s">
        <v>111</v>
      </c>
      <c r="H11" s="72" t="s">
        <v>54</v>
      </c>
      <c r="I11" s="72" t="s">
        <v>45</v>
      </c>
      <c r="J11" s="72" t="s">
        <v>34</v>
      </c>
      <c r="K11" s="72" t="s">
        <v>34</v>
      </c>
      <c r="L11" s="72" t="s">
        <v>34</v>
      </c>
      <c r="M11" s="72" t="s">
        <v>34</v>
      </c>
      <c r="N11" s="72" t="s">
        <v>47</v>
      </c>
      <c r="O11" s="72" t="s">
        <v>54</v>
      </c>
      <c r="P11" s="72" t="s">
        <v>54</v>
      </c>
      <c r="Q11" s="72" t="s">
        <v>54</v>
      </c>
      <c r="R11" s="72" t="s">
        <v>45</v>
      </c>
      <c r="S11" s="72" t="s">
        <v>34</v>
      </c>
      <c r="T11" s="72" t="s">
        <v>47</v>
      </c>
      <c r="U11" s="72" t="s">
        <v>52</v>
      </c>
      <c r="V11" s="72" t="s">
        <v>54</v>
      </c>
      <c r="W11" s="72" t="s">
        <v>49</v>
      </c>
      <c r="X11" s="72" t="s">
        <v>54</v>
      </c>
      <c r="Y11" s="72" t="s">
        <v>54</v>
      </c>
      <c r="Z11" s="72" t="s">
        <v>54</v>
      </c>
      <c r="AA11" s="72" t="s">
        <v>54</v>
      </c>
      <c r="AB11" s="72" t="s">
        <v>54</v>
      </c>
      <c r="AC11" s="72" t="s">
        <v>45</v>
      </c>
      <c r="AD11" s="72" t="s">
        <v>47</v>
      </c>
      <c r="AE11" s="72" t="s">
        <v>54</v>
      </c>
      <c r="AF11" s="72" t="s">
        <v>54</v>
      </c>
      <c r="AG11" s="72" t="s">
        <v>54</v>
      </c>
      <c r="AH11" s="72" t="s">
        <v>54</v>
      </c>
      <c r="AI11" s="72" t="s">
        <v>54</v>
      </c>
      <c r="AJ11" s="72" t="s">
        <v>54</v>
      </c>
      <c r="AK11" s="72" t="s">
        <v>45</v>
      </c>
      <c r="AL11" s="72" t="s">
        <v>47</v>
      </c>
      <c r="AM11" s="72" t="s">
        <v>54</v>
      </c>
      <c r="AN11" s="72" t="s">
        <v>114</v>
      </c>
      <c r="AO11" s="72" t="s">
        <v>54</v>
      </c>
      <c r="AP11" s="72" t="s">
        <v>54</v>
      </c>
      <c r="AQ11" s="72" t="s">
        <v>31</v>
      </c>
      <c r="AR11" s="72" t="s">
        <v>31</v>
      </c>
      <c r="AS11" s="72" t="s">
        <v>31</v>
      </c>
      <c r="AT11" s="72" t="s">
        <v>54</v>
      </c>
      <c r="AU11" s="72" t="s">
        <v>31</v>
      </c>
      <c r="AV11" s="72" t="s">
        <v>54</v>
      </c>
      <c r="AW11" s="72" t="s">
        <v>54</v>
      </c>
      <c r="AX11" s="72" t="s">
        <v>54</v>
      </c>
      <c r="AY11" s="69"/>
      <c r="AZ11" s="69"/>
      <c r="BA11" s="69"/>
      <c r="BB11" s="69"/>
      <c r="BC11" s="26" t="s">
        <v>287</v>
      </c>
      <c r="BD11" s="26" t="s">
        <v>54</v>
      </c>
      <c r="BI11" s="7" t="str">
        <v/>
      </c>
      <c r="BJ11" s="7" t="str">
        <v/>
      </c>
      <c r="BK11" s="7" t="str">
        <v>1100</v>
      </c>
      <c r="BL11" s="7" t="str">
        <v/>
      </c>
      <c r="BM11" s="7" t="str">
        <v/>
      </c>
      <c r="BN11" s="7" t="str">
        <v>1001</v>
      </c>
      <c r="BO11" s="7" t="str">
        <v>0110</v>
      </c>
      <c r="BP11" s="7" t="str">
        <v/>
      </c>
      <c r="BQ11" s="7" t="str">
        <v/>
      </c>
      <c r="BR11" s="7" t="str">
        <v/>
      </c>
      <c r="BS11" s="7" t="str">
        <v/>
      </c>
      <c r="BT11" s="7" t="str">
        <v>0101</v>
      </c>
      <c r="BU11" s="7" t="str">
        <v>1010</v>
      </c>
      <c r="BV11" s="7" t="str">
        <v/>
      </c>
      <c r="BW11" s="7" t="str">
        <v>1001</v>
      </c>
      <c r="BX11" s="7" t="str">
        <v>0110</v>
      </c>
      <c r="BY11" s="7" t="str">
        <v/>
      </c>
      <c r="BZ11" s="7" t="str">
        <v>0101</v>
      </c>
      <c r="CA11" s="7" t="str">
        <v>0110</v>
      </c>
      <c r="CB11" s="7" t="str">
        <v/>
      </c>
      <c r="CC11" s="7" t="str">
        <v>1100</v>
      </c>
      <c r="CD11" s="7" t="str">
        <v/>
      </c>
      <c r="CE11" s="7" t="str">
        <v>1001</v>
      </c>
      <c r="CF11" s="7" t="str">
        <v>1010</v>
      </c>
      <c r="CG11" s="7" t="str">
        <v/>
      </c>
      <c r="CH11" s="7" t="str">
        <v/>
      </c>
      <c r="CI11" s="7" t="str">
        <v>1100</v>
      </c>
      <c r="CJ11" s="7" t="str">
        <v>1100</v>
      </c>
      <c r="CK11" s="7" t="str">
        <v/>
      </c>
      <c r="CL11" s="7" t="str">
        <v>1001</v>
      </c>
      <c r="CM11" s="7" t="str">
        <v>0011</v>
      </c>
      <c r="CN11" s="7" t="str">
        <v>0011</v>
      </c>
      <c r="CO11" s="7" t="str">
        <v>1010</v>
      </c>
      <c r="CP11" s="7" t="str">
        <v/>
      </c>
      <c r="CQ11" s="7" t="str">
        <v>1100</v>
      </c>
      <c r="CR11" s="7" t="str">
        <v>1100</v>
      </c>
      <c r="CS11" s="7" t="str">
        <v/>
      </c>
      <c r="CT11" s="7" t="str">
        <v/>
      </c>
      <c r="CU11" s="7" t="str">
        <v/>
      </c>
      <c r="CV11" s="7" t="str">
        <v>1001</v>
      </c>
      <c r="CW11" s="7" t="str">
        <v>0110</v>
      </c>
      <c r="CX11" s="7" t="str">
        <v>1100</v>
      </c>
      <c r="CY11" s="7" t="str">
        <v>1100</v>
      </c>
      <c r="CZ11" s="7" t="str">
        <v/>
      </c>
      <c r="DA11" s="7" t="str">
        <v>0101</v>
      </c>
      <c r="DB11" s="7" t="str">
        <v>1010</v>
      </c>
      <c r="DC11" s="7" t="str">
        <v/>
      </c>
      <c r="DD11" s="7" t="str">
        <v/>
      </c>
    </row>
    <row r="12" spans="1:108" ht="15.75" customHeight="1">
      <c r="A12" s="71">
        <v>12</v>
      </c>
      <c r="C12" s="72" t="s">
        <v>54</v>
      </c>
      <c r="D12" s="72" t="s">
        <v>54</v>
      </c>
      <c r="E12" s="72" t="s">
        <v>31</v>
      </c>
      <c r="F12" s="72" t="s">
        <v>54</v>
      </c>
      <c r="G12" s="72" t="s">
        <v>111</v>
      </c>
      <c r="H12" s="72" t="s">
        <v>111</v>
      </c>
      <c r="I12" s="72" t="s">
        <v>54</v>
      </c>
      <c r="J12" s="72" t="s">
        <v>54</v>
      </c>
      <c r="K12" s="72" t="s">
        <v>54</v>
      </c>
      <c r="L12" s="72" t="s">
        <v>54</v>
      </c>
      <c r="M12" s="72" t="s">
        <v>54</v>
      </c>
      <c r="N12" s="72" t="s">
        <v>54</v>
      </c>
      <c r="O12" s="72" t="s">
        <v>54</v>
      </c>
      <c r="P12" s="72" t="s">
        <v>106</v>
      </c>
      <c r="Q12" s="72" t="s">
        <v>54</v>
      </c>
      <c r="R12" s="72" t="s">
        <v>54</v>
      </c>
      <c r="S12" s="72" t="s">
        <v>54</v>
      </c>
      <c r="T12" s="72" t="s">
        <v>54</v>
      </c>
      <c r="U12" s="72" t="s">
        <v>54</v>
      </c>
      <c r="V12" s="72" t="s">
        <v>54</v>
      </c>
      <c r="W12" s="72" t="s">
        <v>54</v>
      </c>
      <c r="X12" s="72" t="s">
        <v>54</v>
      </c>
      <c r="Y12" s="72" t="s">
        <v>54</v>
      </c>
      <c r="Z12" s="72" t="s">
        <v>113</v>
      </c>
      <c r="AA12" s="72" t="s">
        <v>113</v>
      </c>
      <c r="AB12" s="72" t="s">
        <v>54</v>
      </c>
      <c r="AC12" s="72" t="s">
        <v>54</v>
      </c>
      <c r="AD12" s="72" t="s">
        <v>54</v>
      </c>
      <c r="AE12" s="72" t="s">
        <v>54</v>
      </c>
      <c r="AF12" s="72" t="s">
        <v>113</v>
      </c>
      <c r="AG12" s="72" t="s">
        <v>113</v>
      </c>
      <c r="AH12" s="72" t="s">
        <v>113</v>
      </c>
      <c r="AI12" s="72" t="s">
        <v>54</v>
      </c>
      <c r="AJ12" s="72" t="s">
        <v>54</v>
      </c>
      <c r="AK12" s="72" t="s">
        <v>54</v>
      </c>
      <c r="AL12" s="72" t="s">
        <v>54</v>
      </c>
      <c r="AM12" s="72" t="s">
        <v>54</v>
      </c>
      <c r="AN12" s="72" t="s">
        <v>114</v>
      </c>
      <c r="AO12" s="72" t="s">
        <v>114</v>
      </c>
      <c r="AP12" s="72" t="s">
        <v>54</v>
      </c>
      <c r="AQ12" s="72" t="s">
        <v>31</v>
      </c>
      <c r="AR12" s="72" t="s">
        <v>31</v>
      </c>
      <c r="AS12" s="72" t="s">
        <v>31</v>
      </c>
      <c r="AT12" s="72" t="s">
        <v>54</v>
      </c>
      <c r="AU12" s="72" t="s">
        <v>45</v>
      </c>
      <c r="AV12" s="72" t="s">
        <v>34</v>
      </c>
      <c r="AW12" s="72" t="s">
        <v>41</v>
      </c>
      <c r="AX12" s="72" t="s">
        <v>54</v>
      </c>
      <c r="AY12" s="69"/>
      <c r="AZ12" s="69"/>
      <c r="BA12" s="69"/>
      <c r="BB12" s="69"/>
      <c r="BC12" s="26" t="s">
        <v>288</v>
      </c>
      <c r="BD12" s="26" t="s">
        <v>54</v>
      </c>
      <c r="BI12" s="7" t="str">
        <v/>
      </c>
      <c r="BJ12" s="7" t="str">
        <v/>
      </c>
      <c r="BK12" s="7" t="str">
        <v>1100</v>
      </c>
      <c r="BL12" s="7" t="str">
        <v/>
      </c>
      <c r="BM12" s="7" t="str">
        <v/>
      </c>
      <c r="BN12" s="7" t="str">
        <v/>
      </c>
      <c r="BO12" s="7" t="str">
        <v>1001</v>
      </c>
      <c r="BP12" s="7" t="str">
        <v>0011</v>
      </c>
      <c r="BQ12" s="7" t="str">
        <v>0011</v>
      </c>
      <c r="BR12" s="7" t="str">
        <v>0011</v>
      </c>
      <c r="BS12" s="7" t="str">
        <v>0011</v>
      </c>
      <c r="BT12" s="7" t="str">
        <v>1010</v>
      </c>
      <c r="BU12" s="7" t="str">
        <v/>
      </c>
      <c r="BV12" s="7" t="str">
        <v/>
      </c>
      <c r="BW12" s="7" t="str">
        <v/>
      </c>
      <c r="BX12" s="7" t="str">
        <v>1001</v>
      </c>
      <c r="BY12" s="7" t="str">
        <v>0011</v>
      </c>
      <c r="BZ12" s="7" t="str">
        <v>1010</v>
      </c>
      <c r="CA12" s="7" t="str">
        <v/>
      </c>
      <c r="CB12" s="7" t="str">
        <v/>
      </c>
      <c r="CC12" s="7" t="str">
        <v/>
      </c>
      <c r="CD12" s="7" t="str">
        <v/>
      </c>
      <c r="CE12" s="7" t="str">
        <v/>
      </c>
      <c r="CF12" s="7" t="str">
        <v/>
      </c>
      <c r="CG12" s="7" t="str">
        <v/>
      </c>
      <c r="CH12" s="7" t="str">
        <v/>
      </c>
      <c r="CI12" s="7" t="str">
        <v>1001</v>
      </c>
      <c r="CJ12" s="7" t="str">
        <v>1010</v>
      </c>
      <c r="CK12" s="7" t="str">
        <v/>
      </c>
      <c r="CL12" s="7" t="str">
        <v/>
      </c>
      <c r="CM12" s="7" t="str">
        <v/>
      </c>
      <c r="CN12" s="7" t="str">
        <v/>
      </c>
      <c r="CO12" s="7" t="str">
        <v/>
      </c>
      <c r="CP12" s="7" t="str">
        <v/>
      </c>
      <c r="CQ12" s="7" t="str">
        <v>1001</v>
      </c>
      <c r="CR12" s="7" t="str">
        <v>1010</v>
      </c>
      <c r="CS12" s="7" t="str">
        <v/>
      </c>
      <c r="CT12" s="7" t="str">
        <v/>
      </c>
      <c r="CU12" s="7" t="str">
        <v/>
      </c>
      <c r="CV12" s="7" t="str">
        <v/>
      </c>
      <c r="CW12" s="7" t="str">
        <v>1100</v>
      </c>
      <c r="CX12" s="7" t="str">
        <v>1100</v>
      </c>
      <c r="CY12" s="7" t="str">
        <v>1100</v>
      </c>
      <c r="CZ12" s="7" t="str">
        <v/>
      </c>
      <c r="DA12" s="7" t="str">
        <v>1100</v>
      </c>
      <c r="DB12" s="7" t="str">
        <v/>
      </c>
      <c r="DC12" s="7" t="str">
        <v/>
      </c>
      <c r="DD12" s="7" t="str">
        <v/>
      </c>
    </row>
    <row r="13" spans="1:108" ht="15.75" customHeight="1">
      <c r="A13" s="71">
        <v>13</v>
      </c>
      <c r="C13" s="72" t="s">
        <v>54</v>
      </c>
      <c r="D13" s="72" t="s">
        <v>54</v>
      </c>
      <c r="E13" s="72" t="s">
        <v>52</v>
      </c>
      <c r="F13" s="72" t="s">
        <v>54</v>
      </c>
      <c r="G13" s="72" t="s">
        <v>111</v>
      </c>
      <c r="H13" s="72" t="s">
        <v>111</v>
      </c>
      <c r="I13" s="72" t="s">
        <v>111</v>
      </c>
      <c r="J13" s="72" t="s">
        <v>106</v>
      </c>
      <c r="K13" s="72" t="s">
        <v>106</v>
      </c>
      <c r="L13" s="72" t="s">
        <v>106</v>
      </c>
      <c r="M13" s="72" t="s">
        <v>106</v>
      </c>
      <c r="N13" s="72" t="s">
        <v>106</v>
      </c>
      <c r="O13" s="72" t="s">
        <v>106</v>
      </c>
      <c r="P13" s="72" t="s">
        <v>106</v>
      </c>
      <c r="Q13" s="72" t="s">
        <v>106</v>
      </c>
      <c r="R13" s="72" t="s">
        <v>54</v>
      </c>
      <c r="S13" s="72" t="s">
        <v>54</v>
      </c>
      <c r="T13" s="72" t="s">
        <v>54</v>
      </c>
      <c r="U13" s="72" t="s">
        <v>54</v>
      </c>
      <c r="V13" s="72" t="s">
        <v>54</v>
      </c>
      <c r="W13" s="72" t="s">
        <v>54</v>
      </c>
      <c r="X13" s="72" t="s">
        <v>49</v>
      </c>
      <c r="Y13" s="72" t="s">
        <v>54</v>
      </c>
      <c r="Z13" s="72" t="s">
        <v>54</v>
      </c>
      <c r="AA13" s="72" t="s">
        <v>113</v>
      </c>
      <c r="AB13" s="72" t="s">
        <v>113</v>
      </c>
      <c r="AC13" s="72" t="s">
        <v>54</v>
      </c>
      <c r="AD13" s="72" t="s">
        <v>54</v>
      </c>
      <c r="AE13" s="72" t="s">
        <v>54</v>
      </c>
      <c r="AF13" s="72" t="s">
        <v>54</v>
      </c>
      <c r="AG13" s="72" t="s">
        <v>54</v>
      </c>
      <c r="AH13" s="72" t="s">
        <v>54</v>
      </c>
      <c r="AI13" s="72" t="s">
        <v>54</v>
      </c>
      <c r="AJ13" s="72" t="s">
        <v>54</v>
      </c>
      <c r="AK13" s="72" t="s">
        <v>114</v>
      </c>
      <c r="AL13" s="72" t="s">
        <v>114</v>
      </c>
      <c r="AM13" s="72" t="s">
        <v>114</v>
      </c>
      <c r="AN13" s="72" t="s">
        <v>114</v>
      </c>
      <c r="AO13" s="72" t="s">
        <v>114</v>
      </c>
      <c r="AP13" s="72" t="s">
        <v>54</v>
      </c>
      <c r="AQ13" s="72" t="s">
        <v>31</v>
      </c>
      <c r="AR13" s="72" t="s">
        <v>31</v>
      </c>
      <c r="AS13" s="72" t="s">
        <v>45</v>
      </c>
      <c r="AT13" s="72" t="s">
        <v>34</v>
      </c>
      <c r="AU13" s="72" t="s">
        <v>34</v>
      </c>
      <c r="AV13" s="72" t="s">
        <v>34</v>
      </c>
      <c r="AW13" s="72" t="s">
        <v>47</v>
      </c>
      <c r="AX13" s="72" t="s">
        <v>54</v>
      </c>
      <c r="AY13" s="69"/>
      <c r="AZ13" s="69"/>
      <c r="BA13" s="69"/>
      <c r="BB13" s="69"/>
      <c r="BC13" s="26" t="s">
        <v>289</v>
      </c>
      <c r="BD13" s="26" t="s">
        <v>54</v>
      </c>
      <c r="BI13" s="7" t="str">
        <v/>
      </c>
      <c r="BJ13" s="7" t="str">
        <v/>
      </c>
      <c r="BK13" s="7" t="str">
        <v>1100</v>
      </c>
      <c r="BL13" s="7" t="str">
        <v/>
      </c>
      <c r="BM13" s="7" t="str">
        <v/>
      </c>
      <c r="BN13" s="7" t="str">
        <v/>
      </c>
      <c r="BO13" s="7" t="str">
        <v/>
      </c>
      <c r="BP13" s="7" t="str">
        <v/>
      </c>
      <c r="BQ13" s="7" t="str">
        <v/>
      </c>
      <c r="BR13" s="7" t="str">
        <v/>
      </c>
      <c r="BS13" s="7" t="str">
        <v/>
      </c>
      <c r="BT13" s="7" t="str">
        <v/>
      </c>
      <c r="BU13" s="7" t="str">
        <v/>
      </c>
      <c r="BV13" s="7" t="str">
        <v/>
      </c>
      <c r="BW13" s="7" t="str">
        <v/>
      </c>
      <c r="BX13" s="7" t="str">
        <v/>
      </c>
      <c r="BY13" s="7" t="str">
        <v/>
      </c>
      <c r="BZ13" s="7" t="str">
        <v/>
      </c>
      <c r="CA13" s="7" t="str">
        <v/>
      </c>
      <c r="CB13" s="7" t="str">
        <v/>
      </c>
      <c r="CC13" s="7" t="str">
        <v/>
      </c>
      <c r="CD13" s="7" t="str">
        <v/>
      </c>
      <c r="CE13" s="7" t="str">
        <v/>
      </c>
      <c r="CF13" s="7" t="str">
        <v/>
      </c>
      <c r="CG13" s="7" t="str">
        <v/>
      </c>
      <c r="CH13" s="7" t="str">
        <v/>
      </c>
      <c r="CI13" s="7" t="str">
        <v/>
      </c>
      <c r="CJ13" s="7" t="str">
        <v/>
      </c>
      <c r="CK13" s="7" t="str">
        <v/>
      </c>
      <c r="CL13" s="7" t="str">
        <v/>
      </c>
      <c r="CM13" s="7" t="str">
        <v/>
      </c>
      <c r="CN13" s="7" t="str">
        <v/>
      </c>
      <c r="CO13" s="7" t="str">
        <v/>
      </c>
      <c r="CP13" s="7" t="str">
        <v/>
      </c>
      <c r="CQ13" s="7" t="str">
        <v/>
      </c>
      <c r="CR13" s="7" t="str">
        <v/>
      </c>
      <c r="CS13" s="7" t="str">
        <v/>
      </c>
      <c r="CT13" s="7" t="str">
        <v/>
      </c>
      <c r="CU13" s="7" t="str">
        <v/>
      </c>
      <c r="CV13" s="7" t="str">
        <v/>
      </c>
      <c r="CW13" s="7" t="str">
        <v>1100</v>
      </c>
      <c r="CX13" s="7" t="str">
        <v>1100</v>
      </c>
      <c r="CY13" s="7" t="str">
        <v>1100</v>
      </c>
      <c r="CZ13" s="7" t="str">
        <v/>
      </c>
      <c r="DA13" s="7" t="str">
        <v>1001</v>
      </c>
      <c r="DB13" s="7" t="str">
        <v>0011</v>
      </c>
      <c r="DC13" s="7" t="str">
        <v>0110</v>
      </c>
      <c r="DD13" s="7" t="str">
        <v/>
      </c>
    </row>
    <row r="14" spans="1:108" ht="15.75" customHeight="1">
      <c r="A14" s="71">
        <v>14</v>
      </c>
      <c r="C14" s="72" t="s">
        <v>54</v>
      </c>
      <c r="D14" s="72" t="s">
        <v>54</v>
      </c>
      <c r="E14" s="72" t="s">
        <v>54</v>
      </c>
      <c r="F14" s="72" t="s">
        <v>54</v>
      </c>
      <c r="G14" s="72" t="s">
        <v>111</v>
      </c>
      <c r="H14" s="72" t="s">
        <v>111</v>
      </c>
      <c r="I14" s="72" t="s">
        <v>111</v>
      </c>
      <c r="J14" s="72" t="s">
        <v>106</v>
      </c>
      <c r="K14" s="72" t="s">
        <v>106</v>
      </c>
      <c r="L14" s="72" t="s">
        <v>106</v>
      </c>
      <c r="M14" s="72" t="s">
        <v>106</v>
      </c>
      <c r="N14" s="72" t="s">
        <v>106</v>
      </c>
      <c r="O14" s="72" t="s">
        <v>106</v>
      </c>
      <c r="P14" s="72" t="s">
        <v>106</v>
      </c>
      <c r="Q14" s="72" t="s">
        <v>54</v>
      </c>
      <c r="R14" s="72" t="s">
        <v>54</v>
      </c>
      <c r="S14" s="72" t="s">
        <v>37</v>
      </c>
      <c r="T14" s="72" t="s">
        <v>34</v>
      </c>
      <c r="U14" s="72" t="s">
        <v>34</v>
      </c>
      <c r="V14" s="72" t="s">
        <v>41</v>
      </c>
      <c r="W14" s="72" t="s">
        <v>54</v>
      </c>
      <c r="X14" s="72" t="s">
        <v>45</v>
      </c>
      <c r="Y14" s="72" t="s">
        <v>41</v>
      </c>
      <c r="Z14" s="72" t="s">
        <v>54</v>
      </c>
      <c r="AA14" s="72" t="s">
        <v>113</v>
      </c>
      <c r="AB14" s="72" t="s">
        <v>54</v>
      </c>
      <c r="AC14" s="72" t="s">
        <v>54</v>
      </c>
      <c r="AD14" s="72" t="s">
        <v>49</v>
      </c>
      <c r="AE14" s="72" t="s">
        <v>41</v>
      </c>
      <c r="AF14" s="72" t="s">
        <v>54</v>
      </c>
      <c r="AG14" s="72" t="s">
        <v>54</v>
      </c>
      <c r="AH14" s="72" t="s">
        <v>37</v>
      </c>
      <c r="AI14" s="72" t="s">
        <v>41</v>
      </c>
      <c r="AJ14" s="72" t="s">
        <v>54</v>
      </c>
      <c r="AK14" s="72" t="s">
        <v>114</v>
      </c>
      <c r="AL14" s="72" t="s">
        <v>114</v>
      </c>
      <c r="AM14" s="72" t="s">
        <v>114</v>
      </c>
      <c r="AN14" s="72" t="s">
        <v>114</v>
      </c>
      <c r="AO14" s="72" t="s">
        <v>114</v>
      </c>
      <c r="AP14" s="72" t="s">
        <v>54</v>
      </c>
      <c r="AQ14" s="72" t="s">
        <v>31</v>
      </c>
      <c r="AR14" s="72" t="s">
        <v>45</v>
      </c>
      <c r="AS14" s="72" t="s">
        <v>34</v>
      </c>
      <c r="AT14" s="72" t="s">
        <v>34</v>
      </c>
      <c r="AU14" s="72" t="s">
        <v>41</v>
      </c>
      <c r="AV14" s="72" t="s">
        <v>54</v>
      </c>
      <c r="AW14" s="72" t="s">
        <v>54</v>
      </c>
      <c r="AX14" s="72" t="s">
        <v>54</v>
      </c>
      <c r="AY14" s="69"/>
      <c r="AZ14" s="69"/>
      <c r="BA14" s="69"/>
      <c r="BB14" s="69"/>
      <c r="BC14" s="26" t="s">
        <v>290</v>
      </c>
      <c r="BD14" s="26" t="s">
        <v>54</v>
      </c>
      <c r="BI14" s="7" t="str">
        <v/>
      </c>
      <c r="BJ14" s="7" t="str">
        <v/>
      </c>
      <c r="BK14" s="7" t="str">
        <v/>
      </c>
      <c r="BL14" s="7" t="str">
        <v/>
      </c>
      <c r="BM14" s="7" t="str">
        <v/>
      </c>
      <c r="BN14" s="7" t="str">
        <v/>
      </c>
      <c r="BO14" s="7" t="str">
        <v/>
      </c>
      <c r="BP14" s="7" t="str">
        <v/>
      </c>
      <c r="BQ14" s="7" t="str">
        <v/>
      </c>
      <c r="BR14" s="7" t="str">
        <v/>
      </c>
      <c r="BS14" s="7" t="str">
        <v/>
      </c>
      <c r="BT14" s="7" t="str">
        <v/>
      </c>
      <c r="BU14" s="7" t="str">
        <v/>
      </c>
      <c r="BV14" s="7" t="str">
        <v/>
      </c>
      <c r="BW14" s="7" t="str">
        <v/>
      </c>
      <c r="BX14" s="7" t="str">
        <v/>
      </c>
      <c r="BY14" s="7" t="str">
        <v/>
      </c>
      <c r="BZ14" s="7" t="str">
        <v/>
      </c>
      <c r="CA14" s="7" t="str">
        <v/>
      </c>
      <c r="CB14" s="7" t="str">
        <v/>
      </c>
      <c r="CC14" s="7" t="str">
        <v/>
      </c>
      <c r="CD14" s="7" t="str">
        <v/>
      </c>
      <c r="CE14" s="7" t="str">
        <v/>
      </c>
      <c r="CF14" s="7" t="str">
        <v/>
      </c>
      <c r="CG14" s="7" t="str">
        <v/>
      </c>
      <c r="CH14" s="7" t="str">
        <v/>
      </c>
      <c r="CI14" s="7" t="str">
        <v/>
      </c>
      <c r="CJ14" s="7" t="str">
        <v/>
      </c>
      <c r="CK14" s="7" t="str">
        <v/>
      </c>
      <c r="CL14" s="7" t="str">
        <v/>
      </c>
      <c r="CM14" s="7" t="str">
        <v/>
      </c>
      <c r="CN14" s="7" t="str">
        <v/>
      </c>
      <c r="CO14" s="7" t="str">
        <v/>
      </c>
      <c r="CP14" s="7" t="str">
        <v/>
      </c>
      <c r="CQ14" s="7" t="str">
        <v/>
      </c>
      <c r="CR14" s="7" t="str">
        <v/>
      </c>
      <c r="CS14" s="7" t="str">
        <v/>
      </c>
      <c r="CT14" s="7" t="str">
        <v/>
      </c>
      <c r="CU14" s="7" t="str">
        <v/>
      </c>
      <c r="CV14" s="7" t="str">
        <v/>
      </c>
      <c r="CW14" s="7" t="str">
        <v>1100</v>
      </c>
      <c r="CX14" s="7" t="str">
        <v>1100</v>
      </c>
      <c r="CY14" s="7" t="str">
        <v>1001</v>
      </c>
      <c r="CZ14" s="7" t="str">
        <v>0011</v>
      </c>
      <c r="DA14" s="7" t="str">
        <v>0011</v>
      </c>
      <c r="DB14" s="7" t="str">
        <v>0011</v>
      </c>
      <c r="DC14" s="7" t="str">
        <v>1010</v>
      </c>
      <c r="DD14" s="7" t="str">
        <v/>
      </c>
    </row>
    <row r="15" spans="1:108" ht="15.75" customHeight="1">
      <c r="A15" s="71">
        <v>15</v>
      </c>
      <c r="C15" s="72" t="s">
        <v>54</v>
      </c>
      <c r="D15" s="72" t="s">
        <v>54</v>
      </c>
      <c r="E15" s="72" t="s">
        <v>54</v>
      </c>
      <c r="F15" s="72" t="s">
        <v>54</v>
      </c>
      <c r="G15" s="72" t="s">
        <v>111</v>
      </c>
      <c r="H15" s="72" t="s">
        <v>111</v>
      </c>
      <c r="I15" s="72" t="s">
        <v>111</v>
      </c>
      <c r="J15" s="72" t="s">
        <v>54</v>
      </c>
      <c r="K15" s="72" t="s">
        <v>54</v>
      </c>
      <c r="L15" s="72" t="s">
        <v>54</v>
      </c>
      <c r="M15" s="72" t="s">
        <v>54</v>
      </c>
      <c r="N15" s="72" t="s">
        <v>54</v>
      </c>
      <c r="O15" s="72" t="s">
        <v>54</v>
      </c>
      <c r="P15" s="72" t="s">
        <v>54</v>
      </c>
      <c r="Q15" s="72" t="s">
        <v>54</v>
      </c>
      <c r="R15" s="72" t="s">
        <v>37</v>
      </c>
      <c r="S15" s="72" t="s">
        <v>47</v>
      </c>
      <c r="T15" s="72" t="s">
        <v>54</v>
      </c>
      <c r="U15" s="72" t="s">
        <v>54</v>
      </c>
      <c r="V15" s="72" t="s">
        <v>31</v>
      </c>
      <c r="W15" s="72" t="s">
        <v>54</v>
      </c>
      <c r="X15" s="72" t="s">
        <v>37</v>
      </c>
      <c r="Y15" s="72" t="s">
        <v>47</v>
      </c>
      <c r="Z15" s="72" t="s">
        <v>54</v>
      </c>
      <c r="AA15" s="72" t="s">
        <v>54</v>
      </c>
      <c r="AB15" s="72" t="s">
        <v>54</v>
      </c>
      <c r="AC15" s="72" t="s">
        <v>54</v>
      </c>
      <c r="AD15" s="72" t="s">
        <v>54</v>
      </c>
      <c r="AE15" s="72" t="s">
        <v>45</v>
      </c>
      <c r="AF15" s="72" t="s">
        <v>41</v>
      </c>
      <c r="AG15" s="72" t="s">
        <v>37</v>
      </c>
      <c r="AH15" s="72" t="s">
        <v>47</v>
      </c>
      <c r="AI15" s="72" t="s">
        <v>31</v>
      </c>
      <c r="AJ15" s="72" t="s">
        <v>54</v>
      </c>
      <c r="AK15" s="72" t="s">
        <v>114</v>
      </c>
      <c r="AL15" s="72" t="s">
        <v>114</v>
      </c>
      <c r="AM15" s="72" t="s">
        <v>114</v>
      </c>
      <c r="AN15" s="72" t="s">
        <v>114</v>
      </c>
      <c r="AO15" s="72" t="s">
        <v>114</v>
      </c>
      <c r="AP15" s="72" t="s">
        <v>54</v>
      </c>
      <c r="AQ15" s="72" t="s">
        <v>45</v>
      </c>
      <c r="AR15" s="72" t="s">
        <v>34</v>
      </c>
      <c r="AS15" s="72" t="s">
        <v>34</v>
      </c>
      <c r="AT15" s="72" t="s">
        <v>34</v>
      </c>
      <c r="AU15" s="72" t="s">
        <v>47</v>
      </c>
      <c r="AV15" s="72" t="s">
        <v>54</v>
      </c>
      <c r="AW15" s="72" t="s">
        <v>54</v>
      </c>
      <c r="AX15" s="72" t="s">
        <v>54</v>
      </c>
      <c r="AY15" s="69"/>
      <c r="AZ15" s="69"/>
      <c r="BA15" s="69"/>
      <c r="BB15" s="69"/>
      <c r="BC15" s="26" t="s">
        <v>291</v>
      </c>
      <c r="BD15" s="26" t="s">
        <v>54</v>
      </c>
      <c r="BI15" s="7" t="str">
        <v/>
      </c>
      <c r="BJ15" s="7" t="str">
        <v/>
      </c>
      <c r="BK15" s="7" t="str">
        <v/>
      </c>
      <c r="BL15" s="7" t="str">
        <v/>
      </c>
      <c r="BM15" s="7" t="str">
        <v/>
      </c>
      <c r="BN15" s="7" t="str">
        <v/>
      </c>
      <c r="BO15" s="7" t="str">
        <v/>
      </c>
      <c r="BP15" s="7" t="str">
        <v/>
      </c>
      <c r="BQ15" s="7" t="str">
        <v/>
      </c>
      <c r="BR15" s="7" t="str">
        <v/>
      </c>
      <c r="BS15" s="7" t="str">
        <v/>
      </c>
      <c r="BT15" s="7" t="str">
        <v/>
      </c>
      <c r="BU15" s="7" t="str">
        <v/>
      </c>
      <c r="BV15" s="7" t="str">
        <v/>
      </c>
      <c r="BW15" s="7" t="str">
        <v/>
      </c>
      <c r="BX15" s="7" t="str">
        <v/>
      </c>
      <c r="BY15" s="7" t="str">
        <v>0101</v>
      </c>
      <c r="BZ15" s="7" t="str">
        <v>0011</v>
      </c>
      <c r="CA15" s="7" t="str">
        <v>0011</v>
      </c>
      <c r="CB15" s="7" t="str">
        <v>0110</v>
      </c>
      <c r="CC15" s="7" t="str">
        <v/>
      </c>
      <c r="CD15" s="7" t="str">
        <v>1001</v>
      </c>
      <c r="CE15" s="7" t="str">
        <v>0110</v>
      </c>
      <c r="CF15" s="7" t="str">
        <v/>
      </c>
      <c r="CG15" s="7" t="str">
        <v/>
      </c>
      <c r="CH15" s="7" t="str">
        <v/>
      </c>
      <c r="CI15" s="7" t="str">
        <v/>
      </c>
      <c r="CJ15" s="7" t="str">
        <v/>
      </c>
      <c r="CK15" s="7" t="str">
        <v>0110</v>
      </c>
      <c r="CL15" s="7" t="str">
        <v/>
      </c>
      <c r="CM15" s="7" t="str">
        <v/>
      </c>
      <c r="CN15" s="7" t="str">
        <v>0101</v>
      </c>
      <c r="CO15" s="7" t="str">
        <v>0110</v>
      </c>
      <c r="CP15" s="7" t="str">
        <v/>
      </c>
      <c r="CQ15" s="7" t="str">
        <v/>
      </c>
      <c r="CR15" s="7" t="str">
        <v/>
      </c>
      <c r="CS15" s="7" t="str">
        <v/>
      </c>
      <c r="CT15" s="7" t="str">
        <v/>
      </c>
      <c r="CU15" s="7" t="str">
        <v/>
      </c>
      <c r="CV15" s="7" t="str">
        <v/>
      </c>
      <c r="CW15" s="7" t="str">
        <v>1100</v>
      </c>
      <c r="CX15" s="7" t="str">
        <v>1001</v>
      </c>
      <c r="CY15" s="7" t="str">
        <v>0011</v>
      </c>
      <c r="CZ15" s="7" t="str">
        <v>0011</v>
      </c>
      <c r="DA15" s="7" t="str">
        <v>0110</v>
      </c>
      <c r="DB15" s="7" t="str">
        <v/>
      </c>
      <c r="DC15" s="7" t="str">
        <v/>
      </c>
      <c r="DD15" s="7" t="str">
        <v/>
      </c>
    </row>
    <row r="16" spans="1:108" ht="15.75" customHeight="1">
      <c r="A16" s="71">
        <v>16</v>
      </c>
      <c r="C16" s="72" t="s">
        <v>54</v>
      </c>
      <c r="D16" s="72" t="s">
        <v>37</v>
      </c>
      <c r="E16" s="72" t="s">
        <v>41</v>
      </c>
      <c r="F16" s="72" t="s">
        <v>54</v>
      </c>
      <c r="G16" s="72" t="s">
        <v>111</v>
      </c>
      <c r="H16" s="72" t="s">
        <v>111</v>
      </c>
      <c r="I16" s="72" t="s">
        <v>111</v>
      </c>
      <c r="J16" s="72" t="s">
        <v>54</v>
      </c>
      <c r="K16" s="72" t="s">
        <v>54</v>
      </c>
      <c r="L16" s="72" t="s">
        <v>54</v>
      </c>
      <c r="M16" s="72" t="s">
        <v>54</v>
      </c>
      <c r="N16" s="72" t="s">
        <v>37</v>
      </c>
      <c r="O16" s="72" t="s">
        <v>34</v>
      </c>
      <c r="P16" s="72" t="s">
        <v>34</v>
      </c>
      <c r="Q16" s="72" t="s">
        <v>41</v>
      </c>
      <c r="R16" s="72" t="s">
        <v>31</v>
      </c>
      <c r="S16" s="72" t="s">
        <v>54</v>
      </c>
      <c r="T16" s="72" t="s">
        <v>106</v>
      </c>
      <c r="U16" s="72" t="s">
        <v>54</v>
      </c>
      <c r="V16" s="72" t="s">
        <v>31</v>
      </c>
      <c r="W16" s="72" t="s">
        <v>54</v>
      </c>
      <c r="X16" s="72" t="s">
        <v>31</v>
      </c>
      <c r="Y16" s="72" t="s">
        <v>54</v>
      </c>
      <c r="Z16" s="72" t="s">
        <v>54</v>
      </c>
      <c r="AA16" s="72" t="s">
        <v>37</v>
      </c>
      <c r="AB16" s="72" t="s">
        <v>41</v>
      </c>
      <c r="AC16" s="72" t="s">
        <v>54</v>
      </c>
      <c r="AD16" s="72" t="s">
        <v>54</v>
      </c>
      <c r="AE16" s="72" t="s">
        <v>54</v>
      </c>
      <c r="AF16" s="72" t="s">
        <v>31</v>
      </c>
      <c r="AG16" s="72" t="s">
        <v>31</v>
      </c>
      <c r="AH16" s="72" t="s">
        <v>54</v>
      </c>
      <c r="AI16" s="72" t="s">
        <v>31</v>
      </c>
      <c r="AJ16" s="72" t="s">
        <v>54</v>
      </c>
      <c r="AK16" s="72" t="s">
        <v>114</v>
      </c>
      <c r="AL16" s="72" t="s">
        <v>114</v>
      </c>
      <c r="AM16" s="72" t="s">
        <v>114</v>
      </c>
      <c r="AN16" s="72" t="s">
        <v>114</v>
      </c>
      <c r="AO16" s="72" t="s">
        <v>114</v>
      </c>
      <c r="AP16" s="72" t="s">
        <v>54</v>
      </c>
      <c r="AQ16" s="72" t="s">
        <v>54</v>
      </c>
      <c r="AR16" s="72" t="s">
        <v>54</v>
      </c>
      <c r="AS16" s="72" t="s">
        <v>37</v>
      </c>
      <c r="AT16" s="72" t="s">
        <v>34</v>
      </c>
      <c r="AU16" s="72" t="s">
        <v>34</v>
      </c>
      <c r="AV16" s="72" t="s">
        <v>49</v>
      </c>
      <c r="AW16" s="72" t="s">
        <v>54</v>
      </c>
      <c r="AX16" s="72" t="s">
        <v>54</v>
      </c>
      <c r="AY16" s="69"/>
      <c r="AZ16" s="69"/>
      <c r="BA16" s="69"/>
      <c r="BB16" s="69"/>
      <c r="BC16" s="26" t="s">
        <v>292</v>
      </c>
      <c r="BD16" s="26" t="s">
        <v>54</v>
      </c>
      <c r="BI16" s="7" t="str">
        <v/>
      </c>
      <c r="BJ16" s="7" t="str">
        <v/>
      </c>
      <c r="BK16" s="7" t="str">
        <v/>
      </c>
      <c r="BL16" s="7" t="str">
        <v/>
      </c>
      <c r="BM16" s="7" t="str">
        <v/>
      </c>
      <c r="BN16" s="7" t="str">
        <v/>
      </c>
      <c r="BO16" s="7" t="str">
        <v/>
      </c>
      <c r="BP16" s="7" t="str">
        <v/>
      </c>
      <c r="BQ16" s="7" t="str">
        <v/>
      </c>
      <c r="BR16" s="7" t="str">
        <v/>
      </c>
      <c r="BS16" s="7" t="str">
        <v/>
      </c>
      <c r="BT16" s="7" t="str">
        <v/>
      </c>
      <c r="BU16" s="7" t="str">
        <v/>
      </c>
      <c r="BV16" s="7" t="str">
        <v/>
      </c>
      <c r="BW16" s="7" t="str">
        <v/>
      </c>
      <c r="BX16" s="7" t="str">
        <v>0101</v>
      </c>
      <c r="BY16" s="7" t="str">
        <v>1010</v>
      </c>
      <c r="BZ16" s="7" t="str">
        <v/>
      </c>
      <c r="CA16" s="7" t="str">
        <v/>
      </c>
      <c r="CB16" s="7" t="str">
        <v>1100</v>
      </c>
      <c r="CC16" s="7" t="str">
        <v/>
      </c>
      <c r="CD16" s="7" t="str">
        <v>0101</v>
      </c>
      <c r="CE16" s="7" t="str">
        <v>1010</v>
      </c>
      <c r="CF16" s="7" t="str">
        <v/>
      </c>
      <c r="CG16" s="7" t="str">
        <v/>
      </c>
      <c r="CH16" s="7" t="str">
        <v/>
      </c>
      <c r="CI16" s="7" t="str">
        <v/>
      </c>
      <c r="CJ16" s="7" t="str">
        <v/>
      </c>
      <c r="CK16" s="7" t="str">
        <v>1001</v>
      </c>
      <c r="CL16" s="7" t="str">
        <v>0110</v>
      </c>
      <c r="CM16" s="7" t="str">
        <v>0101</v>
      </c>
      <c r="CN16" s="7" t="str">
        <v>1010</v>
      </c>
      <c r="CO16" s="7" t="str">
        <v>1100</v>
      </c>
      <c r="CP16" s="7" t="str">
        <v/>
      </c>
      <c r="CQ16" s="7" t="str">
        <v/>
      </c>
      <c r="CR16" s="7" t="str">
        <v/>
      </c>
      <c r="CS16" s="7" t="str">
        <v/>
      </c>
      <c r="CT16" s="7" t="str">
        <v/>
      </c>
      <c r="CU16" s="7" t="str">
        <v/>
      </c>
      <c r="CV16" s="7" t="str">
        <v/>
      </c>
      <c r="CW16" s="7" t="str">
        <v>1001</v>
      </c>
      <c r="CX16" s="7" t="str">
        <v>0011</v>
      </c>
      <c r="CY16" s="7" t="str">
        <v>0011</v>
      </c>
      <c r="CZ16" s="7" t="str">
        <v>0011</v>
      </c>
      <c r="DA16" s="7" t="str">
        <v>1010</v>
      </c>
      <c r="DB16" s="7" t="str">
        <v/>
      </c>
      <c r="DC16" s="7" t="str">
        <v/>
      </c>
      <c r="DD16" s="7" t="str">
        <v/>
      </c>
    </row>
    <row r="17" spans="1:108" ht="15.75" customHeight="1">
      <c r="A17" s="71">
        <v>17</v>
      </c>
      <c r="C17" s="72" t="s">
        <v>54</v>
      </c>
      <c r="D17" s="72" t="s">
        <v>31</v>
      </c>
      <c r="E17" s="72" t="s">
        <v>31</v>
      </c>
      <c r="F17" s="72" t="s">
        <v>54</v>
      </c>
      <c r="G17" s="72" t="s">
        <v>111</v>
      </c>
      <c r="H17" s="72" t="s">
        <v>111</v>
      </c>
      <c r="I17" s="72" t="s">
        <v>111</v>
      </c>
      <c r="J17" s="72" t="s">
        <v>54</v>
      </c>
      <c r="K17" s="72" t="s">
        <v>37</v>
      </c>
      <c r="L17" s="72" t="s">
        <v>41</v>
      </c>
      <c r="M17" s="72" t="s">
        <v>54</v>
      </c>
      <c r="N17" s="72" t="s">
        <v>31</v>
      </c>
      <c r="O17" s="72" t="s">
        <v>54</v>
      </c>
      <c r="P17" s="72" t="s">
        <v>54</v>
      </c>
      <c r="Q17" s="72" t="s">
        <v>31</v>
      </c>
      <c r="R17" s="72" t="s">
        <v>31</v>
      </c>
      <c r="S17" s="72" t="s">
        <v>54</v>
      </c>
      <c r="T17" s="72" t="s">
        <v>54</v>
      </c>
      <c r="U17" s="72" t="s">
        <v>54</v>
      </c>
      <c r="V17" s="72" t="s">
        <v>31</v>
      </c>
      <c r="W17" s="72" t="s">
        <v>54</v>
      </c>
      <c r="X17" s="72" t="s">
        <v>31</v>
      </c>
      <c r="Y17" s="72" t="s">
        <v>54</v>
      </c>
      <c r="Z17" s="72" t="s">
        <v>54</v>
      </c>
      <c r="AA17" s="72" t="s">
        <v>31</v>
      </c>
      <c r="AB17" s="72" t="s">
        <v>31</v>
      </c>
      <c r="AC17" s="72" t="s">
        <v>54</v>
      </c>
      <c r="AD17" s="72" t="s">
        <v>108</v>
      </c>
      <c r="AE17" s="72" t="s">
        <v>54</v>
      </c>
      <c r="AF17" s="72" t="s">
        <v>45</v>
      </c>
      <c r="AG17" s="72" t="s">
        <v>47</v>
      </c>
      <c r="AH17" s="72" t="s">
        <v>54</v>
      </c>
      <c r="AI17" s="72" t="s">
        <v>31</v>
      </c>
      <c r="AJ17" s="72" t="s">
        <v>54</v>
      </c>
      <c r="AK17" s="72" t="s">
        <v>114</v>
      </c>
      <c r="AL17" s="72" t="s">
        <v>114</v>
      </c>
      <c r="AM17" s="72" t="s">
        <v>114</v>
      </c>
      <c r="AN17" s="72" t="s">
        <v>54</v>
      </c>
      <c r="AO17" s="72" t="s">
        <v>54</v>
      </c>
      <c r="AP17" s="72" t="s">
        <v>54</v>
      </c>
      <c r="AQ17" s="72" t="s">
        <v>54</v>
      </c>
      <c r="AR17" s="72" t="s">
        <v>54</v>
      </c>
      <c r="AS17" s="72" t="s">
        <v>31</v>
      </c>
      <c r="AT17" s="72" t="s">
        <v>54</v>
      </c>
      <c r="AU17" s="72" t="s">
        <v>54</v>
      </c>
      <c r="AV17" s="72" t="s">
        <v>54</v>
      </c>
      <c r="AW17" s="72" t="s">
        <v>54</v>
      </c>
      <c r="AX17" s="72" t="s">
        <v>54</v>
      </c>
      <c r="AY17" s="69"/>
      <c r="AZ17" s="69"/>
      <c r="BA17" s="69"/>
      <c r="BB17" s="69"/>
      <c r="BC17" s="26" t="s">
        <v>293</v>
      </c>
      <c r="BD17" s="26" t="s">
        <v>54</v>
      </c>
      <c r="BI17" s="7" t="str">
        <v/>
      </c>
      <c r="BJ17" s="7" t="str">
        <v>0101</v>
      </c>
      <c r="BK17" s="7" t="str">
        <v>0110</v>
      </c>
      <c r="BL17" s="7" t="str">
        <v/>
      </c>
      <c r="BM17" s="7" t="str">
        <v/>
      </c>
      <c r="BN17" s="7" t="str">
        <v/>
      </c>
      <c r="BO17" s="7" t="str">
        <v/>
      </c>
      <c r="BP17" s="7" t="str">
        <v/>
      </c>
      <c r="BQ17" s="7" t="str">
        <v/>
      </c>
      <c r="BR17" s="7" t="str">
        <v/>
      </c>
      <c r="BS17" s="7" t="str">
        <v/>
      </c>
      <c r="BT17" s="7" t="str">
        <v>0101</v>
      </c>
      <c r="BU17" s="7" t="str">
        <v>0011</v>
      </c>
      <c r="BV17" s="7" t="str">
        <v>0011</v>
      </c>
      <c r="BW17" s="7" t="str">
        <v>0110</v>
      </c>
      <c r="BX17" s="7" t="str">
        <v>1100</v>
      </c>
      <c r="BY17" s="7" t="str">
        <v/>
      </c>
      <c r="BZ17" s="7" t="str">
        <v/>
      </c>
      <c r="CA17" s="7" t="str">
        <v/>
      </c>
      <c r="CB17" s="7" t="str">
        <v>1100</v>
      </c>
      <c r="CC17" s="7" t="str">
        <v/>
      </c>
      <c r="CD17" s="7" t="str">
        <v>1100</v>
      </c>
      <c r="CE17" s="7" t="str">
        <v/>
      </c>
      <c r="CF17" s="7" t="str">
        <v/>
      </c>
      <c r="CG17" s="7" t="str">
        <v>0101</v>
      </c>
      <c r="CH17" s="7" t="str">
        <v>0110</v>
      </c>
      <c r="CI17" s="7" t="str">
        <v/>
      </c>
      <c r="CJ17" s="7" t="str">
        <v/>
      </c>
      <c r="CK17" s="7" t="str">
        <v/>
      </c>
      <c r="CL17" s="7" t="str">
        <v>1100</v>
      </c>
      <c r="CM17" s="7" t="str">
        <v>1100</v>
      </c>
      <c r="CN17" s="7" t="str">
        <v/>
      </c>
      <c r="CO17" s="7" t="str">
        <v>1100</v>
      </c>
      <c r="CP17" s="7" t="str">
        <v/>
      </c>
      <c r="CQ17" s="7" t="str">
        <v/>
      </c>
      <c r="CR17" s="7" t="str">
        <v/>
      </c>
      <c r="CS17" s="7" t="str">
        <v/>
      </c>
      <c r="CT17" s="7" t="str">
        <v/>
      </c>
      <c r="CU17" s="7" t="str">
        <v/>
      </c>
      <c r="CV17" s="7" t="str">
        <v/>
      </c>
      <c r="CW17" s="7" t="str">
        <v/>
      </c>
      <c r="CX17" s="7" t="str">
        <v/>
      </c>
      <c r="CY17" s="7" t="str">
        <v>0101</v>
      </c>
      <c r="CZ17" s="7" t="str">
        <v>0011</v>
      </c>
      <c r="DA17" s="7" t="str">
        <v>0011</v>
      </c>
      <c r="DB17" s="7" t="str">
        <v/>
      </c>
      <c r="DC17" s="7" t="str">
        <v/>
      </c>
      <c r="DD17" s="7" t="str">
        <v/>
      </c>
    </row>
    <row r="18" spans="1:108" ht="15.75" customHeight="1">
      <c r="A18" s="71">
        <v>18</v>
      </c>
      <c r="C18" s="72" t="s">
        <v>54</v>
      </c>
      <c r="D18" s="72" t="s">
        <v>31</v>
      </c>
      <c r="E18" s="72" t="s">
        <v>31</v>
      </c>
      <c r="F18" s="72" t="s">
        <v>54</v>
      </c>
      <c r="G18" s="72" t="s">
        <v>111</v>
      </c>
      <c r="H18" s="72" t="s">
        <v>111</v>
      </c>
      <c r="I18" s="72" t="s">
        <v>111</v>
      </c>
      <c r="J18" s="72" t="s">
        <v>54</v>
      </c>
      <c r="K18" s="72" t="s">
        <v>31</v>
      </c>
      <c r="L18" s="72" t="s">
        <v>45</v>
      </c>
      <c r="M18" s="72" t="s">
        <v>34</v>
      </c>
      <c r="N18" s="72" t="s">
        <v>47</v>
      </c>
      <c r="O18" s="72" t="s">
        <v>54</v>
      </c>
      <c r="P18" s="72" t="s">
        <v>54</v>
      </c>
      <c r="Q18" s="72" t="s">
        <v>31</v>
      </c>
      <c r="R18" s="72" t="s">
        <v>45</v>
      </c>
      <c r="S18" s="72" t="s">
        <v>41</v>
      </c>
      <c r="T18" s="72" t="s">
        <v>54</v>
      </c>
      <c r="U18" s="72" t="s">
        <v>54</v>
      </c>
      <c r="V18" s="72" t="s">
        <v>31</v>
      </c>
      <c r="W18" s="72" t="s">
        <v>54</v>
      </c>
      <c r="X18" s="72" t="s">
        <v>31</v>
      </c>
      <c r="Y18" s="72" t="s">
        <v>54</v>
      </c>
      <c r="Z18" s="72" t="s">
        <v>54</v>
      </c>
      <c r="AA18" s="72" t="s">
        <v>31</v>
      </c>
      <c r="AB18" s="72" t="s">
        <v>31</v>
      </c>
      <c r="AC18" s="72" t="s">
        <v>54</v>
      </c>
      <c r="AD18" s="72" t="s">
        <v>108</v>
      </c>
      <c r="AE18" s="72" t="s">
        <v>108</v>
      </c>
      <c r="AF18" s="72" t="s">
        <v>54</v>
      </c>
      <c r="AG18" s="72" t="s">
        <v>54</v>
      </c>
      <c r="AH18" s="72" t="s">
        <v>54</v>
      </c>
      <c r="AI18" s="72" t="s">
        <v>31</v>
      </c>
      <c r="AJ18" s="72" t="s">
        <v>54</v>
      </c>
      <c r="AK18" s="72" t="s">
        <v>114</v>
      </c>
      <c r="AL18" s="72" t="s">
        <v>114</v>
      </c>
      <c r="AM18" s="72" t="s">
        <v>114</v>
      </c>
      <c r="AN18" s="72" t="s">
        <v>54</v>
      </c>
      <c r="AO18" s="72" t="s">
        <v>37</v>
      </c>
      <c r="AP18" s="72" t="s">
        <v>34</v>
      </c>
      <c r="AQ18" s="72" t="s">
        <v>41</v>
      </c>
      <c r="AR18" s="72" t="s">
        <v>54</v>
      </c>
      <c r="AS18" s="72" t="s">
        <v>31</v>
      </c>
      <c r="AT18" s="72" t="s">
        <v>54</v>
      </c>
      <c r="AU18" s="72" t="s">
        <v>113</v>
      </c>
      <c r="AV18" s="72" t="s">
        <v>113</v>
      </c>
      <c r="AW18" s="72" t="s">
        <v>113</v>
      </c>
      <c r="AX18" s="72" t="s">
        <v>54</v>
      </c>
      <c r="AY18" s="69"/>
      <c r="AZ18" s="69"/>
      <c r="BA18" s="69"/>
      <c r="BB18" s="69"/>
      <c r="BC18" s="26" t="s">
        <v>294</v>
      </c>
      <c r="BD18" s="26" t="s">
        <v>54</v>
      </c>
      <c r="BI18" s="7" t="str">
        <v/>
      </c>
      <c r="BJ18" s="7" t="str">
        <v>1100</v>
      </c>
      <c r="BK18" s="7" t="str">
        <v>1100</v>
      </c>
      <c r="BL18" s="7" t="str">
        <v/>
      </c>
      <c r="BM18" s="7" t="str">
        <v/>
      </c>
      <c r="BN18" s="7" t="str">
        <v/>
      </c>
      <c r="BO18" s="7" t="str">
        <v/>
      </c>
      <c r="BP18" s="7" t="str">
        <v/>
      </c>
      <c r="BQ18" s="7" t="str">
        <v>0101</v>
      </c>
      <c r="BR18" s="7" t="str">
        <v>0110</v>
      </c>
      <c r="BS18" s="7" t="str">
        <v/>
      </c>
      <c r="BT18" s="7" t="str">
        <v>1100</v>
      </c>
      <c r="BU18" s="7" t="str">
        <v/>
      </c>
      <c r="BV18" s="7" t="str">
        <v/>
      </c>
      <c r="BW18" s="7" t="str">
        <v>1100</v>
      </c>
      <c r="BX18" s="7" t="str">
        <v>1100</v>
      </c>
      <c r="BY18" s="7" t="str">
        <v/>
      </c>
      <c r="BZ18" s="7" t="str">
        <v/>
      </c>
      <c r="CA18" s="7" t="str">
        <v/>
      </c>
      <c r="CB18" s="7" t="str">
        <v>1100</v>
      </c>
      <c r="CC18" s="7" t="str">
        <v/>
      </c>
      <c r="CD18" s="7" t="str">
        <v>1100</v>
      </c>
      <c r="CE18" s="7" t="str">
        <v/>
      </c>
      <c r="CF18" s="7" t="str">
        <v/>
      </c>
      <c r="CG18" s="7" t="str">
        <v>1100</v>
      </c>
      <c r="CH18" s="7" t="str">
        <v>1100</v>
      </c>
      <c r="CI18" s="7" t="str">
        <v/>
      </c>
      <c r="CJ18" s="7" t="str">
        <v/>
      </c>
      <c r="CK18" s="7" t="str">
        <v/>
      </c>
      <c r="CL18" s="7" t="str">
        <v>1001</v>
      </c>
      <c r="CM18" s="7" t="str">
        <v>1010</v>
      </c>
      <c r="CN18" s="7" t="str">
        <v/>
      </c>
      <c r="CO18" s="7" t="str">
        <v>1100</v>
      </c>
      <c r="CP18" s="7" t="str">
        <v/>
      </c>
      <c r="CQ18" s="7" t="str">
        <v/>
      </c>
      <c r="CR18" s="7" t="str">
        <v/>
      </c>
      <c r="CS18" s="7" t="str">
        <v/>
      </c>
      <c r="CT18" s="7" t="str">
        <v/>
      </c>
      <c r="CU18" s="7" t="str">
        <v/>
      </c>
      <c r="CV18" s="7" t="str">
        <v/>
      </c>
      <c r="CW18" s="7" t="str">
        <v/>
      </c>
      <c r="CX18" s="7" t="str">
        <v/>
      </c>
      <c r="CY18" s="7" t="str">
        <v>1100</v>
      </c>
      <c r="CZ18" s="7" t="str">
        <v/>
      </c>
      <c r="DA18" s="7" t="str">
        <v/>
      </c>
      <c r="DB18" s="7" t="str">
        <v/>
      </c>
      <c r="DC18" s="7" t="str">
        <v/>
      </c>
      <c r="DD18" s="7" t="str">
        <v/>
      </c>
    </row>
    <row r="19" spans="1:108" ht="15.75" customHeight="1">
      <c r="A19" s="71">
        <v>19</v>
      </c>
      <c r="C19" s="72" t="s">
        <v>54</v>
      </c>
      <c r="D19" s="72" t="s">
        <v>31</v>
      </c>
      <c r="E19" s="72" t="s">
        <v>45</v>
      </c>
      <c r="F19" s="72" t="s">
        <v>41</v>
      </c>
      <c r="G19" s="72" t="s">
        <v>54</v>
      </c>
      <c r="H19" s="72" t="s">
        <v>111</v>
      </c>
      <c r="I19" s="72" t="s">
        <v>111</v>
      </c>
      <c r="J19" s="72" t="s">
        <v>54</v>
      </c>
      <c r="K19" s="72" t="s">
        <v>31</v>
      </c>
      <c r="L19" s="72" t="s">
        <v>54</v>
      </c>
      <c r="M19" s="72" t="s">
        <v>54</v>
      </c>
      <c r="N19" s="72" t="s">
        <v>54</v>
      </c>
      <c r="O19" s="72" t="s">
        <v>54</v>
      </c>
      <c r="P19" s="72" t="s">
        <v>54</v>
      </c>
      <c r="Q19" s="72" t="s">
        <v>45</v>
      </c>
      <c r="R19" s="72" t="s">
        <v>41</v>
      </c>
      <c r="S19" s="72" t="s">
        <v>45</v>
      </c>
      <c r="T19" s="72" t="s">
        <v>41</v>
      </c>
      <c r="U19" s="72" t="s">
        <v>54</v>
      </c>
      <c r="V19" s="72" t="s">
        <v>31</v>
      </c>
      <c r="W19" s="72" t="s">
        <v>54</v>
      </c>
      <c r="X19" s="72" t="s">
        <v>31</v>
      </c>
      <c r="Y19" s="72" t="s">
        <v>54</v>
      </c>
      <c r="Z19" s="72" t="s">
        <v>54</v>
      </c>
      <c r="AA19" s="72" t="s">
        <v>31</v>
      </c>
      <c r="AB19" s="72" t="s">
        <v>31</v>
      </c>
      <c r="AC19" s="72" t="s">
        <v>54</v>
      </c>
      <c r="AD19" s="72" t="s">
        <v>108</v>
      </c>
      <c r="AE19" s="72" t="s">
        <v>108</v>
      </c>
      <c r="AF19" s="72" t="s">
        <v>109</v>
      </c>
      <c r="AG19" s="72" t="s">
        <v>109</v>
      </c>
      <c r="AH19" s="72" t="s">
        <v>54</v>
      </c>
      <c r="AI19" s="72" t="s">
        <v>31</v>
      </c>
      <c r="AJ19" s="72" t="s">
        <v>54</v>
      </c>
      <c r="AK19" s="72" t="s">
        <v>114</v>
      </c>
      <c r="AL19" s="72" t="s">
        <v>114</v>
      </c>
      <c r="AM19" s="72" t="s">
        <v>114</v>
      </c>
      <c r="AN19" s="72" t="s">
        <v>54</v>
      </c>
      <c r="AO19" s="72" t="s">
        <v>31</v>
      </c>
      <c r="AP19" s="72" t="s">
        <v>54</v>
      </c>
      <c r="AQ19" s="72" t="s">
        <v>31</v>
      </c>
      <c r="AR19" s="72" t="s">
        <v>54</v>
      </c>
      <c r="AS19" s="72" t="s">
        <v>31</v>
      </c>
      <c r="AT19" s="72" t="s">
        <v>54</v>
      </c>
      <c r="AU19" s="72" t="s">
        <v>113</v>
      </c>
      <c r="AV19" s="72" t="s">
        <v>113</v>
      </c>
      <c r="AW19" s="72" t="s">
        <v>113</v>
      </c>
      <c r="AX19" s="72" t="s">
        <v>54</v>
      </c>
      <c r="AY19" s="69"/>
      <c r="AZ19" s="69"/>
      <c r="BA19" s="69"/>
      <c r="BB19" s="69"/>
      <c r="BC19" s="26" t="s">
        <v>295</v>
      </c>
      <c r="BD19" s="26" t="s">
        <v>54</v>
      </c>
      <c r="BI19" s="7" t="str">
        <v/>
      </c>
      <c r="BJ19" s="7" t="str">
        <v>1100</v>
      </c>
      <c r="BK19" s="7" t="str">
        <v>1100</v>
      </c>
      <c r="BL19" s="7" t="str">
        <v/>
      </c>
      <c r="BM19" s="7" t="str">
        <v/>
      </c>
      <c r="BN19" s="7" t="str">
        <v/>
      </c>
      <c r="BO19" s="7" t="str">
        <v/>
      </c>
      <c r="BP19" s="7" t="str">
        <v/>
      </c>
      <c r="BQ19" s="7" t="str">
        <v>1100</v>
      </c>
      <c r="BR19" s="7" t="str">
        <v>1001</v>
      </c>
      <c r="BS19" s="7" t="str">
        <v>0011</v>
      </c>
      <c r="BT19" s="7" t="str">
        <v>1010</v>
      </c>
      <c r="BU19" s="7" t="str">
        <v/>
      </c>
      <c r="BV19" s="7" t="str">
        <v/>
      </c>
      <c r="BW19" s="7" t="str">
        <v>1100</v>
      </c>
      <c r="BX19" s="7" t="str">
        <v>1001</v>
      </c>
      <c r="BY19" s="7" t="str">
        <v>0110</v>
      </c>
      <c r="BZ19" s="7" t="str">
        <v/>
      </c>
      <c r="CA19" s="7" t="str">
        <v/>
      </c>
      <c r="CB19" s="7" t="str">
        <v>1100</v>
      </c>
      <c r="CC19" s="7" t="str">
        <v/>
      </c>
      <c r="CD19" s="7" t="str">
        <v>1100</v>
      </c>
      <c r="CE19" s="7" t="str">
        <v/>
      </c>
      <c r="CF19" s="7" t="str">
        <v/>
      </c>
      <c r="CG19" s="7" t="str">
        <v>1100</v>
      </c>
      <c r="CH19" s="7" t="str">
        <v>1100</v>
      </c>
      <c r="CI19" s="7" t="str">
        <v/>
      </c>
      <c r="CJ19" s="7" t="str">
        <v/>
      </c>
      <c r="CK19" s="7" t="str">
        <v/>
      </c>
      <c r="CL19" s="7" t="str">
        <v/>
      </c>
      <c r="CM19" s="7" t="str">
        <v/>
      </c>
      <c r="CN19" s="7" t="str">
        <v/>
      </c>
      <c r="CO19" s="7" t="str">
        <v>1100</v>
      </c>
      <c r="CP19" s="7" t="str">
        <v/>
      </c>
      <c r="CQ19" s="7" t="str">
        <v/>
      </c>
      <c r="CR19" s="7" t="str">
        <v/>
      </c>
      <c r="CS19" s="7" t="str">
        <v/>
      </c>
      <c r="CT19" s="7" t="str">
        <v/>
      </c>
      <c r="CU19" s="7" t="str">
        <v>0101</v>
      </c>
      <c r="CV19" s="7" t="str">
        <v>0011</v>
      </c>
      <c r="CW19" s="7" t="str">
        <v>0110</v>
      </c>
      <c r="CX19" s="7" t="str">
        <v/>
      </c>
      <c r="CY19" s="7" t="str">
        <v>1100</v>
      </c>
      <c r="CZ19" s="7" t="str">
        <v/>
      </c>
      <c r="DA19" s="7" t="str">
        <v/>
      </c>
      <c r="DB19" s="7" t="str">
        <v/>
      </c>
      <c r="DC19" s="7" t="str">
        <v/>
      </c>
      <c r="DD19" s="7" t="str">
        <v/>
      </c>
    </row>
    <row r="20" spans="1:108" ht="15.75" customHeight="1">
      <c r="A20" s="71">
        <v>20</v>
      </c>
      <c r="C20" s="72" t="s">
        <v>54</v>
      </c>
      <c r="D20" s="72" t="s">
        <v>31</v>
      </c>
      <c r="E20" s="72" t="s">
        <v>54</v>
      </c>
      <c r="F20" s="72" t="s">
        <v>31</v>
      </c>
      <c r="G20" s="72" t="s">
        <v>54</v>
      </c>
      <c r="H20" s="72" t="s">
        <v>111</v>
      </c>
      <c r="I20" s="72" t="s">
        <v>54</v>
      </c>
      <c r="J20" s="72" t="s">
        <v>54</v>
      </c>
      <c r="K20" s="72" t="s">
        <v>31</v>
      </c>
      <c r="L20" s="72" t="s">
        <v>54</v>
      </c>
      <c r="M20" s="72" t="s">
        <v>107</v>
      </c>
      <c r="N20" s="72" t="s">
        <v>107</v>
      </c>
      <c r="O20" s="72" t="s">
        <v>107</v>
      </c>
      <c r="P20" s="72" t="s">
        <v>107</v>
      </c>
      <c r="Q20" s="72" t="s">
        <v>54</v>
      </c>
      <c r="R20" s="72" t="s">
        <v>45</v>
      </c>
      <c r="S20" s="72" t="s">
        <v>41</v>
      </c>
      <c r="T20" s="72" t="s">
        <v>31</v>
      </c>
      <c r="U20" s="72" t="s">
        <v>54</v>
      </c>
      <c r="V20" s="72" t="s">
        <v>31</v>
      </c>
      <c r="W20" s="72" t="s">
        <v>54</v>
      </c>
      <c r="X20" s="72" t="s">
        <v>45</v>
      </c>
      <c r="Y20" s="72" t="s">
        <v>41</v>
      </c>
      <c r="Z20" s="72" t="s">
        <v>54</v>
      </c>
      <c r="AA20" s="72" t="s">
        <v>31</v>
      </c>
      <c r="AB20" s="72" t="s">
        <v>31</v>
      </c>
      <c r="AC20" s="72" t="s">
        <v>54</v>
      </c>
      <c r="AD20" s="72" t="s">
        <v>108</v>
      </c>
      <c r="AE20" s="72" t="s">
        <v>108</v>
      </c>
      <c r="AF20" s="72" t="s">
        <v>109</v>
      </c>
      <c r="AG20" s="72" t="s">
        <v>109</v>
      </c>
      <c r="AH20" s="72" t="s">
        <v>54</v>
      </c>
      <c r="AI20" s="72" t="s">
        <v>31</v>
      </c>
      <c r="AJ20" s="72" t="s">
        <v>54</v>
      </c>
      <c r="AK20" s="72" t="s">
        <v>114</v>
      </c>
      <c r="AL20" s="72" t="s">
        <v>114</v>
      </c>
      <c r="AM20" s="72" t="s">
        <v>114</v>
      </c>
      <c r="AN20" s="72" t="s">
        <v>54</v>
      </c>
      <c r="AO20" s="72" t="s">
        <v>45</v>
      </c>
      <c r="AP20" s="72" t="s">
        <v>41</v>
      </c>
      <c r="AQ20" s="72" t="s">
        <v>31</v>
      </c>
      <c r="AR20" s="72" t="s">
        <v>54</v>
      </c>
      <c r="AS20" s="72" t="s">
        <v>31</v>
      </c>
      <c r="AT20" s="72" t="s">
        <v>54</v>
      </c>
      <c r="AU20" s="72" t="s">
        <v>54</v>
      </c>
      <c r="AV20" s="72" t="s">
        <v>54</v>
      </c>
      <c r="AW20" s="72" t="s">
        <v>54</v>
      </c>
      <c r="AX20" s="72" t="s">
        <v>54</v>
      </c>
      <c r="AY20" s="69"/>
      <c r="AZ20" s="69"/>
      <c r="BA20" s="69"/>
      <c r="BB20" s="69"/>
      <c r="BC20" s="26" t="s">
        <v>296</v>
      </c>
      <c r="BD20" s="26" t="s">
        <v>54</v>
      </c>
      <c r="BI20" s="7" t="str">
        <v/>
      </c>
      <c r="BJ20" s="7" t="str">
        <v>1100</v>
      </c>
      <c r="BK20" s="7" t="str">
        <v>1001</v>
      </c>
      <c r="BL20" s="7" t="str">
        <v>0110</v>
      </c>
      <c r="BM20" s="7" t="str">
        <v/>
      </c>
      <c r="BN20" s="7" t="str">
        <v/>
      </c>
      <c r="BO20" s="7" t="str">
        <v/>
      </c>
      <c r="BP20" s="7" t="str">
        <v/>
      </c>
      <c r="BQ20" s="7" t="str">
        <v>1100</v>
      </c>
      <c r="BR20" s="7" t="str">
        <v/>
      </c>
      <c r="BS20" s="7" t="str">
        <v/>
      </c>
      <c r="BT20" s="7" t="str">
        <v/>
      </c>
      <c r="BU20" s="7" t="str">
        <v/>
      </c>
      <c r="BV20" s="7" t="str">
        <v/>
      </c>
      <c r="BW20" s="7" t="str">
        <v>1001</v>
      </c>
      <c r="BX20" s="7" t="str">
        <v>0110</v>
      </c>
      <c r="BY20" s="7" t="str">
        <v>1001</v>
      </c>
      <c r="BZ20" s="7" t="str">
        <v>0110</v>
      </c>
      <c r="CA20" s="7" t="str">
        <v/>
      </c>
      <c r="CB20" s="7" t="str">
        <v>1100</v>
      </c>
      <c r="CC20" s="7" t="str">
        <v/>
      </c>
      <c r="CD20" s="7" t="str">
        <v>1100</v>
      </c>
      <c r="CE20" s="7" t="str">
        <v/>
      </c>
      <c r="CF20" s="7" t="str">
        <v/>
      </c>
      <c r="CG20" s="7" t="str">
        <v>1100</v>
      </c>
      <c r="CH20" s="7" t="str">
        <v>1100</v>
      </c>
      <c r="CI20" s="7" t="str">
        <v/>
      </c>
      <c r="CJ20" s="7" t="str">
        <v/>
      </c>
      <c r="CK20" s="7" t="str">
        <v/>
      </c>
      <c r="CL20" s="7" t="str">
        <v/>
      </c>
      <c r="CM20" s="7" t="str">
        <v/>
      </c>
      <c r="CN20" s="7" t="str">
        <v/>
      </c>
      <c r="CO20" s="7" t="str">
        <v>1100</v>
      </c>
      <c r="CP20" s="7" t="str">
        <v/>
      </c>
      <c r="CQ20" s="7" t="str">
        <v/>
      </c>
      <c r="CR20" s="7" t="str">
        <v/>
      </c>
      <c r="CS20" s="7" t="str">
        <v/>
      </c>
      <c r="CT20" s="7" t="str">
        <v/>
      </c>
      <c r="CU20" s="7" t="str">
        <v>1100</v>
      </c>
      <c r="CV20" s="7" t="str">
        <v/>
      </c>
      <c r="CW20" s="7" t="str">
        <v>1100</v>
      </c>
      <c r="CX20" s="7" t="str">
        <v/>
      </c>
      <c r="CY20" s="7" t="str">
        <v>1100</v>
      </c>
      <c r="CZ20" s="7" t="str">
        <v/>
      </c>
      <c r="DA20" s="7" t="str">
        <v/>
      </c>
      <c r="DB20" s="7" t="str">
        <v/>
      </c>
      <c r="DC20" s="7" t="str">
        <v/>
      </c>
      <c r="DD20" s="7" t="str">
        <v/>
      </c>
    </row>
    <row r="21" spans="1:108" ht="15.75" customHeight="1">
      <c r="A21" s="71">
        <v>21</v>
      </c>
      <c r="C21" s="72" t="s">
        <v>54</v>
      </c>
      <c r="D21" s="72" t="s">
        <v>31</v>
      </c>
      <c r="E21" s="72" t="s">
        <v>54</v>
      </c>
      <c r="F21" s="72" t="s">
        <v>31</v>
      </c>
      <c r="G21" s="72" t="s">
        <v>54</v>
      </c>
      <c r="H21" s="72" t="s">
        <v>54</v>
      </c>
      <c r="I21" s="72" t="s">
        <v>54</v>
      </c>
      <c r="J21" s="72" t="s">
        <v>37</v>
      </c>
      <c r="K21" s="72" t="s">
        <v>47</v>
      </c>
      <c r="L21" s="72" t="s">
        <v>54</v>
      </c>
      <c r="M21" s="72" t="s">
        <v>107</v>
      </c>
      <c r="N21" s="72" t="s">
        <v>107</v>
      </c>
      <c r="O21" s="72" t="s">
        <v>107</v>
      </c>
      <c r="P21" s="72" t="s">
        <v>107</v>
      </c>
      <c r="Q21" s="72" t="s">
        <v>54</v>
      </c>
      <c r="R21" s="72" t="s">
        <v>54</v>
      </c>
      <c r="S21" s="72" t="s">
        <v>45</v>
      </c>
      <c r="T21" s="72" t="s">
        <v>47</v>
      </c>
      <c r="U21" s="72" t="s">
        <v>54</v>
      </c>
      <c r="V21" s="72" t="s">
        <v>31</v>
      </c>
      <c r="W21" s="72" t="s">
        <v>54</v>
      </c>
      <c r="X21" s="72" t="s">
        <v>54</v>
      </c>
      <c r="Y21" s="72" t="s">
        <v>45</v>
      </c>
      <c r="Z21" s="72" t="s">
        <v>34</v>
      </c>
      <c r="AA21" s="72" t="s">
        <v>47</v>
      </c>
      <c r="AB21" s="72" t="s">
        <v>52</v>
      </c>
      <c r="AC21" s="72" t="s">
        <v>54</v>
      </c>
      <c r="AD21" s="72" t="s">
        <v>108</v>
      </c>
      <c r="AE21" s="72" t="s">
        <v>108</v>
      </c>
      <c r="AF21" s="72" t="s">
        <v>109</v>
      </c>
      <c r="AG21" s="72" t="s">
        <v>109</v>
      </c>
      <c r="AH21" s="72" t="s">
        <v>54</v>
      </c>
      <c r="AI21" s="72" t="s">
        <v>31</v>
      </c>
      <c r="AJ21" s="72" t="s">
        <v>54</v>
      </c>
      <c r="AK21" s="72" t="s">
        <v>54</v>
      </c>
      <c r="AL21" s="72" t="s">
        <v>54</v>
      </c>
      <c r="AM21" s="72" t="s">
        <v>114</v>
      </c>
      <c r="AN21" s="72" t="s">
        <v>54</v>
      </c>
      <c r="AO21" s="72" t="s">
        <v>54</v>
      </c>
      <c r="AP21" s="72" t="s">
        <v>31</v>
      </c>
      <c r="AQ21" s="72" t="s">
        <v>31</v>
      </c>
      <c r="AR21" s="72" t="s">
        <v>54</v>
      </c>
      <c r="AS21" s="72" t="s">
        <v>45</v>
      </c>
      <c r="AT21" s="72" t="s">
        <v>34</v>
      </c>
      <c r="AU21" s="72" t="s">
        <v>34</v>
      </c>
      <c r="AV21" s="72" t="s">
        <v>41</v>
      </c>
      <c r="AW21" s="72" t="s">
        <v>54</v>
      </c>
      <c r="AX21" s="72" t="s">
        <v>54</v>
      </c>
      <c r="AY21" s="69"/>
      <c r="AZ21" s="69"/>
      <c r="BA21" s="69"/>
      <c r="BB21" s="69"/>
      <c r="BC21" s="26" t="s">
        <v>297</v>
      </c>
      <c r="BD21" s="26" t="s">
        <v>54</v>
      </c>
      <c r="BI21" s="7" t="str">
        <v/>
      </c>
      <c r="BJ21" s="7" t="str">
        <v>1100</v>
      </c>
      <c r="BK21" s="7" t="str">
        <v/>
      </c>
      <c r="BL21" s="7" t="str">
        <v>1100</v>
      </c>
      <c r="BM21" s="7" t="str">
        <v/>
      </c>
      <c r="BN21" s="7" t="str">
        <v/>
      </c>
      <c r="BO21" s="7" t="str">
        <v/>
      </c>
      <c r="BP21" s="7" t="str">
        <v/>
      </c>
      <c r="BQ21" s="7" t="str">
        <v>1100</v>
      </c>
      <c r="BR21" s="7" t="str">
        <v/>
      </c>
      <c r="BS21" s="7" t="str">
        <v/>
      </c>
      <c r="BT21" s="7" t="str">
        <v/>
      </c>
      <c r="BU21" s="7" t="str">
        <v/>
      </c>
      <c r="BV21" s="7" t="str">
        <v/>
      </c>
      <c r="BW21" s="7" t="str">
        <v/>
      </c>
      <c r="BX21" s="7" t="str">
        <v>1001</v>
      </c>
      <c r="BY21" s="7" t="str">
        <v>0110</v>
      </c>
      <c r="BZ21" s="7" t="str">
        <v>1100</v>
      </c>
      <c r="CA21" s="7" t="str">
        <v/>
      </c>
      <c r="CB21" s="7" t="str">
        <v>1100</v>
      </c>
      <c r="CC21" s="7" t="str">
        <v/>
      </c>
      <c r="CD21" s="7" t="str">
        <v>1001</v>
      </c>
      <c r="CE21" s="7" t="str">
        <v>0110</v>
      </c>
      <c r="CF21" s="7" t="str">
        <v/>
      </c>
      <c r="CG21" s="7" t="str">
        <v>1100</v>
      </c>
      <c r="CH21" s="7" t="str">
        <v>1100</v>
      </c>
      <c r="CI21" s="7" t="str">
        <v/>
      </c>
      <c r="CJ21" s="7" t="str">
        <v/>
      </c>
      <c r="CK21" s="7" t="str">
        <v/>
      </c>
      <c r="CL21" s="7" t="str">
        <v/>
      </c>
      <c r="CM21" s="7" t="str">
        <v/>
      </c>
      <c r="CN21" s="7" t="str">
        <v/>
      </c>
      <c r="CO21" s="7" t="str">
        <v>1100</v>
      </c>
      <c r="CP21" s="7" t="str">
        <v/>
      </c>
      <c r="CQ21" s="7" t="str">
        <v/>
      </c>
      <c r="CR21" s="7" t="str">
        <v/>
      </c>
      <c r="CS21" s="7" t="str">
        <v/>
      </c>
      <c r="CT21" s="7" t="str">
        <v/>
      </c>
      <c r="CU21" s="7" t="str">
        <v>1001</v>
      </c>
      <c r="CV21" s="7" t="str">
        <v>0110</v>
      </c>
      <c r="CW21" s="7" t="str">
        <v>1100</v>
      </c>
      <c r="CX21" s="7" t="str">
        <v/>
      </c>
      <c r="CY21" s="7" t="str">
        <v>1100</v>
      </c>
      <c r="CZ21" s="7" t="str">
        <v/>
      </c>
      <c r="DA21" s="7" t="str">
        <v/>
      </c>
      <c r="DB21" s="7" t="str">
        <v/>
      </c>
      <c r="DC21" s="7" t="str">
        <v/>
      </c>
      <c r="DD21" s="7" t="str">
        <v/>
      </c>
    </row>
    <row r="22" spans="1:108" ht="15.75" customHeight="1">
      <c r="A22" s="71">
        <v>22</v>
      </c>
      <c r="C22" s="72" t="s">
        <v>54</v>
      </c>
      <c r="D22" s="72" t="s">
        <v>49</v>
      </c>
      <c r="E22" s="72" t="s">
        <v>54</v>
      </c>
      <c r="F22" s="72" t="s">
        <v>45</v>
      </c>
      <c r="G22" s="72" t="s">
        <v>34</v>
      </c>
      <c r="H22" s="72" t="s">
        <v>34</v>
      </c>
      <c r="I22" s="72" t="s">
        <v>34</v>
      </c>
      <c r="J22" s="72" t="s">
        <v>47</v>
      </c>
      <c r="K22" s="72" t="s">
        <v>54</v>
      </c>
      <c r="L22" s="72" t="s">
        <v>54</v>
      </c>
      <c r="M22" s="72" t="s">
        <v>54</v>
      </c>
      <c r="N22" s="72" t="s">
        <v>107</v>
      </c>
      <c r="O22" s="72" t="s">
        <v>107</v>
      </c>
      <c r="P22" s="72" t="s">
        <v>54</v>
      </c>
      <c r="Q22" s="72" t="s">
        <v>54</v>
      </c>
      <c r="R22" s="72" t="s">
        <v>54</v>
      </c>
      <c r="S22" s="72" t="s">
        <v>54</v>
      </c>
      <c r="T22" s="72" t="s">
        <v>54</v>
      </c>
      <c r="U22" s="72" t="s">
        <v>54</v>
      </c>
      <c r="V22" s="72" t="s">
        <v>52</v>
      </c>
      <c r="W22" s="72" t="s">
        <v>54</v>
      </c>
      <c r="X22" s="72" t="s">
        <v>54</v>
      </c>
      <c r="Y22" s="72" t="s">
        <v>54</v>
      </c>
      <c r="Z22" s="72" t="s">
        <v>54</v>
      </c>
      <c r="AA22" s="72" t="s">
        <v>54</v>
      </c>
      <c r="AB22" s="72" t="s">
        <v>54</v>
      </c>
      <c r="AC22" s="72" t="s">
        <v>54</v>
      </c>
      <c r="AD22" s="72" t="s">
        <v>108</v>
      </c>
      <c r="AE22" s="72" t="s">
        <v>108</v>
      </c>
      <c r="AF22" s="72" t="s">
        <v>54</v>
      </c>
      <c r="AG22" s="72" t="s">
        <v>54</v>
      </c>
      <c r="AH22" s="72" t="s">
        <v>54</v>
      </c>
      <c r="AI22" s="72" t="s">
        <v>45</v>
      </c>
      <c r="AJ22" s="72" t="s">
        <v>34</v>
      </c>
      <c r="AK22" s="72" t="s">
        <v>52</v>
      </c>
      <c r="AL22" s="72" t="s">
        <v>54</v>
      </c>
      <c r="AM22" s="72" t="s">
        <v>114</v>
      </c>
      <c r="AN22" s="72" t="s">
        <v>114</v>
      </c>
      <c r="AO22" s="72" t="s">
        <v>54</v>
      </c>
      <c r="AP22" s="72" t="s">
        <v>31</v>
      </c>
      <c r="AQ22" s="72" t="s">
        <v>31</v>
      </c>
      <c r="AR22" s="72" t="s">
        <v>54</v>
      </c>
      <c r="AS22" s="72" t="s">
        <v>54</v>
      </c>
      <c r="AT22" s="72" t="s">
        <v>54</v>
      </c>
      <c r="AU22" s="72" t="s">
        <v>54</v>
      </c>
      <c r="AV22" s="72" t="s">
        <v>31</v>
      </c>
      <c r="AW22" s="72" t="s">
        <v>54</v>
      </c>
      <c r="AX22" s="72" t="s">
        <v>54</v>
      </c>
      <c r="AY22" s="69"/>
      <c r="AZ22" s="69"/>
      <c r="BA22" s="69"/>
      <c r="BB22" s="69"/>
      <c r="BC22" s="26" t="s">
        <v>298</v>
      </c>
      <c r="BD22" s="26" t="s">
        <v>54</v>
      </c>
      <c r="BI22" s="7" t="str">
        <v/>
      </c>
      <c r="BJ22" s="7" t="str">
        <v>1100</v>
      </c>
      <c r="BK22" s="7" t="str">
        <v/>
      </c>
      <c r="BL22" s="7" t="str">
        <v>1100</v>
      </c>
      <c r="BM22" s="7" t="str">
        <v/>
      </c>
      <c r="BN22" s="7" t="str">
        <v/>
      </c>
      <c r="BO22" s="7" t="str">
        <v/>
      </c>
      <c r="BP22" s="7" t="str">
        <v>0101</v>
      </c>
      <c r="BQ22" s="7" t="str">
        <v>1010</v>
      </c>
      <c r="BR22" s="7" t="str">
        <v/>
      </c>
      <c r="BS22" s="7" t="str">
        <v/>
      </c>
      <c r="BT22" s="7" t="str">
        <v/>
      </c>
      <c r="BU22" s="7" t="str">
        <v/>
      </c>
      <c r="BV22" s="7" t="str">
        <v/>
      </c>
      <c r="BW22" s="7" t="str">
        <v/>
      </c>
      <c r="BX22" s="7" t="str">
        <v/>
      </c>
      <c r="BY22" s="7" t="str">
        <v>1001</v>
      </c>
      <c r="BZ22" s="7" t="str">
        <v>1010</v>
      </c>
      <c r="CA22" s="7" t="str">
        <v/>
      </c>
      <c r="CB22" s="7" t="str">
        <v>1100</v>
      </c>
      <c r="CC22" s="7" t="str">
        <v/>
      </c>
      <c r="CD22" s="7" t="str">
        <v/>
      </c>
      <c r="CE22" s="7" t="str">
        <v>1001</v>
      </c>
      <c r="CF22" s="7" t="str">
        <v>0011</v>
      </c>
      <c r="CG22" s="7" t="str">
        <v>1010</v>
      </c>
      <c r="CH22" s="7" t="str">
        <v/>
      </c>
      <c r="CI22" s="7" t="str">
        <v/>
      </c>
      <c r="CJ22" s="7" t="str">
        <v/>
      </c>
      <c r="CK22" s="7" t="str">
        <v/>
      </c>
      <c r="CL22" s="7" t="str">
        <v/>
      </c>
      <c r="CM22" s="7" t="str">
        <v/>
      </c>
      <c r="CN22" s="7" t="str">
        <v/>
      </c>
      <c r="CO22" s="7" t="str">
        <v>1100</v>
      </c>
      <c r="CP22" s="7" t="str">
        <v/>
      </c>
      <c r="CQ22" s="7" t="str">
        <v/>
      </c>
      <c r="CR22" s="7" t="str">
        <v/>
      </c>
      <c r="CS22" s="7" t="str">
        <v/>
      </c>
      <c r="CT22" s="7" t="str">
        <v/>
      </c>
      <c r="CU22" s="7" t="str">
        <v/>
      </c>
      <c r="CV22" s="7" t="str">
        <v>1100</v>
      </c>
      <c r="CW22" s="7" t="str">
        <v>1100</v>
      </c>
      <c r="CX22" s="7" t="str">
        <v/>
      </c>
      <c r="CY22" s="7" t="str">
        <v>1001</v>
      </c>
      <c r="CZ22" s="7" t="str">
        <v>0011</v>
      </c>
      <c r="DA22" s="7" t="str">
        <v>0011</v>
      </c>
      <c r="DB22" s="7" t="str">
        <v>0110</v>
      </c>
      <c r="DC22" s="7" t="str">
        <v/>
      </c>
      <c r="DD22" s="7" t="str">
        <v/>
      </c>
    </row>
    <row r="23" spans="1:108" ht="15.75" customHeight="1">
      <c r="A23" s="71">
        <v>23</v>
      </c>
      <c r="C23" s="72" t="s">
        <v>52</v>
      </c>
      <c r="D23" s="72" t="s">
        <v>34</v>
      </c>
      <c r="E23" s="72" t="s">
        <v>34</v>
      </c>
      <c r="F23" s="72" t="s">
        <v>41</v>
      </c>
      <c r="G23" s="72" t="s">
        <v>54</v>
      </c>
      <c r="H23" s="72" t="s">
        <v>54</v>
      </c>
      <c r="I23" s="72" t="s">
        <v>54</v>
      </c>
      <c r="J23" s="72" t="s">
        <v>54</v>
      </c>
      <c r="K23" s="72" t="s">
        <v>54</v>
      </c>
      <c r="L23" s="72" t="s">
        <v>54</v>
      </c>
      <c r="M23" s="72" t="s">
        <v>54</v>
      </c>
      <c r="N23" s="72" t="s">
        <v>54</v>
      </c>
      <c r="O23" s="72" t="s">
        <v>107</v>
      </c>
      <c r="P23" s="72" t="s">
        <v>54</v>
      </c>
      <c r="Q23" s="72" t="s">
        <v>54</v>
      </c>
      <c r="R23" s="72" t="s">
        <v>54</v>
      </c>
      <c r="S23" s="72" t="s">
        <v>54</v>
      </c>
      <c r="T23" s="72" t="s">
        <v>54</v>
      </c>
      <c r="U23" s="72" t="s">
        <v>54</v>
      </c>
      <c r="V23" s="72" t="s">
        <v>54</v>
      </c>
      <c r="W23" s="72" t="s">
        <v>54</v>
      </c>
      <c r="X23" s="72" t="s">
        <v>54</v>
      </c>
      <c r="Y23" s="72" t="s">
        <v>54</v>
      </c>
      <c r="Z23" s="72" t="s">
        <v>110</v>
      </c>
      <c r="AA23" s="72" t="s">
        <v>54</v>
      </c>
      <c r="AB23" s="72" t="s">
        <v>54</v>
      </c>
      <c r="AC23" s="72" t="s">
        <v>54</v>
      </c>
      <c r="AD23" s="72" t="s">
        <v>54</v>
      </c>
      <c r="AE23" s="72" t="s">
        <v>54</v>
      </c>
      <c r="AF23" s="72" t="s">
        <v>54</v>
      </c>
      <c r="AG23" s="72" t="s">
        <v>52</v>
      </c>
      <c r="AH23" s="72" t="s">
        <v>54</v>
      </c>
      <c r="AI23" s="72" t="s">
        <v>54</v>
      </c>
      <c r="AJ23" s="72" t="s">
        <v>54</v>
      </c>
      <c r="AK23" s="72" t="s">
        <v>54</v>
      </c>
      <c r="AL23" s="72" t="s">
        <v>54</v>
      </c>
      <c r="AM23" s="72" t="s">
        <v>54</v>
      </c>
      <c r="AN23" s="72" t="s">
        <v>114</v>
      </c>
      <c r="AO23" s="72" t="s">
        <v>54</v>
      </c>
      <c r="AP23" s="72" t="s">
        <v>31</v>
      </c>
      <c r="AQ23" s="72" t="s">
        <v>45</v>
      </c>
      <c r="AR23" s="72" t="s">
        <v>34</v>
      </c>
      <c r="AS23" s="72" t="s">
        <v>34</v>
      </c>
      <c r="AT23" s="72" t="s">
        <v>41</v>
      </c>
      <c r="AU23" s="72" t="s">
        <v>37</v>
      </c>
      <c r="AV23" s="72" t="s">
        <v>47</v>
      </c>
      <c r="AW23" s="72" t="s">
        <v>54</v>
      </c>
      <c r="AX23" s="72" t="s">
        <v>54</v>
      </c>
      <c r="AY23" s="69"/>
      <c r="AZ23" s="69"/>
      <c r="BA23" s="69"/>
      <c r="BB23" s="69"/>
      <c r="BC23" s="26" t="s">
        <v>299</v>
      </c>
      <c r="BD23" s="26" t="s">
        <v>54</v>
      </c>
      <c r="BI23" s="7" t="str">
        <v/>
      </c>
      <c r="BJ23" s="7" t="str">
        <v/>
      </c>
      <c r="BK23" s="7" t="str">
        <v/>
      </c>
      <c r="BL23" s="7" t="str">
        <v>1001</v>
      </c>
      <c r="BM23" s="7" t="str">
        <v>0011</v>
      </c>
      <c r="BN23" s="7" t="str">
        <v>0011</v>
      </c>
      <c r="BO23" s="7" t="str">
        <v>0011</v>
      </c>
      <c r="BP23" s="7" t="str">
        <v>1010</v>
      </c>
      <c r="BQ23" s="7" t="str">
        <v/>
      </c>
      <c r="BR23" s="7" t="str">
        <v/>
      </c>
      <c r="BS23" s="7" t="str">
        <v/>
      </c>
      <c r="BT23" s="7" t="str">
        <v/>
      </c>
      <c r="BU23" s="7" t="str">
        <v/>
      </c>
      <c r="BV23" s="7" t="str">
        <v/>
      </c>
      <c r="BW23" s="7" t="str">
        <v/>
      </c>
      <c r="BX23" s="7" t="str">
        <v/>
      </c>
      <c r="BY23" s="7" t="str">
        <v/>
      </c>
      <c r="BZ23" s="7" t="str">
        <v/>
      </c>
      <c r="CA23" s="7" t="str">
        <v/>
      </c>
      <c r="CB23" s="7" t="str">
        <v/>
      </c>
      <c r="CC23" s="7" t="str">
        <v/>
      </c>
      <c r="CD23" s="7" t="str">
        <v/>
      </c>
      <c r="CE23" s="7" t="str">
        <v/>
      </c>
      <c r="CF23" s="7" t="str">
        <v/>
      </c>
      <c r="CG23" s="7" t="str">
        <v/>
      </c>
      <c r="CH23" s="7" t="str">
        <v/>
      </c>
      <c r="CI23" s="7" t="str">
        <v/>
      </c>
      <c r="CJ23" s="7" t="str">
        <v/>
      </c>
      <c r="CK23" s="7" t="str">
        <v/>
      </c>
      <c r="CL23" s="7" t="str">
        <v/>
      </c>
      <c r="CM23" s="7" t="str">
        <v/>
      </c>
      <c r="CN23" s="7" t="str">
        <v/>
      </c>
      <c r="CO23" s="7" t="str">
        <v>1001</v>
      </c>
      <c r="CP23" s="7" t="str">
        <v>0011</v>
      </c>
      <c r="CQ23" s="7" t="str">
        <v/>
      </c>
      <c r="CR23" s="7" t="str">
        <v/>
      </c>
      <c r="CS23" s="7" t="str">
        <v/>
      </c>
      <c r="CT23" s="7" t="str">
        <v/>
      </c>
      <c r="CU23" s="7" t="str">
        <v/>
      </c>
      <c r="CV23" s="7" t="str">
        <v>1100</v>
      </c>
      <c r="CW23" s="7" t="str">
        <v>1100</v>
      </c>
      <c r="CX23" s="7" t="str">
        <v/>
      </c>
      <c r="CY23" s="7" t="str">
        <v/>
      </c>
      <c r="CZ23" s="7" t="str">
        <v/>
      </c>
      <c r="DA23" s="7" t="str">
        <v/>
      </c>
      <c r="DB23" s="7" t="str">
        <v>1100</v>
      </c>
      <c r="DC23" s="7" t="str">
        <v/>
      </c>
      <c r="DD23" s="7" t="str">
        <v/>
      </c>
    </row>
    <row r="24" spans="1:108" ht="15.75" customHeight="1">
      <c r="A24" s="71">
        <v>24</v>
      </c>
      <c r="C24" s="72" t="s">
        <v>54</v>
      </c>
      <c r="D24" s="72" t="s">
        <v>54</v>
      </c>
      <c r="E24" s="72" t="s">
        <v>54</v>
      </c>
      <c r="F24" s="72" t="s">
        <v>31</v>
      </c>
      <c r="G24" s="72" t="s">
        <v>54</v>
      </c>
      <c r="H24" s="72" t="s">
        <v>54</v>
      </c>
      <c r="I24" s="72" t="s">
        <v>54</v>
      </c>
      <c r="J24" s="72" t="s">
        <v>54</v>
      </c>
      <c r="K24" s="72" t="s">
        <v>52</v>
      </c>
      <c r="L24" s="72" t="s">
        <v>34</v>
      </c>
      <c r="M24" s="72" t="s">
        <v>41</v>
      </c>
      <c r="N24" s="72" t="s">
        <v>54</v>
      </c>
      <c r="O24" s="72" t="s">
        <v>107</v>
      </c>
      <c r="P24" s="72" t="s">
        <v>54</v>
      </c>
      <c r="Q24" s="72" t="s">
        <v>54</v>
      </c>
      <c r="R24" s="72" t="s">
        <v>54</v>
      </c>
      <c r="S24" s="72" t="s">
        <v>37</v>
      </c>
      <c r="T24" s="72" t="s">
        <v>34</v>
      </c>
      <c r="U24" s="72" t="s">
        <v>41</v>
      </c>
      <c r="V24" s="72" t="s">
        <v>54</v>
      </c>
      <c r="W24" s="72" t="s">
        <v>54</v>
      </c>
      <c r="X24" s="72" t="s">
        <v>49</v>
      </c>
      <c r="Y24" s="72" t="s">
        <v>54</v>
      </c>
      <c r="Z24" s="72" t="s">
        <v>110</v>
      </c>
      <c r="AA24" s="72" t="s">
        <v>54</v>
      </c>
      <c r="AB24" s="72" t="s">
        <v>52</v>
      </c>
      <c r="AC24" s="72" t="s">
        <v>54</v>
      </c>
      <c r="AD24" s="72" t="s">
        <v>37</v>
      </c>
      <c r="AE24" s="72" t="s">
        <v>34</v>
      </c>
      <c r="AF24" s="72" t="s">
        <v>41</v>
      </c>
      <c r="AG24" s="72" t="s">
        <v>31</v>
      </c>
      <c r="AH24" s="72" t="s">
        <v>54</v>
      </c>
      <c r="AI24" s="72" t="s">
        <v>49</v>
      </c>
      <c r="AJ24" s="72" t="s">
        <v>34</v>
      </c>
      <c r="AK24" s="72" t="s">
        <v>34</v>
      </c>
      <c r="AL24" s="72" t="s">
        <v>41</v>
      </c>
      <c r="AM24" s="72" t="s">
        <v>54</v>
      </c>
      <c r="AN24" s="72" t="s">
        <v>54</v>
      </c>
      <c r="AO24" s="72" t="s">
        <v>54</v>
      </c>
      <c r="AP24" s="72" t="s">
        <v>31</v>
      </c>
      <c r="AQ24" s="72" t="s">
        <v>37</v>
      </c>
      <c r="AR24" s="72" t="s">
        <v>34</v>
      </c>
      <c r="AS24" s="72" t="s">
        <v>34</v>
      </c>
      <c r="AT24" s="72" t="s">
        <v>47</v>
      </c>
      <c r="AU24" s="72" t="s">
        <v>45</v>
      </c>
      <c r="AV24" s="72" t="s">
        <v>41</v>
      </c>
      <c r="AW24" s="72" t="s">
        <v>54</v>
      </c>
      <c r="AX24" s="72" t="s">
        <v>54</v>
      </c>
      <c r="AY24" s="69"/>
      <c r="AZ24" s="69"/>
      <c r="BA24" s="69"/>
      <c r="BB24" s="69"/>
      <c r="BC24" s="26" t="s">
        <v>300</v>
      </c>
      <c r="BD24" s="26" t="s">
        <v>54</v>
      </c>
      <c r="BI24" s="7" t="str">
        <v/>
      </c>
      <c r="BJ24" s="7" t="str">
        <v>0011</v>
      </c>
      <c r="BK24" s="7" t="str">
        <v>0011</v>
      </c>
      <c r="BL24" s="7" t="str">
        <v>0110</v>
      </c>
      <c r="BM24" s="7" t="str">
        <v/>
      </c>
      <c r="BN24" s="7" t="str">
        <v/>
      </c>
      <c r="BO24" s="7" t="str">
        <v/>
      </c>
      <c r="BP24" s="7" t="str">
        <v/>
      </c>
      <c r="BQ24" s="7" t="str">
        <v/>
      </c>
      <c r="BR24" s="7" t="str">
        <v/>
      </c>
      <c r="BS24" s="7" t="str">
        <v/>
      </c>
      <c r="BT24" s="7" t="str">
        <v/>
      </c>
      <c r="BU24" s="7" t="str">
        <v/>
      </c>
      <c r="BV24" s="7" t="str">
        <v/>
      </c>
      <c r="BW24" s="7" t="str">
        <v/>
      </c>
      <c r="BX24" s="7" t="str">
        <v/>
      </c>
      <c r="BY24" s="7" t="str">
        <v/>
      </c>
      <c r="BZ24" s="7" t="str">
        <v/>
      </c>
      <c r="CA24" s="7" t="str">
        <v/>
      </c>
      <c r="CB24" s="7" t="str">
        <v/>
      </c>
      <c r="CC24" s="7" t="str">
        <v/>
      </c>
      <c r="CD24" s="7" t="str">
        <v/>
      </c>
      <c r="CE24" s="7" t="str">
        <v/>
      </c>
      <c r="CF24" s="7" t="str">
        <v/>
      </c>
      <c r="CG24" s="7" t="str">
        <v/>
      </c>
      <c r="CH24" s="7" t="str">
        <v/>
      </c>
      <c r="CI24" s="7" t="str">
        <v/>
      </c>
      <c r="CJ24" s="7" t="str">
        <v/>
      </c>
      <c r="CK24" s="7" t="str">
        <v/>
      </c>
      <c r="CL24" s="7" t="str">
        <v/>
      </c>
      <c r="CM24" s="7" t="str">
        <v/>
      </c>
      <c r="CN24" s="7" t="str">
        <v/>
      </c>
      <c r="CO24" s="7" t="str">
        <v/>
      </c>
      <c r="CP24" s="7" t="str">
        <v/>
      </c>
      <c r="CQ24" s="7" t="str">
        <v/>
      </c>
      <c r="CR24" s="7" t="str">
        <v/>
      </c>
      <c r="CS24" s="7" t="str">
        <v/>
      </c>
      <c r="CT24" s="7" t="str">
        <v/>
      </c>
      <c r="CU24" s="7" t="str">
        <v/>
      </c>
      <c r="CV24" s="7" t="str">
        <v>1100</v>
      </c>
      <c r="CW24" s="7" t="str">
        <v>1001</v>
      </c>
      <c r="CX24" s="7" t="str">
        <v>0011</v>
      </c>
      <c r="CY24" s="7" t="str">
        <v>0011</v>
      </c>
      <c r="CZ24" s="7" t="str">
        <v>0110</v>
      </c>
      <c r="DA24" s="7" t="str">
        <v>0101</v>
      </c>
      <c r="DB24" s="7" t="str">
        <v>1010</v>
      </c>
      <c r="DC24" s="7" t="str">
        <v/>
      </c>
      <c r="DD24" s="7" t="str">
        <v/>
      </c>
    </row>
    <row r="25" spans="1:108" ht="15.75" customHeight="1">
      <c r="A25" s="71">
        <v>25</v>
      </c>
      <c r="C25" s="72" t="s">
        <v>54</v>
      </c>
      <c r="D25" s="72" t="s">
        <v>115</v>
      </c>
      <c r="E25" s="72" t="s">
        <v>54</v>
      </c>
      <c r="F25" s="72" t="s">
        <v>45</v>
      </c>
      <c r="G25" s="72" t="s">
        <v>41</v>
      </c>
      <c r="H25" s="72" t="s">
        <v>54</v>
      </c>
      <c r="I25" s="72" t="s">
        <v>54</v>
      </c>
      <c r="J25" s="72" t="s">
        <v>54</v>
      </c>
      <c r="K25" s="72" t="s">
        <v>54</v>
      </c>
      <c r="L25" s="72" t="s">
        <v>54</v>
      </c>
      <c r="M25" s="72" t="s">
        <v>31</v>
      </c>
      <c r="N25" s="72" t="s">
        <v>54</v>
      </c>
      <c r="O25" s="72" t="s">
        <v>107</v>
      </c>
      <c r="P25" s="72" t="s">
        <v>54</v>
      </c>
      <c r="Q25" s="72" t="s">
        <v>54</v>
      </c>
      <c r="R25" s="72" t="s">
        <v>37</v>
      </c>
      <c r="S25" s="72" t="s">
        <v>47</v>
      </c>
      <c r="T25" s="72" t="s">
        <v>54</v>
      </c>
      <c r="U25" s="72" t="s">
        <v>45</v>
      </c>
      <c r="V25" s="72" t="s">
        <v>41</v>
      </c>
      <c r="W25" s="72" t="s">
        <v>54</v>
      </c>
      <c r="X25" s="72" t="s">
        <v>31</v>
      </c>
      <c r="Y25" s="72" t="s">
        <v>54</v>
      </c>
      <c r="Z25" s="72" t="s">
        <v>110</v>
      </c>
      <c r="AA25" s="72" t="s">
        <v>54</v>
      </c>
      <c r="AB25" s="72" t="s">
        <v>31</v>
      </c>
      <c r="AC25" s="72" t="s">
        <v>54</v>
      </c>
      <c r="AD25" s="72" t="s">
        <v>31</v>
      </c>
      <c r="AE25" s="72" t="s">
        <v>54</v>
      </c>
      <c r="AF25" s="72" t="s">
        <v>45</v>
      </c>
      <c r="AG25" s="72" t="s">
        <v>47</v>
      </c>
      <c r="AH25" s="72" t="s">
        <v>54</v>
      </c>
      <c r="AI25" s="72" t="s">
        <v>54</v>
      </c>
      <c r="AJ25" s="72" t="s">
        <v>54</v>
      </c>
      <c r="AK25" s="72" t="s">
        <v>54</v>
      </c>
      <c r="AL25" s="72" t="s">
        <v>45</v>
      </c>
      <c r="AM25" s="72" t="s">
        <v>34</v>
      </c>
      <c r="AN25" s="72" t="s">
        <v>41</v>
      </c>
      <c r="AO25" s="72" t="s">
        <v>54</v>
      </c>
      <c r="AP25" s="72" t="s">
        <v>31</v>
      </c>
      <c r="AQ25" s="72" t="s">
        <v>45</v>
      </c>
      <c r="AR25" s="72" t="s">
        <v>34</v>
      </c>
      <c r="AS25" s="72" t="s">
        <v>34</v>
      </c>
      <c r="AT25" s="72" t="s">
        <v>41</v>
      </c>
      <c r="AU25" s="72" t="s">
        <v>37</v>
      </c>
      <c r="AV25" s="72" t="s">
        <v>47</v>
      </c>
      <c r="AW25" s="72" t="s">
        <v>54</v>
      </c>
      <c r="AX25" s="72" t="s">
        <v>54</v>
      </c>
      <c r="AY25" s="69"/>
      <c r="AZ25" s="69"/>
      <c r="BA25" s="69"/>
      <c r="BB25" s="69"/>
      <c r="BC25" s="26" t="s">
        <v>301</v>
      </c>
      <c r="BD25" s="26" t="s">
        <v>54</v>
      </c>
      <c r="BI25" s="7" t="str">
        <v/>
      </c>
      <c r="BJ25" s="7" t="str">
        <v/>
      </c>
      <c r="BK25" s="7" t="str">
        <v/>
      </c>
      <c r="BL25" s="7" t="str">
        <v>1100</v>
      </c>
      <c r="BM25" s="7" t="str">
        <v/>
      </c>
      <c r="BN25" s="7" t="str">
        <v/>
      </c>
      <c r="BO25" s="7" t="str">
        <v/>
      </c>
      <c r="BP25" s="7" t="str">
        <v/>
      </c>
      <c r="BQ25" s="7" t="str">
        <v/>
      </c>
      <c r="BR25" s="7" t="str">
        <v>0011</v>
      </c>
      <c r="BS25" s="7" t="str">
        <v>0110</v>
      </c>
      <c r="BT25" s="7" t="str">
        <v/>
      </c>
      <c r="BU25" s="7" t="str">
        <v/>
      </c>
      <c r="BV25" s="7" t="str">
        <v/>
      </c>
      <c r="BW25" s="7" t="str">
        <v/>
      </c>
      <c r="BX25" s="7" t="str">
        <v/>
      </c>
      <c r="BY25" s="7" t="str">
        <v>0101</v>
      </c>
      <c r="BZ25" s="7" t="str">
        <v>0011</v>
      </c>
      <c r="CA25" s="7" t="str">
        <v>0110</v>
      </c>
      <c r="CB25" s="7" t="str">
        <v/>
      </c>
      <c r="CC25" s="7" t="str">
        <v/>
      </c>
      <c r="CD25" s="7" t="str">
        <v/>
      </c>
      <c r="CE25" s="7" t="str">
        <v/>
      </c>
      <c r="CF25" s="7" t="str">
        <v/>
      </c>
      <c r="CG25" s="7" t="str">
        <v/>
      </c>
      <c r="CH25" s="7" t="str">
        <v/>
      </c>
      <c r="CI25" s="7" t="str">
        <v/>
      </c>
      <c r="CJ25" s="7" t="str">
        <v>0101</v>
      </c>
      <c r="CK25" s="7" t="str">
        <v>0011</v>
      </c>
      <c r="CL25" s="7" t="str">
        <v>0110</v>
      </c>
      <c r="CM25" s="7" t="str">
        <v>1100</v>
      </c>
      <c r="CN25" s="7" t="str">
        <v/>
      </c>
      <c r="CO25" s="7" t="str">
        <v/>
      </c>
      <c r="CP25" s="7" t="str">
        <v>0011</v>
      </c>
      <c r="CQ25" s="7" t="str">
        <v>0011</v>
      </c>
      <c r="CR25" s="7" t="str">
        <v>0110</v>
      </c>
      <c r="CS25" s="7" t="str">
        <v/>
      </c>
      <c r="CT25" s="7" t="str">
        <v/>
      </c>
      <c r="CU25" s="7" t="str">
        <v/>
      </c>
      <c r="CV25" s="7" t="str">
        <v>1100</v>
      </c>
      <c r="CW25" s="7" t="str">
        <v>0101</v>
      </c>
      <c r="CX25" s="7" t="str">
        <v>0011</v>
      </c>
      <c r="CY25" s="7" t="str">
        <v>0011</v>
      </c>
      <c r="CZ25" s="7" t="str">
        <v>1010</v>
      </c>
      <c r="DA25" s="7" t="str">
        <v>1001</v>
      </c>
      <c r="DB25" s="7" t="str">
        <v>0110</v>
      </c>
      <c r="DC25" s="7" t="str">
        <v/>
      </c>
      <c r="DD25" s="7" t="str">
        <v/>
      </c>
    </row>
    <row r="26" spans="1:108" ht="15.75" customHeight="1">
      <c r="A26" s="71">
        <v>26</v>
      </c>
      <c r="C26" s="72" t="s">
        <v>54</v>
      </c>
      <c r="D26" s="72" t="s">
        <v>115</v>
      </c>
      <c r="E26" s="72" t="s">
        <v>54</v>
      </c>
      <c r="F26" s="72" t="s">
        <v>54</v>
      </c>
      <c r="G26" s="72" t="s">
        <v>31</v>
      </c>
      <c r="H26" s="72" t="s">
        <v>54</v>
      </c>
      <c r="I26" s="72" t="s">
        <v>115</v>
      </c>
      <c r="J26" s="72" t="s">
        <v>115</v>
      </c>
      <c r="K26" s="72" t="s">
        <v>115</v>
      </c>
      <c r="L26" s="72" t="s">
        <v>54</v>
      </c>
      <c r="M26" s="72" t="s">
        <v>31</v>
      </c>
      <c r="N26" s="72" t="s">
        <v>54</v>
      </c>
      <c r="O26" s="72" t="s">
        <v>107</v>
      </c>
      <c r="P26" s="72" t="s">
        <v>54</v>
      </c>
      <c r="Q26" s="72" t="s">
        <v>54</v>
      </c>
      <c r="R26" s="72" t="s">
        <v>31</v>
      </c>
      <c r="S26" s="72" t="s">
        <v>54</v>
      </c>
      <c r="T26" s="72" t="s">
        <v>54</v>
      </c>
      <c r="U26" s="72" t="s">
        <v>54</v>
      </c>
      <c r="V26" s="72" t="s">
        <v>31</v>
      </c>
      <c r="W26" s="72" t="s">
        <v>54</v>
      </c>
      <c r="X26" s="72" t="s">
        <v>31</v>
      </c>
      <c r="Y26" s="72" t="s">
        <v>54</v>
      </c>
      <c r="Z26" s="72" t="s">
        <v>110</v>
      </c>
      <c r="AA26" s="72" t="s">
        <v>54</v>
      </c>
      <c r="AB26" s="72" t="s">
        <v>31</v>
      </c>
      <c r="AC26" s="72" t="s">
        <v>54</v>
      </c>
      <c r="AD26" s="72" t="s">
        <v>31</v>
      </c>
      <c r="AE26" s="72" t="s">
        <v>54</v>
      </c>
      <c r="AF26" s="72" t="s">
        <v>54</v>
      </c>
      <c r="AG26" s="72" t="s">
        <v>54</v>
      </c>
      <c r="AH26" s="72" t="s">
        <v>54</v>
      </c>
      <c r="AI26" s="72" t="s">
        <v>37</v>
      </c>
      <c r="AJ26" s="72" t="s">
        <v>34</v>
      </c>
      <c r="AK26" s="72" t="s">
        <v>34</v>
      </c>
      <c r="AL26" s="72" t="s">
        <v>34</v>
      </c>
      <c r="AM26" s="72" t="s">
        <v>34</v>
      </c>
      <c r="AN26" s="72" t="s">
        <v>47</v>
      </c>
      <c r="AO26" s="72" t="s">
        <v>52</v>
      </c>
      <c r="AP26" s="72" t="s">
        <v>47</v>
      </c>
      <c r="AQ26" s="72" t="s">
        <v>54</v>
      </c>
      <c r="AR26" s="72" t="s">
        <v>54</v>
      </c>
      <c r="AS26" s="72" t="s">
        <v>54</v>
      </c>
      <c r="AT26" s="72" t="s">
        <v>45</v>
      </c>
      <c r="AU26" s="72" t="s">
        <v>47</v>
      </c>
      <c r="AV26" s="72" t="s">
        <v>54</v>
      </c>
      <c r="AW26" s="72" t="s">
        <v>54</v>
      </c>
      <c r="AX26" s="72" t="s">
        <v>54</v>
      </c>
      <c r="AY26" s="69"/>
      <c r="AZ26" s="69"/>
      <c r="BA26" s="69"/>
      <c r="BB26" s="69"/>
      <c r="BC26" s="26" t="s">
        <v>302</v>
      </c>
      <c r="BD26" s="26" t="s">
        <v>54</v>
      </c>
      <c r="BI26" s="7" t="str">
        <v/>
      </c>
      <c r="BJ26" s="7" t="str">
        <v/>
      </c>
      <c r="BK26" s="7" t="str">
        <v/>
      </c>
      <c r="BL26" s="7" t="str">
        <v>1001</v>
      </c>
      <c r="BM26" s="7" t="str">
        <v>0110</v>
      </c>
      <c r="BN26" s="7" t="str">
        <v/>
      </c>
      <c r="BO26" s="7" t="str">
        <v/>
      </c>
      <c r="BP26" s="7" t="str">
        <v/>
      </c>
      <c r="BQ26" s="7" t="str">
        <v/>
      </c>
      <c r="BR26" s="7" t="str">
        <v/>
      </c>
      <c r="BS26" s="7" t="str">
        <v>1100</v>
      </c>
      <c r="BT26" s="7" t="str">
        <v/>
      </c>
      <c r="BU26" s="7" t="str">
        <v/>
      </c>
      <c r="BV26" s="7" t="str">
        <v/>
      </c>
      <c r="BW26" s="7" t="str">
        <v/>
      </c>
      <c r="BX26" s="7" t="str">
        <v>0101</v>
      </c>
      <c r="BY26" s="7" t="str">
        <v>1010</v>
      </c>
      <c r="BZ26" s="7" t="str">
        <v/>
      </c>
      <c r="CA26" s="7" t="str">
        <v>1001</v>
      </c>
      <c r="CB26" s="7" t="str">
        <v>0110</v>
      </c>
      <c r="CC26" s="7" t="str">
        <v/>
      </c>
      <c r="CD26" s="7" t="str">
        <v>1100</v>
      </c>
      <c r="CE26" s="7" t="str">
        <v/>
      </c>
      <c r="CF26" s="7" t="str">
        <v/>
      </c>
      <c r="CG26" s="7" t="str">
        <v/>
      </c>
      <c r="CH26" s="7" t="str">
        <v>1100</v>
      </c>
      <c r="CI26" s="7" t="str">
        <v/>
      </c>
      <c r="CJ26" s="7" t="str">
        <v>1100</v>
      </c>
      <c r="CK26" s="7" t="str">
        <v/>
      </c>
      <c r="CL26" s="7" t="str">
        <v>1001</v>
      </c>
      <c r="CM26" s="7" t="str">
        <v>1010</v>
      </c>
      <c r="CN26" s="7" t="str">
        <v/>
      </c>
      <c r="CO26" s="7" t="str">
        <v/>
      </c>
      <c r="CP26" s="7" t="str">
        <v/>
      </c>
      <c r="CQ26" s="7" t="str">
        <v/>
      </c>
      <c r="CR26" s="7" t="str">
        <v>1001</v>
      </c>
      <c r="CS26" s="7" t="str">
        <v>0011</v>
      </c>
      <c r="CT26" s="7" t="str">
        <v>0110</v>
      </c>
      <c r="CU26" s="7" t="str">
        <v/>
      </c>
      <c r="CV26" s="7" t="str">
        <v>1100</v>
      </c>
      <c r="CW26" s="7" t="str">
        <v>1001</v>
      </c>
      <c r="CX26" s="7" t="str">
        <v>0011</v>
      </c>
      <c r="CY26" s="7" t="str">
        <v>0011</v>
      </c>
      <c r="CZ26" s="7" t="str">
        <v>0110</v>
      </c>
      <c r="DA26" s="7" t="str">
        <v>0101</v>
      </c>
      <c r="DB26" s="7" t="str">
        <v>1010</v>
      </c>
      <c r="DC26" s="7" t="str">
        <v/>
      </c>
      <c r="DD26" s="7" t="str">
        <v/>
      </c>
    </row>
    <row r="27" spans="1:108" ht="15.75" customHeight="1">
      <c r="A27" s="71">
        <v>27</v>
      </c>
      <c r="C27" s="72" t="s">
        <v>54</v>
      </c>
      <c r="D27" s="72" t="s">
        <v>115</v>
      </c>
      <c r="E27" s="72" t="s">
        <v>115</v>
      </c>
      <c r="F27" s="72" t="s">
        <v>54</v>
      </c>
      <c r="G27" s="72" t="s">
        <v>31</v>
      </c>
      <c r="H27" s="72" t="s">
        <v>54</v>
      </c>
      <c r="I27" s="72" t="s">
        <v>115</v>
      </c>
      <c r="J27" s="72" t="s">
        <v>115</v>
      </c>
      <c r="K27" s="72" t="s">
        <v>115</v>
      </c>
      <c r="L27" s="72" t="s">
        <v>54</v>
      </c>
      <c r="M27" s="72" t="s">
        <v>31</v>
      </c>
      <c r="N27" s="72" t="s">
        <v>54</v>
      </c>
      <c r="O27" s="72" t="s">
        <v>107</v>
      </c>
      <c r="P27" s="72" t="s">
        <v>54</v>
      </c>
      <c r="Q27" s="72" t="s">
        <v>54</v>
      </c>
      <c r="R27" s="72" t="s">
        <v>31</v>
      </c>
      <c r="S27" s="72" t="s">
        <v>54</v>
      </c>
      <c r="T27" s="72" t="s">
        <v>54</v>
      </c>
      <c r="U27" s="72" t="s">
        <v>54</v>
      </c>
      <c r="V27" s="72" t="s">
        <v>31</v>
      </c>
      <c r="W27" s="72" t="s">
        <v>54</v>
      </c>
      <c r="X27" s="72" t="s">
        <v>31</v>
      </c>
      <c r="Y27" s="72" t="s">
        <v>54</v>
      </c>
      <c r="Z27" s="72" t="s">
        <v>110</v>
      </c>
      <c r="AA27" s="72" t="s">
        <v>54</v>
      </c>
      <c r="AB27" s="72" t="s">
        <v>31</v>
      </c>
      <c r="AC27" s="72" t="s">
        <v>54</v>
      </c>
      <c r="AD27" s="72" t="s">
        <v>31</v>
      </c>
      <c r="AE27" s="72" t="s">
        <v>54</v>
      </c>
      <c r="AF27" s="72" t="s">
        <v>112</v>
      </c>
      <c r="AG27" s="72" t="s">
        <v>112</v>
      </c>
      <c r="AH27" s="72" t="s">
        <v>54</v>
      </c>
      <c r="AI27" s="72" t="s">
        <v>45</v>
      </c>
      <c r="AJ27" s="72" t="s">
        <v>34</v>
      </c>
      <c r="AK27" s="72" t="s">
        <v>34</v>
      </c>
      <c r="AL27" s="72" t="s">
        <v>41</v>
      </c>
      <c r="AM27" s="72" t="s">
        <v>54</v>
      </c>
      <c r="AN27" s="72" t="s">
        <v>54</v>
      </c>
      <c r="AO27" s="72" t="s">
        <v>54</v>
      </c>
      <c r="AP27" s="72" t="s">
        <v>54</v>
      </c>
      <c r="AQ27" s="72" t="s">
        <v>54</v>
      </c>
      <c r="AR27" s="72" t="s">
        <v>52</v>
      </c>
      <c r="AS27" s="72" t="s">
        <v>41</v>
      </c>
      <c r="AT27" s="72" t="s">
        <v>54</v>
      </c>
      <c r="AU27" s="72" t="s">
        <v>54</v>
      </c>
      <c r="AV27" s="72" t="s">
        <v>49</v>
      </c>
      <c r="AW27" s="72" t="s">
        <v>54</v>
      </c>
      <c r="AX27" s="72" t="s">
        <v>54</v>
      </c>
      <c r="AY27" s="69"/>
      <c r="AZ27" s="69"/>
      <c r="BA27" s="69"/>
      <c r="BB27" s="69"/>
      <c r="BC27" s="26" t="s">
        <v>303</v>
      </c>
      <c r="BD27" s="26" t="s">
        <v>54</v>
      </c>
      <c r="BI27" s="7" t="str">
        <v/>
      </c>
      <c r="BJ27" s="7" t="str">
        <v/>
      </c>
      <c r="BK27" s="7" t="str">
        <v/>
      </c>
      <c r="BL27" s="7" t="str">
        <v/>
      </c>
      <c r="BM27" s="7" t="str">
        <v>1100</v>
      </c>
      <c r="BN27" s="7" t="str">
        <v/>
      </c>
      <c r="BO27" s="7" t="str">
        <v/>
      </c>
      <c r="BP27" s="7" t="str">
        <v/>
      </c>
      <c r="BQ27" s="7" t="str">
        <v/>
      </c>
      <c r="BR27" s="7" t="str">
        <v/>
      </c>
      <c r="BS27" s="7" t="str">
        <v>1100</v>
      </c>
      <c r="BT27" s="7" t="str">
        <v/>
      </c>
      <c r="BU27" s="7" t="str">
        <v/>
      </c>
      <c r="BV27" s="7" t="str">
        <v/>
      </c>
      <c r="BW27" s="7" t="str">
        <v/>
      </c>
      <c r="BX27" s="7" t="str">
        <v>1100</v>
      </c>
      <c r="BY27" s="7" t="str">
        <v/>
      </c>
      <c r="BZ27" s="7" t="str">
        <v/>
      </c>
      <c r="CA27" s="7" t="str">
        <v/>
      </c>
      <c r="CB27" s="7" t="str">
        <v>1100</v>
      </c>
      <c r="CC27" s="7" t="str">
        <v/>
      </c>
      <c r="CD27" s="7" t="str">
        <v>1100</v>
      </c>
      <c r="CE27" s="7" t="str">
        <v/>
      </c>
      <c r="CF27" s="7" t="str">
        <v/>
      </c>
      <c r="CG27" s="7" t="str">
        <v/>
      </c>
      <c r="CH27" s="7" t="str">
        <v>1100</v>
      </c>
      <c r="CI27" s="7" t="str">
        <v/>
      </c>
      <c r="CJ27" s="7" t="str">
        <v>1100</v>
      </c>
      <c r="CK27" s="7" t="str">
        <v/>
      </c>
      <c r="CL27" s="7" t="str">
        <v/>
      </c>
      <c r="CM27" s="7" t="str">
        <v/>
      </c>
      <c r="CN27" s="7" t="str">
        <v/>
      </c>
      <c r="CO27" s="7" t="str">
        <v>0101</v>
      </c>
      <c r="CP27" s="7" t="str">
        <v>0011</v>
      </c>
      <c r="CQ27" s="7" t="str">
        <v>0011</v>
      </c>
      <c r="CR27" s="7" t="str">
        <v>0011</v>
      </c>
      <c r="CS27" s="7" t="str">
        <v>0011</v>
      </c>
      <c r="CT27" s="7" t="str">
        <v>1010</v>
      </c>
      <c r="CU27" s="7" t="str">
        <v/>
      </c>
      <c r="CV27" s="7" t="str">
        <v>1010</v>
      </c>
      <c r="CW27" s="7" t="str">
        <v/>
      </c>
      <c r="CX27" s="7" t="str">
        <v/>
      </c>
      <c r="CY27" s="7" t="str">
        <v/>
      </c>
      <c r="CZ27" s="7" t="str">
        <v>1001</v>
      </c>
      <c r="DA27" s="7" t="str">
        <v>1010</v>
      </c>
      <c r="DB27" s="7" t="str">
        <v/>
      </c>
      <c r="DC27" s="7" t="str">
        <v/>
      </c>
      <c r="DD27" s="7" t="str">
        <v/>
      </c>
    </row>
    <row r="28" spans="1:108" ht="15.75" customHeight="1">
      <c r="A28" s="71">
        <v>28</v>
      </c>
      <c r="C28" s="72" t="s">
        <v>54</v>
      </c>
      <c r="D28" s="72" t="s">
        <v>115</v>
      </c>
      <c r="E28" s="72" t="s">
        <v>115</v>
      </c>
      <c r="F28" s="72" t="s">
        <v>54</v>
      </c>
      <c r="G28" s="72" t="s">
        <v>31</v>
      </c>
      <c r="H28" s="72" t="s">
        <v>54</v>
      </c>
      <c r="I28" s="72" t="s">
        <v>115</v>
      </c>
      <c r="J28" s="72" t="s">
        <v>115</v>
      </c>
      <c r="K28" s="72" t="s">
        <v>115</v>
      </c>
      <c r="L28" s="72" t="s">
        <v>54</v>
      </c>
      <c r="M28" s="72" t="s">
        <v>31</v>
      </c>
      <c r="N28" s="72" t="s">
        <v>54</v>
      </c>
      <c r="O28" s="72" t="s">
        <v>107</v>
      </c>
      <c r="P28" s="72" t="s">
        <v>54</v>
      </c>
      <c r="Q28" s="72" t="s">
        <v>54</v>
      </c>
      <c r="R28" s="72" t="s">
        <v>31</v>
      </c>
      <c r="S28" s="72" t="s">
        <v>37</v>
      </c>
      <c r="T28" s="72" t="s">
        <v>34</v>
      </c>
      <c r="U28" s="72" t="s">
        <v>34</v>
      </c>
      <c r="V28" s="72" t="s">
        <v>47</v>
      </c>
      <c r="W28" s="72" t="s">
        <v>54</v>
      </c>
      <c r="X28" s="72" t="s">
        <v>31</v>
      </c>
      <c r="Y28" s="72" t="s">
        <v>54</v>
      </c>
      <c r="Z28" s="72" t="s">
        <v>110</v>
      </c>
      <c r="AA28" s="72" t="s">
        <v>54</v>
      </c>
      <c r="AB28" s="72" t="s">
        <v>31</v>
      </c>
      <c r="AC28" s="72" t="s">
        <v>54</v>
      </c>
      <c r="AD28" s="72" t="s">
        <v>31</v>
      </c>
      <c r="AE28" s="72" t="s">
        <v>54</v>
      </c>
      <c r="AF28" s="72" t="s">
        <v>112</v>
      </c>
      <c r="AG28" s="72" t="s">
        <v>112</v>
      </c>
      <c r="AH28" s="72" t="s">
        <v>54</v>
      </c>
      <c r="AI28" s="72" t="s">
        <v>37</v>
      </c>
      <c r="AJ28" s="72" t="s">
        <v>34</v>
      </c>
      <c r="AK28" s="72" t="s">
        <v>34</v>
      </c>
      <c r="AL28" s="72" t="s">
        <v>47</v>
      </c>
      <c r="AM28" s="72" t="s">
        <v>54</v>
      </c>
      <c r="AN28" s="72" t="s">
        <v>105</v>
      </c>
      <c r="AO28" s="72" t="s">
        <v>105</v>
      </c>
      <c r="AP28" s="72" t="s">
        <v>105</v>
      </c>
      <c r="AQ28" s="72" t="s">
        <v>105</v>
      </c>
      <c r="AR28" s="72" t="s">
        <v>54</v>
      </c>
      <c r="AS28" s="72" t="s">
        <v>45</v>
      </c>
      <c r="AT28" s="72" t="s">
        <v>41</v>
      </c>
      <c r="AU28" s="72" t="s">
        <v>54</v>
      </c>
      <c r="AV28" s="72" t="s">
        <v>31</v>
      </c>
      <c r="AW28" s="72" t="s">
        <v>54</v>
      </c>
      <c r="AX28" s="72" t="s">
        <v>54</v>
      </c>
      <c r="AY28" s="69"/>
      <c r="AZ28" s="69"/>
      <c r="BA28" s="69"/>
      <c r="BB28" s="69"/>
      <c r="BC28" s="26" t="s">
        <v>304</v>
      </c>
      <c r="BD28" s="26" t="s">
        <v>54</v>
      </c>
      <c r="BI28" s="7" t="str">
        <v/>
      </c>
      <c r="BJ28" s="7" t="str">
        <v/>
      </c>
      <c r="BK28" s="7" t="str">
        <v/>
      </c>
      <c r="BL28" s="7" t="str">
        <v/>
      </c>
      <c r="BM28" s="7" t="str">
        <v>1100</v>
      </c>
      <c r="BN28" s="7" t="str">
        <v/>
      </c>
      <c r="BO28" s="7" t="str">
        <v/>
      </c>
      <c r="BP28" s="7" t="str">
        <v/>
      </c>
      <c r="BQ28" s="7" t="str">
        <v/>
      </c>
      <c r="BR28" s="7" t="str">
        <v/>
      </c>
      <c r="BS28" s="7" t="str">
        <v>1100</v>
      </c>
      <c r="BT28" s="7" t="str">
        <v/>
      </c>
      <c r="BU28" s="7" t="str">
        <v/>
      </c>
      <c r="BV28" s="7" t="str">
        <v/>
      </c>
      <c r="BW28" s="7" t="str">
        <v/>
      </c>
      <c r="BX28" s="7" t="str">
        <v>1100</v>
      </c>
      <c r="BY28" s="7" t="str">
        <v/>
      </c>
      <c r="BZ28" s="7" t="str">
        <v/>
      </c>
      <c r="CA28" s="7" t="str">
        <v/>
      </c>
      <c r="CB28" s="7" t="str">
        <v>1100</v>
      </c>
      <c r="CC28" s="7" t="str">
        <v/>
      </c>
      <c r="CD28" s="7" t="str">
        <v>1100</v>
      </c>
      <c r="CE28" s="7" t="str">
        <v/>
      </c>
      <c r="CF28" s="7" t="str">
        <v/>
      </c>
      <c r="CG28" s="7" t="str">
        <v/>
      </c>
      <c r="CH28" s="7" t="str">
        <v>1100</v>
      </c>
      <c r="CI28" s="7" t="str">
        <v/>
      </c>
      <c r="CJ28" s="7" t="str">
        <v>1100</v>
      </c>
      <c r="CK28" s="7" t="str">
        <v/>
      </c>
      <c r="CL28" s="7" t="str">
        <v/>
      </c>
      <c r="CM28" s="7" t="str">
        <v/>
      </c>
      <c r="CN28" s="7" t="str">
        <v/>
      </c>
      <c r="CO28" s="7" t="str">
        <v>1001</v>
      </c>
      <c r="CP28" s="7" t="str">
        <v>0011</v>
      </c>
      <c r="CQ28" s="7" t="str">
        <v>0011</v>
      </c>
      <c r="CR28" s="7" t="str">
        <v>0110</v>
      </c>
      <c r="CS28" s="7" t="str">
        <v/>
      </c>
      <c r="CT28" s="7" t="str">
        <v/>
      </c>
      <c r="CU28" s="7" t="str">
        <v/>
      </c>
      <c r="CV28" s="7" t="str">
        <v/>
      </c>
      <c r="CW28" s="7" t="str">
        <v/>
      </c>
      <c r="CX28" s="7" t="str">
        <v/>
      </c>
      <c r="CY28" s="7" t="str">
        <v>0110</v>
      </c>
      <c r="CZ28" s="7" t="str">
        <v/>
      </c>
      <c r="DA28" s="7" t="str">
        <v/>
      </c>
      <c r="DB28" s="7" t="str">
        <v/>
      </c>
      <c r="DC28" s="7" t="str">
        <v/>
      </c>
      <c r="DD28" s="7" t="str">
        <v/>
      </c>
    </row>
    <row r="29" spans="1:108" ht="15.75" customHeight="1">
      <c r="A29" s="71">
        <v>29</v>
      </c>
      <c r="C29" s="72" t="s">
        <v>54</v>
      </c>
      <c r="D29" s="72" t="s">
        <v>115</v>
      </c>
      <c r="E29" s="72" t="s">
        <v>115</v>
      </c>
      <c r="F29" s="72" t="s">
        <v>54</v>
      </c>
      <c r="G29" s="72" t="s">
        <v>31</v>
      </c>
      <c r="H29" s="72" t="s">
        <v>54</v>
      </c>
      <c r="I29" s="72" t="s">
        <v>115</v>
      </c>
      <c r="J29" s="72" t="s">
        <v>115</v>
      </c>
      <c r="K29" s="72" t="s">
        <v>115</v>
      </c>
      <c r="L29" s="72" t="s">
        <v>54</v>
      </c>
      <c r="M29" s="72" t="s">
        <v>31</v>
      </c>
      <c r="N29" s="72" t="s">
        <v>54</v>
      </c>
      <c r="O29" s="72" t="s">
        <v>107</v>
      </c>
      <c r="P29" s="72" t="s">
        <v>54</v>
      </c>
      <c r="Q29" s="72" t="s">
        <v>54</v>
      </c>
      <c r="R29" s="72" t="s">
        <v>31</v>
      </c>
      <c r="S29" s="72" t="s">
        <v>45</v>
      </c>
      <c r="T29" s="72" t="s">
        <v>34</v>
      </c>
      <c r="U29" s="72" t="s">
        <v>34</v>
      </c>
      <c r="V29" s="72" t="s">
        <v>41</v>
      </c>
      <c r="W29" s="72" t="s">
        <v>54</v>
      </c>
      <c r="X29" s="72" t="s">
        <v>31</v>
      </c>
      <c r="Y29" s="72" t="s">
        <v>54</v>
      </c>
      <c r="Z29" s="72" t="s">
        <v>110</v>
      </c>
      <c r="AA29" s="72" t="s">
        <v>54</v>
      </c>
      <c r="AB29" s="72" t="s">
        <v>31</v>
      </c>
      <c r="AC29" s="72" t="s">
        <v>54</v>
      </c>
      <c r="AD29" s="72" t="s">
        <v>31</v>
      </c>
      <c r="AE29" s="72" t="s">
        <v>54</v>
      </c>
      <c r="AF29" s="72" t="s">
        <v>54</v>
      </c>
      <c r="AG29" s="72" t="s">
        <v>54</v>
      </c>
      <c r="AH29" s="72" t="s">
        <v>54</v>
      </c>
      <c r="AI29" s="72" t="s">
        <v>31</v>
      </c>
      <c r="AJ29" s="72" t="s">
        <v>54</v>
      </c>
      <c r="AK29" s="72" t="s">
        <v>54</v>
      </c>
      <c r="AL29" s="72" t="s">
        <v>54</v>
      </c>
      <c r="AM29" s="72" t="s">
        <v>54</v>
      </c>
      <c r="AN29" s="72" t="s">
        <v>105</v>
      </c>
      <c r="AO29" s="72" t="s">
        <v>105</v>
      </c>
      <c r="AP29" s="72" t="s">
        <v>105</v>
      </c>
      <c r="AQ29" s="72" t="s">
        <v>105</v>
      </c>
      <c r="AR29" s="72" t="s">
        <v>54</v>
      </c>
      <c r="AS29" s="72" t="s">
        <v>54</v>
      </c>
      <c r="AT29" s="72" t="s">
        <v>45</v>
      </c>
      <c r="AU29" s="72" t="s">
        <v>41</v>
      </c>
      <c r="AV29" s="72" t="s">
        <v>31</v>
      </c>
      <c r="AW29" s="72" t="s">
        <v>54</v>
      </c>
      <c r="AX29" s="72" t="s">
        <v>54</v>
      </c>
      <c r="AY29" s="69"/>
      <c r="AZ29" s="69"/>
      <c r="BA29" s="69"/>
      <c r="BB29" s="69"/>
      <c r="BC29" s="26" t="s">
        <v>305</v>
      </c>
      <c r="BD29" s="26" t="s">
        <v>54</v>
      </c>
      <c r="BI29" s="7" t="str">
        <v/>
      </c>
      <c r="BJ29" s="7" t="str">
        <v/>
      </c>
      <c r="BK29" s="7" t="str">
        <v/>
      </c>
      <c r="BL29" s="7" t="str">
        <v/>
      </c>
      <c r="BM29" s="7" t="str">
        <v>1100</v>
      </c>
      <c r="BN29" s="7" t="str">
        <v/>
      </c>
      <c r="BO29" s="7" t="str">
        <v/>
      </c>
      <c r="BP29" s="7" t="str">
        <v/>
      </c>
      <c r="BQ29" s="7" t="str">
        <v/>
      </c>
      <c r="BR29" s="7" t="str">
        <v/>
      </c>
      <c r="BS29" s="7" t="str">
        <v>1100</v>
      </c>
      <c r="BT29" s="7" t="str">
        <v/>
      </c>
      <c r="BU29" s="7" t="str">
        <v/>
      </c>
      <c r="BV29" s="7" t="str">
        <v/>
      </c>
      <c r="BW29" s="7" t="str">
        <v/>
      </c>
      <c r="BX29" s="7" t="str">
        <v>1100</v>
      </c>
      <c r="BY29" s="7" t="str">
        <v>0101</v>
      </c>
      <c r="BZ29" s="7" t="str">
        <v>0011</v>
      </c>
      <c r="CA29" s="7" t="str">
        <v>0011</v>
      </c>
      <c r="CB29" s="7" t="str">
        <v>1010</v>
      </c>
      <c r="CC29" s="7" t="str">
        <v/>
      </c>
      <c r="CD29" s="7" t="str">
        <v>1100</v>
      </c>
      <c r="CE29" s="7" t="str">
        <v/>
      </c>
      <c r="CF29" s="7" t="str">
        <v/>
      </c>
      <c r="CG29" s="7" t="str">
        <v/>
      </c>
      <c r="CH29" s="7" t="str">
        <v>1100</v>
      </c>
      <c r="CI29" s="7" t="str">
        <v/>
      </c>
      <c r="CJ29" s="7" t="str">
        <v>1100</v>
      </c>
      <c r="CK29" s="7" t="str">
        <v/>
      </c>
      <c r="CL29" s="7" t="str">
        <v/>
      </c>
      <c r="CM29" s="7" t="str">
        <v/>
      </c>
      <c r="CN29" s="7" t="str">
        <v/>
      </c>
      <c r="CO29" s="7" t="str">
        <v>0101</v>
      </c>
      <c r="CP29" s="7" t="str">
        <v>0011</v>
      </c>
      <c r="CQ29" s="7" t="str">
        <v>0011</v>
      </c>
      <c r="CR29" s="7" t="str">
        <v>1010</v>
      </c>
      <c r="CS29" s="7" t="str">
        <v/>
      </c>
      <c r="CT29" s="7" t="str">
        <v/>
      </c>
      <c r="CU29" s="7" t="str">
        <v/>
      </c>
      <c r="CV29" s="7" t="str">
        <v/>
      </c>
      <c r="CW29" s="7" t="str">
        <v/>
      </c>
      <c r="CX29" s="7" t="str">
        <v/>
      </c>
      <c r="CY29" s="7" t="str">
        <v>1001</v>
      </c>
      <c r="CZ29" s="7" t="str">
        <v>0110</v>
      </c>
      <c r="DA29" s="7" t="str">
        <v/>
      </c>
      <c r="DB29" s="7" t="str">
        <v>1100</v>
      </c>
      <c r="DC29" s="7" t="str">
        <v/>
      </c>
      <c r="DD29" s="7" t="str">
        <v/>
      </c>
    </row>
    <row r="30" spans="1:108" ht="15.75" customHeight="1">
      <c r="A30" s="71">
        <v>30</v>
      </c>
      <c r="C30" s="72" t="s">
        <v>54</v>
      </c>
      <c r="D30" s="72" t="s">
        <v>115</v>
      </c>
      <c r="E30" s="72" t="s">
        <v>115</v>
      </c>
      <c r="F30" s="72" t="s">
        <v>54</v>
      </c>
      <c r="G30" s="72" t="s">
        <v>31</v>
      </c>
      <c r="H30" s="72" t="s">
        <v>54</v>
      </c>
      <c r="I30" s="72" t="s">
        <v>115</v>
      </c>
      <c r="J30" s="72" t="s">
        <v>115</v>
      </c>
      <c r="K30" s="72" t="s">
        <v>115</v>
      </c>
      <c r="L30" s="72" t="s">
        <v>54</v>
      </c>
      <c r="M30" s="72" t="s">
        <v>31</v>
      </c>
      <c r="N30" s="72" t="s">
        <v>54</v>
      </c>
      <c r="O30" s="72" t="s">
        <v>54</v>
      </c>
      <c r="P30" s="72" t="s">
        <v>54</v>
      </c>
      <c r="Q30" s="72" t="s">
        <v>37</v>
      </c>
      <c r="R30" s="72" t="s">
        <v>47</v>
      </c>
      <c r="S30" s="72" t="s">
        <v>54</v>
      </c>
      <c r="T30" s="72" t="s">
        <v>54</v>
      </c>
      <c r="U30" s="72" t="s">
        <v>54</v>
      </c>
      <c r="V30" s="72" t="s">
        <v>31</v>
      </c>
      <c r="W30" s="72" t="s">
        <v>54</v>
      </c>
      <c r="X30" s="72" t="s">
        <v>45</v>
      </c>
      <c r="Y30" s="72" t="s">
        <v>41</v>
      </c>
      <c r="Z30" s="72" t="s">
        <v>54</v>
      </c>
      <c r="AA30" s="72" t="s">
        <v>37</v>
      </c>
      <c r="AB30" s="72" t="s">
        <v>47</v>
      </c>
      <c r="AC30" s="72" t="s">
        <v>54</v>
      </c>
      <c r="AD30" s="72" t="s">
        <v>45</v>
      </c>
      <c r="AE30" s="72" t="s">
        <v>34</v>
      </c>
      <c r="AF30" s="72" t="s">
        <v>34</v>
      </c>
      <c r="AG30" s="72" t="s">
        <v>41</v>
      </c>
      <c r="AH30" s="72" t="s">
        <v>54</v>
      </c>
      <c r="AI30" s="72" t="s">
        <v>31</v>
      </c>
      <c r="AJ30" s="72" t="s">
        <v>54</v>
      </c>
      <c r="AK30" s="72" t="s">
        <v>54</v>
      </c>
      <c r="AL30" s="72" t="s">
        <v>54</v>
      </c>
      <c r="AM30" s="72" t="s">
        <v>54</v>
      </c>
      <c r="AN30" s="72" t="s">
        <v>54</v>
      </c>
      <c r="AO30" s="72" t="s">
        <v>54</v>
      </c>
      <c r="AP30" s="72" t="s">
        <v>105</v>
      </c>
      <c r="AQ30" s="72" t="s">
        <v>105</v>
      </c>
      <c r="AR30" s="72" t="s">
        <v>112</v>
      </c>
      <c r="AS30" s="72" t="s">
        <v>54</v>
      </c>
      <c r="AT30" s="72" t="s">
        <v>54</v>
      </c>
      <c r="AU30" s="72" t="s">
        <v>31</v>
      </c>
      <c r="AV30" s="72" t="s">
        <v>31</v>
      </c>
      <c r="AW30" s="72" t="s">
        <v>54</v>
      </c>
      <c r="AX30" s="72" t="s">
        <v>54</v>
      </c>
      <c r="AY30" s="69"/>
      <c r="AZ30" s="69"/>
      <c r="BA30" s="69"/>
      <c r="BB30" s="69"/>
      <c r="BC30" s="26" t="s">
        <v>306</v>
      </c>
      <c r="BD30" s="26" t="s">
        <v>54</v>
      </c>
      <c r="BI30" s="7" t="str">
        <v/>
      </c>
      <c r="BJ30" s="7" t="str">
        <v/>
      </c>
      <c r="BK30" s="7" t="str">
        <v/>
      </c>
      <c r="BL30" s="7" t="str">
        <v/>
      </c>
      <c r="BM30" s="7" t="str">
        <v>1100</v>
      </c>
      <c r="BN30" s="7" t="str">
        <v/>
      </c>
      <c r="BO30" s="7" t="str">
        <v/>
      </c>
      <c r="BP30" s="7" t="str">
        <v/>
      </c>
      <c r="BQ30" s="7" t="str">
        <v/>
      </c>
      <c r="BR30" s="7" t="str">
        <v/>
      </c>
      <c r="BS30" s="7" t="str">
        <v>1100</v>
      </c>
      <c r="BT30" s="7" t="str">
        <v/>
      </c>
      <c r="BU30" s="7" t="str">
        <v/>
      </c>
      <c r="BV30" s="7" t="str">
        <v/>
      </c>
      <c r="BW30" s="7" t="str">
        <v/>
      </c>
      <c r="BX30" s="7" t="str">
        <v>1100</v>
      </c>
      <c r="BY30" s="7" t="str">
        <v>1001</v>
      </c>
      <c r="BZ30" s="7" t="str">
        <v>0011</v>
      </c>
      <c r="CA30" s="7" t="str">
        <v>0011</v>
      </c>
      <c r="CB30" s="7" t="str">
        <v>0110</v>
      </c>
      <c r="CC30" s="7" t="str">
        <v/>
      </c>
      <c r="CD30" s="7" t="str">
        <v>1100</v>
      </c>
      <c r="CE30" s="7" t="str">
        <v/>
      </c>
      <c r="CF30" s="7" t="str">
        <v/>
      </c>
      <c r="CG30" s="7" t="str">
        <v/>
      </c>
      <c r="CH30" s="7" t="str">
        <v>1100</v>
      </c>
      <c r="CI30" s="7" t="str">
        <v/>
      </c>
      <c r="CJ30" s="7" t="str">
        <v>1100</v>
      </c>
      <c r="CK30" s="7" t="str">
        <v/>
      </c>
      <c r="CL30" s="7" t="str">
        <v/>
      </c>
      <c r="CM30" s="7" t="str">
        <v/>
      </c>
      <c r="CN30" s="7" t="str">
        <v/>
      </c>
      <c r="CO30" s="7" t="str">
        <v>1100</v>
      </c>
      <c r="CP30" s="7" t="str">
        <v/>
      </c>
      <c r="CQ30" s="7" t="str">
        <v/>
      </c>
      <c r="CR30" s="7" t="str">
        <v/>
      </c>
      <c r="CS30" s="7" t="str">
        <v/>
      </c>
      <c r="CT30" s="7" t="str">
        <v/>
      </c>
      <c r="CU30" s="7" t="str">
        <v/>
      </c>
      <c r="CV30" s="7" t="str">
        <v/>
      </c>
      <c r="CW30" s="7" t="str">
        <v/>
      </c>
      <c r="CX30" s="7" t="str">
        <v/>
      </c>
      <c r="CY30" s="7" t="str">
        <v/>
      </c>
      <c r="CZ30" s="7" t="str">
        <v>1001</v>
      </c>
      <c r="DA30" s="7" t="str">
        <v>0110</v>
      </c>
      <c r="DB30" s="7" t="str">
        <v>1100</v>
      </c>
      <c r="DC30" s="7" t="str">
        <v/>
      </c>
      <c r="DD30" s="7" t="str">
        <v/>
      </c>
    </row>
    <row r="31" spans="1:108" ht="15.75" customHeight="1">
      <c r="A31" s="71">
        <v>31</v>
      </c>
      <c r="C31" s="72" t="s">
        <v>54</v>
      </c>
      <c r="D31" s="72" t="s">
        <v>115</v>
      </c>
      <c r="E31" s="72" t="s">
        <v>115</v>
      </c>
      <c r="F31" s="72" t="s">
        <v>54</v>
      </c>
      <c r="G31" s="72" t="s">
        <v>31</v>
      </c>
      <c r="H31" s="72" t="s">
        <v>54</v>
      </c>
      <c r="I31" s="72" t="s">
        <v>54</v>
      </c>
      <c r="J31" s="72" t="s">
        <v>54</v>
      </c>
      <c r="K31" s="72" t="s">
        <v>54</v>
      </c>
      <c r="L31" s="72" t="s">
        <v>54</v>
      </c>
      <c r="M31" s="72" t="s">
        <v>45</v>
      </c>
      <c r="N31" s="72" t="s">
        <v>34</v>
      </c>
      <c r="O31" s="72" t="s">
        <v>34</v>
      </c>
      <c r="P31" s="72" t="s">
        <v>34</v>
      </c>
      <c r="Q31" s="72" t="s">
        <v>47</v>
      </c>
      <c r="R31" s="72" t="s">
        <v>37</v>
      </c>
      <c r="S31" s="72" t="s">
        <v>34</v>
      </c>
      <c r="T31" s="72" t="s">
        <v>41</v>
      </c>
      <c r="U31" s="72" t="s">
        <v>54</v>
      </c>
      <c r="V31" s="72" t="s">
        <v>31</v>
      </c>
      <c r="W31" s="72" t="s">
        <v>54</v>
      </c>
      <c r="X31" s="72" t="s">
        <v>54</v>
      </c>
      <c r="Y31" s="72" t="s">
        <v>45</v>
      </c>
      <c r="Z31" s="72" t="s">
        <v>34</v>
      </c>
      <c r="AA31" s="72" t="s">
        <v>47</v>
      </c>
      <c r="AB31" s="72" t="s">
        <v>54</v>
      </c>
      <c r="AC31" s="72" t="s">
        <v>54</v>
      </c>
      <c r="AD31" s="72" t="s">
        <v>54</v>
      </c>
      <c r="AE31" s="72" t="s">
        <v>54</v>
      </c>
      <c r="AF31" s="72" t="s">
        <v>37</v>
      </c>
      <c r="AG31" s="72" t="s">
        <v>47</v>
      </c>
      <c r="AH31" s="72" t="s">
        <v>54</v>
      </c>
      <c r="AI31" s="72" t="s">
        <v>45</v>
      </c>
      <c r="AJ31" s="72" t="s">
        <v>34</v>
      </c>
      <c r="AK31" s="72" t="s">
        <v>34</v>
      </c>
      <c r="AL31" s="72" t="s">
        <v>34</v>
      </c>
      <c r="AM31" s="72" t="s">
        <v>34</v>
      </c>
      <c r="AN31" s="72" t="s">
        <v>41</v>
      </c>
      <c r="AO31" s="72" t="s">
        <v>54</v>
      </c>
      <c r="AP31" s="72" t="s">
        <v>112</v>
      </c>
      <c r="AQ31" s="72" t="s">
        <v>112</v>
      </c>
      <c r="AR31" s="72" t="s">
        <v>112</v>
      </c>
      <c r="AS31" s="72" t="s">
        <v>112</v>
      </c>
      <c r="AT31" s="72" t="s">
        <v>54</v>
      </c>
      <c r="AU31" s="72" t="s">
        <v>31</v>
      </c>
      <c r="AV31" s="72" t="s">
        <v>31</v>
      </c>
      <c r="AW31" s="72" t="s">
        <v>54</v>
      </c>
      <c r="AX31" s="72" t="s">
        <v>54</v>
      </c>
      <c r="AY31" s="69"/>
      <c r="AZ31" s="69"/>
      <c r="BA31" s="69"/>
      <c r="BB31" s="69"/>
      <c r="BC31" s="26" t="s">
        <v>307</v>
      </c>
      <c r="BD31" s="26" t="s">
        <v>54</v>
      </c>
      <c r="BI31" s="7" t="str">
        <v/>
      </c>
      <c r="BJ31" s="7" t="str">
        <v/>
      </c>
      <c r="BK31" s="7" t="str">
        <v/>
      </c>
      <c r="BL31" s="7" t="str">
        <v/>
      </c>
      <c r="BM31" s="7" t="str">
        <v>1100</v>
      </c>
      <c r="BN31" s="7" t="str">
        <v/>
      </c>
      <c r="BO31" s="7" t="str">
        <v/>
      </c>
      <c r="BP31" s="7" t="str">
        <v/>
      </c>
      <c r="BQ31" s="7" t="str">
        <v/>
      </c>
      <c r="BR31" s="7" t="str">
        <v/>
      </c>
      <c r="BS31" s="7" t="str">
        <v>1100</v>
      </c>
      <c r="BT31" s="7" t="str">
        <v/>
      </c>
      <c r="BU31" s="7" t="str">
        <v/>
      </c>
      <c r="BV31" s="7" t="str">
        <v/>
      </c>
      <c r="BW31" s="7" t="str">
        <v>0101</v>
      </c>
      <c r="BX31" s="7" t="str">
        <v>1010</v>
      </c>
      <c r="BY31" s="7" t="str">
        <v/>
      </c>
      <c r="BZ31" s="7" t="str">
        <v/>
      </c>
      <c r="CA31" s="7" t="str">
        <v/>
      </c>
      <c r="CB31" s="7" t="str">
        <v>1100</v>
      </c>
      <c r="CC31" s="7" t="str">
        <v/>
      </c>
      <c r="CD31" s="7" t="str">
        <v>1001</v>
      </c>
      <c r="CE31" s="7" t="str">
        <v>0110</v>
      </c>
      <c r="CF31" s="7" t="str">
        <v/>
      </c>
      <c r="CG31" s="7" t="str">
        <v>0101</v>
      </c>
      <c r="CH31" s="7" t="str">
        <v>1010</v>
      </c>
      <c r="CI31" s="7" t="str">
        <v/>
      </c>
      <c r="CJ31" s="7" t="str">
        <v>1001</v>
      </c>
      <c r="CK31" s="7" t="str">
        <v>0011</v>
      </c>
      <c r="CL31" s="7" t="str">
        <v>0011</v>
      </c>
      <c r="CM31" s="7" t="str">
        <v>0110</v>
      </c>
      <c r="CN31" s="7" t="str">
        <v/>
      </c>
      <c r="CO31" s="7" t="str">
        <v>1100</v>
      </c>
      <c r="CP31" s="7" t="str">
        <v/>
      </c>
      <c r="CQ31" s="7" t="str">
        <v/>
      </c>
      <c r="CR31" s="7" t="str">
        <v/>
      </c>
      <c r="CS31" s="7" t="str">
        <v/>
      </c>
      <c r="CT31" s="7" t="str">
        <v/>
      </c>
      <c r="CU31" s="7" t="str">
        <v/>
      </c>
      <c r="CV31" s="7" t="str">
        <v/>
      </c>
      <c r="CW31" s="7" t="str">
        <v/>
      </c>
      <c r="CX31" s="7" t="str">
        <v/>
      </c>
      <c r="CY31" s="7" t="str">
        <v/>
      </c>
      <c r="CZ31" s="7" t="str">
        <v/>
      </c>
      <c r="DA31" s="7" t="str">
        <v>1100</v>
      </c>
      <c r="DB31" s="7" t="str">
        <v>1100</v>
      </c>
      <c r="DC31" s="7" t="str">
        <v/>
      </c>
      <c r="DD31" s="7" t="str">
        <v/>
      </c>
    </row>
    <row r="32" spans="1:108" ht="15.75" customHeight="1">
      <c r="A32" s="71">
        <v>32</v>
      </c>
      <c r="C32" s="72" t="s">
        <v>54</v>
      </c>
      <c r="D32" s="72" t="s">
        <v>115</v>
      </c>
      <c r="E32" s="72" t="s">
        <v>54</v>
      </c>
      <c r="F32" s="72" t="s">
        <v>54</v>
      </c>
      <c r="G32" s="72" t="s">
        <v>45</v>
      </c>
      <c r="H32" s="72" t="s">
        <v>34</v>
      </c>
      <c r="I32" s="72" t="s">
        <v>34</v>
      </c>
      <c r="J32" s="72" t="s">
        <v>49</v>
      </c>
      <c r="K32" s="72" t="s">
        <v>54</v>
      </c>
      <c r="L32" s="72" t="s">
        <v>54</v>
      </c>
      <c r="M32" s="72" t="s">
        <v>54</v>
      </c>
      <c r="N32" s="72" t="s">
        <v>37</v>
      </c>
      <c r="O32" s="72" t="s">
        <v>34</v>
      </c>
      <c r="P32" s="72" t="s">
        <v>34</v>
      </c>
      <c r="Q32" s="72" t="s">
        <v>34</v>
      </c>
      <c r="R32" s="72" t="s">
        <v>47</v>
      </c>
      <c r="S32" s="72" t="s">
        <v>54</v>
      </c>
      <c r="T32" s="72" t="s">
        <v>31</v>
      </c>
      <c r="U32" s="72" t="s">
        <v>54</v>
      </c>
      <c r="V32" s="72" t="s">
        <v>31</v>
      </c>
      <c r="W32" s="72" t="s">
        <v>54</v>
      </c>
      <c r="X32" s="72" t="s">
        <v>54</v>
      </c>
      <c r="Y32" s="72" t="s">
        <v>54</v>
      </c>
      <c r="Z32" s="72" t="s">
        <v>54</v>
      </c>
      <c r="AA32" s="72" t="s">
        <v>54</v>
      </c>
      <c r="AB32" s="72" t="s">
        <v>54</v>
      </c>
      <c r="AC32" s="72" t="s">
        <v>54</v>
      </c>
      <c r="AD32" s="72" t="s">
        <v>49</v>
      </c>
      <c r="AE32" s="72" t="s">
        <v>34</v>
      </c>
      <c r="AF32" s="72" t="s">
        <v>47</v>
      </c>
      <c r="AG32" s="72" t="s">
        <v>54</v>
      </c>
      <c r="AH32" s="72" t="s">
        <v>54</v>
      </c>
      <c r="AI32" s="72" t="s">
        <v>52</v>
      </c>
      <c r="AJ32" s="72" t="s">
        <v>34</v>
      </c>
      <c r="AK32" s="72" t="s">
        <v>34</v>
      </c>
      <c r="AL32" s="72" t="s">
        <v>34</v>
      </c>
      <c r="AM32" s="72" t="s">
        <v>34</v>
      </c>
      <c r="AN32" s="72" t="s">
        <v>47</v>
      </c>
      <c r="AO32" s="72" t="s">
        <v>54</v>
      </c>
      <c r="AP32" s="72" t="s">
        <v>112</v>
      </c>
      <c r="AQ32" s="72" t="s">
        <v>54</v>
      </c>
      <c r="AR32" s="72" t="s">
        <v>54</v>
      </c>
      <c r="AS32" s="72" t="s">
        <v>54</v>
      </c>
      <c r="AT32" s="72" t="s">
        <v>54</v>
      </c>
      <c r="AU32" s="72" t="s">
        <v>31</v>
      </c>
      <c r="AV32" s="72" t="s">
        <v>31</v>
      </c>
      <c r="AW32" s="72" t="s">
        <v>54</v>
      </c>
      <c r="AX32" s="72" t="s">
        <v>54</v>
      </c>
      <c r="AY32" s="69"/>
      <c r="AZ32" s="69"/>
      <c r="BA32" s="69"/>
      <c r="BB32" s="69"/>
      <c r="BC32" s="26" t="s">
        <v>308</v>
      </c>
      <c r="BD32" s="26" t="s">
        <v>54</v>
      </c>
      <c r="BI32" s="7" t="str">
        <v/>
      </c>
      <c r="BJ32" s="7" t="str">
        <v/>
      </c>
      <c r="BK32" s="7" t="str">
        <v/>
      </c>
      <c r="BL32" s="7" t="str">
        <v/>
      </c>
      <c r="BM32" s="7" t="str">
        <v>1100</v>
      </c>
      <c r="BN32" s="7" t="str">
        <v/>
      </c>
      <c r="BO32" s="7" t="str">
        <v/>
      </c>
      <c r="BP32" s="7" t="str">
        <v/>
      </c>
      <c r="BQ32" s="7" t="str">
        <v/>
      </c>
      <c r="BR32" s="7" t="str">
        <v/>
      </c>
      <c r="BS32" s="7" t="str">
        <v>1001</v>
      </c>
      <c r="BT32" s="7" t="str">
        <v>0011</v>
      </c>
      <c r="BU32" s="7" t="str">
        <v>0011</v>
      </c>
      <c r="BV32" s="7" t="str">
        <v>0011</v>
      </c>
      <c r="BW32" s="7" t="str">
        <v>1010</v>
      </c>
      <c r="BX32" s="7" t="str">
        <v>0101</v>
      </c>
      <c r="BY32" s="7" t="str">
        <v>0011</v>
      </c>
      <c r="BZ32" s="7" t="str">
        <v>0110</v>
      </c>
      <c r="CA32" s="7" t="str">
        <v/>
      </c>
      <c r="CB32" s="7" t="str">
        <v>1100</v>
      </c>
      <c r="CC32" s="7" t="str">
        <v/>
      </c>
      <c r="CD32" s="7" t="str">
        <v/>
      </c>
      <c r="CE32" s="7" t="str">
        <v>1001</v>
      </c>
      <c r="CF32" s="7" t="str">
        <v>0011</v>
      </c>
      <c r="CG32" s="7" t="str">
        <v>1010</v>
      </c>
      <c r="CH32" s="7" t="str">
        <v/>
      </c>
      <c r="CI32" s="7" t="str">
        <v/>
      </c>
      <c r="CJ32" s="7" t="str">
        <v/>
      </c>
      <c r="CK32" s="7" t="str">
        <v/>
      </c>
      <c r="CL32" s="7" t="str">
        <v>0101</v>
      </c>
      <c r="CM32" s="7" t="str">
        <v>1010</v>
      </c>
      <c r="CN32" s="7" t="str">
        <v/>
      </c>
      <c r="CO32" s="7" t="str">
        <v>1001</v>
      </c>
      <c r="CP32" s="7" t="str">
        <v>0011</v>
      </c>
      <c r="CQ32" s="7" t="str">
        <v>0011</v>
      </c>
      <c r="CR32" s="7" t="str">
        <v>0011</v>
      </c>
      <c r="CS32" s="7" t="str">
        <v>0011</v>
      </c>
      <c r="CT32" s="7" t="str">
        <v>0110</v>
      </c>
      <c r="CU32" s="7" t="str">
        <v/>
      </c>
      <c r="CV32" s="7" t="str">
        <v/>
      </c>
      <c r="CW32" s="7" t="str">
        <v/>
      </c>
      <c r="CX32" s="7" t="str">
        <v/>
      </c>
      <c r="CY32" s="7" t="str">
        <v/>
      </c>
      <c r="CZ32" s="7" t="str">
        <v/>
      </c>
      <c r="DA32" s="7" t="str">
        <v>1100</v>
      </c>
      <c r="DB32" s="7" t="str">
        <v>1100</v>
      </c>
      <c r="DC32" s="7" t="str">
        <v/>
      </c>
      <c r="DD32" s="7" t="str">
        <v/>
      </c>
    </row>
    <row r="33" spans="1:108" ht="15.75" customHeight="1">
      <c r="A33" s="71">
        <v>33</v>
      </c>
      <c r="C33" s="72" t="s">
        <v>54</v>
      </c>
      <c r="D33" s="72" t="s">
        <v>54</v>
      </c>
      <c r="E33" s="72" t="s">
        <v>54</v>
      </c>
      <c r="F33" s="72" t="s">
        <v>54</v>
      </c>
      <c r="G33" s="72" t="s">
        <v>54</v>
      </c>
      <c r="H33" s="72" t="s">
        <v>54</v>
      </c>
      <c r="I33" s="72" t="s">
        <v>54</v>
      </c>
      <c r="J33" s="72" t="s">
        <v>54</v>
      </c>
      <c r="K33" s="72" t="s">
        <v>49</v>
      </c>
      <c r="L33" s="72" t="s">
        <v>34</v>
      </c>
      <c r="M33" s="72" t="s">
        <v>34</v>
      </c>
      <c r="N33" s="72" t="s">
        <v>47</v>
      </c>
      <c r="O33" s="72" t="s">
        <v>54</v>
      </c>
      <c r="P33" s="72" t="s">
        <v>54</v>
      </c>
      <c r="Q33" s="72" t="s">
        <v>54</v>
      </c>
      <c r="R33" s="72" t="s">
        <v>54</v>
      </c>
      <c r="S33" s="72" t="s">
        <v>54</v>
      </c>
      <c r="T33" s="72" t="s">
        <v>45</v>
      </c>
      <c r="U33" s="72" t="s">
        <v>34</v>
      </c>
      <c r="V33" s="72" t="s">
        <v>47</v>
      </c>
      <c r="W33" s="72" t="s">
        <v>54</v>
      </c>
      <c r="X33" s="72" t="s">
        <v>54</v>
      </c>
      <c r="Y33" s="72" t="s">
        <v>54</v>
      </c>
      <c r="Z33" s="72" t="s">
        <v>115</v>
      </c>
      <c r="AA33" s="72" t="s">
        <v>115</v>
      </c>
      <c r="AB33" s="72" t="s">
        <v>115</v>
      </c>
      <c r="AC33" s="72" t="s">
        <v>54</v>
      </c>
      <c r="AD33" s="72" t="s">
        <v>54</v>
      </c>
      <c r="AE33" s="72" t="s">
        <v>54</v>
      </c>
      <c r="AF33" s="72" t="s">
        <v>54</v>
      </c>
      <c r="AG33" s="72" t="s">
        <v>54</v>
      </c>
      <c r="AH33" s="72" t="s">
        <v>54</v>
      </c>
      <c r="AI33" s="72" t="s">
        <v>54</v>
      </c>
      <c r="AJ33" s="72" t="s">
        <v>54</v>
      </c>
      <c r="AK33" s="72" t="s">
        <v>54</v>
      </c>
      <c r="AL33" s="72" t="s">
        <v>54</v>
      </c>
      <c r="AM33" s="72" t="s">
        <v>54</v>
      </c>
      <c r="AN33" s="72" t="s">
        <v>54</v>
      </c>
      <c r="AO33" s="72" t="s">
        <v>54</v>
      </c>
      <c r="AP33" s="72" t="s">
        <v>54</v>
      </c>
      <c r="AQ33" s="72" t="s">
        <v>54</v>
      </c>
      <c r="AR33" s="72" t="s">
        <v>37</v>
      </c>
      <c r="AS33" s="72" t="s">
        <v>34</v>
      </c>
      <c r="AT33" s="72" t="s">
        <v>34</v>
      </c>
      <c r="AU33" s="72" t="s">
        <v>47</v>
      </c>
      <c r="AV33" s="72" t="s">
        <v>31</v>
      </c>
      <c r="AW33" s="72" t="s">
        <v>54</v>
      </c>
      <c r="AX33" s="72" t="s">
        <v>54</v>
      </c>
      <c r="AY33" s="69"/>
      <c r="AZ33" s="69"/>
      <c r="BA33" s="69"/>
      <c r="BB33" s="69"/>
      <c r="BC33" s="26" t="s">
        <v>309</v>
      </c>
      <c r="BD33" s="26" t="s">
        <v>54</v>
      </c>
      <c r="BI33" s="7" t="str">
        <v/>
      </c>
      <c r="BJ33" s="7" t="str">
        <v/>
      </c>
      <c r="BK33" s="7" t="str">
        <v/>
      </c>
      <c r="BL33" s="7" t="str">
        <v/>
      </c>
      <c r="BM33" s="7" t="str">
        <v>1001</v>
      </c>
      <c r="BN33" s="7" t="str">
        <v>0011</v>
      </c>
      <c r="BO33" s="7" t="str">
        <v>0011</v>
      </c>
      <c r="BP33" s="7" t="str">
        <v/>
      </c>
      <c r="BQ33" s="7" t="str">
        <v/>
      </c>
      <c r="BR33" s="7" t="str">
        <v/>
      </c>
      <c r="BS33" s="7" t="str">
        <v/>
      </c>
      <c r="BT33" s="7" t="str">
        <v>0101</v>
      </c>
      <c r="BU33" s="7" t="str">
        <v>0011</v>
      </c>
      <c r="BV33" s="7" t="str">
        <v>0011</v>
      </c>
      <c r="BW33" s="7" t="str">
        <v>0011</v>
      </c>
      <c r="BX33" s="7" t="str">
        <v>1010</v>
      </c>
      <c r="BY33" s="7" t="str">
        <v/>
      </c>
      <c r="BZ33" s="7" t="str">
        <v>1100</v>
      </c>
      <c r="CA33" s="7" t="str">
        <v/>
      </c>
      <c r="CB33" s="7" t="str">
        <v>1100</v>
      </c>
      <c r="CC33" s="7" t="str">
        <v/>
      </c>
      <c r="CD33" s="7" t="str">
        <v/>
      </c>
      <c r="CE33" s="7" t="str">
        <v/>
      </c>
      <c r="CF33" s="7" t="str">
        <v/>
      </c>
      <c r="CG33" s="7" t="str">
        <v/>
      </c>
      <c r="CH33" s="7" t="str">
        <v/>
      </c>
      <c r="CI33" s="7" t="str">
        <v/>
      </c>
      <c r="CJ33" s="7" t="str">
        <v/>
      </c>
      <c r="CK33" s="7" t="str">
        <v>0011</v>
      </c>
      <c r="CL33" s="7" t="str">
        <v>1010</v>
      </c>
      <c r="CM33" s="7" t="str">
        <v/>
      </c>
      <c r="CN33" s="7" t="str">
        <v/>
      </c>
      <c r="CO33" s="7" t="str">
        <v/>
      </c>
      <c r="CP33" s="7" t="str">
        <v>0011</v>
      </c>
      <c r="CQ33" s="7" t="str">
        <v>0011</v>
      </c>
      <c r="CR33" s="7" t="str">
        <v>0011</v>
      </c>
      <c r="CS33" s="7" t="str">
        <v>0011</v>
      </c>
      <c r="CT33" s="7" t="str">
        <v>1010</v>
      </c>
      <c r="CU33" s="7" t="str">
        <v/>
      </c>
      <c r="CV33" s="7" t="str">
        <v/>
      </c>
      <c r="CW33" s="7" t="str">
        <v/>
      </c>
      <c r="CX33" s="7" t="str">
        <v/>
      </c>
      <c r="CY33" s="7" t="str">
        <v/>
      </c>
      <c r="CZ33" s="7" t="str">
        <v/>
      </c>
      <c r="DA33" s="7" t="str">
        <v>1100</v>
      </c>
      <c r="DB33" s="7" t="str">
        <v>1100</v>
      </c>
      <c r="DC33" s="7" t="str">
        <v/>
      </c>
      <c r="DD33" s="7" t="str">
        <v/>
      </c>
    </row>
    <row r="34" spans="1:108" ht="15.75" customHeight="1">
      <c r="A34" s="71">
        <v>34</v>
      </c>
      <c r="C34" s="72" t="s">
        <v>54</v>
      </c>
      <c r="D34" s="72" t="s">
        <v>37</v>
      </c>
      <c r="E34" s="72" t="s">
        <v>34</v>
      </c>
      <c r="F34" s="72" t="s">
        <v>34</v>
      </c>
      <c r="G34" s="72" t="s">
        <v>34</v>
      </c>
      <c r="H34" s="72" t="s">
        <v>34</v>
      </c>
      <c r="I34" s="72" t="s">
        <v>49</v>
      </c>
      <c r="J34" s="72" t="s">
        <v>37</v>
      </c>
      <c r="K34" s="72" t="s">
        <v>34</v>
      </c>
      <c r="L34" s="72" t="s">
        <v>34</v>
      </c>
      <c r="M34" s="72" t="s">
        <v>41</v>
      </c>
      <c r="N34" s="72" t="s">
        <v>52</v>
      </c>
      <c r="O34" s="72" t="s">
        <v>54</v>
      </c>
      <c r="P34" s="72" t="s">
        <v>54</v>
      </c>
      <c r="Q34" s="72" t="s">
        <v>37</v>
      </c>
      <c r="R34" s="72" t="s">
        <v>34</v>
      </c>
      <c r="S34" s="72" t="s">
        <v>41</v>
      </c>
      <c r="T34" s="72" t="s">
        <v>54</v>
      </c>
      <c r="U34" s="72" t="s">
        <v>49</v>
      </c>
      <c r="V34" s="72" t="s">
        <v>37</v>
      </c>
      <c r="W34" s="72" t="s">
        <v>34</v>
      </c>
      <c r="X34" s="72" t="s">
        <v>41</v>
      </c>
      <c r="Y34" s="72" t="s">
        <v>54</v>
      </c>
      <c r="Z34" s="72" t="s">
        <v>54</v>
      </c>
      <c r="AA34" s="72" t="s">
        <v>54</v>
      </c>
      <c r="AB34" s="72" t="s">
        <v>54</v>
      </c>
      <c r="AC34" s="72" t="s">
        <v>115</v>
      </c>
      <c r="AD34" s="72" t="s">
        <v>54</v>
      </c>
      <c r="AE34" s="72" t="s">
        <v>52</v>
      </c>
      <c r="AF34" s="72" t="s">
        <v>54</v>
      </c>
      <c r="AG34" s="72" t="s">
        <v>54</v>
      </c>
      <c r="AH34" s="72" t="s">
        <v>37</v>
      </c>
      <c r="AI34" s="72" t="s">
        <v>34</v>
      </c>
      <c r="AJ34" s="72" t="s">
        <v>41</v>
      </c>
      <c r="AK34" s="72" t="s">
        <v>54</v>
      </c>
      <c r="AL34" s="72" t="s">
        <v>54</v>
      </c>
      <c r="AM34" s="72" t="s">
        <v>37</v>
      </c>
      <c r="AN34" s="72" t="s">
        <v>34</v>
      </c>
      <c r="AO34" s="72" t="s">
        <v>34</v>
      </c>
      <c r="AP34" s="72" t="s">
        <v>34</v>
      </c>
      <c r="AQ34" s="72" t="s">
        <v>52</v>
      </c>
      <c r="AR34" s="72" t="s">
        <v>31</v>
      </c>
      <c r="AS34" s="72" t="s">
        <v>37</v>
      </c>
      <c r="AT34" s="72" t="s">
        <v>34</v>
      </c>
      <c r="AU34" s="72" t="s">
        <v>34</v>
      </c>
      <c r="AV34" s="72" t="s">
        <v>47</v>
      </c>
      <c r="AW34" s="72" t="s">
        <v>54</v>
      </c>
      <c r="AX34" s="72" t="s">
        <v>54</v>
      </c>
      <c r="AY34" s="69"/>
      <c r="AZ34" s="69"/>
      <c r="BA34" s="69"/>
      <c r="BB34" s="69"/>
      <c r="BC34" s="26" t="s">
        <v>310</v>
      </c>
      <c r="BD34" s="26" t="s">
        <v>54</v>
      </c>
      <c r="BI34" s="7" t="str">
        <v/>
      </c>
      <c r="BJ34" s="7" t="str">
        <v/>
      </c>
      <c r="BK34" s="7" t="str">
        <v/>
      </c>
      <c r="BL34" s="7" t="str">
        <v/>
      </c>
      <c r="BM34" s="7" t="str">
        <v/>
      </c>
      <c r="BN34" s="7" t="str">
        <v/>
      </c>
      <c r="BO34" s="7" t="str">
        <v/>
      </c>
      <c r="BP34" s="7" t="str">
        <v/>
      </c>
      <c r="BQ34" s="7" t="str">
        <v/>
      </c>
      <c r="BR34" s="7" t="str">
        <v>0011</v>
      </c>
      <c r="BS34" s="7" t="str">
        <v>0011</v>
      </c>
      <c r="BT34" s="7" t="str">
        <v>1010</v>
      </c>
      <c r="BU34" s="7" t="str">
        <v/>
      </c>
      <c r="BV34" s="7" t="str">
        <v/>
      </c>
      <c r="BW34" s="7" t="str">
        <v/>
      </c>
      <c r="BX34" s="7" t="str">
        <v/>
      </c>
      <c r="BY34" s="7" t="str">
        <v/>
      </c>
      <c r="BZ34" s="7" t="str">
        <v>1001</v>
      </c>
      <c r="CA34" s="7" t="str">
        <v>0011</v>
      </c>
      <c r="CB34" s="7" t="str">
        <v>1010</v>
      </c>
      <c r="CC34" s="7" t="str">
        <v/>
      </c>
      <c r="CD34" s="7" t="str">
        <v/>
      </c>
      <c r="CE34" s="7" t="str">
        <v/>
      </c>
      <c r="CF34" s="7" t="str">
        <v/>
      </c>
      <c r="CG34" s="7" t="str">
        <v/>
      </c>
      <c r="CH34" s="7" t="str">
        <v/>
      </c>
      <c r="CI34" s="7" t="str">
        <v/>
      </c>
      <c r="CJ34" s="7" t="str">
        <v/>
      </c>
      <c r="CK34" s="7" t="str">
        <v/>
      </c>
      <c r="CL34" s="7" t="str">
        <v/>
      </c>
      <c r="CM34" s="7" t="str">
        <v/>
      </c>
      <c r="CN34" s="7" t="str">
        <v/>
      </c>
      <c r="CO34" s="7" t="str">
        <v/>
      </c>
      <c r="CP34" s="7" t="str">
        <v/>
      </c>
      <c r="CQ34" s="7" t="str">
        <v/>
      </c>
      <c r="CR34" s="7" t="str">
        <v/>
      </c>
      <c r="CS34" s="7" t="str">
        <v/>
      </c>
      <c r="CT34" s="7" t="str">
        <v/>
      </c>
      <c r="CU34" s="7" t="str">
        <v/>
      </c>
      <c r="CV34" s="7" t="str">
        <v/>
      </c>
      <c r="CW34" s="7" t="str">
        <v/>
      </c>
      <c r="CX34" s="7" t="str">
        <v>0101</v>
      </c>
      <c r="CY34" s="7" t="str">
        <v>0011</v>
      </c>
      <c r="CZ34" s="7" t="str">
        <v>0011</v>
      </c>
      <c r="DA34" s="7" t="str">
        <v>1010</v>
      </c>
      <c r="DB34" s="7" t="str">
        <v>1100</v>
      </c>
      <c r="DC34" s="7" t="str">
        <v/>
      </c>
      <c r="DD34" s="7" t="str">
        <v/>
      </c>
    </row>
    <row r="35" spans="1:108" ht="15.75" customHeight="1">
      <c r="A35" s="71">
        <v>35</v>
      </c>
      <c r="C35" s="72" t="s">
        <v>54</v>
      </c>
      <c r="D35" s="72" t="s">
        <v>31</v>
      </c>
      <c r="E35" s="72" t="s">
        <v>54</v>
      </c>
      <c r="F35" s="72" t="s">
        <v>54</v>
      </c>
      <c r="G35" s="72" t="s">
        <v>54</v>
      </c>
      <c r="H35" s="72" t="s">
        <v>54</v>
      </c>
      <c r="I35" s="72" t="s">
        <v>54</v>
      </c>
      <c r="J35" s="72" t="s">
        <v>31</v>
      </c>
      <c r="K35" s="72" t="s">
        <v>37</v>
      </c>
      <c r="L35" s="72" t="s">
        <v>34</v>
      </c>
      <c r="M35" s="72" t="s">
        <v>47</v>
      </c>
      <c r="N35" s="72" t="s">
        <v>31</v>
      </c>
      <c r="O35" s="72" t="s">
        <v>54</v>
      </c>
      <c r="P35" s="72" t="s">
        <v>37</v>
      </c>
      <c r="Q35" s="72" t="s">
        <v>47</v>
      </c>
      <c r="R35" s="72" t="s">
        <v>54</v>
      </c>
      <c r="S35" s="72" t="s">
        <v>45</v>
      </c>
      <c r="T35" s="72" t="s">
        <v>41</v>
      </c>
      <c r="U35" s="72" t="s">
        <v>31</v>
      </c>
      <c r="V35" s="72" t="s">
        <v>31</v>
      </c>
      <c r="W35" s="72" t="s">
        <v>54</v>
      </c>
      <c r="X35" s="72" t="s">
        <v>45</v>
      </c>
      <c r="Y35" s="72" t="s">
        <v>34</v>
      </c>
      <c r="Z35" s="72" t="s">
        <v>34</v>
      </c>
      <c r="AA35" s="72" t="s">
        <v>41</v>
      </c>
      <c r="AB35" s="72" t="s">
        <v>54</v>
      </c>
      <c r="AC35" s="72" t="s">
        <v>115</v>
      </c>
      <c r="AD35" s="72" t="s">
        <v>54</v>
      </c>
      <c r="AE35" s="72" t="s">
        <v>31</v>
      </c>
      <c r="AF35" s="72" t="s">
        <v>54</v>
      </c>
      <c r="AG35" s="72" t="s">
        <v>37</v>
      </c>
      <c r="AH35" s="72" t="s">
        <v>47</v>
      </c>
      <c r="AI35" s="72" t="s">
        <v>54</v>
      </c>
      <c r="AJ35" s="72" t="s">
        <v>45</v>
      </c>
      <c r="AK35" s="72" t="s">
        <v>41</v>
      </c>
      <c r="AL35" s="72" t="s">
        <v>54</v>
      </c>
      <c r="AM35" s="72" t="s">
        <v>45</v>
      </c>
      <c r="AN35" s="72" t="s">
        <v>34</v>
      </c>
      <c r="AO35" s="72" t="s">
        <v>41</v>
      </c>
      <c r="AP35" s="72" t="s">
        <v>54</v>
      </c>
      <c r="AQ35" s="72" t="s">
        <v>54</v>
      </c>
      <c r="AR35" s="72" t="s">
        <v>31</v>
      </c>
      <c r="AS35" s="72" t="s">
        <v>45</v>
      </c>
      <c r="AT35" s="72" t="s">
        <v>41</v>
      </c>
      <c r="AU35" s="72" t="s">
        <v>54</v>
      </c>
      <c r="AV35" s="72" t="s">
        <v>54</v>
      </c>
      <c r="AW35" s="72" t="s">
        <v>54</v>
      </c>
      <c r="AX35" s="72" t="s">
        <v>54</v>
      </c>
      <c r="AY35" s="69"/>
      <c r="AZ35" s="69"/>
      <c r="BA35" s="69"/>
      <c r="BB35" s="69"/>
      <c r="BC35" s="26" t="s">
        <v>311</v>
      </c>
      <c r="BD35" s="26" t="s">
        <v>52</v>
      </c>
      <c r="BI35" s="7" t="str">
        <v/>
      </c>
      <c r="BJ35" s="7" t="str">
        <v>0101</v>
      </c>
      <c r="BK35" s="7" t="str">
        <v>0011</v>
      </c>
      <c r="BL35" s="7" t="str">
        <v>0011</v>
      </c>
      <c r="BM35" s="7" t="str">
        <v>0011</v>
      </c>
      <c r="BN35" s="7" t="str">
        <v>0011</v>
      </c>
      <c r="BO35" s="7" t="str">
        <v/>
      </c>
      <c r="BP35" s="7" t="str">
        <v>0101</v>
      </c>
      <c r="BQ35" s="7" t="str">
        <v>0011</v>
      </c>
      <c r="BR35" s="7" t="str">
        <v>0011</v>
      </c>
      <c r="BS35" s="7" t="str">
        <v>0110</v>
      </c>
      <c r="BT35" s="7" t="str">
        <v/>
      </c>
      <c r="BU35" s="7" t="str">
        <v/>
      </c>
      <c r="BV35" s="7" t="str">
        <v/>
      </c>
      <c r="BW35" s="7" t="str">
        <v>0101</v>
      </c>
      <c r="BX35" s="7" t="str">
        <v>0011</v>
      </c>
      <c r="BY35" s="7" t="str">
        <v>0110</v>
      </c>
      <c r="BZ35" s="7" t="str">
        <v/>
      </c>
      <c r="CA35" s="7" t="str">
        <v/>
      </c>
      <c r="CB35" s="7" t="str">
        <v>0101</v>
      </c>
      <c r="CC35" s="7" t="str">
        <v>0011</v>
      </c>
      <c r="CD35" s="7" t="str">
        <v>0110</v>
      </c>
      <c r="CE35" s="7" t="str">
        <v/>
      </c>
      <c r="CF35" s="7" t="str">
        <v/>
      </c>
      <c r="CG35" s="7" t="str">
        <v/>
      </c>
      <c r="CH35" s="7" t="str">
        <v/>
      </c>
      <c r="CI35" s="7" t="str">
        <v/>
      </c>
      <c r="CJ35" s="7" t="str">
        <v/>
      </c>
      <c r="CK35" s="7" t="str">
        <v/>
      </c>
      <c r="CL35" s="7" t="str">
        <v/>
      </c>
      <c r="CM35" s="7" t="str">
        <v/>
      </c>
      <c r="CN35" s="7" t="str">
        <v>0101</v>
      </c>
      <c r="CO35" s="7" t="str">
        <v>0011</v>
      </c>
      <c r="CP35" s="7" t="str">
        <v>0110</v>
      </c>
      <c r="CQ35" s="7" t="str">
        <v/>
      </c>
      <c r="CR35" s="7" t="str">
        <v/>
      </c>
      <c r="CS35" s="7" t="str">
        <v>0101</v>
      </c>
      <c r="CT35" s="7" t="str">
        <v>0011</v>
      </c>
      <c r="CU35" s="7" t="str">
        <v>0011</v>
      </c>
      <c r="CV35" s="7" t="str">
        <v>0011</v>
      </c>
      <c r="CW35" s="7" t="str">
        <v/>
      </c>
      <c r="CX35" s="7" t="str">
        <v>1100</v>
      </c>
      <c r="CY35" s="7" t="str">
        <v>0101</v>
      </c>
      <c r="CZ35" s="7" t="str">
        <v>0011</v>
      </c>
      <c r="DA35" s="7" t="str">
        <v>0011</v>
      </c>
      <c r="DB35" s="7" t="str">
        <v>1010</v>
      </c>
      <c r="DC35" s="7" t="str">
        <v/>
      </c>
      <c r="DD35" s="7" t="str">
        <v/>
      </c>
    </row>
    <row r="36" spans="1:108" ht="15.75" customHeight="1">
      <c r="A36" s="71">
        <v>36</v>
      </c>
      <c r="C36" s="72" t="s">
        <v>54</v>
      </c>
      <c r="D36" s="72" t="s">
        <v>31</v>
      </c>
      <c r="E36" s="72" t="s">
        <v>54</v>
      </c>
      <c r="F36" s="72" t="s">
        <v>54</v>
      </c>
      <c r="G36" s="72" t="s">
        <v>54</v>
      </c>
      <c r="H36" s="72" t="s">
        <v>54</v>
      </c>
      <c r="I36" s="72" t="s">
        <v>54</v>
      </c>
      <c r="J36" s="72" t="s">
        <v>31</v>
      </c>
      <c r="K36" s="72" t="s">
        <v>45</v>
      </c>
      <c r="L36" s="72" t="s">
        <v>34</v>
      </c>
      <c r="M36" s="72" t="s">
        <v>41</v>
      </c>
      <c r="N36" s="72" t="s">
        <v>31</v>
      </c>
      <c r="O36" s="72" t="s">
        <v>54</v>
      </c>
      <c r="P36" s="72" t="s">
        <v>31</v>
      </c>
      <c r="Q36" s="72" t="s">
        <v>54</v>
      </c>
      <c r="R36" s="72" t="s">
        <v>54</v>
      </c>
      <c r="S36" s="72" t="s">
        <v>54</v>
      </c>
      <c r="T36" s="72" t="s">
        <v>31</v>
      </c>
      <c r="U36" s="72" t="s">
        <v>31</v>
      </c>
      <c r="V36" s="72" t="s">
        <v>31</v>
      </c>
      <c r="W36" s="72" t="s">
        <v>54</v>
      </c>
      <c r="X36" s="72" t="s">
        <v>54</v>
      </c>
      <c r="Y36" s="72" t="s">
        <v>54</v>
      </c>
      <c r="Z36" s="72" t="s">
        <v>54</v>
      </c>
      <c r="AA36" s="72" t="s">
        <v>31</v>
      </c>
      <c r="AB36" s="72" t="s">
        <v>54</v>
      </c>
      <c r="AC36" s="72" t="s">
        <v>115</v>
      </c>
      <c r="AD36" s="72" t="s">
        <v>54</v>
      </c>
      <c r="AE36" s="72" t="s">
        <v>31</v>
      </c>
      <c r="AF36" s="72" t="s">
        <v>54</v>
      </c>
      <c r="AG36" s="72" t="s">
        <v>31</v>
      </c>
      <c r="AH36" s="72" t="s">
        <v>54</v>
      </c>
      <c r="AI36" s="72" t="s">
        <v>54</v>
      </c>
      <c r="AJ36" s="72" t="s">
        <v>54</v>
      </c>
      <c r="AK36" s="72" t="s">
        <v>31</v>
      </c>
      <c r="AL36" s="72" t="s">
        <v>54</v>
      </c>
      <c r="AM36" s="72" t="s">
        <v>54</v>
      </c>
      <c r="AN36" s="72" t="s">
        <v>54</v>
      </c>
      <c r="AO36" s="72" t="s">
        <v>31</v>
      </c>
      <c r="AP36" s="72" t="s">
        <v>54</v>
      </c>
      <c r="AQ36" s="72" t="s">
        <v>54</v>
      </c>
      <c r="AR36" s="72" t="s">
        <v>31</v>
      </c>
      <c r="AS36" s="72" t="s">
        <v>37</v>
      </c>
      <c r="AT36" s="72" t="s">
        <v>47</v>
      </c>
      <c r="AU36" s="72" t="s">
        <v>54</v>
      </c>
      <c r="AV36" s="72" t="s">
        <v>54</v>
      </c>
      <c r="AW36" s="72" t="s">
        <v>54</v>
      </c>
      <c r="AX36" s="72" t="s">
        <v>54</v>
      </c>
      <c r="AY36" s="69"/>
      <c r="AZ36" s="69"/>
      <c r="BA36" s="69"/>
      <c r="BB36" s="69"/>
      <c r="BC36" s="26" t="s">
        <v>312</v>
      </c>
      <c r="BD36" s="26" t="s">
        <v>54</v>
      </c>
      <c r="BI36" s="7" t="str">
        <v/>
      </c>
      <c r="BJ36" s="7" t="str">
        <v>1100</v>
      </c>
      <c r="BK36" s="7" t="str">
        <v/>
      </c>
      <c r="BL36" s="7" t="str">
        <v/>
      </c>
      <c r="BM36" s="7" t="str">
        <v/>
      </c>
      <c r="BN36" s="7" t="str">
        <v/>
      </c>
      <c r="BO36" s="7" t="str">
        <v/>
      </c>
      <c r="BP36" s="7" t="str">
        <v>1100</v>
      </c>
      <c r="BQ36" s="7" t="str">
        <v>0101</v>
      </c>
      <c r="BR36" s="7" t="str">
        <v>0011</v>
      </c>
      <c r="BS36" s="7" t="str">
        <v>1010</v>
      </c>
      <c r="BT36" s="7" t="str">
        <v>1100</v>
      </c>
      <c r="BU36" s="7" t="str">
        <v/>
      </c>
      <c r="BV36" s="7" t="str">
        <v>0101</v>
      </c>
      <c r="BW36" s="7" t="str">
        <v>1010</v>
      </c>
      <c r="BX36" s="7" t="str">
        <v/>
      </c>
      <c r="BY36" s="7" t="str">
        <v>1001</v>
      </c>
      <c r="BZ36" s="7" t="str">
        <v>0110</v>
      </c>
      <c r="CA36" s="7" t="str">
        <v>1100</v>
      </c>
      <c r="CB36" s="7" t="str">
        <v>1100</v>
      </c>
      <c r="CC36" s="7" t="str">
        <v/>
      </c>
      <c r="CD36" s="7" t="str">
        <v>1001</v>
      </c>
      <c r="CE36" s="7" t="str">
        <v>0011</v>
      </c>
      <c r="CF36" s="7" t="str">
        <v>0011</v>
      </c>
      <c r="CG36" s="7" t="str">
        <v>0110</v>
      </c>
      <c r="CH36" s="7" t="str">
        <v/>
      </c>
      <c r="CI36" s="7" t="str">
        <v/>
      </c>
      <c r="CJ36" s="7" t="str">
        <v/>
      </c>
      <c r="CK36" s="7" t="str">
        <v>1100</v>
      </c>
      <c r="CL36" s="7" t="str">
        <v/>
      </c>
      <c r="CM36" s="7" t="str">
        <v>0101</v>
      </c>
      <c r="CN36" s="7" t="str">
        <v>1010</v>
      </c>
      <c r="CO36" s="7" t="str">
        <v/>
      </c>
      <c r="CP36" s="7" t="str">
        <v>1001</v>
      </c>
      <c r="CQ36" s="7" t="str">
        <v>0110</v>
      </c>
      <c r="CR36" s="7" t="str">
        <v/>
      </c>
      <c r="CS36" s="7" t="str">
        <v>1001</v>
      </c>
      <c r="CT36" s="7" t="str">
        <v>0011</v>
      </c>
      <c r="CU36" s="7" t="str">
        <v>0110</v>
      </c>
      <c r="CV36" s="7" t="str">
        <v/>
      </c>
      <c r="CW36" s="7" t="str">
        <v/>
      </c>
      <c r="CX36" s="7" t="str">
        <v>1100</v>
      </c>
      <c r="CY36" s="7" t="str">
        <v>1001</v>
      </c>
      <c r="CZ36" s="7" t="str">
        <v>0110</v>
      </c>
      <c r="DA36" s="7" t="str">
        <v/>
      </c>
      <c r="DB36" s="7" t="str">
        <v/>
      </c>
      <c r="DC36" s="7" t="str">
        <v/>
      </c>
      <c r="DD36" s="7" t="str">
        <v/>
      </c>
    </row>
    <row r="37" spans="1:108" ht="15.75" customHeight="1">
      <c r="A37" s="71">
        <v>37</v>
      </c>
      <c r="C37" s="72" t="s">
        <v>54</v>
      </c>
      <c r="D37" s="72" t="s">
        <v>31</v>
      </c>
      <c r="E37" s="72" t="s">
        <v>54</v>
      </c>
      <c r="F37" s="72" t="s">
        <v>37</v>
      </c>
      <c r="G37" s="72" t="s">
        <v>34</v>
      </c>
      <c r="H37" s="72" t="s">
        <v>34</v>
      </c>
      <c r="I37" s="72" t="s">
        <v>41</v>
      </c>
      <c r="J37" s="72" t="s">
        <v>31</v>
      </c>
      <c r="K37" s="72" t="s">
        <v>37</v>
      </c>
      <c r="L37" s="72" t="s">
        <v>34</v>
      </c>
      <c r="M37" s="72" t="s">
        <v>47</v>
      </c>
      <c r="N37" s="72" t="s">
        <v>31</v>
      </c>
      <c r="O37" s="72" t="s">
        <v>54</v>
      </c>
      <c r="P37" s="72" t="s">
        <v>31</v>
      </c>
      <c r="Q37" s="72" t="s">
        <v>54</v>
      </c>
      <c r="R37" s="72" t="s">
        <v>54</v>
      </c>
      <c r="S37" s="72" t="s">
        <v>54</v>
      </c>
      <c r="T37" s="72" t="s">
        <v>31</v>
      </c>
      <c r="U37" s="72" t="s">
        <v>31</v>
      </c>
      <c r="V37" s="72" t="s">
        <v>31</v>
      </c>
      <c r="W37" s="72" t="s">
        <v>54</v>
      </c>
      <c r="X37" s="72" t="s">
        <v>109</v>
      </c>
      <c r="Y37" s="72" t="s">
        <v>109</v>
      </c>
      <c r="Z37" s="72" t="s">
        <v>54</v>
      </c>
      <c r="AA37" s="72" t="s">
        <v>31</v>
      </c>
      <c r="AB37" s="72" t="s">
        <v>54</v>
      </c>
      <c r="AC37" s="72" t="s">
        <v>115</v>
      </c>
      <c r="AD37" s="72" t="s">
        <v>54</v>
      </c>
      <c r="AE37" s="72" t="s">
        <v>31</v>
      </c>
      <c r="AF37" s="72" t="s">
        <v>54</v>
      </c>
      <c r="AG37" s="72" t="s">
        <v>31</v>
      </c>
      <c r="AH37" s="72" t="s">
        <v>54</v>
      </c>
      <c r="AI37" s="72" t="s">
        <v>54</v>
      </c>
      <c r="AJ37" s="72" t="s">
        <v>54</v>
      </c>
      <c r="AK37" s="72" t="s">
        <v>31</v>
      </c>
      <c r="AL37" s="72" t="s">
        <v>54</v>
      </c>
      <c r="AM37" s="72" t="s">
        <v>106</v>
      </c>
      <c r="AN37" s="72" t="s">
        <v>54</v>
      </c>
      <c r="AO37" s="72" t="s">
        <v>31</v>
      </c>
      <c r="AP37" s="72" t="s">
        <v>54</v>
      </c>
      <c r="AQ37" s="72" t="s">
        <v>54</v>
      </c>
      <c r="AR37" s="72" t="s">
        <v>31</v>
      </c>
      <c r="AS37" s="72" t="s">
        <v>45</v>
      </c>
      <c r="AT37" s="72" t="s">
        <v>34</v>
      </c>
      <c r="AU37" s="72" t="s">
        <v>34</v>
      </c>
      <c r="AV37" s="72" t="s">
        <v>41</v>
      </c>
      <c r="AW37" s="72" t="s">
        <v>54</v>
      </c>
      <c r="AX37" s="72" t="s">
        <v>54</v>
      </c>
      <c r="AY37" s="69"/>
      <c r="AZ37" s="69"/>
      <c r="BA37" s="69"/>
      <c r="BB37" s="69"/>
      <c r="BC37" s="26" t="s">
        <v>313</v>
      </c>
      <c r="BD37" s="26" t="s">
        <v>49</v>
      </c>
      <c r="BI37" s="7" t="str">
        <v/>
      </c>
      <c r="BJ37" s="7" t="str">
        <v>1100</v>
      </c>
      <c r="BK37" s="7" t="str">
        <v/>
      </c>
      <c r="BL37" s="7" t="str">
        <v/>
      </c>
      <c r="BM37" s="7" t="str">
        <v/>
      </c>
      <c r="BN37" s="7" t="str">
        <v/>
      </c>
      <c r="BO37" s="7" t="str">
        <v/>
      </c>
      <c r="BP37" s="7" t="str">
        <v>1100</v>
      </c>
      <c r="BQ37" s="7" t="str">
        <v>1001</v>
      </c>
      <c r="BR37" s="7" t="str">
        <v>0011</v>
      </c>
      <c r="BS37" s="7" t="str">
        <v>0110</v>
      </c>
      <c r="BT37" s="7" t="str">
        <v>1100</v>
      </c>
      <c r="BU37" s="7" t="str">
        <v/>
      </c>
      <c r="BV37" s="7" t="str">
        <v>1100</v>
      </c>
      <c r="BW37" s="7" t="str">
        <v/>
      </c>
      <c r="BX37" s="7" t="str">
        <v/>
      </c>
      <c r="BY37" s="7" t="str">
        <v/>
      </c>
      <c r="BZ37" s="7" t="str">
        <v>1100</v>
      </c>
      <c r="CA37" s="7" t="str">
        <v>1100</v>
      </c>
      <c r="CB37" s="7" t="str">
        <v>1100</v>
      </c>
      <c r="CC37" s="7" t="str">
        <v/>
      </c>
      <c r="CD37" s="7" t="str">
        <v/>
      </c>
      <c r="CE37" s="7" t="str">
        <v/>
      </c>
      <c r="CF37" s="7" t="str">
        <v/>
      </c>
      <c r="CG37" s="7" t="str">
        <v>1100</v>
      </c>
      <c r="CH37" s="7" t="str">
        <v/>
      </c>
      <c r="CI37" s="7" t="str">
        <v/>
      </c>
      <c r="CJ37" s="7" t="str">
        <v/>
      </c>
      <c r="CK37" s="7" t="str">
        <v>1100</v>
      </c>
      <c r="CL37" s="7" t="str">
        <v/>
      </c>
      <c r="CM37" s="7" t="str">
        <v>1100</v>
      </c>
      <c r="CN37" s="7" t="str">
        <v/>
      </c>
      <c r="CO37" s="7" t="str">
        <v/>
      </c>
      <c r="CP37" s="7" t="str">
        <v/>
      </c>
      <c r="CQ37" s="7" t="str">
        <v>1100</v>
      </c>
      <c r="CR37" s="7" t="str">
        <v/>
      </c>
      <c r="CS37" s="7" t="str">
        <v/>
      </c>
      <c r="CT37" s="7" t="str">
        <v/>
      </c>
      <c r="CU37" s="7" t="str">
        <v>1100</v>
      </c>
      <c r="CV37" s="7" t="str">
        <v/>
      </c>
      <c r="CW37" s="7" t="str">
        <v/>
      </c>
      <c r="CX37" s="7" t="str">
        <v>1100</v>
      </c>
      <c r="CY37" s="7" t="str">
        <v>0101</v>
      </c>
      <c r="CZ37" s="7" t="str">
        <v>1010</v>
      </c>
      <c r="DA37" s="7" t="str">
        <v/>
      </c>
      <c r="DB37" s="7" t="str">
        <v/>
      </c>
      <c r="DC37" s="7" t="str">
        <v/>
      </c>
      <c r="DD37" s="7" t="str">
        <v/>
      </c>
    </row>
    <row r="38" spans="1:108" ht="15.75" customHeight="1">
      <c r="A38" s="71">
        <v>38</v>
      </c>
      <c r="C38" s="72" t="s">
        <v>54</v>
      </c>
      <c r="D38" s="72" t="s">
        <v>31</v>
      </c>
      <c r="E38" s="72" t="s">
        <v>54</v>
      </c>
      <c r="F38" s="72" t="s">
        <v>45</v>
      </c>
      <c r="G38" s="72" t="s">
        <v>34</v>
      </c>
      <c r="H38" s="72" t="s">
        <v>41</v>
      </c>
      <c r="I38" s="72" t="s">
        <v>31</v>
      </c>
      <c r="J38" s="72" t="s">
        <v>31</v>
      </c>
      <c r="K38" s="72" t="s">
        <v>45</v>
      </c>
      <c r="L38" s="72" t="s">
        <v>41</v>
      </c>
      <c r="M38" s="72" t="s">
        <v>54</v>
      </c>
      <c r="N38" s="72" t="s">
        <v>31</v>
      </c>
      <c r="O38" s="72" t="s">
        <v>54</v>
      </c>
      <c r="P38" s="72" t="s">
        <v>31</v>
      </c>
      <c r="Q38" s="72" t="s">
        <v>37</v>
      </c>
      <c r="R38" s="72" t="s">
        <v>34</v>
      </c>
      <c r="S38" s="72" t="s">
        <v>34</v>
      </c>
      <c r="T38" s="72" t="s">
        <v>47</v>
      </c>
      <c r="U38" s="72" t="s">
        <v>31</v>
      </c>
      <c r="V38" s="72" t="s">
        <v>31</v>
      </c>
      <c r="W38" s="72" t="s">
        <v>54</v>
      </c>
      <c r="X38" s="72" t="s">
        <v>109</v>
      </c>
      <c r="Y38" s="72" t="s">
        <v>109</v>
      </c>
      <c r="Z38" s="72" t="s">
        <v>54</v>
      </c>
      <c r="AA38" s="72" t="s">
        <v>31</v>
      </c>
      <c r="AB38" s="72" t="s">
        <v>54</v>
      </c>
      <c r="AC38" s="72" t="s">
        <v>115</v>
      </c>
      <c r="AD38" s="72" t="s">
        <v>54</v>
      </c>
      <c r="AE38" s="72" t="s">
        <v>31</v>
      </c>
      <c r="AF38" s="72" t="s">
        <v>54</v>
      </c>
      <c r="AG38" s="72" t="s">
        <v>31</v>
      </c>
      <c r="AH38" s="72" t="s">
        <v>37</v>
      </c>
      <c r="AI38" s="72" t="s">
        <v>34</v>
      </c>
      <c r="AJ38" s="72" t="s">
        <v>34</v>
      </c>
      <c r="AK38" s="72" t="s">
        <v>47</v>
      </c>
      <c r="AL38" s="72" t="s">
        <v>54</v>
      </c>
      <c r="AM38" s="72" t="s">
        <v>106</v>
      </c>
      <c r="AN38" s="72" t="s">
        <v>54</v>
      </c>
      <c r="AO38" s="72" t="s">
        <v>31</v>
      </c>
      <c r="AP38" s="72" t="s">
        <v>54</v>
      </c>
      <c r="AQ38" s="72" t="s">
        <v>54</v>
      </c>
      <c r="AR38" s="72" t="s">
        <v>31</v>
      </c>
      <c r="AS38" s="72" t="s">
        <v>37</v>
      </c>
      <c r="AT38" s="72" t="s">
        <v>34</v>
      </c>
      <c r="AU38" s="72" t="s">
        <v>34</v>
      </c>
      <c r="AV38" s="72" t="s">
        <v>47</v>
      </c>
      <c r="AW38" s="72" t="s">
        <v>54</v>
      </c>
      <c r="AX38" s="72" t="s">
        <v>54</v>
      </c>
      <c r="AY38" s="69"/>
      <c r="AZ38" s="69"/>
      <c r="BA38" s="69"/>
      <c r="BB38" s="69"/>
      <c r="BC38" s="26" t="s">
        <v>314</v>
      </c>
      <c r="BD38" s="26" t="s">
        <v>54</v>
      </c>
      <c r="BI38" s="7" t="str">
        <v/>
      </c>
      <c r="BJ38" s="7" t="str">
        <v>1100</v>
      </c>
      <c r="BK38" s="7" t="str">
        <v/>
      </c>
      <c r="BL38" s="7" t="str">
        <v>0101</v>
      </c>
      <c r="BM38" s="7" t="str">
        <v>0011</v>
      </c>
      <c r="BN38" s="7" t="str">
        <v>0011</v>
      </c>
      <c r="BO38" s="7" t="str">
        <v>0110</v>
      </c>
      <c r="BP38" s="7" t="str">
        <v>1100</v>
      </c>
      <c r="BQ38" s="7" t="str">
        <v>0101</v>
      </c>
      <c r="BR38" s="7" t="str">
        <v>0011</v>
      </c>
      <c r="BS38" s="7" t="str">
        <v>1010</v>
      </c>
      <c r="BT38" s="7" t="str">
        <v>1100</v>
      </c>
      <c r="BU38" s="7" t="str">
        <v/>
      </c>
      <c r="BV38" s="7" t="str">
        <v>1100</v>
      </c>
      <c r="BW38" s="7" t="str">
        <v/>
      </c>
      <c r="BX38" s="7" t="str">
        <v/>
      </c>
      <c r="BY38" s="7" t="str">
        <v/>
      </c>
      <c r="BZ38" s="7" t="str">
        <v>1100</v>
      </c>
      <c r="CA38" s="7" t="str">
        <v>1100</v>
      </c>
      <c r="CB38" s="7" t="str">
        <v>1100</v>
      </c>
      <c r="CC38" s="7" t="str">
        <v/>
      </c>
      <c r="CD38" s="7" t="str">
        <v/>
      </c>
      <c r="CE38" s="7" t="str">
        <v/>
      </c>
      <c r="CF38" s="7" t="str">
        <v/>
      </c>
      <c r="CG38" s="7" t="str">
        <v>1100</v>
      </c>
      <c r="CH38" s="7" t="str">
        <v/>
      </c>
      <c r="CI38" s="7" t="str">
        <v/>
      </c>
      <c r="CJ38" s="7" t="str">
        <v/>
      </c>
      <c r="CK38" s="7" t="str">
        <v>1100</v>
      </c>
      <c r="CL38" s="7" t="str">
        <v/>
      </c>
      <c r="CM38" s="7" t="str">
        <v>1100</v>
      </c>
      <c r="CN38" s="7" t="str">
        <v/>
      </c>
      <c r="CO38" s="7" t="str">
        <v/>
      </c>
      <c r="CP38" s="7" t="str">
        <v/>
      </c>
      <c r="CQ38" s="7" t="str">
        <v>1100</v>
      </c>
      <c r="CR38" s="7" t="str">
        <v/>
      </c>
      <c r="CS38" s="7" t="str">
        <v/>
      </c>
      <c r="CT38" s="7" t="str">
        <v/>
      </c>
      <c r="CU38" s="7" t="str">
        <v>1100</v>
      </c>
      <c r="CV38" s="7" t="str">
        <v/>
      </c>
      <c r="CW38" s="7" t="str">
        <v/>
      </c>
      <c r="CX38" s="7" t="str">
        <v>1100</v>
      </c>
      <c r="CY38" s="7" t="str">
        <v>1001</v>
      </c>
      <c r="CZ38" s="7" t="str">
        <v>0011</v>
      </c>
      <c r="DA38" s="7" t="str">
        <v>0011</v>
      </c>
      <c r="DB38" s="7" t="str">
        <v>0110</v>
      </c>
      <c r="DC38" s="7" t="str">
        <v/>
      </c>
      <c r="DD38" s="7" t="str">
        <v/>
      </c>
    </row>
    <row r="39" spans="1:108" ht="15.75" customHeight="1">
      <c r="A39" s="71">
        <v>39</v>
      </c>
      <c r="C39" s="72" t="s">
        <v>54</v>
      </c>
      <c r="D39" s="72" t="s">
        <v>31</v>
      </c>
      <c r="E39" s="72" t="s">
        <v>54</v>
      </c>
      <c r="F39" s="72" t="s">
        <v>54</v>
      </c>
      <c r="G39" s="72" t="s">
        <v>54</v>
      </c>
      <c r="H39" s="72" t="s">
        <v>31</v>
      </c>
      <c r="I39" s="72" t="s">
        <v>31</v>
      </c>
      <c r="J39" s="72" t="s">
        <v>31</v>
      </c>
      <c r="K39" s="72" t="s">
        <v>54</v>
      </c>
      <c r="L39" s="72" t="s">
        <v>45</v>
      </c>
      <c r="M39" s="72" t="s">
        <v>41</v>
      </c>
      <c r="N39" s="72" t="s">
        <v>31</v>
      </c>
      <c r="O39" s="72" t="s">
        <v>54</v>
      </c>
      <c r="P39" s="72" t="s">
        <v>31</v>
      </c>
      <c r="Q39" s="72" t="s">
        <v>45</v>
      </c>
      <c r="R39" s="72" t="s">
        <v>34</v>
      </c>
      <c r="S39" s="72" t="s">
        <v>34</v>
      </c>
      <c r="T39" s="72" t="s">
        <v>41</v>
      </c>
      <c r="U39" s="72" t="s">
        <v>31</v>
      </c>
      <c r="V39" s="72" t="s">
        <v>31</v>
      </c>
      <c r="W39" s="72" t="s">
        <v>54</v>
      </c>
      <c r="X39" s="72" t="s">
        <v>109</v>
      </c>
      <c r="Y39" s="72" t="s">
        <v>109</v>
      </c>
      <c r="Z39" s="72" t="s">
        <v>54</v>
      </c>
      <c r="AA39" s="72" t="s">
        <v>31</v>
      </c>
      <c r="AB39" s="72" t="s">
        <v>54</v>
      </c>
      <c r="AC39" s="72" t="s">
        <v>115</v>
      </c>
      <c r="AD39" s="72" t="s">
        <v>54</v>
      </c>
      <c r="AE39" s="72" t="s">
        <v>31</v>
      </c>
      <c r="AF39" s="72" t="s">
        <v>54</v>
      </c>
      <c r="AG39" s="72" t="s">
        <v>31</v>
      </c>
      <c r="AH39" s="72" t="s">
        <v>45</v>
      </c>
      <c r="AI39" s="72" t="s">
        <v>34</v>
      </c>
      <c r="AJ39" s="72" t="s">
        <v>34</v>
      </c>
      <c r="AK39" s="72" t="s">
        <v>41</v>
      </c>
      <c r="AL39" s="72" t="s">
        <v>54</v>
      </c>
      <c r="AM39" s="72" t="s">
        <v>106</v>
      </c>
      <c r="AN39" s="72" t="s">
        <v>54</v>
      </c>
      <c r="AO39" s="72" t="s">
        <v>31</v>
      </c>
      <c r="AP39" s="72" t="s">
        <v>54</v>
      </c>
      <c r="AQ39" s="72" t="s">
        <v>54</v>
      </c>
      <c r="AR39" s="72" t="s">
        <v>31</v>
      </c>
      <c r="AS39" s="72" t="s">
        <v>45</v>
      </c>
      <c r="AT39" s="72" t="s">
        <v>41</v>
      </c>
      <c r="AU39" s="72" t="s">
        <v>54</v>
      </c>
      <c r="AV39" s="72" t="s">
        <v>54</v>
      </c>
      <c r="AW39" s="72" t="s">
        <v>54</v>
      </c>
      <c r="AX39" s="72" t="s">
        <v>54</v>
      </c>
      <c r="AY39" s="69"/>
      <c r="AZ39" s="69"/>
      <c r="BA39" s="69"/>
      <c r="BB39" s="69"/>
      <c r="BC39" s="26" t="s">
        <v>315</v>
      </c>
      <c r="BD39" s="26" t="s">
        <v>54</v>
      </c>
      <c r="BI39" s="7" t="str">
        <v/>
      </c>
      <c r="BJ39" s="7" t="str">
        <v>1100</v>
      </c>
      <c r="BK39" s="7" t="str">
        <v/>
      </c>
      <c r="BL39" s="7" t="str">
        <v>1001</v>
      </c>
      <c r="BM39" s="7" t="str">
        <v>0011</v>
      </c>
      <c r="BN39" s="7" t="str">
        <v>0110</v>
      </c>
      <c r="BO39" s="7" t="str">
        <v>1100</v>
      </c>
      <c r="BP39" s="7" t="str">
        <v>1100</v>
      </c>
      <c r="BQ39" s="7" t="str">
        <v>1001</v>
      </c>
      <c r="BR39" s="7" t="str">
        <v>0110</v>
      </c>
      <c r="BS39" s="7" t="str">
        <v/>
      </c>
      <c r="BT39" s="7" t="str">
        <v>1100</v>
      </c>
      <c r="BU39" s="7" t="str">
        <v/>
      </c>
      <c r="BV39" s="7" t="str">
        <v>1100</v>
      </c>
      <c r="BW39" s="7" t="str">
        <v>0101</v>
      </c>
      <c r="BX39" s="7" t="str">
        <v>0011</v>
      </c>
      <c r="BY39" s="7" t="str">
        <v>0011</v>
      </c>
      <c r="BZ39" s="7" t="str">
        <v>1010</v>
      </c>
      <c r="CA39" s="7" t="str">
        <v>1100</v>
      </c>
      <c r="CB39" s="7" t="str">
        <v>1100</v>
      </c>
      <c r="CC39" s="7" t="str">
        <v/>
      </c>
      <c r="CD39" s="7" t="str">
        <v/>
      </c>
      <c r="CE39" s="7" t="str">
        <v/>
      </c>
      <c r="CF39" s="7" t="str">
        <v/>
      </c>
      <c r="CG39" s="7" t="str">
        <v>1100</v>
      </c>
      <c r="CH39" s="7" t="str">
        <v/>
      </c>
      <c r="CI39" s="7" t="str">
        <v/>
      </c>
      <c r="CJ39" s="7" t="str">
        <v/>
      </c>
      <c r="CK39" s="7" t="str">
        <v>1100</v>
      </c>
      <c r="CL39" s="7" t="str">
        <v/>
      </c>
      <c r="CM39" s="7" t="str">
        <v>1100</v>
      </c>
      <c r="CN39" s="7" t="str">
        <v>0101</v>
      </c>
      <c r="CO39" s="7" t="str">
        <v>0011</v>
      </c>
      <c r="CP39" s="7" t="str">
        <v>0011</v>
      </c>
      <c r="CQ39" s="7" t="str">
        <v>1010</v>
      </c>
      <c r="CR39" s="7" t="str">
        <v/>
      </c>
      <c r="CS39" s="7" t="str">
        <v/>
      </c>
      <c r="CT39" s="7" t="str">
        <v/>
      </c>
      <c r="CU39" s="7" t="str">
        <v>1100</v>
      </c>
      <c r="CV39" s="7" t="str">
        <v/>
      </c>
      <c r="CW39" s="7" t="str">
        <v/>
      </c>
      <c r="CX39" s="7" t="str">
        <v>1100</v>
      </c>
      <c r="CY39" s="7" t="str">
        <v>0101</v>
      </c>
      <c r="CZ39" s="7" t="str">
        <v>0011</v>
      </c>
      <c r="DA39" s="7" t="str">
        <v>0011</v>
      </c>
      <c r="DB39" s="7" t="str">
        <v>1010</v>
      </c>
      <c r="DC39" s="7" t="str">
        <v/>
      </c>
      <c r="DD39" s="7" t="str">
        <v/>
      </c>
    </row>
    <row r="40" spans="1:108" ht="15.75" customHeight="1">
      <c r="A40" s="71">
        <v>40</v>
      </c>
      <c r="C40" s="72" t="s">
        <v>54</v>
      </c>
      <c r="D40" s="72" t="s">
        <v>31</v>
      </c>
      <c r="E40" s="72" t="s">
        <v>54</v>
      </c>
      <c r="F40" s="72" t="s">
        <v>54</v>
      </c>
      <c r="G40" s="72" t="s">
        <v>54</v>
      </c>
      <c r="H40" s="72" t="s">
        <v>31</v>
      </c>
      <c r="I40" s="72" t="s">
        <v>31</v>
      </c>
      <c r="J40" s="72" t="s">
        <v>31</v>
      </c>
      <c r="K40" s="72" t="s">
        <v>54</v>
      </c>
      <c r="L40" s="72" t="s">
        <v>54</v>
      </c>
      <c r="M40" s="72" t="s">
        <v>45</v>
      </c>
      <c r="N40" s="72" t="s">
        <v>47</v>
      </c>
      <c r="O40" s="72" t="s">
        <v>54</v>
      </c>
      <c r="P40" s="72" t="s">
        <v>31</v>
      </c>
      <c r="Q40" s="72" t="s">
        <v>54</v>
      </c>
      <c r="R40" s="72" t="s">
        <v>54</v>
      </c>
      <c r="S40" s="72" t="s">
        <v>54</v>
      </c>
      <c r="T40" s="72" t="s">
        <v>31</v>
      </c>
      <c r="U40" s="72" t="s">
        <v>31</v>
      </c>
      <c r="V40" s="72" t="s">
        <v>31</v>
      </c>
      <c r="W40" s="72" t="s">
        <v>54</v>
      </c>
      <c r="X40" s="72" t="s">
        <v>109</v>
      </c>
      <c r="Y40" s="72" t="s">
        <v>109</v>
      </c>
      <c r="Z40" s="72" t="s">
        <v>54</v>
      </c>
      <c r="AA40" s="72" t="s">
        <v>45</v>
      </c>
      <c r="AB40" s="72" t="s">
        <v>41</v>
      </c>
      <c r="AC40" s="72" t="s">
        <v>54</v>
      </c>
      <c r="AD40" s="72" t="s">
        <v>37</v>
      </c>
      <c r="AE40" s="72" t="s">
        <v>47</v>
      </c>
      <c r="AF40" s="72" t="s">
        <v>54</v>
      </c>
      <c r="AG40" s="72" t="s">
        <v>31</v>
      </c>
      <c r="AH40" s="72" t="s">
        <v>54</v>
      </c>
      <c r="AI40" s="72" t="s">
        <v>54</v>
      </c>
      <c r="AJ40" s="72" t="s">
        <v>54</v>
      </c>
      <c r="AK40" s="72" t="s">
        <v>31</v>
      </c>
      <c r="AL40" s="72" t="s">
        <v>54</v>
      </c>
      <c r="AM40" s="72" t="s">
        <v>106</v>
      </c>
      <c r="AN40" s="72" t="s">
        <v>54</v>
      </c>
      <c r="AO40" s="72" t="s">
        <v>31</v>
      </c>
      <c r="AP40" s="72" t="s">
        <v>54</v>
      </c>
      <c r="AQ40" s="72" t="s">
        <v>54</v>
      </c>
      <c r="AR40" s="72" t="s">
        <v>31</v>
      </c>
      <c r="AS40" s="72" t="s">
        <v>37</v>
      </c>
      <c r="AT40" s="72" t="s">
        <v>47</v>
      </c>
      <c r="AU40" s="72" t="s">
        <v>54</v>
      </c>
      <c r="AV40" s="72" t="s">
        <v>54</v>
      </c>
      <c r="AW40" s="72" t="s">
        <v>54</v>
      </c>
      <c r="AX40" s="72" t="s">
        <v>54</v>
      </c>
      <c r="AY40" s="69"/>
      <c r="AZ40" s="69"/>
      <c r="BA40" s="69"/>
      <c r="BB40" s="69"/>
      <c r="BC40" s="26" t="s">
        <v>316</v>
      </c>
      <c r="BD40" s="26" t="s">
        <v>54</v>
      </c>
      <c r="BI40" s="7" t="str">
        <v/>
      </c>
      <c r="BJ40" s="7" t="str">
        <v>1100</v>
      </c>
      <c r="BK40" s="7" t="str">
        <v/>
      </c>
      <c r="BL40" s="7" t="str">
        <v/>
      </c>
      <c r="BM40" s="7" t="str">
        <v/>
      </c>
      <c r="BN40" s="7" t="str">
        <v>1100</v>
      </c>
      <c r="BO40" s="7" t="str">
        <v>1100</v>
      </c>
      <c r="BP40" s="7" t="str">
        <v>1100</v>
      </c>
      <c r="BQ40" s="7" t="str">
        <v/>
      </c>
      <c r="BR40" s="7" t="str">
        <v>1001</v>
      </c>
      <c r="BS40" s="7" t="str">
        <v>0110</v>
      </c>
      <c r="BT40" s="7" t="str">
        <v>1100</v>
      </c>
      <c r="BU40" s="7" t="str">
        <v/>
      </c>
      <c r="BV40" s="7" t="str">
        <v>1100</v>
      </c>
      <c r="BW40" s="7" t="str">
        <v>1001</v>
      </c>
      <c r="BX40" s="7" t="str">
        <v>0011</v>
      </c>
      <c r="BY40" s="7" t="str">
        <v>0011</v>
      </c>
      <c r="BZ40" s="7" t="str">
        <v>0110</v>
      </c>
      <c r="CA40" s="7" t="str">
        <v>1100</v>
      </c>
      <c r="CB40" s="7" t="str">
        <v>1100</v>
      </c>
      <c r="CC40" s="7" t="str">
        <v/>
      </c>
      <c r="CD40" s="7" t="str">
        <v/>
      </c>
      <c r="CE40" s="7" t="str">
        <v/>
      </c>
      <c r="CF40" s="7" t="str">
        <v/>
      </c>
      <c r="CG40" s="7" t="str">
        <v>1100</v>
      </c>
      <c r="CH40" s="7" t="str">
        <v/>
      </c>
      <c r="CI40" s="7" t="str">
        <v/>
      </c>
      <c r="CJ40" s="7" t="str">
        <v/>
      </c>
      <c r="CK40" s="7" t="str">
        <v>1100</v>
      </c>
      <c r="CL40" s="7" t="str">
        <v/>
      </c>
      <c r="CM40" s="7" t="str">
        <v>1100</v>
      </c>
      <c r="CN40" s="7" t="str">
        <v>1001</v>
      </c>
      <c r="CO40" s="7" t="str">
        <v>0011</v>
      </c>
      <c r="CP40" s="7" t="str">
        <v>0011</v>
      </c>
      <c r="CQ40" s="7" t="str">
        <v>0110</v>
      </c>
      <c r="CR40" s="7" t="str">
        <v/>
      </c>
      <c r="CS40" s="7" t="str">
        <v/>
      </c>
      <c r="CT40" s="7" t="str">
        <v/>
      </c>
      <c r="CU40" s="7" t="str">
        <v>1100</v>
      </c>
      <c r="CV40" s="7" t="str">
        <v/>
      </c>
      <c r="CW40" s="7" t="str">
        <v/>
      </c>
      <c r="CX40" s="7" t="str">
        <v>1100</v>
      </c>
      <c r="CY40" s="7" t="str">
        <v>1001</v>
      </c>
      <c r="CZ40" s="7" t="str">
        <v>0110</v>
      </c>
      <c r="DA40" s="7" t="str">
        <v/>
      </c>
      <c r="DB40" s="7" t="str">
        <v/>
      </c>
      <c r="DC40" s="7" t="str">
        <v/>
      </c>
      <c r="DD40" s="7" t="str">
        <v/>
      </c>
    </row>
    <row r="41" spans="1:108" ht="15.75" customHeight="1">
      <c r="A41" s="71">
        <v>41</v>
      </c>
      <c r="C41" s="72" t="s">
        <v>54</v>
      </c>
      <c r="D41" s="72" t="s">
        <v>45</v>
      </c>
      <c r="E41" s="72" t="s">
        <v>34</v>
      </c>
      <c r="F41" s="72" t="s">
        <v>34</v>
      </c>
      <c r="G41" s="72" t="s">
        <v>34</v>
      </c>
      <c r="H41" s="72" t="s">
        <v>47</v>
      </c>
      <c r="I41" s="72" t="s">
        <v>31</v>
      </c>
      <c r="J41" s="72" t="s">
        <v>49</v>
      </c>
      <c r="K41" s="72" t="s">
        <v>54</v>
      </c>
      <c r="L41" s="72" t="s">
        <v>54</v>
      </c>
      <c r="M41" s="72" t="s">
        <v>54</v>
      </c>
      <c r="N41" s="72" t="s">
        <v>54</v>
      </c>
      <c r="O41" s="72" t="s">
        <v>52</v>
      </c>
      <c r="P41" s="72" t="s">
        <v>47</v>
      </c>
      <c r="Q41" s="72" t="s">
        <v>54</v>
      </c>
      <c r="R41" s="72" t="s">
        <v>115</v>
      </c>
      <c r="S41" s="72" t="s">
        <v>54</v>
      </c>
      <c r="T41" s="72" t="s">
        <v>45</v>
      </c>
      <c r="U41" s="72" t="s">
        <v>47</v>
      </c>
      <c r="V41" s="72" t="s">
        <v>31</v>
      </c>
      <c r="W41" s="72" t="s">
        <v>54</v>
      </c>
      <c r="X41" s="72" t="s">
        <v>109</v>
      </c>
      <c r="Y41" s="72" t="s">
        <v>109</v>
      </c>
      <c r="Z41" s="72" t="s">
        <v>54</v>
      </c>
      <c r="AA41" s="72" t="s">
        <v>54</v>
      </c>
      <c r="AB41" s="72" t="s">
        <v>45</v>
      </c>
      <c r="AC41" s="72" t="s">
        <v>34</v>
      </c>
      <c r="AD41" s="72" t="s">
        <v>47</v>
      </c>
      <c r="AE41" s="72" t="s">
        <v>54</v>
      </c>
      <c r="AF41" s="72" t="s">
        <v>54</v>
      </c>
      <c r="AG41" s="72" t="s">
        <v>52</v>
      </c>
      <c r="AH41" s="72" t="s">
        <v>54</v>
      </c>
      <c r="AI41" s="72" t="s">
        <v>54</v>
      </c>
      <c r="AJ41" s="72" t="s">
        <v>54</v>
      </c>
      <c r="AK41" s="72" t="s">
        <v>49</v>
      </c>
      <c r="AL41" s="72" t="s">
        <v>54</v>
      </c>
      <c r="AM41" s="72" t="s">
        <v>106</v>
      </c>
      <c r="AN41" s="72" t="s">
        <v>54</v>
      </c>
      <c r="AO41" s="72" t="s">
        <v>45</v>
      </c>
      <c r="AP41" s="72" t="s">
        <v>34</v>
      </c>
      <c r="AQ41" s="72" t="s">
        <v>49</v>
      </c>
      <c r="AR41" s="72" t="s">
        <v>31</v>
      </c>
      <c r="AS41" s="72" t="s">
        <v>45</v>
      </c>
      <c r="AT41" s="72" t="s">
        <v>34</v>
      </c>
      <c r="AU41" s="72" t="s">
        <v>34</v>
      </c>
      <c r="AV41" s="72" t="s">
        <v>41</v>
      </c>
      <c r="AW41" s="72" t="s">
        <v>54</v>
      </c>
      <c r="AX41" s="72" t="s">
        <v>54</v>
      </c>
      <c r="AY41" s="69"/>
      <c r="AZ41" s="69"/>
      <c r="BA41" s="69"/>
      <c r="BB41" s="69"/>
      <c r="BC41" s="26" t="s">
        <v>317</v>
      </c>
      <c r="BD41" s="26" t="s">
        <v>52</v>
      </c>
      <c r="BI41" s="7" t="str">
        <v/>
      </c>
      <c r="BJ41" s="7" t="str">
        <v>1100</v>
      </c>
      <c r="BK41" s="7" t="str">
        <v/>
      </c>
      <c r="BL41" s="7" t="str">
        <v/>
      </c>
      <c r="BM41" s="7" t="str">
        <v/>
      </c>
      <c r="BN41" s="7" t="str">
        <v>1100</v>
      </c>
      <c r="BO41" s="7" t="str">
        <v>1100</v>
      </c>
      <c r="BP41" s="7" t="str">
        <v>1100</v>
      </c>
      <c r="BQ41" s="7" t="str">
        <v/>
      </c>
      <c r="BR41" s="7" t="str">
        <v/>
      </c>
      <c r="BS41" s="7" t="str">
        <v>1001</v>
      </c>
      <c r="BT41" s="7" t="str">
        <v>1010</v>
      </c>
      <c r="BU41" s="7" t="str">
        <v/>
      </c>
      <c r="BV41" s="7" t="str">
        <v>1100</v>
      </c>
      <c r="BW41" s="7" t="str">
        <v/>
      </c>
      <c r="BX41" s="7" t="str">
        <v/>
      </c>
      <c r="BY41" s="7" t="str">
        <v/>
      </c>
      <c r="BZ41" s="7" t="str">
        <v>1100</v>
      </c>
      <c r="CA41" s="7" t="str">
        <v>1100</v>
      </c>
      <c r="CB41" s="7" t="str">
        <v>1100</v>
      </c>
      <c r="CC41" s="7" t="str">
        <v/>
      </c>
      <c r="CD41" s="7" t="str">
        <v/>
      </c>
      <c r="CE41" s="7" t="str">
        <v/>
      </c>
      <c r="CF41" s="7" t="str">
        <v/>
      </c>
      <c r="CG41" s="7" t="str">
        <v>1001</v>
      </c>
      <c r="CH41" s="7" t="str">
        <v>0110</v>
      </c>
      <c r="CI41" s="7" t="str">
        <v/>
      </c>
      <c r="CJ41" s="7" t="str">
        <v>0101</v>
      </c>
      <c r="CK41" s="7" t="str">
        <v>1010</v>
      </c>
      <c r="CL41" s="7" t="str">
        <v/>
      </c>
      <c r="CM41" s="7" t="str">
        <v>1100</v>
      </c>
      <c r="CN41" s="7" t="str">
        <v/>
      </c>
      <c r="CO41" s="7" t="str">
        <v/>
      </c>
      <c r="CP41" s="7" t="str">
        <v/>
      </c>
      <c r="CQ41" s="7" t="str">
        <v>1100</v>
      </c>
      <c r="CR41" s="7" t="str">
        <v/>
      </c>
      <c r="CS41" s="7" t="str">
        <v/>
      </c>
      <c r="CT41" s="7" t="str">
        <v/>
      </c>
      <c r="CU41" s="7" t="str">
        <v>1100</v>
      </c>
      <c r="CV41" s="7" t="str">
        <v/>
      </c>
      <c r="CW41" s="7" t="str">
        <v/>
      </c>
      <c r="CX41" s="7" t="str">
        <v>1100</v>
      </c>
      <c r="CY41" s="7" t="str">
        <v>0101</v>
      </c>
      <c r="CZ41" s="7" t="str">
        <v>1010</v>
      </c>
      <c r="DA41" s="7" t="str">
        <v/>
      </c>
      <c r="DB41" s="7" t="str">
        <v/>
      </c>
      <c r="DC41" s="7" t="str">
        <v/>
      </c>
      <c r="DD41" s="7" t="str">
        <v/>
      </c>
    </row>
    <row r="42" spans="1:108" ht="15.75" customHeight="1">
      <c r="A42" s="71">
        <v>42</v>
      </c>
      <c r="C42" s="72" t="s">
        <v>54</v>
      </c>
      <c r="D42" s="72" t="s">
        <v>54</v>
      </c>
      <c r="E42" s="72" t="s">
        <v>54</v>
      </c>
      <c r="F42" s="72" t="s">
        <v>54</v>
      </c>
      <c r="G42" s="72" t="s">
        <v>54</v>
      </c>
      <c r="H42" s="72" t="s">
        <v>54</v>
      </c>
      <c r="I42" s="72" t="s">
        <v>52</v>
      </c>
      <c r="J42" s="72" t="s">
        <v>54</v>
      </c>
      <c r="K42" s="72" t="s">
        <v>54</v>
      </c>
      <c r="L42" s="72" t="s">
        <v>54</v>
      </c>
      <c r="M42" s="72" t="s">
        <v>54</v>
      </c>
      <c r="N42" s="72" t="s">
        <v>54</v>
      </c>
      <c r="O42" s="72" t="s">
        <v>54</v>
      </c>
      <c r="P42" s="72" t="s">
        <v>54</v>
      </c>
      <c r="Q42" s="72" t="s">
        <v>54</v>
      </c>
      <c r="R42" s="72" t="s">
        <v>54</v>
      </c>
      <c r="S42" s="72" t="s">
        <v>54</v>
      </c>
      <c r="T42" s="72" t="s">
        <v>54</v>
      </c>
      <c r="U42" s="72" t="s">
        <v>54</v>
      </c>
      <c r="V42" s="72" t="s">
        <v>49</v>
      </c>
      <c r="W42" s="72" t="s">
        <v>54</v>
      </c>
      <c r="X42" s="72" t="s">
        <v>54</v>
      </c>
      <c r="Y42" s="72" t="s">
        <v>54</v>
      </c>
      <c r="Z42" s="72" t="s">
        <v>54</v>
      </c>
      <c r="AA42" s="72" t="s">
        <v>54</v>
      </c>
      <c r="AB42" s="72" t="s">
        <v>54</v>
      </c>
      <c r="AC42" s="72" t="s">
        <v>54</v>
      </c>
      <c r="AD42" s="72" t="s">
        <v>54</v>
      </c>
      <c r="AE42" s="72" t="s">
        <v>54</v>
      </c>
      <c r="AF42" s="72" t="s">
        <v>54</v>
      </c>
      <c r="AG42" s="72" t="s">
        <v>54</v>
      </c>
      <c r="AH42" s="72" t="s">
        <v>54</v>
      </c>
      <c r="AI42" s="72" t="s">
        <v>54</v>
      </c>
      <c r="AJ42" s="72" t="s">
        <v>54</v>
      </c>
      <c r="AK42" s="72" t="s">
        <v>54</v>
      </c>
      <c r="AL42" s="72" t="s">
        <v>54</v>
      </c>
      <c r="AM42" s="72" t="s">
        <v>54</v>
      </c>
      <c r="AN42" s="72" t="s">
        <v>54</v>
      </c>
      <c r="AO42" s="72" t="s">
        <v>54</v>
      </c>
      <c r="AP42" s="72" t="s">
        <v>54</v>
      </c>
      <c r="AQ42" s="72" t="s">
        <v>54</v>
      </c>
      <c r="AR42" s="72" t="s">
        <v>45</v>
      </c>
      <c r="AS42" s="72" t="s">
        <v>34</v>
      </c>
      <c r="AT42" s="72" t="s">
        <v>34</v>
      </c>
      <c r="AU42" s="72" t="s">
        <v>34</v>
      </c>
      <c r="AV42" s="72" t="s">
        <v>47</v>
      </c>
      <c r="AW42" s="72" t="s">
        <v>54</v>
      </c>
      <c r="AX42" s="72" t="s">
        <v>54</v>
      </c>
      <c r="AY42" s="69"/>
      <c r="AZ42" s="69"/>
      <c r="BA42" s="69"/>
      <c r="BB42" s="69"/>
      <c r="BC42" s="26" t="s">
        <v>318</v>
      </c>
      <c r="BD42" s="26" t="s">
        <v>54</v>
      </c>
      <c r="BI42" s="7" t="str">
        <v/>
      </c>
      <c r="BJ42" s="7" t="str">
        <v>1001</v>
      </c>
      <c r="BK42" s="7" t="str">
        <v>0011</v>
      </c>
      <c r="BL42" s="7" t="str">
        <v>0011</v>
      </c>
      <c r="BM42" s="7" t="str">
        <v>0011</v>
      </c>
      <c r="BN42" s="7" t="str">
        <v>1010</v>
      </c>
      <c r="BO42" s="7" t="str">
        <v>1100</v>
      </c>
      <c r="BP42" s="7" t="str">
        <v/>
      </c>
      <c r="BQ42" s="7" t="str">
        <v/>
      </c>
      <c r="BR42" s="7" t="str">
        <v/>
      </c>
      <c r="BS42" s="7" t="str">
        <v/>
      </c>
      <c r="BT42" s="7" t="str">
        <v/>
      </c>
      <c r="BU42" s="7" t="str">
        <v/>
      </c>
      <c r="BV42" s="7" t="str">
        <v>1010</v>
      </c>
      <c r="BW42" s="7" t="str">
        <v/>
      </c>
      <c r="BX42" s="7" t="str">
        <v/>
      </c>
      <c r="BY42" s="7" t="str">
        <v/>
      </c>
      <c r="BZ42" s="7" t="str">
        <v>1001</v>
      </c>
      <c r="CA42" s="7" t="str">
        <v>1010</v>
      </c>
      <c r="CB42" s="7" t="str">
        <v>1100</v>
      </c>
      <c r="CC42" s="7" t="str">
        <v/>
      </c>
      <c r="CD42" s="7" t="str">
        <v/>
      </c>
      <c r="CE42" s="7" t="str">
        <v/>
      </c>
      <c r="CF42" s="7" t="str">
        <v/>
      </c>
      <c r="CG42" s="7" t="str">
        <v/>
      </c>
      <c r="CH42" s="7" t="str">
        <v>1001</v>
      </c>
      <c r="CI42" s="7" t="str">
        <v>0011</v>
      </c>
      <c r="CJ42" s="7" t="str">
        <v>1010</v>
      </c>
      <c r="CK42" s="7" t="str">
        <v/>
      </c>
      <c r="CL42" s="7" t="str">
        <v/>
      </c>
      <c r="CM42" s="7" t="str">
        <v/>
      </c>
      <c r="CN42" s="7" t="str">
        <v/>
      </c>
      <c r="CO42" s="7" t="str">
        <v/>
      </c>
      <c r="CP42" s="7" t="str">
        <v/>
      </c>
      <c r="CQ42" s="7" t="str">
        <v/>
      </c>
      <c r="CR42" s="7" t="str">
        <v/>
      </c>
      <c r="CS42" s="7" t="str">
        <v/>
      </c>
      <c r="CT42" s="7" t="str">
        <v/>
      </c>
      <c r="CU42" s="7" t="str">
        <v>1001</v>
      </c>
      <c r="CV42" s="7" t="str">
        <v>0011</v>
      </c>
      <c r="CW42" s="7" t="str">
        <v/>
      </c>
      <c r="CX42" s="7" t="str">
        <v>1100</v>
      </c>
      <c r="CY42" s="7" t="str">
        <v>1001</v>
      </c>
      <c r="CZ42" s="7" t="str">
        <v>0011</v>
      </c>
      <c r="DA42" s="7" t="str">
        <v>0011</v>
      </c>
      <c r="DB42" s="7" t="str">
        <v>0110</v>
      </c>
      <c r="DC42" s="7" t="str">
        <v/>
      </c>
      <c r="DD42" s="7" t="str">
        <v/>
      </c>
    </row>
    <row r="43" spans="1:108" ht="15.75">
      <c r="AY43" s="69"/>
      <c r="AZ43" s="69"/>
      <c r="BA43" s="69"/>
      <c r="BB43" s="69"/>
      <c r="BC43" s="26" t="s">
        <v>319</v>
      </c>
      <c r="BD43" s="26" t="s">
        <v>54</v>
      </c>
      <c r="BI43" s="7" t="str">
        <v/>
      </c>
      <c r="BJ43" s="7" t="str">
        <v/>
      </c>
      <c r="BK43" s="7" t="str">
        <v/>
      </c>
      <c r="BL43" s="7" t="str">
        <v/>
      </c>
      <c r="BM43" s="7" t="str">
        <v/>
      </c>
      <c r="BN43" s="7" t="str">
        <v/>
      </c>
      <c r="BO43" s="7" t="str">
        <v/>
      </c>
      <c r="BP43" s="7" t="str">
        <v/>
      </c>
      <c r="BQ43" s="7" t="str">
        <v/>
      </c>
      <c r="BR43" s="7" t="str">
        <v/>
      </c>
      <c r="BS43" s="7" t="str">
        <v/>
      </c>
      <c r="BT43" s="7" t="str">
        <v/>
      </c>
      <c r="BU43" s="7" t="str">
        <v/>
      </c>
      <c r="BV43" s="7" t="str">
        <v/>
      </c>
      <c r="BW43" s="7" t="str">
        <v/>
      </c>
      <c r="BX43" s="7" t="str">
        <v/>
      </c>
      <c r="BY43" s="7" t="str">
        <v/>
      </c>
      <c r="BZ43" s="7" t="str">
        <v/>
      </c>
      <c r="CA43" s="7" t="str">
        <v/>
      </c>
      <c r="CB43" s="7" t="str">
        <v/>
      </c>
      <c r="CC43" s="7" t="str">
        <v/>
      </c>
      <c r="CD43" s="7" t="str">
        <v/>
      </c>
      <c r="CE43" s="7" t="str">
        <v/>
      </c>
      <c r="CF43" s="7" t="str">
        <v/>
      </c>
      <c r="CG43" s="7" t="str">
        <v/>
      </c>
      <c r="CH43" s="7" t="str">
        <v/>
      </c>
      <c r="CI43" s="7" t="str">
        <v/>
      </c>
      <c r="CJ43" s="7" t="str">
        <v/>
      </c>
      <c r="CK43" s="7" t="str">
        <v/>
      </c>
      <c r="CL43" s="7" t="str">
        <v/>
      </c>
      <c r="CM43" s="7" t="str">
        <v/>
      </c>
      <c r="CN43" s="7" t="str">
        <v/>
      </c>
      <c r="CO43" s="7" t="str">
        <v/>
      </c>
      <c r="CP43" s="7" t="str">
        <v/>
      </c>
      <c r="CQ43" s="7" t="str">
        <v/>
      </c>
      <c r="CR43" s="7" t="str">
        <v/>
      </c>
      <c r="CS43" s="7" t="str">
        <v/>
      </c>
      <c r="CT43" s="7" t="str">
        <v/>
      </c>
      <c r="CU43" s="7" t="str">
        <v/>
      </c>
      <c r="CV43" s="7" t="str">
        <v/>
      </c>
      <c r="CW43" s="7" t="str">
        <v/>
      </c>
      <c r="CX43" s="7" t="str">
        <v>1001</v>
      </c>
      <c r="CY43" s="7" t="str">
        <v>0011</v>
      </c>
      <c r="CZ43" s="7" t="str">
        <v>0011</v>
      </c>
      <c r="DA43" s="7" t="str">
        <v>0011</v>
      </c>
      <c r="DB43" s="7" t="str">
        <v>1010</v>
      </c>
      <c r="DC43" s="7" t="str">
        <v/>
      </c>
      <c r="DD43" s="7" t="str">
        <v/>
      </c>
    </row>
    <row r="44" spans="1:108" ht="15.75">
      <c r="AY44" s="69"/>
      <c r="AZ44" s="69"/>
      <c r="BA44" s="69"/>
      <c r="BB44" s="69"/>
      <c r="BC44" s="26" t="s">
        <v>320</v>
      </c>
      <c r="BD44" s="26" t="s">
        <v>54</v>
      </c>
    </row>
    <row r="45" spans="1:108" ht="15.75">
      <c r="AY45" s="69"/>
      <c r="AZ45" s="69"/>
      <c r="BA45" s="69"/>
      <c r="BB45" s="69"/>
      <c r="BC45" s="26" t="s">
        <v>321</v>
      </c>
      <c r="BD45" s="26" t="s">
        <v>54</v>
      </c>
    </row>
    <row r="46" spans="1:108" ht="15.75">
      <c r="AY46" s="69"/>
      <c r="AZ46" s="69"/>
      <c r="BA46" s="69"/>
      <c r="BB46" s="69"/>
      <c r="BC46" s="26" t="s">
        <v>322</v>
      </c>
      <c r="BD46" s="26" t="s">
        <v>54</v>
      </c>
    </row>
    <row r="47" spans="1:108" ht="15.75">
      <c r="AY47" s="69"/>
      <c r="AZ47" s="69"/>
      <c r="BA47" s="69"/>
      <c r="BB47" s="69"/>
      <c r="BC47" s="26" t="s">
        <v>323</v>
      </c>
      <c r="BD47" s="26" t="s">
        <v>54</v>
      </c>
    </row>
    <row r="48" spans="1:108" ht="15.75">
      <c r="AY48" s="69"/>
      <c r="AZ48" s="69"/>
      <c r="BA48" s="69"/>
      <c r="BB48" s="69"/>
      <c r="BC48" s="26" t="s">
        <v>324</v>
      </c>
      <c r="BD48" s="26" t="s">
        <v>54</v>
      </c>
    </row>
    <row r="49" spans="55:56" ht="15.75">
      <c r="BC49" s="26" t="s">
        <v>325</v>
      </c>
      <c r="BD49" s="26" t="s">
        <v>54</v>
      </c>
    </row>
    <row r="50" spans="55:56" ht="15.75">
      <c r="BC50" s="26" t="s">
        <v>326</v>
      </c>
      <c r="BD50" s="26" t="s">
        <v>54</v>
      </c>
    </row>
    <row r="51" spans="55:56" ht="15.75">
      <c r="BC51" s="26" t="s">
        <v>327</v>
      </c>
      <c r="BD51" s="26" t="s">
        <v>54</v>
      </c>
    </row>
    <row r="52" spans="55:56" ht="15.75">
      <c r="BC52" s="26" t="s">
        <v>328</v>
      </c>
      <c r="BD52" s="26" t="s">
        <v>104</v>
      </c>
    </row>
    <row r="53" spans="55:56" ht="15.75">
      <c r="BC53" s="26" t="s">
        <v>141</v>
      </c>
      <c r="BD53" s="26" t="s">
        <v>104</v>
      </c>
    </row>
    <row r="54" spans="55:56" ht="15.75">
      <c r="BC54" s="26" t="s">
        <v>129</v>
      </c>
      <c r="BD54" s="26" t="s">
        <v>104</v>
      </c>
    </row>
    <row r="55" spans="55:56" ht="15.75">
      <c r="BC55" s="26" t="s">
        <v>329</v>
      </c>
      <c r="BD55" s="26" t="s">
        <v>104</v>
      </c>
    </row>
    <row r="56" spans="55:56" ht="15.75">
      <c r="BC56" s="7" t="s">
        <v>330</v>
      </c>
      <c r="BD56" s="26" t="s">
        <v>104</v>
      </c>
    </row>
    <row r="57" spans="55:56" ht="15.75">
      <c r="BC57" s="7" t="s">
        <v>331</v>
      </c>
      <c r="BD57" s="26" t="s">
        <v>104</v>
      </c>
    </row>
    <row r="58" spans="55:56" ht="15.75">
      <c r="BC58" s="7" t="s">
        <v>332</v>
      </c>
      <c r="BD58" s="26" t="s">
        <v>54</v>
      </c>
    </row>
    <row r="59" spans="55:56" ht="15.75">
      <c r="BC59" s="7" t="s">
        <v>333</v>
      </c>
      <c r="BD59" s="26" t="s">
        <v>54</v>
      </c>
    </row>
    <row r="60" spans="55:56" ht="15.75">
      <c r="BC60" s="7" t="s">
        <v>334</v>
      </c>
      <c r="BD60" s="26" t="s">
        <v>54</v>
      </c>
    </row>
    <row r="61" spans="55:56" ht="15.75">
      <c r="BC61" s="7" t="s">
        <v>335</v>
      </c>
      <c r="BD61" s="26" t="s">
        <v>54</v>
      </c>
    </row>
    <row r="62" spans="55:56" ht="15.75">
      <c r="BC62" s="7" t="s">
        <v>336</v>
      </c>
      <c r="BD62" s="26" t="s">
        <v>54</v>
      </c>
    </row>
    <row r="63" spans="55:56" ht="15.75">
      <c r="BC63" s="7" t="s">
        <v>337</v>
      </c>
      <c r="BD63" s="26" t="s">
        <v>49</v>
      </c>
    </row>
    <row r="64" spans="55:56" ht="15.75">
      <c r="BC64" s="7" t="s">
        <v>338</v>
      </c>
      <c r="BD64" s="26" t="s">
        <v>54</v>
      </c>
    </row>
    <row r="65" spans="55:56" ht="15.75">
      <c r="BC65" s="7" t="s">
        <v>339</v>
      </c>
      <c r="BD65" s="26" t="s">
        <v>49</v>
      </c>
    </row>
    <row r="66" spans="55:56" ht="15.75">
      <c r="BC66" s="7" t="s">
        <v>340</v>
      </c>
      <c r="BD66" s="26" t="s">
        <v>54</v>
      </c>
    </row>
    <row r="67" spans="55:56" ht="15.75">
      <c r="BC67" s="7" t="s">
        <v>341</v>
      </c>
      <c r="BD67" s="26" t="s">
        <v>105</v>
      </c>
    </row>
    <row r="68" spans="55:56" ht="15.75">
      <c r="BC68" s="7" t="s">
        <v>342</v>
      </c>
      <c r="BD68" s="26" t="s">
        <v>105</v>
      </c>
    </row>
    <row r="69" spans="55:56" ht="15.75">
      <c r="BC69" s="7" t="s">
        <v>343</v>
      </c>
      <c r="BD69" s="26" t="s">
        <v>105</v>
      </c>
    </row>
    <row r="70" spans="55:56" ht="15.75">
      <c r="BC70" s="7" t="s">
        <v>344</v>
      </c>
      <c r="BD70" s="26" t="s">
        <v>54</v>
      </c>
    </row>
    <row r="71" spans="55:56" ht="15.75">
      <c r="BC71" s="7" t="s">
        <v>345</v>
      </c>
      <c r="BD71" s="26" t="s">
        <v>37</v>
      </c>
    </row>
    <row r="72" spans="55:56" ht="15.75">
      <c r="BC72" s="7" t="s">
        <v>346</v>
      </c>
      <c r="BD72" s="26" t="s">
        <v>41</v>
      </c>
    </row>
    <row r="73" spans="55:56" ht="15.75">
      <c r="BC73" s="7" t="s">
        <v>347</v>
      </c>
      <c r="BD73" s="26" t="s">
        <v>54</v>
      </c>
    </row>
    <row r="74" spans="55:56" ht="15.75">
      <c r="BC74" s="7" t="s">
        <v>348</v>
      </c>
      <c r="BD74" s="26" t="s">
        <v>54</v>
      </c>
    </row>
    <row r="75" spans="55:56" ht="15.75">
      <c r="BC75" s="7" t="s">
        <v>349</v>
      </c>
      <c r="BD75" s="26" t="s">
        <v>54</v>
      </c>
    </row>
    <row r="76" spans="55:56" ht="15.75">
      <c r="BC76" s="7" t="s">
        <v>350</v>
      </c>
      <c r="BD76" s="26" t="s">
        <v>37</v>
      </c>
    </row>
    <row r="77" spans="55:56" ht="15.75">
      <c r="BC77" s="7" t="s">
        <v>351</v>
      </c>
      <c r="BD77" s="26" t="s">
        <v>41</v>
      </c>
    </row>
    <row r="78" spans="55:56" ht="15.75">
      <c r="BC78" s="7" t="s">
        <v>352</v>
      </c>
      <c r="BD78" s="26" t="s">
        <v>37</v>
      </c>
    </row>
    <row r="79" spans="55:56" ht="15.75">
      <c r="BC79" s="7" t="s">
        <v>353</v>
      </c>
      <c r="BD79" s="26" t="s">
        <v>41</v>
      </c>
    </row>
    <row r="80" spans="55:56" ht="15.75">
      <c r="BC80" s="7" t="s">
        <v>354</v>
      </c>
      <c r="BD80" s="26" t="s">
        <v>54</v>
      </c>
    </row>
    <row r="81" spans="55:56" ht="15.75">
      <c r="BC81" s="7" t="s">
        <v>355</v>
      </c>
      <c r="BD81" s="26" t="s">
        <v>54</v>
      </c>
    </row>
    <row r="82" spans="55:56" ht="15.75">
      <c r="BC82" s="7" t="s">
        <v>356</v>
      </c>
      <c r="BD82" s="26" t="s">
        <v>37</v>
      </c>
    </row>
    <row r="83" spans="55:56" ht="15.75">
      <c r="BC83" s="7" t="s">
        <v>357</v>
      </c>
      <c r="BD83" s="26" t="s">
        <v>47</v>
      </c>
    </row>
    <row r="84" spans="55:56" ht="15.75">
      <c r="BC84" s="7" t="s">
        <v>358</v>
      </c>
      <c r="BD84" s="26" t="s">
        <v>54</v>
      </c>
    </row>
    <row r="85" spans="55:56" ht="15.75">
      <c r="BC85" s="7" t="s">
        <v>359</v>
      </c>
      <c r="BD85" s="26" t="s">
        <v>31</v>
      </c>
    </row>
    <row r="86" spans="55:56" ht="15.75">
      <c r="BC86" s="7" t="s">
        <v>360</v>
      </c>
      <c r="BD86" s="26" t="s">
        <v>37</v>
      </c>
    </row>
    <row r="87" spans="55:56" ht="15.75">
      <c r="BC87" s="7" t="s">
        <v>361</v>
      </c>
      <c r="BD87" s="26" t="s">
        <v>41</v>
      </c>
    </row>
    <row r="88" spans="55:56" ht="15.75">
      <c r="BC88" s="7" t="s">
        <v>362</v>
      </c>
      <c r="BD88" s="26" t="s">
        <v>54</v>
      </c>
    </row>
    <row r="89" spans="55:56" ht="15.75">
      <c r="BC89" s="7" t="s">
        <v>363</v>
      </c>
      <c r="BD89" s="26" t="s">
        <v>31</v>
      </c>
    </row>
    <row r="90" spans="55:56" ht="15.75">
      <c r="BC90" s="7" t="s">
        <v>135</v>
      </c>
      <c r="BD90" s="26" t="s">
        <v>52</v>
      </c>
    </row>
    <row r="91" spans="55:56" ht="15.75">
      <c r="BC91" s="7" t="s">
        <v>364</v>
      </c>
      <c r="BD91" s="26" t="s">
        <v>54</v>
      </c>
    </row>
    <row r="92" spans="55:56" ht="15.75">
      <c r="BC92" s="7" t="s">
        <v>365</v>
      </c>
      <c r="BD92" s="26" t="s">
        <v>113</v>
      </c>
    </row>
    <row r="93" spans="55:56" ht="15.75">
      <c r="BC93" s="7" t="s">
        <v>366</v>
      </c>
      <c r="BD93" s="26" t="s">
        <v>54</v>
      </c>
    </row>
    <row r="94" spans="55:56" ht="15.75">
      <c r="BC94" s="7" t="s">
        <v>367</v>
      </c>
      <c r="BD94" s="26" t="s">
        <v>54</v>
      </c>
    </row>
    <row r="95" spans="55:56" ht="15.75">
      <c r="BC95" s="7" t="s">
        <v>368</v>
      </c>
      <c r="BD95" s="26" t="s">
        <v>54</v>
      </c>
    </row>
    <row r="96" spans="55:56" ht="15.75">
      <c r="BC96" s="7" t="s">
        <v>369</v>
      </c>
      <c r="BD96" s="26" t="s">
        <v>54</v>
      </c>
    </row>
    <row r="97" spans="55:56" ht="15.75">
      <c r="BC97" s="7" t="s">
        <v>370</v>
      </c>
      <c r="BD97" s="26" t="s">
        <v>49</v>
      </c>
    </row>
    <row r="98" spans="55:56" ht="15.75">
      <c r="BC98" s="7" t="s">
        <v>371</v>
      </c>
      <c r="BD98" s="26" t="s">
        <v>54</v>
      </c>
    </row>
    <row r="99" spans="55:56" ht="15.75">
      <c r="BC99" s="7" t="s">
        <v>372</v>
      </c>
      <c r="BD99" s="26" t="s">
        <v>54</v>
      </c>
    </row>
    <row r="100" spans="55:56" ht="15.75">
      <c r="BC100" s="7" t="s">
        <v>373</v>
      </c>
      <c r="BD100" s="26" t="s">
        <v>104</v>
      </c>
    </row>
    <row r="101" spans="55:56" ht="15.75">
      <c r="BC101" s="7" t="s">
        <v>374</v>
      </c>
      <c r="BD101" s="26" t="s">
        <v>104</v>
      </c>
    </row>
    <row r="102" spans="55:56" ht="15.75">
      <c r="BC102" s="7" t="s">
        <v>375</v>
      </c>
      <c r="BD102" s="26" t="s">
        <v>104</v>
      </c>
    </row>
    <row r="103" spans="55:56" ht="15.75">
      <c r="BC103" s="7" t="s">
        <v>376</v>
      </c>
      <c r="BD103" s="26" t="s">
        <v>104</v>
      </c>
    </row>
    <row r="104" spans="55:56" ht="15.75">
      <c r="BC104" s="7" t="s">
        <v>377</v>
      </c>
      <c r="BD104" s="26" t="s">
        <v>104</v>
      </c>
    </row>
    <row r="105" spans="55:56" ht="15.75">
      <c r="BC105" s="7" t="s">
        <v>378</v>
      </c>
      <c r="BD105" s="26" t="s">
        <v>104</v>
      </c>
    </row>
    <row r="106" spans="55:56" ht="15.75">
      <c r="BC106" s="7" t="s">
        <v>379</v>
      </c>
      <c r="BD106" s="26" t="s">
        <v>54</v>
      </c>
    </row>
    <row r="107" spans="55:56" ht="15.75">
      <c r="BC107" s="7" t="s">
        <v>380</v>
      </c>
      <c r="BD107" s="26" t="s">
        <v>37</v>
      </c>
    </row>
    <row r="108" spans="55:56" ht="15.75">
      <c r="BC108" s="7" t="s">
        <v>381</v>
      </c>
      <c r="BD108" s="26" t="s">
        <v>34</v>
      </c>
    </row>
    <row r="109" spans="55:56" ht="15.75">
      <c r="BC109" s="7" t="s">
        <v>382</v>
      </c>
      <c r="BD109" s="26" t="s">
        <v>34</v>
      </c>
    </row>
    <row r="110" spans="55:56" ht="15.75">
      <c r="BC110" s="7" t="s">
        <v>383</v>
      </c>
      <c r="BD110" s="26" t="s">
        <v>34</v>
      </c>
    </row>
    <row r="111" spans="55:56" ht="15.75">
      <c r="BC111" s="7" t="s">
        <v>384</v>
      </c>
      <c r="BD111" s="26" t="s">
        <v>47</v>
      </c>
    </row>
    <row r="112" spans="55:56" ht="15.75">
      <c r="BC112" s="7" t="s">
        <v>385</v>
      </c>
      <c r="BD112" s="26" t="s">
        <v>54</v>
      </c>
    </row>
    <row r="113" spans="55:56" ht="15.75">
      <c r="BC113" s="7" t="s">
        <v>386</v>
      </c>
      <c r="BD113" s="26" t="s">
        <v>31</v>
      </c>
    </row>
    <row r="114" spans="55:56" ht="15.75">
      <c r="BC114" s="7" t="s">
        <v>387</v>
      </c>
      <c r="BD114" s="26" t="s">
        <v>54</v>
      </c>
    </row>
    <row r="115" spans="55:56" ht="15.75">
      <c r="BC115" s="7" t="s">
        <v>388</v>
      </c>
      <c r="BD115" s="26" t="s">
        <v>105</v>
      </c>
    </row>
    <row r="116" spans="55:56" ht="15.75">
      <c r="BC116" s="7" t="s">
        <v>389</v>
      </c>
      <c r="BD116" s="26" t="s">
        <v>105</v>
      </c>
    </row>
    <row r="117" spans="55:56" ht="15.75">
      <c r="BC117" s="7" t="s">
        <v>390</v>
      </c>
      <c r="BD117" s="26" t="s">
        <v>105</v>
      </c>
    </row>
    <row r="118" spans="55:56" ht="15.75">
      <c r="BC118" s="7" t="s">
        <v>391</v>
      </c>
      <c r="BD118" s="26" t="s">
        <v>54</v>
      </c>
    </row>
    <row r="119" spans="55:56" ht="15.75">
      <c r="BC119" s="7" t="s">
        <v>392</v>
      </c>
      <c r="BD119" s="26" t="s">
        <v>31</v>
      </c>
    </row>
    <row r="120" spans="55:56" ht="15.75">
      <c r="BC120" s="7" t="s">
        <v>393</v>
      </c>
      <c r="BD120" s="26" t="s">
        <v>45</v>
      </c>
    </row>
    <row r="121" spans="55:56" ht="15.75">
      <c r="BC121" s="7" t="s">
        <v>394</v>
      </c>
      <c r="BD121" s="26" t="s">
        <v>41</v>
      </c>
    </row>
    <row r="122" spans="55:56" ht="15.75">
      <c r="BC122" s="7" t="s">
        <v>395</v>
      </c>
      <c r="BD122" s="26" t="s">
        <v>54</v>
      </c>
    </row>
    <row r="123" spans="55:56" ht="15.75">
      <c r="BC123" s="7" t="s">
        <v>396</v>
      </c>
      <c r="BD123" s="26" t="s">
        <v>54</v>
      </c>
    </row>
    <row r="124" spans="55:56" ht="15.75">
      <c r="BC124" s="7" t="s">
        <v>397</v>
      </c>
      <c r="BD124" s="26" t="s">
        <v>31</v>
      </c>
    </row>
    <row r="125" spans="55:56" ht="15.75">
      <c r="BC125" s="7" t="s">
        <v>398</v>
      </c>
      <c r="BD125" s="26" t="s">
        <v>31</v>
      </c>
    </row>
    <row r="126" spans="55:56" ht="15.75">
      <c r="BC126" s="7" t="s">
        <v>399</v>
      </c>
      <c r="BD126" s="26" t="s">
        <v>31</v>
      </c>
    </row>
    <row r="127" spans="55:56" ht="15.75">
      <c r="BC127" s="7" t="s">
        <v>400</v>
      </c>
      <c r="BD127" s="26" t="s">
        <v>45</v>
      </c>
    </row>
    <row r="128" spans="55:56" ht="15.75">
      <c r="BC128" s="7" t="s">
        <v>401</v>
      </c>
      <c r="BD128" s="26" t="s">
        <v>41</v>
      </c>
    </row>
    <row r="129" spans="55:56" ht="15.75">
      <c r="BC129" s="7" t="s">
        <v>402</v>
      </c>
      <c r="BD129" s="26" t="s">
        <v>54</v>
      </c>
    </row>
    <row r="130" spans="55:56" ht="15.75">
      <c r="BC130" s="7" t="s">
        <v>403</v>
      </c>
      <c r="BD130" s="26" t="s">
        <v>45</v>
      </c>
    </row>
    <row r="131" spans="55:56" ht="15.75">
      <c r="BC131" s="7" t="s">
        <v>134</v>
      </c>
      <c r="BD131" s="26" t="s">
        <v>41</v>
      </c>
    </row>
    <row r="132" spans="55:56" ht="15.75">
      <c r="BC132" s="7" t="s">
        <v>404</v>
      </c>
      <c r="BD132" s="26" t="s">
        <v>54</v>
      </c>
    </row>
    <row r="133" spans="55:56" ht="15.75">
      <c r="BC133" s="7" t="s">
        <v>405</v>
      </c>
      <c r="BD133" s="26" t="s">
        <v>45</v>
      </c>
    </row>
    <row r="134" spans="55:56" ht="15.75">
      <c r="BC134" s="7" t="s">
        <v>406</v>
      </c>
      <c r="BD134" s="26" t="s">
        <v>47</v>
      </c>
    </row>
    <row r="135" spans="55:56" ht="15.75">
      <c r="BC135" s="7" t="s">
        <v>407</v>
      </c>
      <c r="BD135" s="26" t="s">
        <v>31</v>
      </c>
    </row>
    <row r="136" spans="55:56" ht="15.75">
      <c r="BC136" s="7" t="s">
        <v>408</v>
      </c>
      <c r="BD136" s="26" t="s">
        <v>54</v>
      </c>
    </row>
    <row r="137" spans="55:56" ht="15.75">
      <c r="BC137" s="7" t="s">
        <v>409</v>
      </c>
      <c r="BD137" s="26" t="s">
        <v>31</v>
      </c>
    </row>
    <row r="138" spans="55:56" ht="15.75">
      <c r="BC138" s="7" t="s">
        <v>410</v>
      </c>
      <c r="BD138" s="26" t="s">
        <v>31</v>
      </c>
    </row>
    <row r="139" spans="55:56" ht="15.75">
      <c r="BC139" s="7" t="s">
        <v>411</v>
      </c>
      <c r="BD139" s="26" t="s">
        <v>54</v>
      </c>
    </row>
    <row r="140" spans="55:56" ht="15.75">
      <c r="BC140" s="7" t="s">
        <v>412</v>
      </c>
      <c r="BD140" s="26" t="s">
        <v>113</v>
      </c>
    </row>
    <row r="141" spans="55:56" ht="15.75">
      <c r="BC141" s="7" t="s">
        <v>413</v>
      </c>
      <c r="BD141" s="26" t="s">
        <v>54</v>
      </c>
    </row>
    <row r="142" spans="55:56" ht="15.75">
      <c r="BC142" s="7" t="s">
        <v>414</v>
      </c>
      <c r="BD142" s="26" t="s">
        <v>37</v>
      </c>
    </row>
    <row r="143" spans="55:56" ht="15.75">
      <c r="BC143" s="7" t="s">
        <v>415</v>
      </c>
      <c r="BD143" s="26" t="s">
        <v>34</v>
      </c>
    </row>
    <row r="144" spans="55:56" ht="15.75">
      <c r="BC144" s="7" t="s">
        <v>416</v>
      </c>
      <c r="BD144" s="26" t="s">
        <v>41</v>
      </c>
    </row>
    <row r="145" spans="55:56" ht="15.75">
      <c r="BC145" s="7" t="s">
        <v>417</v>
      </c>
      <c r="BD145" s="26" t="s">
        <v>31</v>
      </c>
    </row>
    <row r="146" spans="55:56" ht="15.75">
      <c r="BC146" s="7" t="s">
        <v>418</v>
      </c>
      <c r="BD146" s="26" t="s">
        <v>54</v>
      </c>
    </row>
    <row r="147" spans="55:56" ht="15.75">
      <c r="BC147" s="7" t="s">
        <v>419</v>
      </c>
      <c r="BD147" s="26" t="s">
        <v>54</v>
      </c>
    </row>
    <row r="148" spans="55:56" ht="15.75">
      <c r="BC148" s="7" t="s">
        <v>420</v>
      </c>
      <c r="BD148" s="26" t="s">
        <v>104</v>
      </c>
    </row>
    <row r="149" spans="55:56" ht="15.75">
      <c r="BC149" s="7" t="s">
        <v>421</v>
      </c>
      <c r="BD149" s="26" t="s">
        <v>104</v>
      </c>
    </row>
    <row r="150" spans="55:56" ht="15.75">
      <c r="BC150" s="7" t="s">
        <v>422</v>
      </c>
      <c r="BD150" s="26" t="s">
        <v>104</v>
      </c>
    </row>
    <row r="151" spans="55:56" ht="15.75">
      <c r="BC151" s="7" t="s">
        <v>423</v>
      </c>
      <c r="BD151" s="26" t="s">
        <v>104</v>
      </c>
    </row>
    <row r="152" spans="55:56" ht="15.75">
      <c r="BC152" s="7" t="s">
        <v>424</v>
      </c>
      <c r="BD152" s="26" t="s">
        <v>104</v>
      </c>
    </row>
    <row r="153" spans="55:56" ht="15.75">
      <c r="BC153" s="7" t="s">
        <v>425</v>
      </c>
      <c r="BD153" s="26" t="s">
        <v>104</v>
      </c>
    </row>
    <row r="154" spans="55:56" ht="15.75">
      <c r="BC154" s="7" t="s">
        <v>426</v>
      </c>
      <c r="BD154" s="26" t="s">
        <v>54</v>
      </c>
    </row>
    <row r="155" spans="55:56" ht="15.75">
      <c r="BC155" s="7" t="s">
        <v>427</v>
      </c>
      <c r="BD155" s="26" t="s">
        <v>31</v>
      </c>
    </row>
    <row r="156" spans="55:56" ht="15.75">
      <c r="BC156" s="7" t="s">
        <v>428</v>
      </c>
      <c r="BD156" s="26" t="s">
        <v>54</v>
      </c>
    </row>
    <row r="157" spans="55:56" ht="15.75">
      <c r="BC157" s="7" t="s">
        <v>429</v>
      </c>
      <c r="BD157" s="26" t="s">
        <v>54</v>
      </c>
    </row>
    <row r="158" spans="55:56" ht="15.75">
      <c r="BC158" s="7" t="s">
        <v>430</v>
      </c>
      <c r="BD158" s="26" t="s">
        <v>54</v>
      </c>
    </row>
    <row r="159" spans="55:56" ht="15.75">
      <c r="BC159" s="7" t="s">
        <v>431</v>
      </c>
      <c r="BD159" s="26" t="s">
        <v>54</v>
      </c>
    </row>
    <row r="160" spans="55:56" ht="15.75">
      <c r="BC160" s="7" t="s">
        <v>432</v>
      </c>
      <c r="BD160" s="26" t="s">
        <v>54</v>
      </c>
    </row>
    <row r="161" spans="55:56" ht="15.75">
      <c r="BC161" s="7" t="s">
        <v>433</v>
      </c>
      <c r="BD161" s="26" t="s">
        <v>31</v>
      </c>
    </row>
    <row r="162" spans="55:56" ht="15.75">
      <c r="BC162" s="7" t="s">
        <v>434</v>
      </c>
      <c r="BD162" s="26" t="s">
        <v>54</v>
      </c>
    </row>
    <row r="163" spans="55:56" ht="15.75">
      <c r="BC163" s="7" t="s">
        <v>435</v>
      </c>
      <c r="BD163" s="26" t="s">
        <v>105</v>
      </c>
    </row>
    <row r="164" spans="55:56" ht="15.75">
      <c r="BC164" s="7" t="s">
        <v>436</v>
      </c>
      <c r="BD164" s="26" t="s">
        <v>105</v>
      </c>
    </row>
    <row r="165" spans="55:56" ht="15.75">
      <c r="BC165" s="7" t="s">
        <v>437</v>
      </c>
      <c r="BD165" s="26" t="s">
        <v>105</v>
      </c>
    </row>
    <row r="166" spans="55:56" ht="15.75">
      <c r="BC166" s="7" t="s">
        <v>438</v>
      </c>
      <c r="BD166" s="26" t="s">
        <v>54</v>
      </c>
    </row>
    <row r="167" spans="55:56" ht="15.75">
      <c r="BC167" s="7" t="s">
        <v>439</v>
      </c>
      <c r="BD167" s="26" t="s">
        <v>31</v>
      </c>
    </row>
    <row r="168" spans="55:56" ht="15.75">
      <c r="BC168" s="7" t="s">
        <v>440</v>
      </c>
      <c r="BD168" s="26" t="s">
        <v>54</v>
      </c>
    </row>
    <row r="169" spans="55:56" ht="15.75">
      <c r="BC169" s="7" t="s">
        <v>441</v>
      </c>
      <c r="BD169" s="26" t="s">
        <v>31</v>
      </c>
    </row>
    <row r="170" spans="55:56" ht="15.75">
      <c r="BC170" s="7" t="s">
        <v>442</v>
      </c>
      <c r="BD170" s="26" t="s">
        <v>54</v>
      </c>
    </row>
    <row r="171" spans="55:56" ht="15.75">
      <c r="BC171" s="7" t="s">
        <v>443</v>
      </c>
      <c r="BD171" s="26" t="s">
        <v>54</v>
      </c>
    </row>
    <row r="172" spans="55:56" ht="15.75">
      <c r="BC172" s="7" t="s">
        <v>444</v>
      </c>
      <c r="BD172" s="26" t="s">
        <v>31</v>
      </c>
    </row>
    <row r="173" spans="55:56" ht="15.75">
      <c r="BC173" s="7" t="s">
        <v>445</v>
      </c>
      <c r="BD173" s="26" t="s">
        <v>31</v>
      </c>
    </row>
    <row r="174" spans="55:56" ht="15.75">
      <c r="BC174" s="7" t="s">
        <v>446</v>
      </c>
      <c r="BD174" s="26" t="s">
        <v>31</v>
      </c>
    </row>
    <row r="175" spans="55:56" ht="15.75">
      <c r="BC175" s="7" t="s">
        <v>447</v>
      </c>
      <c r="BD175" s="26" t="s">
        <v>54</v>
      </c>
    </row>
    <row r="176" spans="55:56" ht="15.75">
      <c r="BC176" s="7" t="s">
        <v>448</v>
      </c>
      <c r="BD176" s="26" t="s">
        <v>31</v>
      </c>
    </row>
    <row r="177" spans="55:56" ht="15.75">
      <c r="BC177" s="7" t="s">
        <v>449</v>
      </c>
      <c r="BD177" s="26" t="s">
        <v>54</v>
      </c>
    </row>
    <row r="178" spans="55:56" ht="15.75">
      <c r="BC178" s="7" t="s">
        <v>450</v>
      </c>
      <c r="BD178" s="26" t="s">
        <v>54</v>
      </c>
    </row>
    <row r="179" spans="55:56" ht="15.75">
      <c r="BC179" s="7" t="s">
        <v>451</v>
      </c>
      <c r="BD179" s="26" t="s">
        <v>31</v>
      </c>
    </row>
    <row r="180" spans="55:56" ht="15.75">
      <c r="BC180" s="7" t="s">
        <v>452</v>
      </c>
      <c r="BD180" s="26" t="s">
        <v>54</v>
      </c>
    </row>
    <row r="181" spans="55:56" ht="15.75">
      <c r="BC181" s="7" t="s">
        <v>453</v>
      </c>
      <c r="BD181" s="26" t="s">
        <v>54</v>
      </c>
    </row>
    <row r="182" spans="55:56" ht="15.75">
      <c r="BC182" s="7" t="s">
        <v>454</v>
      </c>
      <c r="BD182" s="26" t="s">
        <v>54</v>
      </c>
    </row>
    <row r="183" spans="55:56" ht="15.75">
      <c r="BC183" s="7" t="s">
        <v>455</v>
      </c>
      <c r="BD183" s="26" t="s">
        <v>31</v>
      </c>
    </row>
    <row r="184" spans="55:56" ht="15.75">
      <c r="BC184" s="7" t="s">
        <v>456</v>
      </c>
      <c r="BD184" s="26" t="s">
        <v>54</v>
      </c>
    </row>
    <row r="185" spans="55:56" ht="15.75">
      <c r="BC185" s="7" t="s">
        <v>457</v>
      </c>
      <c r="BD185" s="26" t="s">
        <v>31</v>
      </c>
    </row>
    <row r="186" spans="55:56" ht="15.75">
      <c r="BC186" s="7" t="s">
        <v>458</v>
      </c>
      <c r="BD186" s="26" t="s">
        <v>31</v>
      </c>
    </row>
    <row r="187" spans="55:56" ht="15.75">
      <c r="BC187" s="7" t="s">
        <v>459</v>
      </c>
      <c r="BD187" s="26" t="s">
        <v>54</v>
      </c>
    </row>
    <row r="188" spans="55:56" ht="15.75">
      <c r="BC188" s="7" t="s">
        <v>460</v>
      </c>
      <c r="BD188" s="26" t="s">
        <v>54</v>
      </c>
    </row>
    <row r="189" spans="55:56" ht="15.75">
      <c r="BC189" s="7" t="s">
        <v>461</v>
      </c>
      <c r="BD189" s="26" t="s">
        <v>54</v>
      </c>
    </row>
    <row r="190" spans="55:56" ht="15.75">
      <c r="BC190" s="7" t="s">
        <v>462</v>
      </c>
      <c r="BD190" s="26" t="s">
        <v>31</v>
      </c>
    </row>
    <row r="191" spans="55:56" ht="15.75">
      <c r="BC191" s="7" t="s">
        <v>463</v>
      </c>
      <c r="BD191" s="26" t="s">
        <v>54</v>
      </c>
    </row>
    <row r="192" spans="55:56" ht="15.75">
      <c r="BC192" s="7" t="s">
        <v>464</v>
      </c>
      <c r="BD192" s="26" t="s">
        <v>45</v>
      </c>
    </row>
    <row r="193" spans="55:56" ht="15.75">
      <c r="BC193" s="7" t="s">
        <v>465</v>
      </c>
      <c r="BD193" s="26" t="s">
        <v>47</v>
      </c>
    </row>
    <row r="194" spans="55:56" ht="15.75">
      <c r="BC194" s="7" t="s">
        <v>466</v>
      </c>
      <c r="BD194" s="26" t="s">
        <v>54</v>
      </c>
    </row>
    <row r="195" spans="55:56" ht="15.75">
      <c r="BC195" s="7" t="s">
        <v>467</v>
      </c>
      <c r="BD195" s="26" t="s">
        <v>54</v>
      </c>
    </row>
    <row r="196" spans="55:56" ht="15.75">
      <c r="BC196" s="7" t="s">
        <v>468</v>
      </c>
      <c r="BD196" s="26" t="s">
        <v>104</v>
      </c>
    </row>
    <row r="197" spans="55:56" ht="15.75">
      <c r="BC197" s="7" t="s">
        <v>469</v>
      </c>
      <c r="BD197" s="26" t="s">
        <v>104</v>
      </c>
    </row>
    <row r="198" spans="55:56" ht="15.75">
      <c r="BC198" s="7" t="s">
        <v>470</v>
      </c>
      <c r="BD198" s="26" t="s">
        <v>54</v>
      </c>
    </row>
    <row r="199" spans="55:56" ht="15.75">
      <c r="BC199" s="7" t="s">
        <v>471</v>
      </c>
      <c r="BD199" s="26" t="s">
        <v>54</v>
      </c>
    </row>
    <row r="200" spans="55:56" ht="15.75">
      <c r="BC200" s="7" t="s">
        <v>472</v>
      </c>
      <c r="BD200" s="26" t="s">
        <v>54</v>
      </c>
    </row>
    <row r="201" spans="55:56" ht="15.75">
      <c r="BC201" s="7" t="s">
        <v>473</v>
      </c>
      <c r="BD201" s="26" t="s">
        <v>54</v>
      </c>
    </row>
    <row r="202" spans="55:56" ht="15.75">
      <c r="BC202" s="7" t="s">
        <v>474</v>
      </c>
      <c r="BD202" s="26" t="s">
        <v>54</v>
      </c>
    </row>
    <row r="203" spans="55:56" ht="15.75">
      <c r="BC203" s="7" t="s">
        <v>475</v>
      </c>
      <c r="BD203" s="26" t="s">
        <v>45</v>
      </c>
    </row>
    <row r="204" spans="55:56" ht="15.75">
      <c r="BC204" s="7" t="s">
        <v>476</v>
      </c>
      <c r="BD204" s="26" t="s">
        <v>34</v>
      </c>
    </row>
    <row r="205" spans="55:56" ht="15.75">
      <c r="BC205" s="7" t="s">
        <v>477</v>
      </c>
      <c r="BD205" s="26" t="s">
        <v>41</v>
      </c>
    </row>
    <row r="206" spans="55:56" ht="15.75">
      <c r="BC206" s="7" t="s">
        <v>478</v>
      </c>
      <c r="BD206" s="26" t="s">
        <v>54</v>
      </c>
    </row>
    <row r="207" spans="55:56" ht="15.75">
      <c r="BC207" s="7" t="s">
        <v>479</v>
      </c>
      <c r="BD207" s="26" t="s">
        <v>54</v>
      </c>
    </row>
    <row r="208" spans="55:56" ht="15.75">
      <c r="BC208" s="7" t="s">
        <v>480</v>
      </c>
      <c r="BD208" s="26" t="s">
        <v>54</v>
      </c>
    </row>
    <row r="209" spans="55:56" ht="15.75">
      <c r="BC209" s="7" t="s">
        <v>130</v>
      </c>
      <c r="BD209" s="26" t="s">
        <v>31</v>
      </c>
    </row>
    <row r="210" spans="55:56" ht="15.75">
      <c r="BC210" s="7" t="s">
        <v>481</v>
      </c>
      <c r="BD210" s="26" t="s">
        <v>54</v>
      </c>
    </row>
    <row r="211" spans="55:56" ht="15.75">
      <c r="BC211" s="7" t="s">
        <v>482</v>
      </c>
      <c r="BD211" s="26" t="s">
        <v>105</v>
      </c>
    </row>
    <row r="212" spans="55:56" ht="15.75">
      <c r="BC212" s="7" t="s">
        <v>483</v>
      </c>
      <c r="BD212" s="26" t="s">
        <v>105</v>
      </c>
    </row>
    <row r="213" spans="55:56" ht="15.75">
      <c r="BC213" s="7" t="s">
        <v>484</v>
      </c>
      <c r="BD213" s="26" t="s">
        <v>105</v>
      </c>
    </row>
    <row r="214" spans="55:56" ht="15.75">
      <c r="BC214" s="7" t="s">
        <v>485</v>
      </c>
      <c r="BD214" s="26" t="s">
        <v>54</v>
      </c>
    </row>
    <row r="215" spans="55:56" ht="15.75">
      <c r="BC215" s="7" t="s">
        <v>486</v>
      </c>
      <c r="BD215" s="26" t="s">
        <v>31</v>
      </c>
    </row>
    <row r="216" spans="55:56" ht="15.75">
      <c r="BC216" s="7" t="s">
        <v>487</v>
      </c>
      <c r="BD216" s="26" t="s">
        <v>54</v>
      </c>
    </row>
    <row r="217" spans="55:56" ht="15.75">
      <c r="BC217" s="7" t="s">
        <v>488</v>
      </c>
      <c r="BD217" s="26" t="s">
        <v>31</v>
      </c>
    </row>
    <row r="218" spans="55:56" ht="15.75">
      <c r="BC218" s="7" t="s">
        <v>489</v>
      </c>
      <c r="BD218" s="26" t="s">
        <v>54</v>
      </c>
    </row>
    <row r="219" spans="55:56" ht="15.75">
      <c r="BC219" s="7" t="s">
        <v>490</v>
      </c>
      <c r="BD219" s="26" t="s">
        <v>54</v>
      </c>
    </row>
    <row r="220" spans="55:56" ht="15.75">
      <c r="BC220" s="7" t="s">
        <v>491</v>
      </c>
      <c r="BD220" s="26" t="s">
        <v>31</v>
      </c>
    </row>
    <row r="221" spans="55:56" ht="15.75">
      <c r="BC221" s="7" t="s">
        <v>492</v>
      </c>
      <c r="BD221" s="26" t="s">
        <v>31</v>
      </c>
    </row>
    <row r="222" spans="55:56" ht="15.75">
      <c r="BC222" s="7" t="s">
        <v>493</v>
      </c>
      <c r="BD222" s="26" t="s">
        <v>31</v>
      </c>
    </row>
    <row r="223" spans="55:56" ht="15.75">
      <c r="BC223" s="7" t="s">
        <v>494</v>
      </c>
      <c r="BD223" s="26" t="s">
        <v>54</v>
      </c>
    </row>
    <row r="224" spans="55:56" ht="15.75">
      <c r="BC224" s="7" t="s">
        <v>495</v>
      </c>
      <c r="BD224" s="26" t="s">
        <v>45</v>
      </c>
    </row>
    <row r="225" spans="55:56" ht="15.75">
      <c r="BC225" s="7" t="s">
        <v>496</v>
      </c>
      <c r="BD225" s="26" t="s">
        <v>41</v>
      </c>
    </row>
    <row r="226" spans="55:56" ht="15.75">
      <c r="BC226" s="7" t="s">
        <v>497</v>
      </c>
      <c r="BD226" s="26" t="s">
        <v>54</v>
      </c>
    </row>
    <row r="227" spans="55:56" ht="15.75">
      <c r="BC227" s="7" t="s">
        <v>498</v>
      </c>
      <c r="BD227" s="26" t="s">
        <v>31</v>
      </c>
    </row>
    <row r="228" spans="55:56" ht="15.75">
      <c r="BC228" s="7" t="s">
        <v>499</v>
      </c>
      <c r="BD228" s="26" t="s">
        <v>54</v>
      </c>
    </row>
    <row r="229" spans="55:56" ht="15.75">
      <c r="BC229" s="7" t="s">
        <v>500</v>
      </c>
      <c r="BD229" s="26" t="s">
        <v>37</v>
      </c>
    </row>
    <row r="230" spans="55:56" ht="15.75">
      <c r="BC230" s="7" t="s">
        <v>501</v>
      </c>
      <c r="BD230" s="26" t="s">
        <v>34</v>
      </c>
    </row>
    <row r="231" spans="55:56" ht="15.75">
      <c r="BC231" s="7" t="s">
        <v>502</v>
      </c>
      <c r="BD231" s="26" t="s">
        <v>47</v>
      </c>
    </row>
    <row r="232" spans="55:56" ht="15.75">
      <c r="BC232" s="7" t="s">
        <v>503</v>
      </c>
      <c r="BD232" s="26" t="s">
        <v>37</v>
      </c>
    </row>
    <row r="233" spans="55:56" ht="15.75">
      <c r="BC233" s="7" t="s">
        <v>504</v>
      </c>
      <c r="BD233" s="26" t="s">
        <v>47</v>
      </c>
    </row>
    <row r="234" spans="55:56" ht="15.75">
      <c r="BC234" s="7" t="s">
        <v>505</v>
      </c>
      <c r="BD234" s="26" t="s">
        <v>31</v>
      </c>
    </row>
    <row r="235" spans="55:56" ht="15.75">
      <c r="BC235" s="7" t="s">
        <v>506</v>
      </c>
      <c r="BD235" s="26" t="s">
        <v>37</v>
      </c>
    </row>
    <row r="236" spans="55:56" ht="15.75">
      <c r="BC236" s="7" t="s">
        <v>507</v>
      </c>
      <c r="BD236" s="26" t="s">
        <v>34</v>
      </c>
    </row>
    <row r="237" spans="55:56" ht="15.75">
      <c r="BC237" s="7" t="s">
        <v>508</v>
      </c>
      <c r="BD237" s="26" t="s">
        <v>41</v>
      </c>
    </row>
    <row r="238" spans="55:56" ht="15.75">
      <c r="BC238" s="7" t="s">
        <v>509</v>
      </c>
      <c r="BD238" s="26" t="s">
        <v>31</v>
      </c>
    </row>
    <row r="239" spans="55:56" ht="15.75">
      <c r="BC239" s="7" t="s">
        <v>510</v>
      </c>
      <c r="BD239" s="26" t="s">
        <v>54</v>
      </c>
    </row>
    <row r="240" spans="55:56" ht="15.75">
      <c r="BC240" s="7" t="s">
        <v>511</v>
      </c>
      <c r="BD240" s="26" t="s">
        <v>54</v>
      </c>
    </row>
    <row r="241" spans="55:56" ht="15.75">
      <c r="BC241" s="7" t="s">
        <v>512</v>
      </c>
      <c r="BD241" s="26" t="s">
        <v>54</v>
      </c>
    </row>
    <row r="242" spans="55:56" ht="15.75">
      <c r="BC242" s="7" t="s">
        <v>513</v>
      </c>
      <c r="BD242" s="26" t="s">
        <v>54</v>
      </c>
    </row>
    <row r="243" spans="55:56" ht="15.75">
      <c r="BC243" s="7" t="s">
        <v>514</v>
      </c>
      <c r="BD243" s="26" t="s">
        <v>54</v>
      </c>
    </row>
    <row r="244" spans="55:56" ht="15.75">
      <c r="BC244" s="7" t="s">
        <v>515</v>
      </c>
      <c r="BD244" s="26" t="s">
        <v>54</v>
      </c>
    </row>
    <row r="245" spans="55:56" ht="15.75">
      <c r="BC245" s="7" t="s">
        <v>516</v>
      </c>
      <c r="BD245" s="26" t="s">
        <v>54</v>
      </c>
    </row>
    <row r="246" spans="55:56" ht="15.75">
      <c r="BC246" s="7" t="s">
        <v>517</v>
      </c>
      <c r="BD246" s="26" t="s">
        <v>54</v>
      </c>
    </row>
    <row r="247" spans="55:56" ht="15.75">
      <c r="BC247" s="7" t="s">
        <v>518</v>
      </c>
      <c r="BD247" s="26" t="s">
        <v>37</v>
      </c>
    </row>
    <row r="248" spans="55:56" ht="15.75">
      <c r="BC248" s="7" t="s">
        <v>519</v>
      </c>
      <c r="BD248" s="26" t="s">
        <v>41</v>
      </c>
    </row>
    <row r="249" spans="55:56" ht="15.75">
      <c r="BC249" s="7" t="s">
        <v>520</v>
      </c>
      <c r="BD249" s="26" t="s">
        <v>54</v>
      </c>
    </row>
    <row r="250" spans="55:56" ht="15.75">
      <c r="BC250" s="7" t="s">
        <v>521</v>
      </c>
      <c r="BD250" s="26" t="s">
        <v>106</v>
      </c>
    </row>
    <row r="251" spans="55:56" ht="15.75">
      <c r="BC251" s="7" t="s">
        <v>522</v>
      </c>
      <c r="BD251" s="26" t="s">
        <v>54</v>
      </c>
    </row>
    <row r="252" spans="55:56" ht="15.75">
      <c r="BC252" s="7" t="s">
        <v>523</v>
      </c>
      <c r="BD252" s="26" t="s">
        <v>54</v>
      </c>
    </row>
    <row r="253" spans="55:56" ht="15.75">
      <c r="BC253" s="7" t="s">
        <v>524</v>
      </c>
      <c r="BD253" s="26" t="s">
        <v>45</v>
      </c>
    </row>
    <row r="254" spans="55:56" ht="15.75">
      <c r="BC254" s="7" t="s">
        <v>525</v>
      </c>
      <c r="BD254" s="26" t="s">
        <v>34</v>
      </c>
    </row>
    <row r="255" spans="55:56" ht="15.75">
      <c r="BC255" s="7" t="s">
        <v>526</v>
      </c>
      <c r="BD255" s="26" t="s">
        <v>41</v>
      </c>
    </row>
    <row r="256" spans="55:56" ht="15.75">
      <c r="BC256" s="7" t="s">
        <v>527</v>
      </c>
      <c r="BD256" s="26" t="s">
        <v>54</v>
      </c>
    </row>
    <row r="257" spans="55:56" ht="15.75">
      <c r="BC257" s="7" t="s">
        <v>528</v>
      </c>
      <c r="BD257" s="26" t="s">
        <v>31</v>
      </c>
    </row>
    <row r="258" spans="55:56" ht="15.75">
      <c r="BC258" s="7" t="s">
        <v>529</v>
      </c>
      <c r="BD258" s="26" t="s">
        <v>54</v>
      </c>
    </row>
    <row r="259" spans="55:56" ht="15.75">
      <c r="BC259" s="7" t="s">
        <v>530</v>
      </c>
      <c r="BD259" s="26" t="s">
        <v>105</v>
      </c>
    </row>
    <row r="260" spans="55:56" ht="15.75">
      <c r="BC260" s="7" t="s">
        <v>531</v>
      </c>
      <c r="BD260" s="26" t="s">
        <v>105</v>
      </c>
    </row>
    <row r="261" spans="55:56" ht="15.75">
      <c r="BC261" s="7" t="s">
        <v>532</v>
      </c>
      <c r="BD261" s="26" t="s">
        <v>105</v>
      </c>
    </row>
    <row r="262" spans="55:56" ht="15.75">
      <c r="BC262" s="7" t="s">
        <v>533</v>
      </c>
      <c r="BD262" s="26" t="s">
        <v>54</v>
      </c>
    </row>
    <row r="263" spans="55:56" ht="15.75">
      <c r="BC263" s="7" t="s">
        <v>534</v>
      </c>
      <c r="BD263" s="26" t="s">
        <v>31</v>
      </c>
    </row>
    <row r="264" spans="55:56" ht="15.75">
      <c r="BC264" s="7" t="s">
        <v>535</v>
      </c>
      <c r="BD264" s="26" t="s">
        <v>54</v>
      </c>
    </row>
    <row r="265" spans="55:56" ht="15.75">
      <c r="BC265" s="7" t="s">
        <v>536</v>
      </c>
      <c r="BD265" s="26" t="s">
        <v>31</v>
      </c>
    </row>
    <row r="266" spans="55:56" ht="15.75">
      <c r="BC266" s="7" t="s">
        <v>537</v>
      </c>
      <c r="BD266" s="26" t="s">
        <v>54</v>
      </c>
    </row>
    <row r="267" spans="55:56" ht="15.75">
      <c r="BC267" s="7" t="s">
        <v>538</v>
      </c>
      <c r="BD267" s="26" t="s">
        <v>37</v>
      </c>
    </row>
    <row r="268" spans="55:56" ht="15.75">
      <c r="BC268" s="7" t="s">
        <v>539</v>
      </c>
      <c r="BD268" s="26" t="s">
        <v>47</v>
      </c>
    </row>
    <row r="269" spans="55:56" ht="15.75">
      <c r="BC269" s="7" t="s">
        <v>540</v>
      </c>
      <c r="BD269" s="26" t="s">
        <v>31</v>
      </c>
    </row>
    <row r="270" spans="55:56" ht="15.75">
      <c r="BC270" s="7" t="s">
        <v>541</v>
      </c>
      <c r="BD270" s="26" t="s">
        <v>31</v>
      </c>
    </row>
    <row r="271" spans="55:56" ht="15.75">
      <c r="BC271" s="7" t="s">
        <v>542</v>
      </c>
      <c r="BD271" s="26" t="s">
        <v>54</v>
      </c>
    </row>
    <row r="272" spans="55:56" ht="15.75">
      <c r="BC272" s="7" t="s">
        <v>543</v>
      </c>
      <c r="BD272" s="26" t="s">
        <v>37</v>
      </c>
    </row>
    <row r="273" spans="55:56" ht="15.75">
      <c r="BC273" s="7" t="s">
        <v>544</v>
      </c>
      <c r="BD273" s="26" t="s">
        <v>47</v>
      </c>
    </row>
    <row r="274" spans="55:56" ht="15.75">
      <c r="BC274" s="7" t="s">
        <v>545</v>
      </c>
      <c r="BD274" s="26" t="s">
        <v>54</v>
      </c>
    </row>
    <row r="275" spans="55:56" ht="15.75">
      <c r="BC275" s="7" t="s">
        <v>546</v>
      </c>
      <c r="BD275" s="26" t="s">
        <v>31</v>
      </c>
    </row>
    <row r="276" spans="55:56" ht="15.75">
      <c r="BC276" s="7" t="s">
        <v>547</v>
      </c>
      <c r="BD276" s="26" t="s">
        <v>54</v>
      </c>
    </row>
    <row r="277" spans="55:56" ht="15.75">
      <c r="BC277" s="7" t="s">
        <v>548</v>
      </c>
      <c r="BD277" s="26" t="s">
        <v>31</v>
      </c>
    </row>
    <row r="278" spans="55:56" ht="15.75">
      <c r="BC278" s="7" t="s">
        <v>549</v>
      </c>
      <c r="BD278" s="26" t="s">
        <v>37</v>
      </c>
    </row>
    <row r="279" spans="55:56" ht="15.75">
      <c r="BC279" s="7" t="s">
        <v>550</v>
      </c>
      <c r="BD279" s="26" t="s">
        <v>34</v>
      </c>
    </row>
    <row r="280" spans="55:56" ht="15.75">
      <c r="BC280" s="7" t="s">
        <v>551</v>
      </c>
      <c r="BD280" s="26" t="s">
        <v>47</v>
      </c>
    </row>
    <row r="281" spans="55:56" ht="15.75">
      <c r="BC281" s="7" t="s">
        <v>552</v>
      </c>
      <c r="BD281" s="26" t="s">
        <v>54</v>
      </c>
    </row>
    <row r="282" spans="55:56" ht="15.75">
      <c r="BC282" s="7" t="s">
        <v>553</v>
      </c>
      <c r="BD282" s="26" t="s">
        <v>31</v>
      </c>
    </row>
    <row r="283" spans="55:56" ht="15.75">
      <c r="BC283" s="7" t="s">
        <v>554</v>
      </c>
      <c r="BD283" s="26" t="s">
        <v>31</v>
      </c>
    </row>
    <row r="284" spans="55:56" ht="15.75">
      <c r="BC284" s="7" t="s">
        <v>555</v>
      </c>
      <c r="BD284" s="26" t="s">
        <v>54</v>
      </c>
    </row>
    <row r="285" spans="55:56" ht="15.75">
      <c r="BC285" s="7" t="s">
        <v>556</v>
      </c>
      <c r="BD285" s="26" t="s">
        <v>31</v>
      </c>
    </row>
    <row r="286" spans="55:56" ht="15.75">
      <c r="BC286" s="7" t="s">
        <v>557</v>
      </c>
      <c r="BD286" s="26" t="s">
        <v>45</v>
      </c>
    </row>
    <row r="287" spans="55:56" ht="15.75">
      <c r="BC287" s="7" t="s">
        <v>558</v>
      </c>
      <c r="BD287" s="26" t="s">
        <v>34</v>
      </c>
    </row>
    <row r="288" spans="55:56" ht="15.75">
      <c r="BC288" s="7" t="s">
        <v>559</v>
      </c>
      <c r="BD288" s="26" t="s">
        <v>41</v>
      </c>
    </row>
    <row r="289" spans="55:56" ht="15.75">
      <c r="BC289" s="7" t="s">
        <v>560</v>
      </c>
      <c r="BD289" s="26" t="s">
        <v>54</v>
      </c>
    </row>
    <row r="290" spans="55:56" ht="15.75">
      <c r="BC290" s="7" t="s">
        <v>561</v>
      </c>
      <c r="BD290" s="26" t="s">
        <v>54</v>
      </c>
    </row>
    <row r="291" spans="55:56" ht="15.75">
      <c r="BC291" s="7" t="s">
        <v>562</v>
      </c>
      <c r="BD291" s="26" t="s">
        <v>54</v>
      </c>
    </row>
    <row r="292" spans="55:56" ht="15.75">
      <c r="BC292" s="7" t="s">
        <v>563</v>
      </c>
      <c r="BD292" s="26" t="s">
        <v>54</v>
      </c>
    </row>
    <row r="293" spans="55:56" ht="15.75">
      <c r="BC293" s="7" t="s">
        <v>564</v>
      </c>
      <c r="BD293" s="26" t="s">
        <v>37</v>
      </c>
    </row>
    <row r="294" spans="55:56" ht="15.75">
      <c r="BC294" s="7" t="s">
        <v>565</v>
      </c>
      <c r="BD294" s="26" t="s">
        <v>34</v>
      </c>
    </row>
    <row r="295" spans="55:56" ht="15.75">
      <c r="BC295" s="7" t="s">
        <v>566</v>
      </c>
      <c r="BD295" s="26" t="s">
        <v>47</v>
      </c>
    </row>
    <row r="296" spans="55:56" ht="15.75">
      <c r="BC296" s="7" t="s">
        <v>567</v>
      </c>
      <c r="BD296" s="26" t="s">
        <v>31</v>
      </c>
    </row>
    <row r="297" spans="55:56" ht="15.75">
      <c r="BC297" s="7" t="s">
        <v>568</v>
      </c>
      <c r="BD297" s="26" t="s">
        <v>54</v>
      </c>
    </row>
    <row r="298" spans="55:56" ht="15.75">
      <c r="BC298" s="7" t="s">
        <v>569</v>
      </c>
      <c r="BD298" s="26" t="s">
        <v>106</v>
      </c>
    </row>
    <row r="299" spans="55:56" ht="15.75">
      <c r="BC299" s="7" t="s">
        <v>570</v>
      </c>
      <c r="BD299" s="26" t="s">
        <v>106</v>
      </c>
    </row>
    <row r="300" spans="55:56" ht="15.75">
      <c r="BC300" s="7" t="s">
        <v>571</v>
      </c>
      <c r="BD300" s="26" t="s">
        <v>106</v>
      </c>
    </row>
    <row r="301" spans="55:56" ht="15.75">
      <c r="BC301" s="7" t="s">
        <v>572</v>
      </c>
      <c r="BD301" s="26" t="s">
        <v>54</v>
      </c>
    </row>
    <row r="302" spans="55:56" ht="15.75">
      <c r="BC302" s="7" t="s">
        <v>573</v>
      </c>
      <c r="BD302" s="26" t="s">
        <v>54</v>
      </c>
    </row>
    <row r="303" spans="55:56" ht="15.75">
      <c r="BC303" s="7" t="s">
        <v>574</v>
      </c>
      <c r="BD303" s="26" t="s">
        <v>31</v>
      </c>
    </row>
    <row r="304" spans="55:56" ht="15.75">
      <c r="BC304" s="7" t="s">
        <v>575</v>
      </c>
      <c r="BD304" s="26" t="s">
        <v>54</v>
      </c>
    </row>
    <row r="305" spans="55:56" ht="15.75">
      <c r="BC305" s="7" t="s">
        <v>576</v>
      </c>
      <c r="BD305" s="26" t="s">
        <v>31</v>
      </c>
    </row>
    <row r="306" spans="55:56" ht="15.75">
      <c r="BC306" s="7" t="s">
        <v>577</v>
      </c>
      <c r="BD306" s="26" t="s">
        <v>54</v>
      </c>
    </row>
    <row r="307" spans="55:56" ht="15.75">
      <c r="BC307" s="7" t="s">
        <v>578</v>
      </c>
      <c r="BD307" s="26" t="s">
        <v>54</v>
      </c>
    </row>
    <row r="308" spans="55:56" ht="15.75">
      <c r="BC308" s="7" t="s">
        <v>579</v>
      </c>
      <c r="BD308" s="26" t="s">
        <v>54</v>
      </c>
    </row>
    <row r="309" spans="55:56" ht="15.75">
      <c r="BC309" s="7" t="s">
        <v>580</v>
      </c>
      <c r="BD309" s="26" t="s">
        <v>54</v>
      </c>
    </row>
    <row r="310" spans="55:56" ht="15.75">
      <c r="BC310" s="7" t="s">
        <v>581</v>
      </c>
      <c r="BD310" s="26" t="s">
        <v>54</v>
      </c>
    </row>
    <row r="311" spans="55:56" ht="15.75">
      <c r="BC311" s="7" t="s">
        <v>582</v>
      </c>
      <c r="BD311" s="26" t="s">
        <v>31</v>
      </c>
    </row>
    <row r="312" spans="55:56" ht="15.75">
      <c r="BC312" s="7" t="s">
        <v>583</v>
      </c>
      <c r="BD312" s="26" t="s">
        <v>54</v>
      </c>
    </row>
    <row r="313" spans="55:56" ht="15.75">
      <c r="BC313" s="7" t="s">
        <v>584</v>
      </c>
      <c r="BD313" s="26" t="s">
        <v>31</v>
      </c>
    </row>
    <row r="314" spans="55:56" ht="15.75">
      <c r="BC314" s="7" t="s">
        <v>585</v>
      </c>
      <c r="BD314" s="26" t="s">
        <v>37</v>
      </c>
    </row>
    <row r="315" spans="55:56" ht="15.75">
      <c r="BC315" s="7" t="s">
        <v>586</v>
      </c>
      <c r="BD315" s="26" t="s">
        <v>47</v>
      </c>
    </row>
    <row r="316" spans="55:56" ht="15.75">
      <c r="BC316" s="7" t="s">
        <v>587</v>
      </c>
      <c r="BD316" s="26" t="s">
        <v>54</v>
      </c>
    </row>
    <row r="317" spans="55:56" ht="15.75">
      <c r="BC317" s="7" t="s">
        <v>588</v>
      </c>
      <c r="BD317" s="26" t="s">
        <v>31</v>
      </c>
    </row>
    <row r="318" spans="55:56" ht="15.75">
      <c r="BC318" s="7" t="s">
        <v>589</v>
      </c>
      <c r="BD318" s="26" t="s">
        <v>31</v>
      </c>
    </row>
    <row r="319" spans="55:56" ht="15.75">
      <c r="BC319" s="7" t="s">
        <v>590</v>
      </c>
      <c r="BD319" s="26" t="s">
        <v>54</v>
      </c>
    </row>
    <row r="320" spans="55:56" ht="15.75">
      <c r="BC320" s="7" t="s">
        <v>591</v>
      </c>
      <c r="BD320" s="26" t="s">
        <v>31</v>
      </c>
    </row>
    <row r="321" spans="55:56" ht="15.75">
      <c r="BC321" s="7" t="s">
        <v>592</v>
      </c>
      <c r="BD321" s="26" t="s">
        <v>54</v>
      </c>
    </row>
    <row r="322" spans="55:56" ht="15.75">
      <c r="BC322" s="7" t="s">
        <v>593</v>
      </c>
      <c r="BD322" s="26" t="s">
        <v>54</v>
      </c>
    </row>
    <row r="323" spans="55:56" ht="15.75">
      <c r="BC323" s="7" t="s">
        <v>594</v>
      </c>
      <c r="BD323" s="26" t="s">
        <v>31</v>
      </c>
    </row>
    <row r="324" spans="55:56" ht="15.75">
      <c r="BC324" s="7" t="s">
        <v>595</v>
      </c>
      <c r="BD324" s="26" t="s">
        <v>54</v>
      </c>
    </row>
    <row r="325" spans="55:56" ht="15.75">
      <c r="BC325" s="7" t="s">
        <v>596</v>
      </c>
      <c r="BD325" s="26" t="s">
        <v>31</v>
      </c>
    </row>
    <row r="326" spans="55:56" ht="15.75">
      <c r="BC326" s="7" t="s">
        <v>597</v>
      </c>
      <c r="BD326" s="26" t="s">
        <v>31</v>
      </c>
    </row>
    <row r="327" spans="55:56" ht="15.75">
      <c r="BC327" s="7" t="s">
        <v>598</v>
      </c>
      <c r="BD327" s="26" t="s">
        <v>54</v>
      </c>
    </row>
    <row r="328" spans="55:56" ht="15.75">
      <c r="BC328" s="7" t="s">
        <v>599</v>
      </c>
      <c r="BD328" s="26" t="s">
        <v>54</v>
      </c>
    </row>
    <row r="329" spans="55:56" ht="15.75">
      <c r="BC329" s="7" t="s">
        <v>600</v>
      </c>
      <c r="BD329" s="26" t="s">
        <v>54</v>
      </c>
    </row>
    <row r="330" spans="55:56" ht="15.75">
      <c r="BC330" s="7" t="s">
        <v>601</v>
      </c>
      <c r="BD330" s="26" t="s">
        <v>31</v>
      </c>
    </row>
    <row r="331" spans="55:56" ht="15.75">
      <c r="BC331" s="7" t="s">
        <v>602</v>
      </c>
      <c r="BD331" s="26" t="s">
        <v>45</v>
      </c>
    </row>
    <row r="332" spans="55:56" ht="15.75">
      <c r="BC332" s="7" t="s">
        <v>603</v>
      </c>
      <c r="BD332" s="26" t="s">
        <v>41</v>
      </c>
    </row>
    <row r="333" spans="55:56" ht="15.75">
      <c r="BC333" s="7" t="s">
        <v>604</v>
      </c>
      <c r="BD333" s="26" t="s">
        <v>31</v>
      </c>
    </row>
    <row r="334" spans="55:56" ht="15.75">
      <c r="BC334" s="7" t="s">
        <v>605</v>
      </c>
      <c r="BD334" s="26" t="s">
        <v>54</v>
      </c>
    </row>
    <row r="335" spans="55:56" ht="15.75">
      <c r="BC335" s="7" t="s">
        <v>606</v>
      </c>
      <c r="BD335" s="26" t="s">
        <v>54</v>
      </c>
    </row>
    <row r="336" spans="55:56" ht="15.75">
      <c r="BC336" s="7" t="s">
        <v>607</v>
      </c>
      <c r="BD336" s="26" t="s">
        <v>31</v>
      </c>
    </row>
    <row r="337" spans="55:56" ht="15.75">
      <c r="BC337" s="7" t="s">
        <v>608</v>
      </c>
      <c r="BD337" s="26" t="s">
        <v>54</v>
      </c>
    </row>
    <row r="338" spans="55:56" ht="15.75">
      <c r="BC338" s="7" t="s">
        <v>609</v>
      </c>
      <c r="BD338" s="26" t="s">
        <v>54</v>
      </c>
    </row>
    <row r="339" spans="55:56" ht="15.75">
      <c r="BC339" s="7" t="s">
        <v>610</v>
      </c>
      <c r="BD339" s="26" t="s">
        <v>54</v>
      </c>
    </row>
    <row r="340" spans="55:56" ht="15.75">
      <c r="BC340" s="7" t="s">
        <v>611</v>
      </c>
      <c r="BD340" s="26" t="s">
        <v>54</v>
      </c>
    </row>
    <row r="341" spans="55:56" ht="15.75">
      <c r="BC341" s="7" t="s">
        <v>612</v>
      </c>
      <c r="BD341" s="26" t="s">
        <v>31</v>
      </c>
    </row>
    <row r="342" spans="55:56" ht="15.75">
      <c r="BC342" s="7" t="s">
        <v>613</v>
      </c>
      <c r="BD342" s="26" t="s">
        <v>54</v>
      </c>
    </row>
    <row r="343" spans="55:56" ht="15.75">
      <c r="BC343" s="7" t="s">
        <v>614</v>
      </c>
      <c r="BD343" s="26" t="s">
        <v>54</v>
      </c>
    </row>
    <row r="344" spans="55:56" ht="15.75">
      <c r="BC344" s="7" t="s">
        <v>615</v>
      </c>
      <c r="BD344" s="26" t="s">
        <v>45</v>
      </c>
    </row>
    <row r="345" spans="55:56" ht="15.75">
      <c r="BC345" s="7" t="s">
        <v>616</v>
      </c>
      <c r="BD345" s="26" t="s">
        <v>41</v>
      </c>
    </row>
    <row r="346" spans="55:56" ht="15.75">
      <c r="BC346" s="7" t="s">
        <v>617</v>
      </c>
      <c r="BD346" s="26" t="s">
        <v>54</v>
      </c>
    </row>
    <row r="347" spans="55:56" ht="15.75">
      <c r="BC347" s="7" t="s">
        <v>618</v>
      </c>
      <c r="BD347" s="26" t="s">
        <v>54</v>
      </c>
    </row>
    <row r="348" spans="55:56" ht="15.75">
      <c r="BC348" s="7" t="s">
        <v>619</v>
      </c>
      <c r="BD348" s="26" t="s">
        <v>54</v>
      </c>
    </row>
    <row r="349" spans="55:56" ht="15.75">
      <c r="BC349" s="7" t="s">
        <v>620</v>
      </c>
      <c r="BD349" s="26" t="s">
        <v>54</v>
      </c>
    </row>
    <row r="350" spans="55:56" ht="15.75">
      <c r="BC350" s="7" t="s">
        <v>621</v>
      </c>
      <c r="BD350" s="26" t="s">
        <v>37</v>
      </c>
    </row>
    <row r="351" spans="55:56" ht="15.75">
      <c r="BC351" s="7" t="s">
        <v>622</v>
      </c>
      <c r="BD351" s="26" t="s">
        <v>47</v>
      </c>
    </row>
    <row r="352" spans="55:56" ht="15.75">
      <c r="BC352" s="7" t="s">
        <v>623</v>
      </c>
      <c r="BD352" s="26" t="s">
        <v>54</v>
      </c>
    </row>
    <row r="353" spans="55:56" ht="15.75">
      <c r="BC353" s="7" t="s">
        <v>624</v>
      </c>
      <c r="BD353" s="26" t="s">
        <v>45</v>
      </c>
    </row>
    <row r="354" spans="55:56" ht="15.75">
      <c r="BC354" s="7" t="s">
        <v>625</v>
      </c>
      <c r="BD354" s="26" t="s">
        <v>41</v>
      </c>
    </row>
    <row r="355" spans="55:56" ht="15.75">
      <c r="BC355" s="7" t="s">
        <v>626</v>
      </c>
      <c r="BD355" s="26" t="s">
        <v>54</v>
      </c>
    </row>
    <row r="356" spans="55:56" ht="15.75">
      <c r="BC356" s="7" t="s">
        <v>627</v>
      </c>
      <c r="BD356" s="26" t="s">
        <v>37</v>
      </c>
    </row>
    <row r="357" spans="55:56" ht="15.75">
      <c r="BC357" s="7" t="s">
        <v>628</v>
      </c>
      <c r="BD357" s="26" t="s">
        <v>41</v>
      </c>
    </row>
    <row r="358" spans="55:56" ht="15.75">
      <c r="BC358" s="7" t="s">
        <v>629</v>
      </c>
      <c r="BD358" s="26" t="s">
        <v>54</v>
      </c>
    </row>
    <row r="359" spans="55:56" ht="15.75">
      <c r="BC359" s="7" t="s">
        <v>630</v>
      </c>
      <c r="BD359" s="26" t="s">
        <v>31</v>
      </c>
    </row>
    <row r="360" spans="55:56" ht="15.75">
      <c r="BC360" s="7" t="s">
        <v>631</v>
      </c>
      <c r="BD360" s="26" t="s">
        <v>54</v>
      </c>
    </row>
    <row r="361" spans="55:56" ht="15.75">
      <c r="BC361" s="7" t="s">
        <v>632</v>
      </c>
      <c r="BD361" s="26" t="s">
        <v>45</v>
      </c>
    </row>
    <row r="362" spans="55:56" ht="15.75">
      <c r="BC362" s="7" t="s">
        <v>633</v>
      </c>
      <c r="BD362" s="26" t="s">
        <v>47</v>
      </c>
    </row>
    <row r="363" spans="55:56" ht="15.75">
      <c r="BC363" s="7" t="s">
        <v>634</v>
      </c>
      <c r="BD363" s="26" t="s">
        <v>54</v>
      </c>
    </row>
    <row r="364" spans="55:56" ht="15.75">
      <c r="BC364" s="7" t="s">
        <v>635</v>
      </c>
      <c r="BD364" s="26" t="s">
        <v>54</v>
      </c>
    </row>
    <row r="365" spans="55:56" ht="15.75">
      <c r="BC365" s="7" t="s">
        <v>636</v>
      </c>
      <c r="BD365" s="26" t="s">
        <v>31</v>
      </c>
    </row>
    <row r="366" spans="55:56" ht="15.75">
      <c r="BC366" s="7" t="s">
        <v>637</v>
      </c>
      <c r="BD366" s="26" t="s">
        <v>31</v>
      </c>
    </row>
    <row r="367" spans="55:56" ht="15.75">
      <c r="BC367" s="7" t="s">
        <v>638</v>
      </c>
      <c r="BD367" s="26" t="s">
        <v>54</v>
      </c>
    </row>
    <row r="368" spans="55:56" ht="15.75">
      <c r="BC368" s="7" t="s">
        <v>639</v>
      </c>
      <c r="BD368" s="26" t="s">
        <v>45</v>
      </c>
    </row>
    <row r="369" spans="55:56" ht="15.75">
      <c r="BC369" s="7" t="s">
        <v>640</v>
      </c>
      <c r="BD369" s="26" t="s">
        <v>34</v>
      </c>
    </row>
    <row r="370" spans="55:56" ht="15.75">
      <c r="BC370" s="7" t="s">
        <v>641</v>
      </c>
      <c r="BD370" s="26" t="s">
        <v>34</v>
      </c>
    </row>
    <row r="371" spans="55:56" ht="15.75">
      <c r="BC371" s="7" t="s">
        <v>642</v>
      </c>
      <c r="BD371" s="26" t="s">
        <v>47</v>
      </c>
    </row>
    <row r="372" spans="55:56" ht="15.75">
      <c r="BC372" s="7" t="s">
        <v>643</v>
      </c>
      <c r="BD372" s="26" t="s">
        <v>54</v>
      </c>
    </row>
    <row r="373" spans="55:56" ht="15.75">
      <c r="BC373" s="7" t="s">
        <v>644</v>
      </c>
      <c r="BD373" s="26" t="s">
        <v>31</v>
      </c>
    </row>
    <row r="374" spans="55:56" ht="15.75">
      <c r="BC374" s="7" t="s">
        <v>645</v>
      </c>
      <c r="BD374" s="26" t="s">
        <v>31</v>
      </c>
    </row>
    <row r="375" spans="55:56" ht="15.75">
      <c r="BC375" s="7" t="s">
        <v>646</v>
      </c>
      <c r="BD375" s="26" t="s">
        <v>54</v>
      </c>
    </row>
    <row r="376" spans="55:56" ht="15.75">
      <c r="BC376" s="7" t="s">
        <v>647</v>
      </c>
      <c r="BD376" s="26" t="s">
        <v>114</v>
      </c>
    </row>
    <row r="377" spans="55:56" ht="15.75">
      <c r="BC377" s="7" t="s">
        <v>648</v>
      </c>
      <c r="BD377" s="26" t="s">
        <v>54</v>
      </c>
    </row>
    <row r="378" spans="55:56" ht="15.75">
      <c r="BC378" s="7" t="s">
        <v>649</v>
      </c>
      <c r="BD378" s="26" t="s">
        <v>45</v>
      </c>
    </row>
    <row r="379" spans="55:56" ht="15.75">
      <c r="BC379" s="7" t="s">
        <v>650</v>
      </c>
      <c r="BD379" s="26" t="s">
        <v>41</v>
      </c>
    </row>
    <row r="380" spans="55:56" ht="15.75">
      <c r="BC380" s="7" t="s">
        <v>651</v>
      </c>
      <c r="BD380" s="26" t="s">
        <v>31</v>
      </c>
    </row>
    <row r="381" spans="55:56" ht="15.75">
      <c r="BC381" s="7" t="s">
        <v>652</v>
      </c>
      <c r="BD381" s="26" t="s">
        <v>31</v>
      </c>
    </row>
    <row r="382" spans="55:56" ht="15.75">
      <c r="BC382" s="7" t="s">
        <v>653</v>
      </c>
      <c r="BD382" s="26" t="s">
        <v>54</v>
      </c>
    </row>
    <row r="383" spans="55:56" ht="15.75">
      <c r="BC383" s="7" t="s">
        <v>654</v>
      </c>
      <c r="BD383" s="26" t="s">
        <v>37</v>
      </c>
    </row>
    <row r="384" spans="55:56" ht="15.75">
      <c r="BC384" s="7" t="s">
        <v>655</v>
      </c>
      <c r="BD384" s="26" t="s">
        <v>47</v>
      </c>
    </row>
    <row r="385" spans="55:56" ht="15.75">
      <c r="BC385" s="7" t="s">
        <v>656</v>
      </c>
      <c r="BD385" s="26" t="s">
        <v>54</v>
      </c>
    </row>
    <row r="386" spans="55:56" ht="15.75">
      <c r="BC386" s="7" t="s">
        <v>657</v>
      </c>
      <c r="BD386" s="26" t="s">
        <v>54</v>
      </c>
    </row>
    <row r="387" spans="55:56" ht="15.75">
      <c r="BC387" s="7" t="s">
        <v>658</v>
      </c>
      <c r="BD387" s="26" t="s">
        <v>54</v>
      </c>
    </row>
    <row r="388" spans="55:56" ht="15.75">
      <c r="BC388" s="7" t="s">
        <v>659</v>
      </c>
      <c r="BD388" s="26" t="s">
        <v>54</v>
      </c>
    </row>
    <row r="389" spans="55:56" ht="15.75">
      <c r="BC389" s="7" t="s">
        <v>660</v>
      </c>
      <c r="BD389" s="26" t="s">
        <v>31</v>
      </c>
    </row>
    <row r="390" spans="55:56" ht="15.75">
      <c r="BC390" s="7" t="s">
        <v>661</v>
      </c>
      <c r="BD390" s="26" t="s">
        <v>54</v>
      </c>
    </row>
    <row r="391" spans="55:56" ht="15.75">
      <c r="BC391" s="7" t="s">
        <v>662</v>
      </c>
      <c r="BD391" s="26" t="s">
        <v>111</v>
      </c>
    </row>
    <row r="392" spans="55:56" ht="15.75">
      <c r="BC392" s="7" t="s">
        <v>663</v>
      </c>
      <c r="BD392" s="26" t="s">
        <v>54</v>
      </c>
    </row>
    <row r="393" spans="55:56" ht="15.75">
      <c r="BC393" s="7" t="s">
        <v>664</v>
      </c>
      <c r="BD393" s="26" t="s">
        <v>45</v>
      </c>
    </row>
    <row r="394" spans="55:56" ht="15.75">
      <c r="BC394" s="7" t="s">
        <v>665</v>
      </c>
      <c r="BD394" s="26" t="s">
        <v>34</v>
      </c>
    </row>
    <row r="395" spans="55:56" ht="15.75">
      <c r="BC395" s="7" t="s">
        <v>666</v>
      </c>
      <c r="BD395" s="26" t="s">
        <v>34</v>
      </c>
    </row>
    <row r="396" spans="55:56" ht="15.75">
      <c r="BC396" s="7" t="s">
        <v>667</v>
      </c>
      <c r="BD396" s="26" t="s">
        <v>34</v>
      </c>
    </row>
    <row r="397" spans="55:56" ht="15.75">
      <c r="BC397" s="7" t="s">
        <v>668</v>
      </c>
      <c r="BD397" s="26" t="s">
        <v>34</v>
      </c>
    </row>
    <row r="398" spans="55:56" ht="15.75">
      <c r="BC398" s="7" t="s">
        <v>669</v>
      </c>
      <c r="BD398" s="26" t="s">
        <v>47</v>
      </c>
    </row>
    <row r="399" spans="55:56" ht="15.75">
      <c r="BC399" s="7" t="s">
        <v>670</v>
      </c>
      <c r="BD399" s="26" t="s">
        <v>54</v>
      </c>
    </row>
    <row r="400" spans="55:56" ht="15.75">
      <c r="BC400" s="7" t="s">
        <v>671</v>
      </c>
      <c r="BD400" s="26" t="s">
        <v>54</v>
      </c>
    </row>
    <row r="401" spans="55:56" ht="15.75">
      <c r="BC401" s="7" t="s">
        <v>672</v>
      </c>
      <c r="BD401" s="26" t="s">
        <v>54</v>
      </c>
    </row>
    <row r="402" spans="55:56" ht="15.75">
      <c r="BC402" s="7" t="s">
        <v>673</v>
      </c>
      <c r="BD402" s="26" t="s">
        <v>45</v>
      </c>
    </row>
    <row r="403" spans="55:56" ht="15.75">
      <c r="BC403" s="7" t="s">
        <v>674</v>
      </c>
      <c r="BD403" s="26" t="s">
        <v>34</v>
      </c>
    </row>
    <row r="404" spans="55:56" ht="15.75">
      <c r="BC404" s="7" t="s">
        <v>675</v>
      </c>
      <c r="BD404" s="26" t="s">
        <v>47</v>
      </c>
    </row>
    <row r="405" spans="55:56" ht="15.75">
      <c r="BC405" s="7" t="s">
        <v>676</v>
      </c>
      <c r="BD405" s="26" t="s">
        <v>52</v>
      </c>
    </row>
    <row r="406" spans="55:56" ht="15.75">
      <c r="BC406" s="7" t="s">
        <v>677</v>
      </c>
      <c r="BD406" s="26" t="s">
        <v>54</v>
      </c>
    </row>
    <row r="407" spans="55:56" ht="15.75">
      <c r="BC407" s="7" t="s">
        <v>678</v>
      </c>
      <c r="BD407" s="26" t="s">
        <v>49</v>
      </c>
    </row>
    <row r="408" spans="55:56" ht="15.75">
      <c r="BC408" s="7" t="s">
        <v>679</v>
      </c>
      <c r="BD408" s="26" t="s">
        <v>54</v>
      </c>
    </row>
    <row r="409" spans="55:56" ht="15.75">
      <c r="BC409" s="7" t="s">
        <v>680</v>
      </c>
      <c r="BD409" s="26" t="s">
        <v>54</v>
      </c>
    </row>
    <row r="410" spans="55:56" ht="15.75">
      <c r="BC410" s="7" t="s">
        <v>681</v>
      </c>
      <c r="BD410" s="26" t="s">
        <v>54</v>
      </c>
    </row>
    <row r="411" spans="55:56" ht="15.75">
      <c r="BC411" s="7" t="s">
        <v>682</v>
      </c>
      <c r="BD411" s="26" t="s">
        <v>54</v>
      </c>
    </row>
    <row r="412" spans="55:56" ht="15.75">
      <c r="BC412" s="7" t="s">
        <v>683</v>
      </c>
      <c r="BD412" s="26" t="s">
        <v>54</v>
      </c>
    </row>
    <row r="413" spans="55:56" ht="15.75">
      <c r="BC413" s="7" t="s">
        <v>684</v>
      </c>
      <c r="BD413" s="26" t="s">
        <v>45</v>
      </c>
    </row>
    <row r="414" spans="55:56" ht="15.75">
      <c r="BC414" s="7" t="s">
        <v>685</v>
      </c>
      <c r="BD414" s="26" t="s">
        <v>47</v>
      </c>
    </row>
    <row r="415" spans="55:56" ht="15.75">
      <c r="BC415" s="7" t="s">
        <v>686</v>
      </c>
      <c r="BD415" s="26" t="s">
        <v>54</v>
      </c>
    </row>
    <row r="416" spans="55:56" ht="15.75">
      <c r="BC416" s="7" t="s">
        <v>687</v>
      </c>
      <c r="BD416" s="26" t="s">
        <v>54</v>
      </c>
    </row>
    <row r="417" spans="55:56" ht="15.75">
      <c r="BC417" s="7" t="s">
        <v>688</v>
      </c>
      <c r="BD417" s="26" t="s">
        <v>54</v>
      </c>
    </row>
    <row r="418" spans="55:56" ht="15.75">
      <c r="BC418" s="7" t="s">
        <v>689</v>
      </c>
      <c r="BD418" s="26" t="s">
        <v>54</v>
      </c>
    </row>
    <row r="419" spans="55:56" ht="15.75">
      <c r="BC419" s="7" t="s">
        <v>690</v>
      </c>
      <c r="BD419" s="26" t="s">
        <v>54</v>
      </c>
    </row>
    <row r="420" spans="55:56" ht="15.75">
      <c r="BC420" s="7" t="s">
        <v>691</v>
      </c>
      <c r="BD420" s="26" t="s">
        <v>54</v>
      </c>
    </row>
    <row r="421" spans="55:56" ht="15.75">
      <c r="BC421" s="7" t="s">
        <v>692</v>
      </c>
      <c r="BD421" s="26" t="s">
        <v>45</v>
      </c>
    </row>
    <row r="422" spans="55:56" ht="15.75">
      <c r="BC422" s="7" t="s">
        <v>693</v>
      </c>
      <c r="BD422" s="26" t="s">
        <v>47</v>
      </c>
    </row>
    <row r="423" spans="55:56" ht="15.75">
      <c r="BC423" s="7" t="s">
        <v>694</v>
      </c>
      <c r="BD423" s="26" t="s">
        <v>54</v>
      </c>
    </row>
    <row r="424" spans="55:56" ht="15.75">
      <c r="BC424" s="7" t="s">
        <v>695</v>
      </c>
      <c r="BD424" s="26" t="s">
        <v>114</v>
      </c>
    </row>
    <row r="425" spans="55:56" ht="15.75">
      <c r="BC425" s="7" t="s">
        <v>696</v>
      </c>
      <c r="BD425" s="26" t="s">
        <v>54</v>
      </c>
    </row>
    <row r="426" spans="55:56" ht="15.75">
      <c r="BC426" s="7" t="s">
        <v>697</v>
      </c>
      <c r="BD426" s="26" t="s">
        <v>54</v>
      </c>
    </row>
    <row r="427" spans="55:56" ht="15.75">
      <c r="BC427" s="7" t="s">
        <v>698</v>
      </c>
      <c r="BD427" s="26" t="s">
        <v>31</v>
      </c>
    </row>
    <row r="428" spans="55:56" ht="15.75">
      <c r="BC428" s="7" t="s">
        <v>699</v>
      </c>
      <c r="BD428" s="26" t="s">
        <v>31</v>
      </c>
    </row>
    <row r="429" spans="55:56" ht="15.75">
      <c r="BC429" s="7" t="s">
        <v>700</v>
      </c>
      <c r="BD429" s="26" t="s">
        <v>31</v>
      </c>
    </row>
    <row r="430" spans="55:56" ht="15.75">
      <c r="BC430" s="7" t="s">
        <v>701</v>
      </c>
      <c r="BD430" s="26" t="s">
        <v>54</v>
      </c>
    </row>
    <row r="431" spans="55:56" ht="15.75">
      <c r="BC431" s="7" t="s">
        <v>702</v>
      </c>
      <c r="BD431" s="26" t="s">
        <v>31</v>
      </c>
    </row>
    <row r="432" spans="55:56" ht="15.75">
      <c r="BC432" s="7" t="s">
        <v>703</v>
      </c>
      <c r="BD432" s="26" t="s">
        <v>54</v>
      </c>
    </row>
    <row r="433" spans="55:56" ht="15.75">
      <c r="BC433" s="7" t="s">
        <v>704</v>
      </c>
      <c r="BD433" s="26" t="s">
        <v>54</v>
      </c>
    </row>
    <row r="434" spans="55:56" ht="15.75">
      <c r="BC434" s="7" t="s">
        <v>705</v>
      </c>
      <c r="BD434" s="26" t="s">
        <v>54</v>
      </c>
    </row>
    <row r="435" spans="55:56" ht="15.75">
      <c r="BC435" s="7" t="s">
        <v>706</v>
      </c>
      <c r="BD435" s="26" t="s">
        <v>54</v>
      </c>
    </row>
    <row r="436" spans="55:56" ht="15.75">
      <c r="BC436" s="7" t="s">
        <v>707</v>
      </c>
      <c r="BD436" s="26" t="s">
        <v>54</v>
      </c>
    </row>
    <row r="437" spans="55:56" ht="15.75">
      <c r="BC437" s="7" t="s">
        <v>708</v>
      </c>
      <c r="BD437" s="26" t="s">
        <v>31</v>
      </c>
    </row>
    <row r="438" spans="55:56" ht="15.75">
      <c r="BC438" s="7" t="s">
        <v>709</v>
      </c>
      <c r="BD438" s="26" t="s">
        <v>54</v>
      </c>
    </row>
    <row r="439" spans="55:56" ht="15.75">
      <c r="BC439" s="7" t="s">
        <v>710</v>
      </c>
      <c r="BD439" s="26" t="s">
        <v>111</v>
      </c>
    </row>
    <row r="440" spans="55:56" ht="15.75">
      <c r="BC440" s="7" t="s">
        <v>711</v>
      </c>
      <c r="BD440" s="26" t="s">
        <v>111</v>
      </c>
    </row>
    <row r="441" spans="55:56" ht="15.75">
      <c r="BC441" s="7" t="s">
        <v>712</v>
      </c>
      <c r="BD441" s="26" t="s">
        <v>54</v>
      </c>
    </row>
    <row r="442" spans="55:56" ht="15.75">
      <c r="BC442" s="7" t="s">
        <v>713</v>
      </c>
      <c r="BD442" s="26" t="s">
        <v>54</v>
      </c>
    </row>
    <row r="443" spans="55:56" ht="15.75">
      <c r="BC443" s="7" t="s">
        <v>714</v>
      </c>
      <c r="BD443" s="26" t="s">
        <v>54</v>
      </c>
    </row>
    <row r="444" spans="55:56" ht="15.75">
      <c r="BC444" s="7" t="s">
        <v>715</v>
      </c>
      <c r="BD444" s="26" t="s">
        <v>54</v>
      </c>
    </row>
    <row r="445" spans="55:56" ht="15.75">
      <c r="BC445" s="7" t="s">
        <v>716</v>
      </c>
      <c r="BD445" s="26" t="s">
        <v>54</v>
      </c>
    </row>
    <row r="446" spans="55:56" ht="15.75">
      <c r="BC446" s="7" t="s">
        <v>717</v>
      </c>
      <c r="BD446" s="26" t="s">
        <v>54</v>
      </c>
    </row>
    <row r="447" spans="55:56" ht="15.75">
      <c r="BC447" s="7" t="s">
        <v>718</v>
      </c>
      <c r="BD447" s="26" t="s">
        <v>54</v>
      </c>
    </row>
    <row r="448" spans="55:56" ht="15.75">
      <c r="BC448" s="7" t="s">
        <v>719</v>
      </c>
      <c r="BD448" s="26" t="s">
        <v>106</v>
      </c>
    </row>
    <row r="449" spans="55:56" ht="15.75">
      <c r="BC449" s="7" t="s">
        <v>720</v>
      </c>
      <c r="BD449" s="26" t="s">
        <v>54</v>
      </c>
    </row>
    <row r="450" spans="55:56" ht="15.75">
      <c r="BC450" s="7" t="s">
        <v>721</v>
      </c>
      <c r="BD450" s="26" t="s">
        <v>54</v>
      </c>
    </row>
    <row r="451" spans="55:56" ht="15.75">
      <c r="BC451" s="7" t="s">
        <v>722</v>
      </c>
      <c r="BD451" s="26" t="s">
        <v>54</v>
      </c>
    </row>
    <row r="452" spans="55:56" ht="15.75">
      <c r="BC452" s="7" t="s">
        <v>723</v>
      </c>
      <c r="BD452" s="26" t="s">
        <v>54</v>
      </c>
    </row>
    <row r="453" spans="55:56" ht="15.75">
      <c r="BC453" s="7" t="s">
        <v>724</v>
      </c>
      <c r="BD453" s="26" t="s">
        <v>54</v>
      </c>
    </row>
    <row r="454" spans="55:56" ht="15.75">
      <c r="BC454" s="7" t="s">
        <v>725</v>
      </c>
      <c r="BD454" s="26" t="s">
        <v>54</v>
      </c>
    </row>
    <row r="455" spans="55:56" ht="15.75">
      <c r="BC455" s="7" t="s">
        <v>726</v>
      </c>
      <c r="BD455" s="26" t="s">
        <v>54</v>
      </c>
    </row>
    <row r="456" spans="55:56" ht="15.75">
      <c r="BC456" s="7" t="s">
        <v>727</v>
      </c>
      <c r="BD456" s="26" t="s">
        <v>54</v>
      </c>
    </row>
    <row r="457" spans="55:56" ht="15.75">
      <c r="BC457" s="7" t="s">
        <v>728</v>
      </c>
      <c r="BD457" s="26" t="s">
        <v>54</v>
      </c>
    </row>
    <row r="458" spans="55:56" ht="15.75">
      <c r="BC458" s="7" t="s">
        <v>729</v>
      </c>
      <c r="BD458" s="26" t="s">
        <v>113</v>
      </c>
    </row>
    <row r="459" spans="55:56" ht="15.75">
      <c r="BC459" s="7" t="s">
        <v>730</v>
      </c>
      <c r="BD459" s="26" t="s">
        <v>113</v>
      </c>
    </row>
    <row r="460" spans="55:56" ht="15.75">
      <c r="BC460" s="7" t="s">
        <v>731</v>
      </c>
      <c r="BD460" s="26" t="s">
        <v>54</v>
      </c>
    </row>
    <row r="461" spans="55:56" ht="15.75">
      <c r="BC461" s="7" t="s">
        <v>732</v>
      </c>
      <c r="BD461" s="26" t="s">
        <v>54</v>
      </c>
    </row>
    <row r="462" spans="55:56" ht="15.75">
      <c r="BC462" s="7" t="s">
        <v>733</v>
      </c>
      <c r="BD462" s="26" t="s">
        <v>54</v>
      </c>
    </row>
    <row r="463" spans="55:56" ht="15.75">
      <c r="BC463" s="7" t="s">
        <v>734</v>
      </c>
      <c r="BD463" s="26" t="s">
        <v>54</v>
      </c>
    </row>
    <row r="464" spans="55:56" ht="15.75">
      <c r="BC464" s="7" t="s">
        <v>735</v>
      </c>
      <c r="BD464" s="26" t="s">
        <v>113</v>
      </c>
    </row>
    <row r="465" spans="55:56" ht="15.75">
      <c r="BC465" s="7" t="s">
        <v>736</v>
      </c>
      <c r="BD465" s="26" t="s">
        <v>113</v>
      </c>
    </row>
    <row r="466" spans="55:56" ht="15.75">
      <c r="BC466" s="7" t="s">
        <v>737</v>
      </c>
      <c r="BD466" s="26" t="s">
        <v>113</v>
      </c>
    </row>
    <row r="467" spans="55:56" ht="15.75">
      <c r="BC467" s="7" t="s">
        <v>738</v>
      </c>
      <c r="BD467" s="26" t="s">
        <v>54</v>
      </c>
    </row>
    <row r="468" spans="55:56" ht="15.75">
      <c r="BC468" s="7" t="s">
        <v>739</v>
      </c>
      <c r="BD468" s="26" t="s">
        <v>54</v>
      </c>
    </row>
    <row r="469" spans="55:56" ht="15.75">
      <c r="BC469" s="7" t="s">
        <v>740</v>
      </c>
      <c r="BD469" s="26" t="s">
        <v>54</v>
      </c>
    </row>
    <row r="470" spans="55:56" ht="15.75">
      <c r="BC470" s="7" t="s">
        <v>741</v>
      </c>
      <c r="BD470" s="26" t="s">
        <v>54</v>
      </c>
    </row>
    <row r="471" spans="55:56" ht="15.75">
      <c r="BC471" s="7" t="s">
        <v>742</v>
      </c>
      <c r="BD471" s="26" t="s">
        <v>54</v>
      </c>
    </row>
    <row r="472" spans="55:56" ht="15.75">
      <c r="BC472" s="7" t="s">
        <v>743</v>
      </c>
      <c r="BD472" s="26" t="s">
        <v>114</v>
      </c>
    </row>
    <row r="473" spans="55:56" ht="15.75">
      <c r="BC473" s="7" t="s">
        <v>744</v>
      </c>
      <c r="BD473" s="26" t="s">
        <v>114</v>
      </c>
    </row>
    <row r="474" spans="55:56" ht="15.75">
      <c r="BC474" s="7" t="s">
        <v>745</v>
      </c>
      <c r="BD474" s="26" t="s">
        <v>54</v>
      </c>
    </row>
    <row r="475" spans="55:56" ht="15.75">
      <c r="BC475" s="7" t="s">
        <v>746</v>
      </c>
      <c r="BD475" s="26" t="s">
        <v>31</v>
      </c>
    </row>
    <row r="476" spans="55:56" ht="15.75">
      <c r="BC476" s="7" t="s">
        <v>747</v>
      </c>
      <c r="BD476" s="26" t="s">
        <v>31</v>
      </c>
    </row>
    <row r="477" spans="55:56" ht="15.75">
      <c r="BC477" s="7" t="s">
        <v>748</v>
      </c>
      <c r="BD477" s="26" t="s">
        <v>31</v>
      </c>
    </row>
    <row r="478" spans="55:56" ht="15.75">
      <c r="BC478" s="7" t="s">
        <v>749</v>
      </c>
      <c r="BD478" s="26" t="s">
        <v>54</v>
      </c>
    </row>
    <row r="479" spans="55:56" ht="15.75">
      <c r="BC479" s="7" t="s">
        <v>750</v>
      </c>
      <c r="BD479" s="26" t="s">
        <v>45</v>
      </c>
    </row>
    <row r="480" spans="55:56" ht="15.75">
      <c r="BC480" s="7" t="s">
        <v>751</v>
      </c>
      <c r="BD480" s="26" t="s">
        <v>34</v>
      </c>
    </row>
    <row r="481" spans="55:56" ht="15.75">
      <c r="BC481" s="7" t="s">
        <v>752</v>
      </c>
      <c r="BD481" s="26" t="s">
        <v>41</v>
      </c>
    </row>
    <row r="482" spans="55:56" ht="15.75">
      <c r="BC482" s="7" t="s">
        <v>753</v>
      </c>
      <c r="BD482" s="26" t="s">
        <v>54</v>
      </c>
    </row>
    <row r="483" spans="55:56" ht="15.75">
      <c r="BC483" s="7" t="s">
        <v>754</v>
      </c>
      <c r="BD483" s="26" t="s">
        <v>54</v>
      </c>
    </row>
    <row r="484" spans="55:56" ht="15.75">
      <c r="BC484" s="7" t="s">
        <v>755</v>
      </c>
      <c r="BD484" s="26" t="s">
        <v>54</v>
      </c>
    </row>
    <row r="485" spans="55:56" ht="15.75">
      <c r="BC485" s="7" t="s">
        <v>756</v>
      </c>
      <c r="BD485" s="26" t="s">
        <v>52</v>
      </c>
    </row>
    <row r="486" spans="55:56" ht="15.75">
      <c r="BC486" s="7" t="s">
        <v>757</v>
      </c>
      <c r="BD486" s="26" t="s">
        <v>54</v>
      </c>
    </row>
    <row r="487" spans="55:56" ht="15.75">
      <c r="BC487" s="7" t="s">
        <v>758</v>
      </c>
      <c r="BD487" s="26" t="s">
        <v>111</v>
      </c>
    </row>
    <row r="488" spans="55:56" ht="15.75">
      <c r="BC488" s="7" t="s">
        <v>759</v>
      </c>
      <c r="BD488" s="26" t="s">
        <v>111</v>
      </c>
    </row>
    <row r="489" spans="55:56" ht="15.75">
      <c r="BC489" s="7" t="s">
        <v>760</v>
      </c>
      <c r="BD489" s="26" t="s">
        <v>111</v>
      </c>
    </row>
    <row r="490" spans="55:56" ht="15.75">
      <c r="BC490" s="7" t="s">
        <v>761</v>
      </c>
      <c r="BD490" s="26" t="s">
        <v>106</v>
      </c>
    </row>
    <row r="491" spans="55:56" ht="15.75">
      <c r="BC491" s="7" t="s">
        <v>762</v>
      </c>
      <c r="BD491" s="26" t="s">
        <v>106</v>
      </c>
    </row>
    <row r="492" spans="55:56" ht="15.75">
      <c r="BC492" s="7" t="s">
        <v>763</v>
      </c>
      <c r="BD492" s="26" t="s">
        <v>106</v>
      </c>
    </row>
    <row r="493" spans="55:56" ht="15.75">
      <c r="BC493" s="7" t="s">
        <v>764</v>
      </c>
      <c r="BD493" s="26" t="s">
        <v>106</v>
      </c>
    </row>
    <row r="494" spans="55:56" ht="15.75">
      <c r="BC494" s="7" t="s">
        <v>765</v>
      </c>
      <c r="BD494" s="26" t="s">
        <v>106</v>
      </c>
    </row>
    <row r="495" spans="55:56" ht="15.75">
      <c r="BC495" s="7" t="s">
        <v>766</v>
      </c>
      <c r="BD495" s="26" t="s">
        <v>106</v>
      </c>
    </row>
    <row r="496" spans="55:56" ht="15.75">
      <c r="BC496" s="7" t="s">
        <v>767</v>
      </c>
      <c r="BD496" s="26" t="s">
        <v>106</v>
      </c>
    </row>
    <row r="497" spans="55:56" ht="15.75">
      <c r="BC497" s="7" t="s">
        <v>768</v>
      </c>
      <c r="BD497" s="26" t="s">
        <v>106</v>
      </c>
    </row>
    <row r="498" spans="55:56" ht="15.75">
      <c r="BC498" s="7" t="s">
        <v>769</v>
      </c>
      <c r="BD498" s="26" t="s">
        <v>54</v>
      </c>
    </row>
    <row r="499" spans="55:56" ht="15.75">
      <c r="BC499" s="7" t="s">
        <v>770</v>
      </c>
      <c r="BD499" s="26" t="s">
        <v>54</v>
      </c>
    </row>
    <row r="500" spans="55:56" ht="15.75">
      <c r="BC500" s="7" t="s">
        <v>771</v>
      </c>
      <c r="BD500" s="26" t="s">
        <v>54</v>
      </c>
    </row>
    <row r="501" spans="55:56" ht="15.75">
      <c r="BC501" s="7" t="s">
        <v>772</v>
      </c>
      <c r="BD501" s="26" t="s">
        <v>54</v>
      </c>
    </row>
    <row r="502" spans="55:56" ht="15.75">
      <c r="BC502" s="7" t="s">
        <v>773</v>
      </c>
      <c r="BD502" s="26" t="s">
        <v>54</v>
      </c>
    </row>
    <row r="503" spans="55:56" ht="15.75">
      <c r="BC503" s="7" t="s">
        <v>774</v>
      </c>
      <c r="BD503" s="26" t="s">
        <v>54</v>
      </c>
    </row>
    <row r="504" spans="55:56" ht="15.75">
      <c r="BC504" s="7" t="s">
        <v>775</v>
      </c>
      <c r="BD504" s="26" t="s">
        <v>49</v>
      </c>
    </row>
    <row r="505" spans="55:56" ht="15.75">
      <c r="BC505" s="7" t="s">
        <v>776</v>
      </c>
      <c r="BD505" s="26" t="s">
        <v>54</v>
      </c>
    </row>
    <row r="506" spans="55:56" ht="15.75">
      <c r="BC506" s="7" t="s">
        <v>777</v>
      </c>
      <c r="BD506" s="26" t="s">
        <v>54</v>
      </c>
    </row>
    <row r="507" spans="55:56" ht="15.75">
      <c r="BC507" s="7" t="s">
        <v>778</v>
      </c>
      <c r="BD507" s="26" t="s">
        <v>113</v>
      </c>
    </row>
    <row r="508" spans="55:56" ht="15.75">
      <c r="BC508" s="7" t="s">
        <v>779</v>
      </c>
      <c r="BD508" s="26" t="s">
        <v>113</v>
      </c>
    </row>
    <row r="509" spans="55:56" ht="15.75">
      <c r="BC509" s="7" t="s">
        <v>780</v>
      </c>
      <c r="BD509" s="26" t="s">
        <v>54</v>
      </c>
    </row>
    <row r="510" spans="55:56" ht="15.75">
      <c r="BC510" s="7" t="s">
        <v>781</v>
      </c>
      <c r="BD510" s="26" t="s">
        <v>54</v>
      </c>
    </row>
    <row r="511" spans="55:56" ht="15.75">
      <c r="BC511" s="7" t="s">
        <v>782</v>
      </c>
      <c r="BD511" s="26" t="s">
        <v>54</v>
      </c>
    </row>
    <row r="512" spans="55:56" ht="15.75">
      <c r="BC512" s="7" t="s">
        <v>783</v>
      </c>
      <c r="BD512" s="26" t="s">
        <v>54</v>
      </c>
    </row>
    <row r="513" spans="55:56" ht="15.75">
      <c r="BC513" s="7" t="s">
        <v>784</v>
      </c>
      <c r="BD513" s="26" t="s">
        <v>54</v>
      </c>
    </row>
    <row r="514" spans="55:56" ht="15.75">
      <c r="BC514" s="7" t="s">
        <v>785</v>
      </c>
      <c r="BD514" s="26" t="s">
        <v>54</v>
      </c>
    </row>
    <row r="515" spans="55:56" ht="15.75">
      <c r="BC515" s="7" t="s">
        <v>786</v>
      </c>
      <c r="BD515" s="26" t="s">
        <v>54</v>
      </c>
    </row>
    <row r="516" spans="55:56" ht="15.75">
      <c r="BC516" s="7" t="s">
        <v>787</v>
      </c>
      <c r="BD516" s="26" t="s">
        <v>54</v>
      </c>
    </row>
    <row r="517" spans="55:56" ht="15.75">
      <c r="BC517" s="7" t="s">
        <v>788</v>
      </c>
      <c r="BD517" s="26" t="s">
        <v>114</v>
      </c>
    </row>
    <row r="518" spans="55:56" ht="15.75">
      <c r="BC518" s="7" t="s">
        <v>789</v>
      </c>
      <c r="BD518" s="26" t="s">
        <v>114</v>
      </c>
    </row>
    <row r="519" spans="55:56" ht="15.75">
      <c r="BC519" s="7" t="s">
        <v>790</v>
      </c>
      <c r="BD519" s="26" t="s">
        <v>114</v>
      </c>
    </row>
    <row r="520" spans="55:56" ht="15.75">
      <c r="BC520" s="7" t="s">
        <v>791</v>
      </c>
      <c r="BD520" s="26" t="s">
        <v>114</v>
      </c>
    </row>
    <row r="521" spans="55:56" ht="15.75">
      <c r="BC521" s="7" t="s">
        <v>792</v>
      </c>
      <c r="BD521" s="26" t="s">
        <v>114</v>
      </c>
    </row>
    <row r="522" spans="55:56" ht="15.75">
      <c r="BC522" s="7" t="s">
        <v>793</v>
      </c>
      <c r="BD522" s="26" t="s">
        <v>54</v>
      </c>
    </row>
    <row r="523" spans="55:56" ht="15.75">
      <c r="BC523" s="7" t="s">
        <v>794</v>
      </c>
      <c r="BD523" s="26" t="s">
        <v>31</v>
      </c>
    </row>
    <row r="524" spans="55:56" ht="15.75">
      <c r="BC524" s="7" t="s">
        <v>795</v>
      </c>
      <c r="BD524" s="26" t="s">
        <v>31</v>
      </c>
    </row>
    <row r="525" spans="55:56" ht="15.75">
      <c r="BC525" s="7" t="s">
        <v>796</v>
      </c>
      <c r="BD525" s="26" t="s">
        <v>45</v>
      </c>
    </row>
    <row r="526" spans="55:56" ht="15.75">
      <c r="BC526" s="7" t="s">
        <v>797</v>
      </c>
      <c r="BD526" s="26" t="s">
        <v>34</v>
      </c>
    </row>
    <row r="527" spans="55:56" ht="15.75">
      <c r="BC527" s="7" t="s">
        <v>798</v>
      </c>
      <c r="BD527" s="26" t="s">
        <v>34</v>
      </c>
    </row>
    <row r="528" spans="55:56" ht="15.75">
      <c r="BC528" s="7" t="s">
        <v>799</v>
      </c>
      <c r="BD528" s="26" t="s">
        <v>34</v>
      </c>
    </row>
    <row r="529" spans="55:56" ht="15.75">
      <c r="BC529" s="7" t="s">
        <v>800</v>
      </c>
      <c r="BD529" s="26" t="s">
        <v>47</v>
      </c>
    </row>
    <row r="530" spans="55:56" ht="15.75">
      <c r="BC530" s="7" t="s">
        <v>801</v>
      </c>
      <c r="BD530" s="26" t="s">
        <v>54</v>
      </c>
    </row>
    <row r="531" spans="55:56" ht="15.75">
      <c r="BC531" s="7" t="s">
        <v>802</v>
      </c>
      <c r="BD531" s="26" t="s">
        <v>54</v>
      </c>
    </row>
    <row r="532" spans="55:56" ht="15.75">
      <c r="BC532" s="7" t="s">
        <v>803</v>
      </c>
      <c r="BD532" s="26" t="s">
        <v>54</v>
      </c>
    </row>
    <row r="533" spans="55:56" ht="15.75">
      <c r="BC533" s="7" t="s">
        <v>804</v>
      </c>
      <c r="BD533" s="26" t="s">
        <v>54</v>
      </c>
    </row>
    <row r="534" spans="55:56" ht="15.75">
      <c r="BC534" s="7" t="s">
        <v>805</v>
      </c>
      <c r="BD534" s="26" t="s">
        <v>54</v>
      </c>
    </row>
    <row r="535" spans="55:56" ht="15.75">
      <c r="BC535" s="7" t="s">
        <v>806</v>
      </c>
      <c r="BD535" s="26" t="s">
        <v>111</v>
      </c>
    </row>
    <row r="536" spans="55:56" ht="15.75">
      <c r="BC536" s="7" t="s">
        <v>807</v>
      </c>
      <c r="BD536" s="26" t="s">
        <v>111</v>
      </c>
    </row>
    <row r="537" spans="55:56" ht="15.75">
      <c r="BC537" s="7" t="s">
        <v>808</v>
      </c>
      <c r="BD537" s="26" t="s">
        <v>111</v>
      </c>
    </row>
    <row r="538" spans="55:56" ht="15.75">
      <c r="BC538" s="7" t="s">
        <v>809</v>
      </c>
      <c r="BD538" s="26" t="s">
        <v>106</v>
      </c>
    </row>
    <row r="539" spans="55:56" ht="15.75">
      <c r="BC539" s="7" t="s">
        <v>810</v>
      </c>
      <c r="BD539" s="26" t="s">
        <v>106</v>
      </c>
    </row>
    <row r="540" spans="55:56" ht="15.75">
      <c r="BC540" s="7" t="s">
        <v>811</v>
      </c>
      <c r="BD540" s="26" t="s">
        <v>106</v>
      </c>
    </row>
    <row r="541" spans="55:56" ht="15.75">
      <c r="BC541" s="7" t="s">
        <v>812</v>
      </c>
      <c r="BD541" s="26" t="s">
        <v>106</v>
      </c>
    </row>
    <row r="542" spans="55:56" ht="15.75">
      <c r="BC542" s="7" t="s">
        <v>813</v>
      </c>
      <c r="BD542" s="26" t="s">
        <v>106</v>
      </c>
    </row>
    <row r="543" spans="55:56" ht="15.75">
      <c r="BC543" s="7" t="s">
        <v>814</v>
      </c>
      <c r="BD543" s="26" t="s">
        <v>106</v>
      </c>
    </row>
    <row r="544" spans="55:56" ht="15.75">
      <c r="BC544" s="7" t="s">
        <v>815</v>
      </c>
      <c r="BD544" s="26" t="s">
        <v>106</v>
      </c>
    </row>
    <row r="545" spans="55:56" ht="15.75">
      <c r="BC545" s="7" t="s">
        <v>816</v>
      </c>
      <c r="BD545" s="26" t="s">
        <v>54</v>
      </c>
    </row>
    <row r="546" spans="55:56" ht="15.75">
      <c r="BC546" s="7" t="s">
        <v>817</v>
      </c>
      <c r="BD546" s="26" t="s">
        <v>54</v>
      </c>
    </row>
    <row r="547" spans="55:56" ht="15.75">
      <c r="BC547" s="7" t="s">
        <v>818</v>
      </c>
      <c r="BD547" s="26" t="s">
        <v>37</v>
      </c>
    </row>
    <row r="548" spans="55:56" ht="15.75">
      <c r="BC548" s="7" t="s">
        <v>819</v>
      </c>
      <c r="BD548" s="26" t="s">
        <v>34</v>
      </c>
    </row>
    <row r="549" spans="55:56" ht="15.75">
      <c r="BC549" s="7" t="s">
        <v>820</v>
      </c>
      <c r="BD549" s="26" t="s">
        <v>34</v>
      </c>
    </row>
    <row r="550" spans="55:56" ht="15.75">
      <c r="BC550" s="7" t="s">
        <v>821</v>
      </c>
      <c r="BD550" s="26" t="s">
        <v>41</v>
      </c>
    </row>
    <row r="551" spans="55:56" ht="15.75">
      <c r="BC551" s="7" t="s">
        <v>822</v>
      </c>
      <c r="BD551" s="26" t="s">
        <v>54</v>
      </c>
    </row>
    <row r="552" spans="55:56" ht="15.75">
      <c r="BC552" s="7" t="s">
        <v>823</v>
      </c>
      <c r="BD552" s="26" t="s">
        <v>45</v>
      </c>
    </row>
    <row r="553" spans="55:56" ht="15.75">
      <c r="BC553" s="7" t="s">
        <v>824</v>
      </c>
      <c r="BD553" s="26" t="s">
        <v>41</v>
      </c>
    </row>
    <row r="554" spans="55:56" ht="15.75">
      <c r="BC554" s="7" t="s">
        <v>825</v>
      </c>
      <c r="BD554" s="26" t="s">
        <v>54</v>
      </c>
    </row>
    <row r="555" spans="55:56" ht="15.75">
      <c r="BC555" s="7" t="s">
        <v>826</v>
      </c>
      <c r="BD555" s="26" t="s">
        <v>113</v>
      </c>
    </row>
    <row r="556" spans="55:56" ht="15.75">
      <c r="BC556" s="7" t="s">
        <v>827</v>
      </c>
      <c r="BD556" s="26" t="s">
        <v>54</v>
      </c>
    </row>
    <row r="557" spans="55:56" ht="15.75">
      <c r="BC557" s="7" t="s">
        <v>828</v>
      </c>
      <c r="BD557" s="26" t="s">
        <v>54</v>
      </c>
    </row>
    <row r="558" spans="55:56" ht="15.75">
      <c r="BC558" s="7" t="s">
        <v>829</v>
      </c>
      <c r="BD558" s="26" t="s">
        <v>49</v>
      </c>
    </row>
    <row r="559" spans="55:56" ht="15.75">
      <c r="BC559" s="7" t="s">
        <v>830</v>
      </c>
      <c r="BD559" s="26" t="s">
        <v>41</v>
      </c>
    </row>
    <row r="560" spans="55:56" ht="15.75">
      <c r="BC560" s="7" t="s">
        <v>831</v>
      </c>
      <c r="BD560" s="26" t="s">
        <v>54</v>
      </c>
    </row>
    <row r="561" spans="55:56" ht="15.75">
      <c r="BC561" s="7" t="s">
        <v>832</v>
      </c>
      <c r="BD561" s="26" t="s">
        <v>54</v>
      </c>
    </row>
    <row r="562" spans="55:56" ht="15.75">
      <c r="BC562" s="7" t="s">
        <v>833</v>
      </c>
      <c r="BD562" s="26" t="s">
        <v>37</v>
      </c>
    </row>
    <row r="563" spans="55:56" ht="15.75">
      <c r="BC563" s="7" t="s">
        <v>834</v>
      </c>
      <c r="BD563" s="26" t="s">
        <v>41</v>
      </c>
    </row>
    <row r="564" spans="55:56" ht="15.75">
      <c r="BC564" s="7" t="s">
        <v>835</v>
      </c>
      <c r="BD564" s="26" t="s">
        <v>54</v>
      </c>
    </row>
    <row r="565" spans="55:56" ht="15.75">
      <c r="BC565" s="7" t="s">
        <v>836</v>
      </c>
      <c r="BD565" s="26" t="s">
        <v>114</v>
      </c>
    </row>
    <row r="566" spans="55:56" ht="15.75">
      <c r="BC566" s="7" t="s">
        <v>837</v>
      </c>
      <c r="BD566" s="26" t="s">
        <v>114</v>
      </c>
    </row>
    <row r="567" spans="55:56" ht="15.75">
      <c r="BC567" s="7" t="s">
        <v>838</v>
      </c>
      <c r="BD567" s="26" t="s">
        <v>114</v>
      </c>
    </row>
    <row r="568" spans="55:56" ht="15.75">
      <c r="BC568" s="7" t="s">
        <v>839</v>
      </c>
      <c r="BD568" s="26" t="s">
        <v>114</v>
      </c>
    </row>
    <row r="569" spans="55:56" ht="15.75">
      <c r="BC569" s="7" t="s">
        <v>840</v>
      </c>
      <c r="BD569" s="26" t="s">
        <v>114</v>
      </c>
    </row>
    <row r="570" spans="55:56" ht="15.75">
      <c r="BC570" s="7" t="s">
        <v>841</v>
      </c>
      <c r="BD570" s="26" t="s">
        <v>54</v>
      </c>
    </row>
    <row r="571" spans="55:56" ht="15.75">
      <c r="BC571" s="7" t="s">
        <v>842</v>
      </c>
      <c r="BD571" s="26" t="s">
        <v>31</v>
      </c>
    </row>
    <row r="572" spans="55:56" ht="15.75">
      <c r="BC572" s="7" t="s">
        <v>843</v>
      </c>
      <c r="BD572" s="26" t="s">
        <v>45</v>
      </c>
    </row>
    <row r="573" spans="55:56" ht="15.75">
      <c r="BC573" s="7" t="s">
        <v>844</v>
      </c>
      <c r="BD573" s="26" t="s">
        <v>34</v>
      </c>
    </row>
    <row r="574" spans="55:56" ht="15.75">
      <c r="BC574" s="7" t="s">
        <v>845</v>
      </c>
      <c r="BD574" s="26" t="s">
        <v>34</v>
      </c>
    </row>
    <row r="575" spans="55:56" ht="15.75">
      <c r="BC575" s="7" t="s">
        <v>846</v>
      </c>
      <c r="BD575" s="26" t="s">
        <v>41</v>
      </c>
    </row>
    <row r="576" spans="55:56" ht="15.75">
      <c r="BC576" s="7" t="s">
        <v>847</v>
      </c>
      <c r="BD576" s="26" t="s">
        <v>54</v>
      </c>
    </row>
    <row r="577" spans="55:56" ht="15.75">
      <c r="BC577" s="7" t="s">
        <v>848</v>
      </c>
      <c r="BD577" s="26" t="s">
        <v>54</v>
      </c>
    </row>
    <row r="578" spans="55:56" ht="15.75">
      <c r="BC578" s="7" t="s">
        <v>849</v>
      </c>
      <c r="BD578" s="26" t="s">
        <v>54</v>
      </c>
    </row>
    <row r="579" spans="55:56" ht="15.75">
      <c r="BC579" s="7" t="s">
        <v>850</v>
      </c>
      <c r="BD579" s="26" t="s">
        <v>54</v>
      </c>
    </row>
    <row r="580" spans="55:56" ht="15.75">
      <c r="BC580" s="7" t="s">
        <v>851</v>
      </c>
      <c r="BD580" s="26" t="s">
        <v>54</v>
      </c>
    </row>
    <row r="581" spans="55:56" ht="15.75">
      <c r="BC581" s="7" t="s">
        <v>852</v>
      </c>
      <c r="BD581" s="26" t="s">
        <v>54</v>
      </c>
    </row>
    <row r="582" spans="55:56" ht="15.75">
      <c r="BC582" s="7" t="s">
        <v>853</v>
      </c>
      <c r="BD582" s="26" t="s">
        <v>54</v>
      </c>
    </row>
    <row r="583" spans="55:56" ht="15.75">
      <c r="BC583" s="7" t="s">
        <v>854</v>
      </c>
      <c r="BD583" s="26" t="s">
        <v>111</v>
      </c>
    </row>
    <row r="584" spans="55:56" ht="15.75">
      <c r="BC584" s="7" t="s">
        <v>855</v>
      </c>
      <c r="BD584" s="26" t="s">
        <v>111</v>
      </c>
    </row>
    <row r="585" spans="55:56" ht="15.75">
      <c r="BC585" s="7" t="s">
        <v>856</v>
      </c>
      <c r="BD585" s="26" t="s">
        <v>111</v>
      </c>
    </row>
    <row r="586" spans="55:56" ht="15.75">
      <c r="BC586" s="7" t="s">
        <v>857</v>
      </c>
      <c r="BD586" s="26" t="s">
        <v>54</v>
      </c>
    </row>
    <row r="587" spans="55:56" ht="15.75">
      <c r="BC587" s="7" t="s">
        <v>858</v>
      </c>
      <c r="BD587" s="26" t="s">
        <v>54</v>
      </c>
    </row>
    <row r="588" spans="55:56" ht="15.75">
      <c r="BC588" s="7" t="s">
        <v>859</v>
      </c>
      <c r="BD588" s="26" t="s">
        <v>54</v>
      </c>
    </row>
    <row r="589" spans="55:56" ht="15.75">
      <c r="BC589" s="7" t="s">
        <v>860</v>
      </c>
      <c r="BD589" s="26" t="s">
        <v>54</v>
      </c>
    </row>
    <row r="590" spans="55:56" ht="15.75">
      <c r="BC590" s="7" t="s">
        <v>861</v>
      </c>
      <c r="BD590" s="26" t="s">
        <v>54</v>
      </c>
    </row>
    <row r="591" spans="55:56" ht="15.75">
      <c r="BC591" s="7" t="s">
        <v>862</v>
      </c>
      <c r="BD591" s="26" t="s">
        <v>54</v>
      </c>
    </row>
    <row r="592" spans="55:56" ht="15.75">
      <c r="BC592" s="7" t="s">
        <v>863</v>
      </c>
      <c r="BD592" s="26" t="s">
        <v>54</v>
      </c>
    </row>
    <row r="593" spans="55:56" ht="15.75">
      <c r="BC593" s="7" t="s">
        <v>864</v>
      </c>
      <c r="BD593" s="26" t="s">
        <v>54</v>
      </c>
    </row>
    <row r="594" spans="55:56" ht="15.75">
      <c r="BC594" s="7" t="s">
        <v>865</v>
      </c>
      <c r="BD594" s="26" t="s">
        <v>37</v>
      </c>
    </row>
    <row r="595" spans="55:56" ht="15.75">
      <c r="BC595" s="7" t="s">
        <v>866</v>
      </c>
      <c r="BD595" s="26" t="s">
        <v>47</v>
      </c>
    </row>
    <row r="596" spans="55:56" ht="15.75">
      <c r="BC596" s="7" t="s">
        <v>867</v>
      </c>
      <c r="BD596" s="26" t="s">
        <v>54</v>
      </c>
    </row>
    <row r="597" spans="55:56" ht="15.75">
      <c r="BC597" s="7" t="s">
        <v>868</v>
      </c>
      <c r="BD597" s="26" t="s">
        <v>54</v>
      </c>
    </row>
    <row r="598" spans="55:56" ht="15.75">
      <c r="BC598" s="7" t="s">
        <v>869</v>
      </c>
      <c r="BD598" s="26" t="s">
        <v>31</v>
      </c>
    </row>
    <row r="599" spans="55:56" ht="15.75">
      <c r="BC599" s="7" t="s">
        <v>870</v>
      </c>
      <c r="BD599" s="26" t="s">
        <v>54</v>
      </c>
    </row>
    <row r="600" spans="55:56" ht="15.75">
      <c r="BC600" s="7" t="s">
        <v>871</v>
      </c>
      <c r="BD600" s="26" t="s">
        <v>37</v>
      </c>
    </row>
    <row r="601" spans="55:56" ht="15.75">
      <c r="BC601" s="7" t="s">
        <v>872</v>
      </c>
      <c r="BD601" s="26" t="s">
        <v>47</v>
      </c>
    </row>
    <row r="602" spans="55:56" ht="15.75">
      <c r="BC602" s="7" t="s">
        <v>873</v>
      </c>
      <c r="BD602" s="26" t="s">
        <v>54</v>
      </c>
    </row>
    <row r="603" spans="55:56" ht="15.75">
      <c r="BC603" s="7" t="s">
        <v>874</v>
      </c>
      <c r="BD603" s="26" t="s">
        <v>54</v>
      </c>
    </row>
    <row r="604" spans="55:56" ht="15.75">
      <c r="BC604" s="7" t="s">
        <v>875</v>
      </c>
      <c r="BD604" s="26" t="s">
        <v>54</v>
      </c>
    </row>
    <row r="605" spans="55:56" ht="15.75">
      <c r="BC605" s="7" t="s">
        <v>876</v>
      </c>
      <c r="BD605" s="26" t="s">
        <v>54</v>
      </c>
    </row>
    <row r="606" spans="55:56" ht="15.75">
      <c r="BC606" s="7" t="s">
        <v>877</v>
      </c>
      <c r="BD606" s="26" t="s">
        <v>54</v>
      </c>
    </row>
    <row r="607" spans="55:56" ht="15.75">
      <c r="BC607" s="7" t="s">
        <v>878</v>
      </c>
      <c r="BD607" s="26" t="s">
        <v>45</v>
      </c>
    </row>
    <row r="608" spans="55:56" ht="15.75">
      <c r="BC608" s="7" t="s">
        <v>879</v>
      </c>
      <c r="BD608" s="26" t="s">
        <v>41</v>
      </c>
    </row>
    <row r="609" spans="55:56" ht="15.75">
      <c r="BC609" s="7" t="s">
        <v>880</v>
      </c>
      <c r="BD609" s="26" t="s">
        <v>37</v>
      </c>
    </row>
    <row r="610" spans="55:56" ht="15.75">
      <c r="BC610" s="7" t="s">
        <v>881</v>
      </c>
      <c r="BD610" s="26" t="s">
        <v>47</v>
      </c>
    </row>
    <row r="611" spans="55:56" ht="15.75">
      <c r="BC611" s="7" t="s">
        <v>882</v>
      </c>
      <c r="BD611" s="26" t="s">
        <v>31</v>
      </c>
    </row>
    <row r="612" spans="55:56" ht="15.75">
      <c r="BC612" s="7" t="s">
        <v>883</v>
      </c>
      <c r="BD612" s="26" t="s">
        <v>54</v>
      </c>
    </row>
    <row r="613" spans="55:56" ht="15.75">
      <c r="BC613" s="7" t="s">
        <v>884</v>
      </c>
      <c r="BD613" s="26" t="s">
        <v>114</v>
      </c>
    </row>
    <row r="614" spans="55:56" ht="15.75">
      <c r="BC614" s="7" t="s">
        <v>133</v>
      </c>
      <c r="BD614" s="26" t="s">
        <v>114</v>
      </c>
    </row>
    <row r="615" spans="55:56" ht="15.75">
      <c r="BC615" s="7" t="s">
        <v>885</v>
      </c>
      <c r="BD615" s="26" t="s">
        <v>114</v>
      </c>
    </row>
    <row r="616" spans="55:56" ht="15.75">
      <c r="BC616" s="7" t="s">
        <v>886</v>
      </c>
      <c r="BD616" s="26" t="s">
        <v>114</v>
      </c>
    </row>
    <row r="617" spans="55:56" ht="15.75">
      <c r="BC617" s="7" t="s">
        <v>887</v>
      </c>
      <c r="BD617" s="26" t="s">
        <v>114</v>
      </c>
    </row>
    <row r="618" spans="55:56" ht="15.75">
      <c r="BC618" s="7" t="s">
        <v>888</v>
      </c>
      <c r="BD618" s="26" t="s">
        <v>54</v>
      </c>
    </row>
    <row r="619" spans="55:56" ht="15.75">
      <c r="BC619" s="7" t="s">
        <v>889</v>
      </c>
      <c r="BD619" s="26" t="s">
        <v>45</v>
      </c>
    </row>
    <row r="620" spans="55:56" ht="15.75">
      <c r="BC620" s="7" t="s">
        <v>890</v>
      </c>
      <c r="BD620" s="26" t="s">
        <v>34</v>
      </c>
    </row>
    <row r="621" spans="55:56" ht="15.75">
      <c r="BC621" s="7" t="s">
        <v>891</v>
      </c>
      <c r="BD621" s="26" t="s">
        <v>34</v>
      </c>
    </row>
    <row r="622" spans="55:56" ht="15.75">
      <c r="BC622" s="7" t="s">
        <v>892</v>
      </c>
      <c r="BD622" s="26" t="s">
        <v>34</v>
      </c>
    </row>
    <row r="623" spans="55:56" ht="15.75">
      <c r="BC623" s="7" t="s">
        <v>893</v>
      </c>
      <c r="BD623" s="26" t="s">
        <v>47</v>
      </c>
    </row>
    <row r="624" spans="55:56" ht="15.75">
      <c r="BC624" s="7" t="s">
        <v>894</v>
      </c>
      <c r="BD624" s="26" t="s">
        <v>54</v>
      </c>
    </row>
    <row r="625" spans="55:56" ht="15.75">
      <c r="BC625" s="7" t="s">
        <v>895</v>
      </c>
      <c r="BD625" s="26" t="s">
        <v>54</v>
      </c>
    </row>
    <row r="626" spans="55:56" ht="15.75">
      <c r="BC626" s="7" t="s">
        <v>896</v>
      </c>
      <c r="BD626" s="26" t="s">
        <v>54</v>
      </c>
    </row>
    <row r="627" spans="55:56" ht="15.75">
      <c r="BC627" s="7" t="s">
        <v>897</v>
      </c>
      <c r="BD627" s="26" t="s">
        <v>54</v>
      </c>
    </row>
    <row r="628" spans="55:56" ht="15.75">
      <c r="BC628" s="7" t="s">
        <v>898</v>
      </c>
      <c r="BD628" s="26" t="s">
        <v>37</v>
      </c>
    </row>
    <row r="629" spans="55:56" ht="15.75">
      <c r="BC629" s="7" t="s">
        <v>899</v>
      </c>
      <c r="BD629" s="26" t="s">
        <v>41</v>
      </c>
    </row>
    <row r="630" spans="55:56" ht="15.75">
      <c r="BC630" s="7" t="s">
        <v>900</v>
      </c>
      <c r="BD630" s="26" t="s">
        <v>54</v>
      </c>
    </row>
    <row r="631" spans="55:56" ht="15.75">
      <c r="BC631" s="7" t="s">
        <v>901</v>
      </c>
      <c r="BD631" s="26" t="s">
        <v>111</v>
      </c>
    </row>
    <row r="632" spans="55:56" ht="15.75">
      <c r="BC632" s="7" t="s">
        <v>902</v>
      </c>
      <c r="BD632" s="26" t="s">
        <v>111</v>
      </c>
    </row>
    <row r="633" spans="55:56" ht="15.75">
      <c r="BC633" s="7" t="s">
        <v>903</v>
      </c>
      <c r="BD633" s="26" t="s">
        <v>111</v>
      </c>
    </row>
    <row r="634" spans="55:56" ht="15.75">
      <c r="BC634" s="7" t="s">
        <v>904</v>
      </c>
      <c r="BD634" s="26" t="s">
        <v>54</v>
      </c>
    </row>
    <row r="635" spans="55:56" ht="15.75">
      <c r="BC635" s="7" t="s">
        <v>905</v>
      </c>
      <c r="BD635" s="26" t="s">
        <v>54</v>
      </c>
    </row>
    <row r="636" spans="55:56" ht="15.75">
      <c r="BC636" s="7" t="s">
        <v>906</v>
      </c>
      <c r="BD636" s="26" t="s">
        <v>54</v>
      </c>
    </row>
    <row r="637" spans="55:56" ht="15.75">
      <c r="BC637" s="7" t="s">
        <v>907</v>
      </c>
      <c r="BD637" s="26" t="s">
        <v>54</v>
      </c>
    </row>
    <row r="638" spans="55:56" ht="15.75">
      <c r="BC638" s="7" t="s">
        <v>908</v>
      </c>
      <c r="BD638" s="26" t="s">
        <v>37</v>
      </c>
    </row>
    <row r="639" spans="55:56" ht="15.75">
      <c r="BC639" s="7" t="s">
        <v>909</v>
      </c>
      <c r="BD639" s="26" t="s">
        <v>34</v>
      </c>
    </row>
    <row r="640" spans="55:56" ht="15.75">
      <c r="BC640" s="7" t="s">
        <v>910</v>
      </c>
      <c r="BD640" s="26" t="s">
        <v>34</v>
      </c>
    </row>
    <row r="641" spans="55:56" ht="15.75">
      <c r="BC641" s="7" t="s">
        <v>911</v>
      </c>
      <c r="BD641" s="26" t="s">
        <v>41</v>
      </c>
    </row>
    <row r="642" spans="55:56" ht="15.75">
      <c r="BC642" s="7" t="s">
        <v>912</v>
      </c>
      <c r="BD642" s="26" t="s">
        <v>31</v>
      </c>
    </row>
    <row r="643" spans="55:56" ht="15.75">
      <c r="BC643" s="7" t="s">
        <v>913</v>
      </c>
      <c r="BD643" s="26" t="s">
        <v>54</v>
      </c>
    </row>
    <row r="644" spans="55:56" ht="15.75">
      <c r="BC644" s="7" t="s">
        <v>914</v>
      </c>
      <c r="BD644" s="26" t="s">
        <v>106</v>
      </c>
    </row>
    <row r="645" spans="55:56" ht="15.75">
      <c r="BC645" s="7" t="s">
        <v>915</v>
      </c>
      <c r="BD645" s="26" t="s">
        <v>54</v>
      </c>
    </row>
    <row r="646" spans="55:56" ht="15.75">
      <c r="BC646" s="7" t="s">
        <v>916</v>
      </c>
      <c r="BD646" s="26" t="s">
        <v>31</v>
      </c>
    </row>
    <row r="647" spans="55:56" ht="15.75">
      <c r="BC647" s="7" t="s">
        <v>917</v>
      </c>
      <c r="BD647" s="26" t="s">
        <v>54</v>
      </c>
    </row>
    <row r="648" spans="55:56" ht="15.75">
      <c r="BC648" s="7" t="s">
        <v>918</v>
      </c>
      <c r="BD648" s="26" t="s">
        <v>31</v>
      </c>
    </row>
    <row r="649" spans="55:56" ht="15.75">
      <c r="BC649" s="7" t="s">
        <v>919</v>
      </c>
      <c r="BD649" s="26" t="s">
        <v>54</v>
      </c>
    </row>
    <row r="650" spans="55:56" ht="15.75">
      <c r="BC650" s="7" t="s">
        <v>920</v>
      </c>
      <c r="BD650" s="26" t="s">
        <v>54</v>
      </c>
    </row>
    <row r="651" spans="55:56" ht="15.75">
      <c r="BC651" s="7" t="s">
        <v>921</v>
      </c>
      <c r="BD651" s="26" t="s">
        <v>37</v>
      </c>
    </row>
    <row r="652" spans="55:56" ht="15.75">
      <c r="BC652" s="7" t="s">
        <v>922</v>
      </c>
      <c r="BD652" s="26" t="s">
        <v>41</v>
      </c>
    </row>
    <row r="653" spans="55:56" ht="15.75">
      <c r="BC653" s="7" t="s">
        <v>923</v>
      </c>
      <c r="BD653" s="26" t="s">
        <v>54</v>
      </c>
    </row>
    <row r="654" spans="55:56" ht="15.75">
      <c r="BC654" s="7" t="s">
        <v>924</v>
      </c>
      <c r="BD654" s="26" t="s">
        <v>54</v>
      </c>
    </row>
    <row r="655" spans="55:56" ht="15.75">
      <c r="BC655" s="7" t="s">
        <v>925</v>
      </c>
      <c r="BD655" s="26" t="s">
        <v>54</v>
      </c>
    </row>
    <row r="656" spans="55:56" ht="15.75">
      <c r="BC656" s="7" t="s">
        <v>926</v>
      </c>
      <c r="BD656" s="26" t="s">
        <v>31</v>
      </c>
    </row>
    <row r="657" spans="55:56" ht="15.75">
      <c r="BC657" s="7" t="s">
        <v>927</v>
      </c>
      <c r="BD657" s="26" t="s">
        <v>31</v>
      </c>
    </row>
    <row r="658" spans="55:56" ht="15.75">
      <c r="BC658" s="7" t="s">
        <v>928</v>
      </c>
      <c r="BD658" s="26" t="s">
        <v>54</v>
      </c>
    </row>
    <row r="659" spans="55:56" ht="15.75">
      <c r="BC659" s="7" t="s">
        <v>929</v>
      </c>
      <c r="BD659" s="26" t="s">
        <v>31</v>
      </c>
    </row>
    <row r="660" spans="55:56" ht="15.75">
      <c r="BC660" s="7" t="s">
        <v>930</v>
      </c>
      <c r="BD660" s="26" t="s">
        <v>54</v>
      </c>
    </row>
    <row r="661" spans="55:56" ht="15.75">
      <c r="BC661" s="7" t="s">
        <v>931</v>
      </c>
      <c r="BD661" s="26" t="s">
        <v>114</v>
      </c>
    </row>
    <row r="662" spans="55:56" ht="15.75">
      <c r="BC662" s="7" t="s">
        <v>932</v>
      </c>
      <c r="BD662" s="26" t="s">
        <v>114</v>
      </c>
    </row>
    <row r="663" spans="55:56" ht="15.75">
      <c r="BC663" s="7" t="s">
        <v>933</v>
      </c>
      <c r="BD663" s="26" t="s">
        <v>114</v>
      </c>
    </row>
    <row r="664" spans="55:56" ht="15.75">
      <c r="BC664" s="7" t="s">
        <v>934</v>
      </c>
      <c r="BD664" s="26" t="s">
        <v>114</v>
      </c>
    </row>
    <row r="665" spans="55:56" ht="15.75">
      <c r="BC665" s="7" t="s">
        <v>935</v>
      </c>
      <c r="BD665" s="26" t="s">
        <v>114</v>
      </c>
    </row>
    <row r="666" spans="55:56" ht="15.75">
      <c r="BC666" s="7" t="s">
        <v>936</v>
      </c>
      <c r="BD666" s="26" t="s">
        <v>54</v>
      </c>
    </row>
    <row r="667" spans="55:56" ht="15.75">
      <c r="BC667" s="7" t="s">
        <v>937</v>
      </c>
      <c r="BD667" s="26" t="s">
        <v>54</v>
      </c>
    </row>
    <row r="668" spans="55:56" ht="15.75">
      <c r="BC668" s="7" t="s">
        <v>938</v>
      </c>
      <c r="BD668" s="26" t="s">
        <v>54</v>
      </c>
    </row>
    <row r="669" spans="55:56" ht="15.75">
      <c r="BC669" s="7" t="s">
        <v>939</v>
      </c>
      <c r="BD669" s="26" t="s">
        <v>37</v>
      </c>
    </row>
    <row r="670" spans="55:56" ht="15.75">
      <c r="BC670" s="7" t="s">
        <v>940</v>
      </c>
      <c r="BD670" s="26" t="s">
        <v>34</v>
      </c>
    </row>
    <row r="671" spans="55:56" ht="15.75">
      <c r="BC671" s="7" t="s">
        <v>941</v>
      </c>
      <c r="BD671" s="26" t="s">
        <v>34</v>
      </c>
    </row>
    <row r="672" spans="55:56" ht="15.75">
      <c r="BC672" s="7" t="s">
        <v>942</v>
      </c>
      <c r="BD672" s="26" t="s">
        <v>49</v>
      </c>
    </row>
    <row r="673" spans="55:56" ht="15.75">
      <c r="BC673" s="7" t="s">
        <v>943</v>
      </c>
      <c r="BD673" s="26" t="s">
        <v>54</v>
      </c>
    </row>
    <row r="674" spans="55:56" ht="15.75">
      <c r="BC674" s="7" t="s">
        <v>944</v>
      </c>
      <c r="BD674" s="26" t="s">
        <v>54</v>
      </c>
    </row>
    <row r="675" spans="55:56" ht="15.75">
      <c r="BC675" s="7" t="s">
        <v>945</v>
      </c>
      <c r="BD675" s="26" t="s">
        <v>54</v>
      </c>
    </row>
    <row r="676" spans="55:56" ht="15.75">
      <c r="BC676" s="7" t="s">
        <v>946</v>
      </c>
      <c r="BD676" s="26" t="s">
        <v>31</v>
      </c>
    </row>
    <row r="677" spans="55:56" ht="15.75">
      <c r="BC677" s="7" t="s">
        <v>947</v>
      </c>
      <c r="BD677" s="26" t="s">
        <v>31</v>
      </c>
    </row>
    <row r="678" spans="55:56" ht="15.75">
      <c r="BC678" s="7" t="s">
        <v>948</v>
      </c>
      <c r="BD678" s="26" t="s">
        <v>54</v>
      </c>
    </row>
    <row r="679" spans="55:56" ht="15.75">
      <c r="BC679" s="7" t="s">
        <v>949</v>
      </c>
      <c r="BD679" s="26" t="s">
        <v>111</v>
      </c>
    </row>
    <row r="680" spans="55:56" ht="15.75">
      <c r="BC680" s="7" t="s">
        <v>950</v>
      </c>
      <c r="BD680" s="26" t="s">
        <v>111</v>
      </c>
    </row>
    <row r="681" spans="55:56" ht="15.75">
      <c r="BC681" s="7" t="s">
        <v>951</v>
      </c>
      <c r="BD681" s="26" t="s">
        <v>111</v>
      </c>
    </row>
    <row r="682" spans="55:56" ht="15.75">
      <c r="BC682" s="7" t="s">
        <v>952</v>
      </c>
      <c r="BD682" s="26" t="s">
        <v>54</v>
      </c>
    </row>
    <row r="683" spans="55:56" ht="15.75">
      <c r="BC683" s="7" t="s">
        <v>953</v>
      </c>
      <c r="BD683" s="26" t="s">
        <v>37</v>
      </c>
    </row>
    <row r="684" spans="55:56" ht="15.75">
      <c r="BC684" s="7" t="s">
        <v>954</v>
      </c>
      <c r="BD684" s="26" t="s">
        <v>41</v>
      </c>
    </row>
    <row r="685" spans="55:56" ht="15.75">
      <c r="BC685" s="7" t="s">
        <v>955</v>
      </c>
      <c r="BD685" s="26" t="s">
        <v>54</v>
      </c>
    </row>
    <row r="686" spans="55:56" ht="15.75">
      <c r="BC686" s="7" t="s">
        <v>956</v>
      </c>
      <c r="BD686" s="26" t="s">
        <v>31</v>
      </c>
    </row>
    <row r="687" spans="55:56" ht="15.75">
      <c r="BC687" s="7" t="s">
        <v>957</v>
      </c>
      <c r="BD687" s="26" t="s">
        <v>54</v>
      </c>
    </row>
    <row r="688" spans="55:56" ht="15.75">
      <c r="BC688" s="7" t="s">
        <v>958</v>
      </c>
      <c r="BD688" s="26" t="s">
        <v>54</v>
      </c>
    </row>
    <row r="689" spans="55:56" ht="15.75">
      <c r="BC689" s="7" t="s">
        <v>959</v>
      </c>
      <c r="BD689" s="26" t="s">
        <v>31</v>
      </c>
    </row>
    <row r="690" spans="55:56" ht="15.75">
      <c r="BC690" s="7" t="s">
        <v>960</v>
      </c>
      <c r="BD690" s="26" t="s">
        <v>31</v>
      </c>
    </row>
    <row r="691" spans="55:56" ht="15.75">
      <c r="BC691" s="7" t="s">
        <v>961</v>
      </c>
      <c r="BD691" s="26" t="s">
        <v>54</v>
      </c>
    </row>
    <row r="692" spans="55:56" ht="15.75">
      <c r="BC692" s="7" t="s">
        <v>962</v>
      </c>
      <c r="BD692" s="26" t="s">
        <v>54</v>
      </c>
    </row>
    <row r="693" spans="55:56" ht="15.75">
      <c r="BC693" s="7" t="s">
        <v>963</v>
      </c>
      <c r="BD693" s="26" t="s">
        <v>54</v>
      </c>
    </row>
    <row r="694" spans="55:56" ht="15.75">
      <c r="BC694" s="7" t="s">
        <v>964</v>
      </c>
      <c r="BD694" s="26" t="s">
        <v>31</v>
      </c>
    </row>
    <row r="695" spans="55:56" ht="15.75">
      <c r="BC695" s="7" t="s">
        <v>965</v>
      </c>
      <c r="BD695" s="26" t="s">
        <v>54</v>
      </c>
    </row>
    <row r="696" spans="55:56" ht="15.75">
      <c r="BC696" s="7" t="s">
        <v>966</v>
      </c>
      <c r="BD696" s="26" t="s">
        <v>31</v>
      </c>
    </row>
    <row r="697" spans="55:56" ht="15.75">
      <c r="BC697" s="7" t="s">
        <v>967</v>
      </c>
      <c r="BD697" s="26" t="s">
        <v>54</v>
      </c>
    </row>
    <row r="698" spans="55:56" ht="15.75">
      <c r="BC698" s="7" t="s">
        <v>968</v>
      </c>
      <c r="BD698" s="26" t="s">
        <v>54</v>
      </c>
    </row>
    <row r="699" spans="55:56" ht="15.75">
      <c r="BC699" s="7" t="s">
        <v>969</v>
      </c>
      <c r="BD699" s="26" t="s">
        <v>31</v>
      </c>
    </row>
    <row r="700" spans="55:56" ht="15.75">
      <c r="BC700" s="7" t="s">
        <v>970</v>
      </c>
      <c r="BD700" s="26" t="s">
        <v>31</v>
      </c>
    </row>
    <row r="701" spans="55:56" ht="15.75">
      <c r="BC701" s="7" t="s">
        <v>971</v>
      </c>
      <c r="BD701" s="26" t="s">
        <v>54</v>
      </c>
    </row>
    <row r="702" spans="55:56" ht="15.75">
      <c r="BC702" s="7" t="s">
        <v>972</v>
      </c>
      <c r="BD702" s="26" t="s">
        <v>108</v>
      </c>
    </row>
    <row r="703" spans="55:56" ht="15.75">
      <c r="BC703" s="7" t="s">
        <v>973</v>
      </c>
      <c r="BD703" s="26" t="s">
        <v>54</v>
      </c>
    </row>
    <row r="704" spans="55:56" ht="15.75">
      <c r="BC704" s="7" t="s">
        <v>974</v>
      </c>
      <c r="BD704" s="26" t="s">
        <v>45</v>
      </c>
    </row>
    <row r="705" spans="55:56" ht="15.75">
      <c r="BC705" s="7" t="s">
        <v>975</v>
      </c>
      <c r="BD705" s="26" t="s">
        <v>47</v>
      </c>
    </row>
    <row r="706" spans="55:56" ht="15.75">
      <c r="BC706" s="7" t="s">
        <v>976</v>
      </c>
      <c r="BD706" s="26" t="s">
        <v>54</v>
      </c>
    </row>
    <row r="707" spans="55:56" ht="15.75">
      <c r="BC707" s="7" t="s">
        <v>977</v>
      </c>
      <c r="BD707" s="26" t="s">
        <v>31</v>
      </c>
    </row>
    <row r="708" spans="55:56" ht="15.75">
      <c r="BC708" s="7" t="s">
        <v>978</v>
      </c>
      <c r="BD708" s="26" t="s">
        <v>54</v>
      </c>
    </row>
    <row r="709" spans="55:56" ht="15.75">
      <c r="BC709" s="7" t="s">
        <v>136</v>
      </c>
      <c r="BD709" s="26" t="s">
        <v>114</v>
      </c>
    </row>
    <row r="710" spans="55:56" ht="15.75">
      <c r="BC710" s="7" t="s">
        <v>979</v>
      </c>
      <c r="BD710" s="26" t="s">
        <v>114</v>
      </c>
    </row>
    <row r="711" spans="55:56" ht="15.75">
      <c r="BC711" s="7" t="s">
        <v>980</v>
      </c>
      <c r="BD711" s="26" t="s">
        <v>114</v>
      </c>
    </row>
    <row r="712" spans="55:56" ht="15.75">
      <c r="BC712" s="7" t="s">
        <v>981</v>
      </c>
      <c r="BD712" s="26" t="s">
        <v>54</v>
      </c>
    </row>
    <row r="713" spans="55:56" ht="15.75">
      <c r="BC713" s="7" t="s">
        <v>982</v>
      </c>
      <c r="BD713" s="26" t="s">
        <v>54</v>
      </c>
    </row>
    <row r="714" spans="55:56" ht="15.75">
      <c r="BC714" s="7" t="s">
        <v>983</v>
      </c>
      <c r="BD714" s="26" t="s">
        <v>54</v>
      </c>
    </row>
    <row r="715" spans="55:56" ht="15.75">
      <c r="BC715" s="7" t="s">
        <v>984</v>
      </c>
      <c r="BD715" s="26" t="s">
        <v>54</v>
      </c>
    </row>
    <row r="716" spans="55:56" ht="15.75">
      <c r="BC716" s="7" t="s">
        <v>985</v>
      </c>
      <c r="BD716" s="26" t="s">
        <v>54</v>
      </c>
    </row>
    <row r="717" spans="55:56" ht="15.75">
      <c r="BC717" s="7" t="s">
        <v>986</v>
      </c>
      <c r="BD717" s="26" t="s">
        <v>31</v>
      </c>
    </row>
    <row r="718" spans="55:56" ht="15.75">
      <c r="BC718" s="7" t="s">
        <v>987</v>
      </c>
      <c r="BD718" s="26" t="s">
        <v>54</v>
      </c>
    </row>
    <row r="719" spans="55:56" ht="15.75">
      <c r="BC719" s="7" t="s">
        <v>988</v>
      </c>
      <c r="BD719" s="26" t="s">
        <v>54</v>
      </c>
    </row>
    <row r="720" spans="55:56" ht="15.75">
      <c r="BC720" s="7" t="s">
        <v>989</v>
      </c>
      <c r="BD720" s="26" t="s">
        <v>54</v>
      </c>
    </row>
    <row r="721" spans="55:56" ht="15.75">
      <c r="BC721" s="7" t="s">
        <v>990</v>
      </c>
      <c r="BD721" s="26" t="s">
        <v>54</v>
      </c>
    </row>
    <row r="722" spans="55:56" ht="15.75">
      <c r="BC722" s="7" t="s">
        <v>991</v>
      </c>
      <c r="BD722" s="26" t="s">
        <v>54</v>
      </c>
    </row>
    <row r="723" spans="55:56" ht="15.75">
      <c r="BC723" s="7" t="s">
        <v>992</v>
      </c>
      <c r="BD723" s="26" t="s">
        <v>54</v>
      </c>
    </row>
    <row r="724" spans="55:56" ht="15.75">
      <c r="BC724" s="7" t="s">
        <v>993</v>
      </c>
      <c r="BD724" s="26" t="s">
        <v>31</v>
      </c>
    </row>
    <row r="725" spans="55:56" ht="15.75">
      <c r="BC725" s="7" t="s">
        <v>994</v>
      </c>
      <c r="BD725" s="26" t="s">
        <v>31</v>
      </c>
    </row>
    <row r="726" spans="55:56" ht="15.75">
      <c r="BC726" s="7" t="s">
        <v>995</v>
      </c>
      <c r="BD726" s="26" t="s">
        <v>54</v>
      </c>
    </row>
    <row r="727" spans="55:56" ht="15.75">
      <c r="BC727" s="7" t="s">
        <v>996</v>
      </c>
      <c r="BD727" s="26" t="s">
        <v>111</v>
      </c>
    </row>
    <row r="728" spans="55:56" ht="15.75">
      <c r="BC728" s="7" t="s">
        <v>997</v>
      </c>
      <c r="BD728" s="26" t="s">
        <v>111</v>
      </c>
    </row>
    <row r="729" spans="55:56" ht="15.75">
      <c r="BC729" s="7" t="s">
        <v>998</v>
      </c>
      <c r="BD729" s="26" t="s">
        <v>111</v>
      </c>
    </row>
    <row r="730" spans="55:56" ht="15.75">
      <c r="BC730" s="7" t="s">
        <v>999</v>
      </c>
      <c r="BD730" s="26" t="s">
        <v>54</v>
      </c>
    </row>
    <row r="731" spans="55:56" ht="15.75">
      <c r="BC731" s="7" t="s">
        <v>1000</v>
      </c>
      <c r="BD731" s="26" t="s">
        <v>31</v>
      </c>
    </row>
    <row r="732" spans="55:56" ht="15.75">
      <c r="BC732" s="7" t="s">
        <v>1001</v>
      </c>
      <c r="BD732" s="26" t="s">
        <v>45</v>
      </c>
    </row>
    <row r="733" spans="55:56" ht="15.75">
      <c r="BC733" s="7" t="s">
        <v>1002</v>
      </c>
      <c r="BD733" s="26" t="s">
        <v>34</v>
      </c>
    </row>
    <row r="734" spans="55:56" ht="15.75">
      <c r="BC734" s="7" t="s">
        <v>1003</v>
      </c>
      <c r="BD734" s="26" t="s">
        <v>47</v>
      </c>
    </row>
    <row r="735" spans="55:56" ht="15.75">
      <c r="BC735" s="7" t="s">
        <v>1004</v>
      </c>
      <c r="BD735" s="26" t="s">
        <v>54</v>
      </c>
    </row>
    <row r="736" spans="55:56" ht="15.75">
      <c r="BC736" s="7" t="s">
        <v>1005</v>
      </c>
      <c r="BD736" s="26" t="s">
        <v>54</v>
      </c>
    </row>
    <row r="737" spans="55:56" ht="15.75">
      <c r="BC737" s="7" t="s">
        <v>1006</v>
      </c>
      <c r="BD737" s="26" t="s">
        <v>31</v>
      </c>
    </row>
    <row r="738" spans="55:56" ht="15.75">
      <c r="BC738" s="7" t="s">
        <v>1007</v>
      </c>
      <c r="BD738" s="26" t="s">
        <v>45</v>
      </c>
    </row>
    <row r="739" spans="55:56" ht="15.75">
      <c r="BC739" s="7" t="s">
        <v>1008</v>
      </c>
      <c r="BD739" s="26" t="s">
        <v>41</v>
      </c>
    </row>
    <row r="740" spans="55:56" ht="15.75">
      <c r="BC740" s="7" t="s">
        <v>1009</v>
      </c>
      <c r="BD740" s="26" t="s">
        <v>54</v>
      </c>
    </row>
    <row r="741" spans="55:56" ht="15.75">
      <c r="BC741" s="7" t="s">
        <v>1010</v>
      </c>
      <c r="BD741" s="26" t="s">
        <v>54</v>
      </c>
    </row>
    <row r="742" spans="55:56" ht="15.75">
      <c r="BC742" s="7" t="s">
        <v>1011</v>
      </c>
      <c r="BD742" s="26" t="s">
        <v>31</v>
      </c>
    </row>
    <row r="743" spans="55:56" ht="15.75">
      <c r="BC743" s="7" t="s">
        <v>1012</v>
      </c>
      <c r="BD743" s="26" t="s">
        <v>54</v>
      </c>
    </row>
    <row r="744" spans="55:56" ht="15.75">
      <c r="BC744" s="7" t="s">
        <v>1013</v>
      </c>
      <c r="BD744" s="26" t="s">
        <v>31</v>
      </c>
    </row>
    <row r="745" spans="55:56" ht="15.75">
      <c r="BC745" s="7" t="s">
        <v>1014</v>
      </c>
      <c r="BD745" s="26" t="s">
        <v>54</v>
      </c>
    </row>
    <row r="746" spans="55:56" ht="15.75">
      <c r="BC746" s="7" t="s">
        <v>1015</v>
      </c>
      <c r="BD746" s="26" t="s">
        <v>54</v>
      </c>
    </row>
    <row r="747" spans="55:56" ht="15.75">
      <c r="BC747" s="7" t="s">
        <v>1016</v>
      </c>
      <c r="BD747" s="26" t="s">
        <v>31</v>
      </c>
    </row>
    <row r="748" spans="55:56" ht="15.75">
      <c r="BC748" s="7" t="s">
        <v>1017</v>
      </c>
      <c r="BD748" s="26" t="s">
        <v>31</v>
      </c>
    </row>
    <row r="749" spans="55:56" ht="15.75">
      <c r="BC749" s="7" t="s">
        <v>1018</v>
      </c>
      <c r="BD749" s="26" t="s">
        <v>54</v>
      </c>
    </row>
    <row r="750" spans="55:56" ht="15.75">
      <c r="BC750" s="7" t="s">
        <v>1019</v>
      </c>
      <c r="BD750" s="26" t="s">
        <v>108</v>
      </c>
    </row>
    <row r="751" spans="55:56" ht="15.75">
      <c r="BC751" s="7" t="s">
        <v>1020</v>
      </c>
      <c r="BD751" s="26" t="s">
        <v>108</v>
      </c>
    </row>
    <row r="752" spans="55:56" ht="15.75">
      <c r="BC752" s="7" t="s">
        <v>1021</v>
      </c>
      <c r="BD752" s="26" t="s">
        <v>54</v>
      </c>
    </row>
    <row r="753" spans="55:56" ht="15.75">
      <c r="BC753" s="7" t="s">
        <v>1022</v>
      </c>
      <c r="BD753" s="26" t="s">
        <v>54</v>
      </c>
    </row>
    <row r="754" spans="55:56" ht="15.75">
      <c r="BC754" s="7" t="s">
        <v>1023</v>
      </c>
      <c r="BD754" s="26" t="s">
        <v>54</v>
      </c>
    </row>
    <row r="755" spans="55:56" ht="15.75">
      <c r="BC755" s="7" t="s">
        <v>1024</v>
      </c>
      <c r="BD755" s="26" t="s">
        <v>31</v>
      </c>
    </row>
    <row r="756" spans="55:56" ht="15.75">
      <c r="BC756" s="7" t="s">
        <v>1025</v>
      </c>
      <c r="BD756" s="26" t="s">
        <v>54</v>
      </c>
    </row>
    <row r="757" spans="55:56" ht="15.75">
      <c r="BC757" s="7" t="s">
        <v>1026</v>
      </c>
      <c r="BD757" s="26" t="s">
        <v>114</v>
      </c>
    </row>
    <row r="758" spans="55:56" ht="15.75">
      <c r="BC758" s="7" t="s">
        <v>1027</v>
      </c>
      <c r="BD758" s="26" t="s">
        <v>114</v>
      </c>
    </row>
    <row r="759" spans="55:56" ht="15.75">
      <c r="BC759" s="7" t="s">
        <v>1028</v>
      </c>
      <c r="BD759" s="26" t="s">
        <v>114</v>
      </c>
    </row>
    <row r="760" spans="55:56" ht="15.75">
      <c r="BC760" s="7" t="s">
        <v>1029</v>
      </c>
      <c r="BD760" s="26" t="s">
        <v>54</v>
      </c>
    </row>
    <row r="761" spans="55:56" ht="15.75">
      <c r="BC761" s="7" t="s">
        <v>1030</v>
      </c>
      <c r="BD761" s="26" t="s">
        <v>37</v>
      </c>
    </row>
    <row r="762" spans="55:56" ht="15.75">
      <c r="BC762" s="7" t="s">
        <v>1031</v>
      </c>
      <c r="BD762" s="26" t="s">
        <v>34</v>
      </c>
    </row>
    <row r="763" spans="55:56" ht="15.75">
      <c r="BC763" s="7" t="s">
        <v>1032</v>
      </c>
      <c r="BD763" s="26" t="s">
        <v>41</v>
      </c>
    </row>
    <row r="764" spans="55:56" ht="15.75">
      <c r="BC764" s="7" t="s">
        <v>1033</v>
      </c>
      <c r="BD764" s="26" t="s">
        <v>54</v>
      </c>
    </row>
    <row r="765" spans="55:56" ht="15.75">
      <c r="BC765" s="7" t="s">
        <v>1034</v>
      </c>
      <c r="BD765" s="26" t="s">
        <v>31</v>
      </c>
    </row>
    <row r="766" spans="55:56" ht="15.75">
      <c r="BC766" s="7" t="s">
        <v>1035</v>
      </c>
      <c r="BD766" s="26" t="s">
        <v>54</v>
      </c>
    </row>
    <row r="767" spans="55:56" ht="15.75">
      <c r="BC767" s="7" t="s">
        <v>1036</v>
      </c>
      <c r="BD767" s="26" t="s">
        <v>113</v>
      </c>
    </row>
    <row r="768" spans="55:56" ht="15.75">
      <c r="BC768" s="7" t="s">
        <v>1037</v>
      </c>
      <c r="BD768" s="26" t="s">
        <v>113</v>
      </c>
    </row>
    <row r="769" spans="55:56" ht="15.75">
      <c r="BC769" s="7" t="s">
        <v>145</v>
      </c>
      <c r="BD769" s="26" t="s">
        <v>113</v>
      </c>
    </row>
    <row r="770" spans="55:56" ht="15.75">
      <c r="BC770" s="7" t="s">
        <v>1038</v>
      </c>
      <c r="BD770" s="26" t="s">
        <v>54</v>
      </c>
    </row>
    <row r="771" spans="55:56" ht="15.75">
      <c r="BC771" s="7" t="s">
        <v>1039</v>
      </c>
      <c r="BD771" s="26" t="s">
        <v>54</v>
      </c>
    </row>
    <row r="772" spans="55:56" ht="15.75">
      <c r="BC772" s="7" t="s">
        <v>1040</v>
      </c>
      <c r="BD772" s="26" t="s">
        <v>31</v>
      </c>
    </row>
    <row r="773" spans="55:56" ht="15.75">
      <c r="BC773" s="7" t="s">
        <v>1041</v>
      </c>
      <c r="BD773" s="26" t="s">
        <v>45</v>
      </c>
    </row>
    <row r="774" spans="55:56" ht="15.75">
      <c r="BC774" s="7" t="s">
        <v>1042</v>
      </c>
      <c r="BD774" s="26" t="s">
        <v>41</v>
      </c>
    </row>
    <row r="775" spans="55:56" ht="15.75">
      <c r="BC775" s="7" t="s">
        <v>1043</v>
      </c>
      <c r="BD775" s="26" t="s">
        <v>54</v>
      </c>
    </row>
    <row r="776" spans="55:56" ht="15.75">
      <c r="BC776" s="7" t="s">
        <v>1044</v>
      </c>
      <c r="BD776" s="26" t="s">
        <v>111</v>
      </c>
    </row>
    <row r="777" spans="55:56" ht="15.75">
      <c r="BC777" s="7" t="s">
        <v>140</v>
      </c>
      <c r="BD777" s="26" t="s">
        <v>111</v>
      </c>
    </row>
    <row r="778" spans="55:56" ht="15.75">
      <c r="BC778" s="7" t="s">
        <v>1045</v>
      </c>
      <c r="BD778" s="26" t="s">
        <v>54</v>
      </c>
    </row>
    <row r="779" spans="55:56" ht="15.75">
      <c r="BC779" s="7" t="s">
        <v>1046</v>
      </c>
      <c r="BD779" s="26" t="s">
        <v>31</v>
      </c>
    </row>
    <row r="780" spans="55:56" ht="15.75">
      <c r="BC780" s="7" t="s">
        <v>1047</v>
      </c>
      <c r="BD780" s="26" t="s">
        <v>54</v>
      </c>
    </row>
    <row r="781" spans="55:56" ht="15.75">
      <c r="BC781" s="7" t="s">
        <v>1048</v>
      </c>
      <c r="BD781" s="26" t="s">
        <v>54</v>
      </c>
    </row>
    <row r="782" spans="55:56" ht="15.75">
      <c r="BC782" s="7" t="s">
        <v>1049</v>
      </c>
      <c r="BD782" s="26" t="s">
        <v>54</v>
      </c>
    </row>
    <row r="783" spans="55:56" ht="15.75">
      <c r="BC783" s="7" t="s">
        <v>1050</v>
      </c>
      <c r="BD783" s="26" t="s">
        <v>54</v>
      </c>
    </row>
    <row r="784" spans="55:56" ht="15.75">
      <c r="BC784" s="7" t="s">
        <v>1051</v>
      </c>
      <c r="BD784" s="26" t="s">
        <v>54</v>
      </c>
    </row>
    <row r="785" spans="55:56" ht="15.75">
      <c r="BC785" s="7" t="s">
        <v>1052</v>
      </c>
      <c r="BD785" s="26" t="s">
        <v>45</v>
      </c>
    </row>
    <row r="786" spans="55:56" ht="15.75">
      <c r="BC786" s="7" t="s">
        <v>1053</v>
      </c>
      <c r="BD786" s="26" t="s">
        <v>41</v>
      </c>
    </row>
    <row r="787" spans="55:56" ht="15.75">
      <c r="BC787" s="7" t="s">
        <v>1054</v>
      </c>
      <c r="BD787" s="26" t="s">
        <v>45</v>
      </c>
    </row>
    <row r="788" spans="55:56" ht="15.75">
      <c r="BC788" s="7" t="s">
        <v>1055</v>
      </c>
      <c r="BD788" s="26" t="s">
        <v>41</v>
      </c>
    </row>
    <row r="789" spans="55:56" ht="15.75">
      <c r="BC789" s="7" t="s">
        <v>1056</v>
      </c>
      <c r="BD789" s="26" t="s">
        <v>54</v>
      </c>
    </row>
    <row r="790" spans="55:56" ht="15.75">
      <c r="BC790" s="7" t="s">
        <v>1057</v>
      </c>
      <c r="BD790" s="26" t="s">
        <v>31</v>
      </c>
    </row>
    <row r="791" spans="55:56" ht="15.75">
      <c r="BC791" s="7" t="s">
        <v>1058</v>
      </c>
      <c r="BD791" s="26" t="s">
        <v>54</v>
      </c>
    </row>
    <row r="792" spans="55:56" ht="15.75">
      <c r="BC792" s="7" t="s">
        <v>1059</v>
      </c>
      <c r="BD792" s="26" t="s">
        <v>31</v>
      </c>
    </row>
    <row r="793" spans="55:56" ht="15.75">
      <c r="BC793" s="7" t="s">
        <v>1060</v>
      </c>
      <c r="BD793" s="26" t="s">
        <v>54</v>
      </c>
    </row>
    <row r="794" spans="55:56" ht="15.75">
      <c r="BC794" s="7" t="s">
        <v>1061</v>
      </c>
      <c r="BD794" s="26" t="s">
        <v>54</v>
      </c>
    </row>
    <row r="795" spans="55:56" ht="15.75">
      <c r="BC795" s="7" t="s">
        <v>1062</v>
      </c>
      <c r="BD795" s="26" t="s">
        <v>31</v>
      </c>
    </row>
    <row r="796" spans="55:56" ht="15.75">
      <c r="BC796" s="7" t="s">
        <v>1063</v>
      </c>
      <c r="BD796" s="26" t="s">
        <v>31</v>
      </c>
    </row>
    <row r="797" spans="55:56" ht="15.75">
      <c r="BC797" s="7" t="s">
        <v>1064</v>
      </c>
      <c r="BD797" s="26" t="s">
        <v>54</v>
      </c>
    </row>
    <row r="798" spans="55:56" ht="15.75">
      <c r="BC798" s="7" t="s">
        <v>1065</v>
      </c>
      <c r="BD798" s="26" t="s">
        <v>108</v>
      </c>
    </row>
    <row r="799" spans="55:56" ht="15.75">
      <c r="BC799" s="7" t="s">
        <v>1066</v>
      </c>
      <c r="BD799" s="26" t="s">
        <v>108</v>
      </c>
    </row>
    <row r="800" spans="55:56" ht="15.75">
      <c r="BC800" s="7" t="s">
        <v>1067</v>
      </c>
      <c r="BD800" s="26" t="s">
        <v>109</v>
      </c>
    </row>
    <row r="801" spans="55:56" ht="15.75">
      <c r="BC801" s="7" t="s">
        <v>1068</v>
      </c>
      <c r="BD801" s="26" t="s">
        <v>109</v>
      </c>
    </row>
    <row r="802" spans="55:56" ht="15.75">
      <c r="BC802" s="7" t="s">
        <v>1069</v>
      </c>
      <c r="BD802" s="26" t="s">
        <v>54</v>
      </c>
    </row>
    <row r="803" spans="55:56" ht="15.75">
      <c r="BC803" s="7" t="s">
        <v>1070</v>
      </c>
      <c r="BD803" s="26" t="s">
        <v>31</v>
      </c>
    </row>
    <row r="804" spans="55:56" ht="15.75">
      <c r="BC804" s="7" t="s">
        <v>1071</v>
      </c>
      <c r="BD804" s="26" t="s">
        <v>54</v>
      </c>
    </row>
    <row r="805" spans="55:56" ht="15.75">
      <c r="BC805" s="7" t="s">
        <v>1072</v>
      </c>
      <c r="BD805" s="26" t="s">
        <v>114</v>
      </c>
    </row>
    <row r="806" spans="55:56" ht="15.75">
      <c r="BC806" s="7" t="s">
        <v>1073</v>
      </c>
      <c r="BD806" s="26" t="s">
        <v>114</v>
      </c>
    </row>
    <row r="807" spans="55:56" ht="15.75">
      <c r="BC807" s="7" t="s">
        <v>1074</v>
      </c>
      <c r="BD807" s="26" t="s">
        <v>114</v>
      </c>
    </row>
    <row r="808" spans="55:56" ht="15.75">
      <c r="BC808" s="7" t="s">
        <v>1075</v>
      </c>
      <c r="BD808" s="26" t="s">
        <v>54</v>
      </c>
    </row>
    <row r="809" spans="55:56" ht="15.75">
      <c r="BC809" s="7" t="s">
        <v>1076</v>
      </c>
      <c r="BD809" s="26" t="s">
        <v>31</v>
      </c>
    </row>
    <row r="810" spans="55:56" ht="15.75">
      <c r="BC810" s="7" t="s">
        <v>1077</v>
      </c>
      <c r="BD810" s="26" t="s">
        <v>54</v>
      </c>
    </row>
    <row r="811" spans="55:56" ht="15.75">
      <c r="BC811" s="7" t="s">
        <v>1078</v>
      </c>
      <c r="BD811" s="26" t="s">
        <v>31</v>
      </c>
    </row>
    <row r="812" spans="55:56" ht="15.75">
      <c r="BC812" s="7" t="s">
        <v>1079</v>
      </c>
      <c r="BD812" s="26" t="s">
        <v>54</v>
      </c>
    </row>
    <row r="813" spans="55:56" ht="15.75">
      <c r="BC813" s="7" t="s">
        <v>1080</v>
      </c>
      <c r="BD813" s="26" t="s">
        <v>31</v>
      </c>
    </row>
    <row r="814" spans="55:56" ht="15.75">
      <c r="BC814" s="7" t="s">
        <v>1081</v>
      </c>
      <c r="BD814" s="26" t="s">
        <v>54</v>
      </c>
    </row>
    <row r="815" spans="55:56" ht="15.75">
      <c r="BC815" s="7" t="s">
        <v>1082</v>
      </c>
      <c r="BD815" s="26" t="s">
        <v>113</v>
      </c>
    </row>
    <row r="816" spans="55:56" ht="15.75">
      <c r="BC816" s="7" t="s">
        <v>1083</v>
      </c>
      <c r="BD816" s="26" t="s">
        <v>113</v>
      </c>
    </row>
    <row r="817" spans="55:56" ht="15.75">
      <c r="BC817" s="7" t="s">
        <v>1084</v>
      </c>
      <c r="BD817" s="26" t="s">
        <v>113</v>
      </c>
    </row>
    <row r="818" spans="55:56" ht="15.75">
      <c r="BC818" s="7" t="s">
        <v>1085</v>
      </c>
      <c r="BD818" s="26" t="s">
        <v>54</v>
      </c>
    </row>
    <row r="819" spans="55:56" ht="15.75">
      <c r="BC819" s="7" t="s">
        <v>1086</v>
      </c>
      <c r="BD819" s="26" t="s">
        <v>54</v>
      </c>
    </row>
    <row r="820" spans="55:56" ht="15.75">
      <c r="BC820" s="7" t="s">
        <v>1087</v>
      </c>
      <c r="BD820" s="26" t="s">
        <v>31</v>
      </c>
    </row>
    <row r="821" spans="55:56" ht="15.75">
      <c r="BC821" s="7" t="s">
        <v>1088</v>
      </c>
      <c r="BD821" s="26" t="s">
        <v>54</v>
      </c>
    </row>
    <row r="822" spans="55:56" ht="15.75">
      <c r="BC822" s="7" t="s">
        <v>1089</v>
      </c>
      <c r="BD822" s="26" t="s">
        <v>31</v>
      </c>
    </row>
    <row r="823" spans="55:56" ht="15.75">
      <c r="BC823" s="7" t="s">
        <v>1090</v>
      </c>
      <c r="BD823" s="26" t="s">
        <v>54</v>
      </c>
    </row>
    <row r="824" spans="55:56" ht="15.75">
      <c r="BC824" s="7" t="s">
        <v>1091</v>
      </c>
      <c r="BD824" s="26" t="s">
        <v>111</v>
      </c>
    </row>
    <row r="825" spans="55:56" ht="15.75">
      <c r="BC825" s="7" t="s">
        <v>1092</v>
      </c>
      <c r="BD825" s="26" t="s">
        <v>54</v>
      </c>
    </row>
    <row r="826" spans="55:56" ht="15.75">
      <c r="BC826" s="7" t="s">
        <v>1093</v>
      </c>
      <c r="BD826" s="26" t="s">
        <v>54</v>
      </c>
    </row>
    <row r="827" spans="55:56" ht="15.75">
      <c r="BC827" s="7" t="s">
        <v>1094</v>
      </c>
      <c r="BD827" s="26" t="s">
        <v>31</v>
      </c>
    </row>
    <row r="828" spans="55:56" ht="15.75">
      <c r="BC828" s="7" t="s">
        <v>1095</v>
      </c>
      <c r="BD828" s="26" t="s">
        <v>54</v>
      </c>
    </row>
    <row r="829" spans="55:56" ht="15.75">
      <c r="BC829" s="7" t="s">
        <v>1096</v>
      </c>
      <c r="BD829" s="26" t="s">
        <v>107</v>
      </c>
    </row>
    <row r="830" spans="55:56" ht="15.75">
      <c r="BC830" s="7" t="s">
        <v>1097</v>
      </c>
      <c r="BD830" s="26" t="s">
        <v>107</v>
      </c>
    </row>
    <row r="831" spans="55:56" ht="15.75">
      <c r="BC831" s="7" t="s">
        <v>1098</v>
      </c>
      <c r="BD831" s="26" t="s">
        <v>107</v>
      </c>
    </row>
    <row r="832" spans="55:56" ht="15.75">
      <c r="BC832" s="7" t="s">
        <v>1099</v>
      </c>
      <c r="BD832" s="26" t="s">
        <v>107</v>
      </c>
    </row>
    <row r="833" spans="55:56" ht="15.75">
      <c r="BC833" s="7" t="s">
        <v>1100</v>
      </c>
      <c r="BD833" s="26" t="s">
        <v>54</v>
      </c>
    </row>
    <row r="834" spans="55:56" ht="15.75">
      <c r="BC834" s="7" t="s">
        <v>1101</v>
      </c>
      <c r="BD834" s="26" t="s">
        <v>45</v>
      </c>
    </row>
    <row r="835" spans="55:56" ht="15.75">
      <c r="BC835" s="7" t="s">
        <v>1102</v>
      </c>
      <c r="BD835" s="26" t="s">
        <v>41</v>
      </c>
    </row>
    <row r="836" spans="55:56" ht="15.75">
      <c r="BC836" s="7" t="s">
        <v>1103</v>
      </c>
      <c r="BD836" s="26" t="s">
        <v>31</v>
      </c>
    </row>
    <row r="837" spans="55:56" ht="15.75">
      <c r="BC837" s="7" t="s">
        <v>1104</v>
      </c>
      <c r="BD837" s="26" t="s">
        <v>54</v>
      </c>
    </row>
    <row r="838" spans="55:56" ht="15.75">
      <c r="BC838" s="7" t="s">
        <v>1105</v>
      </c>
      <c r="BD838" s="26" t="s">
        <v>31</v>
      </c>
    </row>
    <row r="839" spans="55:56" ht="15.75">
      <c r="BC839" s="7" t="s">
        <v>1106</v>
      </c>
      <c r="BD839" s="26" t="s">
        <v>54</v>
      </c>
    </row>
    <row r="840" spans="55:56" ht="15.75">
      <c r="BC840" s="7" t="s">
        <v>1107</v>
      </c>
      <c r="BD840" s="26" t="s">
        <v>45</v>
      </c>
    </row>
    <row r="841" spans="55:56" ht="15.75">
      <c r="BC841" s="7" t="s">
        <v>1108</v>
      </c>
      <c r="BD841" s="26" t="s">
        <v>41</v>
      </c>
    </row>
    <row r="842" spans="55:56" ht="15.75">
      <c r="BC842" s="7" t="s">
        <v>1109</v>
      </c>
      <c r="BD842" s="26" t="s">
        <v>54</v>
      </c>
    </row>
    <row r="843" spans="55:56" ht="15.75">
      <c r="BC843" s="7" t="s">
        <v>1110</v>
      </c>
      <c r="BD843" s="26" t="s">
        <v>31</v>
      </c>
    </row>
    <row r="844" spans="55:56" ht="15.75">
      <c r="BC844" s="7" t="s">
        <v>1111</v>
      </c>
      <c r="BD844" s="26" t="s">
        <v>31</v>
      </c>
    </row>
    <row r="845" spans="55:56" ht="15.75">
      <c r="BC845" s="7" t="s">
        <v>1112</v>
      </c>
      <c r="BD845" s="26" t="s">
        <v>54</v>
      </c>
    </row>
    <row r="846" spans="55:56" ht="15.75">
      <c r="BC846" s="7" t="s">
        <v>1113</v>
      </c>
      <c r="BD846" s="26" t="s">
        <v>108</v>
      </c>
    </row>
    <row r="847" spans="55:56" ht="15.75">
      <c r="BC847" s="7" t="s">
        <v>1114</v>
      </c>
      <c r="BD847" s="26" t="s">
        <v>108</v>
      </c>
    </row>
    <row r="848" spans="55:56" ht="15.75">
      <c r="BC848" s="7" t="s">
        <v>1115</v>
      </c>
      <c r="BD848" s="26" t="s">
        <v>109</v>
      </c>
    </row>
    <row r="849" spans="55:56" ht="15.75">
      <c r="BC849" s="7" t="s">
        <v>1116</v>
      </c>
      <c r="BD849" s="26" t="s">
        <v>109</v>
      </c>
    </row>
    <row r="850" spans="55:56" ht="15.75">
      <c r="BC850" s="7" t="s">
        <v>1117</v>
      </c>
      <c r="BD850" s="26" t="s">
        <v>54</v>
      </c>
    </row>
    <row r="851" spans="55:56" ht="15.75">
      <c r="BC851" s="7" t="s">
        <v>1118</v>
      </c>
      <c r="BD851" s="26" t="s">
        <v>31</v>
      </c>
    </row>
    <row r="852" spans="55:56" ht="15.75">
      <c r="BC852" s="7" t="s">
        <v>1119</v>
      </c>
      <c r="BD852" s="26" t="s">
        <v>54</v>
      </c>
    </row>
    <row r="853" spans="55:56" ht="15.75">
      <c r="BC853" s="7" t="s">
        <v>1120</v>
      </c>
      <c r="BD853" s="26" t="s">
        <v>114</v>
      </c>
    </row>
    <row r="854" spans="55:56" ht="15.75">
      <c r="BC854" s="7" t="s">
        <v>1121</v>
      </c>
      <c r="BD854" s="26" t="s">
        <v>114</v>
      </c>
    </row>
    <row r="855" spans="55:56" ht="15.75">
      <c r="BC855" s="7" t="s">
        <v>1122</v>
      </c>
      <c r="BD855" s="26" t="s">
        <v>114</v>
      </c>
    </row>
    <row r="856" spans="55:56" ht="15.75">
      <c r="BC856" s="7" t="s">
        <v>1123</v>
      </c>
      <c r="BD856" s="26" t="s">
        <v>54</v>
      </c>
    </row>
    <row r="857" spans="55:56" ht="15.75">
      <c r="BC857" s="7" t="s">
        <v>1124</v>
      </c>
      <c r="BD857" s="26" t="s">
        <v>45</v>
      </c>
    </row>
    <row r="858" spans="55:56" ht="15.75">
      <c r="BC858" s="7" t="s">
        <v>1125</v>
      </c>
      <c r="BD858" s="26" t="s">
        <v>41</v>
      </c>
    </row>
    <row r="859" spans="55:56" ht="15.75">
      <c r="BC859" s="7" t="s">
        <v>1126</v>
      </c>
      <c r="BD859" s="26" t="s">
        <v>31</v>
      </c>
    </row>
    <row r="860" spans="55:56" ht="15.75">
      <c r="BC860" s="7" t="s">
        <v>1127</v>
      </c>
      <c r="BD860" s="26" t="s">
        <v>54</v>
      </c>
    </row>
    <row r="861" spans="55:56" ht="15.75">
      <c r="BC861" s="7" t="s">
        <v>1128</v>
      </c>
      <c r="BD861" s="26" t="s">
        <v>31</v>
      </c>
    </row>
    <row r="862" spans="55:56" ht="15.75">
      <c r="BC862" s="7" t="s">
        <v>1129</v>
      </c>
      <c r="BD862" s="26" t="s">
        <v>54</v>
      </c>
    </row>
    <row r="863" spans="55:56" ht="15.75">
      <c r="BC863" s="7" t="s">
        <v>1130</v>
      </c>
      <c r="BD863" s="26" t="s">
        <v>54</v>
      </c>
    </row>
    <row r="864" spans="55:56" ht="15.75">
      <c r="BC864" s="7" t="s">
        <v>1131</v>
      </c>
      <c r="BD864" s="26" t="s">
        <v>54</v>
      </c>
    </row>
    <row r="865" spans="55:56" ht="15.75">
      <c r="BC865" s="7" t="s">
        <v>1132</v>
      </c>
      <c r="BD865" s="26" t="s">
        <v>54</v>
      </c>
    </row>
    <row r="866" spans="55:56" ht="15.75">
      <c r="BC866" s="7" t="s">
        <v>1133</v>
      </c>
      <c r="BD866" s="26" t="s">
        <v>54</v>
      </c>
    </row>
    <row r="867" spans="55:56" ht="15.75">
      <c r="BC867" s="7" t="s">
        <v>1134</v>
      </c>
      <c r="BD867" s="26" t="s">
        <v>54</v>
      </c>
    </row>
    <row r="868" spans="55:56" ht="15.75">
      <c r="BC868" s="7" t="s">
        <v>1135</v>
      </c>
      <c r="BD868" s="26" t="s">
        <v>31</v>
      </c>
    </row>
    <row r="869" spans="55:56" ht="15.75">
      <c r="BC869" s="7" t="s">
        <v>1136</v>
      </c>
      <c r="BD869" s="26" t="s">
        <v>54</v>
      </c>
    </row>
    <row r="870" spans="55:56" ht="15.75">
      <c r="BC870" s="7" t="s">
        <v>1137</v>
      </c>
      <c r="BD870" s="26" t="s">
        <v>31</v>
      </c>
    </row>
    <row r="871" spans="55:56" ht="15.75">
      <c r="BC871" s="7" t="s">
        <v>1138</v>
      </c>
      <c r="BD871" s="26" t="s">
        <v>54</v>
      </c>
    </row>
    <row r="872" spans="55:56" ht="15.75">
      <c r="BC872" s="7" t="s">
        <v>1139</v>
      </c>
      <c r="BD872" s="26" t="s">
        <v>54</v>
      </c>
    </row>
    <row r="873" spans="55:56" ht="15.75">
      <c r="BC873" s="7" t="s">
        <v>1140</v>
      </c>
      <c r="BD873" s="26" t="s">
        <v>54</v>
      </c>
    </row>
    <row r="874" spans="55:56" ht="15.75">
      <c r="BC874" s="7" t="s">
        <v>1141</v>
      </c>
      <c r="BD874" s="26" t="s">
        <v>37</v>
      </c>
    </row>
    <row r="875" spans="55:56" ht="15.75">
      <c r="BC875" s="7" t="s">
        <v>1142</v>
      </c>
      <c r="BD875" s="26" t="s">
        <v>47</v>
      </c>
    </row>
    <row r="876" spans="55:56" ht="15.75">
      <c r="BC876" s="7" t="s">
        <v>1143</v>
      </c>
      <c r="BD876" s="26" t="s">
        <v>54</v>
      </c>
    </row>
    <row r="877" spans="55:56" ht="15.75">
      <c r="BC877" s="7" t="s">
        <v>1144</v>
      </c>
      <c r="BD877" s="26" t="s">
        <v>107</v>
      </c>
    </row>
    <row r="878" spans="55:56" ht="15.75">
      <c r="BC878" s="7" t="s">
        <v>1145</v>
      </c>
      <c r="BD878" s="26" t="s">
        <v>107</v>
      </c>
    </row>
    <row r="879" spans="55:56" ht="15.75">
      <c r="BC879" s="7" t="s">
        <v>1146</v>
      </c>
      <c r="BD879" s="26" t="s">
        <v>107</v>
      </c>
    </row>
    <row r="880" spans="55:56" ht="15.75">
      <c r="BC880" s="7" t="s">
        <v>148</v>
      </c>
      <c r="BD880" s="26" t="s">
        <v>107</v>
      </c>
    </row>
    <row r="881" spans="55:56" ht="15.75">
      <c r="BC881" s="7" t="s">
        <v>1147</v>
      </c>
      <c r="BD881" s="26" t="s">
        <v>54</v>
      </c>
    </row>
    <row r="882" spans="55:56" ht="15.75">
      <c r="BC882" s="7" t="s">
        <v>1148</v>
      </c>
      <c r="BD882" s="26" t="s">
        <v>54</v>
      </c>
    </row>
    <row r="883" spans="55:56" ht="15.75">
      <c r="BC883" s="7" t="s">
        <v>1149</v>
      </c>
      <c r="BD883" s="26" t="s">
        <v>45</v>
      </c>
    </row>
    <row r="884" spans="55:56" ht="15.75">
      <c r="BC884" s="7" t="s">
        <v>1150</v>
      </c>
      <c r="BD884" s="26" t="s">
        <v>47</v>
      </c>
    </row>
    <row r="885" spans="55:56" ht="15.75">
      <c r="BC885" s="7" t="s">
        <v>1151</v>
      </c>
      <c r="BD885" s="26" t="s">
        <v>54</v>
      </c>
    </row>
    <row r="886" spans="55:56" ht="15.75">
      <c r="BC886" s="7" t="s">
        <v>1152</v>
      </c>
      <c r="BD886" s="26" t="s">
        <v>31</v>
      </c>
    </row>
    <row r="887" spans="55:56" ht="15.75">
      <c r="BC887" s="7" t="s">
        <v>1153</v>
      </c>
      <c r="BD887" s="26" t="s">
        <v>54</v>
      </c>
    </row>
    <row r="888" spans="55:56" ht="15.75">
      <c r="BC888" s="7" t="s">
        <v>1154</v>
      </c>
      <c r="BD888" s="26" t="s">
        <v>54</v>
      </c>
    </row>
    <row r="889" spans="55:56" ht="15.75">
      <c r="BC889" s="7" t="s">
        <v>1155</v>
      </c>
      <c r="BD889" s="26" t="s">
        <v>45</v>
      </c>
    </row>
    <row r="890" spans="55:56" ht="15.75">
      <c r="BC890" s="7" t="s">
        <v>1156</v>
      </c>
      <c r="BD890" s="26" t="s">
        <v>34</v>
      </c>
    </row>
    <row r="891" spans="55:56" ht="15.75">
      <c r="BC891" s="7" t="s">
        <v>1157</v>
      </c>
      <c r="BD891" s="26" t="s">
        <v>47</v>
      </c>
    </row>
    <row r="892" spans="55:56" ht="15.75">
      <c r="BC892" s="7" t="s">
        <v>1158</v>
      </c>
      <c r="BD892" s="26" t="s">
        <v>52</v>
      </c>
    </row>
    <row r="893" spans="55:56" ht="15.75">
      <c r="BC893" s="7" t="s">
        <v>1159</v>
      </c>
      <c r="BD893" s="26" t="s">
        <v>54</v>
      </c>
    </row>
    <row r="894" spans="55:56" ht="15.75">
      <c r="BC894" s="7" t="s">
        <v>1160</v>
      </c>
      <c r="BD894" s="26" t="s">
        <v>108</v>
      </c>
    </row>
    <row r="895" spans="55:56" ht="15.75">
      <c r="BC895" s="7" t="s">
        <v>1161</v>
      </c>
      <c r="BD895" s="26" t="s">
        <v>108</v>
      </c>
    </row>
    <row r="896" spans="55:56" ht="15.75">
      <c r="BC896" s="7" t="s">
        <v>1162</v>
      </c>
      <c r="BD896" s="26" t="s">
        <v>109</v>
      </c>
    </row>
    <row r="897" spans="55:56" ht="15.75">
      <c r="BC897" s="7" t="s">
        <v>1163</v>
      </c>
      <c r="BD897" s="26" t="s">
        <v>109</v>
      </c>
    </row>
    <row r="898" spans="55:56" ht="15.75">
      <c r="BC898" s="7" t="s">
        <v>1164</v>
      </c>
      <c r="BD898" s="26" t="s">
        <v>54</v>
      </c>
    </row>
    <row r="899" spans="55:56" ht="15.75">
      <c r="BC899" s="7" t="s">
        <v>1165</v>
      </c>
      <c r="BD899" s="26" t="s">
        <v>31</v>
      </c>
    </row>
    <row r="900" spans="55:56" ht="15.75">
      <c r="BC900" s="7" t="s">
        <v>1166</v>
      </c>
      <c r="BD900" s="26" t="s">
        <v>54</v>
      </c>
    </row>
    <row r="901" spans="55:56" ht="15.75">
      <c r="BC901" s="7" t="s">
        <v>1167</v>
      </c>
      <c r="BD901" s="26" t="s">
        <v>54</v>
      </c>
    </row>
    <row r="902" spans="55:56" ht="15.75">
      <c r="BC902" s="7" t="s">
        <v>1168</v>
      </c>
      <c r="BD902" s="26" t="s">
        <v>54</v>
      </c>
    </row>
    <row r="903" spans="55:56" ht="15.75">
      <c r="BC903" s="7" t="s">
        <v>1169</v>
      </c>
      <c r="BD903" s="26" t="s">
        <v>114</v>
      </c>
    </row>
    <row r="904" spans="55:56" ht="15.75">
      <c r="BC904" s="7" t="s">
        <v>1170</v>
      </c>
      <c r="BD904" s="26" t="s">
        <v>54</v>
      </c>
    </row>
    <row r="905" spans="55:56" ht="15.75">
      <c r="BC905" s="7" t="s">
        <v>1171</v>
      </c>
      <c r="BD905" s="26" t="s">
        <v>54</v>
      </c>
    </row>
    <row r="906" spans="55:56" ht="15.75">
      <c r="BC906" s="7" t="s">
        <v>1172</v>
      </c>
      <c r="BD906" s="26" t="s">
        <v>31</v>
      </c>
    </row>
    <row r="907" spans="55:56" ht="15.75">
      <c r="BC907" s="7" t="s">
        <v>1173</v>
      </c>
      <c r="BD907" s="26" t="s">
        <v>31</v>
      </c>
    </row>
    <row r="908" spans="55:56" ht="15.75">
      <c r="BC908" s="7" t="s">
        <v>1174</v>
      </c>
      <c r="BD908" s="26" t="s">
        <v>54</v>
      </c>
    </row>
    <row r="909" spans="55:56" ht="15.75">
      <c r="BC909" s="7" t="s">
        <v>1175</v>
      </c>
      <c r="BD909" s="26" t="s">
        <v>45</v>
      </c>
    </row>
    <row r="910" spans="55:56" ht="15.75">
      <c r="BC910" s="7" t="s">
        <v>1176</v>
      </c>
      <c r="BD910" s="26" t="s">
        <v>34</v>
      </c>
    </row>
    <row r="911" spans="55:56" ht="15.75">
      <c r="BC911" s="7" t="s">
        <v>1177</v>
      </c>
      <c r="BD911" s="26" t="s">
        <v>34</v>
      </c>
    </row>
    <row r="912" spans="55:56" ht="15.75">
      <c r="BC912" s="7" t="s">
        <v>1178</v>
      </c>
      <c r="BD912" s="26" t="s">
        <v>41</v>
      </c>
    </row>
    <row r="913" spans="55:56" ht="15.75">
      <c r="BC913" s="7" t="s">
        <v>1179</v>
      </c>
      <c r="BD913" s="26" t="s">
        <v>54</v>
      </c>
    </row>
    <row r="914" spans="55:56" ht="15.75">
      <c r="BC914" s="7" t="s">
        <v>1180</v>
      </c>
      <c r="BD914" s="26" t="s">
        <v>54</v>
      </c>
    </row>
    <row r="915" spans="55:56" ht="15.75">
      <c r="BC915" s="7" t="s">
        <v>1181</v>
      </c>
      <c r="BD915" s="26" t="s">
        <v>54</v>
      </c>
    </row>
    <row r="916" spans="55:56" ht="15.75">
      <c r="BC916" s="7" t="s">
        <v>1182</v>
      </c>
      <c r="BD916" s="26" t="s">
        <v>49</v>
      </c>
    </row>
    <row r="917" spans="55:56" ht="15.75">
      <c r="BC917" s="7" t="s">
        <v>1183</v>
      </c>
      <c r="BD917" s="26" t="s">
        <v>54</v>
      </c>
    </row>
    <row r="918" spans="55:56" ht="15.75">
      <c r="BC918" s="7" t="s">
        <v>1184</v>
      </c>
      <c r="BD918" s="26" t="s">
        <v>45</v>
      </c>
    </row>
    <row r="919" spans="55:56" ht="15.75">
      <c r="BC919" s="7" t="s">
        <v>1185</v>
      </c>
      <c r="BD919" s="26" t="s">
        <v>34</v>
      </c>
    </row>
    <row r="920" spans="55:56" ht="15.75">
      <c r="BC920" s="7" t="s">
        <v>1186</v>
      </c>
      <c r="BD920" s="26" t="s">
        <v>34</v>
      </c>
    </row>
    <row r="921" spans="55:56" ht="15.75">
      <c r="BC921" s="7" t="s">
        <v>1187</v>
      </c>
      <c r="BD921" s="26" t="s">
        <v>34</v>
      </c>
    </row>
    <row r="922" spans="55:56" ht="15.75">
      <c r="BC922" s="7" t="s">
        <v>1188</v>
      </c>
      <c r="BD922" s="26" t="s">
        <v>47</v>
      </c>
    </row>
    <row r="923" spans="55:56" ht="15.75">
      <c r="BC923" s="7" t="s">
        <v>1189</v>
      </c>
      <c r="BD923" s="26" t="s">
        <v>54</v>
      </c>
    </row>
    <row r="924" spans="55:56" ht="15.75">
      <c r="BC924" s="7" t="s">
        <v>1190</v>
      </c>
      <c r="BD924" s="26" t="s">
        <v>54</v>
      </c>
    </row>
    <row r="925" spans="55:56" ht="15.75">
      <c r="BC925" s="7" t="s">
        <v>1191</v>
      </c>
      <c r="BD925" s="26" t="s">
        <v>54</v>
      </c>
    </row>
    <row r="926" spans="55:56" ht="15.75">
      <c r="BC926" s="7" t="s">
        <v>1192</v>
      </c>
      <c r="BD926" s="26" t="s">
        <v>107</v>
      </c>
    </row>
    <row r="927" spans="55:56" ht="15.75">
      <c r="BC927" s="7" t="s">
        <v>1193</v>
      </c>
      <c r="BD927" s="26" t="s">
        <v>107</v>
      </c>
    </row>
    <row r="928" spans="55:56" ht="15.75">
      <c r="BC928" s="7" t="s">
        <v>1194</v>
      </c>
      <c r="BD928" s="26" t="s">
        <v>54</v>
      </c>
    </row>
    <row r="929" spans="55:56" ht="15.75">
      <c r="BC929" s="7" t="s">
        <v>1195</v>
      </c>
      <c r="BD929" s="26" t="s">
        <v>54</v>
      </c>
    </row>
    <row r="930" spans="55:56" ht="15.75">
      <c r="BC930" s="7" t="s">
        <v>1196</v>
      </c>
      <c r="BD930" s="26" t="s">
        <v>54</v>
      </c>
    </row>
    <row r="931" spans="55:56" ht="15.75">
      <c r="BC931" s="7" t="s">
        <v>1197</v>
      </c>
      <c r="BD931" s="26" t="s">
        <v>54</v>
      </c>
    </row>
    <row r="932" spans="55:56" ht="15.75">
      <c r="BC932" s="7" t="s">
        <v>1198</v>
      </c>
      <c r="BD932" s="26" t="s">
        <v>54</v>
      </c>
    </row>
    <row r="933" spans="55:56" ht="15.75">
      <c r="BC933" s="7" t="s">
        <v>1199</v>
      </c>
      <c r="BD933" s="26" t="s">
        <v>54</v>
      </c>
    </row>
    <row r="934" spans="55:56" ht="15.75">
      <c r="BC934" s="7" t="s">
        <v>1200</v>
      </c>
      <c r="BD934" s="26" t="s">
        <v>52</v>
      </c>
    </row>
    <row r="935" spans="55:56" ht="15.75">
      <c r="BC935" s="7" t="s">
        <v>1201</v>
      </c>
      <c r="BD935" s="26" t="s">
        <v>54</v>
      </c>
    </row>
    <row r="936" spans="55:56" ht="15.75">
      <c r="BC936" s="7" t="s">
        <v>1202</v>
      </c>
      <c r="BD936" s="26" t="s">
        <v>54</v>
      </c>
    </row>
    <row r="937" spans="55:56" ht="15.75">
      <c r="BC937" s="7" t="s">
        <v>1203</v>
      </c>
      <c r="BD937" s="26" t="s">
        <v>54</v>
      </c>
    </row>
    <row r="938" spans="55:56" ht="15.75">
      <c r="BC938" s="7" t="s">
        <v>1204</v>
      </c>
      <c r="BD938" s="26" t="s">
        <v>54</v>
      </c>
    </row>
    <row r="939" spans="55:56" ht="15.75">
      <c r="BC939" s="7" t="s">
        <v>1205</v>
      </c>
      <c r="BD939" s="26" t="s">
        <v>54</v>
      </c>
    </row>
    <row r="940" spans="55:56" ht="15.75">
      <c r="BC940" s="7" t="s">
        <v>1206</v>
      </c>
      <c r="BD940" s="26" t="s">
        <v>54</v>
      </c>
    </row>
    <row r="941" spans="55:56" ht="15.75">
      <c r="BC941" s="7" t="s">
        <v>1207</v>
      </c>
      <c r="BD941" s="26" t="s">
        <v>54</v>
      </c>
    </row>
    <row r="942" spans="55:56" ht="15.75">
      <c r="BC942" s="7" t="s">
        <v>1208</v>
      </c>
      <c r="BD942" s="26" t="s">
        <v>108</v>
      </c>
    </row>
    <row r="943" spans="55:56" ht="15.75">
      <c r="BC943" s="7" t="s">
        <v>146</v>
      </c>
      <c r="BD943" s="26" t="s">
        <v>108</v>
      </c>
    </row>
    <row r="944" spans="55:56" ht="15.75">
      <c r="BC944" s="7" t="s">
        <v>1209</v>
      </c>
      <c r="BD944" s="26" t="s">
        <v>54</v>
      </c>
    </row>
    <row r="945" spans="55:56" ht="15.75">
      <c r="BC945" s="7" t="s">
        <v>1210</v>
      </c>
      <c r="BD945" s="26" t="s">
        <v>54</v>
      </c>
    </row>
    <row r="946" spans="55:56" ht="15.75">
      <c r="BC946" s="7" t="s">
        <v>1211</v>
      </c>
      <c r="BD946" s="26" t="s">
        <v>54</v>
      </c>
    </row>
    <row r="947" spans="55:56" ht="15.75">
      <c r="BC947" s="7" t="s">
        <v>1212</v>
      </c>
      <c r="BD947" s="26" t="s">
        <v>45</v>
      </c>
    </row>
    <row r="948" spans="55:56" ht="15.75">
      <c r="BC948" s="7" t="s">
        <v>1213</v>
      </c>
      <c r="BD948" s="26" t="s">
        <v>34</v>
      </c>
    </row>
    <row r="949" spans="55:56" ht="15.75">
      <c r="BC949" s="7" t="s">
        <v>1214</v>
      </c>
      <c r="BD949" s="26" t="s">
        <v>52</v>
      </c>
    </row>
    <row r="950" spans="55:56" ht="15.75">
      <c r="BC950" s="7" t="s">
        <v>1215</v>
      </c>
      <c r="BD950" s="26" t="s">
        <v>54</v>
      </c>
    </row>
    <row r="951" spans="55:56" ht="15.75">
      <c r="BC951" s="7" t="s">
        <v>1216</v>
      </c>
      <c r="BD951" s="26" t="s">
        <v>114</v>
      </c>
    </row>
    <row r="952" spans="55:56" ht="15.75">
      <c r="BC952" s="7" t="s">
        <v>1217</v>
      </c>
      <c r="BD952" s="26" t="s">
        <v>114</v>
      </c>
    </row>
    <row r="953" spans="55:56" ht="15.75">
      <c r="BC953" s="7" t="s">
        <v>1218</v>
      </c>
      <c r="BD953" s="26" t="s">
        <v>54</v>
      </c>
    </row>
    <row r="954" spans="55:56" ht="15.75">
      <c r="BC954" s="7" t="s">
        <v>1219</v>
      </c>
      <c r="BD954" s="26" t="s">
        <v>31</v>
      </c>
    </row>
    <row r="955" spans="55:56" ht="15.75">
      <c r="BC955" s="7" t="s">
        <v>1220</v>
      </c>
      <c r="BD955" s="26" t="s">
        <v>31</v>
      </c>
    </row>
    <row r="956" spans="55:56" ht="15.75">
      <c r="BC956" s="7" t="s">
        <v>1221</v>
      </c>
      <c r="BD956" s="26" t="s">
        <v>54</v>
      </c>
    </row>
    <row r="957" spans="55:56" ht="15.75">
      <c r="BC957" s="7" t="s">
        <v>1222</v>
      </c>
      <c r="BD957" s="26" t="s">
        <v>54</v>
      </c>
    </row>
    <row r="958" spans="55:56" ht="15.75">
      <c r="BC958" s="7" t="s">
        <v>1223</v>
      </c>
      <c r="BD958" s="26" t="s">
        <v>54</v>
      </c>
    </row>
    <row r="959" spans="55:56" ht="15.75">
      <c r="BC959" s="7" t="s">
        <v>1224</v>
      </c>
      <c r="BD959" s="26" t="s">
        <v>54</v>
      </c>
    </row>
    <row r="960" spans="55:56" ht="15.75">
      <c r="BC960" s="7" t="s">
        <v>1225</v>
      </c>
      <c r="BD960" s="26" t="s">
        <v>31</v>
      </c>
    </row>
    <row r="961" spans="55:56" ht="15.75">
      <c r="BC961" s="7" t="s">
        <v>1226</v>
      </c>
      <c r="BD961" s="26" t="s">
        <v>54</v>
      </c>
    </row>
    <row r="962" spans="55:56" ht="15.75">
      <c r="BC962" s="7" t="s">
        <v>1227</v>
      </c>
      <c r="BD962" s="26" t="s">
        <v>54</v>
      </c>
    </row>
    <row r="963" spans="55:56" ht="15.75">
      <c r="BC963" s="7" t="s">
        <v>1228</v>
      </c>
      <c r="BD963" s="26" t="s">
        <v>52</v>
      </c>
    </row>
    <row r="964" spans="55:56" ht="15.75">
      <c r="BC964" s="7" t="s">
        <v>1229</v>
      </c>
      <c r="BD964" s="26" t="s">
        <v>34</v>
      </c>
    </row>
    <row r="965" spans="55:56" ht="15.75">
      <c r="BC965" s="7" t="s">
        <v>1230</v>
      </c>
      <c r="BD965" s="26" t="s">
        <v>34</v>
      </c>
    </row>
    <row r="966" spans="55:56" ht="15.75">
      <c r="BC966" s="7" t="s">
        <v>1231</v>
      </c>
      <c r="BD966" s="26" t="s">
        <v>41</v>
      </c>
    </row>
    <row r="967" spans="55:56" ht="15.75">
      <c r="BC967" s="7" t="s">
        <v>1232</v>
      </c>
      <c r="BD967" s="26" t="s">
        <v>54</v>
      </c>
    </row>
    <row r="968" spans="55:56" ht="15.75">
      <c r="BC968" s="7" t="s">
        <v>1233</v>
      </c>
      <c r="BD968" s="26" t="s">
        <v>54</v>
      </c>
    </row>
    <row r="969" spans="55:56" ht="15.75">
      <c r="BC969" s="7" t="s">
        <v>1234</v>
      </c>
      <c r="BD969" s="26" t="s">
        <v>54</v>
      </c>
    </row>
    <row r="970" spans="55:56" ht="15.75">
      <c r="BC970" s="7" t="s">
        <v>1235</v>
      </c>
      <c r="BD970" s="26" t="s">
        <v>54</v>
      </c>
    </row>
    <row r="971" spans="55:56" ht="15.75">
      <c r="BC971" s="7" t="s">
        <v>1236</v>
      </c>
      <c r="BD971" s="26" t="s">
        <v>54</v>
      </c>
    </row>
    <row r="972" spans="55:56" ht="15.75">
      <c r="BC972" s="7" t="s">
        <v>1237</v>
      </c>
      <c r="BD972" s="26" t="s">
        <v>54</v>
      </c>
    </row>
    <row r="973" spans="55:56" ht="15.75">
      <c r="BC973" s="7" t="s">
        <v>1238</v>
      </c>
      <c r="BD973" s="26" t="s">
        <v>54</v>
      </c>
    </row>
    <row r="974" spans="55:56" ht="15.75">
      <c r="BC974" s="7" t="s">
        <v>1239</v>
      </c>
      <c r="BD974" s="26" t="s">
        <v>54</v>
      </c>
    </row>
    <row r="975" spans="55:56" ht="15.75">
      <c r="BC975" s="7" t="s">
        <v>1240</v>
      </c>
      <c r="BD975" s="26" t="s">
        <v>107</v>
      </c>
    </row>
    <row r="976" spans="55:56" ht="15.75">
      <c r="BC976" s="7" t="s">
        <v>1241</v>
      </c>
      <c r="BD976" s="26" t="s">
        <v>54</v>
      </c>
    </row>
    <row r="977" spans="55:56" ht="15.75">
      <c r="BC977" s="7" t="s">
        <v>1242</v>
      </c>
      <c r="BD977" s="26" t="s">
        <v>54</v>
      </c>
    </row>
    <row r="978" spans="55:56" ht="15.75">
      <c r="BC978" s="7" t="s">
        <v>1243</v>
      </c>
      <c r="BD978" s="26" t="s">
        <v>54</v>
      </c>
    </row>
    <row r="979" spans="55:56" ht="15.75">
      <c r="BC979" s="7" t="s">
        <v>1244</v>
      </c>
      <c r="BD979" s="26" t="s">
        <v>54</v>
      </c>
    </row>
    <row r="980" spans="55:56" ht="15.75">
      <c r="BC980" s="7" t="s">
        <v>1245</v>
      </c>
      <c r="BD980" s="26" t="s">
        <v>54</v>
      </c>
    </row>
    <row r="981" spans="55:56" ht="15.75">
      <c r="BC981" s="7" t="s">
        <v>1246</v>
      </c>
      <c r="BD981" s="26" t="s">
        <v>54</v>
      </c>
    </row>
    <row r="982" spans="55:56" ht="15.75">
      <c r="BC982" s="7" t="s">
        <v>1247</v>
      </c>
      <c r="BD982" s="26" t="s">
        <v>54</v>
      </c>
    </row>
    <row r="983" spans="55:56" ht="15.75">
      <c r="BC983" s="7" t="s">
        <v>1248</v>
      </c>
      <c r="BD983" s="26" t="s">
        <v>54</v>
      </c>
    </row>
    <row r="984" spans="55:56" ht="15.75">
      <c r="BC984" s="7" t="s">
        <v>1249</v>
      </c>
      <c r="BD984" s="26" t="s">
        <v>54</v>
      </c>
    </row>
    <row r="985" spans="55:56" ht="15.75">
      <c r="BC985" s="7" t="s">
        <v>1250</v>
      </c>
      <c r="BD985" s="26" t="s">
        <v>54</v>
      </c>
    </row>
    <row r="986" spans="55:56" ht="15.75">
      <c r="BC986" s="7" t="s">
        <v>1251</v>
      </c>
      <c r="BD986" s="26" t="s">
        <v>110</v>
      </c>
    </row>
    <row r="987" spans="55:56" ht="15.75">
      <c r="BC987" s="7" t="s">
        <v>1252</v>
      </c>
      <c r="BD987" s="26" t="s">
        <v>54</v>
      </c>
    </row>
    <row r="988" spans="55:56" ht="15.75">
      <c r="BC988" s="7" t="s">
        <v>1253</v>
      </c>
      <c r="BD988" s="26" t="s">
        <v>54</v>
      </c>
    </row>
    <row r="989" spans="55:56" ht="15.75">
      <c r="BC989" s="7" t="s">
        <v>1254</v>
      </c>
      <c r="BD989" s="26" t="s">
        <v>54</v>
      </c>
    </row>
    <row r="990" spans="55:56" ht="15.75">
      <c r="BC990" s="7" t="s">
        <v>1255</v>
      </c>
      <c r="BD990" s="26" t="s">
        <v>54</v>
      </c>
    </row>
    <row r="991" spans="55:56" ht="15.75">
      <c r="BC991" s="7" t="s">
        <v>1256</v>
      </c>
      <c r="BD991" s="26" t="s">
        <v>54</v>
      </c>
    </row>
    <row r="992" spans="55:56" ht="15.75">
      <c r="BC992" s="7" t="s">
        <v>1257</v>
      </c>
      <c r="BD992" s="26" t="s">
        <v>54</v>
      </c>
    </row>
    <row r="993" spans="55:648" ht="15.75">
      <c r="BC993" s="7" t="s">
        <v>1258</v>
      </c>
      <c r="BD993" s="26" t="s">
        <v>52</v>
      </c>
    </row>
    <row r="994" spans="55:648" ht="15.75">
      <c r="BC994" s="7" t="s">
        <v>1259</v>
      </c>
      <c r="BD994" s="26" t="s">
        <v>54</v>
      </c>
    </row>
    <row r="995" spans="55:648" ht="15.75">
      <c r="BC995" s="7" t="s">
        <v>1260</v>
      </c>
      <c r="BD995" s="26" t="s">
        <v>54</v>
      </c>
    </row>
    <row r="996" spans="55:648" ht="15.75">
      <c r="BC996" s="7" t="s">
        <v>1261</v>
      </c>
      <c r="BD996" s="26" t="s">
        <v>54</v>
      </c>
    </row>
    <row r="997" spans="55:648" ht="15.75">
      <c r="BC997" s="7" t="s">
        <v>1262</v>
      </c>
      <c r="BD997" s="26" t="s">
        <v>54</v>
      </c>
    </row>
    <row r="998" spans="55:648" ht="15.75">
      <c r="BC998" s="7" t="s">
        <v>1263</v>
      </c>
      <c r="BD998" s="26" t="s">
        <v>54</v>
      </c>
    </row>
    <row r="999" spans="55:648" ht="15.75">
      <c r="BC999" s="7" t="s">
        <v>1264</v>
      </c>
      <c r="BD999" s="26" t="s">
        <v>54</v>
      </c>
    </row>
    <row r="1000" spans="55:648" ht="15.75">
      <c r="BC1000" s="7" t="s">
        <v>143</v>
      </c>
      <c r="BD1000" s="26" t="s">
        <v>114</v>
      </c>
      <c r="XX1000" s="130">
        <v>125713</v>
      </c>
    </row>
    <row r="1001" spans="55:648" ht="15.75">
      <c r="BC1001" s="7" t="s">
        <v>1265</v>
      </c>
      <c r="BD1001" s="26" t="s">
        <v>54</v>
      </c>
    </row>
    <row r="1002" spans="55:648" ht="15.75">
      <c r="BC1002" s="7" t="s">
        <v>1266</v>
      </c>
      <c r="BD1002" s="26" t="s">
        <v>31</v>
      </c>
    </row>
    <row r="1003" spans="55:648" ht="15.75">
      <c r="BC1003" s="7" t="s">
        <v>1267</v>
      </c>
      <c r="BD1003" s="26" t="s">
        <v>45</v>
      </c>
    </row>
    <row r="1004" spans="55:648" ht="15.75">
      <c r="BC1004" s="7" t="s">
        <v>1268</v>
      </c>
      <c r="BD1004" s="26" t="s">
        <v>34</v>
      </c>
    </row>
    <row r="1005" spans="55:648" ht="15.75">
      <c r="BC1005" s="7" t="s">
        <v>1269</v>
      </c>
      <c r="BD1005" s="26" t="s">
        <v>34</v>
      </c>
    </row>
    <row r="1006" spans="55:648" ht="15.75">
      <c r="BC1006" s="7" t="s">
        <v>1270</v>
      </c>
      <c r="BD1006" s="26" t="s">
        <v>41</v>
      </c>
    </row>
    <row r="1007" spans="55:648" ht="15.75">
      <c r="BC1007" s="7" t="s">
        <v>1271</v>
      </c>
      <c r="BD1007" s="26" t="s">
        <v>37</v>
      </c>
    </row>
    <row r="1008" spans="55:648" ht="15.75">
      <c r="BC1008" s="7" t="s">
        <v>1272</v>
      </c>
      <c r="BD1008" s="26" t="s">
        <v>47</v>
      </c>
    </row>
    <row r="1009" spans="55:56" ht="15.75">
      <c r="BC1009" s="7" t="s">
        <v>1273</v>
      </c>
      <c r="BD1009" s="26" t="s">
        <v>54</v>
      </c>
    </row>
    <row r="1010" spans="55:56" ht="15.75">
      <c r="BC1010" s="7" t="s">
        <v>1274</v>
      </c>
      <c r="BD1010" s="26" t="s">
        <v>54</v>
      </c>
    </row>
    <row r="1011" spans="55:56" ht="15.75">
      <c r="BC1011" s="7" t="s">
        <v>1275</v>
      </c>
      <c r="BD1011" s="26" t="s">
        <v>54</v>
      </c>
    </row>
    <row r="1012" spans="55:56" ht="15.75">
      <c r="BC1012" s="7" t="s">
        <v>1276</v>
      </c>
      <c r="BD1012" s="26" t="s">
        <v>54</v>
      </c>
    </row>
    <row r="1013" spans="55:56" ht="15.75">
      <c r="BC1013" s="7" t="s">
        <v>1277</v>
      </c>
      <c r="BD1013" s="26" t="s">
        <v>54</v>
      </c>
    </row>
    <row r="1014" spans="55:56" ht="15.75">
      <c r="BC1014" s="7" t="s">
        <v>1278</v>
      </c>
      <c r="BD1014" s="26" t="s">
        <v>31</v>
      </c>
    </row>
    <row r="1015" spans="55:56" ht="15.75">
      <c r="BC1015" s="7" t="s">
        <v>1279</v>
      </c>
      <c r="BD1015" s="26" t="s">
        <v>54</v>
      </c>
    </row>
    <row r="1016" spans="55:56" ht="15.75">
      <c r="BC1016" s="7" t="s">
        <v>1280</v>
      </c>
      <c r="BD1016" s="26" t="s">
        <v>54</v>
      </c>
    </row>
    <row r="1017" spans="55:56" ht="15.75">
      <c r="BC1017" s="7" t="s">
        <v>1281</v>
      </c>
      <c r="BD1017" s="26" t="s">
        <v>54</v>
      </c>
    </row>
    <row r="1018" spans="55:56" ht="15.75">
      <c r="BC1018" s="7" t="s">
        <v>1282</v>
      </c>
      <c r="BD1018" s="26" t="s">
        <v>54</v>
      </c>
    </row>
    <row r="1019" spans="55:56" ht="15.75">
      <c r="BC1019" s="7" t="s">
        <v>1283</v>
      </c>
      <c r="BD1019" s="26" t="s">
        <v>52</v>
      </c>
    </row>
    <row r="1020" spans="55:56" ht="15.75">
      <c r="BC1020" s="7" t="s">
        <v>1284</v>
      </c>
      <c r="BD1020" s="26" t="s">
        <v>34</v>
      </c>
    </row>
    <row r="1021" spans="55:56" ht="15.75">
      <c r="BC1021" s="7" t="s">
        <v>1285</v>
      </c>
      <c r="BD1021" s="26" t="s">
        <v>41</v>
      </c>
    </row>
    <row r="1022" spans="55:56" ht="15.75">
      <c r="BC1022" s="7" t="s">
        <v>1286</v>
      </c>
      <c r="BD1022" s="26" t="s">
        <v>54</v>
      </c>
    </row>
    <row r="1023" spans="55:56" ht="15.75">
      <c r="BC1023" s="7" t="s">
        <v>1287</v>
      </c>
      <c r="BD1023" s="26" t="s">
        <v>107</v>
      </c>
    </row>
    <row r="1024" spans="55:56" ht="15.75">
      <c r="BC1024" s="7" t="s">
        <v>1288</v>
      </c>
      <c r="BD1024" s="26" t="s">
        <v>54</v>
      </c>
    </row>
    <row r="1025" spans="55:56" ht="15.75">
      <c r="BC1025" s="7" t="s">
        <v>1289</v>
      </c>
      <c r="BD1025" s="26" t="s">
        <v>54</v>
      </c>
    </row>
    <row r="1026" spans="55:56" ht="15.75">
      <c r="BC1026" s="7" t="s">
        <v>1290</v>
      </c>
      <c r="BD1026" s="26" t="s">
        <v>54</v>
      </c>
    </row>
    <row r="1027" spans="55:56" ht="15.75">
      <c r="BC1027" s="7" t="s">
        <v>1291</v>
      </c>
      <c r="BD1027" s="26" t="s">
        <v>37</v>
      </c>
    </row>
    <row r="1028" spans="55:56" ht="15.75">
      <c r="BC1028" s="7" t="s">
        <v>1292</v>
      </c>
      <c r="BD1028" s="26" t="s">
        <v>34</v>
      </c>
    </row>
    <row r="1029" spans="55:56" ht="15.75">
      <c r="BC1029" s="7" t="s">
        <v>1293</v>
      </c>
      <c r="BD1029" s="26" t="s">
        <v>41</v>
      </c>
    </row>
    <row r="1030" spans="55:56" ht="15.75">
      <c r="BC1030" s="7" t="s">
        <v>1294</v>
      </c>
      <c r="BD1030" s="26" t="s">
        <v>54</v>
      </c>
    </row>
    <row r="1031" spans="55:56" ht="15.75">
      <c r="BC1031" s="7" t="s">
        <v>1295</v>
      </c>
      <c r="BD1031" s="26" t="s">
        <v>54</v>
      </c>
    </row>
    <row r="1032" spans="55:56" ht="15.75">
      <c r="BC1032" s="7" t="s">
        <v>142</v>
      </c>
      <c r="BD1032" s="26" t="s">
        <v>49</v>
      </c>
    </row>
    <row r="1033" spans="55:56" ht="15.75">
      <c r="BC1033" s="7" t="s">
        <v>1296</v>
      </c>
      <c r="BD1033" s="26" t="s">
        <v>54</v>
      </c>
    </row>
    <row r="1034" spans="55:56" ht="15.75">
      <c r="BC1034" s="7" t="s">
        <v>1297</v>
      </c>
      <c r="BD1034" s="26" t="s">
        <v>110</v>
      </c>
    </row>
    <row r="1035" spans="55:56" ht="15.75">
      <c r="BC1035" s="7" t="s">
        <v>1298</v>
      </c>
      <c r="BD1035" s="26" t="s">
        <v>54</v>
      </c>
    </row>
    <row r="1036" spans="55:56" ht="15.75">
      <c r="BC1036" s="7" t="s">
        <v>1299</v>
      </c>
      <c r="BD1036" s="26" t="s">
        <v>52</v>
      </c>
    </row>
    <row r="1037" spans="55:56" ht="15.75">
      <c r="BC1037" s="7" t="s">
        <v>1300</v>
      </c>
      <c r="BD1037" s="26" t="s">
        <v>54</v>
      </c>
    </row>
    <row r="1038" spans="55:56" ht="15.75">
      <c r="BC1038" s="7" t="s">
        <v>1301</v>
      </c>
      <c r="BD1038" s="26" t="s">
        <v>37</v>
      </c>
    </row>
    <row r="1039" spans="55:56" ht="15.75">
      <c r="BC1039" s="7" t="s">
        <v>1302</v>
      </c>
      <c r="BD1039" s="26" t="s">
        <v>34</v>
      </c>
    </row>
    <row r="1040" spans="55:56" ht="15.75">
      <c r="BC1040" s="7" t="s">
        <v>1303</v>
      </c>
      <c r="BD1040" s="26" t="s">
        <v>41</v>
      </c>
    </row>
    <row r="1041" spans="55:56" ht="15.75">
      <c r="BC1041" s="7" t="s">
        <v>1304</v>
      </c>
      <c r="BD1041" s="26" t="s">
        <v>31</v>
      </c>
    </row>
    <row r="1042" spans="55:56" ht="15.75">
      <c r="BC1042" s="7" t="s">
        <v>1305</v>
      </c>
      <c r="BD1042" s="26" t="s">
        <v>54</v>
      </c>
    </row>
    <row r="1043" spans="55:56" ht="15.75">
      <c r="BC1043" s="7" t="s">
        <v>1306</v>
      </c>
      <c r="BD1043" s="26" t="s">
        <v>49</v>
      </c>
    </row>
    <row r="1044" spans="55:56" ht="15.75">
      <c r="BC1044" s="7" t="s">
        <v>1307</v>
      </c>
      <c r="BD1044" s="26" t="s">
        <v>34</v>
      </c>
    </row>
    <row r="1045" spans="55:56" ht="15.75">
      <c r="BC1045" s="7" t="s">
        <v>1308</v>
      </c>
      <c r="BD1045" s="26" t="s">
        <v>34</v>
      </c>
    </row>
    <row r="1046" spans="55:56" ht="15.75">
      <c r="BC1046" s="7" t="s">
        <v>1309</v>
      </c>
      <c r="BD1046" s="26" t="s">
        <v>41</v>
      </c>
    </row>
    <row r="1047" spans="55:56" ht="15.75">
      <c r="BC1047" s="7" t="s">
        <v>1310</v>
      </c>
      <c r="BD1047" s="26" t="s">
        <v>54</v>
      </c>
    </row>
    <row r="1048" spans="55:56" ht="15.75">
      <c r="BC1048" s="7" t="s">
        <v>1311</v>
      </c>
      <c r="BD1048" s="26" t="s">
        <v>54</v>
      </c>
    </row>
    <row r="1049" spans="55:56" ht="15.75">
      <c r="BC1049" s="7" t="s">
        <v>1312</v>
      </c>
      <c r="BD1049" s="26" t="s">
        <v>54</v>
      </c>
    </row>
    <row r="1050" spans="55:56" ht="15.75">
      <c r="BC1050" s="7" t="s">
        <v>1313</v>
      </c>
      <c r="BD1050" s="26" t="s">
        <v>31</v>
      </c>
    </row>
    <row r="1051" spans="55:56" ht="15.75">
      <c r="BC1051" s="7" t="s">
        <v>1314</v>
      </c>
      <c r="BD1051" s="26" t="s">
        <v>37</v>
      </c>
    </row>
    <row r="1052" spans="55:56" ht="15.75">
      <c r="BC1052" s="7" t="s">
        <v>1315</v>
      </c>
      <c r="BD1052" s="26" t="s">
        <v>34</v>
      </c>
    </row>
    <row r="1053" spans="55:56" ht="15.75">
      <c r="BC1053" s="7" t="s">
        <v>1316</v>
      </c>
      <c r="BD1053" s="26" t="s">
        <v>34</v>
      </c>
    </row>
    <row r="1054" spans="55:56" ht="15.75">
      <c r="BC1054" s="7" t="s">
        <v>1317</v>
      </c>
      <c r="BD1054" s="26" t="s">
        <v>47</v>
      </c>
    </row>
    <row r="1055" spans="55:56" ht="15.75">
      <c r="BC1055" s="7" t="s">
        <v>1318</v>
      </c>
      <c r="BD1055" s="26" t="s">
        <v>45</v>
      </c>
    </row>
    <row r="1056" spans="55:56" ht="15.75">
      <c r="BC1056" s="7" t="s">
        <v>1319</v>
      </c>
      <c r="BD1056" s="26" t="s">
        <v>41</v>
      </c>
    </row>
    <row r="1057" spans="55:56" ht="15.75">
      <c r="BC1057" s="7" t="s">
        <v>1320</v>
      </c>
      <c r="BD1057" s="26" t="s">
        <v>54</v>
      </c>
    </row>
    <row r="1058" spans="55:56" ht="15.75">
      <c r="BC1058" s="7" t="s">
        <v>1321</v>
      </c>
      <c r="BD1058" s="26" t="s">
        <v>54</v>
      </c>
    </row>
    <row r="1059" spans="55:56" ht="15.75">
      <c r="BC1059" s="7" t="s">
        <v>1322</v>
      </c>
      <c r="BD1059" s="26" t="s">
        <v>54</v>
      </c>
    </row>
    <row r="1060" spans="55:56" ht="15.75">
      <c r="BC1060" s="7" t="s">
        <v>1323</v>
      </c>
      <c r="BD1060" s="26" t="s">
        <v>115</v>
      </c>
    </row>
    <row r="1061" spans="55:56" ht="15.75">
      <c r="BC1061" s="7" t="s">
        <v>1324</v>
      </c>
      <c r="BD1061" s="26" t="s">
        <v>54</v>
      </c>
    </row>
    <row r="1062" spans="55:56" ht="15.75">
      <c r="BC1062" s="7" t="s">
        <v>1325</v>
      </c>
      <c r="BD1062" s="26" t="s">
        <v>45</v>
      </c>
    </row>
    <row r="1063" spans="55:56" ht="15.75">
      <c r="BC1063" s="7" t="s">
        <v>1326</v>
      </c>
      <c r="BD1063" s="26" t="s">
        <v>41</v>
      </c>
    </row>
    <row r="1064" spans="55:56" ht="15.75">
      <c r="BC1064" s="7" t="s">
        <v>1327</v>
      </c>
      <c r="BD1064" s="26" t="s">
        <v>54</v>
      </c>
    </row>
    <row r="1065" spans="55:56" ht="15.75">
      <c r="BC1065" s="7" t="s">
        <v>1328</v>
      </c>
      <c r="BD1065" s="26" t="s">
        <v>54</v>
      </c>
    </row>
    <row r="1066" spans="55:56" ht="15.75">
      <c r="BC1066" s="7" t="s">
        <v>1329</v>
      </c>
      <c r="BD1066" s="26" t="s">
        <v>54</v>
      </c>
    </row>
    <row r="1067" spans="55:56" ht="15.75">
      <c r="BC1067" s="7" t="s">
        <v>1330</v>
      </c>
      <c r="BD1067" s="26" t="s">
        <v>54</v>
      </c>
    </row>
    <row r="1068" spans="55:56" ht="15.75">
      <c r="BC1068" s="7" t="s">
        <v>1331</v>
      </c>
      <c r="BD1068" s="26" t="s">
        <v>54</v>
      </c>
    </row>
    <row r="1069" spans="55:56" ht="15.75">
      <c r="BC1069" s="7" t="s">
        <v>1332</v>
      </c>
      <c r="BD1069" s="26" t="s">
        <v>31</v>
      </c>
    </row>
    <row r="1070" spans="55:56" ht="15.75">
      <c r="BC1070" s="7" t="s">
        <v>1333</v>
      </c>
      <c r="BD1070" s="26" t="s">
        <v>54</v>
      </c>
    </row>
    <row r="1071" spans="55:56" ht="15.75">
      <c r="BC1071" s="7" t="s">
        <v>1334</v>
      </c>
      <c r="BD1071" s="26" t="s">
        <v>107</v>
      </c>
    </row>
    <row r="1072" spans="55:56" ht="15.75">
      <c r="BC1072" s="7" t="s">
        <v>1335</v>
      </c>
      <c r="BD1072" s="26" t="s">
        <v>54</v>
      </c>
    </row>
    <row r="1073" spans="55:56" ht="15.75">
      <c r="BC1073" s="7" t="s">
        <v>1336</v>
      </c>
      <c r="BD1073" s="26" t="s">
        <v>54</v>
      </c>
    </row>
    <row r="1074" spans="55:56" ht="15.75">
      <c r="BC1074" s="7" t="s">
        <v>1337</v>
      </c>
      <c r="BD1074" s="26" t="s">
        <v>37</v>
      </c>
    </row>
    <row r="1075" spans="55:56" ht="15.75">
      <c r="BC1075" s="7" t="s">
        <v>1338</v>
      </c>
      <c r="BD1075" s="26" t="s">
        <v>47</v>
      </c>
    </row>
    <row r="1076" spans="55:56" ht="15.75">
      <c r="BC1076" s="7" t="s">
        <v>1339</v>
      </c>
      <c r="BD1076" s="26" t="s">
        <v>54</v>
      </c>
    </row>
    <row r="1077" spans="55:56" ht="15.75">
      <c r="BC1077" s="7" t="s">
        <v>1340</v>
      </c>
      <c r="BD1077" s="26" t="s">
        <v>45</v>
      </c>
    </row>
    <row r="1078" spans="55:56" ht="15.75">
      <c r="BC1078" s="7" t="s">
        <v>1341</v>
      </c>
      <c r="BD1078" s="26" t="s">
        <v>41</v>
      </c>
    </row>
    <row r="1079" spans="55:56" ht="15.75">
      <c r="BC1079" s="7" t="s">
        <v>1342</v>
      </c>
      <c r="BD1079" s="26" t="s">
        <v>54</v>
      </c>
    </row>
    <row r="1080" spans="55:56" ht="15.75">
      <c r="BC1080" s="7" t="s">
        <v>1343</v>
      </c>
      <c r="BD1080" s="26" t="s">
        <v>31</v>
      </c>
    </row>
    <row r="1081" spans="55:56" ht="15.75">
      <c r="BC1081" s="7" t="s">
        <v>1344</v>
      </c>
      <c r="BD1081" s="26" t="s">
        <v>54</v>
      </c>
    </row>
    <row r="1082" spans="55:56" ht="15.75">
      <c r="BC1082" s="7" t="s">
        <v>138</v>
      </c>
      <c r="BD1082" s="26" t="s">
        <v>110</v>
      </c>
    </row>
    <row r="1083" spans="55:56" ht="15.75">
      <c r="BC1083" s="7" t="s">
        <v>1345</v>
      </c>
      <c r="BD1083" s="26" t="s">
        <v>54</v>
      </c>
    </row>
    <row r="1084" spans="55:56" ht="15.75">
      <c r="BC1084" s="7" t="s">
        <v>1346</v>
      </c>
      <c r="BD1084" s="26" t="s">
        <v>31</v>
      </c>
    </row>
    <row r="1085" spans="55:56" ht="15.75">
      <c r="BC1085" s="7" t="s">
        <v>1347</v>
      </c>
      <c r="BD1085" s="26" t="s">
        <v>54</v>
      </c>
    </row>
    <row r="1086" spans="55:56" ht="15.75">
      <c r="BC1086" s="7" t="s">
        <v>1348</v>
      </c>
      <c r="BD1086" s="26" t="s">
        <v>31</v>
      </c>
    </row>
    <row r="1087" spans="55:56" ht="15.75">
      <c r="BC1087" s="7" t="s">
        <v>1349</v>
      </c>
      <c r="BD1087" s="26" t="s">
        <v>54</v>
      </c>
    </row>
    <row r="1088" spans="55:56" ht="15.75">
      <c r="BC1088" s="7" t="s">
        <v>1350</v>
      </c>
      <c r="BD1088" s="26" t="s">
        <v>45</v>
      </c>
    </row>
    <row r="1089" spans="55:56" ht="15.75">
      <c r="BC1089" s="7" t="s">
        <v>1351</v>
      </c>
      <c r="BD1089" s="26" t="s">
        <v>47</v>
      </c>
    </row>
    <row r="1090" spans="55:56" ht="15.75">
      <c r="BC1090" s="7" t="s">
        <v>1352</v>
      </c>
      <c r="BD1090" s="26" t="s">
        <v>54</v>
      </c>
    </row>
    <row r="1091" spans="55:56" ht="15.75">
      <c r="BC1091" s="7" t="s">
        <v>1353</v>
      </c>
      <c r="BD1091" s="26" t="s">
        <v>54</v>
      </c>
    </row>
    <row r="1092" spans="55:56" ht="15.75">
      <c r="BC1092" s="7" t="s">
        <v>1354</v>
      </c>
      <c r="BD1092" s="26" t="s">
        <v>54</v>
      </c>
    </row>
    <row r="1093" spans="55:56" ht="15.75">
      <c r="BC1093" s="7" t="s">
        <v>1355</v>
      </c>
      <c r="BD1093" s="26" t="s">
        <v>54</v>
      </c>
    </row>
    <row r="1094" spans="55:56" ht="15.75">
      <c r="BC1094" s="7" t="s">
        <v>1356</v>
      </c>
      <c r="BD1094" s="26" t="s">
        <v>45</v>
      </c>
    </row>
    <row r="1095" spans="55:56" ht="15.75">
      <c r="BC1095" s="7" t="s">
        <v>1357</v>
      </c>
      <c r="BD1095" s="26" t="s">
        <v>34</v>
      </c>
    </row>
    <row r="1096" spans="55:56" ht="15.75">
      <c r="BC1096" s="7" t="s">
        <v>1358</v>
      </c>
      <c r="BD1096" s="26" t="s">
        <v>41</v>
      </c>
    </row>
    <row r="1097" spans="55:56" ht="15.75">
      <c r="BC1097" s="7" t="s">
        <v>1359</v>
      </c>
      <c r="BD1097" s="26" t="s">
        <v>54</v>
      </c>
    </row>
    <row r="1098" spans="55:56" ht="15.75">
      <c r="BC1098" s="7" t="s">
        <v>1360</v>
      </c>
      <c r="BD1098" s="26" t="s">
        <v>31</v>
      </c>
    </row>
    <row r="1099" spans="55:56" ht="15.75">
      <c r="BC1099" s="7" t="s">
        <v>1361</v>
      </c>
      <c r="BD1099" s="26" t="s">
        <v>45</v>
      </c>
    </row>
    <row r="1100" spans="55:56" ht="15.75">
      <c r="BC1100" s="7" t="s">
        <v>1362</v>
      </c>
      <c r="BD1100" s="26" t="s">
        <v>34</v>
      </c>
    </row>
    <row r="1101" spans="55:56" ht="15.75">
      <c r="BC1101" s="7" t="s">
        <v>1363</v>
      </c>
      <c r="BD1101" s="26" t="s">
        <v>34</v>
      </c>
    </row>
    <row r="1102" spans="55:56" ht="15.75">
      <c r="BC1102" s="7" t="s">
        <v>1364</v>
      </c>
      <c r="BD1102" s="26" t="s">
        <v>41</v>
      </c>
    </row>
    <row r="1103" spans="55:56" ht="15.75">
      <c r="BC1103" s="7" t="s">
        <v>1365</v>
      </c>
      <c r="BD1103" s="26" t="s">
        <v>37</v>
      </c>
    </row>
    <row r="1104" spans="55:56" ht="15.75">
      <c r="BC1104" s="7" t="s">
        <v>1366</v>
      </c>
      <c r="BD1104" s="26" t="s">
        <v>47</v>
      </c>
    </row>
    <row r="1105" spans="55:56" ht="15.75">
      <c r="BC1105" s="7" t="s">
        <v>1367</v>
      </c>
      <c r="BD1105" s="26" t="s">
        <v>54</v>
      </c>
    </row>
    <row r="1106" spans="55:56" ht="15.75">
      <c r="BC1106" s="7" t="s">
        <v>1368</v>
      </c>
      <c r="BD1106" s="26" t="s">
        <v>54</v>
      </c>
    </row>
    <row r="1107" spans="55:56" ht="15.75">
      <c r="BC1107" s="7" t="s">
        <v>1369</v>
      </c>
      <c r="BD1107" s="26" t="s">
        <v>54</v>
      </c>
    </row>
    <row r="1108" spans="55:56" ht="15.75">
      <c r="BC1108" s="7" t="s">
        <v>1370</v>
      </c>
      <c r="BD1108" s="26" t="s">
        <v>115</v>
      </c>
    </row>
    <row r="1109" spans="55:56" ht="15.75">
      <c r="BC1109" s="7" t="s">
        <v>1371</v>
      </c>
      <c r="BD1109" s="26" t="s">
        <v>54</v>
      </c>
    </row>
    <row r="1110" spans="55:56" ht="15.75">
      <c r="BC1110" s="7" t="s">
        <v>1372</v>
      </c>
      <c r="BD1110" s="26" t="s">
        <v>54</v>
      </c>
    </row>
    <row r="1111" spans="55:56" ht="15.75">
      <c r="BC1111" s="7" t="s">
        <v>1373</v>
      </c>
      <c r="BD1111" s="26" t="s">
        <v>31</v>
      </c>
    </row>
    <row r="1112" spans="55:56" ht="15.75">
      <c r="BC1112" s="7" t="s">
        <v>1374</v>
      </c>
      <c r="BD1112" s="26" t="s">
        <v>54</v>
      </c>
    </row>
    <row r="1113" spans="55:56" ht="15.75">
      <c r="BC1113" s="7" t="s">
        <v>1375</v>
      </c>
      <c r="BD1113" s="26" t="s">
        <v>115</v>
      </c>
    </row>
    <row r="1114" spans="55:56" ht="15.75">
      <c r="BC1114" s="7" t="s">
        <v>1376</v>
      </c>
      <c r="BD1114" s="26" t="s">
        <v>115</v>
      </c>
    </row>
    <row r="1115" spans="55:56" ht="15.75">
      <c r="BC1115" s="7" t="s">
        <v>1377</v>
      </c>
      <c r="BD1115" s="26" t="s">
        <v>115</v>
      </c>
    </row>
    <row r="1116" spans="55:56" ht="15.75">
      <c r="BC1116" s="7" t="s">
        <v>1378</v>
      </c>
      <c r="BD1116" s="26" t="s">
        <v>54</v>
      </c>
    </row>
    <row r="1117" spans="55:56" ht="15.75">
      <c r="BC1117" s="7" t="s">
        <v>1379</v>
      </c>
      <c r="BD1117" s="26" t="s">
        <v>31</v>
      </c>
    </row>
    <row r="1118" spans="55:56" ht="15.75">
      <c r="BC1118" s="7" t="s">
        <v>1380</v>
      </c>
      <c r="BD1118" s="26" t="s">
        <v>54</v>
      </c>
    </row>
    <row r="1119" spans="55:56" ht="15.75">
      <c r="BC1119" s="7" t="s">
        <v>1381</v>
      </c>
      <c r="BD1119" s="26" t="s">
        <v>107</v>
      </c>
    </row>
    <row r="1120" spans="55:56" ht="15.75">
      <c r="BC1120" s="7" t="s">
        <v>1382</v>
      </c>
      <c r="BD1120" s="26" t="s">
        <v>54</v>
      </c>
    </row>
    <row r="1121" spans="55:56" ht="15.75">
      <c r="BC1121" s="7" t="s">
        <v>1383</v>
      </c>
      <c r="BD1121" s="26" t="s">
        <v>54</v>
      </c>
    </row>
    <row r="1122" spans="55:56" ht="15.75">
      <c r="BC1122" s="7" t="s">
        <v>1384</v>
      </c>
      <c r="BD1122" s="26" t="s">
        <v>31</v>
      </c>
    </row>
    <row r="1123" spans="55:56" ht="15.75">
      <c r="BC1123" s="7" t="s">
        <v>1385</v>
      </c>
      <c r="BD1123" s="26" t="s">
        <v>54</v>
      </c>
    </row>
    <row r="1124" spans="55:56" ht="15.75">
      <c r="BC1124" s="7" t="s">
        <v>1386</v>
      </c>
      <c r="BD1124" s="26" t="s">
        <v>54</v>
      </c>
    </row>
    <row r="1125" spans="55:56" ht="15.75">
      <c r="BC1125" s="7" t="s">
        <v>1387</v>
      </c>
      <c r="BD1125" s="26" t="s">
        <v>54</v>
      </c>
    </row>
    <row r="1126" spans="55:56" ht="15.75">
      <c r="BC1126" s="7" t="s">
        <v>1388</v>
      </c>
      <c r="BD1126" s="26" t="s">
        <v>31</v>
      </c>
    </row>
    <row r="1127" spans="55:56" ht="15.75">
      <c r="BC1127" s="7" t="s">
        <v>1389</v>
      </c>
      <c r="BD1127" s="26" t="s">
        <v>54</v>
      </c>
    </row>
    <row r="1128" spans="55:56" ht="15.75">
      <c r="BC1128" s="7" t="s">
        <v>1390</v>
      </c>
      <c r="BD1128" s="26" t="s">
        <v>31</v>
      </c>
    </row>
    <row r="1129" spans="55:56" ht="15.75">
      <c r="BC1129" s="7" t="s">
        <v>1391</v>
      </c>
      <c r="BD1129" s="26" t="s">
        <v>54</v>
      </c>
    </row>
    <row r="1130" spans="55:56" ht="15.75">
      <c r="BC1130" s="7" t="s">
        <v>1392</v>
      </c>
      <c r="BD1130" s="26" t="s">
        <v>110</v>
      </c>
    </row>
    <row r="1131" spans="55:56" ht="15.75">
      <c r="BC1131" s="7" t="s">
        <v>1393</v>
      </c>
      <c r="BD1131" s="26" t="s">
        <v>54</v>
      </c>
    </row>
    <row r="1132" spans="55:56" ht="15.75">
      <c r="BC1132" s="7" t="s">
        <v>1394</v>
      </c>
      <c r="BD1132" s="26" t="s">
        <v>31</v>
      </c>
    </row>
    <row r="1133" spans="55:56" ht="15.75">
      <c r="BC1133" s="7" t="s">
        <v>1395</v>
      </c>
      <c r="BD1133" s="26" t="s">
        <v>54</v>
      </c>
    </row>
    <row r="1134" spans="55:56" ht="15.75">
      <c r="BC1134" s="7" t="s">
        <v>1396</v>
      </c>
      <c r="BD1134" s="26" t="s">
        <v>31</v>
      </c>
    </row>
    <row r="1135" spans="55:56" ht="15.75">
      <c r="BC1135" s="7" t="s">
        <v>1397</v>
      </c>
      <c r="BD1135" s="26" t="s">
        <v>54</v>
      </c>
    </row>
    <row r="1136" spans="55:56" ht="15.75">
      <c r="BC1136" s="7" t="s">
        <v>1398</v>
      </c>
      <c r="BD1136" s="26" t="s">
        <v>54</v>
      </c>
    </row>
    <row r="1137" spans="55:56" ht="15.75">
      <c r="BC1137" s="7" t="s">
        <v>1399</v>
      </c>
      <c r="BD1137" s="26" t="s">
        <v>54</v>
      </c>
    </row>
    <row r="1138" spans="55:56" ht="15.75">
      <c r="BC1138" s="7" t="s">
        <v>1400</v>
      </c>
      <c r="BD1138" s="26" t="s">
        <v>54</v>
      </c>
    </row>
    <row r="1139" spans="55:56" ht="15.75">
      <c r="BC1139" s="7" t="s">
        <v>1401</v>
      </c>
      <c r="BD1139" s="26" t="s">
        <v>37</v>
      </c>
    </row>
    <row r="1140" spans="55:56" ht="15.75">
      <c r="BC1140" s="7" t="s">
        <v>1402</v>
      </c>
      <c r="BD1140" s="26" t="s">
        <v>34</v>
      </c>
    </row>
    <row r="1141" spans="55:56" ht="15.75">
      <c r="BC1141" s="7" t="s">
        <v>1403</v>
      </c>
      <c r="BD1141" s="26" t="s">
        <v>34</v>
      </c>
    </row>
    <row r="1142" spans="55:56" ht="15.75">
      <c r="BC1142" s="7" t="s">
        <v>1404</v>
      </c>
      <c r="BD1142" s="26" t="s">
        <v>34</v>
      </c>
    </row>
    <row r="1143" spans="55:56" ht="15.75">
      <c r="BC1143" s="7" t="s">
        <v>144</v>
      </c>
      <c r="BD1143" s="26" t="s">
        <v>34</v>
      </c>
    </row>
    <row r="1144" spans="55:56" ht="15.75">
      <c r="BC1144" s="7" t="s">
        <v>1405</v>
      </c>
      <c r="BD1144" s="26" t="s">
        <v>47</v>
      </c>
    </row>
    <row r="1145" spans="55:56" ht="15.75">
      <c r="BC1145" s="7" t="s">
        <v>1406</v>
      </c>
      <c r="BD1145" s="26" t="s">
        <v>52</v>
      </c>
    </row>
    <row r="1146" spans="55:56" ht="15.75">
      <c r="BC1146" s="7" t="s">
        <v>1407</v>
      </c>
      <c r="BD1146" s="26" t="s">
        <v>47</v>
      </c>
    </row>
    <row r="1147" spans="55:56" ht="15.75">
      <c r="BC1147" s="7" t="s">
        <v>1408</v>
      </c>
      <c r="BD1147" s="26" t="s">
        <v>54</v>
      </c>
    </row>
    <row r="1148" spans="55:56" ht="15.75">
      <c r="BC1148" s="7" t="s">
        <v>1409</v>
      </c>
      <c r="BD1148" s="26" t="s">
        <v>54</v>
      </c>
    </row>
    <row r="1149" spans="55:56" ht="15.75">
      <c r="BC1149" s="7" t="s">
        <v>1410</v>
      </c>
      <c r="BD1149" s="26" t="s">
        <v>54</v>
      </c>
    </row>
    <row r="1150" spans="55:56" ht="15.75">
      <c r="BC1150" s="7" t="s">
        <v>1411</v>
      </c>
      <c r="BD1150" s="26" t="s">
        <v>45</v>
      </c>
    </row>
    <row r="1151" spans="55:56" ht="15.75">
      <c r="BC1151" s="7" t="s">
        <v>1412</v>
      </c>
      <c r="BD1151" s="26" t="s">
        <v>47</v>
      </c>
    </row>
    <row r="1152" spans="55:56" ht="15.75">
      <c r="BC1152" s="7" t="s">
        <v>1413</v>
      </c>
      <c r="BD1152" s="26" t="s">
        <v>54</v>
      </c>
    </row>
    <row r="1153" spans="55:56" ht="15.75">
      <c r="BC1153" s="7" t="s">
        <v>1414</v>
      </c>
      <c r="BD1153" s="26" t="s">
        <v>54</v>
      </c>
    </row>
    <row r="1154" spans="55:56" ht="15.75">
      <c r="BC1154" s="7" t="s">
        <v>1415</v>
      </c>
      <c r="BD1154" s="26" t="s">
        <v>54</v>
      </c>
    </row>
    <row r="1155" spans="55:56" ht="15.75">
      <c r="BC1155" s="7" t="s">
        <v>1416</v>
      </c>
      <c r="BD1155" s="26" t="s">
        <v>54</v>
      </c>
    </row>
    <row r="1156" spans="55:56" ht="15.75">
      <c r="BC1156" s="7" t="s">
        <v>1417</v>
      </c>
      <c r="BD1156" s="26" t="s">
        <v>115</v>
      </c>
    </row>
    <row r="1157" spans="55:56" ht="15.75">
      <c r="BC1157" s="7" t="s">
        <v>1418</v>
      </c>
      <c r="BD1157" s="26" t="s">
        <v>115</v>
      </c>
    </row>
    <row r="1158" spans="55:56" ht="15.75">
      <c r="BC1158" s="7" t="s">
        <v>1419</v>
      </c>
      <c r="BD1158" s="26" t="s">
        <v>54</v>
      </c>
    </row>
    <row r="1159" spans="55:56" ht="15.75">
      <c r="BC1159" s="7" t="s">
        <v>1420</v>
      </c>
      <c r="BD1159" s="26" t="s">
        <v>31</v>
      </c>
    </row>
    <row r="1160" spans="55:56" ht="15.75">
      <c r="BC1160" s="7" t="s">
        <v>1421</v>
      </c>
      <c r="BD1160" s="26" t="s">
        <v>54</v>
      </c>
    </row>
    <row r="1161" spans="55:56" ht="15.75">
      <c r="BC1161" s="7" t="s">
        <v>1422</v>
      </c>
      <c r="BD1161" s="26" t="s">
        <v>115</v>
      </c>
    </row>
    <row r="1162" spans="55:56" ht="15.75">
      <c r="BC1162" s="7" t="s">
        <v>1423</v>
      </c>
      <c r="BD1162" s="26" t="s">
        <v>115</v>
      </c>
    </row>
    <row r="1163" spans="55:56" ht="15.75">
      <c r="BC1163" s="7" t="s">
        <v>1424</v>
      </c>
      <c r="BD1163" s="26" t="s">
        <v>115</v>
      </c>
    </row>
    <row r="1164" spans="55:56" ht="15.75">
      <c r="BC1164" s="7" t="s">
        <v>1425</v>
      </c>
      <c r="BD1164" s="26" t="s">
        <v>54</v>
      </c>
    </row>
    <row r="1165" spans="55:56" ht="15.75">
      <c r="BC1165" s="7" t="s">
        <v>1426</v>
      </c>
      <c r="BD1165" s="26" t="s">
        <v>31</v>
      </c>
    </row>
    <row r="1166" spans="55:56" ht="15.75">
      <c r="BC1166" s="7" t="s">
        <v>1427</v>
      </c>
      <c r="BD1166" s="26" t="s">
        <v>54</v>
      </c>
    </row>
    <row r="1167" spans="55:56" ht="15.75">
      <c r="BC1167" s="7" t="s">
        <v>1428</v>
      </c>
      <c r="BD1167" s="26" t="s">
        <v>107</v>
      </c>
    </row>
    <row r="1168" spans="55:56" ht="15.75">
      <c r="BC1168" s="7" t="s">
        <v>1429</v>
      </c>
      <c r="BD1168" s="26" t="s">
        <v>54</v>
      </c>
    </row>
    <row r="1169" spans="55:56" ht="15.75">
      <c r="BC1169" s="7" t="s">
        <v>1430</v>
      </c>
      <c r="BD1169" s="26" t="s">
        <v>54</v>
      </c>
    </row>
    <row r="1170" spans="55:56" ht="15.75">
      <c r="BC1170" s="7" t="s">
        <v>1431</v>
      </c>
      <c r="BD1170" s="26" t="s">
        <v>31</v>
      </c>
    </row>
    <row r="1171" spans="55:56" ht="15.75">
      <c r="BC1171" s="7" t="s">
        <v>1432</v>
      </c>
      <c r="BD1171" s="26" t="s">
        <v>54</v>
      </c>
    </row>
    <row r="1172" spans="55:56" ht="15.75">
      <c r="BC1172" s="7" t="s">
        <v>1433</v>
      </c>
      <c r="BD1172" s="26" t="s">
        <v>54</v>
      </c>
    </row>
    <row r="1173" spans="55:56" ht="15.75">
      <c r="BC1173" s="7" t="s">
        <v>1434</v>
      </c>
      <c r="BD1173" s="26" t="s">
        <v>54</v>
      </c>
    </row>
    <row r="1174" spans="55:56" ht="15.75">
      <c r="BC1174" s="7" t="s">
        <v>1435</v>
      </c>
      <c r="BD1174" s="26" t="s">
        <v>31</v>
      </c>
    </row>
    <row r="1175" spans="55:56" ht="15.75">
      <c r="BC1175" s="7" t="s">
        <v>1436</v>
      </c>
      <c r="BD1175" s="26" t="s">
        <v>54</v>
      </c>
    </row>
    <row r="1176" spans="55:56" ht="15.75">
      <c r="BC1176" s="7" t="s">
        <v>1437</v>
      </c>
      <c r="BD1176" s="26" t="s">
        <v>31</v>
      </c>
    </row>
    <row r="1177" spans="55:56" ht="15.75">
      <c r="BC1177" s="7" t="s">
        <v>1438</v>
      </c>
      <c r="BD1177" s="26" t="s">
        <v>54</v>
      </c>
    </row>
    <row r="1178" spans="55:56" ht="15.75">
      <c r="BC1178" s="7" t="s">
        <v>1439</v>
      </c>
      <c r="BD1178" s="26" t="s">
        <v>110</v>
      </c>
    </row>
    <row r="1179" spans="55:56" ht="15.75">
      <c r="BC1179" s="7" t="s">
        <v>1440</v>
      </c>
      <c r="BD1179" s="26" t="s">
        <v>54</v>
      </c>
    </row>
    <row r="1180" spans="55:56" ht="15.75">
      <c r="BC1180" s="7" t="s">
        <v>1441</v>
      </c>
      <c r="BD1180" s="26" t="s">
        <v>31</v>
      </c>
    </row>
    <row r="1181" spans="55:56" ht="15.75">
      <c r="BC1181" s="7" t="s">
        <v>1442</v>
      </c>
      <c r="BD1181" s="26" t="s">
        <v>54</v>
      </c>
    </row>
    <row r="1182" spans="55:56" ht="15.75">
      <c r="BC1182" s="7" t="s">
        <v>1443</v>
      </c>
      <c r="BD1182" s="26" t="s">
        <v>31</v>
      </c>
    </row>
    <row r="1183" spans="55:56" ht="15.75">
      <c r="BC1183" s="7" t="s">
        <v>1444</v>
      </c>
      <c r="BD1183" s="26" t="s">
        <v>54</v>
      </c>
    </row>
    <row r="1184" spans="55:56" ht="15.75">
      <c r="BC1184" s="7" t="s">
        <v>1445</v>
      </c>
      <c r="BD1184" s="26" t="s">
        <v>112</v>
      </c>
    </row>
    <row r="1185" spans="55:56" ht="15.75">
      <c r="BC1185" s="7" t="s">
        <v>1446</v>
      </c>
      <c r="BD1185" s="26" t="s">
        <v>112</v>
      </c>
    </row>
    <row r="1186" spans="55:56" ht="15.75">
      <c r="BC1186" s="7" t="s">
        <v>1447</v>
      </c>
      <c r="BD1186" s="26" t="s">
        <v>54</v>
      </c>
    </row>
    <row r="1187" spans="55:56" ht="15.75">
      <c r="BC1187" s="7" t="s">
        <v>1448</v>
      </c>
      <c r="BD1187" s="26" t="s">
        <v>45</v>
      </c>
    </row>
    <row r="1188" spans="55:56" ht="15.75">
      <c r="BC1188" s="7" t="s">
        <v>1449</v>
      </c>
      <c r="BD1188" s="26" t="s">
        <v>34</v>
      </c>
    </row>
    <row r="1189" spans="55:56" ht="15.75">
      <c r="BC1189" s="7" t="s">
        <v>1450</v>
      </c>
      <c r="BD1189" s="26" t="s">
        <v>34</v>
      </c>
    </row>
    <row r="1190" spans="55:56" ht="15.75">
      <c r="BC1190" s="7" t="s">
        <v>1451</v>
      </c>
      <c r="BD1190" s="26" t="s">
        <v>41</v>
      </c>
    </row>
    <row r="1191" spans="55:56" ht="15.75">
      <c r="BC1191" s="7" t="s">
        <v>1452</v>
      </c>
      <c r="BD1191" s="26" t="s">
        <v>54</v>
      </c>
    </row>
    <row r="1192" spans="55:56" ht="15.75">
      <c r="BC1192" s="7" t="s">
        <v>1453</v>
      </c>
      <c r="BD1192" s="26" t="s">
        <v>54</v>
      </c>
    </row>
    <row r="1193" spans="55:56" ht="15.75">
      <c r="BC1193" s="7" t="s">
        <v>1454</v>
      </c>
      <c r="BD1193" s="26" t="s">
        <v>54</v>
      </c>
    </row>
    <row r="1194" spans="55:56" ht="15.75">
      <c r="BC1194" s="7" t="s">
        <v>1455</v>
      </c>
      <c r="BD1194" s="26" t="s">
        <v>54</v>
      </c>
    </row>
    <row r="1195" spans="55:56" ht="15.75">
      <c r="BC1195" s="7" t="s">
        <v>1456</v>
      </c>
      <c r="BD1195" s="26" t="s">
        <v>54</v>
      </c>
    </row>
    <row r="1196" spans="55:56" ht="15.75">
      <c r="BC1196" s="7" t="s">
        <v>1457</v>
      </c>
      <c r="BD1196" s="26" t="s">
        <v>52</v>
      </c>
    </row>
    <row r="1197" spans="55:56" ht="15.75">
      <c r="BC1197" s="7" t="s">
        <v>1458</v>
      </c>
      <c r="BD1197" s="26" t="s">
        <v>41</v>
      </c>
    </row>
    <row r="1198" spans="55:56" ht="15.75">
      <c r="BC1198" s="7" t="s">
        <v>1459</v>
      </c>
      <c r="BD1198" s="26" t="s">
        <v>54</v>
      </c>
    </row>
    <row r="1199" spans="55:56" ht="15.75">
      <c r="BC1199" s="7" t="s">
        <v>1460</v>
      </c>
      <c r="BD1199" s="26" t="s">
        <v>54</v>
      </c>
    </row>
    <row r="1200" spans="55:56" ht="15.75">
      <c r="BC1200" s="7" t="s">
        <v>1461</v>
      </c>
      <c r="BD1200" s="26" t="s">
        <v>49</v>
      </c>
    </row>
    <row r="1201" spans="55:56" ht="15.75">
      <c r="BC1201" s="7" t="s">
        <v>1462</v>
      </c>
      <c r="BD1201" s="26" t="s">
        <v>54</v>
      </c>
    </row>
    <row r="1202" spans="55:56" ht="15.75">
      <c r="BC1202" s="7" t="s">
        <v>1463</v>
      </c>
      <c r="BD1202" s="26" t="s">
        <v>54</v>
      </c>
    </row>
    <row r="1203" spans="55:56" ht="15.75">
      <c r="BC1203" s="7" t="s">
        <v>1464</v>
      </c>
      <c r="BD1203" s="26" t="s">
        <v>54</v>
      </c>
    </row>
    <row r="1204" spans="55:56" ht="15.75">
      <c r="BC1204" s="7" t="s">
        <v>1465</v>
      </c>
      <c r="BD1204" s="26" t="s">
        <v>115</v>
      </c>
    </row>
    <row r="1205" spans="55:56" ht="15.75">
      <c r="BC1205" s="7" t="s">
        <v>1466</v>
      </c>
      <c r="BD1205" s="26" t="s">
        <v>115</v>
      </c>
    </row>
    <row r="1206" spans="55:56" ht="15.75">
      <c r="BC1206" s="7" t="s">
        <v>1467</v>
      </c>
      <c r="BD1206" s="26" t="s">
        <v>54</v>
      </c>
    </row>
    <row r="1207" spans="55:56" ht="15.75">
      <c r="BC1207" s="7" t="s">
        <v>1468</v>
      </c>
      <c r="BD1207" s="26" t="s">
        <v>31</v>
      </c>
    </row>
    <row r="1208" spans="55:56" ht="15.75">
      <c r="BC1208" s="7" t="s">
        <v>1469</v>
      </c>
      <c r="BD1208" s="26" t="s">
        <v>54</v>
      </c>
    </row>
    <row r="1209" spans="55:56" ht="15.75">
      <c r="BC1209" s="7" t="s">
        <v>1470</v>
      </c>
      <c r="BD1209" s="26" t="s">
        <v>115</v>
      </c>
    </row>
    <row r="1210" spans="55:56" ht="15.75">
      <c r="BC1210" s="7" t="s">
        <v>1471</v>
      </c>
      <c r="BD1210" s="26" t="s">
        <v>115</v>
      </c>
    </row>
    <row r="1211" spans="55:56" ht="15.75">
      <c r="BC1211" s="7" t="s">
        <v>1472</v>
      </c>
      <c r="BD1211" s="26" t="s">
        <v>115</v>
      </c>
    </row>
    <row r="1212" spans="55:56" ht="15.75">
      <c r="BC1212" s="7" t="s">
        <v>1473</v>
      </c>
      <c r="BD1212" s="26" t="s">
        <v>54</v>
      </c>
    </row>
    <row r="1213" spans="55:56" ht="15.75">
      <c r="BC1213" s="7" t="s">
        <v>1474</v>
      </c>
      <c r="BD1213" s="26" t="s">
        <v>31</v>
      </c>
    </row>
    <row r="1214" spans="55:56" ht="15.75">
      <c r="BC1214" s="7" t="s">
        <v>1475</v>
      </c>
      <c r="BD1214" s="26" t="s">
        <v>54</v>
      </c>
    </row>
    <row r="1215" spans="55:56" ht="15.75">
      <c r="BC1215" s="7" t="s">
        <v>1476</v>
      </c>
      <c r="BD1215" s="26" t="s">
        <v>107</v>
      </c>
    </row>
    <row r="1216" spans="55:56" ht="15.75">
      <c r="BC1216" s="7" t="s">
        <v>1477</v>
      </c>
      <c r="BD1216" s="26" t="s">
        <v>54</v>
      </c>
    </row>
    <row r="1217" spans="55:56" ht="15.75">
      <c r="BC1217" s="7" t="s">
        <v>1478</v>
      </c>
      <c r="BD1217" s="26" t="s">
        <v>54</v>
      </c>
    </row>
    <row r="1218" spans="55:56" ht="15.75">
      <c r="BC1218" s="7" t="s">
        <v>1479</v>
      </c>
      <c r="BD1218" s="26" t="s">
        <v>31</v>
      </c>
    </row>
    <row r="1219" spans="55:56" ht="15.75">
      <c r="BC1219" s="7" t="s">
        <v>1480</v>
      </c>
      <c r="BD1219" s="26" t="s">
        <v>37</v>
      </c>
    </row>
    <row r="1220" spans="55:56" ht="15.75">
      <c r="BC1220" s="7" t="s">
        <v>1481</v>
      </c>
      <c r="BD1220" s="26" t="s">
        <v>34</v>
      </c>
    </row>
    <row r="1221" spans="55:56" ht="15.75">
      <c r="BC1221" s="7" t="s">
        <v>1482</v>
      </c>
      <c r="BD1221" s="26" t="s">
        <v>34</v>
      </c>
    </row>
    <row r="1222" spans="55:56" ht="15.75">
      <c r="BC1222" s="7" t="s">
        <v>1483</v>
      </c>
      <c r="BD1222" s="26" t="s">
        <v>47</v>
      </c>
    </row>
    <row r="1223" spans="55:56" ht="15.75">
      <c r="BC1223" s="7" t="s">
        <v>1484</v>
      </c>
      <c r="BD1223" s="26" t="s">
        <v>54</v>
      </c>
    </row>
    <row r="1224" spans="55:56" ht="15.75">
      <c r="BC1224" s="7" t="s">
        <v>1485</v>
      </c>
      <c r="BD1224" s="26" t="s">
        <v>31</v>
      </c>
    </row>
    <row r="1225" spans="55:56" ht="15.75">
      <c r="BC1225" s="7" t="s">
        <v>1486</v>
      </c>
      <c r="BD1225" s="26" t="s">
        <v>54</v>
      </c>
    </row>
    <row r="1226" spans="55:56" ht="15.75">
      <c r="BC1226" s="7" t="s">
        <v>1487</v>
      </c>
      <c r="BD1226" s="26" t="s">
        <v>110</v>
      </c>
    </row>
    <row r="1227" spans="55:56" ht="15.75">
      <c r="BC1227" s="7" t="s">
        <v>1488</v>
      </c>
      <c r="BD1227" s="26" t="s">
        <v>54</v>
      </c>
    </row>
    <row r="1228" spans="55:56" ht="15.75">
      <c r="BC1228" s="7" t="s">
        <v>1489</v>
      </c>
      <c r="BD1228" s="26" t="s">
        <v>31</v>
      </c>
    </row>
    <row r="1229" spans="55:56" ht="15.75">
      <c r="BC1229" s="7" t="s">
        <v>1490</v>
      </c>
      <c r="BD1229" s="26" t="s">
        <v>54</v>
      </c>
    </row>
    <row r="1230" spans="55:56" ht="15.75">
      <c r="BC1230" s="7" t="s">
        <v>1491</v>
      </c>
      <c r="BD1230" s="26" t="s">
        <v>31</v>
      </c>
    </row>
    <row r="1231" spans="55:56" ht="15.75">
      <c r="BC1231" s="7" t="s">
        <v>1492</v>
      </c>
      <c r="BD1231" s="26" t="s">
        <v>54</v>
      </c>
    </row>
    <row r="1232" spans="55:56" ht="15.75">
      <c r="BC1232" s="7" t="s">
        <v>1493</v>
      </c>
      <c r="BD1232" s="26" t="s">
        <v>112</v>
      </c>
    </row>
    <row r="1233" spans="55:56" ht="15.75">
      <c r="BC1233" s="7" t="s">
        <v>149</v>
      </c>
      <c r="BD1233" s="26" t="s">
        <v>112</v>
      </c>
    </row>
    <row r="1234" spans="55:56" ht="15.75">
      <c r="BC1234" s="7" t="s">
        <v>1494</v>
      </c>
      <c r="BD1234" s="26" t="s">
        <v>54</v>
      </c>
    </row>
    <row r="1235" spans="55:56" ht="15.75">
      <c r="BC1235" s="7" t="s">
        <v>1495</v>
      </c>
      <c r="BD1235" s="26" t="s">
        <v>37</v>
      </c>
    </row>
    <row r="1236" spans="55:56" ht="15.75">
      <c r="BC1236" s="7" t="s">
        <v>1496</v>
      </c>
      <c r="BD1236" s="26" t="s">
        <v>34</v>
      </c>
    </row>
    <row r="1237" spans="55:56" ht="15.75">
      <c r="BC1237" s="7" t="s">
        <v>1497</v>
      </c>
      <c r="BD1237" s="26" t="s">
        <v>34</v>
      </c>
    </row>
    <row r="1238" spans="55:56" ht="15.75">
      <c r="BC1238" s="7" t="s">
        <v>1498</v>
      </c>
      <c r="BD1238" s="26" t="s">
        <v>47</v>
      </c>
    </row>
    <row r="1239" spans="55:56" ht="15.75">
      <c r="BC1239" s="7" t="s">
        <v>1499</v>
      </c>
      <c r="BD1239" s="26" t="s">
        <v>54</v>
      </c>
    </row>
    <row r="1240" spans="55:56" ht="15.75">
      <c r="BC1240" s="7" t="s">
        <v>131</v>
      </c>
      <c r="BD1240" s="26" t="s">
        <v>105</v>
      </c>
    </row>
    <row r="1241" spans="55:56" ht="15.75">
      <c r="BC1241" s="7" t="s">
        <v>1500</v>
      </c>
      <c r="BD1241" s="26" t="s">
        <v>105</v>
      </c>
    </row>
    <row r="1242" spans="55:56" ht="15.75">
      <c r="BC1242" s="7" t="s">
        <v>1501</v>
      </c>
      <c r="BD1242" s="26" t="s">
        <v>105</v>
      </c>
    </row>
    <row r="1243" spans="55:56" ht="15.75">
      <c r="BC1243" s="7" t="s">
        <v>1502</v>
      </c>
      <c r="BD1243" s="26" t="s">
        <v>105</v>
      </c>
    </row>
    <row r="1244" spans="55:56" ht="15.75">
      <c r="BC1244" s="7" t="s">
        <v>1503</v>
      </c>
      <c r="BD1244" s="26" t="s">
        <v>54</v>
      </c>
    </row>
    <row r="1245" spans="55:56" ht="15.75">
      <c r="BC1245" s="7" t="s">
        <v>1504</v>
      </c>
      <c r="BD1245" s="26" t="s">
        <v>45</v>
      </c>
    </row>
    <row r="1246" spans="55:56" ht="15.75">
      <c r="BC1246" s="7" t="s">
        <v>1505</v>
      </c>
      <c r="BD1246" s="26" t="s">
        <v>41</v>
      </c>
    </row>
    <row r="1247" spans="55:56" ht="15.75">
      <c r="BC1247" s="7" t="s">
        <v>1506</v>
      </c>
      <c r="BD1247" s="26" t="s">
        <v>54</v>
      </c>
    </row>
    <row r="1248" spans="55:56" ht="15.75">
      <c r="BC1248" s="7" t="s">
        <v>1507</v>
      </c>
      <c r="BD1248" s="26" t="s">
        <v>31</v>
      </c>
    </row>
    <row r="1249" spans="55:56" ht="15.75">
      <c r="BC1249" s="7" t="s">
        <v>1508</v>
      </c>
      <c r="BD1249" s="26" t="s">
        <v>54</v>
      </c>
    </row>
    <row r="1250" spans="55:56" ht="15.75">
      <c r="BC1250" s="7" t="s">
        <v>1509</v>
      </c>
      <c r="BD1250" s="26" t="s">
        <v>54</v>
      </c>
    </row>
    <row r="1251" spans="55:56" ht="15.75">
      <c r="BC1251" s="7" t="s">
        <v>1510</v>
      </c>
      <c r="BD1251" s="26" t="s">
        <v>54</v>
      </c>
    </row>
    <row r="1252" spans="55:56" ht="15.75">
      <c r="BC1252" s="7" t="s">
        <v>1511</v>
      </c>
      <c r="BD1252" s="26" t="s">
        <v>115</v>
      </c>
    </row>
    <row r="1253" spans="55:56" ht="15.75">
      <c r="BC1253" s="7" t="s">
        <v>1512</v>
      </c>
      <c r="BD1253" s="26" t="s">
        <v>115</v>
      </c>
    </row>
    <row r="1254" spans="55:56" ht="15.75">
      <c r="BC1254" s="7" t="s">
        <v>1513</v>
      </c>
      <c r="BD1254" s="26" t="s">
        <v>54</v>
      </c>
    </row>
    <row r="1255" spans="55:56" ht="15.75">
      <c r="BC1255" s="7" t="s">
        <v>1514</v>
      </c>
      <c r="BD1255" s="26" t="s">
        <v>31</v>
      </c>
    </row>
    <row r="1256" spans="55:56" ht="15.75">
      <c r="BC1256" s="7" t="s">
        <v>1515</v>
      </c>
      <c r="BD1256" s="26" t="s">
        <v>54</v>
      </c>
    </row>
    <row r="1257" spans="55:56" ht="15.75">
      <c r="BC1257" s="7" t="s">
        <v>1516</v>
      </c>
      <c r="BD1257" s="26" t="s">
        <v>115</v>
      </c>
    </row>
    <row r="1258" spans="55:56" ht="15.75">
      <c r="BC1258" s="7" t="s">
        <v>1517</v>
      </c>
      <c r="BD1258" s="26" t="s">
        <v>115</v>
      </c>
    </row>
    <row r="1259" spans="55:56" ht="15.75">
      <c r="BC1259" s="7" t="s">
        <v>1518</v>
      </c>
      <c r="BD1259" s="26" t="s">
        <v>115</v>
      </c>
    </row>
    <row r="1260" spans="55:56" ht="15.75">
      <c r="BC1260" s="7" t="s">
        <v>1519</v>
      </c>
      <c r="BD1260" s="26" t="s">
        <v>54</v>
      </c>
    </row>
    <row r="1261" spans="55:56" ht="15.75">
      <c r="BC1261" s="7" t="s">
        <v>1520</v>
      </c>
      <c r="BD1261" s="26" t="s">
        <v>31</v>
      </c>
    </row>
    <row r="1262" spans="55:56" ht="15.75">
      <c r="BC1262" s="7" t="s">
        <v>1521</v>
      </c>
      <c r="BD1262" s="26" t="s">
        <v>54</v>
      </c>
    </row>
    <row r="1263" spans="55:56" ht="15.75">
      <c r="BC1263" s="7" t="s">
        <v>1522</v>
      </c>
      <c r="BD1263" s="26" t="s">
        <v>107</v>
      </c>
    </row>
    <row r="1264" spans="55:56" ht="15.75">
      <c r="BC1264" s="7" t="s">
        <v>1523</v>
      </c>
      <c r="BD1264" s="26" t="s">
        <v>54</v>
      </c>
    </row>
    <row r="1265" spans="55:56" ht="15.75">
      <c r="BC1265" s="7" t="s">
        <v>1524</v>
      </c>
      <c r="BD1265" s="26" t="s">
        <v>54</v>
      </c>
    </row>
    <row r="1266" spans="55:56" ht="15.75">
      <c r="BC1266" s="7" t="s">
        <v>1525</v>
      </c>
      <c r="BD1266" s="26" t="s">
        <v>31</v>
      </c>
    </row>
    <row r="1267" spans="55:56" ht="15.75">
      <c r="BC1267" s="7" t="s">
        <v>1526</v>
      </c>
      <c r="BD1267" s="26" t="s">
        <v>45</v>
      </c>
    </row>
    <row r="1268" spans="55:56" ht="15.75">
      <c r="BC1268" s="7" t="s">
        <v>1527</v>
      </c>
      <c r="BD1268" s="26" t="s">
        <v>34</v>
      </c>
    </row>
    <row r="1269" spans="55:56" ht="15.75">
      <c r="BC1269" s="7" t="s">
        <v>1528</v>
      </c>
      <c r="BD1269" s="26" t="s">
        <v>34</v>
      </c>
    </row>
    <row r="1270" spans="55:56" ht="15.75">
      <c r="BC1270" s="7" t="s">
        <v>1529</v>
      </c>
      <c r="BD1270" s="26" t="s">
        <v>41</v>
      </c>
    </row>
    <row r="1271" spans="55:56" ht="15.75">
      <c r="BC1271" s="7" t="s">
        <v>1530</v>
      </c>
      <c r="BD1271" s="26" t="s">
        <v>54</v>
      </c>
    </row>
    <row r="1272" spans="55:56" ht="15.75">
      <c r="BC1272" s="7" t="s">
        <v>1531</v>
      </c>
      <c r="BD1272" s="26" t="s">
        <v>31</v>
      </c>
    </row>
    <row r="1273" spans="55:56" ht="15.75">
      <c r="BC1273" s="7" t="s">
        <v>1532</v>
      </c>
      <c r="BD1273" s="26" t="s">
        <v>54</v>
      </c>
    </row>
    <row r="1274" spans="55:56" ht="15.75">
      <c r="BC1274" s="7" t="s">
        <v>1533</v>
      </c>
      <c r="BD1274" s="26" t="s">
        <v>110</v>
      </c>
    </row>
    <row r="1275" spans="55:56" ht="15.75">
      <c r="BC1275" s="7" t="s">
        <v>1534</v>
      </c>
      <c r="BD1275" s="26" t="s">
        <v>54</v>
      </c>
    </row>
    <row r="1276" spans="55:56" ht="15.75">
      <c r="BC1276" s="7" t="s">
        <v>1535</v>
      </c>
      <c r="BD1276" s="26" t="s">
        <v>31</v>
      </c>
    </row>
    <row r="1277" spans="55:56" ht="15.75">
      <c r="BC1277" s="7" t="s">
        <v>1536</v>
      </c>
      <c r="BD1277" s="26" t="s">
        <v>54</v>
      </c>
    </row>
    <row r="1278" spans="55:56" ht="15.75">
      <c r="BC1278" s="7" t="s">
        <v>1537</v>
      </c>
      <c r="BD1278" s="26" t="s">
        <v>31</v>
      </c>
    </row>
    <row r="1279" spans="55:56" ht="15.75">
      <c r="BC1279" s="7" t="s">
        <v>1538</v>
      </c>
      <c r="BD1279" s="26" t="s">
        <v>54</v>
      </c>
    </row>
    <row r="1280" spans="55:56" ht="15.75">
      <c r="BC1280" s="7" t="s">
        <v>1539</v>
      </c>
      <c r="BD1280" s="26" t="s">
        <v>54</v>
      </c>
    </row>
    <row r="1281" spans="55:56" ht="15.75">
      <c r="BC1281" s="7" t="s">
        <v>1540</v>
      </c>
      <c r="BD1281" s="26" t="s">
        <v>54</v>
      </c>
    </row>
    <row r="1282" spans="55:56" ht="15.75">
      <c r="BC1282" s="7" t="s">
        <v>1541</v>
      </c>
      <c r="BD1282" s="26" t="s">
        <v>54</v>
      </c>
    </row>
    <row r="1283" spans="55:56" ht="15.75">
      <c r="BC1283" s="7" t="s">
        <v>1542</v>
      </c>
      <c r="BD1283" s="26" t="s">
        <v>31</v>
      </c>
    </row>
    <row r="1284" spans="55:56" ht="15.75">
      <c r="BC1284" s="7" t="s">
        <v>1543</v>
      </c>
      <c r="BD1284" s="26" t="s">
        <v>54</v>
      </c>
    </row>
    <row r="1285" spans="55:56" ht="15.75">
      <c r="BC1285" s="7" t="s">
        <v>1544</v>
      </c>
      <c r="BD1285" s="26" t="s">
        <v>54</v>
      </c>
    </row>
    <row r="1286" spans="55:56" ht="15.75">
      <c r="BC1286" s="7" t="s">
        <v>1545</v>
      </c>
      <c r="BD1286" s="26" t="s">
        <v>54</v>
      </c>
    </row>
    <row r="1287" spans="55:56" ht="15.75">
      <c r="BC1287" s="7" t="s">
        <v>1546</v>
      </c>
      <c r="BD1287" s="26" t="s">
        <v>54</v>
      </c>
    </row>
    <row r="1288" spans="55:56" ht="15.75">
      <c r="BC1288" s="7" t="s">
        <v>1547</v>
      </c>
      <c r="BD1288" s="26" t="s">
        <v>105</v>
      </c>
    </row>
    <row r="1289" spans="55:56" ht="15.75">
      <c r="BC1289" s="7" t="s">
        <v>1548</v>
      </c>
      <c r="BD1289" s="26" t="s">
        <v>105</v>
      </c>
    </row>
    <row r="1290" spans="55:56" ht="15.75">
      <c r="BC1290" s="7" t="s">
        <v>1549</v>
      </c>
      <c r="BD1290" s="26" t="s">
        <v>105</v>
      </c>
    </row>
    <row r="1291" spans="55:56" ht="15.75">
      <c r="BC1291" s="7" t="s">
        <v>1550</v>
      </c>
      <c r="BD1291" s="26" t="s">
        <v>105</v>
      </c>
    </row>
    <row r="1292" spans="55:56" ht="15.75">
      <c r="BC1292" s="7" t="s">
        <v>1551</v>
      </c>
      <c r="BD1292" s="26" t="s">
        <v>54</v>
      </c>
    </row>
    <row r="1293" spans="55:56" ht="15.75">
      <c r="BC1293" s="7" t="s">
        <v>1552</v>
      </c>
      <c r="BD1293" s="26" t="s">
        <v>54</v>
      </c>
    </row>
    <row r="1294" spans="55:56" ht="15.75">
      <c r="BC1294" s="7" t="s">
        <v>1553</v>
      </c>
      <c r="BD1294" s="26" t="s">
        <v>45</v>
      </c>
    </row>
    <row r="1295" spans="55:56" ht="15.75">
      <c r="BC1295" s="7" t="s">
        <v>1554</v>
      </c>
      <c r="BD1295" s="26" t="s">
        <v>41</v>
      </c>
    </row>
    <row r="1296" spans="55:56" ht="15.75">
      <c r="BC1296" s="7" t="s">
        <v>1555</v>
      </c>
      <c r="BD1296" s="26" t="s">
        <v>31</v>
      </c>
    </row>
    <row r="1297" spans="55:56" ht="15.75">
      <c r="BC1297" s="7" t="s">
        <v>1556</v>
      </c>
      <c r="BD1297" s="26" t="s">
        <v>54</v>
      </c>
    </row>
    <row r="1298" spans="55:56" ht="15.75">
      <c r="BC1298" s="7" t="s">
        <v>1557</v>
      </c>
      <c r="BD1298" s="26" t="s">
        <v>54</v>
      </c>
    </row>
    <row r="1299" spans="55:56" ht="15.75">
      <c r="BC1299" s="7" t="s">
        <v>1558</v>
      </c>
      <c r="BD1299" s="26" t="s">
        <v>54</v>
      </c>
    </row>
    <row r="1300" spans="55:56" ht="15.75">
      <c r="BC1300" s="7" t="s">
        <v>1559</v>
      </c>
      <c r="BD1300" s="26" t="s">
        <v>115</v>
      </c>
    </row>
    <row r="1301" spans="55:56" ht="15.75">
      <c r="BC1301" s="7" t="s">
        <v>1560</v>
      </c>
      <c r="BD1301" s="26" t="s">
        <v>115</v>
      </c>
    </row>
    <row r="1302" spans="55:56" ht="15.75">
      <c r="BC1302" s="7" t="s">
        <v>1561</v>
      </c>
      <c r="BD1302" s="26" t="s">
        <v>54</v>
      </c>
    </row>
    <row r="1303" spans="55:56" ht="15.75">
      <c r="BC1303" s="7" t="s">
        <v>1562</v>
      </c>
      <c r="BD1303" s="26" t="s">
        <v>31</v>
      </c>
    </row>
    <row r="1304" spans="55:56" ht="15.75">
      <c r="BC1304" s="7" t="s">
        <v>1563</v>
      </c>
      <c r="BD1304" s="26" t="s">
        <v>54</v>
      </c>
    </row>
    <row r="1305" spans="55:56" ht="15.75">
      <c r="BC1305" s="7" t="s">
        <v>1564</v>
      </c>
      <c r="BD1305" s="26" t="s">
        <v>115</v>
      </c>
    </row>
    <row r="1306" spans="55:56" ht="15.75">
      <c r="BC1306" s="7" t="s">
        <v>1565</v>
      </c>
      <c r="BD1306" s="26" t="s">
        <v>115</v>
      </c>
    </row>
    <row r="1307" spans="55:56" ht="15.75">
      <c r="BC1307" s="7" t="s">
        <v>1566</v>
      </c>
      <c r="BD1307" s="26" t="s">
        <v>115</v>
      </c>
    </row>
    <row r="1308" spans="55:56" ht="15.75">
      <c r="BC1308" s="7" t="s">
        <v>1567</v>
      </c>
      <c r="BD1308" s="26" t="s">
        <v>54</v>
      </c>
    </row>
    <row r="1309" spans="55:56" ht="15.75">
      <c r="BC1309" s="7" t="s">
        <v>1568</v>
      </c>
      <c r="BD1309" s="26" t="s">
        <v>31</v>
      </c>
    </row>
    <row r="1310" spans="55:56" ht="15.75">
      <c r="BC1310" s="7" t="s">
        <v>1569</v>
      </c>
      <c r="BD1310" s="26" t="s">
        <v>54</v>
      </c>
    </row>
    <row r="1311" spans="55:56" ht="15.75">
      <c r="BC1311" s="7" t="s">
        <v>1570</v>
      </c>
      <c r="BD1311" s="26" t="s">
        <v>54</v>
      </c>
    </row>
    <row r="1312" spans="55:56" ht="15.75">
      <c r="BC1312" s="7" t="s">
        <v>1571</v>
      </c>
      <c r="BD1312" s="26" t="s">
        <v>54</v>
      </c>
    </row>
    <row r="1313" spans="55:56" ht="15.75">
      <c r="BC1313" s="7" t="s">
        <v>1572</v>
      </c>
      <c r="BD1313" s="26" t="s">
        <v>37</v>
      </c>
    </row>
    <row r="1314" spans="55:56" ht="15.75">
      <c r="BC1314" s="7" t="s">
        <v>1573</v>
      </c>
      <c r="BD1314" s="26" t="s">
        <v>47</v>
      </c>
    </row>
    <row r="1315" spans="55:56" ht="15.75">
      <c r="BC1315" s="7" t="s">
        <v>1574</v>
      </c>
      <c r="BD1315" s="26" t="s">
        <v>54</v>
      </c>
    </row>
    <row r="1316" spans="55:56" ht="15.75">
      <c r="BC1316" s="7" t="s">
        <v>1575</v>
      </c>
      <c r="BD1316" s="26" t="s">
        <v>54</v>
      </c>
    </row>
    <row r="1317" spans="55:56" ht="15.75">
      <c r="BC1317" s="7" t="s">
        <v>1576</v>
      </c>
      <c r="BD1317" s="26" t="s">
        <v>54</v>
      </c>
    </row>
    <row r="1318" spans="55:56" ht="15.75">
      <c r="BC1318" s="7" t="s">
        <v>1577</v>
      </c>
      <c r="BD1318" s="26" t="s">
        <v>31</v>
      </c>
    </row>
    <row r="1319" spans="55:56" ht="15.75">
      <c r="BC1319" s="7" t="s">
        <v>1578</v>
      </c>
      <c r="BD1319" s="26" t="s">
        <v>54</v>
      </c>
    </row>
    <row r="1320" spans="55:56" ht="15.75">
      <c r="BC1320" s="7" t="s">
        <v>1579</v>
      </c>
      <c r="BD1320" s="26" t="s">
        <v>45</v>
      </c>
    </row>
    <row r="1321" spans="55:56" ht="15.75">
      <c r="BC1321" s="7" t="s">
        <v>1580</v>
      </c>
      <c r="BD1321" s="26" t="s">
        <v>41</v>
      </c>
    </row>
    <row r="1322" spans="55:56" ht="15.75">
      <c r="BC1322" s="7" t="s">
        <v>1581</v>
      </c>
      <c r="BD1322" s="26" t="s">
        <v>54</v>
      </c>
    </row>
    <row r="1323" spans="55:56" ht="15.75">
      <c r="BC1323" s="7" t="s">
        <v>1582</v>
      </c>
      <c r="BD1323" s="26" t="s">
        <v>37</v>
      </c>
    </row>
    <row r="1324" spans="55:56" ht="15.75">
      <c r="BC1324" s="7" t="s">
        <v>137</v>
      </c>
      <c r="BD1324" s="26" t="s">
        <v>47</v>
      </c>
    </row>
    <row r="1325" spans="55:56" ht="15.75">
      <c r="BC1325" s="7" t="s">
        <v>1583</v>
      </c>
      <c r="BD1325" s="26" t="s">
        <v>54</v>
      </c>
    </row>
    <row r="1326" spans="55:56" ht="15.75">
      <c r="BC1326" s="7" t="s">
        <v>1584</v>
      </c>
      <c r="BD1326" s="26" t="s">
        <v>45</v>
      </c>
    </row>
    <row r="1327" spans="55:56" ht="15.75">
      <c r="BC1327" s="7" t="s">
        <v>1585</v>
      </c>
      <c r="BD1327" s="26" t="s">
        <v>34</v>
      </c>
    </row>
    <row r="1328" spans="55:56" ht="15.75">
      <c r="BC1328" s="7" t="s">
        <v>1586</v>
      </c>
      <c r="BD1328" s="26" t="s">
        <v>34</v>
      </c>
    </row>
    <row r="1329" spans="55:56" ht="15.75">
      <c r="BC1329" s="7" t="s">
        <v>1587</v>
      </c>
      <c r="BD1329" s="26" t="s">
        <v>41</v>
      </c>
    </row>
    <row r="1330" spans="55:56" ht="15.75">
      <c r="BC1330" s="7" t="s">
        <v>1588</v>
      </c>
      <c r="BD1330" s="26" t="s">
        <v>54</v>
      </c>
    </row>
    <row r="1331" spans="55:56" ht="15.75">
      <c r="BC1331" s="7" t="s">
        <v>1589</v>
      </c>
      <c r="BD1331" s="26" t="s">
        <v>31</v>
      </c>
    </row>
    <row r="1332" spans="55:56" ht="15.75">
      <c r="BC1332" s="7" t="s">
        <v>1590</v>
      </c>
      <c r="BD1332" s="26" t="s">
        <v>54</v>
      </c>
    </row>
    <row r="1333" spans="55:56" ht="15.75">
      <c r="BC1333" s="7" t="s">
        <v>1591</v>
      </c>
      <c r="BD1333" s="26" t="s">
        <v>54</v>
      </c>
    </row>
    <row r="1334" spans="55:56" ht="15.75">
      <c r="BC1334" s="7" t="s">
        <v>1592</v>
      </c>
      <c r="BD1334" s="26" t="s">
        <v>54</v>
      </c>
    </row>
    <row r="1335" spans="55:56" ht="15.75">
      <c r="BC1335" s="7" t="s">
        <v>1593</v>
      </c>
      <c r="BD1335" s="26" t="s">
        <v>54</v>
      </c>
    </row>
    <row r="1336" spans="55:56" ht="15.75">
      <c r="BC1336" s="7" t="s">
        <v>1594</v>
      </c>
      <c r="BD1336" s="26" t="s">
        <v>54</v>
      </c>
    </row>
    <row r="1337" spans="55:56" ht="15.75">
      <c r="BC1337" s="7" t="s">
        <v>1595</v>
      </c>
      <c r="BD1337" s="26" t="s">
        <v>54</v>
      </c>
    </row>
    <row r="1338" spans="55:56" ht="15.75">
      <c r="BC1338" s="7" t="s">
        <v>1596</v>
      </c>
      <c r="BD1338" s="26" t="s">
        <v>105</v>
      </c>
    </row>
    <row r="1339" spans="55:56" ht="15.75">
      <c r="BC1339" s="7" t="s">
        <v>1597</v>
      </c>
      <c r="BD1339" s="26" t="s">
        <v>105</v>
      </c>
    </row>
    <row r="1340" spans="55:56" ht="15.75">
      <c r="BC1340" s="7" t="s">
        <v>1598</v>
      </c>
      <c r="BD1340" s="26" t="s">
        <v>112</v>
      </c>
    </row>
    <row r="1341" spans="55:56" ht="15.75">
      <c r="BC1341" s="7" t="s">
        <v>1599</v>
      </c>
      <c r="BD1341" s="26" t="s">
        <v>54</v>
      </c>
    </row>
    <row r="1342" spans="55:56" ht="15.75">
      <c r="BC1342" s="7" t="s">
        <v>1600</v>
      </c>
      <c r="BD1342" s="26" t="s">
        <v>54</v>
      </c>
    </row>
    <row r="1343" spans="55:56" ht="15.75">
      <c r="BC1343" s="7" t="s">
        <v>1601</v>
      </c>
      <c r="BD1343" s="26" t="s">
        <v>31</v>
      </c>
    </row>
    <row r="1344" spans="55:56" ht="15.75">
      <c r="BC1344" s="7" t="s">
        <v>1602</v>
      </c>
      <c r="BD1344" s="26" t="s">
        <v>31</v>
      </c>
    </row>
    <row r="1345" spans="55:56" ht="15.75">
      <c r="BC1345" s="7" t="s">
        <v>1603</v>
      </c>
      <c r="BD1345" s="26" t="s">
        <v>54</v>
      </c>
    </row>
    <row r="1346" spans="55:56" ht="15.75">
      <c r="BC1346" s="7" t="s">
        <v>1604</v>
      </c>
      <c r="BD1346" s="26" t="s">
        <v>54</v>
      </c>
    </row>
    <row r="1347" spans="55:56" ht="15.75">
      <c r="BC1347" s="7" t="s">
        <v>1605</v>
      </c>
      <c r="BD1347" s="26" t="s">
        <v>54</v>
      </c>
    </row>
    <row r="1348" spans="55:56" ht="15.75">
      <c r="BC1348" s="7" t="s">
        <v>1606</v>
      </c>
      <c r="BD1348" s="26" t="s">
        <v>115</v>
      </c>
    </row>
    <row r="1349" spans="55:56" ht="15.75">
      <c r="BC1349" s="7" t="s">
        <v>139</v>
      </c>
      <c r="BD1349" s="26" t="s">
        <v>115</v>
      </c>
    </row>
    <row r="1350" spans="55:56" ht="15.75">
      <c r="BC1350" s="7" t="s">
        <v>1607</v>
      </c>
      <c r="BD1350" s="26" t="s">
        <v>54</v>
      </c>
    </row>
    <row r="1351" spans="55:56" ht="15.75">
      <c r="BC1351" s="7" t="s">
        <v>1608</v>
      </c>
      <c r="BD1351" s="26" t="s">
        <v>31</v>
      </c>
    </row>
    <row r="1352" spans="55:56" ht="15.75">
      <c r="BC1352" s="7" t="s">
        <v>1609</v>
      </c>
      <c r="BD1352" s="26" t="s">
        <v>54</v>
      </c>
    </row>
    <row r="1353" spans="55:56" ht="15.75">
      <c r="BC1353" s="7" t="s">
        <v>1610</v>
      </c>
      <c r="BD1353" s="26" t="s">
        <v>54</v>
      </c>
    </row>
    <row r="1354" spans="55:56" ht="15.75">
      <c r="BC1354" s="7" t="s">
        <v>1611</v>
      </c>
      <c r="BD1354" s="26" t="s">
        <v>54</v>
      </c>
    </row>
    <row r="1355" spans="55:56" ht="15.75">
      <c r="BC1355" s="7" t="s">
        <v>1612</v>
      </c>
      <c r="BD1355" s="26" t="s">
        <v>54</v>
      </c>
    </row>
    <row r="1356" spans="55:56" ht="15.75">
      <c r="BC1356" s="7" t="s">
        <v>1613</v>
      </c>
      <c r="BD1356" s="26" t="s">
        <v>54</v>
      </c>
    </row>
    <row r="1357" spans="55:56" ht="15.75">
      <c r="BC1357" s="7" t="s">
        <v>1614</v>
      </c>
      <c r="BD1357" s="26" t="s">
        <v>45</v>
      </c>
    </row>
    <row r="1358" spans="55:56" ht="15.75">
      <c r="BC1358" s="7" t="s">
        <v>1615</v>
      </c>
      <c r="BD1358" s="26" t="s">
        <v>34</v>
      </c>
    </row>
    <row r="1359" spans="55:56" ht="15.75">
      <c r="BC1359" s="7" t="s">
        <v>1616</v>
      </c>
      <c r="BD1359" s="26" t="s">
        <v>34</v>
      </c>
    </row>
    <row r="1360" spans="55:56" ht="15.75">
      <c r="BC1360" s="7" t="s">
        <v>1617</v>
      </c>
      <c r="BD1360" s="26" t="s">
        <v>34</v>
      </c>
    </row>
    <row r="1361" spans="55:56" ht="15.75">
      <c r="BC1361" s="7" t="s">
        <v>1618</v>
      </c>
      <c r="BD1361" s="26" t="s">
        <v>47</v>
      </c>
    </row>
    <row r="1362" spans="55:56" ht="15.75">
      <c r="BC1362" s="7" t="s">
        <v>1619</v>
      </c>
      <c r="BD1362" s="26" t="s">
        <v>37</v>
      </c>
    </row>
    <row r="1363" spans="55:56" ht="15.75">
      <c r="BC1363" s="7" t="s">
        <v>1620</v>
      </c>
      <c r="BD1363" s="26" t="s">
        <v>34</v>
      </c>
    </row>
    <row r="1364" spans="55:56" ht="15.75">
      <c r="BC1364" s="7" t="s">
        <v>1621</v>
      </c>
      <c r="BD1364" s="26" t="s">
        <v>41</v>
      </c>
    </row>
    <row r="1365" spans="55:56" ht="15.75">
      <c r="BC1365" s="7" t="s">
        <v>1622</v>
      </c>
      <c r="BD1365" s="26" t="s">
        <v>54</v>
      </c>
    </row>
    <row r="1366" spans="55:56" ht="15.75">
      <c r="BC1366" s="7" t="s">
        <v>1623</v>
      </c>
      <c r="BD1366" s="26" t="s">
        <v>31</v>
      </c>
    </row>
    <row r="1367" spans="55:56" ht="15.75">
      <c r="BC1367" s="7" t="s">
        <v>1624</v>
      </c>
      <c r="BD1367" s="26" t="s">
        <v>54</v>
      </c>
    </row>
    <row r="1368" spans="55:56" ht="15.75">
      <c r="BC1368" s="7" t="s">
        <v>1625</v>
      </c>
      <c r="BD1368" s="26" t="s">
        <v>54</v>
      </c>
    </row>
    <row r="1369" spans="55:56" ht="15.75">
      <c r="BC1369" s="7" t="s">
        <v>1626</v>
      </c>
      <c r="BD1369" s="26" t="s">
        <v>45</v>
      </c>
    </row>
    <row r="1370" spans="55:56" ht="15.75">
      <c r="BC1370" s="7" t="s">
        <v>1627</v>
      </c>
      <c r="BD1370" s="26" t="s">
        <v>34</v>
      </c>
    </row>
    <row r="1371" spans="55:56" ht="15.75">
      <c r="BC1371" s="7" t="s">
        <v>1628</v>
      </c>
      <c r="BD1371" s="26" t="s">
        <v>47</v>
      </c>
    </row>
    <row r="1372" spans="55:56" ht="15.75">
      <c r="BC1372" s="7" t="s">
        <v>1629</v>
      </c>
      <c r="BD1372" s="26" t="s">
        <v>54</v>
      </c>
    </row>
    <row r="1373" spans="55:56" ht="15.75">
      <c r="BC1373" s="7" t="s">
        <v>1630</v>
      </c>
      <c r="BD1373" s="26" t="s">
        <v>54</v>
      </c>
    </row>
    <row r="1374" spans="55:56" ht="15.75">
      <c r="BC1374" s="7" t="s">
        <v>1631</v>
      </c>
      <c r="BD1374" s="26" t="s">
        <v>54</v>
      </c>
    </row>
    <row r="1375" spans="55:56" ht="15.75">
      <c r="BC1375" s="7" t="s">
        <v>1632</v>
      </c>
      <c r="BD1375" s="26" t="s">
        <v>54</v>
      </c>
    </row>
    <row r="1376" spans="55:56" ht="15.75">
      <c r="BC1376" s="7" t="s">
        <v>1633</v>
      </c>
      <c r="BD1376" s="26" t="s">
        <v>37</v>
      </c>
    </row>
    <row r="1377" spans="55:56" ht="15.75">
      <c r="BC1377" s="7" t="s">
        <v>1634</v>
      </c>
      <c r="BD1377" s="26" t="s">
        <v>47</v>
      </c>
    </row>
    <row r="1378" spans="55:56" ht="15.75">
      <c r="BC1378" s="7" t="s">
        <v>1635</v>
      </c>
      <c r="BD1378" s="26" t="s">
        <v>54</v>
      </c>
    </row>
    <row r="1379" spans="55:56" ht="15.75">
      <c r="BC1379" s="7" t="s">
        <v>1636</v>
      </c>
      <c r="BD1379" s="26" t="s">
        <v>45</v>
      </c>
    </row>
    <row r="1380" spans="55:56" ht="15.75">
      <c r="BC1380" s="7" t="s">
        <v>1637</v>
      </c>
      <c r="BD1380" s="26" t="s">
        <v>34</v>
      </c>
    </row>
    <row r="1381" spans="55:56" ht="15.75">
      <c r="BC1381" s="7" t="s">
        <v>1638</v>
      </c>
      <c r="BD1381" s="26" t="s">
        <v>34</v>
      </c>
    </row>
    <row r="1382" spans="55:56" ht="15.75">
      <c r="BC1382" s="7" t="s">
        <v>1639</v>
      </c>
      <c r="BD1382" s="26" t="s">
        <v>34</v>
      </c>
    </row>
    <row r="1383" spans="55:56" ht="15.75">
      <c r="BC1383" s="7" t="s">
        <v>1640</v>
      </c>
      <c r="BD1383" s="26" t="s">
        <v>34</v>
      </c>
    </row>
    <row r="1384" spans="55:56" ht="15.75">
      <c r="BC1384" s="7" t="s">
        <v>1641</v>
      </c>
      <c r="BD1384" s="26" t="s">
        <v>41</v>
      </c>
    </row>
    <row r="1385" spans="55:56" ht="15.75">
      <c r="BC1385" s="7" t="s">
        <v>1642</v>
      </c>
      <c r="BD1385" s="26" t="s">
        <v>54</v>
      </c>
    </row>
    <row r="1386" spans="55:56" ht="15.75">
      <c r="BC1386" s="7" t="s">
        <v>1643</v>
      </c>
      <c r="BD1386" s="26" t="s">
        <v>112</v>
      </c>
    </row>
    <row r="1387" spans="55:56" ht="15.75">
      <c r="BC1387" s="7" t="s">
        <v>1644</v>
      </c>
      <c r="BD1387" s="26" t="s">
        <v>112</v>
      </c>
    </row>
    <row r="1388" spans="55:56" ht="15.75">
      <c r="BC1388" s="7" t="s">
        <v>1645</v>
      </c>
      <c r="BD1388" s="26" t="s">
        <v>112</v>
      </c>
    </row>
    <row r="1389" spans="55:56" ht="15.75">
      <c r="BC1389" s="7" t="s">
        <v>1646</v>
      </c>
      <c r="BD1389" s="26" t="s">
        <v>112</v>
      </c>
    </row>
    <row r="1390" spans="55:56" ht="15.75">
      <c r="BC1390" s="7" t="s">
        <v>1647</v>
      </c>
      <c r="BD1390" s="26" t="s">
        <v>54</v>
      </c>
    </row>
    <row r="1391" spans="55:56" ht="15.75">
      <c r="BC1391" s="7" t="s">
        <v>1648</v>
      </c>
      <c r="BD1391" s="26" t="s">
        <v>31</v>
      </c>
    </row>
    <row r="1392" spans="55:56" ht="15.75">
      <c r="BC1392" s="7" t="s">
        <v>1649</v>
      </c>
      <c r="BD1392" s="26" t="s">
        <v>31</v>
      </c>
    </row>
    <row r="1393" spans="55:56" ht="15.75">
      <c r="BC1393" s="7" t="s">
        <v>1650</v>
      </c>
      <c r="BD1393" s="26" t="s">
        <v>54</v>
      </c>
    </row>
    <row r="1394" spans="55:56" ht="15.75">
      <c r="BC1394" s="7" t="s">
        <v>1651</v>
      </c>
      <c r="BD1394" s="26" t="s">
        <v>54</v>
      </c>
    </row>
    <row r="1395" spans="55:56" ht="15.75">
      <c r="BC1395" s="7" t="s">
        <v>1652</v>
      </c>
      <c r="BD1395" s="26" t="s">
        <v>54</v>
      </c>
    </row>
    <row r="1396" spans="55:56" ht="15.75">
      <c r="BC1396" s="7" t="s">
        <v>1653</v>
      </c>
      <c r="BD1396" s="26" t="s">
        <v>115</v>
      </c>
    </row>
    <row r="1397" spans="55:56" ht="15.75">
      <c r="BC1397" s="7" t="s">
        <v>1654</v>
      </c>
      <c r="BD1397" s="26" t="s">
        <v>54</v>
      </c>
    </row>
    <row r="1398" spans="55:56" ht="15.75">
      <c r="BC1398" s="7" t="s">
        <v>1655</v>
      </c>
      <c r="BD1398" s="26" t="s">
        <v>54</v>
      </c>
    </row>
    <row r="1399" spans="55:56" ht="15.75">
      <c r="BC1399" s="7" t="s">
        <v>1656</v>
      </c>
      <c r="BD1399" s="26" t="s">
        <v>45</v>
      </c>
    </row>
    <row r="1400" spans="55:56" ht="15.75">
      <c r="BC1400" s="7" t="s">
        <v>1657</v>
      </c>
      <c r="BD1400" s="26" t="s">
        <v>34</v>
      </c>
    </row>
    <row r="1401" spans="55:56" ht="15.75">
      <c r="BC1401" s="7" t="s">
        <v>1658</v>
      </c>
      <c r="BD1401" s="26" t="s">
        <v>34</v>
      </c>
    </row>
    <row r="1402" spans="55:56" ht="15.75">
      <c r="BC1402" s="7" t="s">
        <v>1659</v>
      </c>
      <c r="BD1402" s="26" t="s">
        <v>49</v>
      </c>
    </row>
    <row r="1403" spans="55:56" ht="15.75">
      <c r="BC1403" s="7" t="s">
        <v>1660</v>
      </c>
      <c r="BD1403" s="26" t="s">
        <v>54</v>
      </c>
    </row>
    <row r="1404" spans="55:56" ht="15.75">
      <c r="BC1404" s="7" t="s">
        <v>1661</v>
      </c>
      <c r="BD1404" s="26" t="s">
        <v>54</v>
      </c>
    </row>
    <row r="1405" spans="55:56" ht="15.75">
      <c r="BC1405" s="7" t="s">
        <v>1662</v>
      </c>
      <c r="BD1405" s="26" t="s">
        <v>54</v>
      </c>
    </row>
    <row r="1406" spans="55:56" ht="15.75">
      <c r="BC1406" s="7" t="s">
        <v>1663</v>
      </c>
      <c r="BD1406" s="26" t="s">
        <v>37</v>
      </c>
    </row>
    <row r="1407" spans="55:56" ht="15.75">
      <c r="BC1407" s="7" t="s">
        <v>1664</v>
      </c>
      <c r="BD1407" s="26" t="s">
        <v>34</v>
      </c>
    </row>
    <row r="1408" spans="55:56" ht="15.75">
      <c r="BC1408" s="7" t="s">
        <v>1665</v>
      </c>
      <c r="BD1408" s="26" t="s">
        <v>34</v>
      </c>
    </row>
    <row r="1409" spans="55:56" ht="15.75">
      <c r="BC1409" s="7" t="s">
        <v>1666</v>
      </c>
      <c r="BD1409" s="26" t="s">
        <v>34</v>
      </c>
    </row>
    <row r="1410" spans="55:56" ht="15.75">
      <c r="BC1410" s="7" t="s">
        <v>1667</v>
      </c>
      <c r="BD1410" s="26" t="s">
        <v>47</v>
      </c>
    </row>
    <row r="1411" spans="55:56" ht="15.75">
      <c r="BC1411" s="7" t="s">
        <v>1668</v>
      </c>
      <c r="BD1411" s="26" t="s">
        <v>54</v>
      </c>
    </row>
    <row r="1412" spans="55:56" ht="15.75">
      <c r="BC1412" s="7" t="s">
        <v>1669</v>
      </c>
      <c r="BD1412" s="26" t="s">
        <v>31</v>
      </c>
    </row>
    <row r="1413" spans="55:56" ht="15.75">
      <c r="BC1413" s="7" t="s">
        <v>1670</v>
      </c>
      <c r="BD1413" s="26" t="s">
        <v>54</v>
      </c>
    </row>
    <row r="1414" spans="55:56" ht="15.75">
      <c r="BC1414" s="7" t="s">
        <v>1671</v>
      </c>
      <c r="BD1414" s="26" t="s">
        <v>31</v>
      </c>
    </row>
    <row r="1415" spans="55:56" ht="15.75">
      <c r="BC1415" s="7" t="s">
        <v>1672</v>
      </c>
      <c r="BD1415" s="26" t="s">
        <v>54</v>
      </c>
    </row>
    <row r="1416" spans="55:56" ht="15.75">
      <c r="BC1416" s="7" t="s">
        <v>1673</v>
      </c>
      <c r="BD1416" s="26" t="s">
        <v>54</v>
      </c>
    </row>
    <row r="1417" spans="55:56" ht="15.75">
      <c r="BC1417" s="7" t="s">
        <v>1674</v>
      </c>
      <c r="BD1417" s="26" t="s">
        <v>54</v>
      </c>
    </row>
    <row r="1418" spans="55:56" ht="15.75">
      <c r="BC1418" s="7" t="s">
        <v>1675</v>
      </c>
      <c r="BD1418" s="26" t="s">
        <v>54</v>
      </c>
    </row>
    <row r="1419" spans="55:56" ht="15.75">
      <c r="BC1419" s="7" t="s">
        <v>1676</v>
      </c>
      <c r="BD1419" s="26" t="s">
        <v>54</v>
      </c>
    </row>
    <row r="1420" spans="55:56" ht="15.75">
      <c r="BC1420" s="7" t="s">
        <v>1677</v>
      </c>
      <c r="BD1420" s="26" t="s">
        <v>54</v>
      </c>
    </row>
    <row r="1421" spans="55:56" ht="15.75">
      <c r="BC1421" s="7" t="s">
        <v>1678</v>
      </c>
      <c r="BD1421" s="26" t="s">
        <v>54</v>
      </c>
    </row>
    <row r="1422" spans="55:56" ht="15.75">
      <c r="BC1422" s="7" t="s">
        <v>1679</v>
      </c>
      <c r="BD1422" s="26" t="s">
        <v>49</v>
      </c>
    </row>
    <row r="1423" spans="55:56" ht="15.75">
      <c r="BC1423" s="7" t="s">
        <v>1680</v>
      </c>
      <c r="BD1423" s="26" t="s">
        <v>34</v>
      </c>
    </row>
    <row r="1424" spans="55:56" ht="15.75">
      <c r="BC1424" s="7" t="s">
        <v>1681</v>
      </c>
      <c r="BD1424" s="26" t="s">
        <v>47</v>
      </c>
    </row>
    <row r="1425" spans="55:56" ht="15.75">
      <c r="BC1425" s="7" t="s">
        <v>1682</v>
      </c>
      <c r="BD1425" s="26" t="s">
        <v>54</v>
      </c>
    </row>
    <row r="1426" spans="55:56" ht="15.75">
      <c r="BC1426" s="7" t="s">
        <v>1683</v>
      </c>
      <c r="BD1426" s="26" t="s">
        <v>54</v>
      </c>
    </row>
    <row r="1427" spans="55:56" ht="15.75">
      <c r="BC1427" s="7" t="s">
        <v>1684</v>
      </c>
      <c r="BD1427" s="26" t="s">
        <v>52</v>
      </c>
    </row>
    <row r="1428" spans="55:56" ht="15.75">
      <c r="BC1428" s="7" t="s">
        <v>1685</v>
      </c>
      <c r="BD1428" s="26" t="s">
        <v>34</v>
      </c>
    </row>
    <row r="1429" spans="55:56" ht="15.75">
      <c r="BC1429" s="7" t="s">
        <v>1686</v>
      </c>
      <c r="BD1429" s="26" t="s">
        <v>34</v>
      </c>
    </row>
    <row r="1430" spans="55:56" ht="15.75">
      <c r="BC1430" s="7" t="s">
        <v>1687</v>
      </c>
      <c r="BD1430" s="26" t="s">
        <v>34</v>
      </c>
    </row>
    <row r="1431" spans="55:56" ht="15.75">
      <c r="BC1431" s="7" t="s">
        <v>1688</v>
      </c>
      <c r="BD1431" s="26" t="s">
        <v>34</v>
      </c>
    </row>
    <row r="1432" spans="55:56" ht="15.75">
      <c r="BC1432" s="7" t="s">
        <v>1689</v>
      </c>
      <c r="BD1432" s="26" t="s">
        <v>47</v>
      </c>
    </row>
    <row r="1433" spans="55:56" ht="15.75">
      <c r="BC1433" s="7" t="s">
        <v>1690</v>
      </c>
      <c r="BD1433" s="26" t="s">
        <v>54</v>
      </c>
    </row>
    <row r="1434" spans="55:56" ht="15.75">
      <c r="BC1434" s="7" t="s">
        <v>1691</v>
      </c>
      <c r="BD1434" s="26" t="s">
        <v>112</v>
      </c>
    </row>
    <row r="1435" spans="55:56" ht="15.75">
      <c r="BC1435" s="7" t="s">
        <v>1692</v>
      </c>
      <c r="BD1435" s="26" t="s">
        <v>54</v>
      </c>
    </row>
    <row r="1436" spans="55:56" ht="15.75">
      <c r="BC1436" s="7" t="s">
        <v>1693</v>
      </c>
      <c r="BD1436" s="26" t="s">
        <v>54</v>
      </c>
    </row>
    <row r="1437" spans="55:56" ht="15.75">
      <c r="BC1437" s="7" t="s">
        <v>1694</v>
      </c>
      <c r="BD1437" s="26" t="s">
        <v>54</v>
      </c>
    </row>
    <row r="1438" spans="55:56" ht="15.75">
      <c r="BC1438" s="7" t="s">
        <v>1695</v>
      </c>
      <c r="BD1438" s="26" t="s">
        <v>54</v>
      </c>
    </row>
    <row r="1439" spans="55:56" ht="15.75">
      <c r="BC1439" s="7" t="s">
        <v>1696</v>
      </c>
      <c r="BD1439" s="26" t="s">
        <v>31</v>
      </c>
    </row>
    <row r="1440" spans="55:56" ht="15.75">
      <c r="BC1440" s="7" t="s">
        <v>1697</v>
      </c>
      <c r="BD1440" s="26" t="s">
        <v>31</v>
      </c>
    </row>
    <row r="1441" spans="55:56" ht="15.75">
      <c r="BC1441" s="7" t="s">
        <v>1698</v>
      </c>
      <c r="BD1441" s="26" t="s">
        <v>54</v>
      </c>
    </row>
    <row r="1442" spans="55:56" ht="15.75">
      <c r="BC1442" s="7" t="s">
        <v>1699</v>
      </c>
      <c r="BD1442" s="26" t="s">
        <v>54</v>
      </c>
    </row>
    <row r="1443" spans="55:56" ht="15.75">
      <c r="BC1443" s="7" t="s">
        <v>1700</v>
      </c>
      <c r="BD1443" s="26" t="s">
        <v>54</v>
      </c>
    </row>
    <row r="1444" spans="55:56" ht="15.75">
      <c r="BC1444" s="7" t="s">
        <v>1701</v>
      </c>
      <c r="BD1444" s="26" t="s">
        <v>54</v>
      </c>
    </row>
    <row r="1445" spans="55:56" ht="15.75">
      <c r="BC1445" s="7" t="s">
        <v>1702</v>
      </c>
      <c r="BD1445" s="26" t="s">
        <v>54</v>
      </c>
    </row>
    <row r="1446" spans="55:56" ht="15.75">
      <c r="BC1446" s="7" t="s">
        <v>1703</v>
      </c>
      <c r="BD1446" s="26" t="s">
        <v>54</v>
      </c>
    </row>
    <row r="1447" spans="55:56" ht="15.75">
      <c r="BC1447" s="7" t="s">
        <v>1704</v>
      </c>
      <c r="BD1447" s="26" t="s">
        <v>54</v>
      </c>
    </row>
    <row r="1448" spans="55:56" ht="15.75">
      <c r="BC1448" s="7" t="s">
        <v>1705</v>
      </c>
      <c r="BD1448" s="26" t="s">
        <v>54</v>
      </c>
    </row>
    <row r="1449" spans="55:56" ht="15.75">
      <c r="BC1449" s="7" t="s">
        <v>1706</v>
      </c>
      <c r="BD1449" s="26" t="s">
        <v>54</v>
      </c>
    </row>
    <row r="1450" spans="55:56" ht="15.75">
      <c r="BC1450" s="7" t="s">
        <v>1707</v>
      </c>
      <c r="BD1450" s="26" t="s">
        <v>54</v>
      </c>
    </row>
    <row r="1451" spans="55:56" ht="15.75">
      <c r="BC1451" s="7" t="s">
        <v>1708</v>
      </c>
      <c r="BD1451" s="26" t="s">
        <v>49</v>
      </c>
    </row>
    <row r="1452" spans="55:56" ht="15.75">
      <c r="BC1452" s="7" t="s">
        <v>1709</v>
      </c>
      <c r="BD1452" s="26" t="s">
        <v>34</v>
      </c>
    </row>
    <row r="1453" spans="55:56" ht="15.75">
      <c r="BC1453" s="7" t="s">
        <v>1710</v>
      </c>
      <c r="BD1453" s="26" t="s">
        <v>34</v>
      </c>
    </row>
    <row r="1454" spans="55:56" ht="15.75">
      <c r="BC1454" s="7" t="s">
        <v>1711</v>
      </c>
      <c r="BD1454" s="26" t="s">
        <v>47</v>
      </c>
    </row>
    <row r="1455" spans="55:56" ht="15.75">
      <c r="BC1455" s="7" t="s">
        <v>1712</v>
      </c>
      <c r="BD1455" s="26" t="s">
        <v>54</v>
      </c>
    </row>
    <row r="1456" spans="55:56" ht="15.75">
      <c r="BC1456" s="7" t="s">
        <v>1713</v>
      </c>
      <c r="BD1456" s="26" t="s">
        <v>54</v>
      </c>
    </row>
    <row r="1457" spans="55:56" ht="15.75">
      <c r="BC1457" s="7" t="s">
        <v>1714</v>
      </c>
      <c r="BD1457" s="26" t="s">
        <v>54</v>
      </c>
    </row>
    <row r="1458" spans="55:56" ht="15.75">
      <c r="BC1458" s="7" t="s">
        <v>1715</v>
      </c>
      <c r="BD1458" s="26" t="s">
        <v>54</v>
      </c>
    </row>
    <row r="1459" spans="55:56" ht="15.75">
      <c r="BC1459" s="7" t="s">
        <v>1716</v>
      </c>
      <c r="BD1459" s="26" t="s">
        <v>54</v>
      </c>
    </row>
    <row r="1460" spans="55:56" ht="15.75">
      <c r="BC1460" s="7" t="s">
        <v>1717</v>
      </c>
      <c r="BD1460" s="26" t="s">
        <v>45</v>
      </c>
    </row>
    <row r="1461" spans="55:56" ht="15.75">
      <c r="BC1461" s="7" t="s">
        <v>1718</v>
      </c>
      <c r="BD1461" s="26" t="s">
        <v>34</v>
      </c>
    </row>
    <row r="1462" spans="55:56" ht="15.75">
      <c r="BC1462" s="7" t="s">
        <v>1719</v>
      </c>
      <c r="BD1462" s="26" t="s">
        <v>47</v>
      </c>
    </row>
    <row r="1463" spans="55:56" ht="15.75">
      <c r="BC1463" s="7" t="s">
        <v>147</v>
      </c>
      <c r="BD1463" s="26" t="s">
        <v>54</v>
      </c>
    </row>
    <row r="1464" spans="55:56" ht="15.75">
      <c r="BC1464" s="7" t="s">
        <v>1720</v>
      </c>
      <c r="BD1464" s="26" t="s">
        <v>54</v>
      </c>
    </row>
    <row r="1465" spans="55:56" ht="15.75">
      <c r="BC1465" s="7" t="s">
        <v>1721</v>
      </c>
      <c r="BD1465" s="26" t="s">
        <v>54</v>
      </c>
    </row>
    <row r="1466" spans="55:56" ht="15.75">
      <c r="BC1466" s="7" t="s">
        <v>1722</v>
      </c>
      <c r="BD1466" s="26" t="s">
        <v>115</v>
      </c>
    </row>
    <row r="1467" spans="55:56" ht="15.75">
      <c r="BC1467" s="7" t="s">
        <v>1723</v>
      </c>
      <c r="BD1467" s="26" t="s">
        <v>115</v>
      </c>
    </row>
    <row r="1468" spans="55:56" ht="15.75">
      <c r="BC1468" s="7" t="s">
        <v>1724</v>
      </c>
      <c r="BD1468" s="26" t="s">
        <v>115</v>
      </c>
    </row>
    <row r="1469" spans="55:56" ht="15.75">
      <c r="BC1469" s="7" t="s">
        <v>1725</v>
      </c>
      <c r="BD1469" s="26" t="s">
        <v>54</v>
      </c>
    </row>
    <row r="1470" spans="55:56" ht="15.75">
      <c r="BC1470" s="7" t="s">
        <v>1726</v>
      </c>
      <c r="BD1470" s="26" t="s">
        <v>54</v>
      </c>
    </row>
    <row r="1471" spans="55:56" ht="15.75">
      <c r="BC1471" s="7" t="s">
        <v>1727</v>
      </c>
      <c r="BD1471" s="26" t="s">
        <v>54</v>
      </c>
    </row>
    <row r="1472" spans="55:56" ht="15.75">
      <c r="BC1472" s="7" t="s">
        <v>1728</v>
      </c>
      <c r="BD1472" s="26" t="s">
        <v>54</v>
      </c>
    </row>
    <row r="1473" spans="55:56" ht="15.75">
      <c r="BC1473" s="7" t="s">
        <v>1729</v>
      </c>
      <c r="BD1473" s="26" t="s">
        <v>54</v>
      </c>
    </row>
    <row r="1474" spans="55:56" ht="15.75">
      <c r="BC1474" s="7" t="s">
        <v>1730</v>
      </c>
      <c r="BD1474" s="26" t="s">
        <v>54</v>
      </c>
    </row>
    <row r="1475" spans="55:56" ht="15.75">
      <c r="BC1475" s="7" t="s">
        <v>1731</v>
      </c>
      <c r="BD1475" s="26" t="s">
        <v>54</v>
      </c>
    </row>
    <row r="1476" spans="55:56" ht="15.75">
      <c r="BC1476" s="7" t="s">
        <v>1732</v>
      </c>
      <c r="BD1476" s="26" t="s">
        <v>54</v>
      </c>
    </row>
    <row r="1477" spans="55:56" ht="15.75">
      <c r="BC1477" s="7" t="s">
        <v>1733</v>
      </c>
      <c r="BD1477" s="26" t="s">
        <v>54</v>
      </c>
    </row>
    <row r="1478" spans="55:56" ht="15.75">
      <c r="BC1478" s="7" t="s">
        <v>1734</v>
      </c>
      <c r="BD1478" s="26" t="s">
        <v>54</v>
      </c>
    </row>
    <row r="1479" spans="55:56" ht="15.75">
      <c r="BC1479" s="7" t="s">
        <v>1735</v>
      </c>
      <c r="BD1479" s="26" t="s">
        <v>54</v>
      </c>
    </row>
    <row r="1480" spans="55:56" ht="15.75">
      <c r="BC1480" s="7" t="s">
        <v>1736</v>
      </c>
      <c r="BD1480" s="26" t="s">
        <v>54</v>
      </c>
    </row>
    <row r="1481" spans="55:56" ht="15.75">
      <c r="BC1481" s="7" t="s">
        <v>1737</v>
      </c>
      <c r="BD1481" s="26" t="s">
        <v>54</v>
      </c>
    </row>
    <row r="1482" spans="55:56" ht="15.75">
      <c r="BC1482" s="7" t="s">
        <v>1738</v>
      </c>
      <c r="BD1482" s="26" t="s">
        <v>54</v>
      </c>
    </row>
    <row r="1483" spans="55:56" ht="15.75">
      <c r="BC1483" s="7" t="s">
        <v>1739</v>
      </c>
      <c r="BD1483" s="26" t="s">
        <v>54</v>
      </c>
    </row>
    <row r="1484" spans="55:56" ht="15.75">
      <c r="BC1484" s="7" t="s">
        <v>1740</v>
      </c>
      <c r="BD1484" s="26" t="s">
        <v>37</v>
      </c>
    </row>
    <row r="1485" spans="55:56" ht="15.75">
      <c r="BC1485" s="7" t="s">
        <v>1741</v>
      </c>
      <c r="BD1485" s="26" t="s">
        <v>34</v>
      </c>
    </row>
    <row r="1486" spans="55:56" ht="15.75">
      <c r="BC1486" s="7" t="s">
        <v>1742</v>
      </c>
      <c r="BD1486" s="26" t="s">
        <v>34</v>
      </c>
    </row>
    <row r="1487" spans="55:56" ht="15.75">
      <c r="BC1487" s="7" t="s">
        <v>1743</v>
      </c>
      <c r="BD1487" s="26" t="s">
        <v>47</v>
      </c>
    </row>
    <row r="1488" spans="55:56" ht="15.75">
      <c r="BC1488" s="7" t="s">
        <v>1744</v>
      </c>
      <c r="BD1488" s="26" t="s">
        <v>31</v>
      </c>
    </row>
    <row r="1489" spans="55:56" ht="15.75">
      <c r="BC1489" s="7" t="s">
        <v>1745</v>
      </c>
      <c r="BD1489" s="26" t="s">
        <v>54</v>
      </c>
    </row>
    <row r="1490" spans="55:56" ht="15.75">
      <c r="BC1490" s="7" t="s">
        <v>1746</v>
      </c>
      <c r="BD1490" s="26" t="s">
        <v>54</v>
      </c>
    </row>
    <row r="1491" spans="55:56" ht="15.75">
      <c r="BC1491" s="7" t="s">
        <v>1747</v>
      </c>
      <c r="BD1491" s="26" t="s">
        <v>54</v>
      </c>
    </row>
    <row r="1492" spans="55:56" ht="15.75">
      <c r="BC1492" s="7" t="s">
        <v>1748</v>
      </c>
      <c r="BD1492" s="26" t="s">
        <v>37</v>
      </c>
    </row>
    <row r="1493" spans="55:56" ht="15.75">
      <c r="BC1493" s="7" t="s">
        <v>1749</v>
      </c>
      <c r="BD1493" s="26" t="s">
        <v>34</v>
      </c>
    </row>
    <row r="1494" spans="55:56" ht="15.75">
      <c r="BC1494" s="7" t="s">
        <v>1750</v>
      </c>
      <c r="BD1494" s="26" t="s">
        <v>34</v>
      </c>
    </row>
    <row r="1495" spans="55:56" ht="15.75">
      <c r="BC1495" s="7" t="s">
        <v>1751</v>
      </c>
      <c r="BD1495" s="26" t="s">
        <v>34</v>
      </c>
    </row>
    <row r="1496" spans="55:56" ht="15.75">
      <c r="BC1496" s="7" t="s">
        <v>1752</v>
      </c>
      <c r="BD1496" s="26" t="s">
        <v>34</v>
      </c>
    </row>
    <row r="1497" spans="55:56" ht="15.75">
      <c r="BC1497" s="7" t="s">
        <v>1753</v>
      </c>
      <c r="BD1497" s="26" t="s">
        <v>49</v>
      </c>
    </row>
    <row r="1498" spans="55:56" ht="15.75">
      <c r="BC1498" s="7" t="s">
        <v>1754</v>
      </c>
      <c r="BD1498" s="26" t="s">
        <v>37</v>
      </c>
    </row>
    <row r="1499" spans="55:56" ht="15.75">
      <c r="BC1499" s="7" t="s">
        <v>1755</v>
      </c>
      <c r="BD1499" s="26" t="s">
        <v>34</v>
      </c>
    </row>
    <row r="1500" spans="55:56" ht="15.75">
      <c r="BC1500" s="7" t="s">
        <v>1756</v>
      </c>
      <c r="BD1500" s="26" t="s">
        <v>34</v>
      </c>
    </row>
    <row r="1501" spans="55:56" ht="15.75">
      <c r="BC1501" s="7" t="s">
        <v>1757</v>
      </c>
      <c r="BD1501" s="26" t="s">
        <v>41</v>
      </c>
    </row>
    <row r="1502" spans="55:56" ht="15.75">
      <c r="BC1502" s="7" t="s">
        <v>1758</v>
      </c>
      <c r="BD1502" s="26" t="s">
        <v>52</v>
      </c>
    </row>
    <row r="1503" spans="55:56" ht="15.75">
      <c r="BC1503" s="7" t="s">
        <v>1759</v>
      </c>
      <c r="BD1503" s="26" t="s">
        <v>54</v>
      </c>
    </row>
    <row r="1504" spans="55:56" ht="15.75">
      <c r="BC1504" s="7" t="s">
        <v>1760</v>
      </c>
      <c r="BD1504" s="26" t="s">
        <v>54</v>
      </c>
    </row>
    <row r="1505" spans="55:56" ht="15.75">
      <c r="BC1505" s="7" t="s">
        <v>1761</v>
      </c>
      <c r="BD1505" s="26" t="s">
        <v>37</v>
      </c>
    </row>
    <row r="1506" spans="55:56" ht="15.75">
      <c r="BC1506" s="7" t="s">
        <v>1762</v>
      </c>
      <c r="BD1506" s="26" t="s">
        <v>34</v>
      </c>
    </row>
    <row r="1507" spans="55:56" ht="15.75">
      <c r="BC1507" s="7" t="s">
        <v>1763</v>
      </c>
      <c r="BD1507" s="26" t="s">
        <v>41</v>
      </c>
    </row>
    <row r="1508" spans="55:56" ht="15.75">
      <c r="BC1508" s="7" t="s">
        <v>1764</v>
      </c>
      <c r="BD1508" s="26" t="s">
        <v>54</v>
      </c>
    </row>
    <row r="1509" spans="55:56" ht="15.75">
      <c r="BC1509" s="7" t="s">
        <v>1765</v>
      </c>
      <c r="BD1509" s="26" t="s">
        <v>49</v>
      </c>
    </row>
    <row r="1510" spans="55:56" ht="15.75">
      <c r="BC1510" s="7" t="s">
        <v>1766</v>
      </c>
      <c r="BD1510" s="26" t="s">
        <v>37</v>
      </c>
    </row>
    <row r="1511" spans="55:56" ht="15.75">
      <c r="BC1511" s="7" t="s">
        <v>1767</v>
      </c>
      <c r="BD1511" s="26" t="s">
        <v>34</v>
      </c>
    </row>
    <row r="1512" spans="55:56" ht="15.75">
      <c r="BC1512" s="7" t="s">
        <v>1768</v>
      </c>
      <c r="BD1512" s="26" t="s">
        <v>41</v>
      </c>
    </row>
    <row r="1513" spans="55:56" ht="15.75">
      <c r="BC1513" s="7" t="s">
        <v>1769</v>
      </c>
      <c r="BD1513" s="26" t="s">
        <v>54</v>
      </c>
    </row>
    <row r="1514" spans="55:56" ht="15.75">
      <c r="BC1514" s="7" t="s">
        <v>1770</v>
      </c>
      <c r="BD1514" s="26" t="s">
        <v>54</v>
      </c>
    </row>
    <row r="1515" spans="55:56" ht="15.75">
      <c r="BC1515" s="7" t="s">
        <v>1771</v>
      </c>
      <c r="BD1515" s="26" t="s">
        <v>54</v>
      </c>
    </row>
    <row r="1516" spans="55:56" ht="15.75">
      <c r="BC1516" s="7" t="s">
        <v>1772</v>
      </c>
      <c r="BD1516" s="26" t="s">
        <v>54</v>
      </c>
    </row>
    <row r="1517" spans="55:56" ht="15.75">
      <c r="BC1517" s="7" t="s">
        <v>1773</v>
      </c>
      <c r="BD1517" s="26" t="s">
        <v>115</v>
      </c>
    </row>
    <row r="1518" spans="55:56" ht="15.75">
      <c r="BC1518" s="7" t="s">
        <v>1774</v>
      </c>
      <c r="BD1518" s="26" t="s">
        <v>54</v>
      </c>
    </row>
    <row r="1519" spans="55:56" ht="15.75">
      <c r="BC1519" s="7" t="s">
        <v>1775</v>
      </c>
      <c r="BD1519" s="26" t="s">
        <v>52</v>
      </c>
    </row>
    <row r="1520" spans="55:56" ht="15.75">
      <c r="BC1520" s="7" t="s">
        <v>1776</v>
      </c>
      <c r="BD1520" s="26" t="s">
        <v>54</v>
      </c>
    </row>
    <row r="1521" spans="55:56" ht="15.75">
      <c r="BC1521" s="7" t="s">
        <v>1777</v>
      </c>
      <c r="BD1521" s="26" t="s">
        <v>54</v>
      </c>
    </row>
    <row r="1522" spans="55:56" ht="15.75">
      <c r="BC1522" s="7" t="s">
        <v>1778</v>
      </c>
      <c r="BD1522" s="26" t="s">
        <v>37</v>
      </c>
    </row>
    <row r="1523" spans="55:56" ht="15.75">
      <c r="BC1523" s="7" t="s">
        <v>1779</v>
      </c>
      <c r="BD1523" s="26" t="s">
        <v>34</v>
      </c>
    </row>
    <row r="1524" spans="55:56" ht="15.75">
      <c r="BC1524" s="7" t="s">
        <v>1780</v>
      </c>
      <c r="BD1524" s="26" t="s">
        <v>41</v>
      </c>
    </row>
    <row r="1525" spans="55:56" ht="15.75">
      <c r="BC1525" s="7" t="s">
        <v>1781</v>
      </c>
      <c r="BD1525" s="26" t="s">
        <v>54</v>
      </c>
    </row>
    <row r="1526" spans="55:56" ht="15.75">
      <c r="BC1526" s="7" t="s">
        <v>1782</v>
      </c>
      <c r="BD1526" s="26" t="s">
        <v>54</v>
      </c>
    </row>
    <row r="1527" spans="55:56" ht="15.75">
      <c r="BC1527" s="7" t="s">
        <v>132</v>
      </c>
      <c r="BD1527" s="26" t="s">
        <v>37</v>
      </c>
    </row>
    <row r="1528" spans="55:56" ht="15.75">
      <c r="BC1528" s="7" t="s">
        <v>1783</v>
      </c>
      <c r="BD1528" s="26" t="s">
        <v>34</v>
      </c>
    </row>
    <row r="1529" spans="55:56" ht="15.75">
      <c r="BC1529" s="7" t="s">
        <v>1784</v>
      </c>
      <c r="BD1529" s="26" t="s">
        <v>34</v>
      </c>
    </row>
    <row r="1530" spans="55:56" ht="15.75">
      <c r="BC1530" s="7" t="s">
        <v>1785</v>
      </c>
      <c r="BD1530" s="26" t="s">
        <v>34</v>
      </c>
    </row>
    <row r="1531" spans="55:56" ht="15.75">
      <c r="BC1531" s="7" t="s">
        <v>1786</v>
      </c>
      <c r="BD1531" s="26" t="s">
        <v>52</v>
      </c>
    </row>
    <row r="1532" spans="55:56" ht="15.75">
      <c r="BC1532" s="7" t="s">
        <v>1787</v>
      </c>
      <c r="BD1532" s="26" t="s">
        <v>31</v>
      </c>
    </row>
    <row r="1533" spans="55:56" ht="15.75">
      <c r="BC1533" s="7" t="s">
        <v>1788</v>
      </c>
      <c r="BD1533" s="26" t="s">
        <v>37</v>
      </c>
    </row>
    <row r="1534" spans="55:56" ht="15.75">
      <c r="BC1534" s="7" t="s">
        <v>1789</v>
      </c>
      <c r="BD1534" s="26" t="s">
        <v>34</v>
      </c>
    </row>
    <row r="1535" spans="55:56" ht="15.75">
      <c r="BC1535" s="7" t="s">
        <v>1790</v>
      </c>
      <c r="BD1535" s="26" t="s">
        <v>34</v>
      </c>
    </row>
    <row r="1536" spans="55:56" ht="15.75">
      <c r="BC1536" s="7" t="s">
        <v>1791</v>
      </c>
      <c r="BD1536" s="26" t="s">
        <v>47</v>
      </c>
    </row>
    <row r="1537" spans="55:56" ht="15.75">
      <c r="BC1537" s="7" t="s">
        <v>1792</v>
      </c>
      <c r="BD1537" s="26" t="s">
        <v>54</v>
      </c>
    </row>
    <row r="1538" spans="55:56" ht="15.75">
      <c r="BC1538" s="7" t="s">
        <v>1793</v>
      </c>
      <c r="BD1538" s="26" t="s">
        <v>54</v>
      </c>
    </row>
    <row r="1539" spans="55:56" ht="15.75">
      <c r="BC1539" s="7" t="s">
        <v>1794</v>
      </c>
      <c r="BD1539" s="26" t="s">
        <v>54</v>
      </c>
    </row>
    <row r="1540" spans="55:56" ht="15.75">
      <c r="BC1540" s="7" t="s">
        <v>1795</v>
      </c>
      <c r="BD1540" s="26" t="s">
        <v>31</v>
      </c>
    </row>
    <row r="1541" spans="55:56" ht="15.75">
      <c r="BC1541" s="7" t="s">
        <v>1796</v>
      </c>
      <c r="BD1541" s="26" t="s">
        <v>54</v>
      </c>
    </row>
    <row r="1542" spans="55:56" ht="15.75">
      <c r="BC1542" s="7" t="s">
        <v>1797</v>
      </c>
      <c r="BD1542" s="26" t="s">
        <v>54</v>
      </c>
    </row>
    <row r="1543" spans="55:56" ht="15.75">
      <c r="BC1543" s="7" t="s">
        <v>1798</v>
      </c>
      <c r="BD1543" s="26" t="s">
        <v>54</v>
      </c>
    </row>
    <row r="1544" spans="55:56" ht="15.75">
      <c r="BC1544" s="7" t="s">
        <v>1799</v>
      </c>
      <c r="BD1544" s="26" t="s">
        <v>54</v>
      </c>
    </row>
    <row r="1545" spans="55:56" ht="15.75">
      <c r="BC1545" s="7" t="s">
        <v>1800</v>
      </c>
      <c r="BD1545" s="26" t="s">
        <v>54</v>
      </c>
    </row>
    <row r="1546" spans="55:56" ht="15.75">
      <c r="BC1546" s="7" t="s">
        <v>1801</v>
      </c>
      <c r="BD1546" s="26" t="s">
        <v>31</v>
      </c>
    </row>
    <row r="1547" spans="55:56" ht="15.75">
      <c r="BC1547" s="7" t="s">
        <v>1802</v>
      </c>
      <c r="BD1547" s="26" t="s">
        <v>37</v>
      </c>
    </row>
    <row r="1548" spans="55:56" ht="15.75">
      <c r="BC1548" s="7" t="s">
        <v>1803</v>
      </c>
      <c r="BD1548" s="26" t="s">
        <v>34</v>
      </c>
    </row>
    <row r="1549" spans="55:56" ht="15.75">
      <c r="BC1549" s="7" t="s">
        <v>1804</v>
      </c>
      <c r="BD1549" s="26" t="s">
        <v>47</v>
      </c>
    </row>
    <row r="1550" spans="55:56" ht="15.75">
      <c r="BC1550" s="7" t="s">
        <v>1805</v>
      </c>
      <c r="BD1550" s="26" t="s">
        <v>31</v>
      </c>
    </row>
    <row r="1551" spans="55:56" ht="15.75">
      <c r="BC1551" s="7" t="s">
        <v>1806</v>
      </c>
      <c r="BD1551" s="26" t="s">
        <v>54</v>
      </c>
    </row>
    <row r="1552" spans="55:56" ht="15.75">
      <c r="BC1552" s="7" t="s">
        <v>1807</v>
      </c>
      <c r="BD1552" s="26" t="s">
        <v>37</v>
      </c>
    </row>
    <row r="1553" spans="55:56" ht="15.75">
      <c r="BC1553" s="7" t="s">
        <v>1808</v>
      </c>
      <c r="BD1553" s="26" t="s">
        <v>47</v>
      </c>
    </row>
    <row r="1554" spans="55:56" ht="15.75">
      <c r="BC1554" s="7" t="s">
        <v>1809</v>
      </c>
      <c r="BD1554" s="26" t="s">
        <v>54</v>
      </c>
    </row>
    <row r="1555" spans="55:56" ht="15.75">
      <c r="BC1555" s="7" t="s">
        <v>1810</v>
      </c>
      <c r="BD1555" s="26" t="s">
        <v>45</v>
      </c>
    </row>
    <row r="1556" spans="55:56" ht="15.75">
      <c r="BC1556" s="7" t="s">
        <v>1811</v>
      </c>
      <c r="BD1556" s="26" t="s">
        <v>41</v>
      </c>
    </row>
    <row r="1557" spans="55:56" ht="15.75">
      <c r="BC1557" s="7" t="s">
        <v>1812</v>
      </c>
      <c r="BD1557" s="26" t="s">
        <v>31</v>
      </c>
    </row>
    <row r="1558" spans="55:56" ht="15.75">
      <c r="BC1558" s="7" t="s">
        <v>1813</v>
      </c>
      <c r="BD1558" s="26" t="s">
        <v>31</v>
      </c>
    </row>
    <row r="1559" spans="55:56" ht="15.75">
      <c r="BC1559" s="7" t="s">
        <v>1814</v>
      </c>
      <c r="BD1559" s="26" t="s">
        <v>54</v>
      </c>
    </row>
    <row r="1560" spans="55:56" ht="15.75">
      <c r="BC1560" s="7" t="s">
        <v>1815</v>
      </c>
      <c r="BD1560" s="26" t="s">
        <v>45</v>
      </c>
    </row>
    <row r="1561" spans="55:56" ht="15.75">
      <c r="BC1561" s="7" t="s">
        <v>1816</v>
      </c>
      <c r="BD1561" s="26" t="s">
        <v>34</v>
      </c>
    </row>
    <row r="1562" spans="55:56" ht="15.75">
      <c r="BC1562" s="7" t="s">
        <v>1817</v>
      </c>
      <c r="BD1562" s="26" t="s">
        <v>34</v>
      </c>
    </row>
    <row r="1563" spans="55:56" ht="15.75">
      <c r="BC1563" s="7" t="s">
        <v>1818</v>
      </c>
      <c r="BD1563" s="26" t="s">
        <v>41</v>
      </c>
    </row>
    <row r="1564" spans="55:56" ht="15.75">
      <c r="BC1564" s="7" t="s">
        <v>1819</v>
      </c>
      <c r="BD1564" s="26" t="s">
        <v>54</v>
      </c>
    </row>
    <row r="1565" spans="55:56" ht="15.75">
      <c r="BC1565" s="7" t="s">
        <v>1820</v>
      </c>
      <c r="BD1565" s="26" t="s">
        <v>115</v>
      </c>
    </row>
    <row r="1566" spans="55:56" ht="15.75">
      <c r="BC1566" s="7" t="s">
        <v>1821</v>
      </c>
      <c r="BD1566" s="26" t="s">
        <v>54</v>
      </c>
    </row>
    <row r="1567" spans="55:56" ht="15.75">
      <c r="BC1567" s="7" t="s">
        <v>1822</v>
      </c>
      <c r="BD1567" s="26" t="s">
        <v>31</v>
      </c>
    </row>
    <row r="1568" spans="55:56" ht="15.75">
      <c r="BC1568" s="7" t="s">
        <v>1823</v>
      </c>
      <c r="BD1568" s="26" t="s">
        <v>54</v>
      </c>
    </row>
    <row r="1569" spans="55:56" ht="15.75">
      <c r="BC1569" s="7" t="s">
        <v>1824</v>
      </c>
      <c r="BD1569" s="26" t="s">
        <v>37</v>
      </c>
    </row>
    <row r="1570" spans="55:56" ht="15.75">
      <c r="BC1570" s="7" t="s">
        <v>1825</v>
      </c>
      <c r="BD1570" s="26" t="s">
        <v>47</v>
      </c>
    </row>
    <row r="1571" spans="55:56" ht="15.75">
      <c r="BC1571" s="7" t="s">
        <v>1826</v>
      </c>
      <c r="BD1571" s="26" t="s">
        <v>54</v>
      </c>
    </row>
    <row r="1572" spans="55:56" ht="15.75">
      <c r="BC1572" s="7" t="s">
        <v>1827</v>
      </c>
      <c r="BD1572" s="26" t="s">
        <v>45</v>
      </c>
    </row>
    <row r="1573" spans="55:56" ht="15.75">
      <c r="BC1573" s="7" t="s">
        <v>1828</v>
      </c>
      <c r="BD1573" s="26" t="s">
        <v>41</v>
      </c>
    </row>
    <row r="1574" spans="55:56" ht="15.75">
      <c r="BC1574" s="7" t="s">
        <v>1829</v>
      </c>
      <c r="BD1574" s="26" t="s">
        <v>54</v>
      </c>
    </row>
    <row r="1575" spans="55:56" ht="15.75">
      <c r="BC1575" s="7" t="s">
        <v>1830</v>
      </c>
      <c r="BD1575" s="26" t="s">
        <v>45</v>
      </c>
    </row>
    <row r="1576" spans="55:56" ht="15.75">
      <c r="BC1576" s="7" t="s">
        <v>1831</v>
      </c>
      <c r="BD1576" s="26" t="s">
        <v>34</v>
      </c>
    </row>
    <row r="1577" spans="55:56" ht="15.75">
      <c r="BC1577" s="7" t="s">
        <v>1832</v>
      </c>
      <c r="BD1577" s="26" t="s">
        <v>41</v>
      </c>
    </row>
    <row r="1578" spans="55:56" ht="15.75">
      <c r="BC1578" s="7" t="s">
        <v>1833</v>
      </c>
      <c r="BD1578" s="26" t="s">
        <v>54</v>
      </c>
    </row>
    <row r="1579" spans="55:56" ht="15.75">
      <c r="BC1579" s="7" t="s">
        <v>1834</v>
      </c>
      <c r="BD1579" s="26" t="s">
        <v>54</v>
      </c>
    </row>
    <row r="1580" spans="55:56" ht="15.75">
      <c r="BC1580" s="7" t="s">
        <v>1835</v>
      </c>
      <c r="BD1580" s="26" t="s">
        <v>31</v>
      </c>
    </row>
    <row r="1581" spans="55:56" ht="15.75">
      <c r="BC1581" s="7" t="s">
        <v>1836</v>
      </c>
      <c r="BD1581" s="26" t="s">
        <v>45</v>
      </c>
    </row>
    <row r="1582" spans="55:56" ht="15.75">
      <c r="BC1582" s="7" t="s">
        <v>1837</v>
      </c>
      <c r="BD1582" s="26" t="s">
        <v>41</v>
      </c>
    </row>
    <row r="1583" spans="55:56" ht="15.75">
      <c r="BC1583" s="7" t="s">
        <v>1838</v>
      </c>
      <c r="BD1583" s="26" t="s">
        <v>54</v>
      </c>
    </row>
    <row r="1584" spans="55:56" ht="15.75">
      <c r="BC1584" s="7" t="s">
        <v>1839</v>
      </c>
      <c r="BD1584" s="26" t="s">
        <v>54</v>
      </c>
    </row>
    <row r="1585" spans="55:56" ht="15.75">
      <c r="BC1585" s="7" t="s">
        <v>1840</v>
      </c>
      <c r="BD1585" s="26" t="s">
        <v>54</v>
      </c>
    </row>
    <row r="1586" spans="55:56" ht="15.75">
      <c r="BC1586" s="7" t="s">
        <v>1841</v>
      </c>
      <c r="BD1586" s="26" t="s">
        <v>54</v>
      </c>
    </row>
    <row r="1587" spans="55:56" ht="15.75">
      <c r="BC1587" s="7" t="s">
        <v>1842</v>
      </c>
      <c r="BD1587" s="26" t="s">
        <v>54</v>
      </c>
    </row>
    <row r="1588" spans="55:56" ht="15.75">
      <c r="BC1588" s="7" t="s">
        <v>1843</v>
      </c>
      <c r="BD1588" s="26" t="s">
        <v>31</v>
      </c>
    </row>
    <row r="1589" spans="55:56" ht="15.75">
      <c r="BC1589" s="7" t="s">
        <v>1844</v>
      </c>
      <c r="BD1589" s="26" t="s">
        <v>54</v>
      </c>
    </row>
    <row r="1590" spans="55:56" ht="15.75">
      <c r="BC1590" s="7" t="s">
        <v>1845</v>
      </c>
      <c r="BD1590" s="26" t="s">
        <v>54</v>
      </c>
    </row>
    <row r="1591" spans="55:56" ht="15.75">
      <c r="BC1591" s="7" t="s">
        <v>1846</v>
      </c>
      <c r="BD1591" s="26" t="s">
        <v>54</v>
      </c>
    </row>
    <row r="1592" spans="55:56" ht="15.75">
      <c r="BC1592" s="7" t="s">
        <v>1847</v>
      </c>
      <c r="BD1592" s="26" t="s">
        <v>54</v>
      </c>
    </row>
    <row r="1593" spans="55:56" ht="15.75">
      <c r="BC1593" s="7" t="s">
        <v>1848</v>
      </c>
      <c r="BD1593" s="26" t="s">
        <v>54</v>
      </c>
    </row>
    <row r="1594" spans="55:56" ht="15.75">
      <c r="BC1594" s="7" t="s">
        <v>1849</v>
      </c>
      <c r="BD1594" s="26" t="s">
        <v>31</v>
      </c>
    </row>
    <row r="1595" spans="55:56" ht="15.75">
      <c r="BC1595" s="7" t="s">
        <v>1850</v>
      </c>
      <c r="BD1595" s="26" t="s">
        <v>45</v>
      </c>
    </row>
    <row r="1596" spans="55:56" ht="15.75">
      <c r="BC1596" s="7" t="s">
        <v>1851</v>
      </c>
      <c r="BD1596" s="26" t="s">
        <v>34</v>
      </c>
    </row>
    <row r="1597" spans="55:56" ht="15.75">
      <c r="BC1597" s="7" t="s">
        <v>1852</v>
      </c>
      <c r="BD1597" s="26" t="s">
        <v>41</v>
      </c>
    </row>
    <row r="1598" spans="55:56" ht="15.75">
      <c r="BC1598" s="7" t="s">
        <v>1853</v>
      </c>
      <c r="BD1598" s="26" t="s">
        <v>31</v>
      </c>
    </row>
    <row r="1599" spans="55:56" ht="15.75">
      <c r="BC1599" s="7" t="s">
        <v>1854</v>
      </c>
      <c r="BD1599" s="26" t="s">
        <v>54</v>
      </c>
    </row>
    <row r="1600" spans="55:56" ht="15.75">
      <c r="BC1600" s="7" t="s">
        <v>1855</v>
      </c>
      <c r="BD1600" s="26" t="s">
        <v>31</v>
      </c>
    </row>
    <row r="1601" spans="55:56" ht="15.75">
      <c r="BC1601" s="7" t="s">
        <v>1856</v>
      </c>
      <c r="BD1601" s="26" t="s">
        <v>54</v>
      </c>
    </row>
    <row r="1602" spans="55:56" ht="15.75">
      <c r="BC1602" s="7" t="s">
        <v>1857</v>
      </c>
      <c r="BD1602" s="26" t="s">
        <v>54</v>
      </c>
    </row>
    <row r="1603" spans="55:56" ht="15.75">
      <c r="BC1603" s="7" t="s">
        <v>1858</v>
      </c>
      <c r="BD1603" s="26" t="s">
        <v>54</v>
      </c>
    </row>
    <row r="1604" spans="55:56" ht="15.75">
      <c r="BC1604" s="7" t="s">
        <v>1859</v>
      </c>
      <c r="BD1604" s="26" t="s">
        <v>31</v>
      </c>
    </row>
    <row r="1605" spans="55:56" ht="15.75">
      <c r="BC1605" s="7" t="s">
        <v>1860</v>
      </c>
      <c r="BD1605" s="26" t="s">
        <v>31</v>
      </c>
    </row>
    <row r="1606" spans="55:56" ht="15.75">
      <c r="BC1606" s="7" t="s">
        <v>1861</v>
      </c>
      <c r="BD1606" s="26" t="s">
        <v>31</v>
      </c>
    </row>
    <row r="1607" spans="55:56" ht="15.75">
      <c r="BC1607" s="7" t="s">
        <v>1862</v>
      </c>
      <c r="BD1607" s="26" t="s">
        <v>54</v>
      </c>
    </row>
    <row r="1608" spans="55:56" ht="15.75">
      <c r="BC1608" s="7" t="s">
        <v>1863</v>
      </c>
      <c r="BD1608" s="26" t="s">
        <v>54</v>
      </c>
    </row>
    <row r="1609" spans="55:56" ht="15.75">
      <c r="BC1609" s="7" t="s">
        <v>1864</v>
      </c>
      <c r="BD1609" s="26" t="s">
        <v>54</v>
      </c>
    </row>
    <row r="1610" spans="55:56" ht="15.75">
      <c r="BC1610" s="7" t="s">
        <v>1865</v>
      </c>
      <c r="BD1610" s="26" t="s">
        <v>54</v>
      </c>
    </row>
    <row r="1611" spans="55:56" ht="15.75">
      <c r="BC1611" s="7" t="s">
        <v>1866</v>
      </c>
      <c r="BD1611" s="26" t="s">
        <v>31</v>
      </c>
    </row>
    <row r="1612" spans="55:56" ht="15.75">
      <c r="BC1612" s="7" t="s">
        <v>1867</v>
      </c>
      <c r="BD1612" s="26" t="s">
        <v>54</v>
      </c>
    </row>
    <row r="1613" spans="55:56" ht="15.75">
      <c r="BC1613" s="7" t="s">
        <v>1868</v>
      </c>
      <c r="BD1613" s="26" t="s">
        <v>115</v>
      </c>
    </row>
    <row r="1614" spans="55:56" ht="15.75">
      <c r="BC1614" s="7" t="s">
        <v>1869</v>
      </c>
      <c r="BD1614" s="26" t="s">
        <v>54</v>
      </c>
    </row>
    <row r="1615" spans="55:56" ht="15.75">
      <c r="BC1615" s="7" t="s">
        <v>1870</v>
      </c>
      <c r="BD1615" s="26" t="s">
        <v>31</v>
      </c>
    </row>
    <row r="1616" spans="55:56" ht="15.75">
      <c r="BC1616" s="7" t="s">
        <v>1871</v>
      </c>
      <c r="BD1616" s="26" t="s">
        <v>54</v>
      </c>
    </row>
    <row r="1617" spans="55:56" ht="15.75">
      <c r="BC1617" s="7" t="s">
        <v>1872</v>
      </c>
      <c r="BD1617" s="26" t="s">
        <v>31</v>
      </c>
    </row>
    <row r="1618" spans="55:56" ht="15.75">
      <c r="BC1618" s="7" t="s">
        <v>1873</v>
      </c>
      <c r="BD1618" s="26" t="s">
        <v>54</v>
      </c>
    </row>
    <row r="1619" spans="55:56" ht="15.75">
      <c r="BC1619" s="7" t="s">
        <v>1874</v>
      </c>
      <c r="BD1619" s="26" t="s">
        <v>54</v>
      </c>
    </row>
    <row r="1620" spans="55:56" ht="15.75">
      <c r="BC1620" s="7" t="s">
        <v>1875</v>
      </c>
      <c r="BD1620" s="26" t="s">
        <v>54</v>
      </c>
    </row>
    <row r="1621" spans="55:56" ht="15.75">
      <c r="BC1621" s="7" t="s">
        <v>1876</v>
      </c>
      <c r="BD1621" s="26" t="s">
        <v>31</v>
      </c>
    </row>
    <row r="1622" spans="55:56" ht="15.75">
      <c r="BC1622" s="7" t="s">
        <v>1877</v>
      </c>
      <c r="BD1622" s="26" t="s">
        <v>54</v>
      </c>
    </row>
    <row r="1623" spans="55:56" ht="15.75">
      <c r="BC1623" s="7" t="s">
        <v>1878</v>
      </c>
      <c r="BD1623" s="26" t="s">
        <v>54</v>
      </c>
    </row>
    <row r="1624" spans="55:56" ht="15.75">
      <c r="BC1624" s="7" t="s">
        <v>1879</v>
      </c>
      <c r="BD1624" s="26" t="s">
        <v>54</v>
      </c>
    </row>
    <row r="1625" spans="55:56" ht="15.75">
      <c r="BC1625" s="7" t="s">
        <v>1880</v>
      </c>
      <c r="BD1625" s="26" t="s">
        <v>31</v>
      </c>
    </row>
    <row r="1626" spans="55:56" ht="15.75">
      <c r="BC1626" s="7" t="s">
        <v>1881</v>
      </c>
      <c r="BD1626" s="26" t="s">
        <v>54</v>
      </c>
    </row>
    <row r="1627" spans="55:56" ht="15.75">
      <c r="BC1627" s="7" t="s">
        <v>1882</v>
      </c>
      <c r="BD1627" s="26" t="s">
        <v>54</v>
      </c>
    </row>
    <row r="1628" spans="55:56" ht="15.75">
      <c r="BC1628" s="7" t="s">
        <v>1883</v>
      </c>
      <c r="BD1628" s="26" t="s">
        <v>31</v>
      </c>
    </row>
    <row r="1629" spans="55:56" ht="15.75">
      <c r="BC1629" s="7" t="s">
        <v>1884</v>
      </c>
      <c r="BD1629" s="26" t="s">
        <v>37</v>
      </c>
    </row>
    <row r="1630" spans="55:56" ht="15.75">
      <c r="BC1630" s="7" t="s">
        <v>1885</v>
      </c>
      <c r="BD1630" s="26" t="s">
        <v>47</v>
      </c>
    </row>
    <row r="1631" spans="55:56" ht="15.75">
      <c r="BC1631" s="7" t="s">
        <v>1886</v>
      </c>
      <c r="BD1631" s="26" t="s">
        <v>54</v>
      </c>
    </row>
    <row r="1632" spans="55:56" ht="15.75">
      <c r="BC1632" s="7" t="s">
        <v>1887</v>
      </c>
      <c r="BD1632" s="26" t="s">
        <v>54</v>
      </c>
    </row>
    <row r="1633" spans="55:56" ht="15.75">
      <c r="BC1633" s="7" t="s">
        <v>1888</v>
      </c>
      <c r="BD1633" s="26" t="s">
        <v>54</v>
      </c>
    </row>
    <row r="1634" spans="55:56" ht="15.75">
      <c r="BC1634" s="7" t="s">
        <v>1889</v>
      </c>
      <c r="BD1634" s="26" t="s">
        <v>54</v>
      </c>
    </row>
    <row r="1635" spans="55:56" ht="15.75">
      <c r="BC1635" s="7" t="s">
        <v>1890</v>
      </c>
      <c r="BD1635" s="26" t="s">
        <v>54</v>
      </c>
    </row>
    <row r="1636" spans="55:56" ht="15.75">
      <c r="BC1636" s="7" t="s">
        <v>1891</v>
      </c>
      <c r="BD1636" s="26" t="s">
        <v>31</v>
      </c>
    </row>
    <row r="1637" spans="55:56" ht="15.75">
      <c r="BC1637" s="7" t="s">
        <v>1892</v>
      </c>
      <c r="BD1637" s="26" t="s">
        <v>54</v>
      </c>
    </row>
    <row r="1638" spans="55:56" ht="15.75">
      <c r="BC1638" s="7" t="s">
        <v>1893</v>
      </c>
      <c r="BD1638" s="26" t="s">
        <v>37</v>
      </c>
    </row>
    <row r="1639" spans="55:56" ht="15.75">
      <c r="BC1639" s="7" t="s">
        <v>1894</v>
      </c>
      <c r="BD1639" s="26" t="s">
        <v>34</v>
      </c>
    </row>
    <row r="1640" spans="55:56" ht="15.75">
      <c r="BC1640" s="7" t="s">
        <v>1895</v>
      </c>
      <c r="BD1640" s="26" t="s">
        <v>34</v>
      </c>
    </row>
    <row r="1641" spans="55:56" ht="15.75">
      <c r="BC1641" s="7" t="s">
        <v>1896</v>
      </c>
      <c r="BD1641" s="26" t="s">
        <v>41</v>
      </c>
    </row>
    <row r="1642" spans="55:56" ht="15.75">
      <c r="BC1642" s="7" t="s">
        <v>1897</v>
      </c>
      <c r="BD1642" s="26" t="s">
        <v>31</v>
      </c>
    </row>
    <row r="1643" spans="55:56" ht="15.75">
      <c r="BC1643" s="7" t="s">
        <v>1898</v>
      </c>
      <c r="BD1643" s="26" t="s">
        <v>37</v>
      </c>
    </row>
    <row r="1644" spans="55:56" ht="15.75">
      <c r="BC1644" s="7" t="s">
        <v>1899</v>
      </c>
      <c r="BD1644" s="26" t="s">
        <v>34</v>
      </c>
    </row>
    <row r="1645" spans="55:56" ht="15.75">
      <c r="BC1645" s="7" t="s">
        <v>1900</v>
      </c>
      <c r="BD1645" s="26" t="s">
        <v>47</v>
      </c>
    </row>
    <row r="1646" spans="55:56" ht="15.75">
      <c r="BC1646" s="7" t="s">
        <v>1901</v>
      </c>
      <c r="BD1646" s="26" t="s">
        <v>31</v>
      </c>
    </row>
    <row r="1647" spans="55:56" ht="15.75">
      <c r="BC1647" s="7" t="s">
        <v>1902</v>
      </c>
      <c r="BD1647" s="26" t="s">
        <v>54</v>
      </c>
    </row>
    <row r="1648" spans="55:56" ht="15.75">
      <c r="BC1648" s="7" t="s">
        <v>1903</v>
      </c>
      <c r="BD1648" s="26" t="s">
        <v>31</v>
      </c>
    </row>
    <row r="1649" spans="55:56" ht="15.75">
      <c r="BC1649" s="7" t="s">
        <v>1904</v>
      </c>
      <c r="BD1649" s="26" t="s">
        <v>54</v>
      </c>
    </row>
    <row r="1650" spans="55:56" ht="15.75">
      <c r="BC1650" s="7" t="s">
        <v>1905</v>
      </c>
      <c r="BD1650" s="26" t="s">
        <v>54</v>
      </c>
    </row>
    <row r="1651" spans="55:56" ht="15.75">
      <c r="BC1651" s="7" t="s">
        <v>1906</v>
      </c>
      <c r="BD1651" s="26" t="s">
        <v>54</v>
      </c>
    </row>
    <row r="1652" spans="55:56" ht="15.75">
      <c r="BC1652" s="7" t="s">
        <v>1907</v>
      </c>
      <c r="BD1652" s="26" t="s">
        <v>31</v>
      </c>
    </row>
    <row r="1653" spans="55:56" ht="15.75">
      <c r="BC1653" s="7" t="s">
        <v>1908</v>
      </c>
      <c r="BD1653" s="26" t="s">
        <v>31</v>
      </c>
    </row>
    <row r="1654" spans="55:56" ht="15.75">
      <c r="BC1654" s="7" t="s">
        <v>1909</v>
      </c>
      <c r="BD1654" s="26" t="s">
        <v>31</v>
      </c>
    </row>
    <row r="1655" spans="55:56" ht="15.75">
      <c r="BC1655" s="7" t="s">
        <v>1910</v>
      </c>
      <c r="BD1655" s="26" t="s">
        <v>54</v>
      </c>
    </row>
    <row r="1656" spans="55:56" ht="15.75">
      <c r="BC1656" s="7" t="s">
        <v>1911</v>
      </c>
      <c r="BD1656" s="26" t="s">
        <v>109</v>
      </c>
    </row>
    <row r="1657" spans="55:56" ht="15.75">
      <c r="BC1657" s="7" t="s">
        <v>1912</v>
      </c>
      <c r="BD1657" s="26" t="s">
        <v>109</v>
      </c>
    </row>
    <row r="1658" spans="55:56" ht="15.75">
      <c r="BC1658" s="7" t="s">
        <v>1913</v>
      </c>
      <c r="BD1658" s="26" t="s">
        <v>54</v>
      </c>
    </row>
    <row r="1659" spans="55:56" ht="15.75">
      <c r="BC1659" s="7" t="s">
        <v>1914</v>
      </c>
      <c r="BD1659" s="26" t="s">
        <v>31</v>
      </c>
    </row>
    <row r="1660" spans="55:56" ht="15.75">
      <c r="BC1660" s="7" t="s">
        <v>1915</v>
      </c>
      <c r="BD1660" s="26" t="s">
        <v>54</v>
      </c>
    </row>
    <row r="1661" spans="55:56" ht="15.75">
      <c r="BC1661" s="7" t="s">
        <v>1916</v>
      </c>
      <c r="BD1661" s="26" t="s">
        <v>115</v>
      </c>
    </row>
    <row r="1662" spans="55:56" ht="15.75">
      <c r="BC1662" s="7" t="s">
        <v>1917</v>
      </c>
      <c r="BD1662" s="26" t="s">
        <v>54</v>
      </c>
    </row>
    <row r="1663" spans="55:56" ht="15.75">
      <c r="BC1663" s="7" t="s">
        <v>1918</v>
      </c>
      <c r="BD1663" s="26" t="s">
        <v>31</v>
      </c>
    </row>
    <row r="1664" spans="55:56" ht="15.75">
      <c r="BC1664" s="7" t="s">
        <v>1919</v>
      </c>
      <c r="BD1664" s="26" t="s">
        <v>54</v>
      </c>
    </row>
    <row r="1665" spans="55:56" ht="15.75">
      <c r="BC1665" s="7" t="s">
        <v>1920</v>
      </c>
      <c r="BD1665" s="26" t="s">
        <v>31</v>
      </c>
    </row>
    <row r="1666" spans="55:56" ht="15.75">
      <c r="BC1666" s="7" t="s">
        <v>1921</v>
      </c>
      <c r="BD1666" s="26" t="s">
        <v>54</v>
      </c>
    </row>
    <row r="1667" spans="55:56" ht="15.75">
      <c r="BC1667" s="7" t="s">
        <v>1922</v>
      </c>
      <c r="BD1667" s="26" t="s">
        <v>54</v>
      </c>
    </row>
    <row r="1668" spans="55:56" ht="15.75">
      <c r="BC1668" s="7" t="s">
        <v>1923</v>
      </c>
      <c r="BD1668" s="26" t="s">
        <v>54</v>
      </c>
    </row>
    <row r="1669" spans="55:56" ht="15.75">
      <c r="BC1669" s="7" t="s">
        <v>1924</v>
      </c>
      <c r="BD1669" s="26" t="s">
        <v>31</v>
      </c>
    </row>
    <row r="1670" spans="55:56" ht="15.75">
      <c r="BC1670" s="7" t="s">
        <v>1925</v>
      </c>
      <c r="BD1670" s="26" t="s">
        <v>54</v>
      </c>
    </row>
    <row r="1671" spans="55:56" ht="15.75">
      <c r="BC1671" s="7" t="s">
        <v>1926</v>
      </c>
      <c r="BD1671" s="26" t="s">
        <v>106</v>
      </c>
    </row>
    <row r="1672" spans="55:56" ht="15.75">
      <c r="BC1672" s="7" t="s">
        <v>1927</v>
      </c>
      <c r="BD1672" s="26" t="s">
        <v>54</v>
      </c>
    </row>
    <row r="1673" spans="55:56" ht="15.75">
      <c r="BC1673" s="7" t="s">
        <v>1928</v>
      </c>
      <c r="BD1673" s="26" t="s">
        <v>31</v>
      </c>
    </row>
    <row r="1674" spans="55:56" ht="15.75">
      <c r="BC1674" s="7" t="s">
        <v>1929</v>
      </c>
      <c r="BD1674" s="26" t="s">
        <v>54</v>
      </c>
    </row>
    <row r="1675" spans="55:56" ht="15.75">
      <c r="BC1675" s="7" t="s">
        <v>1930</v>
      </c>
      <c r="BD1675" s="26" t="s">
        <v>54</v>
      </c>
    </row>
    <row r="1676" spans="55:56" ht="15.75">
      <c r="BC1676" s="7" t="s">
        <v>1931</v>
      </c>
      <c r="BD1676" s="26" t="s">
        <v>31</v>
      </c>
    </row>
    <row r="1677" spans="55:56" ht="15.75">
      <c r="BC1677" s="7" t="s">
        <v>1932</v>
      </c>
      <c r="BD1677" s="26" t="s">
        <v>45</v>
      </c>
    </row>
    <row r="1678" spans="55:56" ht="15.75">
      <c r="BC1678" s="7" t="s">
        <v>1933</v>
      </c>
      <c r="BD1678" s="26" t="s">
        <v>34</v>
      </c>
    </row>
    <row r="1679" spans="55:56" ht="15.75">
      <c r="BC1679" s="7" t="s">
        <v>1934</v>
      </c>
      <c r="BD1679" s="26" t="s">
        <v>34</v>
      </c>
    </row>
    <row r="1680" spans="55:56" ht="15.75">
      <c r="BC1680" s="7" t="s">
        <v>1935</v>
      </c>
      <c r="BD1680" s="26" t="s">
        <v>41</v>
      </c>
    </row>
    <row r="1681" spans="55:56" ht="15.75">
      <c r="BC1681" s="7" t="s">
        <v>1936</v>
      </c>
      <c r="BD1681" s="26" t="s">
        <v>54</v>
      </c>
    </row>
    <row r="1682" spans="55:56" ht="15.75">
      <c r="BC1682" s="7" t="s">
        <v>1937</v>
      </c>
      <c r="BD1682" s="26" t="s">
        <v>54</v>
      </c>
    </row>
    <row r="1683" spans="55:56" ht="15.75">
      <c r="BC1683" s="7" t="s">
        <v>1938</v>
      </c>
      <c r="BD1683" s="26" t="s">
        <v>54</v>
      </c>
    </row>
    <row r="1684" spans="55:56" ht="15.75">
      <c r="BC1684" s="7" t="s">
        <v>1939</v>
      </c>
      <c r="BD1684" s="26" t="s">
        <v>31</v>
      </c>
    </row>
    <row r="1685" spans="55:56" ht="15.75">
      <c r="BC1685" s="7" t="s">
        <v>1940</v>
      </c>
      <c r="BD1685" s="26" t="s">
        <v>54</v>
      </c>
    </row>
    <row r="1686" spans="55:56" ht="15.75">
      <c r="BC1686" s="7" t="s">
        <v>1941</v>
      </c>
      <c r="BD1686" s="26" t="s">
        <v>45</v>
      </c>
    </row>
    <row r="1687" spans="55:56" ht="15.75">
      <c r="BC1687" s="7" t="s">
        <v>1942</v>
      </c>
      <c r="BD1687" s="26" t="s">
        <v>34</v>
      </c>
    </row>
    <row r="1688" spans="55:56" ht="15.75">
      <c r="BC1688" s="7" t="s">
        <v>1943</v>
      </c>
      <c r="BD1688" s="26" t="s">
        <v>41</v>
      </c>
    </row>
    <row r="1689" spans="55:56" ht="15.75">
      <c r="BC1689" s="7" t="s">
        <v>1944</v>
      </c>
      <c r="BD1689" s="26" t="s">
        <v>31</v>
      </c>
    </row>
    <row r="1690" spans="55:56" ht="15.75">
      <c r="BC1690" s="7" t="s">
        <v>1945</v>
      </c>
      <c r="BD1690" s="26" t="s">
        <v>31</v>
      </c>
    </row>
    <row r="1691" spans="55:56" ht="15.75">
      <c r="BC1691" s="7" t="s">
        <v>1946</v>
      </c>
      <c r="BD1691" s="26" t="s">
        <v>45</v>
      </c>
    </row>
    <row r="1692" spans="55:56" ht="15.75">
      <c r="BC1692" s="7" t="s">
        <v>1947</v>
      </c>
      <c r="BD1692" s="26" t="s">
        <v>41</v>
      </c>
    </row>
    <row r="1693" spans="55:56" ht="15.75">
      <c r="BC1693" s="7" t="s">
        <v>1948</v>
      </c>
      <c r="BD1693" s="26" t="s">
        <v>54</v>
      </c>
    </row>
    <row r="1694" spans="55:56" ht="15.75">
      <c r="BC1694" s="7" t="s">
        <v>1949</v>
      </c>
      <c r="BD1694" s="26" t="s">
        <v>31</v>
      </c>
    </row>
    <row r="1695" spans="55:56" ht="15.75">
      <c r="BC1695" s="7" t="s">
        <v>1950</v>
      </c>
      <c r="BD1695" s="26" t="s">
        <v>54</v>
      </c>
    </row>
    <row r="1696" spans="55:56" ht="15.75">
      <c r="BC1696" s="7" t="s">
        <v>1951</v>
      </c>
      <c r="BD1696" s="26" t="s">
        <v>31</v>
      </c>
    </row>
    <row r="1697" spans="55:56" ht="15.75">
      <c r="BC1697" s="7" t="s">
        <v>1952</v>
      </c>
      <c r="BD1697" s="26" t="s">
        <v>37</v>
      </c>
    </row>
    <row r="1698" spans="55:56" ht="15.75">
      <c r="BC1698" s="7" t="s">
        <v>1953</v>
      </c>
      <c r="BD1698" s="26" t="s">
        <v>34</v>
      </c>
    </row>
    <row r="1699" spans="55:56" ht="15.75">
      <c r="BC1699" s="7" t="s">
        <v>1954</v>
      </c>
      <c r="BD1699" s="26" t="s">
        <v>34</v>
      </c>
    </row>
    <row r="1700" spans="55:56" ht="15.75">
      <c r="BC1700" s="7" t="s">
        <v>1955</v>
      </c>
      <c r="BD1700" s="26" t="s">
        <v>47</v>
      </c>
    </row>
    <row r="1701" spans="55:56" ht="15.75">
      <c r="BC1701" s="7" t="s">
        <v>1956</v>
      </c>
      <c r="BD1701" s="26" t="s">
        <v>31</v>
      </c>
    </row>
    <row r="1702" spans="55:56" ht="15.75">
      <c r="BC1702" s="7" t="s">
        <v>1957</v>
      </c>
      <c r="BD1702" s="26" t="s">
        <v>31</v>
      </c>
    </row>
    <row r="1703" spans="55:56" ht="15.75">
      <c r="BC1703" s="7" t="s">
        <v>1958</v>
      </c>
      <c r="BD1703" s="26" t="s">
        <v>54</v>
      </c>
    </row>
    <row r="1704" spans="55:56" ht="15.75">
      <c r="BC1704" s="7" t="s">
        <v>1959</v>
      </c>
      <c r="BD1704" s="26" t="s">
        <v>109</v>
      </c>
    </row>
    <row r="1705" spans="55:56" ht="15.75">
      <c r="BC1705" s="7" t="s">
        <v>1960</v>
      </c>
      <c r="BD1705" s="26" t="s">
        <v>109</v>
      </c>
    </row>
    <row r="1706" spans="55:56" ht="15.75">
      <c r="BC1706" s="7" t="s">
        <v>1961</v>
      </c>
      <c r="BD1706" s="26" t="s">
        <v>54</v>
      </c>
    </row>
    <row r="1707" spans="55:56" ht="15.75">
      <c r="BC1707" s="7" t="s">
        <v>1962</v>
      </c>
      <c r="BD1707" s="26" t="s">
        <v>31</v>
      </c>
    </row>
    <row r="1708" spans="55:56" ht="15.75">
      <c r="BC1708" s="7" t="s">
        <v>1963</v>
      </c>
      <c r="BD1708" s="26" t="s">
        <v>54</v>
      </c>
    </row>
    <row r="1709" spans="55:56" ht="15.75">
      <c r="BC1709" s="7" t="s">
        <v>1964</v>
      </c>
      <c r="BD1709" s="26" t="s">
        <v>115</v>
      </c>
    </row>
    <row r="1710" spans="55:56" ht="15.75">
      <c r="BC1710" s="7" t="s">
        <v>1965</v>
      </c>
      <c r="BD1710" s="26" t="s">
        <v>54</v>
      </c>
    </row>
    <row r="1711" spans="55:56" ht="15.75">
      <c r="BC1711" s="7" t="s">
        <v>1966</v>
      </c>
      <c r="BD1711" s="26" t="s">
        <v>31</v>
      </c>
    </row>
    <row r="1712" spans="55:56" ht="15.75">
      <c r="BC1712" s="7" t="s">
        <v>1967</v>
      </c>
      <c r="BD1712" s="26" t="s">
        <v>54</v>
      </c>
    </row>
    <row r="1713" spans="55:56" ht="15.75">
      <c r="BC1713" s="7" t="s">
        <v>1968</v>
      </c>
      <c r="BD1713" s="26" t="s">
        <v>31</v>
      </c>
    </row>
    <row r="1714" spans="55:56" ht="15.75">
      <c r="BC1714" s="7" t="s">
        <v>1969</v>
      </c>
      <c r="BD1714" s="26" t="s">
        <v>37</v>
      </c>
    </row>
    <row r="1715" spans="55:56" ht="15.75">
      <c r="BC1715" s="7" t="s">
        <v>1970</v>
      </c>
      <c r="BD1715" s="26" t="s">
        <v>34</v>
      </c>
    </row>
    <row r="1716" spans="55:56" ht="15.75">
      <c r="BC1716" s="7" t="s">
        <v>1971</v>
      </c>
      <c r="BD1716" s="26" t="s">
        <v>34</v>
      </c>
    </row>
    <row r="1717" spans="55:56" ht="15.75">
      <c r="BC1717" s="7" t="s">
        <v>1972</v>
      </c>
      <c r="BD1717" s="26" t="s">
        <v>47</v>
      </c>
    </row>
    <row r="1718" spans="55:56" ht="15.75">
      <c r="BC1718" s="7" t="s">
        <v>1973</v>
      </c>
      <c r="BD1718" s="26" t="s">
        <v>54</v>
      </c>
    </row>
    <row r="1719" spans="55:56" ht="15.75">
      <c r="BC1719" s="7" t="s">
        <v>1974</v>
      </c>
      <c r="BD1719" s="26" t="s">
        <v>106</v>
      </c>
    </row>
    <row r="1720" spans="55:56" ht="15.75">
      <c r="BC1720" s="7" t="s">
        <v>1975</v>
      </c>
      <c r="BD1720" s="26" t="s">
        <v>54</v>
      </c>
    </row>
    <row r="1721" spans="55:56" ht="15.75">
      <c r="BC1721" s="7" t="s">
        <v>1976</v>
      </c>
      <c r="BD1721" s="26" t="s">
        <v>31</v>
      </c>
    </row>
    <row r="1722" spans="55:56" ht="15.75">
      <c r="BC1722" s="7" t="s">
        <v>1977</v>
      </c>
      <c r="BD1722" s="26" t="s">
        <v>54</v>
      </c>
    </row>
    <row r="1723" spans="55:56" ht="15.75">
      <c r="BC1723" s="7" t="s">
        <v>1978</v>
      </c>
      <c r="BD1723" s="26" t="s">
        <v>54</v>
      </c>
    </row>
    <row r="1724" spans="55:56" ht="15.75">
      <c r="BC1724" s="7" t="s">
        <v>1979</v>
      </c>
      <c r="BD1724" s="26" t="s">
        <v>31</v>
      </c>
    </row>
    <row r="1725" spans="55:56" ht="15.75">
      <c r="BC1725" s="7" t="s">
        <v>1980</v>
      </c>
      <c r="BD1725" s="26" t="s">
        <v>37</v>
      </c>
    </row>
    <row r="1726" spans="55:56" ht="15.75">
      <c r="BC1726" s="7" t="s">
        <v>1981</v>
      </c>
      <c r="BD1726" s="26" t="s">
        <v>34</v>
      </c>
    </row>
    <row r="1727" spans="55:56" ht="15.75">
      <c r="BC1727" s="7" t="s">
        <v>1982</v>
      </c>
      <c r="BD1727" s="26" t="s">
        <v>34</v>
      </c>
    </row>
    <row r="1728" spans="55:56" ht="15.75">
      <c r="BC1728" s="7" t="s">
        <v>1983</v>
      </c>
      <c r="BD1728" s="26" t="s">
        <v>47</v>
      </c>
    </row>
    <row r="1729" spans="55:56" ht="15.75">
      <c r="BC1729" s="7" t="s">
        <v>1984</v>
      </c>
      <c r="BD1729" s="26" t="s">
        <v>54</v>
      </c>
    </row>
    <row r="1730" spans="55:56" ht="15.75">
      <c r="BC1730" s="7" t="s">
        <v>1985</v>
      </c>
      <c r="BD1730" s="26" t="s">
        <v>54</v>
      </c>
    </row>
    <row r="1731" spans="55:56" ht="15.75">
      <c r="BC1731" s="7" t="s">
        <v>1986</v>
      </c>
      <c r="BD1731" s="26" t="s">
        <v>54</v>
      </c>
    </row>
    <row r="1732" spans="55:56" ht="15.75">
      <c r="BC1732" s="7" t="s">
        <v>1987</v>
      </c>
      <c r="BD1732" s="26" t="s">
        <v>31</v>
      </c>
    </row>
    <row r="1733" spans="55:56" ht="15.75">
      <c r="BC1733" s="7" t="s">
        <v>1988</v>
      </c>
      <c r="BD1733" s="26" t="s">
        <v>54</v>
      </c>
    </row>
    <row r="1734" spans="55:56" ht="15.75">
      <c r="BC1734" s="7" t="s">
        <v>1989</v>
      </c>
      <c r="BD1734" s="26" t="s">
        <v>54</v>
      </c>
    </row>
    <row r="1735" spans="55:56" ht="15.75">
      <c r="BC1735" s="7" t="s">
        <v>1990</v>
      </c>
      <c r="BD1735" s="26" t="s">
        <v>54</v>
      </c>
    </row>
    <row r="1736" spans="55:56" ht="15.75">
      <c r="BC1736" s="7" t="s">
        <v>1991</v>
      </c>
      <c r="BD1736" s="26" t="s">
        <v>31</v>
      </c>
    </row>
    <row r="1737" spans="55:56" ht="15.75">
      <c r="BC1737" s="7" t="s">
        <v>1992</v>
      </c>
      <c r="BD1737" s="26" t="s">
        <v>31</v>
      </c>
    </row>
    <row r="1738" spans="55:56" ht="15.75">
      <c r="BC1738" s="7" t="s">
        <v>1993</v>
      </c>
      <c r="BD1738" s="26" t="s">
        <v>31</v>
      </c>
    </row>
    <row r="1739" spans="55:56" ht="15.75">
      <c r="BC1739" s="7" t="s">
        <v>1994</v>
      </c>
      <c r="BD1739" s="26" t="s">
        <v>54</v>
      </c>
    </row>
    <row r="1740" spans="55:56" ht="15.75">
      <c r="BC1740" s="7" t="s">
        <v>1995</v>
      </c>
      <c r="BD1740" s="26" t="s">
        <v>45</v>
      </c>
    </row>
    <row r="1741" spans="55:56" ht="15.75">
      <c r="BC1741" s="7" t="s">
        <v>1996</v>
      </c>
      <c r="BD1741" s="26" t="s">
        <v>41</v>
      </c>
    </row>
    <row r="1742" spans="55:56" ht="15.75">
      <c r="BC1742" s="7" t="s">
        <v>1997</v>
      </c>
      <c r="BD1742" s="26" t="s">
        <v>31</v>
      </c>
    </row>
    <row r="1743" spans="55:56" ht="15.75">
      <c r="BC1743" s="7" t="s">
        <v>1998</v>
      </c>
      <c r="BD1743" s="26" t="s">
        <v>54</v>
      </c>
    </row>
    <row r="1744" spans="55:56" ht="15.75">
      <c r="BC1744" s="7" t="s">
        <v>1999</v>
      </c>
      <c r="BD1744" s="26" t="s">
        <v>31</v>
      </c>
    </row>
    <row r="1745" spans="55:56" ht="15.75">
      <c r="BC1745" s="7" t="s">
        <v>2000</v>
      </c>
      <c r="BD1745" s="26" t="s">
        <v>45</v>
      </c>
    </row>
    <row r="1746" spans="55:56" ht="15.75">
      <c r="BC1746" s="7" t="s">
        <v>2001</v>
      </c>
      <c r="BD1746" s="26" t="s">
        <v>34</v>
      </c>
    </row>
    <row r="1747" spans="55:56" ht="15.75">
      <c r="BC1747" s="7" t="s">
        <v>2002</v>
      </c>
      <c r="BD1747" s="26" t="s">
        <v>34</v>
      </c>
    </row>
    <row r="1748" spans="55:56" ht="15.75">
      <c r="BC1748" s="7" t="s">
        <v>2003</v>
      </c>
      <c r="BD1748" s="26" t="s">
        <v>41</v>
      </c>
    </row>
    <row r="1749" spans="55:56" ht="15.75">
      <c r="BC1749" s="7" t="s">
        <v>2004</v>
      </c>
      <c r="BD1749" s="26" t="s">
        <v>31</v>
      </c>
    </row>
    <row r="1750" spans="55:56" ht="15.75">
      <c r="BC1750" s="7" t="s">
        <v>2005</v>
      </c>
      <c r="BD1750" s="26" t="s">
        <v>31</v>
      </c>
    </row>
    <row r="1751" spans="55:56" ht="15.75">
      <c r="BC1751" s="7" t="s">
        <v>2006</v>
      </c>
      <c r="BD1751" s="26" t="s">
        <v>54</v>
      </c>
    </row>
    <row r="1752" spans="55:56" ht="15.75">
      <c r="BC1752" s="7" t="s">
        <v>2007</v>
      </c>
      <c r="BD1752" s="26" t="s">
        <v>109</v>
      </c>
    </row>
    <row r="1753" spans="55:56" ht="15.75">
      <c r="BC1753" s="7" t="s">
        <v>2008</v>
      </c>
      <c r="BD1753" s="26" t="s">
        <v>109</v>
      </c>
    </row>
    <row r="1754" spans="55:56" ht="15.75">
      <c r="BC1754" s="7" t="s">
        <v>2009</v>
      </c>
      <c r="BD1754" s="26" t="s">
        <v>54</v>
      </c>
    </row>
    <row r="1755" spans="55:56" ht="15.75">
      <c r="BC1755" s="7" t="s">
        <v>2010</v>
      </c>
      <c r="BD1755" s="26" t="s">
        <v>31</v>
      </c>
    </row>
    <row r="1756" spans="55:56" ht="15.75">
      <c r="BC1756" s="7" t="s">
        <v>2011</v>
      </c>
      <c r="BD1756" s="26" t="s">
        <v>54</v>
      </c>
    </row>
    <row r="1757" spans="55:56" ht="15.75">
      <c r="BC1757" s="7" t="s">
        <v>2012</v>
      </c>
      <c r="BD1757" s="26" t="s">
        <v>115</v>
      </c>
    </row>
    <row r="1758" spans="55:56" ht="15.75">
      <c r="BC1758" s="7" t="s">
        <v>2013</v>
      </c>
      <c r="BD1758" s="26" t="s">
        <v>54</v>
      </c>
    </row>
    <row r="1759" spans="55:56" ht="15.75">
      <c r="BC1759" s="7" t="s">
        <v>2014</v>
      </c>
      <c r="BD1759" s="26" t="s">
        <v>31</v>
      </c>
    </row>
    <row r="1760" spans="55:56" ht="15.75">
      <c r="BC1760" s="7" t="s">
        <v>2015</v>
      </c>
      <c r="BD1760" s="26" t="s">
        <v>54</v>
      </c>
    </row>
    <row r="1761" spans="55:56" ht="15.75">
      <c r="BC1761" s="7" t="s">
        <v>2016</v>
      </c>
      <c r="BD1761" s="26" t="s">
        <v>31</v>
      </c>
    </row>
    <row r="1762" spans="55:56" ht="15.75">
      <c r="BC1762" s="7" t="s">
        <v>2017</v>
      </c>
      <c r="BD1762" s="26" t="s">
        <v>45</v>
      </c>
    </row>
    <row r="1763" spans="55:56" ht="15.75">
      <c r="BC1763" s="7" t="s">
        <v>2018</v>
      </c>
      <c r="BD1763" s="26" t="s">
        <v>34</v>
      </c>
    </row>
    <row r="1764" spans="55:56" ht="15.75">
      <c r="BC1764" s="7" t="s">
        <v>2019</v>
      </c>
      <c r="BD1764" s="26" t="s">
        <v>34</v>
      </c>
    </row>
    <row r="1765" spans="55:56" ht="15.75">
      <c r="BC1765" s="7" t="s">
        <v>2020</v>
      </c>
      <c r="BD1765" s="26" t="s">
        <v>41</v>
      </c>
    </row>
    <row r="1766" spans="55:56" ht="15.75">
      <c r="BC1766" s="7" t="s">
        <v>2021</v>
      </c>
      <c r="BD1766" s="26" t="s">
        <v>54</v>
      </c>
    </row>
    <row r="1767" spans="55:56" ht="15.75">
      <c r="BC1767" s="7" t="s">
        <v>2022</v>
      </c>
      <c r="BD1767" s="26" t="s">
        <v>106</v>
      </c>
    </row>
    <row r="1768" spans="55:56" ht="15.75">
      <c r="BC1768" s="7" t="s">
        <v>2023</v>
      </c>
      <c r="BD1768" s="26" t="s">
        <v>54</v>
      </c>
    </row>
    <row r="1769" spans="55:56" ht="15.75">
      <c r="BC1769" s="7" t="s">
        <v>2024</v>
      </c>
      <c r="BD1769" s="26" t="s">
        <v>31</v>
      </c>
    </row>
    <row r="1770" spans="55:56" ht="15.75">
      <c r="BC1770" s="7" t="s">
        <v>2025</v>
      </c>
      <c r="BD1770" s="26" t="s">
        <v>54</v>
      </c>
    </row>
    <row r="1771" spans="55:56" ht="15.75">
      <c r="BC1771" s="7" t="s">
        <v>2026</v>
      </c>
      <c r="BD1771" s="26" t="s">
        <v>54</v>
      </c>
    </row>
    <row r="1772" spans="55:56" ht="15.75">
      <c r="BC1772" s="7" t="s">
        <v>2027</v>
      </c>
      <c r="BD1772" s="26" t="s">
        <v>31</v>
      </c>
    </row>
    <row r="1773" spans="55:56" ht="15.75">
      <c r="BC1773" s="7" t="s">
        <v>2028</v>
      </c>
      <c r="BD1773" s="26" t="s">
        <v>45</v>
      </c>
    </row>
    <row r="1774" spans="55:56" ht="15.75">
      <c r="BC1774" s="7" t="s">
        <v>2029</v>
      </c>
      <c r="BD1774" s="26" t="s">
        <v>41</v>
      </c>
    </row>
    <row r="1775" spans="55:56" ht="15.75">
      <c r="BC1775" s="7" t="s">
        <v>2030</v>
      </c>
      <c r="BD1775" s="26" t="s">
        <v>54</v>
      </c>
    </row>
    <row r="1776" spans="55:56" ht="15.75">
      <c r="BC1776" s="7" t="s">
        <v>2031</v>
      </c>
      <c r="BD1776" s="26" t="s">
        <v>54</v>
      </c>
    </row>
    <row r="1777" spans="55:56" ht="15.75">
      <c r="BC1777" s="7" t="s">
        <v>2032</v>
      </c>
      <c r="BD1777" s="26" t="s">
        <v>54</v>
      </c>
    </row>
    <row r="1778" spans="55:56" ht="15.75">
      <c r="BC1778" s="7" t="s">
        <v>2033</v>
      </c>
      <c r="BD1778" s="26" t="s">
        <v>54</v>
      </c>
    </row>
    <row r="1779" spans="55:56" ht="15.75">
      <c r="BC1779" s="7" t="s">
        <v>2034</v>
      </c>
      <c r="BD1779" s="26" t="s">
        <v>54</v>
      </c>
    </row>
    <row r="1780" spans="55:56" ht="15.75">
      <c r="BC1780" s="7" t="s">
        <v>2035</v>
      </c>
      <c r="BD1780" s="26" t="s">
        <v>31</v>
      </c>
    </row>
    <row r="1781" spans="55:56" ht="15.75">
      <c r="BC1781" s="7" t="s">
        <v>2036</v>
      </c>
      <c r="BD1781" s="26" t="s">
        <v>54</v>
      </c>
    </row>
    <row r="1782" spans="55:56" ht="15.75">
      <c r="BC1782" s="7" t="s">
        <v>2037</v>
      </c>
      <c r="BD1782" s="26" t="s">
        <v>54</v>
      </c>
    </row>
    <row r="1783" spans="55:56" ht="15.75">
      <c r="BC1783" s="7" t="s">
        <v>2038</v>
      </c>
      <c r="BD1783" s="26" t="s">
        <v>54</v>
      </c>
    </row>
    <row r="1784" spans="55:56" ht="15.75">
      <c r="BC1784" s="7" t="s">
        <v>2039</v>
      </c>
      <c r="BD1784" s="26" t="s">
        <v>31</v>
      </c>
    </row>
    <row r="1785" spans="55:56" ht="15.75">
      <c r="BC1785" s="7" t="s">
        <v>2040</v>
      </c>
      <c r="BD1785" s="26" t="s">
        <v>31</v>
      </c>
    </row>
    <row r="1786" spans="55:56" ht="15.75">
      <c r="BC1786" s="7" t="s">
        <v>2041</v>
      </c>
      <c r="BD1786" s="26" t="s">
        <v>31</v>
      </c>
    </row>
    <row r="1787" spans="55:56" ht="15.75">
      <c r="BC1787" s="7" t="s">
        <v>2042</v>
      </c>
      <c r="BD1787" s="26" t="s">
        <v>54</v>
      </c>
    </row>
    <row r="1788" spans="55:56" ht="15.75">
      <c r="BC1788" s="7" t="s">
        <v>2043</v>
      </c>
      <c r="BD1788" s="26" t="s">
        <v>54</v>
      </c>
    </row>
    <row r="1789" spans="55:56" ht="15.75">
      <c r="BC1789" s="7" t="s">
        <v>2044</v>
      </c>
      <c r="BD1789" s="26" t="s">
        <v>45</v>
      </c>
    </row>
    <row r="1790" spans="55:56" ht="15.75">
      <c r="BC1790" s="7" t="s">
        <v>2045</v>
      </c>
      <c r="BD1790" s="26" t="s">
        <v>47</v>
      </c>
    </row>
    <row r="1791" spans="55:56" ht="15.75">
      <c r="BC1791" s="7" t="s">
        <v>2046</v>
      </c>
      <c r="BD1791" s="26" t="s">
        <v>54</v>
      </c>
    </row>
    <row r="1792" spans="55:56" ht="15.75">
      <c r="BC1792" s="7" t="s">
        <v>2047</v>
      </c>
      <c r="BD1792" s="26" t="s">
        <v>31</v>
      </c>
    </row>
    <row r="1793" spans="55:56" ht="15.75">
      <c r="BC1793" s="7" t="s">
        <v>2048</v>
      </c>
      <c r="BD1793" s="26" t="s">
        <v>54</v>
      </c>
    </row>
    <row r="1794" spans="55:56" ht="15.75">
      <c r="BC1794" s="7" t="s">
        <v>2049</v>
      </c>
      <c r="BD1794" s="26" t="s">
        <v>54</v>
      </c>
    </row>
    <row r="1795" spans="55:56" ht="15.75">
      <c r="BC1795" s="7" t="s">
        <v>2050</v>
      </c>
      <c r="BD1795" s="26" t="s">
        <v>54</v>
      </c>
    </row>
    <row r="1796" spans="55:56" ht="15.75">
      <c r="BC1796" s="7" t="s">
        <v>2051</v>
      </c>
      <c r="BD1796" s="26" t="s">
        <v>31</v>
      </c>
    </row>
    <row r="1797" spans="55:56" ht="15.75">
      <c r="BC1797" s="7" t="s">
        <v>2052</v>
      </c>
      <c r="BD1797" s="26" t="s">
        <v>31</v>
      </c>
    </row>
    <row r="1798" spans="55:56" ht="15.75">
      <c r="BC1798" s="7" t="s">
        <v>2053</v>
      </c>
      <c r="BD1798" s="26" t="s">
        <v>31</v>
      </c>
    </row>
    <row r="1799" spans="55:56" ht="15.75">
      <c r="BC1799" s="7" t="s">
        <v>2054</v>
      </c>
      <c r="BD1799" s="26" t="s">
        <v>54</v>
      </c>
    </row>
    <row r="1800" spans="55:56" ht="15.75">
      <c r="BC1800" s="7" t="s">
        <v>2055</v>
      </c>
      <c r="BD1800" s="26" t="s">
        <v>109</v>
      </c>
    </row>
    <row r="1801" spans="55:56" ht="15.75">
      <c r="BC1801" s="7" t="s">
        <v>2056</v>
      </c>
      <c r="BD1801" s="26" t="s">
        <v>109</v>
      </c>
    </row>
    <row r="1802" spans="55:56" ht="15.75">
      <c r="BC1802" s="7" t="s">
        <v>2057</v>
      </c>
      <c r="BD1802" s="26" t="s">
        <v>54</v>
      </c>
    </row>
    <row r="1803" spans="55:56" ht="15.75">
      <c r="BC1803" s="7" t="s">
        <v>2058</v>
      </c>
      <c r="BD1803" s="26" t="s">
        <v>45</v>
      </c>
    </row>
    <row r="1804" spans="55:56" ht="15.75">
      <c r="BC1804" s="7" t="s">
        <v>2059</v>
      </c>
      <c r="BD1804" s="26" t="s">
        <v>41</v>
      </c>
    </row>
    <row r="1805" spans="55:56" ht="15.75">
      <c r="BC1805" s="7" t="s">
        <v>2060</v>
      </c>
      <c r="BD1805" s="26" t="s">
        <v>54</v>
      </c>
    </row>
    <row r="1806" spans="55:56" ht="15.75">
      <c r="BC1806" s="7" t="s">
        <v>2061</v>
      </c>
      <c r="BD1806" s="26" t="s">
        <v>37</v>
      </c>
    </row>
    <row r="1807" spans="55:56" ht="15.75">
      <c r="BC1807" s="7" t="s">
        <v>2062</v>
      </c>
      <c r="BD1807" s="26" t="s">
        <v>47</v>
      </c>
    </row>
    <row r="1808" spans="55:56" ht="15.75">
      <c r="BC1808" s="7" t="s">
        <v>2063</v>
      </c>
      <c r="BD1808" s="26" t="s">
        <v>54</v>
      </c>
    </row>
    <row r="1809" spans="55:56" ht="15.75">
      <c r="BC1809" s="7" t="s">
        <v>2064</v>
      </c>
      <c r="BD1809" s="26" t="s">
        <v>31</v>
      </c>
    </row>
    <row r="1810" spans="55:56" ht="15.75">
      <c r="BC1810" s="7" t="s">
        <v>2065</v>
      </c>
      <c r="BD1810" s="26" t="s">
        <v>54</v>
      </c>
    </row>
    <row r="1811" spans="55:56" ht="15.75">
      <c r="BC1811" s="7" t="s">
        <v>2066</v>
      </c>
      <c r="BD1811" s="26" t="s">
        <v>54</v>
      </c>
    </row>
    <row r="1812" spans="55:56" ht="15.75">
      <c r="BC1812" s="7" t="s">
        <v>2067</v>
      </c>
      <c r="BD1812" s="26" t="s">
        <v>54</v>
      </c>
    </row>
    <row r="1813" spans="55:56" ht="15.75">
      <c r="BC1813" s="7" t="s">
        <v>2068</v>
      </c>
      <c r="BD1813" s="26" t="s">
        <v>31</v>
      </c>
    </row>
    <row r="1814" spans="55:56" ht="15.75">
      <c r="BC1814" s="7" t="s">
        <v>2069</v>
      </c>
      <c r="BD1814" s="26" t="s">
        <v>54</v>
      </c>
    </row>
    <row r="1815" spans="55:56" ht="15.75">
      <c r="BC1815" s="7" t="s">
        <v>2070</v>
      </c>
      <c r="BD1815" s="26" t="s">
        <v>106</v>
      </c>
    </row>
    <row r="1816" spans="55:56" ht="15.75">
      <c r="BC1816" s="7" t="s">
        <v>2071</v>
      </c>
      <c r="BD1816" s="26" t="s">
        <v>54</v>
      </c>
    </row>
    <row r="1817" spans="55:56" ht="15.75">
      <c r="BC1817" s="7" t="s">
        <v>2072</v>
      </c>
      <c r="BD1817" s="26" t="s">
        <v>31</v>
      </c>
    </row>
    <row r="1818" spans="55:56" ht="15.75">
      <c r="BC1818" s="7" t="s">
        <v>2073</v>
      </c>
      <c r="BD1818" s="26" t="s">
        <v>54</v>
      </c>
    </row>
    <row r="1819" spans="55:56" ht="15.75">
      <c r="BC1819" s="7" t="s">
        <v>2074</v>
      </c>
      <c r="BD1819" s="26" t="s">
        <v>54</v>
      </c>
    </row>
    <row r="1820" spans="55:56" ht="15.75">
      <c r="BC1820" s="7" t="s">
        <v>2075</v>
      </c>
      <c r="BD1820" s="26" t="s">
        <v>31</v>
      </c>
    </row>
    <row r="1821" spans="55:56" ht="15.75">
      <c r="BC1821" s="7" t="s">
        <v>2076</v>
      </c>
      <c r="BD1821" s="26" t="s">
        <v>37</v>
      </c>
    </row>
    <row r="1822" spans="55:56" ht="15.75">
      <c r="BC1822" s="7" t="s">
        <v>2077</v>
      </c>
      <c r="BD1822" s="26" t="s">
        <v>47</v>
      </c>
    </row>
    <row r="1823" spans="55:56" ht="15.75">
      <c r="BC1823" s="7" t="s">
        <v>2078</v>
      </c>
      <c r="BD1823" s="26" t="s">
        <v>54</v>
      </c>
    </row>
    <row r="1824" spans="55:56" ht="15.75">
      <c r="BC1824" s="7" t="s">
        <v>2079</v>
      </c>
      <c r="BD1824" s="26" t="s">
        <v>54</v>
      </c>
    </row>
    <row r="1825" spans="55:56" ht="15.75">
      <c r="BC1825" s="7" t="s">
        <v>2080</v>
      </c>
      <c r="BD1825" s="26" t="s">
        <v>54</v>
      </c>
    </row>
    <row r="1826" spans="55:56" ht="15.75">
      <c r="BC1826" s="7" t="s">
        <v>2081</v>
      </c>
      <c r="BD1826" s="26" t="s">
        <v>54</v>
      </c>
    </row>
    <row r="1827" spans="55:56" ht="15.75">
      <c r="BC1827" s="7" t="s">
        <v>2082</v>
      </c>
      <c r="BD1827" s="26" t="s">
        <v>54</v>
      </c>
    </row>
    <row r="1828" spans="55:56" ht="15.75">
      <c r="BC1828" s="7" t="s">
        <v>2083</v>
      </c>
      <c r="BD1828" s="26" t="s">
        <v>45</v>
      </c>
    </row>
    <row r="1829" spans="55:56" ht="15.75">
      <c r="BC1829" s="7" t="s">
        <v>2084</v>
      </c>
      <c r="BD1829" s="26" t="s">
        <v>34</v>
      </c>
    </row>
    <row r="1830" spans="55:56" ht="15.75">
      <c r="BC1830" s="7" t="s">
        <v>2085</v>
      </c>
      <c r="BD1830" s="26" t="s">
        <v>34</v>
      </c>
    </row>
    <row r="1831" spans="55:56" ht="15.75">
      <c r="BC1831" s="7" t="s">
        <v>2086</v>
      </c>
      <c r="BD1831" s="26" t="s">
        <v>34</v>
      </c>
    </row>
    <row r="1832" spans="55:56" ht="15.75">
      <c r="BC1832" s="7" t="s">
        <v>2087</v>
      </c>
      <c r="BD1832" s="26" t="s">
        <v>47</v>
      </c>
    </row>
    <row r="1833" spans="55:56" ht="15.75">
      <c r="BC1833" s="7" t="s">
        <v>2088</v>
      </c>
      <c r="BD1833" s="26" t="s">
        <v>31</v>
      </c>
    </row>
    <row r="1834" spans="55:56" ht="15.75">
      <c r="BC1834" s="7" t="s">
        <v>2089</v>
      </c>
      <c r="BD1834" s="26" t="s">
        <v>49</v>
      </c>
    </row>
    <row r="1835" spans="55:56" ht="15.75">
      <c r="BC1835" s="7" t="s">
        <v>2090</v>
      </c>
      <c r="BD1835" s="26" t="s">
        <v>54</v>
      </c>
    </row>
    <row r="1836" spans="55:56" ht="15.75">
      <c r="BC1836" s="7" t="s">
        <v>2091</v>
      </c>
      <c r="BD1836" s="26" t="s">
        <v>54</v>
      </c>
    </row>
    <row r="1837" spans="55:56" ht="15.75">
      <c r="BC1837" s="7" t="s">
        <v>2092</v>
      </c>
      <c r="BD1837" s="26" t="s">
        <v>54</v>
      </c>
    </row>
    <row r="1838" spans="55:56" ht="15.75">
      <c r="BC1838" s="7" t="s">
        <v>2093</v>
      </c>
      <c r="BD1838" s="26" t="s">
        <v>54</v>
      </c>
    </row>
    <row r="1839" spans="55:56" ht="15.75">
      <c r="BC1839" s="7" t="s">
        <v>2094</v>
      </c>
      <c r="BD1839" s="26" t="s">
        <v>52</v>
      </c>
    </row>
    <row r="1840" spans="55:56" ht="15.75">
      <c r="BC1840" s="7" t="s">
        <v>2095</v>
      </c>
      <c r="BD1840" s="26" t="s">
        <v>47</v>
      </c>
    </row>
    <row r="1841" spans="55:56" ht="15.75">
      <c r="BC1841" s="7" t="s">
        <v>2096</v>
      </c>
      <c r="BD1841" s="26" t="s">
        <v>54</v>
      </c>
    </row>
    <row r="1842" spans="55:56" ht="15.75">
      <c r="BC1842" s="7" t="s">
        <v>2097</v>
      </c>
      <c r="BD1842" s="26" t="s">
        <v>115</v>
      </c>
    </row>
    <row r="1843" spans="55:56" ht="15.75">
      <c r="BC1843" s="7" t="s">
        <v>2098</v>
      </c>
      <c r="BD1843" s="26" t="s">
        <v>54</v>
      </c>
    </row>
    <row r="1844" spans="55:56" ht="15.75">
      <c r="BC1844" s="7" t="s">
        <v>2099</v>
      </c>
      <c r="BD1844" s="26" t="s">
        <v>45</v>
      </c>
    </row>
    <row r="1845" spans="55:56" ht="15.75">
      <c r="BC1845" s="7" t="s">
        <v>2100</v>
      </c>
      <c r="BD1845" s="26" t="s">
        <v>47</v>
      </c>
    </row>
    <row r="1846" spans="55:56" ht="15.75">
      <c r="BC1846" s="7" t="s">
        <v>2101</v>
      </c>
      <c r="BD1846" s="26" t="s">
        <v>31</v>
      </c>
    </row>
    <row r="1847" spans="55:56" ht="15.75">
      <c r="BC1847" s="7" t="s">
        <v>2102</v>
      </c>
      <c r="BD1847" s="26" t="s">
        <v>54</v>
      </c>
    </row>
    <row r="1848" spans="55:56" ht="15.75">
      <c r="BC1848" s="7" t="s">
        <v>2103</v>
      </c>
      <c r="BD1848" s="26" t="s">
        <v>109</v>
      </c>
    </row>
    <row r="1849" spans="55:56" ht="15.75">
      <c r="BC1849" s="7" t="s">
        <v>2104</v>
      </c>
      <c r="BD1849" s="26" t="s">
        <v>109</v>
      </c>
    </row>
    <row r="1850" spans="55:56" ht="15.75">
      <c r="BC1850" s="7" t="s">
        <v>2105</v>
      </c>
      <c r="BD1850" s="26" t="s">
        <v>54</v>
      </c>
    </row>
    <row r="1851" spans="55:56" ht="15.75">
      <c r="BC1851" s="7" t="s">
        <v>2106</v>
      </c>
      <c r="BD1851" s="26" t="s">
        <v>54</v>
      </c>
    </row>
    <row r="1852" spans="55:56" ht="15.75">
      <c r="BC1852" s="7" t="s">
        <v>2107</v>
      </c>
      <c r="BD1852" s="26" t="s">
        <v>45</v>
      </c>
    </row>
    <row r="1853" spans="55:56" ht="15.75">
      <c r="BC1853" s="7" t="s">
        <v>2108</v>
      </c>
      <c r="BD1853" s="26" t="s">
        <v>34</v>
      </c>
    </row>
    <row r="1854" spans="55:56" ht="15.75">
      <c r="BC1854" s="7" t="s">
        <v>2109</v>
      </c>
      <c r="BD1854" s="26" t="s">
        <v>47</v>
      </c>
    </row>
    <row r="1855" spans="55:56" ht="15.75">
      <c r="BC1855" s="7" t="s">
        <v>2110</v>
      </c>
      <c r="BD1855" s="26" t="s">
        <v>54</v>
      </c>
    </row>
    <row r="1856" spans="55:56" ht="15.75">
      <c r="BC1856" s="7" t="s">
        <v>2111</v>
      </c>
      <c r="BD1856" s="26" t="s">
        <v>54</v>
      </c>
    </row>
    <row r="1857" spans="55:56" ht="15.75">
      <c r="BC1857" s="7" t="s">
        <v>2112</v>
      </c>
      <c r="BD1857" s="26" t="s">
        <v>52</v>
      </c>
    </row>
    <row r="1858" spans="55:56" ht="15.75">
      <c r="BC1858" s="7" t="s">
        <v>2113</v>
      </c>
      <c r="BD1858" s="26" t="s">
        <v>54</v>
      </c>
    </row>
    <row r="1859" spans="55:56" ht="15.75">
      <c r="BC1859" s="7" t="s">
        <v>2114</v>
      </c>
      <c r="BD1859" s="26" t="s">
        <v>54</v>
      </c>
    </row>
    <row r="1860" spans="55:56" ht="15.75">
      <c r="BC1860" s="7" t="s">
        <v>2115</v>
      </c>
      <c r="BD1860" s="26" t="s">
        <v>54</v>
      </c>
    </row>
    <row r="1861" spans="55:56" ht="15.75">
      <c r="BC1861" s="7" t="s">
        <v>2116</v>
      </c>
      <c r="BD1861" s="26" t="s">
        <v>49</v>
      </c>
    </row>
    <row r="1862" spans="55:56" ht="15.75">
      <c r="BC1862" s="7" t="s">
        <v>2117</v>
      </c>
      <c r="BD1862" s="26" t="s">
        <v>54</v>
      </c>
    </row>
    <row r="1863" spans="55:56" ht="15.75">
      <c r="BC1863" s="7" t="s">
        <v>2118</v>
      </c>
      <c r="BD1863" s="26" t="s">
        <v>106</v>
      </c>
    </row>
    <row r="1864" spans="55:56" ht="15.75">
      <c r="BC1864" s="7" t="s">
        <v>2119</v>
      </c>
      <c r="BD1864" s="26" t="s">
        <v>54</v>
      </c>
    </row>
    <row r="1865" spans="55:56" ht="15.75">
      <c r="BC1865" s="7" t="s">
        <v>2120</v>
      </c>
      <c r="BD1865" s="26" t="s">
        <v>45</v>
      </c>
    </row>
    <row r="1866" spans="55:56" ht="15.75">
      <c r="BC1866" s="7" t="s">
        <v>2121</v>
      </c>
      <c r="BD1866" s="26" t="s">
        <v>34</v>
      </c>
    </row>
    <row r="1867" spans="55:56" ht="15.75">
      <c r="BC1867" s="7" t="s">
        <v>2122</v>
      </c>
      <c r="BD1867" s="26" t="s">
        <v>49</v>
      </c>
    </row>
    <row r="1868" spans="55:56" ht="15.75">
      <c r="BC1868" s="7" t="s">
        <v>2123</v>
      </c>
      <c r="BD1868" s="26" t="s">
        <v>31</v>
      </c>
    </row>
    <row r="1869" spans="55:56" ht="15.75">
      <c r="BC1869" s="7" t="s">
        <v>2124</v>
      </c>
      <c r="BD1869" s="26" t="s">
        <v>45</v>
      </c>
    </row>
    <row r="1870" spans="55:56" ht="15.75">
      <c r="BC1870" s="7" t="s">
        <v>2125</v>
      </c>
      <c r="BD1870" s="26" t="s">
        <v>34</v>
      </c>
    </row>
    <row r="1871" spans="55:56" ht="15.75">
      <c r="BC1871" s="7" t="s">
        <v>2126</v>
      </c>
      <c r="BD1871" s="26" t="s">
        <v>34</v>
      </c>
    </row>
    <row r="1872" spans="55:56" ht="15.75">
      <c r="BC1872" s="7" t="s">
        <v>2127</v>
      </c>
      <c r="BD1872" s="26" t="s">
        <v>41</v>
      </c>
    </row>
    <row r="1873" spans="55:56" ht="15.75">
      <c r="BC1873" s="7" t="s">
        <v>2128</v>
      </c>
      <c r="BD1873" s="26" t="s">
        <v>54</v>
      </c>
    </row>
    <row r="1874" spans="55:56" ht="15.75">
      <c r="BC1874" s="7" t="s">
        <v>2129</v>
      </c>
      <c r="BD1874" s="26" t="s">
        <v>54</v>
      </c>
    </row>
    <row r="1875" spans="55:56" ht="15.75">
      <c r="BC1875" s="7" t="s">
        <v>2130</v>
      </c>
      <c r="BD1875" s="26" t="s">
        <v>54</v>
      </c>
    </row>
    <row r="1876" spans="55:56" ht="15.75">
      <c r="BC1876" s="7" t="s">
        <v>2131</v>
      </c>
      <c r="BD1876" s="26" t="s">
        <v>54</v>
      </c>
    </row>
    <row r="1877" spans="55:56" ht="15.75">
      <c r="BC1877" s="7" t="s">
        <v>2132</v>
      </c>
      <c r="BD1877" s="26" t="s">
        <v>54</v>
      </c>
    </row>
    <row r="1878" spans="55:56" ht="15.75">
      <c r="BC1878" s="7" t="s">
        <v>2133</v>
      </c>
      <c r="BD1878" s="26" t="s">
        <v>54</v>
      </c>
    </row>
    <row r="1879" spans="55:56" ht="15.75">
      <c r="BC1879" s="7" t="s">
        <v>2134</v>
      </c>
      <c r="BD1879" s="26" t="s">
        <v>54</v>
      </c>
    </row>
    <row r="1880" spans="55:56" ht="15.75">
      <c r="BC1880" s="7" t="s">
        <v>2135</v>
      </c>
      <c r="BD1880" s="26" t="s">
        <v>54</v>
      </c>
    </row>
    <row r="1881" spans="55:56" ht="15.75">
      <c r="BC1881" s="7" t="s">
        <v>2136</v>
      </c>
      <c r="BD1881" s="26" t="s">
        <v>52</v>
      </c>
    </row>
    <row r="1882" spans="55:56" ht="15.75">
      <c r="BC1882" s="7" t="s">
        <v>2137</v>
      </c>
      <c r="BD1882" s="26" t="s">
        <v>54</v>
      </c>
    </row>
    <row r="1883" spans="55:56" ht="15.75">
      <c r="BC1883" s="7" t="s">
        <v>2138</v>
      </c>
      <c r="BD1883" s="26" t="s">
        <v>54</v>
      </c>
    </row>
    <row r="1884" spans="55:56" ht="15.75">
      <c r="BC1884" s="7" t="s">
        <v>2139</v>
      </c>
      <c r="BD1884" s="26" t="s">
        <v>54</v>
      </c>
    </row>
    <row r="1885" spans="55:56" ht="15.75">
      <c r="BC1885" s="7" t="s">
        <v>2140</v>
      </c>
      <c r="BD1885" s="26" t="s">
        <v>54</v>
      </c>
    </row>
    <row r="1886" spans="55:56" ht="15.75">
      <c r="BC1886" s="7" t="s">
        <v>2141</v>
      </c>
      <c r="BD1886" s="26" t="s">
        <v>54</v>
      </c>
    </row>
    <row r="1887" spans="55:56" ht="15.75">
      <c r="BC1887" s="7" t="s">
        <v>2142</v>
      </c>
      <c r="BD1887" s="26" t="s">
        <v>54</v>
      </c>
    </row>
    <row r="1888" spans="55:56" ht="15.75">
      <c r="BC1888" s="7" t="s">
        <v>2143</v>
      </c>
      <c r="BD1888" s="26" t="s">
        <v>54</v>
      </c>
    </row>
    <row r="1889" spans="55:56" ht="15.75">
      <c r="BC1889" s="7" t="s">
        <v>2144</v>
      </c>
      <c r="BD1889" s="26" t="s">
        <v>54</v>
      </c>
    </row>
    <row r="1890" spans="55:56" ht="15.75">
      <c r="BC1890" s="7" t="s">
        <v>2145</v>
      </c>
      <c r="BD1890" s="26" t="s">
        <v>54</v>
      </c>
    </row>
    <row r="1891" spans="55:56" ht="15.75">
      <c r="BC1891" s="7" t="s">
        <v>2146</v>
      </c>
      <c r="BD1891" s="26" t="s">
        <v>54</v>
      </c>
    </row>
    <row r="1892" spans="55:56" ht="15.75">
      <c r="BC1892" s="7" t="s">
        <v>2147</v>
      </c>
      <c r="BD1892" s="26" t="s">
        <v>54</v>
      </c>
    </row>
    <row r="1893" spans="55:56" ht="15.75">
      <c r="BC1893" s="7" t="s">
        <v>2148</v>
      </c>
      <c r="BD1893" s="26" t="s">
        <v>54</v>
      </c>
    </row>
    <row r="1894" spans="55:56" ht="15.75">
      <c r="BC1894" s="7" t="s">
        <v>2149</v>
      </c>
      <c r="BD1894" s="26" t="s">
        <v>49</v>
      </c>
    </row>
    <row r="1895" spans="55:56" ht="15.75">
      <c r="BC1895" s="7" t="s">
        <v>2150</v>
      </c>
      <c r="BD1895" s="26" t="s">
        <v>54</v>
      </c>
    </row>
    <row r="1896" spans="55:56" ht="15.75">
      <c r="BC1896" s="7" t="s">
        <v>2151</v>
      </c>
      <c r="BD1896" s="26" t="s">
        <v>54</v>
      </c>
    </row>
    <row r="1897" spans="55:56" ht="15.75">
      <c r="BC1897" s="7" t="s">
        <v>2152</v>
      </c>
      <c r="BD1897" s="26" t="s">
        <v>54</v>
      </c>
    </row>
    <row r="1898" spans="55:56" ht="15.75">
      <c r="BC1898" s="7" t="s">
        <v>2153</v>
      </c>
      <c r="BD1898" s="26" t="s">
        <v>54</v>
      </c>
    </row>
    <row r="1899" spans="55:56" ht="15.75">
      <c r="BC1899" s="7" t="s">
        <v>2154</v>
      </c>
      <c r="BD1899" s="26" t="s">
        <v>54</v>
      </c>
    </row>
    <row r="1900" spans="55:56" ht="15.75">
      <c r="BC1900" s="7" t="s">
        <v>2155</v>
      </c>
      <c r="BD1900" s="26" t="s">
        <v>54</v>
      </c>
    </row>
    <row r="1901" spans="55:56" ht="15.75">
      <c r="BC1901" s="7" t="s">
        <v>2156</v>
      </c>
      <c r="BD1901" s="26" t="s">
        <v>54</v>
      </c>
    </row>
    <row r="1902" spans="55:56" ht="15.75">
      <c r="BC1902" s="7" t="s">
        <v>2157</v>
      </c>
      <c r="BD1902" s="26" t="s">
        <v>54</v>
      </c>
    </row>
    <row r="1903" spans="55:56" ht="15.75">
      <c r="BC1903" s="7" t="s">
        <v>2158</v>
      </c>
      <c r="BD1903" s="26" t="s">
        <v>54</v>
      </c>
    </row>
    <row r="1904" spans="55:56" ht="15.75">
      <c r="BC1904" s="7" t="s">
        <v>2159</v>
      </c>
      <c r="BD1904" s="26" t="s">
        <v>54</v>
      </c>
    </row>
    <row r="1905" spans="55:56" ht="15.75">
      <c r="BC1905" s="7" t="s">
        <v>2160</v>
      </c>
      <c r="BD1905" s="26" t="s">
        <v>54</v>
      </c>
    </row>
    <row r="1906" spans="55:56" ht="15.75">
      <c r="BC1906" s="7" t="s">
        <v>2161</v>
      </c>
      <c r="BD1906" s="26" t="s">
        <v>54</v>
      </c>
    </row>
    <row r="1907" spans="55:56" ht="15.75">
      <c r="BC1907" s="7" t="s">
        <v>2162</v>
      </c>
      <c r="BD1907" s="26" t="s">
        <v>54</v>
      </c>
    </row>
    <row r="1908" spans="55:56" ht="15.75">
      <c r="BC1908" s="7" t="s">
        <v>2163</v>
      </c>
      <c r="BD1908" s="26" t="s">
        <v>54</v>
      </c>
    </row>
    <row r="1909" spans="55:56" ht="15.75">
      <c r="BC1909" s="7" t="s">
        <v>2164</v>
      </c>
      <c r="BD1909" s="26" t="s">
        <v>54</v>
      </c>
    </row>
    <row r="1910" spans="55:56" ht="15.75">
      <c r="BC1910" s="7" t="s">
        <v>2165</v>
      </c>
      <c r="BD1910" s="26" t="s">
        <v>54</v>
      </c>
    </row>
    <row r="1911" spans="55:56" ht="15.75">
      <c r="BC1911" s="7" t="s">
        <v>2166</v>
      </c>
      <c r="BD1911" s="26" t="s">
        <v>54</v>
      </c>
    </row>
    <row r="1912" spans="55:56" ht="15.75">
      <c r="BC1912" s="7" t="s">
        <v>2167</v>
      </c>
      <c r="BD1912" s="26" t="s">
        <v>54</v>
      </c>
    </row>
    <row r="1913" spans="55:56" ht="15.75">
      <c r="BC1913" s="7" t="s">
        <v>2168</v>
      </c>
      <c r="BD1913" s="26" t="s">
        <v>54</v>
      </c>
    </row>
    <row r="1914" spans="55:56" ht="15.75">
      <c r="BC1914" s="7" t="s">
        <v>2169</v>
      </c>
      <c r="BD1914" s="26" t="s">
        <v>54</v>
      </c>
    </row>
    <row r="1915" spans="55:56" ht="15.75">
      <c r="BC1915" s="7" t="s">
        <v>2170</v>
      </c>
      <c r="BD1915" s="26" t="s">
        <v>54</v>
      </c>
    </row>
    <row r="1916" spans="55:56" ht="15.75">
      <c r="BC1916" s="7" t="s">
        <v>2171</v>
      </c>
      <c r="BD1916" s="26" t="s">
        <v>45</v>
      </c>
    </row>
    <row r="1917" spans="55:56" ht="15.75">
      <c r="BC1917" s="7" t="s">
        <v>2172</v>
      </c>
      <c r="BD1917" s="26" t="s">
        <v>34</v>
      </c>
    </row>
    <row r="1918" spans="55:56" ht="15.75">
      <c r="BC1918" s="7" t="s">
        <v>2173</v>
      </c>
      <c r="BD1918" s="26" t="s">
        <v>34</v>
      </c>
    </row>
    <row r="1919" spans="55:56" ht="15.75">
      <c r="BC1919" s="7" t="s">
        <v>2174</v>
      </c>
      <c r="BD1919" s="26" t="s">
        <v>34</v>
      </c>
    </row>
    <row r="1920" spans="55:56" ht="15.75">
      <c r="BC1920" s="7" t="s">
        <v>2175</v>
      </c>
      <c r="BD1920" s="26" t="s">
        <v>47</v>
      </c>
    </row>
    <row r="1921" spans="55:56" ht="15.75">
      <c r="BC1921" s="7" t="s">
        <v>2176</v>
      </c>
      <c r="BD1921" s="26" t="s">
        <v>54</v>
      </c>
    </row>
    <row r="1922" spans="55:56" ht="15.75">
      <c r="BC1922" s="7" t="s">
        <v>2177</v>
      </c>
      <c r="BD1922" s="2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086EC-5698-4570-B4DB-18099582A854}">
  <dimension ref="A1:E147"/>
  <sheetViews>
    <sheetView showGridLines="0" zoomScale="70" zoomScaleNormal="70" workbookViewId="0"/>
  </sheetViews>
  <sheetFormatPr defaultColWidth="8.42578125" defaultRowHeight="23.25" customHeight="1"/>
  <cols>
    <col min="1" max="1" width="3.28515625" style="118" customWidth="1"/>
    <col min="2" max="2" width="12.7109375" style="128" customWidth="1"/>
    <col min="3" max="3" width="55.42578125" style="129" customWidth="1"/>
    <col min="4" max="4" width="9.5703125" style="118" customWidth="1"/>
    <col min="5" max="5" width="5.5703125" style="118" customWidth="1"/>
    <col min="6" max="16384" width="8.42578125" style="119"/>
  </cols>
  <sheetData>
    <row r="1" spans="2:5" ht="23.25" customHeight="1" thickBot="1">
      <c r="B1" s="116" t="s">
        <v>2178</v>
      </c>
      <c r="C1" s="117"/>
    </row>
    <row r="2" spans="2:5" ht="23.25" customHeight="1" thickBot="1">
      <c r="B2" s="120" t="s">
        <v>59</v>
      </c>
      <c r="C2" s="121" t="s">
        <v>62</v>
      </c>
      <c r="D2" s="120" t="s">
        <v>61</v>
      </c>
    </row>
    <row r="3" spans="2:5" ht="23.25" customHeight="1">
      <c r="B3" s="122" t="s">
        <v>64</v>
      </c>
      <c r="C3" s="123">
        <f>IF(ISBLANK(Case!E53),"",Case!E53)</f>
        <v>1167</v>
      </c>
      <c r="D3" s="124">
        <v>30</v>
      </c>
      <c r="E3" s="119"/>
    </row>
    <row r="4" spans="2:5" ht="23.25" customHeight="1">
      <c r="B4" s="125" t="s">
        <v>66</v>
      </c>
      <c r="C4" s="123">
        <f>IF(ISBLANK(Case!E54),"",Case!E54)</f>
        <v>3</v>
      </c>
      <c r="D4" s="126">
        <v>40</v>
      </c>
      <c r="E4" s="119"/>
    </row>
    <row r="5" spans="2:5" ht="23.25" customHeight="1">
      <c r="B5" s="125" t="s">
        <v>68</v>
      </c>
      <c r="C5" s="123">
        <f>IF(ISBLANK(Case!E55),"",Case!E55)</f>
        <v>10</v>
      </c>
      <c r="D5" s="126">
        <v>60</v>
      </c>
      <c r="E5" s="119"/>
    </row>
    <row r="6" spans="2:5" ht="23.25" customHeight="1">
      <c r="B6" s="125" t="s">
        <v>71</v>
      </c>
      <c r="C6" s="123">
        <f>IF(ISBLANK(Case!E56),"",Case!E56)</f>
        <v>282</v>
      </c>
      <c r="D6" s="126">
        <v>50</v>
      </c>
      <c r="E6" s="119"/>
    </row>
    <row r="7" spans="2:5" ht="23.25" customHeight="1">
      <c r="B7" s="125" t="s">
        <v>73</v>
      </c>
      <c r="C7" s="123">
        <f>IF(ISBLANK(Case!E57),"",Case!E57)</f>
        <v>46</v>
      </c>
      <c r="D7" s="126">
        <v>70</v>
      </c>
      <c r="E7" s="119"/>
    </row>
    <row r="8" spans="2:5" ht="23.25" customHeight="1">
      <c r="B8" s="127">
        <v>1</v>
      </c>
      <c r="C8" s="123">
        <f>IF(ISBLANK(Case!E80),"",Case!E80)</f>
        <v>5</v>
      </c>
      <c r="D8" s="122">
        <v>5</v>
      </c>
    </row>
    <row r="9" spans="2:5" ht="23.25" customHeight="1">
      <c r="B9" s="127">
        <f t="shared" ref="B9:B72" si="0">B8+1</f>
        <v>2</v>
      </c>
      <c r="C9" s="123">
        <f>IF(ISBLANK(Case!E81),"",Case!E81)</f>
        <v>2</v>
      </c>
      <c r="D9" s="122">
        <v>5</v>
      </c>
    </row>
    <row r="10" spans="2:5" ht="23.25" customHeight="1">
      <c r="B10" s="127">
        <f t="shared" si="0"/>
        <v>3</v>
      </c>
      <c r="C10" s="123">
        <f>IF(ISBLANK(Case!E82),"",Case!E82)</f>
        <v>6</v>
      </c>
      <c r="D10" s="122">
        <v>5</v>
      </c>
    </row>
    <row r="11" spans="2:5" ht="23.25" customHeight="1">
      <c r="B11" s="127">
        <f t="shared" si="0"/>
        <v>4</v>
      </c>
      <c r="C11" s="123">
        <f>IF(ISBLANK(Case!E83),"",Case!E83)</f>
        <v>3</v>
      </c>
      <c r="D11" s="122">
        <v>5</v>
      </c>
    </row>
    <row r="12" spans="2:5" ht="23.25" customHeight="1">
      <c r="B12" s="127">
        <f t="shared" si="0"/>
        <v>5</v>
      </c>
      <c r="C12" s="123">
        <f>IF(ISBLANK(Case!E84),"",Case!E84)</f>
        <v>3</v>
      </c>
      <c r="D12" s="122">
        <v>5</v>
      </c>
    </row>
    <row r="13" spans="2:5" ht="23.25" customHeight="1">
      <c r="B13" s="127">
        <f t="shared" si="0"/>
        <v>6</v>
      </c>
      <c r="C13" s="123">
        <f>IF(ISBLANK(Case!E85),"",Case!E85)</f>
        <v>6</v>
      </c>
      <c r="D13" s="122">
        <v>5</v>
      </c>
    </row>
    <row r="14" spans="2:5" ht="23.25" customHeight="1">
      <c r="B14" s="127">
        <f t="shared" si="0"/>
        <v>7</v>
      </c>
      <c r="C14" s="123">
        <f>IF(ISBLANK(Case!E86),"",Case!E86)</f>
        <v>2</v>
      </c>
      <c r="D14" s="122">
        <v>5</v>
      </c>
    </row>
    <row r="15" spans="2:5" ht="23.25" customHeight="1">
      <c r="B15" s="127">
        <f t="shared" si="0"/>
        <v>8</v>
      </c>
      <c r="C15" s="123">
        <f>IF(ISBLANK(Case!E87),"",Case!E87)</f>
        <v>8</v>
      </c>
      <c r="D15" s="122">
        <v>5</v>
      </c>
    </row>
    <row r="16" spans="2:5" ht="23.25" customHeight="1">
      <c r="B16" s="127">
        <f t="shared" si="0"/>
        <v>9</v>
      </c>
      <c r="C16" s="123">
        <f>IF(ISBLANK(Case!E88),"",Case!E88)</f>
        <v>1</v>
      </c>
      <c r="D16" s="122">
        <v>5</v>
      </c>
    </row>
    <row r="17" spans="2:4" ht="23.25" customHeight="1">
      <c r="B17" s="127">
        <f t="shared" si="0"/>
        <v>10</v>
      </c>
      <c r="C17" s="123">
        <f>IF(ISBLANK(Case!E89),"",Case!E89)</f>
        <v>3</v>
      </c>
      <c r="D17" s="122">
        <v>5</v>
      </c>
    </row>
    <row r="18" spans="2:4" ht="23.25" customHeight="1">
      <c r="B18" s="127">
        <f t="shared" si="0"/>
        <v>11</v>
      </c>
      <c r="C18" s="123">
        <f>IF(ISBLANK(Case!E90),"",Case!E90)</f>
        <v>4</v>
      </c>
      <c r="D18" s="122">
        <v>5</v>
      </c>
    </row>
    <row r="19" spans="2:4" ht="23.25" customHeight="1">
      <c r="B19" s="127">
        <f t="shared" si="0"/>
        <v>12</v>
      </c>
      <c r="C19" s="123">
        <f>IF(ISBLANK(Case!E91),"",Case!E91)</f>
        <v>1</v>
      </c>
      <c r="D19" s="122">
        <v>5</v>
      </c>
    </row>
    <row r="20" spans="2:4" ht="23.25" customHeight="1">
      <c r="B20" s="127">
        <f t="shared" si="0"/>
        <v>13</v>
      </c>
      <c r="C20" s="123">
        <f>IF(ISBLANK(Case!E92),"",Case!E92)</f>
        <v>4</v>
      </c>
      <c r="D20" s="122">
        <v>5</v>
      </c>
    </row>
    <row r="21" spans="2:4" ht="23.25" customHeight="1">
      <c r="B21" s="127">
        <f t="shared" si="0"/>
        <v>14</v>
      </c>
      <c r="C21" s="123">
        <f>IF(ISBLANK(Case!E93),"",Case!E93)</f>
        <v>10</v>
      </c>
      <c r="D21" s="122">
        <v>5</v>
      </c>
    </row>
    <row r="22" spans="2:4" ht="23.25" customHeight="1">
      <c r="B22" s="127">
        <f t="shared" si="0"/>
        <v>15</v>
      </c>
      <c r="C22" s="123">
        <f>IF(ISBLANK(Case!E94),"",Case!E94)</f>
        <v>1</v>
      </c>
      <c r="D22" s="122">
        <v>5</v>
      </c>
    </row>
    <row r="23" spans="2:4" ht="23.25" customHeight="1">
      <c r="B23" s="127">
        <f t="shared" si="0"/>
        <v>16</v>
      </c>
      <c r="C23" s="123">
        <f>IF(ISBLANK(Case!E95),"",Case!E95)</f>
        <v>6</v>
      </c>
      <c r="D23" s="122">
        <v>5</v>
      </c>
    </row>
    <row r="24" spans="2:4" ht="23.25" customHeight="1">
      <c r="B24" s="127">
        <f t="shared" si="0"/>
        <v>17</v>
      </c>
      <c r="C24" s="123">
        <f>IF(ISBLANK(Case!E96),"",Case!E96)</f>
        <v>0</v>
      </c>
      <c r="D24" s="122">
        <v>5</v>
      </c>
    </row>
    <row r="25" spans="2:4" ht="23.25" customHeight="1">
      <c r="B25" s="127">
        <f t="shared" si="0"/>
        <v>18</v>
      </c>
      <c r="C25" s="123">
        <f>IF(ISBLANK(Case!E97),"",Case!E97)</f>
        <v>5</v>
      </c>
      <c r="D25" s="122">
        <v>5</v>
      </c>
    </row>
    <row r="26" spans="2:4" ht="23.25" customHeight="1">
      <c r="B26" s="127">
        <f t="shared" si="0"/>
        <v>19</v>
      </c>
      <c r="C26" s="123">
        <f>IF(ISBLANK(Case!E98),"",Case!E98)</f>
        <v>3</v>
      </c>
      <c r="D26" s="122">
        <v>5</v>
      </c>
    </row>
    <row r="27" spans="2:4" ht="23.25" customHeight="1">
      <c r="B27" s="127">
        <f t="shared" si="0"/>
        <v>20</v>
      </c>
      <c r="C27" s="123">
        <f>IF(ISBLANK(Case!E99),"",Case!E99)</f>
        <v>1</v>
      </c>
      <c r="D27" s="122">
        <v>5</v>
      </c>
    </row>
    <row r="28" spans="2:4" ht="23.25" customHeight="1">
      <c r="B28" s="127">
        <f t="shared" si="0"/>
        <v>21</v>
      </c>
      <c r="C28" s="123">
        <f>IF(ISBLANK(Case!E120),"",Case!E120)</f>
        <v>262</v>
      </c>
      <c r="D28" s="122">
        <v>7</v>
      </c>
    </row>
    <row r="29" spans="2:4" ht="23.25" customHeight="1">
      <c r="B29" s="127">
        <f t="shared" si="0"/>
        <v>22</v>
      </c>
      <c r="C29" s="123">
        <f>IF(ISBLANK(Case!E121),"",Case!E121)</f>
        <v>139</v>
      </c>
      <c r="D29" s="122">
        <v>7</v>
      </c>
    </row>
    <row r="30" spans="2:4" ht="23.25" customHeight="1">
      <c r="B30" s="127">
        <f t="shared" si="0"/>
        <v>23</v>
      </c>
      <c r="C30" s="123">
        <f>IF(ISBLANK(Case!E122),"",Case!E122)</f>
        <v>64</v>
      </c>
      <c r="D30" s="122">
        <v>7</v>
      </c>
    </row>
    <row r="31" spans="2:4" ht="23.25" customHeight="1">
      <c r="B31" s="127">
        <f t="shared" si="0"/>
        <v>24</v>
      </c>
      <c r="C31" s="123">
        <f>IF(ISBLANK(Case!E123),"",Case!E123)</f>
        <v>79</v>
      </c>
      <c r="D31" s="122">
        <v>7</v>
      </c>
    </row>
    <row r="32" spans="2:4" s="118" customFormat="1" ht="23.25" customHeight="1">
      <c r="B32" s="127">
        <f t="shared" si="0"/>
        <v>25</v>
      </c>
      <c r="C32" s="123">
        <f>IF(ISBLANK(Case!E124),"",Case!E124)</f>
        <v>79</v>
      </c>
      <c r="D32" s="122">
        <v>7</v>
      </c>
    </row>
    <row r="33" spans="2:4" s="118" customFormat="1" ht="23.25" customHeight="1">
      <c r="B33" s="127">
        <f t="shared" si="0"/>
        <v>26</v>
      </c>
      <c r="C33" s="123">
        <f>IF(ISBLANK(Case!E125),"",Case!E125)</f>
        <v>68</v>
      </c>
      <c r="D33" s="122">
        <v>7</v>
      </c>
    </row>
    <row r="34" spans="2:4" s="118" customFormat="1" ht="23.25" customHeight="1">
      <c r="B34" s="127">
        <f t="shared" si="0"/>
        <v>27</v>
      </c>
      <c r="C34" s="123">
        <f>IF(ISBLANK(Case!E126),"",Case!E126)</f>
        <v>21</v>
      </c>
      <c r="D34" s="122">
        <v>7</v>
      </c>
    </row>
    <row r="35" spans="2:4" s="118" customFormat="1" ht="23.25" customHeight="1">
      <c r="B35" s="127">
        <f t="shared" si="0"/>
        <v>28</v>
      </c>
      <c r="C35" s="123">
        <f>IF(ISBLANK(Case!E127),"",Case!E127)</f>
        <v>21</v>
      </c>
      <c r="D35" s="122">
        <v>7</v>
      </c>
    </row>
    <row r="36" spans="2:4" s="118" customFormat="1" ht="23.25" customHeight="1">
      <c r="B36" s="127">
        <f t="shared" si="0"/>
        <v>29</v>
      </c>
      <c r="C36" s="123">
        <f>IF(ISBLANK(Case!E128),"",Case!E128)</f>
        <v>937</v>
      </c>
      <c r="D36" s="122">
        <v>7</v>
      </c>
    </row>
    <row r="37" spans="2:4" s="118" customFormat="1" ht="23.25" customHeight="1">
      <c r="B37" s="127">
        <f t="shared" si="0"/>
        <v>30</v>
      </c>
      <c r="C37" s="123">
        <f>IF(ISBLANK(Case!E129),"",Case!E129)</f>
        <v>25</v>
      </c>
      <c r="D37" s="122">
        <v>7</v>
      </c>
    </row>
    <row r="38" spans="2:4" s="118" customFormat="1" ht="23.25" customHeight="1">
      <c r="B38" s="127">
        <f t="shared" si="0"/>
        <v>31</v>
      </c>
      <c r="C38" s="123">
        <f>IF(ISBLANK(Case!E130),"",Case!E130)</f>
        <v>26</v>
      </c>
      <c r="D38" s="122">
        <v>7</v>
      </c>
    </row>
    <row r="39" spans="2:4" s="118" customFormat="1" ht="23.25" customHeight="1">
      <c r="B39" s="127">
        <f t="shared" si="0"/>
        <v>32</v>
      </c>
      <c r="C39" s="123">
        <f>IF(ISBLANK(Case!E131),"",Case!E131)</f>
        <v>17</v>
      </c>
      <c r="D39" s="122">
        <v>7</v>
      </c>
    </row>
    <row r="40" spans="2:4" s="118" customFormat="1" ht="23.25" customHeight="1">
      <c r="B40" s="127">
        <f t="shared" si="0"/>
        <v>33</v>
      </c>
      <c r="C40" s="123">
        <f>IF(ISBLANK(Case!E132),"",Case!E132)</f>
        <v>11</v>
      </c>
      <c r="D40" s="122">
        <v>7</v>
      </c>
    </row>
    <row r="41" spans="2:4" s="118" customFormat="1" ht="23.25" customHeight="1">
      <c r="B41" s="127">
        <f t="shared" si="0"/>
        <v>34</v>
      </c>
      <c r="C41" s="123">
        <f>IF(ISBLANK(Case!E133),"",Case!E133)</f>
        <v>16</v>
      </c>
      <c r="D41" s="122">
        <v>7</v>
      </c>
    </row>
    <row r="42" spans="2:4" s="118" customFormat="1" ht="23.25" customHeight="1">
      <c r="B42" s="127">
        <f t="shared" si="0"/>
        <v>35</v>
      </c>
      <c r="C42" s="123">
        <f>IF(ISBLANK(Case!E134),"",Case!E134)</f>
        <v>7</v>
      </c>
      <c r="D42" s="122">
        <v>7</v>
      </c>
    </row>
    <row r="43" spans="2:4" s="118" customFormat="1" ht="23.25" customHeight="1">
      <c r="B43" s="127">
        <f t="shared" si="0"/>
        <v>36</v>
      </c>
      <c r="C43" s="123">
        <f>IF(ISBLANK(Case!E135),"",Case!E135)</f>
        <v>24</v>
      </c>
      <c r="D43" s="122">
        <v>7</v>
      </c>
    </row>
    <row r="44" spans="2:4" s="118" customFormat="1" ht="23.25" customHeight="1">
      <c r="B44" s="127">
        <f t="shared" si="0"/>
        <v>37</v>
      </c>
      <c r="C44" s="123">
        <f>IF(ISBLANK(Case!E136),"",Case!E136)</f>
        <v>10</v>
      </c>
      <c r="D44" s="122">
        <v>7</v>
      </c>
    </row>
    <row r="45" spans="2:4" s="118" customFormat="1" ht="23.25" customHeight="1">
      <c r="B45" s="127">
        <f t="shared" si="0"/>
        <v>38</v>
      </c>
      <c r="C45" s="123">
        <f>IF(ISBLANK(Case!E137),"",Case!E137)</f>
        <v>16</v>
      </c>
      <c r="D45" s="122">
        <v>7</v>
      </c>
    </row>
    <row r="46" spans="2:4" s="118" customFormat="1" ht="23.25" customHeight="1">
      <c r="B46" s="127">
        <f t="shared" si="0"/>
        <v>39</v>
      </c>
      <c r="C46" s="123">
        <f>IF(ISBLANK(Case!E138),"",Case!E138)</f>
        <v>40</v>
      </c>
      <c r="D46" s="122">
        <v>7</v>
      </c>
    </row>
    <row r="47" spans="2:4" s="118" customFormat="1" ht="23.25" customHeight="1">
      <c r="B47" s="127">
        <f t="shared" si="0"/>
        <v>40</v>
      </c>
      <c r="C47" s="123">
        <f>IF(ISBLANK(Case!E139),"",Case!E139)</f>
        <v>38</v>
      </c>
      <c r="D47" s="122">
        <v>7</v>
      </c>
    </row>
    <row r="48" spans="2:4" s="118" customFormat="1" ht="23.25" customHeight="1">
      <c r="B48" s="127">
        <f t="shared" si="0"/>
        <v>41</v>
      </c>
      <c r="C48" s="123" t="str">
        <f ca="1">IF(ISBLANK(Case!E161),"",Case!E161)</f>
        <v>┃</v>
      </c>
      <c r="D48" s="122">
        <v>6</v>
      </c>
    </row>
    <row r="49" spans="2:4" s="118" customFormat="1" ht="23.25" customHeight="1">
      <c r="B49" s="127">
        <f t="shared" si="0"/>
        <v>42</v>
      </c>
      <c r="C49" s="123" t="str">
        <f ca="1">IF(ISBLANK(Case!E162),"",Case!E162)</f>
        <v>🌱</v>
      </c>
      <c r="D49" s="122">
        <v>6</v>
      </c>
    </row>
    <row r="50" spans="2:4" s="118" customFormat="1" ht="23.25" customHeight="1">
      <c r="B50" s="127">
        <f t="shared" si="0"/>
        <v>43</v>
      </c>
      <c r="C50" s="123" t="str">
        <f ca="1">IF(ISBLANK(Case!E163),"",Case!E163)</f>
        <v>┏</v>
      </c>
      <c r="D50" s="122">
        <v>6</v>
      </c>
    </row>
    <row r="51" spans="2:4" s="118" customFormat="1" ht="23.25" customHeight="1">
      <c r="B51" s="127">
        <f t="shared" si="0"/>
        <v>44</v>
      </c>
      <c r="C51" s="123" t="str">
        <f ca="1">IF(ISBLANK(Case!E164),"",Case!E164)</f>
        <v>🌿</v>
      </c>
      <c r="D51" s="122">
        <v>6</v>
      </c>
    </row>
    <row r="52" spans="2:4" s="118" customFormat="1" ht="23.25" customHeight="1">
      <c r="B52" s="127">
        <f t="shared" si="0"/>
        <v>45</v>
      </c>
      <c r="C52" s="123" t="str">
        <f ca="1">IF(ISBLANK(Case!E165),"",Case!E165)</f>
        <v>┓</v>
      </c>
      <c r="D52" s="122">
        <v>6</v>
      </c>
    </row>
    <row r="53" spans="2:4" s="118" customFormat="1" ht="23.25" customHeight="1">
      <c r="B53" s="127">
        <f t="shared" si="0"/>
        <v>46</v>
      </c>
      <c r="C53" s="123" t="str">
        <f ca="1">IF(ISBLANK(Case!E166),"",Case!E166)</f>
        <v>○</v>
      </c>
      <c r="D53" s="122">
        <v>6</v>
      </c>
    </row>
    <row r="54" spans="2:4" s="118" customFormat="1" ht="23.25" customHeight="1">
      <c r="B54" s="127">
        <f t="shared" si="0"/>
        <v>47</v>
      </c>
      <c r="C54" s="123" t="str">
        <f ca="1">IF(ISBLANK(Case!E167),"",Case!E167)</f>
        <v>🌿</v>
      </c>
      <c r="D54" s="122">
        <v>6</v>
      </c>
    </row>
    <row r="55" spans="2:4" s="118" customFormat="1" ht="23.25" customHeight="1">
      <c r="B55" s="127">
        <f t="shared" si="0"/>
        <v>48</v>
      </c>
      <c r="C55" s="123" t="str">
        <f ca="1">IF(ISBLANK(Case!E168),"",Case!E168)</f>
        <v>┛</v>
      </c>
      <c r="D55" s="122">
        <v>6</v>
      </c>
    </row>
    <row r="56" spans="2:4" s="118" customFormat="1" ht="23.25" customHeight="1">
      <c r="B56" s="127">
        <f t="shared" si="0"/>
        <v>49</v>
      </c>
      <c r="C56" s="123" t="str">
        <f ca="1">IF(ISBLANK(Case!E169),"",Case!E169)</f>
        <v>🌲</v>
      </c>
      <c r="D56" s="122">
        <v>6</v>
      </c>
    </row>
    <row r="57" spans="2:4" s="118" customFormat="1" ht="23.25" customHeight="1">
      <c r="B57" s="127">
        <f t="shared" si="0"/>
        <v>50</v>
      </c>
      <c r="C57" s="123" t="str">
        <f ca="1">IF(ISBLANK(Case!E170),"",Case!E170)</f>
        <v>🍄</v>
      </c>
      <c r="D57" s="122">
        <v>6</v>
      </c>
    </row>
    <row r="58" spans="2:4" s="118" customFormat="1" ht="23.25" customHeight="1">
      <c r="B58" s="127">
        <f t="shared" si="0"/>
        <v>51</v>
      </c>
      <c r="C58" s="123" t="str">
        <f ca="1">IF(ISBLANK(Case!E171),"",Case!E171)</f>
        <v>🌳</v>
      </c>
      <c r="D58" s="122">
        <v>6</v>
      </c>
    </row>
    <row r="59" spans="2:4" s="118" customFormat="1" ht="23.25" customHeight="1">
      <c r="B59" s="127">
        <f t="shared" si="0"/>
        <v>52</v>
      </c>
      <c r="C59" s="123" t="str">
        <f ca="1">IF(ISBLANK(Case!E172),"",Case!E172)</f>
        <v>🏵</v>
      </c>
      <c r="D59" s="122">
        <v>6</v>
      </c>
    </row>
    <row r="60" spans="2:4" s="118" customFormat="1" ht="23.25" customHeight="1">
      <c r="B60" s="127">
        <f t="shared" si="0"/>
        <v>53</v>
      </c>
      <c r="C60" s="123" t="str">
        <f ca="1">IF(ISBLANK(Case!E173),"",Case!E173)</f>
        <v>◉</v>
      </c>
      <c r="D60" s="122">
        <v>6</v>
      </c>
    </row>
    <row r="61" spans="2:4" s="118" customFormat="1" ht="23.25" customHeight="1">
      <c r="B61" s="127">
        <f t="shared" si="0"/>
        <v>54</v>
      </c>
      <c r="C61" s="123" t="str">
        <f ca="1">IF(ISBLANK(Case!E174),"",Case!E174)</f>
        <v>🌿</v>
      </c>
      <c r="D61" s="122">
        <v>6</v>
      </c>
    </row>
    <row r="62" spans="2:4" s="118" customFormat="1" ht="23.25" customHeight="1">
      <c r="B62" s="127">
        <f t="shared" si="0"/>
        <v>55</v>
      </c>
      <c r="C62" s="123" t="str">
        <f ca="1">IF(ISBLANK(Case!E175),"",Case!E175)</f>
        <v>━</v>
      </c>
      <c r="D62" s="122">
        <v>6</v>
      </c>
    </row>
    <row r="63" spans="2:4" s="118" customFormat="1" ht="23.25" customHeight="1">
      <c r="B63" s="127">
        <f t="shared" si="0"/>
        <v>56</v>
      </c>
      <c r="C63" s="123" t="str">
        <f ca="1">IF(ISBLANK(Case!E176),"",Case!E176)</f>
        <v>🌾</v>
      </c>
      <c r="D63" s="122">
        <v>6</v>
      </c>
    </row>
    <row r="64" spans="2:4" s="118" customFormat="1" ht="23.25" customHeight="1">
      <c r="B64" s="127">
        <f t="shared" si="0"/>
        <v>57</v>
      </c>
      <c r="C64" s="123" t="str">
        <f ca="1">IF(ISBLANK(Case!E177),"",Case!E177)</f>
        <v>🌻</v>
      </c>
      <c r="D64" s="122">
        <v>6</v>
      </c>
    </row>
    <row r="65" spans="2:4" s="118" customFormat="1" ht="23.25" customHeight="1">
      <c r="B65" s="127">
        <f t="shared" si="0"/>
        <v>58</v>
      </c>
      <c r="C65" s="123" t="str">
        <f ca="1">IF(ISBLANK(Case!E178),"",Case!E178)</f>
        <v>🧱</v>
      </c>
      <c r="D65" s="122">
        <v>6</v>
      </c>
    </row>
    <row r="66" spans="2:4" s="118" customFormat="1" ht="23.25" customHeight="1">
      <c r="B66" s="127">
        <f t="shared" si="0"/>
        <v>59</v>
      </c>
      <c r="C66" s="123" t="str">
        <f ca="1">IF(ISBLANK(Case!E179),"",Case!E179)</f>
        <v>🌴</v>
      </c>
      <c r="D66" s="122">
        <v>6</v>
      </c>
    </row>
    <row r="67" spans="2:4" s="118" customFormat="1" ht="23.25" customHeight="1">
      <c r="B67" s="127">
        <f t="shared" si="0"/>
        <v>60</v>
      </c>
      <c r="C67" s="123" t="str">
        <f ca="1">IF(ISBLANK(Case!E180),"",Case!E180)</f>
        <v>🌽</v>
      </c>
      <c r="D67" s="122">
        <v>6</v>
      </c>
    </row>
    <row r="68" spans="2:4" s="118" customFormat="1" ht="23.25" customHeight="1">
      <c r="B68" s="127">
        <f t="shared" si="0"/>
        <v>61</v>
      </c>
      <c r="C68" s="123" t="str">
        <f>IF(ISBLANK(Case!E208),"",Case!E208)</f>
        <v>010110101100</v>
      </c>
      <c r="D68" s="122">
        <v>7</v>
      </c>
    </row>
    <row r="69" spans="2:4" s="118" customFormat="1" ht="23.25" customHeight="1">
      <c r="B69" s="127">
        <f t="shared" si="0"/>
        <v>62</v>
      </c>
      <c r="C69" s="123" t="str">
        <f>IF(ISBLANK(Case!E209),"",Case!E209)</f>
        <v>011001010110</v>
      </c>
      <c r="D69" s="122">
        <v>7</v>
      </c>
    </row>
    <row r="70" spans="2:4" s="118" customFormat="1" ht="23.25" customHeight="1">
      <c r="B70" s="127">
        <f t="shared" si="0"/>
        <v>63</v>
      </c>
      <c r="C70" s="123" t="str">
        <f>IF(ISBLANK(Case!E210),"",Case!E210)</f>
        <v>110010101100</v>
      </c>
      <c r="D70" s="122">
        <v>7</v>
      </c>
    </row>
    <row r="71" spans="2:4" s="118" customFormat="1" ht="23.25" customHeight="1">
      <c r="B71" s="127">
        <f t="shared" si="0"/>
        <v>64</v>
      </c>
      <c r="C71" s="123" t="str">
        <f>IF(ISBLANK(Case!E211),"",Case!E211)</f>
        <v>110011001100</v>
      </c>
      <c r="D71" s="122">
        <v>7</v>
      </c>
    </row>
    <row r="72" spans="2:4" s="118" customFormat="1" ht="23.25" customHeight="1">
      <c r="B72" s="127">
        <f t="shared" si="0"/>
        <v>65</v>
      </c>
      <c r="C72" s="123" t="str">
        <f>IF(ISBLANK(Case!E212),"",Case!E212)</f>
        <v>010101101010</v>
      </c>
      <c r="D72" s="122">
        <v>7</v>
      </c>
    </row>
    <row r="73" spans="2:4" s="118" customFormat="1" ht="23.25" customHeight="1">
      <c r="B73" s="127">
        <f t="shared" ref="B73:B136" si="1">B72+1</f>
        <v>66</v>
      </c>
      <c r="C73" s="123" t="str">
        <f>IF(ISBLANK(Case!E213),"",Case!E213)</f>
        <v>010101011100</v>
      </c>
      <c r="D73" s="122">
        <v>7</v>
      </c>
    </row>
    <row r="74" spans="2:4" s="118" customFormat="1" ht="23.25" customHeight="1">
      <c r="B74" s="127">
        <f t="shared" si="1"/>
        <v>67</v>
      </c>
      <c r="C74" s="123" t="str">
        <f>IF(ISBLANK(Case!E214),"",Case!E214)</f>
        <v>010100111100</v>
      </c>
      <c r="D74" s="122">
        <v>7</v>
      </c>
    </row>
    <row r="75" spans="2:4" s="118" customFormat="1" ht="23.25" customHeight="1">
      <c r="B75" s="127">
        <f t="shared" si="1"/>
        <v>68</v>
      </c>
      <c r="C75" s="123" t="str">
        <f>IF(ISBLANK(Case!E215),"",Case!E215)</f>
        <v>110011001100</v>
      </c>
      <c r="D75" s="122">
        <v>7</v>
      </c>
    </row>
    <row r="76" spans="2:4" s="118" customFormat="1" ht="23.25" customHeight="1">
      <c r="B76" s="127">
        <f t="shared" si="1"/>
        <v>69</v>
      </c>
      <c r="C76" s="123" t="str">
        <f>IF(ISBLANK(Case!E216),"",Case!E216)</f>
        <v>010110011100</v>
      </c>
      <c r="D76" s="122">
        <v>7</v>
      </c>
    </row>
    <row r="77" spans="2:4" s="118" customFormat="1" ht="23.25" customHeight="1">
      <c r="B77" s="127">
        <f t="shared" si="1"/>
        <v>70</v>
      </c>
      <c r="C77" s="123" t="str">
        <f>IF(ISBLANK(Case!E217),"",Case!E217)</f>
        <v>010110100101</v>
      </c>
      <c r="D77" s="122">
        <v>7</v>
      </c>
    </row>
    <row r="78" spans="2:4" s="118" customFormat="1" ht="23.25" customHeight="1">
      <c r="B78" s="127">
        <f t="shared" si="1"/>
        <v>71</v>
      </c>
      <c r="C78" s="123" t="str">
        <f>IF(ISBLANK(Case!E218),"",Case!E218)</f>
        <v>011011000011</v>
      </c>
      <c r="D78" s="122">
        <v>7</v>
      </c>
    </row>
    <row r="79" spans="2:4" s="118" customFormat="1" ht="23.25" customHeight="1">
      <c r="B79" s="127">
        <f t="shared" si="1"/>
        <v>72</v>
      </c>
      <c r="C79" s="123" t="str">
        <f>IF(ISBLANK(Case!E219),"",Case!E219)</f>
        <v>010100110011</v>
      </c>
      <c r="D79" s="122">
        <v>7</v>
      </c>
    </row>
    <row r="80" spans="2:4" s="118" customFormat="1" ht="23.25" customHeight="1">
      <c r="B80" s="127">
        <f t="shared" si="1"/>
        <v>73</v>
      </c>
      <c r="C80" s="123" t="str">
        <f>IF(ISBLANK(Case!E220),"",Case!E220)</f>
        <v>100111001100</v>
      </c>
      <c r="D80" s="122">
        <v>7</v>
      </c>
    </row>
    <row r="81" spans="2:4" s="118" customFormat="1" ht="23.25" customHeight="1">
      <c r="B81" s="127">
        <f t="shared" si="1"/>
        <v>74</v>
      </c>
      <c r="C81" s="123" t="str">
        <f>IF(ISBLANK(Case!E221),"",Case!E221)</f>
        <v>001100110011</v>
      </c>
      <c r="D81" s="122">
        <v>7</v>
      </c>
    </row>
    <row r="82" spans="2:4" s="118" customFormat="1" ht="23.25" customHeight="1">
      <c r="B82" s="127">
        <f t="shared" si="1"/>
        <v>75</v>
      </c>
      <c r="C82" s="123" t="str">
        <f>IF(ISBLANK(Case!E222),"",Case!E222)</f>
        <v>001111000011</v>
      </c>
      <c r="D82" s="122">
        <v>7</v>
      </c>
    </row>
    <row r="83" spans="2:4" s="118" customFormat="1" ht="23.25" customHeight="1">
      <c r="B83" s="127">
        <f t="shared" si="1"/>
        <v>76</v>
      </c>
      <c r="C83" s="123" t="str">
        <f>IF(ISBLANK(Case!E223),"",Case!E223)</f>
        <v>100111001010</v>
      </c>
      <c r="D83" s="122">
        <v>7</v>
      </c>
    </row>
    <row r="84" spans="2:4" s="118" customFormat="1" ht="23.25" customHeight="1">
      <c r="B84" s="127">
        <f t="shared" si="1"/>
        <v>77</v>
      </c>
      <c r="C84" s="123" t="str">
        <f>IF(ISBLANK(Case!E224),"",Case!E224)</f>
        <v>001110010011</v>
      </c>
      <c r="D84" s="122">
        <v>7</v>
      </c>
    </row>
    <row r="85" spans="2:4" s="118" customFormat="1" ht="23.25" customHeight="1">
      <c r="B85" s="127">
        <f t="shared" si="1"/>
        <v>78</v>
      </c>
      <c r="C85" s="123" t="str">
        <f>IF(ISBLANK(Case!E225),"",Case!E225)</f>
        <v>100101101001</v>
      </c>
      <c r="D85" s="122">
        <v>7</v>
      </c>
    </row>
    <row r="86" spans="2:4" s="118" customFormat="1" ht="23.25" customHeight="1">
      <c r="B86" s="127">
        <f t="shared" si="1"/>
        <v>79</v>
      </c>
      <c r="C86" s="123" t="str">
        <f>IF(ISBLANK(Case!E226),"",Case!E226)</f>
        <v>010110100011</v>
      </c>
      <c r="D86" s="122">
        <v>7</v>
      </c>
    </row>
    <row r="87" spans="2:4" s="118" customFormat="1" ht="23.25" customHeight="1">
      <c r="B87" s="127">
        <f t="shared" si="1"/>
        <v>80</v>
      </c>
      <c r="C87" s="123" t="str">
        <f>IF(ISBLANK(Case!E227),"",Case!E227)</f>
        <v>101001011010</v>
      </c>
      <c r="D87" s="122">
        <v>7</v>
      </c>
    </row>
    <row r="88" spans="2:4" s="118" customFormat="1" ht="23.25" customHeight="1">
      <c r="B88" s="127">
        <f t="shared" si="1"/>
        <v>81</v>
      </c>
      <c r="C88" s="123" t="str">
        <f>IF(ISBLANK(Case!E250),"",Case!E250)</f>
        <v>110001011010</v>
      </c>
      <c r="D88" s="122">
        <v>8</v>
      </c>
    </row>
    <row r="89" spans="2:4" s="118" customFormat="1" ht="23.25" customHeight="1">
      <c r="B89" s="127">
        <f t="shared" si="1"/>
        <v>82</v>
      </c>
      <c r="C89" s="123" t="str">
        <f>IF(ISBLANK(Case!E251),"",Case!E251)</f>
        <v>011001010011</v>
      </c>
      <c r="D89" s="122">
        <v>8</v>
      </c>
    </row>
    <row r="90" spans="2:4" s="118" customFormat="1" ht="23.25" customHeight="1">
      <c r="B90" s="127">
        <f t="shared" si="1"/>
        <v>83</v>
      </c>
      <c r="C90" s="123" t="str">
        <f>IF(ISBLANK(Case!E252),"",Case!E252)</f>
        <v>001111001100</v>
      </c>
      <c r="D90" s="122">
        <v>8</v>
      </c>
    </row>
    <row r="91" spans="2:4" s="118" customFormat="1" ht="23.25" customHeight="1">
      <c r="B91" s="127">
        <f t="shared" si="1"/>
        <v>84</v>
      </c>
      <c r="C91" s="123" t="str">
        <f>IF(ISBLANK(Case!E253),"",Case!E253)</f>
        <v>110011000110</v>
      </c>
      <c r="D91" s="122">
        <v>8</v>
      </c>
    </row>
    <row r="92" spans="2:4" s="118" customFormat="1" ht="23.25" customHeight="1">
      <c r="B92" s="127">
        <f t="shared" si="1"/>
        <v>85</v>
      </c>
      <c r="C92" s="123" t="str">
        <f>IF(ISBLANK(Case!E254),"",Case!E254)</f>
        <v>010100111001</v>
      </c>
      <c r="D92" s="122">
        <v>8</v>
      </c>
    </row>
    <row r="93" spans="2:4" s="118" customFormat="1" ht="23.25" customHeight="1">
      <c r="B93" s="127">
        <f t="shared" si="1"/>
        <v>86</v>
      </c>
      <c r="C93" s="123" t="str">
        <f>IF(ISBLANK(Case!E255),"",Case!E255)</f>
        <v>110011000101</v>
      </c>
      <c r="D93" s="122">
        <v>8</v>
      </c>
    </row>
    <row r="94" spans="2:4" s="118" customFormat="1" ht="23.25" customHeight="1">
      <c r="B94" s="127">
        <f t="shared" si="1"/>
        <v>87</v>
      </c>
      <c r="C94" s="123" t="str">
        <f>IF(ISBLANK(Case!E256),"",Case!E256)</f>
        <v>110010100101</v>
      </c>
      <c r="D94" s="122">
        <v>8</v>
      </c>
    </row>
    <row r="95" spans="2:4" s="118" customFormat="1" ht="23.25" customHeight="1">
      <c r="B95" s="127">
        <f t="shared" si="1"/>
        <v>88</v>
      </c>
      <c r="C95" s="123" t="str">
        <f>IF(ISBLANK(Case!E257),"",Case!E257)</f>
        <v>110001011100</v>
      </c>
      <c r="D95" s="122">
        <v>8</v>
      </c>
    </row>
    <row r="96" spans="2:4" s="118" customFormat="1" ht="23.25" customHeight="1">
      <c r="B96" s="127">
        <f t="shared" si="1"/>
        <v>89</v>
      </c>
      <c r="C96" s="123" t="str">
        <f>IF(ISBLANK(Case!E258),"",Case!E258)</f>
        <v>110011001010</v>
      </c>
      <c r="D96" s="122">
        <v>8</v>
      </c>
    </row>
    <row r="97" spans="2:4" s="118" customFormat="1" ht="23.25" customHeight="1">
      <c r="B97" s="127">
        <f t="shared" si="1"/>
        <v>90</v>
      </c>
      <c r="C97" s="123" t="str">
        <f>IF(ISBLANK(Case!E259),"",Case!E259)</f>
        <v>010101101010</v>
      </c>
      <c r="D97" s="122">
        <v>8</v>
      </c>
    </row>
    <row r="98" spans="2:4" s="118" customFormat="1" ht="23.25" customHeight="1">
      <c r="B98" s="127">
        <f t="shared" si="1"/>
        <v>91</v>
      </c>
      <c r="C98" s="123" t="str">
        <f>IF(ISBLANK(Case!E260),"",Case!E260)</f>
        <v>001101010011</v>
      </c>
      <c r="D98" s="122">
        <v>8</v>
      </c>
    </row>
    <row r="99" spans="2:4" s="118" customFormat="1" ht="23.25" customHeight="1">
      <c r="B99" s="127">
        <f t="shared" si="1"/>
        <v>92</v>
      </c>
      <c r="C99" s="123" t="str">
        <f>IF(ISBLANK(Case!E261),"",Case!E261)</f>
        <v>001100111001</v>
      </c>
      <c r="D99" s="122">
        <v>8</v>
      </c>
    </row>
    <row r="100" spans="2:4" s="118" customFormat="1" ht="23.25" customHeight="1">
      <c r="B100" s="127">
        <f t="shared" si="1"/>
        <v>93</v>
      </c>
      <c r="C100" s="123" t="str">
        <f>IF(ISBLANK(Case!E262),"",Case!E262)</f>
        <v>110001101100</v>
      </c>
      <c r="D100" s="122">
        <v>8</v>
      </c>
    </row>
    <row r="101" spans="2:4" s="118" customFormat="1" ht="23.25" customHeight="1">
      <c r="B101" s="127">
        <f t="shared" si="1"/>
        <v>94</v>
      </c>
      <c r="C101" s="123" t="str">
        <f>IF(ISBLANK(Case!E263),"",Case!E263)</f>
        <v>001100110011</v>
      </c>
      <c r="D101" s="122">
        <v>8</v>
      </c>
    </row>
    <row r="102" spans="2:4" s="118" customFormat="1" ht="23.25" customHeight="1">
      <c r="B102" s="127">
        <f t="shared" si="1"/>
        <v>95</v>
      </c>
      <c r="C102" s="123" t="str">
        <f>IF(ISBLANK(Case!E264),"",Case!E264)</f>
        <v>001110100101</v>
      </c>
      <c r="D102" s="122">
        <v>8</v>
      </c>
    </row>
    <row r="103" spans="2:4" s="118" customFormat="1" ht="23.25" customHeight="1">
      <c r="B103" s="127">
        <f t="shared" si="1"/>
        <v>96</v>
      </c>
      <c r="C103" s="123" t="str">
        <f>IF(ISBLANK(Case!E265),"",Case!E265)</f>
        <v>010101100101</v>
      </c>
      <c r="D103" s="122">
        <v>8</v>
      </c>
    </row>
    <row r="104" spans="2:4" s="118" customFormat="1" ht="23.25" customHeight="1">
      <c r="B104" s="127">
        <f t="shared" si="1"/>
        <v>97</v>
      </c>
      <c r="C104" s="123" t="str">
        <f>IF(ISBLANK(Case!E266),"",Case!E266)</f>
        <v>001100111010</v>
      </c>
      <c r="D104" s="122">
        <v>8</v>
      </c>
    </row>
    <row r="105" spans="2:4" s="118" customFormat="1" ht="23.25" customHeight="1">
      <c r="B105" s="127">
        <f t="shared" si="1"/>
        <v>98</v>
      </c>
      <c r="C105" s="123" t="str">
        <f>IF(ISBLANK(Case!E267),"",Case!E267)</f>
        <v>100110101001</v>
      </c>
      <c r="D105" s="122">
        <v>8</v>
      </c>
    </row>
    <row r="106" spans="2:4" s="118" customFormat="1" ht="23.25" customHeight="1">
      <c r="B106" s="127">
        <f t="shared" si="1"/>
        <v>99</v>
      </c>
      <c r="C106" s="123" t="str">
        <f>IF(ISBLANK(Case!E268),"",Case!E268)</f>
        <v>001101101001</v>
      </c>
      <c r="D106" s="122">
        <v>8</v>
      </c>
    </row>
    <row r="107" spans="2:4" s="118" customFormat="1" ht="23.25" customHeight="1">
      <c r="B107" s="127">
        <f t="shared" si="1"/>
        <v>100</v>
      </c>
      <c r="C107" s="123" t="str">
        <f>IF(ISBLANK(Case!E269),"",Case!E269)</f>
        <v>010101100011</v>
      </c>
      <c r="D107" s="122">
        <v>8</v>
      </c>
    </row>
    <row r="108" spans="2:4" s="118" customFormat="1" ht="23.25" customHeight="1">
      <c r="B108" s="127">
        <f t="shared" si="1"/>
        <v>101</v>
      </c>
      <c r="C108" s="123">
        <f>IF(ISBLANK(Case!E298),"",Case!E298)</f>
        <v>4</v>
      </c>
      <c r="D108" s="122">
        <v>7</v>
      </c>
    </row>
    <row r="109" spans="2:4" s="118" customFormat="1" ht="23.25" customHeight="1">
      <c r="B109" s="127">
        <f t="shared" si="1"/>
        <v>102</v>
      </c>
      <c r="C109" s="123">
        <f>IF(ISBLANK(Case!E299),"",Case!E299)</f>
        <v>1</v>
      </c>
      <c r="D109" s="122">
        <v>7</v>
      </c>
    </row>
    <row r="110" spans="2:4" s="118" customFormat="1" ht="23.25" customHeight="1">
      <c r="B110" s="127">
        <f t="shared" si="1"/>
        <v>103</v>
      </c>
      <c r="C110" s="123">
        <f>IF(ISBLANK(Case!E300),"",Case!E300)</f>
        <v>5</v>
      </c>
      <c r="D110" s="122">
        <v>7</v>
      </c>
    </row>
    <row r="111" spans="2:4" s="118" customFormat="1" ht="23.25" customHeight="1">
      <c r="B111" s="127">
        <f t="shared" si="1"/>
        <v>104</v>
      </c>
      <c r="C111" s="123">
        <f>IF(ISBLANK(Case!E301),"",Case!E301)</f>
        <v>2</v>
      </c>
      <c r="D111" s="122">
        <v>7</v>
      </c>
    </row>
    <row r="112" spans="2:4" s="118" customFormat="1" ht="23.25" customHeight="1">
      <c r="B112" s="127">
        <f t="shared" si="1"/>
        <v>105</v>
      </c>
      <c r="C112" s="123">
        <f>IF(ISBLANK(Case!E302),"",Case!E302)</f>
        <v>2</v>
      </c>
      <c r="D112" s="122">
        <v>7</v>
      </c>
    </row>
    <row r="113" spans="2:4" s="118" customFormat="1" ht="23.25" customHeight="1">
      <c r="B113" s="127">
        <f t="shared" si="1"/>
        <v>106</v>
      </c>
      <c r="C113" s="123">
        <f>IF(ISBLANK(Case!E303),"",Case!E303)</f>
        <v>3</v>
      </c>
      <c r="D113" s="122">
        <v>7</v>
      </c>
    </row>
    <row r="114" spans="2:4" s="118" customFormat="1" ht="23.25" customHeight="1">
      <c r="B114" s="127">
        <f t="shared" si="1"/>
        <v>107</v>
      </c>
      <c r="C114" s="123">
        <f>IF(ISBLANK(Case!E304),"",Case!E304)</f>
        <v>3</v>
      </c>
      <c r="D114" s="122">
        <v>7</v>
      </c>
    </row>
    <row r="115" spans="2:4" s="118" customFormat="1" ht="23.25" customHeight="1">
      <c r="B115" s="127">
        <f t="shared" si="1"/>
        <v>108</v>
      </c>
      <c r="C115" s="123">
        <f>IF(ISBLANK(Case!E305),"",Case!E305)</f>
        <v>0</v>
      </c>
      <c r="D115" s="122">
        <v>7</v>
      </c>
    </row>
    <row r="116" spans="2:4" s="118" customFormat="1" ht="23.25" customHeight="1">
      <c r="B116" s="127">
        <f t="shared" si="1"/>
        <v>109</v>
      </c>
      <c r="C116" s="123">
        <f>IF(ISBLANK(Case!E306),"",Case!E306)</f>
        <v>1</v>
      </c>
      <c r="D116" s="122">
        <v>7</v>
      </c>
    </row>
    <row r="117" spans="2:4" s="118" customFormat="1" ht="23.25" customHeight="1">
      <c r="B117" s="127">
        <f t="shared" si="1"/>
        <v>110</v>
      </c>
      <c r="C117" s="123">
        <f>IF(ISBLANK(Case!E307),"",Case!E307)</f>
        <v>4</v>
      </c>
      <c r="D117" s="122">
        <v>7</v>
      </c>
    </row>
    <row r="118" spans="2:4" s="118" customFormat="1" ht="23.25" customHeight="1">
      <c r="B118" s="127">
        <f t="shared" si="1"/>
        <v>111</v>
      </c>
      <c r="C118" s="123">
        <f>IF(ISBLANK(Case!E308),"",Case!E308)</f>
        <v>2</v>
      </c>
      <c r="D118" s="122">
        <v>7</v>
      </c>
    </row>
    <row r="119" spans="2:4" s="118" customFormat="1" ht="23.25" customHeight="1">
      <c r="B119" s="127">
        <f t="shared" si="1"/>
        <v>112</v>
      </c>
      <c r="C119" s="123">
        <f>IF(ISBLANK(Case!E309),"",Case!E309)</f>
        <v>2</v>
      </c>
      <c r="D119" s="122">
        <v>7</v>
      </c>
    </row>
    <row r="120" spans="2:4" s="118" customFormat="1" ht="23.25" customHeight="1">
      <c r="B120" s="127">
        <f t="shared" si="1"/>
        <v>113</v>
      </c>
      <c r="C120" s="123">
        <f>IF(ISBLANK(Case!E310),"",Case!E310)</f>
        <v>2</v>
      </c>
      <c r="D120" s="122">
        <v>7</v>
      </c>
    </row>
    <row r="121" spans="2:4" s="118" customFormat="1" ht="23.25" customHeight="1">
      <c r="B121" s="127">
        <f t="shared" si="1"/>
        <v>114</v>
      </c>
      <c r="C121" s="123">
        <f>IF(ISBLANK(Case!E311),"",Case!E311)</f>
        <v>5</v>
      </c>
      <c r="D121" s="122">
        <v>7</v>
      </c>
    </row>
    <row r="122" spans="2:4" s="118" customFormat="1" ht="23.25" customHeight="1">
      <c r="B122" s="127">
        <f t="shared" si="1"/>
        <v>115</v>
      </c>
      <c r="C122" s="123">
        <f>IF(ISBLANK(Case!E312),"",Case!E312)</f>
        <v>3</v>
      </c>
      <c r="D122" s="122">
        <v>7</v>
      </c>
    </row>
    <row r="123" spans="2:4" s="118" customFormat="1" ht="23.25" customHeight="1">
      <c r="B123" s="127">
        <f t="shared" si="1"/>
        <v>116</v>
      </c>
      <c r="C123" s="123">
        <f>IF(ISBLANK(Case!E313),"",Case!E313)</f>
        <v>0</v>
      </c>
      <c r="D123" s="122">
        <v>7</v>
      </c>
    </row>
    <row r="124" spans="2:4" s="118" customFormat="1" ht="23.25" customHeight="1">
      <c r="B124" s="127">
        <f t="shared" si="1"/>
        <v>117</v>
      </c>
      <c r="C124" s="123">
        <f>IF(ISBLANK(Case!E314),"",Case!E314)</f>
        <v>4</v>
      </c>
      <c r="D124" s="122">
        <v>7</v>
      </c>
    </row>
    <row r="125" spans="2:4" s="118" customFormat="1" ht="23.25" customHeight="1">
      <c r="B125" s="127">
        <f t="shared" si="1"/>
        <v>118</v>
      </c>
      <c r="C125" s="123">
        <f>IF(ISBLANK(Case!E315),"",Case!E315)</f>
        <v>2</v>
      </c>
      <c r="D125" s="122">
        <v>7</v>
      </c>
    </row>
    <row r="126" spans="2:4" s="118" customFormat="1" ht="23.25" customHeight="1">
      <c r="B126" s="127">
        <f t="shared" si="1"/>
        <v>119</v>
      </c>
      <c r="C126" s="123">
        <f>IF(ISBLANK(Case!E316),"",Case!E316)</f>
        <v>4</v>
      </c>
      <c r="D126" s="122">
        <v>7</v>
      </c>
    </row>
    <row r="127" spans="2:4" s="118" customFormat="1" ht="23.25" customHeight="1">
      <c r="B127" s="127">
        <f t="shared" si="1"/>
        <v>120</v>
      </c>
      <c r="C127" s="123">
        <f>IF(ISBLANK(Case!E317),"",Case!E317)</f>
        <v>3</v>
      </c>
      <c r="D127" s="122">
        <v>7</v>
      </c>
    </row>
    <row r="128" spans="2:4" s="118" customFormat="1" ht="23.25" customHeight="1">
      <c r="B128" s="127">
        <f t="shared" si="1"/>
        <v>121</v>
      </c>
      <c r="C128" s="123">
        <f>IF(ISBLANK(Case!E346),"",Case!E346)</f>
        <v>8</v>
      </c>
      <c r="D128" s="122">
        <v>10</v>
      </c>
    </row>
    <row r="129" spans="2:4" ht="23.25" customHeight="1">
      <c r="B129" s="127">
        <f t="shared" si="1"/>
        <v>122</v>
      </c>
      <c r="C129" s="123">
        <f>IF(ISBLANK(Case!E347),"",Case!E347)</f>
        <v>26</v>
      </c>
      <c r="D129" s="122">
        <v>10</v>
      </c>
    </row>
    <row r="130" spans="2:4" ht="23.25" customHeight="1">
      <c r="B130" s="127">
        <f t="shared" si="1"/>
        <v>123</v>
      </c>
      <c r="C130" s="123">
        <f>IF(ISBLANK(Case!E348),"",Case!E348)</f>
        <v>10</v>
      </c>
      <c r="D130" s="122">
        <v>10</v>
      </c>
    </row>
    <row r="131" spans="2:4" ht="23.25" customHeight="1">
      <c r="B131" s="127">
        <f t="shared" si="1"/>
        <v>124</v>
      </c>
      <c r="C131" s="123">
        <f>IF(ISBLANK(Case!E349),"",Case!E349)</f>
        <v>7</v>
      </c>
      <c r="D131" s="122">
        <v>10</v>
      </c>
    </row>
    <row r="132" spans="2:4" ht="23.25" customHeight="1">
      <c r="B132" s="127">
        <f t="shared" si="1"/>
        <v>125</v>
      </c>
      <c r="C132" s="123">
        <f>IF(ISBLANK(Case!E350),"",Case!E350)</f>
        <v>22</v>
      </c>
      <c r="D132" s="122">
        <v>10</v>
      </c>
    </row>
    <row r="133" spans="2:4" ht="23.25" customHeight="1">
      <c r="B133" s="127">
        <f t="shared" si="1"/>
        <v>126</v>
      </c>
      <c r="C133" s="123">
        <f>IF(ISBLANK(Case!E351),"",Case!E351)</f>
        <v>15</v>
      </c>
      <c r="D133" s="122">
        <v>10</v>
      </c>
    </row>
    <row r="134" spans="2:4" ht="23.25" customHeight="1">
      <c r="B134" s="127">
        <f t="shared" si="1"/>
        <v>127</v>
      </c>
      <c r="C134" s="123">
        <f>IF(ISBLANK(Case!E352),"",Case!E352)</f>
        <v>16</v>
      </c>
      <c r="D134" s="122">
        <v>10</v>
      </c>
    </row>
    <row r="135" spans="2:4" ht="23.25" customHeight="1">
      <c r="B135" s="127">
        <f t="shared" si="1"/>
        <v>128</v>
      </c>
      <c r="C135" s="123">
        <f>IF(ISBLANK(Case!E353),"",Case!E353)</f>
        <v>16</v>
      </c>
      <c r="D135" s="122">
        <v>10</v>
      </c>
    </row>
    <row r="136" spans="2:4" ht="23.25" customHeight="1">
      <c r="B136" s="127">
        <f t="shared" si="1"/>
        <v>129</v>
      </c>
      <c r="C136" s="123">
        <f>IF(ISBLANK(Case!E354),"",Case!E354)</f>
        <v>24</v>
      </c>
      <c r="D136" s="122">
        <v>10</v>
      </c>
    </row>
    <row r="137" spans="2:4" ht="23.25" customHeight="1">
      <c r="B137" s="127">
        <f t="shared" ref="B137:B147" si="2">B136+1</f>
        <v>130</v>
      </c>
      <c r="C137" s="123">
        <f>IF(ISBLANK(Case!E355),"",Case!E355)</f>
        <v>12</v>
      </c>
      <c r="D137" s="122">
        <v>10</v>
      </c>
    </row>
    <row r="138" spans="2:4" ht="23.25" customHeight="1">
      <c r="B138" s="127">
        <f t="shared" si="2"/>
        <v>131</v>
      </c>
      <c r="C138" s="123">
        <f>IF(ISBLANK(Case!E356),"",Case!E356)</f>
        <v>4</v>
      </c>
      <c r="D138" s="122">
        <v>10</v>
      </c>
    </row>
    <row r="139" spans="2:4" ht="23.25" customHeight="1">
      <c r="B139" s="127">
        <f t="shared" si="2"/>
        <v>132</v>
      </c>
      <c r="C139" s="123">
        <f>IF(ISBLANK(Case!E357),"",Case!E357)</f>
        <v>18</v>
      </c>
      <c r="D139" s="122">
        <v>10</v>
      </c>
    </row>
    <row r="140" spans="2:4" ht="23.25" customHeight="1">
      <c r="B140" s="127">
        <f t="shared" si="2"/>
        <v>133</v>
      </c>
      <c r="C140" s="123">
        <f>IF(ISBLANK(Case!E358),"",Case!E358)</f>
        <v>16</v>
      </c>
      <c r="D140" s="122">
        <v>10</v>
      </c>
    </row>
    <row r="141" spans="2:4" ht="23.25" customHeight="1">
      <c r="B141" s="127">
        <f t="shared" si="2"/>
        <v>134</v>
      </c>
      <c r="C141" s="123">
        <f>IF(ISBLANK(Case!E359),"",Case!E359)</f>
        <v>5</v>
      </c>
      <c r="D141" s="122">
        <v>10</v>
      </c>
    </row>
    <row r="142" spans="2:4" ht="23.25" customHeight="1">
      <c r="B142" s="127">
        <f t="shared" si="2"/>
        <v>135</v>
      </c>
      <c r="C142" s="123">
        <f>IF(ISBLANK(Case!E360),"",Case!E360)</f>
        <v>9</v>
      </c>
      <c r="D142" s="122">
        <v>10</v>
      </c>
    </row>
    <row r="143" spans="2:4" ht="23.25" customHeight="1">
      <c r="B143" s="127">
        <f t="shared" si="2"/>
        <v>136</v>
      </c>
      <c r="C143" s="123">
        <f>IF(ISBLANK(Case!E361),"",Case!E361)</f>
        <v>13</v>
      </c>
      <c r="D143" s="122">
        <v>10</v>
      </c>
    </row>
    <row r="144" spans="2:4" ht="23.25" customHeight="1">
      <c r="B144" s="127">
        <f t="shared" si="2"/>
        <v>137</v>
      </c>
      <c r="C144" s="123">
        <f>IF(ISBLANK(Case!E362),"",Case!E362)</f>
        <v>9</v>
      </c>
      <c r="D144" s="122">
        <v>10</v>
      </c>
    </row>
    <row r="145" spans="2:4" ht="23.25" customHeight="1">
      <c r="B145" s="127">
        <f t="shared" si="2"/>
        <v>138</v>
      </c>
      <c r="C145" s="123">
        <f>IF(ISBLANK(Case!E363),"",Case!E363)</f>
        <v>10</v>
      </c>
      <c r="D145" s="122">
        <v>10</v>
      </c>
    </row>
    <row r="146" spans="2:4" ht="23.25" customHeight="1">
      <c r="B146" s="127">
        <f t="shared" si="2"/>
        <v>139</v>
      </c>
      <c r="C146" s="123">
        <f>IF(ISBLANK(Case!E364),"",Case!E364)</f>
        <v>21</v>
      </c>
      <c r="D146" s="122">
        <v>10</v>
      </c>
    </row>
    <row r="147" spans="2:4" ht="23.25" customHeight="1">
      <c r="B147" s="127">
        <f t="shared" si="2"/>
        <v>140</v>
      </c>
      <c r="C147" s="123">
        <f>IF(ISBLANK(Case!E365),"",Case!E365)</f>
        <v>11</v>
      </c>
      <c r="D147" s="12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Case</vt:lpstr>
      <vt:lpstr>PipeMaze</vt:lpstr>
      <vt:lpstr>Graded Answers</vt:lpstr>
      <vt:lpstr>maze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FMWC;James Curtis</dc:creator>
  <cp:keywords/>
  <dc:description/>
  <cp:lastModifiedBy>Maciej Kopczyński</cp:lastModifiedBy>
  <cp:revision/>
  <dcterms:created xsi:type="dcterms:W3CDTF">2023-04-18T22:18:28Z</dcterms:created>
  <dcterms:modified xsi:type="dcterms:W3CDTF">2025-09-28T18:59:06Z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2025-04-09T05:02:40Z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e9292c4e-6ff0-4651-9762-8c94702ba6c7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