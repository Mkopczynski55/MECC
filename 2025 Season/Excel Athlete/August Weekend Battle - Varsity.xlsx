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00" documentId="8_{2E279152-A282-4B0A-8412-09555383010D}" xr6:coauthVersionLast="47" xr6:coauthVersionMax="47" xr10:uidLastSave="{1CBA6906-4327-4ABB-93FF-50E085188EFF}"/>
  <bookViews>
    <workbookView xWindow="-105" yWindow="240" windowWidth="29010" windowHeight="15345" xr2:uid="{8A2123EB-9501-4DCD-A75C-E31121FF5BE0}"/>
  </bookViews>
  <sheets>
    <sheet name="Case" sheetId="48" r:id="rId1"/>
    <sheet name="PipeMaze" sheetId="34" r:id="rId2"/>
    <sheet name="Graded Answers" sheetId="49" state="hidden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8" i="48" l="1"/>
  <c r="E259" i="48"/>
  <c r="E260" i="48"/>
  <c r="E261" i="48"/>
  <c r="E262" i="48"/>
  <c r="E263" i="48"/>
  <c r="E264" i="48"/>
  <c r="E265" i="48"/>
  <c r="E266" i="48"/>
  <c r="E267" i="48"/>
  <c r="E268" i="48"/>
  <c r="E269" i="48"/>
  <c r="E270" i="48"/>
  <c r="E271" i="48"/>
  <c r="E272" i="48"/>
  <c r="E273" i="48"/>
  <c r="E274" i="48"/>
  <c r="E275" i="48"/>
  <c r="E276" i="48"/>
  <c r="AV258" i="48" a="1"/>
  <c r="AV258" i="48"/>
  <c r="AV259" i="48" a="1"/>
  <c r="AV259" i="48"/>
  <c r="AV260" i="48" a="1"/>
  <c r="AV260" i="48"/>
  <c r="AV261" i="48" a="1"/>
  <c r="AV261" i="48"/>
  <c r="AV262" i="48" a="1"/>
  <c r="AV262" i="48"/>
  <c r="AV263" i="48" a="1"/>
  <c r="AV263" i="48"/>
  <c r="AV264" i="48" a="1"/>
  <c r="AV264" i="48"/>
  <c r="AV265" i="48" a="1"/>
  <c r="AV265" i="48"/>
  <c r="AV266" i="48" a="1"/>
  <c r="AV266" i="48"/>
  <c r="AV267" i="48" a="1"/>
  <c r="AV267" i="48"/>
  <c r="AV268" i="48" a="1"/>
  <c r="AV268" i="48"/>
  <c r="AV269" i="48" a="1"/>
  <c r="AV269" i="48"/>
  <c r="AV270" i="48" a="1"/>
  <c r="AV270" i="48"/>
  <c r="AV271" i="48" a="1"/>
  <c r="AV271" i="48"/>
  <c r="AV272" i="48" a="1"/>
  <c r="AV272" i="48"/>
  <c r="AV273" i="48" a="1"/>
  <c r="AV273" i="48"/>
  <c r="AV274" i="48" a="1"/>
  <c r="AV274" i="48"/>
  <c r="AV275" i="48" a="1"/>
  <c r="AV275" i="48"/>
  <c r="AV276" i="48" a="1"/>
  <c r="AV276" i="48"/>
  <c r="AB258" i="48" a="1"/>
  <c r="AB258" i="48" s="1"/>
  <c r="AL258" i="48" s="1" a="1"/>
  <c r="AL258" i="48" s="1"/>
  <c r="AB259" i="48" a="1"/>
  <c r="AB259" i="48" s="1"/>
  <c r="AL259" i="48" s="1" a="1"/>
  <c r="AL259" i="48" s="1"/>
  <c r="AB260" i="48" a="1"/>
  <c r="AB260" i="48" s="1"/>
  <c r="AL260" i="48" s="1" a="1"/>
  <c r="AL260" i="48" s="1"/>
  <c r="AB261" i="48" a="1"/>
  <c r="AB261" i="48" s="1"/>
  <c r="AB262" i="48" a="1"/>
  <c r="AB262" i="48" s="1"/>
  <c r="AB263" i="48" a="1"/>
  <c r="AB263" i="48" s="1"/>
  <c r="AL263" i="48" s="1" a="1"/>
  <c r="AL263" i="48" s="1"/>
  <c r="AB264" i="48" a="1"/>
  <c r="AB264" i="48" s="1"/>
  <c r="AB265" i="48" a="1"/>
  <c r="AB265" i="48" s="1"/>
  <c r="AB266" i="48" a="1"/>
  <c r="AB266" i="48" s="1"/>
  <c r="AB267" i="48" a="1"/>
  <c r="AB267" i="48" s="1"/>
  <c r="AB268" i="48" a="1"/>
  <c r="AB268" i="48" s="1"/>
  <c r="AL268" i="48" s="1" a="1"/>
  <c r="AL268" i="48" s="1"/>
  <c r="AB269" i="48" a="1"/>
  <c r="AB269" i="48" s="1"/>
  <c r="AB270" i="48" a="1"/>
  <c r="AB270" i="48" s="1"/>
  <c r="AB271" i="48" a="1"/>
  <c r="AB271" i="48" s="1"/>
  <c r="AB272" i="48" a="1"/>
  <c r="AB272" i="48" s="1"/>
  <c r="AB273" i="48" a="1"/>
  <c r="AB273" i="48" s="1"/>
  <c r="AL273" i="48" s="1" a="1"/>
  <c r="AL273" i="48" s="1"/>
  <c r="AB274" i="48" a="1"/>
  <c r="AB274" i="48" s="1"/>
  <c r="AB275" i="48" a="1"/>
  <c r="AB275" i="48" s="1"/>
  <c r="AB276" i="48" a="1"/>
  <c r="AB276" i="48" s="1"/>
  <c r="AB257" i="48" a="1"/>
  <c r="AB257" i="48" s="1"/>
  <c r="AL257" i="48" s="1" a="1"/>
  <c r="AL257" i="48" s="1"/>
  <c r="S257" i="48" a="1"/>
  <c r="S257" i="48" s="1"/>
  <c r="S258" i="48" a="1"/>
  <c r="S258" i="48"/>
  <c r="AM258" i="48" a="1"/>
  <c r="AM258" i="48" s="1"/>
  <c r="AN258" i="48" a="1"/>
  <c r="AN258" i="48" s="1"/>
  <c r="AO258" i="48" a="1"/>
  <c r="AO258" i="48" s="1"/>
  <c r="AP258" i="48" a="1"/>
  <c r="AP258" i="48"/>
  <c r="AQ258" i="48" a="1"/>
  <c r="AQ258" i="48" s="1"/>
  <c r="AR258" i="48" a="1"/>
  <c r="AR258" i="48" s="1"/>
  <c r="AS258" i="48" a="1"/>
  <c r="AS258" i="48" s="1"/>
  <c r="AT258" i="48" a="1"/>
  <c r="AT258" i="48" s="1"/>
  <c r="S259" i="48" a="1"/>
  <c r="S259" i="48"/>
  <c r="AM259" i="48" a="1"/>
  <c r="AM259" i="48" s="1"/>
  <c r="AN259" i="48" a="1"/>
  <c r="AN259" i="48"/>
  <c r="AO259" i="48" a="1"/>
  <c r="AO259" i="48"/>
  <c r="AP259" i="48" a="1"/>
  <c r="AP259" i="48" s="1"/>
  <c r="AQ259" i="48" a="1"/>
  <c r="AQ259" i="48" s="1"/>
  <c r="AR259" i="48" a="1"/>
  <c r="AR259" i="48" s="1"/>
  <c r="AS259" i="48" a="1"/>
  <c r="AS259" i="48" s="1"/>
  <c r="AT259" i="48" a="1"/>
  <c r="AT259" i="48" s="1"/>
  <c r="S260" i="48" a="1"/>
  <c r="S260" i="48"/>
  <c r="AM260" i="48" a="1"/>
  <c r="AM260" i="48"/>
  <c r="AN260" i="48" a="1"/>
  <c r="AN260" i="48"/>
  <c r="AO260" i="48" a="1"/>
  <c r="AO260" i="48"/>
  <c r="AP260" i="48" a="1"/>
  <c r="AP260" i="48"/>
  <c r="AQ260" i="48" a="1"/>
  <c r="AQ260" i="48"/>
  <c r="AR260" i="48" a="1"/>
  <c r="AR260" i="48"/>
  <c r="AS260" i="48" a="1"/>
  <c r="AS260" i="48"/>
  <c r="AT260" i="48" a="1"/>
  <c r="AT260" i="48"/>
  <c r="S261" i="48" a="1"/>
  <c r="S262" i="48" a="1"/>
  <c r="S263" i="48" a="1"/>
  <c r="S263" i="48"/>
  <c r="AM263" i="48" a="1"/>
  <c r="AM263" i="48"/>
  <c r="AN263" i="48" a="1"/>
  <c r="AN263" i="48"/>
  <c r="AO263" i="48" a="1"/>
  <c r="AO263" i="48"/>
  <c r="AP263" i="48" a="1"/>
  <c r="AP263" i="48"/>
  <c r="AQ263" i="48" a="1"/>
  <c r="AQ263" i="48"/>
  <c r="AR263" i="48" a="1"/>
  <c r="AR263" i="48"/>
  <c r="AS263" i="48" a="1"/>
  <c r="AS263" i="48" s="1"/>
  <c r="AT263" i="48" a="1"/>
  <c r="AT263" i="48"/>
  <c r="S264" i="48" a="1"/>
  <c r="S265" i="48" a="1"/>
  <c r="S266" i="48" a="1"/>
  <c r="S267" i="48" a="1"/>
  <c r="S268" i="48" a="1"/>
  <c r="S268" i="48"/>
  <c r="AM268" i="48" a="1"/>
  <c r="AM268" i="48" s="1"/>
  <c r="AN268" i="48" a="1"/>
  <c r="AN268" i="48" s="1"/>
  <c r="AO268" i="48" a="1"/>
  <c r="AO268" i="48"/>
  <c r="AP268" i="48" a="1"/>
  <c r="AP268" i="48"/>
  <c r="AQ268" i="48" a="1"/>
  <c r="AQ268" i="48"/>
  <c r="AR268" i="48" a="1"/>
  <c r="AR268" i="48" s="1"/>
  <c r="AS268" i="48" a="1"/>
  <c r="AS268" i="48" s="1"/>
  <c r="AT268" i="48" a="1"/>
  <c r="AT268" i="48"/>
  <c r="S269" i="48" a="1"/>
  <c r="S270" i="48" a="1"/>
  <c r="S271" i="48" a="1"/>
  <c r="S272" i="48" a="1"/>
  <c r="S273" i="48" a="1"/>
  <c r="S273" i="48"/>
  <c r="AM273" i="48" a="1"/>
  <c r="AM273" i="48" s="1"/>
  <c r="AN273" i="48" a="1"/>
  <c r="AN273" i="48" s="1"/>
  <c r="AO273" i="48" a="1"/>
  <c r="AO273" i="48" s="1"/>
  <c r="AP273" i="48" a="1"/>
  <c r="AP273" i="48" s="1"/>
  <c r="AQ273" i="48" a="1"/>
  <c r="AQ273" i="48" s="1"/>
  <c r="AR273" i="48" a="1"/>
  <c r="AR273" i="48" s="1"/>
  <c r="AS273" i="48" a="1"/>
  <c r="AS273" i="48" s="1"/>
  <c r="AT273" i="48" a="1"/>
  <c r="AT273" i="48" s="1"/>
  <c r="S274" i="48" a="1"/>
  <c r="S275" i="48" a="1"/>
  <c r="S276" i="48" a="1"/>
  <c r="AM257" i="48" a="1"/>
  <c r="AM257" i="48" s="1"/>
  <c r="AN257" i="48" a="1"/>
  <c r="AN257" i="48" s="1"/>
  <c r="AO257" i="48" a="1"/>
  <c r="AO257" i="48" s="1"/>
  <c r="AP257" i="48" a="1"/>
  <c r="AP257" i="48" s="1"/>
  <c r="AQ257" i="48" a="1"/>
  <c r="AQ257" i="48" s="1"/>
  <c r="AR257" i="48" a="1"/>
  <c r="AR257" i="48" s="1"/>
  <c r="AS257" i="48" a="1"/>
  <c r="AS257" i="48" s="1"/>
  <c r="AT257" i="48" a="1"/>
  <c r="AT257" i="48" s="1"/>
  <c r="E227" i="48" a="1"/>
  <c r="E227" i="48" s="1"/>
  <c r="C84" i="49" s="1"/>
  <c r="E228" i="48" a="1"/>
  <c r="E228" i="48" s="1"/>
  <c r="C85" i="49" s="1"/>
  <c r="E229" i="48" a="1"/>
  <c r="E229" i="48" s="1"/>
  <c r="C86" i="49" s="1"/>
  <c r="E230" i="48" a="1"/>
  <c r="E230" i="48" s="1"/>
  <c r="C87" i="49" s="1"/>
  <c r="E212" i="48" a="1"/>
  <c r="E212" i="48" s="1"/>
  <c r="C69" i="49" s="1"/>
  <c r="E213" i="48" a="1"/>
  <c r="E213" i="48" s="1"/>
  <c r="C70" i="49" s="1"/>
  <c r="E214" i="48" a="1"/>
  <c r="E214" i="48" s="1"/>
  <c r="C71" i="49" s="1"/>
  <c r="E215" i="48" a="1"/>
  <c r="E215" i="48" s="1"/>
  <c r="C72" i="49" s="1"/>
  <c r="E216" i="48" a="1"/>
  <c r="E216" i="48" s="1"/>
  <c r="C73" i="49" s="1"/>
  <c r="E217" i="48" a="1"/>
  <c r="E217" i="48" s="1"/>
  <c r="C74" i="49" s="1"/>
  <c r="E218" i="48" a="1"/>
  <c r="E218" i="48" s="1"/>
  <c r="C75" i="49" s="1"/>
  <c r="E219" i="48" a="1"/>
  <c r="E219" i="48" s="1"/>
  <c r="C76" i="49" s="1"/>
  <c r="E220" i="48" a="1"/>
  <c r="E220" i="48" s="1"/>
  <c r="C77" i="49" s="1"/>
  <c r="E221" i="48" a="1"/>
  <c r="E221" i="48" s="1"/>
  <c r="C78" i="49" s="1"/>
  <c r="E222" i="48" a="1"/>
  <c r="E222" i="48" s="1"/>
  <c r="C79" i="49" s="1"/>
  <c r="E223" i="48" a="1"/>
  <c r="E223" i="48" s="1"/>
  <c r="C80" i="49" s="1"/>
  <c r="E224" i="48" a="1"/>
  <c r="E224" i="48" s="1"/>
  <c r="C81" i="49" s="1"/>
  <c r="E225" i="48" a="1"/>
  <c r="E225" i="48" s="1"/>
  <c r="C82" i="49" s="1"/>
  <c r="E226" i="48" a="1"/>
  <c r="E226" i="48" s="1"/>
  <c r="C83" i="49" s="1"/>
  <c r="E211" i="48" a="1"/>
  <c r="E211" i="48" s="1"/>
  <c r="C68" i="49" s="1"/>
  <c r="E165" i="48" a="1"/>
  <c r="E165" i="48" s="1"/>
  <c r="E166" i="48" a="1"/>
  <c r="E166" i="48" s="1"/>
  <c r="C49" i="49" s="1"/>
  <c r="E167" i="48" a="1"/>
  <c r="E167" i="48" s="1"/>
  <c r="C50" i="49" s="1"/>
  <c r="E168" i="48" a="1"/>
  <c r="E168" i="48" s="1"/>
  <c r="C51" i="49" s="1"/>
  <c r="E169" i="48" a="1"/>
  <c r="E169" i="48" s="1"/>
  <c r="C52" i="49" s="1"/>
  <c r="E170" i="48" a="1"/>
  <c r="E170" i="48" s="1"/>
  <c r="C53" i="49" s="1"/>
  <c r="E171" i="48" a="1"/>
  <c r="E171" i="48" s="1"/>
  <c r="C54" i="49" s="1"/>
  <c r="E172" i="48" a="1"/>
  <c r="E172" i="48" s="1"/>
  <c r="C55" i="49" s="1"/>
  <c r="E173" i="48" a="1"/>
  <c r="E173" i="48" s="1"/>
  <c r="C56" i="49" s="1"/>
  <c r="E174" i="48" a="1"/>
  <c r="E174" i="48" s="1"/>
  <c r="C57" i="49" s="1"/>
  <c r="E175" i="48" a="1"/>
  <c r="E175" i="48" s="1"/>
  <c r="C58" i="49" s="1"/>
  <c r="E176" i="48" a="1"/>
  <c r="E176" i="48" s="1"/>
  <c r="C59" i="49" s="1"/>
  <c r="E177" i="48" a="1"/>
  <c r="E177" i="48" s="1"/>
  <c r="C60" i="49" s="1"/>
  <c r="E178" i="48" a="1"/>
  <c r="E178" i="48" s="1"/>
  <c r="C61" i="49" s="1"/>
  <c r="E179" i="48" a="1"/>
  <c r="E179" i="48" s="1"/>
  <c r="C62" i="49" s="1"/>
  <c r="E180" i="48" a="1"/>
  <c r="E180" i="48" s="1"/>
  <c r="C63" i="49" s="1"/>
  <c r="E181" i="48" a="1"/>
  <c r="E181" i="48" s="1"/>
  <c r="C64" i="49" s="1"/>
  <c r="E182" i="48" a="1"/>
  <c r="E182" i="48" s="1"/>
  <c r="C65" i="49" s="1"/>
  <c r="E183" i="48" a="1"/>
  <c r="E183" i="48" s="1"/>
  <c r="C66" i="49" s="1"/>
  <c r="E184" i="48" a="1"/>
  <c r="E184" i="48" s="1"/>
  <c r="C67" i="49" s="1"/>
  <c r="E119" i="48" a="1"/>
  <c r="E119" i="48" s="1"/>
  <c r="C28" i="49" s="1"/>
  <c r="E120" i="48" a="1"/>
  <c r="E120" i="48" s="1"/>
  <c r="C29" i="49" s="1"/>
  <c r="E121" i="48" a="1"/>
  <c r="E121" i="48" s="1"/>
  <c r="C30" i="49" s="1"/>
  <c r="E122" i="48" a="1"/>
  <c r="E122" i="48" s="1"/>
  <c r="C31" i="49" s="1"/>
  <c r="E123" i="48" a="1"/>
  <c r="E123" i="48" s="1"/>
  <c r="C32" i="49" s="1"/>
  <c r="E124" i="48" a="1"/>
  <c r="E124" i="48" s="1"/>
  <c r="C33" i="49" s="1"/>
  <c r="E125" i="48" a="1"/>
  <c r="E125" i="48" s="1"/>
  <c r="C34" i="49" s="1"/>
  <c r="E126" i="48" a="1"/>
  <c r="E126" i="48" s="1"/>
  <c r="C35" i="49" s="1"/>
  <c r="E127" i="48" a="1"/>
  <c r="E127" i="48" s="1"/>
  <c r="C36" i="49" s="1"/>
  <c r="E128" i="48" a="1"/>
  <c r="E128" i="48" s="1"/>
  <c r="C37" i="49" s="1"/>
  <c r="E129" i="48" a="1"/>
  <c r="E129" i="48" s="1"/>
  <c r="C38" i="49" s="1"/>
  <c r="E130" i="48" a="1"/>
  <c r="E130" i="48" s="1"/>
  <c r="C39" i="49" s="1"/>
  <c r="E131" i="48" a="1"/>
  <c r="E131" i="48" s="1"/>
  <c r="C40" i="49" s="1"/>
  <c r="E132" i="48" a="1"/>
  <c r="E132" i="48" s="1"/>
  <c r="C41" i="49" s="1"/>
  <c r="E133" i="48" a="1"/>
  <c r="E133" i="48" s="1"/>
  <c r="C42" i="49" s="1"/>
  <c r="E134" i="48" a="1"/>
  <c r="E134" i="48" s="1"/>
  <c r="C43" i="49" s="1"/>
  <c r="E135" i="48" a="1"/>
  <c r="E135" i="48" s="1"/>
  <c r="C44" i="49" s="1"/>
  <c r="E136" i="48" a="1"/>
  <c r="E136" i="48" s="1"/>
  <c r="C45" i="49" s="1"/>
  <c r="E137" i="48" a="1"/>
  <c r="E137" i="48" s="1"/>
  <c r="C46" i="49" s="1"/>
  <c r="E138" i="48" a="1"/>
  <c r="E138" i="48" s="1"/>
  <c r="C47" i="49" s="1"/>
  <c r="E80" i="48"/>
  <c r="E81" i="48"/>
  <c r="E82" i="48"/>
  <c r="E83" i="48"/>
  <c r="E84" i="48"/>
  <c r="E85" i="48"/>
  <c r="E86" i="48"/>
  <c r="E87" i="48"/>
  <c r="E88" i="48"/>
  <c r="E89" i="48"/>
  <c r="E90" i="48"/>
  <c r="E91" i="48"/>
  <c r="E92" i="48"/>
  <c r="C21" i="49" s="1"/>
  <c r="E93" i="48"/>
  <c r="C22" i="49" s="1"/>
  <c r="E94" i="48"/>
  <c r="C23" i="49" s="1"/>
  <c r="E95" i="48"/>
  <c r="C24" i="49" s="1"/>
  <c r="E96" i="48"/>
  <c r="C25" i="49" s="1"/>
  <c r="E97" i="48"/>
  <c r="C26" i="49" s="1"/>
  <c r="E98" i="48"/>
  <c r="C27" i="49" s="1"/>
  <c r="E79" i="48"/>
  <c r="C8" i="49" s="1"/>
  <c r="C147" i="49"/>
  <c r="C146" i="49"/>
  <c r="C145" i="49"/>
  <c r="C144" i="49"/>
  <c r="C143" i="49"/>
  <c r="C142" i="49"/>
  <c r="C141" i="49"/>
  <c r="C140" i="49"/>
  <c r="C139" i="49"/>
  <c r="C138" i="49"/>
  <c r="C137" i="49"/>
  <c r="C136" i="49"/>
  <c r="C135" i="49"/>
  <c r="C134" i="49"/>
  <c r="C133" i="49"/>
  <c r="C132" i="49"/>
  <c r="C131" i="49"/>
  <c r="C130" i="49"/>
  <c r="C129" i="49"/>
  <c r="C128" i="49"/>
  <c r="C127" i="49"/>
  <c r="C126" i="49"/>
  <c r="C125" i="49"/>
  <c r="C124" i="49"/>
  <c r="C123" i="49"/>
  <c r="C122" i="49"/>
  <c r="C121" i="49"/>
  <c r="C120" i="49"/>
  <c r="C119" i="49"/>
  <c r="C118" i="49"/>
  <c r="C117" i="49"/>
  <c r="C116" i="49"/>
  <c r="C115" i="49"/>
  <c r="C114" i="49"/>
  <c r="C113" i="49"/>
  <c r="C112" i="49"/>
  <c r="C111" i="49"/>
  <c r="C110" i="49"/>
  <c r="C109" i="49"/>
  <c r="C108" i="49"/>
  <c r="C107" i="49"/>
  <c r="C106" i="49"/>
  <c r="C105" i="49"/>
  <c r="C104" i="49"/>
  <c r="C103" i="49"/>
  <c r="C102" i="49"/>
  <c r="C101" i="49"/>
  <c r="C100" i="49"/>
  <c r="C99" i="49"/>
  <c r="C98" i="49"/>
  <c r="C97" i="49"/>
  <c r="C96" i="49"/>
  <c r="C95" i="49"/>
  <c r="C94" i="49"/>
  <c r="C93" i="49"/>
  <c r="C92" i="49"/>
  <c r="C91" i="49"/>
  <c r="C90" i="49"/>
  <c r="C89" i="49"/>
  <c r="C20" i="49"/>
  <c r="C19" i="49"/>
  <c r="C18" i="49"/>
  <c r="C17" i="49"/>
  <c r="C16" i="49"/>
  <c r="C15" i="49"/>
  <c r="C14" i="49"/>
  <c r="C13" i="49"/>
  <c r="C12" i="49"/>
  <c r="C11" i="49"/>
  <c r="C10" i="49"/>
  <c r="C9" i="49"/>
  <c r="C7" i="49"/>
  <c r="C6" i="49"/>
  <c r="C5" i="49"/>
  <c r="C4" i="49"/>
  <c r="C3" i="49"/>
  <c r="B9" i="49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B33" i="49" s="1"/>
  <c r="B34" i="49" s="1"/>
  <c r="B35" i="49" s="1"/>
  <c r="B36" i="49" s="1"/>
  <c r="B37" i="49" s="1"/>
  <c r="B38" i="49" s="1"/>
  <c r="B39" i="49" s="1"/>
  <c r="B40" i="49" s="1"/>
  <c r="B41" i="49" s="1"/>
  <c r="B42" i="49" s="1"/>
  <c r="B43" i="49" s="1"/>
  <c r="B44" i="49" s="1"/>
  <c r="B45" i="49" s="1"/>
  <c r="B46" i="49" s="1"/>
  <c r="B47" i="49" s="1"/>
  <c r="B48" i="49" s="1"/>
  <c r="B49" i="49" s="1"/>
  <c r="B50" i="49" s="1"/>
  <c r="B51" i="49" s="1"/>
  <c r="B52" i="49" s="1"/>
  <c r="B53" i="49" s="1"/>
  <c r="B54" i="49" s="1"/>
  <c r="B55" i="49" s="1"/>
  <c r="B56" i="49" s="1"/>
  <c r="B57" i="49" s="1"/>
  <c r="B58" i="49" s="1"/>
  <c r="B59" i="49" s="1"/>
  <c r="B60" i="49" s="1"/>
  <c r="B61" i="49" s="1"/>
  <c r="B62" i="49" s="1"/>
  <c r="B63" i="49" s="1"/>
  <c r="B64" i="49" s="1"/>
  <c r="B65" i="49" s="1"/>
  <c r="B66" i="49" s="1"/>
  <c r="B67" i="49" s="1"/>
  <c r="B68" i="49" s="1"/>
  <c r="B69" i="49" s="1"/>
  <c r="B70" i="49" s="1"/>
  <c r="B71" i="49" s="1"/>
  <c r="B72" i="49" s="1"/>
  <c r="B73" i="49" s="1"/>
  <c r="B74" i="49" s="1"/>
  <c r="B75" i="49" s="1"/>
  <c r="B76" i="49" s="1"/>
  <c r="B77" i="49" s="1"/>
  <c r="B78" i="49" s="1"/>
  <c r="B79" i="49" s="1"/>
  <c r="B80" i="49" s="1"/>
  <c r="B81" i="49" s="1"/>
  <c r="B82" i="49" s="1"/>
  <c r="B83" i="49" s="1"/>
  <c r="B84" i="49" s="1"/>
  <c r="B85" i="49" s="1"/>
  <c r="B86" i="49" s="1"/>
  <c r="B87" i="49" s="1"/>
  <c r="B88" i="49" s="1"/>
  <c r="B89" i="49" s="1"/>
  <c r="B90" i="49" s="1"/>
  <c r="B91" i="49" s="1"/>
  <c r="B92" i="49" s="1"/>
  <c r="B93" i="49" s="1"/>
  <c r="B94" i="49" s="1"/>
  <c r="B95" i="49" s="1"/>
  <c r="B96" i="49" s="1"/>
  <c r="B97" i="49" s="1"/>
  <c r="B98" i="49" s="1"/>
  <c r="B99" i="49" s="1"/>
  <c r="B100" i="49" s="1"/>
  <c r="B101" i="49" s="1"/>
  <c r="B102" i="49" s="1"/>
  <c r="B103" i="49" s="1"/>
  <c r="B104" i="49" s="1"/>
  <c r="B105" i="49" s="1"/>
  <c r="B106" i="49" s="1"/>
  <c r="B107" i="49" s="1"/>
  <c r="B108" i="49" s="1"/>
  <c r="B109" i="49" s="1"/>
  <c r="B110" i="49" s="1"/>
  <c r="B111" i="49" s="1"/>
  <c r="B112" i="49" s="1"/>
  <c r="B113" i="49" s="1"/>
  <c r="B114" i="49" s="1"/>
  <c r="B115" i="49" s="1"/>
  <c r="B116" i="49" s="1"/>
  <c r="B117" i="49" s="1"/>
  <c r="B118" i="49" s="1"/>
  <c r="B119" i="49" s="1"/>
  <c r="B120" i="49" s="1"/>
  <c r="B121" i="49" s="1"/>
  <c r="B122" i="49" s="1"/>
  <c r="B123" i="49" s="1"/>
  <c r="B124" i="49" s="1"/>
  <c r="B125" i="49" s="1"/>
  <c r="B126" i="49" s="1"/>
  <c r="B127" i="49" s="1"/>
  <c r="B128" i="49" s="1"/>
  <c r="B129" i="49" s="1"/>
  <c r="B130" i="49" s="1"/>
  <c r="B131" i="49" s="1"/>
  <c r="B132" i="49" s="1"/>
  <c r="B133" i="49" s="1"/>
  <c r="B134" i="49" s="1"/>
  <c r="B135" i="49" s="1"/>
  <c r="B136" i="49" s="1"/>
  <c r="B137" i="49" s="1"/>
  <c r="B138" i="49" s="1"/>
  <c r="B139" i="49" s="1"/>
  <c r="B140" i="49" s="1"/>
  <c r="B141" i="49" s="1"/>
  <c r="B142" i="49" s="1"/>
  <c r="B143" i="49" s="1"/>
  <c r="B144" i="49" s="1"/>
  <c r="B145" i="49" s="1"/>
  <c r="B146" i="49" s="1"/>
  <c r="B147" i="49" s="1"/>
  <c r="AV257" i="48" l="1" a="1"/>
  <c r="AV257" i="48" s="1"/>
  <c r="E257" i="48" s="1"/>
  <c r="C88" i="49" s="1"/>
  <c r="AM261" i="48" a="1"/>
  <c r="AM261" i="48" s="1"/>
  <c r="AN261" i="48" a="1"/>
  <c r="AN261" i="48" s="1"/>
  <c r="AO261" i="48" a="1"/>
  <c r="AO261" i="48" s="1"/>
  <c r="AP261" i="48" a="1"/>
  <c r="AP261" i="48" s="1"/>
  <c r="AQ261" i="48" a="1"/>
  <c r="AQ261" i="48" s="1"/>
  <c r="AR261" i="48" a="1"/>
  <c r="AR261" i="48" s="1"/>
  <c r="AS261" i="48" a="1"/>
  <c r="AS261" i="48" s="1"/>
  <c r="AT261" i="48" a="1"/>
  <c r="AT261" i="48" s="1"/>
  <c r="S261" i="48"/>
  <c r="AL261" i="48" s="1" a="1"/>
  <c r="AL261" i="48" s="1"/>
  <c r="AT262" i="48" a="1"/>
  <c r="AT262" i="48" s="1"/>
  <c r="S262" i="48"/>
  <c r="AM262" i="48" a="1"/>
  <c r="AM262" i="48" s="1"/>
  <c r="AN262" i="48" a="1"/>
  <c r="AN262" i="48" s="1"/>
  <c r="AO262" i="48" a="1"/>
  <c r="AO262" i="48" s="1"/>
  <c r="AP262" i="48" a="1"/>
  <c r="AP262" i="48" s="1"/>
  <c r="AQ262" i="48" a="1"/>
  <c r="AQ262" i="48" s="1"/>
  <c r="AR262" i="48" a="1"/>
  <c r="AR262" i="48" s="1"/>
  <c r="AS262" i="48" a="1"/>
  <c r="AS262" i="48" s="1"/>
  <c r="AM264" i="48" a="1"/>
  <c r="AM264" i="48" s="1"/>
  <c r="S264" i="48"/>
  <c r="AL264" i="48" s="1" a="1"/>
  <c r="AL264" i="48" s="1"/>
  <c r="AP264" i="48" a="1"/>
  <c r="AP264" i="48" s="1"/>
  <c r="AQ264" i="48" a="1"/>
  <c r="AQ264" i="48" s="1"/>
  <c r="AS264" i="48" a="1"/>
  <c r="AS264" i="48" s="1"/>
  <c r="AN264" i="48" a="1"/>
  <c r="AN264" i="48" s="1"/>
  <c r="AT264" i="48" a="1"/>
  <c r="AT264" i="48" s="1"/>
  <c r="AR264" i="48" a="1"/>
  <c r="AR264" i="48" s="1"/>
  <c r="AO264" i="48" a="1"/>
  <c r="AO264" i="48" s="1"/>
  <c r="AM265" i="48" a="1"/>
  <c r="AM265" i="48" s="1"/>
  <c r="AR265" i="48" a="1"/>
  <c r="AR265" i="48" s="1"/>
  <c r="AQ265" i="48" a="1"/>
  <c r="AQ265" i="48" s="1"/>
  <c r="AP265" i="48" a="1"/>
  <c r="AP265" i="48" s="1"/>
  <c r="S265" i="48"/>
  <c r="AL265" i="48" s="1" a="1"/>
  <c r="AL265" i="48" s="1"/>
  <c r="AO265" i="48" a="1"/>
  <c r="AO265" i="48" s="1"/>
  <c r="AN265" i="48" a="1"/>
  <c r="AN265" i="48" s="1"/>
  <c r="AT265" i="48" a="1"/>
  <c r="AT265" i="48" s="1"/>
  <c r="AS265" i="48" a="1"/>
  <c r="AS265" i="48" s="1"/>
  <c r="AN266" i="48" a="1"/>
  <c r="AN266" i="48" s="1"/>
  <c r="AO266" i="48" a="1"/>
  <c r="AO266" i="48" s="1"/>
  <c r="AP266" i="48" a="1"/>
  <c r="AP266" i="48" s="1"/>
  <c r="AQ266" i="48" a="1"/>
  <c r="AQ266" i="48" s="1"/>
  <c r="AR266" i="48" a="1"/>
  <c r="AR266" i="48" s="1"/>
  <c r="S266" i="48"/>
  <c r="AL266" i="48" s="1" a="1"/>
  <c r="AL266" i="48" s="1"/>
  <c r="AM266" i="48" a="1"/>
  <c r="AM266" i="48" s="1"/>
  <c r="AS266" i="48" a="1"/>
  <c r="AS266" i="48" s="1"/>
  <c r="AT266" i="48" a="1"/>
  <c r="AT266" i="48" s="1"/>
  <c r="AS267" i="48" a="1"/>
  <c r="AS267" i="48" s="1"/>
  <c r="AT267" i="48" a="1"/>
  <c r="AT267" i="48" s="1"/>
  <c r="AQ267" i="48" a="1"/>
  <c r="AQ267" i="48" s="1"/>
  <c r="S267" i="48"/>
  <c r="AL267" i="48" s="1" a="1"/>
  <c r="AL267" i="48" s="1"/>
  <c r="AR267" i="48" a="1"/>
  <c r="AR267" i="48" s="1"/>
  <c r="AP267" i="48" a="1"/>
  <c r="AP267" i="48" s="1"/>
  <c r="AO267" i="48" a="1"/>
  <c r="AO267" i="48" s="1"/>
  <c r="AN267" i="48" a="1"/>
  <c r="AN267" i="48" s="1"/>
  <c r="AM267" i="48" a="1"/>
  <c r="AM267" i="48" s="1"/>
  <c r="AS269" i="48" a="1"/>
  <c r="AS269" i="48" s="1"/>
  <c r="AT269" i="48" a="1"/>
  <c r="AT269" i="48" s="1"/>
  <c r="AQ269" i="48" a="1"/>
  <c r="AQ269" i="48" s="1"/>
  <c r="AN269" i="48" a="1"/>
  <c r="AN269" i="48" s="1"/>
  <c r="AR269" i="48" a="1"/>
  <c r="AR269" i="48" s="1"/>
  <c r="AM269" i="48" a="1"/>
  <c r="AM269" i="48" s="1"/>
  <c r="AO269" i="48" a="1"/>
  <c r="AO269" i="48" s="1"/>
  <c r="AP269" i="48" a="1"/>
  <c r="AP269" i="48" s="1"/>
  <c r="S269" i="48"/>
  <c r="AL269" i="48" s="1" a="1"/>
  <c r="AL269" i="48" s="1"/>
  <c r="S270" i="48"/>
  <c r="AL270" i="48" s="1" a="1"/>
  <c r="AL270" i="48" s="1"/>
  <c r="AS270" i="48" a="1"/>
  <c r="AS270" i="48" s="1"/>
  <c r="AR270" i="48" a="1"/>
  <c r="AR270" i="48" s="1"/>
  <c r="AQ270" i="48" a="1"/>
  <c r="AQ270" i="48" s="1"/>
  <c r="AT270" i="48" a="1"/>
  <c r="AT270" i="48" s="1"/>
  <c r="AP270" i="48" a="1"/>
  <c r="AP270" i="48" s="1"/>
  <c r="AO270" i="48" a="1"/>
  <c r="AO270" i="48" s="1"/>
  <c r="AN270" i="48" a="1"/>
  <c r="AN270" i="48" s="1"/>
  <c r="AM270" i="48" a="1"/>
  <c r="AM270" i="48" s="1"/>
  <c r="AM271" i="48" a="1"/>
  <c r="AM271" i="48" s="1"/>
  <c r="AN271" i="48" a="1"/>
  <c r="AN271" i="48" s="1"/>
  <c r="AO271" i="48" a="1"/>
  <c r="AO271" i="48" s="1"/>
  <c r="AP271" i="48" a="1"/>
  <c r="AP271" i="48" s="1"/>
  <c r="AR271" i="48" a="1"/>
  <c r="AR271" i="48" s="1"/>
  <c r="AS271" i="48" a="1"/>
  <c r="AS271" i="48" s="1"/>
  <c r="AT271" i="48" a="1"/>
  <c r="AT271" i="48" s="1"/>
  <c r="AQ271" i="48" a="1"/>
  <c r="AQ271" i="48" s="1"/>
  <c r="S271" i="48"/>
  <c r="AL271" i="48" s="1" a="1"/>
  <c r="AL271" i="48" s="1"/>
  <c r="S272" i="48"/>
  <c r="AL272" i="48" s="1" a="1"/>
  <c r="AL272" i="48" s="1"/>
  <c r="AT272" i="48" a="1"/>
  <c r="AT272" i="48" s="1"/>
  <c r="AS272" i="48" a="1"/>
  <c r="AS272" i="48" s="1"/>
  <c r="AR272" i="48" a="1"/>
  <c r="AR272" i="48" s="1"/>
  <c r="AQ272" i="48" a="1"/>
  <c r="AQ272" i="48" s="1"/>
  <c r="AM272" i="48" a="1"/>
  <c r="AM272" i="48" s="1"/>
  <c r="AN272" i="48" a="1"/>
  <c r="AN272" i="48" s="1"/>
  <c r="AO272" i="48" a="1"/>
  <c r="AO272" i="48" s="1"/>
  <c r="AP272" i="48" a="1"/>
  <c r="AP272" i="48" s="1"/>
  <c r="AN274" i="48" a="1"/>
  <c r="AN274" i="48" s="1"/>
  <c r="AM274" i="48" a="1"/>
  <c r="AM274" i="48" s="1"/>
  <c r="AQ274" i="48" a="1"/>
  <c r="AQ274" i="48" s="1"/>
  <c r="AO274" i="48" a="1"/>
  <c r="AO274" i="48" s="1"/>
  <c r="AR274" i="48" a="1"/>
  <c r="AR274" i="48" s="1"/>
  <c r="AT274" i="48" a="1"/>
  <c r="AT274" i="48" s="1"/>
  <c r="AS274" i="48" a="1"/>
  <c r="AS274" i="48" s="1"/>
  <c r="AP274" i="48" a="1"/>
  <c r="AP274" i="48" s="1"/>
  <c r="S274" i="48"/>
  <c r="AL274" i="48" s="1" a="1"/>
  <c r="AL274" i="48" s="1"/>
  <c r="AS275" i="48" a="1"/>
  <c r="AS275" i="48" s="1"/>
  <c r="AR275" i="48" a="1"/>
  <c r="AR275" i="48" s="1"/>
  <c r="AQ275" i="48" a="1"/>
  <c r="AQ275" i="48" s="1"/>
  <c r="AP275" i="48" a="1"/>
  <c r="AP275" i="48" s="1"/>
  <c r="S275" i="48"/>
  <c r="AL275" i="48" s="1" a="1"/>
  <c r="AL275" i="48" s="1"/>
  <c r="AM275" i="48" a="1"/>
  <c r="AM275" i="48" s="1"/>
  <c r="AN275" i="48" a="1"/>
  <c r="AN275" i="48" s="1"/>
  <c r="AO275" i="48" a="1"/>
  <c r="AO275" i="48" s="1"/>
  <c r="AT275" i="48" a="1"/>
  <c r="AT275" i="48" s="1"/>
  <c r="AR276" i="48" a="1"/>
  <c r="AR276" i="48" s="1"/>
  <c r="AS276" i="48" a="1"/>
  <c r="AS276" i="48" s="1"/>
  <c r="AT276" i="48" a="1"/>
  <c r="AT276" i="48" s="1"/>
  <c r="S276" i="48"/>
  <c r="AL276" i="48" s="1" a="1"/>
  <c r="AL276" i="48" s="1"/>
  <c r="AM276" i="48" a="1"/>
  <c r="AM276" i="48" s="1"/>
  <c r="AN276" i="48" a="1"/>
  <c r="AN276" i="48" s="1"/>
  <c r="AO276" i="48" a="1"/>
  <c r="AO276" i="48" s="1"/>
  <c r="AP276" i="48" a="1"/>
  <c r="AP276" i="48" s="1"/>
  <c r="AQ276" i="48" a="1"/>
  <c r="AQ276" i="48" s="1"/>
  <c r="C48" i="49"/>
  <c r="AL262" i="48" l="1" a="1"/>
  <c r="AL262" i="4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<sst xmlns="http://schemas.openxmlformats.org/spreadsheetml/2006/main" count="4623" uniqueCount="294">
  <si>
    <t xml:space="preserve"> </t>
  </si>
  <si>
    <t>Microsoft Excel Collegiate Challenge 2025</t>
  </si>
  <si>
    <t>PipeMare -  Varsity Edition</t>
  </si>
  <si>
    <t>Original Case Author</t>
  </si>
  <si>
    <t>Juan José Cifuentes</t>
  </si>
  <si>
    <t>Case Design Team</t>
  </si>
  <si>
    <t>Leo Fernandez</t>
  </si>
  <si>
    <t>Carolyn Hamilton</t>
  </si>
  <si>
    <t>Chris McNeil</t>
  </si>
  <si>
    <t>Eric Kelley</t>
  </si>
  <si>
    <t>Instructions</t>
  </si>
  <si>
    <t>You can hardly believe it; your hands are shaking so hard that you almost dropped your acceptance letter. You got into EPU!</t>
  </si>
  <si>
    <t>You're on your way to becoming an Excel Plumber and walking the halls where the best of the best have been trained: Bobby Filter, and even Lemmy Spillmister!</t>
  </si>
  <si>
    <t>But for now, it’s time to work — before your opportunity becomes nothing more than just a Pipe Dream!</t>
  </si>
  <si>
    <t>In this case, you will be working with pipe symbols, as presented in the PIPES table below.</t>
  </si>
  <si>
    <t>Special Pipe Connecting Rules &amp; Terminology</t>
  </si>
  <si>
    <t>Pipes can only be connected by moving side to side or up and down</t>
  </si>
  <si>
    <t>Pipes cannot rotate. E.g., a “vertical” pipe cannot rotate to connect to a “horizontal” pipe.</t>
  </si>
  <si>
    <r>
      <rPr>
        <b/>
        <sz val="12"/>
        <color theme="1"/>
        <rFont val="Roboto"/>
      </rPr>
      <t xml:space="preserve">Connect To </t>
    </r>
    <r>
      <rPr>
        <sz val="12"/>
        <color theme="1"/>
        <rFont val="Roboto"/>
      </rPr>
      <t>refers to a Pipe’s own up, down, left, right connections. E.g., ┗ has an up connection and a right connection.</t>
    </r>
  </si>
  <si>
    <r>
      <rPr>
        <b/>
        <sz val="12"/>
        <color theme="1"/>
        <rFont val="Roboto"/>
      </rPr>
      <t xml:space="preserve">Connect From </t>
    </r>
    <r>
      <rPr>
        <sz val="12"/>
        <color theme="1"/>
        <rFont val="Roboto"/>
      </rPr>
      <t>refers to other pipes that will fit to a Pipe. E.g., ┗ will fit to other pipes that have a down connection or a left connection.</t>
    </r>
  </si>
  <si>
    <r>
      <rPr>
        <b/>
        <sz val="12"/>
        <color theme="1"/>
        <rFont val="Roboto"/>
      </rPr>
      <t xml:space="preserve">Mapping Binary Codes </t>
    </r>
    <r>
      <rPr>
        <sz val="12"/>
        <color theme="1"/>
        <rFont val="Roboto"/>
      </rPr>
      <t>(see PIPES table).</t>
    </r>
  </si>
  <si>
    <r>
      <t xml:space="preserve">	1xxx denotes an </t>
    </r>
    <r>
      <rPr>
        <u/>
        <sz val="12"/>
        <color theme="1"/>
        <rFont val="Roboto"/>
      </rPr>
      <t>up</t>
    </r>
    <r>
      <rPr>
        <sz val="12"/>
        <color theme="1"/>
        <rFont val="Roboto"/>
      </rPr>
      <t xml:space="preserve"> (top) connection; 0xxx means no up connection.</t>
    </r>
  </si>
  <si>
    <r>
      <t xml:space="preserve">	x1xx denotes a </t>
    </r>
    <r>
      <rPr>
        <u/>
        <sz val="12"/>
        <color theme="1"/>
        <rFont val="Roboto"/>
      </rPr>
      <t>down</t>
    </r>
    <r>
      <rPr>
        <sz val="12"/>
        <color theme="1"/>
        <rFont val="Roboto"/>
      </rPr>
      <t xml:space="preserve"> (bottom) connection; x0xxx means no down connection.</t>
    </r>
  </si>
  <si>
    <r>
      <t xml:space="preserve">xx1x denotes a </t>
    </r>
    <r>
      <rPr>
        <u/>
        <sz val="12"/>
        <color theme="1"/>
        <rFont val="Roboto"/>
      </rPr>
      <t>left</t>
    </r>
    <r>
      <rPr>
        <sz val="12"/>
        <color theme="1"/>
        <rFont val="Roboto"/>
      </rPr>
      <t xml:space="preserve"> connection; xx0x means no left connection.</t>
    </r>
  </si>
  <si>
    <r>
      <t xml:space="preserve">xxx1 denotes a </t>
    </r>
    <r>
      <rPr>
        <u/>
        <sz val="12"/>
        <color theme="1"/>
        <rFont val="Roboto"/>
      </rPr>
      <t>right</t>
    </r>
    <r>
      <rPr>
        <sz val="12"/>
        <color theme="1"/>
        <rFont val="Roboto"/>
      </rPr>
      <t xml:space="preserve"> connection; xxx0 means no right connection.</t>
    </r>
  </si>
  <si>
    <r>
      <rPr>
        <b/>
        <sz val="12"/>
        <color theme="1"/>
        <rFont val="Roboto"/>
      </rPr>
      <t>Note:</t>
    </r>
    <r>
      <rPr>
        <sz val="12"/>
        <color theme="1"/>
        <rFont val="Roboto"/>
      </rPr>
      <t xml:space="preserve"> Some pipe symbols may appear as an empty square ◻ in the formula bar, but Excel will still recognize and process them correctly.</t>
    </r>
  </si>
  <si>
    <t>PIPES</t>
  </si>
  <si>
    <t>Pipe / Element</t>
  </si>
  <si>
    <t>Name</t>
  </si>
  <si>
    <t>Connects To</t>
  </si>
  <si>
    <t>Connects From</t>
  </si>
  <si>
    <t>┃</t>
  </si>
  <si>
    <t>Vertical</t>
  </si>
  <si>
    <t>1100</t>
  </si>
  <si>
    <t>━</t>
  </si>
  <si>
    <t>Horizontal</t>
  </si>
  <si>
    <t>0011</t>
  </si>
  <si>
    <t>┏</t>
  </si>
  <si>
    <t>Top-Right Bend</t>
  </si>
  <si>
    <t>0101</t>
  </si>
  <si>
    <t>1010</t>
  </si>
  <si>
    <t>┓</t>
  </si>
  <si>
    <t>Top-Left Bend</t>
  </si>
  <si>
    <t>0110</t>
  </si>
  <si>
    <t>1001</t>
  </si>
  <si>
    <t>┗</t>
  </si>
  <si>
    <t>Bottom-Right Bend</t>
  </si>
  <si>
    <t>┛</t>
  </si>
  <si>
    <t>Bottom-Left Bend</t>
  </si>
  <si>
    <t>◉</t>
  </si>
  <si>
    <t>Source</t>
  </si>
  <si>
    <t>1111</t>
  </si>
  <si>
    <t>○</t>
  </si>
  <si>
    <t>Outlet</t>
  </si>
  <si>
    <t>🧱</t>
  </si>
  <si>
    <t>Wall</t>
  </si>
  <si>
    <t>N/A</t>
  </si>
  <si>
    <t>Bonus Questions</t>
  </si>
  <si>
    <t>To make the game more exciting, we have created 5 bonus questions for you. The questions can all be solved independently of the Levels.</t>
  </si>
  <si>
    <t>Game #</t>
  </si>
  <si>
    <t>Relates to Level #</t>
  </si>
  <si>
    <t>Points</t>
  </si>
  <si>
    <t>Answer</t>
  </si>
  <si>
    <t>Question</t>
  </si>
  <si>
    <t>Bonus 1</t>
  </si>
  <si>
    <t>How many pipes are in the PipeMaze, excluding sources and outlets?</t>
  </si>
  <si>
    <t>Bonus 2</t>
  </si>
  <si>
    <t>For all the pipes in Level 1, excluding the example, how many times can a pipe Connect To the LEFT direction? Each Level 1 game has 31 pipes.</t>
  </si>
  <si>
    <t>Bonus 3</t>
  </si>
  <si>
    <t>In Level 5, excluding the example, how many pipes do not connect to the previous pipe in the sequence.</t>
  </si>
  <si>
    <t>Bonus 4</t>
  </si>
  <si>
    <t>In Level 6, excluding the example, what is the total number of wall sections 🧱 within the areas that contain the pipe sequences?</t>
  </si>
  <si>
    <t>Bonus 5</t>
  </si>
  <si>
    <t>In Level 7, excluding the example, what is the 4-letter code answer that appears the most? Report number of times followed by the 4-letter code (e.g. 8BRBL).</t>
  </si>
  <si>
    <t>Levels</t>
  </si>
  <si>
    <t>Level 1</t>
  </si>
  <si>
    <t>Easy</t>
  </si>
  <si>
    <t>Pipe Inventory</t>
  </si>
  <si>
    <t>Alright! It's your first day at the plumbing academy, and you want to make a good impression.</t>
  </si>
  <si>
    <t>Your professor has asked you to count the number of times a given pipe is found in a storage area.</t>
  </si>
  <si>
    <t>Example1:</t>
  </si>
  <si>
    <t>Pipe  ┛ is found 6 times in the storage area: positions 3, 13, 18, 26, 28, and 30.</t>
  </si>
  <si>
    <t>Answer Hints:</t>
  </si>
  <si>
    <t>Game 1's answer is between 2 and 12</t>
  </si>
  <si>
    <t>Game 2's answer is between 5 and 15</t>
  </si>
  <si>
    <t>Game 3's answer is between 15 and 25</t>
  </si>
  <si>
    <t>Storage Area</t>
  </si>
  <si>
    <t>Level</t>
  </si>
  <si>
    <t>Pipe</t>
  </si>
  <si>
    <t>Example1</t>
  </si>
  <si>
    <t>Level 2</t>
  </si>
  <si>
    <t>Medium Easy</t>
  </si>
  <si>
    <t>Pipin' 101... 0?</t>
  </si>
  <si>
    <r>
      <t xml:space="preserve">You've been asked to provide the concatenated translation of the given Pipe Sequence using the </t>
    </r>
    <r>
      <rPr>
        <b/>
        <u/>
        <sz val="12"/>
        <color theme="1"/>
        <rFont val="Roboto"/>
      </rPr>
      <t>Connects To</t>
    </r>
    <r>
      <rPr>
        <b/>
        <sz val="12"/>
        <color theme="1"/>
        <rFont val="Roboto"/>
      </rPr>
      <t xml:space="preserve"> mapping.</t>
    </r>
  </si>
  <si>
    <t>Example2:</t>
  </si>
  <si>
    <t>Given a Connects To mapping, pipe ┃ can Connect To up or down ends, so the code is 1100. ┏ can Connect To up or left ends, so the code is 1010.</t>
  </si>
  <si>
    <t>Those are then the first 8 digits of the answer. After completing the same decoding for the other 3 pipes, the correct answer is 11000101100100110110.</t>
  </si>
  <si>
    <t>Game 21's answer starts with 10100011</t>
  </si>
  <si>
    <t>Game 22's answer starts with 01011100</t>
  </si>
  <si>
    <t>Game 23's answer starts with 10010110</t>
  </si>
  <si>
    <t>Pipe Sequence</t>
  </si>
  <si>
    <t>Example2</t>
  </si>
  <si>
    <t>11000101100100110110</t>
  </si>
  <si>
    <t>Level 3</t>
  </si>
  <si>
    <t>Medium</t>
  </si>
  <si>
    <t>Pipe Census - One Direction</t>
  </si>
  <si>
    <t>Now that you understand all about pipe direction codes, your professor has asked you to help him catalog pipes by their potential to connect in a given direction.</t>
  </si>
  <si>
    <r>
      <t xml:space="preserve">Determine how many pipes in the sequence can </t>
    </r>
    <r>
      <rPr>
        <b/>
        <u/>
        <sz val="12"/>
        <color theme="1"/>
        <rFont val="Roboto"/>
      </rPr>
      <t>Connect To</t>
    </r>
    <r>
      <rPr>
        <b/>
        <sz val="12"/>
        <color theme="1"/>
        <rFont val="Roboto"/>
      </rPr>
      <t xml:space="preserve"> the given direction.</t>
    </r>
  </si>
  <si>
    <t>Example3:</t>
  </si>
  <si>
    <r>
      <t xml:space="preserve">We're looking for pipes whose </t>
    </r>
    <r>
      <rPr>
        <b/>
        <sz val="12"/>
        <color theme="1"/>
        <rFont val="Roboto"/>
      </rPr>
      <t>Connects To</t>
    </r>
    <r>
      <rPr>
        <sz val="12"/>
        <color theme="1"/>
        <rFont val="Roboto"/>
      </rPr>
      <t xml:space="preserve"> have an 0001 Direction (a </t>
    </r>
    <r>
      <rPr>
        <b/>
        <sz val="12"/>
        <color theme="1"/>
        <rFont val="Roboto"/>
      </rPr>
      <t>RIGHT</t>
    </r>
    <r>
      <rPr>
        <sz val="12"/>
        <color theme="1"/>
        <rFont val="Roboto"/>
      </rPr>
      <t xml:space="preserve"> direction).</t>
    </r>
  </si>
  <si>
    <t>That is, pipes that have a Mapping Binary Code that ends in 1.</t>
  </si>
  <si>
    <t>Pipe 1 ┃ , the Connects To mapping is 1100, which does not end with a 1. Tally of 0.</t>
  </si>
  <si>
    <t>Pipe 2 ┏ , the Connects To mapping is 0101, which ends with 1. Tally of 1.</t>
  </si>
  <si>
    <t>Pipe 3 ┗ , the Connects To mapping is 1001, which ends with 1. Tally of 1.</t>
  </si>
  <si>
    <t>Pipe 4  ━ , the Connects To mapping is 0011, which ends with 1. Tally of 1.</t>
  </si>
  <si>
    <t>Pipe 5 ┓ , the Connects To mapping is 0110, which does not end with a 1. Tally of 0.</t>
  </si>
  <si>
    <t>Pipes 2, 3, 4, 8, 9, 10, 11, 13, 16, 21, 23, 24, 28, and 30 match the Connects To direction, a total of 14 pipes. The answer is 14.</t>
  </si>
  <si>
    <t>Game 41's answer is between 20 and 25</t>
  </si>
  <si>
    <t>Game 42's answer is between 15 and 20</t>
  </si>
  <si>
    <t>Game 43's answer is between 20 and 25</t>
  </si>
  <si>
    <t>Direction</t>
  </si>
  <si>
    <t>Example3</t>
  </si>
  <si>
    <t>0001</t>
  </si>
  <si>
    <t>0010</t>
  </si>
  <si>
    <t>1000</t>
  </si>
  <si>
    <t>0100</t>
  </si>
  <si>
    <t>Level 4</t>
  </si>
  <si>
    <t>Pipe Census - 2Sync</t>
  </si>
  <si>
    <t>You've done a great job! So, your professor has now asked you to catalog pipes that can connect in a given direction (Direction 1) or in a second given direction (Direction 2).</t>
  </si>
  <si>
    <t>Determine the number of matching connections in the sequence. Matching connections for a single Pipe might total 0, 1, or 2 connections.</t>
  </si>
  <si>
    <t>Example4:</t>
  </si>
  <si>
    <t>We're looking for pipes whose Connects From mapping codes ends in 1 (xxx1, the RIGHT direction) or begins with 1 (1xxx, the UP direction).</t>
  </si>
  <si>
    <t>Pipe 1  ┃ , the Connects From mapping is 1100, which does not match the required RIGHT direction, but does match the required UP direction. A tally of 1.</t>
  </si>
  <si>
    <t>Pipe 2 ┏ , the Connects From mapping is 1010, which does not match the required RIGHT direction, but does match the required UP direction. A tally of 1.</t>
  </si>
  <si>
    <t>Pipe 3 ┗ , the Connects From mapping is 0110, which matches neither the RIGHT nor the UP direction. A tally of 0.</t>
  </si>
  <si>
    <t>Pipe 4 ━ , the Connects From mapping is 0011, which does match the required RIGHT direction, but does NOT match the required UP direction. A tally of 1.</t>
  </si>
  <si>
    <t>Pipe 5 ┓ , the Connects From mapping is 1001, which does match both the RIGHT and UP direction. A tally of 2.</t>
  </si>
  <si>
    <t>21 pipes have a tally of 1 (pipes 1, 2, 4, 6, 7, 10, 12, 13, 14, 15, 16, 18, 19, 21, 23, 24, 25, 27, 28, 29, &amp; 30). 5 pipes have a tally of 2 (pipes 5, 17, 20, 22, &amp; 26).</t>
  </si>
  <si>
    <t>Across all 30 pipes, the number of matching connections = 21 + 2*5  = 31.</t>
  </si>
  <si>
    <t>Game 61's answer is between 27 and 32.</t>
  </si>
  <si>
    <t>Game 62's answer is between 28 and 33.</t>
  </si>
  <si>
    <t>Game 63's answer is between 34 and 39.</t>
  </si>
  <si>
    <t>Mapping</t>
  </si>
  <si>
    <t>Direction 1</t>
  </si>
  <si>
    <t>Direction 2</t>
  </si>
  <si>
    <t>Example4</t>
  </si>
  <si>
    <t>Level 5</t>
  </si>
  <si>
    <t>Medium Hard</t>
  </si>
  <si>
    <t>Pipin' 201, Henry Ford style</t>
  </si>
  <si>
    <t>Oh, it can get harder.</t>
  </si>
  <si>
    <r>
      <t xml:space="preserve">You are given a sequence of 10 pipes and must determine which ones </t>
    </r>
    <r>
      <rPr>
        <b/>
        <u/>
        <sz val="12"/>
        <rFont val="Roboto"/>
      </rPr>
      <t>do not</t>
    </r>
    <r>
      <rPr>
        <b/>
        <sz val="12"/>
        <rFont val="Roboto"/>
      </rPr>
      <t xml:space="preserve"> connect to the previous pipe in the sequence.</t>
    </r>
  </si>
  <si>
    <t>For each connection, pipes can move up or down (but not rotated) and otherwise must remain in sequence.</t>
  </si>
  <si>
    <t>Each connection is independent of the previous one. Both pipes will always have both ends available to connect.</t>
  </si>
  <si>
    <t>Answer with a concatenated series, in order, of the positions of the relevant pipes.</t>
  </si>
  <si>
    <r>
      <rPr>
        <i/>
        <sz val="12"/>
        <rFont val="Roboto"/>
      </rPr>
      <t>Hint:</t>
    </r>
    <r>
      <rPr>
        <sz val="12"/>
        <rFont val="Roboto"/>
      </rPr>
      <t xml:space="preserve"> Pipe B cannot connect to Pipe A when </t>
    </r>
    <r>
      <rPr>
        <u/>
        <sz val="12"/>
        <rFont val="Roboto"/>
      </rPr>
      <t>none</t>
    </r>
    <r>
      <rPr>
        <sz val="12"/>
        <rFont val="Roboto"/>
      </rPr>
      <t xml:space="preserve"> of Pipe B's </t>
    </r>
    <r>
      <rPr>
        <u/>
        <sz val="12"/>
        <rFont val="Roboto"/>
      </rPr>
      <t>Connects From</t>
    </r>
    <r>
      <rPr>
        <sz val="12"/>
        <rFont val="Roboto"/>
      </rPr>
      <t xml:space="preserve"> non-zero mapping binary code values match Pipe A's </t>
    </r>
    <r>
      <rPr>
        <u/>
        <sz val="12"/>
        <rFont val="Roboto"/>
      </rPr>
      <t>Connects To</t>
    </r>
    <r>
      <rPr>
        <sz val="12"/>
        <rFont val="Roboto"/>
      </rPr>
      <t xml:space="preserve"> non-zero mapping code values.</t>
    </r>
  </si>
  <si>
    <t>Example5:</t>
  </si>
  <si>
    <t xml:space="preserve">━ in position 2 (Connects From 0011 ) can't connect to ┃ in position 1 (Connects To 1100), so 2 is the first number in the answer. </t>
  </si>
  <si>
    <t>┓ in position 4 (Connects From 1001), can't connect to ┓ in position 3 (Connects To 0110), adding a 4 to the answer.</t>
  </si>
  <si>
    <r>
      <t xml:space="preserve">Lastly, ┗ in position 6 (Connects From 0110) can't connect to ┗ in position 5 (Connects To 1001), adding a 6. All other pipes can connect without issue. The answer then is </t>
    </r>
    <r>
      <rPr>
        <u/>
        <sz val="12"/>
        <rFont val="Roboto"/>
      </rPr>
      <t>246</t>
    </r>
    <r>
      <rPr>
        <sz val="12"/>
        <rFont val="Roboto"/>
      </rPr>
      <t>.</t>
    </r>
  </si>
  <si>
    <t>Game 81's answer is 2 characters long.</t>
  </si>
  <si>
    <t>Game 82's answer is 4 characters long.</t>
  </si>
  <si>
    <t>Game 83's answer is 3 characters long.</t>
  </si>
  <si>
    <t>Example5</t>
  </si>
  <si>
    <t>246</t>
  </si>
  <si>
    <t>Level 6</t>
  </si>
  <si>
    <t>Pipe Maze - Length</t>
  </si>
  <si>
    <t>The PipeMaze sheet has pipe sequences, starting from a source ◉ and ending at an outlet ○. There are also wall sections 🧱, with no pipes, sources or outlets.</t>
  </si>
  <si>
    <t>The sequences are isolated; they never intersect with each other. The areas that contain the sequences do not overlap either.</t>
  </si>
  <si>
    <t>Given the addresses of the Top-Left (TL) corner and Bottom-Right (BR) corner of the area that contains a pipe sequence, can you calculate the pipe length in meters?</t>
  </si>
  <si>
    <r>
      <t>Note:</t>
    </r>
    <r>
      <rPr>
        <sz val="12"/>
        <rFont val="Roboto"/>
      </rPr>
      <t xml:space="preserve"> all pipes (vertical, horizontal and bends) are 1 meter long.</t>
    </r>
  </si>
  <si>
    <t xml:space="preserve">Example6: </t>
  </si>
  <si>
    <t>The pipe sequence in the area between Q4 (TL) and U11 (BR), there are 5 ┃, 1  ━, 1 ┏, 2 ┓, 2 ┗, and 1 ┛</t>
  </si>
  <si>
    <t>The total length of the pipe sequence = 5 + 1 + 1 + 2 + 2 + 1 = 12 meters.</t>
  </si>
  <si>
    <t>Game 101's answer is between 30 and 80 meters.</t>
  </si>
  <si>
    <t>Game 102's answer is between 20 and 70 meters.</t>
  </si>
  <si>
    <t>Game 103's answer is between 10 and 60 meters.</t>
  </si>
  <si>
    <t>TL</t>
  </si>
  <si>
    <t>BR</t>
  </si>
  <si>
    <t>Example6</t>
  </si>
  <si>
    <t>Q4</t>
  </si>
  <si>
    <t>U11</t>
  </si>
  <si>
    <t>W3</t>
  </si>
  <si>
    <t>AI11</t>
  </si>
  <si>
    <t>AG34</t>
  </si>
  <si>
    <t>AK41</t>
  </si>
  <si>
    <t>AM34</t>
  </si>
  <si>
    <t>AQ41</t>
  </si>
  <si>
    <t>AD23</t>
  </si>
  <si>
    <t>AG32</t>
  </si>
  <si>
    <t>AK3</t>
  </si>
  <si>
    <t>AO11</t>
  </si>
  <si>
    <t>AP4</t>
  </si>
  <si>
    <t>AW15</t>
  </si>
  <si>
    <t>J34</t>
  </si>
  <si>
    <t>N41</t>
  </si>
  <si>
    <t>K24</t>
  </si>
  <si>
    <t>V33</t>
  </si>
  <si>
    <t>V34</t>
  </si>
  <si>
    <t>AE42</t>
  </si>
  <si>
    <t>O34</t>
  </si>
  <si>
    <t>U41</t>
  </si>
  <si>
    <t>C23</t>
  </si>
  <si>
    <t>J32</t>
  </si>
  <si>
    <t>E4</t>
  </si>
  <si>
    <t>O13</t>
  </si>
  <si>
    <t>X24</t>
  </si>
  <si>
    <t>AB31</t>
  </si>
  <si>
    <t>D34</t>
  </si>
  <si>
    <t>I42</t>
  </si>
  <si>
    <t>AI24</t>
  </si>
  <si>
    <t>AN32</t>
  </si>
  <si>
    <t>AR27</t>
  </si>
  <si>
    <t>AV42</t>
  </si>
  <si>
    <t>AO16</t>
  </si>
  <si>
    <t>AV26</t>
  </si>
  <si>
    <t>D14</t>
  </si>
  <si>
    <t>V22</t>
  </si>
  <si>
    <t>X13</t>
  </si>
  <si>
    <t>AB21</t>
  </si>
  <si>
    <t>AD14</t>
  </si>
  <si>
    <t>AK22</t>
  </si>
  <si>
    <t>Level 7</t>
  </si>
  <si>
    <t>Hard</t>
  </si>
  <si>
    <t>Pipe Maze - Four Corners</t>
  </si>
  <si>
    <r>
      <t xml:space="preserve">All the pipe sequences in the PipeMaze have the source ◉ and the outlet ○ in one of the </t>
    </r>
    <r>
      <rPr>
        <b/>
        <sz val="12"/>
        <rFont val="Roboto"/>
      </rPr>
      <t xml:space="preserve">Four Corners </t>
    </r>
    <r>
      <rPr>
        <sz val="12"/>
        <rFont val="Roboto"/>
      </rPr>
      <t>of the area that contains the pipe sequence.</t>
    </r>
  </si>
  <si>
    <t>The sequences are isolated; they never intersect with each other. The areas that contain the sequesnces do not overlap either.</t>
  </si>
  <si>
    <r>
      <t xml:space="preserve">Given the addresses of the Top-Left (TL) corner and Bottom-Right (BR) corner of the area that contains a pipe sequence, report the corners where the source ◉ and the outlet ○ are, </t>
    </r>
    <r>
      <rPr>
        <u/>
        <sz val="12"/>
        <rFont val="Roboto"/>
      </rPr>
      <t>in that order</t>
    </r>
    <r>
      <rPr>
        <sz val="12"/>
        <rFont val="Roboto"/>
      </rPr>
      <t>?</t>
    </r>
  </si>
  <si>
    <r>
      <t xml:space="preserve">Answer with: </t>
    </r>
    <r>
      <rPr>
        <sz val="12"/>
        <rFont val="Roboto"/>
      </rPr>
      <t>TLBR, TRBL, BLTR, TRBR, BRTR, TLTR, TRTL, BRTL, BRBL, TLBL, BLTL, BLBR using the abbreviations shown to right.</t>
    </r>
  </si>
  <si>
    <t>Corner</t>
  </si>
  <si>
    <t>Abbreviation</t>
  </si>
  <si>
    <r>
      <t>Note:</t>
    </r>
    <r>
      <rPr>
        <sz val="12"/>
        <rFont val="Roboto"/>
      </rPr>
      <t xml:space="preserve"> all pipes sequences have the source ◉ and the outlet ○ in a different corner. That is, the combinations TLTL, TRTR, BLBL, and BRBR are not possible outcomes.</t>
    </r>
  </si>
  <si>
    <t>Top-Left</t>
  </si>
  <si>
    <t>Top-Right</t>
  </si>
  <si>
    <t>TR</t>
  </si>
  <si>
    <r>
      <t xml:space="preserve">Example7: </t>
    </r>
    <r>
      <rPr>
        <sz val="12"/>
        <rFont val="Roboto"/>
      </rPr>
      <t>The pipe sequence within the range Q4:U11 shows the source ◉ in the Top-Left (TL) of the range and the Outlet ○  in the Bottom-Right of the range (BR).</t>
    </r>
  </si>
  <si>
    <t>Bottom-Left</t>
  </si>
  <si>
    <t>BL</t>
  </si>
  <si>
    <t>Therefore, the 4-letter code that answers the question is TLBR</t>
  </si>
  <si>
    <t>Bottom-Right</t>
  </si>
  <si>
    <t>Game 141's answer starts with T and ends with R.</t>
  </si>
  <si>
    <t>Game 142's answer starts with T and ends with L.</t>
  </si>
  <si>
    <t>Game 143's answer starts with B and ends with R.</t>
  </si>
  <si>
    <t>Example7</t>
  </si>
  <si>
    <t>TLBR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</si>
  <si>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</si>
  <si>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</si>
  <si>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</si>
  <si>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</si>
  <si>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</si>
  <si>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</si>
  <si>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</si>
  <si>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</si>
  <si>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</si>
  <si>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</si>
  <si>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</si>
  <si>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</si>
  <si>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</si>
  <si>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</si>
  <si>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</si>
  <si>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</si>
  <si>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</si>
  <si>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</si>
  <si>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</si>
  <si>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</si>
  <si>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</si>
  <si>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</si>
  <si>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</si>
  <si>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</si>
  <si>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</si>
  <si>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</si>
  <si>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</si>
  <si>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</si>
  <si>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</si>
  <si>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</si>
  <si>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</si>
  <si>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</si>
  <si>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</si>
  <si>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</si>
  <si>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</si>
  <si>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</si>
  <si>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</si>
  <si>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</si>
  <si>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</si>
  <si>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</si>
  <si>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</si>
  <si>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</si>
  <si>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</si>
  <si>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</si>
  <si>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</si>
  <si>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</si>
  <si>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</si>
  <si>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</si>
  <si>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Your Answers</t>
  </si>
  <si>
    <t>0000000000000000000000000000000000000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</si>
</sst>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#,##0;\(#,##0\);\-"/>
    <numFmt numFmtId="166" formatCode="&quot;$&quot;#,##0.00"/>
  </numFmts>
  <fonts count="42">
    <font>
      <sz val="11"/>
      <color theme="1"/>
      <name val="Calibri"/>
      <family val="2"/>
      <scheme val="minor"/>
    </font>
    <font>
      <sz val="11"/>
      <color theme="1"/>
      <name val="Roboto"/>
    </font>
    <font>
      <sz val="11"/>
      <name val="Roboto"/>
    </font>
    <font>
      <u/>
      <sz val="11"/>
      <color theme="10"/>
      <name val="Calibri"/>
      <family val="2"/>
      <scheme val="minor"/>
    </font>
    <font>
      <sz val="11"/>
      <color theme="7" tint="-0.499984740745262"/>
      <name val="Roboto"/>
    </font>
    <font>
      <sz val="12"/>
      <color theme="7" tint="-0.499984740745262"/>
      <name val="Roboto"/>
    </font>
    <font>
      <b/>
      <sz val="12"/>
      <color theme="7" tint="-0.499984740745262"/>
      <name val="Roboto"/>
    </font>
    <font>
      <b/>
      <sz val="18"/>
      <color theme="0"/>
      <name val="Roboto"/>
    </font>
    <font>
      <sz val="11"/>
      <color theme="1"/>
      <name val="Calibri"/>
      <family val="2"/>
      <scheme val="minor"/>
    </font>
    <font>
      <sz val="9"/>
      <name val="Roboto"/>
    </font>
    <font>
      <b/>
      <sz val="26"/>
      <color theme="0"/>
      <name val="Futura"/>
    </font>
    <font>
      <sz val="12"/>
      <color theme="1"/>
      <name val="Roboto"/>
    </font>
    <font>
      <b/>
      <sz val="18"/>
      <color theme="0"/>
      <name val="Futura"/>
    </font>
    <font>
      <sz val="18"/>
      <color theme="1"/>
      <name val="Roboto"/>
    </font>
    <font>
      <u/>
      <sz val="20"/>
      <color theme="10"/>
      <name val="Aptos"/>
      <family val="2"/>
    </font>
    <font>
      <b/>
      <sz val="12"/>
      <color theme="0"/>
      <name val="Roboto"/>
    </font>
    <font>
      <i/>
      <sz val="14"/>
      <color theme="1"/>
      <name val="Roboto"/>
    </font>
    <font>
      <sz val="20"/>
      <color theme="1"/>
      <name val="Aptos"/>
      <family val="2"/>
    </font>
    <font>
      <sz val="12"/>
      <name val="Roboto"/>
    </font>
    <font>
      <b/>
      <sz val="12"/>
      <name val="Roboto"/>
    </font>
    <font>
      <i/>
      <sz val="12"/>
      <color theme="1"/>
      <name val="Roboto"/>
    </font>
    <font>
      <b/>
      <sz val="14"/>
      <color theme="0"/>
      <name val="Roboto"/>
    </font>
    <font>
      <b/>
      <sz val="12"/>
      <color theme="1"/>
      <name val="Roboto"/>
    </font>
    <font>
      <b/>
      <sz val="11"/>
      <color theme="0"/>
      <name val="Roboto"/>
    </font>
    <font>
      <i/>
      <sz val="11"/>
      <color theme="1"/>
      <name val="Roboto"/>
    </font>
    <font>
      <b/>
      <sz val="26"/>
      <color theme="0"/>
      <name val="Roboto"/>
    </font>
    <font>
      <b/>
      <sz val="24"/>
      <color theme="0"/>
      <name val="Roboto"/>
    </font>
    <font>
      <i/>
      <sz val="11"/>
      <name val="Roboto"/>
    </font>
    <font>
      <b/>
      <sz val="20"/>
      <color theme="0"/>
      <name val="Futura"/>
    </font>
    <font>
      <b/>
      <sz val="11"/>
      <color theme="1"/>
      <name val="Roboto"/>
    </font>
    <font>
      <sz val="9"/>
      <color indexed="12"/>
      <name val="Roboto"/>
    </font>
    <font>
      <b/>
      <sz val="11"/>
      <name val="Roboto"/>
    </font>
    <font>
      <sz val="14"/>
      <name val="Roboto"/>
    </font>
    <font>
      <sz val="12"/>
      <color theme="5" tint="-0.499984740745262"/>
      <name val="Roboto"/>
    </font>
    <font>
      <sz val="12"/>
      <color theme="0"/>
      <name val="Roboto"/>
    </font>
    <font>
      <i/>
      <sz val="12"/>
      <name val="Roboto"/>
    </font>
    <font>
      <u/>
      <sz val="12"/>
      <name val="Roboto"/>
    </font>
    <font>
      <u/>
      <sz val="12"/>
      <color theme="1"/>
      <name val="Roboto"/>
    </font>
    <font>
      <b/>
      <u/>
      <sz val="12"/>
      <color theme="1"/>
      <name val="Roboto"/>
    </font>
    <font>
      <b/>
      <u/>
      <sz val="12"/>
      <name val="Roboto"/>
    </font>
    <font>
      <b/>
      <sz val="16"/>
      <color theme="1"/>
      <name val="Roboto"/>
    </font>
    <font>
      <sz val="12"/>
      <color rgb="FFFFFFFF"/>
      <name val="Arial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rgb="FF006837"/>
        <bgColor indexed="64"/>
      </patternFill>
    </fill>
    <fill>
      <patternFill patternType="solid">
        <fgColor rgb="FF001838"/>
        <bgColor indexed="64"/>
      </patternFill>
    </fill>
    <fill>
      <patternFill patternType="solid">
        <fgColor rgb="FFED203F"/>
        <bgColor indexed="64"/>
      </patternFill>
    </fill>
    <fill>
      <patternFill patternType="solid">
        <fgColor rgb="FFBC1F3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6C6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E1B3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7" fillId="0" borderId="0"/>
    <xf numFmtId="0" fontId="8" fillId="0" borderId="0"/>
    <xf numFmtId="0" fontId="8" fillId="0" borderId="0"/>
  </cellStyleXfs>
  <cellXfs count="147">
    <xf numFmtId="0" fontId="0" fillId="0" borderId="0" xfId="0"/>
    <xf numFmtId="0" fontId="7" fillId="2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1" fontId="7" fillId="2" borderId="5" xfId="0" applyNumberFormat="1" applyFont="1" applyFill="1" applyBorder="1" applyAlignment="1">
      <alignment horizontal="center" vertical="center"/>
    </xf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3" borderId="16" xfId="0" applyFont="1" applyFill="1" applyBorder="1" applyAlignment="1">
      <alignment horizontal="centerContinuous" vertical="center"/>
    </xf>
    <xf numFmtId="0" fontId="11" fillId="0" borderId="0" xfId="0" applyFont="1"/>
    <xf numFmtId="3" fontId="11" fillId="0" borderId="0" xfId="0" applyNumberFormat="1" applyFont="1"/>
    <xf numFmtId="0" fontId="12" fillId="5" borderId="16" xfId="0" applyFont="1" applyFill="1" applyBorder="1" applyAlignment="1">
      <alignment horizontal="centerContinuous" vertical="center"/>
    </xf>
    <xf numFmtId="0" fontId="13" fillId="0" borderId="16" xfId="0" applyFont="1" applyBorder="1" applyAlignment="1">
      <alignment horizontal="centerContinuous"/>
    </xf>
    <xf numFmtId="0" fontId="15" fillId="5" borderId="8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Continuous" vertical="center"/>
    </xf>
    <xf numFmtId="0" fontId="15" fillId="5" borderId="2" xfId="0" applyFont="1" applyFill="1" applyBorder="1" applyAlignment="1">
      <alignment horizontal="centerContinuous" vertical="center"/>
    </xf>
    <xf numFmtId="0" fontId="15" fillId="5" borderId="8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" fillId="0" borderId="0" xfId="5" applyFont="1" applyAlignment="1">
      <alignment horizontal="center" vertical="center"/>
    </xf>
    <xf numFmtId="3" fontId="15" fillId="5" borderId="8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horizontal="left" vertical="top"/>
    </xf>
    <xf numFmtId="0" fontId="21" fillId="4" borderId="8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left" vertical="top"/>
    </xf>
    <xf numFmtId="0" fontId="1" fillId="9" borderId="0" xfId="0" applyFont="1" applyFill="1" applyAlignment="1">
      <alignment vertical="center"/>
    </xf>
    <xf numFmtId="0" fontId="5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5" fillId="5" borderId="21" xfId="0" applyFont="1" applyFill="1" applyBorder="1" applyAlignment="1">
      <alignment horizontal="center"/>
    </xf>
    <xf numFmtId="0" fontId="11" fillId="0" borderId="14" xfId="0" applyFont="1" applyBorder="1" applyAlignment="1">
      <alignment vertical="top" wrapText="1"/>
    </xf>
    <xf numFmtId="0" fontId="11" fillId="0" borderId="0" xfId="0" applyFont="1" applyAlignment="1">
      <alignment horizontal="left" vertical="center" wrapText="1"/>
    </xf>
    <xf numFmtId="0" fontId="25" fillId="3" borderId="16" xfId="0" applyFont="1" applyFill="1" applyBorder="1" applyAlignment="1">
      <alignment horizontal="centerContinuous" vertical="center"/>
    </xf>
    <xf numFmtId="0" fontId="26" fillId="4" borderId="0" xfId="0" applyFont="1" applyFill="1" applyAlignment="1">
      <alignment horizontal="centerContinuous" vertical="center" wrapText="1"/>
    </xf>
    <xf numFmtId="0" fontId="22" fillId="0" borderId="0" xfId="0" applyFont="1" applyAlignment="1">
      <alignment wrapText="1"/>
    </xf>
    <xf numFmtId="0" fontId="7" fillId="5" borderId="16" xfId="0" applyFont="1" applyFill="1" applyBorder="1" applyAlignment="1">
      <alignment horizontal="centerContinuous" vertical="center"/>
    </xf>
    <xf numFmtId="0" fontId="19" fillId="0" borderId="0" xfId="4" applyFont="1" applyFill="1" applyBorder="1" applyAlignment="1">
      <alignment vertical="top"/>
    </xf>
    <xf numFmtId="0" fontId="7" fillId="5" borderId="17" xfId="0" applyFont="1" applyFill="1" applyBorder="1" applyAlignment="1">
      <alignment horizontal="centerContinuous" vertical="center"/>
    </xf>
    <xf numFmtId="0" fontId="7" fillId="3" borderId="16" xfId="0" applyFont="1" applyFill="1" applyBorder="1" applyAlignment="1">
      <alignment horizontal="centerContinuous" vertical="center"/>
    </xf>
    <xf numFmtId="0" fontId="2" fillId="0" borderId="0" xfId="0" quotePrefix="1" applyFont="1"/>
    <xf numFmtId="3" fontId="1" fillId="0" borderId="0" xfId="3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4" fillId="0" borderId="0" xfId="0" applyFont="1"/>
    <xf numFmtId="0" fontId="20" fillId="0" borderId="0" xfId="0" applyFont="1"/>
    <xf numFmtId="0" fontId="27" fillId="0" borderId="0" xfId="0" applyFont="1"/>
    <xf numFmtId="0" fontId="10" fillId="4" borderId="0" xfId="0" applyFont="1" applyFill="1" applyAlignment="1">
      <alignment horizontal="centerContinuous" vertical="center" wrapText="1"/>
    </xf>
    <xf numFmtId="0" fontId="28" fillId="5" borderId="17" xfId="0" applyFont="1" applyFill="1" applyBorder="1" applyAlignment="1">
      <alignment horizontal="centerContinuous" vertical="center"/>
    </xf>
    <xf numFmtId="0" fontId="28" fillId="3" borderId="16" xfId="0" applyFont="1" applyFill="1" applyBorder="1" applyAlignment="1">
      <alignment horizontal="centerContinuous" vertical="center"/>
    </xf>
    <xf numFmtId="0" fontId="22" fillId="0" borderId="0" xfId="0" applyFont="1"/>
    <xf numFmtId="0" fontId="7" fillId="2" borderId="5" xfId="3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Continuous"/>
    </xf>
    <xf numFmtId="0" fontId="15" fillId="5" borderId="23" xfId="0" applyFont="1" applyFill="1" applyBorder="1" applyAlignment="1">
      <alignment horizontal="centerContinuous"/>
    </xf>
    <xf numFmtId="165" fontId="5" fillId="0" borderId="7" xfId="0" applyNumberFormat="1" applyFont="1" applyBorder="1" applyAlignment="1">
      <alignment vertical="center"/>
    </xf>
    <xf numFmtId="0" fontId="5" fillId="9" borderId="0" xfId="0" applyFont="1" applyFill="1" applyAlignment="1">
      <alignment horizontal="centerContinuous"/>
    </xf>
    <xf numFmtId="0" fontId="11" fillId="9" borderId="0" xfId="0" applyFont="1" applyFill="1" applyAlignment="1">
      <alignment horizontal="centerContinuous"/>
    </xf>
    <xf numFmtId="2" fontId="5" fillId="9" borderId="0" xfId="0" applyNumberFormat="1" applyFont="1" applyFill="1" applyAlignment="1">
      <alignment horizontal="center" vertical="center" wrapText="1"/>
    </xf>
    <xf numFmtId="166" fontId="5" fillId="9" borderId="0" xfId="0" applyNumberFormat="1" applyFont="1" applyFill="1" applyAlignment="1">
      <alignment horizontal="centerContinuous" vertical="center" wrapText="1"/>
    </xf>
    <xf numFmtId="1" fontId="5" fillId="9" borderId="0" xfId="0" applyNumberFormat="1" applyFont="1" applyFill="1" applyAlignment="1">
      <alignment horizontal="center" vertical="center" wrapText="1"/>
    </xf>
    <xf numFmtId="0" fontId="15" fillId="0" borderId="0" xfId="0" applyFont="1" applyAlignment="1">
      <alignment horizontal="centerContinuous"/>
    </xf>
    <xf numFmtId="2" fontId="5" fillId="0" borderId="0" xfId="0" applyNumberFormat="1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29" fillId="0" borderId="0" xfId="0" applyFont="1"/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right"/>
    </xf>
    <xf numFmtId="0" fontId="5" fillId="0" borderId="0" xfId="0" applyFont="1"/>
    <xf numFmtId="0" fontId="3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2" fillId="10" borderId="0" xfId="0" applyFont="1" applyFill="1" applyAlignment="1">
      <alignment horizontal="center" vertical="center"/>
    </xf>
    <xf numFmtId="0" fontId="23" fillId="5" borderId="2" xfId="0" applyFont="1" applyFill="1" applyBorder="1" applyAlignment="1">
      <alignment horizontal="centerContinuous" vertical="center"/>
    </xf>
    <xf numFmtId="0" fontId="23" fillId="5" borderId="3" xfId="0" applyFont="1" applyFill="1" applyBorder="1" applyAlignment="1">
      <alignment horizontal="centerContinuous" vertical="center"/>
    </xf>
    <xf numFmtId="0" fontId="5" fillId="9" borderId="25" xfId="0" applyFont="1" applyFill="1" applyBorder="1" applyAlignment="1">
      <alignment horizontal="center"/>
    </xf>
    <xf numFmtId="0" fontId="5" fillId="9" borderId="19" xfId="0" applyFont="1" applyFill="1" applyBorder="1" applyAlignment="1">
      <alignment horizontal="center"/>
    </xf>
    <xf numFmtId="0" fontId="5" fillId="9" borderId="24" xfId="0" applyFont="1" applyFill="1" applyBorder="1" applyAlignment="1">
      <alignment horizontal="center"/>
    </xf>
    <xf numFmtId="0" fontId="5" fillId="9" borderId="18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 vertical="center"/>
    </xf>
    <xf numFmtId="0" fontId="33" fillId="0" borderId="0" xfId="0" applyFont="1"/>
    <xf numFmtId="0" fontId="15" fillId="5" borderId="26" xfId="0" applyFont="1" applyFill="1" applyBorder="1" applyAlignment="1">
      <alignment horizontal="centerContinuous" vertical="center" wrapText="1"/>
    </xf>
    <xf numFmtId="0" fontId="15" fillId="5" borderId="23" xfId="0" applyFont="1" applyFill="1" applyBorder="1" applyAlignment="1">
      <alignment horizontal="centerContinuous" vertical="center" wrapText="1"/>
    </xf>
    <xf numFmtId="0" fontId="15" fillId="5" borderId="22" xfId="0" applyFont="1" applyFill="1" applyBorder="1" applyAlignment="1">
      <alignment horizontal="centerContinuous" wrapText="1"/>
    </xf>
    <xf numFmtId="0" fontId="5" fillId="0" borderId="0" xfId="0" applyFont="1" applyAlignment="1">
      <alignment horizontal="center" vertical="center"/>
    </xf>
    <xf numFmtId="0" fontId="15" fillId="5" borderId="27" xfId="0" applyFont="1" applyFill="1" applyBorder="1" applyAlignment="1">
      <alignment horizontal="center" vertical="center"/>
    </xf>
    <xf numFmtId="0" fontId="34" fillId="5" borderId="2" xfId="0" applyFont="1" applyFill="1" applyBorder="1" applyAlignment="1">
      <alignment horizontal="centerContinuous" vertical="center"/>
    </xf>
    <xf numFmtId="0" fontId="5" fillId="0" borderId="16" xfId="0" applyFont="1" applyBorder="1" applyAlignment="1">
      <alignment horizontal="center" vertical="center"/>
    </xf>
    <xf numFmtId="0" fontId="35" fillId="0" borderId="0" xfId="0" applyFont="1" applyAlignment="1">
      <alignment horizontal="left"/>
    </xf>
    <xf numFmtId="18" fontId="34" fillId="5" borderId="2" xfId="0" applyNumberFormat="1" applyFont="1" applyFill="1" applyBorder="1" applyAlignment="1">
      <alignment horizontal="centerContinuous" vertical="center"/>
    </xf>
    <xf numFmtId="0" fontId="34" fillId="5" borderId="3" xfId="0" applyFont="1" applyFill="1" applyBorder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top" indent="1"/>
    </xf>
    <xf numFmtId="0" fontId="11" fillId="0" borderId="11" xfId="0" applyFont="1" applyBorder="1" applyAlignment="1">
      <alignment horizontal="left" vertical="top" indent="2"/>
    </xf>
    <xf numFmtId="0" fontId="22" fillId="0" borderId="11" xfId="0" applyFont="1" applyBorder="1" applyAlignment="1">
      <alignment horizontal="left" vertical="top" indent="1"/>
    </xf>
    <xf numFmtId="0" fontId="11" fillId="0" borderId="13" xfId="0" applyFont="1" applyBorder="1" applyAlignment="1">
      <alignment horizontal="left" vertical="top" indent="1"/>
    </xf>
    <xf numFmtId="0" fontId="15" fillId="5" borderId="8" xfId="0" applyFont="1" applyFill="1" applyBorder="1" applyAlignment="1">
      <alignment horizontal="centerContinuous" vertical="center"/>
    </xf>
    <xf numFmtId="0" fontId="23" fillId="5" borderId="8" xfId="0" applyFont="1" applyFill="1" applyBorder="1" applyAlignment="1">
      <alignment horizontal="centerContinuous" vertical="center"/>
    </xf>
    <xf numFmtId="0" fontId="19" fillId="0" borderId="0" xfId="0" applyFont="1"/>
    <xf numFmtId="0" fontId="35" fillId="0" borderId="0" xfId="0" applyFont="1"/>
    <xf numFmtId="0" fontId="19" fillId="0" borderId="28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8" fillId="0" borderId="11" xfId="0" applyFont="1" applyBorder="1" applyAlignment="1">
      <alignment horizontal="left" indent="4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left" indent="4"/>
    </xf>
    <xf numFmtId="0" fontId="18" fillId="0" borderId="15" xfId="0" applyFont="1" applyBorder="1" applyAlignment="1">
      <alignment horizontal="center"/>
    </xf>
    <xf numFmtId="0" fontId="11" fillId="0" borderId="0" xfId="0" applyFont="1" applyAlignment="1">
      <alignment vertical="top" wrapText="1"/>
    </xf>
    <xf numFmtId="0" fontId="11" fillId="0" borderId="12" xfId="0" applyFont="1" applyBorder="1"/>
    <xf numFmtId="0" fontId="1" fillId="0" borderId="11" xfId="0" applyFont="1" applyBorder="1"/>
    <xf numFmtId="0" fontId="2" fillId="0" borderId="12" xfId="0" applyFont="1" applyBorder="1"/>
    <xf numFmtId="0" fontId="11" fillId="0" borderId="14" xfId="0" applyFont="1" applyBorder="1"/>
    <xf numFmtId="0" fontId="11" fillId="0" borderId="15" xfId="0" applyFont="1" applyBorder="1"/>
    <xf numFmtId="165" fontId="2" fillId="0" borderId="0" xfId="0" applyNumberFormat="1" applyFont="1"/>
    <xf numFmtId="165" fontId="1" fillId="0" borderId="9" xfId="0" applyNumberFormat="1" applyFont="1" applyBorder="1"/>
    <xf numFmtId="165" fontId="2" fillId="0" borderId="9" xfId="0" applyNumberFormat="1" applyFont="1" applyBorder="1"/>
    <xf numFmtId="165" fontId="2" fillId="0" borderId="10" xfId="0" applyNumberFormat="1" applyFont="1" applyBorder="1"/>
    <xf numFmtId="165" fontId="5" fillId="0" borderId="30" xfId="0" applyNumberFormat="1" applyFont="1" applyBorder="1" applyAlignment="1">
      <alignment vertical="center"/>
    </xf>
    <xf numFmtId="165" fontId="1" fillId="0" borderId="31" xfId="0" applyNumberFormat="1" applyFont="1" applyBorder="1"/>
    <xf numFmtId="165" fontId="2" fillId="0" borderId="31" xfId="0" applyNumberFormat="1" applyFont="1" applyBorder="1"/>
    <xf numFmtId="165" fontId="2" fillId="0" borderId="32" xfId="0" applyNumberFormat="1" applyFont="1" applyBorder="1"/>
    <xf numFmtId="0" fontId="40" fillId="9" borderId="0" xfId="6" applyFont="1" applyFill="1"/>
    <xf numFmtId="3" fontId="1" fillId="9" borderId="0" xfId="6" applyNumberFormat="1" applyFont="1" applyFill="1"/>
    <xf numFmtId="0" fontId="1" fillId="9" borderId="0" xfId="6" applyFont="1" applyFill="1"/>
    <xf numFmtId="0" fontId="1" fillId="9" borderId="0" xfId="6" applyFont="1" applyFill="1" applyAlignment="1">
      <alignment vertical="top" wrapText="1"/>
    </xf>
    <xf numFmtId="0" fontId="2" fillId="9" borderId="0" xfId="6" applyFont="1" applyFill="1" applyAlignment="1">
      <alignment vertical="top" wrapText="1"/>
    </xf>
    <xf numFmtId="0" fontId="2" fillId="9" borderId="0" xfId="6" applyFont="1" applyFill="1"/>
    <xf numFmtId="0" fontId="23" fillId="11" borderId="8" xfId="6" applyFont="1" applyFill="1" applyBorder="1" applyAlignment="1">
      <alignment horizontal="center" vertical="center"/>
    </xf>
    <xf numFmtId="3" fontId="23" fillId="11" borderId="8" xfId="6" applyNumberFormat="1" applyFont="1" applyFill="1" applyBorder="1" applyAlignment="1">
      <alignment horizontal="center" vertical="center"/>
    </xf>
    <xf numFmtId="0" fontId="4" fillId="9" borderId="33" xfId="6" applyFont="1" applyFill="1" applyBorder="1" applyAlignment="1">
      <alignment horizontal="center" vertical="center" wrapText="1"/>
    </xf>
    <xf numFmtId="1" fontId="7" fillId="2" borderId="34" xfId="6" applyNumberFormat="1" applyFont="1" applyFill="1" applyBorder="1" applyAlignment="1">
      <alignment horizontal="center" vertical="center"/>
    </xf>
    <xf numFmtId="0" fontId="6" fillId="0" borderId="33" xfId="5" applyFont="1" applyBorder="1" applyAlignment="1">
      <alignment horizontal="center" vertical="center"/>
    </xf>
    <xf numFmtId="0" fontId="4" fillId="9" borderId="4" xfId="6" applyFont="1" applyFill="1" applyBorder="1" applyAlignment="1">
      <alignment horizontal="center" vertical="center" wrapText="1"/>
    </xf>
    <xf numFmtId="0" fontId="6" fillId="0" borderId="4" xfId="5" applyFont="1" applyBorder="1" applyAlignment="1">
      <alignment horizontal="center" vertical="center"/>
    </xf>
    <xf numFmtId="0" fontId="5" fillId="0" borderId="4" xfId="6" applyFont="1" applyBorder="1" applyAlignment="1">
      <alignment horizontal="center" vertical="center" wrapText="1"/>
    </xf>
    <xf numFmtId="0" fontId="1" fillId="9" borderId="0" xfId="6" applyFont="1" applyFill="1" applyAlignment="1">
      <alignment horizontal="center"/>
    </xf>
    <xf numFmtId="3" fontId="1" fillId="9" borderId="0" xfId="6" applyNumberFormat="1" applyFont="1" applyFill="1" applyAlignment="1">
      <alignment horizontal="center"/>
    </xf>
    <xf numFmtId="0" fontId="41" fillId="0" borderId="0" xfId="0" applyFont="1"/>
  </cellXfs>
  <cellStyles count="8">
    <cellStyle name="Comma 2" xfId="2" xr:uid="{3F643F9E-A82A-4EED-89B8-6DDE99EEF9AF}"/>
    <cellStyle name="Dziesiętny" xfId="3" builtinId="3"/>
    <cellStyle name="Hiperłącze" xfId="4" builtinId="8"/>
    <cellStyle name="Hyperlink 2" xfId="1" xr:uid="{6ED85ED9-A24A-48A6-887D-4F7D7F9D9663}"/>
    <cellStyle name="Normal 2" xfId="5" xr:uid="{4DEF6784-F81A-44CD-A91E-11D31EFC3D0A}"/>
    <cellStyle name="Normal 3" xfId="6" xr:uid="{7C48EADF-7DCF-45F3-B880-3CF7CEB0EF9C}"/>
    <cellStyle name="Normal 3 2" xfId="7" xr:uid="{CC88110E-1E17-459E-B04D-88C426ED4F3E}"/>
    <cellStyle name="Normalny" xfId="0" builtinId="0"/>
  </cellStyles>
  <dxfs count="0"/>
  <tableStyles count="1" defaultTableStyle="TableStyleMedium2" defaultPivotStyle="PivotStyleLight16">
    <tableStyle name="Invisible" pivot="0" table="0" count="0" xr9:uid="{2B31B5B8-2FE8-46F1-BEEF-0552080DA3FE}"/>
  </tableStyles>
  <colors>
    <mruColors>
      <color rgb="FFBC1F36"/>
      <color rgb="FF806000"/>
      <color rgb="FF001838"/>
      <color rgb="FF020024"/>
      <color rgb="FF007B00"/>
      <color rgb="FFED203F"/>
      <color rgb="FFDAF2D0"/>
      <color rgb="FF0068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1550</xdr:colOff>
      <xdr:row>4</xdr:row>
      <xdr:rowOff>10205</xdr:rowOff>
    </xdr:from>
    <xdr:to>
      <xdr:col>10</xdr:col>
      <xdr:colOff>0</xdr:colOff>
      <xdr:row>12</xdr:row>
      <xdr:rowOff>287235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787CB-0BFF-4892-913F-4A5C4F505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14910" y="1191305"/>
          <a:ext cx="12800050" cy="3325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5484C8-697D-414D-8D51-1B71DB5C280C}">
  <we:reference id="wa200003696" version="1.3.0.0" store="fr-FR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CD25-1303-46D0-BEE8-888CDEE9A324}">
  <sheetPr>
    <tabColor theme="8" tint="0.79998168889431442"/>
  </sheetPr>
  <dimension ref="A1:XX1000"/>
  <sheetViews>
    <sheetView showGridLines="0" tabSelected="1" topLeftCell="A274" zoomScale="70" zoomScaleNormal="70" workbookViewId="0">
      <selection activeCell="O306" sqref="O306"/>
    </sheetView>
  </sheetViews>
  <sheetFormatPr defaultColWidth="4.140625" defaultRowHeight="15"/>
  <cols>
    <col min="1" max="1" width="3.140625" style="5" customWidth="1"/>
    <col min="2" max="2" width="12.140625" style="5" customWidth="1"/>
    <col min="3" max="4" width="19.5703125" style="5" bestFit="1" customWidth="1"/>
    <col min="5" max="5" width="42.5703125" style="5" customWidth="1"/>
    <col min="6" max="6" width="4.85546875" style="5" customWidth="1"/>
    <col min="7" max="10" width="22" style="5" customWidth="1"/>
    <col min="11" max="37" width="22" style="7" customWidth="1"/>
    <col min="38" max="56" width="20.42578125" style="7" customWidth="1"/>
    <col min="57" max="57" width="6.28515625" style="7" bestFit="1" customWidth="1"/>
    <col min="58" max="65" width="4.140625" style="7"/>
    <col min="66" max="66" width="4.140625" style="7" customWidth="1"/>
    <col min="67" max="16384" width="4.140625" style="7"/>
  </cols>
  <sheetData>
    <row r="1" spans="1:13" s="13" customFormat="1" ht="15" customHeight="1">
      <c r="A1" s="13" t="s">
        <v>0</v>
      </c>
    </row>
    <row r="2" spans="1:13" s="13" customFormat="1" ht="33" customHeight="1">
      <c r="B2" s="12" t="s">
        <v>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13" customFormat="1" ht="15" customHeight="1">
      <c r="E3" s="14"/>
    </row>
    <row r="4" spans="1:13" s="13" customFormat="1" ht="30" customHeight="1">
      <c r="B4" s="57" t="s">
        <v>2</v>
      </c>
      <c r="C4" s="45"/>
      <c r="D4" s="45"/>
      <c r="E4" s="45"/>
      <c r="F4" s="45"/>
      <c r="G4" s="45"/>
      <c r="H4" s="45"/>
      <c r="I4" s="45"/>
      <c r="J4" s="45"/>
      <c r="K4" s="46"/>
      <c r="L4" s="47" t="s">
        <v>3</v>
      </c>
      <c r="M4" s="47"/>
    </row>
    <row r="5" spans="1:13" s="13" customFormat="1" ht="30" customHeight="1">
      <c r="E5" s="14"/>
      <c r="K5" s="46"/>
      <c r="L5" s="16" t="s">
        <v>4</v>
      </c>
      <c r="M5" s="16"/>
    </row>
    <row r="6" spans="1:13" s="13" customFormat="1" ht="30" customHeight="1">
      <c r="E6" s="14"/>
      <c r="K6" s="46"/>
    </row>
    <row r="7" spans="1:13" s="13" customFormat="1" ht="30" customHeight="1">
      <c r="E7" s="14"/>
      <c r="K7" s="46"/>
      <c r="L7" s="15" t="s">
        <v>5</v>
      </c>
      <c r="M7" s="15"/>
    </row>
    <row r="8" spans="1:13" s="13" customFormat="1" ht="30" customHeight="1">
      <c r="E8" s="14"/>
      <c r="K8" s="46"/>
      <c r="L8" s="16" t="s">
        <v>6</v>
      </c>
      <c r="M8" s="16"/>
    </row>
    <row r="9" spans="1:13" s="13" customFormat="1" ht="30" customHeight="1">
      <c r="E9" s="14"/>
      <c r="K9" s="46"/>
      <c r="L9" s="16" t="s">
        <v>7</v>
      </c>
      <c r="M9" s="16"/>
    </row>
    <row r="10" spans="1:13" s="13" customFormat="1" ht="30" customHeight="1">
      <c r="E10" s="14"/>
      <c r="K10" s="46"/>
      <c r="L10" s="16" t="s">
        <v>8</v>
      </c>
      <c r="M10" s="16"/>
    </row>
    <row r="11" spans="1:13" s="13" customFormat="1" ht="30" customHeight="1">
      <c r="E11" s="14"/>
      <c r="K11" s="46"/>
      <c r="L11" s="16" t="s">
        <v>9</v>
      </c>
      <c r="M11" s="16"/>
    </row>
    <row r="12" spans="1:13" s="13" customFormat="1" ht="30" customHeight="1">
      <c r="E12" s="14"/>
      <c r="K12" s="46"/>
      <c r="L12" s="46"/>
      <c r="M12" s="46"/>
    </row>
    <row r="13" spans="1:13" s="13" customFormat="1" ht="30" customHeight="1">
      <c r="E13" s="14"/>
      <c r="K13" s="48"/>
      <c r="L13" s="48"/>
    </row>
    <row r="14" spans="1:13" s="13" customFormat="1" ht="30" customHeight="1">
      <c r="B14" s="58" t="s">
        <v>10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 s="13" customFormat="1" ht="15" customHeight="1">
      <c r="B15" s="35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7"/>
    </row>
    <row r="16" spans="1:13" s="13" customFormat="1" ht="15" customHeight="1">
      <c r="B16" s="35" t="s">
        <v>11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7"/>
    </row>
    <row r="17" spans="2:13" s="13" customFormat="1" ht="15" customHeight="1">
      <c r="B17" s="35" t="s">
        <v>12</v>
      </c>
      <c r="M17" s="117"/>
    </row>
    <row r="18" spans="2:13" s="13" customFormat="1" ht="15" customHeight="1">
      <c r="B18" s="35" t="s">
        <v>13</v>
      </c>
      <c r="M18" s="117"/>
    </row>
    <row r="19" spans="2:13" s="13" customFormat="1" ht="15" customHeight="1">
      <c r="B19" s="35" t="s">
        <v>14</v>
      </c>
      <c r="M19" s="117"/>
    </row>
    <row r="20" spans="2:13" s="13" customFormat="1" ht="15" customHeight="1">
      <c r="B20" s="35"/>
      <c r="M20" s="117"/>
    </row>
    <row r="21" spans="2:13" s="13" customFormat="1" ht="15" customHeight="1">
      <c r="B21" s="104" t="s">
        <v>15</v>
      </c>
      <c r="M21" s="117"/>
    </row>
    <row r="22" spans="2:13" s="13" customFormat="1" ht="15" customHeight="1">
      <c r="B22" s="103" t="s">
        <v>16</v>
      </c>
      <c r="M22" s="117"/>
    </row>
    <row r="23" spans="2:13" s="13" customFormat="1" ht="15" customHeight="1">
      <c r="B23" s="103" t="s">
        <v>17</v>
      </c>
      <c r="M23" s="117"/>
    </row>
    <row r="24" spans="2:13" s="13" customFormat="1" ht="15" customHeight="1">
      <c r="B24" s="103" t="s">
        <v>18</v>
      </c>
      <c r="M24" s="117"/>
    </row>
    <row r="25" spans="2:13" s="13" customFormat="1" ht="15" customHeight="1">
      <c r="B25" s="103" t="s">
        <v>19</v>
      </c>
      <c r="M25" s="117"/>
    </row>
    <row r="26" spans="2:13" s="13" customFormat="1" ht="15" customHeight="1">
      <c r="B26" s="102"/>
      <c r="M26" s="117"/>
    </row>
    <row r="27" spans="2:13" s="13" customFormat="1" ht="15" customHeight="1">
      <c r="B27" s="102" t="s">
        <v>20</v>
      </c>
      <c r="M27" s="117"/>
    </row>
    <row r="28" spans="2:13" s="13" customFormat="1" ht="15" customHeight="1">
      <c r="B28" s="103" t="s">
        <v>21</v>
      </c>
      <c r="M28" s="117"/>
    </row>
    <row r="29" spans="2:13" s="13" customFormat="1" ht="15" customHeight="1">
      <c r="B29" s="103" t="s">
        <v>22</v>
      </c>
      <c r="M29" s="117"/>
    </row>
    <row r="30" spans="2:13" s="13" customFormat="1" ht="15" customHeight="1">
      <c r="B30" s="103" t="s">
        <v>23</v>
      </c>
      <c r="M30" s="117"/>
    </row>
    <row r="31" spans="2:13" s="13" customFormat="1" ht="15" customHeight="1">
      <c r="B31" s="103" t="s">
        <v>24</v>
      </c>
      <c r="M31" s="117"/>
    </row>
    <row r="32" spans="2:13">
      <c r="B32" s="118"/>
      <c r="M32" s="119"/>
    </row>
    <row r="33" spans="2:13" s="13" customFormat="1" ht="15" customHeight="1">
      <c r="B33" s="102" t="s">
        <v>25</v>
      </c>
      <c r="C33" s="116"/>
      <c r="D33" s="116"/>
      <c r="E33" s="116"/>
      <c r="F33" s="116"/>
      <c r="G33" s="116"/>
      <c r="H33" s="116"/>
      <c r="I33" s="116"/>
      <c r="J33" s="116"/>
      <c r="M33" s="117"/>
    </row>
    <row r="34" spans="2:13" s="13" customFormat="1" ht="15" customHeight="1">
      <c r="B34" s="105"/>
      <c r="C34" s="42"/>
      <c r="D34" s="42"/>
      <c r="E34" s="42"/>
      <c r="F34" s="42"/>
      <c r="G34" s="42"/>
      <c r="H34" s="42"/>
      <c r="I34" s="42"/>
      <c r="J34" s="42"/>
      <c r="K34" s="120"/>
      <c r="L34" s="120"/>
      <c r="M34" s="121"/>
    </row>
    <row r="35" spans="2:13" s="13" customFormat="1" ht="15" customHeight="1">
      <c r="B35" s="43"/>
      <c r="C35" s="43"/>
      <c r="D35" s="43"/>
      <c r="E35" s="43"/>
      <c r="F35" s="43"/>
      <c r="G35" s="43"/>
      <c r="H35" s="43"/>
      <c r="I35" s="43"/>
      <c r="J35" s="43"/>
    </row>
    <row r="36" spans="2:13" s="13" customFormat="1" ht="15" customHeight="1">
      <c r="B36" s="43"/>
      <c r="C36" s="43"/>
      <c r="D36" s="43"/>
      <c r="E36" s="43"/>
      <c r="F36" s="43"/>
      <c r="G36" s="90" t="s">
        <v>26</v>
      </c>
      <c r="H36" s="88"/>
      <c r="I36" s="88"/>
      <c r="J36" s="89"/>
    </row>
    <row r="37" spans="2:13" s="13" customFormat="1" ht="15.6" customHeight="1">
      <c r="F37" s="70"/>
      <c r="G37" s="62" t="s">
        <v>27</v>
      </c>
      <c r="H37" s="63" t="s">
        <v>28</v>
      </c>
      <c r="I37" s="41" t="s">
        <v>29</v>
      </c>
      <c r="J37" s="41" t="s">
        <v>30</v>
      </c>
    </row>
    <row r="38" spans="2:13" s="13" customFormat="1" ht="15.6" customHeight="1">
      <c r="F38" s="71"/>
      <c r="G38" s="82" t="s">
        <v>31</v>
      </c>
      <c r="H38" s="84" t="s">
        <v>32</v>
      </c>
      <c r="I38" s="100" t="s">
        <v>33</v>
      </c>
      <c r="J38" s="100" t="s">
        <v>33</v>
      </c>
    </row>
    <row r="39" spans="2:13" s="13" customFormat="1" ht="15.6" customHeight="1">
      <c r="F39" s="72"/>
      <c r="G39" s="83" t="s">
        <v>34</v>
      </c>
      <c r="H39" s="85" t="s">
        <v>35</v>
      </c>
      <c r="I39" s="101" t="s">
        <v>36</v>
      </c>
      <c r="J39" s="101" t="s">
        <v>36</v>
      </c>
    </row>
    <row r="40" spans="2:13" s="13" customFormat="1" ht="15.6" customHeight="1">
      <c r="F40" s="72"/>
      <c r="G40" s="83" t="s">
        <v>37</v>
      </c>
      <c r="H40" s="85" t="s">
        <v>38</v>
      </c>
      <c r="I40" s="101" t="s">
        <v>39</v>
      </c>
      <c r="J40" s="101" t="s">
        <v>40</v>
      </c>
    </row>
    <row r="41" spans="2:13" s="13" customFormat="1" ht="15.6" customHeight="1">
      <c r="F41" s="72"/>
      <c r="G41" s="83" t="s">
        <v>41</v>
      </c>
      <c r="H41" s="85" t="s">
        <v>42</v>
      </c>
      <c r="I41" s="101" t="s">
        <v>43</v>
      </c>
      <c r="J41" s="101" t="s">
        <v>44</v>
      </c>
    </row>
    <row r="42" spans="2:13" s="13" customFormat="1" ht="15.6" customHeight="1">
      <c r="F42" s="72"/>
      <c r="G42" s="83" t="s">
        <v>45</v>
      </c>
      <c r="H42" s="85" t="s">
        <v>46</v>
      </c>
      <c r="I42" s="101">
        <v>1001</v>
      </c>
      <c r="J42" s="101" t="s">
        <v>43</v>
      </c>
    </row>
    <row r="43" spans="2:13" s="13" customFormat="1" ht="15.6" customHeight="1">
      <c r="F43" s="72"/>
      <c r="G43" s="83" t="s">
        <v>47</v>
      </c>
      <c r="H43" s="85" t="s">
        <v>48</v>
      </c>
      <c r="I43" s="101" t="s">
        <v>40</v>
      </c>
      <c r="J43" s="101" t="s">
        <v>39</v>
      </c>
    </row>
    <row r="44" spans="2:13" s="13" customFormat="1" ht="15.6" customHeight="1">
      <c r="F44" s="72"/>
      <c r="G44" s="83" t="s">
        <v>49</v>
      </c>
      <c r="H44" s="85" t="s">
        <v>50</v>
      </c>
      <c r="I44" s="101" t="s">
        <v>51</v>
      </c>
      <c r="J44" s="101" t="s">
        <v>51</v>
      </c>
    </row>
    <row r="45" spans="2:13" s="13" customFormat="1" ht="15.6" customHeight="1">
      <c r="F45" s="72"/>
      <c r="G45" s="83" t="s">
        <v>52</v>
      </c>
      <c r="H45" s="85" t="s">
        <v>53</v>
      </c>
      <c r="I45" s="101" t="s">
        <v>51</v>
      </c>
      <c r="J45" s="101" t="s">
        <v>51</v>
      </c>
    </row>
    <row r="46" spans="2:13" s="13" customFormat="1" ht="15.6" customHeight="1">
      <c r="F46" s="72"/>
      <c r="G46" s="83" t="s">
        <v>54</v>
      </c>
      <c r="H46" s="85" t="s">
        <v>55</v>
      </c>
      <c r="I46" s="101" t="s">
        <v>56</v>
      </c>
      <c r="J46" s="101" t="s">
        <v>56</v>
      </c>
    </row>
    <row r="47" spans="2:13" s="13" customFormat="1" ht="15.6" customHeight="1">
      <c r="B47" s="65"/>
      <c r="C47" s="66"/>
      <c r="D47" s="67"/>
      <c r="E47" s="68"/>
      <c r="F47" s="66"/>
      <c r="G47" s="67"/>
      <c r="H47" s="69"/>
      <c r="I47" s="69"/>
      <c r="J47" s="43"/>
    </row>
    <row r="48" spans="2:13" s="13" customFormat="1" ht="30" customHeight="1">
      <c r="B48" s="59" t="s">
        <v>57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50" spans="2:14" s="5" customFormat="1" ht="15" customHeight="1">
      <c r="B50" s="33" t="s">
        <v>58</v>
      </c>
      <c r="C50" s="8"/>
      <c r="D50" s="8"/>
      <c r="E50" s="8"/>
      <c r="F50" s="8"/>
      <c r="G50" s="8"/>
    </row>
    <row r="51" spans="2:14" s="5" customFormat="1" ht="15" customHeight="1" thickBot="1">
      <c r="B51" s="8"/>
      <c r="C51" s="8"/>
      <c r="D51" s="8"/>
      <c r="E51" s="8"/>
      <c r="F51" s="8"/>
      <c r="G51" s="8"/>
    </row>
    <row r="52" spans="2:14" s="27" customFormat="1" ht="30" customHeight="1" thickBot="1">
      <c r="B52" s="17" t="s">
        <v>59</v>
      </c>
      <c r="C52" s="20" t="s">
        <v>60</v>
      </c>
      <c r="D52" s="17" t="s">
        <v>61</v>
      </c>
      <c r="E52" s="17" t="s">
        <v>62</v>
      </c>
      <c r="F52" s="26"/>
      <c r="G52" s="18" t="s">
        <v>63</v>
      </c>
      <c r="H52" s="18"/>
      <c r="I52" s="18"/>
      <c r="J52" s="18"/>
      <c r="K52" s="18"/>
      <c r="L52" s="18"/>
      <c r="M52" s="106"/>
    </row>
    <row r="53" spans="2:14" ht="33.75" customHeight="1">
      <c r="B53" s="2" t="s">
        <v>64</v>
      </c>
      <c r="C53" s="2" t="s">
        <v>56</v>
      </c>
      <c r="D53" s="10">
        <v>30</v>
      </c>
      <c r="E53" s="1"/>
      <c r="F53" s="24"/>
      <c r="G53" s="126" t="s">
        <v>65</v>
      </c>
      <c r="H53" s="127"/>
      <c r="I53" s="127"/>
      <c r="J53" s="127"/>
      <c r="K53" s="128"/>
      <c r="L53" s="128"/>
      <c r="M53" s="129"/>
      <c r="N53" s="122"/>
    </row>
    <row r="54" spans="2:14" ht="33.75" customHeight="1">
      <c r="B54" s="2" t="s">
        <v>66</v>
      </c>
      <c r="C54" s="2" t="s">
        <v>56</v>
      </c>
      <c r="D54" s="10">
        <v>40</v>
      </c>
      <c r="E54" s="1"/>
      <c r="F54" s="24"/>
      <c r="G54" s="64" t="s">
        <v>67</v>
      </c>
      <c r="H54" s="123"/>
      <c r="I54" s="123"/>
      <c r="J54" s="123"/>
      <c r="K54" s="124"/>
      <c r="L54" s="124"/>
      <c r="M54" s="125"/>
      <c r="N54" s="122"/>
    </row>
    <row r="55" spans="2:14" ht="33.75" customHeight="1">
      <c r="B55" s="2" t="s">
        <v>68</v>
      </c>
      <c r="C55" s="2">
        <v>5</v>
      </c>
      <c r="D55" s="10">
        <v>60</v>
      </c>
      <c r="E55" s="99"/>
      <c r="F55" s="24"/>
      <c r="G55" s="64" t="s">
        <v>69</v>
      </c>
      <c r="H55" s="123"/>
      <c r="I55" s="123"/>
      <c r="J55" s="123"/>
      <c r="K55" s="124"/>
      <c r="L55" s="124"/>
      <c r="M55" s="125"/>
      <c r="N55" s="122"/>
    </row>
    <row r="56" spans="2:14" ht="33.75" customHeight="1">
      <c r="B56" s="2" t="s">
        <v>70</v>
      </c>
      <c r="C56" s="2">
        <v>6</v>
      </c>
      <c r="D56" s="10">
        <v>50</v>
      </c>
      <c r="E56" s="1"/>
      <c r="F56" s="24"/>
      <c r="G56" s="64" t="s">
        <v>71</v>
      </c>
      <c r="H56" s="123"/>
      <c r="I56" s="123"/>
      <c r="J56" s="123"/>
      <c r="K56" s="124"/>
      <c r="L56" s="124"/>
      <c r="M56" s="125"/>
      <c r="N56" s="122"/>
    </row>
    <row r="57" spans="2:14" ht="33.75" customHeight="1">
      <c r="B57" s="2" t="s">
        <v>72</v>
      </c>
      <c r="C57" s="2">
        <v>7</v>
      </c>
      <c r="D57" s="10">
        <v>70</v>
      </c>
      <c r="E57" s="4"/>
      <c r="F57" s="24"/>
      <c r="G57" s="64" t="s">
        <v>73</v>
      </c>
      <c r="H57" s="123"/>
      <c r="I57" s="123"/>
      <c r="J57" s="123"/>
      <c r="K57" s="124"/>
      <c r="L57" s="124"/>
      <c r="M57" s="125"/>
      <c r="N57" s="122"/>
    </row>
    <row r="58" spans="2:14" s="5" customFormat="1" ht="15" customHeight="1"/>
    <row r="59" spans="2:14" s="13" customFormat="1" ht="30" customHeight="1">
      <c r="B59" s="59" t="s">
        <v>74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</row>
    <row r="60" spans="2:14" s="5" customFormat="1" ht="15" customHeight="1" thickBot="1"/>
    <row r="61" spans="2:14" s="5" customFormat="1" ht="22.5" customHeight="1" thickBot="1">
      <c r="B61" s="34" t="s">
        <v>75</v>
      </c>
      <c r="C61" s="21" t="s">
        <v>76</v>
      </c>
      <c r="D61" s="38" t="s">
        <v>77</v>
      </c>
    </row>
    <row r="62" spans="2:14" s="5" customFormat="1" ht="15" customHeight="1">
      <c r="B62" s="13"/>
      <c r="C62" s="13"/>
      <c r="D62" s="13"/>
      <c r="E62" s="13"/>
      <c r="F62" s="13"/>
      <c r="G62" s="13"/>
    </row>
    <row r="63" spans="2:14" s="5" customFormat="1" ht="15" customHeight="1">
      <c r="B63" s="13" t="s">
        <v>78</v>
      </c>
      <c r="C63" s="13"/>
      <c r="D63" s="13"/>
      <c r="E63" s="13"/>
      <c r="F63" s="13"/>
      <c r="G63" s="13"/>
    </row>
    <row r="64" spans="2:14" s="5" customFormat="1" ht="15" customHeight="1">
      <c r="B64" s="60" t="s">
        <v>79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spans="2:37" s="5" customFormat="1" ht="15" customHeight="1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spans="2:37" ht="15" customHeight="1">
      <c r="B66" s="60" t="s">
        <v>80</v>
      </c>
      <c r="C66" s="31"/>
      <c r="D66" s="27"/>
      <c r="E66" s="27"/>
      <c r="F66" s="27"/>
      <c r="G66" s="27"/>
      <c r="H66" s="27"/>
      <c r="I66" s="27"/>
      <c r="J66" s="27"/>
      <c r="K66" s="27"/>
      <c r="L66" s="27"/>
      <c r="M66" s="27"/>
    </row>
    <row r="67" spans="2:37" ht="15" customHeight="1">
      <c r="B67" s="30" t="s">
        <v>81</v>
      </c>
      <c r="C67" s="31"/>
      <c r="D67" s="27"/>
      <c r="E67" s="27"/>
      <c r="F67" s="27"/>
      <c r="G67" s="27"/>
      <c r="H67" s="27"/>
      <c r="I67" s="27"/>
      <c r="J67" s="27"/>
      <c r="K67" s="27"/>
      <c r="L67" s="27"/>
      <c r="M67" s="27"/>
    </row>
    <row r="68" spans="2:37" ht="15" customHeight="1">
      <c r="B68" s="31"/>
      <c r="C68" s="31"/>
      <c r="D68" s="27"/>
      <c r="E68" s="27"/>
      <c r="F68" s="27"/>
      <c r="G68" s="27"/>
      <c r="H68" s="27"/>
      <c r="I68" s="27"/>
      <c r="J68" s="27"/>
      <c r="K68" s="27"/>
      <c r="L68" s="27"/>
      <c r="M68" s="27"/>
    </row>
    <row r="69" spans="2:37" s="5" customFormat="1" ht="15" customHeight="1">
      <c r="B69" s="60" t="s">
        <v>82</v>
      </c>
      <c r="C69" s="31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spans="2:37" ht="15" customHeight="1">
      <c r="B70" s="31" t="s">
        <v>83</v>
      </c>
      <c r="C70" s="13"/>
      <c r="D70" s="27"/>
      <c r="E70" s="27"/>
      <c r="F70" s="27"/>
      <c r="G70" s="27"/>
      <c r="H70" s="27"/>
      <c r="I70" s="27"/>
      <c r="J70" s="27"/>
      <c r="K70" s="27"/>
      <c r="L70" s="27"/>
      <c r="M70" s="27"/>
    </row>
    <row r="71" spans="2:37" ht="15" customHeight="1">
      <c r="B71" s="31" t="s">
        <v>84</v>
      </c>
      <c r="C71" s="13"/>
      <c r="D71" s="27"/>
      <c r="E71" s="27"/>
      <c r="F71" s="27"/>
      <c r="G71" s="27"/>
      <c r="H71" s="27"/>
      <c r="I71" s="27"/>
      <c r="J71" s="27"/>
      <c r="K71" s="27"/>
      <c r="L71" s="27"/>
      <c r="M71" s="27"/>
    </row>
    <row r="72" spans="2:37" ht="15" customHeight="1">
      <c r="B72" s="31" t="s">
        <v>85</v>
      </c>
      <c r="C72" s="13"/>
      <c r="D72" s="27"/>
      <c r="E72" s="27"/>
      <c r="F72" s="27"/>
      <c r="G72" s="27"/>
      <c r="H72" s="27"/>
      <c r="I72" s="27"/>
      <c r="J72" s="27"/>
      <c r="K72" s="27"/>
      <c r="L72" s="27"/>
      <c r="M72" s="27"/>
    </row>
    <row r="73" spans="2:37" s="5" customFormat="1" ht="15" customHeight="1" thickBot="1">
      <c r="B73" s="30"/>
      <c r="C73" s="31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2:37" s="5" customFormat="1" ht="22.5" customHeight="1" thickBot="1">
      <c r="H74" s="18" t="s">
        <v>86</v>
      </c>
      <c r="I74" s="19"/>
      <c r="J74" s="80"/>
      <c r="K74" s="80"/>
      <c r="L74" s="81"/>
      <c r="M74" s="18"/>
      <c r="N74" s="19"/>
      <c r="O74" s="80"/>
      <c r="P74" s="80"/>
      <c r="Q74" s="81"/>
      <c r="R74" s="18"/>
      <c r="S74" s="19"/>
      <c r="T74" s="80"/>
      <c r="U74" s="80"/>
      <c r="V74" s="81"/>
      <c r="W74" s="18"/>
      <c r="X74" s="19"/>
      <c r="Y74" s="80"/>
      <c r="Z74" s="80"/>
      <c r="AA74" s="81"/>
      <c r="AB74" s="18"/>
      <c r="AC74" s="19"/>
      <c r="AD74" s="80"/>
      <c r="AE74" s="80"/>
      <c r="AF74" s="81"/>
      <c r="AG74" s="18"/>
      <c r="AH74" s="19"/>
      <c r="AI74" s="80"/>
      <c r="AJ74" s="80"/>
      <c r="AK74" s="81"/>
    </row>
    <row r="75" spans="2:37" s="27" customFormat="1" ht="22.5" customHeight="1" thickBot="1">
      <c r="B75" s="17" t="s">
        <v>59</v>
      </c>
      <c r="C75" s="20" t="s">
        <v>87</v>
      </c>
      <c r="D75" s="17" t="s">
        <v>61</v>
      </c>
      <c r="E75" s="25" t="s">
        <v>62</v>
      </c>
      <c r="F75" s="13"/>
      <c r="G75" s="25" t="s">
        <v>88</v>
      </c>
      <c r="H75" s="106">
        <v>1</v>
      </c>
      <c r="I75" s="106">
        <v>2</v>
      </c>
      <c r="J75" s="107">
        <v>3</v>
      </c>
      <c r="K75" s="107">
        <v>4</v>
      </c>
      <c r="L75" s="107">
        <v>5</v>
      </c>
      <c r="M75" s="106">
        <v>6</v>
      </c>
      <c r="N75" s="106">
        <v>7</v>
      </c>
      <c r="O75" s="107">
        <v>8</v>
      </c>
      <c r="P75" s="107">
        <v>9</v>
      </c>
      <c r="Q75" s="107">
        <v>10</v>
      </c>
      <c r="R75" s="106">
        <v>11</v>
      </c>
      <c r="S75" s="106">
        <v>12</v>
      </c>
      <c r="T75" s="107">
        <v>13</v>
      </c>
      <c r="U75" s="107">
        <v>14</v>
      </c>
      <c r="V75" s="107">
        <v>15</v>
      </c>
      <c r="W75" s="106">
        <v>16</v>
      </c>
      <c r="X75" s="106">
        <v>17</v>
      </c>
      <c r="Y75" s="107">
        <v>18</v>
      </c>
      <c r="Z75" s="107">
        <v>19</v>
      </c>
      <c r="AA75" s="107">
        <v>20</v>
      </c>
      <c r="AB75" s="106">
        <v>21</v>
      </c>
      <c r="AC75" s="106">
        <v>22</v>
      </c>
      <c r="AD75" s="107">
        <v>23</v>
      </c>
      <c r="AE75" s="107">
        <v>24</v>
      </c>
      <c r="AF75" s="107">
        <v>25</v>
      </c>
      <c r="AG75" s="106">
        <v>26</v>
      </c>
      <c r="AH75" s="106">
        <v>27</v>
      </c>
      <c r="AI75" s="107">
        <v>28</v>
      </c>
      <c r="AJ75" s="107">
        <v>29</v>
      </c>
      <c r="AK75" s="81">
        <v>30</v>
      </c>
    </row>
    <row r="76" spans="2:37" ht="15" customHeight="1">
      <c r="K76" s="5"/>
      <c r="L76" s="5"/>
      <c r="M76" s="5"/>
      <c r="N76" s="87"/>
      <c r="O76" s="87"/>
    </row>
    <row r="77" spans="2:37" ht="24.95" customHeight="1">
      <c r="B77" s="9" t="s">
        <v>89</v>
      </c>
      <c r="C77" s="2">
        <v>1</v>
      </c>
      <c r="D77" s="10">
        <v>0</v>
      </c>
      <c r="E77" s="1">
        <v>6</v>
      </c>
      <c r="F77" s="24"/>
      <c r="G77" s="40" t="s">
        <v>47</v>
      </c>
      <c r="H77" s="40" t="s">
        <v>37</v>
      </c>
      <c r="I77" s="40" t="s">
        <v>37</v>
      </c>
      <c r="J77" s="40" t="s">
        <v>47</v>
      </c>
      <c r="K77" s="40" t="s">
        <v>45</v>
      </c>
      <c r="L77" s="40" t="s">
        <v>34</v>
      </c>
      <c r="M77" s="40" t="s">
        <v>31</v>
      </c>
      <c r="N77" s="40" t="s">
        <v>37</v>
      </c>
      <c r="O77" s="40" t="s">
        <v>45</v>
      </c>
      <c r="P77" s="40" t="s">
        <v>41</v>
      </c>
      <c r="Q77" s="40" t="s">
        <v>41</v>
      </c>
      <c r="R77" s="40" t="s">
        <v>41</v>
      </c>
      <c r="S77" s="40" t="s">
        <v>45</v>
      </c>
      <c r="T77" s="40" t="s">
        <v>47</v>
      </c>
      <c r="U77" s="40" t="s">
        <v>34</v>
      </c>
      <c r="V77" s="40" t="s">
        <v>41</v>
      </c>
      <c r="W77" s="40" t="s">
        <v>41</v>
      </c>
      <c r="X77" s="40" t="s">
        <v>45</v>
      </c>
      <c r="Y77" s="40" t="s">
        <v>47</v>
      </c>
      <c r="Z77" s="40" t="s">
        <v>41</v>
      </c>
      <c r="AA77" s="40" t="s">
        <v>31</v>
      </c>
      <c r="AB77" s="40" t="s">
        <v>37</v>
      </c>
      <c r="AC77" s="40" t="s">
        <v>34</v>
      </c>
      <c r="AD77" s="40" t="s">
        <v>34</v>
      </c>
      <c r="AE77" s="40" t="s">
        <v>37</v>
      </c>
      <c r="AF77" s="40" t="s">
        <v>45</v>
      </c>
      <c r="AG77" s="40" t="s">
        <v>47</v>
      </c>
      <c r="AH77" s="40" t="s">
        <v>31</v>
      </c>
      <c r="AI77" s="40" t="s">
        <v>47</v>
      </c>
      <c r="AJ77" s="40" t="s">
        <v>31</v>
      </c>
      <c r="AK77" s="40" t="s">
        <v>47</v>
      </c>
    </row>
    <row r="78" spans="2:37" ht="15" customHeight="1"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2:37" ht="24.95" customHeight="1">
      <c r="B79" s="2">
        <v>1</v>
      </c>
      <c r="C79" s="2">
        <v>1</v>
      </c>
      <c r="D79" s="3">
        <v>5</v>
      </c>
      <c r="E79" s="1">
        <f>COUNTIF(H79:AK79,G79)</f>
        <v>10</v>
      </c>
      <c r="F79" s="24"/>
      <c r="G79" s="40" t="s">
        <v>34</v>
      </c>
      <c r="H79" s="40" t="s">
        <v>34</v>
      </c>
      <c r="I79" s="40" t="s">
        <v>37</v>
      </c>
      <c r="J79" s="40" t="s">
        <v>47</v>
      </c>
      <c r="K79" s="40" t="s">
        <v>41</v>
      </c>
      <c r="L79" s="40" t="s">
        <v>41</v>
      </c>
      <c r="M79" s="40" t="s">
        <v>45</v>
      </c>
      <c r="N79" s="40" t="s">
        <v>41</v>
      </c>
      <c r="O79" s="40" t="s">
        <v>37</v>
      </c>
      <c r="P79" s="40" t="s">
        <v>47</v>
      </c>
      <c r="Q79" s="40" t="s">
        <v>31</v>
      </c>
      <c r="R79" s="40" t="s">
        <v>34</v>
      </c>
      <c r="S79" s="40" t="s">
        <v>47</v>
      </c>
      <c r="T79" s="40" t="s">
        <v>34</v>
      </c>
      <c r="U79" s="40" t="s">
        <v>45</v>
      </c>
      <c r="V79" s="40" t="s">
        <v>34</v>
      </c>
      <c r="W79" s="40" t="s">
        <v>31</v>
      </c>
      <c r="X79" s="40" t="s">
        <v>47</v>
      </c>
      <c r="Y79" s="40" t="s">
        <v>34</v>
      </c>
      <c r="Z79" s="40" t="s">
        <v>34</v>
      </c>
      <c r="AA79" s="40" t="s">
        <v>34</v>
      </c>
      <c r="AB79" s="40" t="s">
        <v>37</v>
      </c>
      <c r="AC79" s="40" t="s">
        <v>37</v>
      </c>
      <c r="AD79" s="40" t="s">
        <v>47</v>
      </c>
      <c r="AE79" s="40" t="s">
        <v>31</v>
      </c>
      <c r="AF79" s="40" t="s">
        <v>34</v>
      </c>
      <c r="AG79" s="40" t="s">
        <v>47</v>
      </c>
      <c r="AH79" s="40" t="s">
        <v>31</v>
      </c>
      <c r="AI79" s="40" t="s">
        <v>34</v>
      </c>
      <c r="AJ79" s="40" t="s">
        <v>31</v>
      </c>
      <c r="AK79" s="40" t="s">
        <v>34</v>
      </c>
    </row>
    <row r="80" spans="2:37" ht="24.95" customHeight="1">
      <c r="B80" s="2">
        <v>2</v>
      </c>
      <c r="C80" s="2">
        <v>1</v>
      </c>
      <c r="D80" s="3">
        <v>5</v>
      </c>
      <c r="E80" s="1">
        <f t="shared" ref="E80:E98" si="0">COUNTIF(H80:AK80,G80)</f>
        <v>7</v>
      </c>
      <c r="F80" s="24"/>
      <c r="G80" s="40" t="s">
        <v>45</v>
      </c>
      <c r="H80" s="40" t="s">
        <v>47</v>
      </c>
      <c r="I80" s="40" t="s">
        <v>31</v>
      </c>
      <c r="J80" s="40" t="s">
        <v>31</v>
      </c>
      <c r="K80" s="40" t="s">
        <v>34</v>
      </c>
      <c r="L80" s="40" t="s">
        <v>45</v>
      </c>
      <c r="M80" s="40" t="s">
        <v>31</v>
      </c>
      <c r="N80" s="40" t="s">
        <v>47</v>
      </c>
      <c r="O80" s="40" t="s">
        <v>45</v>
      </c>
      <c r="P80" s="40" t="s">
        <v>41</v>
      </c>
      <c r="Q80" s="40" t="s">
        <v>41</v>
      </c>
      <c r="R80" s="40" t="s">
        <v>45</v>
      </c>
      <c r="S80" s="40" t="s">
        <v>41</v>
      </c>
      <c r="T80" s="40" t="s">
        <v>41</v>
      </c>
      <c r="U80" s="40" t="s">
        <v>34</v>
      </c>
      <c r="V80" s="40" t="s">
        <v>37</v>
      </c>
      <c r="W80" s="40" t="s">
        <v>41</v>
      </c>
      <c r="X80" s="40" t="s">
        <v>37</v>
      </c>
      <c r="Y80" s="40" t="s">
        <v>45</v>
      </c>
      <c r="Z80" s="40" t="s">
        <v>31</v>
      </c>
      <c r="AA80" s="40" t="s">
        <v>45</v>
      </c>
      <c r="AB80" s="40" t="s">
        <v>45</v>
      </c>
      <c r="AC80" s="40" t="s">
        <v>34</v>
      </c>
      <c r="AD80" s="40" t="s">
        <v>41</v>
      </c>
      <c r="AE80" s="40" t="s">
        <v>41</v>
      </c>
      <c r="AF80" s="40" t="s">
        <v>45</v>
      </c>
      <c r="AG80" s="40" t="s">
        <v>31</v>
      </c>
      <c r="AH80" s="40" t="s">
        <v>34</v>
      </c>
      <c r="AI80" s="40" t="s">
        <v>37</v>
      </c>
      <c r="AJ80" s="40" t="s">
        <v>37</v>
      </c>
      <c r="AK80" s="40" t="s">
        <v>37</v>
      </c>
    </row>
    <row r="81" spans="2:37" ht="24.95" customHeight="1">
      <c r="B81" s="2">
        <v>3</v>
      </c>
      <c r="C81" s="2">
        <v>1</v>
      </c>
      <c r="D81" s="3">
        <v>5</v>
      </c>
      <c r="E81" s="1">
        <f t="shared" si="0"/>
        <v>16</v>
      </c>
      <c r="F81" s="24"/>
      <c r="G81" s="40" t="s">
        <v>45</v>
      </c>
      <c r="H81" s="40" t="s">
        <v>45</v>
      </c>
      <c r="I81" s="40" t="s">
        <v>45</v>
      </c>
      <c r="J81" s="40" t="s">
        <v>41</v>
      </c>
      <c r="K81" s="40" t="s">
        <v>45</v>
      </c>
      <c r="L81" s="40" t="s">
        <v>45</v>
      </c>
      <c r="M81" s="40" t="s">
        <v>47</v>
      </c>
      <c r="N81" s="40" t="s">
        <v>41</v>
      </c>
      <c r="O81" s="40" t="s">
        <v>45</v>
      </c>
      <c r="P81" s="40" t="s">
        <v>45</v>
      </c>
      <c r="Q81" s="40" t="s">
        <v>41</v>
      </c>
      <c r="R81" s="40" t="s">
        <v>47</v>
      </c>
      <c r="S81" s="40" t="s">
        <v>47</v>
      </c>
      <c r="T81" s="40" t="s">
        <v>41</v>
      </c>
      <c r="U81" s="40" t="s">
        <v>37</v>
      </c>
      <c r="V81" s="40" t="s">
        <v>47</v>
      </c>
      <c r="W81" s="40" t="s">
        <v>41</v>
      </c>
      <c r="X81" s="40" t="s">
        <v>45</v>
      </c>
      <c r="Y81" s="40" t="s">
        <v>45</v>
      </c>
      <c r="Z81" s="40" t="s">
        <v>47</v>
      </c>
      <c r="AA81" s="40" t="s">
        <v>45</v>
      </c>
      <c r="AB81" s="40" t="s">
        <v>45</v>
      </c>
      <c r="AC81" s="40" t="s">
        <v>41</v>
      </c>
      <c r="AD81" s="40" t="s">
        <v>47</v>
      </c>
      <c r="AE81" s="40" t="s">
        <v>45</v>
      </c>
      <c r="AF81" s="40" t="s">
        <v>45</v>
      </c>
      <c r="AG81" s="40" t="s">
        <v>47</v>
      </c>
      <c r="AH81" s="40" t="s">
        <v>45</v>
      </c>
      <c r="AI81" s="40" t="s">
        <v>45</v>
      </c>
      <c r="AJ81" s="40" t="s">
        <v>45</v>
      </c>
      <c r="AK81" s="40" t="s">
        <v>45</v>
      </c>
    </row>
    <row r="82" spans="2:37" ht="24.95" customHeight="1">
      <c r="B82" s="2">
        <v>4</v>
      </c>
      <c r="C82" s="2">
        <v>1</v>
      </c>
      <c r="D82" s="3">
        <v>5</v>
      </c>
      <c r="E82" s="1">
        <f t="shared" si="0"/>
        <v>11</v>
      </c>
      <c r="F82" s="24"/>
      <c r="G82" s="40" t="s">
        <v>47</v>
      </c>
      <c r="H82" s="40" t="s">
        <v>47</v>
      </c>
      <c r="I82" s="40" t="s">
        <v>47</v>
      </c>
      <c r="J82" s="40" t="s">
        <v>31</v>
      </c>
      <c r="K82" s="40" t="s">
        <v>31</v>
      </c>
      <c r="L82" s="40" t="s">
        <v>47</v>
      </c>
      <c r="M82" s="40" t="s">
        <v>37</v>
      </c>
      <c r="N82" s="40" t="s">
        <v>34</v>
      </c>
      <c r="O82" s="40" t="s">
        <v>37</v>
      </c>
      <c r="P82" s="40" t="s">
        <v>37</v>
      </c>
      <c r="Q82" s="40" t="s">
        <v>37</v>
      </c>
      <c r="R82" s="40" t="s">
        <v>31</v>
      </c>
      <c r="S82" s="40" t="s">
        <v>31</v>
      </c>
      <c r="T82" s="40" t="s">
        <v>31</v>
      </c>
      <c r="U82" s="40" t="s">
        <v>41</v>
      </c>
      <c r="V82" s="40" t="s">
        <v>31</v>
      </c>
      <c r="W82" s="40" t="s">
        <v>47</v>
      </c>
      <c r="X82" s="40" t="s">
        <v>31</v>
      </c>
      <c r="Y82" s="40" t="s">
        <v>47</v>
      </c>
      <c r="Z82" s="40" t="s">
        <v>31</v>
      </c>
      <c r="AA82" s="40" t="s">
        <v>47</v>
      </c>
      <c r="AB82" s="40" t="s">
        <v>45</v>
      </c>
      <c r="AC82" s="40" t="s">
        <v>47</v>
      </c>
      <c r="AD82" s="40" t="s">
        <v>47</v>
      </c>
      <c r="AE82" s="40" t="s">
        <v>41</v>
      </c>
      <c r="AF82" s="40" t="s">
        <v>47</v>
      </c>
      <c r="AG82" s="40" t="s">
        <v>37</v>
      </c>
      <c r="AH82" s="40" t="s">
        <v>47</v>
      </c>
      <c r="AI82" s="40" t="s">
        <v>45</v>
      </c>
      <c r="AJ82" s="40" t="s">
        <v>45</v>
      </c>
      <c r="AK82" s="40" t="s">
        <v>47</v>
      </c>
    </row>
    <row r="83" spans="2:37" ht="24.95" customHeight="1">
      <c r="B83" s="2">
        <v>5</v>
      </c>
      <c r="C83" s="2">
        <v>1</v>
      </c>
      <c r="D83" s="3">
        <v>5</v>
      </c>
      <c r="E83" s="1">
        <f t="shared" si="0"/>
        <v>6</v>
      </c>
      <c r="F83" s="24"/>
      <c r="G83" s="40" t="s">
        <v>41</v>
      </c>
      <c r="H83" s="40" t="s">
        <v>41</v>
      </c>
      <c r="I83" s="40" t="s">
        <v>47</v>
      </c>
      <c r="J83" s="40" t="s">
        <v>34</v>
      </c>
      <c r="K83" s="40" t="s">
        <v>31</v>
      </c>
      <c r="L83" s="40" t="s">
        <v>47</v>
      </c>
      <c r="M83" s="40" t="s">
        <v>41</v>
      </c>
      <c r="N83" s="40" t="s">
        <v>47</v>
      </c>
      <c r="O83" s="40" t="s">
        <v>41</v>
      </c>
      <c r="P83" s="40" t="s">
        <v>37</v>
      </c>
      <c r="Q83" s="40" t="s">
        <v>34</v>
      </c>
      <c r="R83" s="40" t="s">
        <v>45</v>
      </c>
      <c r="S83" s="40" t="s">
        <v>41</v>
      </c>
      <c r="T83" s="40" t="s">
        <v>31</v>
      </c>
      <c r="U83" s="40" t="s">
        <v>34</v>
      </c>
      <c r="V83" s="40" t="s">
        <v>31</v>
      </c>
      <c r="W83" s="40" t="s">
        <v>37</v>
      </c>
      <c r="X83" s="40" t="s">
        <v>37</v>
      </c>
      <c r="Y83" s="40" t="s">
        <v>31</v>
      </c>
      <c r="Z83" s="40" t="s">
        <v>34</v>
      </c>
      <c r="AA83" s="40" t="s">
        <v>47</v>
      </c>
      <c r="AB83" s="40" t="s">
        <v>37</v>
      </c>
      <c r="AC83" s="40" t="s">
        <v>45</v>
      </c>
      <c r="AD83" s="40" t="s">
        <v>31</v>
      </c>
      <c r="AE83" s="40" t="s">
        <v>41</v>
      </c>
      <c r="AF83" s="40" t="s">
        <v>45</v>
      </c>
      <c r="AG83" s="40" t="s">
        <v>47</v>
      </c>
      <c r="AH83" s="40" t="s">
        <v>47</v>
      </c>
      <c r="AI83" s="40" t="s">
        <v>41</v>
      </c>
      <c r="AJ83" s="40" t="s">
        <v>37</v>
      </c>
      <c r="AK83" s="40" t="s">
        <v>45</v>
      </c>
    </row>
    <row r="84" spans="2:37" ht="24.95" customHeight="1">
      <c r="B84" s="2">
        <v>6</v>
      </c>
      <c r="C84" s="2">
        <v>1</v>
      </c>
      <c r="D84" s="3">
        <v>5</v>
      </c>
      <c r="E84" s="1">
        <f t="shared" si="0"/>
        <v>10</v>
      </c>
      <c r="F84" s="24"/>
      <c r="G84" s="40" t="s">
        <v>45</v>
      </c>
      <c r="H84" s="40" t="s">
        <v>45</v>
      </c>
      <c r="I84" s="40" t="s">
        <v>31</v>
      </c>
      <c r="J84" s="40" t="s">
        <v>31</v>
      </c>
      <c r="K84" s="40" t="s">
        <v>45</v>
      </c>
      <c r="L84" s="40" t="s">
        <v>45</v>
      </c>
      <c r="M84" s="40" t="s">
        <v>37</v>
      </c>
      <c r="N84" s="40" t="s">
        <v>45</v>
      </c>
      <c r="O84" s="40" t="s">
        <v>31</v>
      </c>
      <c r="P84" s="40" t="s">
        <v>45</v>
      </c>
      <c r="Q84" s="40" t="s">
        <v>45</v>
      </c>
      <c r="R84" s="40" t="s">
        <v>37</v>
      </c>
      <c r="S84" s="40" t="s">
        <v>45</v>
      </c>
      <c r="T84" s="40" t="s">
        <v>41</v>
      </c>
      <c r="U84" s="40" t="s">
        <v>41</v>
      </c>
      <c r="V84" s="40" t="s">
        <v>45</v>
      </c>
      <c r="W84" s="40" t="s">
        <v>37</v>
      </c>
      <c r="X84" s="40" t="s">
        <v>47</v>
      </c>
      <c r="Y84" s="40" t="s">
        <v>37</v>
      </c>
      <c r="Z84" s="40" t="s">
        <v>31</v>
      </c>
      <c r="AA84" s="40" t="s">
        <v>45</v>
      </c>
      <c r="AB84" s="40" t="s">
        <v>37</v>
      </c>
      <c r="AC84" s="40" t="s">
        <v>41</v>
      </c>
      <c r="AD84" s="40" t="s">
        <v>47</v>
      </c>
      <c r="AE84" s="40" t="s">
        <v>41</v>
      </c>
      <c r="AF84" s="40" t="s">
        <v>37</v>
      </c>
      <c r="AG84" s="40" t="s">
        <v>41</v>
      </c>
      <c r="AH84" s="40" t="s">
        <v>45</v>
      </c>
      <c r="AI84" s="40" t="s">
        <v>41</v>
      </c>
      <c r="AJ84" s="40" t="s">
        <v>34</v>
      </c>
      <c r="AK84" s="40" t="s">
        <v>47</v>
      </c>
    </row>
    <row r="85" spans="2:37" ht="24.95" customHeight="1">
      <c r="B85" s="2">
        <v>7</v>
      </c>
      <c r="C85" s="2">
        <v>1</v>
      </c>
      <c r="D85" s="3">
        <v>5</v>
      </c>
      <c r="E85" s="1">
        <f t="shared" si="0"/>
        <v>9</v>
      </c>
      <c r="F85" s="24"/>
      <c r="G85" s="40" t="s">
        <v>47</v>
      </c>
      <c r="H85" s="40" t="s">
        <v>47</v>
      </c>
      <c r="I85" s="40" t="s">
        <v>37</v>
      </c>
      <c r="J85" s="40" t="s">
        <v>45</v>
      </c>
      <c r="K85" s="40" t="s">
        <v>47</v>
      </c>
      <c r="L85" s="40" t="s">
        <v>41</v>
      </c>
      <c r="M85" s="40" t="s">
        <v>41</v>
      </c>
      <c r="N85" s="40" t="s">
        <v>37</v>
      </c>
      <c r="O85" s="40" t="s">
        <v>45</v>
      </c>
      <c r="P85" s="40" t="s">
        <v>45</v>
      </c>
      <c r="Q85" s="40" t="s">
        <v>37</v>
      </c>
      <c r="R85" s="40" t="s">
        <v>45</v>
      </c>
      <c r="S85" s="40" t="s">
        <v>47</v>
      </c>
      <c r="T85" s="40" t="s">
        <v>45</v>
      </c>
      <c r="U85" s="40" t="s">
        <v>47</v>
      </c>
      <c r="V85" s="40" t="s">
        <v>45</v>
      </c>
      <c r="W85" s="40" t="s">
        <v>41</v>
      </c>
      <c r="X85" s="40" t="s">
        <v>41</v>
      </c>
      <c r="Y85" s="40" t="s">
        <v>41</v>
      </c>
      <c r="Z85" s="40" t="s">
        <v>37</v>
      </c>
      <c r="AA85" s="40" t="s">
        <v>47</v>
      </c>
      <c r="AB85" s="40" t="s">
        <v>37</v>
      </c>
      <c r="AC85" s="40" t="s">
        <v>41</v>
      </c>
      <c r="AD85" s="40" t="s">
        <v>37</v>
      </c>
      <c r="AE85" s="40" t="s">
        <v>47</v>
      </c>
      <c r="AF85" s="40" t="s">
        <v>41</v>
      </c>
      <c r="AG85" s="40" t="s">
        <v>41</v>
      </c>
      <c r="AH85" s="40" t="s">
        <v>31</v>
      </c>
      <c r="AI85" s="40" t="s">
        <v>47</v>
      </c>
      <c r="AJ85" s="40" t="s">
        <v>47</v>
      </c>
      <c r="AK85" s="40" t="s">
        <v>47</v>
      </c>
    </row>
    <row r="86" spans="2:37" ht="24.95" customHeight="1">
      <c r="B86" s="2">
        <v>8</v>
      </c>
      <c r="C86" s="2">
        <v>1</v>
      </c>
      <c r="D86" s="3">
        <v>5</v>
      </c>
      <c r="E86" s="1">
        <f t="shared" si="0"/>
        <v>26</v>
      </c>
      <c r="F86" s="24"/>
      <c r="G86" s="40" t="s">
        <v>37</v>
      </c>
      <c r="H86" s="40" t="s">
        <v>37</v>
      </c>
      <c r="I86" s="40" t="s">
        <v>47</v>
      </c>
      <c r="J86" s="40" t="s">
        <v>41</v>
      </c>
      <c r="K86" s="40" t="s">
        <v>37</v>
      </c>
      <c r="L86" s="40" t="s">
        <v>37</v>
      </c>
      <c r="M86" s="40" t="s">
        <v>37</v>
      </c>
      <c r="N86" s="40" t="s">
        <v>37</v>
      </c>
      <c r="O86" s="40" t="s">
        <v>37</v>
      </c>
      <c r="P86" s="40" t="s">
        <v>37</v>
      </c>
      <c r="Q86" s="40" t="s">
        <v>37</v>
      </c>
      <c r="R86" s="40" t="s">
        <v>37</v>
      </c>
      <c r="S86" s="40" t="s">
        <v>41</v>
      </c>
      <c r="T86" s="40" t="s">
        <v>47</v>
      </c>
      <c r="U86" s="40" t="s">
        <v>37</v>
      </c>
      <c r="V86" s="40" t="s">
        <v>37</v>
      </c>
      <c r="W86" s="40" t="s">
        <v>37</v>
      </c>
      <c r="X86" s="40" t="s">
        <v>37</v>
      </c>
      <c r="Y86" s="40" t="s">
        <v>37</v>
      </c>
      <c r="Z86" s="40" t="s">
        <v>37</v>
      </c>
      <c r="AA86" s="40" t="s">
        <v>37</v>
      </c>
      <c r="AB86" s="40" t="s">
        <v>37</v>
      </c>
      <c r="AC86" s="40" t="s">
        <v>37</v>
      </c>
      <c r="AD86" s="40" t="s">
        <v>37</v>
      </c>
      <c r="AE86" s="40" t="s">
        <v>37</v>
      </c>
      <c r="AF86" s="40" t="s">
        <v>37</v>
      </c>
      <c r="AG86" s="40" t="s">
        <v>37</v>
      </c>
      <c r="AH86" s="40" t="s">
        <v>37</v>
      </c>
      <c r="AI86" s="40" t="s">
        <v>37</v>
      </c>
      <c r="AJ86" s="40" t="s">
        <v>37</v>
      </c>
      <c r="AK86" s="40" t="s">
        <v>37</v>
      </c>
    </row>
    <row r="87" spans="2:37" ht="24.95" customHeight="1">
      <c r="B87" s="2">
        <v>9</v>
      </c>
      <c r="C87" s="2">
        <v>1</v>
      </c>
      <c r="D87" s="3">
        <v>5</v>
      </c>
      <c r="E87" s="1">
        <f t="shared" si="0"/>
        <v>5</v>
      </c>
      <c r="F87" s="24"/>
      <c r="G87" s="40" t="s">
        <v>47</v>
      </c>
      <c r="H87" s="40" t="s">
        <v>45</v>
      </c>
      <c r="I87" s="40" t="s">
        <v>37</v>
      </c>
      <c r="J87" s="40" t="s">
        <v>41</v>
      </c>
      <c r="K87" s="40" t="s">
        <v>41</v>
      </c>
      <c r="L87" s="40" t="s">
        <v>45</v>
      </c>
      <c r="M87" s="40" t="s">
        <v>45</v>
      </c>
      <c r="N87" s="40" t="s">
        <v>45</v>
      </c>
      <c r="O87" s="40" t="s">
        <v>41</v>
      </c>
      <c r="P87" s="40" t="s">
        <v>47</v>
      </c>
      <c r="Q87" s="40" t="s">
        <v>41</v>
      </c>
      <c r="R87" s="40" t="s">
        <v>37</v>
      </c>
      <c r="S87" s="40" t="s">
        <v>47</v>
      </c>
      <c r="T87" s="40" t="s">
        <v>37</v>
      </c>
      <c r="U87" s="40" t="s">
        <v>31</v>
      </c>
      <c r="V87" s="40" t="s">
        <v>37</v>
      </c>
      <c r="W87" s="40" t="s">
        <v>45</v>
      </c>
      <c r="X87" s="40" t="s">
        <v>31</v>
      </c>
      <c r="Y87" s="40" t="s">
        <v>41</v>
      </c>
      <c r="Z87" s="40" t="s">
        <v>37</v>
      </c>
      <c r="AA87" s="40" t="s">
        <v>47</v>
      </c>
      <c r="AB87" s="40" t="s">
        <v>31</v>
      </c>
      <c r="AC87" s="40" t="s">
        <v>45</v>
      </c>
      <c r="AD87" s="40" t="s">
        <v>31</v>
      </c>
      <c r="AE87" s="40" t="s">
        <v>47</v>
      </c>
      <c r="AF87" s="40" t="s">
        <v>47</v>
      </c>
      <c r="AG87" s="40" t="s">
        <v>34</v>
      </c>
      <c r="AH87" s="40" t="s">
        <v>34</v>
      </c>
      <c r="AI87" s="40" t="s">
        <v>31</v>
      </c>
      <c r="AJ87" s="40" t="s">
        <v>41</v>
      </c>
      <c r="AK87" s="40" t="s">
        <v>37</v>
      </c>
    </row>
    <row r="88" spans="2:37" ht="24.95" customHeight="1">
      <c r="B88" s="2">
        <v>10</v>
      </c>
      <c r="C88" s="2">
        <v>1</v>
      </c>
      <c r="D88" s="3">
        <v>5</v>
      </c>
      <c r="E88" s="1">
        <f t="shared" si="0"/>
        <v>7</v>
      </c>
      <c r="F88" s="24"/>
      <c r="G88" s="40" t="s">
        <v>34</v>
      </c>
      <c r="H88" s="40" t="s">
        <v>37</v>
      </c>
      <c r="I88" s="40" t="s">
        <v>37</v>
      </c>
      <c r="J88" s="40" t="s">
        <v>34</v>
      </c>
      <c r="K88" s="40" t="s">
        <v>41</v>
      </c>
      <c r="L88" s="40" t="s">
        <v>34</v>
      </c>
      <c r="M88" s="40" t="s">
        <v>37</v>
      </c>
      <c r="N88" s="40" t="s">
        <v>34</v>
      </c>
      <c r="O88" s="40" t="s">
        <v>37</v>
      </c>
      <c r="P88" s="40" t="s">
        <v>47</v>
      </c>
      <c r="Q88" s="40" t="s">
        <v>45</v>
      </c>
      <c r="R88" s="40" t="s">
        <v>34</v>
      </c>
      <c r="S88" s="40" t="s">
        <v>47</v>
      </c>
      <c r="T88" s="40" t="s">
        <v>47</v>
      </c>
      <c r="U88" s="40" t="s">
        <v>47</v>
      </c>
      <c r="V88" s="40" t="s">
        <v>41</v>
      </c>
      <c r="W88" s="40" t="s">
        <v>37</v>
      </c>
      <c r="X88" s="40" t="s">
        <v>47</v>
      </c>
      <c r="Y88" s="40" t="s">
        <v>31</v>
      </c>
      <c r="Z88" s="40" t="s">
        <v>45</v>
      </c>
      <c r="AA88" s="40" t="s">
        <v>34</v>
      </c>
      <c r="AB88" s="40" t="s">
        <v>31</v>
      </c>
      <c r="AC88" s="40" t="s">
        <v>31</v>
      </c>
      <c r="AD88" s="40" t="s">
        <v>37</v>
      </c>
      <c r="AE88" s="40" t="s">
        <v>34</v>
      </c>
      <c r="AF88" s="40" t="s">
        <v>34</v>
      </c>
      <c r="AG88" s="40" t="s">
        <v>47</v>
      </c>
      <c r="AH88" s="40" t="s">
        <v>41</v>
      </c>
      <c r="AI88" s="40" t="s">
        <v>45</v>
      </c>
      <c r="AJ88" s="40" t="s">
        <v>41</v>
      </c>
      <c r="AK88" s="40" t="s">
        <v>31</v>
      </c>
    </row>
    <row r="89" spans="2:37" ht="24.95" customHeight="1">
      <c r="B89" s="2">
        <v>11</v>
      </c>
      <c r="C89" s="2">
        <v>1</v>
      </c>
      <c r="D89" s="3">
        <v>5</v>
      </c>
      <c r="E89" s="1">
        <f t="shared" si="0"/>
        <v>14</v>
      </c>
      <c r="F89" s="24"/>
      <c r="G89" s="40" t="s">
        <v>47</v>
      </c>
      <c r="H89" s="40" t="s">
        <v>47</v>
      </c>
      <c r="I89" s="40" t="s">
        <v>47</v>
      </c>
      <c r="J89" s="40" t="s">
        <v>41</v>
      </c>
      <c r="K89" s="40" t="s">
        <v>45</v>
      </c>
      <c r="L89" s="40" t="s">
        <v>41</v>
      </c>
      <c r="M89" s="40" t="s">
        <v>37</v>
      </c>
      <c r="N89" s="40" t="s">
        <v>47</v>
      </c>
      <c r="O89" s="40" t="s">
        <v>31</v>
      </c>
      <c r="P89" s="40" t="s">
        <v>41</v>
      </c>
      <c r="Q89" s="40" t="s">
        <v>47</v>
      </c>
      <c r="R89" s="40" t="s">
        <v>45</v>
      </c>
      <c r="S89" s="40" t="s">
        <v>47</v>
      </c>
      <c r="T89" s="40" t="s">
        <v>31</v>
      </c>
      <c r="U89" s="40" t="s">
        <v>47</v>
      </c>
      <c r="V89" s="40" t="s">
        <v>47</v>
      </c>
      <c r="W89" s="40" t="s">
        <v>41</v>
      </c>
      <c r="X89" s="40" t="s">
        <v>37</v>
      </c>
      <c r="Y89" s="40" t="s">
        <v>34</v>
      </c>
      <c r="Z89" s="40" t="s">
        <v>47</v>
      </c>
      <c r="AA89" s="40" t="s">
        <v>37</v>
      </c>
      <c r="AB89" s="40" t="s">
        <v>31</v>
      </c>
      <c r="AC89" s="40" t="s">
        <v>37</v>
      </c>
      <c r="AD89" s="40" t="s">
        <v>47</v>
      </c>
      <c r="AE89" s="40" t="s">
        <v>45</v>
      </c>
      <c r="AF89" s="40" t="s">
        <v>47</v>
      </c>
      <c r="AG89" s="40" t="s">
        <v>47</v>
      </c>
      <c r="AH89" s="40" t="s">
        <v>37</v>
      </c>
      <c r="AI89" s="40" t="s">
        <v>47</v>
      </c>
      <c r="AJ89" s="40" t="s">
        <v>47</v>
      </c>
      <c r="AK89" s="40" t="s">
        <v>47</v>
      </c>
    </row>
    <row r="90" spans="2:37" ht="24.95" customHeight="1">
      <c r="B90" s="2">
        <v>12</v>
      </c>
      <c r="C90" s="2">
        <v>1</v>
      </c>
      <c r="D90" s="3">
        <v>5</v>
      </c>
      <c r="E90" s="1">
        <f t="shared" si="0"/>
        <v>3</v>
      </c>
      <c r="F90" s="24"/>
      <c r="G90" s="40" t="s">
        <v>37</v>
      </c>
      <c r="H90" s="40" t="s">
        <v>34</v>
      </c>
      <c r="I90" s="40" t="s">
        <v>34</v>
      </c>
      <c r="J90" s="40" t="s">
        <v>41</v>
      </c>
      <c r="K90" s="40" t="s">
        <v>31</v>
      </c>
      <c r="L90" s="40" t="s">
        <v>37</v>
      </c>
      <c r="M90" s="40" t="s">
        <v>41</v>
      </c>
      <c r="N90" s="40" t="s">
        <v>34</v>
      </c>
      <c r="O90" s="40" t="s">
        <v>34</v>
      </c>
      <c r="P90" s="40" t="s">
        <v>31</v>
      </c>
      <c r="Q90" s="40" t="s">
        <v>45</v>
      </c>
      <c r="R90" s="40" t="s">
        <v>31</v>
      </c>
      <c r="S90" s="40" t="s">
        <v>47</v>
      </c>
      <c r="T90" s="40" t="s">
        <v>31</v>
      </c>
      <c r="U90" s="40" t="s">
        <v>47</v>
      </c>
      <c r="V90" s="40" t="s">
        <v>31</v>
      </c>
      <c r="W90" s="40" t="s">
        <v>45</v>
      </c>
      <c r="X90" s="40" t="s">
        <v>45</v>
      </c>
      <c r="Y90" s="40" t="s">
        <v>41</v>
      </c>
      <c r="Z90" s="40" t="s">
        <v>37</v>
      </c>
      <c r="AA90" s="40" t="s">
        <v>37</v>
      </c>
      <c r="AB90" s="40" t="s">
        <v>31</v>
      </c>
      <c r="AC90" s="40" t="s">
        <v>34</v>
      </c>
      <c r="AD90" s="40" t="s">
        <v>34</v>
      </c>
      <c r="AE90" s="40" t="s">
        <v>47</v>
      </c>
      <c r="AF90" s="40" t="s">
        <v>47</v>
      </c>
      <c r="AG90" s="40" t="s">
        <v>34</v>
      </c>
      <c r="AH90" s="40" t="s">
        <v>34</v>
      </c>
      <c r="AI90" s="40" t="s">
        <v>41</v>
      </c>
      <c r="AJ90" s="40" t="s">
        <v>41</v>
      </c>
      <c r="AK90" s="40" t="s">
        <v>34</v>
      </c>
    </row>
    <row r="91" spans="2:37" ht="24.95" customHeight="1">
      <c r="B91" s="2">
        <v>13</v>
      </c>
      <c r="C91" s="2">
        <v>1</v>
      </c>
      <c r="D91" s="3">
        <v>5</v>
      </c>
      <c r="E91" s="1">
        <f t="shared" si="0"/>
        <v>8</v>
      </c>
      <c r="F91" s="24"/>
      <c r="G91" s="40" t="s">
        <v>41</v>
      </c>
      <c r="H91" s="40" t="s">
        <v>41</v>
      </c>
      <c r="I91" s="40" t="s">
        <v>41</v>
      </c>
      <c r="J91" s="40" t="s">
        <v>47</v>
      </c>
      <c r="K91" s="40" t="s">
        <v>45</v>
      </c>
      <c r="L91" s="40" t="s">
        <v>34</v>
      </c>
      <c r="M91" s="40" t="s">
        <v>41</v>
      </c>
      <c r="N91" s="40" t="s">
        <v>34</v>
      </c>
      <c r="O91" s="40" t="s">
        <v>41</v>
      </c>
      <c r="P91" s="40" t="s">
        <v>45</v>
      </c>
      <c r="Q91" s="40" t="s">
        <v>47</v>
      </c>
      <c r="R91" s="40" t="s">
        <v>45</v>
      </c>
      <c r="S91" s="40" t="s">
        <v>31</v>
      </c>
      <c r="T91" s="40" t="s">
        <v>37</v>
      </c>
      <c r="U91" s="40" t="s">
        <v>41</v>
      </c>
      <c r="V91" s="40" t="s">
        <v>47</v>
      </c>
      <c r="W91" s="40" t="s">
        <v>34</v>
      </c>
      <c r="X91" s="40" t="s">
        <v>34</v>
      </c>
      <c r="Y91" s="40" t="s">
        <v>45</v>
      </c>
      <c r="Z91" s="40" t="s">
        <v>47</v>
      </c>
      <c r="AA91" s="40" t="s">
        <v>47</v>
      </c>
      <c r="AB91" s="40" t="s">
        <v>45</v>
      </c>
      <c r="AC91" s="40" t="s">
        <v>37</v>
      </c>
      <c r="AD91" s="40" t="s">
        <v>31</v>
      </c>
      <c r="AE91" s="40" t="s">
        <v>41</v>
      </c>
      <c r="AF91" s="40" t="s">
        <v>41</v>
      </c>
      <c r="AG91" s="40" t="s">
        <v>45</v>
      </c>
      <c r="AH91" s="40" t="s">
        <v>45</v>
      </c>
      <c r="AI91" s="40" t="s">
        <v>34</v>
      </c>
      <c r="AJ91" s="40" t="s">
        <v>34</v>
      </c>
      <c r="AK91" s="40" t="s">
        <v>41</v>
      </c>
    </row>
    <row r="92" spans="2:37" ht="24.95" customHeight="1">
      <c r="B92" s="2">
        <v>14</v>
      </c>
      <c r="C92" s="2">
        <v>1</v>
      </c>
      <c r="D92" s="3">
        <v>5</v>
      </c>
      <c r="E92" s="1">
        <f t="shared" si="0"/>
        <v>24</v>
      </c>
      <c r="F92" s="24"/>
      <c r="G92" s="40" t="s">
        <v>41</v>
      </c>
      <c r="H92" s="40" t="s">
        <v>41</v>
      </c>
      <c r="I92" s="40" t="s">
        <v>41</v>
      </c>
      <c r="J92" s="40" t="s">
        <v>41</v>
      </c>
      <c r="K92" s="40" t="s">
        <v>41</v>
      </c>
      <c r="L92" s="40" t="s">
        <v>41</v>
      </c>
      <c r="M92" s="40" t="s">
        <v>41</v>
      </c>
      <c r="N92" s="40" t="s">
        <v>41</v>
      </c>
      <c r="O92" s="40" t="s">
        <v>41</v>
      </c>
      <c r="P92" s="40" t="s">
        <v>41</v>
      </c>
      <c r="Q92" s="40" t="s">
        <v>41</v>
      </c>
      <c r="R92" s="40" t="s">
        <v>41</v>
      </c>
      <c r="S92" s="40" t="s">
        <v>41</v>
      </c>
      <c r="T92" s="40" t="s">
        <v>41</v>
      </c>
      <c r="U92" s="40" t="s">
        <v>41</v>
      </c>
      <c r="V92" s="40" t="s">
        <v>41</v>
      </c>
      <c r="W92" s="40" t="s">
        <v>41</v>
      </c>
      <c r="X92" s="40" t="s">
        <v>41</v>
      </c>
      <c r="Y92" s="40" t="s">
        <v>41</v>
      </c>
      <c r="Z92" s="40" t="s">
        <v>41</v>
      </c>
      <c r="AA92" s="40" t="s">
        <v>34</v>
      </c>
      <c r="AB92" s="40" t="s">
        <v>31</v>
      </c>
      <c r="AC92" s="40" t="s">
        <v>45</v>
      </c>
      <c r="AD92" s="40" t="s">
        <v>41</v>
      </c>
      <c r="AE92" s="40" t="s">
        <v>41</v>
      </c>
      <c r="AF92" s="40" t="s">
        <v>41</v>
      </c>
      <c r="AG92" s="40" t="s">
        <v>41</v>
      </c>
      <c r="AH92" s="40" t="s">
        <v>41</v>
      </c>
      <c r="AI92" s="40" t="s">
        <v>45</v>
      </c>
      <c r="AJ92" s="40" t="s">
        <v>37</v>
      </c>
      <c r="AK92" s="40" t="s">
        <v>45</v>
      </c>
    </row>
    <row r="93" spans="2:37" ht="24.95" customHeight="1">
      <c r="B93" s="2">
        <v>15</v>
      </c>
      <c r="C93" s="2">
        <v>1</v>
      </c>
      <c r="D93" s="3">
        <v>5</v>
      </c>
      <c r="E93" s="1">
        <f t="shared" si="0"/>
        <v>6</v>
      </c>
      <c r="F93" s="24"/>
      <c r="G93" s="40" t="s">
        <v>37</v>
      </c>
      <c r="H93" s="40" t="s">
        <v>41</v>
      </c>
      <c r="I93" s="40" t="s">
        <v>34</v>
      </c>
      <c r="J93" s="40" t="s">
        <v>31</v>
      </c>
      <c r="K93" s="40" t="s">
        <v>45</v>
      </c>
      <c r="L93" s="40" t="s">
        <v>41</v>
      </c>
      <c r="M93" s="40" t="s">
        <v>34</v>
      </c>
      <c r="N93" s="40" t="s">
        <v>41</v>
      </c>
      <c r="O93" s="40" t="s">
        <v>47</v>
      </c>
      <c r="P93" s="40" t="s">
        <v>37</v>
      </c>
      <c r="Q93" s="40" t="s">
        <v>31</v>
      </c>
      <c r="R93" s="40" t="s">
        <v>41</v>
      </c>
      <c r="S93" s="40" t="s">
        <v>47</v>
      </c>
      <c r="T93" s="40" t="s">
        <v>47</v>
      </c>
      <c r="U93" s="40" t="s">
        <v>37</v>
      </c>
      <c r="V93" s="40" t="s">
        <v>41</v>
      </c>
      <c r="W93" s="40" t="s">
        <v>45</v>
      </c>
      <c r="X93" s="40" t="s">
        <v>41</v>
      </c>
      <c r="Y93" s="40" t="s">
        <v>41</v>
      </c>
      <c r="Z93" s="40" t="s">
        <v>34</v>
      </c>
      <c r="AA93" s="40" t="s">
        <v>31</v>
      </c>
      <c r="AB93" s="40" t="s">
        <v>37</v>
      </c>
      <c r="AC93" s="40" t="s">
        <v>37</v>
      </c>
      <c r="AD93" s="40" t="s">
        <v>45</v>
      </c>
      <c r="AE93" s="40" t="s">
        <v>41</v>
      </c>
      <c r="AF93" s="40" t="s">
        <v>45</v>
      </c>
      <c r="AG93" s="40" t="s">
        <v>41</v>
      </c>
      <c r="AH93" s="40" t="s">
        <v>37</v>
      </c>
      <c r="AI93" s="40" t="s">
        <v>34</v>
      </c>
      <c r="AJ93" s="40" t="s">
        <v>37</v>
      </c>
      <c r="AK93" s="40" t="s">
        <v>31</v>
      </c>
    </row>
    <row r="94" spans="2:37" ht="24.95" customHeight="1">
      <c r="B94" s="2">
        <v>16</v>
      </c>
      <c r="C94" s="2">
        <v>1</v>
      </c>
      <c r="D94" s="3">
        <v>5</v>
      </c>
      <c r="E94" s="1">
        <f t="shared" si="0"/>
        <v>15</v>
      </c>
      <c r="F94" s="24"/>
      <c r="G94" s="40" t="s">
        <v>37</v>
      </c>
      <c r="H94" s="40" t="s">
        <v>37</v>
      </c>
      <c r="I94" s="40" t="s">
        <v>31</v>
      </c>
      <c r="J94" s="40" t="s">
        <v>37</v>
      </c>
      <c r="K94" s="40" t="s">
        <v>47</v>
      </c>
      <c r="L94" s="40" t="s">
        <v>47</v>
      </c>
      <c r="M94" s="40" t="s">
        <v>47</v>
      </c>
      <c r="N94" s="40" t="s">
        <v>37</v>
      </c>
      <c r="O94" s="40" t="s">
        <v>37</v>
      </c>
      <c r="P94" s="40" t="s">
        <v>37</v>
      </c>
      <c r="Q94" s="40" t="s">
        <v>37</v>
      </c>
      <c r="R94" s="40" t="s">
        <v>37</v>
      </c>
      <c r="S94" s="40" t="s">
        <v>47</v>
      </c>
      <c r="T94" s="40" t="s">
        <v>34</v>
      </c>
      <c r="U94" s="40" t="s">
        <v>37</v>
      </c>
      <c r="V94" s="40" t="s">
        <v>37</v>
      </c>
      <c r="W94" s="40" t="s">
        <v>47</v>
      </c>
      <c r="X94" s="40" t="s">
        <v>37</v>
      </c>
      <c r="Y94" s="40" t="s">
        <v>45</v>
      </c>
      <c r="Z94" s="40" t="s">
        <v>45</v>
      </c>
      <c r="AA94" s="40" t="s">
        <v>45</v>
      </c>
      <c r="AB94" s="40" t="s">
        <v>37</v>
      </c>
      <c r="AC94" s="40" t="s">
        <v>41</v>
      </c>
      <c r="AD94" s="40" t="s">
        <v>45</v>
      </c>
      <c r="AE94" s="40" t="s">
        <v>41</v>
      </c>
      <c r="AF94" s="40" t="s">
        <v>37</v>
      </c>
      <c r="AG94" s="40" t="s">
        <v>47</v>
      </c>
      <c r="AH94" s="40" t="s">
        <v>37</v>
      </c>
      <c r="AI94" s="40" t="s">
        <v>37</v>
      </c>
      <c r="AJ94" s="40" t="s">
        <v>37</v>
      </c>
      <c r="AK94" s="40" t="s">
        <v>47</v>
      </c>
    </row>
    <row r="95" spans="2:37" ht="24.95" customHeight="1">
      <c r="B95" s="2">
        <v>17</v>
      </c>
      <c r="C95" s="2">
        <v>1</v>
      </c>
      <c r="D95" s="3">
        <v>5</v>
      </c>
      <c r="E95" s="1">
        <f t="shared" si="0"/>
        <v>1</v>
      </c>
      <c r="F95" s="24"/>
      <c r="G95" s="40" t="s">
        <v>45</v>
      </c>
      <c r="H95" s="40" t="s">
        <v>41</v>
      </c>
      <c r="I95" s="40" t="s">
        <v>31</v>
      </c>
      <c r="J95" s="40" t="s">
        <v>41</v>
      </c>
      <c r="K95" s="40" t="s">
        <v>47</v>
      </c>
      <c r="L95" s="40" t="s">
        <v>37</v>
      </c>
      <c r="M95" s="40" t="s">
        <v>37</v>
      </c>
      <c r="N95" s="40" t="s">
        <v>41</v>
      </c>
      <c r="O95" s="40" t="s">
        <v>41</v>
      </c>
      <c r="P95" s="40" t="s">
        <v>47</v>
      </c>
      <c r="Q95" s="40" t="s">
        <v>34</v>
      </c>
      <c r="R95" s="40" t="s">
        <v>37</v>
      </c>
      <c r="S95" s="40" t="s">
        <v>37</v>
      </c>
      <c r="T95" s="40" t="s">
        <v>31</v>
      </c>
      <c r="U95" s="40" t="s">
        <v>37</v>
      </c>
      <c r="V95" s="40" t="s">
        <v>31</v>
      </c>
      <c r="W95" s="40" t="s">
        <v>45</v>
      </c>
      <c r="X95" s="40" t="s">
        <v>34</v>
      </c>
      <c r="Y95" s="40" t="s">
        <v>37</v>
      </c>
      <c r="Z95" s="40" t="s">
        <v>31</v>
      </c>
      <c r="AA95" s="40" t="s">
        <v>47</v>
      </c>
      <c r="AB95" s="40" t="s">
        <v>37</v>
      </c>
      <c r="AC95" s="40" t="s">
        <v>37</v>
      </c>
      <c r="AD95" s="40" t="s">
        <v>34</v>
      </c>
      <c r="AE95" s="40" t="s">
        <v>34</v>
      </c>
      <c r="AF95" s="40" t="s">
        <v>31</v>
      </c>
      <c r="AG95" s="40" t="s">
        <v>31</v>
      </c>
      <c r="AH95" s="40" t="s">
        <v>34</v>
      </c>
      <c r="AI95" s="40" t="s">
        <v>37</v>
      </c>
      <c r="AJ95" s="40" t="s">
        <v>41</v>
      </c>
      <c r="AK95" s="40" t="s">
        <v>31</v>
      </c>
    </row>
    <row r="96" spans="2:37" ht="24.95" customHeight="1">
      <c r="B96" s="2">
        <v>18</v>
      </c>
      <c r="C96" s="2">
        <v>1</v>
      </c>
      <c r="D96" s="3">
        <v>5</v>
      </c>
      <c r="E96" s="1">
        <f t="shared" si="0"/>
        <v>12</v>
      </c>
      <c r="F96" s="24"/>
      <c r="G96" s="40" t="s">
        <v>47</v>
      </c>
      <c r="H96" s="40" t="s">
        <v>47</v>
      </c>
      <c r="I96" s="40" t="s">
        <v>47</v>
      </c>
      <c r="J96" s="40" t="s">
        <v>45</v>
      </c>
      <c r="K96" s="40" t="s">
        <v>34</v>
      </c>
      <c r="L96" s="40" t="s">
        <v>37</v>
      </c>
      <c r="M96" s="40" t="s">
        <v>47</v>
      </c>
      <c r="N96" s="40" t="s">
        <v>37</v>
      </c>
      <c r="O96" s="40" t="s">
        <v>34</v>
      </c>
      <c r="P96" s="40" t="s">
        <v>47</v>
      </c>
      <c r="Q96" s="40" t="s">
        <v>47</v>
      </c>
      <c r="R96" s="40" t="s">
        <v>37</v>
      </c>
      <c r="S96" s="40" t="s">
        <v>45</v>
      </c>
      <c r="T96" s="40" t="s">
        <v>47</v>
      </c>
      <c r="U96" s="40" t="s">
        <v>31</v>
      </c>
      <c r="V96" s="40" t="s">
        <v>37</v>
      </c>
      <c r="W96" s="40" t="s">
        <v>45</v>
      </c>
      <c r="X96" s="40" t="s">
        <v>31</v>
      </c>
      <c r="Y96" s="40" t="s">
        <v>37</v>
      </c>
      <c r="Z96" s="40" t="s">
        <v>47</v>
      </c>
      <c r="AA96" s="40" t="s">
        <v>47</v>
      </c>
      <c r="AB96" s="40" t="s">
        <v>37</v>
      </c>
      <c r="AC96" s="40" t="s">
        <v>47</v>
      </c>
      <c r="AD96" s="40" t="s">
        <v>47</v>
      </c>
      <c r="AE96" s="40" t="s">
        <v>47</v>
      </c>
      <c r="AF96" s="40" t="s">
        <v>41</v>
      </c>
      <c r="AG96" s="40" t="s">
        <v>37</v>
      </c>
      <c r="AH96" s="40" t="s">
        <v>47</v>
      </c>
      <c r="AI96" s="40" t="s">
        <v>41</v>
      </c>
      <c r="AJ96" s="40" t="s">
        <v>37</v>
      </c>
      <c r="AK96" s="40" t="s">
        <v>41</v>
      </c>
    </row>
    <row r="97" spans="2:37" ht="24.95" customHeight="1">
      <c r="B97" s="2">
        <v>19</v>
      </c>
      <c r="C97" s="2">
        <v>1</v>
      </c>
      <c r="D97" s="3">
        <v>5</v>
      </c>
      <c r="E97" s="1">
        <f t="shared" si="0"/>
        <v>8</v>
      </c>
      <c r="F97" s="24"/>
      <c r="G97" s="40" t="s">
        <v>31</v>
      </c>
      <c r="H97" s="40" t="s">
        <v>31</v>
      </c>
      <c r="I97" s="40" t="s">
        <v>41</v>
      </c>
      <c r="J97" s="40" t="s">
        <v>41</v>
      </c>
      <c r="K97" s="40" t="s">
        <v>31</v>
      </c>
      <c r="L97" s="40" t="s">
        <v>47</v>
      </c>
      <c r="M97" s="40" t="s">
        <v>45</v>
      </c>
      <c r="N97" s="40" t="s">
        <v>31</v>
      </c>
      <c r="O97" s="40" t="s">
        <v>37</v>
      </c>
      <c r="P97" s="40" t="s">
        <v>37</v>
      </c>
      <c r="Q97" s="40" t="s">
        <v>47</v>
      </c>
      <c r="R97" s="40" t="s">
        <v>31</v>
      </c>
      <c r="S97" s="40" t="s">
        <v>31</v>
      </c>
      <c r="T97" s="40" t="s">
        <v>31</v>
      </c>
      <c r="U97" s="40" t="s">
        <v>37</v>
      </c>
      <c r="V97" s="40" t="s">
        <v>45</v>
      </c>
      <c r="W97" s="40" t="s">
        <v>34</v>
      </c>
      <c r="X97" s="40" t="s">
        <v>47</v>
      </c>
      <c r="Y97" s="40" t="s">
        <v>34</v>
      </c>
      <c r="Z97" s="40" t="s">
        <v>31</v>
      </c>
      <c r="AA97" s="40" t="s">
        <v>34</v>
      </c>
      <c r="AB97" s="40" t="s">
        <v>45</v>
      </c>
      <c r="AC97" s="40" t="s">
        <v>37</v>
      </c>
      <c r="AD97" s="40" t="s">
        <v>41</v>
      </c>
      <c r="AE97" s="40" t="s">
        <v>47</v>
      </c>
      <c r="AF97" s="40" t="s">
        <v>31</v>
      </c>
      <c r="AG97" s="40" t="s">
        <v>45</v>
      </c>
      <c r="AH97" s="40" t="s">
        <v>34</v>
      </c>
      <c r="AI97" s="40" t="s">
        <v>47</v>
      </c>
      <c r="AJ97" s="40" t="s">
        <v>41</v>
      </c>
      <c r="AK97" s="40" t="s">
        <v>34</v>
      </c>
    </row>
    <row r="98" spans="2:37" ht="24.95" customHeight="1">
      <c r="B98" s="2">
        <v>20</v>
      </c>
      <c r="C98" s="2">
        <v>1</v>
      </c>
      <c r="D98" s="3">
        <v>5</v>
      </c>
      <c r="E98" s="1">
        <f t="shared" si="0"/>
        <v>4</v>
      </c>
      <c r="F98" s="24"/>
      <c r="G98" s="40" t="s">
        <v>41</v>
      </c>
      <c r="H98" s="40" t="s">
        <v>31</v>
      </c>
      <c r="I98" s="40" t="s">
        <v>37</v>
      </c>
      <c r="J98" s="40" t="s">
        <v>37</v>
      </c>
      <c r="K98" s="40" t="s">
        <v>47</v>
      </c>
      <c r="L98" s="40" t="s">
        <v>45</v>
      </c>
      <c r="M98" s="40" t="s">
        <v>45</v>
      </c>
      <c r="N98" s="40" t="s">
        <v>34</v>
      </c>
      <c r="O98" s="40" t="s">
        <v>31</v>
      </c>
      <c r="P98" s="40" t="s">
        <v>34</v>
      </c>
      <c r="Q98" s="40" t="s">
        <v>41</v>
      </c>
      <c r="R98" s="40" t="s">
        <v>37</v>
      </c>
      <c r="S98" s="40" t="s">
        <v>47</v>
      </c>
      <c r="T98" s="40" t="s">
        <v>34</v>
      </c>
      <c r="U98" s="40" t="s">
        <v>37</v>
      </c>
      <c r="V98" s="40" t="s">
        <v>47</v>
      </c>
      <c r="W98" s="40" t="s">
        <v>37</v>
      </c>
      <c r="X98" s="40" t="s">
        <v>31</v>
      </c>
      <c r="Y98" s="40" t="s">
        <v>47</v>
      </c>
      <c r="Z98" s="40" t="s">
        <v>47</v>
      </c>
      <c r="AA98" s="40" t="s">
        <v>41</v>
      </c>
      <c r="AB98" s="40" t="s">
        <v>47</v>
      </c>
      <c r="AC98" s="40" t="s">
        <v>37</v>
      </c>
      <c r="AD98" s="40" t="s">
        <v>45</v>
      </c>
      <c r="AE98" s="40" t="s">
        <v>41</v>
      </c>
      <c r="AF98" s="40" t="s">
        <v>31</v>
      </c>
      <c r="AG98" s="40" t="s">
        <v>41</v>
      </c>
      <c r="AH98" s="40" t="s">
        <v>47</v>
      </c>
      <c r="AI98" s="40" t="s">
        <v>37</v>
      </c>
      <c r="AJ98" s="40" t="s">
        <v>47</v>
      </c>
      <c r="AK98" s="40" t="s">
        <v>45</v>
      </c>
    </row>
    <row r="99" spans="2:37" ht="15" customHeight="1" thickBot="1"/>
    <row r="100" spans="2:37" ht="22.5" customHeight="1" thickBot="1">
      <c r="B100" s="34" t="s">
        <v>90</v>
      </c>
      <c r="C100" s="21" t="s">
        <v>91</v>
      </c>
      <c r="D100" s="38" t="s">
        <v>92</v>
      </c>
    </row>
    <row r="101" spans="2:37" ht="15" customHeight="1">
      <c r="B101" s="13"/>
      <c r="C101" s="13"/>
      <c r="D101" s="13"/>
      <c r="E101" s="13"/>
      <c r="F101" s="13"/>
      <c r="G101" s="13"/>
      <c r="H101" s="13"/>
      <c r="I101" s="13"/>
      <c r="J101" s="13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</row>
    <row r="102" spans="2:37" ht="15" customHeight="1">
      <c r="B102" s="13" t="s">
        <v>78</v>
      </c>
      <c r="C102" s="13"/>
      <c r="D102" s="13"/>
      <c r="E102" s="13"/>
      <c r="F102" s="13"/>
      <c r="G102" s="13"/>
      <c r="H102" s="13"/>
      <c r="I102" s="13"/>
      <c r="J102" s="13"/>
      <c r="K102" s="27"/>
      <c r="L102" s="27"/>
      <c r="M102" s="27"/>
      <c r="N102" s="27"/>
      <c r="O102" s="27"/>
      <c r="P102" s="76"/>
      <c r="Q102" s="76"/>
      <c r="R102" s="76"/>
      <c r="S102" s="76"/>
      <c r="T102" s="27"/>
      <c r="U102" s="27"/>
    </row>
    <row r="103" spans="2:37" ht="15" customHeight="1">
      <c r="B103" s="13"/>
      <c r="C103" s="13"/>
      <c r="D103" s="13"/>
      <c r="E103" s="13"/>
      <c r="F103" s="13"/>
      <c r="G103" s="13"/>
      <c r="H103" s="13"/>
      <c r="I103" s="13"/>
      <c r="J103" s="13"/>
      <c r="K103" s="27"/>
      <c r="L103" s="27"/>
      <c r="M103" s="27"/>
      <c r="N103" s="27"/>
      <c r="O103" s="27"/>
      <c r="P103" s="76"/>
      <c r="Q103" s="76"/>
      <c r="R103" s="37"/>
      <c r="S103" s="37"/>
      <c r="T103" s="27"/>
      <c r="U103" s="27"/>
    </row>
    <row r="104" spans="2:37" ht="15" customHeight="1">
      <c r="B104" s="60" t="s">
        <v>93</v>
      </c>
      <c r="C104" s="13"/>
      <c r="D104" s="13"/>
      <c r="E104" s="13"/>
      <c r="F104" s="13"/>
      <c r="G104" s="13"/>
      <c r="H104" s="13"/>
      <c r="I104" s="13"/>
      <c r="J104" s="13"/>
      <c r="K104" s="27"/>
      <c r="L104" s="27"/>
      <c r="M104" s="27"/>
      <c r="N104" s="27"/>
      <c r="O104" s="27"/>
      <c r="P104" s="76"/>
      <c r="Q104" s="76"/>
      <c r="R104" s="37"/>
      <c r="S104" s="37"/>
      <c r="T104" s="27"/>
      <c r="U104" s="27"/>
    </row>
    <row r="105" spans="2:37" ht="15" customHeight="1">
      <c r="B105" s="13"/>
      <c r="C105" s="13"/>
      <c r="D105" s="13"/>
      <c r="E105" s="13"/>
      <c r="F105" s="13"/>
      <c r="G105" s="13"/>
      <c r="H105" s="13"/>
      <c r="I105" s="13"/>
      <c r="J105" s="13"/>
      <c r="K105" s="27"/>
      <c r="L105" s="27"/>
      <c r="M105" s="27"/>
      <c r="N105" s="27"/>
      <c r="O105" s="27"/>
      <c r="P105" s="76"/>
      <c r="Q105" s="76"/>
      <c r="R105" s="37"/>
      <c r="S105" s="37"/>
      <c r="T105" s="27"/>
      <c r="U105" s="27"/>
    </row>
    <row r="106" spans="2:37" ht="15" customHeight="1">
      <c r="B106" s="60" t="s">
        <v>94</v>
      </c>
      <c r="C106" s="13"/>
      <c r="D106" s="13"/>
      <c r="E106" s="13"/>
      <c r="F106" s="13"/>
      <c r="G106" s="13"/>
      <c r="H106" s="13"/>
      <c r="I106" s="13"/>
      <c r="J106" s="13"/>
      <c r="K106" s="27"/>
      <c r="L106" s="27"/>
      <c r="M106" s="27"/>
      <c r="N106" s="27"/>
      <c r="O106" s="27"/>
      <c r="P106" s="76"/>
      <c r="Q106" s="76"/>
      <c r="R106" s="37"/>
      <c r="S106" s="37"/>
      <c r="T106" s="27"/>
      <c r="U106" s="27"/>
    </row>
    <row r="107" spans="2:37" ht="15" customHeight="1">
      <c r="B107" s="30" t="s">
        <v>95</v>
      </c>
      <c r="C107" s="13"/>
      <c r="D107" s="13"/>
      <c r="E107" s="13"/>
      <c r="F107" s="13"/>
      <c r="G107" s="13"/>
      <c r="H107" s="13"/>
      <c r="I107" s="13"/>
      <c r="J107" s="13"/>
      <c r="K107" s="27"/>
      <c r="L107" s="27"/>
      <c r="M107" s="27"/>
      <c r="N107" s="27"/>
      <c r="O107" s="27"/>
      <c r="P107" s="76"/>
      <c r="Q107" s="76"/>
      <c r="R107" s="37"/>
      <c r="S107" s="37"/>
      <c r="T107" s="27"/>
      <c r="U107" s="27"/>
    </row>
    <row r="108" spans="2:37" ht="15" customHeight="1">
      <c r="B108" s="30" t="s">
        <v>96</v>
      </c>
      <c r="C108" s="13"/>
      <c r="D108" s="13"/>
      <c r="E108" s="13"/>
      <c r="F108" s="13"/>
      <c r="G108" s="13"/>
      <c r="H108" s="13"/>
      <c r="I108" s="13"/>
      <c r="J108" s="13"/>
      <c r="K108" s="27"/>
      <c r="L108" s="27"/>
      <c r="M108" s="27"/>
      <c r="N108" s="27"/>
      <c r="O108" s="27"/>
      <c r="P108" s="76"/>
      <c r="Q108" s="76"/>
      <c r="R108" s="37"/>
      <c r="S108" s="37"/>
      <c r="T108" s="27"/>
      <c r="U108" s="27"/>
    </row>
    <row r="109" spans="2:37" ht="15" customHeight="1">
      <c r="B109" s="30"/>
      <c r="C109" s="13"/>
      <c r="D109" s="13"/>
      <c r="E109" s="13"/>
      <c r="F109" s="13"/>
      <c r="G109" s="13"/>
      <c r="H109" s="13"/>
      <c r="I109" s="13"/>
      <c r="J109" s="13"/>
      <c r="K109" s="27"/>
      <c r="L109" s="27"/>
      <c r="M109" s="27"/>
      <c r="N109" s="27"/>
      <c r="O109" s="27"/>
      <c r="P109" s="76"/>
      <c r="Q109" s="76"/>
      <c r="R109" s="37"/>
      <c r="S109" s="37"/>
      <c r="T109" s="27"/>
      <c r="U109" s="27"/>
    </row>
    <row r="110" spans="2:37" ht="15" customHeight="1">
      <c r="B110" s="60" t="s">
        <v>82</v>
      </c>
      <c r="C110" s="13"/>
      <c r="D110" s="13"/>
      <c r="E110" s="13"/>
      <c r="F110" s="13"/>
      <c r="G110" s="13"/>
      <c r="H110" s="13"/>
      <c r="I110" s="13"/>
      <c r="J110" s="13"/>
      <c r="K110" s="27"/>
      <c r="L110" s="27"/>
      <c r="M110" s="27"/>
      <c r="N110" s="27"/>
      <c r="O110" s="27"/>
      <c r="P110" s="76"/>
      <c r="Q110" s="76"/>
      <c r="R110" s="37"/>
      <c r="S110" s="37"/>
      <c r="T110" s="27"/>
      <c r="U110" s="27"/>
    </row>
    <row r="111" spans="2:37" ht="15" customHeight="1">
      <c r="B111" s="31" t="s">
        <v>97</v>
      </c>
      <c r="C111" s="13"/>
      <c r="D111" s="13"/>
      <c r="E111" s="13"/>
      <c r="F111" s="13"/>
      <c r="G111" s="13"/>
      <c r="H111" s="13"/>
      <c r="I111" s="13"/>
      <c r="J111" s="13"/>
      <c r="K111" s="27"/>
      <c r="L111" s="27"/>
      <c r="M111" s="27"/>
      <c r="N111" s="27"/>
      <c r="O111" s="27"/>
      <c r="P111" s="76"/>
      <c r="Q111" s="76"/>
      <c r="R111" s="37"/>
      <c r="S111" s="37"/>
      <c r="T111" s="27"/>
      <c r="U111" s="27"/>
    </row>
    <row r="112" spans="2:37" ht="15" customHeight="1">
      <c r="B112" s="31" t="s">
        <v>98</v>
      </c>
      <c r="C112" s="13"/>
      <c r="D112" s="13"/>
      <c r="E112" s="13"/>
      <c r="F112" s="13"/>
      <c r="G112" s="13"/>
      <c r="H112" s="13"/>
      <c r="I112" s="13"/>
      <c r="J112" s="13"/>
      <c r="K112" s="27"/>
    </row>
    <row r="113" spans="2:11" ht="15" customHeight="1">
      <c r="B113" s="31" t="s">
        <v>99</v>
      </c>
      <c r="C113" s="31"/>
      <c r="D113" s="13"/>
      <c r="E113" s="13"/>
      <c r="F113" s="13"/>
      <c r="G113" s="13"/>
      <c r="H113" s="13"/>
      <c r="I113" s="13"/>
      <c r="J113" s="13"/>
      <c r="K113" s="27"/>
    </row>
    <row r="114" spans="2:11" ht="15" customHeight="1" thickBot="1">
      <c r="B114" s="31"/>
      <c r="C114" s="31"/>
      <c r="D114" s="13"/>
      <c r="E114" s="13"/>
      <c r="F114" s="13"/>
      <c r="G114" s="13"/>
      <c r="H114" s="13"/>
      <c r="I114" s="13"/>
      <c r="J114" s="13"/>
      <c r="K114" s="27"/>
    </row>
    <row r="115" spans="2:11" s="27" customFormat="1" ht="22.5" customHeight="1" thickBot="1">
      <c r="B115" s="17" t="s">
        <v>59</v>
      </c>
      <c r="C115" s="20" t="s">
        <v>87</v>
      </c>
      <c r="D115" s="17" t="s">
        <v>61</v>
      </c>
      <c r="E115" s="25" t="s">
        <v>62</v>
      </c>
      <c r="F115" s="13"/>
      <c r="G115" s="18" t="s">
        <v>100</v>
      </c>
      <c r="H115" s="19"/>
      <c r="I115" s="80"/>
      <c r="J115" s="80"/>
      <c r="K115" s="81"/>
    </row>
    <row r="116" spans="2:11" ht="15" customHeight="1">
      <c r="K116" s="5"/>
    </row>
    <row r="117" spans="2:11" ht="24.95" customHeight="1">
      <c r="B117" s="9" t="s">
        <v>101</v>
      </c>
      <c r="C117" s="2">
        <v>2</v>
      </c>
      <c r="D117" s="10">
        <v>0</v>
      </c>
      <c r="E117" s="1" t="s">
        <v>102</v>
      </c>
      <c r="F117" s="24"/>
      <c r="G117" s="40" t="s">
        <v>31</v>
      </c>
      <c r="H117" s="40" t="s">
        <v>37</v>
      </c>
      <c r="I117" s="40" t="s">
        <v>45</v>
      </c>
      <c r="J117" s="40" t="s">
        <v>34</v>
      </c>
      <c r="K117" s="40" t="s">
        <v>41</v>
      </c>
    </row>
    <row r="118" spans="2:11" ht="15" customHeight="1">
      <c r="K118" s="5"/>
    </row>
    <row r="119" spans="2:11" ht="24.95" customHeight="1">
      <c r="B119" s="2">
        <v>21</v>
      </c>
      <c r="C119" s="2">
        <v>2</v>
      </c>
      <c r="D119" s="3">
        <v>5</v>
      </c>
      <c r="E119" s="1" t="str" cm="1">
        <f t="array" ref="E119">_xlfn.CONCAT(_xlfn.XLOOKUP(G119:K119,$G$38:$G$46,$I$38:$I$46,,0,1))</f>
        <v>10100011011001010110</v>
      </c>
      <c r="F119" s="24"/>
      <c r="G119" s="40" t="s">
        <v>47</v>
      </c>
      <c r="H119" s="40" t="s">
        <v>34</v>
      </c>
      <c r="I119" s="40" t="s">
        <v>41</v>
      </c>
      <c r="J119" s="40" t="s">
        <v>37</v>
      </c>
      <c r="K119" s="40" t="s">
        <v>41</v>
      </c>
    </row>
    <row r="120" spans="2:11" ht="24.95" customHeight="1">
      <c r="B120" s="2">
        <v>22</v>
      </c>
      <c r="C120" s="2">
        <v>2</v>
      </c>
      <c r="D120" s="3">
        <v>5</v>
      </c>
      <c r="E120" s="1" t="str" cm="1">
        <f t="array" ref="E120">_xlfn.CONCAT(_xlfn.XLOOKUP(G120:K120,$G$38:$G$46,$I$38:$I$46,,0,1))</f>
        <v>01011100010111001010</v>
      </c>
      <c r="F120" s="24"/>
      <c r="G120" s="40" t="s">
        <v>37</v>
      </c>
      <c r="H120" s="40" t="s">
        <v>31</v>
      </c>
      <c r="I120" s="40" t="s">
        <v>37</v>
      </c>
      <c r="J120" s="40" t="s">
        <v>31</v>
      </c>
      <c r="K120" s="40" t="s">
        <v>47</v>
      </c>
    </row>
    <row r="121" spans="2:11" ht="24.95" customHeight="1">
      <c r="B121" s="2">
        <v>23</v>
      </c>
      <c r="C121" s="2">
        <v>2</v>
      </c>
      <c r="D121" s="3">
        <v>5</v>
      </c>
      <c r="E121" s="1" t="str" cm="1">
        <f t="array" ref="E121">_xlfn.CONCAT(_xlfn.XLOOKUP(G121:K121,$G$38:$G$46,$I$38:$I$46,,0,1))</f>
        <v>10010110001100111001</v>
      </c>
      <c r="F121" s="24"/>
      <c r="G121" s="40" t="s">
        <v>45</v>
      </c>
      <c r="H121" s="40" t="s">
        <v>41</v>
      </c>
      <c r="I121" s="40" t="s">
        <v>34</v>
      </c>
      <c r="J121" s="40" t="s">
        <v>34</v>
      </c>
      <c r="K121" s="40" t="s">
        <v>45</v>
      </c>
    </row>
    <row r="122" spans="2:11" ht="24.95" customHeight="1">
      <c r="B122" s="2">
        <v>24</v>
      </c>
      <c r="C122" s="2">
        <v>2</v>
      </c>
      <c r="D122" s="3">
        <v>5</v>
      </c>
      <c r="E122" s="1" t="str" cm="1">
        <f t="array" ref="E122">_xlfn.CONCAT(_xlfn.XLOOKUP(G122:K122,$G$38:$G$46,$I$38:$I$46,,0,1))</f>
        <v>10011100100110011010</v>
      </c>
      <c r="F122" s="24"/>
      <c r="G122" s="40" t="s">
        <v>45</v>
      </c>
      <c r="H122" s="40" t="s">
        <v>31</v>
      </c>
      <c r="I122" s="40" t="s">
        <v>45</v>
      </c>
      <c r="J122" s="40" t="s">
        <v>45</v>
      </c>
      <c r="K122" s="40" t="s">
        <v>47</v>
      </c>
    </row>
    <row r="123" spans="2:11" ht="24.95" customHeight="1">
      <c r="B123" s="2">
        <v>25</v>
      </c>
      <c r="C123" s="2">
        <v>2</v>
      </c>
      <c r="D123" s="3">
        <v>5</v>
      </c>
      <c r="E123" s="1" t="str" cm="1">
        <f t="array" ref="E123">_xlfn.CONCAT(_xlfn.XLOOKUP(G123:K123,$G$38:$G$46,$I$38:$I$46,,0,1))</f>
        <v>01010110001101101001</v>
      </c>
      <c r="F123" s="24"/>
      <c r="G123" s="40" t="s">
        <v>37</v>
      </c>
      <c r="H123" s="40" t="s">
        <v>41</v>
      </c>
      <c r="I123" s="40" t="s">
        <v>34</v>
      </c>
      <c r="J123" s="40" t="s">
        <v>41</v>
      </c>
      <c r="K123" s="40" t="s">
        <v>45</v>
      </c>
    </row>
    <row r="124" spans="2:11" ht="24.95" customHeight="1">
      <c r="B124" s="2">
        <v>26</v>
      </c>
      <c r="C124" s="2">
        <v>2</v>
      </c>
      <c r="D124" s="3">
        <v>5</v>
      </c>
      <c r="E124" s="1" t="str" cm="1">
        <f t="array" ref="E124">_xlfn.CONCAT(_xlfn.XLOOKUP(G124:K124,$G$38:$G$46,$I$38:$I$46,,0,1))</f>
        <v>01100011010101100101</v>
      </c>
      <c r="F124" s="24"/>
      <c r="G124" s="40" t="s">
        <v>41</v>
      </c>
      <c r="H124" s="40" t="s">
        <v>34</v>
      </c>
      <c r="I124" s="40" t="s">
        <v>37</v>
      </c>
      <c r="J124" s="40" t="s">
        <v>41</v>
      </c>
      <c r="K124" s="40" t="s">
        <v>37</v>
      </c>
    </row>
    <row r="125" spans="2:11" ht="24.95" customHeight="1">
      <c r="B125" s="2">
        <v>27</v>
      </c>
      <c r="C125" s="2">
        <v>2</v>
      </c>
      <c r="D125" s="3">
        <v>5</v>
      </c>
      <c r="E125" s="1" t="str" cm="1">
        <f t="array" ref="E125">_xlfn.CONCAT(_xlfn.XLOOKUP(G125:K125,$G$38:$G$46,$I$38:$I$46,,0,1))</f>
        <v>11001001001110010011</v>
      </c>
      <c r="F125" s="24"/>
      <c r="G125" s="40" t="s">
        <v>31</v>
      </c>
      <c r="H125" s="40" t="s">
        <v>45</v>
      </c>
      <c r="I125" s="40" t="s">
        <v>34</v>
      </c>
      <c r="J125" s="40" t="s">
        <v>45</v>
      </c>
      <c r="K125" s="40" t="s">
        <v>34</v>
      </c>
    </row>
    <row r="126" spans="2:11" ht="24.95" customHeight="1">
      <c r="B126" s="2">
        <v>28</v>
      </c>
      <c r="C126" s="2">
        <v>2</v>
      </c>
      <c r="D126" s="3">
        <v>5</v>
      </c>
      <c r="E126" s="1" t="str" cm="1">
        <f t="array" ref="E126">_xlfn.CONCAT(_xlfn.XLOOKUP(G126:K126,$G$38:$G$46,$I$38:$I$46,,0,1))</f>
        <v>00111010100110100011</v>
      </c>
      <c r="F126" s="24"/>
      <c r="G126" s="40" t="s">
        <v>34</v>
      </c>
      <c r="H126" s="40" t="s">
        <v>47</v>
      </c>
      <c r="I126" s="40" t="s">
        <v>45</v>
      </c>
      <c r="J126" s="40" t="s">
        <v>47</v>
      </c>
      <c r="K126" s="40" t="s">
        <v>34</v>
      </c>
    </row>
    <row r="127" spans="2:11" ht="24.95" customHeight="1">
      <c r="B127" s="2">
        <v>29</v>
      </c>
      <c r="C127" s="2">
        <v>2</v>
      </c>
      <c r="D127" s="3">
        <v>5</v>
      </c>
      <c r="E127" s="1" t="str" cm="1">
        <f t="array" ref="E127">_xlfn.CONCAT(_xlfn.XLOOKUP(G127:K127,$G$38:$G$46,$I$38:$I$46,,0,1))</f>
        <v>01101001110001010011</v>
      </c>
      <c r="F127" s="24"/>
      <c r="G127" s="40" t="s">
        <v>41</v>
      </c>
      <c r="H127" s="40" t="s">
        <v>45</v>
      </c>
      <c r="I127" s="40" t="s">
        <v>31</v>
      </c>
      <c r="J127" s="40" t="s">
        <v>37</v>
      </c>
      <c r="K127" s="40" t="s">
        <v>34</v>
      </c>
    </row>
    <row r="128" spans="2:11" ht="24.95" customHeight="1">
      <c r="B128" s="2">
        <v>30</v>
      </c>
      <c r="C128" s="2">
        <v>2</v>
      </c>
      <c r="D128" s="3">
        <v>5</v>
      </c>
      <c r="E128" s="1" t="str" cm="1">
        <f t="array" ref="E128">_xlfn.CONCAT(_xlfn.XLOOKUP(G128:K128,$G$38:$G$46,$I$38:$I$46,,0,1))</f>
        <v>01100011100100111010</v>
      </c>
      <c r="F128" s="24"/>
      <c r="G128" s="40" t="s">
        <v>41</v>
      </c>
      <c r="H128" s="40" t="s">
        <v>34</v>
      </c>
      <c r="I128" s="40" t="s">
        <v>45</v>
      </c>
      <c r="J128" s="40" t="s">
        <v>34</v>
      </c>
      <c r="K128" s="40" t="s">
        <v>47</v>
      </c>
    </row>
    <row r="129" spans="2:11" ht="24.95" customHeight="1">
      <c r="B129" s="2">
        <v>31</v>
      </c>
      <c r="C129" s="2">
        <v>2</v>
      </c>
      <c r="D129" s="3">
        <v>5</v>
      </c>
      <c r="E129" s="1" t="str" cm="1">
        <f t="array" ref="E129">_xlfn.CONCAT(_xlfn.XLOOKUP(G129:K129,$G$38:$G$46,$I$38:$I$46,,0,1))</f>
        <v>00110110110010100101</v>
      </c>
      <c r="F129" s="24"/>
      <c r="G129" s="40" t="s">
        <v>34</v>
      </c>
      <c r="H129" s="40" t="s">
        <v>41</v>
      </c>
      <c r="I129" s="40" t="s">
        <v>31</v>
      </c>
      <c r="J129" s="40" t="s">
        <v>47</v>
      </c>
      <c r="K129" s="40" t="s">
        <v>37</v>
      </c>
    </row>
    <row r="130" spans="2:11" ht="24.95" customHeight="1">
      <c r="B130" s="2">
        <v>32</v>
      </c>
      <c r="C130" s="2">
        <v>2</v>
      </c>
      <c r="D130" s="3">
        <v>5</v>
      </c>
      <c r="E130" s="1" t="str" cm="1">
        <f t="array" ref="E130">_xlfn.CONCAT(_xlfn.XLOOKUP(G130:K130,$G$38:$G$46,$I$38:$I$46,,0,1))</f>
        <v>01011100110001010110</v>
      </c>
      <c r="F130" s="24"/>
      <c r="G130" s="40" t="s">
        <v>37</v>
      </c>
      <c r="H130" s="40" t="s">
        <v>31</v>
      </c>
      <c r="I130" s="40" t="s">
        <v>31</v>
      </c>
      <c r="J130" s="40" t="s">
        <v>37</v>
      </c>
      <c r="K130" s="40" t="s">
        <v>41</v>
      </c>
    </row>
    <row r="131" spans="2:11" ht="24.95" customHeight="1">
      <c r="B131" s="2">
        <v>33</v>
      </c>
      <c r="C131" s="2">
        <v>2</v>
      </c>
      <c r="D131" s="3">
        <v>5</v>
      </c>
      <c r="E131" s="1" t="str" cm="1">
        <f t="array" ref="E131">_xlfn.CONCAT(_xlfn.XLOOKUP(G131:K131,$G$38:$G$46,$I$38:$I$46,,0,1))</f>
        <v>10101001100101011001</v>
      </c>
      <c r="F131" s="24"/>
      <c r="G131" s="40" t="s">
        <v>47</v>
      </c>
      <c r="H131" s="40" t="s">
        <v>45</v>
      </c>
      <c r="I131" s="40" t="s">
        <v>45</v>
      </c>
      <c r="J131" s="40" t="s">
        <v>37</v>
      </c>
      <c r="K131" s="40" t="s">
        <v>45</v>
      </c>
    </row>
    <row r="132" spans="2:11" ht="24.95" customHeight="1">
      <c r="B132" s="2">
        <v>34</v>
      </c>
      <c r="C132" s="2">
        <v>2</v>
      </c>
      <c r="D132" s="3">
        <v>5</v>
      </c>
      <c r="E132" s="1" t="str" cm="1">
        <f t="array" ref="E132">_xlfn.CONCAT(_xlfn.XLOOKUP(G132:K132,$G$38:$G$46,$I$38:$I$46,,0,1))</f>
        <v>11000101110001100110</v>
      </c>
      <c r="F132" s="24"/>
      <c r="G132" s="40" t="s">
        <v>31</v>
      </c>
      <c r="H132" s="40" t="s">
        <v>37</v>
      </c>
      <c r="I132" s="40" t="s">
        <v>31</v>
      </c>
      <c r="J132" s="40" t="s">
        <v>41</v>
      </c>
      <c r="K132" s="40" t="s">
        <v>41</v>
      </c>
    </row>
    <row r="133" spans="2:11" ht="24.95" customHeight="1">
      <c r="B133" s="2">
        <v>35</v>
      </c>
      <c r="C133" s="2">
        <v>2</v>
      </c>
      <c r="D133" s="3">
        <v>5</v>
      </c>
      <c r="E133" s="1" t="str" cm="1">
        <f t="array" ref="E133">_xlfn.CONCAT(_xlfn.XLOOKUP(G133:K133,$G$38:$G$46,$I$38:$I$46,,0,1))</f>
        <v>00111010001111001100</v>
      </c>
      <c r="F133" s="24"/>
      <c r="G133" s="40" t="s">
        <v>34</v>
      </c>
      <c r="H133" s="40" t="s">
        <v>47</v>
      </c>
      <c r="I133" s="40" t="s">
        <v>34</v>
      </c>
      <c r="J133" s="40" t="s">
        <v>31</v>
      </c>
      <c r="K133" s="40" t="s">
        <v>31</v>
      </c>
    </row>
    <row r="134" spans="2:11" ht="24.95" customHeight="1">
      <c r="B134" s="2">
        <v>36</v>
      </c>
      <c r="C134" s="2">
        <v>2</v>
      </c>
      <c r="D134" s="3">
        <v>5</v>
      </c>
      <c r="E134" s="1" t="str" cm="1">
        <f t="array" ref="E134">_xlfn.CONCAT(_xlfn.XLOOKUP(G134:K134,$G$38:$G$46,$I$38:$I$46,,0,1))</f>
        <v>01100011110011000101</v>
      </c>
      <c r="F134" s="24"/>
      <c r="G134" s="40" t="s">
        <v>41</v>
      </c>
      <c r="H134" s="40" t="s">
        <v>34</v>
      </c>
      <c r="I134" s="40" t="s">
        <v>31</v>
      </c>
      <c r="J134" s="40" t="s">
        <v>31</v>
      </c>
      <c r="K134" s="40" t="s">
        <v>37</v>
      </c>
    </row>
    <row r="135" spans="2:11" ht="24.95" customHeight="1">
      <c r="B135" s="2">
        <v>37</v>
      </c>
      <c r="C135" s="2">
        <v>2</v>
      </c>
      <c r="D135" s="3">
        <v>5</v>
      </c>
      <c r="E135" s="1" t="str" cm="1">
        <f t="array" ref="E135">_xlfn.CONCAT(_xlfn.XLOOKUP(G135:K135,$G$38:$G$46,$I$38:$I$46,,0,1))</f>
        <v>10011100101001011010</v>
      </c>
      <c r="F135" s="24"/>
      <c r="G135" s="40" t="s">
        <v>45</v>
      </c>
      <c r="H135" s="40" t="s">
        <v>31</v>
      </c>
      <c r="I135" s="40" t="s">
        <v>47</v>
      </c>
      <c r="J135" s="40" t="s">
        <v>37</v>
      </c>
      <c r="K135" s="40" t="s">
        <v>47</v>
      </c>
    </row>
    <row r="136" spans="2:11" ht="24.95" customHeight="1">
      <c r="B136" s="2">
        <v>38</v>
      </c>
      <c r="C136" s="2">
        <v>2</v>
      </c>
      <c r="D136" s="3">
        <v>5</v>
      </c>
      <c r="E136" s="1" t="str" cm="1">
        <f t="array" ref="E136">_xlfn.CONCAT(_xlfn.XLOOKUP(G136:K136,$G$38:$G$46,$I$38:$I$46,,0,1))</f>
        <v>10100101101010010110</v>
      </c>
      <c r="F136" s="24"/>
      <c r="G136" s="40" t="s">
        <v>47</v>
      </c>
      <c r="H136" s="40" t="s">
        <v>37</v>
      </c>
      <c r="I136" s="40" t="s">
        <v>47</v>
      </c>
      <c r="J136" s="40" t="s">
        <v>45</v>
      </c>
      <c r="K136" s="40" t="s">
        <v>41</v>
      </c>
    </row>
    <row r="137" spans="2:11" ht="24.95" customHeight="1">
      <c r="B137" s="2">
        <v>39</v>
      </c>
      <c r="C137" s="2">
        <v>2</v>
      </c>
      <c r="D137" s="3">
        <v>5</v>
      </c>
      <c r="E137" s="1" t="str" cm="1">
        <f t="array" ref="E137">_xlfn.CONCAT(_xlfn.XLOOKUP(G137:K137,$G$38:$G$46,$I$38:$I$46,,0,1))</f>
        <v>01101001100111001100</v>
      </c>
      <c r="F137" s="24"/>
      <c r="G137" s="40" t="s">
        <v>41</v>
      </c>
      <c r="H137" s="40" t="s">
        <v>45</v>
      </c>
      <c r="I137" s="40" t="s">
        <v>45</v>
      </c>
      <c r="J137" s="40" t="s">
        <v>31</v>
      </c>
      <c r="K137" s="40" t="s">
        <v>31</v>
      </c>
    </row>
    <row r="138" spans="2:11" ht="24.95" customHeight="1">
      <c r="B138" s="2">
        <v>40</v>
      </c>
      <c r="C138" s="2">
        <v>2</v>
      </c>
      <c r="D138" s="3">
        <v>5</v>
      </c>
      <c r="E138" s="1" t="str" cm="1">
        <f t="array" ref="E138">_xlfn.CONCAT(_xlfn.XLOOKUP(G138:K138,$G$38:$G$46,$I$38:$I$46,,0,1))</f>
        <v>10010011011000111001</v>
      </c>
      <c r="F138" s="24"/>
      <c r="G138" s="40" t="s">
        <v>45</v>
      </c>
      <c r="H138" s="40" t="s">
        <v>34</v>
      </c>
      <c r="I138" s="40" t="s">
        <v>41</v>
      </c>
      <c r="J138" s="40" t="s">
        <v>34</v>
      </c>
      <c r="K138" s="40" t="s">
        <v>45</v>
      </c>
    </row>
    <row r="139" spans="2:11" ht="15" customHeight="1" thickBot="1"/>
    <row r="140" spans="2:11" ht="22.5" customHeight="1" thickBot="1">
      <c r="B140" s="34" t="s">
        <v>103</v>
      </c>
      <c r="C140" s="22" t="s">
        <v>104</v>
      </c>
      <c r="D140" s="38" t="s">
        <v>105</v>
      </c>
    </row>
    <row r="141" spans="2:11" ht="15" customHeight="1"/>
    <row r="142" spans="2:11" ht="15" customHeight="1">
      <c r="B142" s="13" t="s">
        <v>106</v>
      </c>
      <c r="C142" s="31"/>
      <c r="D142" s="13"/>
    </row>
    <row r="143" spans="2:11" ht="15" customHeight="1">
      <c r="B143" s="60" t="s">
        <v>107</v>
      </c>
    </row>
    <row r="144" spans="2:11" ht="15" customHeight="1">
      <c r="B144" s="13"/>
    </row>
    <row r="145" spans="2:37" ht="15" customHeight="1">
      <c r="B145" s="60" t="s">
        <v>108</v>
      </c>
    </row>
    <row r="146" spans="2:37" ht="15" customHeight="1">
      <c r="B146" s="13" t="s">
        <v>109</v>
      </c>
    </row>
    <row r="147" spans="2:37" ht="15" customHeight="1">
      <c r="B147" s="13" t="s">
        <v>110</v>
      </c>
    </row>
    <row r="148" spans="2:37" ht="15" customHeight="1">
      <c r="B148" s="13" t="s">
        <v>111</v>
      </c>
    </row>
    <row r="149" spans="2:37" ht="15" customHeight="1">
      <c r="B149" s="13" t="s">
        <v>112</v>
      </c>
    </row>
    <row r="150" spans="2:37" ht="15" customHeight="1">
      <c r="B150" s="13" t="s">
        <v>113</v>
      </c>
    </row>
    <row r="151" spans="2:37" ht="15" customHeight="1">
      <c r="B151" s="13" t="s">
        <v>114</v>
      </c>
    </row>
    <row r="152" spans="2:37" ht="15" customHeight="1">
      <c r="B152" s="13" t="s">
        <v>115</v>
      </c>
    </row>
    <row r="153" spans="2:37" ht="15" customHeight="1">
      <c r="B153" s="13" t="s">
        <v>116</v>
      </c>
    </row>
    <row r="154" spans="2:37" ht="15" customHeight="1">
      <c r="B154" s="30"/>
    </row>
    <row r="155" spans="2:37" ht="15" customHeight="1">
      <c r="B155" s="60" t="s">
        <v>82</v>
      </c>
    </row>
    <row r="156" spans="2:37" ht="15" customHeight="1">
      <c r="B156" s="31" t="s">
        <v>117</v>
      </c>
    </row>
    <row r="157" spans="2:37" ht="15" customHeight="1">
      <c r="B157" s="31" t="s">
        <v>118</v>
      </c>
    </row>
    <row r="158" spans="2:37" ht="15" customHeight="1">
      <c r="B158" s="31" t="s">
        <v>119</v>
      </c>
    </row>
    <row r="160" spans="2:37" ht="22.5" customHeight="1" thickBot="1">
      <c r="H160" s="18" t="s">
        <v>100</v>
      </c>
      <c r="I160" s="19"/>
      <c r="J160" s="80"/>
      <c r="K160" s="80"/>
      <c r="L160" s="81"/>
      <c r="M160" s="18"/>
      <c r="N160" s="19"/>
      <c r="O160" s="80"/>
      <c r="P160" s="80"/>
      <c r="Q160" s="81"/>
      <c r="R160" s="18"/>
      <c r="S160" s="19"/>
      <c r="T160" s="80"/>
      <c r="U160" s="80"/>
      <c r="V160" s="81"/>
      <c r="W160" s="18"/>
      <c r="X160" s="19"/>
      <c r="Y160" s="80"/>
      <c r="Z160" s="80"/>
      <c r="AA160" s="81"/>
      <c r="AB160" s="18"/>
      <c r="AC160" s="19"/>
      <c r="AD160" s="80"/>
      <c r="AE160" s="80"/>
      <c r="AF160" s="81"/>
      <c r="AG160" s="18"/>
      <c r="AH160" s="19"/>
      <c r="AI160" s="80"/>
      <c r="AJ160" s="80"/>
      <c r="AK160" s="81"/>
    </row>
    <row r="161" spans="2:37" s="27" customFormat="1" ht="22.5" customHeight="1" thickBot="1">
      <c r="B161" s="17" t="s">
        <v>59</v>
      </c>
      <c r="C161" s="20" t="s">
        <v>87</v>
      </c>
      <c r="D161" s="17" t="s">
        <v>61</v>
      </c>
      <c r="E161" s="25" t="s">
        <v>62</v>
      </c>
      <c r="F161" s="13"/>
      <c r="G161" s="86" t="s">
        <v>120</v>
      </c>
      <c r="H161" s="106">
        <v>1</v>
      </c>
      <c r="I161" s="106">
        <v>2</v>
      </c>
      <c r="J161" s="107">
        <v>3</v>
      </c>
      <c r="K161" s="107">
        <v>4</v>
      </c>
      <c r="L161" s="107">
        <v>5</v>
      </c>
      <c r="M161" s="106">
        <v>6</v>
      </c>
      <c r="N161" s="106">
        <v>7</v>
      </c>
      <c r="O161" s="107">
        <v>8</v>
      </c>
      <c r="P161" s="107">
        <v>9</v>
      </c>
      <c r="Q161" s="107">
        <v>10</v>
      </c>
      <c r="R161" s="106">
        <v>11</v>
      </c>
      <c r="S161" s="106">
        <v>12</v>
      </c>
      <c r="T161" s="107">
        <v>13</v>
      </c>
      <c r="U161" s="107">
        <v>14</v>
      </c>
      <c r="V161" s="107">
        <v>15</v>
      </c>
      <c r="W161" s="106">
        <v>16</v>
      </c>
      <c r="X161" s="106">
        <v>17</v>
      </c>
      <c r="Y161" s="107">
        <v>18</v>
      </c>
      <c r="Z161" s="107">
        <v>19</v>
      </c>
      <c r="AA161" s="107">
        <v>20</v>
      </c>
      <c r="AB161" s="106">
        <v>21</v>
      </c>
      <c r="AC161" s="106">
        <v>22</v>
      </c>
      <c r="AD161" s="107">
        <v>23</v>
      </c>
      <c r="AE161" s="107">
        <v>24</v>
      </c>
      <c r="AF161" s="107">
        <v>25</v>
      </c>
      <c r="AG161" s="106">
        <v>26</v>
      </c>
      <c r="AH161" s="106">
        <v>27</v>
      </c>
      <c r="AI161" s="107">
        <v>28</v>
      </c>
      <c r="AJ161" s="107">
        <v>29</v>
      </c>
      <c r="AK161" s="81">
        <v>30</v>
      </c>
    </row>
    <row r="162" spans="2:37" ht="15" customHeight="1">
      <c r="G162" s="36"/>
      <c r="K162" s="5"/>
      <c r="L162" s="5"/>
      <c r="N162" s="37"/>
      <c r="O162" s="37"/>
      <c r="P162" s="37"/>
      <c r="Q162" s="37"/>
      <c r="R162" s="37"/>
      <c r="S162" s="37"/>
      <c r="T162" s="37"/>
    </row>
    <row r="163" spans="2:37" ht="24.95" customHeight="1">
      <c r="B163" s="9" t="s">
        <v>121</v>
      </c>
      <c r="C163" s="2">
        <v>3</v>
      </c>
      <c r="D163" s="10">
        <v>0</v>
      </c>
      <c r="E163" s="1">
        <v>14</v>
      </c>
      <c r="F163" s="24"/>
      <c r="G163" s="40" t="s">
        <v>122</v>
      </c>
      <c r="H163" s="40" t="s">
        <v>31</v>
      </c>
      <c r="I163" s="40" t="s">
        <v>37</v>
      </c>
      <c r="J163" s="40" t="s">
        <v>45</v>
      </c>
      <c r="K163" s="40" t="s">
        <v>34</v>
      </c>
      <c r="L163" s="40" t="s">
        <v>41</v>
      </c>
      <c r="M163" s="40" t="s">
        <v>31</v>
      </c>
      <c r="N163" s="40" t="s">
        <v>47</v>
      </c>
      <c r="O163" s="40" t="s">
        <v>45</v>
      </c>
      <c r="P163" s="40" t="s">
        <v>45</v>
      </c>
      <c r="Q163" s="40" t="s">
        <v>37</v>
      </c>
      <c r="R163" s="40" t="s">
        <v>45</v>
      </c>
      <c r="S163" s="40" t="s">
        <v>31</v>
      </c>
      <c r="T163" s="40" t="s">
        <v>34</v>
      </c>
      <c r="U163" s="40" t="s">
        <v>47</v>
      </c>
      <c r="V163" s="40" t="s">
        <v>47</v>
      </c>
      <c r="W163" s="40" t="s">
        <v>37</v>
      </c>
      <c r="X163" s="40" t="s">
        <v>41</v>
      </c>
      <c r="Y163" s="40" t="s">
        <v>31</v>
      </c>
      <c r="Z163" s="40" t="s">
        <v>47</v>
      </c>
      <c r="AA163" s="40" t="s">
        <v>41</v>
      </c>
      <c r="AB163" s="40" t="s">
        <v>45</v>
      </c>
      <c r="AC163" s="40" t="s">
        <v>41</v>
      </c>
      <c r="AD163" s="40" t="s">
        <v>37</v>
      </c>
      <c r="AE163" s="40" t="s">
        <v>37</v>
      </c>
      <c r="AF163" s="40" t="s">
        <v>47</v>
      </c>
      <c r="AG163" s="40" t="s">
        <v>41</v>
      </c>
      <c r="AH163" s="40" t="s">
        <v>47</v>
      </c>
      <c r="AI163" s="40" t="s">
        <v>37</v>
      </c>
      <c r="AJ163" s="40" t="s">
        <v>31</v>
      </c>
      <c r="AK163" s="40" t="s">
        <v>34</v>
      </c>
    </row>
    <row r="164" spans="2:37" ht="15" customHeight="1"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2:37" ht="24.95" customHeight="1">
      <c r="B165" s="2">
        <v>41</v>
      </c>
      <c r="C165" s="2">
        <v>3</v>
      </c>
      <c r="D165" s="3">
        <v>6</v>
      </c>
      <c r="E165" s="1" cm="1">
        <f t="array" ref="E165">SUM(--(MID(_xlfn.XLOOKUP(H165:AK165,$G$38:$G$46,$I$38:$I$46,,0,1), FIND("1",G165),1)= "1"))</f>
        <v>21</v>
      </c>
      <c r="F165" s="24"/>
      <c r="G165" s="40" t="s">
        <v>123</v>
      </c>
      <c r="H165" s="40" t="s">
        <v>47</v>
      </c>
      <c r="I165" s="40" t="s">
        <v>34</v>
      </c>
      <c r="J165" s="40" t="s">
        <v>31</v>
      </c>
      <c r="K165" s="40" t="s">
        <v>41</v>
      </c>
      <c r="L165" s="40" t="s">
        <v>45</v>
      </c>
      <c r="M165" s="40" t="s">
        <v>31</v>
      </c>
      <c r="N165" s="40" t="s">
        <v>41</v>
      </c>
      <c r="O165" s="40" t="s">
        <v>47</v>
      </c>
      <c r="P165" s="40" t="s">
        <v>47</v>
      </c>
      <c r="Q165" s="40" t="s">
        <v>34</v>
      </c>
      <c r="R165" s="40" t="s">
        <v>34</v>
      </c>
      <c r="S165" s="40" t="s">
        <v>45</v>
      </c>
      <c r="T165" s="40" t="s">
        <v>34</v>
      </c>
      <c r="U165" s="40" t="s">
        <v>34</v>
      </c>
      <c r="V165" s="40" t="s">
        <v>45</v>
      </c>
      <c r="W165" s="40" t="s">
        <v>47</v>
      </c>
      <c r="X165" s="40" t="s">
        <v>41</v>
      </c>
      <c r="Y165" s="40" t="s">
        <v>47</v>
      </c>
      <c r="Z165" s="40" t="s">
        <v>37</v>
      </c>
      <c r="AA165" s="40" t="s">
        <v>47</v>
      </c>
      <c r="AB165" s="40" t="s">
        <v>34</v>
      </c>
      <c r="AC165" s="40" t="s">
        <v>47</v>
      </c>
      <c r="AD165" s="40" t="s">
        <v>47</v>
      </c>
      <c r="AE165" s="40" t="s">
        <v>34</v>
      </c>
      <c r="AF165" s="40" t="s">
        <v>37</v>
      </c>
      <c r="AG165" s="40" t="s">
        <v>47</v>
      </c>
      <c r="AH165" s="40" t="s">
        <v>47</v>
      </c>
      <c r="AI165" s="40" t="s">
        <v>37</v>
      </c>
      <c r="AJ165" s="40" t="s">
        <v>37</v>
      </c>
      <c r="AK165" s="40" t="s">
        <v>47</v>
      </c>
    </row>
    <row r="166" spans="2:37" ht="24.95" customHeight="1">
      <c r="B166" s="2">
        <v>42</v>
      </c>
      <c r="C166" s="2">
        <v>3</v>
      </c>
      <c r="D166" s="3">
        <v>6</v>
      </c>
      <c r="E166" s="1" cm="1">
        <f t="array" ref="E166">SUM(--(MID(_xlfn.XLOOKUP(H166:AK166,$G$38:$G$46,$I$38:$I$46,,0,1), FIND("1",G166),1)= "1"))</f>
        <v>16</v>
      </c>
      <c r="F166" s="24"/>
      <c r="G166" s="40" t="s">
        <v>123</v>
      </c>
      <c r="H166" s="40" t="s">
        <v>47</v>
      </c>
      <c r="I166" s="40" t="s">
        <v>37</v>
      </c>
      <c r="J166" s="40" t="s">
        <v>34</v>
      </c>
      <c r="K166" s="40" t="s">
        <v>37</v>
      </c>
      <c r="L166" s="40" t="s">
        <v>31</v>
      </c>
      <c r="M166" s="40" t="s">
        <v>41</v>
      </c>
      <c r="N166" s="40" t="s">
        <v>31</v>
      </c>
      <c r="O166" s="40" t="s">
        <v>45</v>
      </c>
      <c r="P166" s="40" t="s">
        <v>45</v>
      </c>
      <c r="Q166" s="40" t="s">
        <v>31</v>
      </c>
      <c r="R166" s="40" t="s">
        <v>47</v>
      </c>
      <c r="S166" s="40" t="s">
        <v>45</v>
      </c>
      <c r="T166" s="40" t="s">
        <v>47</v>
      </c>
      <c r="U166" s="40" t="s">
        <v>31</v>
      </c>
      <c r="V166" s="40" t="s">
        <v>41</v>
      </c>
      <c r="W166" s="40" t="s">
        <v>41</v>
      </c>
      <c r="X166" s="40" t="s">
        <v>41</v>
      </c>
      <c r="Y166" s="40" t="s">
        <v>47</v>
      </c>
      <c r="Z166" s="40" t="s">
        <v>37</v>
      </c>
      <c r="AA166" s="40" t="s">
        <v>41</v>
      </c>
      <c r="AB166" s="40" t="s">
        <v>31</v>
      </c>
      <c r="AC166" s="40" t="s">
        <v>34</v>
      </c>
      <c r="AD166" s="40" t="s">
        <v>37</v>
      </c>
      <c r="AE166" s="40" t="s">
        <v>47</v>
      </c>
      <c r="AF166" s="40" t="s">
        <v>37</v>
      </c>
      <c r="AG166" s="40" t="s">
        <v>37</v>
      </c>
      <c r="AH166" s="40" t="s">
        <v>34</v>
      </c>
      <c r="AI166" s="40" t="s">
        <v>34</v>
      </c>
      <c r="AJ166" s="40" t="s">
        <v>34</v>
      </c>
      <c r="AK166" s="40" t="s">
        <v>34</v>
      </c>
    </row>
    <row r="167" spans="2:37" ht="24.95" customHeight="1">
      <c r="B167" s="2">
        <v>43</v>
      </c>
      <c r="C167" s="2">
        <v>3</v>
      </c>
      <c r="D167" s="3">
        <v>6</v>
      </c>
      <c r="E167" s="1" cm="1">
        <f t="array" ref="E167">SUM(--(MID(_xlfn.XLOOKUP(H167:AK167,$G$38:$G$46,$I$38:$I$46,,0,1), FIND("1",G167),1)= "1"))</f>
        <v>22</v>
      </c>
      <c r="F167" s="24"/>
      <c r="G167" s="40" t="s">
        <v>123</v>
      </c>
      <c r="H167" s="40" t="s">
        <v>34</v>
      </c>
      <c r="I167" s="40" t="s">
        <v>41</v>
      </c>
      <c r="J167" s="40" t="s">
        <v>34</v>
      </c>
      <c r="K167" s="40" t="s">
        <v>41</v>
      </c>
      <c r="L167" s="40" t="s">
        <v>47</v>
      </c>
      <c r="M167" s="40" t="s">
        <v>47</v>
      </c>
      <c r="N167" s="40" t="s">
        <v>47</v>
      </c>
      <c r="O167" s="40" t="s">
        <v>47</v>
      </c>
      <c r="P167" s="40" t="s">
        <v>47</v>
      </c>
      <c r="Q167" s="40" t="s">
        <v>41</v>
      </c>
      <c r="R167" s="40" t="s">
        <v>47</v>
      </c>
      <c r="S167" s="40" t="s">
        <v>41</v>
      </c>
      <c r="T167" s="40" t="s">
        <v>31</v>
      </c>
      <c r="U167" s="40" t="s">
        <v>31</v>
      </c>
      <c r="V167" s="40" t="s">
        <v>41</v>
      </c>
      <c r="W167" s="40" t="s">
        <v>41</v>
      </c>
      <c r="X167" s="40" t="s">
        <v>45</v>
      </c>
      <c r="Y167" s="40" t="s">
        <v>34</v>
      </c>
      <c r="Z167" s="40" t="s">
        <v>34</v>
      </c>
      <c r="AA167" s="40" t="s">
        <v>37</v>
      </c>
      <c r="AB167" s="40" t="s">
        <v>34</v>
      </c>
      <c r="AC167" s="40" t="s">
        <v>41</v>
      </c>
      <c r="AD167" s="40" t="s">
        <v>41</v>
      </c>
      <c r="AE167" s="40" t="s">
        <v>31</v>
      </c>
      <c r="AF167" s="40" t="s">
        <v>45</v>
      </c>
      <c r="AG167" s="40" t="s">
        <v>41</v>
      </c>
      <c r="AH167" s="40" t="s">
        <v>31</v>
      </c>
      <c r="AI167" s="40" t="s">
        <v>45</v>
      </c>
      <c r="AJ167" s="40" t="s">
        <v>47</v>
      </c>
      <c r="AK167" s="40" t="s">
        <v>34</v>
      </c>
    </row>
    <row r="168" spans="2:37" ht="24.95" customHeight="1">
      <c r="B168" s="2">
        <v>44</v>
      </c>
      <c r="C168" s="2">
        <v>3</v>
      </c>
      <c r="D168" s="3">
        <v>6</v>
      </c>
      <c r="E168" s="1" cm="1">
        <f t="array" ref="E168">SUM(--(MID(_xlfn.XLOOKUP(H168:AK168,$G$38:$G$46,$I$38:$I$46,,0,1), FIND("1",G168),1)= "1"))</f>
        <v>12</v>
      </c>
      <c r="F168" s="24"/>
      <c r="G168" s="40" t="s">
        <v>124</v>
      </c>
      <c r="H168" s="40" t="s">
        <v>34</v>
      </c>
      <c r="I168" s="40" t="s">
        <v>45</v>
      </c>
      <c r="J168" s="40" t="s">
        <v>41</v>
      </c>
      <c r="K168" s="40" t="s">
        <v>45</v>
      </c>
      <c r="L168" s="40" t="s">
        <v>41</v>
      </c>
      <c r="M168" s="40" t="s">
        <v>37</v>
      </c>
      <c r="N168" s="40" t="s">
        <v>34</v>
      </c>
      <c r="O168" s="40" t="s">
        <v>45</v>
      </c>
      <c r="P168" s="40" t="s">
        <v>41</v>
      </c>
      <c r="Q168" s="40" t="s">
        <v>41</v>
      </c>
      <c r="R168" s="40" t="s">
        <v>31</v>
      </c>
      <c r="S168" s="40" t="s">
        <v>41</v>
      </c>
      <c r="T168" s="40" t="s">
        <v>31</v>
      </c>
      <c r="U168" s="40" t="s">
        <v>41</v>
      </c>
      <c r="V168" s="40" t="s">
        <v>47</v>
      </c>
      <c r="W168" s="40" t="s">
        <v>41</v>
      </c>
      <c r="X168" s="40" t="s">
        <v>37</v>
      </c>
      <c r="Y168" s="40" t="s">
        <v>45</v>
      </c>
      <c r="Z168" s="40" t="s">
        <v>34</v>
      </c>
      <c r="AA168" s="40" t="s">
        <v>41</v>
      </c>
      <c r="AB168" s="40" t="s">
        <v>34</v>
      </c>
      <c r="AC168" s="40" t="s">
        <v>37</v>
      </c>
      <c r="AD168" s="40" t="s">
        <v>45</v>
      </c>
      <c r="AE168" s="40" t="s">
        <v>45</v>
      </c>
      <c r="AF168" s="40" t="s">
        <v>47</v>
      </c>
      <c r="AG168" s="40" t="s">
        <v>34</v>
      </c>
      <c r="AH168" s="40" t="s">
        <v>47</v>
      </c>
      <c r="AI168" s="40" t="s">
        <v>41</v>
      </c>
      <c r="AJ168" s="40" t="s">
        <v>31</v>
      </c>
      <c r="AK168" s="40" t="s">
        <v>41</v>
      </c>
    </row>
    <row r="169" spans="2:37" ht="24.95" customHeight="1">
      <c r="B169" s="2">
        <v>45</v>
      </c>
      <c r="C169" s="2">
        <v>3</v>
      </c>
      <c r="D169" s="3">
        <v>6</v>
      </c>
      <c r="E169" s="1" cm="1">
        <f t="array" ref="E169">SUM(--(MID(_xlfn.XLOOKUP(H169:AK169,$G$38:$G$46,$I$38:$I$46,,0,1), FIND("1",G169),1)= "1"))</f>
        <v>17</v>
      </c>
      <c r="F169" s="24"/>
      <c r="G169" s="40" t="s">
        <v>122</v>
      </c>
      <c r="H169" s="40" t="s">
        <v>37</v>
      </c>
      <c r="I169" s="40" t="s">
        <v>47</v>
      </c>
      <c r="J169" s="40" t="s">
        <v>47</v>
      </c>
      <c r="K169" s="40" t="s">
        <v>37</v>
      </c>
      <c r="L169" s="40" t="s">
        <v>31</v>
      </c>
      <c r="M169" s="40" t="s">
        <v>37</v>
      </c>
      <c r="N169" s="40" t="s">
        <v>37</v>
      </c>
      <c r="O169" s="40" t="s">
        <v>41</v>
      </c>
      <c r="P169" s="40" t="s">
        <v>45</v>
      </c>
      <c r="Q169" s="40" t="s">
        <v>34</v>
      </c>
      <c r="R169" s="40" t="s">
        <v>34</v>
      </c>
      <c r="S169" s="40" t="s">
        <v>47</v>
      </c>
      <c r="T169" s="40" t="s">
        <v>37</v>
      </c>
      <c r="U169" s="40" t="s">
        <v>41</v>
      </c>
      <c r="V169" s="40" t="s">
        <v>37</v>
      </c>
      <c r="W169" s="40" t="s">
        <v>47</v>
      </c>
      <c r="X169" s="40" t="s">
        <v>34</v>
      </c>
      <c r="Y169" s="40" t="s">
        <v>37</v>
      </c>
      <c r="Z169" s="40" t="s">
        <v>34</v>
      </c>
      <c r="AA169" s="40" t="s">
        <v>41</v>
      </c>
      <c r="AB169" s="40" t="s">
        <v>47</v>
      </c>
      <c r="AC169" s="40" t="s">
        <v>37</v>
      </c>
      <c r="AD169" s="40" t="s">
        <v>45</v>
      </c>
      <c r="AE169" s="40" t="s">
        <v>45</v>
      </c>
      <c r="AF169" s="40" t="s">
        <v>34</v>
      </c>
      <c r="AG169" s="40" t="s">
        <v>47</v>
      </c>
      <c r="AH169" s="40" t="s">
        <v>45</v>
      </c>
      <c r="AI169" s="40" t="s">
        <v>47</v>
      </c>
      <c r="AJ169" s="40" t="s">
        <v>31</v>
      </c>
      <c r="AK169" s="40" t="s">
        <v>47</v>
      </c>
    </row>
    <row r="170" spans="2:37" ht="24.95" customHeight="1">
      <c r="B170" s="2">
        <v>46</v>
      </c>
      <c r="C170" s="2">
        <v>3</v>
      </c>
      <c r="D170" s="3">
        <v>6</v>
      </c>
      <c r="E170" s="1" cm="1">
        <f t="array" ref="E170">SUM(--(MID(_xlfn.XLOOKUP(H170:AK170,$G$38:$G$46,$I$38:$I$46,,0,1), FIND("1",G170),1)= "1"))</f>
        <v>14</v>
      </c>
      <c r="F170" s="24"/>
      <c r="G170" s="40" t="s">
        <v>124</v>
      </c>
      <c r="H170" s="40" t="s">
        <v>37</v>
      </c>
      <c r="I170" s="40" t="s">
        <v>37</v>
      </c>
      <c r="J170" s="40" t="s">
        <v>34</v>
      </c>
      <c r="K170" s="40" t="s">
        <v>45</v>
      </c>
      <c r="L170" s="40" t="s">
        <v>37</v>
      </c>
      <c r="M170" s="40" t="s">
        <v>47</v>
      </c>
      <c r="N170" s="40" t="s">
        <v>31</v>
      </c>
      <c r="O170" s="40" t="s">
        <v>47</v>
      </c>
      <c r="P170" s="40" t="s">
        <v>45</v>
      </c>
      <c r="Q170" s="40" t="s">
        <v>37</v>
      </c>
      <c r="R170" s="40" t="s">
        <v>37</v>
      </c>
      <c r="S170" s="40" t="s">
        <v>47</v>
      </c>
      <c r="T170" s="40" t="s">
        <v>37</v>
      </c>
      <c r="U170" s="40" t="s">
        <v>37</v>
      </c>
      <c r="V170" s="40" t="s">
        <v>37</v>
      </c>
      <c r="W170" s="40" t="s">
        <v>47</v>
      </c>
      <c r="X170" s="40" t="s">
        <v>31</v>
      </c>
      <c r="Y170" s="40" t="s">
        <v>45</v>
      </c>
      <c r="Z170" s="40" t="s">
        <v>47</v>
      </c>
      <c r="AA170" s="40" t="s">
        <v>34</v>
      </c>
      <c r="AB170" s="40" t="s">
        <v>37</v>
      </c>
      <c r="AC170" s="40" t="s">
        <v>31</v>
      </c>
      <c r="AD170" s="40" t="s">
        <v>37</v>
      </c>
      <c r="AE170" s="40" t="s">
        <v>31</v>
      </c>
      <c r="AF170" s="40" t="s">
        <v>41</v>
      </c>
      <c r="AG170" s="40" t="s">
        <v>47</v>
      </c>
      <c r="AH170" s="40" t="s">
        <v>37</v>
      </c>
      <c r="AI170" s="40" t="s">
        <v>31</v>
      </c>
      <c r="AJ170" s="40" t="s">
        <v>41</v>
      </c>
      <c r="AK170" s="40" t="s">
        <v>37</v>
      </c>
    </row>
    <row r="171" spans="2:37" ht="24.95" customHeight="1">
      <c r="B171" s="2">
        <v>47</v>
      </c>
      <c r="C171" s="2">
        <v>3</v>
      </c>
      <c r="D171" s="3">
        <v>6</v>
      </c>
      <c r="E171" s="1" cm="1">
        <f t="array" ref="E171">SUM(--(MID(_xlfn.XLOOKUP(H171:AK171,$G$38:$G$46,$I$38:$I$46,,0,1), FIND("1",G171),1)= "1"))</f>
        <v>13</v>
      </c>
      <c r="F171" s="24"/>
      <c r="G171" s="40" t="s">
        <v>125</v>
      </c>
      <c r="H171" s="40" t="s">
        <v>45</v>
      </c>
      <c r="I171" s="40" t="s">
        <v>34</v>
      </c>
      <c r="J171" s="40" t="s">
        <v>45</v>
      </c>
      <c r="K171" s="40" t="s">
        <v>34</v>
      </c>
      <c r="L171" s="40" t="s">
        <v>47</v>
      </c>
      <c r="M171" s="40" t="s">
        <v>47</v>
      </c>
      <c r="N171" s="40" t="s">
        <v>45</v>
      </c>
      <c r="O171" s="40" t="s">
        <v>31</v>
      </c>
      <c r="P171" s="40" t="s">
        <v>41</v>
      </c>
      <c r="Q171" s="40" t="s">
        <v>41</v>
      </c>
      <c r="R171" s="40" t="s">
        <v>47</v>
      </c>
      <c r="S171" s="40" t="s">
        <v>34</v>
      </c>
      <c r="T171" s="40" t="s">
        <v>31</v>
      </c>
      <c r="U171" s="40" t="s">
        <v>41</v>
      </c>
      <c r="V171" s="40" t="s">
        <v>34</v>
      </c>
      <c r="W171" s="40" t="s">
        <v>37</v>
      </c>
      <c r="X171" s="40" t="s">
        <v>47</v>
      </c>
      <c r="Y171" s="40" t="s">
        <v>47</v>
      </c>
      <c r="Z171" s="40" t="s">
        <v>47</v>
      </c>
      <c r="AA171" s="40" t="s">
        <v>45</v>
      </c>
      <c r="AB171" s="40" t="s">
        <v>41</v>
      </c>
      <c r="AC171" s="40" t="s">
        <v>31</v>
      </c>
      <c r="AD171" s="40" t="s">
        <v>37</v>
      </c>
      <c r="AE171" s="40" t="s">
        <v>45</v>
      </c>
      <c r="AF171" s="40" t="s">
        <v>34</v>
      </c>
      <c r="AG171" s="40" t="s">
        <v>47</v>
      </c>
      <c r="AH171" s="40" t="s">
        <v>31</v>
      </c>
      <c r="AI171" s="40" t="s">
        <v>41</v>
      </c>
      <c r="AJ171" s="40" t="s">
        <v>37</v>
      </c>
      <c r="AK171" s="40" t="s">
        <v>41</v>
      </c>
    </row>
    <row r="172" spans="2:37" ht="24.95" customHeight="1">
      <c r="B172" s="2">
        <v>48</v>
      </c>
      <c r="C172" s="2">
        <v>3</v>
      </c>
      <c r="D172" s="3">
        <v>6</v>
      </c>
      <c r="E172" s="1" cm="1">
        <f t="array" ref="E172">SUM(--(MID(_xlfn.XLOOKUP(H172:AK172,$G$38:$G$46,$I$38:$I$46,,0,1), FIND("1",G172),1)= "1"))</f>
        <v>13</v>
      </c>
      <c r="F172" s="24"/>
      <c r="G172" s="40" t="s">
        <v>122</v>
      </c>
      <c r="H172" s="40" t="s">
        <v>41</v>
      </c>
      <c r="I172" s="40" t="s">
        <v>41</v>
      </c>
      <c r="J172" s="40" t="s">
        <v>31</v>
      </c>
      <c r="K172" s="40" t="s">
        <v>31</v>
      </c>
      <c r="L172" s="40" t="s">
        <v>31</v>
      </c>
      <c r="M172" s="40" t="s">
        <v>37</v>
      </c>
      <c r="N172" s="40" t="s">
        <v>47</v>
      </c>
      <c r="O172" s="40" t="s">
        <v>31</v>
      </c>
      <c r="P172" s="40" t="s">
        <v>47</v>
      </c>
      <c r="Q172" s="40" t="s">
        <v>45</v>
      </c>
      <c r="R172" s="40" t="s">
        <v>41</v>
      </c>
      <c r="S172" s="40" t="s">
        <v>37</v>
      </c>
      <c r="T172" s="40" t="s">
        <v>45</v>
      </c>
      <c r="U172" s="40" t="s">
        <v>31</v>
      </c>
      <c r="V172" s="40" t="s">
        <v>37</v>
      </c>
      <c r="W172" s="40" t="s">
        <v>37</v>
      </c>
      <c r="X172" s="40" t="s">
        <v>41</v>
      </c>
      <c r="Y172" s="40" t="s">
        <v>45</v>
      </c>
      <c r="Z172" s="40" t="s">
        <v>31</v>
      </c>
      <c r="AA172" s="40" t="s">
        <v>34</v>
      </c>
      <c r="AB172" s="40" t="s">
        <v>37</v>
      </c>
      <c r="AC172" s="40" t="s">
        <v>41</v>
      </c>
      <c r="AD172" s="40" t="s">
        <v>34</v>
      </c>
      <c r="AE172" s="40" t="s">
        <v>34</v>
      </c>
      <c r="AF172" s="40" t="s">
        <v>41</v>
      </c>
      <c r="AG172" s="40" t="s">
        <v>41</v>
      </c>
      <c r="AH172" s="40" t="s">
        <v>34</v>
      </c>
      <c r="AI172" s="40" t="s">
        <v>34</v>
      </c>
      <c r="AJ172" s="40" t="s">
        <v>47</v>
      </c>
      <c r="AK172" s="40" t="s">
        <v>47</v>
      </c>
    </row>
    <row r="173" spans="2:37" ht="24.95" customHeight="1">
      <c r="B173" s="2">
        <v>49</v>
      </c>
      <c r="C173" s="2">
        <v>3</v>
      </c>
      <c r="D173" s="3">
        <v>6</v>
      </c>
      <c r="E173" s="1" cm="1">
        <f t="array" ref="E173">SUM(--(MID(_xlfn.XLOOKUP(H173:AK173,$G$38:$G$46,$I$38:$I$46,,0,1), FIND("1",G173),1)= "1"))</f>
        <v>19</v>
      </c>
      <c r="F173" s="24"/>
      <c r="G173" s="40" t="s">
        <v>123</v>
      </c>
      <c r="H173" s="40" t="s">
        <v>47</v>
      </c>
      <c r="I173" s="40" t="s">
        <v>47</v>
      </c>
      <c r="J173" s="40" t="s">
        <v>41</v>
      </c>
      <c r="K173" s="40" t="s">
        <v>31</v>
      </c>
      <c r="L173" s="40" t="s">
        <v>45</v>
      </c>
      <c r="M173" s="40" t="s">
        <v>41</v>
      </c>
      <c r="N173" s="40" t="s">
        <v>45</v>
      </c>
      <c r="O173" s="40" t="s">
        <v>37</v>
      </c>
      <c r="P173" s="40" t="s">
        <v>34</v>
      </c>
      <c r="Q173" s="40" t="s">
        <v>31</v>
      </c>
      <c r="R173" s="40" t="s">
        <v>47</v>
      </c>
      <c r="S173" s="40" t="s">
        <v>45</v>
      </c>
      <c r="T173" s="40" t="s">
        <v>34</v>
      </c>
      <c r="U173" s="40" t="s">
        <v>34</v>
      </c>
      <c r="V173" s="40" t="s">
        <v>34</v>
      </c>
      <c r="W173" s="40" t="s">
        <v>41</v>
      </c>
      <c r="X173" s="40" t="s">
        <v>41</v>
      </c>
      <c r="Y173" s="40" t="s">
        <v>37</v>
      </c>
      <c r="Z173" s="40" t="s">
        <v>45</v>
      </c>
      <c r="AA173" s="40" t="s">
        <v>31</v>
      </c>
      <c r="AB173" s="40" t="s">
        <v>47</v>
      </c>
      <c r="AC173" s="40" t="s">
        <v>41</v>
      </c>
      <c r="AD173" s="40" t="s">
        <v>47</v>
      </c>
      <c r="AE173" s="40" t="s">
        <v>31</v>
      </c>
      <c r="AF173" s="40" t="s">
        <v>34</v>
      </c>
      <c r="AG173" s="40" t="s">
        <v>45</v>
      </c>
      <c r="AH173" s="40" t="s">
        <v>47</v>
      </c>
      <c r="AI173" s="40" t="s">
        <v>41</v>
      </c>
      <c r="AJ173" s="40" t="s">
        <v>41</v>
      </c>
      <c r="AK173" s="40" t="s">
        <v>47</v>
      </c>
    </row>
    <row r="174" spans="2:37" ht="24.95" customHeight="1">
      <c r="B174" s="2">
        <v>50</v>
      </c>
      <c r="C174" s="2">
        <v>3</v>
      </c>
      <c r="D174" s="3">
        <v>6</v>
      </c>
      <c r="E174" s="1" cm="1">
        <f t="array" ref="E174">SUM(--(MID(_xlfn.XLOOKUP(H174:AK174,$G$38:$G$46,$I$38:$I$46,,0,1), FIND("1",G174),1)= "1"))</f>
        <v>16</v>
      </c>
      <c r="F174" s="24"/>
      <c r="G174" s="40" t="s">
        <v>125</v>
      </c>
      <c r="H174" s="40" t="s">
        <v>47</v>
      </c>
      <c r="I174" s="40" t="s">
        <v>41</v>
      </c>
      <c r="J174" s="40" t="s">
        <v>31</v>
      </c>
      <c r="K174" s="40" t="s">
        <v>45</v>
      </c>
      <c r="L174" s="40" t="s">
        <v>47</v>
      </c>
      <c r="M174" s="40" t="s">
        <v>31</v>
      </c>
      <c r="N174" s="40" t="s">
        <v>37</v>
      </c>
      <c r="O174" s="40" t="s">
        <v>31</v>
      </c>
      <c r="P174" s="40" t="s">
        <v>31</v>
      </c>
      <c r="Q174" s="40" t="s">
        <v>45</v>
      </c>
      <c r="R174" s="40" t="s">
        <v>47</v>
      </c>
      <c r="S174" s="40" t="s">
        <v>31</v>
      </c>
      <c r="T174" s="40" t="s">
        <v>47</v>
      </c>
      <c r="U174" s="40" t="s">
        <v>34</v>
      </c>
      <c r="V174" s="40" t="s">
        <v>34</v>
      </c>
      <c r="W174" s="40" t="s">
        <v>31</v>
      </c>
      <c r="X174" s="40" t="s">
        <v>31</v>
      </c>
      <c r="Y174" s="40" t="s">
        <v>34</v>
      </c>
      <c r="Z174" s="40" t="s">
        <v>41</v>
      </c>
      <c r="AA174" s="40" t="s">
        <v>37</v>
      </c>
      <c r="AB174" s="40" t="s">
        <v>31</v>
      </c>
      <c r="AC174" s="40" t="s">
        <v>47</v>
      </c>
      <c r="AD174" s="40" t="s">
        <v>41</v>
      </c>
      <c r="AE174" s="40" t="s">
        <v>45</v>
      </c>
      <c r="AF174" s="40" t="s">
        <v>41</v>
      </c>
      <c r="AG174" s="40" t="s">
        <v>47</v>
      </c>
      <c r="AH174" s="40" t="s">
        <v>41</v>
      </c>
      <c r="AI174" s="40" t="s">
        <v>37</v>
      </c>
      <c r="AJ174" s="40" t="s">
        <v>47</v>
      </c>
      <c r="AK174" s="40" t="s">
        <v>47</v>
      </c>
    </row>
    <row r="175" spans="2:37" ht="24.95" customHeight="1">
      <c r="B175" s="2">
        <v>51</v>
      </c>
      <c r="C175" s="2">
        <v>3</v>
      </c>
      <c r="D175" s="3">
        <v>6</v>
      </c>
      <c r="E175" s="1" cm="1">
        <f t="array" ref="E175">SUM(--(MID(_xlfn.XLOOKUP(H175:AK175,$G$38:$G$46,$I$38:$I$46,,0,1), FIND("1",G175),1)= "1"))</f>
        <v>12</v>
      </c>
      <c r="F175" s="24"/>
      <c r="G175" s="40" t="s">
        <v>122</v>
      </c>
      <c r="H175" s="40" t="s">
        <v>41</v>
      </c>
      <c r="I175" s="40" t="s">
        <v>41</v>
      </c>
      <c r="J175" s="40" t="s">
        <v>41</v>
      </c>
      <c r="K175" s="40" t="s">
        <v>34</v>
      </c>
      <c r="L175" s="40" t="s">
        <v>45</v>
      </c>
      <c r="M175" s="40" t="s">
        <v>47</v>
      </c>
      <c r="N175" s="40" t="s">
        <v>47</v>
      </c>
      <c r="O175" s="40" t="s">
        <v>37</v>
      </c>
      <c r="P175" s="40" t="s">
        <v>37</v>
      </c>
      <c r="Q175" s="40" t="s">
        <v>47</v>
      </c>
      <c r="R175" s="40" t="s">
        <v>34</v>
      </c>
      <c r="S175" s="40" t="s">
        <v>41</v>
      </c>
      <c r="T175" s="40" t="s">
        <v>37</v>
      </c>
      <c r="U175" s="40" t="s">
        <v>41</v>
      </c>
      <c r="V175" s="40" t="s">
        <v>37</v>
      </c>
      <c r="W175" s="40" t="s">
        <v>37</v>
      </c>
      <c r="X175" s="40" t="s">
        <v>47</v>
      </c>
      <c r="Y175" s="40" t="s">
        <v>41</v>
      </c>
      <c r="Z175" s="40" t="s">
        <v>31</v>
      </c>
      <c r="AA175" s="40" t="s">
        <v>31</v>
      </c>
      <c r="AB175" s="40" t="s">
        <v>41</v>
      </c>
      <c r="AC175" s="40" t="s">
        <v>47</v>
      </c>
      <c r="AD175" s="40" t="s">
        <v>34</v>
      </c>
      <c r="AE175" s="40" t="s">
        <v>41</v>
      </c>
      <c r="AF175" s="40" t="s">
        <v>41</v>
      </c>
      <c r="AG175" s="40" t="s">
        <v>45</v>
      </c>
      <c r="AH175" s="40" t="s">
        <v>45</v>
      </c>
      <c r="AI175" s="40" t="s">
        <v>47</v>
      </c>
      <c r="AJ175" s="40" t="s">
        <v>37</v>
      </c>
      <c r="AK175" s="40" t="s">
        <v>47</v>
      </c>
    </row>
    <row r="176" spans="2:37" ht="24.95" customHeight="1">
      <c r="B176" s="2">
        <v>52</v>
      </c>
      <c r="C176" s="2">
        <v>3</v>
      </c>
      <c r="D176" s="3">
        <v>6</v>
      </c>
      <c r="E176" s="1" cm="1">
        <f t="array" ref="E176">SUM(--(MID(_xlfn.XLOOKUP(H176:AK176,$G$38:$G$46,$I$38:$I$46,,0,1), FIND("1",G176),1)= "1"))</f>
        <v>13</v>
      </c>
      <c r="F176" s="24"/>
      <c r="G176" s="40" t="s">
        <v>122</v>
      </c>
      <c r="H176" s="40" t="s">
        <v>37</v>
      </c>
      <c r="I176" s="40" t="s">
        <v>41</v>
      </c>
      <c r="J176" s="40" t="s">
        <v>37</v>
      </c>
      <c r="K176" s="40" t="s">
        <v>34</v>
      </c>
      <c r="L176" s="40" t="s">
        <v>31</v>
      </c>
      <c r="M176" s="40" t="s">
        <v>45</v>
      </c>
      <c r="N176" s="40" t="s">
        <v>37</v>
      </c>
      <c r="O176" s="40" t="s">
        <v>31</v>
      </c>
      <c r="P176" s="40" t="s">
        <v>41</v>
      </c>
      <c r="Q176" s="40" t="s">
        <v>34</v>
      </c>
      <c r="R176" s="40" t="s">
        <v>37</v>
      </c>
      <c r="S176" s="40" t="s">
        <v>45</v>
      </c>
      <c r="T176" s="40" t="s">
        <v>41</v>
      </c>
      <c r="U176" s="40" t="s">
        <v>41</v>
      </c>
      <c r="V176" s="40" t="s">
        <v>37</v>
      </c>
      <c r="W176" s="40" t="s">
        <v>41</v>
      </c>
      <c r="X176" s="40" t="s">
        <v>47</v>
      </c>
      <c r="Y176" s="40" t="s">
        <v>41</v>
      </c>
      <c r="Z176" s="40" t="s">
        <v>34</v>
      </c>
      <c r="AA176" s="40" t="s">
        <v>47</v>
      </c>
      <c r="AB176" s="40" t="s">
        <v>47</v>
      </c>
      <c r="AC176" s="40" t="s">
        <v>31</v>
      </c>
      <c r="AD176" s="40" t="s">
        <v>37</v>
      </c>
      <c r="AE176" s="40" t="s">
        <v>31</v>
      </c>
      <c r="AF176" s="40" t="s">
        <v>47</v>
      </c>
      <c r="AG176" s="40" t="s">
        <v>37</v>
      </c>
      <c r="AH176" s="40" t="s">
        <v>31</v>
      </c>
      <c r="AI176" s="40" t="s">
        <v>31</v>
      </c>
      <c r="AJ176" s="40" t="s">
        <v>47</v>
      </c>
      <c r="AK176" s="40" t="s">
        <v>45</v>
      </c>
    </row>
    <row r="177" spans="2:37" ht="24.95" customHeight="1">
      <c r="B177" s="2">
        <v>53</v>
      </c>
      <c r="C177" s="2">
        <v>3</v>
      </c>
      <c r="D177" s="3">
        <v>6</v>
      </c>
      <c r="E177" s="1" cm="1">
        <f t="array" ref="E177">SUM(--(MID(_xlfn.XLOOKUP(H177:AK177,$G$38:$G$46,$I$38:$I$46,,0,1), FIND("1",G177),1)= "1"))</f>
        <v>14</v>
      </c>
      <c r="F177" s="24"/>
      <c r="G177" s="40" t="s">
        <v>122</v>
      </c>
      <c r="H177" s="40" t="s">
        <v>37</v>
      </c>
      <c r="I177" s="40" t="s">
        <v>31</v>
      </c>
      <c r="J177" s="40" t="s">
        <v>31</v>
      </c>
      <c r="K177" s="40" t="s">
        <v>47</v>
      </c>
      <c r="L177" s="40" t="s">
        <v>34</v>
      </c>
      <c r="M177" s="40" t="s">
        <v>31</v>
      </c>
      <c r="N177" s="40" t="s">
        <v>45</v>
      </c>
      <c r="O177" s="40" t="s">
        <v>47</v>
      </c>
      <c r="P177" s="40" t="s">
        <v>41</v>
      </c>
      <c r="Q177" s="40" t="s">
        <v>37</v>
      </c>
      <c r="R177" s="40" t="s">
        <v>41</v>
      </c>
      <c r="S177" s="40" t="s">
        <v>47</v>
      </c>
      <c r="T177" s="40" t="s">
        <v>31</v>
      </c>
      <c r="U177" s="40" t="s">
        <v>37</v>
      </c>
      <c r="V177" s="40" t="s">
        <v>45</v>
      </c>
      <c r="W177" s="40" t="s">
        <v>31</v>
      </c>
      <c r="X177" s="40" t="s">
        <v>37</v>
      </c>
      <c r="Y177" s="40" t="s">
        <v>31</v>
      </c>
      <c r="Z177" s="40" t="s">
        <v>37</v>
      </c>
      <c r="AA177" s="40" t="s">
        <v>31</v>
      </c>
      <c r="AB177" s="40" t="s">
        <v>34</v>
      </c>
      <c r="AC177" s="40" t="s">
        <v>45</v>
      </c>
      <c r="AD177" s="40" t="s">
        <v>37</v>
      </c>
      <c r="AE177" s="40" t="s">
        <v>37</v>
      </c>
      <c r="AF177" s="40" t="s">
        <v>34</v>
      </c>
      <c r="AG177" s="40" t="s">
        <v>47</v>
      </c>
      <c r="AH177" s="40" t="s">
        <v>34</v>
      </c>
      <c r="AI177" s="40" t="s">
        <v>47</v>
      </c>
      <c r="AJ177" s="40" t="s">
        <v>31</v>
      </c>
      <c r="AK177" s="40" t="s">
        <v>31</v>
      </c>
    </row>
    <row r="178" spans="2:37" ht="24.95" customHeight="1">
      <c r="B178" s="2">
        <v>54</v>
      </c>
      <c r="C178" s="2">
        <v>3</v>
      </c>
      <c r="D178" s="3">
        <v>6</v>
      </c>
      <c r="E178" s="1" cm="1">
        <f t="array" ref="E178">SUM(--(MID(_xlfn.XLOOKUP(H178:AK178,$G$38:$G$46,$I$38:$I$46,,0,1), FIND("1",G178),1)= "1"))</f>
        <v>18</v>
      </c>
      <c r="F178" s="24"/>
      <c r="G178" s="40" t="s">
        <v>124</v>
      </c>
      <c r="H178" s="40" t="s">
        <v>41</v>
      </c>
      <c r="I178" s="40" t="s">
        <v>31</v>
      </c>
      <c r="J178" s="40" t="s">
        <v>41</v>
      </c>
      <c r="K178" s="40" t="s">
        <v>37</v>
      </c>
      <c r="L178" s="40" t="s">
        <v>31</v>
      </c>
      <c r="M178" s="40" t="s">
        <v>34</v>
      </c>
      <c r="N178" s="40" t="s">
        <v>37</v>
      </c>
      <c r="O178" s="40" t="s">
        <v>37</v>
      </c>
      <c r="P178" s="40" t="s">
        <v>31</v>
      </c>
      <c r="Q178" s="40" t="s">
        <v>45</v>
      </c>
      <c r="R178" s="40" t="s">
        <v>31</v>
      </c>
      <c r="S178" s="40" t="s">
        <v>47</v>
      </c>
      <c r="T178" s="40" t="s">
        <v>45</v>
      </c>
      <c r="U178" s="40" t="s">
        <v>45</v>
      </c>
      <c r="V178" s="40" t="s">
        <v>47</v>
      </c>
      <c r="W178" s="40" t="s">
        <v>34</v>
      </c>
      <c r="X178" s="40" t="s">
        <v>31</v>
      </c>
      <c r="Y178" s="40" t="s">
        <v>31</v>
      </c>
      <c r="Z178" s="40" t="s">
        <v>34</v>
      </c>
      <c r="AA178" s="40" t="s">
        <v>41</v>
      </c>
      <c r="AB178" s="40" t="s">
        <v>47</v>
      </c>
      <c r="AC178" s="40" t="s">
        <v>31</v>
      </c>
      <c r="AD178" s="40" t="s">
        <v>31</v>
      </c>
      <c r="AE178" s="40" t="s">
        <v>31</v>
      </c>
      <c r="AF178" s="40" t="s">
        <v>41</v>
      </c>
      <c r="AG178" s="40" t="s">
        <v>45</v>
      </c>
      <c r="AH178" s="40" t="s">
        <v>47</v>
      </c>
      <c r="AI178" s="40" t="s">
        <v>41</v>
      </c>
      <c r="AJ178" s="40" t="s">
        <v>31</v>
      </c>
      <c r="AK178" s="40" t="s">
        <v>37</v>
      </c>
    </row>
    <row r="179" spans="2:37" ht="24.95" customHeight="1">
      <c r="B179" s="2">
        <v>55</v>
      </c>
      <c r="C179" s="2">
        <v>3</v>
      </c>
      <c r="D179" s="3">
        <v>6</v>
      </c>
      <c r="E179" s="1" cm="1">
        <f t="array" ref="E179">SUM(--(MID(_xlfn.XLOOKUP(H179:AK179,$G$38:$G$46,$I$38:$I$46,,0,1), FIND("1",G179),1)= "1"))</f>
        <v>12</v>
      </c>
      <c r="F179" s="24"/>
      <c r="G179" s="40" t="s">
        <v>125</v>
      </c>
      <c r="H179" s="40" t="s">
        <v>45</v>
      </c>
      <c r="I179" s="40" t="s">
        <v>41</v>
      </c>
      <c r="J179" s="40" t="s">
        <v>47</v>
      </c>
      <c r="K179" s="40" t="s">
        <v>41</v>
      </c>
      <c r="L179" s="40" t="s">
        <v>31</v>
      </c>
      <c r="M179" s="40" t="s">
        <v>34</v>
      </c>
      <c r="N179" s="40" t="s">
        <v>34</v>
      </c>
      <c r="O179" s="40" t="s">
        <v>41</v>
      </c>
      <c r="P179" s="40" t="s">
        <v>47</v>
      </c>
      <c r="Q179" s="40" t="s">
        <v>37</v>
      </c>
      <c r="R179" s="40" t="s">
        <v>37</v>
      </c>
      <c r="S179" s="40" t="s">
        <v>45</v>
      </c>
      <c r="T179" s="40" t="s">
        <v>45</v>
      </c>
      <c r="U179" s="40" t="s">
        <v>34</v>
      </c>
      <c r="V179" s="40" t="s">
        <v>37</v>
      </c>
      <c r="W179" s="40" t="s">
        <v>34</v>
      </c>
      <c r="X179" s="40" t="s">
        <v>47</v>
      </c>
      <c r="Y179" s="40" t="s">
        <v>37</v>
      </c>
      <c r="Z179" s="40" t="s">
        <v>47</v>
      </c>
      <c r="AA179" s="40" t="s">
        <v>41</v>
      </c>
      <c r="AB179" s="40" t="s">
        <v>34</v>
      </c>
      <c r="AC179" s="40" t="s">
        <v>34</v>
      </c>
      <c r="AD179" s="40" t="s">
        <v>47</v>
      </c>
      <c r="AE179" s="40" t="s">
        <v>47</v>
      </c>
      <c r="AF179" s="40" t="s">
        <v>34</v>
      </c>
      <c r="AG179" s="40" t="s">
        <v>34</v>
      </c>
      <c r="AH179" s="40" t="s">
        <v>47</v>
      </c>
      <c r="AI179" s="40" t="s">
        <v>37</v>
      </c>
      <c r="AJ179" s="40" t="s">
        <v>31</v>
      </c>
      <c r="AK179" s="40" t="s">
        <v>31</v>
      </c>
    </row>
    <row r="180" spans="2:37" ht="24.95" customHeight="1">
      <c r="B180" s="2">
        <v>56</v>
      </c>
      <c r="C180" s="2">
        <v>3</v>
      </c>
      <c r="D180" s="3">
        <v>6</v>
      </c>
      <c r="E180" s="1" cm="1">
        <f t="array" ref="E180">SUM(--(MID(_xlfn.XLOOKUP(H180:AK180,$G$38:$G$46,$I$38:$I$46,,0,1), FIND("1",G180),1)= "1"))</f>
        <v>17</v>
      </c>
      <c r="F180" s="24"/>
      <c r="G180" s="40" t="s">
        <v>125</v>
      </c>
      <c r="H180" s="40" t="s">
        <v>34</v>
      </c>
      <c r="I180" s="40" t="s">
        <v>37</v>
      </c>
      <c r="J180" s="40" t="s">
        <v>34</v>
      </c>
      <c r="K180" s="40" t="s">
        <v>41</v>
      </c>
      <c r="L180" s="40" t="s">
        <v>37</v>
      </c>
      <c r="M180" s="40" t="s">
        <v>47</v>
      </c>
      <c r="N180" s="40" t="s">
        <v>37</v>
      </c>
      <c r="O180" s="40" t="s">
        <v>47</v>
      </c>
      <c r="P180" s="40" t="s">
        <v>47</v>
      </c>
      <c r="Q180" s="40" t="s">
        <v>31</v>
      </c>
      <c r="R180" s="40" t="s">
        <v>37</v>
      </c>
      <c r="S180" s="40" t="s">
        <v>34</v>
      </c>
      <c r="T180" s="40" t="s">
        <v>34</v>
      </c>
      <c r="U180" s="40" t="s">
        <v>41</v>
      </c>
      <c r="V180" s="40" t="s">
        <v>31</v>
      </c>
      <c r="W180" s="40" t="s">
        <v>45</v>
      </c>
      <c r="X180" s="40" t="s">
        <v>37</v>
      </c>
      <c r="Y180" s="40" t="s">
        <v>34</v>
      </c>
      <c r="Z180" s="40" t="s">
        <v>41</v>
      </c>
      <c r="AA180" s="40" t="s">
        <v>41</v>
      </c>
      <c r="AB180" s="40" t="s">
        <v>34</v>
      </c>
      <c r="AC180" s="40" t="s">
        <v>41</v>
      </c>
      <c r="AD180" s="40" t="s">
        <v>31</v>
      </c>
      <c r="AE180" s="40" t="s">
        <v>31</v>
      </c>
      <c r="AF180" s="40" t="s">
        <v>37</v>
      </c>
      <c r="AG180" s="40" t="s">
        <v>47</v>
      </c>
      <c r="AH180" s="40" t="s">
        <v>47</v>
      </c>
      <c r="AI180" s="40" t="s">
        <v>41</v>
      </c>
      <c r="AJ180" s="40" t="s">
        <v>47</v>
      </c>
      <c r="AK180" s="40" t="s">
        <v>31</v>
      </c>
    </row>
    <row r="181" spans="2:37" ht="24.95" customHeight="1">
      <c r="B181" s="2">
        <v>57</v>
      </c>
      <c r="C181" s="2">
        <v>3</v>
      </c>
      <c r="D181" s="3">
        <v>6</v>
      </c>
      <c r="E181" s="1" cm="1">
        <f t="array" ref="E181">SUM(--(MID(_xlfn.XLOOKUP(H181:AK181,$G$38:$G$46,$I$38:$I$46,,0,1), FIND("1",G181),1)= "1"))</f>
        <v>18</v>
      </c>
      <c r="F181" s="24"/>
      <c r="G181" s="40" t="s">
        <v>122</v>
      </c>
      <c r="H181" s="40" t="s">
        <v>41</v>
      </c>
      <c r="I181" s="40" t="s">
        <v>37</v>
      </c>
      <c r="J181" s="40" t="s">
        <v>47</v>
      </c>
      <c r="K181" s="40" t="s">
        <v>41</v>
      </c>
      <c r="L181" s="40" t="s">
        <v>47</v>
      </c>
      <c r="M181" s="40" t="s">
        <v>45</v>
      </c>
      <c r="N181" s="40" t="s">
        <v>47</v>
      </c>
      <c r="O181" s="40" t="s">
        <v>45</v>
      </c>
      <c r="P181" s="40" t="s">
        <v>45</v>
      </c>
      <c r="Q181" s="40" t="s">
        <v>45</v>
      </c>
      <c r="R181" s="40" t="s">
        <v>37</v>
      </c>
      <c r="S181" s="40" t="s">
        <v>37</v>
      </c>
      <c r="T181" s="40" t="s">
        <v>31</v>
      </c>
      <c r="U181" s="40" t="s">
        <v>34</v>
      </c>
      <c r="V181" s="40" t="s">
        <v>45</v>
      </c>
      <c r="W181" s="40" t="s">
        <v>31</v>
      </c>
      <c r="X181" s="40" t="s">
        <v>34</v>
      </c>
      <c r="Y181" s="40" t="s">
        <v>45</v>
      </c>
      <c r="Z181" s="40" t="s">
        <v>34</v>
      </c>
      <c r="AA181" s="40" t="s">
        <v>45</v>
      </c>
      <c r="AB181" s="40" t="s">
        <v>37</v>
      </c>
      <c r="AC181" s="40" t="s">
        <v>47</v>
      </c>
      <c r="AD181" s="40" t="s">
        <v>37</v>
      </c>
      <c r="AE181" s="40" t="s">
        <v>45</v>
      </c>
      <c r="AF181" s="40" t="s">
        <v>34</v>
      </c>
      <c r="AG181" s="40" t="s">
        <v>31</v>
      </c>
      <c r="AH181" s="40" t="s">
        <v>37</v>
      </c>
      <c r="AI181" s="40" t="s">
        <v>31</v>
      </c>
      <c r="AJ181" s="40" t="s">
        <v>31</v>
      </c>
      <c r="AK181" s="40" t="s">
        <v>41</v>
      </c>
    </row>
    <row r="182" spans="2:37" ht="24.95" customHeight="1">
      <c r="B182" s="2">
        <v>58</v>
      </c>
      <c r="C182" s="2">
        <v>3</v>
      </c>
      <c r="D182" s="3">
        <v>6</v>
      </c>
      <c r="E182" s="1" cm="1">
        <f t="array" ref="E182">SUM(--(MID(_xlfn.XLOOKUP(H182:AK182,$G$38:$G$46,$I$38:$I$46,,0,1), FIND("1",G182),1)= "1"))</f>
        <v>16</v>
      </c>
      <c r="F182" s="24"/>
      <c r="G182" s="40" t="s">
        <v>122</v>
      </c>
      <c r="H182" s="40" t="s">
        <v>37</v>
      </c>
      <c r="I182" s="40" t="s">
        <v>31</v>
      </c>
      <c r="J182" s="40" t="s">
        <v>41</v>
      </c>
      <c r="K182" s="40" t="s">
        <v>47</v>
      </c>
      <c r="L182" s="40" t="s">
        <v>37</v>
      </c>
      <c r="M182" s="40" t="s">
        <v>34</v>
      </c>
      <c r="N182" s="40" t="s">
        <v>47</v>
      </c>
      <c r="O182" s="40" t="s">
        <v>41</v>
      </c>
      <c r="P182" s="40" t="s">
        <v>37</v>
      </c>
      <c r="Q182" s="40" t="s">
        <v>37</v>
      </c>
      <c r="R182" s="40" t="s">
        <v>37</v>
      </c>
      <c r="S182" s="40" t="s">
        <v>45</v>
      </c>
      <c r="T182" s="40" t="s">
        <v>34</v>
      </c>
      <c r="U182" s="40" t="s">
        <v>47</v>
      </c>
      <c r="V182" s="40" t="s">
        <v>45</v>
      </c>
      <c r="W182" s="40" t="s">
        <v>41</v>
      </c>
      <c r="X182" s="40" t="s">
        <v>31</v>
      </c>
      <c r="Y182" s="40" t="s">
        <v>45</v>
      </c>
      <c r="Z182" s="40" t="s">
        <v>37</v>
      </c>
      <c r="AA182" s="40" t="s">
        <v>41</v>
      </c>
      <c r="AB182" s="40" t="s">
        <v>47</v>
      </c>
      <c r="AC182" s="40" t="s">
        <v>31</v>
      </c>
      <c r="AD182" s="40" t="s">
        <v>34</v>
      </c>
      <c r="AE182" s="40" t="s">
        <v>31</v>
      </c>
      <c r="AF182" s="40" t="s">
        <v>45</v>
      </c>
      <c r="AG182" s="40" t="s">
        <v>41</v>
      </c>
      <c r="AH182" s="40" t="s">
        <v>41</v>
      </c>
      <c r="AI182" s="40" t="s">
        <v>34</v>
      </c>
      <c r="AJ182" s="40" t="s">
        <v>45</v>
      </c>
      <c r="AK182" s="40" t="s">
        <v>45</v>
      </c>
    </row>
    <row r="183" spans="2:37" ht="24.95" customHeight="1">
      <c r="B183" s="2">
        <v>59</v>
      </c>
      <c r="C183" s="2">
        <v>3</v>
      </c>
      <c r="D183" s="3">
        <v>6</v>
      </c>
      <c r="E183" s="1" cm="1">
        <f t="array" ref="E183">SUM(--(MID(_xlfn.XLOOKUP(H183:AK183,$G$38:$G$46,$I$38:$I$46,,0,1), FIND("1",G183),1)= "1"))</f>
        <v>17</v>
      </c>
      <c r="F183" s="24"/>
      <c r="G183" s="40" t="s">
        <v>122</v>
      </c>
      <c r="H183" s="40" t="s">
        <v>37</v>
      </c>
      <c r="I183" s="40" t="s">
        <v>45</v>
      </c>
      <c r="J183" s="40" t="s">
        <v>37</v>
      </c>
      <c r="K183" s="40" t="s">
        <v>34</v>
      </c>
      <c r="L183" s="40" t="s">
        <v>41</v>
      </c>
      <c r="M183" s="40" t="s">
        <v>47</v>
      </c>
      <c r="N183" s="40" t="s">
        <v>34</v>
      </c>
      <c r="O183" s="40" t="s">
        <v>34</v>
      </c>
      <c r="P183" s="40" t="s">
        <v>41</v>
      </c>
      <c r="Q183" s="40" t="s">
        <v>34</v>
      </c>
      <c r="R183" s="40" t="s">
        <v>31</v>
      </c>
      <c r="S183" s="40" t="s">
        <v>47</v>
      </c>
      <c r="T183" s="40" t="s">
        <v>37</v>
      </c>
      <c r="U183" s="40" t="s">
        <v>34</v>
      </c>
      <c r="V183" s="40" t="s">
        <v>34</v>
      </c>
      <c r="W183" s="40" t="s">
        <v>37</v>
      </c>
      <c r="X183" s="40" t="s">
        <v>37</v>
      </c>
      <c r="Y183" s="40" t="s">
        <v>47</v>
      </c>
      <c r="Z183" s="40" t="s">
        <v>31</v>
      </c>
      <c r="AA183" s="40" t="s">
        <v>45</v>
      </c>
      <c r="AB183" s="40" t="s">
        <v>41</v>
      </c>
      <c r="AC183" s="40" t="s">
        <v>34</v>
      </c>
      <c r="AD183" s="40" t="s">
        <v>41</v>
      </c>
      <c r="AE183" s="40" t="s">
        <v>41</v>
      </c>
      <c r="AF183" s="40" t="s">
        <v>37</v>
      </c>
      <c r="AG183" s="40" t="s">
        <v>41</v>
      </c>
      <c r="AH183" s="40" t="s">
        <v>34</v>
      </c>
      <c r="AI183" s="40" t="s">
        <v>37</v>
      </c>
      <c r="AJ183" s="40" t="s">
        <v>41</v>
      </c>
      <c r="AK183" s="40" t="s">
        <v>41</v>
      </c>
    </row>
    <row r="184" spans="2:37" ht="24.95" customHeight="1">
      <c r="B184" s="2">
        <v>60</v>
      </c>
      <c r="C184" s="2">
        <v>3</v>
      </c>
      <c r="D184" s="3">
        <v>6</v>
      </c>
      <c r="E184" s="1" cm="1">
        <f t="array" ref="E184">SUM(--(MID(_xlfn.XLOOKUP(H184:AK184,$G$38:$G$46,$I$38:$I$46,,0,1), FIND("1",G184),1)= "1"))</f>
        <v>18</v>
      </c>
      <c r="F184" s="24"/>
      <c r="G184" s="40" t="s">
        <v>122</v>
      </c>
      <c r="H184" s="40" t="s">
        <v>37</v>
      </c>
      <c r="I184" s="40" t="s">
        <v>41</v>
      </c>
      <c r="J184" s="40" t="s">
        <v>37</v>
      </c>
      <c r="K184" s="40" t="s">
        <v>47</v>
      </c>
      <c r="L184" s="40" t="s">
        <v>34</v>
      </c>
      <c r="M184" s="40" t="s">
        <v>47</v>
      </c>
      <c r="N184" s="40" t="s">
        <v>31</v>
      </c>
      <c r="O184" s="40" t="s">
        <v>34</v>
      </c>
      <c r="P184" s="40" t="s">
        <v>45</v>
      </c>
      <c r="Q184" s="40" t="s">
        <v>47</v>
      </c>
      <c r="R184" s="40" t="s">
        <v>37</v>
      </c>
      <c r="S184" s="40" t="s">
        <v>31</v>
      </c>
      <c r="T184" s="40" t="s">
        <v>45</v>
      </c>
      <c r="U184" s="40" t="s">
        <v>47</v>
      </c>
      <c r="V184" s="40" t="s">
        <v>45</v>
      </c>
      <c r="W184" s="40" t="s">
        <v>47</v>
      </c>
      <c r="X184" s="40" t="s">
        <v>34</v>
      </c>
      <c r="Y184" s="40" t="s">
        <v>34</v>
      </c>
      <c r="Z184" s="40" t="s">
        <v>34</v>
      </c>
      <c r="AA184" s="40" t="s">
        <v>37</v>
      </c>
      <c r="AB184" s="40" t="s">
        <v>31</v>
      </c>
      <c r="AC184" s="40" t="s">
        <v>37</v>
      </c>
      <c r="AD184" s="40" t="s">
        <v>37</v>
      </c>
      <c r="AE184" s="40" t="s">
        <v>41</v>
      </c>
      <c r="AF184" s="40" t="s">
        <v>37</v>
      </c>
      <c r="AG184" s="40" t="s">
        <v>37</v>
      </c>
      <c r="AH184" s="40" t="s">
        <v>45</v>
      </c>
      <c r="AI184" s="40" t="s">
        <v>31</v>
      </c>
      <c r="AJ184" s="40" t="s">
        <v>41</v>
      </c>
      <c r="AK184" s="40" t="s">
        <v>45</v>
      </c>
    </row>
    <row r="185" spans="2:37" ht="15" customHeight="1" thickBot="1"/>
    <row r="186" spans="2:37" ht="22.5" customHeight="1" thickBot="1">
      <c r="B186" s="34" t="s">
        <v>126</v>
      </c>
      <c r="C186" s="22" t="s">
        <v>104</v>
      </c>
      <c r="D186" s="38" t="s">
        <v>127</v>
      </c>
      <c r="J186" s="7"/>
      <c r="K186" s="51"/>
    </row>
    <row r="187" spans="2:37" ht="15" customHeight="1">
      <c r="J187" s="7"/>
    </row>
    <row r="188" spans="2:37" ht="15" customHeight="1">
      <c r="B188" s="13" t="s">
        <v>128</v>
      </c>
      <c r="C188" s="29"/>
      <c r="D188" s="13"/>
      <c r="K188" s="5"/>
      <c r="L188" s="5"/>
    </row>
    <row r="189" spans="2:37" ht="15" customHeight="1">
      <c r="B189" s="60" t="s">
        <v>129</v>
      </c>
      <c r="C189" s="29"/>
      <c r="D189" s="13"/>
      <c r="K189" s="5"/>
      <c r="L189" s="5"/>
    </row>
    <row r="191" spans="2:37" ht="15" customHeight="1">
      <c r="B191" s="60" t="s">
        <v>130</v>
      </c>
    </row>
    <row r="192" spans="2:37" ht="15" customHeight="1">
      <c r="B192" s="13" t="s">
        <v>131</v>
      </c>
    </row>
    <row r="193" spans="2:39" ht="15" customHeight="1">
      <c r="B193" s="13" t="s">
        <v>132</v>
      </c>
    </row>
    <row r="194" spans="2:39" ht="15" customHeight="1">
      <c r="B194" s="13" t="s">
        <v>133</v>
      </c>
    </row>
    <row r="195" spans="2:39" ht="15" customHeight="1">
      <c r="B195" s="13" t="s">
        <v>134</v>
      </c>
    </row>
    <row r="196" spans="2:39" ht="15" customHeight="1">
      <c r="B196" s="13" t="s">
        <v>135</v>
      </c>
    </row>
    <row r="197" spans="2:39" ht="15" customHeight="1">
      <c r="B197" s="13" t="s">
        <v>136</v>
      </c>
    </row>
    <row r="198" spans="2:39" ht="15" customHeight="1">
      <c r="B198" s="13" t="s">
        <v>137</v>
      </c>
    </row>
    <row r="199" spans="2:39" ht="15" customHeight="1">
      <c r="B199" s="13" t="s">
        <v>138</v>
      </c>
    </row>
    <row r="200" spans="2:39" ht="15" customHeight="1">
      <c r="B200" s="13"/>
    </row>
    <row r="201" spans="2:39" ht="15" customHeight="1">
      <c r="B201" s="60" t="s">
        <v>82</v>
      </c>
    </row>
    <row r="202" spans="2:39" ht="15" customHeight="1">
      <c r="B202" s="31" t="s">
        <v>139</v>
      </c>
    </row>
    <row r="203" spans="2:39" ht="15" customHeight="1">
      <c r="B203" s="31" t="s">
        <v>140</v>
      </c>
    </row>
    <row r="204" spans="2:39" ht="15" customHeight="1">
      <c r="B204" s="31" t="s">
        <v>141</v>
      </c>
    </row>
    <row r="206" spans="2:39" ht="22.5" customHeight="1" thickBot="1">
      <c r="C206" s="29"/>
      <c r="D206" s="13"/>
      <c r="J206" s="18" t="s">
        <v>100</v>
      </c>
      <c r="K206" s="19"/>
      <c r="L206" s="80"/>
      <c r="M206" s="80"/>
      <c r="N206" s="81"/>
      <c r="O206" s="18"/>
      <c r="P206" s="19"/>
      <c r="Q206" s="80"/>
      <c r="R206" s="80"/>
      <c r="S206" s="81"/>
      <c r="T206" s="18"/>
      <c r="U206" s="19"/>
      <c r="V206" s="80"/>
      <c r="W206" s="80"/>
      <c r="X206" s="81"/>
      <c r="Y206" s="18"/>
      <c r="Z206" s="19"/>
      <c r="AA206" s="80"/>
      <c r="AB206" s="80"/>
      <c r="AC206" s="81"/>
      <c r="AD206" s="18"/>
      <c r="AE206" s="19"/>
      <c r="AF206" s="80"/>
      <c r="AG206" s="80"/>
      <c r="AH206" s="81"/>
      <c r="AI206" s="18"/>
      <c r="AJ206" s="19"/>
      <c r="AK206" s="80"/>
      <c r="AL206" s="80"/>
      <c r="AM206" s="81"/>
    </row>
    <row r="207" spans="2:39" s="27" customFormat="1" ht="22.5" customHeight="1" thickBot="1">
      <c r="B207" s="17" t="s">
        <v>59</v>
      </c>
      <c r="C207" s="20" t="s">
        <v>87</v>
      </c>
      <c r="D207" s="17" t="s">
        <v>61</v>
      </c>
      <c r="E207" s="25" t="s">
        <v>62</v>
      </c>
      <c r="F207" s="13"/>
      <c r="G207" s="17" t="s">
        <v>142</v>
      </c>
      <c r="H207" s="86" t="s">
        <v>143</v>
      </c>
      <c r="I207" s="86" t="s">
        <v>144</v>
      </c>
      <c r="J207" s="106">
        <v>1</v>
      </c>
      <c r="K207" s="106">
        <v>2</v>
      </c>
      <c r="L207" s="107">
        <v>3</v>
      </c>
      <c r="M207" s="107">
        <v>4</v>
      </c>
      <c r="N207" s="107">
        <v>5</v>
      </c>
      <c r="O207" s="106">
        <v>6</v>
      </c>
      <c r="P207" s="106">
        <v>7</v>
      </c>
      <c r="Q207" s="107">
        <v>8</v>
      </c>
      <c r="R207" s="107">
        <v>9</v>
      </c>
      <c r="S207" s="107">
        <v>10</v>
      </c>
      <c r="T207" s="106">
        <v>11</v>
      </c>
      <c r="U207" s="106">
        <v>12</v>
      </c>
      <c r="V207" s="107">
        <v>13</v>
      </c>
      <c r="W207" s="107">
        <v>14</v>
      </c>
      <c r="X207" s="107">
        <v>15</v>
      </c>
      <c r="Y207" s="106">
        <v>16</v>
      </c>
      <c r="Z207" s="106">
        <v>17</v>
      </c>
      <c r="AA207" s="107">
        <v>18</v>
      </c>
      <c r="AB207" s="107">
        <v>19</v>
      </c>
      <c r="AC207" s="107">
        <v>20</v>
      </c>
      <c r="AD207" s="106">
        <v>21</v>
      </c>
      <c r="AE207" s="106">
        <v>22</v>
      </c>
      <c r="AF207" s="107">
        <v>23</v>
      </c>
      <c r="AG207" s="107">
        <v>24</v>
      </c>
      <c r="AH207" s="107">
        <v>25</v>
      </c>
      <c r="AI207" s="106">
        <v>26</v>
      </c>
      <c r="AJ207" s="106">
        <v>27</v>
      </c>
      <c r="AK207" s="107">
        <v>28</v>
      </c>
      <c r="AL207" s="107">
        <v>29</v>
      </c>
      <c r="AM207" s="107">
        <v>30</v>
      </c>
    </row>
    <row r="208" spans="2:39" ht="15" customHeight="1">
      <c r="G208" s="36"/>
      <c r="H208" s="36"/>
      <c r="I208" s="36"/>
      <c r="K208" s="5"/>
      <c r="L208" s="5"/>
      <c r="M208" s="5"/>
      <c r="N208" s="5"/>
    </row>
    <row r="209" spans="2:39" ht="24.95" customHeight="1">
      <c r="B209" s="9" t="s">
        <v>145</v>
      </c>
      <c r="C209" s="2">
        <v>4</v>
      </c>
      <c r="D209" s="10">
        <v>0</v>
      </c>
      <c r="E209" s="1">
        <v>31</v>
      </c>
      <c r="F209" s="24"/>
      <c r="G209" s="40" t="s">
        <v>30</v>
      </c>
      <c r="H209" s="40" t="s">
        <v>122</v>
      </c>
      <c r="I209" s="40">
        <v>1000</v>
      </c>
      <c r="J209" s="40" t="s">
        <v>31</v>
      </c>
      <c r="K209" s="40" t="s">
        <v>37</v>
      </c>
      <c r="L209" s="40" t="s">
        <v>45</v>
      </c>
      <c r="M209" s="40" t="s">
        <v>34</v>
      </c>
      <c r="N209" s="40" t="s">
        <v>41</v>
      </c>
      <c r="O209" s="40" t="s">
        <v>31</v>
      </c>
      <c r="P209" s="40" t="s">
        <v>47</v>
      </c>
      <c r="Q209" s="40" t="s">
        <v>45</v>
      </c>
      <c r="R209" s="40" t="s">
        <v>45</v>
      </c>
      <c r="S209" s="40" t="s">
        <v>37</v>
      </c>
      <c r="T209" s="40" t="s">
        <v>45</v>
      </c>
      <c r="U209" s="40" t="s">
        <v>31</v>
      </c>
      <c r="V209" s="40" t="s">
        <v>34</v>
      </c>
      <c r="W209" s="40" t="s">
        <v>47</v>
      </c>
      <c r="X209" s="40" t="s">
        <v>47</v>
      </c>
      <c r="Y209" s="40" t="s">
        <v>37</v>
      </c>
      <c r="Z209" s="40" t="s">
        <v>41</v>
      </c>
      <c r="AA209" s="40" t="s">
        <v>31</v>
      </c>
      <c r="AB209" s="40" t="s">
        <v>47</v>
      </c>
      <c r="AC209" s="40" t="s">
        <v>41</v>
      </c>
      <c r="AD209" s="40" t="s">
        <v>37</v>
      </c>
      <c r="AE209" s="40" t="s">
        <v>41</v>
      </c>
      <c r="AF209" s="40" t="s">
        <v>37</v>
      </c>
      <c r="AG209" s="40" t="s">
        <v>37</v>
      </c>
      <c r="AH209" s="40" t="s">
        <v>47</v>
      </c>
      <c r="AI209" s="40" t="s">
        <v>41</v>
      </c>
      <c r="AJ209" s="40" t="s">
        <v>47</v>
      </c>
      <c r="AK209" s="40" t="s">
        <v>37</v>
      </c>
      <c r="AL209" s="40" t="s">
        <v>31</v>
      </c>
      <c r="AM209" s="40" t="s">
        <v>34</v>
      </c>
    </row>
    <row r="210" spans="2:39" ht="15" customHeight="1">
      <c r="E210" s="6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24.95" customHeight="1">
      <c r="B211" s="2">
        <v>61</v>
      </c>
      <c r="C211" s="2">
        <v>4</v>
      </c>
      <c r="D211" s="3">
        <v>7</v>
      </c>
      <c r="E211" s="1" cm="1">
        <f t="array" ref="E211">SUM(--(MID(_xlfn.XLOOKUP(J211:AM211,$G$38:$G$46,INDEX($I$38:$J$46,,_xlfn.XMATCH(G211,$I$37:$J$37,0,1)),,0,1), FIND("1",H211),1)= "1")) + SUM(--(MID(_xlfn.XLOOKUP(J211:AM211,$G$38:$G$46,INDEX($I$38:$J$46,,_xlfn.XMATCH(G211,$I$37:$J$37,0,1)),,0,1), FIND("1",I211),1)= "1"))</f>
        <v>30</v>
      </c>
      <c r="F211" s="24"/>
      <c r="G211" s="40" t="s">
        <v>29</v>
      </c>
      <c r="H211" s="40" t="s">
        <v>125</v>
      </c>
      <c r="I211" s="40" t="s">
        <v>123</v>
      </c>
      <c r="J211" s="40" t="s">
        <v>47</v>
      </c>
      <c r="K211" s="40" t="s">
        <v>37</v>
      </c>
      <c r="L211" s="40" t="s">
        <v>31</v>
      </c>
      <c r="M211" s="40" t="s">
        <v>37</v>
      </c>
      <c r="N211" s="40" t="s">
        <v>47</v>
      </c>
      <c r="O211" s="40" t="s">
        <v>31</v>
      </c>
      <c r="P211" s="40" t="s">
        <v>41</v>
      </c>
      <c r="Q211" s="40" t="s">
        <v>47</v>
      </c>
      <c r="R211" s="40" t="s">
        <v>47</v>
      </c>
      <c r="S211" s="40" t="s">
        <v>34</v>
      </c>
      <c r="T211" s="40" t="s">
        <v>34</v>
      </c>
      <c r="U211" s="40" t="s">
        <v>45</v>
      </c>
      <c r="V211" s="40" t="s">
        <v>34</v>
      </c>
      <c r="W211" s="40" t="s">
        <v>34</v>
      </c>
      <c r="X211" s="40" t="s">
        <v>45</v>
      </c>
      <c r="Y211" s="40" t="s">
        <v>47</v>
      </c>
      <c r="Z211" s="40" t="s">
        <v>41</v>
      </c>
      <c r="AA211" s="40" t="s">
        <v>47</v>
      </c>
      <c r="AB211" s="40" t="s">
        <v>37</v>
      </c>
      <c r="AC211" s="40" t="s">
        <v>47</v>
      </c>
      <c r="AD211" s="40" t="s">
        <v>34</v>
      </c>
      <c r="AE211" s="40" t="s">
        <v>47</v>
      </c>
      <c r="AF211" s="40" t="s">
        <v>47</v>
      </c>
      <c r="AG211" s="40" t="s">
        <v>34</v>
      </c>
      <c r="AH211" s="40" t="s">
        <v>37</v>
      </c>
      <c r="AI211" s="40" t="s">
        <v>47</v>
      </c>
      <c r="AJ211" s="40" t="s">
        <v>47</v>
      </c>
      <c r="AK211" s="40" t="s">
        <v>37</v>
      </c>
      <c r="AL211" s="40" t="s">
        <v>37</v>
      </c>
      <c r="AM211" s="40" t="s">
        <v>47</v>
      </c>
    </row>
    <row r="212" spans="2:39" ht="24.95" customHeight="1">
      <c r="B212" s="2">
        <v>62</v>
      </c>
      <c r="C212" s="2">
        <v>4</v>
      </c>
      <c r="D212" s="3">
        <v>7</v>
      </c>
      <c r="E212" s="1" cm="1">
        <f t="array" ref="E212">SUM(--(MID(_xlfn.XLOOKUP(J212:AM212,$G$38:$G$46,INDEX($I$38:$J$46,,_xlfn.XMATCH(G212,$I$37:$J$37,0,1)),,0,1), FIND("1",H212),1)= "1")) + SUM(--(MID(_xlfn.XLOOKUP(J212:AM212,$G$38:$G$46,INDEX($I$38:$J$46,,_xlfn.XMATCH(G212,$I$37:$J$37,0,1)),,0,1), FIND("1",I212),1)= "1"))</f>
        <v>32</v>
      </c>
      <c r="F212" s="24"/>
      <c r="G212" s="40" t="s">
        <v>30</v>
      </c>
      <c r="H212" s="40" t="s">
        <v>125</v>
      </c>
      <c r="I212" s="40" t="s">
        <v>122</v>
      </c>
      <c r="J212" s="40" t="s">
        <v>45</v>
      </c>
      <c r="K212" s="40" t="s">
        <v>47</v>
      </c>
      <c r="L212" s="40" t="s">
        <v>45</v>
      </c>
      <c r="M212" s="40" t="s">
        <v>47</v>
      </c>
      <c r="N212" s="40" t="s">
        <v>34</v>
      </c>
      <c r="O212" s="40" t="s">
        <v>41</v>
      </c>
      <c r="P212" s="40" t="s">
        <v>31</v>
      </c>
      <c r="Q212" s="40" t="s">
        <v>45</v>
      </c>
      <c r="R212" s="40" t="s">
        <v>45</v>
      </c>
      <c r="S212" s="40" t="s">
        <v>31</v>
      </c>
      <c r="T212" s="40" t="s">
        <v>47</v>
      </c>
      <c r="U212" s="40" t="s">
        <v>45</v>
      </c>
      <c r="V212" s="40" t="s">
        <v>47</v>
      </c>
      <c r="W212" s="40" t="s">
        <v>31</v>
      </c>
      <c r="X212" s="40" t="s">
        <v>41</v>
      </c>
      <c r="Y212" s="40" t="s">
        <v>41</v>
      </c>
      <c r="Z212" s="40" t="s">
        <v>41</v>
      </c>
      <c r="AA212" s="40" t="s">
        <v>47</v>
      </c>
      <c r="AB212" s="40" t="s">
        <v>37</v>
      </c>
      <c r="AC212" s="40" t="s">
        <v>41</v>
      </c>
      <c r="AD212" s="40" t="s">
        <v>31</v>
      </c>
      <c r="AE212" s="40" t="s">
        <v>34</v>
      </c>
      <c r="AF212" s="40" t="s">
        <v>37</v>
      </c>
      <c r="AG212" s="40" t="s">
        <v>47</v>
      </c>
      <c r="AH212" s="40" t="s">
        <v>37</v>
      </c>
      <c r="AI212" s="40" t="s">
        <v>37</v>
      </c>
      <c r="AJ212" s="40" t="s">
        <v>34</v>
      </c>
      <c r="AK212" s="40" t="s">
        <v>34</v>
      </c>
      <c r="AL212" s="40" t="s">
        <v>34</v>
      </c>
      <c r="AM212" s="40" t="s">
        <v>34</v>
      </c>
    </row>
    <row r="213" spans="2:39" ht="24.95" customHeight="1">
      <c r="B213" s="2">
        <v>63</v>
      </c>
      <c r="C213" s="2">
        <v>4</v>
      </c>
      <c r="D213" s="3">
        <v>7</v>
      </c>
      <c r="E213" s="1" cm="1">
        <f t="array" ref="E213">SUM(--(MID(_xlfn.XLOOKUP(J213:AM213,$G$38:$G$46,INDEX($I$38:$J$46,,_xlfn.XMATCH(G213,$I$37:$J$37,0,1)),,0,1), FIND("1",H213),1)= "1")) + SUM(--(MID(_xlfn.XLOOKUP(J213:AM213,$G$38:$G$46,INDEX($I$38:$J$46,,_xlfn.XMATCH(G213,$I$37:$J$37,0,1)),,0,1), FIND("1",I213),1)= "1"))</f>
        <v>34</v>
      </c>
      <c r="F213" s="24"/>
      <c r="G213" s="40" t="s">
        <v>30</v>
      </c>
      <c r="H213" s="40" t="s">
        <v>125</v>
      </c>
      <c r="I213" s="40" t="s">
        <v>124</v>
      </c>
      <c r="J213" s="40" t="s">
        <v>31</v>
      </c>
      <c r="K213" s="40" t="s">
        <v>37</v>
      </c>
      <c r="L213" s="40" t="s">
        <v>31</v>
      </c>
      <c r="M213" s="40" t="s">
        <v>31</v>
      </c>
      <c r="N213" s="40" t="s">
        <v>31</v>
      </c>
      <c r="O213" s="40" t="s">
        <v>47</v>
      </c>
      <c r="P213" s="40" t="s">
        <v>47</v>
      </c>
      <c r="Q213" s="40" t="s">
        <v>47</v>
      </c>
      <c r="R213" s="40" t="s">
        <v>47</v>
      </c>
      <c r="S213" s="40" t="s">
        <v>41</v>
      </c>
      <c r="T213" s="40" t="s">
        <v>47</v>
      </c>
      <c r="U213" s="40" t="s">
        <v>41</v>
      </c>
      <c r="V213" s="40" t="s">
        <v>31</v>
      </c>
      <c r="W213" s="40" t="s">
        <v>31</v>
      </c>
      <c r="X213" s="40" t="s">
        <v>41</v>
      </c>
      <c r="Y213" s="40" t="s">
        <v>41</v>
      </c>
      <c r="Z213" s="40" t="s">
        <v>45</v>
      </c>
      <c r="AA213" s="40" t="s">
        <v>34</v>
      </c>
      <c r="AB213" s="40" t="s">
        <v>34</v>
      </c>
      <c r="AC213" s="40" t="s">
        <v>37</v>
      </c>
      <c r="AD213" s="40" t="s">
        <v>34</v>
      </c>
      <c r="AE213" s="40" t="s">
        <v>41</v>
      </c>
      <c r="AF213" s="40" t="s">
        <v>41</v>
      </c>
      <c r="AG213" s="40" t="s">
        <v>31</v>
      </c>
      <c r="AH213" s="40" t="s">
        <v>45</v>
      </c>
      <c r="AI213" s="40" t="s">
        <v>41</v>
      </c>
      <c r="AJ213" s="40" t="s">
        <v>31</v>
      </c>
      <c r="AK213" s="40" t="s">
        <v>45</v>
      </c>
      <c r="AL213" s="40" t="s">
        <v>47</v>
      </c>
      <c r="AM213" s="40" t="s">
        <v>34</v>
      </c>
    </row>
    <row r="214" spans="2:39" ht="24.95" customHeight="1">
      <c r="B214" s="2">
        <v>64</v>
      </c>
      <c r="C214" s="2">
        <v>4</v>
      </c>
      <c r="D214" s="3">
        <v>7</v>
      </c>
      <c r="E214" s="1" cm="1">
        <f t="array" ref="E214">SUM(--(MID(_xlfn.XLOOKUP(J214:AM214,$G$38:$G$46,INDEX($I$38:$J$46,,_xlfn.XMATCH(G214,$I$37:$J$37,0,1)),,0,1), FIND("1",H214),1)= "1")) + SUM(--(MID(_xlfn.XLOOKUP(J214:AM214,$G$38:$G$46,INDEX($I$38:$J$46,,_xlfn.XMATCH(G214,$I$37:$J$37,0,1)),,0,1), FIND("1",I214),1)= "1"))</f>
        <v>30</v>
      </c>
      <c r="F214" s="24"/>
      <c r="G214" s="40" t="s">
        <v>30</v>
      </c>
      <c r="H214" s="40" t="s">
        <v>124</v>
      </c>
      <c r="I214" s="40" t="s">
        <v>123</v>
      </c>
      <c r="J214" s="40" t="s">
        <v>31</v>
      </c>
      <c r="K214" s="40" t="s">
        <v>31</v>
      </c>
      <c r="L214" s="40" t="s">
        <v>31</v>
      </c>
      <c r="M214" s="40" t="s">
        <v>31</v>
      </c>
      <c r="N214" s="40" t="s">
        <v>45</v>
      </c>
      <c r="O214" s="40" t="s">
        <v>37</v>
      </c>
      <c r="P214" s="40" t="s">
        <v>34</v>
      </c>
      <c r="Q214" s="40" t="s">
        <v>45</v>
      </c>
      <c r="R214" s="40" t="s">
        <v>41</v>
      </c>
      <c r="S214" s="40" t="s">
        <v>41</v>
      </c>
      <c r="T214" s="40" t="s">
        <v>31</v>
      </c>
      <c r="U214" s="40" t="s">
        <v>41</v>
      </c>
      <c r="V214" s="40" t="s">
        <v>31</v>
      </c>
      <c r="W214" s="40" t="s">
        <v>41</v>
      </c>
      <c r="X214" s="40" t="s">
        <v>47</v>
      </c>
      <c r="Y214" s="40" t="s">
        <v>41</v>
      </c>
      <c r="Z214" s="40" t="s">
        <v>37</v>
      </c>
      <c r="AA214" s="40" t="s">
        <v>45</v>
      </c>
      <c r="AB214" s="40" t="s">
        <v>34</v>
      </c>
      <c r="AC214" s="40" t="s">
        <v>41</v>
      </c>
      <c r="AD214" s="40" t="s">
        <v>34</v>
      </c>
      <c r="AE214" s="40" t="s">
        <v>37</v>
      </c>
      <c r="AF214" s="40" t="s">
        <v>45</v>
      </c>
      <c r="AG214" s="40" t="s">
        <v>45</v>
      </c>
      <c r="AH214" s="40" t="s">
        <v>47</v>
      </c>
      <c r="AI214" s="40" t="s">
        <v>34</v>
      </c>
      <c r="AJ214" s="40" t="s">
        <v>47</v>
      </c>
      <c r="AK214" s="40" t="s">
        <v>41</v>
      </c>
      <c r="AL214" s="40" t="s">
        <v>31</v>
      </c>
      <c r="AM214" s="40" t="s">
        <v>41</v>
      </c>
    </row>
    <row r="215" spans="2:39" ht="24.95" customHeight="1">
      <c r="B215" s="2">
        <v>65</v>
      </c>
      <c r="C215" s="2">
        <v>4</v>
      </c>
      <c r="D215" s="3">
        <v>7</v>
      </c>
      <c r="E215" s="1" cm="1">
        <f t="array" ref="E215">SUM(--(MID(_xlfn.XLOOKUP(J215:AM215,$G$38:$G$46,INDEX($I$38:$J$46,,_xlfn.XMATCH(G215,$I$37:$J$37,0,1)),,0,1), FIND("1",H215),1)= "1")) + SUM(--(MID(_xlfn.XLOOKUP(J215:AM215,$G$38:$G$46,INDEX($I$38:$J$46,,_xlfn.XMATCH(G215,$I$37:$J$37,0,1)),,0,1), FIND("1",I215),1)= "1"))</f>
        <v>30</v>
      </c>
      <c r="F215" s="24"/>
      <c r="G215" s="40" t="s">
        <v>29</v>
      </c>
      <c r="H215" s="40" t="s">
        <v>124</v>
      </c>
      <c r="I215" s="40" t="s">
        <v>123</v>
      </c>
      <c r="J215" s="40" t="s">
        <v>47</v>
      </c>
      <c r="K215" s="40" t="s">
        <v>45</v>
      </c>
      <c r="L215" s="40" t="s">
        <v>37</v>
      </c>
      <c r="M215" s="40" t="s">
        <v>34</v>
      </c>
      <c r="N215" s="40" t="s">
        <v>45</v>
      </c>
      <c r="O215" s="40" t="s">
        <v>37</v>
      </c>
      <c r="P215" s="40" t="s">
        <v>37</v>
      </c>
      <c r="Q215" s="40" t="s">
        <v>41</v>
      </c>
      <c r="R215" s="40" t="s">
        <v>45</v>
      </c>
      <c r="S215" s="40" t="s">
        <v>34</v>
      </c>
      <c r="T215" s="40" t="s">
        <v>34</v>
      </c>
      <c r="U215" s="40" t="s">
        <v>47</v>
      </c>
      <c r="V215" s="40" t="s">
        <v>37</v>
      </c>
      <c r="W215" s="40" t="s">
        <v>41</v>
      </c>
      <c r="X215" s="40" t="s">
        <v>37</v>
      </c>
      <c r="Y215" s="40" t="s">
        <v>47</v>
      </c>
      <c r="Z215" s="40" t="s">
        <v>34</v>
      </c>
      <c r="AA215" s="40" t="s">
        <v>37</v>
      </c>
      <c r="AB215" s="40" t="s">
        <v>34</v>
      </c>
      <c r="AC215" s="40" t="s">
        <v>41</v>
      </c>
      <c r="AD215" s="40" t="s">
        <v>47</v>
      </c>
      <c r="AE215" s="40" t="s">
        <v>37</v>
      </c>
      <c r="AF215" s="40" t="s">
        <v>45</v>
      </c>
      <c r="AG215" s="40" t="s">
        <v>45</v>
      </c>
      <c r="AH215" s="40" t="s">
        <v>34</v>
      </c>
      <c r="AI215" s="40" t="s">
        <v>47</v>
      </c>
      <c r="AJ215" s="40" t="s">
        <v>45</v>
      </c>
      <c r="AK215" s="40" t="s">
        <v>47</v>
      </c>
      <c r="AL215" s="40" t="s">
        <v>31</v>
      </c>
      <c r="AM215" s="40" t="s">
        <v>47</v>
      </c>
    </row>
    <row r="216" spans="2:39" ht="24.95" customHeight="1">
      <c r="B216" s="2">
        <v>66</v>
      </c>
      <c r="C216" s="2">
        <v>4</v>
      </c>
      <c r="D216" s="3">
        <v>7</v>
      </c>
      <c r="E216" s="1" cm="1">
        <f t="array" ref="E216">SUM(--(MID(_xlfn.XLOOKUP(J216:AM216,$G$38:$G$46,INDEX($I$38:$J$46,,_xlfn.XMATCH(G216,$I$37:$J$37,0,1)),,0,1), FIND("1",H216),1)= "1")) + SUM(--(MID(_xlfn.XLOOKUP(J216:AM216,$G$38:$G$46,INDEX($I$38:$J$46,,_xlfn.XMATCH(G216,$I$37:$J$37,0,1)),,0,1), FIND("1",I216),1)= "1"))</f>
        <v>30</v>
      </c>
      <c r="F216" s="24"/>
      <c r="G216" s="40" t="s">
        <v>30</v>
      </c>
      <c r="H216" s="40" t="s">
        <v>125</v>
      </c>
      <c r="I216" s="40" t="s">
        <v>122</v>
      </c>
      <c r="J216" s="40" t="s">
        <v>47</v>
      </c>
      <c r="K216" s="40" t="s">
        <v>47</v>
      </c>
      <c r="L216" s="40" t="s">
        <v>31</v>
      </c>
      <c r="M216" s="40" t="s">
        <v>31</v>
      </c>
      <c r="N216" s="40" t="s">
        <v>47</v>
      </c>
      <c r="O216" s="40" t="s">
        <v>47</v>
      </c>
      <c r="P216" s="40" t="s">
        <v>31</v>
      </c>
      <c r="Q216" s="40" t="s">
        <v>47</v>
      </c>
      <c r="R216" s="40" t="s">
        <v>45</v>
      </c>
      <c r="S216" s="40" t="s">
        <v>37</v>
      </c>
      <c r="T216" s="40" t="s">
        <v>37</v>
      </c>
      <c r="U216" s="40" t="s">
        <v>47</v>
      </c>
      <c r="V216" s="40" t="s">
        <v>37</v>
      </c>
      <c r="W216" s="40" t="s">
        <v>37</v>
      </c>
      <c r="X216" s="40" t="s">
        <v>37</v>
      </c>
      <c r="Y216" s="40" t="s">
        <v>47</v>
      </c>
      <c r="Z216" s="40" t="s">
        <v>31</v>
      </c>
      <c r="AA216" s="40" t="s">
        <v>45</v>
      </c>
      <c r="AB216" s="40" t="s">
        <v>47</v>
      </c>
      <c r="AC216" s="40" t="s">
        <v>34</v>
      </c>
      <c r="AD216" s="40" t="s">
        <v>37</v>
      </c>
      <c r="AE216" s="40" t="s">
        <v>31</v>
      </c>
      <c r="AF216" s="40" t="s">
        <v>37</v>
      </c>
      <c r="AG216" s="40" t="s">
        <v>31</v>
      </c>
      <c r="AH216" s="40" t="s">
        <v>41</v>
      </c>
      <c r="AI216" s="40" t="s">
        <v>47</v>
      </c>
      <c r="AJ216" s="40" t="s">
        <v>37</v>
      </c>
      <c r="AK216" s="40" t="s">
        <v>31</v>
      </c>
      <c r="AL216" s="40" t="s">
        <v>41</v>
      </c>
      <c r="AM216" s="40" t="s">
        <v>37</v>
      </c>
    </row>
    <row r="217" spans="2:39" ht="24.95" customHeight="1">
      <c r="B217" s="2">
        <v>67</v>
      </c>
      <c r="C217" s="2">
        <v>4</v>
      </c>
      <c r="D217" s="3">
        <v>7</v>
      </c>
      <c r="E217" s="1" cm="1">
        <f t="array" ref="E217">SUM(--(MID(_xlfn.XLOOKUP(J217:AM217,$G$38:$G$46,INDEX($I$38:$J$46,,_xlfn.XMATCH(G217,$I$37:$J$37,0,1)),,0,1), FIND("1",H217),1)= "1")) + SUM(--(MID(_xlfn.XLOOKUP(J217:AM217,$G$38:$G$46,INDEX($I$38:$J$46,,_xlfn.XMATCH(G217,$I$37:$J$37,0,1)),,0,1), FIND("1",I217),1)= "1"))</f>
        <v>26</v>
      </c>
      <c r="F217" s="24"/>
      <c r="G217" s="40" t="s">
        <v>30</v>
      </c>
      <c r="H217" s="40" t="s">
        <v>124</v>
      </c>
      <c r="I217" s="40" t="s">
        <v>123</v>
      </c>
      <c r="J217" s="40" t="s">
        <v>47</v>
      </c>
      <c r="K217" s="40" t="s">
        <v>34</v>
      </c>
      <c r="L217" s="40" t="s">
        <v>31</v>
      </c>
      <c r="M217" s="40" t="s">
        <v>37</v>
      </c>
      <c r="N217" s="40" t="s">
        <v>47</v>
      </c>
      <c r="O217" s="40" t="s">
        <v>47</v>
      </c>
      <c r="P217" s="40" t="s">
        <v>45</v>
      </c>
      <c r="Q217" s="40" t="s">
        <v>31</v>
      </c>
      <c r="R217" s="40" t="s">
        <v>41</v>
      </c>
      <c r="S217" s="40" t="s">
        <v>41</v>
      </c>
      <c r="T217" s="40" t="s">
        <v>47</v>
      </c>
      <c r="U217" s="40" t="s">
        <v>34</v>
      </c>
      <c r="V217" s="40" t="s">
        <v>31</v>
      </c>
      <c r="W217" s="40" t="s">
        <v>41</v>
      </c>
      <c r="X217" s="40" t="s">
        <v>34</v>
      </c>
      <c r="Y217" s="40" t="s">
        <v>37</v>
      </c>
      <c r="Z217" s="40" t="s">
        <v>47</v>
      </c>
      <c r="AA217" s="40" t="s">
        <v>47</v>
      </c>
      <c r="AB217" s="40" t="s">
        <v>47</v>
      </c>
      <c r="AC217" s="40" t="s">
        <v>45</v>
      </c>
      <c r="AD217" s="40" t="s">
        <v>41</v>
      </c>
      <c r="AE217" s="40" t="s">
        <v>31</v>
      </c>
      <c r="AF217" s="40" t="s">
        <v>37</v>
      </c>
      <c r="AG217" s="40" t="s">
        <v>45</v>
      </c>
      <c r="AH217" s="40" t="s">
        <v>34</v>
      </c>
      <c r="AI217" s="40" t="s">
        <v>47</v>
      </c>
      <c r="AJ217" s="40" t="s">
        <v>31</v>
      </c>
      <c r="AK217" s="40" t="s">
        <v>41</v>
      </c>
      <c r="AL217" s="40" t="s">
        <v>37</v>
      </c>
      <c r="AM217" s="40" t="s">
        <v>41</v>
      </c>
    </row>
    <row r="218" spans="2:39" ht="24.95" customHeight="1">
      <c r="B218" s="2">
        <v>68</v>
      </c>
      <c r="C218" s="2">
        <v>4</v>
      </c>
      <c r="D218" s="3">
        <v>7</v>
      </c>
      <c r="E218" s="1" cm="1">
        <f t="array" ref="E218">SUM(--(MID(_xlfn.XLOOKUP(J218:AM218,$G$38:$G$46,INDEX($I$38:$J$46,,_xlfn.XMATCH(G218,$I$37:$J$37,0,1)),,0,1), FIND("1",H218),1)= "1")) + SUM(--(MID(_xlfn.XLOOKUP(J218:AM218,$G$38:$G$46,INDEX($I$38:$J$46,,_xlfn.XMATCH(G218,$I$37:$J$37,0,1)),,0,1), FIND("1",I218),1)= "1"))</f>
        <v>32</v>
      </c>
      <c r="F218" s="24"/>
      <c r="G218" s="40" t="s">
        <v>30</v>
      </c>
      <c r="H218" s="40" t="s">
        <v>124</v>
      </c>
      <c r="I218" s="40" t="s">
        <v>122</v>
      </c>
      <c r="J218" s="40" t="s">
        <v>31</v>
      </c>
      <c r="K218" s="40" t="s">
        <v>31</v>
      </c>
      <c r="L218" s="40" t="s">
        <v>31</v>
      </c>
      <c r="M218" s="40" t="s">
        <v>47</v>
      </c>
      <c r="N218" s="40" t="s">
        <v>31</v>
      </c>
      <c r="O218" s="40" t="s">
        <v>37</v>
      </c>
      <c r="P218" s="40" t="s">
        <v>47</v>
      </c>
      <c r="Q218" s="40" t="s">
        <v>31</v>
      </c>
      <c r="R218" s="40" t="s">
        <v>47</v>
      </c>
      <c r="S218" s="40" t="s">
        <v>45</v>
      </c>
      <c r="T218" s="40" t="s">
        <v>41</v>
      </c>
      <c r="U218" s="40" t="s">
        <v>37</v>
      </c>
      <c r="V218" s="40" t="s">
        <v>45</v>
      </c>
      <c r="W218" s="40" t="s">
        <v>31</v>
      </c>
      <c r="X218" s="40" t="s">
        <v>37</v>
      </c>
      <c r="Y218" s="40" t="s">
        <v>37</v>
      </c>
      <c r="Z218" s="40" t="s">
        <v>41</v>
      </c>
      <c r="AA218" s="40" t="s">
        <v>45</v>
      </c>
      <c r="AB218" s="40" t="s">
        <v>31</v>
      </c>
      <c r="AC218" s="40" t="s">
        <v>34</v>
      </c>
      <c r="AD218" s="40" t="s">
        <v>37</v>
      </c>
      <c r="AE218" s="40" t="s">
        <v>41</v>
      </c>
      <c r="AF218" s="40" t="s">
        <v>34</v>
      </c>
      <c r="AG218" s="40" t="s">
        <v>34</v>
      </c>
      <c r="AH218" s="40" t="s">
        <v>41</v>
      </c>
      <c r="AI218" s="40" t="s">
        <v>41</v>
      </c>
      <c r="AJ218" s="40" t="s">
        <v>34</v>
      </c>
      <c r="AK218" s="40" t="s">
        <v>34</v>
      </c>
      <c r="AL218" s="40" t="s">
        <v>47</v>
      </c>
      <c r="AM218" s="40" t="s">
        <v>47</v>
      </c>
    </row>
    <row r="219" spans="2:39" ht="24.95" customHeight="1">
      <c r="B219" s="2">
        <v>69</v>
      </c>
      <c r="C219" s="2">
        <v>4</v>
      </c>
      <c r="D219" s="3">
        <v>7</v>
      </c>
      <c r="E219" s="1" cm="1">
        <f t="array" ref="E219">SUM(--(MID(_xlfn.XLOOKUP(J219:AM219,$G$38:$G$46,INDEX($I$38:$J$46,,_xlfn.XMATCH(G219,$I$37:$J$37,0,1)),,0,1), FIND("1",H219),1)= "1")) + SUM(--(MID(_xlfn.XLOOKUP(J219:AM219,$G$38:$G$46,INDEX($I$38:$J$46,,_xlfn.XMATCH(G219,$I$37:$J$37,0,1)),,0,1), FIND("1",I219),1)= "1"))</f>
        <v>33</v>
      </c>
      <c r="F219" s="24"/>
      <c r="G219" s="40" t="s">
        <v>29</v>
      </c>
      <c r="H219" s="40" t="s">
        <v>125</v>
      </c>
      <c r="I219" s="40" t="s">
        <v>123</v>
      </c>
      <c r="J219" s="40" t="s">
        <v>47</v>
      </c>
      <c r="K219" s="40" t="s">
        <v>41</v>
      </c>
      <c r="L219" s="40" t="s">
        <v>31</v>
      </c>
      <c r="M219" s="40" t="s">
        <v>31</v>
      </c>
      <c r="N219" s="40" t="s">
        <v>47</v>
      </c>
      <c r="O219" s="40" t="s">
        <v>41</v>
      </c>
      <c r="P219" s="40" t="s">
        <v>45</v>
      </c>
      <c r="Q219" s="40" t="s">
        <v>37</v>
      </c>
      <c r="R219" s="40" t="s">
        <v>34</v>
      </c>
      <c r="S219" s="40" t="s">
        <v>31</v>
      </c>
      <c r="T219" s="40" t="s">
        <v>47</v>
      </c>
      <c r="U219" s="40" t="s">
        <v>45</v>
      </c>
      <c r="V219" s="40" t="s">
        <v>34</v>
      </c>
      <c r="W219" s="40" t="s">
        <v>34</v>
      </c>
      <c r="X219" s="40" t="s">
        <v>34</v>
      </c>
      <c r="Y219" s="40" t="s">
        <v>41</v>
      </c>
      <c r="Z219" s="40" t="s">
        <v>41</v>
      </c>
      <c r="AA219" s="40" t="s">
        <v>37</v>
      </c>
      <c r="AB219" s="40" t="s">
        <v>45</v>
      </c>
      <c r="AC219" s="40" t="s">
        <v>31</v>
      </c>
      <c r="AD219" s="40" t="s">
        <v>47</v>
      </c>
      <c r="AE219" s="40" t="s">
        <v>41</v>
      </c>
      <c r="AF219" s="40" t="s">
        <v>47</v>
      </c>
      <c r="AG219" s="40" t="s">
        <v>31</v>
      </c>
      <c r="AH219" s="40" t="s">
        <v>34</v>
      </c>
      <c r="AI219" s="40" t="s">
        <v>45</v>
      </c>
      <c r="AJ219" s="40" t="s">
        <v>47</v>
      </c>
      <c r="AK219" s="40" t="s">
        <v>41</v>
      </c>
      <c r="AL219" s="40" t="s">
        <v>41</v>
      </c>
      <c r="AM219" s="40" t="s">
        <v>47</v>
      </c>
    </row>
    <row r="220" spans="2:39" ht="24.95" customHeight="1">
      <c r="B220" s="2">
        <v>70</v>
      </c>
      <c r="C220" s="2">
        <v>4</v>
      </c>
      <c r="D220" s="3">
        <v>7</v>
      </c>
      <c r="E220" s="1" cm="1">
        <f t="array" ref="E220">SUM(--(MID(_xlfn.XLOOKUP(J220:AM220,$G$38:$G$46,INDEX($I$38:$J$46,,_xlfn.XMATCH(G220,$I$37:$J$37,0,1)),,0,1), FIND("1",H220),1)= "1")) + SUM(--(MID(_xlfn.XLOOKUP(J220:AM220,$G$38:$G$46,INDEX($I$38:$J$46,,_xlfn.XMATCH(G220,$I$37:$J$37,0,1)),,0,1), FIND("1",I220),1)= "1"))</f>
        <v>33</v>
      </c>
      <c r="F220" s="24"/>
      <c r="G220" s="40" t="s">
        <v>30</v>
      </c>
      <c r="H220" s="40" t="s">
        <v>125</v>
      </c>
      <c r="I220" s="40" t="s">
        <v>122</v>
      </c>
      <c r="J220" s="40" t="s">
        <v>47</v>
      </c>
      <c r="K220" s="40" t="s">
        <v>37</v>
      </c>
      <c r="L220" s="40" t="s">
        <v>47</v>
      </c>
      <c r="M220" s="40" t="s">
        <v>45</v>
      </c>
      <c r="N220" s="40" t="s">
        <v>37</v>
      </c>
      <c r="O220" s="40" t="s">
        <v>31</v>
      </c>
      <c r="P220" s="40" t="s">
        <v>37</v>
      </c>
      <c r="Q220" s="40" t="s">
        <v>31</v>
      </c>
      <c r="R220" s="40" t="s">
        <v>31</v>
      </c>
      <c r="S220" s="40" t="s">
        <v>45</v>
      </c>
      <c r="T220" s="40" t="s">
        <v>47</v>
      </c>
      <c r="U220" s="40" t="s">
        <v>31</v>
      </c>
      <c r="V220" s="40" t="s">
        <v>47</v>
      </c>
      <c r="W220" s="40" t="s">
        <v>34</v>
      </c>
      <c r="X220" s="40" t="s">
        <v>34</v>
      </c>
      <c r="Y220" s="40" t="s">
        <v>31</v>
      </c>
      <c r="Z220" s="40" t="s">
        <v>31</v>
      </c>
      <c r="AA220" s="40" t="s">
        <v>34</v>
      </c>
      <c r="AB220" s="40" t="s">
        <v>41</v>
      </c>
      <c r="AC220" s="40" t="s">
        <v>37</v>
      </c>
      <c r="AD220" s="40" t="s">
        <v>31</v>
      </c>
      <c r="AE220" s="40" t="s">
        <v>47</v>
      </c>
      <c r="AF220" s="40" t="s">
        <v>41</v>
      </c>
      <c r="AG220" s="40" t="s">
        <v>45</v>
      </c>
      <c r="AH220" s="40" t="s">
        <v>41</v>
      </c>
      <c r="AI220" s="40" t="s">
        <v>47</v>
      </c>
      <c r="AJ220" s="40" t="s">
        <v>41</v>
      </c>
      <c r="AK220" s="40" t="s">
        <v>37</v>
      </c>
      <c r="AL220" s="40" t="s">
        <v>47</v>
      </c>
      <c r="AM220" s="40" t="s">
        <v>47</v>
      </c>
    </row>
    <row r="221" spans="2:39" ht="24.95" customHeight="1">
      <c r="B221" s="2">
        <v>71</v>
      </c>
      <c r="C221" s="2">
        <v>4</v>
      </c>
      <c r="D221" s="3">
        <v>7</v>
      </c>
      <c r="E221" s="1" cm="1">
        <f t="array" ref="E221">SUM(--(MID(_xlfn.XLOOKUP(J221:AM221,$G$38:$G$46,INDEX($I$38:$J$46,,_xlfn.XMATCH(G221,$I$37:$J$37,0,1)),,0,1), FIND("1",H221),1)= "1")) + SUM(--(MID(_xlfn.XLOOKUP(J221:AM221,$G$38:$G$46,INDEX($I$38:$J$46,,_xlfn.XMATCH(G221,$I$37:$J$37,0,1)),,0,1), FIND("1",I221),1)= "1"))</f>
        <v>28</v>
      </c>
      <c r="F221" s="24"/>
      <c r="G221" s="40" t="s">
        <v>30</v>
      </c>
      <c r="H221" s="40" t="s">
        <v>124</v>
      </c>
      <c r="I221" s="40" t="s">
        <v>123</v>
      </c>
      <c r="J221" s="40" t="s">
        <v>45</v>
      </c>
      <c r="K221" s="40" t="s">
        <v>31</v>
      </c>
      <c r="L221" s="40" t="s">
        <v>34</v>
      </c>
      <c r="M221" s="40" t="s">
        <v>47</v>
      </c>
      <c r="N221" s="40" t="s">
        <v>34</v>
      </c>
      <c r="O221" s="40" t="s">
        <v>47</v>
      </c>
      <c r="P221" s="40" t="s">
        <v>47</v>
      </c>
      <c r="Q221" s="40" t="s">
        <v>37</v>
      </c>
      <c r="R221" s="40" t="s">
        <v>37</v>
      </c>
      <c r="S221" s="40" t="s">
        <v>47</v>
      </c>
      <c r="T221" s="40" t="s">
        <v>34</v>
      </c>
      <c r="U221" s="40" t="s">
        <v>41</v>
      </c>
      <c r="V221" s="40" t="s">
        <v>37</v>
      </c>
      <c r="W221" s="40" t="s">
        <v>41</v>
      </c>
      <c r="X221" s="40" t="s">
        <v>37</v>
      </c>
      <c r="Y221" s="40" t="s">
        <v>37</v>
      </c>
      <c r="Z221" s="40" t="s">
        <v>47</v>
      </c>
      <c r="AA221" s="40" t="s">
        <v>41</v>
      </c>
      <c r="AB221" s="40" t="s">
        <v>31</v>
      </c>
      <c r="AC221" s="40" t="s">
        <v>31</v>
      </c>
      <c r="AD221" s="40" t="s">
        <v>41</v>
      </c>
      <c r="AE221" s="40" t="s">
        <v>47</v>
      </c>
      <c r="AF221" s="40" t="s">
        <v>34</v>
      </c>
      <c r="AG221" s="40" t="s">
        <v>41</v>
      </c>
      <c r="AH221" s="40" t="s">
        <v>41</v>
      </c>
      <c r="AI221" s="40" t="s">
        <v>45</v>
      </c>
      <c r="AJ221" s="40" t="s">
        <v>45</v>
      </c>
      <c r="AK221" s="40" t="s">
        <v>47</v>
      </c>
      <c r="AL221" s="40" t="s">
        <v>37</v>
      </c>
      <c r="AM221" s="40" t="s">
        <v>47</v>
      </c>
    </row>
    <row r="222" spans="2:39" ht="24.95" customHeight="1">
      <c r="B222" s="2">
        <v>72</v>
      </c>
      <c r="C222" s="2">
        <v>4</v>
      </c>
      <c r="D222" s="3">
        <v>7</v>
      </c>
      <c r="E222" s="1" cm="1">
        <f t="array" ref="E222">SUM(--(MID(_xlfn.XLOOKUP(J222:AM222,$G$38:$G$46,INDEX($I$38:$J$46,,_xlfn.XMATCH(G222,$I$37:$J$37,0,1)),,0,1), FIND("1",H222),1)= "1")) + SUM(--(MID(_xlfn.XLOOKUP(J222:AM222,$G$38:$G$46,INDEX($I$38:$J$46,,_xlfn.XMATCH(G222,$I$37:$J$37,0,1)),,0,1), FIND("1",I222),1)= "1"))</f>
        <v>29</v>
      </c>
      <c r="F222" s="24"/>
      <c r="G222" s="40" t="s">
        <v>30</v>
      </c>
      <c r="H222" s="40" t="s">
        <v>124</v>
      </c>
      <c r="I222" s="40" t="s">
        <v>123</v>
      </c>
      <c r="J222" s="40" t="s">
        <v>47</v>
      </c>
      <c r="K222" s="40" t="s">
        <v>34</v>
      </c>
      <c r="L222" s="40" t="s">
        <v>34</v>
      </c>
      <c r="M222" s="40" t="s">
        <v>34</v>
      </c>
      <c r="N222" s="40" t="s">
        <v>41</v>
      </c>
      <c r="O222" s="40" t="s">
        <v>45</v>
      </c>
      <c r="P222" s="40" t="s">
        <v>37</v>
      </c>
      <c r="Q222" s="40" t="s">
        <v>31</v>
      </c>
      <c r="R222" s="40" t="s">
        <v>41</v>
      </c>
      <c r="S222" s="40" t="s">
        <v>34</v>
      </c>
      <c r="T222" s="40" t="s">
        <v>37</v>
      </c>
      <c r="U222" s="40" t="s">
        <v>45</v>
      </c>
      <c r="V222" s="40" t="s">
        <v>41</v>
      </c>
      <c r="W222" s="40" t="s">
        <v>41</v>
      </c>
      <c r="X222" s="40" t="s">
        <v>37</v>
      </c>
      <c r="Y222" s="40" t="s">
        <v>41</v>
      </c>
      <c r="Z222" s="40" t="s">
        <v>47</v>
      </c>
      <c r="AA222" s="40" t="s">
        <v>41</v>
      </c>
      <c r="AB222" s="40" t="s">
        <v>34</v>
      </c>
      <c r="AC222" s="40" t="s">
        <v>47</v>
      </c>
      <c r="AD222" s="40" t="s">
        <v>47</v>
      </c>
      <c r="AE222" s="40" t="s">
        <v>31</v>
      </c>
      <c r="AF222" s="40" t="s">
        <v>37</v>
      </c>
      <c r="AG222" s="40" t="s">
        <v>31</v>
      </c>
      <c r="AH222" s="40" t="s">
        <v>47</v>
      </c>
      <c r="AI222" s="40" t="s">
        <v>37</v>
      </c>
      <c r="AJ222" s="40" t="s">
        <v>31</v>
      </c>
      <c r="AK222" s="40" t="s">
        <v>31</v>
      </c>
      <c r="AL222" s="40" t="s">
        <v>47</v>
      </c>
      <c r="AM222" s="40" t="s">
        <v>45</v>
      </c>
    </row>
    <row r="223" spans="2:39" ht="24.95" customHeight="1">
      <c r="B223" s="2">
        <v>73</v>
      </c>
      <c r="C223" s="2">
        <v>4</v>
      </c>
      <c r="D223" s="3">
        <v>7</v>
      </c>
      <c r="E223" s="1" cm="1">
        <f t="array" ref="E223">SUM(--(MID(_xlfn.XLOOKUP(J223:AM223,$G$38:$G$46,INDEX($I$38:$J$46,,_xlfn.XMATCH(G223,$I$37:$J$37,0,1)),,0,1), FIND("1",H223),1)= "1")) + SUM(--(MID(_xlfn.XLOOKUP(J223:AM223,$G$38:$G$46,INDEX($I$38:$J$46,,_xlfn.XMATCH(G223,$I$37:$J$37,0,1)),,0,1), FIND("1",I223),1)= "1"))</f>
        <v>32</v>
      </c>
      <c r="F223" s="24"/>
      <c r="G223" s="40" t="s">
        <v>29</v>
      </c>
      <c r="H223" s="40" t="s">
        <v>125</v>
      </c>
      <c r="I223" s="40" t="s">
        <v>122</v>
      </c>
      <c r="J223" s="40" t="s">
        <v>41</v>
      </c>
      <c r="K223" s="40" t="s">
        <v>31</v>
      </c>
      <c r="L223" s="40" t="s">
        <v>31</v>
      </c>
      <c r="M223" s="40" t="s">
        <v>41</v>
      </c>
      <c r="N223" s="40" t="s">
        <v>31</v>
      </c>
      <c r="O223" s="40" t="s">
        <v>31</v>
      </c>
      <c r="P223" s="40" t="s">
        <v>45</v>
      </c>
      <c r="Q223" s="40" t="s">
        <v>47</v>
      </c>
      <c r="R223" s="40" t="s">
        <v>41</v>
      </c>
      <c r="S223" s="40" t="s">
        <v>37</v>
      </c>
      <c r="T223" s="40" t="s">
        <v>41</v>
      </c>
      <c r="U223" s="40" t="s">
        <v>47</v>
      </c>
      <c r="V223" s="40" t="s">
        <v>31</v>
      </c>
      <c r="W223" s="40" t="s">
        <v>37</v>
      </c>
      <c r="X223" s="40" t="s">
        <v>45</v>
      </c>
      <c r="Y223" s="40" t="s">
        <v>31</v>
      </c>
      <c r="Z223" s="40" t="s">
        <v>37</v>
      </c>
      <c r="AA223" s="40" t="s">
        <v>31</v>
      </c>
      <c r="AB223" s="40" t="s">
        <v>37</v>
      </c>
      <c r="AC223" s="40" t="s">
        <v>31</v>
      </c>
      <c r="AD223" s="40" t="s">
        <v>34</v>
      </c>
      <c r="AE223" s="40" t="s">
        <v>45</v>
      </c>
      <c r="AF223" s="40" t="s">
        <v>37</v>
      </c>
      <c r="AG223" s="40" t="s">
        <v>37</v>
      </c>
      <c r="AH223" s="40" t="s">
        <v>34</v>
      </c>
      <c r="AI223" s="40" t="s">
        <v>47</v>
      </c>
      <c r="AJ223" s="40" t="s">
        <v>34</v>
      </c>
      <c r="AK223" s="40" t="s">
        <v>47</v>
      </c>
      <c r="AL223" s="40" t="s">
        <v>31</v>
      </c>
      <c r="AM223" s="40" t="s">
        <v>31</v>
      </c>
    </row>
    <row r="224" spans="2:39" ht="24.95" customHeight="1">
      <c r="B224" s="2">
        <v>74</v>
      </c>
      <c r="C224" s="2">
        <v>4</v>
      </c>
      <c r="D224" s="3">
        <v>7</v>
      </c>
      <c r="E224" s="1" cm="1">
        <f t="array" ref="E224">SUM(--(MID(_xlfn.XLOOKUP(J224:AM224,$G$38:$G$46,INDEX($I$38:$J$46,,_xlfn.XMATCH(G224,$I$37:$J$37,0,1)),,0,1), FIND("1",H224),1)= "1")) + SUM(--(MID(_xlfn.XLOOKUP(J224:AM224,$G$38:$G$46,INDEX($I$38:$J$46,,_xlfn.XMATCH(G224,$I$37:$J$37,0,1)),,0,1), FIND("1",I224),1)= "1"))</f>
        <v>30</v>
      </c>
      <c r="F224" s="24"/>
      <c r="G224" s="40" t="s">
        <v>30</v>
      </c>
      <c r="H224" s="40" t="s">
        <v>123</v>
      </c>
      <c r="I224" s="40" t="s">
        <v>122</v>
      </c>
      <c r="J224" s="40" t="s">
        <v>34</v>
      </c>
      <c r="K224" s="40" t="s">
        <v>34</v>
      </c>
      <c r="L224" s="40" t="s">
        <v>34</v>
      </c>
      <c r="M224" s="40" t="s">
        <v>34</v>
      </c>
      <c r="N224" s="40" t="s">
        <v>34</v>
      </c>
      <c r="O224" s="40" t="s">
        <v>34</v>
      </c>
      <c r="P224" s="40" t="s">
        <v>37</v>
      </c>
      <c r="Q224" s="40" t="s">
        <v>37</v>
      </c>
      <c r="R224" s="40" t="s">
        <v>31</v>
      </c>
      <c r="S224" s="40" t="s">
        <v>45</v>
      </c>
      <c r="T224" s="40" t="s">
        <v>31</v>
      </c>
      <c r="U224" s="40" t="s">
        <v>47</v>
      </c>
      <c r="V224" s="40" t="s">
        <v>45</v>
      </c>
      <c r="W224" s="40" t="s">
        <v>45</v>
      </c>
      <c r="X224" s="40" t="s">
        <v>47</v>
      </c>
      <c r="Y224" s="40" t="s">
        <v>34</v>
      </c>
      <c r="Z224" s="40" t="s">
        <v>31</v>
      </c>
      <c r="AA224" s="40" t="s">
        <v>31</v>
      </c>
      <c r="AB224" s="40" t="s">
        <v>34</v>
      </c>
      <c r="AC224" s="40" t="s">
        <v>41</v>
      </c>
      <c r="AD224" s="40" t="s">
        <v>47</v>
      </c>
      <c r="AE224" s="40" t="s">
        <v>31</v>
      </c>
      <c r="AF224" s="40" t="s">
        <v>31</v>
      </c>
      <c r="AG224" s="40" t="s">
        <v>31</v>
      </c>
      <c r="AH224" s="40" t="s">
        <v>41</v>
      </c>
      <c r="AI224" s="40" t="s">
        <v>45</v>
      </c>
      <c r="AJ224" s="40" t="s">
        <v>47</v>
      </c>
      <c r="AK224" s="40" t="s">
        <v>41</v>
      </c>
      <c r="AL224" s="40" t="s">
        <v>31</v>
      </c>
      <c r="AM224" s="40" t="s">
        <v>37</v>
      </c>
    </row>
    <row r="225" spans="2:39" ht="24.95" customHeight="1">
      <c r="B225" s="2">
        <v>75</v>
      </c>
      <c r="C225" s="2">
        <v>4</v>
      </c>
      <c r="D225" s="3">
        <v>7</v>
      </c>
      <c r="E225" s="1" cm="1">
        <f t="array" ref="E225">SUM(--(MID(_xlfn.XLOOKUP(J225:AM225,$G$38:$G$46,INDEX($I$38:$J$46,,_xlfn.XMATCH(G225,$I$37:$J$37,0,1)),,0,1), FIND("1",H225),1)= "1")) + SUM(--(MID(_xlfn.XLOOKUP(J225:AM225,$G$38:$G$46,INDEX($I$38:$J$46,,_xlfn.XMATCH(G225,$I$37:$J$37,0,1)),,0,1), FIND("1",I225),1)= "1"))</f>
        <v>31</v>
      </c>
      <c r="F225" s="24"/>
      <c r="G225" s="40" t="s">
        <v>30</v>
      </c>
      <c r="H225" s="40" t="s">
        <v>125</v>
      </c>
      <c r="I225" s="40" t="s">
        <v>122</v>
      </c>
      <c r="J225" s="40" t="s">
        <v>34</v>
      </c>
      <c r="K225" s="40" t="s">
        <v>31</v>
      </c>
      <c r="L225" s="40" t="s">
        <v>34</v>
      </c>
      <c r="M225" s="40" t="s">
        <v>37</v>
      </c>
      <c r="N225" s="40" t="s">
        <v>47</v>
      </c>
      <c r="O225" s="40" t="s">
        <v>34</v>
      </c>
      <c r="P225" s="40" t="s">
        <v>34</v>
      </c>
      <c r="Q225" s="40" t="s">
        <v>41</v>
      </c>
      <c r="R225" s="40" t="s">
        <v>47</v>
      </c>
      <c r="S225" s="40" t="s">
        <v>37</v>
      </c>
      <c r="T225" s="40" t="s">
        <v>37</v>
      </c>
      <c r="U225" s="40" t="s">
        <v>45</v>
      </c>
      <c r="V225" s="40" t="s">
        <v>45</v>
      </c>
      <c r="W225" s="40" t="s">
        <v>34</v>
      </c>
      <c r="X225" s="40" t="s">
        <v>37</v>
      </c>
      <c r="Y225" s="40" t="s">
        <v>34</v>
      </c>
      <c r="Z225" s="40" t="s">
        <v>47</v>
      </c>
      <c r="AA225" s="40" t="s">
        <v>37</v>
      </c>
      <c r="AB225" s="40" t="s">
        <v>47</v>
      </c>
      <c r="AC225" s="40" t="s">
        <v>41</v>
      </c>
      <c r="AD225" s="40" t="s">
        <v>34</v>
      </c>
      <c r="AE225" s="40" t="s">
        <v>34</v>
      </c>
      <c r="AF225" s="40" t="s">
        <v>47</v>
      </c>
      <c r="AG225" s="40" t="s">
        <v>47</v>
      </c>
      <c r="AH225" s="40" t="s">
        <v>34</v>
      </c>
      <c r="AI225" s="40" t="s">
        <v>34</v>
      </c>
      <c r="AJ225" s="40" t="s">
        <v>47</v>
      </c>
      <c r="AK225" s="40" t="s">
        <v>37</v>
      </c>
      <c r="AL225" s="40" t="s">
        <v>31</v>
      </c>
      <c r="AM225" s="40" t="s">
        <v>31</v>
      </c>
    </row>
    <row r="226" spans="2:39" ht="24.95" customHeight="1">
      <c r="B226" s="2">
        <v>76</v>
      </c>
      <c r="C226" s="2">
        <v>4</v>
      </c>
      <c r="D226" s="3">
        <v>7</v>
      </c>
      <c r="E226" s="1" cm="1">
        <f t="array" ref="E226">SUM(--(MID(_xlfn.XLOOKUP(J226:AM226,$G$38:$G$46,INDEX($I$38:$J$46,,_xlfn.XMATCH(G226,$I$37:$J$37,0,1)),,0,1), FIND("1",H226),1)= "1")) + SUM(--(MID(_xlfn.XLOOKUP(J226:AM226,$G$38:$G$46,INDEX($I$38:$J$46,,_xlfn.XMATCH(G226,$I$37:$J$37,0,1)),,0,1), FIND("1",I226),1)= "1"))</f>
        <v>30</v>
      </c>
      <c r="F226" s="24"/>
      <c r="G226" s="40" t="s">
        <v>29</v>
      </c>
      <c r="H226" s="40" t="s">
        <v>124</v>
      </c>
      <c r="I226" s="40" t="s">
        <v>123</v>
      </c>
      <c r="J226" s="40" t="s">
        <v>41</v>
      </c>
      <c r="K226" s="40" t="s">
        <v>31</v>
      </c>
      <c r="L226" s="40" t="s">
        <v>37</v>
      </c>
      <c r="M226" s="40" t="s">
        <v>41</v>
      </c>
      <c r="N226" s="40" t="s">
        <v>37</v>
      </c>
      <c r="O226" s="40" t="s">
        <v>47</v>
      </c>
      <c r="P226" s="40" t="s">
        <v>37</v>
      </c>
      <c r="Q226" s="40" t="s">
        <v>47</v>
      </c>
      <c r="R226" s="40" t="s">
        <v>47</v>
      </c>
      <c r="S226" s="40" t="s">
        <v>31</v>
      </c>
      <c r="T226" s="40" t="s">
        <v>37</v>
      </c>
      <c r="U226" s="40" t="s">
        <v>34</v>
      </c>
      <c r="V226" s="40" t="s">
        <v>34</v>
      </c>
      <c r="W226" s="40" t="s">
        <v>41</v>
      </c>
      <c r="X226" s="40" t="s">
        <v>31</v>
      </c>
      <c r="Y226" s="40" t="s">
        <v>45</v>
      </c>
      <c r="Z226" s="40" t="s">
        <v>37</v>
      </c>
      <c r="AA226" s="40" t="s">
        <v>34</v>
      </c>
      <c r="AB226" s="40" t="s">
        <v>41</v>
      </c>
      <c r="AC226" s="40" t="s">
        <v>41</v>
      </c>
      <c r="AD226" s="40" t="s">
        <v>34</v>
      </c>
      <c r="AE226" s="40" t="s">
        <v>41</v>
      </c>
      <c r="AF226" s="40" t="s">
        <v>31</v>
      </c>
      <c r="AG226" s="40" t="s">
        <v>31</v>
      </c>
      <c r="AH226" s="40" t="s">
        <v>37</v>
      </c>
      <c r="AI226" s="40" t="s">
        <v>47</v>
      </c>
      <c r="AJ226" s="40" t="s">
        <v>47</v>
      </c>
      <c r="AK226" s="40" t="s">
        <v>41</v>
      </c>
      <c r="AL226" s="40" t="s">
        <v>47</v>
      </c>
      <c r="AM226" s="40" t="s">
        <v>31</v>
      </c>
    </row>
    <row r="227" spans="2:39" ht="24.95" customHeight="1">
      <c r="B227" s="2">
        <v>77</v>
      </c>
      <c r="C227" s="2">
        <v>4</v>
      </c>
      <c r="D227" s="3">
        <v>7</v>
      </c>
      <c r="E227" s="1" cm="1">
        <f t="array" ref="E227">SUM(--(MID(_xlfn.XLOOKUP(J227:AM227,$G$38:$G$46,INDEX($I$38:$J$46,,_xlfn.XMATCH(G227,$I$37:$J$37,0,1)),,0,1), FIND("1",H227),1)= "1")) + SUM(--(MID(_xlfn.XLOOKUP(J227:AM227,$G$38:$G$46,INDEX($I$38:$J$46,,_xlfn.XMATCH(G227,$I$37:$J$37,0,1)),,0,1), FIND("1",I227),1)= "1"))</f>
        <v>28</v>
      </c>
      <c r="F227" s="24"/>
      <c r="G227" s="40" t="s">
        <v>29</v>
      </c>
      <c r="H227" s="40" t="s">
        <v>125</v>
      </c>
      <c r="I227" s="40" t="s">
        <v>124</v>
      </c>
      <c r="J227" s="40" t="s">
        <v>34</v>
      </c>
      <c r="K227" s="40" t="s">
        <v>41</v>
      </c>
      <c r="L227" s="40" t="s">
        <v>34</v>
      </c>
      <c r="M227" s="40" t="s">
        <v>34</v>
      </c>
      <c r="N227" s="40" t="s">
        <v>47</v>
      </c>
      <c r="O227" s="40" t="s">
        <v>45</v>
      </c>
      <c r="P227" s="40" t="s">
        <v>47</v>
      </c>
      <c r="Q227" s="40" t="s">
        <v>45</v>
      </c>
      <c r="R227" s="40" t="s">
        <v>45</v>
      </c>
      <c r="S227" s="40" t="s">
        <v>45</v>
      </c>
      <c r="T227" s="40" t="s">
        <v>37</v>
      </c>
      <c r="U227" s="40" t="s">
        <v>37</v>
      </c>
      <c r="V227" s="40" t="s">
        <v>31</v>
      </c>
      <c r="W227" s="40" t="s">
        <v>34</v>
      </c>
      <c r="X227" s="40" t="s">
        <v>45</v>
      </c>
      <c r="Y227" s="40" t="s">
        <v>31</v>
      </c>
      <c r="Z227" s="40" t="s">
        <v>34</v>
      </c>
      <c r="AA227" s="40" t="s">
        <v>45</v>
      </c>
      <c r="AB227" s="40" t="s">
        <v>34</v>
      </c>
      <c r="AC227" s="40" t="s">
        <v>45</v>
      </c>
      <c r="AD227" s="40" t="s">
        <v>37</v>
      </c>
      <c r="AE227" s="40" t="s">
        <v>47</v>
      </c>
      <c r="AF227" s="40" t="s">
        <v>37</v>
      </c>
      <c r="AG227" s="40" t="s">
        <v>45</v>
      </c>
      <c r="AH227" s="40" t="s">
        <v>34</v>
      </c>
      <c r="AI227" s="40" t="s">
        <v>31</v>
      </c>
      <c r="AJ227" s="40" t="s">
        <v>37</v>
      </c>
      <c r="AK227" s="40" t="s">
        <v>31</v>
      </c>
      <c r="AL227" s="40" t="s">
        <v>31</v>
      </c>
      <c r="AM227" s="40" t="s">
        <v>41</v>
      </c>
    </row>
    <row r="228" spans="2:39" ht="24.95" customHeight="1">
      <c r="B228" s="2">
        <v>78</v>
      </c>
      <c r="C228" s="2">
        <v>4</v>
      </c>
      <c r="D228" s="3">
        <v>7</v>
      </c>
      <c r="E228" s="1" cm="1">
        <f t="array" ref="E228">SUM(--(MID(_xlfn.XLOOKUP(J228:AM228,$G$38:$G$46,INDEX($I$38:$J$46,,_xlfn.XMATCH(G228,$I$37:$J$37,0,1)),,0,1), FIND("1",H228),1)= "1")) + SUM(--(MID(_xlfn.XLOOKUP(J228:AM228,$G$38:$G$46,INDEX($I$38:$J$46,,_xlfn.XMATCH(G228,$I$37:$J$37,0,1)),,0,1), FIND("1",I228),1)= "1"))</f>
        <v>29</v>
      </c>
      <c r="F228" s="24"/>
      <c r="G228" s="40" t="s">
        <v>30</v>
      </c>
      <c r="H228" s="40" t="s">
        <v>125</v>
      </c>
      <c r="I228" s="40" t="s">
        <v>123</v>
      </c>
      <c r="J228" s="40" t="s">
        <v>41</v>
      </c>
      <c r="K228" s="40" t="s">
        <v>45</v>
      </c>
      <c r="L228" s="40" t="s">
        <v>41</v>
      </c>
      <c r="M228" s="40" t="s">
        <v>37</v>
      </c>
      <c r="N228" s="40" t="s">
        <v>41</v>
      </c>
      <c r="O228" s="40" t="s">
        <v>34</v>
      </c>
      <c r="P228" s="40" t="s">
        <v>47</v>
      </c>
      <c r="Q228" s="40" t="s">
        <v>41</v>
      </c>
      <c r="R228" s="40" t="s">
        <v>37</v>
      </c>
      <c r="S228" s="40" t="s">
        <v>37</v>
      </c>
      <c r="T228" s="40" t="s">
        <v>37</v>
      </c>
      <c r="U228" s="40" t="s">
        <v>45</v>
      </c>
      <c r="V228" s="40" t="s">
        <v>34</v>
      </c>
      <c r="W228" s="40" t="s">
        <v>47</v>
      </c>
      <c r="X228" s="40" t="s">
        <v>45</v>
      </c>
      <c r="Y228" s="40" t="s">
        <v>41</v>
      </c>
      <c r="Z228" s="40" t="s">
        <v>31</v>
      </c>
      <c r="AA228" s="40" t="s">
        <v>45</v>
      </c>
      <c r="AB228" s="40" t="s">
        <v>37</v>
      </c>
      <c r="AC228" s="40" t="s">
        <v>41</v>
      </c>
      <c r="AD228" s="40" t="s">
        <v>47</v>
      </c>
      <c r="AE228" s="40" t="s">
        <v>31</v>
      </c>
      <c r="AF228" s="40" t="s">
        <v>34</v>
      </c>
      <c r="AG228" s="40" t="s">
        <v>31</v>
      </c>
      <c r="AH228" s="40" t="s">
        <v>45</v>
      </c>
      <c r="AI228" s="40" t="s">
        <v>41</v>
      </c>
      <c r="AJ228" s="40" t="s">
        <v>41</v>
      </c>
      <c r="AK228" s="40" t="s">
        <v>34</v>
      </c>
      <c r="AL228" s="40" t="s">
        <v>45</v>
      </c>
      <c r="AM228" s="40" t="s">
        <v>45</v>
      </c>
    </row>
    <row r="229" spans="2:39" ht="24.95" customHeight="1">
      <c r="B229" s="2">
        <v>79</v>
      </c>
      <c r="C229" s="2">
        <v>4</v>
      </c>
      <c r="D229" s="3">
        <v>7</v>
      </c>
      <c r="E229" s="1" cm="1">
        <f t="array" ref="E229">SUM(--(MID(_xlfn.XLOOKUP(J229:AM229,$G$38:$G$46,INDEX($I$38:$J$46,,_xlfn.XMATCH(G229,$I$37:$J$37,0,1)),,0,1), FIND("1",H229),1)= "1")) + SUM(--(MID(_xlfn.XLOOKUP(J229:AM229,$G$38:$G$46,INDEX($I$38:$J$46,,_xlfn.XMATCH(G229,$I$37:$J$37,0,1)),,0,1), FIND("1",I229),1)= "1"))</f>
        <v>28</v>
      </c>
      <c r="F229" s="24"/>
      <c r="G229" s="40" t="s">
        <v>29</v>
      </c>
      <c r="H229" s="40" t="s">
        <v>124</v>
      </c>
      <c r="I229" s="40" t="s">
        <v>123</v>
      </c>
      <c r="J229" s="40" t="s">
        <v>47</v>
      </c>
      <c r="K229" s="40" t="s">
        <v>37</v>
      </c>
      <c r="L229" s="40" t="s">
        <v>34</v>
      </c>
      <c r="M229" s="40" t="s">
        <v>41</v>
      </c>
      <c r="N229" s="40" t="s">
        <v>45</v>
      </c>
      <c r="O229" s="40" t="s">
        <v>47</v>
      </c>
      <c r="P229" s="40" t="s">
        <v>34</v>
      </c>
      <c r="Q229" s="40" t="s">
        <v>34</v>
      </c>
      <c r="R229" s="40" t="s">
        <v>41</v>
      </c>
      <c r="S229" s="40" t="s">
        <v>34</v>
      </c>
      <c r="T229" s="40" t="s">
        <v>31</v>
      </c>
      <c r="U229" s="40" t="s">
        <v>47</v>
      </c>
      <c r="V229" s="40" t="s">
        <v>37</v>
      </c>
      <c r="W229" s="40" t="s">
        <v>34</v>
      </c>
      <c r="X229" s="40" t="s">
        <v>34</v>
      </c>
      <c r="Y229" s="40" t="s">
        <v>37</v>
      </c>
      <c r="Z229" s="40" t="s">
        <v>37</v>
      </c>
      <c r="AA229" s="40" t="s">
        <v>47</v>
      </c>
      <c r="AB229" s="40" t="s">
        <v>31</v>
      </c>
      <c r="AC229" s="40" t="s">
        <v>45</v>
      </c>
      <c r="AD229" s="40" t="s">
        <v>41</v>
      </c>
      <c r="AE229" s="40" t="s">
        <v>34</v>
      </c>
      <c r="AF229" s="40" t="s">
        <v>41</v>
      </c>
      <c r="AG229" s="40" t="s">
        <v>41</v>
      </c>
      <c r="AH229" s="40" t="s">
        <v>37</v>
      </c>
      <c r="AI229" s="40" t="s">
        <v>41</v>
      </c>
      <c r="AJ229" s="40" t="s">
        <v>34</v>
      </c>
      <c r="AK229" s="40" t="s">
        <v>37</v>
      </c>
      <c r="AL229" s="40" t="s">
        <v>41</v>
      </c>
      <c r="AM229" s="40" t="s">
        <v>41</v>
      </c>
    </row>
    <row r="230" spans="2:39" ht="24.95" customHeight="1">
      <c r="B230" s="2">
        <v>80</v>
      </c>
      <c r="C230" s="2">
        <v>4</v>
      </c>
      <c r="D230" s="3">
        <v>7</v>
      </c>
      <c r="E230" s="1" cm="1">
        <f t="array" ref="E230">SUM(--(MID(_xlfn.XLOOKUP(J230:AM230,$G$38:$G$46,INDEX($I$38:$J$46,,_xlfn.XMATCH(G230,$I$37:$J$37,0,1)),,0,1), FIND("1",H230),1)= "1")) + SUM(--(MID(_xlfn.XLOOKUP(J230:AM230,$G$38:$G$46,INDEX($I$38:$J$46,,_xlfn.XMATCH(G230,$I$37:$J$37,0,1)),,0,1), FIND("1",I230),1)= "1"))</f>
        <v>27</v>
      </c>
      <c r="F230" s="24"/>
      <c r="G230" s="40" t="s">
        <v>29</v>
      </c>
      <c r="H230" s="40" t="s">
        <v>124</v>
      </c>
      <c r="I230" s="40" t="s">
        <v>123</v>
      </c>
      <c r="J230" s="40" t="s">
        <v>37</v>
      </c>
      <c r="K230" s="40" t="s">
        <v>47</v>
      </c>
      <c r="L230" s="40" t="s">
        <v>37</v>
      </c>
      <c r="M230" s="40" t="s">
        <v>41</v>
      </c>
      <c r="N230" s="40" t="s">
        <v>34</v>
      </c>
      <c r="O230" s="40" t="s">
        <v>47</v>
      </c>
      <c r="P230" s="40" t="s">
        <v>31</v>
      </c>
      <c r="Q230" s="40" t="s">
        <v>34</v>
      </c>
      <c r="R230" s="40" t="s">
        <v>45</v>
      </c>
      <c r="S230" s="40" t="s">
        <v>47</v>
      </c>
      <c r="T230" s="40" t="s">
        <v>37</v>
      </c>
      <c r="U230" s="40" t="s">
        <v>31</v>
      </c>
      <c r="V230" s="40" t="s">
        <v>45</v>
      </c>
      <c r="W230" s="40" t="s">
        <v>47</v>
      </c>
      <c r="X230" s="40" t="s">
        <v>45</v>
      </c>
      <c r="Y230" s="40" t="s">
        <v>47</v>
      </c>
      <c r="Z230" s="40" t="s">
        <v>34</v>
      </c>
      <c r="AA230" s="40" t="s">
        <v>34</v>
      </c>
      <c r="AB230" s="40" t="s">
        <v>34</v>
      </c>
      <c r="AC230" s="40" t="s">
        <v>37</v>
      </c>
      <c r="AD230" s="40" t="s">
        <v>31</v>
      </c>
      <c r="AE230" s="40" t="s">
        <v>37</v>
      </c>
      <c r="AF230" s="40" t="s">
        <v>37</v>
      </c>
      <c r="AG230" s="40" t="s">
        <v>41</v>
      </c>
      <c r="AH230" s="40" t="s">
        <v>37</v>
      </c>
      <c r="AI230" s="40" t="s">
        <v>37</v>
      </c>
      <c r="AJ230" s="40" t="s">
        <v>45</v>
      </c>
      <c r="AK230" s="40" t="s">
        <v>31</v>
      </c>
      <c r="AL230" s="40" t="s">
        <v>41</v>
      </c>
      <c r="AM230" s="40" t="s">
        <v>45</v>
      </c>
    </row>
    <row r="231" spans="2:39" ht="15" customHeight="1" thickBot="1">
      <c r="B231" s="13"/>
    </row>
    <row r="232" spans="2:39" ht="22.5" customHeight="1" thickBot="1">
      <c r="B232" s="34" t="s">
        <v>146</v>
      </c>
      <c r="C232" s="22" t="s">
        <v>147</v>
      </c>
      <c r="D232" s="38" t="s">
        <v>148</v>
      </c>
    </row>
    <row r="233" spans="2:39" s="27" customFormat="1" ht="15" customHeight="1">
      <c r="B233" s="30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</row>
    <row r="234" spans="2:39" ht="15" customHeight="1">
      <c r="B234" s="95" t="s">
        <v>149</v>
      </c>
      <c r="C234" s="29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27"/>
      <c r="O234" s="27"/>
      <c r="P234" s="27"/>
    </row>
    <row r="235" spans="2:39" ht="15" customHeight="1">
      <c r="B235" s="30"/>
      <c r="C235" s="29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27"/>
      <c r="O235" s="27"/>
      <c r="P235" s="27"/>
    </row>
    <row r="236" spans="2:39" ht="15" customHeight="1">
      <c r="B236" s="28" t="s">
        <v>150</v>
      </c>
      <c r="C236" s="29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27"/>
      <c r="O236" s="27"/>
      <c r="P236" s="27"/>
    </row>
    <row r="237" spans="2:39" ht="15" customHeight="1">
      <c r="B237" s="30" t="s">
        <v>151</v>
      </c>
      <c r="C237" s="29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27"/>
      <c r="O237" s="27"/>
      <c r="P237" s="27"/>
    </row>
    <row r="238" spans="2:39" ht="15" customHeight="1">
      <c r="B238" s="30" t="s">
        <v>152</v>
      </c>
      <c r="C238" s="29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27"/>
      <c r="O238" s="27"/>
      <c r="P238" s="27"/>
    </row>
    <row r="239" spans="2:39" ht="15" customHeight="1">
      <c r="B239" s="28" t="s">
        <v>153</v>
      </c>
      <c r="C239" s="29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27"/>
      <c r="O239" s="27"/>
      <c r="P239" s="27"/>
    </row>
    <row r="240" spans="2:39" ht="15" customHeight="1">
      <c r="B240" s="30" t="s">
        <v>154</v>
      </c>
      <c r="C240" s="29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27"/>
      <c r="O240" s="27"/>
      <c r="P240" s="27"/>
    </row>
    <row r="241" spans="2:16" ht="15" customHeight="1">
      <c r="B241" s="30"/>
      <c r="C241" s="30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27"/>
      <c r="O241" s="27"/>
      <c r="P241" s="27"/>
    </row>
    <row r="242" spans="2:16" ht="15" customHeight="1">
      <c r="B242" s="28" t="s">
        <v>155</v>
      </c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27"/>
      <c r="O242" s="27"/>
      <c r="P242" s="27"/>
    </row>
    <row r="243" spans="2:16" ht="15" customHeight="1">
      <c r="B243" s="30" t="s">
        <v>156</v>
      </c>
      <c r="C243" s="13"/>
      <c r="D243" s="13"/>
      <c r="E243" s="13"/>
      <c r="F243" s="13"/>
      <c r="G243" s="13"/>
      <c r="H243" s="13"/>
      <c r="I243" s="13"/>
      <c r="J243" s="13"/>
      <c r="K243" s="27"/>
      <c r="L243" s="27"/>
      <c r="M243" s="27"/>
      <c r="N243" s="27"/>
      <c r="O243" s="27"/>
      <c r="P243" s="27"/>
    </row>
    <row r="244" spans="2:16" ht="15" customHeight="1">
      <c r="B244" s="30" t="s">
        <v>157</v>
      </c>
      <c r="C244" s="13"/>
      <c r="D244" s="13"/>
      <c r="E244" s="13"/>
      <c r="F244" s="13"/>
      <c r="G244" s="13"/>
      <c r="H244" s="13"/>
      <c r="I244" s="13"/>
      <c r="J244" s="13"/>
      <c r="K244" s="27"/>
      <c r="L244" s="27"/>
      <c r="M244" s="27"/>
      <c r="N244" s="27"/>
      <c r="O244" s="27"/>
      <c r="P244" s="27"/>
    </row>
    <row r="245" spans="2:16" ht="15" customHeight="1">
      <c r="B245" s="30" t="s">
        <v>158</v>
      </c>
      <c r="C245" s="29"/>
      <c r="D245" s="13"/>
      <c r="E245" s="13"/>
      <c r="F245" s="13"/>
      <c r="G245" s="13"/>
      <c r="H245" s="13"/>
      <c r="I245" s="13"/>
      <c r="J245" s="13"/>
      <c r="K245" s="27"/>
      <c r="L245" s="27"/>
      <c r="M245" s="27"/>
      <c r="N245" s="27"/>
      <c r="O245" s="27"/>
      <c r="P245" s="27"/>
    </row>
    <row r="246" spans="2:16" ht="15" customHeight="1">
      <c r="C246" s="29"/>
      <c r="D246" s="13"/>
      <c r="E246" s="13"/>
      <c r="F246" s="13"/>
      <c r="G246" s="13"/>
      <c r="H246" s="13"/>
      <c r="I246" s="13"/>
      <c r="J246" s="13"/>
      <c r="K246" s="27"/>
      <c r="L246" s="27"/>
      <c r="M246" s="27"/>
      <c r="N246" s="27"/>
      <c r="O246" s="27"/>
      <c r="P246" s="27"/>
    </row>
    <row r="247" spans="2:16" ht="15" customHeight="1">
      <c r="B247" s="60" t="s">
        <v>82</v>
      </c>
      <c r="C247" s="13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2:16" ht="15" customHeight="1">
      <c r="B248" s="31" t="s">
        <v>159</v>
      </c>
      <c r="C248" s="13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</row>
    <row r="249" spans="2:16" ht="15" customHeight="1">
      <c r="B249" s="31" t="s">
        <v>160</v>
      </c>
      <c r="C249" s="13"/>
      <c r="D249" s="27"/>
      <c r="E249" s="27"/>
      <c r="F249" s="27"/>
      <c r="I249" s="27"/>
      <c r="J249" s="27"/>
      <c r="K249" s="27"/>
      <c r="L249" s="27"/>
      <c r="M249" s="27"/>
      <c r="N249" s="27"/>
      <c r="O249" s="27"/>
      <c r="P249" s="27"/>
    </row>
    <row r="250" spans="2:16" ht="15" customHeight="1">
      <c r="B250" s="31" t="s">
        <v>161</v>
      </c>
      <c r="C250" s="13"/>
      <c r="D250" s="27"/>
      <c r="E250" s="27"/>
      <c r="F250" s="27"/>
      <c r="I250" s="27"/>
      <c r="J250" s="27"/>
      <c r="K250" s="27"/>
      <c r="L250" s="27"/>
      <c r="M250" s="27"/>
      <c r="N250" s="27"/>
      <c r="O250" s="27"/>
      <c r="P250" s="27"/>
    </row>
    <row r="251" spans="2:16" ht="15" customHeight="1" thickBot="1">
      <c r="B251" s="31"/>
      <c r="C251" s="13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</row>
    <row r="252" spans="2:16" ht="22.5" customHeight="1" thickBot="1">
      <c r="B252" s="31"/>
      <c r="C252" s="13"/>
      <c r="D252" s="27"/>
      <c r="E252" s="27"/>
      <c r="F252" s="27"/>
      <c r="G252" s="18" t="s">
        <v>100</v>
      </c>
      <c r="H252" s="93"/>
      <c r="I252" s="93"/>
      <c r="J252" s="93"/>
      <c r="K252" s="93"/>
      <c r="L252" s="93"/>
      <c r="M252" s="93"/>
      <c r="N252" s="93"/>
      <c r="O252" s="96"/>
      <c r="P252" s="97"/>
    </row>
    <row r="253" spans="2:16" s="27" customFormat="1" ht="22.5" customHeight="1" thickBot="1">
      <c r="B253" s="17" t="s">
        <v>59</v>
      </c>
      <c r="C253" s="20" t="s">
        <v>87</v>
      </c>
      <c r="D253" s="17" t="s">
        <v>61</v>
      </c>
      <c r="E253" s="25" t="s">
        <v>62</v>
      </c>
      <c r="F253" s="13"/>
      <c r="G253" s="92">
        <v>1</v>
      </c>
      <c r="H253" s="92">
        <v>2</v>
      </c>
      <c r="I253" s="92">
        <v>3</v>
      </c>
      <c r="J253" s="92">
        <v>4</v>
      </c>
      <c r="K253" s="92">
        <v>5</v>
      </c>
      <c r="L253" s="92">
        <v>6</v>
      </c>
      <c r="M253" s="92">
        <v>7</v>
      </c>
      <c r="N253" s="92">
        <v>8</v>
      </c>
      <c r="O253" s="92">
        <v>9</v>
      </c>
      <c r="P253" s="92">
        <v>10</v>
      </c>
    </row>
    <row r="255" spans="2:16" ht="24.95" customHeight="1">
      <c r="B255" s="9" t="s">
        <v>162</v>
      </c>
      <c r="C255" s="2">
        <v>5</v>
      </c>
      <c r="D255" s="10">
        <v>0</v>
      </c>
      <c r="E255" s="61" t="s">
        <v>163</v>
      </c>
      <c r="F255" s="24"/>
      <c r="G255" s="94" t="s">
        <v>31</v>
      </c>
      <c r="H255" s="94" t="s">
        <v>34</v>
      </c>
      <c r="I255" s="94" t="s">
        <v>41</v>
      </c>
      <c r="J255" s="94" t="s">
        <v>41</v>
      </c>
      <c r="K255" s="94" t="s">
        <v>45</v>
      </c>
      <c r="L255" s="94" t="s">
        <v>45</v>
      </c>
      <c r="M255" s="94" t="s">
        <v>47</v>
      </c>
      <c r="N255" s="94" t="s">
        <v>37</v>
      </c>
      <c r="O255" s="94" t="s">
        <v>31</v>
      </c>
      <c r="P255" s="94" t="s">
        <v>45</v>
      </c>
    </row>
    <row r="256" spans="2:16" ht="15" customHeight="1">
      <c r="E256" s="52"/>
      <c r="G256" s="76"/>
      <c r="H256" s="76"/>
      <c r="I256" s="76"/>
      <c r="J256" s="76"/>
      <c r="K256" s="76"/>
      <c r="L256" s="76"/>
      <c r="M256" s="76"/>
      <c r="N256" s="76"/>
      <c r="O256" s="76"/>
      <c r="P256" s="76"/>
    </row>
    <row r="257" spans="2:48" ht="24.95" customHeight="1">
      <c r="B257" s="2">
        <v>81</v>
      </c>
      <c r="C257" s="2">
        <v>5</v>
      </c>
      <c r="D257" s="3">
        <v>8</v>
      </c>
      <c r="E257" s="61">
        <f>AV257</f>
        <v>38</v>
      </c>
      <c r="F257" s="24"/>
      <c r="G257" s="94" t="s">
        <v>34</v>
      </c>
      <c r="H257" s="94" t="s">
        <v>41</v>
      </c>
      <c r="I257" s="94" t="s">
        <v>41</v>
      </c>
      <c r="J257" s="94" t="s">
        <v>45</v>
      </c>
      <c r="K257" s="94" t="s">
        <v>47</v>
      </c>
      <c r="L257" s="94" t="s">
        <v>34</v>
      </c>
      <c r="M257" s="94" t="s">
        <v>34</v>
      </c>
      <c r="N257" s="94" t="s">
        <v>31</v>
      </c>
      <c r="O257" s="94" t="s">
        <v>45</v>
      </c>
      <c r="P257" s="94" t="s">
        <v>34</v>
      </c>
      <c r="S257" s="27" t="str" cm="1">
        <f t="array" ref="S257:AA257">_xlfn.XLOOKUP(H257:P257,$G$38:$G$46,$J$38:$J$46,0,1)</f>
        <v>1001</v>
      </c>
      <c r="T257" s="7" t="str">
        <v>1001</v>
      </c>
      <c r="U257" s="7" t="str">
        <v>0110</v>
      </c>
      <c r="V257" s="7" t="str">
        <v>0101</v>
      </c>
      <c r="W257" s="7" t="str">
        <v>0011</v>
      </c>
      <c r="X257" s="7" t="str">
        <v>0011</v>
      </c>
      <c r="Y257" s="7" t="str">
        <v>1100</v>
      </c>
      <c r="Z257" s="7" t="str">
        <v>0110</v>
      </c>
      <c r="AA257" s="7" t="str">
        <v>0011</v>
      </c>
      <c r="AB257" s="27" t="str" cm="1">
        <f t="array" ref="AB257:AJ257">_xlfn.XLOOKUP(G257:O257,$G$38:$G$46,$I$38:$I$46,0,0,1)</f>
        <v>0011</v>
      </c>
      <c r="AC257" s="7" t="str">
        <v>0110</v>
      </c>
      <c r="AD257" s="7" t="str">
        <v>0110</v>
      </c>
      <c r="AE257" s="7">
        <v>1001</v>
      </c>
      <c r="AF257" s="7" t="str">
        <v>1010</v>
      </c>
      <c r="AG257" s="7" t="str">
        <v>0011</v>
      </c>
      <c r="AH257" s="7" t="str">
        <v>0011</v>
      </c>
      <c r="AI257" s="7" t="str">
        <v>1100</v>
      </c>
      <c r="AJ257" s="7">
        <v>1001</v>
      </c>
      <c r="AL257" s="7" t="b" cm="1">
        <f t="array" ref="AL257">OR(MID(S257,_xlfn.SEQUENCE(4),1)=MID(AB257,_xlfn.SEQUENCE(4),1))</f>
        <v>1</v>
      </c>
      <c r="AM257" s="7" t="b" cm="1">
        <f t="array" ref="AM257">OR(MID(T257,_xlfn.SEQUENCE(4),1)=MID(AC257,_xlfn.SEQUENCE(4),1))</f>
        <v>0</v>
      </c>
      <c r="AN257" s="7" t="b" cm="1">
        <f t="array" ref="AN257">OR(MID(U257,_xlfn.SEQUENCE(4),1)=MID(AD257,_xlfn.SEQUENCE(4),1))</f>
        <v>1</v>
      </c>
      <c r="AO257" s="7" t="b" cm="1">
        <f t="array" ref="AO257">OR(MID(V257,_xlfn.SEQUENCE(4),1)=MID(AE257,_xlfn.SEQUENCE(4),1))</f>
        <v>1</v>
      </c>
      <c r="AP257" s="7" t="b" cm="1">
        <f t="array" ref="AP257">OR(MID(W257,_xlfn.SEQUENCE(4),1)=MID(AF257,_xlfn.SEQUENCE(4),1))</f>
        <v>1</v>
      </c>
      <c r="AQ257" s="7" t="b" cm="1">
        <f t="array" ref="AQ257">OR(MID(X257,_xlfn.SEQUENCE(4),1)=MID(AG257,_xlfn.SEQUENCE(4),1))</f>
        <v>1</v>
      </c>
      <c r="AR257" s="7" t="b" cm="1">
        <f t="array" ref="AR257">OR(MID(Y257,_xlfn.SEQUENCE(4),1)=MID(AH257,_xlfn.SEQUENCE(4),1))</f>
        <v>0</v>
      </c>
      <c r="AS257" s="7" t="b" cm="1">
        <f t="array" ref="AS257">OR(MID(Z257,_xlfn.SEQUENCE(4),1)=MID(AI257,_xlfn.SEQUENCE(4),1))</f>
        <v>1</v>
      </c>
      <c r="AT257" s="7" t="b" cm="1">
        <f t="array" ref="AT257">OR(MID(AA257,_xlfn.SEQUENCE(4),1)=MID(AJ257,_xlfn.SEQUENCE(4),1))</f>
        <v>1</v>
      </c>
      <c r="AV257" s="7" cm="1">
        <f t="array" ref="AV257">_xlfn.CONCAT(_xlfn._xlws.FILTER(( AL257:AT257=FALSE ) *$H$253:$P$253,( AL257:AT257=FALSE ) *$H$253:$P$253 &lt;&gt; 0))+0</f>
        <v>38</v>
      </c>
    </row>
    <row r="258" spans="2:48" ht="24.95" customHeight="1">
      <c r="B258" s="2">
        <v>82</v>
      </c>
      <c r="C258" s="2">
        <v>5</v>
      </c>
      <c r="D258" s="3">
        <v>8</v>
      </c>
      <c r="E258" s="61">
        <f t="shared" ref="E258:E276" si="1">AV258</f>
        <v>4679</v>
      </c>
      <c r="F258" s="24"/>
      <c r="G258" s="94" t="s">
        <v>45</v>
      </c>
      <c r="H258" s="94" t="s">
        <v>34</v>
      </c>
      <c r="I258" s="94" t="s">
        <v>34</v>
      </c>
      <c r="J258" s="94" t="s">
        <v>31</v>
      </c>
      <c r="K258" s="94" t="s">
        <v>37</v>
      </c>
      <c r="L258" s="94" t="s">
        <v>37</v>
      </c>
      <c r="M258" s="94" t="s">
        <v>37</v>
      </c>
      <c r="N258" s="94" t="s">
        <v>31</v>
      </c>
      <c r="O258" s="94" t="s">
        <v>34</v>
      </c>
      <c r="P258" s="94" t="s">
        <v>45</v>
      </c>
      <c r="S258" s="27" t="str" cm="1">
        <f t="array" ref="S258:AA258">_xlfn.XLOOKUP(H258:P258,$G$38:$G$46,$J$38:$J$46,0,1)</f>
        <v>0011</v>
      </c>
      <c r="T258" s="7" t="str">
        <v>0011</v>
      </c>
      <c r="U258" s="7" t="str">
        <v>1100</v>
      </c>
      <c r="V258" s="7" t="str">
        <v>1010</v>
      </c>
      <c r="W258" s="7" t="str">
        <v>1010</v>
      </c>
      <c r="X258" s="7" t="str">
        <v>1010</v>
      </c>
      <c r="Y258" s="7" t="str">
        <v>1100</v>
      </c>
      <c r="Z258" s="7" t="str">
        <v>0011</v>
      </c>
      <c r="AA258" s="7" t="str">
        <v>0110</v>
      </c>
      <c r="AB258" s="27" cm="1">
        <f t="array" ref="AB258:AJ258">_xlfn.XLOOKUP(G258:O258,$G$38:$G$46,$I$38:$I$46,0,0,1)</f>
        <v>1001</v>
      </c>
      <c r="AC258" s="7" t="str">
        <v>0011</v>
      </c>
      <c r="AD258" s="7" t="str">
        <v>0011</v>
      </c>
      <c r="AE258" s="7" t="str">
        <v>1100</v>
      </c>
      <c r="AF258" s="7" t="str">
        <v>0101</v>
      </c>
      <c r="AG258" s="7" t="str">
        <v>0101</v>
      </c>
      <c r="AH258" s="7" t="str">
        <v>0101</v>
      </c>
      <c r="AI258" s="7" t="str">
        <v>1100</v>
      </c>
      <c r="AJ258" s="7" t="str">
        <v>0011</v>
      </c>
      <c r="AL258" s="7" t="b" cm="1">
        <f t="array" ref="AL258">OR(MID(S258,_xlfn.SEQUENCE(4),1)=MID(AB258,_xlfn.SEQUENCE(4),1))</f>
        <v>1</v>
      </c>
      <c r="AM258" s="7" t="b" cm="1">
        <f t="array" ref="AM258">OR(MID(T258,_xlfn.SEQUENCE(4),1)=MID(AC258,_xlfn.SEQUENCE(4),1))</f>
        <v>1</v>
      </c>
      <c r="AN258" s="7" t="b" cm="1">
        <f t="array" ref="AN258">OR(MID(U258,_xlfn.SEQUENCE(4),1)=MID(AD258,_xlfn.SEQUENCE(4),1))</f>
        <v>0</v>
      </c>
      <c r="AO258" s="7" t="b" cm="1">
        <f t="array" ref="AO258">OR(MID(V258,_xlfn.SEQUENCE(4),1)=MID(AE258,_xlfn.SEQUENCE(4),1))</f>
        <v>1</v>
      </c>
      <c r="AP258" s="7" t="b" cm="1">
        <f t="array" ref="AP258">OR(MID(W258,_xlfn.SEQUENCE(4),1)=MID(AF258,_xlfn.SEQUENCE(4),1))</f>
        <v>0</v>
      </c>
      <c r="AQ258" s="7" t="b" cm="1">
        <f t="array" ref="AQ258">OR(MID(X258,_xlfn.SEQUENCE(4),1)=MID(AG258,_xlfn.SEQUENCE(4),1))</f>
        <v>0</v>
      </c>
      <c r="AR258" s="7" t="b" cm="1">
        <f t="array" ref="AR258">OR(MID(Y258,_xlfn.SEQUENCE(4),1)=MID(AH258,_xlfn.SEQUENCE(4),1))</f>
        <v>1</v>
      </c>
      <c r="AS258" s="7" t="b" cm="1">
        <f t="array" ref="AS258">OR(MID(Z258,_xlfn.SEQUENCE(4),1)=MID(AI258,_xlfn.SEQUENCE(4),1))</f>
        <v>0</v>
      </c>
      <c r="AT258" s="7" t="b" cm="1">
        <f t="array" ref="AT258">OR(MID(AA258,_xlfn.SEQUENCE(4),1)=MID(AJ258,_xlfn.SEQUENCE(4),1))</f>
        <v>1</v>
      </c>
      <c r="AV258" s="7" cm="1">
        <f t="array" ref="AV258">_xlfn.CONCAT(_xlfn._xlws.FILTER(( AL258:AT258=FALSE ) *$H$253:$P$253,( AL258:AT258=FALSE ) *$H$253:$P$253 &lt;&gt; 0))+0</f>
        <v>4679</v>
      </c>
    </row>
    <row r="259" spans="2:48" ht="24.95" customHeight="1">
      <c r="B259" s="2">
        <v>83</v>
      </c>
      <c r="C259" s="2">
        <v>5</v>
      </c>
      <c r="D259" s="3">
        <v>8</v>
      </c>
      <c r="E259" s="61">
        <f t="shared" si="1"/>
        <v>410</v>
      </c>
      <c r="F259" s="24"/>
      <c r="G259" s="94" t="s">
        <v>37</v>
      </c>
      <c r="H259" s="94" t="s">
        <v>47</v>
      </c>
      <c r="I259" s="94" t="s">
        <v>34</v>
      </c>
      <c r="J259" s="94" t="s">
        <v>31</v>
      </c>
      <c r="K259" s="94" t="s">
        <v>41</v>
      </c>
      <c r="L259" s="94" t="s">
        <v>47</v>
      </c>
      <c r="M259" s="94" t="s">
        <v>34</v>
      </c>
      <c r="N259" s="94" t="s">
        <v>47</v>
      </c>
      <c r="O259" s="94" t="s">
        <v>37</v>
      </c>
      <c r="P259" s="94" t="s">
        <v>37</v>
      </c>
      <c r="S259" s="27" t="str" cm="1">
        <f t="array" ref="S259:AA259">_xlfn.XLOOKUP(H259:P259,$G$38:$G$46,$J$38:$J$46,0,1)</f>
        <v>0101</v>
      </c>
      <c r="T259" s="7" t="str">
        <v>0011</v>
      </c>
      <c r="U259" s="7" t="str">
        <v>1100</v>
      </c>
      <c r="V259" s="7" t="str">
        <v>1001</v>
      </c>
      <c r="W259" s="7" t="str">
        <v>0101</v>
      </c>
      <c r="X259" s="7" t="str">
        <v>0011</v>
      </c>
      <c r="Y259" s="7" t="str">
        <v>0101</v>
      </c>
      <c r="Z259" s="7" t="str">
        <v>1010</v>
      </c>
      <c r="AA259" s="7" t="str">
        <v>1010</v>
      </c>
      <c r="AB259" s="27" t="str" cm="1">
        <f t="array" ref="AB259:AJ259">_xlfn.XLOOKUP(G259:O259,$G$38:$G$46,$I$38:$I$46,0,0,1)</f>
        <v>0101</v>
      </c>
      <c r="AC259" s="7" t="str">
        <v>1010</v>
      </c>
      <c r="AD259" s="7" t="str">
        <v>0011</v>
      </c>
      <c r="AE259" s="7" t="str">
        <v>1100</v>
      </c>
      <c r="AF259" s="7" t="str">
        <v>0110</v>
      </c>
      <c r="AG259" s="7" t="str">
        <v>1010</v>
      </c>
      <c r="AH259" s="7" t="str">
        <v>0011</v>
      </c>
      <c r="AI259" s="7" t="str">
        <v>1010</v>
      </c>
      <c r="AJ259" s="7" t="str">
        <v>0101</v>
      </c>
      <c r="AL259" s="7" t="b" cm="1">
        <f t="array" ref="AL259">OR(MID(S259,_xlfn.SEQUENCE(4),1)=MID(AB259,_xlfn.SEQUENCE(4),1))</f>
        <v>1</v>
      </c>
      <c r="AM259" s="7" t="b" cm="1">
        <f t="array" ref="AM259">OR(MID(T259,_xlfn.SEQUENCE(4),1)=MID(AC259,_xlfn.SEQUENCE(4),1))</f>
        <v>1</v>
      </c>
      <c r="AN259" s="7" t="b" cm="1">
        <f t="array" ref="AN259">OR(MID(U259,_xlfn.SEQUENCE(4),1)=MID(AD259,_xlfn.SEQUENCE(4),1))</f>
        <v>0</v>
      </c>
      <c r="AO259" s="7" t="b" cm="1">
        <f t="array" ref="AO259">OR(MID(V259,_xlfn.SEQUENCE(4),1)=MID(AE259,_xlfn.SEQUENCE(4),1))</f>
        <v>1</v>
      </c>
      <c r="AP259" s="7" t="b" cm="1">
        <f t="array" ref="AP259">OR(MID(W259,_xlfn.SEQUENCE(4),1)=MID(AF259,_xlfn.SEQUENCE(4),1))</f>
        <v>1</v>
      </c>
      <c r="AQ259" s="7" t="b" cm="1">
        <f t="array" ref="AQ259">OR(MID(X259,_xlfn.SEQUENCE(4),1)=MID(AG259,_xlfn.SEQUENCE(4),1))</f>
        <v>1</v>
      </c>
      <c r="AR259" s="7" t="b" cm="1">
        <f t="array" ref="AR259">OR(MID(Y259,_xlfn.SEQUENCE(4),1)=MID(AH259,_xlfn.SEQUENCE(4),1))</f>
        <v>1</v>
      </c>
      <c r="AS259" s="7" t="b" cm="1">
        <f t="array" ref="AS259">OR(MID(Z259,_xlfn.SEQUENCE(4),1)=MID(AI259,_xlfn.SEQUENCE(4),1))</f>
        <v>1</v>
      </c>
      <c r="AT259" s="7" t="b" cm="1">
        <f t="array" ref="AT259">OR(MID(AA259,_xlfn.SEQUENCE(4),1)=MID(AJ259,_xlfn.SEQUENCE(4),1))</f>
        <v>0</v>
      </c>
      <c r="AV259" s="7" cm="1">
        <f t="array" ref="AV259">_xlfn.CONCAT(_xlfn._xlws.FILTER(( AL259:AT259=FALSE ) *$H$253:$P$253,( AL259:AT259=FALSE ) *$H$253:$P$253 &lt;&gt; 0))+0</f>
        <v>410</v>
      </c>
    </row>
    <row r="260" spans="2:48" ht="24.95" customHeight="1">
      <c r="B260" s="2">
        <v>84</v>
      </c>
      <c r="C260" s="2">
        <v>5</v>
      </c>
      <c r="D260" s="3">
        <v>8</v>
      </c>
      <c r="E260" s="61">
        <f t="shared" si="1"/>
        <v>25</v>
      </c>
      <c r="F260" s="24"/>
      <c r="G260" s="94" t="s">
        <v>41</v>
      </c>
      <c r="H260" s="94" t="s">
        <v>41</v>
      </c>
      <c r="I260" s="94" t="s">
        <v>47</v>
      </c>
      <c r="J260" s="94" t="s">
        <v>31</v>
      </c>
      <c r="K260" s="94" t="s">
        <v>34</v>
      </c>
      <c r="L260" s="94" t="s">
        <v>41</v>
      </c>
      <c r="M260" s="94" t="s">
        <v>45</v>
      </c>
      <c r="N260" s="94" t="s">
        <v>41</v>
      </c>
      <c r="O260" s="94" t="s">
        <v>34</v>
      </c>
      <c r="P260" s="94" t="s">
        <v>45</v>
      </c>
      <c r="S260" s="27" t="str" cm="1">
        <f t="array" ref="S260:AA260">_xlfn.XLOOKUP(H260:P260,$G$38:$G$46,$J$38:$J$46,0,1)</f>
        <v>1001</v>
      </c>
      <c r="T260" s="7" t="str">
        <v>0101</v>
      </c>
      <c r="U260" s="7" t="str">
        <v>1100</v>
      </c>
      <c r="V260" s="7" t="str">
        <v>0011</v>
      </c>
      <c r="W260" s="7" t="str">
        <v>1001</v>
      </c>
      <c r="X260" s="7" t="str">
        <v>0110</v>
      </c>
      <c r="Y260" s="7" t="str">
        <v>1001</v>
      </c>
      <c r="Z260" s="7" t="str">
        <v>0011</v>
      </c>
      <c r="AA260" s="7" t="str">
        <v>0110</v>
      </c>
      <c r="AB260" s="27" t="str" cm="1">
        <f t="array" ref="AB260:AJ260">_xlfn.XLOOKUP(G260:O260,$G$38:$G$46,$I$38:$I$46,0,0,1)</f>
        <v>0110</v>
      </c>
      <c r="AC260" s="7" t="str">
        <v>0110</v>
      </c>
      <c r="AD260" s="7" t="str">
        <v>1010</v>
      </c>
      <c r="AE260" s="7" t="str">
        <v>1100</v>
      </c>
      <c r="AF260" s="7" t="str">
        <v>0011</v>
      </c>
      <c r="AG260" s="7" t="str">
        <v>0110</v>
      </c>
      <c r="AH260" s="7">
        <v>1001</v>
      </c>
      <c r="AI260" s="7" t="str">
        <v>0110</v>
      </c>
      <c r="AJ260" s="7" t="str">
        <v>0011</v>
      </c>
      <c r="AL260" s="7" t="b" cm="1">
        <f t="array" ref="AL260">OR(MID(S260,_xlfn.SEQUENCE(4),1)=MID(AB260,_xlfn.SEQUENCE(4),1))</f>
        <v>0</v>
      </c>
      <c r="AM260" s="7" t="b" cm="1">
        <f t="array" ref="AM260">OR(MID(T260,_xlfn.SEQUENCE(4),1)=MID(AC260,_xlfn.SEQUENCE(4),1))</f>
        <v>1</v>
      </c>
      <c r="AN260" s="7" t="b" cm="1">
        <f t="array" ref="AN260">OR(MID(U260,_xlfn.SEQUENCE(4),1)=MID(AD260,_xlfn.SEQUENCE(4),1))</f>
        <v>1</v>
      </c>
      <c r="AO260" s="7" t="b" cm="1">
        <f t="array" ref="AO260">OR(MID(V260,_xlfn.SEQUENCE(4),1)=MID(AE260,_xlfn.SEQUENCE(4),1))</f>
        <v>0</v>
      </c>
      <c r="AP260" s="7" t="b" cm="1">
        <f t="array" ref="AP260">OR(MID(W260,_xlfn.SEQUENCE(4),1)=MID(AF260,_xlfn.SEQUENCE(4),1))</f>
        <v>1</v>
      </c>
      <c r="AQ260" s="7" t="b" cm="1">
        <f t="array" ref="AQ260">OR(MID(X260,_xlfn.SEQUENCE(4),1)=MID(AG260,_xlfn.SEQUENCE(4),1))</f>
        <v>1</v>
      </c>
      <c r="AR260" s="7" t="b" cm="1">
        <f t="array" ref="AR260">OR(MID(Y260,_xlfn.SEQUENCE(4),1)=MID(AH260,_xlfn.SEQUENCE(4),1))</f>
        <v>1</v>
      </c>
      <c r="AS260" s="7" t="b" cm="1">
        <f t="array" ref="AS260">OR(MID(Z260,_xlfn.SEQUENCE(4),1)=MID(AI260,_xlfn.SEQUENCE(4),1))</f>
        <v>1</v>
      </c>
      <c r="AT260" s="7" t="b" cm="1">
        <f t="array" ref="AT260">OR(MID(AA260,_xlfn.SEQUENCE(4),1)=MID(AJ260,_xlfn.SEQUENCE(4),1))</f>
        <v>1</v>
      </c>
      <c r="AV260" s="7" cm="1">
        <f t="array" ref="AV260">_xlfn.CONCAT(_xlfn._xlws.FILTER(( AL260:AT260=FALSE ) *$H$253:$P$253,( AL260:AT260=FALSE ) *$H$253:$P$253 &lt;&gt; 0))+0</f>
        <v>25</v>
      </c>
    </row>
    <row r="261" spans="2:48" ht="24.95" customHeight="1">
      <c r="B261" s="2">
        <v>85</v>
      </c>
      <c r="C261" s="2">
        <v>5</v>
      </c>
      <c r="D261" s="3">
        <v>8</v>
      </c>
      <c r="E261" s="61">
        <f t="shared" si="1"/>
        <v>4810</v>
      </c>
      <c r="F261" s="24"/>
      <c r="G261" s="94" t="s">
        <v>47</v>
      </c>
      <c r="H261" s="94" t="s">
        <v>41</v>
      </c>
      <c r="I261" s="94" t="s">
        <v>45</v>
      </c>
      <c r="J261" s="94" t="s">
        <v>45</v>
      </c>
      <c r="K261" s="94" t="s">
        <v>34</v>
      </c>
      <c r="L261" s="94" t="s">
        <v>45</v>
      </c>
      <c r="M261" s="94" t="s">
        <v>37</v>
      </c>
      <c r="N261" s="94" t="s">
        <v>37</v>
      </c>
      <c r="O261" s="94" t="s">
        <v>34</v>
      </c>
      <c r="P261" s="94" t="s">
        <v>31</v>
      </c>
      <c r="S261" s="27" t="str" cm="1">
        <f t="array" ref="S261:AA261">_xlfn.XLOOKUP(H261:P261,$G$38:$G$46,$J$38:$J$46,0,1)</f>
        <v>1001</v>
      </c>
      <c r="T261" s="7" t="str">
        <v>0110</v>
      </c>
      <c r="U261" s="7" t="str">
        <v>0110</v>
      </c>
      <c r="V261" s="7" t="str">
        <v>0011</v>
      </c>
      <c r="W261" s="7" t="str">
        <v>0110</v>
      </c>
      <c r="X261" s="7" t="str">
        <v>1010</v>
      </c>
      <c r="Y261" s="7" t="str">
        <v>1010</v>
      </c>
      <c r="Z261" s="7" t="str">
        <v>0011</v>
      </c>
      <c r="AA261" s="7" t="str">
        <v>1100</v>
      </c>
      <c r="AB261" s="27" t="str" cm="1">
        <f t="array" ref="AB261:AJ261">_xlfn.XLOOKUP(G261:O261,$G$38:$G$46,$I$38:$I$46,0,0,1)</f>
        <v>1010</v>
      </c>
      <c r="AC261" s="7" t="str">
        <v>0110</v>
      </c>
      <c r="AD261" s="7">
        <v>1001</v>
      </c>
      <c r="AE261" s="7">
        <v>1001</v>
      </c>
      <c r="AF261" s="7" t="str">
        <v>0011</v>
      </c>
      <c r="AG261" s="7">
        <v>1001</v>
      </c>
      <c r="AH261" s="7" t="str">
        <v>0101</v>
      </c>
      <c r="AI261" s="7" t="str">
        <v>0101</v>
      </c>
      <c r="AJ261" s="7" t="str">
        <v>0011</v>
      </c>
      <c r="AL261" s="7" t="b" cm="1">
        <f t="array" ref="AL261">OR(MID(S261,_xlfn.SEQUENCE(4),1)=MID(AB261,_xlfn.SEQUENCE(4),1))</f>
        <v>1</v>
      </c>
      <c r="AM261" s="7" t="b" cm="1">
        <f t="array" ref="AM261">OR(MID(T261,_xlfn.SEQUENCE(4),1)=MID(AC261,_xlfn.SEQUENCE(4),1))</f>
        <v>1</v>
      </c>
      <c r="AN261" s="7" t="b" cm="1">
        <f t="array" ref="AN261">OR(MID(U261,_xlfn.SEQUENCE(4),1)=MID(AD261,_xlfn.SEQUENCE(4),1))</f>
        <v>0</v>
      </c>
      <c r="AO261" s="7" t="b" cm="1">
        <f t="array" ref="AO261">OR(MID(V261,_xlfn.SEQUENCE(4),1)=MID(AE261,_xlfn.SEQUENCE(4),1))</f>
        <v>1</v>
      </c>
      <c r="AP261" s="7" t="b" cm="1">
        <f t="array" ref="AP261">OR(MID(W261,_xlfn.SEQUENCE(4),1)=MID(AF261,_xlfn.SEQUENCE(4),1))</f>
        <v>1</v>
      </c>
      <c r="AQ261" s="7" t="b" cm="1">
        <f t="array" ref="AQ261">OR(MID(X261,_xlfn.SEQUENCE(4),1)=MID(AG261,_xlfn.SEQUENCE(4),1))</f>
        <v>1</v>
      </c>
      <c r="AR261" s="7" t="b" cm="1">
        <f t="array" ref="AR261">OR(MID(Y261,_xlfn.SEQUENCE(4),1)=MID(AH261,_xlfn.SEQUENCE(4),1))</f>
        <v>0</v>
      </c>
      <c r="AS261" s="7" t="b" cm="1">
        <f t="array" ref="AS261">OR(MID(Z261,_xlfn.SEQUENCE(4),1)=MID(AI261,_xlfn.SEQUENCE(4),1))</f>
        <v>1</v>
      </c>
      <c r="AT261" s="7" t="b" cm="1">
        <f t="array" ref="AT261">OR(MID(AA261,_xlfn.SEQUENCE(4),1)=MID(AJ261,_xlfn.SEQUENCE(4),1))</f>
        <v>0</v>
      </c>
      <c r="AV261" s="7" cm="1">
        <f t="array" ref="AV261">_xlfn.CONCAT(_xlfn._xlws.FILTER(( AL261:AT261=FALSE ) *$H$253:$P$253,( AL261:AT261=FALSE ) *$H$253:$P$253 &lt;&gt; 0))+0</f>
        <v>4810</v>
      </c>
    </row>
    <row r="262" spans="2:48" ht="24.95" customHeight="1">
      <c r="B262" s="2">
        <v>86</v>
      </c>
      <c r="C262" s="2">
        <v>5</v>
      </c>
      <c r="D262" s="3">
        <v>8</v>
      </c>
      <c r="E262" s="61">
        <f t="shared" si="1"/>
        <v>510</v>
      </c>
      <c r="F262" s="24"/>
      <c r="G262" s="94" t="s">
        <v>47</v>
      </c>
      <c r="H262" s="94" t="s">
        <v>45</v>
      </c>
      <c r="I262" s="94" t="s">
        <v>41</v>
      </c>
      <c r="J262" s="94" t="s">
        <v>45</v>
      </c>
      <c r="K262" s="94" t="s">
        <v>45</v>
      </c>
      <c r="L262" s="94" t="s">
        <v>31</v>
      </c>
      <c r="M262" s="94" t="s">
        <v>41</v>
      </c>
      <c r="N262" s="94" t="s">
        <v>45</v>
      </c>
      <c r="O262" s="94" t="s">
        <v>34</v>
      </c>
      <c r="P262" s="94" t="s">
        <v>31</v>
      </c>
      <c r="S262" s="27" t="str" cm="1">
        <f t="array" ref="S262:AA262">_xlfn.XLOOKUP(H262:P262,$G$38:$G$46,$J$38:$J$46,0,1)</f>
        <v>0110</v>
      </c>
      <c r="T262" s="7" t="str">
        <v>1001</v>
      </c>
      <c r="U262" s="7" t="str">
        <v>0110</v>
      </c>
      <c r="V262" s="7" t="str">
        <v>0110</v>
      </c>
      <c r="W262" s="7" t="str">
        <v>1100</v>
      </c>
      <c r="X262" s="7" t="str">
        <v>1001</v>
      </c>
      <c r="Y262" s="7" t="str">
        <v>0110</v>
      </c>
      <c r="Z262" s="7" t="str">
        <v>0011</v>
      </c>
      <c r="AA262" s="7" t="str">
        <v>1100</v>
      </c>
      <c r="AB262" s="27" t="str" cm="1">
        <f t="array" ref="AB262:AJ262">_xlfn.XLOOKUP(G262:O262,$G$38:$G$46,$I$38:$I$46,0,0,1)</f>
        <v>1010</v>
      </c>
      <c r="AC262" s="7">
        <v>1001</v>
      </c>
      <c r="AD262" s="7" t="str">
        <v>0110</v>
      </c>
      <c r="AE262" s="7">
        <v>1001</v>
      </c>
      <c r="AF262" s="7">
        <v>1001</v>
      </c>
      <c r="AG262" s="7" t="str">
        <v>1100</v>
      </c>
      <c r="AH262" s="7" t="str">
        <v>0110</v>
      </c>
      <c r="AI262" s="7">
        <v>1001</v>
      </c>
      <c r="AJ262" s="7" t="str">
        <v>0011</v>
      </c>
      <c r="AL262" s="7" t="b" cm="1">
        <f t="array" ref="AL262">OR(MID(S262,_xlfn.SEQUENCE(4),1)=MID(AB262,_xlfn.SEQUENCE(4),1))</f>
        <v>1</v>
      </c>
      <c r="AM262" s="7" t="b" cm="1">
        <f t="array" ref="AM262">OR(MID(T262,_xlfn.SEQUENCE(4),1)=MID(AC262,_xlfn.SEQUENCE(4),1))</f>
        <v>1</v>
      </c>
      <c r="AN262" s="7" t="b" cm="1">
        <f t="array" ref="AN262">OR(MID(U262,_xlfn.SEQUENCE(4),1)=MID(AD262,_xlfn.SEQUENCE(4),1))</f>
        <v>1</v>
      </c>
      <c r="AO262" s="7" t="b" cm="1">
        <f t="array" ref="AO262">OR(MID(V262,_xlfn.SEQUENCE(4),1)=MID(AE262,_xlfn.SEQUENCE(4),1))</f>
        <v>0</v>
      </c>
      <c r="AP262" s="7" t="b" cm="1">
        <f t="array" ref="AP262">OR(MID(W262,_xlfn.SEQUENCE(4),1)=MID(AF262,_xlfn.SEQUENCE(4),1))</f>
        <v>1</v>
      </c>
      <c r="AQ262" s="7" t="b" cm="1">
        <f t="array" ref="AQ262">OR(MID(X262,_xlfn.SEQUENCE(4),1)=MID(AG262,_xlfn.SEQUENCE(4),1))</f>
        <v>1</v>
      </c>
      <c r="AR262" s="7" t="b" cm="1">
        <f t="array" ref="AR262">OR(MID(Y262,_xlfn.SEQUENCE(4),1)=MID(AH262,_xlfn.SEQUENCE(4),1))</f>
        <v>1</v>
      </c>
      <c r="AS262" s="7" t="b" cm="1">
        <f t="array" ref="AS262">OR(MID(Z262,_xlfn.SEQUENCE(4),1)=MID(AI262,_xlfn.SEQUENCE(4),1))</f>
        <v>1</v>
      </c>
      <c r="AT262" s="7" t="b" cm="1">
        <f t="array" ref="AT262">OR(MID(AA262,_xlfn.SEQUENCE(4),1)=MID(AJ262,_xlfn.SEQUENCE(4),1))</f>
        <v>0</v>
      </c>
      <c r="AV262" s="7" cm="1">
        <f t="array" ref="AV262">_xlfn.CONCAT(_xlfn._xlws.FILTER(( AL262:AT262=FALSE ) *$H$253:$P$253,( AL262:AT262=FALSE ) *$H$253:$P$253 &lt;&gt; 0))+0</f>
        <v>510</v>
      </c>
    </row>
    <row r="263" spans="2:48" ht="24.95" customHeight="1">
      <c r="B263" s="2">
        <v>87</v>
      </c>
      <c r="C263" s="2">
        <v>5</v>
      </c>
      <c r="D263" s="3">
        <v>8</v>
      </c>
      <c r="E263" s="61">
        <f t="shared" si="1"/>
        <v>268</v>
      </c>
      <c r="F263" s="24"/>
      <c r="G263" s="94" t="s">
        <v>45</v>
      </c>
      <c r="H263" s="94" t="s">
        <v>45</v>
      </c>
      <c r="I263" s="94" t="s">
        <v>34</v>
      </c>
      <c r="J263" s="94" t="s">
        <v>34</v>
      </c>
      <c r="K263" s="94" t="s">
        <v>41</v>
      </c>
      <c r="L263" s="94" t="s">
        <v>41</v>
      </c>
      <c r="M263" s="94" t="s">
        <v>31</v>
      </c>
      <c r="N263" s="94" t="s">
        <v>34</v>
      </c>
      <c r="O263" s="94" t="s">
        <v>47</v>
      </c>
      <c r="P263" s="94" t="s">
        <v>41</v>
      </c>
      <c r="S263" s="27" t="str" cm="1">
        <f t="array" ref="S263:AA263">_xlfn.XLOOKUP(H263:P263,$G$38:$G$46,$J$38:$J$46,0,1)</f>
        <v>0110</v>
      </c>
      <c r="T263" s="7" t="str">
        <v>0011</v>
      </c>
      <c r="U263" s="7" t="str">
        <v>0011</v>
      </c>
      <c r="V263" s="7" t="str">
        <v>1001</v>
      </c>
      <c r="W263" s="7" t="str">
        <v>1001</v>
      </c>
      <c r="X263" s="7" t="str">
        <v>1100</v>
      </c>
      <c r="Y263" s="7" t="str">
        <v>0011</v>
      </c>
      <c r="Z263" s="7" t="str">
        <v>0101</v>
      </c>
      <c r="AA263" s="7" t="str">
        <v>1001</v>
      </c>
      <c r="AB263" s="27" cm="1">
        <f t="array" ref="AB263:AJ263">_xlfn.XLOOKUP(G263:O263,$G$38:$G$46,$I$38:$I$46,0,0,1)</f>
        <v>1001</v>
      </c>
      <c r="AC263" s="7">
        <v>1001</v>
      </c>
      <c r="AD263" s="7" t="str">
        <v>0011</v>
      </c>
      <c r="AE263" s="7" t="str">
        <v>0011</v>
      </c>
      <c r="AF263" s="7" t="str">
        <v>0110</v>
      </c>
      <c r="AG263" s="7" t="str">
        <v>0110</v>
      </c>
      <c r="AH263" s="7" t="str">
        <v>1100</v>
      </c>
      <c r="AI263" s="7" t="str">
        <v>0011</v>
      </c>
      <c r="AJ263" s="7" t="str">
        <v>1010</v>
      </c>
      <c r="AL263" s="7" t="b" cm="1">
        <f t="array" ref="AL263">OR(MID(S263,_xlfn.SEQUENCE(4),1)=MID(AB263,_xlfn.SEQUENCE(4),1))</f>
        <v>0</v>
      </c>
      <c r="AM263" s="7" t="b" cm="1">
        <f t="array" ref="AM263">OR(MID(T263,_xlfn.SEQUENCE(4),1)=MID(AC263,_xlfn.SEQUENCE(4),1))</f>
        <v>1</v>
      </c>
      <c r="AN263" s="7" t="b" cm="1">
        <f t="array" ref="AN263">OR(MID(U263,_xlfn.SEQUENCE(4),1)=MID(AD263,_xlfn.SEQUENCE(4),1))</f>
        <v>1</v>
      </c>
      <c r="AO263" s="7" t="b" cm="1">
        <f t="array" ref="AO263">OR(MID(V263,_xlfn.SEQUENCE(4),1)=MID(AE263,_xlfn.SEQUENCE(4),1))</f>
        <v>1</v>
      </c>
      <c r="AP263" s="7" t="b" cm="1">
        <f t="array" ref="AP263">OR(MID(W263,_xlfn.SEQUENCE(4),1)=MID(AF263,_xlfn.SEQUENCE(4),1))</f>
        <v>0</v>
      </c>
      <c r="AQ263" s="7" t="b" cm="1">
        <f t="array" ref="AQ263">OR(MID(X263,_xlfn.SEQUENCE(4),1)=MID(AG263,_xlfn.SEQUENCE(4),1))</f>
        <v>1</v>
      </c>
      <c r="AR263" s="7" t="b" cm="1">
        <f t="array" ref="AR263">OR(MID(Y263,_xlfn.SEQUENCE(4),1)=MID(AH263,_xlfn.SEQUENCE(4),1))</f>
        <v>0</v>
      </c>
      <c r="AS263" s="7" t="b" cm="1">
        <f t="array" ref="AS263">OR(MID(Z263,_xlfn.SEQUENCE(4),1)=MID(AI263,_xlfn.SEQUENCE(4),1))</f>
        <v>1</v>
      </c>
      <c r="AT263" s="7" t="b" cm="1">
        <f t="array" ref="AT263">OR(MID(AA263,_xlfn.SEQUENCE(4),1)=MID(AJ263,_xlfn.SEQUENCE(4),1))</f>
        <v>1</v>
      </c>
      <c r="AV263" s="7" cm="1">
        <f t="array" ref="AV263">_xlfn.CONCAT(_xlfn._xlws.FILTER(( AL263:AT263=FALSE ) *$H$253:$P$253,( AL263:AT263=FALSE ) *$H$253:$P$253 &lt;&gt; 0))+0</f>
        <v>268</v>
      </c>
    </row>
    <row r="264" spans="2:48" ht="24.95" customHeight="1">
      <c r="B264" s="2">
        <v>88</v>
      </c>
      <c r="C264" s="2">
        <v>5</v>
      </c>
      <c r="D264" s="3">
        <v>8</v>
      </c>
      <c r="E264" s="61">
        <f t="shared" si="1"/>
        <v>358</v>
      </c>
      <c r="F264" s="24"/>
      <c r="G264" s="94" t="s">
        <v>47</v>
      </c>
      <c r="H264" s="94" t="s">
        <v>31</v>
      </c>
      <c r="I264" s="94" t="s">
        <v>34</v>
      </c>
      <c r="J264" s="94" t="s">
        <v>41</v>
      </c>
      <c r="K264" s="94" t="s">
        <v>41</v>
      </c>
      <c r="L264" s="94" t="s">
        <v>34</v>
      </c>
      <c r="M264" s="94" t="s">
        <v>41</v>
      </c>
      <c r="N264" s="94" t="s">
        <v>41</v>
      </c>
      <c r="O264" s="94" t="s">
        <v>45</v>
      </c>
      <c r="P264" s="94" t="s">
        <v>41</v>
      </c>
      <c r="S264" s="27" t="str" cm="1">
        <f t="array" ref="S264:AA264">_xlfn.XLOOKUP(H264:P264,$G$38:$G$46,$J$38:$J$46,0,1)</f>
        <v>1100</v>
      </c>
      <c r="T264" s="7" t="str">
        <v>0011</v>
      </c>
      <c r="U264" s="7" t="str">
        <v>1001</v>
      </c>
      <c r="V264" s="7" t="str">
        <v>1001</v>
      </c>
      <c r="W264" s="7" t="str">
        <v>0011</v>
      </c>
      <c r="X264" s="7" t="str">
        <v>1001</v>
      </c>
      <c r="Y264" s="7" t="str">
        <v>1001</v>
      </c>
      <c r="Z264" s="7" t="str">
        <v>0110</v>
      </c>
      <c r="AA264" s="7" t="str">
        <v>1001</v>
      </c>
      <c r="AB264" s="27" t="str" cm="1">
        <f t="array" ref="AB264:AJ264">_xlfn.XLOOKUP(G264:O264,$G$38:$G$46,$I$38:$I$46,0,0,1)</f>
        <v>1010</v>
      </c>
      <c r="AC264" s="7" t="str">
        <v>1100</v>
      </c>
      <c r="AD264" s="7" t="str">
        <v>0011</v>
      </c>
      <c r="AE264" s="7" t="str">
        <v>0110</v>
      </c>
      <c r="AF264" s="7" t="str">
        <v>0110</v>
      </c>
      <c r="AG264" s="7" t="str">
        <v>0011</v>
      </c>
      <c r="AH264" s="7" t="str">
        <v>0110</v>
      </c>
      <c r="AI264" s="7" t="str">
        <v>0110</v>
      </c>
      <c r="AJ264" s="7">
        <v>1001</v>
      </c>
      <c r="AL264" s="7" t="b" cm="1">
        <f t="array" ref="AL264">OR(MID(S264,_xlfn.SEQUENCE(4),1)=MID(AB264,_xlfn.SEQUENCE(4),1))</f>
        <v>1</v>
      </c>
      <c r="AM264" s="7" t="b" cm="1">
        <f t="array" ref="AM264">OR(MID(T264,_xlfn.SEQUENCE(4),1)=MID(AC264,_xlfn.SEQUENCE(4),1))</f>
        <v>0</v>
      </c>
      <c r="AN264" s="7" t="b" cm="1">
        <f t="array" ref="AN264">OR(MID(U264,_xlfn.SEQUENCE(4),1)=MID(AD264,_xlfn.SEQUENCE(4),1))</f>
        <v>1</v>
      </c>
      <c r="AO264" s="7" t="b" cm="1">
        <f t="array" ref="AO264">OR(MID(V264,_xlfn.SEQUENCE(4),1)=MID(AE264,_xlfn.SEQUENCE(4),1))</f>
        <v>0</v>
      </c>
      <c r="AP264" s="7" t="b" cm="1">
        <f t="array" ref="AP264">OR(MID(W264,_xlfn.SEQUENCE(4),1)=MID(AF264,_xlfn.SEQUENCE(4),1))</f>
        <v>1</v>
      </c>
      <c r="AQ264" s="7" t="b" cm="1">
        <f t="array" ref="AQ264">OR(MID(X264,_xlfn.SEQUENCE(4),1)=MID(AG264,_xlfn.SEQUENCE(4),1))</f>
        <v>1</v>
      </c>
      <c r="AR264" s="7" t="b" cm="1">
        <f t="array" ref="AR264">OR(MID(Y264,_xlfn.SEQUENCE(4),1)=MID(AH264,_xlfn.SEQUENCE(4),1))</f>
        <v>0</v>
      </c>
      <c r="AS264" s="7" t="b" cm="1">
        <f t="array" ref="AS264">OR(MID(Z264,_xlfn.SEQUENCE(4),1)=MID(AI264,_xlfn.SEQUENCE(4),1))</f>
        <v>1</v>
      </c>
      <c r="AT264" s="7" t="b" cm="1">
        <f t="array" ref="AT264">OR(MID(AA264,_xlfn.SEQUENCE(4),1)=MID(AJ264,_xlfn.SEQUENCE(4),1))</f>
        <v>1</v>
      </c>
      <c r="AV264" s="7" cm="1">
        <f t="array" ref="AV264">_xlfn.CONCAT(_xlfn._xlws.FILTER(( AL264:AT264=FALSE ) *$H$253:$P$253,( AL264:AT264=FALSE ) *$H$253:$P$253 &lt;&gt; 0))+0</f>
        <v>358</v>
      </c>
    </row>
    <row r="265" spans="2:48" ht="24.95" customHeight="1">
      <c r="B265" s="2">
        <v>89</v>
      </c>
      <c r="C265" s="2">
        <v>5</v>
      </c>
      <c r="D265" s="3">
        <v>8</v>
      </c>
      <c r="E265" s="61">
        <f t="shared" si="1"/>
        <v>24810</v>
      </c>
      <c r="F265" s="24"/>
      <c r="G265" s="94" t="s">
        <v>34</v>
      </c>
      <c r="H265" s="94" t="s">
        <v>31</v>
      </c>
      <c r="I265" s="94" t="s">
        <v>31</v>
      </c>
      <c r="J265" s="94" t="s">
        <v>34</v>
      </c>
      <c r="K265" s="94" t="s">
        <v>47</v>
      </c>
      <c r="L265" s="94" t="s">
        <v>31</v>
      </c>
      <c r="M265" s="94" t="s">
        <v>31</v>
      </c>
      <c r="N265" s="94" t="s">
        <v>34</v>
      </c>
      <c r="O265" s="94" t="s">
        <v>47</v>
      </c>
      <c r="P265" s="94" t="s">
        <v>47</v>
      </c>
      <c r="S265" s="27" t="str" cm="1">
        <f t="array" ref="S265:AA265">_xlfn.XLOOKUP(H265:P265,$G$38:$G$46,$J$38:$J$46,0,1)</f>
        <v>1100</v>
      </c>
      <c r="T265" s="7" t="str">
        <v>1100</v>
      </c>
      <c r="U265" s="7" t="str">
        <v>0011</v>
      </c>
      <c r="V265" s="7" t="str">
        <v>0101</v>
      </c>
      <c r="W265" s="7" t="str">
        <v>1100</v>
      </c>
      <c r="X265" s="7" t="str">
        <v>1100</v>
      </c>
      <c r="Y265" s="7" t="str">
        <v>0011</v>
      </c>
      <c r="Z265" s="7" t="str">
        <v>0101</v>
      </c>
      <c r="AA265" s="7" t="str">
        <v>0101</v>
      </c>
      <c r="AB265" s="27" t="str" cm="1">
        <f t="array" ref="AB265:AJ265">_xlfn.XLOOKUP(G265:O265,$G$38:$G$46,$I$38:$I$46,0,0,1)</f>
        <v>0011</v>
      </c>
      <c r="AC265" s="7" t="str">
        <v>1100</v>
      </c>
      <c r="AD265" s="7" t="str">
        <v>1100</v>
      </c>
      <c r="AE265" s="7" t="str">
        <v>0011</v>
      </c>
      <c r="AF265" s="7" t="str">
        <v>1010</v>
      </c>
      <c r="AG265" s="7" t="str">
        <v>1100</v>
      </c>
      <c r="AH265" s="7" t="str">
        <v>1100</v>
      </c>
      <c r="AI265" s="7" t="str">
        <v>0011</v>
      </c>
      <c r="AJ265" s="7" t="str">
        <v>1010</v>
      </c>
      <c r="AL265" s="7" t="b" cm="1">
        <f t="array" ref="AL265">OR(MID(S265,_xlfn.SEQUENCE(4),1)=MID(AB265,_xlfn.SEQUENCE(4),1))</f>
        <v>0</v>
      </c>
      <c r="AM265" s="7" t="b" cm="1">
        <f t="array" ref="AM265">OR(MID(T265,_xlfn.SEQUENCE(4),1)=MID(AC265,_xlfn.SEQUENCE(4),1))</f>
        <v>1</v>
      </c>
      <c r="AN265" s="7" t="b" cm="1">
        <f t="array" ref="AN265">OR(MID(U265,_xlfn.SEQUENCE(4),1)=MID(AD265,_xlfn.SEQUENCE(4),1))</f>
        <v>0</v>
      </c>
      <c r="AO265" s="7" t="b" cm="1">
        <f t="array" ref="AO265">OR(MID(V265,_xlfn.SEQUENCE(4),1)=MID(AE265,_xlfn.SEQUENCE(4),1))</f>
        <v>1</v>
      </c>
      <c r="AP265" s="7" t="b" cm="1">
        <f t="array" ref="AP265">OR(MID(W265,_xlfn.SEQUENCE(4),1)=MID(AF265,_xlfn.SEQUENCE(4),1))</f>
        <v>1</v>
      </c>
      <c r="AQ265" s="7" t="b" cm="1">
        <f t="array" ref="AQ265">OR(MID(X265,_xlfn.SEQUENCE(4),1)=MID(AG265,_xlfn.SEQUENCE(4),1))</f>
        <v>1</v>
      </c>
      <c r="AR265" s="7" t="b" cm="1">
        <f t="array" ref="AR265">OR(MID(Y265,_xlfn.SEQUENCE(4),1)=MID(AH265,_xlfn.SEQUENCE(4),1))</f>
        <v>0</v>
      </c>
      <c r="AS265" s="7" t="b" cm="1">
        <f t="array" ref="AS265">OR(MID(Z265,_xlfn.SEQUENCE(4),1)=MID(AI265,_xlfn.SEQUENCE(4),1))</f>
        <v>1</v>
      </c>
      <c r="AT265" s="7" t="b" cm="1">
        <f t="array" ref="AT265">OR(MID(AA265,_xlfn.SEQUENCE(4),1)=MID(AJ265,_xlfn.SEQUENCE(4),1))</f>
        <v>0</v>
      </c>
      <c r="AV265" s="7" cm="1">
        <f t="array" ref="AV265">_xlfn.CONCAT(_xlfn._xlws.FILTER(( AL265:AT265=FALSE ) *$H$253:$P$253,( AL265:AT265=FALSE ) *$H$253:$P$253 &lt;&gt; 0))+0</f>
        <v>24810</v>
      </c>
    </row>
    <row r="266" spans="2:48" ht="24.95" customHeight="1">
      <c r="B266" s="2">
        <v>90</v>
      </c>
      <c r="C266" s="2">
        <v>5</v>
      </c>
      <c r="D266" s="3">
        <v>8</v>
      </c>
      <c r="E266" s="61">
        <f t="shared" si="1"/>
        <v>48</v>
      </c>
      <c r="F266" s="24"/>
      <c r="G266" s="94" t="s">
        <v>31</v>
      </c>
      <c r="H266" s="94" t="s">
        <v>31</v>
      </c>
      <c r="I266" s="94" t="s">
        <v>37</v>
      </c>
      <c r="J266" s="94" t="s">
        <v>37</v>
      </c>
      <c r="K266" s="94" t="s">
        <v>31</v>
      </c>
      <c r="L266" s="94" t="s">
        <v>47</v>
      </c>
      <c r="M266" s="94" t="s">
        <v>45</v>
      </c>
      <c r="N266" s="94" t="s">
        <v>45</v>
      </c>
      <c r="O266" s="94" t="s">
        <v>34</v>
      </c>
      <c r="P266" s="94" t="s">
        <v>47</v>
      </c>
      <c r="S266" s="27" t="str" cm="1">
        <f t="array" ref="S266:AA266">_xlfn.XLOOKUP(H266:P266,$G$38:$G$46,$J$38:$J$46,0,1)</f>
        <v>1100</v>
      </c>
      <c r="T266" s="7" t="str">
        <v>1010</v>
      </c>
      <c r="U266" s="7" t="str">
        <v>1010</v>
      </c>
      <c r="V266" s="7" t="str">
        <v>1100</v>
      </c>
      <c r="W266" s="7" t="str">
        <v>0101</v>
      </c>
      <c r="X266" s="7" t="str">
        <v>0110</v>
      </c>
      <c r="Y266" s="7" t="str">
        <v>0110</v>
      </c>
      <c r="Z266" s="7" t="str">
        <v>0011</v>
      </c>
      <c r="AA266" s="7" t="str">
        <v>0101</v>
      </c>
      <c r="AB266" s="27" t="str" cm="1">
        <f t="array" ref="AB266:AJ266">_xlfn.XLOOKUP(G266:O266,$G$38:$G$46,$I$38:$I$46,0,0,1)</f>
        <v>1100</v>
      </c>
      <c r="AC266" s="7" t="str">
        <v>1100</v>
      </c>
      <c r="AD266" s="7" t="str">
        <v>0101</v>
      </c>
      <c r="AE266" s="7" t="str">
        <v>0101</v>
      </c>
      <c r="AF266" s="7" t="str">
        <v>1100</v>
      </c>
      <c r="AG266" s="7" t="str">
        <v>1010</v>
      </c>
      <c r="AH266" s="7">
        <v>1001</v>
      </c>
      <c r="AI266" s="7">
        <v>1001</v>
      </c>
      <c r="AJ266" s="7" t="str">
        <v>0011</v>
      </c>
      <c r="AL266" s="7" t="b" cm="1">
        <f t="array" ref="AL266">OR(MID(S266,_xlfn.SEQUENCE(4),1)=MID(AB266,_xlfn.SEQUENCE(4),1))</f>
        <v>1</v>
      </c>
      <c r="AM266" s="7" t="b" cm="1">
        <f t="array" ref="AM266">OR(MID(T266,_xlfn.SEQUENCE(4),1)=MID(AC266,_xlfn.SEQUENCE(4),1))</f>
        <v>1</v>
      </c>
      <c r="AN266" s="7" t="b" cm="1">
        <f t="array" ref="AN266">OR(MID(U266,_xlfn.SEQUENCE(4),1)=MID(AD266,_xlfn.SEQUENCE(4),1))</f>
        <v>0</v>
      </c>
      <c r="AO266" s="7" t="b" cm="1">
        <f t="array" ref="AO266">OR(MID(V266,_xlfn.SEQUENCE(4),1)=MID(AE266,_xlfn.SEQUENCE(4),1))</f>
        <v>1</v>
      </c>
      <c r="AP266" s="7" t="b" cm="1">
        <f t="array" ref="AP266">OR(MID(W266,_xlfn.SEQUENCE(4),1)=MID(AF266,_xlfn.SEQUENCE(4),1))</f>
        <v>1</v>
      </c>
      <c r="AQ266" s="7" t="b" cm="1">
        <f t="array" ref="AQ266">OR(MID(X266,_xlfn.SEQUENCE(4),1)=MID(AG266,_xlfn.SEQUENCE(4),1))</f>
        <v>1</v>
      </c>
      <c r="AR266" s="7" t="b" cm="1">
        <f t="array" ref="AR266">OR(MID(Y266,_xlfn.SEQUENCE(4),1)=MID(AH266,_xlfn.SEQUENCE(4),1))</f>
        <v>0</v>
      </c>
      <c r="AS266" s="7" t="b" cm="1">
        <f t="array" ref="AS266">OR(MID(Z266,_xlfn.SEQUENCE(4),1)=MID(AI266,_xlfn.SEQUENCE(4),1))</f>
        <v>1</v>
      </c>
      <c r="AT266" s="7" t="b" cm="1">
        <f t="array" ref="AT266">OR(MID(AA266,_xlfn.SEQUENCE(4),1)=MID(AJ266,_xlfn.SEQUENCE(4),1))</f>
        <v>1</v>
      </c>
      <c r="AV266" s="7" cm="1">
        <f t="array" ref="AV266">_xlfn.CONCAT(_xlfn._xlws.FILTER(( AL266:AT266=FALSE ) *$H$253:$P$253,( AL266:AT266=FALSE ) *$H$253:$P$253 &lt;&gt; 0))+0</f>
        <v>48</v>
      </c>
    </row>
    <row r="267" spans="2:48" ht="24.95" customHeight="1">
      <c r="B267" s="2">
        <v>91</v>
      </c>
      <c r="C267" s="2">
        <v>5</v>
      </c>
      <c r="D267" s="3">
        <v>8</v>
      </c>
      <c r="E267" s="61">
        <f t="shared" si="1"/>
        <v>4</v>
      </c>
      <c r="F267" s="24"/>
      <c r="G267" s="94" t="s">
        <v>45</v>
      </c>
      <c r="H267" s="94" t="s">
        <v>31</v>
      </c>
      <c r="I267" s="94" t="s">
        <v>45</v>
      </c>
      <c r="J267" s="94" t="s">
        <v>45</v>
      </c>
      <c r="K267" s="94" t="s">
        <v>41</v>
      </c>
      <c r="L267" s="94" t="s">
        <v>45</v>
      </c>
      <c r="M267" s="94" t="s">
        <v>41</v>
      </c>
      <c r="N267" s="94" t="s">
        <v>31</v>
      </c>
      <c r="O267" s="94" t="s">
        <v>45</v>
      </c>
      <c r="P267" s="94" t="s">
        <v>37</v>
      </c>
      <c r="S267" s="27" t="str" cm="1">
        <f t="array" ref="S267:AA267">_xlfn.XLOOKUP(H267:P267,$G$38:$G$46,$J$38:$J$46,0,1)</f>
        <v>1100</v>
      </c>
      <c r="T267" s="7" t="str">
        <v>0110</v>
      </c>
      <c r="U267" s="7" t="str">
        <v>0110</v>
      </c>
      <c r="V267" s="7" t="str">
        <v>1001</v>
      </c>
      <c r="W267" s="7" t="str">
        <v>0110</v>
      </c>
      <c r="X267" s="7" t="str">
        <v>1001</v>
      </c>
      <c r="Y267" s="7" t="str">
        <v>1100</v>
      </c>
      <c r="Z267" s="7" t="str">
        <v>0110</v>
      </c>
      <c r="AA267" s="7" t="str">
        <v>1010</v>
      </c>
      <c r="AB267" s="27" cm="1">
        <f t="array" ref="AB267:AJ267">_xlfn.XLOOKUP(G267:O267,$G$38:$G$46,$I$38:$I$46,0,0,1)</f>
        <v>1001</v>
      </c>
      <c r="AC267" s="7" t="str">
        <v>1100</v>
      </c>
      <c r="AD267" s="7">
        <v>1001</v>
      </c>
      <c r="AE267" s="7">
        <v>1001</v>
      </c>
      <c r="AF267" s="7" t="str">
        <v>0110</v>
      </c>
      <c r="AG267" s="7">
        <v>1001</v>
      </c>
      <c r="AH267" s="7" t="str">
        <v>0110</v>
      </c>
      <c r="AI267" s="7" t="str">
        <v>1100</v>
      </c>
      <c r="AJ267" s="7">
        <v>1001</v>
      </c>
      <c r="AL267" s="7" t="b" cm="1">
        <f t="array" ref="AL267">OR(MID(S267,_xlfn.SEQUENCE(4),1)=MID(AB267,_xlfn.SEQUENCE(4),1))</f>
        <v>1</v>
      </c>
      <c r="AM267" s="7" t="b" cm="1">
        <f t="array" ref="AM267">OR(MID(T267,_xlfn.SEQUENCE(4),1)=MID(AC267,_xlfn.SEQUENCE(4),1))</f>
        <v>1</v>
      </c>
      <c r="AN267" s="7" t="b" cm="1">
        <f t="array" ref="AN267">OR(MID(U267,_xlfn.SEQUENCE(4),1)=MID(AD267,_xlfn.SEQUENCE(4),1))</f>
        <v>0</v>
      </c>
      <c r="AO267" s="7" t="b" cm="1">
        <f t="array" ref="AO267">OR(MID(V267,_xlfn.SEQUENCE(4),1)=MID(AE267,_xlfn.SEQUENCE(4),1))</f>
        <v>1</v>
      </c>
      <c r="AP267" s="7" t="b" cm="1">
        <f t="array" ref="AP267">OR(MID(W267,_xlfn.SEQUENCE(4),1)=MID(AF267,_xlfn.SEQUENCE(4),1))</f>
        <v>1</v>
      </c>
      <c r="AQ267" s="7" t="b" cm="1">
        <f t="array" ref="AQ267">OR(MID(X267,_xlfn.SEQUENCE(4),1)=MID(AG267,_xlfn.SEQUENCE(4),1))</f>
        <v>1</v>
      </c>
      <c r="AR267" s="7" t="b" cm="1">
        <f t="array" ref="AR267">OR(MID(Y267,_xlfn.SEQUENCE(4),1)=MID(AH267,_xlfn.SEQUENCE(4),1))</f>
        <v>1</v>
      </c>
      <c r="AS267" s="7" t="b" cm="1">
        <f t="array" ref="AS267">OR(MID(Z267,_xlfn.SEQUENCE(4),1)=MID(AI267,_xlfn.SEQUENCE(4),1))</f>
        <v>1</v>
      </c>
      <c r="AT267" s="7" t="b" cm="1">
        <f t="array" ref="AT267">OR(MID(AA267,_xlfn.SEQUENCE(4),1)=MID(AJ267,_xlfn.SEQUENCE(4),1))</f>
        <v>1</v>
      </c>
      <c r="AV267" s="7" cm="1">
        <f t="array" ref="AV267">_xlfn.CONCAT(_xlfn._xlws.FILTER(( AL267:AT267=FALSE ) *$H$253:$P$253,( AL267:AT267=FALSE ) *$H$253:$P$253 &lt;&gt; 0))+0</f>
        <v>4</v>
      </c>
    </row>
    <row r="268" spans="2:48" ht="24.95" customHeight="1">
      <c r="B268" s="2">
        <v>92</v>
      </c>
      <c r="C268" s="2">
        <v>5</v>
      </c>
      <c r="D268" s="3">
        <v>8</v>
      </c>
      <c r="E268" s="61">
        <f t="shared" si="1"/>
        <v>369</v>
      </c>
      <c r="F268" s="24"/>
      <c r="G268" s="94" t="s">
        <v>47</v>
      </c>
      <c r="H268" s="94" t="s">
        <v>41</v>
      </c>
      <c r="I268" s="94" t="s">
        <v>41</v>
      </c>
      <c r="J268" s="94" t="s">
        <v>47</v>
      </c>
      <c r="K268" s="94" t="s">
        <v>31</v>
      </c>
      <c r="L268" s="94" t="s">
        <v>34</v>
      </c>
      <c r="M268" s="94" t="s">
        <v>37</v>
      </c>
      <c r="N268" s="94" t="s">
        <v>45</v>
      </c>
      <c r="O268" s="94" t="s">
        <v>45</v>
      </c>
      <c r="P268" s="94" t="s">
        <v>31</v>
      </c>
      <c r="S268" s="27" t="str" cm="1">
        <f t="array" ref="S268:AA268">_xlfn.XLOOKUP(H268:P268,$G$38:$G$46,$J$38:$J$46,0,1)</f>
        <v>1001</v>
      </c>
      <c r="T268" s="7" t="str">
        <v>1001</v>
      </c>
      <c r="U268" s="7" t="str">
        <v>0101</v>
      </c>
      <c r="V268" s="7" t="str">
        <v>1100</v>
      </c>
      <c r="W268" s="7" t="str">
        <v>0011</v>
      </c>
      <c r="X268" s="7" t="str">
        <v>1010</v>
      </c>
      <c r="Y268" s="7" t="str">
        <v>0110</v>
      </c>
      <c r="Z268" s="7" t="str">
        <v>0110</v>
      </c>
      <c r="AA268" s="7" t="str">
        <v>1100</v>
      </c>
      <c r="AB268" s="27" t="str" cm="1">
        <f t="array" ref="AB268:AJ268">_xlfn.XLOOKUP(G268:O268,$G$38:$G$46,$I$38:$I$46,0,0,1)</f>
        <v>1010</v>
      </c>
      <c r="AC268" s="7" t="str">
        <v>0110</v>
      </c>
      <c r="AD268" s="7" t="str">
        <v>0110</v>
      </c>
      <c r="AE268" s="7" t="str">
        <v>1010</v>
      </c>
      <c r="AF268" s="7" t="str">
        <v>1100</v>
      </c>
      <c r="AG268" s="7" t="str">
        <v>0011</v>
      </c>
      <c r="AH268" s="7" t="str">
        <v>0101</v>
      </c>
      <c r="AI268" s="7">
        <v>1001</v>
      </c>
      <c r="AJ268" s="7">
        <v>1001</v>
      </c>
      <c r="AL268" s="7" t="b" cm="1">
        <f t="array" ref="AL268">OR(MID(S268,_xlfn.SEQUENCE(4),1)=MID(AB268,_xlfn.SEQUENCE(4),1))</f>
        <v>1</v>
      </c>
      <c r="AM268" s="7" t="b" cm="1">
        <f t="array" ref="AM268">OR(MID(T268,_xlfn.SEQUENCE(4),1)=MID(AC268,_xlfn.SEQUENCE(4),1))</f>
        <v>0</v>
      </c>
      <c r="AN268" s="7" t="b" cm="1">
        <f t="array" ref="AN268">OR(MID(U268,_xlfn.SEQUENCE(4),1)=MID(AD268,_xlfn.SEQUENCE(4),1))</f>
        <v>1</v>
      </c>
      <c r="AO268" s="7" t="b" cm="1">
        <f t="array" ref="AO268">OR(MID(V268,_xlfn.SEQUENCE(4),1)=MID(AE268,_xlfn.SEQUENCE(4),1))</f>
        <v>1</v>
      </c>
      <c r="AP268" s="7" t="b" cm="1">
        <f t="array" ref="AP268">OR(MID(W268,_xlfn.SEQUENCE(4),1)=MID(AF268,_xlfn.SEQUENCE(4),1))</f>
        <v>0</v>
      </c>
      <c r="AQ268" s="7" t="b" cm="1">
        <f t="array" ref="AQ268">OR(MID(X268,_xlfn.SEQUENCE(4),1)=MID(AG268,_xlfn.SEQUENCE(4),1))</f>
        <v>1</v>
      </c>
      <c r="AR268" s="7" t="b" cm="1">
        <f t="array" ref="AR268">OR(MID(Y268,_xlfn.SEQUENCE(4),1)=MID(AH268,_xlfn.SEQUENCE(4),1))</f>
        <v>1</v>
      </c>
      <c r="AS268" s="7" t="b" cm="1">
        <f t="array" ref="AS268">OR(MID(Z268,_xlfn.SEQUENCE(4),1)=MID(AI268,_xlfn.SEQUENCE(4),1))</f>
        <v>0</v>
      </c>
      <c r="AT268" s="7" t="b" cm="1">
        <f t="array" ref="AT268">OR(MID(AA268,_xlfn.SEQUENCE(4),1)=MID(AJ268,_xlfn.SEQUENCE(4),1))</f>
        <v>1</v>
      </c>
      <c r="AV268" s="7" cm="1">
        <f t="array" ref="AV268">_xlfn.CONCAT(_xlfn._xlws.FILTER(( AL268:AT268=FALSE ) *$H$253:$P$253,( AL268:AT268=FALSE ) *$H$253:$P$253 &lt;&gt; 0))+0</f>
        <v>369</v>
      </c>
    </row>
    <row r="269" spans="2:48" ht="24.95" customHeight="1">
      <c r="B269" s="2">
        <v>93</v>
      </c>
      <c r="C269" s="2">
        <v>5</v>
      </c>
      <c r="D269" s="3">
        <v>8</v>
      </c>
      <c r="E269" s="61">
        <f t="shared" si="1"/>
        <v>259</v>
      </c>
      <c r="F269" s="24"/>
      <c r="G269" s="94" t="s">
        <v>45</v>
      </c>
      <c r="H269" s="94" t="s">
        <v>45</v>
      </c>
      <c r="I269" s="94" t="s">
        <v>41</v>
      </c>
      <c r="J269" s="94" t="s">
        <v>31</v>
      </c>
      <c r="K269" s="94" t="s">
        <v>34</v>
      </c>
      <c r="L269" s="94" t="s">
        <v>47</v>
      </c>
      <c r="M269" s="94" t="s">
        <v>45</v>
      </c>
      <c r="N269" s="94" t="s">
        <v>37</v>
      </c>
      <c r="O269" s="94" t="s">
        <v>37</v>
      </c>
      <c r="P269" s="94" t="s">
        <v>34</v>
      </c>
      <c r="S269" s="27" t="str" cm="1">
        <f t="array" ref="S269:AA269">_xlfn.XLOOKUP(H269:P269,$G$38:$G$46,$J$38:$J$46,0,1)</f>
        <v>0110</v>
      </c>
      <c r="T269" s="7" t="str">
        <v>1001</v>
      </c>
      <c r="U269" s="7" t="str">
        <v>1100</v>
      </c>
      <c r="V269" s="7" t="str">
        <v>0011</v>
      </c>
      <c r="W269" s="7" t="str">
        <v>0101</v>
      </c>
      <c r="X269" s="7" t="str">
        <v>0110</v>
      </c>
      <c r="Y269" s="7" t="str">
        <v>1010</v>
      </c>
      <c r="Z269" s="7" t="str">
        <v>1010</v>
      </c>
      <c r="AA269" s="7" t="str">
        <v>0011</v>
      </c>
      <c r="AB269" s="27" cm="1">
        <f t="array" ref="AB269:AJ269">_xlfn.XLOOKUP(G269:O269,$G$38:$G$46,$I$38:$I$46,0,0,1)</f>
        <v>1001</v>
      </c>
      <c r="AC269" s="7">
        <v>1001</v>
      </c>
      <c r="AD269" s="7" t="str">
        <v>0110</v>
      </c>
      <c r="AE269" s="7" t="str">
        <v>1100</v>
      </c>
      <c r="AF269" s="7" t="str">
        <v>0011</v>
      </c>
      <c r="AG269" s="7" t="str">
        <v>1010</v>
      </c>
      <c r="AH269" s="7">
        <v>1001</v>
      </c>
      <c r="AI269" s="7" t="str">
        <v>0101</v>
      </c>
      <c r="AJ269" s="7" t="str">
        <v>0101</v>
      </c>
      <c r="AL269" s="7" t="b" cm="1">
        <f t="array" ref="AL269">OR(MID(S269,_xlfn.SEQUENCE(4),1)=MID(AB269,_xlfn.SEQUENCE(4),1))</f>
        <v>0</v>
      </c>
      <c r="AM269" s="7" t="b" cm="1">
        <f t="array" ref="AM269">OR(MID(T269,_xlfn.SEQUENCE(4),1)=MID(AC269,_xlfn.SEQUENCE(4),1))</f>
        <v>1</v>
      </c>
      <c r="AN269" s="7" t="b" cm="1">
        <f t="array" ref="AN269">OR(MID(U269,_xlfn.SEQUENCE(4),1)=MID(AD269,_xlfn.SEQUENCE(4),1))</f>
        <v>1</v>
      </c>
      <c r="AO269" s="7" t="b" cm="1">
        <f t="array" ref="AO269">OR(MID(V269,_xlfn.SEQUENCE(4),1)=MID(AE269,_xlfn.SEQUENCE(4),1))</f>
        <v>0</v>
      </c>
      <c r="AP269" s="7" t="b" cm="1">
        <f t="array" ref="AP269">OR(MID(W269,_xlfn.SEQUENCE(4),1)=MID(AF269,_xlfn.SEQUENCE(4),1))</f>
        <v>1</v>
      </c>
      <c r="AQ269" s="7" t="b" cm="1">
        <f t="array" ref="AQ269">OR(MID(X269,_xlfn.SEQUENCE(4),1)=MID(AG269,_xlfn.SEQUENCE(4),1))</f>
        <v>1</v>
      </c>
      <c r="AR269" s="7" t="b" cm="1">
        <f t="array" ref="AR269">OR(MID(Y269,_xlfn.SEQUENCE(4),1)=MID(AH269,_xlfn.SEQUENCE(4),1))</f>
        <v>1</v>
      </c>
      <c r="AS269" s="7" t="b" cm="1">
        <f t="array" ref="AS269">OR(MID(Z269,_xlfn.SEQUENCE(4),1)=MID(AI269,_xlfn.SEQUENCE(4),1))</f>
        <v>0</v>
      </c>
      <c r="AT269" s="7" t="b" cm="1">
        <f t="array" ref="AT269">OR(MID(AA269,_xlfn.SEQUENCE(4),1)=MID(AJ269,_xlfn.SEQUENCE(4),1))</f>
        <v>1</v>
      </c>
      <c r="AV269" s="7" cm="1">
        <f t="array" ref="AV269">_xlfn.CONCAT(_xlfn._xlws.FILTER(( AL269:AT269=FALSE ) *$H$253:$P$253,( AL269:AT269=FALSE ) *$H$253:$P$253 &lt;&gt; 0))+0</f>
        <v>259</v>
      </c>
    </row>
    <row r="270" spans="2:48" ht="24.95" customHeight="1">
      <c r="B270" s="2">
        <v>94</v>
      </c>
      <c r="C270" s="2">
        <v>5</v>
      </c>
      <c r="D270" s="3">
        <v>8</v>
      </c>
      <c r="E270" s="61">
        <f t="shared" si="1"/>
        <v>5</v>
      </c>
      <c r="F270" s="24"/>
      <c r="G270" s="94" t="s">
        <v>45</v>
      </c>
      <c r="H270" s="94" t="s">
        <v>41</v>
      </c>
      <c r="I270" s="94" t="s">
        <v>34</v>
      </c>
      <c r="J270" s="94" t="s">
        <v>45</v>
      </c>
      <c r="K270" s="94" t="s">
        <v>45</v>
      </c>
      <c r="L270" s="94" t="s">
        <v>41</v>
      </c>
      <c r="M270" s="94" t="s">
        <v>31</v>
      </c>
      <c r="N270" s="94" t="s">
        <v>47</v>
      </c>
      <c r="O270" s="94" t="s">
        <v>45</v>
      </c>
      <c r="P270" s="94" t="s">
        <v>37</v>
      </c>
      <c r="S270" s="27" t="str" cm="1">
        <f t="array" ref="S270:AA270">_xlfn.XLOOKUP(H270:P270,$G$38:$G$46,$J$38:$J$46,0,1)</f>
        <v>1001</v>
      </c>
      <c r="T270" s="7" t="str">
        <v>0011</v>
      </c>
      <c r="U270" s="7" t="str">
        <v>0110</v>
      </c>
      <c r="V270" s="7" t="str">
        <v>0110</v>
      </c>
      <c r="W270" s="7" t="str">
        <v>1001</v>
      </c>
      <c r="X270" s="7" t="str">
        <v>1100</v>
      </c>
      <c r="Y270" s="7" t="str">
        <v>0101</v>
      </c>
      <c r="Z270" s="7" t="str">
        <v>0110</v>
      </c>
      <c r="AA270" s="7" t="str">
        <v>1010</v>
      </c>
      <c r="AB270" s="27" cm="1">
        <f t="array" ref="AB270:AJ270">_xlfn.XLOOKUP(G270:O270,$G$38:$G$46,$I$38:$I$46,0,0,1)</f>
        <v>1001</v>
      </c>
      <c r="AC270" s="7" t="str">
        <v>0110</v>
      </c>
      <c r="AD270" s="7" t="str">
        <v>0011</v>
      </c>
      <c r="AE270" s="7">
        <v>1001</v>
      </c>
      <c r="AF270" s="7">
        <v>1001</v>
      </c>
      <c r="AG270" s="7" t="str">
        <v>0110</v>
      </c>
      <c r="AH270" s="7" t="str">
        <v>1100</v>
      </c>
      <c r="AI270" s="7" t="str">
        <v>1010</v>
      </c>
      <c r="AJ270" s="7">
        <v>1001</v>
      </c>
      <c r="AL270" s="7" t="b" cm="1">
        <f t="array" ref="AL270">OR(MID(S270,_xlfn.SEQUENCE(4),1)=MID(AB270,_xlfn.SEQUENCE(4),1))</f>
        <v>1</v>
      </c>
      <c r="AM270" s="7" t="b" cm="1">
        <f t="array" ref="AM270">OR(MID(T270,_xlfn.SEQUENCE(4),1)=MID(AC270,_xlfn.SEQUENCE(4),1))</f>
        <v>1</v>
      </c>
      <c r="AN270" s="7" t="b" cm="1">
        <f t="array" ref="AN270">OR(MID(U270,_xlfn.SEQUENCE(4),1)=MID(AD270,_xlfn.SEQUENCE(4),1))</f>
        <v>1</v>
      </c>
      <c r="AO270" s="7" t="b" cm="1">
        <f t="array" ref="AO270">OR(MID(V270,_xlfn.SEQUENCE(4),1)=MID(AE270,_xlfn.SEQUENCE(4),1))</f>
        <v>0</v>
      </c>
      <c r="AP270" s="7" t="b" cm="1">
        <f t="array" ref="AP270">OR(MID(W270,_xlfn.SEQUENCE(4),1)=MID(AF270,_xlfn.SEQUENCE(4),1))</f>
        <v>1</v>
      </c>
      <c r="AQ270" s="7" t="b" cm="1">
        <f t="array" ref="AQ270">OR(MID(X270,_xlfn.SEQUENCE(4),1)=MID(AG270,_xlfn.SEQUENCE(4),1))</f>
        <v>1</v>
      </c>
      <c r="AR270" s="7" t="b" cm="1">
        <f t="array" ref="AR270">OR(MID(Y270,_xlfn.SEQUENCE(4),1)=MID(AH270,_xlfn.SEQUENCE(4),1))</f>
        <v>1</v>
      </c>
      <c r="AS270" s="7" t="b" cm="1">
        <f t="array" ref="AS270">OR(MID(Z270,_xlfn.SEQUENCE(4),1)=MID(AI270,_xlfn.SEQUENCE(4),1))</f>
        <v>1</v>
      </c>
      <c r="AT270" s="7" t="b" cm="1">
        <f t="array" ref="AT270">OR(MID(AA270,_xlfn.SEQUENCE(4),1)=MID(AJ270,_xlfn.SEQUENCE(4),1))</f>
        <v>1</v>
      </c>
      <c r="AV270" s="7" cm="1">
        <f t="array" ref="AV270">_xlfn.CONCAT(_xlfn._xlws.FILTER(( AL270:AT270=FALSE ) *$H$253:$P$253,( AL270:AT270=FALSE ) *$H$253:$P$253 &lt;&gt; 0))+0</f>
        <v>5</v>
      </c>
    </row>
    <row r="271" spans="2:48" ht="24.95" customHeight="1">
      <c r="B271" s="2">
        <v>95</v>
      </c>
      <c r="C271" s="2">
        <v>5</v>
      </c>
      <c r="D271" s="3">
        <v>8</v>
      </c>
      <c r="E271" s="61">
        <f t="shared" si="1"/>
        <v>27</v>
      </c>
      <c r="F271" s="24"/>
      <c r="G271" s="94" t="s">
        <v>45</v>
      </c>
      <c r="H271" s="94" t="s">
        <v>45</v>
      </c>
      <c r="I271" s="94" t="s">
        <v>41</v>
      </c>
      <c r="J271" s="94" t="s">
        <v>34</v>
      </c>
      <c r="K271" s="94" t="s">
        <v>37</v>
      </c>
      <c r="L271" s="94" t="s">
        <v>47</v>
      </c>
      <c r="M271" s="94" t="s">
        <v>47</v>
      </c>
      <c r="N271" s="94" t="s">
        <v>34</v>
      </c>
      <c r="O271" s="94" t="s">
        <v>34</v>
      </c>
      <c r="P271" s="94" t="s">
        <v>34</v>
      </c>
      <c r="S271" s="27" t="str" cm="1">
        <f t="array" ref="S271:AA271">_xlfn.XLOOKUP(H271:P271,$G$38:$G$46,$J$38:$J$46,0,1)</f>
        <v>0110</v>
      </c>
      <c r="T271" s="7" t="str">
        <v>1001</v>
      </c>
      <c r="U271" s="7" t="str">
        <v>0011</v>
      </c>
      <c r="V271" s="7" t="str">
        <v>1010</v>
      </c>
      <c r="W271" s="7" t="str">
        <v>0101</v>
      </c>
      <c r="X271" s="7" t="str">
        <v>0101</v>
      </c>
      <c r="Y271" s="7" t="str">
        <v>0011</v>
      </c>
      <c r="Z271" s="7" t="str">
        <v>0011</v>
      </c>
      <c r="AA271" s="7" t="str">
        <v>0011</v>
      </c>
      <c r="AB271" s="27" cm="1">
        <f t="array" ref="AB271:AJ271">_xlfn.XLOOKUP(G271:O271,$G$38:$G$46,$I$38:$I$46,0,0,1)</f>
        <v>1001</v>
      </c>
      <c r="AC271" s="7">
        <v>1001</v>
      </c>
      <c r="AD271" s="7" t="str">
        <v>0110</v>
      </c>
      <c r="AE271" s="7" t="str">
        <v>0011</v>
      </c>
      <c r="AF271" s="7" t="str">
        <v>0101</v>
      </c>
      <c r="AG271" s="7" t="str">
        <v>1010</v>
      </c>
      <c r="AH271" s="7" t="str">
        <v>1010</v>
      </c>
      <c r="AI271" s="7" t="str">
        <v>0011</v>
      </c>
      <c r="AJ271" s="7" t="str">
        <v>0011</v>
      </c>
      <c r="AL271" s="7" t="b" cm="1">
        <f t="array" ref="AL271">OR(MID(S271,_xlfn.SEQUENCE(4),1)=MID(AB271,_xlfn.SEQUENCE(4),1))</f>
        <v>0</v>
      </c>
      <c r="AM271" s="7" t="b" cm="1">
        <f t="array" ref="AM271">OR(MID(T271,_xlfn.SEQUENCE(4),1)=MID(AC271,_xlfn.SEQUENCE(4),1))</f>
        <v>1</v>
      </c>
      <c r="AN271" s="7" t="b" cm="1">
        <f t="array" ref="AN271">OR(MID(U271,_xlfn.SEQUENCE(4),1)=MID(AD271,_xlfn.SEQUENCE(4),1))</f>
        <v>1</v>
      </c>
      <c r="AO271" s="7" t="b" cm="1">
        <f t="array" ref="AO271">OR(MID(V271,_xlfn.SEQUENCE(4),1)=MID(AE271,_xlfn.SEQUENCE(4),1))</f>
        <v>1</v>
      </c>
      <c r="AP271" s="7" t="b" cm="1">
        <f t="array" ref="AP271">OR(MID(W271,_xlfn.SEQUENCE(4),1)=MID(AF271,_xlfn.SEQUENCE(4),1))</f>
        <v>1</v>
      </c>
      <c r="AQ271" s="7" t="b" cm="1">
        <f t="array" ref="AQ271">OR(MID(X271,_xlfn.SEQUENCE(4),1)=MID(AG271,_xlfn.SEQUENCE(4),1))</f>
        <v>0</v>
      </c>
      <c r="AR271" s="7" t="b" cm="1">
        <f t="array" ref="AR271">OR(MID(Y271,_xlfn.SEQUENCE(4),1)=MID(AH271,_xlfn.SEQUENCE(4),1))</f>
        <v>1</v>
      </c>
      <c r="AS271" s="7" t="b" cm="1">
        <f t="array" ref="AS271">OR(MID(Z271,_xlfn.SEQUENCE(4),1)=MID(AI271,_xlfn.SEQUENCE(4),1))</f>
        <v>1</v>
      </c>
      <c r="AT271" s="7" t="b" cm="1">
        <f t="array" ref="AT271">OR(MID(AA271,_xlfn.SEQUENCE(4),1)=MID(AJ271,_xlfn.SEQUENCE(4),1))</f>
        <v>1</v>
      </c>
      <c r="AV271" s="7" cm="1">
        <f t="array" ref="AV271">_xlfn.CONCAT(_xlfn._xlws.FILTER(( AL271:AT271=FALSE ) *$H$253:$P$253,( AL271:AT271=FALSE ) *$H$253:$P$253 &lt;&gt; 0))+0</f>
        <v>27</v>
      </c>
    </row>
    <row r="272" spans="2:48" ht="24.95" customHeight="1">
      <c r="B272" s="2">
        <v>96</v>
      </c>
      <c r="C272" s="2">
        <v>5</v>
      </c>
      <c r="D272" s="3">
        <v>8</v>
      </c>
      <c r="E272" s="61">
        <f t="shared" si="1"/>
        <v>247</v>
      </c>
      <c r="F272" s="24"/>
      <c r="G272" s="94" t="s">
        <v>45</v>
      </c>
      <c r="H272" s="94" t="s">
        <v>45</v>
      </c>
      <c r="I272" s="94" t="s">
        <v>31</v>
      </c>
      <c r="J272" s="94" t="s">
        <v>34</v>
      </c>
      <c r="K272" s="94" t="s">
        <v>34</v>
      </c>
      <c r="L272" s="94" t="s">
        <v>37</v>
      </c>
      <c r="M272" s="94" t="s">
        <v>37</v>
      </c>
      <c r="N272" s="94" t="s">
        <v>41</v>
      </c>
      <c r="O272" s="94" t="s">
        <v>47</v>
      </c>
      <c r="P272" s="94" t="s">
        <v>41</v>
      </c>
      <c r="S272" s="27" t="str" cm="1">
        <f t="array" ref="S272:AA272">_xlfn.XLOOKUP(H272:P272,$G$38:$G$46,$J$38:$J$46,0,1)</f>
        <v>0110</v>
      </c>
      <c r="T272" s="7" t="str">
        <v>1100</v>
      </c>
      <c r="U272" s="7" t="str">
        <v>0011</v>
      </c>
      <c r="V272" s="7" t="str">
        <v>0011</v>
      </c>
      <c r="W272" s="7" t="str">
        <v>1010</v>
      </c>
      <c r="X272" s="7" t="str">
        <v>1010</v>
      </c>
      <c r="Y272" s="7" t="str">
        <v>1001</v>
      </c>
      <c r="Z272" s="7" t="str">
        <v>0101</v>
      </c>
      <c r="AA272" s="7" t="str">
        <v>1001</v>
      </c>
      <c r="AB272" s="27" cm="1">
        <f t="array" ref="AB272:AJ272">_xlfn.XLOOKUP(G272:O272,$G$38:$G$46,$I$38:$I$46,0,0,1)</f>
        <v>1001</v>
      </c>
      <c r="AC272" s="7">
        <v>1001</v>
      </c>
      <c r="AD272" s="7" t="str">
        <v>1100</v>
      </c>
      <c r="AE272" s="7" t="str">
        <v>0011</v>
      </c>
      <c r="AF272" s="7" t="str">
        <v>0011</v>
      </c>
      <c r="AG272" s="7" t="str">
        <v>0101</v>
      </c>
      <c r="AH272" s="7" t="str">
        <v>0101</v>
      </c>
      <c r="AI272" s="7" t="str">
        <v>0110</v>
      </c>
      <c r="AJ272" s="7" t="str">
        <v>1010</v>
      </c>
      <c r="AL272" s="7" t="b" cm="1">
        <f t="array" ref="AL272">OR(MID(S272,_xlfn.SEQUENCE(4),1)=MID(AB272,_xlfn.SEQUENCE(4),1))</f>
        <v>0</v>
      </c>
      <c r="AM272" s="7" t="b" cm="1">
        <f t="array" ref="AM272">OR(MID(T272,_xlfn.SEQUENCE(4),1)=MID(AC272,_xlfn.SEQUENCE(4),1))</f>
        <v>1</v>
      </c>
      <c r="AN272" s="7" t="b" cm="1">
        <f t="array" ref="AN272">OR(MID(U272,_xlfn.SEQUENCE(4),1)=MID(AD272,_xlfn.SEQUENCE(4),1))</f>
        <v>0</v>
      </c>
      <c r="AO272" s="7" t="b" cm="1">
        <f t="array" ref="AO272">OR(MID(V272,_xlfn.SEQUENCE(4),1)=MID(AE272,_xlfn.SEQUENCE(4),1))</f>
        <v>1</v>
      </c>
      <c r="AP272" s="7" t="b" cm="1">
        <f t="array" ref="AP272">OR(MID(W272,_xlfn.SEQUENCE(4),1)=MID(AF272,_xlfn.SEQUENCE(4),1))</f>
        <v>1</v>
      </c>
      <c r="AQ272" s="7" t="b" cm="1">
        <f t="array" ref="AQ272">OR(MID(X272,_xlfn.SEQUENCE(4),1)=MID(AG272,_xlfn.SEQUENCE(4),1))</f>
        <v>0</v>
      </c>
      <c r="AR272" s="7" t="b" cm="1">
        <f t="array" ref="AR272">OR(MID(Y272,_xlfn.SEQUENCE(4),1)=MID(AH272,_xlfn.SEQUENCE(4),1))</f>
        <v>1</v>
      </c>
      <c r="AS272" s="7" t="b" cm="1">
        <f t="array" ref="AS272">OR(MID(Z272,_xlfn.SEQUENCE(4),1)=MID(AI272,_xlfn.SEQUENCE(4),1))</f>
        <v>1</v>
      </c>
      <c r="AT272" s="7" t="b" cm="1">
        <f t="array" ref="AT272">OR(MID(AA272,_xlfn.SEQUENCE(4),1)=MID(AJ272,_xlfn.SEQUENCE(4),1))</f>
        <v>1</v>
      </c>
      <c r="AV272" s="7" cm="1">
        <f t="array" ref="AV272">_xlfn.CONCAT(_xlfn._xlws.FILTER(( AL272:AT272=FALSE ) *$H$253:$P$253,( AL272:AT272=FALSE ) *$H$253:$P$253 &lt;&gt; 0))+0</f>
        <v>247</v>
      </c>
    </row>
    <row r="273" spans="2:48" ht="24.95" customHeight="1">
      <c r="B273" s="2">
        <v>97</v>
      </c>
      <c r="C273" s="2">
        <v>5</v>
      </c>
      <c r="D273" s="3">
        <v>8</v>
      </c>
      <c r="E273" s="61">
        <f t="shared" si="1"/>
        <v>9</v>
      </c>
      <c r="F273" s="24"/>
      <c r="G273" s="94" t="s">
        <v>37</v>
      </c>
      <c r="H273" s="94" t="s">
        <v>41</v>
      </c>
      <c r="I273" s="94" t="s">
        <v>37</v>
      </c>
      <c r="J273" s="94" t="s">
        <v>45</v>
      </c>
      <c r="K273" s="94" t="s">
        <v>31</v>
      </c>
      <c r="L273" s="94" t="s">
        <v>47</v>
      </c>
      <c r="M273" s="94" t="s">
        <v>31</v>
      </c>
      <c r="N273" s="94" t="s">
        <v>31</v>
      </c>
      <c r="O273" s="94" t="s">
        <v>34</v>
      </c>
      <c r="P273" s="94" t="s">
        <v>37</v>
      </c>
      <c r="S273" s="27" t="str" cm="1">
        <f t="array" ref="S273:AA273">_xlfn.XLOOKUP(H273:P273,$G$38:$G$46,$J$38:$J$46,0,1)</f>
        <v>1001</v>
      </c>
      <c r="T273" s="7" t="str">
        <v>1010</v>
      </c>
      <c r="U273" s="7" t="str">
        <v>0110</v>
      </c>
      <c r="V273" s="7" t="str">
        <v>1100</v>
      </c>
      <c r="W273" s="7" t="str">
        <v>0101</v>
      </c>
      <c r="X273" s="7" t="str">
        <v>1100</v>
      </c>
      <c r="Y273" s="7" t="str">
        <v>1100</v>
      </c>
      <c r="Z273" s="7" t="str">
        <v>0011</v>
      </c>
      <c r="AA273" s="7" t="str">
        <v>1010</v>
      </c>
      <c r="AB273" s="27" t="str" cm="1">
        <f t="array" ref="AB273:AJ273">_xlfn.XLOOKUP(G273:O273,$G$38:$G$46,$I$38:$I$46,0,0,1)</f>
        <v>0101</v>
      </c>
      <c r="AC273" s="7" t="str">
        <v>0110</v>
      </c>
      <c r="AD273" s="7" t="str">
        <v>0101</v>
      </c>
      <c r="AE273" s="7">
        <v>1001</v>
      </c>
      <c r="AF273" s="7" t="str">
        <v>1100</v>
      </c>
      <c r="AG273" s="7" t="str">
        <v>1010</v>
      </c>
      <c r="AH273" s="7" t="str">
        <v>1100</v>
      </c>
      <c r="AI273" s="7" t="str">
        <v>1100</v>
      </c>
      <c r="AJ273" s="7" t="str">
        <v>0011</v>
      </c>
      <c r="AL273" s="7" t="b" cm="1">
        <f t="array" ref="AL273">OR(MID(S273,_xlfn.SEQUENCE(4),1)=MID(AB273,_xlfn.SEQUENCE(4),1))</f>
        <v>1</v>
      </c>
      <c r="AM273" s="7" t="b" cm="1">
        <f t="array" ref="AM273">OR(MID(T273,_xlfn.SEQUENCE(4),1)=MID(AC273,_xlfn.SEQUENCE(4),1))</f>
        <v>1</v>
      </c>
      <c r="AN273" s="7" t="b" cm="1">
        <f t="array" ref="AN273">OR(MID(U273,_xlfn.SEQUENCE(4),1)=MID(AD273,_xlfn.SEQUENCE(4),1))</f>
        <v>1</v>
      </c>
      <c r="AO273" s="7" t="b" cm="1">
        <f t="array" ref="AO273">OR(MID(V273,_xlfn.SEQUENCE(4),1)=MID(AE273,_xlfn.SEQUENCE(4),1))</f>
        <v>1</v>
      </c>
      <c r="AP273" s="7" t="b" cm="1">
        <f t="array" ref="AP273">OR(MID(W273,_xlfn.SEQUENCE(4),1)=MID(AF273,_xlfn.SEQUENCE(4),1))</f>
        <v>1</v>
      </c>
      <c r="AQ273" s="7" t="b" cm="1">
        <f t="array" ref="AQ273">OR(MID(X273,_xlfn.SEQUENCE(4),1)=MID(AG273,_xlfn.SEQUENCE(4),1))</f>
        <v>1</v>
      </c>
      <c r="AR273" s="7" t="b" cm="1">
        <f t="array" ref="AR273">OR(MID(Y273,_xlfn.SEQUENCE(4),1)=MID(AH273,_xlfn.SEQUENCE(4),1))</f>
        <v>1</v>
      </c>
      <c r="AS273" s="7" t="b" cm="1">
        <f t="array" ref="AS273">OR(MID(Z273,_xlfn.SEQUENCE(4),1)=MID(AI273,_xlfn.SEQUENCE(4),1))</f>
        <v>0</v>
      </c>
      <c r="AT273" s="7" t="b" cm="1">
        <f t="array" ref="AT273">OR(MID(AA273,_xlfn.SEQUENCE(4),1)=MID(AJ273,_xlfn.SEQUENCE(4),1))</f>
        <v>1</v>
      </c>
      <c r="AV273" s="7" cm="1">
        <f t="array" ref="AV273">_xlfn.CONCAT(_xlfn._xlws.FILTER(( AL273:AT273=FALSE ) *$H$253:$P$253,( AL273:AT273=FALSE ) *$H$253:$P$253 &lt;&gt; 0))+0</f>
        <v>9</v>
      </c>
    </row>
    <row r="274" spans="2:48" ht="24.95" customHeight="1">
      <c r="B274" s="2">
        <v>98</v>
      </c>
      <c r="C274" s="2">
        <v>5</v>
      </c>
      <c r="D274" s="3">
        <v>8</v>
      </c>
      <c r="E274" s="61">
        <f t="shared" si="1"/>
        <v>28</v>
      </c>
      <c r="F274" s="24"/>
      <c r="G274" s="94" t="s">
        <v>34</v>
      </c>
      <c r="H274" s="94" t="s">
        <v>31</v>
      </c>
      <c r="I274" s="94" t="s">
        <v>45</v>
      </c>
      <c r="J274" s="94" t="s">
        <v>41</v>
      </c>
      <c r="K274" s="94" t="s">
        <v>34</v>
      </c>
      <c r="L274" s="94" t="s">
        <v>34</v>
      </c>
      <c r="M274" s="94" t="s">
        <v>37</v>
      </c>
      <c r="N274" s="94" t="s">
        <v>37</v>
      </c>
      <c r="O274" s="94" t="s">
        <v>31</v>
      </c>
      <c r="P274" s="94" t="s">
        <v>31</v>
      </c>
      <c r="S274" s="27" t="str" cm="1">
        <f t="array" ref="S274:AA274">_xlfn.XLOOKUP(H274:P274,$G$38:$G$46,$J$38:$J$46,0,1)</f>
        <v>1100</v>
      </c>
      <c r="T274" s="7" t="str">
        <v>0110</v>
      </c>
      <c r="U274" s="7" t="str">
        <v>1001</v>
      </c>
      <c r="V274" s="7" t="str">
        <v>0011</v>
      </c>
      <c r="W274" s="7" t="str">
        <v>0011</v>
      </c>
      <c r="X274" s="7" t="str">
        <v>1010</v>
      </c>
      <c r="Y274" s="7" t="str">
        <v>1010</v>
      </c>
      <c r="Z274" s="7" t="str">
        <v>1100</v>
      </c>
      <c r="AA274" s="7" t="str">
        <v>1100</v>
      </c>
      <c r="AB274" s="27" t="str" cm="1">
        <f t="array" ref="AB274:AJ274">_xlfn.XLOOKUP(G274:O274,$G$38:$G$46,$I$38:$I$46,0,0,1)</f>
        <v>0011</v>
      </c>
      <c r="AC274" s="7" t="str">
        <v>1100</v>
      </c>
      <c r="AD274" s="7">
        <v>1001</v>
      </c>
      <c r="AE274" s="7" t="str">
        <v>0110</v>
      </c>
      <c r="AF274" s="7" t="str">
        <v>0011</v>
      </c>
      <c r="AG274" s="7" t="str">
        <v>0011</v>
      </c>
      <c r="AH274" s="7" t="str">
        <v>0101</v>
      </c>
      <c r="AI274" s="7" t="str">
        <v>0101</v>
      </c>
      <c r="AJ274" s="7" t="str">
        <v>1100</v>
      </c>
      <c r="AL274" s="7" t="b" cm="1">
        <f t="array" ref="AL274">OR(MID(S274,_xlfn.SEQUENCE(4),1)=MID(AB274,_xlfn.SEQUENCE(4),1))</f>
        <v>0</v>
      </c>
      <c r="AM274" s="7" t="b" cm="1">
        <f t="array" ref="AM274">OR(MID(T274,_xlfn.SEQUENCE(4),1)=MID(AC274,_xlfn.SEQUENCE(4),1))</f>
        <v>1</v>
      </c>
      <c r="AN274" s="7" t="b" cm="1">
        <f t="array" ref="AN274">OR(MID(U274,_xlfn.SEQUENCE(4),1)=MID(AD274,_xlfn.SEQUENCE(4),1))</f>
        <v>1</v>
      </c>
      <c r="AO274" s="7" t="b" cm="1">
        <f t="array" ref="AO274">OR(MID(V274,_xlfn.SEQUENCE(4),1)=MID(AE274,_xlfn.SEQUENCE(4),1))</f>
        <v>1</v>
      </c>
      <c r="AP274" s="7" t="b" cm="1">
        <f t="array" ref="AP274">OR(MID(W274,_xlfn.SEQUENCE(4),1)=MID(AF274,_xlfn.SEQUENCE(4),1))</f>
        <v>1</v>
      </c>
      <c r="AQ274" s="7" t="b" cm="1">
        <f t="array" ref="AQ274">OR(MID(X274,_xlfn.SEQUENCE(4),1)=MID(AG274,_xlfn.SEQUENCE(4),1))</f>
        <v>1</v>
      </c>
      <c r="AR274" s="7" t="b" cm="1">
        <f t="array" ref="AR274">OR(MID(Y274,_xlfn.SEQUENCE(4),1)=MID(AH274,_xlfn.SEQUENCE(4),1))</f>
        <v>0</v>
      </c>
      <c r="AS274" s="7" t="b" cm="1">
        <f t="array" ref="AS274">OR(MID(Z274,_xlfn.SEQUENCE(4),1)=MID(AI274,_xlfn.SEQUENCE(4),1))</f>
        <v>1</v>
      </c>
      <c r="AT274" s="7" t="b" cm="1">
        <f t="array" ref="AT274">OR(MID(AA274,_xlfn.SEQUENCE(4),1)=MID(AJ274,_xlfn.SEQUENCE(4),1))</f>
        <v>1</v>
      </c>
      <c r="AV274" s="7" cm="1">
        <f t="array" ref="AV274">_xlfn.CONCAT(_xlfn._xlws.FILTER(( AL274:AT274=FALSE ) *$H$253:$P$253,( AL274:AT274=FALSE ) *$H$253:$P$253 &lt;&gt; 0))+0</f>
        <v>28</v>
      </c>
    </row>
    <row r="275" spans="2:48" ht="24.95" customHeight="1">
      <c r="B275" s="2">
        <v>99</v>
      </c>
      <c r="C275" s="2">
        <v>5</v>
      </c>
      <c r="D275" s="3">
        <v>8</v>
      </c>
      <c r="E275" s="61">
        <f t="shared" si="1"/>
        <v>4710</v>
      </c>
      <c r="F275" s="24"/>
      <c r="G275" s="94" t="s">
        <v>31</v>
      </c>
      <c r="H275" s="94" t="s">
        <v>31</v>
      </c>
      <c r="I275" s="94" t="s">
        <v>45</v>
      </c>
      <c r="J275" s="94" t="s">
        <v>45</v>
      </c>
      <c r="K275" s="94" t="s">
        <v>41</v>
      </c>
      <c r="L275" s="94" t="s">
        <v>47</v>
      </c>
      <c r="M275" s="94" t="s">
        <v>47</v>
      </c>
      <c r="N275" s="94" t="s">
        <v>41</v>
      </c>
      <c r="O275" s="94" t="s">
        <v>31</v>
      </c>
      <c r="P275" s="94" t="s">
        <v>34</v>
      </c>
      <c r="S275" s="27" t="str" cm="1">
        <f t="array" ref="S275:AA275">_xlfn.XLOOKUP(H275:P275,$G$38:$G$46,$J$38:$J$46,0,1)</f>
        <v>1100</v>
      </c>
      <c r="T275" s="7" t="str">
        <v>0110</v>
      </c>
      <c r="U275" s="7" t="str">
        <v>0110</v>
      </c>
      <c r="V275" s="7" t="str">
        <v>1001</v>
      </c>
      <c r="W275" s="7" t="str">
        <v>0101</v>
      </c>
      <c r="X275" s="7" t="str">
        <v>0101</v>
      </c>
      <c r="Y275" s="7" t="str">
        <v>1001</v>
      </c>
      <c r="Z275" s="7" t="str">
        <v>1100</v>
      </c>
      <c r="AA275" s="7" t="str">
        <v>0011</v>
      </c>
      <c r="AB275" s="27" t="str" cm="1">
        <f t="array" ref="AB275:AJ275">_xlfn.XLOOKUP(G275:O275,$G$38:$G$46,$I$38:$I$46,0,0,1)</f>
        <v>1100</v>
      </c>
      <c r="AC275" s="7" t="str">
        <v>1100</v>
      </c>
      <c r="AD275" s="7">
        <v>1001</v>
      </c>
      <c r="AE275" s="7">
        <v>1001</v>
      </c>
      <c r="AF275" s="7" t="str">
        <v>0110</v>
      </c>
      <c r="AG275" s="7" t="str">
        <v>1010</v>
      </c>
      <c r="AH275" s="7" t="str">
        <v>1010</v>
      </c>
      <c r="AI275" s="7" t="str">
        <v>0110</v>
      </c>
      <c r="AJ275" s="7" t="str">
        <v>1100</v>
      </c>
      <c r="AL275" s="7" t="b" cm="1">
        <f t="array" ref="AL275">OR(MID(S275,_xlfn.SEQUENCE(4),1)=MID(AB275,_xlfn.SEQUENCE(4),1))</f>
        <v>1</v>
      </c>
      <c r="AM275" s="7" t="b" cm="1">
        <f t="array" ref="AM275">OR(MID(T275,_xlfn.SEQUENCE(4),1)=MID(AC275,_xlfn.SEQUENCE(4),1))</f>
        <v>1</v>
      </c>
      <c r="AN275" s="7" t="b" cm="1">
        <f t="array" ref="AN275">OR(MID(U275,_xlfn.SEQUENCE(4),1)=MID(AD275,_xlfn.SEQUENCE(4),1))</f>
        <v>0</v>
      </c>
      <c r="AO275" s="7" t="b" cm="1">
        <f t="array" ref="AO275">OR(MID(V275,_xlfn.SEQUENCE(4),1)=MID(AE275,_xlfn.SEQUENCE(4),1))</f>
        <v>1</v>
      </c>
      <c r="AP275" s="7" t="b" cm="1">
        <f t="array" ref="AP275">OR(MID(W275,_xlfn.SEQUENCE(4),1)=MID(AF275,_xlfn.SEQUENCE(4),1))</f>
        <v>1</v>
      </c>
      <c r="AQ275" s="7" t="b" cm="1">
        <f t="array" ref="AQ275">OR(MID(X275,_xlfn.SEQUENCE(4),1)=MID(AG275,_xlfn.SEQUENCE(4),1))</f>
        <v>0</v>
      </c>
      <c r="AR275" s="7" t="b" cm="1">
        <f t="array" ref="AR275">OR(MID(Y275,_xlfn.SEQUENCE(4),1)=MID(AH275,_xlfn.SEQUENCE(4),1))</f>
        <v>1</v>
      </c>
      <c r="AS275" s="7" t="b" cm="1">
        <f t="array" ref="AS275">OR(MID(Z275,_xlfn.SEQUENCE(4),1)=MID(AI275,_xlfn.SEQUENCE(4),1))</f>
        <v>1</v>
      </c>
      <c r="AT275" s="7" t="b" cm="1">
        <f t="array" ref="AT275">OR(MID(AA275,_xlfn.SEQUENCE(4),1)=MID(AJ275,_xlfn.SEQUENCE(4),1))</f>
        <v>0</v>
      </c>
      <c r="AV275" s="7" cm="1">
        <f t="array" ref="AV275">_xlfn.CONCAT(_xlfn._xlws.FILTER(( AL275:AT275=FALSE ) *$H$253:$P$253,( AL275:AT275=FALSE ) *$H$253:$P$253 &lt;&gt; 0))+0</f>
        <v>4710</v>
      </c>
    </row>
    <row r="276" spans="2:48" ht="24.95" customHeight="1">
      <c r="B276" s="2">
        <v>100</v>
      </c>
      <c r="C276" s="2">
        <v>5</v>
      </c>
      <c r="D276" s="3">
        <v>8</v>
      </c>
      <c r="E276" s="61">
        <f t="shared" si="1"/>
        <v>38</v>
      </c>
      <c r="F276" s="24"/>
      <c r="G276" s="94" t="s">
        <v>34</v>
      </c>
      <c r="H276" s="94" t="s">
        <v>41</v>
      </c>
      <c r="I276" s="94" t="s">
        <v>41</v>
      </c>
      <c r="J276" s="94" t="s">
        <v>37</v>
      </c>
      <c r="K276" s="94" t="s">
        <v>34</v>
      </c>
      <c r="L276" s="94" t="s">
        <v>41</v>
      </c>
      <c r="M276" s="94" t="s">
        <v>47</v>
      </c>
      <c r="N276" s="94" t="s">
        <v>47</v>
      </c>
      <c r="O276" s="94" t="s">
        <v>34</v>
      </c>
      <c r="P276" s="94" t="s">
        <v>41</v>
      </c>
      <c r="S276" s="27" t="str" cm="1">
        <f t="array" ref="S276:AA276">_xlfn.XLOOKUP(H276:P276,$G$38:$G$46,$J$38:$J$46,0,1)</f>
        <v>1001</v>
      </c>
      <c r="T276" s="7" t="str">
        <v>1001</v>
      </c>
      <c r="U276" s="7" t="str">
        <v>1010</v>
      </c>
      <c r="V276" s="7" t="str">
        <v>0011</v>
      </c>
      <c r="W276" s="7" t="str">
        <v>1001</v>
      </c>
      <c r="X276" s="7" t="str">
        <v>0101</v>
      </c>
      <c r="Y276" s="7" t="str">
        <v>0101</v>
      </c>
      <c r="Z276" s="7" t="str">
        <v>0011</v>
      </c>
      <c r="AA276" s="7" t="str">
        <v>1001</v>
      </c>
      <c r="AB276" s="27" t="str" cm="1">
        <f t="array" ref="AB276:AJ276">_xlfn.XLOOKUP(G276:O276,$G$38:$G$46,$I$38:$I$46,0,0,1)</f>
        <v>0011</v>
      </c>
      <c r="AC276" s="7" t="str">
        <v>0110</v>
      </c>
      <c r="AD276" s="7" t="str">
        <v>0110</v>
      </c>
      <c r="AE276" s="7" t="str">
        <v>0101</v>
      </c>
      <c r="AF276" s="7" t="str">
        <v>0011</v>
      </c>
      <c r="AG276" s="7" t="str">
        <v>0110</v>
      </c>
      <c r="AH276" s="7" t="str">
        <v>1010</v>
      </c>
      <c r="AI276" s="7" t="str">
        <v>1010</v>
      </c>
      <c r="AJ276" s="7" t="str">
        <v>0011</v>
      </c>
      <c r="AL276" s="7" t="b" cm="1">
        <f t="array" ref="AL276">OR(MID(S276,_xlfn.SEQUENCE(4),1)=MID(AB276,_xlfn.SEQUENCE(4),1))</f>
        <v>1</v>
      </c>
      <c r="AM276" s="7" t="b" cm="1">
        <f t="array" ref="AM276">OR(MID(T276,_xlfn.SEQUENCE(4),1)=MID(AC276,_xlfn.SEQUENCE(4),1))</f>
        <v>0</v>
      </c>
      <c r="AN276" s="7" t="b" cm="1">
        <f t="array" ref="AN276">OR(MID(U276,_xlfn.SEQUENCE(4),1)=MID(AD276,_xlfn.SEQUENCE(4),1))</f>
        <v>1</v>
      </c>
      <c r="AO276" s="7" t="b" cm="1">
        <f t="array" ref="AO276">OR(MID(V276,_xlfn.SEQUENCE(4),1)=MID(AE276,_xlfn.SEQUENCE(4),1))</f>
        <v>1</v>
      </c>
      <c r="AP276" s="7" t="b" cm="1">
        <f t="array" ref="AP276">OR(MID(W276,_xlfn.SEQUENCE(4),1)=MID(AF276,_xlfn.SEQUENCE(4),1))</f>
        <v>1</v>
      </c>
      <c r="AQ276" s="7" t="b" cm="1">
        <f t="array" ref="AQ276">OR(MID(X276,_xlfn.SEQUENCE(4),1)=MID(AG276,_xlfn.SEQUENCE(4),1))</f>
        <v>1</v>
      </c>
      <c r="AR276" s="7" t="b" cm="1">
        <f t="array" ref="AR276">OR(MID(Y276,_xlfn.SEQUENCE(4),1)=MID(AH276,_xlfn.SEQUENCE(4),1))</f>
        <v>0</v>
      </c>
      <c r="AS276" s="7" t="b" cm="1">
        <f t="array" ref="AS276">OR(MID(Z276,_xlfn.SEQUENCE(4),1)=MID(AI276,_xlfn.SEQUENCE(4),1))</f>
        <v>1</v>
      </c>
      <c r="AT276" s="7" t="b" cm="1">
        <f t="array" ref="AT276">OR(MID(AA276,_xlfn.SEQUENCE(4),1)=MID(AJ276,_xlfn.SEQUENCE(4),1))</f>
        <v>1</v>
      </c>
      <c r="AV276" s="7" cm="1">
        <f t="array" ref="AV276">_xlfn.CONCAT(_xlfn._xlws.FILTER(( AL276:AT276=FALSE ) *$H$253:$P$253,( AL276:AT276=FALSE ) *$H$253:$P$253 &lt;&gt; 0))+0</f>
        <v>38</v>
      </c>
    </row>
    <row r="277" spans="2:48" ht="15" customHeight="1" thickBot="1">
      <c r="S277" s="27"/>
      <c r="AB277" s="27"/>
    </row>
    <row r="278" spans="2:48" ht="22.5" customHeight="1" thickBot="1">
      <c r="B278" s="34" t="s">
        <v>164</v>
      </c>
      <c r="C278" s="22" t="s">
        <v>147</v>
      </c>
      <c r="D278" s="38" t="s">
        <v>165</v>
      </c>
      <c r="S278" s="27"/>
      <c r="AB278" s="27"/>
    </row>
    <row r="279" spans="2:48" ht="15" customHeight="1">
      <c r="S279" s="27"/>
      <c r="AB279" s="27"/>
    </row>
    <row r="280" spans="2:48" ht="15" customHeight="1">
      <c r="B280" s="30" t="s">
        <v>166</v>
      </c>
      <c r="C280" s="29"/>
      <c r="D280" s="13"/>
      <c r="S280" s="27"/>
      <c r="AB280" s="27"/>
    </row>
    <row r="281" spans="2:48" ht="15" customHeight="1">
      <c r="B281" s="30" t="s">
        <v>167</v>
      </c>
      <c r="C281" s="29"/>
      <c r="D281" s="13"/>
      <c r="S281" s="27"/>
      <c r="AB281" s="27"/>
    </row>
    <row r="282" spans="2:48" ht="15" customHeight="1">
      <c r="B282" s="28" t="s">
        <v>168</v>
      </c>
      <c r="C282" s="29"/>
      <c r="D282" s="13"/>
      <c r="S282" s="27"/>
      <c r="AB282" s="27"/>
    </row>
    <row r="283" spans="2:48" ht="15" customHeight="1">
      <c r="B283" s="28"/>
      <c r="C283" s="29"/>
      <c r="D283" s="13"/>
      <c r="S283" s="27"/>
      <c r="AB283" s="27"/>
    </row>
    <row r="284" spans="2:48" ht="15" customHeight="1">
      <c r="B284" s="28" t="s">
        <v>169</v>
      </c>
      <c r="C284" s="29"/>
      <c r="D284" s="13"/>
      <c r="S284" s="27"/>
      <c r="AB284" s="27"/>
    </row>
    <row r="285" spans="2:48" ht="15.75">
      <c r="S285" s="27"/>
      <c r="AB285" s="27"/>
    </row>
    <row r="286" spans="2:48" ht="15" customHeight="1">
      <c r="B286" s="28" t="s">
        <v>170</v>
      </c>
      <c r="C286" s="30"/>
      <c r="D286" s="13"/>
      <c r="S286" s="27"/>
      <c r="AB286" s="27"/>
    </row>
    <row r="287" spans="2:48" ht="15" customHeight="1">
      <c r="B287" s="30" t="s">
        <v>171</v>
      </c>
      <c r="D287" s="13"/>
      <c r="S287" s="27"/>
      <c r="AB287" s="27"/>
    </row>
    <row r="288" spans="2:48" ht="15" customHeight="1">
      <c r="B288" s="30" t="s">
        <v>172</v>
      </c>
      <c r="D288" s="13"/>
      <c r="S288" s="27"/>
      <c r="AB288" s="27"/>
    </row>
    <row r="289" spans="2:48" ht="15" customHeight="1">
      <c r="B289" s="28"/>
      <c r="C289" s="29"/>
      <c r="D289" s="13"/>
      <c r="S289" s="27"/>
      <c r="AB289" s="27"/>
    </row>
    <row r="290" spans="2:48" ht="15" customHeight="1">
      <c r="B290" s="60" t="s">
        <v>82</v>
      </c>
      <c r="D290" s="27"/>
      <c r="E290" s="7"/>
      <c r="F290" s="7"/>
      <c r="G290" s="7"/>
      <c r="H290" s="7"/>
      <c r="S290" s="27"/>
      <c r="AB290" s="27"/>
    </row>
    <row r="291" spans="2:48" ht="15" customHeight="1">
      <c r="B291" s="31" t="s">
        <v>173</v>
      </c>
      <c r="D291" s="27"/>
      <c r="E291" s="7"/>
      <c r="F291" s="7"/>
      <c r="G291" s="7"/>
      <c r="H291" s="7"/>
      <c r="S291" s="27"/>
      <c r="AB291" s="27"/>
    </row>
    <row r="292" spans="2:48" ht="15" customHeight="1">
      <c r="B292" s="31" t="s">
        <v>174</v>
      </c>
      <c r="D292" s="27"/>
      <c r="E292" s="7"/>
      <c r="F292" s="7"/>
      <c r="G292" s="7"/>
      <c r="H292" s="7"/>
      <c r="S292" s="27"/>
      <c r="AB292" s="27"/>
    </row>
    <row r="293" spans="2:48" ht="15" customHeight="1">
      <c r="B293" s="31" t="s">
        <v>175</v>
      </c>
      <c r="C293" s="31"/>
      <c r="D293" s="27"/>
      <c r="E293" s="7"/>
      <c r="F293" s="7"/>
      <c r="G293" s="7"/>
      <c r="H293" s="7"/>
      <c r="S293" s="27"/>
      <c r="AB293" s="27"/>
    </row>
    <row r="294" spans="2:48" ht="15" customHeight="1" thickBot="1">
      <c r="S294" s="27"/>
      <c r="AB294" s="27"/>
    </row>
    <row r="295" spans="2:48" s="27" customFormat="1" ht="22.5" customHeight="1" thickBot="1">
      <c r="B295" s="17" t="s">
        <v>59</v>
      </c>
      <c r="C295" s="20" t="s">
        <v>87</v>
      </c>
      <c r="D295" s="17" t="s">
        <v>61</v>
      </c>
      <c r="E295" s="25" t="s">
        <v>62</v>
      </c>
      <c r="F295" s="13"/>
      <c r="G295" s="17" t="s">
        <v>176</v>
      </c>
      <c r="H295" s="17" t="s">
        <v>177</v>
      </c>
      <c r="T295" s="7"/>
      <c r="U295" s="7"/>
      <c r="V295" s="7"/>
      <c r="W295" s="7"/>
      <c r="X295" s="7"/>
      <c r="Y295" s="7"/>
      <c r="Z295" s="7"/>
      <c r="AA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</row>
    <row r="296" spans="2:48" ht="15" customHeight="1">
      <c r="G296" s="13"/>
      <c r="H296" s="13"/>
      <c r="S296" s="27"/>
      <c r="AB296" s="27"/>
    </row>
    <row r="297" spans="2:48" ht="24.95" customHeight="1">
      <c r="B297" s="9" t="s">
        <v>178</v>
      </c>
      <c r="C297" s="2">
        <v>6</v>
      </c>
      <c r="D297" s="10">
        <v>0</v>
      </c>
      <c r="E297" s="1">
        <v>12</v>
      </c>
      <c r="F297" s="24"/>
      <c r="G297" s="39" t="s">
        <v>179</v>
      </c>
      <c r="H297" s="39" t="s">
        <v>180</v>
      </c>
      <c r="S297" s="27"/>
      <c r="AB297" s="27"/>
    </row>
    <row r="298" spans="2:48" ht="15" customHeight="1">
      <c r="G298" s="37"/>
      <c r="H298" s="37"/>
      <c r="S298" s="27"/>
      <c r="AB298" s="27"/>
    </row>
    <row r="299" spans="2:48" ht="24.95" customHeight="1">
      <c r="B299" s="2">
        <v>101</v>
      </c>
      <c r="C299" s="2">
        <v>6</v>
      </c>
      <c r="D299" s="3">
        <v>9</v>
      </c>
      <c r="E299" s="1"/>
      <c r="F299" s="24"/>
      <c r="G299" s="39" t="s">
        <v>181</v>
      </c>
      <c r="H299" s="39" t="s">
        <v>182</v>
      </c>
      <c r="S299" s="27"/>
      <c r="AB299" s="27"/>
    </row>
    <row r="300" spans="2:48" ht="24.95" customHeight="1">
      <c r="B300" s="2">
        <v>102</v>
      </c>
      <c r="C300" s="2">
        <v>6</v>
      </c>
      <c r="D300" s="3">
        <v>9</v>
      </c>
      <c r="E300" s="1"/>
      <c r="F300" s="24"/>
      <c r="G300" s="39" t="s">
        <v>183</v>
      </c>
      <c r="H300" s="39" t="s">
        <v>184</v>
      </c>
      <c r="S300" s="27"/>
      <c r="AB300" s="27"/>
    </row>
    <row r="301" spans="2:48" ht="24.95" customHeight="1">
      <c r="B301" s="2">
        <v>103</v>
      </c>
      <c r="C301" s="2">
        <v>6</v>
      </c>
      <c r="D301" s="3">
        <v>9</v>
      </c>
      <c r="E301" s="1"/>
      <c r="F301" s="24"/>
      <c r="G301" s="39" t="s">
        <v>185</v>
      </c>
      <c r="H301" s="39" t="s">
        <v>186</v>
      </c>
      <c r="S301" s="27"/>
      <c r="AB301" s="27"/>
    </row>
    <row r="302" spans="2:48" ht="24.95" customHeight="1">
      <c r="B302" s="2">
        <v>104</v>
      </c>
      <c r="C302" s="2">
        <v>6</v>
      </c>
      <c r="D302" s="3">
        <v>9</v>
      </c>
      <c r="E302" s="1"/>
      <c r="F302" s="24"/>
      <c r="G302" s="39" t="s">
        <v>187</v>
      </c>
      <c r="H302" s="39" t="s">
        <v>188</v>
      </c>
      <c r="S302" s="27"/>
      <c r="AB302" s="27"/>
    </row>
    <row r="303" spans="2:48" ht="24.95" customHeight="1">
      <c r="B303" s="2">
        <v>105</v>
      </c>
      <c r="C303" s="2">
        <v>6</v>
      </c>
      <c r="D303" s="3">
        <v>9</v>
      </c>
      <c r="E303" s="1"/>
      <c r="F303" s="24"/>
      <c r="G303" s="39" t="s">
        <v>189</v>
      </c>
      <c r="H303" s="39" t="s">
        <v>190</v>
      </c>
      <c r="S303" s="27"/>
      <c r="AB303" s="27"/>
    </row>
    <row r="304" spans="2:48" ht="24.95" customHeight="1">
      <c r="B304" s="2">
        <v>106</v>
      </c>
      <c r="C304" s="2">
        <v>6</v>
      </c>
      <c r="D304" s="3">
        <v>9</v>
      </c>
      <c r="E304" s="1"/>
      <c r="F304" s="24"/>
      <c r="G304" s="39" t="s">
        <v>191</v>
      </c>
      <c r="H304" s="39" t="s">
        <v>192</v>
      </c>
      <c r="S304" s="27"/>
      <c r="AB304" s="27"/>
    </row>
    <row r="305" spans="2:28" ht="24.95" customHeight="1">
      <c r="B305" s="2">
        <v>107</v>
      </c>
      <c r="C305" s="2">
        <v>6</v>
      </c>
      <c r="D305" s="3">
        <v>9</v>
      </c>
      <c r="E305" s="1"/>
      <c r="F305" s="24"/>
      <c r="G305" s="39" t="s">
        <v>193</v>
      </c>
      <c r="H305" s="39" t="s">
        <v>194</v>
      </c>
      <c r="S305" s="27"/>
      <c r="AB305" s="27"/>
    </row>
    <row r="306" spans="2:28" ht="24.95" customHeight="1">
      <c r="B306" s="2">
        <v>108</v>
      </c>
      <c r="C306" s="2">
        <v>6</v>
      </c>
      <c r="D306" s="3">
        <v>9</v>
      </c>
      <c r="E306" s="1"/>
      <c r="F306" s="24"/>
      <c r="G306" s="39" t="s">
        <v>195</v>
      </c>
      <c r="H306" s="39" t="s">
        <v>196</v>
      </c>
      <c r="O306" s="51" t="s">
        <v>293</v>
      </c>
      <c r="S306" s="27"/>
      <c r="AB306" s="27"/>
    </row>
    <row r="307" spans="2:28" ht="24.95" customHeight="1">
      <c r="B307" s="2">
        <v>109</v>
      </c>
      <c r="C307" s="2">
        <v>6</v>
      </c>
      <c r="D307" s="3">
        <v>9</v>
      </c>
      <c r="E307" s="1"/>
      <c r="F307" s="24"/>
      <c r="G307" s="39" t="s">
        <v>197</v>
      </c>
      <c r="H307" s="39" t="s">
        <v>198</v>
      </c>
      <c r="S307" s="27"/>
      <c r="AB307" s="27"/>
    </row>
    <row r="308" spans="2:28" ht="24.95" customHeight="1">
      <c r="B308" s="2">
        <v>110</v>
      </c>
      <c r="C308" s="2">
        <v>6</v>
      </c>
      <c r="D308" s="3">
        <v>9</v>
      </c>
      <c r="E308" s="1"/>
      <c r="F308" s="24"/>
      <c r="G308" s="39" t="s">
        <v>199</v>
      </c>
      <c r="H308" s="39" t="s">
        <v>200</v>
      </c>
    </row>
    <row r="309" spans="2:28" ht="24.95" customHeight="1">
      <c r="B309" s="2">
        <v>111</v>
      </c>
      <c r="C309" s="2">
        <v>6</v>
      </c>
      <c r="D309" s="3">
        <v>9</v>
      </c>
      <c r="E309" s="1"/>
      <c r="F309" s="24"/>
      <c r="G309" s="39" t="s">
        <v>201</v>
      </c>
      <c r="H309" s="39" t="s">
        <v>202</v>
      </c>
    </row>
    <row r="310" spans="2:28" ht="24.95" customHeight="1">
      <c r="B310" s="2">
        <v>112</v>
      </c>
      <c r="C310" s="2">
        <v>6</v>
      </c>
      <c r="D310" s="3">
        <v>9</v>
      </c>
      <c r="E310" s="1"/>
      <c r="F310" s="24"/>
      <c r="G310" s="39" t="s">
        <v>203</v>
      </c>
      <c r="H310" s="39" t="s">
        <v>204</v>
      </c>
    </row>
    <row r="311" spans="2:28" ht="24.95" customHeight="1">
      <c r="B311" s="2">
        <v>113</v>
      </c>
      <c r="C311" s="2">
        <v>6</v>
      </c>
      <c r="D311" s="3">
        <v>9</v>
      </c>
      <c r="E311" s="1"/>
      <c r="F311" s="24"/>
      <c r="G311" s="39" t="s">
        <v>205</v>
      </c>
      <c r="H311" s="39" t="s">
        <v>206</v>
      </c>
    </row>
    <row r="312" spans="2:28" ht="24.95" customHeight="1">
      <c r="B312" s="2">
        <v>114</v>
      </c>
      <c r="C312" s="2">
        <v>6</v>
      </c>
      <c r="D312" s="3">
        <v>9</v>
      </c>
      <c r="E312" s="1"/>
      <c r="F312" s="24"/>
      <c r="G312" s="39" t="s">
        <v>207</v>
      </c>
      <c r="H312" s="39" t="s">
        <v>208</v>
      </c>
    </row>
    <row r="313" spans="2:28" ht="24.95" customHeight="1">
      <c r="B313" s="2">
        <v>115</v>
      </c>
      <c r="C313" s="2">
        <v>6</v>
      </c>
      <c r="D313" s="3">
        <v>9</v>
      </c>
      <c r="E313" s="1"/>
      <c r="F313" s="24"/>
      <c r="G313" s="39" t="s">
        <v>209</v>
      </c>
      <c r="H313" s="39" t="s">
        <v>210</v>
      </c>
    </row>
    <row r="314" spans="2:28" ht="24.95" customHeight="1">
      <c r="B314" s="2">
        <v>116</v>
      </c>
      <c r="C314" s="2">
        <v>6</v>
      </c>
      <c r="D314" s="3">
        <v>9</v>
      </c>
      <c r="E314" s="1"/>
      <c r="F314" s="24"/>
      <c r="G314" s="39" t="s">
        <v>211</v>
      </c>
      <c r="H314" s="39" t="s">
        <v>212</v>
      </c>
    </row>
    <row r="315" spans="2:28" ht="24.95" customHeight="1">
      <c r="B315" s="2">
        <v>117</v>
      </c>
      <c r="C315" s="2">
        <v>6</v>
      </c>
      <c r="D315" s="3">
        <v>9</v>
      </c>
      <c r="E315" s="1"/>
      <c r="F315" s="24"/>
      <c r="G315" s="39" t="s">
        <v>213</v>
      </c>
      <c r="H315" s="39" t="s">
        <v>214</v>
      </c>
    </row>
    <row r="316" spans="2:28" ht="24.95" customHeight="1">
      <c r="B316" s="2">
        <v>118</v>
      </c>
      <c r="C316" s="2">
        <v>6</v>
      </c>
      <c r="D316" s="3">
        <v>9</v>
      </c>
      <c r="E316" s="1"/>
      <c r="F316" s="24"/>
      <c r="G316" s="39" t="s">
        <v>215</v>
      </c>
      <c r="H316" s="39" t="s">
        <v>216</v>
      </c>
    </row>
    <row r="317" spans="2:28" ht="24.95" customHeight="1">
      <c r="B317" s="2">
        <v>119</v>
      </c>
      <c r="C317" s="2">
        <v>6</v>
      </c>
      <c r="D317" s="3">
        <v>9</v>
      </c>
      <c r="E317" s="1"/>
      <c r="F317" s="24"/>
      <c r="G317" s="39" t="s">
        <v>217</v>
      </c>
      <c r="H317" s="39" t="s">
        <v>218</v>
      </c>
      <c r="I317" s="11"/>
    </row>
    <row r="318" spans="2:28" ht="24.95" customHeight="1">
      <c r="B318" s="2">
        <v>120</v>
      </c>
      <c r="C318" s="2">
        <v>6</v>
      </c>
      <c r="D318" s="3">
        <v>9</v>
      </c>
      <c r="E318" s="1"/>
      <c r="F318" s="24"/>
      <c r="G318" s="39" t="s">
        <v>219</v>
      </c>
      <c r="H318" s="39" t="s">
        <v>220</v>
      </c>
      <c r="I318" s="11"/>
    </row>
    <row r="319" spans="2:28" ht="15.75" thickBot="1"/>
    <row r="320" spans="2:28" ht="22.5" customHeight="1" thickBot="1">
      <c r="B320" s="34" t="s">
        <v>221</v>
      </c>
      <c r="C320" s="23" t="s">
        <v>222</v>
      </c>
      <c r="D320" s="38" t="s">
        <v>223</v>
      </c>
    </row>
    <row r="321" spans="2:12" ht="15" customHeight="1">
      <c r="B321" s="13"/>
      <c r="C321" s="13"/>
      <c r="D321" s="13"/>
      <c r="E321" s="13"/>
      <c r="F321" s="13"/>
      <c r="G321" s="13"/>
      <c r="H321" s="13"/>
    </row>
    <row r="322" spans="2:12" ht="15" customHeight="1">
      <c r="B322" s="30" t="s">
        <v>224</v>
      </c>
      <c r="C322" s="13"/>
      <c r="D322" s="13"/>
      <c r="E322" s="13"/>
      <c r="F322" s="13"/>
      <c r="G322" s="13"/>
      <c r="H322" s="13"/>
    </row>
    <row r="323" spans="2:12" ht="15" customHeight="1">
      <c r="B323" s="30" t="s">
        <v>225</v>
      </c>
      <c r="C323" s="13"/>
      <c r="D323" s="13"/>
      <c r="E323" s="13"/>
      <c r="F323" s="13"/>
      <c r="G323" s="13"/>
      <c r="H323" s="13"/>
    </row>
    <row r="324" spans="2:12" ht="15" customHeight="1">
      <c r="B324" s="30" t="s">
        <v>226</v>
      </c>
      <c r="C324" s="13"/>
      <c r="D324" s="13"/>
      <c r="E324" s="13"/>
      <c r="F324" s="13"/>
      <c r="G324" s="13"/>
      <c r="H324" s="13"/>
    </row>
    <row r="325" spans="2:12" ht="15" customHeight="1">
      <c r="B325" s="28"/>
      <c r="C325" s="13"/>
      <c r="D325" s="13"/>
      <c r="E325" s="13"/>
      <c r="F325" s="13"/>
      <c r="G325" s="13"/>
      <c r="H325" s="13"/>
    </row>
    <row r="326" spans="2:12" ht="15" customHeight="1">
      <c r="B326" s="108" t="s">
        <v>227</v>
      </c>
      <c r="C326" s="13"/>
      <c r="D326" s="13"/>
      <c r="E326" s="13"/>
      <c r="F326" s="13"/>
      <c r="G326" s="13"/>
      <c r="H326" s="13"/>
    </row>
    <row r="327" spans="2:12" ht="15" customHeight="1">
      <c r="B327" s="28"/>
      <c r="C327" s="13"/>
      <c r="D327" s="13"/>
      <c r="E327" s="13"/>
      <c r="F327" s="13"/>
      <c r="G327" s="13"/>
      <c r="H327" s="13"/>
      <c r="K327" s="110" t="s">
        <v>228</v>
      </c>
      <c r="L327" s="111" t="s">
        <v>229</v>
      </c>
    </row>
    <row r="328" spans="2:12" ht="15" customHeight="1">
      <c r="B328" s="28" t="s">
        <v>230</v>
      </c>
      <c r="C328" s="29"/>
      <c r="D328" s="13"/>
      <c r="E328" s="13"/>
      <c r="F328" s="13"/>
      <c r="G328" s="13"/>
      <c r="H328" s="13"/>
      <c r="K328" s="112" t="s">
        <v>231</v>
      </c>
      <c r="L328" s="113" t="s">
        <v>176</v>
      </c>
    </row>
    <row r="329" spans="2:12" ht="15" customHeight="1">
      <c r="B329" s="28"/>
      <c r="C329" s="29"/>
      <c r="D329" s="13"/>
      <c r="E329" s="13"/>
      <c r="F329" s="13"/>
      <c r="G329" s="13"/>
      <c r="H329" s="13"/>
      <c r="K329" s="112" t="s">
        <v>232</v>
      </c>
      <c r="L329" s="113" t="s">
        <v>233</v>
      </c>
    </row>
    <row r="330" spans="2:12" ht="15" customHeight="1">
      <c r="B330" s="28" t="s">
        <v>234</v>
      </c>
      <c r="C330" s="30"/>
      <c r="D330" s="13"/>
      <c r="E330" s="13"/>
      <c r="F330" s="13"/>
      <c r="G330" s="13"/>
      <c r="H330" s="13"/>
      <c r="K330" s="112" t="s">
        <v>235</v>
      </c>
      <c r="L330" s="113" t="s">
        <v>236</v>
      </c>
    </row>
    <row r="331" spans="2:12" ht="15" customHeight="1">
      <c r="B331" s="31"/>
      <c r="C331" s="13" t="s">
        <v>237</v>
      </c>
      <c r="D331" s="13"/>
      <c r="E331" s="13"/>
      <c r="F331" s="13"/>
      <c r="G331" s="13"/>
      <c r="H331" s="13"/>
      <c r="K331" s="114" t="s">
        <v>238</v>
      </c>
      <c r="L331" s="115" t="s">
        <v>177</v>
      </c>
    </row>
    <row r="332" spans="2:12" s="56" customFormat="1" ht="15" customHeight="1">
      <c r="B332" s="109"/>
      <c r="C332" s="32"/>
      <c r="D332" s="55"/>
      <c r="E332" s="55"/>
      <c r="F332" s="55"/>
      <c r="G332" s="55"/>
      <c r="H332" s="55"/>
      <c r="I332" s="54"/>
      <c r="J332" s="54"/>
    </row>
    <row r="333" spans="2:12" s="56" customFormat="1" ht="15" customHeight="1">
      <c r="B333" s="108" t="s">
        <v>82</v>
      </c>
      <c r="C333" s="32"/>
      <c r="D333" s="55"/>
      <c r="E333" s="55"/>
      <c r="F333" s="55"/>
      <c r="G333" s="55"/>
      <c r="H333" s="55"/>
      <c r="I333" s="54"/>
      <c r="J333" s="54"/>
    </row>
    <row r="334" spans="2:12" ht="15" customHeight="1">
      <c r="B334" s="31" t="s">
        <v>239</v>
      </c>
      <c r="C334" s="13"/>
      <c r="D334" s="27"/>
      <c r="E334" s="27"/>
      <c r="F334" s="27"/>
      <c r="G334" s="27"/>
      <c r="H334" s="27"/>
      <c r="I334" s="7"/>
      <c r="J334" s="7"/>
    </row>
    <row r="335" spans="2:12" ht="15" customHeight="1">
      <c r="B335" s="31" t="s">
        <v>240</v>
      </c>
      <c r="C335" s="13"/>
      <c r="D335" s="27"/>
      <c r="E335" s="27"/>
      <c r="F335" s="27"/>
      <c r="G335" s="27"/>
      <c r="H335" s="27"/>
      <c r="I335" s="7"/>
      <c r="J335" s="7"/>
    </row>
    <row r="336" spans="2:12" ht="15" customHeight="1">
      <c r="B336" s="31" t="s">
        <v>241</v>
      </c>
      <c r="C336" s="13"/>
      <c r="D336" s="27"/>
      <c r="E336" s="27"/>
      <c r="F336" s="27"/>
      <c r="G336" s="27"/>
      <c r="H336" s="27"/>
      <c r="I336" s="7"/>
      <c r="J336" s="7"/>
      <c r="K336" s="91"/>
      <c r="L336" s="91"/>
    </row>
    <row r="337" spans="2:12" ht="15" customHeight="1" thickBot="1">
      <c r="B337" s="13"/>
      <c r="C337" s="13"/>
      <c r="D337" s="13"/>
      <c r="E337" s="13"/>
      <c r="F337" s="13"/>
      <c r="G337" s="13"/>
      <c r="H337" s="13"/>
    </row>
    <row r="338" spans="2:12" s="27" customFormat="1" ht="22.5" customHeight="1" thickBot="1">
      <c r="B338" s="17" t="s">
        <v>59</v>
      </c>
      <c r="C338" s="20" t="s">
        <v>87</v>
      </c>
      <c r="D338" s="17" t="s">
        <v>61</v>
      </c>
      <c r="E338" s="25" t="s">
        <v>62</v>
      </c>
      <c r="F338" s="13"/>
      <c r="G338" s="17" t="s">
        <v>176</v>
      </c>
      <c r="H338" s="17" t="s">
        <v>177</v>
      </c>
      <c r="I338" s="13"/>
      <c r="J338" s="91"/>
      <c r="K338" s="91"/>
      <c r="L338" s="91"/>
    </row>
    <row r="339" spans="2:12" ht="15" customHeight="1">
      <c r="G339" s="13"/>
      <c r="H339" s="13"/>
      <c r="I339" s="73"/>
      <c r="J339" s="91"/>
    </row>
    <row r="340" spans="2:12" ht="24.95" customHeight="1">
      <c r="B340" s="9" t="s">
        <v>242</v>
      </c>
      <c r="C340" s="2">
        <v>7</v>
      </c>
      <c r="D340" s="10">
        <v>0</v>
      </c>
      <c r="E340" s="1" t="s">
        <v>243</v>
      </c>
      <c r="F340" s="24"/>
      <c r="G340" s="39" t="s">
        <v>179</v>
      </c>
      <c r="H340" s="39" t="s">
        <v>180</v>
      </c>
      <c r="I340" s="74"/>
      <c r="J340" s="91"/>
      <c r="K340" s="91"/>
      <c r="L340" s="98"/>
    </row>
    <row r="341" spans="2:12" ht="15" customHeight="1">
      <c r="G341" s="37"/>
      <c r="H341" s="37"/>
      <c r="I341" s="53"/>
      <c r="L341" s="75"/>
    </row>
    <row r="342" spans="2:12" ht="24.95" customHeight="1">
      <c r="B342" s="2">
        <v>121</v>
      </c>
      <c r="C342" s="2">
        <v>7</v>
      </c>
      <c r="D342" s="3">
        <v>10</v>
      </c>
      <c r="E342" s="1"/>
      <c r="F342" s="24"/>
      <c r="G342" s="39" t="s">
        <v>219</v>
      </c>
      <c r="H342" s="39" t="s">
        <v>220</v>
      </c>
      <c r="I342" s="11"/>
      <c r="J342" s="91"/>
      <c r="K342" s="91"/>
      <c r="L342" s="98"/>
    </row>
    <row r="343" spans="2:12" ht="24.95" customHeight="1">
      <c r="B343" s="2">
        <v>122</v>
      </c>
      <c r="C343" s="2">
        <v>7</v>
      </c>
      <c r="D343" s="3">
        <v>10</v>
      </c>
      <c r="E343" s="1"/>
      <c r="F343" s="24"/>
      <c r="G343" s="39" t="s">
        <v>213</v>
      </c>
      <c r="H343" s="39" t="s">
        <v>214</v>
      </c>
      <c r="I343" s="11"/>
      <c r="J343" s="91"/>
      <c r="K343" s="91"/>
      <c r="L343" s="98"/>
    </row>
    <row r="344" spans="2:12" ht="24.95" customHeight="1">
      <c r="B344" s="2">
        <v>123</v>
      </c>
      <c r="C344" s="2">
        <v>7</v>
      </c>
      <c r="D344" s="3">
        <v>10</v>
      </c>
      <c r="E344" s="1"/>
      <c r="F344" s="24"/>
      <c r="G344" s="39" t="s">
        <v>197</v>
      </c>
      <c r="H344" s="39" t="s">
        <v>198</v>
      </c>
      <c r="I344" s="11"/>
      <c r="J344" s="91"/>
      <c r="K344" s="91"/>
      <c r="L344" s="98"/>
    </row>
    <row r="345" spans="2:12" ht="24.95" customHeight="1">
      <c r="B345" s="2">
        <v>124</v>
      </c>
      <c r="C345" s="2">
        <v>7</v>
      </c>
      <c r="D345" s="3">
        <v>10</v>
      </c>
      <c r="E345" s="1"/>
      <c r="F345" s="24"/>
      <c r="G345" s="39" t="s">
        <v>207</v>
      </c>
      <c r="H345" s="39" t="s">
        <v>208</v>
      </c>
      <c r="I345" s="11"/>
      <c r="J345" s="91"/>
      <c r="K345" s="91"/>
      <c r="L345" s="98"/>
    </row>
    <row r="346" spans="2:12" ht="24.95" customHeight="1">
      <c r="B346" s="2">
        <v>125</v>
      </c>
      <c r="C346" s="2">
        <v>7</v>
      </c>
      <c r="D346" s="3">
        <v>10</v>
      </c>
      <c r="E346" s="1"/>
      <c r="F346" s="24"/>
      <c r="G346" s="39" t="s">
        <v>185</v>
      </c>
      <c r="H346" s="39" t="s">
        <v>186</v>
      </c>
      <c r="I346" s="11"/>
      <c r="J346" s="91"/>
      <c r="K346" s="91"/>
      <c r="L346" s="98"/>
    </row>
    <row r="347" spans="2:12" ht="24.95" customHeight="1">
      <c r="B347" s="2">
        <v>126</v>
      </c>
      <c r="C347" s="2">
        <v>7</v>
      </c>
      <c r="D347" s="3">
        <v>10</v>
      </c>
      <c r="E347" s="1"/>
      <c r="F347" s="24"/>
      <c r="G347" s="39" t="s">
        <v>205</v>
      </c>
      <c r="H347" s="39" t="s">
        <v>206</v>
      </c>
    </row>
    <row r="348" spans="2:12" ht="24.95" customHeight="1">
      <c r="B348" s="2">
        <v>127</v>
      </c>
      <c r="C348" s="2">
        <v>7</v>
      </c>
      <c r="D348" s="3">
        <v>10</v>
      </c>
      <c r="E348" s="1"/>
      <c r="F348" s="24"/>
      <c r="G348" s="39" t="s">
        <v>191</v>
      </c>
      <c r="H348" s="39" t="s">
        <v>192</v>
      </c>
    </row>
    <row r="349" spans="2:12" ht="24.95" customHeight="1">
      <c r="B349" s="2">
        <v>128</v>
      </c>
      <c r="C349" s="2">
        <v>7</v>
      </c>
      <c r="D349" s="3">
        <v>10</v>
      </c>
      <c r="E349" s="1"/>
      <c r="F349" s="24"/>
      <c r="G349" s="39" t="s">
        <v>201</v>
      </c>
      <c r="H349" s="39" t="s">
        <v>202</v>
      </c>
    </row>
    <row r="350" spans="2:12" ht="24.95" customHeight="1">
      <c r="B350" s="2">
        <v>129</v>
      </c>
      <c r="C350" s="2">
        <v>7</v>
      </c>
      <c r="D350" s="3">
        <v>10</v>
      </c>
      <c r="E350" s="1"/>
      <c r="F350" s="24"/>
      <c r="G350" s="39" t="s">
        <v>217</v>
      </c>
      <c r="H350" s="39" t="s">
        <v>218</v>
      </c>
    </row>
    <row r="351" spans="2:12" ht="24.95" customHeight="1">
      <c r="B351" s="2">
        <v>130</v>
      </c>
      <c r="C351" s="2">
        <v>7</v>
      </c>
      <c r="D351" s="3">
        <v>10</v>
      </c>
      <c r="E351" s="1"/>
      <c r="F351" s="24"/>
      <c r="G351" s="39" t="s">
        <v>183</v>
      </c>
      <c r="H351" s="39" t="s">
        <v>184</v>
      </c>
    </row>
    <row r="352" spans="2:12" ht="24.95" customHeight="1">
      <c r="B352" s="2">
        <v>131</v>
      </c>
      <c r="C352" s="2">
        <v>7</v>
      </c>
      <c r="D352" s="3">
        <v>10</v>
      </c>
      <c r="E352" s="1"/>
      <c r="F352" s="24"/>
      <c r="G352" s="39" t="s">
        <v>199</v>
      </c>
      <c r="H352" s="39" t="s">
        <v>200</v>
      </c>
    </row>
    <row r="353" spans="2:8" ht="24.95" customHeight="1">
      <c r="B353" s="2">
        <v>132</v>
      </c>
      <c r="C353" s="2">
        <v>7</v>
      </c>
      <c r="D353" s="3">
        <v>10</v>
      </c>
      <c r="E353" s="1"/>
      <c r="F353" s="24"/>
      <c r="G353" s="39" t="s">
        <v>211</v>
      </c>
      <c r="H353" s="39" t="s">
        <v>212</v>
      </c>
    </row>
    <row r="354" spans="2:8" ht="24.95" customHeight="1">
      <c r="B354" s="2">
        <v>133</v>
      </c>
      <c r="C354" s="2">
        <v>7</v>
      </c>
      <c r="D354" s="3">
        <v>10</v>
      </c>
      <c r="E354" s="1"/>
      <c r="F354" s="24"/>
      <c r="G354" s="39" t="s">
        <v>209</v>
      </c>
      <c r="H354" s="39" t="s">
        <v>210</v>
      </c>
    </row>
    <row r="355" spans="2:8" ht="24.95" customHeight="1">
      <c r="B355" s="2">
        <v>134</v>
      </c>
      <c r="C355" s="2">
        <v>7</v>
      </c>
      <c r="D355" s="3">
        <v>10</v>
      </c>
      <c r="E355" s="1"/>
      <c r="F355" s="24"/>
      <c r="G355" s="39" t="s">
        <v>193</v>
      </c>
      <c r="H355" s="39" t="s">
        <v>194</v>
      </c>
    </row>
    <row r="356" spans="2:8" ht="24.95" customHeight="1">
      <c r="B356" s="2">
        <v>135</v>
      </c>
      <c r="C356" s="2">
        <v>7</v>
      </c>
      <c r="D356" s="3">
        <v>10</v>
      </c>
      <c r="E356" s="1"/>
      <c r="F356" s="24"/>
      <c r="G356" s="39" t="s">
        <v>195</v>
      </c>
      <c r="H356" s="39" t="s">
        <v>196</v>
      </c>
    </row>
    <row r="357" spans="2:8" ht="24.95" customHeight="1">
      <c r="B357" s="2">
        <v>136</v>
      </c>
      <c r="C357" s="2">
        <v>7</v>
      </c>
      <c r="D357" s="3">
        <v>10</v>
      </c>
      <c r="E357" s="1"/>
      <c r="F357" s="24"/>
      <c r="G357" s="39" t="s">
        <v>187</v>
      </c>
      <c r="H357" s="39" t="s">
        <v>188</v>
      </c>
    </row>
    <row r="358" spans="2:8" ht="24.95" customHeight="1">
      <c r="B358" s="2">
        <v>137</v>
      </c>
      <c r="C358" s="2">
        <v>7</v>
      </c>
      <c r="D358" s="3">
        <v>10</v>
      </c>
      <c r="E358" s="1"/>
      <c r="F358" s="24"/>
      <c r="G358" s="39" t="s">
        <v>189</v>
      </c>
      <c r="H358" s="39" t="s">
        <v>190</v>
      </c>
    </row>
    <row r="359" spans="2:8" ht="24.95" customHeight="1">
      <c r="B359" s="2">
        <v>138</v>
      </c>
      <c r="C359" s="2">
        <v>7</v>
      </c>
      <c r="D359" s="3">
        <v>10</v>
      </c>
      <c r="E359" s="1"/>
      <c r="F359" s="24"/>
      <c r="G359" s="39" t="s">
        <v>215</v>
      </c>
      <c r="H359" s="39" t="s">
        <v>216</v>
      </c>
    </row>
    <row r="360" spans="2:8" ht="24.95" customHeight="1">
      <c r="B360" s="2">
        <v>139</v>
      </c>
      <c r="C360" s="2">
        <v>7</v>
      </c>
      <c r="D360" s="3">
        <v>10</v>
      </c>
      <c r="E360" s="1"/>
      <c r="F360" s="24"/>
      <c r="G360" s="39" t="s">
        <v>203</v>
      </c>
      <c r="H360" s="39" t="s">
        <v>204</v>
      </c>
    </row>
    <row r="361" spans="2:8" ht="24.95" customHeight="1">
      <c r="B361" s="2">
        <v>140</v>
      </c>
      <c r="C361" s="2">
        <v>7</v>
      </c>
      <c r="D361" s="3">
        <v>10</v>
      </c>
      <c r="E361" s="1"/>
      <c r="F361" s="24"/>
      <c r="G361" s="39" t="s">
        <v>181</v>
      </c>
      <c r="H361" s="39" t="s">
        <v>182</v>
      </c>
    </row>
    <row r="1000" spans="648:648" ht="15.75">
      <c r="XX1000" s="146">
        <v>125713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246AA5D8-86C1-4356-A961-755F4EAA32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F53:F57</xm:sqref>
        </x14:conditionalFormatting>
        <x14:conditionalFormatting xmlns:xm="http://schemas.microsoft.com/office/excel/2006/main">
          <x14:cfRule type="iconSet" priority="18" id="{AFB2C34E-C5D4-4321-97A3-31D930D31A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F66:F68</xm:sqref>
        </x14:conditionalFormatting>
        <x14:conditionalFormatting xmlns:xm="http://schemas.microsoft.com/office/excel/2006/main">
          <x14:cfRule type="iconSet" priority="16" id="{2C9BCA3B-1DAC-4A13-B10A-11E0C16ECB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F70:F72</xm:sqref>
        </x14:conditionalFormatting>
        <x14:conditionalFormatting xmlns:xm="http://schemas.microsoft.com/office/excel/2006/main">
          <x14:cfRule type="iconSet" priority="17" id="{102BC8E8-9E5F-4D24-89A5-7E930D234CD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F74</xm:sqref>
        </x14:conditionalFormatting>
        <x14:conditionalFormatting xmlns:xm="http://schemas.microsoft.com/office/excel/2006/main">
          <x14:cfRule type="iconSet" priority="22" id="{F750265A-4291-4C01-B24A-B14807A265C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F77</xm:sqref>
        </x14:conditionalFormatting>
        <x14:conditionalFormatting xmlns:xm="http://schemas.microsoft.com/office/excel/2006/main">
          <x14:cfRule type="iconSet" priority="23" id="{53EFBA45-2446-4FE1-9A44-7DF784114C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F79:F98</xm:sqref>
        </x14:conditionalFormatting>
        <x14:conditionalFormatting xmlns:xm="http://schemas.microsoft.com/office/excel/2006/main">
          <x14:cfRule type="iconSet" priority="12" id="{60A1E8DA-0699-4957-B887-FEFE6C89C9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F117</xm:sqref>
        </x14:conditionalFormatting>
        <x14:conditionalFormatting xmlns:xm="http://schemas.microsoft.com/office/excel/2006/main">
          <x14:cfRule type="iconSet" priority="6" id="{355B5180-D150-437C-A96F-6E1FFC2668C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F119:F138</xm:sqref>
        </x14:conditionalFormatting>
        <x14:conditionalFormatting xmlns:xm="http://schemas.microsoft.com/office/excel/2006/main">
          <x14:cfRule type="iconSet" priority="21" id="{390AE6AA-194A-4E7A-B44B-8E1A4883A4F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F155:F159</xm:sqref>
        </x14:conditionalFormatting>
        <x14:conditionalFormatting xmlns:xm="http://schemas.microsoft.com/office/excel/2006/main">
          <x14:cfRule type="iconSet" priority="7" id="{5E26926C-9682-47A0-8D2D-9501E6174F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F163</xm:sqref>
        </x14:conditionalFormatting>
        <x14:conditionalFormatting xmlns:xm="http://schemas.microsoft.com/office/excel/2006/main">
          <x14:cfRule type="iconSet" priority="5" id="{40F6A06B-6078-489E-B49A-326272F6371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F165:F184</xm:sqref>
        </x14:conditionalFormatting>
        <x14:conditionalFormatting xmlns:xm="http://schemas.microsoft.com/office/excel/2006/main">
          <x14:cfRule type="iconSet" priority="11" id="{9EAAFD4F-D807-493E-AA3B-9446BFB70A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F209</xm:sqref>
        </x14:conditionalFormatting>
        <x14:conditionalFormatting xmlns:xm="http://schemas.microsoft.com/office/excel/2006/main">
          <x14:cfRule type="iconSet" priority="4" id="{D94FA4F3-2CC6-41FC-A7AB-8E43E05CC62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F211:F230</xm:sqref>
        </x14:conditionalFormatting>
        <x14:conditionalFormatting xmlns:xm="http://schemas.microsoft.com/office/excel/2006/main">
          <x14:cfRule type="iconSet" priority="20" id="{EF7893A6-1336-4F19-A64F-5C3BCE5098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F247:F252</xm:sqref>
        </x14:conditionalFormatting>
        <x14:conditionalFormatting xmlns:xm="http://schemas.microsoft.com/office/excel/2006/main">
          <x14:cfRule type="iconSet" priority="10" id="{A5FBBFF8-5F6A-4E00-9DE7-60DCD369E9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F255</xm:sqref>
        </x14:conditionalFormatting>
        <x14:conditionalFormatting xmlns:xm="http://schemas.microsoft.com/office/excel/2006/main">
          <x14:cfRule type="iconSet" priority="3" id="{9585DA12-FB2C-4087-A81C-0014D2BDB4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F257:F276</xm:sqref>
        </x14:conditionalFormatting>
        <x14:conditionalFormatting xmlns:xm="http://schemas.microsoft.com/office/excel/2006/main">
          <x14:cfRule type="iconSet" priority="15" id="{21B2F673-99D6-443B-A912-4454F1578E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F290:F293</xm:sqref>
        </x14:conditionalFormatting>
        <x14:conditionalFormatting xmlns:xm="http://schemas.microsoft.com/office/excel/2006/main">
          <x14:cfRule type="iconSet" priority="9" id="{DE229BAA-7973-4B5B-B2DD-537D525AF01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F297</xm:sqref>
        </x14:conditionalFormatting>
        <x14:conditionalFormatting xmlns:xm="http://schemas.microsoft.com/office/excel/2006/main">
          <x14:cfRule type="iconSet" priority="2" id="{F0C79738-F25B-4BA9-8A26-60580E569F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F299:F318</xm:sqref>
        </x14:conditionalFormatting>
        <x14:conditionalFormatting xmlns:xm="http://schemas.microsoft.com/office/excel/2006/main">
          <x14:cfRule type="iconSet" priority="14" id="{BA85DDC3-395F-46B1-A016-04EBCBC647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F334:F336</xm:sqref>
        </x14:conditionalFormatting>
        <x14:conditionalFormatting xmlns:xm="http://schemas.microsoft.com/office/excel/2006/main">
          <x14:cfRule type="iconSet" priority="24" id="{B4B66645-490A-442D-8F1B-212DEF4EA7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F337:F341 F54:F65 F69 F73 F253:F256 F294:F298 F160:F164 F99:F118 F139:F154 F185:F210 F231:F246 F277:F289 F319:F333 F362 F75 F76:G76 F77:F78</xm:sqref>
        </x14:conditionalFormatting>
        <x14:conditionalFormatting xmlns:xm="http://schemas.microsoft.com/office/excel/2006/main">
          <x14:cfRule type="iconSet" priority="8" id="{CCACDABE-B0D4-4FE7-A08A-D0282E89E2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F340</xm:sqref>
        </x14:conditionalFormatting>
        <x14:conditionalFormatting xmlns:xm="http://schemas.microsoft.com/office/excel/2006/main">
          <x14:cfRule type="iconSet" priority="1" id="{A7A854D1-B946-4BFA-8C7C-5C916A7889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F342:F361</xm:sqref>
        </x14:conditionalFormatting>
        <x14:conditionalFormatting xmlns:xm="http://schemas.microsoft.com/office/excel/2006/main">
          <x14:cfRule type="iconSet" priority="19" id="{2C9E485F-F8B1-4C05-9B25-41F39F45DF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F404:F405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DD09-966F-4699-906F-77A8F1604E37}">
  <sheetPr>
    <tabColor theme="7" tint="0.59999389629810485"/>
  </sheetPr>
  <dimension ref="A1:XX1000"/>
  <sheetViews>
    <sheetView showGridLines="0" zoomScale="70" zoomScaleNormal="70" workbookViewId="0"/>
  </sheetViews>
  <sheetFormatPr defaultColWidth="8.42578125" defaultRowHeight="15"/>
  <cols>
    <col min="1" max="1" width="3.85546875" style="5" bestFit="1" customWidth="1"/>
    <col min="2" max="2" width="2.85546875" style="7" customWidth="1"/>
    <col min="3" max="50" width="3" style="7" customWidth="1"/>
    <col min="51" max="52" width="8.42578125" style="7"/>
    <col min="53" max="53" width="8.42578125" style="7" customWidth="1"/>
    <col min="54" max="54" width="8.42578125" style="7"/>
    <col min="55" max="55" width="9.140625" style="7" bestFit="1" customWidth="1"/>
    <col min="56" max="56" width="8.42578125" style="7"/>
    <col min="57" max="57" width="9.140625" style="7" bestFit="1" customWidth="1"/>
    <col min="58" max="60" width="8.42578125" style="7"/>
    <col min="61" max="61" width="8.85546875" style="7" bestFit="1" customWidth="1"/>
    <col min="62" max="16384" width="8.42578125" style="7"/>
  </cols>
  <sheetData>
    <row r="1" spans="1:50" ht="15" customHeight="1">
      <c r="C1" s="77" t="s">
        <v>244</v>
      </c>
      <c r="D1" s="77" t="s">
        <v>245</v>
      </c>
      <c r="E1" s="77" t="s">
        <v>246</v>
      </c>
      <c r="F1" s="77" t="s">
        <v>247</v>
      </c>
      <c r="G1" s="77" t="s">
        <v>248</v>
      </c>
      <c r="H1" s="77" t="s">
        <v>249</v>
      </c>
      <c r="I1" s="77" t="s">
        <v>250</v>
      </c>
      <c r="J1" s="77" t="s">
        <v>251</v>
      </c>
      <c r="K1" s="77" t="s">
        <v>252</v>
      </c>
      <c r="L1" s="77" t="s">
        <v>253</v>
      </c>
      <c r="M1" s="77" t="s">
        <v>254</v>
      </c>
      <c r="N1" s="77" t="s">
        <v>255</v>
      </c>
      <c r="O1" s="77" t="s">
        <v>256</v>
      </c>
      <c r="P1" s="77" t="s">
        <v>257</v>
      </c>
      <c r="Q1" s="77" t="s">
        <v>258</v>
      </c>
      <c r="R1" s="77" t="s">
        <v>259</v>
      </c>
      <c r="S1" s="77" t="s">
        <v>260</v>
      </c>
      <c r="T1" s="77" t="s">
        <v>261</v>
      </c>
      <c r="U1" s="77" t="s">
        <v>262</v>
      </c>
      <c r="V1" s="77" t="s">
        <v>263</v>
      </c>
      <c r="W1" s="77" t="s">
        <v>264</v>
      </c>
      <c r="X1" s="77" t="s">
        <v>265</v>
      </c>
      <c r="Y1" s="77" t="s">
        <v>266</v>
      </c>
      <c r="Z1" s="77" t="s">
        <v>267</v>
      </c>
      <c r="AA1" s="77" t="s">
        <v>268</v>
      </c>
      <c r="AB1" s="77" t="s">
        <v>269</v>
      </c>
      <c r="AC1" s="77" t="s">
        <v>270</v>
      </c>
      <c r="AD1" s="77" t="s">
        <v>271</v>
      </c>
      <c r="AE1" s="77" t="s">
        <v>272</v>
      </c>
      <c r="AF1" s="77" t="s">
        <v>273</v>
      </c>
      <c r="AG1" s="77" t="s">
        <v>274</v>
      </c>
      <c r="AH1" s="77" t="s">
        <v>275</v>
      </c>
      <c r="AI1" s="77" t="s">
        <v>276</v>
      </c>
      <c r="AJ1" s="77" t="s">
        <v>277</v>
      </c>
      <c r="AK1" s="77" t="s">
        <v>278</v>
      </c>
      <c r="AL1" s="77" t="s">
        <v>279</v>
      </c>
      <c r="AM1" s="77" t="s">
        <v>280</v>
      </c>
      <c r="AN1" s="77" t="s">
        <v>281</v>
      </c>
      <c r="AO1" s="77" t="s">
        <v>282</v>
      </c>
      <c r="AP1" s="77" t="s">
        <v>283</v>
      </c>
      <c r="AQ1" s="77" t="s">
        <v>284</v>
      </c>
      <c r="AR1" s="77" t="s">
        <v>285</v>
      </c>
      <c r="AS1" s="77" t="s">
        <v>286</v>
      </c>
      <c r="AT1" s="77" t="s">
        <v>287</v>
      </c>
      <c r="AU1" s="77" t="s">
        <v>288</v>
      </c>
      <c r="AV1" s="77" t="s">
        <v>289</v>
      </c>
      <c r="AW1" s="77" t="s">
        <v>290</v>
      </c>
      <c r="AX1" s="77" t="s">
        <v>291</v>
      </c>
    </row>
    <row r="2" spans="1:50" ht="15" customHeight="1"/>
    <row r="3" spans="1:50" ht="15.75" customHeight="1">
      <c r="A3" s="78">
        <v>3</v>
      </c>
      <c r="C3" s="79" t="s">
        <v>54</v>
      </c>
      <c r="D3" s="79" t="s">
        <v>54</v>
      </c>
      <c r="E3" s="79" t="s">
        <v>54</v>
      </c>
      <c r="F3" s="79" t="s">
        <v>54</v>
      </c>
      <c r="G3" s="79" t="s">
        <v>54</v>
      </c>
      <c r="H3" s="79" t="s">
        <v>54</v>
      </c>
      <c r="I3" s="79" t="s">
        <v>54</v>
      </c>
      <c r="J3" s="79" t="s">
        <v>54</v>
      </c>
      <c r="K3" s="79" t="s">
        <v>54</v>
      </c>
      <c r="L3" s="79" t="s">
        <v>54</v>
      </c>
      <c r="M3" s="79" t="s">
        <v>54</v>
      </c>
      <c r="N3" s="79" t="s">
        <v>54</v>
      </c>
      <c r="O3" s="79" t="s">
        <v>54</v>
      </c>
      <c r="P3" s="79" t="s">
        <v>54</v>
      </c>
      <c r="Q3" s="79" t="s">
        <v>54</v>
      </c>
      <c r="R3" s="79" t="s">
        <v>54</v>
      </c>
      <c r="S3" s="79" t="s">
        <v>54</v>
      </c>
      <c r="T3" s="79" t="s">
        <v>54</v>
      </c>
      <c r="U3" s="79" t="s">
        <v>54</v>
      </c>
      <c r="V3" s="79" t="s">
        <v>54</v>
      </c>
      <c r="W3" s="79" t="s">
        <v>54</v>
      </c>
      <c r="X3" s="79" t="s">
        <v>54</v>
      </c>
      <c r="Y3" s="79" t="s">
        <v>54</v>
      </c>
      <c r="Z3" s="79" t="s">
        <v>54</v>
      </c>
      <c r="AA3" s="79" t="s">
        <v>54</v>
      </c>
      <c r="AB3" s="79" t="s">
        <v>54</v>
      </c>
      <c r="AC3" s="79" t="s">
        <v>54</v>
      </c>
      <c r="AD3" s="79" t="s">
        <v>54</v>
      </c>
      <c r="AE3" s="79" t="s">
        <v>54</v>
      </c>
      <c r="AF3" s="79" t="s">
        <v>54</v>
      </c>
      <c r="AG3" s="79" t="s">
        <v>54</v>
      </c>
      <c r="AH3" s="79" t="s">
        <v>54</v>
      </c>
      <c r="AI3" s="79" t="s">
        <v>52</v>
      </c>
      <c r="AJ3" s="79" t="s">
        <v>54</v>
      </c>
      <c r="AK3" s="79" t="s">
        <v>49</v>
      </c>
      <c r="AL3" s="79" t="s">
        <v>54</v>
      </c>
      <c r="AM3" s="79" t="s">
        <v>54</v>
      </c>
      <c r="AN3" s="79" t="s">
        <v>54</v>
      </c>
      <c r="AO3" s="79" t="s">
        <v>52</v>
      </c>
      <c r="AP3" s="79" t="s">
        <v>54</v>
      </c>
      <c r="AQ3" s="79" t="s">
        <v>54</v>
      </c>
      <c r="AR3" s="79" t="s">
        <v>54</v>
      </c>
      <c r="AS3" s="79" t="s">
        <v>54</v>
      </c>
      <c r="AT3" s="79" t="s">
        <v>54</v>
      </c>
      <c r="AU3" s="79" t="s">
        <v>54</v>
      </c>
      <c r="AV3" s="79" t="s">
        <v>54</v>
      </c>
      <c r="AW3" s="79" t="s">
        <v>54</v>
      </c>
      <c r="AX3" s="79" t="s">
        <v>54</v>
      </c>
    </row>
    <row r="4" spans="1:50" ht="15.75" customHeight="1">
      <c r="A4" s="78">
        <v>4</v>
      </c>
      <c r="C4" s="79" t="s">
        <v>54</v>
      </c>
      <c r="D4" s="79" t="s">
        <v>54</v>
      </c>
      <c r="E4" s="79" t="s">
        <v>54</v>
      </c>
      <c r="F4" s="79" t="s">
        <v>54</v>
      </c>
      <c r="G4" s="79" t="s">
        <v>54</v>
      </c>
      <c r="H4" s="79" t="s">
        <v>54</v>
      </c>
      <c r="I4" s="79" t="s">
        <v>54</v>
      </c>
      <c r="J4" s="79" t="s">
        <v>54</v>
      </c>
      <c r="K4" s="79" t="s">
        <v>54</v>
      </c>
      <c r="L4" s="79" t="s">
        <v>54</v>
      </c>
      <c r="M4" s="79" t="s">
        <v>54</v>
      </c>
      <c r="N4" s="79" t="s">
        <v>54</v>
      </c>
      <c r="O4" s="79" t="s">
        <v>49</v>
      </c>
      <c r="P4" s="79" t="s">
        <v>54</v>
      </c>
      <c r="Q4" s="79" t="s">
        <v>49</v>
      </c>
      <c r="R4" s="79" t="s">
        <v>54</v>
      </c>
      <c r="S4" s="79" t="s">
        <v>54</v>
      </c>
      <c r="T4" s="79" t="s">
        <v>54</v>
      </c>
      <c r="U4" s="79" t="s">
        <v>54</v>
      </c>
      <c r="V4" s="79" t="s">
        <v>54</v>
      </c>
      <c r="W4" s="79" t="s">
        <v>37</v>
      </c>
      <c r="X4" s="79" t="s">
        <v>41</v>
      </c>
      <c r="Y4" s="79" t="s">
        <v>54</v>
      </c>
      <c r="Z4" s="79" t="s">
        <v>54</v>
      </c>
      <c r="AA4" s="79" t="s">
        <v>54</v>
      </c>
      <c r="AB4" s="79" t="s">
        <v>37</v>
      </c>
      <c r="AC4" s="79" t="s">
        <v>41</v>
      </c>
      <c r="AD4" s="79" t="s">
        <v>37</v>
      </c>
      <c r="AE4" s="79" t="s">
        <v>41</v>
      </c>
      <c r="AF4" s="79" t="s">
        <v>54</v>
      </c>
      <c r="AG4" s="79" t="s">
        <v>54</v>
      </c>
      <c r="AH4" s="79" t="s">
        <v>37</v>
      </c>
      <c r="AI4" s="79" t="s">
        <v>47</v>
      </c>
      <c r="AJ4" s="79" t="s">
        <v>54</v>
      </c>
      <c r="AK4" s="79" t="s">
        <v>31</v>
      </c>
      <c r="AL4" s="79" t="s">
        <v>37</v>
      </c>
      <c r="AM4" s="79" t="s">
        <v>41</v>
      </c>
      <c r="AN4" s="79" t="s">
        <v>54</v>
      </c>
      <c r="AO4" s="79" t="s">
        <v>31</v>
      </c>
      <c r="AP4" s="79" t="s">
        <v>52</v>
      </c>
      <c r="AQ4" s="79" t="s">
        <v>54</v>
      </c>
      <c r="AR4" s="79" t="s">
        <v>54</v>
      </c>
      <c r="AS4" s="79" t="s">
        <v>54</v>
      </c>
      <c r="AT4" s="79" t="s">
        <v>54</v>
      </c>
      <c r="AU4" s="79" t="s">
        <v>54</v>
      </c>
      <c r="AV4" s="79" t="s">
        <v>54</v>
      </c>
      <c r="AW4" s="79" t="s">
        <v>49</v>
      </c>
      <c r="AX4" s="79" t="s">
        <v>54</v>
      </c>
    </row>
    <row r="5" spans="1:50" ht="15.75" customHeight="1">
      <c r="A5" s="78">
        <v>5</v>
      </c>
      <c r="C5" s="79" t="s">
        <v>54</v>
      </c>
      <c r="D5" s="79" t="s">
        <v>54</v>
      </c>
      <c r="E5" s="79" t="s">
        <v>54</v>
      </c>
      <c r="F5" s="79" t="s">
        <v>54</v>
      </c>
      <c r="G5" s="79" t="s">
        <v>54</v>
      </c>
      <c r="H5" s="79" t="s">
        <v>54</v>
      </c>
      <c r="I5" s="79" t="s">
        <v>54</v>
      </c>
      <c r="J5" s="79" t="s">
        <v>54</v>
      </c>
      <c r="K5" s="79" t="s">
        <v>37</v>
      </c>
      <c r="L5" s="79" t="s">
        <v>34</v>
      </c>
      <c r="M5" s="79" t="s">
        <v>34</v>
      </c>
      <c r="N5" s="79" t="s">
        <v>34</v>
      </c>
      <c r="O5" s="79" t="s">
        <v>47</v>
      </c>
      <c r="P5" s="79" t="s">
        <v>54</v>
      </c>
      <c r="Q5" s="79" t="s">
        <v>31</v>
      </c>
      <c r="R5" s="79" t="s">
        <v>54</v>
      </c>
      <c r="S5" s="79" t="s">
        <v>54</v>
      </c>
      <c r="T5" s="79" t="s">
        <v>54</v>
      </c>
      <c r="U5" s="79" t="s">
        <v>54</v>
      </c>
      <c r="V5" s="79" t="s">
        <v>54</v>
      </c>
      <c r="W5" s="79" t="s">
        <v>31</v>
      </c>
      <c r="X5" s="79" t="s">
        <v>45</v>
      </c>
      <c r="Y5" s="79" t="s">
        <v>41</v>
      </c>
      <c r="Z5" s="79" t="s">
        <v>54</v>
      </c>
      <c r="AA5" s="79" t="s">
        <v>54</v>
      </c>
      <c r="AB5" s="79" t="s">
        <v>31</v>
      </c>
      <c r="AC5" s="79" t="s">
        <v>31</v>
      </c>
      <c r="AD5" s="79" t="s">
        <v>31</v>
      </c>
      <c r="AE5" s="79" t="s">
        <v>45</v>
      </c>
      <c r="AF5" s="79" t="s">
        <v>41</v>
      </c>
      <c r="AG5" s="79" t="s">
        <v>54</v>
      </c>
      <c r="AH5" s="79" t="s">
        <v>45</v>
      </c>
      <c r="AI5" s="79" t="s">
        <v>41</v>
      </c>
      <c r="AJ5" s="79" t="s">
        <v>54</v>
      </c>
      <c r="AK5" s="79" t="s">
        <v>45</v>
      </c>
      <c r="AL5" s="79" t="s">
        <v>47</v>
      </c>
      <c r="AM5" s="79" t="s">
        <v>31</v>
      </c>
      <c r="AN5" s="79" t="s">
        <v>54</v>
      </c>
      <c r="AO5" s="79" t="s">
        <v>31</v>
      </c>
      <c r="AP5" s="79" t="s">
        <v>31</v>
      </c>
      <c r="AQ5" s="79" t="s">
        <v>54</v>
      </c>
      <c r="AR5" s="79" t="s">
        <v>54</v>
      </c>
      <c r="AS5" s="79" t="s">
        <v>54</v>
      </c>
      <c r="AT5" s="79" t="s">
        <v>37</v>
      </c>
      <c r="AU5" s="79" t="s">
        <v>34</v>
      </c>
      <c r="AV5" s="79" t="s">
        <v>41</v>
      </c>
      <c r="AW5" s="79" t="s">
        <v>31</v>
      </c>
      <c r="AX5" s="79" t="s">
        <v>54</v>
      </c>
    </row>
    <row r="6" spans="1:50" ht="15.75" customHeight="1">
      <c r="A6" s="78">
        <v>6</v>
      </c>
      <c r="C6" s="79" t="s">
        <v>54</v>
      </c>
      <c r="D6" s="79" t="s">
        <v>54</v>
      </c>
      <c r="E6" s="79" t="s">
        <v>54</v>
      </c>
      <c r="F6" s="79" t="s">
        <v>54</v>
      </c>
      <c r="G6" s="79" t="s">
        <v>54</v>
      </c>
      <c r="H6" s="79" t="s">
        <v>54</v>
      </c>
      <c r="I6" s="79" t="s">
        <v>54</v>
      </c>
      <c r="J6" s="79" t="s">
        <v>54</v>
      </c>
      <c r="K6" s="79" t="s">
        <v>31</v>
      </c>
      <c r="L6" s="79" t="s">
        <v>54</v>
      </c>
      <c r="M6" s="79" t="s">
        <v>54</v>
      </c>
      <c r="N6" s="79" t="s">
        <v>54</v>
      </c>
      <c r="O6" s="79" t="s">
        <v>54</v>
      </c>
      <c r="P6" s="79" t="s">
        <v>54</v>
      </c>
      <c r="Q6" s="79" t="s">
        <v>31</v>
      </c>
      <c r="R6" s="79" t="s">
        <v>54</v>
      </c>
      <c r="S6" s="79" t="s">
        <v>54</v>
      </c>
      <c r="T6" s="79" t="s">
        <v>54</v>
      </c>
      <c r="U6" s="79" t="s">
        <v>54</v>
      </c>
      <c r="V6" s="79" t="s">
        <v>54</v>
      </c>
      <c r="W6" s="79" t="s">
        <v>31</v>
      </c>
      <c r="X6" s="79" t="s">
        <v>54</v>
      </c>
      <c r="Y6" s="79" t="s">
        <v>31</v>
      </c>
      <c r="Z6" s="79" t="s">
        <v>54</v>
      </c>
      <c r="AA6" s="79" t="s">
        <v>54</v>
      </c>
      <c r="AB6" s="79" t="s">
        <v>31</v>
      </c>
      <c r="AC6" s="79" t="s">
        <v>31</v>
      </c>
      <c r="AD6" s="79" t="s">
        <v>31</v>
      </c>
      <c r="AE6" s="79" t="s">
        <v>54</v>
      </c>
      <c r="AF6" s="79" t="s">
        <v>31</v>
      </c>
      <c r="AG6" s="79" t="s">
        <v>54</v>
      </c>
      <c r="AH6" s="79" t="s">
        <v>54</v>
      </c>
      <c r="AI6" s="79" t="s">
        <v>31</v>
      </c>
      <c r="AJ6" s="79" t="s">
        <v>54</v>
      </c>
      <c r="AK6" s="79" t="s">
        <v>54</v>
      </c>
      <c r="AL6" s="79" t="s">
        <v>54</v>
      </c>
      <c r="AM6" s="79" t="s">
        <v>31</v>
      </c>
      <c r="AN6" s="79" t="s">
        <v>54</v>
      </c>
      <c r="AO6" s="79" t="s">
        <v>31</v>
      </c>
      <c r="AP6" s="79" t="s">
        <v>31</v>
      </c>
      <c r="AQ6" s="79" t="s">
        <v>54</v>
      </c>
      <c r="AR6" s="79" t="s">
        <v>54</v>
      </c>
      <c r="AS6" s="79" t="s">
        <v>54</v>
      </c>
      <c r="AT6" s="79" t="s">
        <v>31</v>
      </c>
      <c r="AU6" s="79" t="s">
        <v>54</v>
      </c>
      <c r="AV6" s="79" t="s">
        <v>45</v>
      </c>
      <c r="AW6" s="79" t="s">
        <v>47</v>
      </c>
      <c r="AX6" s="79" t="s">
        <v>54</v>
      </c>
    </row>
    <row r="7" spans="1:50" ht="15.75" customHeight="1">
      <c r="A7" s="78">
        <v>7</v>
      </c>
      <c r="C7" s="79" t="s">
        <v>54</v>
      </c>
      <c r="D7" s="79" t="s">
        <v>54</v>
      </c>
      <c r="E7" s="79" t="s">
        <v>54</v>
      </c>
      <c r="F7" s="79" t="s">
        <v>54</v>
      </c>
      <c r="G7" s="79" t="s">
        <v>54</v>
      </c>
      <c r="H7" s="79" t="s">
        <v>54</v>
      </c>
      <c r="I7" s="79" t="s">
        <v>54</v>
      </c>
      <c r="J7" s="79" t="s">
        <v>54</v>
      </c>
      <c r="K7" s="79" t="s">
        <v>45</v>
      </c>
      <c r="L7" s="79" t="s">
        <v>34</v>
      </c>
      <c r="M7" s="79" t="s">
        <v>41</v>
      </c>
      <c r="N7" s="79" t="s">
        <v>54</v>
      </c>
      <c r="O7" s="79" t="s">
        <v>54</v>
      </c>
      <c r="P7" s="79" t="s">
        <v>54</v>
      </c>
      <c r="Q7" s="79" t="s">
        <v>31</v>
      </c>
      <c r="R7" s="79" t="s">
        <v>54</v>
      </c>
      <c r="S7" s="79" t="s">
        <v>54</v>
      </c>
      <c r="T7" s="79" t="s">
        <v>54</v>
      </c>
      <c r="U7" s="79" t="s">
        <v>54</v>
      </c>
      <c r="V7" s="79" t="s">
        <v>54</v>
      </c>
      <c r="W7" s="79" t="s">
        <v>31</v>
      </c>
      <c r="X7" s="79" t="s">
        <v>54</v>
      </c>
      <c r="Y7" s="79" t="s">
        <v>31</v>
      </c>
      <c r="Z7" s="79" t="s">
        <v>54</v>
      </c>
      <c r="AA7" s="79" t="s">
        <v>54</v>
      </c>
      <c r="AB7" s="79" t="s">
        <v>31</v>
      </c>
      <c r="AC7" s="79" t="s">
        <v>31</v>
      </c>
      <c r="AD7" s="79" t="s">
        <v>31</v>
      </c>
      <c r="AE7" s="79" t="s">
        <v>54</v>
      </c>
      <c r="AF7" s="79" t="s">
        <v>45</v>
      </c>
      <c r="AG7" s="79" t="s">
        <v>41</v>
      </c>
      <c r="AH7" s="79" t="s">
        <v>54</v>
      </c>
      <c r="AI7" s="79" t="s">
        <v>31</v>
      </c>
      <c r="AJ7" s="79" t="s">
        <v>54</v>
      </c>
      <c r="AK7" s="79" t="s">
        <v>37</v>
      </c>
      <c r="AL7" s="79" t="s">
        <v>34</v>
      </c>
      <c r="AM7" s="79" t="s">
        <v>47</v>
      </c>
      <c r="AN7" s="79" t="s">
        <v>37</v>
      </c>
      <c r="AO7" s="79" t="s">
        <v>47</v>
      </c>
      <c r="AP7" s="79" t="s">
        <v>31</v>
      </c>
      <c r="AQ7" s="79" t="s">
        <v>37</v>
      </c>
      <c r="AR7" s="79" t="s">
        <v>34</v>
      </c>
      <c r="AS7" s="79" t="s">
        <v>41</v>
      </c>
      <c r="AT7" s="79" t="s">
        <v>31</v>
      </c>
      <c r="AU7" s="79" t="s">
        <v>54</v>
      </c>
      <c r="AV7" s="79" t="s">
        <v>54</v>
      </c>
      <c r="AW7" s="79" t="s">
        <v>54</v>
      </c>
      <c r="AX7" s="79" t="s">
        <v>54</v>
      </c>
    </row>
    <row r="8" spans="1:50" ht="15.75" customHeight="1">
      <c r="A8" s="78">
        <v>8</v>
      </c>
      <c r="C8" s="79" t="s">
        <v>54</v>
      </c>
      <c r="D8" s="79" t="s">
        <v>54</v>
      </c>
      <c r="E8" s="79" t="s">
        <v>54</v>
      </c>
      <c r="F8" s="79" t="s">
        <v>54</v>
      </c>
      <c r="G8" s="79" t="s">
        <v>37</v>
      </c>
      <c r="H8" s="79" t="s">
        <v>41</v>
      </c>
      <c r="I8" s="79" t="s">
        <v>54</v>
      </c>
      <c r="J8" s="79" t="s">
        <v>54</v>
      </c>
      <c r="K8" s="79" t="s">
        <v>54</v>
      </c>
      <c r="L8" s="79" t="s">
        <v>54</v>
      </c>
      <c r="M8" s="79" t="s">
        <v>45</v>
      </c>
      <c r="N8" s="79" t="s">
        <v>34</v>
      </c>
      <c r="O8" s="79" t="s">
        <v>41</v>
      </c>
      <c r="P8" s="79" t="s">
        <v>54</v>
      </c>
      <c r="Q8" s="79" t="s">
        <v>31</v>
      </c>
      <c r="R8" s="79" t="s">
        <v>54</v>
      </c>
      <c r="S8" s="79" t="s">
        <v>54</v>
      </c>
      <c r="T8" s="79" t="s">
        <v>54</v>
      </c>
      <c r="U8" s="79" t="s">
        <v>54</v>
      </c>
      <c r="V8" s="79" t="s">
        <v>54</v>
      </c>
      <c r="W8" s="79" t="s">
        <v>31</v>
      </c>
      <c r="X8" s="79" t="s">
        <v>54</v>
      </c>
      <c r="Y8" s="79" t="s">
        <v>31</v>
      </c>
      <c r="Z8" s="79" t="s">
        <v>54</v>
      </c>
      <c r="AA8" s="79" t="s">
        <v>37</v>
      </c>
      <c r="AB8" s="79" t="s">
        <v>47</v>
      </c>
      <c r="AC8" s="79" t="s">
        <v>31</v>
      </c>
      <c r="AD8" s="79" t="s">
        <v>31</v>
      </c>
      <c r="AE8" s="79" t="s">
        <v>54</v>
      </c>
      <c r="AF8" s="79" t="s">
        <v>37</v>
      </c>
      <c r="AG8" s="79" t="s">
        <v>47</v>
      </c>
      <c r="AH8" s="79" t="s">
        <v>54</v>
      </c>
      <c r="AI8" s="79" t="s">
        <v>31</v>
      </c>
      <c r="AJ8" s="79" t="s">
        <v>54</v>
      </c>
      <c r="AK8" s="79" t="s">
        <v>31</v>
      </c>
      <c r="AL8" s="79" t="s">
        <v>37</v>
      </c>
      <c r="AM8" s="79" t="s">
        <v>34</v>
      </c>
      <c r="AN8" s="79" t="s">
        <v>47</v>
      </c>
      <c r="AO8" s="79" t="s">
        <v>54</v>
      </c>
      <c r="AP8" s="79" t="s">
        <v>31</v>
      </c>
      <c r="AQ8" s="79" t="s">
        <v>31</v>
      </c>
      <c r="AR8" s="79" t="s">
        <v>54</v>
      </c>
      <c r="AS8" s="79" t="s">
        <v>31</v>
      </c>
      <c r="AT8" s="79" t="s">
        <v>45</v>
      </c>
      <c r="AU8" s="79" t="s">
        <v>34</v>
      </c>
      <c r="AV8" s="79" t="s">
        <v>41</v>
      </c>
      <c r="AW8" s="79" t="s">
        <v>54</v>
      </c>
      <c r="AX8" s="79" t="s">
        <v>54</v>
      </c>
    </row>
    <row r="9" spans="1:50" ht="15.75" customHeight="1">
      <c r="A9" s="78">
        <v>9</v>
      </c>
      <c r="C9" s="79" t="s">
        <v>54</v>
      </c>
      <c r="D9" s="79" t="s">
        <v>54</v>
      </c>
      <c r="E9" s="79" t="s">
        <v>37</v>
      </c>
      <c r="F9" s="79" t="s">
        <v>34</v>
      </c>
      <c r="G9" s="79" t="s">
        <v>47</v>
      </c>
      <c r="H9" s="79" t="s">
        <v>31</v>
      </c>
      <c r="I9" s="79" t="s">
        <v>54</v>
      </c>
      <c r="J9" s="79" t="s">
        <v>54</v>
      </c>
      <c r="K9" s="79" t="s">
        <v>54</v>
      </c>
      <c r="L9" s="79" t="s">
        <v>54</v>
      </c>
      <c r="M9" s="79" t="s">
        <v>54</v>
      </c>
      <c r="N9" s="79" t="s">
        <v>54</v>
      </c>
      <c r="O9" s="79" t="s">
        <v>31</v>
      </c>
      <c r="P9" s="79" t="s">
        <v>54</v>
      </c>
      <c r="Q9" s="79" t="s">
        <v>31</v>
      </c>
      <c r="R9" s="79" t="s">
        <v>54</v>
      </c>
      <c r="S9" s="79" t="s">
        <v>54</v>
      </c>
      <c r="T9" s="79" t="s">
        <v>54</v>
      </c>
      <c r="U9" s="79" t="s">
        <v>54</v>
      </c>
      <c r="V9" s="79" t="s">
        <v>54</v>
      </c>
      <c r="W9" s="79" t="s">
        <v>31</v>
      </c>
      <c r="X9" s="79" t="s">
        <v>54</v>
      </c>
      <c r="Y9" s="79" t="s">
        <v>31</v>
      </c>
      <c r="Z9" s="79" t="s">
        <v>37</v>
      </c>
      <c r="AA9" s="79" t="s">
        <v>47</v>
      </c>
      <c r="AB9" s="79" t="s">
        <v>54</v>
      </c>
      <c r="AC9" s="79" t="s">
        <v>31</v>
      </c>
      <c r="AD9" s="79" t="s">
        <v>31</v>
      </c>
      <c r="AE9" s="79" t="s">
        <v>54</v>
      </c>
      <c r="AF9" s="79" t="s">
        <v>31</v>
      </c>
      <c r="AG9" s="79" t="s">
        <v>54</v>
      </c>
      <c r="AH9" s="79" t="s">
        <v>54</v>
      </c>
      <c r="AI9" s="79" t="s">
        <v>31</v>
      </c>
      <c r="AJ9" s="79" t="s">
        <v>54</v>
      </c>
      <c r="AK9" s="79" t="s">
        <v>31</v>
      </c>
      <c r="AL9" s="79" t="s">
        <v>31</v>
      </c>
      <c r="AM9" s="79" t="s">
        <v>54</v>
      </c>
      <c r="AN9" s="79" t="s">
        <v>54</v>
      </c>
      <c r="AO9" s="79" t="s">
        <v>54</v>
      </c>
      <c r="AP9" s="79" t="s">
        <v>31</v>
      </c>
      <c r="AQ9" s="79" t="s">
        <v>45</v>
      </c>
      <c r="AR9" s="79" t="s">
        <v>41</v>
      </c>
      <c r="AS9" s="79" t="s">
        <v>31</v>
      </c>
      <c r="AT9" s="79" t="s">
        <v>54</v>
      </c>
      <c r="AU9" s="79" t="s">
        <v>54</v>
      </c>
      <c r="AV9" s="79" t="s">
        <v>31</v>
      </c>
      <c r="AW9" s="79" t="s">
        <v>54</v>
      </c>
      <c r="AX9" s="79" t="s">
        <v>54</v>
      </c>
    </row>
    <row r="10" spans="1:50" ht="15.75" customHeight="1">
      <c r="A10" s="78">
        <v>10</v>
      </c>
      <c r="C10" s="79" t="s">
        <v>54</v>
      </c>
      <c r="D10" s="79" t="s">
        <v>54</v>
      </c>
      <c r="E10" s="79" t="s">
        <v>31</v>
      </c>
      <c r="F10" s="79" t="s">
        <v>54</v>
      </c>
      <c r="G10" s="79" t="s">
        <v>54</v>
      </c>
      <c r="H10" s="79" t="s">
        <v>45</v>
      </c>
      <c r="I10" s="79" t="s">
        <v>41</v>
      </c>
      <c r="J10" s="79" t="s">
        <v>54</v>
      </c>
      <c r="K10" s="79" t="s">
        <v>54</v>
      </c>
      <c r="L10" s="79" t="s">
        <v>54</v>
      </c>
      <c r="M10" s="79" t="s">
        <v>54</v>
      </c>
      <c r="N10" s="79" t="s">
        <v>37</v>
      </c>
      <c r="O10" s="79" t="s">
        <v>47</v>
      </c>
      <c r="P10" s="79" t="s">
        <v>54</v>
      </c>
      <c r="Q10" s="79" t="s">
        <v>45</v>
      </c>
      <c r="R10" s="79" t="s">
        <v>41</v>
      </c>
      <c r="S10" s="79" t="s">
        <v>54</v>
      </c>
      <c r="T10" s="79" t="s">
        <v>37</v>
      </c>
      <c r="U10" s="79" t="s">
        <v>41</v>
      </c>
      <c r="V10" s="79" t="s">
        <v>54</v>
      </c>
      <c r="W10" s="79" t="s">
        <v>31</v>
      </c>
      <c r="X10" s="79" t="s">
        <v>54</v>
      </c>
      <c r="Y10" s="79" t="s">
        <v>45</v>
      </c>
      <c r="Z10" s="79" t="s">
        <v>47</v>
      </c>
      <c r="AA10" s="79" t="s">
        <v>54</v>
      </c>
      <c r="AB10" s="79" t="s">
        <v>54</v>
      </c>
      <c r="AC10" s="79" t="s">
        <v>31</v>
      </c>
      <c r="AD10" s="79" t="s">
        <v>31</v>
      </c>
      <c r="AE10" s="79" t="s">
        <v>54</v>
      </c>
      <c r="AF10" s="79" t="s">
        <v>45</v>
      </c>
      <c r="AG10" s="79" t="s">
        <v>34</v>
      </c>
      <c r="AH10" s="79" t="s">
        <v>34</v>
      </c>
      <c r="AI10" s="79" t="s">
        <v>47</v>
      </c>
      <c r="AJ10" s="79" t="s">
        <v>54</v>
      </c>
      <c r="AK10" s="79" t="s">
        <v>31</v>
      </c>
      <c r="AL10" s="79" t="s">
        <v>31</v>
      </c>
      <c r="AM10" s="79" t="s">
        <v>54</v>
      </c>
      <c r="AN10" s="79" t="s">
        <v>54</v>
      </c>
      <c r="AO10" s="79" t="s">
        <v>54</v>
      </c>
      <c r="AP10" s="79" t="s">
        <v>45</v>
      </c>
      <c r="AQ10" s="79" t="s">
        <v>41</v>
      </c>
      <c r="AR10" s="79" t="s">
        <v>31</v>
      </c>
      <c r="AS10" s="79" t="s">
        <v>31</v>
      </c>
      <c r="AT10" s="79" t="s">
        <v>54</v>
      </c>
      <c r="AU10" s="79" t="s">
        <v>37</v>
      </c>
      <c r="AV10" s="79" t="s">
        <v>47</v>
      </c>
      <c r="AW10" s="79" t="s">
        <v>54</v>
      </c>
      <c r="AX10" s="79" t="s">
        <v>54</v>
      </c>
    </row>
    <row r="11" spans="1:50" ht="15.75" customHeight="1">
      <c r="A11" s="78">
        <v>11</v>
      </c>
      <c r="C11" s="79" t="s">
        <v>54</v>
      </c>
      <c r="D11" s="79" t="s">
        <v>54</v>
      </c>
      <c r="E11" s="79" t="s">
        <v>31</v>
      </c>
      <c r="F11" s="79" t="s">
        <v>54</v>
      </c>
      <c r="G11" s="79" t="s">
        <v>54</v>
      </c>
      <c r="H11" s="79" t="s">
        <v>54</v>
      </c>
      <c r="I11" s="79" t="s">
        <v>45</v>
      </c>
      <c r="J11" s="79" t="s">
        <v>34</v>
      </c>
      <c r="K11" s="79" t="s">
        <v>34</v>
      </c>
      <c r="L11" s="79" t="s">
        <v>34</v>
      </c>
      <c r="M11" s="79" t="s">
        <v>34</v>
      </c>
      <c r="N11" s="79" t="s">
        <v>47</v>
      </c>
      <c r="O11" s="79" t="s">
        <v>54</v>
      </c>
      <c r="P11" s="79" t="s">
        <v>54</v>
      </c>
      <c r="Q11" s="79" t="s">
        <v>54</v>
      </c>
      <c r="R11" s="79" t="s">
        <v>45</v>
      </c>
      <c r="S11" s="79" t="s">
        <v>34</v>
      </c>
      <c r="T11" s="79" t="s">
        <v>47</v>
      </c>
      <c r="U11" s="79" t="s">
        <v>52</v>
      </c>
      <c r="V11" s="79" t="s">
        <v>54</v>
      </c>
      <c r="W11" s="79" t="s">
        <v>49</v>
      </c>
      <c r="X11" s="79" t="s">
        <v>54</v>
      </c>
      <c r="Y11" s="79" t="s">
        <v>54</v>
      </c>
      <c r="Z11" s="79" t="s">
        <v>54</v>
      </c>
      <c r="AA11" s="79" t="s">
        <v>54</v>
      </c>
      <c r="AB11" s="79" t="s">
        <v>54</v>
      </c>
      <c r="AC11" s="79" t="s">
        <v>45</v>
      </c>
      <c r="AD11" s="79" t="s">
        <v>47</v>
      </c>
      <c r="AE11" s="79" t="s">
        <v>54</v>
      </c>
      <c r="AF11" s="79" t="s">
        <v>54</v>
      </c>
      <c r="AG11" s="79" t="s">
        <v>54</v>
      </c>
      <c r="AH11" s="79" t="s">
        <v>54</v>
      </c>
      <c r="AI11" s="79" t="s">
        <v>54</v>
      </c>
      <c r="AJ11" s="79" t="s">
        <v>54</v>
      </c>
      <c r="AK11" s="79" t="s">
        <v>45</v>
      </c>
      <c r="AL11" s="79" t="s">
        <v>47</v>
      </c>
      <c r="AM11" s="79" t="s">
        <v>54</v>
      </c>
      <c r="AN11" s="79" t="s">
        <v>54</v>
      </c>
      <c r="AO11" s="79" t="s">
        <v>54</v>
      </c>
      <c r="AP11" s="79" t="s">
        <v>54</v>
      </c>
      <c r="AQ11" s="79" t="s">
        <v>31</v>
      </c>
      <c r="AR11" s="79" t="s">
        <v>31</v>
      </c>
      <c r="AS11" s="79" t="s">
        <v>31</v>
      </c>
      <c r="AT11" s="79" t="s">
        <v>54</v>
      </c>
      <c r="AU11" s="79" t="s">
        <v>31</v>
      </c>
      <c r="AV11" s="79" t="s">
        <v>54</v>
      </c>
      <c r="AW11" s="79" t="s">
        <v>54</v>
      </c>
      <c r="AX11" s="79" t="s">
        <v>54</v>
      </c>
    </row>
    <row r="12" spans="1:50" ht="15.75" customHeight="1">
      <c r="A12" s="78">
        <v>12</v>
      </c>
      <c r="C12" s="79" t="s">
        <v>54</v>
      </c>
      <c r="D12" s="79" t="s">
        <v>54</v>
      </c>
      <c r="E12" s="79" t="s">
        <v>31</v>
      </c>
      <c r="F12" s="79" t="s">
        <v>54</v>
      </c>
      <c r="G12" s="79" t="s">
        <v>54</v>
      </c>
      <c r="H12" s="79" t="s">
        <v>54</v>
      </c>
      <c r="I12" s="79" t="s">
        <v>54</v>
      </c>
      <c r="J12" s="79" t="s">
        <v>54</v>
      </c>
      <c r="K12" s="79" t="s">
        <v>54</v>
      </c>
      <c r="L12" s="79" t="s">
        <v>54</v>
      </c>
      <c r="M12" s="79" t="s">
        <v>54</v>
      </c>
      <c r="N12" s="79" t="s">
        <v>54</v>
      </c>
      <c r="O12" s="79" t="s">
        <v>54</v>
      </c>
      <c r="P12" s="79" t="s">
        <v>54</v>
      </c>
      <c r="Q12" s="79" t="s">
        <v>54</v>
      </c>
      <c r="R12" s="79" t="s">
        <v>54</v>
      </c>
      <c r="S12" s="79" t="s">
        <v>54</v>
      </c>
      <c r="T12" s="79" t="s">
        <v>54</v>
      </c>
      <c r="U12" s="79" t="s">
        <v>54</v>
      </c>
      <c r="V12" s="79" t="s">
        <v>54</v>
      </c>
      <c r="W12" s="79" t="s">
        <v>54</v>
      </c>
      <c r="X12" s="79" t="s">
        <v>54</v>
      </c>
      <c r="Y12" s="79" t="s">
        <v>54</v>
      </c>
      <c r="Z12" s="79" t="s">
        <v>54</v>
      </c>
      <c r="AA12" s="79" t="s">
        <v>54</v>
      </c>
      <c r="AB12" s="79" t="s">
        <v>54</v>
      </c>
      <c r="AC12" s="79" t="s">
        <v>54</v>
      </c>
      <c r="AD12" s="79" t="s">
        <v>54</v>
      </c>
      <c r="AE12" s="79" t="s">
        <v>54</v>
      </c>
      <c r="AF12" s="79" t="s">
        <v>54</v>
      </c>
      <c r="AG12" s="79" t="s">
        <v>54</v>
      </c>
      <c r="AH12" s="79" t="s">
        <v>54</v>
      </c>
      <c r="AI12" s="79" t="s">
        <v>54</v>
      </c>
      <c r="AJ12" s="79" t="s">
        <v>54</v>
      </c>
      <c r="AK12" s="79" t="s">
        <v>54</v>
      </c>
      <c r="AL12" s="79" t="s">
        <v>54</v>
      </c>
      <c r="AM12" s="79" t="s">
        <v>54</v>
      </c>
      <c r="AN12" s="79" t="s">
        <v>54</v>
      </c>
      <c r="AO12" s="79" t="s">
        <v>54</v>
      </c>
      <c r="AP12" s="79" t="s">
        <v>54</v>
      </c>
      <c r="AQ12" s="79" t="s">
        <v>31</v>
      </c>
      <c r="AR12" s="79" t="s">
        <v>31</v>
      </c>
      <c r="AS12" s="79" t="s">
        <v>31</v>
      </c>
      <c r="AT12" s="79" t="s">
        <v>54</v>
      </c>
      <c r="AU12" s="79" t="s">
        <v>45</v>
      </c>
      <c r="AV12" s="79" t="s">
        <v>34</v>
      </c>
      <c r="AW12" s="79" t="s">
        <v>41</v>
      </c>
      <c r="AX12" s="79" t="s">
        <v>54</v>
      </c>
    </row>
    <row r="13" spans="1:50" ht="15.75" customHeight="1">
      <c r="A13" s="78">
        <v>13</v>
      </c>
      <c r="C13" s="79" t="s">
        <v>54</v>
      </c>
      <c r="D13" s="79" t="s">
        <v>54</v>
      </c>
      <c r="E13" s="79" t="s">
        <v>52</v>
      </c>
      <c r="F13" s="79" t="s">
        <v>54</v>
      </c>
      <c r="G13" s="79" t="s">
        <v>54</v>
      </c>
      <c r="H13" s="79" t="s">
        <v>54</v>
      </c>
      <c r="I13" s="79" t="s">
        <v>54</v>
      </c>
      <c r="J13" s="79" t="s">
        <v>54</v>
      </c>
      <c r="K13" s="79" t="s">
        <v>54</v>
      </c>
      <c r="L13" s="79" t="s">
        <v>54</v>
      </c>
      <c r="M13" s="79" t="s">
        <v>54</v>
      </c>
      <c r="N13" s="79" t="s">
        <v>54</v>
      </c>
      <c r="O13" s="79" t="s">
        <v>54</v>
      </c>
      <c r="P13" s="79" t="s">
        <v>54</v>
      </c>
      <c r="Q13" s="79" t="s">
        <v>54</v>
      </c>
      <c r="R13" s="79" t="s">
        <v>54</v>
      </c>
      <c r="S13" s="79" t="s">
        <v>54</v>
      </c>
      <c r="T13" s="79" t="s">
        <v>54</v>
      </c>
      <c r="U13" s="79" t="s">
        <v>54</v>
      </c>
      <c r="V13" s="79" t="s">
        <v>54</v>
      </c>
      <c r="W13" s="79" t="s">
        <v>54</v>
      </c>
      <c r="X13" s="79" t="s">
        <v>49</v>
      </c>
      <c r="Y13" s="79" t="s">
        <v>54</v>
      </c>
      <c r="Z13" s="79" t="s">
        <v>54</v>
      </c>
      <c r="AA13" s="79" t="s">
        <v>54</v>
      </c>
      <c r="AB13" s="79" t="s">
        <v>54</v>
      </c>
      <c r="AC13" s="79" t="s">
        <v>54</v>
      </c>
      <c r="AD13" s="79" t="s">
        <v>54</v>
      </c>
      <c r="AE13" s="79" t="s">
        <v>54</v>
      </c>
      <c r="AF13" s="79" t="s">
        <v>54</v>
      </c>
      <c r="AG13" s="79" t="s">
        <v>54</v>
      </c>
      <c r="AH13" s="79" t="s">
        <v>54</v>
      </c>
      <c r="AI13" s="79" t="s">
        <v>54</v>
      </c>
      <c r="AJ13" s="79" t="s">
        <v>54</v>
      </c>
      <c r="AK13" s="79" t="s">
        <v>54</v>
      </c>
      <c r="AL13" s="79" t="s">
        <v>54</v>
      </c>
      <c r="AM13" s="79" t="s">
        <v>54</v>
      </c>
      <c r="AN13" s="79" t="s">
        <v>54</v>
      </c>
      <c r="AO13" s="79" t="s">
        <v>54</v>
      </c>
      <c r="AP13" s="79" t="s">
        <v>54</v>
      </c>
      <c r="AQ13" s="79" t="s">
        <v>31</v>
      </c>
      <c r="AR13" s="79" t="s">
        <v>31</v>
      </c>
      <c r="AS13" s="79" t="s">
        <v>45</v>
      </c>
      <c r="AT13" s="79" t="s">
        <v>34</v>
      </c>
      <c r="AU13" s="79" t="s">
        <v>34</v>
      </c>
      <c r="AV13" s="79" t="s">
        <v>34</v>
      </c>
      <c r="AW13" s="79" t="s">
        <v>47</v>
      </c>
      <c r="AX13" s="79" t="s">
        <v>54</v>
      </c>
    </row>
    <row r="14" spans="1:50" ht="15.75" customHeight="1">
      <c r="A14" s="78">
        <v>14</v>
      </c>
      <c r="C14" s="79" t="s">
        <v>54</v>
      </c>
      <c r="D14" s="79" t="s">
        <v>54</v>
      </c>
      <c r="E14" s="79" t="s">
        <v>54</v>
      </c>
      <c r="F14" s="79" t="s">
        <v>54</v>
      </c>
      <c r="G14" s="79" t="s">
        <v>54</v>
      </c>
      <c r="H14" s="79" t="s">
        <v>54</v>
      </c>
      <c r="I14" s="79" t="s">
        <v>54</v>
      </c>
      <c r="J14" s="79" t="s">
        <v>54</v>
      </c>
      <c r="K14" s="79" t="s">
        <v>54</v>
      </c>
      <c r="L14" s="79" t="s">
        <v>54</v>
      </c>
      <c r="M14" s="79" t="s">
        <v>54</v>
      </c>
      <c r="N14" s="79" t="s">
        <v>54</v>
      </c>
      <c r="O14" s="79" t="s">
        <v>54</v>
      </c>
      <c r="P14" s="79" t="s">
        <v>54</v>
      </c>
      <c r="Q14" s="79" t="s">
        <v>54</v>
      </c>
      <c r="R14" s="79" t="s">
        <v>54</v>
      </c>
      <c r="S14" s="79" t="s">
        <v>37</v>
      </c>
      <c r="T14" s="79" t="s">
        <v>34</v>
      </c>
      <c r="U14" s="79" t="s">
        <v>34</v>
      </c>
      <c r="V14" s="79" t="s">
        <v>41</v>
      </c>
      <c r="W14" s="79" t="s">
        <v>54</v>
      </c>
      <c r="X14" s="79" t="s">
        <v>45</v>
      </c>
      <c r="Y14" s="79" t="s">
        <v>41</v>
      </c>
      <c r="Z14" s="79" t="s">
        <v>54</v>
      </c>
      <c r="AA14" s="79" t="s">
        <v>54</v>
      </c>
      <c r="AB14" s="79" t="s">
        <v>54</v>
      </c>
      <c r="AC14" s="79" t="s">
        <v>54</v>
      </c>
      <c r="AD14" s="79" t="s">
        <v>49</v>
      </c>
      <c r="AE14" s="79" t="s">
        <v>41</v>
      </c>
      <c r="AF14" s="79" t="s">
        <v>54</v>
      </c>
      <c r="AG14" s="79" t="s">
        <v>54</v>
      </c>
      <c r="AH14" s="79" t="s">
        <v>37</v>
      </c>
      <c r="AI14" s="79" t="s">
        <v>41</v>
      </c>
      <c r="AJ14" s="79" t="s">
        <v>54</v>
      </c>
      <c r="AK14" s="79" t="s">
        <v>54</v>
      </c>
      <c r="AL14" s="79" t="s">
        <v>54</v>
      </c>
      <c r="AM14" s="79" t="s">
        <v>54</v>
      </c>
      <c r="AN14" s="79" t="s">
        <v>54</v>
      </c>
      <c r="AO14" s="79" t="s">
        <v>54</v>
      </c>
      <c r="AP14" s="79" t="s">
        <v>54</v>
      </c>
      <c r="AQ14" s="79" t="s">
        <v>31</v>
      </c>
      <c r="AR14" s="79" t="s">
        <v>45</v>
      </c>
      <c r="AS14" s="79" t="s">
        <v>34</v>
      </c>
      <c r="AT14" s="79" t="s">
        <v>34</v>
      </c>
      <c r="AU14" s="79" t="s">
        <v>41</v>
      </c>
      <c r="AV14" s="79" t="s">
        <v>54</v>
      </c>
      <c r="AW14" s="79" t="s">
        <v>54</v>
      </c>
      <c r="AX14" s="79" t="s">
        <v>54</v>
      </c>
    </row>
    <row r="15" spans="1:50" ht="15.75" customHeight="1">
      <c r="A15" s="78">
        <v>15</v>
      </c>
      <c r="C15" s="79" t="s">
        <v>54</v>
      </c>
      <c r="D15" s="79" t="s">
        <v>54</v>
      </c>
      <c r="E15" s="79" t="s">
        <v>54</v>
      </c>
      <c r="F15" s="79" t="s">
        <v>54</v>
      </c>
      <c r="G15" s="79" t="s">
        <v>54</v>
      </c>
      <c r="H15" s="79" t="s">
        <v>54</v>
      </c>
      <c r="I15" s="79" t="s">
        <v>54</v>
      </c>
      <c r="J15" s="79" t="s">
        <v>54</v>
      </c>
      <c r="K15" s="79" t="s">
        <v>54</v>
      </c>
      <c r="L15" s="79" t="s">
        <v>54</v>
      </c>
      <c r="M15" s="79" t="s">
        <v>54</v>
      </c>
      <c r="N15" s="79" t="s">
        <v>54</v>
      </c>
      <c r="O15" s="79" t="s">
        <v>54</v>
      </c>
      <c r="P15" s="79" t="s">
        <v>54</v>
      </c>
      <c r="Q15" s="79" t="s">
        <v>54</v>
      </c>
      <c r="R15" s="79" t="s">
        <v>37</v>
      </c>
      <c r="S15" s="79" t="s">
        <v>47</v>
      </c>
      <c r="T15" s="79" t="s">
        <v>54</v>
      </c>
      <c r="U15" s="79" t="s">
        <v>54</v>
      </c>
      <c r="V15" s="79" t="s">
        <v>31</v>
      </c>
      <c r="W15" s="79" t="s">
        <v>54</v>
      </c>
      <c r="X15" s="79" t="s">
        <v>37</v>
      </c>
      <c r="Y15" s="79" t="s">
        <v>47</v>
      </c>
      <c r="Z15" s="79" t="s">
        <v>54</v>
      </c>
      <c r="AA15" s="79" t="s">
        <v>54</v>
      </c>
      <c r="AB15" s="79" t="s">
        <v>54</v>
      </c>
      <c r="AC15" s="79" t="s">
        <v>54</v>
      </c>
      <c r="AD15" s="79" t="s">
        <v>54</v>
      </c>
      <c r="AE15" s="79" t="s">
        <v>45</v>
      </c>
      <c r="AF15" s="79" t="s">
        <v>41</v>
      </c>
      <c r="AG15" s="79" t="s">
        <v>37</v>
      </c>
      <c r="AH15" s="79" t="s">
        <v>47</v>
      </c>
      <c r="AI15" s="79" t="s">
        <v>31</v>
      </c>
      <c r="AJ15" s="79" t="s">
        <v>54</v>
      </c>
      <c r="AK15" s="79" t="s">
        <v>54</v>
      </c>
      <c r="AL15" s="79" t="s">
        <v>54</v>
      </c>
      <c r="AM15" s="79" t="s">
        <v>54</v>
      </c>
      <c r="AN15" s="79" t="s">
        <v>54</v>
      </c>
      <c r="AO15" s="79" t="s">
        <v>54</v>
      </c>
      <c r="AP15" s="79" t="s">
        <v>54</v>
      </c>
      <c r="AQ15" s="79" t="s">
        <v>45</v>
      </c>
      <c r="AR15" s="79" t="s">
        <v>34</v>
      </c>
      <c r="AS15" s="79" t="s">
        <v>34</v>
      </c>
      <c r="AT15" s="79" t="s">
        <v>34</v>
      </c>
      <c r="AU15" s="79" t="s">
        <v>47</v>
      </c>
      <c r="AV15" s="79" t="s">
        <v>54</v>
      </c>
      <c r="AW15" s="79" t="s">
        <v>54</v>
      </c>
      <c r="AX15" s="79" t="s">
        <v>54</v>
      </c>
    </row>
    <row r="16" spans="1:50" ht="15.75" customHeight="1">
      <c r="A16" s="78">
        <v>16</v>
      </c>
      <c r="C16" s="79" t="s">
        <v>54</v>
      </c>
      <c r="D16" s="79" t="s">
        <v>37</v>
      </c>
      <c r="E16" s="79" t="s">
        <v>41</v>
      </c>
      <c r="F16" s="79" t="s">
        <v>54</v>
      </c>
      <c r="G16" s="79" t="s">
        <v>54</v>
      </c>
      <c r="H16" s="79" t="s">
        <v>54</v>
      </c>
      <c r="I16" s="79" t="s">
        <v>54</v>
      </c>
      <c r="J16" s="79" t="s">
        <v>54</v>
      </c>
      <c r="K16" s="79" t="s">
        <v>54</v>
      </c>
      <c r="L16" s="79" t="s">
        <v>54</v>
      </c>
      <c r="M16" s="79" t="s">
        <v>54</v>
      </c>
      <c r="N16" s="79" t="s">
        <v>37</v>
      </c>
      <c r="O16" s="79" t="s">
        <v>34</v>
      </c>
      <c r="P16" s="79" t="s">
        <v>34</v>
      </c>
      <c r="Q16" s="79" t="s">
        <v>41</v>
      </c>
      <c r="R16" s="79" t="s">
        <v>31</v>
      </c>
      <c r="S16" s="79" t="s">
        <v>54</v>
      </c>
      <c r="T16" s="79" t="s">
        <v>54</v>
      </c>
      <c r="U16" s="79" t="s">
        <v>54</v>
      </c>
      <c r="V16" s="79" t="s">
        <v>31</v>
      </c>
      <c r="W16" s="79" t="s">
        <v>54</v>
      </c>
      <c r="X16" s="79" t="s">
        <v>31</v>
      </c>
      <c r="Y16" s="79" t="s">
        <v>54</v>
      </c>
      <c r="Z16" s="79" t="s">
        <v>54</v>
      </c>
      <c r="AA16" s="79" t="s">
        <v>37</v>
      </c>
      <c r="AB16" s="79" t="s">
        <v>41</v>
      </c>
      <c r="AC16" s="79" t="s">
        <v>54</v>
      </c>
      <c r="AD16" s="79" t="s">
        <v>54</v>
      </c>
      <c r="AE16" s="79" t="s">
        <v>54</v>
      </c>
      <c r="AF16" s="79" t="s">
        <v>31</v>
      </c>
      <c r="AG16" s="79" t="s">
        <v>31</v>
      </c>
      <c r="AH16" s="79" t="s">
        <v>54</v>
      </c>
      <c r="AI16" s="79" t="s">
        <v>31</v>
      </c>
      <c r="AJ16" s="79" t="s">
        <v>54</v>
      </c>
      <c r="AK16" s="79" t="s">
        <v>54</v>
      </c>
      <c r="AL16" s="79" t="s">
        <v>54</v>
      </c>
      <c r="AM16" s="79" t="s">
        <v>54</v>
      </c>
      <c r="AN16" s="79" t="s">
        <v>54</v>
      </c>
      <c r="AO16" s="79" t="s">
        <v>54</v>
      </c>
      <c r="AP16" s="79" t="s">
        <v>54</v>
      </c>
      <c r="AQ16" s="79" t="s">
        <v>54</v>
      </c>
      <c r="AR16" s="79" t="s">
        <v>54</v>
      </c>
      <c r="AS16" s="79" t="s">
        <v>37</v>
      </c>
      <c r="AT16" s="79" t="s">
        <v>34</v>
      </c>
      <c r="AU16" s="79" t="s">
        <v>34</v>
      </c>
      <c r="AV16" s="79" t="s">
        <v>49</v>
      </c>
      <c r="AW16" s="79" t="s">
        <v>54</v>
      </c>
      <c r="AX16" s="79" t="s">
        <v>54</v>
      </c>
    </row>
    <row r="17" spans="1:50" ht="15.75" customHeight="1">
      <c r="A17" s="78">
        <v>17</v>
      </c>
      <c r="C17" s="79" t="s">
        <v>54</v>
      </c>
      <c r="D17" s="79" t="s">
        <v>31</v>
      </c>
      <c r="E17" s="79" t="s">
        <v>31</v>
      </c>
      <c r="F17" s="79" t="s">
        <v>54</v>
      </c>
      <c r="G17" s="79" t="s">
        <v>54</v>
      </c>
      <c r="H17" s="79" t="s">
        <v>54</v>
      </c>
      <c r="I17" s="79" t="s">
        <v>54</v>
      </c>
      <c r="J17" s="79" t="s">
        <v>54</v>
      </c>
      <c r="K17" s="79" t="s">
        <v>37</v>
      </c>
      <c r="L17" s="79" t="s">
        <v>41</v>
      </c>
      <c r="M17" s="79" t="s">
        <v>54</v>
      </c>
      <c r="N17" s="79" t="s">
        <v>31</v>
      </c>
      <c r="O17" s="79" t="s">
        <v>54</v>
      </c>
      <c r="P17" s="79" t="s">
        <v>54</v>
      </c>
      <c r="Q17" s="79" t="s">
        <v>31</v>
      </c>
      <c r="R17" s="79" t="s">
        <v>31</v>
      </c>
      <c r="S17" s="79" t="s">
        <v>54</v>
      </c>
      <c r="T17" s="79" t="s">
        <v>54</v>
      </c>
      <c r="U17" s="79" t="s">
        <v>54</v>
      </c>
      <c r="V17" s="79" t="s">
        <v>31</v>
      </c>
      <c r="W17" s="79" t="s">
        <v>54</v>
      </c>
      <c r="X17" s="79" t="s">
        <v>31</v>
      </c>
      <c r="Y17" s="79" t="s">
        <v>54</v>
      </c>
      <c r="Z17" s="79" t="s">
        <v>54</v>
      </c>
      <c r="AA17" s="79" t="s">
        <v>31</v>
      </c>
      <c r="AB17" s="79" t="s">
        <v>31</v>
      </c>
      <c r="AC17" s="79" t="s">
        <v>54</v>
      </c>
      <c r="AD17" s="79" t="s">
        <v>54</v>
      </c>
      <c r="AE17" s="79" t="s">
        <v>54</v>
      </c>
      <c r="AF17" s="79" t="s">
        <v>45</v>
      </c>
      <c r="AG17" s="79" t="s">
        <v>47</v>
      </c>
      <c r="AH17" s="79" t="s">
        <v>54</v>
      </c>
      <c r="AI17" s="79" t="s">
        <v>31</v>
      </c>
      <c r="AJ17" s="79" t="s">
        <v>54</v>
      </c>
      <c r="AK17" s="79" t="s">
        <v>54</v>
      </c>
      <c r="AL17" s="79" t="s">
        <v>54</v>
      </c>
      <c r="AM17" s="79" t="s">
        <v>54</v>
      </c>
      <c r="AN17" s="79" t="s">
        <v>54</v>
      </c>
      <c r="AO17" s="79" t="s">
        <v>54</v>
      </c>
      <c r="AP17" s="79" t="s">
        <v>54</v>
      </c>
      <c r="AQ17" s="79" t="s">
        <v>54</v>
      </c>
      <c r="AR17" s="79" t="s">
        <v>54</v>
      </c>
      <c r="AS17" s="79" t="s">
        <v>31</v>
      </c>
      <c r="AT17" s="79" t="s">
        <v>54</v>
      </c>
      <c r="AU17" s="79" t="s">
        <v>54</v>
      </c>
      <c r="AV17" s="79" t="s">
        <v>54</v>
      </c>
      <c r="AW17" s="79" t="s">
        <v>54</v>
      </c>
      <c r="AX17" s="79" t="s">
        <v>54</v>
      </c>
    </row>
    <row r="18" spans="1:50" ht="15.75" customHeight="1">
      <c r="A18" s="78">
        <v>18</v>
      </c>
      <c r="C18" s="79" t="s">
        <v>54</v>
      </c>
      <c r="D18" s="79" t="s">
        <v>31</v>
      </c>
      <c r="E18" s="79" t="s">
        <v>31</v>
      </c>
      <c r="F18" s="79" t="s">
        <v>54</v>
      </c>
      <c r="G18" s="79" t="s">
        <v>54</v>
      </c>
      <c r="H18" s="79" t="s">
        <v>54</v>
      </c>
      <c r="I18" s="79" t="s">
        <v>54</v>
      </c>
      <c r="J18" s="79" t="s">
        <v>54</v>
      </c>
      <c r="K18" s="79" t="s">
        <v>31</v>
      </c>
      <c r="L18" s="79" t="s">
        <v>45</v>
      </c>
      <c r="M18" s="79" t="s">
        <v>34</v>
      </c>
      <c r="N18" s="79" t="s">
        <v>47</v>
      </c>
      <c r="O18" s="79" t="s">
        <v>54</v>
      </c>
      <c r="P18" s="79" t="s">
        <v>54</v>
      </c>
      <c r="Q18" s="79" t="s">
        <v>31</v>
      </c>
      <c r="R18" s="79" t="s">
        <v>45</v>
      </c>
      <c r="S18" s="79" t="s">
        <v>41</v>
      </c>
      <c r="T18" s="79" t="s">
        <v>54</v>
      </c>
      <c r="U18" s="79" t="s">
        <v>54</v>
      </c>
      <c r="V18" s="79" t="s">
        <v>31</v>
      </c>
      <c r="W18" s="79" t="s">
        <v>54</v>
      </c>
      <c r="X18" s="79" t="s">
        <v>31</v>
      </c>
      <c r="Y18" s="79" t="s">
        <v>54</v>
      </c>
      <c r="Z18" s="79" t="s">
        <v>54</v>
      </c>
      <c r="AA18" s="79" t="s">
        <v>31</v>
      </c>
      <c r="AB18" s="79" t="s">
        <v>31</v>
      </c>
      <c r="AC18" s="79" t="s">
        <v>54</v>
      </c>
      <c r="AD18" s="79" t="s">
        <v>54</v>
      </c>
      <c r="AE18" s="79" t="s">
        <v>54</v>
      </c>
      <c r="AF18" s="79" t="s">
        <v>54</v>
      </c>
      <c r="AG18" s="79" t="s">
        <v>54</v>
      </c>
      <c r="AH18" s="79" t="s">
        <v>54</v>
      </c>
      <c r="AI18" s="79" t="s">
        <v>31</v>
      </c>
      <c r="AJ18" s="79" t="s">
        <v>54</v>
      </c>
      <c r="AK18" s="79" t="s">
        <v>54</v>
      </c>
      <c r="AL18" s="79" t="s">
        <v>54</v>
      </c>
      <c r="AM18" s="79" t="s">
        <v>54</v>
      </c>
      <c r="AN18" s="79" t="s">
        <v>54</v>
      </c>
      <c r="AO18" s="79" t="s">
        <v>37</v>
      </c>
      <c r="AP18" s="79" t="s">
        <v>34</v>
      </c>
      <c r="AQ18" s="79" t="s">
        <v>41</v>
      </c>
      <c r="AR18" s="79" t="s">
        <v>54</v>
      </c>
      <c r="AS18" s="79" t="s">
        <v>31</v>
      </c>
      <c r="AT18" s="79" t="s">
        <v>54</v>
      </c>
      <c r="AU18" s="79" t="s">
        <v>54</v>
      </c>
      <c r="AV18" s="79" t="s">
        <v>54</v>
      </c>
      <c r="AW18" s="79" t="s">
        <v>54</v>
      </c>
      <c r="AX18" s="79" t="s">
        <v>54</v>
      </c>
    </row>
    <row r="19" spans="1:50" ht="15.75" customHeight="1">
      <c r="A19" s="78">
        <v>19</v>
      </c>
      <c r="C19" s="79" t="s">
        <v>54</v>
      </c>
      <c r="D19" s="79" t="s">
        <v>31</v>
      </c>
      <c r="E19" s="79" t="s">
        <v>45</v>
      </c>
      <c r="F19" s="79" t="s">
        <v>41</v>
      </c>
      <c r="G19" s="79" t="s">
        <v>54</v>
      </c>
      <c r="H19" s="79" t="s">
        <v>54</v>
      </c>
      <c r="I19" s="79" t="s">
        <v>54</v>
      </c>
      <c r="J19" s="79" t="s">
        <v>54</v>
      </c>
      <c r="K19" s="79" t="s">
        <v>31</v>
      </c>
      <c r="L19" s="79" t="s">
        <v>54</v>
      </c>
      <c r="M19" s="79" t="s">
        <v>54</v>
      </c>
      <c r="N19" s="79" t="s">
        <v>54</v>
      </c>
      <c r="O19" s="79" t="s">
        <v>54</v>
      </c>
      <c r="P19" s="79" t="s">
        <v>54</v>
      </c>
      <c r="Q19" s="79" t="s">
        <v>45</v>
      </c>
      <c r="R19" s="79" t="s">
        <v>41</v>
      </c>
      <c r="S19" s="79" t="s">
        <v>45</v>
      </c>
      <c r="T19" s="79" t="s">
        <v>41</v>
      </c>
      <c r="U19" s="79" t="s">
        <v>54</v>
      </c>
      <c r="V19" s="79" t="s">
        <v>31</v>
      </c>
      <c r="W19" s="79" t="s">
        <v>54</v>
      </c>
      <c r="X19" s="79" t="s">
        <v>31</v>
      </c>
      <c r="Y19" s="79" t="s">
        <v>54</v>
      </c>
      <c r="Z19" s="79" t="s">
        <v>54</v>
      </c>
      <c r="AA19" s="79" t="s">
        <v>31</v>
      </c>
      <c r="AB19" s="79" t="s">
        <v>31</v>
      </c>
      <c r="AC19" s="79" t="s">
        <v>54</v>
      </c>
      <c r="AD19" s="79" t="s">
        <v>54</v>
      </c>
      <c r="AE19" s="79" t="s">
        <v>54</v>
      </c>
      <c r="AF19" s="79" t="s">
        <v>54</v>
      </c>
      <c r="AG19" s="79" t="s">
        <v>54</v>
      </c>
      <c r="AH19" s="79" t="s">
        <v>54</v>
      </c>
      <c r="AI19" s="79" t="s">
        <v>31</v>
      </c>
      <c r="AJ19" s="79" t="s">
        <v>54</v>
      </c>
      <c r="AK19" s="79" t="s">
        <v>54</v>
      </c>
      <c r="AL19" s="79" t="s">
        <v>54</v>
      </c>
      <c r="AM19" s="79" t="s">
        <v>54</v>
      </c>
      <c r="AN19" s="79" t="s">
        <v>54</v>
      </c>
      <c r="AO19" s="79" t="s">
        <v>31</v>
      </c>
      <c r="AP19" s="79" t="s">
        <v>54</v>
      </c>
      <c r="AQ19" s="79" t="s">
        <v>31</v>
      </c>
      <c r="AR19" s="79" t="s">
        <v>54</v>
      </c>
      <c r="AS19" s="79" t="s">
        <v>31</v>
      </c>
      <c r="AT19" s="79" t="s">
        <v>54</v>
      </c>
      <c r="AU19" s="79" t="s">
        <v>54</v>
      </c>
      <c r="AV19" s="79" t="s">
        <v>54</v>
      </c>
      <c r="AW19" s="79" t="s">
        <v>54</v>
      </c>
      <c r="AX19" s="79" t="s">
        <v>54</v>
      </c>
    </row>
    <row r="20" spans="1:50" ht="15.75" customHeight="1">
      <c r="A20" s="78">
        <v>20</v>
      </c>
      <c r="C20" s="79" t="s">
        <v>54</v>
      </c>
      <c r="D20" s="79" t="s">
        <v>31</v>
      </c>
      <c r="E20" s="79" t="s">
        <v>54</v>
      </c>
      <c r="F20" s="79" t="s">
        <v>31</v>
      </c>
      <c r="G20" s="79" t="s">
        <v>54</v>
      </c>
      <c r="H20" s="79" t="s">
        <v>54</v>
      </c>
      <c r="I20" s="79" t="s">
        <v>54</v>
      </c>
      <c r="J20" s="79" t="s">
        <v>54</v>
      </c>
      <c r="K20" s="79" t="s">
        <v>31</v>
      </c>
      <c r="L20" s="79" t="s">
        <v>54</v>
      </c>
      <c r="M20" s="79" t="s">
        <v>54</v>
      </c>
      <c r="N20" s="79" t="s">
        <v>54</v>
      </c>
      <c r="O20" s="79" t="s">
        <v>54</v>
      </c>
      <c r="P20" s="79" t="s">
        <v>54</v>
      </c>
      <c r="Q20" s="79" t="s">
        <v>54</v>
      </c>
      <c r="R20" s="79" t="s">
        <v>45</v>
      </c>
      <c r="S20" s="79" t="s">
        <v>41</v>
      </c>
      <c r="T20" s="79" t="s">
        <v>31</v>
      </c>
      <c r="U20" s="79" t="s">
        <v>54</v>
      </c>
      <c r="V20" s="79" t="s">
        <v>31</v>
      </c>
      <c r="W20" s="79" t="s">
        <v>54</v>
      </c>
      <c r="X20" s="79" t="s">
        <v>45</v>
      </c>
      <c r="Y20" s="79" t="s">
        <v>41</v>
      </c>
      <c r="Z20" s="79" t="s">
        <v>54</v>
      </c>
      <c r="AA20" s="79" t="s">
        <v>31</v>
      </c>
      <c r="AB20" s="79" t="s">
        <v>31</v>
      </c>
      <c r="AC20" s="79" t="s">
        <v>54</v>
      </c>
      <c r="AD20" s="79" t="s">
        <v>54</v>
      </c>
      <c r="AE20" s="79" t="s">
        <v>54</v>
      </c>
      <c r="AF20" s="79" t="s">
        <v>54</v>
      </c>
      <c r="AG20" s="79" t="s">
        <v>54</v>
      </c>
      <c r="AH20" s="79" t="s">
        <v>54</v>
      </c>
      <c r="AI20" s="79" t="s">
        <v>31</v>
      </c>
      <c r="AJ20" s="79" t="s">
        <v>54</v>
      </c>
      <c r="AK20" s="79" t="s">
        <v>54</v>
      </c>
      <c r="AL20" s="79" t="s">
        <v>54</v>
      </c>
      <c r="AM20" s="79" t="s">
        <v>54</v>
      </c>
      <c r="AN20" s="79" t="s">
        <v>54</v>
      </c>
      <c r="AO20" s="79" t="s">
        <v>45</v>
      </c>
      <c r="AP20" s="79" t="s">
        <v>41</v>
      </c>
      <c r="AQ20" s="79" t="s">
        <v>31</v>
      </c>
      <c r="AR20" s="79" t="s">
        <v>54</v>
      </c>
      <c r="AS20" s="79" t="s">
        <v>31</v>
      </c>
      <c r="AT20" s="79" t="s">
        <v>54</v>
      </c>
      <c r="AU20" s="79" t="s">
        <v>54</v>
      </c>
      <c r="AV20" s="79" t="s">
        <v>54</v>
      </c>
      <c r="AW20" s="79" t="s">
        <v>54</v>
      </c>
      <c r="AX20" s="79" t="s">
        <v>54</v>
      </c>
    </row>
    <row r="21" spans="1:50" ht="15.75" customHeight="1">
      <c r="A21" s="78">
        <v>21</v>
      </c>
      <c r="C21" s="79" t="s">
        <v>54</v>
      </c>
      <c r="D21" s="79" t="s">
        <v>31</v>
      </c>
      <c r="E21" s="79" t="s">
        <v>54</v>
      </c>
      <c r="F21" s="79" t="s">
        <v>31</v>
      </c>
      <c r="G21" s="79" t="s">
        <v>54</v>
      </c>
      <c r="H21" s="79" t="s">
        <v>54</v>
      </c>
      <c r="I21" s="79" t="s">
        <v>54</v>
      </c>
      <c r="J21" s="79" t="s">
        <v>37</v>
      </c>
      <c r="K21" s="79" t="s">
        <v>47</v>
      </c>
      <c r="L21" s="79" t="s">
        <v>54</v>
      </c>
      <c r="M21" s="79" t="s">
        <v>54</v>
      </c>
      <c r="N21" s="79" t="s">
        <v>54</v>
      </c>
      <c r="O21" s="79" t="s">
        <v>54</v>
      </c>
      <c r="P21" s="79" t="s">
        <v>54</v>
      </c>
      <c r="Q21" s="79" t="s">
        <v>54</v>
      </c>
      <c r="R21" s="79" t="s">
        <v>54</v>
      </c>
      <c r="S21" s="79" t="s">
        <v>45</v>
      </c>
      <c r="T21" s="79" t="s">
        <v>47</v>
      </c>
      <c r="U21" s="79" t="s">
        <v>54</v>
      </c>
      <c r="V21" s="79" t="s">
        <v>31</v>
      </c>
      <c r="W21" s="79" t="s">
        <v>54</v>
      </c>
      <c r="X21" s="79" t="s">
        <v>54</v>
      </c>
      <c r="Y21" s="79" t="s">
        <v>45</v>
      </c>
      <c r="Z21" s="79" t="s">
        <v>34</v>
      </c>
      <c r="AA21" s="79" t="s">
        <v>47</v>
      </c>
      <c r="AB21" s="79" t="s">
        <v>52</v>
      </c>
      <c r="AC21" s="79" t="s">
        <v>54</v>
      </c>
      <c r="AD21" s="79" t="s">
        <v>54</v>
      </c>
      <c r="AE21" s="79" t="s">
        <v>54</v>
      </c>
      <c r="AF21" s="79" t="s">
        <v>54</v>
      </c>
      <c r="AG21" s="79" t="s">
        <v>54</v>
      </c>
      <c r="AH21" s="79" t="s">
        <v>54</v>
      </c>
      <c r="AI21" s="79" t="s">
        <v>31</v>
      </c>
      <c r="AJ21" s="79" t="s">
        <v>54</v>
      </c>
      <c r="AK21" s="79" t="s">
        <v>54</v>
      </c>
      <c r="AL21" s="79" t="s">
        <v>54</v>
      </c>
      <c r="AM21" s="79" t="s">
        <v>54</v>
      </c>
      <c r="AN21" s="79" t="s">
        <v>54</v>
      </c>
      <c r="AO21" s="79" t="s">
        <v>54</v>
      </c>
      <c r="AP21" s="79" t="s">
        <v>31</v>
      </c>
      <c r="AQ21" s="79" t="s">
        <v>31</v>
      </c>
      <c r="AR21" s="79" t="s">
        <v>54</v>
      </c>
      <c r="AS21" s="79" t="s">
        <v>45</v>
      </c>
      <c r="AT21" s="79" t="s">
        <v>34</v>
      </c>
      <c r="AU21" s="79" t="s">
        <v>34</v>
      </c>
      <c r="AV21" s="79" t="s">
        <v>41</v>
      </c>
      <c r="AW21" s="79" t="s">
        <v>54</v>
      </c>
      <c r="AX21" s="79" t="s">
        <v>54</v>
      </c>
    </row>
    <row r="22" spans="1:50" ht="15.75" customHeight="1">
      <c r="A22" s="78">
        <v>22</v>
      </c>
      <c r="C22" s="79" t="s">
        <v>54</v>
      </c>
      <c r="D22" s="79" t="s">
        <v>49</v>
      </c>
      <c r="E22" s="79" t="s">
        <v>54</v>
      </c>
      <c r="F22" s="79" t="s">
        <v>45</v>
      </c>
      <c r="G22" s="79" t="s">
        <v>34</v>
      </c>
      <c r="H22" s="79" t="s">
        <v>34</v>
      </c>
      <c r="I22" s="79" t="s">
        <v>34</v>
      </c>
      <c r="J22" s="79" t="s">
        <v>47</v>
      </c>
      <c r="K22" s="79" t="s">
        <v>54</v>
      </c>
      <c r="L22" s="79" t="s">
        <v>54</v>
      </c>
      <c r="M22" s="79" t="s">
        <v>54</v>
      </c>
      <c r="N22" s="79" t="s">
        <v>54</v>
      </c>
      <c r="O22" s="79" t="s">
        <v>54</v>
      </c>
      <c r="P22" s="79" t="s">
        <v>54</v>
      </c>
      <c r="Q22" s="79" t="s">
        <v>54</v>
      </c>
      <c r="R22" s="79" t="s">
        <v>54</v>
      </c>
      <c r="S22" s="79" t="s">
        <v>54</v>
      </c>
      <c r="T22" s="79" t="s">
        <v>54</v>
      </c>
      <c r="U22" s="79" t="s">
        <v>54</v>
      </c>
      <c r="V22" s="79" t="s">
        <v>52</v>
      </c>
      <c r="W22" s="79" t="s">
        <v>54</v>
      </c>
      <c r="X22" s="79" t="s">
        <v>54</v>
      </c>
      <c r="Y22" s="79" t="s">
        <v>54</v>
      </c>
      <c r="Z22" s="79" t="s">
        <v>54</v>
      </c>
      <c r="AA22" s="79" t="s">
        <v>54</v>
      </c>
      <c r="AB22" s="79" t="s">
        <v>54</v>
      </c>
      <c r="AC22" s="79" t="s">
        <v>54</v>
      </c>
      <c r="AD22" s="79" t="s">
        <v>54</v>
      </c>
      <c r="AE22" s="79" t="s">
        <v>54</v>
      </c>
      <c r="AF22" s="79" t="s">
        <v>54</v>
      </c>
      <c r="AG22" s="79" t="s">
        <v>54</v>
      </c>
      <c r="AH22" s="79" t="s">
        <v>54</v>
      </c>
      <c r="AI22" s="79" t="s">
        <v>45</v>
      </c>
      <c r="AJ22" s="79" t="s">
        <v>34</v>
      </c>
      <c r="AK22" s="79" t="s">
        <v>52</v>
      </c>
      <c r="AL22" s="79" t="s">
        <v>54</v>
      </c>
      <c r="AM22" s="79" t="s">
        <v>54</v>
      </c>
      <c r="AN22" s="79" t="s">
        <v>54</v>
      </c>
      <c r="AO22" s="79" t="s">
        <v>54</v>
      </c>
      <c r="AP22" s="79" t="s">
        <v>31</v>
      </c>
      <c r="AQ22" s="79" t="s">
        <v>31</v>
      </c>
      <c r="AR22" s="79" t="s">
        <v>54</v>
      </c>
      <c r="AS22" s="79" t="s">
        <v>54</v>
      </c>
      <c r="AT22" s="79" t="s">
        <v>54</v>
      </c>
      <c r="AU22" s="79" t="s">
        <v>54</v>
      </c>
      <c r="AV22" s="79" t="s">
        <v>31</v>
      </c>
      <c r="AW22" s="79" t="s">
        <v>54</v>
      </c>
      <c r="AX22" s="79" t="s">
        <v>54</v>
      </c>
    </row>
    <row r="23" spans="1:50" ht="15.75" customHeight="1">
      <c r="A23" s="78">
        <v>23</v>
      </c>
      <c r="C23" s="79" t="s">
        <v>52</v>
      </c>
      <c r="D23" s="79" t="s">
        <v>34</v>
      </c>
      <c r="E23" s="79" t="s">
        <v>34</v>
      </c>
      <c r="F23" s="79" t="s">
        <v>41</v>
      </c>
      <c r="G23" s="79" t="s">
        <v>54</v>
      </c>
      <c r="H23" s="79" t="s">
        <v>54</v>
      </c>
      <c r="I23" s="79" t="s">
        <v>54</v>
      </c>
      <c r="J23" s="79" t="s">
        <v>54</v>
      </c>
      <c r="K23" s="79" t="s">
        <v>54</v>
      </c>
      <c r="L23" s="79" t="s">
        <v>54</v>
      </c>
      <c r="M23" s="79" t="s">
        <v>54</v>
      </c>
      <c r="N23" s="79" t="s">
        <v>54</v>
      </c>
      <c r="O23" s="79" t="s">
        <v>54</v>
      </c>
      <c r="P23" s="79" t="s">
        <v>54</v>
      </c>
      <c r="Q23" s="79" t="s">
        <v>54</v>
      </c>
      <c r="R23" s="79" t="s">
        <v>54</v>
      </c>
      <c r="S23" s="79" t="s">
        <v>54</v>
      </c>
      <c r="T23" s="79" t="s">
        <v>54</v>
      </c>
      <c r="U23" s="79" t="s">
        <v>54</v>
      </c>
      <c r="V23" s="79" t="s">
        <v>54</v>
      </c>
      <c r="W23" s="79" t="s">
        <v>54</v>
      </c>
      <c r="X23" s="79" t="s">
        <v>54</v>
      </c>
      <c r="Y23" s="79" t="s">
        <v>54</v>
      </c>
      <c r="Z23" s="79" t="s">
        <v>54</v>
      </c>
      <c r="AA23" s="79" t="s">
        <v>54</v>
      </c>
      <c r="AB23" s="79" t="s">
        <v>54</v>
      </c>
      <c r="AC23" s="79" t="s">
        <v>54</v>
      </c>
      <c r="AD23" s="79" t="s">
        <v>54</v>
      </c>
      <c r="AE23" s="79" t="s">
        <v>54</v>
      </c>
      <c r="AF23" s="79" t="s">
        <v>54</v>
      </c>
      <c r="AG23" s="79" t="s">
        <v>52</v>
      </c>
      <c r="AH23" s="79" t="s">
        <v>54</v>
      </c>
      <c r="AI23" s="79" t="s">
        <v>54</v>
      </c>
      <c r="AJ23" s="79" t="s">
        <v>54</v>
      </c>
      <c r="AK23" s="79" t="s">
        <v>54</v>
      </c>
      <c r="AL23" s="79" t="s">
        <v>54</v>
      </c>
      <c r="AM23" s="79" t="s">
        <v>54</v>
      </c>
      <c r="AN23" s="79" t="s">
        <v>54</v>
      </c>
      <c r="AO23" s="79" t="s">
        <v>54</v>
      </c>
      <c r="AP23" s="79" t="s">
        <v>31</v>
      </c>
      <c r="AQ23" s="79" t="s">
        <v>45</v>
      </c>
      <c r="AR23" s="79" t="s">
        <v>34</v>
      </c>
      <c r="AS23" s="79" t="s">
        <v>34</v>
      </c>
      <c r="AT23" s="79" t="s">
        <v>41</v>
      </c>
      <c r="AU23" s="79" t="s">
        <v>37</v>
      </c>
      <c r="AV23" s="79" t="s">
        <v>47</v>
      </c>
      <c r="AW23" s="79" t="s">
        <v>54</v>
      </c>
      <c r="AX23" s="79" t="s">
        <v>54</v>
      </c>
    </row>
    <row r="24" spans="1:50" ht="15.75" customHeight="1">
      <c r="A24" s="78">
        <v>24</v>
      </c>
      <c r="C24" s="79" t="s">
        <v>54</v>
      </c>
      <c r="D24" s="79" t="s">
        <v>54</v>
      </c>
      <c r="E24" s="79" t="s">
        <v>54</v>
      </c>
      <c r="F24" s="79" t="s">
        <v>31</v>
      </c>
      <c r="G24" s="79" t="s">
        <v>54</v>
      </c>
      <c r="H24" s="79" t="s">
        <v>54</v>
      </c>
      <c r="I24" s="79" t="s">
        <v>54</v>
      </c>
      <c r="J24" s="79" t="s">
        <v>54</v>
      </c>
      <c r="K24" s="79" t="s">
        <v>52</v>
      </c>
      <c r="L24" s="79" t="s">
        <v>34</v>
      </c>
      <c r="M24" s="79" t="s">
        <v>41</v>
      </c>
      <c r="N24" s="79" t="s">
        <v>54</v>
      </c>
      <c r="O24" s="79" t="s">
        <v>54</v>
      </c>
      <c r="P24" s="79" t="s">
        <v>54</v>
      </c>
      <c r="Q24" s="79" t="s">
        <v>54</v>
      </c>
      <c r="R24" s="79" t="s">
        <v>54</v>
      </c>
      <c r="S24" s="79" t="s">
        <v>37</v>
      </c>
      <c r="T24" s="79" t="s">
        <v>34</v>
      </c>
      <c r="U24" s="79" t="s">
        <v>41</v>
      </c>
      <c r="V24" s="79" t="s">
        <v>54</v>
      </c>
      <c r="W24" s="79" t="s">
        <v>54</v>
      </c>
      <c r="X24" s="79" t="s">
        <v>49</v>
      </c>
      <c r="Y24" s="79" t="s">
        <v>54</v>
      </c>
      <c r="Z24" s="79" t="s">
        <v>54</v>
      </c>
      <c r="AA24" s="79" t="s">
        <v>54</v>
      </c>
      <c r="AB24" s="79" t="s">
        <v>52</v>
      </c>
      <c r="AC24" s="79" t="s">
        <v>54</v>
      </c>
      <c r="AD24" s="79" t="s">
        <v>37</v>
      </c>
      <c r="AE24" s="79" t="s">
        <v>34</v>
      </c>
      <c r="AF24" s="79" t="s">
        <v>41</v>
      </c>
      <c r="AG24" s="79" t="s">
        <v>31</v>
      </c>
      <c r="AH24" s="79" t="s">
        <v>54</v>
      </c>
      <c r="AI24" s="79" t="s">
        <v>49</v>
      </c>
      <c r="AJ24" s="79" t="s">
        <v>34</v>
      </c>
      <c r="AK24" s="79" t="s">
        <v>34</v>
      </c>
      <c r="AL24" s="79" t="s">
        <v>41</v>
      </c>
      <c r="AM24" s="79" t="s">
        <v>54</v>
      </c>
      <c r="AN24" s="79" t="s">
        <v>54</v>
      </c>
      <c r="AO24" s="79" t="s">
        <v>54</v>
      </c>
      <c r="AP24" s="79" t="s">
        <v>31</v>
      </c>
      <c r="AQ24" s="79" t="s">
        <v>37</v>
      </c>
      <c r="AR24" s="79" t="s">
        <v>34</v>
      </c>
      <c r="AS24" s="79" t="s">
        <v>34</v>
      </c>
      <c r="AT24" s="79" t="s">
        <v>47</v>
      </c>
      <c r="AU24" s="79" t="s">
        <v>45</v>
      </c>
      <c r="AV24" s="79" t="s">
        <v>41</v>
      </c>
      <c r="AW24" s="79" t="s">
        <v>54</v>
      </c>
      <c r="AX24" s="79" t="s">
        <v>54</v>
      </c>
    </row>
    <row r="25" spans="1:50" ht="15.75" customHeight="1">
      <c r="A25" s="78">
        <v>25</v>
      </c>
      <c r="C25" s="79" t="s">
        <v>54</v>
      </c>
      <c r="D25" s="79" t="s">
        <v>54</v>
      </c>
      <c r="E25" s="79" t="s">
        <v>54</v>
      </c>
      <c r="F25" s="79" t="s">
        <v>45</v>
      </c>
      <c r="G25" s="79" t="s">
        <v>41</v>
      </c>
      <c r="H25" s="79" t="s">
        <v>54</v>
      </c>
      <c r="I25" s="79" t="s">
        <v>54</v>
      </c>
      <c r="J25" s="79" t="s">
        <v>54</v>
      </c>
      <c r="K25" s="79" t="s">
        <v>54</v>
      </c>
      <c r="L25" s="79" t="s">
        <v>54</v>
      </c>
      <c r="M25" s="79" t="s">
        <v>31</v>
      </c>
      <c r="N25" s="79" t="s">
        <v>54</v>
      </c>
      <c r="O25" s="79" t="s">
        <v>54</v>
      </c>
      <c r="P25" s="79" t="s">
        <v>54</v>
      </c>
      <c r="Q25" s="79" t="s">
        <v>54</v>
      </c>
      <c r="R25" s="79" t="s">
        <v>37</v>
      </c>
      <c r="S25" s="79" t="s">
        <v>47</v>
      </c>
      <c r="T25" s="79" t="s">
        <v>54</v>
      </c>
      <c r="U25" s="79" t="s">
        <v>45</v>
      </c>
      <c r="V25" s="79" t="s">
        <v>41</v>
      </c>
      <c r="W25" s="79" t="s">
        <v>54</v>
      </c>
      <c r="X25" s="79" t="s">
        <v>31</v>
      </c>
      <c r="Y25" s="79" t="s">
        <v>54</v>
      </c>
      <c r="Z25" s="79" t="s">
        <v>54</v>
      </c>
      <c r="AA25" s="79" t="s">
        <v>54</v>
      </c>
      <c r="AB25" s="79" t="s">
        <v>31</v>
      </c>
      <c r="AC25" s="79" t="s">
        <v>54</v>
      </c>
      <c r="AD25" s="79" t="s">
        <v>31</v>
      </c>
      <c r="AE25" s="79" t="s">
        <v>54</v>
      </c>
      <c r="AF25" s="79" t="s">
        <v>45</v>
      </c>
      <c r="AG25" s="79" t="s">
        <v>47</v>
      </c>
      <c r="AH25" s="79" t="s">
        <v>54</v>
      </c>
      <c r="AI25" s="79" t="s">
        <v>54</v>
      </c>
      <c r="AJ25" s="79" t="s">
        <v>54</v>
      </c>
      <c r="AK25" s="79" t="s">
        <v>54</v>
      </c>
      <c r="AL25" s="79" t="s">
        <v>45</v>
      </c>
      <c r="AM25" s="79" t="s">
        <v>34</v>
      </c>
      <c r="AN25" s="79" t="s">
        <v>41</v>
      </c>
      <c r="AO25" s="79" t="s">
        <v>54</v>
      </c>
      <c r="AP25" s="79" t="s">
        <v>31</v>
      </c>
      <c r="AQ25" s="79" t="s">
        <v>45</v>
      </c>
      <c r="AR25" s="79" t="s">
        <v>34</v>
      </c>
      <c r="AS25" s="79" t="s">
        <v>34</v>
      </c>
      <c r="AT25" s="79" t="s">
        <v>41</v>
      </c>
      <c r="AU25" s="79" t="s">
        <v>37</v>
      </c>
      <c r="AV25" s="79" t="s">
        <v>47</v>
      </c>
      <c r="AW25" s="79" t="s">
        <v>54</v>
      </c>
      <c r="AX25" s="79" t="s">
        <v>54</v>
      </c>
    </row>
    <row r="26" spans="1:50" ht="15.75" customHeight="1">
      <c r="A26" s="78">
        <v>26</v>
      </c>
      <c r="C26" s="79" t="s">
        <v>54</v>
      </c>
      <c r="D26" s="79" t="s">
        <v>54</v>
      </c>
      <c r="E26" s="79" t="s">
        <v>54</v>
      </c>
      <c r="F26" s="79" t="s">
        <v>54</v>
      </c>
      <c r="G26" s="79" t="s">
        <v>31</v>
      </c>
      <c r="H26" s="79" t="s">
        <v>54</v>
      </c>
      <c r="I26" s="79" t="s">
        <v>54</v>
      </c>
      <c r="J26" s="79" t="s">
        <v>54</v>
      </c>
      <c r="K26" s="79" t="s">
        <v>54</v>
      </c>
      <c r="L26" s="79" t="s">
        <v>54</v>
      </c>
      <c r="M26" s="79" t="s">
        <v>31</v>
      </c>
      <c r="N26" s="79" t="s">
        <v>54</v>
      </c>
      <c r="O26" s="79" t="s">
        <v>54</v>
      </c>
      <c r="P26" s="79" t="s">
        <v>54</v>
      </c>
      <c r="Q26" s="79" t="s">
        <v>54</v>
      </c>
      <c r="R26" s="79" t="s">
        <v>31</v>
      </c>
      <c r="S26" s="79" t="s">
        <v>54</v>
      </c>
      <c r="T26" s="79" t="s">
        <v>54</v>
      </c>
      <c r="U26" s="79" t="s">
        <v>54</v>
      </c>
      <c r="V26" s="79" t="s">
        <v>31</v>
      </c>
      <c r="W26" s="79" t="s">
        <v>54</v>
      </c>
      <c r="X26" s="79" t="s">
        <v>31</v>
      </c>
      <c r="Y26" s="79" t="s">
        <v>54</v>
      </c>
      <c r="Z26" s="79" t="s">
        <v>54</v>
      </c>
      <c r="AA26" s="79" t="s">
        <v>54</v>
      </c>
      <c r="AB26" s="79" t="s">
        <v>31</v>
      </c>
      <c r="AC26" s="79" t="s">
        <v>54</v>
      </c>
      <c r="AD26" s="79" t="s">
        <v>31</v>
      </c>
      <c r="AE26" s="79" t="s">
        <v>54</v>
      </c>
      <c r="AF26" s="79" t="s">
        <v>54</v>
      </c>
      <c r="AG26" s="79" t="s">
        <v>54</v>
      </c>
      <c r="AH26" s="79" t="s">
        <v>54</v>
      </c>
      <c r="AI26" s="79" t="s">
        <v>37</v>
      </c>
      <c r="AJ26" s="79" t="s">
        <v>34</v>
      </c>
      <c r="AK26" s="79" t="s">
        <v>34</v>
      </c>
      <c r="AL26" s="79" t="s">
        <v>34</v>
      </c>
      <c r="AM26" s="79" t="s">
        <v>34</v>
      </c>
      <c r="AN26" s="79" t="s">
        <v>47</v>
      </c>
      <c r="AO26" s="79" t="s">
        <v>52</v>
      </c>
      <c r="AP26" s="79" t="s">
        <v>47</v>
      </c>
      <c r="AQ26" s="79" t="s">
        <v>54</v>
      </c>
      <c r="AR26" s="79" t="s">
        <v>54</v>
      </c>
      <c r="AS26" s="79" t="s">
        <v>54</v>
      </c>
      <c r="AT26" s="79" t="s">
        <v>45</v>
      </c>
      <c r="AU26" s="79" t="s">
        <v>47</v>
      </c>
      <c r="AV26" s="79" t="s">
        <v>54</v>
      </c>
      <c r="AW26" s="79" t="s">
        <v>54</v>
      </c>
      <c r="AX26" s="79" t="s">
        <v>54</v>
      </c>
    </row>
    <row r="27" spans="1:50" ht="15.75" customHeight="1">
      <c r="A27" s="78">
        <v>27</v>
      </c>
      <c r="C27" s="79" t="s">
        <v>54</v>
      </c>
      <c r="D27" s="79" t="s">
        <v>54</v>
      </c>
      <c r="E27" s="79" t="s">
        <v>54</v>
      </c>
      <c r="F27" s="79" t="s">
        <v>54</v>
      </c>
      <c r="G27" s="79" t="s">
        <v>31</v>
      </c>
      <c r="H27" s="79" t="s">
        <v>54</v>
      </c>
      <c r="I27" s="79" t="s">
        <v>54</v>
      </c>
      <c r="J27" s="79" t="s">
        <v>54</v>
      </c>
      <c r="K27" s="79" t="s">
        <v>54</v>
      </c>
      <c r="L27" s="79" t="s">
        <v>54</v>
      </c>
      <c r="M27" s="79" t="s">
        <v>31</v>
      </c>
      <c r="N27" s="79" t="s">
        <v>54</v>
      </c>
      <c r="O27" s="79" t="s">
        <v>54</v>
      </c>
      <c r="P27" s="79" t="s">
        <v>54</v>
      </c>
      <c r="Q27" s="79" t="s">
        <v>54</v>
      </c>
      <c r="R27" s="79" t="s">
        <v>31</v>
      </c>
      <c r="S27" s="79" t="s">
        <v>54</v>
      </c>
      <c r="T27" s="79" t="s">
        <v>54</v>
      </c>
      <c r="U27" s="79" t="s">
        <v>54</v>
      </c>
      <c r="V27" s="79" t="s">
        <v>31</v>
      </c>
      <c r="W27" s="79" t="s">
        <v>54</v>
      </c>
      <c r="X27" s="79" t="s">
        <v>31</v>
      </c>
      <c r="Y27" s="79" t="s">
        <v>54</v>
      </c>
      <c r="Z27" s="79" t="s">
        <v>54</v>
      </c>
      <c r="AA27" s="79" t="s">
        <v>54</v>
      </c>
      <c r="AB27" s="79" t="s">
        <v>31</v>
      </c>
      <c r="AC27" s="79" t="s">
        <v>54</v>
      </c>
      <c r="AD27" s="79" t="s">
        <v>31</v>
      </c>
      <c r="AE27" s="79" t="s">
        <v>54</v>
      </c>
      <c r="AF27" s="79" t="s">
        <v>54</v>
      </c>
      <c r="AG27" s="79" t="s">
        <v>54</v>
      </c>
      <c r="AH27" s="79" t="s">
        <v>54</v>
      </c>
      <c r="AI27" s="79" t="s">
        <v>45</v>
      </c>
      <c r="AJ27" s="79" t="s">
        <v>34</v>
      </c>
      <c r="AK27" s="79" t="s">
        <v>34</v>
      </c>
      <c r="AL27" s="79" t="s">
        <v>41</v>
      </c>
      <c r="AM27" s="79" t="s">
        <v>54</v>
      </c>
      <c r="AN27" s="79" t="s">
        <v>54</v>
      </c>
      <c r="AO27" s="79" t="s">
        <v>54</v>
      </c>
      <c r="AP27" s="79" t="s">
        <v>54</v>
      </c>
      <c r="AQ27" s="79" t="s">
        <v>54</v>
      </c>
      <c r="AR27" s="79" t="s">
        <v>52</v>
      </c>
      <c r="AS27" s="79" t="s">
        <v>41</v>
      </c>
      <c r="AT27" s="79" t="s">
        <v>54</v>
      </c>
      <c r="AU27" s="79" t="s">
        <v>54</v>
      </c>
      <c r="AV27" s="79" t="s">
        <v>49</v>
      </c>
      <c r="AW27" s="79" t="s">
        <v>54</v>
      </c>
      <c r="AX27" s="79" t="s">
        <v>54</v>
      </c>
    </row>
    <row r="28" spans="1:50" ht="15.75" customHeight="1">
      <c r="A28" s="78">
        <v>28</v>
      </c>
      <c r="C28" s="79" t="s">
        <v>54</v>
      </c>
      <c r="D28" s="79" t="s">
        <v>54</v>
      </c>
      <c r="E28" s="79" t="s">
        <v>54</v>
      </c>
      <c r="F28" s="79" t="s">
        <v>54</v>
      </c>
      <c r="G28" s="79" t="s">
        <v>31</v>
      </c>
      <c r="H28" s="79" t="s">
        <v>54</v>
      </c>
      <c r="I28" s="79" t="s">
        <v>54</v>
      </c>
      <c r="J28" s="79" t="s">
        <v>54</v>
      </c>
      <c r="K28" s="79" t="s">
        <v>54</v>
      </c>
      <c r="L28" s="79" t="s">
        <v>54</v>
      </c>
      <c r="M28" s="79" t="s">
        <v>31</v>
      </c>
      <c r="N28" s="79" t="s">
        <v>54</v>
      </c>
      <c r="O28" s="79" t="s">
        <v>54</v>
      </c>
      <c r="P28" s="79" t="s">
        <v>54</v>
      </c>
      <c r="Q28" s="79" t="s">
        <v>54</v>
      </c>
      <c r="R28" s="79" t="s">
        <v>31</v>
      </c>
      <c r="S28" s="79" t="s">
        <v>37</v>
      </c>
      <c r="T28" s="79" t="s">
        <v>34</v>
      </c>
      <c r="U28" s="79" t="s">
        <v>34</v>
      </c>
      <c r="V28" s="79" t="s">
        <v>47</v>
      </c>
      <c r="W28" s="79" t="s">
        <v>54</v>
      </c>
      <c r="X28" s="79" t="s">
        <v>31</v>
      </c>
      <c r="Y28" s="79" t="s">
        <v>54</v>
      </c>
      <c r="Z28" s="79" t="s">
        <v>54</v>
      </c>
      <c r="AA28" s="79" t="s">
        <v>54</v>
      </c>
      <c r="AB28" s="79" t="s">
        <v>31</v>
      </c>
      <c r="AC28" s="79" t="s">
        <v>54</v>
      </c>
      <c r="AD28" s="79" t="s">
        <v>31</v>
      </c>
      <c r="AE28" s="79" t="s">
        <v>54</v>
      </c>
      <c r="AF28" s="79" t="s">
        <v>54</v>
      </c>
      <c r="AG28" s="79" t="s">
        <v>54</v>
      </c>
      <c r="AH28" s="79" t="s">
        <v>54</v>
      </c>
      <c r="AI28" s="79" t="s">
        <v>37</v>
      </c>
      <c r="AJ28" s="79" t="s">
        <v>34</v>
      </c>
      <c r="AK28" s="79" t="s">
        <v>34</v>
      </c>
      <c r="AL28" s="79" t="s">
        <v>47</v>
      </c>
      <c r="AM28" s="79" t="s">
        <v>54</v>
      </c>
      <c r="AN28" s="79" t="s">
        <v>54</v>
      </c>
      <c r="AO28" s="79" t="s">
        <v>54</v>
      </c>
      <c r="AP28" s="79" t="s">
        <v>54</v>
      </c>
      <c r="AQ28" s="79" t="s">
        <v>54</v>
      </c>
      <c r="AR28" s="79" t="s">
        <v>54</v>
      </c>
      <c r="AS28" s="79" t="s">
        <v>45</v>
      </c>
      <c r="AT28" s="79" t="s">
        <v>41</v>
      </c>
      <c r="AU28" s="79" t="s">
        <v>54</v>
      </c>
      <c r="AV28" s="79" t="s">
        <v>31</v>
      </c>
      <c r="AW28" s="79" t="s">
        <v>54</v>
      </c>
      <c r="AX28" s="79" t="s">
        <v>54</v>
      </c>
    </row>
    <row r="29" spans="1:50" ht="15.75" customHeight="1">
      <c r="A29" s="78">
        <v>29</v>
      </c>
      <c r="C29" s="79" t="s">
        <v>54</v>
      </c>
      <c r="D29" s="79" t="s">
        <v>54</v>
      </c>
      <c r="E29" s="79" t="s">
        <v>54</v>
      </c>
      <c r="F29" s="79" t="s">
        <v>54</v>
      </c>
      <c r="G29" s="79" t="s">
        <v>31</v>
      </c>
      <c r="H29" s="79" t="s">
        <v>54</v>
      </c>
      <c r="I29" s="79" t="s">
        <v>54</v>
      </c>
      <c r="J29" s="79" t="s">
        <v>54</v>
      </c>
      <c r="K29" s="79" t="s">
        <v>54</v>
      </c>
      <c r="L29" s="79" t="s">
        <v>54</v>
      </c>
      <c r="M29" s="79" t="s">
        <v>31</v>
      </c>
      <c r="N29" s="79" t="s">
        <v>54</v>
      </c>
      <c r="O29" s="79" t="s">
        <v>54</v>
      </c>
      <c r="P29" s="79" t="s">
        <v>54</v>
      </c>
      <c r="Q29" s="79" t="s">
        <v>54</v>
      </c>
      <c r="R29" s="79" t="s">
        <v>31</v>
      </c>
      <c r="S29" s="79" t="s">
        <v>45</v>
      </c>
      <c r="T29" s="79" t="s">
        <v>34</v>
      </c>
      <c r="U29" s="79" t="s">
        <v>34</v>
      </c>
      <c r="V29" s="79" t="s">
        <v>41</v>
      </c>
      <c r="W29" s="79" t="s">
        <v>54</v>
      </c>
      <c r="X29" s="79" t="s">
        <v>31</v>
      </c>
      <c r="Y29" s="79" t="s">
        <v>54</v>
      </c>
      <c r="Z29" s="79" t="s">
        <v>54</v>
      </c>
      <c r="AA29" s="79" t="s">
        <v>54</v>
      </c>
      <c r="AB29" s="79" t="s">
        <v>31</v>
      </c>
      <c r="AC29" s="79" t="s">
        <v>54</v>
      </c>
      <c r="AD29" s="79" t="s">
        <v>31</v>
      </c>
      <c r="AE29" s="79" t="s">
        <v>54</v>
      </c>
      <c r="AF29" s="79" t="s">
        <v>54</v>
      </c>
      <c r="AG29" s="79" t="s">
        <v>54</v>
      </c>
      <c r="AH29" s="79" t="s">
        <v>54</v>
      </c>
      <c r="AI29" s="79" t="s">
        <v>31</v>
      </c>
      <c r="AJ29" s="79" t="s">
        <v>54</v>
      </c>
      <c r="AK29" s="79" t="s">
        <v>54</v>
      </c>
      <c r="AL29" s="79" t="s">
        <v>54</v>
      </c>
      <c r="AM29" s="79" t="s">
        <v>54</v>
      </c>
      <c r="AN29" s="79" t="s">
        <v>54</v>
      </c>
      <c r="AO29" s="79" t="s">
        <v>54</v>
      </c>
      <c r="AP29" s="79" t="s">
        <v>54</v>
      </c>
      <c r="AQ29" s="79" t="s">
        <v>54</v>
      </c>
      <c r="AR29" s="79" t="s">
        <v>54</v>
      </c>
      <c r="AS29" s="79" t="s">
        <v>54</v>
      </c>
      <c r="AT29" s="79" t="s">
        <v>45</v>
      </c>
      <c r="AU29" s="79" t="s">
        <v>41</v>
      </c>
      <c r="AV29" s="79" t="s">
        <v>31</v>
      </c>
      <c r="AW29" s="79" t="s">
        <v>54</v>
      </c>
      <c r="AX29" s="79" t="s">
        <v>54</v>
      </c>
    </row>
    <row r="30" spans="1:50" ht="15.75" customHeight="1">
      <c r="A30" s="78">
        <v>30</v>
      </c>
      <c r="C30" s="79" t="s">
        <v>54</v>
      </c>
      <c r="D30" s="79" t="s">
        <v>54</v>
      </c>
      <c r="E30" s="79" t="s">
        <v>54</v>
      </c>
      <c r="F30" s="79" t="s">
        <v>54</v>
      </c>
      <c r="G30" s="79" t="s">
        <v>31</v>
      </c>
      <c r="H30" s="79" t="s">
        <v>54</v>
      </c>
      <c r="I30" s="79" t="s">
        <v>54</v>
      </c>
      <c r="J30" s="79" t="s">
        <v>54</v>
      </c>
      <c r="K30" s="79" t="s">
        <v>54</v>
      </c>
      <c r="L30" s="79" t="s">
        <v>54</v>
      </c>
      <c r="M30" s="79" t="s">
        <v>31</v>
      </c>
      <c r="N30" s="79" t="s">
        <v>54</v>
      </c>
      <c r="O30" s="79" t="s">
        <v>54</v>
      </c>
      <c r="P30" s="79" t="s">
        <v>54</v>
      </c>
      <c r="Q30" s="79" t="s">
        <v>37</v>
      </c>
      <c r="R30" s="79" t="s">
        <v>47</v>
      </c>
      <c r="S30" s="79" t="s">
        <v>54</v>
      </c>
      <c r="T30" s="79" t="s">
        <v>54</v>
      </c>
      <c r="U30" s="79" t="s">
        <v>54</v>
      </c>
      <c r="V30" s="79" t="s">
        <v>31</v>
      </c>
      <c r="W30" s="79" t="s">
        <v>54</v>
      </c>
      <c r="X30" s="79" t="s">
        <v>45</v>
      </c>
      <c r="Y30" s="79" t="s">
        <v>41</v>
      </c>
      <c r="Z30" s="79" t="s">
        <v>54</v>
      </c>
      <c r="AA30" s="79" t="s">
        <v>37</v>
      </c>
      <c r="AB30" s="79" t="s">
        <v>47</v>
      </c>
      <c r="AC30" s="79" t="s">
        <v>54</v>
      </c>
      <c r="AD30" s="79" t="s">
        <v>45</v>
      </c>
      <c r="AE30" s="79" t="s">
        <v>34</v>
      </c>
      <c r="AF30" s="79" t="s">
        <v>34</v>
      </c>
      <c r="AG30" s="79" t="s">
        <v>41</v>
      </c>
      <c r="AH30" s="79" t="s">
        <v>54</v>
      </c>
      <c r="AI30" s="79" t="s">
        <v>31</v>
      </c>
      <c r="AJ30" s="79" t="s">
        <v>54</v>
      </c>
      <c r="AK30" s="79" t="s">
        <v>54</v>
      </c>
      <c r="AL30" s="79" t="s">
        <v>54</v>
      </c>
      <c r="AM30" s="79" t="s">
        <v>54</v>
      </c>
      <c r="AN30" s="79" t="s">
        <v>54</v>
      </c>
      <c r="AO30" s="79" t="s">
        <v>54</v>
      </c>
      <c r="AP30" s="79" t="s">
        <v>54</v>
      </c>
      <c r="AQ30" s="79" t="s">
        <v>54</v>
      </c>
      <c r="AR30" s="79" t="s">
        <v>54</v>
      </c>
      <c r="AS30" s="79" t="s">
        <v>54</v>
      </c>
      <c r="AT30" s="79" t="s">
        <v>54</v>
      </c>
      <c r="AU30" s="79" t="s">
        <v>31</v>
      </c>
      <c r="AV30" s="79" t="s">
        <v>31</v>
      </c>
      <c r="AW30" s="79" t="s">
        <v>54</v>
      </c>
      <c r="AX30" s="79" t="s">
        <v>54</v>
      </c>
    </row>
    <row r="31" spans="1:50" ht="15.75" customHeight="1">
      <c r="A31" s="78">
        <v>31</v>
      </c>
      <c r="C31" s="79" t="s">
        <v>54</v>
      </c>
      <c r="D31" s="79" t="s">
        <v>54</v>
      </c>
      <c r="E31" s="79" t="s">
        <v>54</v>
      </c>
      <c r="F31" s="79" t="s">
        <v>54</v>
      </c>
      <c r="G31" s="79" t="s">
        <v>31</v>
      </c>
      <c r="H31" s="79" t="s">
        <v>54</v>
      </c>
      <c r="I31" s="79" t="s">
        <v>54</v>
      </c>
      <c r="J31" s="79" t="s">
        <v>54</v>
      </c>
      <c r="K31" s="79" t="s">
        <v>54</v>
      </c>
      <c r="L31" s="79" t="s">
        <v>54</v>
      </c>
      <c r="M31" s="79" t="s">
        <v>45</v>
      </c>
      <c r="N31" s="79" t="s">
        <v>34</v>
      </c>
      <c r="O31" s="79" t="s">
        <v>34</v>
      </c>
      <c r="P31" s="79" t="s">
        <v>34</v>
      </c>
      <c r="Q31" s="79" t="s">
        <v>47</v>
      </c>
      <c r="R31" s="79" t="s">
        <v>37</v>
      </c>
      <c r="S31" s="79" t="s">
        <v>34</v>
      </c>
      <c r="T31" s="79" t="s">
        <v>41</v>
      </c>
      <c r="U31" s="79" t="s">
        <v>54</v>
      </c>
      <c r="V31" s="79" t="s">
        <v>31</v>
      </c>
      <c r="W31" s="79" t="s">
        <v>54</v>
      </c>
      <c r="X31" s="79" t="s">
        <v>54</v>
      </c>
      <c r="Y31" s="79" t="s">
        <v>45</v>
      </c>
      <c r="Z31" s="79" t="s">
        <v>34</v>
      </c>
      <c r="AA31" s="79" t="s">
        <v>47</v>
      </c>
      <c r="AB31" s="79" t="s">
        <v>54</v>
      </c>
      <c r="AC31" s="79" t="s">
        <v>54</v>
      </c>
      <c r="AD31" s="79" t="s">
        <v>54</v>
      </c>
      <c r="AE31" s="79" t="s">
        <v>54</v>
      </c>
      <c r="AF31" s="79" t="s">
        <v>37</v>
      </c>
      <c r="AG31" s="79" t="s">
        <v>47</v>
      </c>
      <c r="AH31" s="79" t="s">
        <v>54</v>
      </c>
      <c r="AI31" s="79" t="s">
        <v>45</v>
      </c>
      <c r="AJ31" s="79" t="s">
        <v>34</v>
      </c>
      <c r="AK31" s="79" t="s">
        <v>34</v>
      </c>
      <c r="AL31" s="79" t="s">
        <v>34</v>
      </c>
      <c r="AM31" s="79" t="s">
        <v>34</v>
      </c>
      <c r="AN31" s="79" t="s">
        <v>41</v>
      </c>
      <c r="AO31" s="79" t="s">
        <v>54</v>
      </c>
      <c r="AP31" s="79" t="s">
        <v>54</v>
      </c>
      <c r="AQ31" s="79" t="s">
        <v>54</v>
      </c>
      <c r="AR31" s="79" t="s">
        <v>54</v>
      </c>
      <c r="AS31" s="79" t="s">
        <v>54</v>
      </c>
      <c r="AT31" s="79" t="s">
        <v>54</v>
      </c>
      <c r="AU31" s="79" t="s">
        <v>31</v>
      </c>
      <c r="AV31" s="79" t="s">
        <v>31</v>
      </c>
      <c r="AW31" s="79" t="s">
        <v>54</v>
      </c>
      <c r="AX31" s="79" t="s">
        <v>54</v>
      </c>
    </row>
    <row r="32" spans="1:50" ht="15.75" customHeight="1">
      <c r="A32" s="78">
        <v>32</v>
      </c>
      <c r="C32" s="79" t="s">
        <v>54</v>
      </c>
      <c r="D32" s="79" t="s">
        <v>54</v>
      </c>
      <c r="E32" s="79" t="s">
        <v>54</v>
      </c>
      <c r="F32" s="79" t="s">
        <v>54</v>
      </c>
      <c r="G32" s="79" t="s">
        <v>45</v>
      </c>
      <c r="H32" s="79" t="s">
        <v>34</v>
      </c>
      <c r="I32" s="79" t="s">
        <v>34</v>
      </c>
      <c r="J32" s="79" t="s">
        <v>49</v>
      </c>
      <c r="K32" s="79" t="s">
        <v>54</v>
      </c>
      <c r="L32" s="79" t="s">
        <v>54</v>
      </c>
      <c r="M32" s="79" t="s">
        <v>54</v>
      </c>
      <c r="N32" s="79" t="s">
        <v>37</v>
      </c>
      <c r="O32" s="79" t="s">
        <v>34</v>
      </c>
      <c r="P32" s="79" t="s">
        <v>34</v>
      </c>
      <c r="Q32" s="79" t="s">
        <v>34</v>
      </c>
      <c r="R32" s="79" t="s">
        <v>47</v>
      </c>
      <c r="S32" s="79" t="s">
        <v>54</v>
      </c>
      <c r="T32" s="79" t="s">
        <v>31</v>
      </c>
      <c r="U32" s="79" t="s">
        <v>54</v>
      </c>
      <c r="V32" s="79" t="s">
        <v>31</v>
      </c>
      <c r="W32" s="79" t="s">
        <v>54</v>
      </c>
      <c r="X32" s="79" t="s">
        <v>54</v>
      </c>
      <c r="Y32" s="79" t="s">
        <v>54</v>
      </c>
      <c r="Z32" s="79" t="s">
        <v>54</v>
      </c>
      <c r="AA32" s="79" t="s">
        <v>54</v>
      </c>
      <c r="AB32" s="79" t="s">
        <v>54</v>
      </c>
      <c r="AC32" s="79" t="s">
        <v>54</v>
      </c>
      <c r="AD32" s="79" t="s">
        <v>49</v>
      </c>
      <c r="AE32" s="79" t="s">
        <v>34</v>
      </c>
      <c r="AF32" s="79" t="s">
        <v>47</v>
      </c>
      <c r="AG32" s="79" t="s">
        <v>54</v>
      </c>
      <c r="AH32" s="79" t="s">
        <v>54</v>
      </c>
      <c r="AI32" s="79" t="s">
        <v>52</v>
      </c>
      <c r="AJ32" s="79" t="s">
        <v>34</v>
      </c>
      <c r="AK32" s="79" t="s">
        <v>34</v>
      </c>
      <c r="AL32" s="79" t="s">
        <v>34</v>
      </c>
      <c r="AM32" s="79" t="s">
        <v>34</v>
      </c>
      <c r="AN32" s="79" t="s">
        <v>47</v>
      </c>
      <c r="AO32" s="79" t="s">
        <v>54</v>
      </c>
      <c r="AP32" s="79" t="s">
        <v>54</v>
      </c>
      <c r="AQ32" s="79" t="s">
        <v>54</v>
      </c>
      <c r="AR32" s="79" t="s">
        <v>54</v>
      </c>
      <c r="AS32" s="79" t="s">
        <v>54</v>
      </c>
      <c r="AT32" s="79" t="s">
        <v>54</v>
      </c>
      <c r="AU32" s="79" t="s">
        <v>31</v>
      </c>
      <c r="AV32" s="79" t="s">
        <v>31</v>
      </c>
      <c r="AW32" s="79" t="s">
        <v>54</v>
      </c>
      <c r="AX32" s="79" t="s">
        <v>54</v>
      </c>
    </row>
    <row r="33" spans="1:50" ht="15.75" customHeight="1">
      <c r="A33" s="78">
        <v>33</v>
      </c>
      <c r="C33" s="79" t="s">
        <v>54</v>
      </c>
      <c r="D33" s="79" t="s">
        <v>54</v>
      </c>
      <c r="E33" s="79" t="s">
        <v>54</v>
      </c>
      <c r="F33" s="79" t="s">
        <v>54</v>
      </c>
      <c r="G33" s="79" t="s">
        <v>54</v>
      </c>
      <c r="H33" s="79" t="s">
        <v>54</v>
      </c>
      <c r="I33" s="79" t="s">
        <v>54</v>
      </c>
      <c r="J33" s="79" t="s">
        <v>54</v>
      </c>
      <c r="K33" s="79" t="s">
        <v>49</v>
      </c>
      <c r="L33" s="79" t="s">
        <v>34</v>
      </c>
      <c r="M33" s="79" t="s">
        <v>34</v>
      </c>
      <c r="N33" s="79" t="s">
        <v>47</v>
      </c>
      <c r="O33" s="79" t="s">
        <v>54</v>
      </c>
      <c r="P33" s="79" t="s">
        <v>54</v>
      </c>
      <c r="Q33" s="79" t="s">
        <v>54</v>
      </c>
      <c r="R33" s="79" t="s">
        <v>54</v>
      </c>
      <c r="S33" s="79" t="s">
        <v>54</v>
      </c>
      <c r="T33" s="79" t="s">
        <v>45</v>
      </c>
      <c r="U33" s="79" t="s">
        <v>34</v>
      </c>
      <c r="V33" s="79" t="s">
        <v>47</v>
      </c>
      <c r="W33" s="79" t="s">
        <v>54</v>
      </c>
      <c r="X33" s="79" t="s">
        <v>54</v>
      </c>
      <c r="Y33" s="79" t="s">
        <v>54</v>
      </c>
      <c r="Z33" s="79" t="s">
        <v>54</v>
      </c>
      <c r="AA33" s="79" t="s">
        <v>54</v>
      </c>
      <c r="AB33" s="79" t="s">
        <v>54</v>
      </c>
      <c r="AC33" s="79" t="s">
        <v>54</v>
      </c>
      <c r="AD33" s="79" t="s">
        <v>54</v>
      </c>
      <c r="AE33" s="79" t="s">
        <v>54</v>
      </c>
      <c r="AF33" s="79" t="s">
        <v>54</v>
      </c>
      <c r="AG33" s="79" t="s">
        <v>54</v>
      </c>
      <c r="AH33" s="79" t="s">
        <v>54</v>
      </c>
      <c r="AI33" s="79" t="s">
        <v>54</v>
      </c>
      <c r="AJ33" s="79" t="s">
        <v>54</v>
      </c>
      <c r="AK33" s="79" t="s">
        <v>54</v>
      </c>
      <c r="AL33" s="79" t="s">
        <v>54</v>
      </c>
      <c r="AM33" s="79" t="s">
        <v>54</v>
      </c>
      <c r="AN33" s="79" t="s">
        <v>54</v>
      </c>
      <c r="AO33" s="79" t="s">
        <v>54</v>
      </c>
      <c r="AP33" s="79" t="s">
        <v>54</v>
      </c>
      <c r="AQ33" s="79" t="s">
        <v>54</v>
      </c>
      <c r="AR33" s="79" t="s">
        <v>37</v>
      </c>
      <c r="AS33" s="79" t="s">
        <v>34</v>
      </c>
      <c r="AT33" s="79" t="s">
        <v>34</v>
      </c>
      <c r="AU33" s="79" t="s">
        <v>47</v>
      </c>
      <c r="AV33" s="79" t="s">
        <v>31</v>
      </c>
      <c r="AW33" s="79" t="s">
        <v>54</v>
      </c>
      <c r="AX33" s="79" t="s">
        <v>54</v>
      </c>
    </row>
    <row r="34" spans="1:50" ht="15.75" customHeight="1">
      <c r="A34" s="78">
        <v>34</v>
      </c>
      <c r="C34" s="79" t="s">
        <v>54</v>
      </c>
      <c r="D34" s="79" t="s">
        <v>37</v>
      </c>
      <c r="E34" s="79" t="s">
        <v>34</v>
      </c>
      <c r="F34" s="79" t="s">
        <v>34</v>
      </c>
      <c r="G34" s="79" t="s">
        <v>34</v>
      </c>
      <c r="H34" s="79" t="s">
        <v>34</v>
      </c>
      <c r="I34" s="79" t="s">
        <v>49</v>
      </c>
      <c r="J34" s="79" t="s">
        <v>37</v>
      </c>
      <c r="K34" s="79" t="s">
        <v>34</v>
      </c>
      <c r="L34" s="79" t="s">
        <v>34</v>
      </c>
      <c r="M34" s="79" t="s">
        <v>41</v>
      </c>
      <c r="N34" s="79" t="s">
        <v>52</v>
      </c>
      <c r="O34" s="79" t="s">
        <v>54</v>
      </c>
      <c r="P34" s="79" t="s">
        <v>54</v>
      </c>
      <c r="Q34" s="79" t="s">
        <v>37</v>
      </c>
      <c r="R34" s="79" t="s">
        <v>34</v>
      </c>
      <c r="S34" s="79" t="s">
        <v>41</v>
      </c>
      <c r="T34" s="79" t="s">
        <v>54</v>
      </c>
      <c r="U34" s="79" t="s">
        <v>49</v>
      </c>
      <c r="V34" s="79" t="s">
        <v>37</v>
      </c>
      <c r="W34" s="79" t="s">
        <v>34</v>
      </c>
      <c r="X34" s="79" t="s">
        <v>41</v>
      </c>
      <c r="Y34" s="79" t="s">
        <v>54</v>
      </c>
      <c r="Z34" s="79" t="s">
        <v>54</v>
      </c>
      <c r="AA34" s="79" t="s">
        <v>54</v>
      </c>
      <c r="AB34" s="79" t="s">
        <v>54</v>
      </c>
      <c r="AC34" s="79" t="s">
        <v>54</v>
      </c>
      <c r="AD34" s="79" t="s">
        <v>54</v>
      </c>
      <c r="AE34" s="79" t="s">
        <v>52</v>
      </c>
      <c r="AF34" s="79" t="s">
        <v>54</v>
      </c>
      <c r="AG34" s="79" t="s">
        <v>54</v>
      </c>
      <c r="AH34" s="79" t="s">
        <v>37</v>
      </c>
      <c r="AI34" s="79" t="s">
        <v>34</v>
      </c>
      <c r="AJ34" s="79" t="s">
        <v>41</v>
      </c>
      <c r="AK34" s="79" t="s">
        <v>54</v>
      </c>
      <c r="AL34" s="79" t="s">
        <v>54</v>
      </c>
      <c r="AM34" s="79" t="s">
        <v>37</v>
      </c>
      <c r="AN34" s="79" t="s">
        <v>34</v>
      </c>
      <c r="AO34" s="79" t="s">
        <v>34</v>
      </c>
      <c r="AP34" s="79" t="s">
        <v>34</v>
      </c>
      <c r="AQ34" s="79" t="s">
        <v>52</v>
      </c>
      <c r="AR34" s="79" t="s">
        <v>31</v>
      </c>
      <c r="AS34" s="79" t="s">
        <v>37</v>
      </c>
      <c r="AT34" s="79" t="s">
        <v>34</v>
      </c>
      <c r="AU34" s="79" t="s">
        <v>34</v>
      </c>
      <c r="AV34" s="79" t="s">
        <v>47</v>
      </c>
      <c r="AW34" s="79" t="s">
        <v>54</v>
      </c>
      <c r="AX34" s="79" t="s">
        <v>54</v>
      </c>
    </row>
    <row r="35" spans="1:50" ht="15.75" customHeight="1">
      <c r="A35" s="78">
        <v>35</v>
      </c>
      <c r="C35" s="79" t="s">
        <v>54</v>
      </c>
      <c r="D35" s="79" t="s">
        <v>31</v>
      </c>
      <c r="E35" s="79" t="s">
        <v>54</v>
      </c>
      <c r="F35" s="79" t="s">
        <v>54</v>
      </c>
      <c r="G35" s="79" t="s">
        <v>54</v>
      </c>
      <c r="H35" s="79" t="s">
        <v>54</v>
      </c>
      <c r="I35" s="79" t="s">
        <v>54</v>
      </c>
      <c r="J35" s="79" t="s">
        <v>31</v>
      </c>
      <c r="K35" s="79" t="s">
        <v>37</v>
      </c>
      <c r="L35" s="79" t="s">
        <v>34</v>
      </c>
      <c r="M35" s="79" t="s">
        <v>47</v>
      </c>
      <c r="N35" s="79" t="s">
        <v>31</v>
      </c>
      <c r="O35" s="79" t="s">
        <v>54</v>
      </c>
      <c r="P35" s="79" t="s">
        <v>37</v>
      </c>
      <c r="Q35" s="79" t="s">
        <v>47</v>
      </c>
      <c r="R35" s="79" t="s">
        <v>54</v>
      </c>
      <c r="S35" s="79" t="s">
        <v>45</v>
      </c>
      <c r="T35" s="79" t="s">
        <v>41</v>
      </c>
      <c r="U35" s="79" t="s">
        <v>31</v>
      </c>
      <c r="V35" s="79" t="s">
        <v>31</v>
      </c>
      <c r="W35" s="79" t="s">
        <v>54</v>
      </c>
      <c r="X35" s="79" t="s">
        <v>45</v>
      </c>
      <c r="Y35" s="79" t="s">
        <v>34</v>
      </c>
      <c r="Z35" s="79" t="s">
        <v>34</v>
      </c>
      <c r="AA35" s="79" t="s">
        <v>41</v>
      </c>
      <c r="AB35" s="79" t="s">
        <v>54</v>
      </c>
      <c r="AC35" s="79" t="s">
        <v>54</v>
      </c>
      <c r="AD35" s="79" t="s">
        <v>54</v>
      </c>
      <c r="AE35" s="79" t="s">
        <v>31</v>
      </c>
      <c r="AF35" s="79" t="s">
        <v>54</v>
      </c>
      <c r="AG35" s="79" t="s">
        <v>37</v>
      </c>
      <c r="AH35" s="79" t="s">
        <v>47</v>
      </c>
      <c r="AI35" s="79" t="s">
        <v>54</v>
      </c>
      <c r="AJ35" s="79" t="s">
        <v>45</v>
      </c>
      <c r="AK35" s="79" t="s">
        <v>41</v>
      </c>
      <c r="AL35" s="79" t="s">
        <v>54</v>
      </c>
      <c r="AM35" s="79" t="s">
        <v>45</v>
      </c>
      <c r="AN35" s="79" t="s">
        <v>34</v>
      </c>
      <c r="AO35" s="79" t="s">
        <v>41</v>
      </c>
      <c r="AP35" s="79" t="s">
        <v>54</v>
      </c>
      <c r="AQ35" s="79" t="s">
        <v>54</v>
      </c>
      <c r="AR35" s="79" t="s">
        <v>31</v>
      </c>
      <c r="AS35" s="79" t="s">
        <v>45</v>
      </c>
      <c r="AT35" s="79" t="s">
        <v>41</v>
      </c>
      <c r="AU35" s="79" t="s">
        <v>54</v>
      </c>
      <c r="AV35" s="79" t="s">
        <v>54</v>
      </c>
      <c r="AW35" s="79" t="s">
        <v>54</v>
      </c>
      <c r="AX35" s="79" t="s">
        <v>54</v>
      </c>
    </row>
    <row r="36" spans="1:50" ht="15.75" customHeight="1">
      <c r="A36" s="78">
        <v>36</v>
      </c>
      <c r="C36" s="79" t="s">
        <v>54</v>
      </c>
      <c r="D36" s="79" t="s">
        <v>31</v>
      </c>
      <c r="E36" s="79" t="s">
        <v>54</v>
      </c>
      <c r="F36" s="79" t="s">
        <v>54</v>
      </c>
      <c r="G36" s="79" t="s">
        <v>54</v>
      </c>
      <c r="H36" s="79" t="s">
        <v>54</v>
      </c>
      <c r="I36" s="79" t="s">
        <v>54</v>
      </c>
      <c r="J36" s="79" t="s">
        <v>31</v>
      </c>
      <c r="K36" s="79" t="s">
        <v>45</v>
      </c>
      <c r="L36" s="79" t="s">
        <v>34</v>
      </c>
      <c r="M36" s="79" t="s">
        <v>41</v>
      </c>
      <c r="N36" s="79" t="s">
        <v>31</v>
      </c>
      <c r="O36" s="79" t="s">
        <v>54</v>
      </c>
      <c r="P36" s="79" t="s">
        <v>31</v>
      </c>
      <c r="Q36" s="79" t="s">
        <v>54</v>
      </c>
      <c r="R36" s="79" t="s">
        <v>54</v>
      </c>
      <c r="S36" s="79" t="s">
        <v>54</v>
      </c>
      <c r="T36" s="79" t="s">
        <v>31</v>
      </c>
      <c r="U36" s="79" t="s">
        <v>31</v>
      </c>
      <c r="V36" s="79" t="s">
        <v>31</v>
      </c>
      <c r="W36" s="79" t="s">
        <v>54</v>
      </c>
      <c r="X36" s="79" t="s">
        <v>54</v>
      </c>
      <c r="Y36" s="79" t="s">
        <v>54</v>
      </c>
      <c r="Z36" s="79" t="s">
        <v>54</v>
      </c>
      <c r="AA36" s="79" t="s">
        <v>31</v>
      </c>
      <c r="AB36" s="79" t="s">
        <v>54</v>
      </c>
      <c r="AC36" s="79" t="s">
        <v>54</v>
      </c>
      <c r="AD36" s="79" t="s">
        <v>54</v>
      </c>
      <c r="AE36" s="79" t="s">
        <v>31</v>
      </c>
      <c r="AF36" s="79" t="s">
        <v>54</v>
      </c>
      <c r="AG36" s="79" t="s">
        <v>31</v>
      </c>
      <c r="AH36" s="79" t="s">
        <v>54</v>
      </c>
      <c r="AI36" s="79" t="s">
        <v>54</v>
      </c>
      <c r="AJ36" s="79" t="s">
        <v>54</v>
      </c>
      <c r="AK36" s="79" t="s">
        <v>31</v>
      </c>
      <c r="AL36" s="79" t="s">
        <v>54</v>
      </c>
      <c r="AM36" s="79" t="s">
        <v>54</v>
      </c>
      <c r="AN36" s="79" t="s">
        <v>54</v>
      </c>
      <c r="AO36" s="79" t="s">
        <v>31</v>
      </c>
      <c r="AP36" s="79" t="s">
        <v>54</v>
      </c>
      <c r="AQ36" s="79" t="s">
        <v>54</v>
      </c>
      <c r="AR36" s="79" t="s">
        <v>31</v>
      </c>
      <c r="AS36" s="79" t="s">
        <v>37</v>
      </c>
      <c r="AT36" s="79" t="s">
        <v>47</v>
      </c>
      <c r="AU36" s="79" t="s">
        <v>54</v>
      </c>
      <c r="AV36" s="79" t="s">
        <v>54</v>
      </c>
      <c r="AW36" s="79" t="s">
        <v>54</v>
      </c>
      <c r="AX36" s="79" t="s">
        <v>54</v>
      </c>
    </row>
    <row r="37" spans="1:50" ht="15.75" customHeight="1">
      <c r="A37" s="78">
        <v>37</v>
      </c>
      <c r="C37" s="79" t="s">
        <v>54</v>
      </c>
      <c r="D37" s="79" t="s">
        <v>31</v>
      </c>
      <c r="E37" s="79" t="s">
        <v>54</v>
      </c>
      <c r="F37" s="79" t="s">
        <v>37</v>
      </c>
      <c r="G37" s="79" t="s">
        <v>34</v>
      </c>
      <c r="H37" s="79" t="s">
        <v>34</v>
      </c>
      <c r="I37" s="79" t="s">
        <v>41</v>
      </c>
      <c r="J37" s="79" t="s">
        <v>31</v>
      </c>
      <c r="K37" s="79" t="s">
        <v>37</v>
      </c>
      <c r="L37" s="79" t="s">
        <v>34</v>
      </c>
      <c r="M37" s="79" t="s">
        <v>47</v>
      </c>
      <c r="N37" s="79" t="s">
        <v>31</v>
      </c>
      <c r="O37" s="79" t="s">
        <v>54</v>
      </c>
      <c r="P37" s="79" t="s">
        <v>31</v>
      </c>
      <c r="Q37" s="79" t="s">
        <v>54</v>
      </c>
      <c r="R37" s="79" t="s">
        <v>54</v>
      </c>
      <c r="S37" s="79" t="s">
        <v>54</v>
      </c>
      <c r="T37" s="79" t="s">
        <v>31</v>
      </c>
      <c r="U37" s="79" t="s">
        <v>31</v>
      </c>
      <c r="V37" s="79" t="s">
        <v>31</v>
      </c>
      <c r="W37" s="79" t="s">
        <v>54</v>
      </c>
      <c r="X37" s="79" t="s">
        <v>54</v>
      </c>
      <c r="Y37" s="79" t="s">
        <v>54</v>
      </c>
      <c r="Z37" s="79" t="s">
        <v>54</v>
      </c>
      <c r="AA37" s="79" t="s">
        <v>31</v>
      </c>
      <c r="AB37" s="79" t="s">
        <v>54</v>
      </c>
      <c r="AC37" s="79" t="s">
        <v>54</v>
      </c>
      <c r="AD37" s="79" t="s">
        <v>54</v>
      </c>
      <c r="AE37" s="79" t="s">
        <v>31</v>
      </c>
      <c r="AF37" s="79" t="s">
        <v>54</v>
      </c>
      <c r="AG37" s="79" t="s">
        <v>31</v>
      </c>
      <c r="AH37" s="79" t="s">
        <v>54</v>
      </c>
      <c r="AI37" s="79" t="s">
        <v>54</v>
      </c>
      <c r="AJ37" s="79" t="s">
        <v>54</v>
      </c>
      <c r="AK37" s="79" t="s">
        <v>31</v>
      </c>
      <c r="AL37" s="79" t="s">
        <v>54</v>
      </c>
      <c r="AM37" s="79" t="s">
        <v>54</v>
      </c>
      <c r="AN37" s="79" t="s">
        <v>54</v>
      </c>
      <c r="AO37" s="79" t="s">
        <v>31</v>
      </c>
      <c r="AP37" s="79" t="s">
        <v>54</v>
      </c>
      <c r="AQ37" s="79" t="s">
        <v>54</v>
      </c>
      <c r="AR37" s="79" t="s">
        <v>31</v>
      </c>
      <c r="AS37" s="79" t="s">
        <v>45</v>
      </c>
      <c r="AT37" s="79" t="s">
        <v>34</v>
      </c>
      <c r="AU37" s="79" t="s">
        <v>34</v>
      </c>
      <c r="AV37" s="79" t="s">
        <v>41</v>
      </c>
      <c r="AW37" s="79" t="s">
        <v>54</v>
      </c>
      <c r="AX37" s="79" t="s">
        <v>54</v>
      </c>
    </row>
    <row r="38" spans="1:50" ht="15.75" customHeight="1">
      <c r="A38" s="78">
        <v>38</v>
      </c>
      <c r="C38" s="79" t="s">
        <v>54</v>
      </c>
      <c r="D38" s="79" t="s">
        <v>31</v>
      </c>
      <c r="E38" s="79" t="s">
        <v>54</v>
      </c>
      <c r="F38" s="79" t="s">
        <v>45</v>
      </c>
      <c r="G38" s="79" t="s">
        <v>34</v>
      </c>
      <c r="H38" s="79" t="s">
        <v>41</v>
      </c>
      <c r="I38" s="79" t="s">
        <v>31</v>
      </c>
      <c r="J38" s="79" t="s">
        <v>31</v>
      </c>
      <c r="K38" s="79" t="s">
        <v>45</v>
      </c>
      <c r="L38" s="79" t="s">
        <v>41</v>
      </c>
      <c r="M38" s="79" t="s">
        <v>54</v>
      </c>
      <c r="N38" s="79" t="s">
        <v>31</v>
      </c>
      <c r="O38" s="79" t="s">
        <v>54</v>
      </c>
      <c r="P38" s="79" t="s">
        <v>31</v>
      </c>
      <c r="Q38" s="79" t="s">
        <v>37</v>
      </c>
      <c r="R38" s="79" t="s">
        <v>34</v>
      </c>
      <c r="S38" s="79" t="s">
        <v>34</v>
      </c>
      <c r="T38" s="79" t="s">
        <v>47</v>
      </c>
      <c r="U38" s="79" t="s">
        <v>31</v>
      </c>
      <c r="V38" s="79" t="s">
        <v>31</v>
      </c>
      <c r="W38" s="79" t="s">
        <v>54</v>
      </c>
      <c r="X38" s="79" t="s">
        <v>54</v>
      </c>
      <c r="Y38" s="79" t="s">
        <v>54</v>
      </c>
      <c r="Z38" s="79" t="s">
        <v>54</v>
      </c>
      <c r="AA38" s="79" t="s">
        <v>31</v>
      </c>
      <c r="AB38" s="79" t="s">
        <v>54</v>
      </c>
      <c r="AC38" s="79" t="s">
        <v>54</v>
      </c>
      <c r="AD38" s="79" t="s">
        <v>54</v>
      </c>
      <c r="AE38" s="79" t="s">
        <v>31</v>
      </c>
      <c r="AF38" s="79" t="s">
        <v>54</v>
      </c>
      <c r="AG38" s="79" t="s">
        <v>31</v>
      </c>
      <c r="AH38" s="79" t="s">
        <v>37</v>
      </c>
      <c r="AI38" s="79" t="s">
        <v>34</v>
      </c>
      <c r="AJ38" s="79" t="s">
        <v>34</v>
      </c>
      <c r="AK38" s="79" t="s">
        <v>47</v>
      </c>
      <c r="AL38" s="79" t="s">
        <v>54</v>
      </c>
      <c r="AM38" s="79" t="s">
        <v>54</v>
      </c>
      <c r="AN38" s="79" t="s">
        <v>54</v>
      </c>
      <c r="AO38" s="79" t="s">
        <v>31</v>
      </c>
      <c r="AP38" s="79" t="s">
        <v>54</v>
      </c>
      <c r="AQ38" s="79" t="s">
        <v>54</v>
      </c>
      <c r="AR38" s="79" t="s">
        <v>31</v>
      </c>
      <c r="AS38" s="79" t="s">
        <v>37</v>
      </c>
      <c r="AT38" s="79" t="s">
        <v>34</v>
      </c>
      <c r="AU38" s="79" t="s">
        <v>34</v>
      </c>
      <c r="AV38" s="79" t="s">
        <v>47</v>
      </c>
      <c r="AW38" s="79" t="s">
        <v>54</v>
      </c>
      <c r="AX38" s="79" t="s">
        <v>54</v>
      </c>
    </row>
    <row r="39" spans="1:50" ht="15.75" customHeight="1">
      <c r="A39" s="78">
        <v>39</v>
      </c>
      <c r="C39" s="79" t="s">
        <v>54</v>
      </c>
      <c r="D39" s="79" t="s">
        <v>31</v>
      </c>
      <c r="E39" s="79" t="s">
        <v>54</v>
      </c>
      <c r="F39" s="79" t="s">
        <v>54</v>
      </c>
      <c r="G39" s="79" t="s">
        <v>54</v>
      </c>
      <c r="H39" s="79" t="s">
        <v>31</v>
      </c>
      <c r="I39" s="79" t="s">
        <v>31</v>
      </c>
      <c r="J39" s="79" t="s">
        <v>31</v>
      </c>
      <c r="K39" s="79" t="s">
        <v>54</v>
      </c>
      <c r="L39" s="79" t="s">
        <v>45</v>
      </c>
      <c r="M39" s="79" t="s">
        <v>41</v>
      </c>
      <c r="N39" s="79" t="s">
        <v>31</v>
      </c>
      <c r="O39" s="79" t="s">
        <v>54</v>
      </c>
      <c r="P39" s="79" t="s">
        <v>31</v>
      </c>
      <c r="Q39" s="79" t="s">
        <v>45</v>
      </c>
      <c r="R39" s="79" t="s">
        <v>34</v>
      </c>
      <c r="S39" s="79" t="s">
        <v>34</v>
      </c>
      <c r="T39" s="79" t="s">
        <v>41</v>
      </c>
      <c r="U39" s="79" t="s">
        <v>31</v>
      </c>
      <c r="V39" s="79" t="s">
        <v>31</v>
      </c>
      <c r="W39" s="79" t="s">
        <v>54</v>
      </c>
      <c r="X39" s="79" t="s">
        <v>54</v>
      </c>
      <c r="Y39" s="79" t="s">
        <v>54</v>
      </c>
      <c r="Z39" s="79" t="s">
        <v>54</v>
      </c>
      <c r="AA39" s="79" t="s">
        <v>31</v>
      </c>
      <c r="AB39" s="79" t="s">
        <v>54</v>
      </c>
      <c r="AC39" s="79" t="s">
        <v>54</v>
      </c>
      <c r="AD39" s="79" t="s">
        <v>54</v>
      </c>
      <c r="AE39" s="79" t="s">
        <v>31</v>
      </c>
      <c r="AF39" s="79" t="s">
        <v>54</v>
      </c>
      <c r="AG39" s="79" t="s">
        <v>31</v>
      </c>
      <c r="AH39" s="79" t="s">
        <v>45</v>
      </c>
      <c r="AI39" s="79" t="s">
        <v>34</v>
      </c>
      <c r="AJ39" s="79" t="s">
        <v>34</v>
      </c>
      <c r="AK39" s="79" t="s">
        <v>41</v>
      </c>
      <c r="AL39" s="79" t="s">
        <v>54</v>
      </c>
      <c r="AM39" s="79" t="s">
        <v>54</v>
      </c>
      <c r="AN39" s="79" t="s">
        <v>54</v>
      </c>
      <c r="AO39" s="79" t="s">
        <v>31</v>
      </c>
      <c r="AP39" s="79" t="s">
        <v>54</v>
      </c>
      <c r="AQ39" s="79" t="s">
        <v>54</v>
      </c>
      <c r="AR39" s="79" t="s">
        <v>31</v>
      </c>
      <c r="AS39" s="79" t="s">
        <v>45</v>
      </c>
      <c r="AT39" s="79" t="s">
        <v>41</v>
      </c>
      <c r="AU39" s="79" t="s">
        <v>54</v>
      </c>
      <c r="AV39" s="79" t="s">
        <v>54</v>
      </c>
      <c r="AW39" s="79" t="s">
        <v>54</v>
      </c>
      <c r="AX39" s="79" t="s">
        <v>54</v>
      </c>
    </row>
    <row r="40" spans="1:50" ht="15.75" customHeight="1">
      <c r="A40" s="78">
        <v>40</v>
      </c>
      <c r="C40" s="79" t="s">
        <v>54</v>
      </c>
      <c r="D40" s="79" t="s">
        <v>31</v>
      </c>
      <c r="E40" s="79" t="s">
        <v>54</v>
      </c>
      <c r="F40" s="79" t="s">
        <v>54</v>
      </c>
      <c r="G40" s="79" t="s">
        <v>54</v>
      </c>
      <c r="H40" s="79" t="s">
        <v>31</v>
      </c>
      <c r="I40" s="79" t="s">
        <v>31</v>
      </c>
      <c r="J40" s="79" t="s">
        <v>31</v>
      </c>
      <c r="K40" s="79" t="s">
        <v>54</v>
      </c>
      <c r="L40" s="79" t="s">
        <v>54</v>
      </c>
      <c r="M40" s="79" t="s">
        <v>45</v>
      </c>
      <c r="N40" s="79" t="s">
        <v>47</v>
      </c>
      <c r="O40" s="79" t="s">
        <v>54</v>
      </c>
      <c r="P40" s="79" t="s">
        <v>31</v>
      </c>
      <c r="Q40" s="79" t="s">
        <v>54</v>
      </c>
      <c r="R40" s="79" t="s">
        <v>54</v>
      </c>
      <c r="S40" s="79" t="s">
        <v>54</v>
      </c>
      <c r="T40" s="79" t="s">
        <v>31</v>
      </c>
      <c r="U40" s="79" t="s">
        <v>31</v>
      </c>
      <c r="V40" s="79" t="s">
        <v>31</v>
      </c>
      <c r="W40" s="79" t="s">
        <v>54</v>
      </c>
      <c r="X40" s="79" t="s">
        <v>54</v>
      </c>
      <c r="Y40" s="79" t="s">
        <v>54</v>
      </c>
      <c r="Z40" s="79" t="s">
        <v>54</v>
      </c>
      <c r="AA40" s="79" t="s">
        <v>45</v>
      </c>
      <c r="AB40" s="79" t="s">
        <v>41</v>
      </c>
      <c r="AC40" s="79" t="s">
        <v>54</v>
      </c>
      <c r="AD40" s="79" t="s">
        <v>37</v>
      </c>
      <c r="AE40" s="79" t="s">
        <v>47</v>
      </c>
      <c r="AF40" s="79" t="s">
        <v>54</v>
      </c>
      <c r="AG40" s="79" t="s">
        <v>31</v>
      </c>
      <c r="AH40" s="79" t="s">
        <v>54</v>
      </c>
      <c r="AI40" s="79" t="s">
        <v>54</v>
      </c>
      <c r="AJ40" s="79" t="s">
        <v>54</v>
      </c>
      <c r="AK40" s="79" t="s">
        <v>31</v>
      </c>
      <c r="AL40" s="79" t="s">
        <v>54</v>
      </c>
      <c r="AM40" s="79" t="s">
        <v>54</v>
      </c>
      <c r="AN40" s="79" t="s">
        <v>54</v>
      </c>
      <c r="AO40" s="79" t="s">
        <v>31</v>
      </c>
      <c r="AP40" s="79" t="s">
        <v>54</v>
      </c>
      <c r="AQ40" s="79" t="s">
        <v>54</v>
      </c>
      <c r="AR40" s="79" t="s">
        <v>31</v>
      </c>
      <c r="AS40" s="79" t="s">
        <v>37</v>
      </c>
      <c r="AT40" s="79" t="s">
        <v>47</v>
      </c>
      <c r="AU40" s="79" t="s">
        <v>54</v>
      </c>
      <c r="AV40" s="79" t="s">
        <v>54</v>
      </c>
      <c r="AW40" s="79" t="s">
        <v>54</v>
      </c>
      <c r="AX40" s="79" t="s">
        <v>54</v>
      </c>
    </row>
    <row r="41" spans="1:50" ht="15.75" customHeight="1">
      <c r="A41" s="78">
        <v>41</v>
      </c>
      <c r="C41" s="79" t="s">
        <v>54</v>
      </c>
      <c r="D41" s="79" t="s">
        <v>45</v>
      </c>
      <c r="E41" s="79" t="s">
        <v>34</v>
      </c>
      <c r="F41" s="79" t="s">
        <v>34</v>
      </c>
      <c r="G41" s="79" t="s">
        <v>34</v>
      </c>
      <c r="H41" s="79" t="s">
        <v>47</v>
      </c>
      <c r="I41" s="79" t="s">
        <v>31</v>
      </c>
      <c r="J41" s="79" t="s">
        <v>49</v>
      </c>
      <c r="K41" s="79" t="s">
        <v>54</v>
      </c>
      <c r="L41" s="79" t="s">
        <v>54</v>
      </c>
      <c r="M41" s="79" t="s">
        <v>54</v>
      </c>
      <c r="N41" s="79" t="s">
        <v>54</v>
      </c>
      <c r="O41" s="79" t="s">
        <v>52</v>
      </c>
      <c r="P41" s="79" t="s">
        <v>47</v>
      </c>
      <c r="Q41" s="79" t="s">
        <v>54</v>
      </c>
      <c r="R41" s="79" t="s">
        <v>54</v>
      </c>
      <c r="S41" s="79" t="s">
        <v>54</v>
      </c>
      <c r="T41" s="79" t="s">
        <v>45</v>
      </c>
      <c r="U41" s="79" t="s">
        <v>47</v>
      </c>
      <c r="V41" s="79" t="s">
        <v>31</v>
      </c>
      <c r="W41" s="79" t="s">
        <v>54</v>
      </c>
      <c r="X41" s="79" t="s">
        <v>54</v>
      </c>
      <c r="Y41" s="79" t="s">
        <v>54</v>
      </c>
      <c r="Z41" s="79" t="s">
        <v>54</v>
      </c>
      <c r="AA41" s="79" t="s">
        <v>54</v>
      </c>
      <c r="AB41" s="79" t="s">
        <v>45</v>
      </c>
      <c r="AC41" s="79" t="s">
        <v>34</v>
      </c>
      <c r="AD41" s="79" t="s">
        <v>47</v>
      </c>
      <c r="AE41" s="79" t="s">
        <v>54</v>
      </c>
      <c r="AF41" s="79" t="s">
        <v>54</v>
      </c>
      <c r="AG41" s="79" t="s">
        <v>52</v>
      </c>
      <c r="AH41" s="79" t="s">
        <v>54</v>
      </c>
      <c r="AI41" s="79" t="s">
        <v>54</v>
      </c>
      <c r="AJ41" s="79" t="s">
        <v>54</v>
      </c>
      <c r="AK41" s="79" t="s">
        <v>49</v>
      </c>
      <c r="AL41" s="79" t="s">
        <v>54</v>
      </c>
      <c r="AM41" s="79" t="s">
        <v>54</v>
      </c>
      <c r="AN41" s="79" t="s">
        <v>54</v>
      </c>
      <c r="AO41" s="79" t="s">
        <v>45</v>
      </c>
      <c r="AP41" s="79" t="s">
        <v>34</v>
      </c>
      <c r="AQ41" s="79" t="s">
        <v>49</v>
      </c>
      <c r="AR41" s="79" t="s">
        <v>31</v>
      </c>
      <c r="AS41" s="79" t="s">
        <v>45</v>
      </c>
      <c r="AT41" s="79" t="s">
        <v>34</v>
      </c>
      <c r="AU41" s="79" t="s">
        <v>34</v>
      </c>
      <c r="AV41" s="79" t="s">
        <v>41</v>
      </c>
      <c r="AW41" s="79" t="s">
        <v>54</v>
      </c>
      <c r="AX41" s="79" t="s">
        <v>54</v>
      </c>
    </row>
    <row r="42" spans="1:50" ht="15.75" customHeight="1">
      <c r="A42" s="78">
        <v>42</v>
      </c>
      <c r="C42" s="79" t="s">
        <v>54</v>
      </c>
      <c r="D42" s="79" t="s">
        <v>54</v>
      </c>
      <c r="E42" s="79" t="s">
        <v>54</v>
      </c>
      <c r="F42" s="79" t="s">
        <v>54</v>
      </c>
      <c r="G42" s="79" t="s">
        <v>54</v>
      </c>
      <c r="H42" s="79" t="s">
        <v>54</v>
      </c>
      <c r="I42" s="79" t="s">
        <v>52</v>
      </c>
      <c r="J42" s="79" t="s">
        <v>54</v>
      </c>
      <c r="K42" s="79" t="s">
        <v>54</v>
      </c>
      <c r="L42" s="79" t="s">
        <v>54</v>
      </c>
      <c r="M42" s="79" t="s">
        <v>54</v>
      </c>
      <c r="N42" s="79" t="s">
        <v>54</v>
      </c>
      <c r="O42" s="79" t="s">
        <v>54</v>
      </c>
      <c r="P42" s="79" t="s">
        <v>54</v>
      </c>
      <c r="Q42" s="79" t="s">
        <v>54</v>
      </c>
      <c r="R42" s="79" t="s">
        <v>54</v>
      </c>
      <c r="S42" s="79" t="s">
        <v>54</v>
      </c>
      <c r="T42" s="79" t="s">
        <v>54</v>
      </c>
      <c r="U42" s="79" t="s">
        <v>54</v>
      </c>
      <c r="V42" s="79" t="s">
        <v>49</v>
      </c>
      <c r="W42" s="79" t="s">
        <v>54</v>
      </c>
      <c r="X42" s="79" t="s">
        <v>54</v>
      </c>
      <c r="Y42" s="79" t="s">
        <v>54</v>
      </c>
      <c r="Z42" s="79" t="s">
        <v>54</v>
      </c>
      <c r="AA42" s="79" t="s">
        <v>54</v>
      </c>
      <c r="AB42" s="79" t="s">
        <v>54</v>
      </c>
      <c r="AC42" s="79" t="s">
        <v>54</v>
      </c>
      <c r="AD42" s="79" t="s">
        <v>54</v>
      </c>
      <c r="AE42" s="79" t="s">
        <v>54</v>
      </c>
      <c r="AF42" s="79" t="s">
        <v>54</v>
      </c>
      <c r="AG42" s="79" t="s">
        <v>54</v>
      </c>
      <c r="AH42" s="79" t="s">
        <v>54</v>
      </c>
      <c r="AI42" s="79" t="s">
        <v>54</v>
      </c>
      <c r="AJ42" s="79" t="s">
        <v>54</v>
      </c>
      <c r="AK42" s="79" t="s">
        <v>54</v>
      </c>
      <c r="AL42" s="79" t="s">
        <v>54</v>
      </c>
      <c r="AM42" s="79" t="s">
        <v>54</v>
      </c>
      <c r="AN42" s="79" t="s">
        <v>54</v>
      </c>
      <c r="AO42" s="79" t="s">
        <v>54</v>
      </c>
      <c r="AP42" s="79" t="s">
        <v>54</v>
      </c>
      <c r="AQ42" s="79" t="s">
        <v>54</v>
      </c>
      <c r="AR42" s="79" t="s">
        <v>45</v>
      </c>
      <c r="AS42" s="79" t="s">
        <v>34</v>
      </c>
      <c r="AT42" s="79" t="s">
        <v>34</v>
      </c>
      <c r="AU42" s="79" t="s">
        <v>34</v>
      </c>
      <c r="AV42" s="79" t="s">
        <v>47</v>
      </c>
      <c r="AW42" s="79" t="s">
        <v>54</v>
      </c>
      <c r="AX42" s="79" t="s">
        <v>54</v>
      </c>
    </row>
    <row r="1000" spans="648:648" ht="15.75">
      <c r="XX1000" s="146">
        <v>125713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EA7A-E484-410E-A505-76DEDB4AAAD4}">
  <dimension ref="A1:U147"/>
  <sheetViews>
    <sheetView showGridLines="0" zoomScale="70" zoomScaleNormal="70" workbookViewId="0"/>
  </sheetViews>
  <sheetFormatPr defaultColWidth="8.42578125" defaultRowHeight="23.25" customHeight="1"/>
  <cols>
    <col min="1" max="1" width="3.28515625" style="132" customWidth="1"/>
    <col min="2" max="2" width="12.7109375" style="144" customWidth="1"/>
    <col min="3" max="3" width="55.42578125" style="145" customWidth="1"/>
    <col min="4" max="4" width="9.5703125" style="132" customWidth="1"/>
    <col min="5" max="21" width="5.5703125" style="132" customWidth="1"/>
    <col min="22" max="45" width="8.28515625" style="135" customWidth="1"/>
    <col min="46" max="71" width="6.28515625" style="135" customWidth="1"/>
    <col min="72" max="16384" width="8.42578125" style="135"/>
  </cols>
  <sheetData>
    <row r="1" spans="2:21" ht="23.25" customHeight="1" thickBot="1">
      <c r="B1" s="130" t="s">
        <v>292</v>
      </c>
      <c r="C1" s="131"/>
      <c r="F1" s="133"/>
      <c r="G1" s="133"/>
      <c r="H1" s="133"/>
      <c r="I1" s="133"/>
      <c r="J1" s="134"/>
      <c r="K1" s="134"/>
      <c r="L1" s="135"/>
      <c r="M1" s="135"/>
      <c r="N1" s="135"/>
      <c r="O1" s="135"/>
      <c r="P1" s="135"/>
      <c r="Q1" s="135"/>
      <c r="R1" s="135"/>
      <c r="S1" s="135"/>
      <c r="T1" s="135"/>
      <c r="U1" s="135"/>
    </row>
    <row r="2" spans="2:21" ht="23.25" customHeight="1" thickBot="1">
      <c r="B2" s="136" t="s">
        <v>59</v>
      </c>
      <c r="C2" s="137" t="s">
        <v>62</v>
      </c>
      <c r="D2" s="136" t="s">
        <v>61</v>
      </c>
      <c r="R2" s="135"/>
      <c r="S2" s="135"/>
      <c r="T2" s="135"/>
      <c r="U2" s="135"/>
    </row>
    <row r="3" spans="2:21" ht="23.25" customHeight="1">
      <c r="B3" s="138" t="s">
        <v>64</v>
      </c>
      <c r="C3" s="139" t="str">
        <f>IF(ISBLANK(Case!E53),"",Case!E53)</f>
        <v/>
      </c>
      <c r="D3" s="140">
        <v>30</v>
      </c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</row>
    <row r="4" spans="2:21" ht="23.25" customHeight="1">
      <c r="B4" s="141" t="s">
        <v>66</v>
      </c>
      <c r="C4" s="139" t="str">
        <f>IF(ISBLANK(Case!E54),"",Case!E54)</f>
        <v/>
      </c>
      <c r="D4" s="142">
        <v>40</v>
      </c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</row>
    <row r="5" spans="2:21" ht="23.25" customHeight="1">
      <c r="B5" s="141" t="s">
        <v>68</v>
      </c>
      <c r="C5" s="139" t="str">
        <f>IF(ISBLANK(Case!E55),"",Case!E55)</f>
        <v/>
      </c>
      <c r="D5" s="142">
        <v>60</v>
      </c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</row>
    <row r="6" spans="2:21" ht="23.25" customHeight="1">
      <c r="B6" s="141" t="s">
        <v>70</v>
      </c>
      <c r="C6" s="139" t="str">
        <f>IF(ISBLANK(Case!E56),"",Case!E56)</f>
        <v/>
      </c>
      <c r="D6" s="142">
        <v>50</v>
      </c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</row>
    <row r="7" spans="2:21" ht="23.25" customHeight="1">
      <c r="B7" s="141" t="s">
        <v>72</v>
      </c>
      <c r="C7" s="139" t="str">
        <f>IF(ISBLANK(Case!E57),"",Case!E57)</f>
        <v/>
      </c>
      <c r="D7" s="142">
        <v>70</v>
      </c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</row>
    <row r="8" spans="2:21" ht="23.25" customHeight="1">
      <c r="B8" s="143">
        <v>1</v>
      </c>
      <c r="C8" s="139">
        <f>IF(ISBLANK(Case!E79),"",Case!E79)</f>
        <v>10</v>
      </c>
      <c r="D8" s="138">
        <v>5</v>
      </c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</row>
    <row r="9" spans="2:21" ht="23.25" customHeight="1">
      <c r="B9" s="143">
        <f t="shared" ref="B9:B72" si="0">B8+1</f>
        <v>2</v>
      </c>
      <c r="C9" s="139">
        <f>IF(ISBLANK(Case!E80),"",Case!E80)</f>
        <v>7</v>
      </c>
      <c r="D9" s="138">
        <v>5</v>
      </c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</row>
    <row r="10" spans="2:21" ht="23.25" customHeight="1">
      <c r="B10" s="143">
        <f t="shared" si="0"/>
        <v>3</v>
      </c>
      <c r="C10" s="139">
        <f>IF(ISBLANK(Case!E81),"",Case!E81)</f>
        <v>16</v>
      </c>
      <c r="D10" s="138">
        <v>5</v>
      </c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</row>
    <row r="11" spans="2:21" ht="23.25" customHeight="1">
      <c r="B11" s="143">
        <f t="shared" si="0"/>
        <v>4</v>
      </c>
      <c r="C11" s="139">
        <f>IF(ISBLANK(Case!E82),"",Case!E82)</f>
        <v>11</v>
      </c>
      <c r="D11" s="138">
        <v>5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</row>
    <row r="12" spans="2:21" ht="23.25" customHeight="1">
      <c r="B12" s="143">
        <f t="shared" si="0"/>
        <v>5</v>
      </c>
      <c r="C12" s="139">
        <f>IF(ISBLANK(Case!E83),"",Case!E83)</f>
        <v>6</v>
      </c>
      <c r="D12" s="138">
        <v>5</v>
      </c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</row>
    <row r="13" spans="2:21" ht="23.25" customHeight="1">
      <c r="B13" s="143">
        <f t="shared" si="0"/>
        <v>6</v>
      </c>
      <c r="C13" s="139">
        <f>IF(ISBLANK(Case!E84),"",Case!E84)</f>
        <v>10</v>
      </c>
      <c r="D13" s="138">
        <v>5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</row>
    <row r="14" spans="2:21" ht="23.25" customHeight="1">
      <c r="B14" s="143">
        <f t="shared" si="0"/>
        <v>7</v>
      </c>
      <c r="C14" s="139">
        <f>IF(ISBLANK(Case!E85),"",Case!E85)</f>
        <v>9</v>
      </c>
      <c r="D14" s="138">
        <v>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</row>
    <row r="15" spans="2:21" ht="23.25" customHeight="1">
      <c r="B15" s="143">
        <f t="shared" si="0"/>
        <v>8</v>
      </c>
      <c r="C15" s="139">
        <f>IF(ISBLANK(Case!E86),"",Case!E86)</f>
        <v>26</v>
      </c>
      <c r="D15" s="138">
        <v>5</v>
      </c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</row>
    <row r="16" spans="2:21" ht="23.25" customHeight="1">
      <c r="B16" s="143">
        <f t="shared" si="0"/>
        <v>9</v>
      </c>
      <c r="C16" s="139">
        <f>IF(ISBLANK(Case!E87),"",Case!E87)</f>
        <v>5</v>
      </c>
      <c r="D16" s="138">
        <v>5</v>
      </c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</row>
    <row r="17" spans="2:21" ht="23.25" customHeight="1">
      <c r="B17" s="143">
        <f t="shared" si="0"/>
        <v>10</v>
      </c>
      <c r="C17" s="139">
        <f>IF(ISBLANK(Case!E88),"",Case!E88)</f>
        <v>7</v>
      </c>
      <c r="D17" s="138">
        <v>5</v>
      </c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</row>
    <row r="18" spans="2:21" ht="23.25" customHeight="1">
      <c r="B18" s="143">
        <f t="shared" si="0"/>
        <v>11</v>
      </c>
      <c r="C18" s="139">
        <f>IF(ISBLANK(Case!E89),"",Case!E89)</f>
        <v>14</v>
      </c>
      <c r="D18" s="138">
        <v>5</v>
      </c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</row>
    <row r="19" spans="2:21" ht="23.25" customHeight="1">
      <c r="B19" s="143">
        <f t="shared" si="0"/>
        <v>12</v>
      </c>
      <c r="C19" s="139">
        <f>IF(ISBLANK(Case!E90),"",Case!E90)</f>
        <v>3</v>
      </c>
      <c r="D19" s="138">
        <v>5</v>
      </c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</row>
    <row r="20" spans="2:21" ht="23.25" customHeight="1">
      <c r="B20" s="143">
        <f t="shared" si="0"/>
        <v>13</v>
      </c>
      <c r="C20" s="139">
        <f>IF(ISBLANK(Case!E91),"",Case!E91)</f>
        <v>8</v>
      </c>
      <c r="D20" s="138">
        <v>5</v>
      </c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</row>
    <row r="21" spans="2:21" ht="23.25" customHeight="1">
      <c r="B21" s="143">
        <f t="shared" si="0"/>
        <v>14</v>
      </c>
      <c r="C21" s="139">
        <f>IF(ISBLANK(Case!E92),"",Case!E92)</f>
        <v>24</v>
      </c>
      <c r="D21" s="138">
        <v>5</v>
      </c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</row>
    <row r="22" spans="2:21" ht="23.25" customHeight="1">
      <c r="B22" s="143">
        <f t="shared" si="0"/>
        <v>15</v>
      </c>
      <c r="C22" s="139">
        <f>IF(ISBLANK(Case!E93),"",Case!E93)</f>
        <v>6</v>
      </c>
      <c r="D22" s="138">
        <v>5</v>
      </c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</row>
    <row r="23" spans="2:21" ht="23.25" customHeight="1">
      <c r="B23" s="143">
        <f t="shared" si="0"/>
        <v>16</v>
      </c>
      <c r="C23" s="139">
        <f>IF(ISBLANK(Case!E94),"",Case!E94)</f>
        <v>15</v>
      </c>
      <c r="D23" s="138">
        <v>5</v>
      </c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</row>
    <row r="24" spans="2:21" ht="23.25" customHeight="1">
      <c r="B24" s="143">
        <f t="shared" si="0"/>
        <v>17</v>
      </c>
      <c r="C24" s="139">
        <f>IF(ISBLANK(Case!E95),"",Case!E95)</f>
        <v>1</v>
      </c>
      <c r="D24" s="138">
        <v>5</v>
      </c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</row>
    <row r="25" spans="2:21" ht="23.25" customHeight="1">
      <c r="B25" s="143">
        <f t="shared" si="0"/>
        <v>18</v>
      </c>
      <c r="C25" s="139">
        <f>IF(ISBLANK(Case!E96),"",Case!E96)</f>
        <v>12</v>
      </c>
      <c r="D25" s="138">
        <v>5</v>
      </c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</row>
    <row r="26" spans="2:21" ht="23.25" customHeight="1">
      <c r="B26" s="143">
        <f t="shared" si="0"/>
        <v>19</v>
      </c>
      <c r="C26" s="139">
        <f>IF(ISBLANK(Case!E97),"",Case!E97)</f>
        <v>8</v>
      </c>
      <c r="D26" s="138">
        <v>5</v>
      </c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</row>
    <row r="27" spans="2:21" ht="23.25" customHeight="1">
      <c r="B27" s="143">
        <f t="shared" si="0"/>
        <v>20</v>
      </c>
      <c r="C27" s="139">
        <f>IF(ISBLANK(Case!E98),"",Case!E98)</f>
        <v>4</v>
      </c>
      <c r="D27" s="138">
        <v>5</v>
      </c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</row>
    <row r="28" spans="2:21" ht="23.25" customHeight="1">
      <c r="B28" s="143">
        <f t="shared" si="0"/>
        <v>21</v>
      </c>
      <c r="C28" s="139" t="str">
        <f>IF(ISBLANK(Case!E119),"",Case!E119)</f>
        <v>10100011011001010110</v>
      </c>
      <c r="D28" s="138">
        <v>5</v>
      </c>
    </row>
    <row r="29" spans="2:21" ht="23.25" customHeight="1">
      <c r="B29" s="143">
        <f t="shared" si="0"/>
        <v>22</v>
      </c>
      <c r="C29" s="139" t="str">
        <f>IF(ISBLANK(Case!E120),"",Case!E120)</f>
        <v>01011100010111001010</v>
      </c>
      <c r="D29" s="138">
        <v>5</v>
      </c>
    </row>
    <row r="30" spans="2:21" ht="23.25" customHeight="1">
      <c r="B30" s="143">
        <f t="shared" si="0"/>
        <v>23</v>
      </c>
      <c r="C30" s="139" t="str">
        <f>IF(ISBLANK(Case!E121),"",Case!E121)</f>
        <v>10010110001100111001</v>
      </c>
      <c r="D30" s="138">
        <v>5</v>
      </c>
    </row>
    <row r="31" spans="2:21" ht="23.25" customHeight="1">
      <c r="B31" s="143">
        <f t="shared" si="0"/>
        <v>24</v>
      </c>
      <c r="C31" s="139" t="str">
        <f>IF(ISBLANK(Case!E122),"",Case!E122)</f>
        <v>10011100100110011010</v>
      </c>
      <c r="D31" s="138">
        <v>5</v>
      </c>
    </row>
    <row r="32" spans="2:21" s="132" customFormat="1" ht="23.25" customHeight="1">
      <c r="B32" s="143">
        <f t="shared" si="0"/>
        <v>25</v>
      </c>
      <c r="C32" s="139" t="str">
        <f>IF(ISBLANK(Case!E123),"",Case!E123)</f>
        <v>01010110001101101001</v>
      </c>
      <c r="D32" s="138">
        <v>5</v>
      </c>
    </row>
    <row r="33" spans="2:4" s="132" customFormat="1" ht="23.25" customHeight="1">
      <c r="B33" s="143">
        <f t="shared" si="0"/>
        <v>26</v>
      </c>
      <c r="C33" s="139" t="str">
        <f>IF(ISBLANK(Case!E124),"",Case!E124)</f>
        <v>01100011010101100101</v>
      </c>
      <c r="D33" s="138">
        <v>5</v>
      </c>
    </row>
    <row r="34" spans="2:4" s="132" customFormat="1" ht="23.25" customHeight="1">
      <c r="B34" s="143">
        <f t="shared" si="0"/>
        <v>27</v>
      </c>
      <c r="C34" s="139" t="str">
        <f>IF(ISBLANK(Case!E125),"",Case!E125)</f>
        <v>11001001001110010011</v>
      </c>
      <c r="D34" s="138">
        <v>5</v>
      </c>
    </row>
    <row r="35" spans="2:4" s="132" customFormat="1" ht="23.25" customHeight="1">
      <c r="B35" s="143">
        <f t="shared" si="0"/>
        <v>28</v>
      </c>
      <c r="C35" s="139" t="str">
        <f>IF(ISBLANK(Case!E126),"",Case!E126)</f>
        <v>00111010100110100011</v>
      </c>
      <c r="D35" s="138">
        <v>5</v>
      </c>
    </row>
    <row r="36" spans="2:4" s="132" customFormat="1" ht="23.25" customHeight="1">
      <c r="B36" s="143">
        <f t="shared" si="0"/>
        <v>29</v>
      </c>
      <c r="C36" s="139" t="str">
        <f>IF(ISBLANK(Case!E127),"",Case!E127)</f>
        <v>01101001110001010011</v>
      </c>
      <c r="D36" s="138">
        <v>5</v>
      </c>
    </row>
    <row r="37" spans="2:4" s="132" customFormat="1" ht="23.25" customHeight="1">
      <c r="B37" s="143">
        <f t="shared" si="0"/>
        <v>30</v>
      </c>
      <c r="C37" s="139" t="str">
        <f>IF(ISBLANK(Case!E128),"",Case!E128)</f>
        <v>01100011100100111010</v>
      </c>
      <c r="D37" s="138">
        <v>5</v>
      </c>
    </row>
    <row r="38" spans="2:4" s="132" customFormat="1" ht="23.25" customHeight="1">
      <c r="B38" s="143">
        <f t="shared" si="0"/>
        <v>31</v>
      </c>
      <c r="C38" s="139" t="str">
        <f>IF(ISBLANK(Case!E129),"",Case!E129)</f>
        <v>00110110110010100101</v>
      </c>
      <c r="D38" s="138">
        <v>5</v>
      </c>
    </row>
    <row r="39" spans="2:4" s="132" customFormat="1" ht="23.25" customHeight="1">
      <c r="B39" s="143">
        <f t="shared" si="0"/>
        <v>32</v>
      </c>
      <c r="C39" s="139" t="str">
        <f>IF(ISBLANK(Case!E130),"",Case!E130)</f>
        <v>01011100110001010110</v>
      </c>
      <c r="D39" s="138">
        <v>5</v>
      </c>
    </row>
    <row r="40" spans="2:4" s="132" customFormat="1" ht="23.25" customHeight="1">
      <c r="B40" s="143">
        <f t="shared" si="0"/>
        <v>33</v>
      </c>
      <c r="C40" s="139" t="str">
        <f>IF(ISBLANK(Case!E131),"",Case!E131)</f>
        <v>10101001100101011001</v>
      </c>
      <c r="D40" s="138">
        <v>5</v>
      </c>
    </row>
    <row r="41" spans="2:4" s="132" customFormat="1" ht="23.25" customHeight="1">
      <c r="B41" s="143">
        <f t="shared" si="0"/>
        <v>34</v>
      </c>
      <c r="C41" s="139" t="str">
        <f>IF(ISBLANK(Case!E132),"",Case!E132)</f>
        <v>11000101110001100110</v>
      </c>
      <c r="D41" s="138">
        <v>5</v>
      </c>
    </row>
    <row r="42" spans="2:4" s="132" customFormat="1" ht="23.25" customHeight="1">
      <c r="B42" s="143">
        <f t="shared" si="0"/>
        <v>35</v>
      </c>
      <c r="C42" s="139" t="str">
        <f>IF(ISBLANK(Case!E133),"",Case!E133)</f>
        <v>00111010001111001100</v>
      </c>
      <c r="D42" s="138">
        <v>5</v>
      </c>
    </row>
    <row r="43" spans="2:4" s="132" customFormat="1" ht="23.25" customHeight="1">
      <c r="B43" s="143">
        <f t="shared" si="0"/>
        <v>36</v>
      </c>
      <c r="C43" s="139" t="str">
        <f>IF(ISBLANK(Case!E134),"",Case!E134)</f>
        <v>01100011110011000101</v>
      </c>
      <c r="D43" s="138">
        <v>5</v>
      </c>
    </row>
    <row r="44" spans="2:4" s="132" customFormat="1" ht="23.25" customHeight="1">
      <c r="B44" s="143">
        <f t="shared" si="0"/>
        <v>37</v>
      </c>
      <c r="C44" s="139" t="str">
        <f>IF(ISBLANK(Case!E135),"",Case!E135)</f>
        <v>10011100101001011010</v>
      </c>
      <c r="D44" s="138">
        <v>5</v>
      </c>
    </row>
    <row r="45" spans="2:4" s="132" customFormat="1" ht="23.25" customHeight="1">
      <c r="B45" s="143">
        <f t="shared" si="0"/>
        <v>38</v>
      </c>
      <c r="C45" s="139" t="str">
        <f>IF(ISBLANK(Case!E136),"",Case!E136)</f>
        <v>10100101101010010110</v>
      </c>
      <c r="D45" s="138">
        <v>5</v>
      </c>
    </row>
    <row r="46" spans="2:4" s="132" customFormat="1" ht="23.25" customHeight="1">
      <c r="B46" s="143">
        <f t="shared" si="0"/>
        <v>39</v>
      </c>
      <c r="C46" s="139" t="str">
        <f>IF(ISBLANK(Case!E137),"",Case!E137)</f>
        <v>01101001100111001100</v>
      </c>
      <c r="D46" s="138">
        <v>5</v>
      </c>
    </row>
    <row r="47" spans="2:4" s="132" customFormat="1" ht="23.25" customHeight="1">
      <c r="B47" s="143">
        <f t="shared" si="0"/>
        <v>40</v>
      </c>
      <c r="C47" s="139" t="str">
        <f>IF(ISBLANK(Case!E138),"",Case!E138)</f>
        <v>10010011011000111001</v>
      </c>
      <c r="D47" s="138">
        <v>5</v>
      </c>
    </row>
    <row r="48" spans="2:4" s="132" customFormat="1" ht="23.25" customHeight="1">
      <c r="B48" s="143">
        <f t="shared" si="0"/>
        <v>41</v>
      </c>
      <c r="C48" s="139">
        <f>IF(ISBLANK(Case!E165),"",Case!E165)</f>
        <v>21</v>
      </c>
      <c r="D48" s="138">
        <v>6</v>
      </c>
    </row>
    <row r="49" spans="2:4" s="132" customFormat="1" ht="23.25" customHeight="1">
      <c r="B49" s="143">
        <f t="shared" si="0"/>
        <v>42</v>
      </c>
      <c r="C49" s="139">
        <f>IF(ISBLANK(Case!E166),"",Case!E166)</f>
        <v>16</v>
      </c>
      <c r="D49" s="138">
        <v>6</v>
      </c>
    </row>
    <row r="50" spans="2:4" s="132" customFormat="1" ht="23.25" customHeight="1">
      <c r="B50" s="143">
        <f t="shared" si="0"/>
        <v>43</v>
      </c>
      <c r="C50" s="139">
        <f>IF(ISBLANK(Case!E167),"",Case!E167)</f>
        <v>22</v>
      </c>
      <c r="D50" s="138">
        <v>6</v>
      </c>
    </row>
    <row r="51" spans="2:4" s="132" customFormat="1" ht="23.25" customHeight="1">
      <c r="B51" s="143">
        <f t="shared" si="0"/>
        <v>44</v>
      </c>
      <c r="C51" s="139">
        <f>IF(ISBLANK(Case!E168),"",Case!E168)</f>
        <v>12</v>
      </c>
      <c r="D51" s="138">
        <v>6</v>
      </c>
    </row>
    <row r="52" spans="2:4" s="132" customFormat="1" ht="23.25" customHeight="1">
      <c r="B52" s="143">
        <f t="shared" si="0"/>
        <v>45</v>
      </c>
      <c r="C52" s="139">
        <f>IF(ISBLANK(Case!E169),"",Case!E169)</f>
        <v>17</v>
      </c>
      <c r="D52" s="138">
        <v>6</v>
      </c>
    </row>
    <row r="53" spans="2:4" s="132" customFormat="1" ht="23.25" customHeight="1">
      <c r="B53" s="143">
        <f t="shared" si="0"/>
        <v>46</v>
      </c>
      <c r="C53" s="139">
        <f>IF(ISBLANK(Case!E170),"",Case!E170)</f>
        <v>14</v>
      </c>
      <c r="D53" s="138">
        <v>6</v>
      </c>
    </row>
    <row r="54" spans="2:4" s="132" customFormat="1" ht="23.25" customHeight="1">
      <c r="B54" s="143">
        <f t="shared" si="0"/>
        <v>47</v>
      </c>
      <c r="C54" s="139">
        <f>IF(ISBLANK(Case!E171),"",Case!E171)</f>
        <v>13</v>
      </c>
      <c r="D54" s="138">
        <v>6</v>
      </c>
    </row>
    <row r="55" spans="2:4" s="132" customFormat="1" ht="23.25" customHeight="1">
      <c r="B55" s="143">
        <f t="shared" si="0"/>
        <v>48</v>
      </c>
      <c r="C55" s="139">
        <f>IF(ISBLANK(Case!E172),"",Case!E172)</f>
        <v>13</v>
      </c>
      <c r="D55" s="138">
        <v>6</v>
      </c>
    </row>
    <row r="56" spans="2:4" s="132" customFormat="1" ht="23.25" customHeight="1">
      <c r="B56" s="143">
        <f t="shared" si="0"/>
        <v>49</v>
      </c>
      <c r="C56" s="139">
        <f>IF(ISBLANK(Case!E173),"",Case!E173)</f>
        <v>19</v>
      </c>
      <c r="D56" s="138">
        <v>6</v>
      </c>
    </row>
    <row r="57" spans="2:4" s="132" customFormat="1" ht="23.25" customHeight="1">
      <c r="B57" s="143">
        <f t="shared" si="0"/>
        <v>50</v>
      </c>
      <c r="C57" s="139">
        <f>IF(ISBLANK(Case!E174),"",Case!E174)</f>
        <v>16</v>
      </c>
      <c r="D57" s="138">
        <v>6</v>
      </c>
    </row>
    <row r="58" spans="2:4" s="132" customFormat="1" ht="23.25" customHeight="1">
      <c r="B58" s="143">
        <f t="shared" si="0"/>
        <v>51</v>
      </c>
      <c r="C58" s="139">
        <f>IF(ISBLANK(Case!E175),"",Case!E175)</f>
        <v>12</v>
      </c>
      <c r="D58" s="138">
        <v>6</v>
      </c>
    </row>
    <row r="59" spans="2:4" s="132" customFormat="1" ht="23.25" customHeight="1">
      <c r="B59" s="143">
        <f t="shared" si="0"/>
        <v>52</v>
      </c>
      <c r="C59" s="139">
        <f>IF(ISBLANK(Case!E176),"",Case!E176)</f>
        <v>13</v>
      </c>
      <c r="D59" s="138">
        <v>6</v>
      </c>
    </row>
    <row r="60" spans="2:4" s="132" customFormat="1" ht="23.25" customHeight="1">
      <c r="B60" s="143">
        <f t="shared" si="0"/>
        <v>53</v>
      </c>
      <c r="C60" s="139">
        <f>IF(ISBLANK(Case!E177),"",Case!E177)</f>
        <v>14</v>
      </c>
      <c r="D60" s="138">
        <v>6</v>
      </c>
    </row>
    <row r="61" spans="2:4" s="132" customFormat="1" ht="23.25" customHeight="1">
      <c r="B61" s="143">
        <f t="shared" si="0"/>
        <v>54</v>
      </c>
      <c r="C61" s="139">
        <f>IF(ISBLANK(Case!E178),"",Case!E178)</f>
        <v>18</v>
      </c>
      <c r="D61" s="138">
        <v>6</v>
      </c>
    </row>
    <row r="62" spans="2:4" s="132" customFormat="1" ht="23.25" customHeight="1">
      <c r="B62" s="143">
        <f t="shared" si="0"/>
        <v>55</v>
      </c>
      <c r="C62" s="139">
        <f>IF(ISBLANK(Case!E179),"",Case!E179)</f>
        <v>12</v>
      </c>
      <c r="D62" s="138">
        <v>6</v>
      </c>
    </row>
    <row r="63" spans="2:4" s="132" customFormat="1" ht="23.25" customHeight="1">
      <c r="B63" s="143">
        <f t="shared" si="0"/>
        <v>56</v>
      </c>
      <c r="C63" s="139">
        <f>IF(ISBLANK(Case!E180),"",Case!E180)</f>
        <v>17</v>
      </c>
      <c r="D63" s="138">
        <v>6</v>
      </c>
    </row>
    <row r="64" spans="2:4" s="132" customFormat="1" ht="23.25" customHeight="1">
      <c r="B64" s="143">
        <f t="shared" si="0"/>
        <v>57</v>
      </c>
      <c r="C64" s="139">
        <f>IF(ISBLANK(Case!E181),"",Case!E181)</f>
        <v>18</v>
      </c>
      <c r="D64" s="138">
        <v>6</v>
      </c>
    </row>
    <row r="65" spans="2:4" s="132" customFormat="1" ht="23.25" customHeight="1">
      <c r="B65" s="143">
        <f t="shared" si="0"/>
        <v>58</v>
      </c>
      <c r="C65" s="139">
        <f>IF(ISBLANK(Case!E182),"",Case!E182)</f>
        <v>16</v>
      </c>
      <c r="D65" s="138">
        <v>6</v>
      </c>
    </row>
    <row r="66" spans="2:4" s="132" customFormat="1" ht="23.25" customHeight="1">
      <c r="B66" s="143">
        <f t="shared" si="0"/>
        <v>59</v>
      </c>
      <c r="C66" s="139">
        <f>IF(ISBLANK(Case!E183),"",Case!E183)</f>
        <v>17</v>
      </c>
      <c r="D66" s="138">
        <v>6</v>
      </c>
    </row>
    <row r="67" spans="2:4" s="132" customFormat="1" ht="23.25" customHeight="1">
      <c r="B67" s="143">
        <f t="shared" si="0"/>
        <v>60</v>
      </c>
      <c r="C67" s="139">
        <f>IF(ISBLANK(Case!E184),"",Case!E184)</f>
        <v>18</v>
      </c>
      <c r="D67" s="138">
        <v>6</v>
      </c>
    </row>
    <row r="68" spans="2:4" s="132" customFormat="1" ht="23.25" customHeight="1">
      <c r="B68" s="143">
        <f t="shared" si="0"/>
        <v>61</v>
      </c>
      <c r="C68" s="139">
        <f>IF(ISBLANK(Case!E211),"",Case!E211)</f>
        <v>30</v>
      </c>
      <c r="D68" s="138">
        <v>7</v>
      </c>
    </row>
    <row r="69" spans="2:4" s="132" customFormat="1" ht="23.25" customHeight="1">
      <c r="B69" s="143">
        <f t="shared" si="0"/>
        <v>62</v>
      </c>
      <c r="C69" s="139">
        <f>IF(ISBLANK(Case!E212),"",Case!E212)</f>
        <v>32</v>
      </c>
      <c r="D69" s="138">
        <v>7</v>
      </c>
    </row>
    <row r="70" spans="2:4" s="132" customFormat="1" ht="23.25" customHeight="1">
      <c r="B70" s="143">
        <f t="shared" si="0"/>
        <v>63</v>
      </c>
      <c r="C70" s="139">
        <f>IF(ISBLANK(Case!E213),"",Case!E213)</f>
        <v>34</v>
      </c>
      <c r="D70" s="138">
        <v>7</v>
      </c>
    </row>
    <row r="71" spans="2:4" s="132" customFormat="1" ht="23.25" customHeight="1">
      <c r="B71" s="143">
        <f t="shared" si="0"/>
        <v>64</v>
      </c>
      <c r="C71" s="139">
        <f>IF(ISBLANK(Case!E214),"",Case!E214)</f>
        <v>30</v>
      </c>
      <c r="D71" s="138">
        <v>7</v>
      </c>
    </row>
    <row r="72" spans="2:4" s="132" customFormat="1" ht="23.25" customHeight="1">
      <c r="B72" s="143">
        <f t="shared" si="0"/>
        <v>65</v>
      </c>
      <c r="C72" s="139">
        <f>IF(ISBLANK(Case!E215),"",Case!E215)</f>
        <v>30</v>
      </c>
      <c r="D72" s="138">
        <v>7</v>
      </c>
    </row>
    <row r="73" spans="2:4" s="132" customFormat="1" ht="23.25" customHeight="1">
      <c r="B73" s="143">
        <f t="shared" ref="B73:B136" si="1">B72+1</f>
        <v>66</v>
      </c>
      <c r="C73" s="139">
        <f>IF(ISBLANK(Case!E216),"",Case!E216)</f>
        <v>30</v>
      </c>
      <c r="D73" s="138">
        <v>7</v>
      </c>
    </row>
    <row r="74" spans="2:4" s="132" customFormat="1" ht="23.25" customHeight="1">
      <c r="B74" s="143">
        <f t="shared" si="1"/>
        <v>67</v>
      </c>
      <c r="C74" s="139">
        <f>IF(ISBLANK(Case!E217),"",Case!E217)</f>
        <v>26</v>
      </c>
      <c r="D74" s="138">
        <v>7</v>
      </c>
    </row>
    <row r="75" spans="2:4" s="132" customFormat="1" ht="23.25" customHeight="1">
      <c r="B75" s="143">
        <f t="shared" si="1"/>
        <v>68</v>
      </c>
      <c r="C75" s="139">
        <f>IF(ISBLANK(Case!E218),"",Case!E218)</f>
        <v>32</v>
      </c>
      <c r="D75" s="138">
        <v>7</v>
      </c>
    </row>
    <row r="76" spans="2:4" s="132" customFormat="1" ht="23.25" customHeight="1">
      <c r="B76" s="143">
        <f t="shared" si="1"/>
        <v>69</v>
      </c>
      <c r="C76" s="139">
        <f>IF(ISBLANK(Case!E219),"",Case!E219)</f>
        <v>33</v>
      </c>
      <c r="D76" s="138">
        <v>7</v>
      </c>
    </row>
    <row r="77" spans="2:4" s="132" customFormat="1" ht="23.25" customHeight="1">
      <c r="B77" s="143">
        <f t="shared" si="1"/>
        <v>70</v>
      </c>
      <c r="C77" s="139">
        <f>IF(ISBLANK(Case!E220),"",Case!E220)</f>
        <v>33</v>
      </c>
      <c r="D77" s="138">
        <v>7</v>
      </c>
    </row>
    <row r="78" spans="2:4" s="132" customFormat="1" ht="23.25" customHeight="1">
      <c r="B78" s="143">
        <f t="shared" si="1"/>
        <v>71</v>
      </c>
      <c r="C78" s="139">
        <f>IF(ISBLANK(Case!E221),"",Case!E221)</f>
        <v>28</v>
      </c>
      <c r="D78" s="138">
        <v>7</v>
      </c>
    </row>
    <row r="79" spans="2:4" s="132" customFormat="1" ht="23.25" customHeight="1">
      <c r="B79" s="143">
        <f t="shared" si="1"/>
        <v>72</v>
      </c>
      <c r="C79" s="139">
        <f>IF(ISBLANK(Case!E222),"",Case!E222)</f>
        <v>29</v>
      </c>
      <c r="D79" s="138">
        <v>7</v>
      </c>
    </row>
    <row r="80" spans="2:4" s="132" customFormat="1" ht="23.25" customHeight="1">
      <c r="B80" s="143">
        <f t="shared" si="1"/>
        <v>73</v>
      </c>
      <c r="C80" s="139">
        <f>IF(ISBLANK(Case!E223),"",Case!E223)</f>
        <v>32</v>
      </c>
      <c r="D80" s="138">
        <v>7</v>
      </c>
    </row>
    <row r="81" spans="2:4" s="132" customFormat="1" ht="23.25" customHeight="1">
      <c r="B81" s="143">
        <f t="shared" si="1"/>
        <v>74</v>
      </c>
      <c r="C81" s="139">
        <f>IF(ISBLANK(Case!E224),"",Case!E224)</f>
        <v>30</v>
      </c>
      <c r="D81" s="138">
        <v>7</v>
      </c>
    </row>
    <row r="82" spans="2:4" s="132" customFormat="1" ht="23.25" customHeight="1">
      <c r="B82" s="143">
        <f t="shared" si="1"/>
        <v>75</v>
      </c>
      <c r="C82" s="139">
        <f>IF(ISBLANK(Case!E225),"",Case!E225)</f>
        <v>31</v>
      </c>
      <c r="D82" s="138">
        <v>7</v>
      </c>
    </row>
    <row r="83" spans="2:4" s="132" customFormat="1" ht="23.25" customHeight="1">
      <c r="B83" s="143">
        <f t="shared" si="1"/>
        <v>76</v>
      </c>
      <c r="C83" s="139">
        <f>IF(ISBLANK(Case!E226),"",Case!E226)</f>
        <v>30</v>
      </c>
      <c r="D83" s="138">
        <v>7</v>
      </c>
    </row>
    <row r="84" spans="2:4" s="132" customFormat="1" ht="23.25" customHeight="1">
      <c r="B84" s="143">
        <f t="shared" si="1"/>
        <v>77</v>
      </c>
      <c r="C84" s="139">
        <f>IF(ISBLANK(Case!E227),"",Case!E227)</f>
        <v>28</v>
      </c>
      <c r="D84" s="138">
        <v>7</v>
      </c>
    </row>
    <row r="85" spans="2:4" s="132" customFormat="1" ht="23.25" customHeight="1">
      <c r="B85" s="143">
        <f t="shared" si="1"/>
        <v>78</v>
      </c>
      <c r="C85" s="139">
        <f>IF(ISBLANK(Case!E228),"",Case!E228)</f>
        <v>29</v>
      </c>
      <c r="D85" s="138">
        <v>7</v>
      </c>
    </row>
    <row r="86" spans="2:4" s="132" customFormat="1" ht="23.25" customHeight="1">
      <c r="B86" s="143">
        <f t="shared" si="1"/>
        <v>79</v>
      </c>
      <c r="C86" s="139">
        <f>IF(ISBLANK(Case!E229),"",Case!E229)</f>
        <v>28</v>
      </c>
      <c r="D86" s="138">
        <v>7</v>
      </c>
    </row>
    <row r="87" spans="2:4" s="132" customFormat="1" ht="23.25" customHeight="1">
      <c r="B87" s="143">
        <f t="shared" si="1"/>
        <v>80</v>
      </c>
      <c r="C87" s="139">
        <f>IF(ISBLANK(Case!E230),"",Case!E230)</f>
        <v>27</v>
      </c>
      <c r="D87" s="138">
        <v>7</v>
      </c>
    </row>
    <row r="88" spans="2:4" s="132" customFormat="1" ht="23.25" customHeight="1">
      <c r="B88" s="143">
        <f t="shared" si="1"/>
        <v>81</v>
      </c>
      <c r="C88" s="139">
        <f>IF(ISBLANK(Case!E257),"",Case!E257)</f>
        <v>38</v>
      </c>
      <c r="D88" s="138">
        <v>8</v>
      </c>
    </row>
    <row r="89" spans="2:4" s="132" customFormat="1" ht="23.25" customHeight="1">
      <c r="B89" s="143">
        <f t="shared" si="1"/>
        <v>82</v>
      </c>
      <c r="C89" s="139">
        <f>IF(ISBLANK(Case!E258),"",Case!E258)</f>
        <v>4679</v>
      </c>
      <c r="D89" s="138">
        <v>8</v>
      </c>
    </row>
    <row r="90" spans="2:4" s="132" customFormat="1" ht="23.25" customHeight="1">
      <c r="B90" s="143">
        <f t="shared" si="1"/>
        <v>83</v>
      </c>
      <c r="C90" s="139">
        <f>IF(ISBLANK(Case!E259),"",Case!E259)</f>
        <v>410</v>
      </c>
      <c r="D90" s="138">
        <v>8</v>
      </c>
    </row>
    <row r="91" spans="2:4" s="132" customFormat="1" ht="23.25" customHeight="1">
      <c r="B91" s="143">
        <f t="shared" si="1"/>
        <v>84</v>
      </c>
      <c r="C91" s="139">
        <f>IF(ISBLANK(Case!E260),"",Case!E260)</f>
        <v>25</v>
      </c>
      <c r="D91" s="138">
        <v>8</v>
      </c>
    </row>
    <row r="92" spans="2:4" s="132" customFormat="1" ht="23.25" customHeight="1">
      <c r="B92" s="143">
        <f t="shared" si="1"/>
        <v>85</v>
      </c>
      <c r="C92" s="139">
        <f>IF(ISBLANK(Case!E261),"",Case!E261)</f>
        <v>4810</v>
      </c>
      <c r="D92" s="138">
        <v>8</v>
      </c>
    </row>
    <row r="93" spans="2:4" s="132" customFormat="1" ht="23.25" customHeight="1">
      <c r="B93" s="143">
        <f t="shared" si="1"/>
        <v>86</v>
      </c>
      <c r="C93" s="139">
        <f>IF(ISBLANK(Case!E262),"",Case!E262)</f>
        <v>510</v>
      </c>
      <c r="D93" s="138">
        <v>8</v>
      </c>
    </row>
    <row r="94" spans="2:4" s="132" customFormat="1" ht="23.25" customHeight="1">
      <c r="B94" s="143">
        <f t="shared" si="1"/>
        <v>87</v>
      </c>
      <c r="C94" s="139">
        <f>IF(ISBLANK(Case!E263),"",Case!E263)</f>
        <v>268</v>
      </c>
      <c r="D94" s="138">
        <v>8</v>
      </c>
    </row>
    <row r="95" spans="2:4" s="132" customFormat="1" ht="23.25" customHeight="1">
      <c r="B95" s="143">
        <f t="shared" si="1"/>
        <v>88</v>
      </c>
      <c r="C95" s="139">
        <f>IF(ISBLANK(Case!E264),"",Case!E264)</f>
        <v>358</v>
      </c>
      <c r="D95" s="138">
        <v>8</v>
      </c>
    </row>
    <row r="96" spans="2:4" s="132" customFormat="1" ht="23.25" customHeight="1">
      <c r="B96" s="143">
        <f t="shared" si="1"/>
        <v>89</v>
      </c>
      <c r="C96" s="139">
        <f>IF(ISBLANK(Case!E265),"",Case!E265)</f>
        <v>24810</v>
      </c>
      <c r="D96" s="138">
        <v>8</v>
      </c>
    </row>
    <row r="97" spans="2:4" s="132" customFormat="1" ht="23.25" customHeight="1">
      <c r="B97" s="143">
        <f t="shared" si="1"/>
        <v>90</v>
      </c>
      <c r="C97" s="139">
        <f>IF(ISBLANK(Case!E266),"",Case!E266)</f>
        <v>48</v>
      </c>
      <c r="D97" s="138">
        <v>8</v>
      </c>
    </row>
    <row r="98" spans="2:4" s="132" customFormat="1" ht="23.25" customHeight="1">
      <c r="B98" s="143">
        <f t="shared" si="1"/>
        <v>91</v>
      </c>
      <c r="C98" s="139">
        <f>IF(ISBLANK(Case!E267),"",Case!E267)</f>
        <v>4</v>
      </c>
      <c r="D98" s="138">
        <v>8</v>
      </c>
    </row>
    <row r="99" spans="2:4" s="132" customFormat="1" ht="23.25" customHeight="1">
      <c r="B99" s="143">
        <f t="shared" si="1"/>
        <v>92</v>
      </c>
      <c r="C99" s="139">
        <f>IF(ISBLANK(Case!E268),"",Case!E268)</f>
        <v>369</v>
      </c>
      <c r="D99" s="138">
        <v>8</v>
      </c>
    </row>
    <row r="100" spans="2:4" s="132" customFormat="1" ht="23.25" customHeight="1">
      <c r="B100" s="143">
        <f t="shared" si="1"/>
        <v>93</v>
      </c>
      <c r="C100" s="139">
        <f>IF(ISBLANK(Case!E269),"",Case!E269)</f>
        <v>259</v>
      </c>
      <c r="D100" s="138">
        <v>8</v>
      </c>
    </row>
    <row r="101" spans="2:4" s="132" customFormat="1" ht="23.25" customHeight="1">
      <c r="B101" s="143">
        <f t="shared" si="1"/>
        <v>94</v>
      </c>
      <c r="C101" s="139">
        <f>IF(ISBLANK(Case!E270),"",Case!E270)</f>
        <v>5</v>
      </c>
      <c r="D101" s="138">
        <v>8</v>
      </c>
    </row>
    <row r="102" spans="2:4" s="132" customFormat="1" ht="23.25" customHeight="1">
      <c r="B102" s="143">
        <f t="shared" si="1"/>
        <v>95</v>
      </c>
      <c r="C102" s="139">
        <f>IF(ISBLANK(Case!E271),"",Case!E271)</f>
        <v>27</v>
      </c>
      <c r="D102" s="138">
        <v>8</v>
      </c>
    </row>
    <row r="103" spans="2:4" s="132" customFormat="1" ht="23.25" customHeight="1">
      <c r="B103" s="143">
        <f t="shared" si="1"/>
        <v>96</v>
      </c>
      <c r="C103" s="139">
        <f>IF(ISBLANK(Case!E272),"",Case!E272)</f>
        <v>247</v>
      </c>
      <c r="D103" s="138">
        <v>8</v>
      </c>
    </row>
    <row r="104" spans="2:4" s="132" customFormat="1" ht="23.25" customHeight="1">
      <c r="B104" s="143">
        <f t="shared" si="1"/>
        <v>97</v>
      </c>
      <c r="C104" s="139">
        <f>IF(ISBLANK(Case!E273),"",Case!E273)</f>
        <v>9</v>
      </c>
      <c r="D104" s="138">
        <v>8</v>
      </c>
    </row>
    <row r="105" spans="2:4" s="132" customFormat="1" ht="23.25" customHeight="1">
      <c r="B105" s="143">
        <f t="shared" si="1"/>
        <v>98</v>
      </c>
      <c r="C105" s="139">
        <f>IF(ISBLANK(Case!E274),"",Case!E274)</f>
        <v>28</v>
      </c>
      <c r="D105" s="138">
        <v>8</v>
      </c>
    </row>
    <row r="106" spans="2:4" s="132" customFormat="1" ht="23.25" customHeight="1">
      <c r="B106" s="143">
        <f t="shared" si="1"/>
        <v>99</v>
      </c>
      <c r="C106" s="139">
        <f>IF(ISBLANK(Case!E275),"",Case!E275)</f>
        <v>4710</v>
      </c>
      <c r="D106" s="138">
        <v>8</v>
      </c>
    </row>
    <row r="107" spans="2:4" s="132" customFormat="1" ht="23.25" customHeight="1">
      <c r="B107" s="143">
        <f t="shared" si="1"/>
        <v>100</v>
      </c>
      <c r="C107" s="139">
        <f>IF(ISBLANK(Case!E276),"",Case!E276)</f>
        <v>38</v>
      </c>
      <c r="D107" s="138">
        <v>8</v>
      </c>
    </row>
    <row r="108" spans="2:4" s="132" customFormat="1" ht="23.25" customHeight="1">
      <c r="B108" s="143">
        <f t="shared" si="1"/>
        <v>101</v>
      </c>
      <c r="C108" s="139" t="str">
        <f>IF(ISBLANK(Case!E299),"",Case!E299)</f>
        <v/>
      </c>
      <c r="D108" s="138">
        <v>9</v>
      </c>
    </row>
    <row r="109" spans="2:4" s="132" customFormat="1" ht="23.25" customHeight="1">
      <c r="B109" s="143">
        <f t="shared" si="1"/>
        <v>102</v>
      </c>
      <c r="C109" s="139" t="str">
        <f>IF(ISBLANK(Case!E300),"",Case!E300)</f>
        <v/>
      </c>
      <c r="D109" s="138">
        <v>9</v>
      </c>
    </row>
    <row r="110" spans="2:4" s="132" customFormat="1" ht="23.25" customHeight="1">
      <c r="B110" s="143">
        <f t="shared" si="1"/>
        <v>103</v>
      </c>
      <c r="C110" s="139" t="str">
        <f>IF(ISBLANK(Case!E301),"",Case!E301)</f>
        <v/>
      </c>
      <c r="D110" s="138">
        <v>9</v>
      </c>
    </row>
    <row r="111" spans="2:4" s="132" customFormat="1" ht="23.25" customHeight="1">
      <c r="B111" s="143">
        <f t="shared" si="1"/>
        <v>104</v>
      </c>
      <c r="C111" s="139" t="str">
        <f>IF(ISBLANK(Case!E302),"",Case!E302)</f>
        <v/>
      </c>
      <c r="D111" s="138">
        <v>9</v>
      </c>
    </row>
    <row r="112" spans="2:4" s="132" customFormat="1" ht="23.25" customHeight="1">
      <c r="B112" s="143">
        <f t="shared" si="1"/>
        <v>105</v>
      </c>
      <c r="C112" s="139" t="str">
        <f>IF(ISBLANK(Case!E303),"",Case!E303)</f>
        <v/>
      </c>
      <c r="D112" s="138">
        <v>9</v>
      </c>
    </row>
    <row r="113" spans="2:4" s="132" customFormat="1" ht="23.25" customHeight="1">
      <c r="B113" s="143">
        <f t="shared" si="1"/>
        <v>106</v>
      </c>
      <c r="C113" s="139" t="str">
        <f>IF(ISBLANK(Case!E304),"",Case!E304)</f>
        <v/>
      </c>
      <c r="D113" s="138">
        <v>9</v>
      </c>
    </row>
    <row r="114" spans="2:4" s="132" customFormat="1" ht="23.25" customHeight="1">
      <c r="B114" s="143">
        <f t="shared" si="1"/>
        <v>107</v>
      </c>
      <c r="C114" s="139" t="str">
        <f>IF(ISBLANK(Case!E305),"",Case!E305)</f>
        <v/>
      </c>
      <c r="D114" s="138">
        <v>9</v>
      </c>
    </row>
    <row r="115" spans="2:4" s="132" customFormat="1" ht="23.25" customHeight="1">
      <c r="B115" s="143">
        <f t="shared" si="1"/>
        <v>108</v>
      </c>
      <c r="C115" s="139" t="str">
        <f>IF(ISBLANK(Case!E306),"",Case!E306)</f>
        <v/>
      </c>
      <c r="D115" s="138">
        <v>9</v>
      </c>
    </row>
    <row r="116" spans="2:4" s="132" customFormat="1" ht="23.25" customHeight="1">
      <c r="B116" s="143">
        <f t="shared" si="1"/>
        <v>109</v>
      </c>
      <c r="C116" s="139" t="str">
        <f>IF(ISBLANK(Case!E307),"",Case!E307)</f>
        <v/>
      </c>
      <c r="D116" s="138">
        <v>9</v>
      </c>
    </row>
    <row r="117" spans="2:4" s="132" customFormat="1" ht="23.25" customHeight="1">
      <c r="B117" s="143">
        <f t="shared" si="1"/>
        <v>110</v>
      </c>
      <c r="C117" s="139" t="str">
        <f>IF(ISBLANK(Case!E308),"",Case!E308)</f>
        <v/>
      </c>
      <c r="D117" s="138">
        <v>9</v>
      </c>
    </row>
    <row r="118" spans="2:4" s="132" customFormat="1" ht="23.25" customHeight="1">
      <c r="B118" s="143">
        <f t="shared" si="1"/>
        <v>111</v>
      </c>
      <c r="C118" s="139" t="str">
        <f>IF(ISBLANK(Case!E309),"",Case!E309)</f>
        <v/>
      </c>
      <c r="D118" s="138">
        <v>9</v>
      </c>
    </row>
    <row r="119" spans="2:4" s="132" customFormat="1" ht="23.25" customHeight="1">
      <c r="B119" s="143">
        <f t="shared" si="1"/>
        <v>112</v>
      </c>
      <c r="C119" s="139" t="str">
        <f>IF(ISBLANK(Case!E310),"",Case!E310)</f>
        <v/>
      </c>
      <c r="D119" s="138">
        <v>9</v>
      </c>
    </row>
    <row r="120" spans="2:4" s="132" customFormat="1" ht="23.25" customHeight="1">
      <c r="B120" s="143">
        <f t="shared" si="1"/>
        <v>113</v>
      </c>
      <c r="C120" s="139" t="str">
        <f>IF(ISBLANK(Case!E311),"",Case!E311)</f>
        <v/>
      </c>
      <c r="D120" s="138">
        <v>9</v>
      </c>
    </row>
    <row r="121" spans="2:4" s="132" customFormat="1" ht="23.25" customHeight="1">
      <c r="B121" s="143">
        <f t="shared" si="1"/>
        <v>114</v>
      </c>
      <c r="C121" s="139" t="str">
        <f>IF(ISBLANK(Case!E312),"",Case!E312)</f>
        <v/>
      </c>
      <c r="D121" s="138">
        <v>9</v>
      </c>
    </row>
    <row r="122" spans="2:4" s="132" customFormat="1" ht="23.25" customHeight="1">
      <c r="B122" s="143">
        <f t="shared" si="1"/>
        <v>115</v>
      </c>
      <c r="C122" s="139" t="str">
        <f>IF(ISBLANK(Case!E313),"",Case!E313)</f>
        <v/>
      </c>
      <c r="D122" s="138">
        <v>9</v>
      </c>
    </row>
    <row r="123" spans="2:4" s="132" customFormat="1" ht="23.25" customHeight="1">
      <c r="B123" s="143">
        <f t="shared" si="1"/>
        <v>116</v>
      </c>
      <c r="C123" s="139" t="str">
        <f>IF(ISBLANK(Case!E314),"",Case!E314)</f>
        <v/>
      </c>
      <c r="D123" s="138">
        <v>9</v>
      </c>
    </row>
    <row r="124" spans="2:4" s="132" customFormat="1" ht="23.25" customHeight="1">
      <c r="B124" s="143">
        <f t="shared" si="1"/>
        <v>117</v>
      </c>
      <c r="C124" s="139" t="str">
        <f>IF(ISBLANK(Case!E315),"",Case!E315)</f>
        <v/>
      </c>
      <c r="D124" s="138">
        <v>9</v>
      </c>
    </row>
    <row r="125" spans="2:4" s="132" customFormat="1" ht="23.25" customHeight="1">
      <c r="B125" s="143">
        <f t="shared" si="1"/>
        <v>118</v>
      </c>
      <c r="C125" s="139" t="str">
        <f>IF(ISBLANK(Case!E316),"",Case!E316)</f>
        <v/>
      </c>
      <c r="D125" s="138">
        <v>9</v>
      </c>
    </row>
    <row r="126" spans="2:4" s="132" customFormat="1" ht="23.25" customHeight="1">
      <c r="B126" s="143">
        <f t="shared" si="1"/>
        <v>119</v>
      </c>
      <c r="C126" s="139" t="str">
        <f>IF(ISBLANK(Case!E317),"",Case!E317)</f>
        <v/>
      </c>
      <c r="D126" s="138">
        <v>9</v>
      </c>
    </row>
    <row r="127" spans="2:4" s="132" customFormat="1" ht="23.25" customHeight="1">
      <c r="B127" s="143">
        <f t="shared" si="1"/>
        <v>120</v>
      </c>
      <c r="C127" s="139" t="str">
        <f>IF(ISBLANK(Case!E318),"",Case!E318)</f>
        <v/>
      </c>
      <c r="D127" s="138">
        <v>9</v>
      </c>
    </row>
    <row r="128" spans="2:4" s="132" customFormat="1" ht="23.25" customHeight="1">
      <c r="B128" s="143">
        <f t="shared" si="1"/>
        <v>121</v>
      </c>
      <c r="C128" s="139" t="str">
        <f>IF(ISBLANK(Case!E342),"",Case!E342)</f>
        <v/>
      </c>
      <c r="D128" s="138">
        <v>10</v>
      </c>
    </row>
    <row r="129" spans="2:4" ht="23.25" customHeight="1">
      <c r="B129" s="143">
        <f t="shared" si="1"/>
        <v>122</v>
      </c>
      <c r="C129" s="139" t="str">
        <f>IF(ISBLANK(Case!E343),"",Case!E343)</f>
        <v/>
      </c>
      <c r="D129" s="138">
        <v>10</v>
      </c>
    </row>
    <row r="130" spans="2:4" ht="23.25" customHeight="1">
      <c r="B130" s="143">
        <f t="shared" si="1"/>
        <v>123</v>
      </c>
      <c r="C130" s="139" t="str">
        <f>IF(ISBLANK(Case!E344),"",Case!E344)</f>
        <v/>
      </c>
      <c r="D130" s="138">
        <v>10</v>
      </c>
    </row>
    <row r="131" spans="2:4" ht="23.25" customHeight="1">
      <c r="B131" s="143">
        <f t="shared" si="1"/>
        <v>124</v>
      </c>
      <c r="C131" s="139" t="str">
        <f>IF(ISBLANK(Case!E345),"",Case!E345)</f>
        <v/>
      </c>
      <c r="D131" s="138">
        <v>10</v>
      </c>
    </row>
    <row r="132" spans="2:4" ht="23.25" customHeight="1">
      <c r="B132" s="143">
        <f t="shared" si="1"/>
        <v>125</v>
      </c>
      <c r="C132" s="139" t="str">
        <f>IF(ISBLANK(Case!E346),"",Case!E346)</f>
        <v/>
      </c>
      <c r="D132" s="138">
        <v>10</v>
      </c>
    </row>
    <row r="133" spans="2:4" ht="23.25" customHeight="1">
      <c r="B133" s="143">
        <f t="shared" si="1"/>
        <v>126</v>
      </c>
      <c r="C133" s="139" t="str">
        <f>IF(ISBLANK(Case!E347),"",Case!E347)</f>
        <v/>
      </c>
      <c r="D133" s="138">
        <v>10</v>
      </c>
    </row>
    <row r="134" spans="2:4" ht="23.25" customHeight="1">
      <c r="B134" s="143">
        <f t="shared" si="1"/>
        <v>127</v>
      </c>
      <c r="C134" s="139" t="str">
        <f>IF(ISBLANK(Case!E348),"",Case!E348)</f>
        <v/>
      </c>
      <c r="D134" s="138">
        <v>10</v>
      </c>
    </row>
    <row r="135" spans="2:4" ht="23.25" customHeight="1">
      <c r="B135" s="143">
        <f t="shared" si="1"/>
        <v>128</v>
      </c>
      <c r="C135" s="139" t="str">
        <f>IF(ISBLANK(Case!E349),"",Case!E349)</f>
        <v/>
      </c>
      <c r="D135" s="138">
        <v>10</v>
      </c>
    </row>
    <row r="136" spans="2:4" ht="23.25" customHeight="1">
      <c r="B136" s="143">
        <f t="shared" si="1"/>
        <v>129</v>
      </c>
      <c r="C136" s="139" t="str">
        <f>IF(ISBLANK(Case!E350),"",Case!E350)</f>
        <v/>
      </c>
      <c r="D136" s="138">
        <v>10</v>
      </c>
    </row>
    <row r="137" spans="2:4" ht="23.25" customHeight="1">
      <c r="B137" s="143">
        <f t="shared" ref="B137:B147" si="2">B136+1</f>
        <v>130</v>
      </c>
      <c r="C137" s="139" t="str">
        <f>IF(ISBLANK(Case!E351),"",Case!E351)</f>
        <v/>
      </c>
      <c r="D137" s="138">
        <v>10</v>
      </c>
    </row>
    <row r="138" spans="2:4" ht="23.25" customHeight="1">
      <c r="B138" s="143">
        <f t="shared" si="2"/>
        <v>131</v>
      </c>
      <c r="C138" s="139" t="str">
        <f>IF(ISBLANK(Case!E352),"",Case!E352)</f>
        <v/>
      </c>
      <c r="D138" s="138">
        <v>10</v>
      </c>
    </row>
    <row r="139" spans="2:4" ht="23.25" customHeight="1">
      <c r="B139" s="143">
        <f t="shared" si="2"/>
        <v>132</v>
      </c>
      <c r="C139" s="139" t="str">
        <f>IF(ISBLANK(Case!E353),"",Case!E353)</f>
        <v/>
      </c>
      <c r="D139" s="138">
        <v>10</v>
      </c>
    </row>
    <row r="140" spans="2:4" ht="23.25" customHeight="1">
      <c r="B140" s="143">
        <f t="shared" si="2"/>
        <v>133</v>
      </c>
      <c r="C140" s="139" t="str">
        <f>IF(ISBLANK(Case!E354),"",Case!E354)</f>
        <v/>
      </c>
      <c r="D140" s="138">
        <v>10</v>
      </c>
    </row>
    <row r="141" spans="2:4" ht="23.25" customHeight="1">
      <c r="B141" s="143">
        <f t="shared" si="2"/>
        <v>134</v>
      </c>
      <c r="C141" s="139" t="str">
        <f>IF(ISBLANK(Case!E355),"",Case!E355)</f>
        <v/>
      </c>
      <c r="D141" s="138">
        <v>10</v>
      </c>
    </row>
    <row r="142" spans="2:4" ht="23.25" customHeight="1">
      <c r="B142" s="143">
        <f t="shared" si="2"/>
        <v>135</v>
      </c>
      <c r="C142" s="139" t="str">
        <f>IF(ISBLANK(Case!E356),"",Case!E356)</f>
        <v/>
      </c>
      <c r="D142" s="138">
        <v>10</v>
      </c>
    </row>
    <row r="143" spans="2:4" ht="23.25" customHeight="1">
      <c r="B143" s="143">
        <f t="shared" si="2"/>
        <v>136</v>
      </c>
      <c r="C143" s="139" t="str">
        <f>IF(ISBLANK(Case!E357),"",Case!E357)</f>
        <v/>
      </c>
      <c r="D143" s="138">
        <v>10</v>
      </c>
    </row>
    <row r="144" spans="2:4" ht="23.25" customHeight="1">
      <c r="B144" s="143">
        <f t="shared" si="2"/>
        <v>137</v>
      </c>
      <c r="C144" s="139" t="str">
        <f>IF(ISBLANK(Case!E358),"",Case!E358)</f>
        <v/>
      </c>
      <c r="D144" s="138">
        <v>10</v>
      </c>
    </row>
    <row r="145" spans="2:4" ht="23.25" customHeight="1">
      <c r="B145" s="143">
        <f t="shared" si="2"/>
        <v>138</v>
      </c>
      <c r="C145" s="139" t="str">
        <f>IF(ISBLANK(Case!E359),"",Case!E359)</f>
        <v/>
      </c>
      <c r="D145" s="138">
        <v>10</v>
      </c>
    </row>
    <row r="146" spans="2:4" ht="23.25" customHeight="1">
      <c r="B146" s="143">
        <f t="shared" si="2"/>
        <v>139</v>
      </c>
      <c r="C146" s="139" t="str">
        <f>IF(ISBLANK(Case!E360),"",Case!E360)</f>
        <v/>
      </c>
      <c r="D146" s="138">
        <v>10</v>
      </c>
    </row>
    <row r="147" spans="2:4" ht="23.25" customHeight="1">
      <c r="B147" s="143">
        <f t="shared" si="2"/>
        <v>140</v>
      </c>
      <c r="C147" s="139" t="str">
        <f>IF(ISBLANK(Case!E361),"",Case!E361)</f>
        <v/>
      </c>
      <c r="D147" s="13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Case</vt:lpstr>
      <vt:lpstr>PipeMaze</vt:lpstr>
      <vt:lpstr>Graded Answers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FMWC;James Curtis</dc:creator>
  <cp:keywords/>
  <dc:description/>
  <cp:lastModifiedBy>Maciej Kopczyński</cp:lastModifiedBy>
  <cp:revision/>
  <dcterms:created xsi:type="dcterms:W3CDTF">2023-04-18T22:18:28Z</dcterms:created>
  <dcterms:modified xsi:type="dcterms:W3CDTF">2025-10-07T22:00:40Z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2025-04-09T05:02:40Z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e9292c4e-6ff0-4651-9762-8c94702ba6c7</vt:lpwstr>
  </property>
  <property fmtid="{D5CDD505-2E9C-101B-9397-08002B2CF9AE}" pid="8" name="MSIP_Label_51a6c3db-1667-4f49-995a-8b9973972958_ContentBits">
    <vt:lpwstr>0</vt:lpwstr>
  </property>
  <property fmtid="{D5CDD505-2E9C-101B-9397-08002B2CF9AE}" pid="9" name="MSIP_Label_51a6c3db-1667-4f49-995a-8b9973972958_Tag">
    <vt:lpwstr>10, 3, 0, 1</vt:lpwstr>
  </property>
</Properties>
</file>